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_raw" sheetId="1" r:id="rId4"/>
    <sheet state="visible" name="customers_raw" sheetId="2" r:id="rId5"/>
    <sheet state="visible" name="products_raw" sheetId="3" r:id="rId6"/>
    <sheet state="visible" name="customers_clean" sheetId="4" r:id="rId7"/>
    <sheet state="visible" name="orders_clean" sheetId="5" r:id="rId8"/>
    <sheet state="visible" name="KPI" sheetId="6" r:id="rId9"/>
    <sheet state="visible" name="products_master_corrected" sheetId="7" r:id="rId10"/>
    <sheet state="visible" name="tasks_brief" sheetId="8" r:id="rId11"/>
    <sheet state="visible" name="Issue Escalation &amp; Stakeholder " sheetId="9" r:id="rId12"/>
  </sheets>
  <definedNames>
    <definedName hidden="1" localSheetId="1" name="_xlnm._FilterDatabase">customers_raw!$A$1:$Z$1000</definedName>
    <definedName hidden="1" localSheetId="3" name="_xlnm._FilterDatabase">customers_clean!$A$1:$AR$701</definedName>
    <definedName hidden="1" localSheetId="4" name="_xlnm._FilterDatabase">orders_clean!$A$1:$AS$1151</definedName>
    <definedName hidden="1" localSheetId="6" name="_xlnm._FilterDatabase">products_master_corrected!$A$1:$AB$151</definedName>
  </definedNames>
  <calcPr/>
</workbook>
</file>

<file path=xl/sharedStrings.xml><?xml version="1.0" encoding="utf-8"?>
<sst xmlns="http://schemas.openxmlformats.org/spreadsheetml/2006/main" count="51544" uniqueCount="9058">
  <si>
    <t>order_id</t>
  </si>
  <si>
    <t>order_date</t>
  </si>
  <si>
    <t>customer_id</t>
  </si>
  <si>
    <t>customer_name</t>
  </si>
  <si>
    <t>email</t>
  </si>
  <si>
    <t>phone</t>
  </si>
  <si>
    <t>region</t>
  </si>
  <si>
    <t>sales_channel</t>
  </si>
  <si>
    <t>status</t>
  </si>
  <si>
    <t>sku</t>
  </si>
  <si>
    <t>product_name</t>
  </si>
  <si>
    <t>category</t>
  </si>
  <si>
    <t>unit_price_gbp</t>
  </si>
  <si>
    <t>quantity</t>
  </si>
  <si>
    <t>total_price</t>
  </si>
  <si>
    <t>currency</t>
  </si>
  <si>
    <t>shipping_method</t>
  </si>
  <si>
    <t>payment_type</t>
  </si>
  <si>
    <t>notes</t>
  </si>
  <si>
    <t>ORD-100718</t>
  </si>
  <si>
    <t>29-Mar-2024</t>
  </si>
  <si>
    <t>CUST-5524</t>
  </si>
  <si>
    <t>Tara Walker</t>
  </si>
  <si>
    <t xml:space="preserve"> tara.walker@example.com</t>
  </si>
  <si>
    <t>07992 178 353</t>
  </si>
  <si>
    <t>Poland</t>
  </si>
  <si>
    <t>In-Store</t>
  </si>
  <si>
    <t>aCncelled</t>
  </si>
  <si>
    <t>SKU-1125</t>
  </si>
  <si>
    <t>Docking Station Pro</t>
  </si>
  <si>
    <t>ACCESSORIES</t>
  </si>
  <si>
    <t>€1,224.22</t>
  </si>
  <si>
    <t>EUR</t>
  </si>
  <si>
    <t xml:space="preserve">Next Day </t>
  </si>
  <si>
    <t xml:space="preserve"> Card</t>
  </si>
  <si>
    <t>ORD-100720</t>
  </si>
  <si>
    <t>06.02.2023</t>
  </si>
  <si>
    <t>CUST-5367</t>
  </si>
  <si>
    <t>NINA SMITH</t>
  </si>
  <si>
    <t>Nina.Smith@Gmail.Com</t>
  </si>
  <si>
    <t>+44 718 938 4674</t>
  </si>
  <si>
    <t xml:space="preserve"> Spain</t>
  </si>
  <si>
    <t>Marketplace</t>
  </si>
  <si>
    <t>Shipped</t>
  </si>
  <si>
    <t>SKU-1050</t>
  </si>
  <si>
    <t>Ultrabook  14</t>
  </si>
  <si>
    <t xml:space="preserve">tSorage </t>
  </si>
  <si>
    <t>$828,41</t>
  </si>
  <si>
    <t>USD</t>
  </si>
  <si>
    <t>Standard</t>
  </si>
  <si>
    <t xml:space="preserve">PayPal </t>
  </si>
  <si>
    <t>gift</t>
  </si>
  <si>
    <t>ORD-100128</t>
  </si>
  <si>
    <t>22/05/2023 20:20</t>
  </si>
  <si>
    <t>CUST-5554</t>
  </si>
  <si>
    <t>Igor Brown</t>
  </si>
  <si>
    <t>Igor.Brown@Shop.Io</t>
  </si>
  <si>
    <t xml:space="preserve">+44 623 652 7366 </t>
  </si>
  <si>
    <t>France</t>
  </si>
  <si>
    <t>Mobile App</t>
  </si>
  <si>
    <t xml:space="preserve">Paid </t>
  </si>
  <si>
    <t>SKU-1148</t>
  </si>
  <si>
    <t>Portable HDD 2TB</t>
  </si>
  <si>
    <t>Computers</t>
  </si>
  <si>
    <t>GBP 373.42</t>
  </si>
  <si>
    <t>GBP</t>
  </si>
  <si>
    <t>Express</t>
  </si>
  <si>
    <t>urgent</t>
  </si>
  <si>
    <t>ORD-100513</t>
  </si>
  <si>
    <t>31-Aug-2024</t>
  </si>
  <si>
    <t>CUST-5111</t>
  </si>
  <si>
    <t>Marek Khan</t>
  </si>
  <si>
    <t>Marek.Khan@Company.Co.Uk</t>
  </si>
  <si>
    <t xml:space="preserve"> UK</t>
  </si>
  <si>
    <t xml:space="preserve"> Marketplace</t>
  </si>
  <si>
    <t xml:space="preserve"> Refunded</t>
  </si>
  <si>
    <t>SKU-1139</t>
  </si>
  <si>
    <t>Nvme Ssd 2Tb</t>
  </si>
  <si>
    <t>Smart Hoem</t>
  </si>
  <si>
    <t>GBP 3,494.77</t>
  </si>
  <si>
    <t>Cash</t>
  </si>
  <si>
    <t>delayed</t>
  </si>
  <si>
    <t>ORD-100653</t>
  </si>
  <si>
    <t>2025/04/03</t>
  </si>
  <si>
    <t>CUST-5082</t>
  </si>
  <si>
    <t xml:space="preserve"> Qi Smith</t>
  </si>
  <si>
    <t xml:space="preserve">qi.smith@gmail.com </t>
  </si>
  <si>
    <t>+44  711  862  5723</t>
  </si>
  <si>
    <t>Ireland</t>
  </si>
  <si>
    <t>In-Stroe</t>
  </si>
  <si>
    <t xml:space="preserve">Refunded </t>
  </si>
  <si>
    <t>SKU-1119</t>
  </si>
  <si>
    <t xml:space="preserve">LED Light Strip </t>
  </si>
  <si>
    <t xml:space="preserve"> Audio</t>
  </si>
  <si>
    <t>zł418.27</t>
  </si>
  <si>
    <t>PLN</t>
  </si>
  <si>
    <t>PICKUP</t>
  </si>
  <si>
    <t xml:space="preserve"> Crad</t>
  </si>
  <si>
    <t>ORD-100336</t>
  </si>
  <si>
    <t>2025/09/25</t>
  </si>
  <si>
    <t>CUST-5621</t>
  </si>
  <si>
    <t>Sam Lopez</t>
  </si>
  <si>
    <t xml:space="preserve"> sam.lopez@gmail.com</t>
  </si>
  <si>
    <t>Refunded</t>
  </si>
  <si>
    <t>SKU-1000</t>
  </si>
  <si>
    <t>Router  XA5400</t>
  </si>
  <si>
    <t xml:space="preserve">Audoi </t>
  </si>
  <si>
    <t>EUR 1,436.62</t>
  </si>
  <si>
    <t>ORD-100898</t>
  </si>
  <si>
    <t>Mar 01, 2023 08:59</t>
  </si>
  <si>
    <t>CUST-5377</t>
  </si>
  <si>
    <t>Gabe Garcia</t>
  </si>
  <si>
    <t>gabe.garcia@example.com</t>
  </si>
  <si>
    <t>+1-660-253-6456</t>
  </si>
  <si>
    <t>UK</t>
  </si>
  <si>
    <t xml:space="preserve"> Web</t>
  </si>
  <si>
    <t xml:space="preserve">Cancelled </t>
  </si>
  <si>
    <t>SKU-1019</t>
  </si>
  <si>
    <t xml:space="preserve"> LED Light Strip</t>
  </si>
  <si>
    <t>$2,894.38</t>
  </si>
  <si>
    <t>GIFT CARD</t>
  </si>
  <si>
    <t>ORD-100355</t>
  </si>
  <si>
    <t>2025/06/11</t>
  </si>
  <si>
    <t>CUST-5077</t>
  </si>
  <si>
    <t>Tara Khan</t>
  </si>
  <si>
    <t>tara.khan@company.co.uk</t>
  </si>
  <si>
    <t>+1-257-200-4796</t>
  </si>
  <si>
    <t>SKU-1048</t>
  </si>
  <si>
    <t xml:space="preserve"> External SSD 1BT</t>
  </si>
  <si>
    <t>NETWORKING</t>
  </si>
  <si>
    <t>USD 1,966.67</t>
  </si>
  <si>
    <t>NEXT DAY</t>
  </si>
  <si>
    <t xml:space="preserve"> Bank Transfer</t>
  </si>
  <si>
    <t>VIP</t>
  </si>
  <si>
    <t>ORD-100168</t>
  </si>
  <si>
    <t>45783</t>
  </si>
  <si>
    <t>CUST-5101</t>
  </si>
  <si>
    <t xml:space="preserve"> Omar Khan</t>
  </si>
  <si>
    <t>Omar.Khan@Shop.Io</t>
  </si>
  <si>
    <t>Spain</t>
  </si>
  <si>
    <t>SKU-1022</t>
  </si>
  <si>
    <t xml:space="preserve"> Smart Plug 2-Pack</t>
  </si>
  <si>
    <t>zł1,057.28</t>
  </si>
  <si>
    <t>Pickup</t>
  </si>
  <si>
    <t xml:space="preserve"> Gift Card</t>
  </si>
  <si>
    <t>ORD-100597</t>
  </si>
  <si>
    <t>2025-09-27</t>
  </si>
  <si>
    <t>CUST-5010</t>
  </si>
  <si>
    <t>Hanna Kowalski</t>
  </si>
  <si>
    <t xml:space="preserve">hanna.kowalski@company.co.uk </t>
  </si>
  <si>
    <t xml:space="preserve">4+4 993 638 5784 </t>
  </si>
  <si>
    <t xml:space="preserve"> USA</t>
  </si>
  <si>
    <t xml:space="preserve">Web </t>
  </si>
  <si>
    <t xml:space="preserve"> eRfunded</t>
  </si>
  <si>
    <t>SKU-1069</t>
  </si>
  <si>
    <t>A udio</t>
  </si>
  <si>
    <t>GBP 784.00</t>
  </si>
  <si>
    <t>Pcikup</t>
  </si>
  <si>
    <t xml:space="preserve">Gift Card </t>
  </si>
  <si>
    <t>ORD-100101</t>
  </si>
  <si>
    <t>2025/02/25</t>
  </si>
  <si>
    <t>CUST-5288</t>
  </si>
  <si>
    <t xml:space="preserve"> Lia Taylor</t>
  </si>
  <si>
    <t>Lia.Taylor@Example.Com</t>
  </si>
  <si>
    <t xml:space="preserve"> +1-353-409-3163</t>
  </si>
  <si>
    <t>Usa</t>
  </si>
  <si>
    <t>SKU-1039</t>
  </si>
  <si>
    <t>Monitors</t>
  </si>
  <si>
    <t>$2,775.90</t>
  </si>
  <si>
    <t>PayPal</t>
  </si>
  <si>
    <t>ORD-100977</t>
  </si>
  <si>
    <t>2025-02-28</t>
  </si>
  <si>
    <t>CUST-5072</t>
  </si>
  <si>
    <t>Wiktor Young</t>
  </si>
  <si>
    <t xml:space="preserve">witkor.young@yahoo.com </t>
  </si>
  <si>
    <t>+44 442 197 9030</t>
  </si>
  <si>
    <t>Paid</t>
  </si>
  <si>
    <t>SKU-1024</t>
  </si>
  <si>
    <t>4 K Monitor  32</t>
  </si>
  <si>
    <t>Accessories</t>
  </si>
  <si>
    <t>EUR 4,648.50</t>
  </si>
  <si>
    <t>Next Day</t>
  </si>
  <si>
    <t>ORD-100457</t>
  </si>
  <si>
    <t>09-Jun-2024</t>
  </si>
  <si>
    <t>CUST-5670</t>
  </si>
  <si>
    <t>Ken  Novak</t>
  </si>
  <si>
    <t xml:space="preserve"> ken.novak@company.co.uk</t>
  </si>
  <si>
    <t xml:space="preserve"> +44 434 357 1644</t>
  </si>
  <si>
    <t xml:space="preserve">Spain </t>
  </si>
  <si>
    <t>SKU-1080</t>
  </si>
  <si>
    <t>Bluetooth Speaker</t>
  </si>
  <si>
    <t>£2692,3</t>
  </si>
  <si>
    <t>Bank Transfer</t>
  </si>
  <si>
    <t>ORD-100414</t>
  </si>
  <si>
    <t>04/04/2024 18:09</t>
  </si>
  <si>
    <t>CUST-5056</t>
  </si>
  <si>
    <t xml:space="preserve">Zack Muller </t>
  </si>
  <si>
    <t>Zack.Muller@Shop.Io</t>
  </si>
  <si>
    <t>+1-882-256-7084</t>
  </si>
  <si>
    <t>USA</t>
  </si>
  <si>
    <t>SKU-1130</t>
  </si>
  <si>
    <t xml:space="preserve">Bluetooth Speaker </t>
  </si>
  <si>
    <t>COMPUETRS</t>
  </si>
  <si>
    <t>GBP 1,674.83</t>
  </si>
  <si>
    <t xml:space="preserve">Pickup </t>
  </si>
  <si>
    <t>ORD-100264</t>
  </si>
  <si>
    <t>26-Feb-2024</t>
  </si>
  <si>
    <t>CUST-5652</t>
  </si>
  <si>
    <t xml:space="preserve"> Omar Brown</t>
  </si>
  <si>
    <t>omar.brown@company.co.uk</t>
  </si>
  <si>
    <t>Mobile  App</t>
  </si>
  <si>
    <t>CANCELLED</t>
  </si>
  <si>
    <t>SKU-1076</t>
  </si>
  <si>
    <t>Gaming Laptop 15</t>
  </si>
  <si>
    <t xml:space="preserve">Audio </t>
  </si>
  <si>
    <t>$45,54</t>
  </si>
  <si>
    <t>Gfit Card</t>
  </si>
  <si>
    <t>ORD-100848</t>
  </si>
  <si>
    <t>07/13/2025</t>
  </si>
  <si>
    <t>CUST-5507</t>
  </si>
  <si>
    <t xml:space="preserve"> Vlad Williams</t>
  </si>
  <si>
    <t xml:space="preserve">vlad.williams@gmail.com </t>
  </si>
  <si>
    <t>+1-667-478-2689</t>
  </si>
  <si>
    <t>Web</t>
  </si>
  <si>
    <t>SKU-1108</t>
  </si>
  <si>
    <t>SMART PLUG 2-PACK</t>
  </si>
  <si>
    <t>USD 1,888.10</t>
  </si>
  <si>
    <t>aCrd</t>
  </si>
  <si>
    <t>ORD-100901</t>
  </si>
  <si>
    <t>25.12.2024 22:49</t>
  </si>
  <si>
    <t>CUST-5289</t>
  </si>
  <si>
    <t>PAULA MARTINEZ</t>
  </si>
  <si>
    <t>PAULA.MARTINEZ@EXAMPLE.COM</t>
  </si>
  <si>
    <t xml:space="preserve">+44 395 454 0136 </t>
  </si>
  <si>
    <t xml:space="preserve"> In-Store</t>
  </si>
  <si>
    <t>SKU-1034</t>
  </si>
  <si>
    <t>Wireless  Mouse</t>
  </si>
  <si>
    <t>PLN 763.17</t>
  </si>
  <si>
    <t>EXPRESS</t>
  </si>
  <si>
    <t xml:space="preserve">Bank Tarnsfer </t>
  </si>
  <si>
    <t>ORD-100046</t>
  </si>
  <si>
    <t>08.10.2023</t>
  </si>
  <si>
    <t>CUST-5412</t>
  </si>
  <si>
    <t xml:space="preserve">Ken Kowalczyk </t>
  </si>
  <si>
    <t>ken.kowlaczyk@shop.io</t>
  </si>
  <si>
    <t>+44 769 186 7502</t>
  </si>
  <si>
    <t>SKU-1093</t>
  </si>
  <si>
    <t xml:space="preserve">Gaming Chair </t>
  </si>
  <si>
    <t>Storage</t>
  </si>
  <si>
    <t>$4,347.91</t>
  </si>
  <si>
    <t>Picku p</t>
  </si>
  <si>
    <t>Bank  Transfer</t>
  </si>
  <si>
    <t>ORD-100902</t>
  </si>
  <si>
    <t>11-Jul-2024</t>
  </si>
  <si>
    <t>CUST-5118</t>
  </si>
  <si>
    <t>Daria King</t>
  </si>
  <si>
    <t xml:space="preserve"> daria.king@yahoo.com</t>
  </si>
  <si>
    <t>+1-440-780-7545</t>
  </si>
  <si>
    <t>SKU-1047</t>
  </si>
  <si>
    <t>LED Light Strip</t>
  </si>
  <si>
    <t>$403,47</t>
  </si>
  <si>
    <t>Paypal</t>
  </si>
  <si>
    <t>ORD-100881</t>
  </si>
  <si>
    <t>07/17/2023 20:01</t>
  </si>
  <si>
    <t>CUST-5037</t>
  </si>
  <si>
    <t xml:space="preserve">Omar Young </t>
  </si>
  <si>
    <t>omar.young@company.co.uk</t>
  </si>
  <si>
    <t>+1-468-684-6697</t>
  </si>
  <si>
    <t>Padi</t>
  </si>
  <si>
    <t>SKU-1060</t>
  </si>
  <si>
    <t xml:space="preserve"> Noise Cancelling Headphones</t>
  </si>
  <si>
    <t>AUDIO</t>
  </si>
  <si>
    <t>USD 468.40</t>
  </si>
  <si>
    <t>ORD-101119</t>
  </si>
  <si>
    <t>29-May-2023</t>
  </si>
  <si>
    <t>CUST-5565</t>
  </si>
  <si>
    <t xml:space="preserve"> Yara Rossi</t>
  </si>
  <si>
    <t>yara.rossi@company.co.uk</t>
  </si>
  <si>
    <t xml:space="preserve">+1-605-656-6749 </t>
  </si>
  <si>
    <t>SKU-1103</t>
  </si>
  <si>
    <t>External SSD 1TB</t>
  </si>
  <si>
    <t xml:space="preserve">Storaeg </t>
  </si>
  <si>
    <t>USD 25.92</t>
  </si>
  <si>
    <t>Usd</t>
  </si>
  <si>
    <t>ORD-100432</t>
  </si>
  <si>
    <t>45704</t>
  </si>
  <si>
    <t>CUST-5334</t>
  </si>
  <si>
    <t>Hanna Dubois</t>
  </si>
  <si>
    <t>+1-505-572-3052</t>
  </si>
  <si>
    <t xml:space="preserve">Shipped </t>
  </si>
  <si>
    <t>SKU-1005</t>
  </si>
  <si>
    <t>NVMe SSD 2TB</t>
  </si>
  <si>
    <t>COMPUTERS</t>
  </si>
  <si>
    <t>EUR 1,773.39</t>
  </si>
  <si>
    <t>Card</t>
  </si>
  <si>
    <t>ORD-100454</t>
  </si>
  <si>
    <t>28-Dec-2024</t>
  </si>
  <si>
    <t>CUST-5345</t>
  </si>
  <si>
    <t xml:space="preserve"> Bella Davis</t>
  </si>
  <si>
    <t>Bella.Davis@Yahoo.Com</t>
  </si>
  <si>
    <t>+1-404-983-6248</t>
  </si>
  <si>
    <t>IN-STORE</t>
  </si>
  <si>
    <t>SKU-1035</t>
  </si>
  <si>
    <t>DOCKING STATION PRO</t>
  </si>
  <si>
    <t>£1,547.35</t>
  </si>
  <si>
    <t xml:space="preserve">Standard </t>
  </si>
  <si>
    <t xml:space="preserve">Bank Transfer </t>
  </si>
  <si>
    <t>ORD-101063</t>
  </si>
  <si>
    <t>28-Aug-2025</t>
  </si>
  <si>
    <t>CUST-5678</t>
  </si>
  <si>
    <t>Yara Walker</t>
  </si>
  <si>
    <t>+44 583 359 1842</t>
  </si>
  <si>
    <t xml:space="preserve"> Shipped</t>
  </si>
  <si>
    <t>SKU-1012</t>
  </si>
  <si>
    <t xml:space="preserve">Wireless Mouse </t>
  </si>
  <si>
    <t xml:space="preserve"> Accessories</t>
  </si>
  <si>
    <t>USD 5,283.39</t>
  </si>
  <si>
    <t>ORD-100466</t>
  </si>
  <si>
    <t>03/04/2024 17:51</t>
  </si>
  <si>
    <t>CUST-5407</t>
  </si>
  <si>
    <t>Omar Taylor</t>
  </si>
  <si>
    <t xml:space="preserve">omar.taylor@company.co.uk </t>
  </si>
  <si>
    <t>+44 914 229 6422</t>
  </si>
  <si>
    <t xml:space="preserve"> Mobile App</t>
  </si>
  <si>
    <t>Pendnig</t>
  </si>
  <si>
    <t>SKU-1077</t>
  </si>
  <si>
    <t xml:space="preserve"> External SSD 1TB</t>
  </si>
  <si>
    <t>zł9.56</t>
  </si>
  <si>
    <t>ORD-100009</t>
  </si>
  <si>
    <t>30-Aug-2023</t>
  </si>
  <si>
    <t>CUST-5599</t>
  </si>
  <si>
    <t>Marek Smith</t>
  </si>
  <si>
    <t>Marek.Smith@Outloo.kCom</t>
  </si>
  <si>
    <t xml:space="preserve">Pending </t>
  </si>
  <si>
    <t>SKU-1104</t>
  </si>
  <si>
    <t xml:space="preserve"> Docking Station Pro</t>
  </si>
  <si>
    <t>£718.45</t>
  </si>
  <si>
    <t>NextD ay</t>
  </si>
  <si>
    <t>ORD-100571</t>
  </si>
  <si>
    <t>Sep 27, 2025</t>
  </si>
  <si>
    <t>CUST-5287</t>
  </si>
  <si>
    <t>PAULA NOVAK</t>
  </si>
  <si>
    <t xml:space="preserve">paula.novak@gmail.com </t>
  </si>
  <si>
    <t>07535 426 253</t>
  </si>
  <si>
    <t>USD 691.78</t>
  </si>
  <si>
    <t xml:space="preserve"> PayPal</t>
  </si>
  <si>
    <t>ORD-100534</t>
  </si>
  <si>
    <t>01/24/2025</t>
  </si>
  <si>
    <t>CUST-5569</t>
  </si>
  <si>
    <t>ETHAN KOWALSKI</t>
  </si>
  <si>
    <t xml:space="preserve"> ethan.kowalski@example.com</t>
  </si>
  <si>
    <t xml:space="preserve"> +1-736-338-1390</t>
  </si>
  <si>
    <t xml:space="preserve"> Cancelled</t>
  </si>
  <si>
    <t>SKU-1089</t>
  </si>
  <si>
    <t xml:space="preserve">Portable HDD 2TB </t>
  </si>
  <si>
    <t>Smart Home</t>
  </si>
  <si>
    <t>$673,86</t>
  </si>
  <si>
    <t>Epxress</t>
  </si>
  <si>
    <t>ORD-100113</t>
  </si>
  <si>
    <t>Jan 12, 2023 06:29</t>
  </si>
  <si>
    <t>CUST-5136</t>
  </si>
  <si>
    <t>Adam Kowalczyk</t>
  </si>
  <si>
    <t>Adam.Kowalczyk@Outlook.Com</t>
  </si>
  <si>
    <t>+1-368-779-5228</t>
  </si>
  <si>
    <t xml:space="preserve"> Italy</t>
  </si>
  <si>
    <t>PENDING</t>
  </si>
  <si>
    <t>SKU-1070</t>
  </si>
  <si>
    <t>Ultraobok 14</t>
  </si>
  <si>
    <t>Audio</t>
  </si>
  <si>
    <t>GBP 1,006.25</t>
  </si>
  <si>
    <t xml:space="preserve"> Pickup</t>
  </si>
  <si>
    <t>ORD-100685</t>
  </si>
  <si>
    <t>07/04/2025</t>
  </si>
  <si>
    <t>CUST-5187</t>
  </si>
  <si>
    <t>Ethan Kowalski</t>
  </si>
  <si>
    <t>Ethan.Kowalski@Example.Com</t>
  </si>
  <si>
    <t xml:space="preserve">+44 167 297 1510 </t>
  </si>
  <si>
    <t>Franc e</t>
  </si>
  <si>
    <t>EUR 1,372.09</t>
  </si>
  <si>
    <t>iPckup</t>
  </si>
  <si>
    <t xml:space="preserve"> Cash</t>
  </si>
  <si>
    <t>ORD-100526</t>
  </si>
  <si>
    <t>May 08, 2025</t>
  </si>
  <si>
    <t>CUST-5313</t>
  </si>
  <si>
    <t>ACRLOS DUBOIS</t>
  </si>
  <si>
    <t xml:space="preserve">carlos.dubois@gmail.com </t>
  </si>
  <si>
    <t xml:space="preserve"> +44 129 997 2553</t>
  </si>
  <si>
    <t>ITALY</t>
  </si>
  <si>
    <t xml:space="preserve"> Mobiel App</t>
  </si>
  <si>
    <t>Cancellde</t>
  </si>
  <si>
    <t>SKU-1115</t>
  </si>
  <si>
    <t xml:space="preserve">27in Monitor </t>
  </si>
  <si>
    <t>GBP 1,887.10</t>
  </si>
  <si>
    <t>CARD</t>
  </si>
  <si>
    <t>ORD-101011</t>
  </si>
  <si>
    <t>07/19/2024</t>
  </si>
  <si>
    <t>CUST-5119</t>
  </si>
  <si>
    <t>Ehtan Taylor</t>
  </si>
  <si>
    <t xml:space="preserve"> ethan.taylor@outlook.com</t>
  </si>
  <si>
    <t xml:space="preserve">UK </t>
  </si>
  <si>
    <t xml:space="preserve">Mobile App </t>
  </si>
  <si>
    <t>Pending</t>
  </si>
  <si>
    <t>SKU-1031</t>
  </si>
  <si>
    <t>USB-C Hub 7in1</t>
  </si>
  <si>
    <t>Sotrage</t>
  </si>
  <si>
    <t>USD 1,663.84</t>
  </si>
  <si>
    <t>ORD-101147</t>
  </si>
  <si>
    <t>01/01/2025</t>
  </si>
  <si>
    <t>CUST-5515</t>
  </si>
  <si>
    <t>Sam Young</t>
  </si>
  <si>
    <t xml:space="preserve">sam.young@yahoo.com </t>
  </si>
  <si>
    <t>SKU-1061</t>
  </si>
  <si>
    <t>27INM ONITOR</t>
  </si>
  <si>
    <t>zł4,133.34</t>
  </si>
  <si>
    <t>STANDARD</t>
  </si>
  <si>
    <t>ORD-100587</t>
  </si>
  <si>
    <t>45753 11:38</t>
  </si>
  <si>
    <t>CUST-5125</t>
  </si>
  <si>
    <t>Lia Davis</t>
  </si>
  <si>
    <t>LIA.DAVIS@YAHOO.COM</t>
  </si>
  <si>
    <t>+44 272 275 2968</t>
  </si>
  <si>
    <t xml:space="preserve">France </t>
  </si>
  <si>
    <t>SKU-1129</t>
  </si>
  <si>
    <t>Microphone USB</t>
  </si>
  <si>
    <t>zł7,064.26</t>
  </si>
  <si>
    <t>ORD-100141</t>
  </si>
  <si>
    <t>2025/03/26</t>
  </si>
  <si>
    <t>CUST-5204</t>
  </si>
  <si>
    <t>Zack Brown</t>
  </si>
  <si>
    <t>ZACK.BROWN@YAHOO.COM</t>
  </si>
  <si>
    <t xml:space="preserve"> +44 582 74 15155</t>
  </si>
  <si>
    <t>GBP 1,492.86</t>
  </si>
  <si>
    <t xml:space="preserve">Card </t>
  </si>
  <si>
    <t>ORD-100835</t>
  </si>
  <si>
    <t>45092</t>
  </si>
  <si>
    <t>CUST-5504</t>
  </si>
  <si>
    <t xml:space="preserve">Qi Nowak </t>
  </si>
  <si>
    <t xml:space="preserve">qi.nowak@yahoo.com </t>
  </si>
  <si>
    <t xml:space="preserve"> +44 483 783 2104</t>
  </si>
  <si>
    <t>SKU-1105</t>
  </si>
  <si>
    <t>Webcam 1080p</t>
  </si>
  <si>
    <t>EUR 8,282.75</t>
  </si>
  <si>
    <t xml:space="preserve">Cash </t>
  </si>
  <si>
    <t>ORD-100350</t>
  </si>
  <si>
    <t>25-Nov-2023</t>
  </si>
  <si>
    <t>CUST-5385</t>
  </si>
  <si>
    <t xml:space="preserve"> Sam Rodriguez</t>
  </si>
  <si>
    <t>SAM.RODRIGUEZ@SHOP.IO</t>
  </si>
  <si>
    <t xml:space="preserve">USA </t>
  </si>
  <si>
    <t>SKU-1004</t>
  </si>
  <si>
    <t xml:space="preserve">Gaming Laptop 15 </t>
  </si>
  <si>
    <t>USD 2,716.52</t>
  </si>
  <si>
    <t>PAYPAL</t>
  </si>
  <si>
    <t>ORD-100758</t>
  </si>
  <si>
    <t>45116</t>
  </si>
  <si>
    <t>CUST-5085</t>
  </si>
  <si>
    <t xml:space="preserve"> Xenia Lopze</t>
  </si>
  <si>
    <t xml:space="preserve"> xenia.lopez@yahoo.com</t>
  </si>
  <si>
    <t xml:space="preserve">+44 330 641 1288 </t>
  </si>
  <si>
    <t xml:space="preserve">Germany </t>
  </si>
  <si>
    <t>MOBILE APP</t>
  </si>
  <si>
    <t>SKU-1097</t>
  </si>
  <si>
    <t xml:space="preserve">Smartphone Case </t>
  </si>
  <si>
    <t xml:space="preserve"> Netwroking</t>
  </si>
  <si>
    <t>PLN 1,535.25</t>
  </si>
  <si>
    <t>ORD-100894</t>
  </si>
  <si>
    <t>19.11.2023</t>
  </si>
  <si>
    <t>CUST-5326</t>
  </si>
  <si>
    <t>ADAM IWLLIAMS</t>
  </si>
  <si>
    <t>adam.wililams@shop.io</t>
  </si>
  <si>
    <t xml:space="preserve"> +44 354 661 1215</t>
  </si>
  <si>
    <t>SKU-1064</t>
  </si>
  <si>
    <t xml:space="preserve">Docking Station Pro </t>
  </si>
  <si>
    <t>zł1,508.64</t>
  </si>
  <si>
    <t>ORD-100800</t>
  </si>
  <si>
    <t>2024-06-25</t>
  </si>
  <si>
    <t>CUST-5595</t>
  </si>
  <si>
    <t xml:space="preserve">Wiktor Taylo r </t>
  </si>
  <si>
    <t xml:space="preserve"> wiktor.tyalor@yahoo.com</t>
  </si>
  <si>
    <t>Markteplace</t>
  </si>
  <si>
    <t>Cancelled</t>
  </si>
  <si>
    <t>SKU-1123</t>
  </si>
  <si>
    <t xml:space="preserve">Computesr </t>
  </si>
  <si>
    <t>GBP 3,652.46</t>
  </si>
  <si>
    <t xml:space="preserve">GBP </t>
  </si>
  <si>
    <t>Next  Day</t>
  </si>
  <si>
    <t>ORD-100929</t>
  </si>
  <si>
    <t>45154</t>
  </si>
  <si>
    <t>CUST-5459</t>
  </si>
  <si>
    <t>Daria Dubois</t>
  </si>
  <si>
    <t>SKU-1067</t>
  </si>
  <si>
    <t>Docking  Station  Pro</t>
  </si>
  <si>
    <t xml:space="preserve"> Netowrking</t>
  </si>
  <si>
    <t>EUR 2,013.13</t>
  </si>
  <si>
    <t>ORD-100374</t>
  </si>
  <si>
    <t>28.03.2024 03:00</t>
  </si>
  <si>
    <t>CUST-5337</t>
  </si>
  <si>
    <t>Ethan Walker</t>
  </si>
  <si>
    <t>Ethan.Walker@Company.Co.Uk</t>
  </si>
  <si>
    <t xml:space="preserve">08034 271 186 </t>
  </si>
  <si>
    <t>PAID</t>
  </si>
  <si>
    <t>SKU-1074</t>
  </si>
  <si>
    <t>Ultrabook 14</t>
  </si>
  <si>
    <t xml:space="preserve"> Monitors</t>
  </si>
  <si>
    <t>zł326,28</t>
  </si>
  <si>
    <t xml:space="preserve"> Next Day</t>
  </si>
  <si>
    <t>ORD-100252</t>
  </si>
  <si>
    <t>31/03/2023 12:34</t>
  </si>
  <si>
    <t>CUST-5588</t>
  </si>
  <si>
    <t>Omar Nowak</t>
  </si>
  <si>
    <t>Omar.Nowak@Yahoo.Com</t>
  </si>
  <si>
    <t>+44 569 628 2971</t>
  </si>
  <si>
    <t>SHIPPED</t>
  </si>
  <si>
    <t>SKU-1051</t>
  </si>
  <si>
    <t>Networking</t>
  </si>
  <si>
    <t>zł2,891.80</t>
  </si>
  <si>
    <t>ORD-101088</t>
  </si>
  <si>
    <t>Jan 18, 2023</t>
  </si>
  <si>
    <t>CUST-5102</t>
  </si>
  <si>
    <t>VLAD WALKER</t>
  </si>
  <si>
    <t>VLAD.WALKER@YAHOO.COM</t>
  </si>
  <si>
    <t xml:space="preserve">+1-269-860-3858 </t>
  </si>
  <si>
    <t xml:space="preserve"> Pending</t>
  </si>
  <si>
    <t>SKU-1053</t>
  </si>
  <si>
    <t>Noise Cancelling Headphones</t>
  </si>
  <si>
    <t>USD 3,219.89</t>
  </si>
  <si>
    <t xml:space="preserve"> Standard</t>
  </si>
  <si>
    <t>BANK TRANSFER</t>
  </si>
  <si>
    <t>ORD-100172</t>
  </si>
  <si>
    <t>20.03.2024</t>
  </si>
  <si>
    <t>CUST-5039</t>
  </si>
  <si>
    <t>Igor Dubois</t>
  </si>
  <si>
    <t xml:space="preserve">igor.dubois@company.co.uk </t>
  </si>
  <si>
    <t>+1-560-444-7313</t>
  </si>
  <si>
    <t>SKU-1101</t>
  </si>
  <si>
    <t>EXTERNAL SSD 1TB</t>
  </si>
  <si>
    <t>€2,700.67</t>
  </si>
  <si>
    <t>ORD-100572</t>
  </si>
  <si>
    <t>07-Jan-2025 20:53</t>
  </si>
  <si>
    <t>CUST-5506</t>
  </si>
  <si>
    <t>Rita Kowalczyk</t>
  </si>
  <si>
    <t>Rita.Kowalczyk@Example.Com</t>
  </si>
  <si>
    <t>EUR 785.89</t>
  </si>
  <si>
    <t>ORD-100980</t>
  </si>
  <si>
    <t>2024-03-14</t>
  </si>
  <si>
    <t>CUST-5629</t>
  </si>
  <si>
    <t>IQ JOHNSON</t>
  </si>
  <si>
    <t xml:space="preserve"> qi.johnson@company.co.uk</t>
  </si>
  <si>
    <t>FRANCE</t>
  </si>
  <si>
    <t>£1281,77</t>
  </si>
  <si>
    <t>ORD-101127</t>
  </si>
  <si>
    <t>05/15/2024</t>
  </si>
  <si>
    <t>CUST-5228</t>
  </si>
  <si>
    <t xml:space="preserve"> Tara Muller</t>
  </si>
  <si>
    <t>Tara.Muller@Example.Com</t>
  </si>
  <si>
    <t xml:space="preserve">+44 646 773 2015 </t>
  </si>
  <si>
    <t>SKU-1030</t>
  </si>
  <si>
    <t>EUR 1,044.61</t>
  </si>
  <si>
    <t>ORD-100488</t>
  </si>
  <si>
    <t>09/08/2025</t>
  </si>
  <si>
    <t>CUST-5632</t>
  </si>
  <si>
    <t>Omar Rodriguez</t>
  </si>
  <si>
    <t xml:space="preserve">omar.ordriguez@gmail.com </t>
  </si>
  <si>
    <t>06488 432 200</t>
  </si>
  <si>
    <t xml:space="preserve">Poland </t>
  </si>
  <si>
    <t>SKU-1028</t>
  </si>
  <si>
    <t>Microphoen USB</t>
  </si>
  <si>
    <t>$3171,81</t>
  </si>
  <si>
    <t>Standar d</t>
  </si>
  <si>
    <t>ORD-100691</t>
  </si>
  <si>
    <t>2023-06-01</t>
  </si>
  <si>
    <t>Piad</t>
  </si>
  <si>
    <t>€383.45</t>
  </si>
  <si>
    <t xml:space="preserve">Express </t>
  </si>
  <si>
    <t xml:space="preserve"> PayaPl</t>
  </si>
  <si>
    <t>ORD-100578</t>
  </si>
  <si>
    <t>2024/01/05</t>
  </si>
  <si>
    <t>CUST-5692</t>
  </si>
  <si>
    <t xml:space="preserve">Bella Johnson </t>
  </si>
  <si>
    <t xml:space="preserve">bella.johnson@company.co.uk </t>
  </si>
  <si>
    <t xml:space="preserve">+44 975 742 8815 </t>
  </si>
  <si>
    <t>SKU-1032</t>
  </si>
  <si>
    <t xml:space="preserve">Computers </t>
  </si>
  <si>
    <t xml:space="preserve">NextD ay </t>
  </si>
  <si>
    <t>ORD-100716</t>
  </si>
  <si>
    <t>25-Sep-2025</t>
  </si>
  <si>
    <t>CUST-5303</t>
  </si>
  <si>
    <t>Yara Kowalski</t>
  </si>
  <si>
    <t xml:space="preserve"> yara.kowalski@company.co.uk</t>
  </si>
  <si>
    <t>03094 490 988</t>
  </si>
  <si>
    <t>Shpiped</t>
  </si>
  <si>
    <t>€1154,69</t>
  </si>
  <si>
    <t>ORD-100926</t>
  </si>
  <si>
    <t>10/04/2023 02:44</t>
  </si>
  <si>
    <t>CUST-5213</t>
  </si>
  <si>
    <t>Daria Nowak</t>
  </si>
  <si>
    <t>daria.nowak@gmail.com</t>
  </si>
  <si>
    <t>+1-636-524-8798</t>
  </si>
  <si>
    <t>Marketpalce</t>
  </si>
  <si>
    <t>SKU-1055</t>
  </si>
  <si>
    <t xml:space="preserve">Noise Cancelling Headphones </t>
  </si>
  <si>
    <t>EUR 1,309.80</t>
  </si>
  <si>
    <t>ORD-100216</t>
  </si>
  <si>
    <t>44938 22:40</t>
  </si>
  <si>
    <t>CUST-5316</t>
  </si>
  <si>
    <t xml:space="preserve"> Qi Taylor</t>
  </si>
  <si>
    <t>QI.TAYLOR@EXAMPLE.COM</t>
  </si>
  <si>
    <t>+1-899-555-3305</t>
  </si>
  <si>
    <t>Germany</t>
  </si>
  <si>
    <t>SKU-1131</t>
  </si>
  <si>
    <t xml:space="preserve"> cAcessories</t>
  </si>
  <si>
    <t>USD 880.77</t>
  </si>
  <si>
    <t xml:space="preserve">USD </t>
  </si>
  <si>
    <t>ORD-100420</t>
  </si>
  <si>
    <t>Jun 17, 2024</t>
  </si>
  <si>
    <t>CUST-5108</t>
  </si>
  <si>
    <t>Gabe Johnson</t>
  </si>
  <si>
    <t>gabe.johnson@yahoo.com</t>
  </si>
  <si>
    <t>07698 742 663</t>
  </si>
  <si>
    <t>SKU-1040</t>
  </si>
  <si>
    <t>SMARTPHONE CAES</t>
  </si>
  <si>
    <t>USD 1,669.75</t>
  </si>
  <si>
    <t>ORD-100467</t>
  </si>
  <si>
    <t>11/09/2024 08:19</t>
  </si>
  <si>
    <t>CUST-5150</t>
  </si>
  <si>
    <t>Gabe Davis</t>
  </si>
  <si>
    <t xml:space="preserve">gabe.davis@yahoo.com </t>
  </si>
  <si>
    <t>+1-410-237-3050</t>
  </si>
  <si>
    <t>GBP 3,438.17</t>
  </si>
  <si>
    <t>ORD-100769</t>
  </si>
  <si>
    <t>15.05.2024</t>
  </si>
  <si>
    <t>CUST-5468</t>
  </si>
  <si>
    <t>Sam Tyalor</t>
  </si>
  <si>
    <t xml:space="preserve"> sam.taylor@example.com</t>
  </si>
  <si>
    <t>+1-554-671-3714</t>
  </si>
  <si>
    <t>SKU-1007</t>
  </si>
  <si>
    <t>Led Light Strip</t>
  </si>
  <si>
    <t xml:space="preserve">Networking </t>
  </si>
  <si>
    <t>USD 514.92</t>
  </si>
  <si>
    <t>ORD-100054</t>
  </si>
  <si>
    <t>2023/05/31</t>
  </si>
  <si>
    <t>In-tSore</t>
  </si>
  <si>
    <t>Cancleled</t>
  </si>
  <si>
    <t>SKU-1137</t>
  </si>
  <si>
    <t>Mechanical  Keyboard</t>
  </si>
  <si>
    <t>GBP 1,472.35</t>
  </si>
  <si>
    <t>ORD-101046</t>
  </si>
  <si>
    <t>2024/02/07 00:26</t>
  </si>
  <si>
    <t>CUST-5481</t>
  </si>
  <si>
    <t>Gabe Kowalski</t>
  </si>
  <si>
    <t>gabe.kowalski@shop.io</t>
  </si>
  <si>
    <t>+44 315 732 9340</t>
  </si>
  <si>
    <t>SKU-1037</t>
  </si>
  <si>
    <t>27in  Monitor</t>
  </si>
  <si>
    <t>€3,419.90</t>
  </si>
  <si>
    <t>ORD-100793</t>
  </si>
  <si>
    <t>2025-06-27 22:54</t>
  </si>
  <si>
    <t>CUST-5234</t>
  </si>
  <si>
    <t>IGOR YOUNG</t>
  </si>
  <si>
    <t xml:space="preserve">igor.young@shop.io </t>
  </si>
  <si>
    <t>+44 544 415 2143</t>
  </si>
  <si>
    <t>SKU-1134</t>
  </si>
  <si>
    <t>Microphone  USB</t>
  </si>
  <si>
    <t>£1,603.18</t>
  </si>
  <si>
    <t xml:space="preserve"> Express</t>
  </si>
  <si>
    <t>ORD-100305</t>
  </si>
  <si>
    <t>45334 17:06</t>
  </si>
  <si>
    <t>CUST-5432</t>
  </si>
  <si>
    <t>Jade Garcia</t>
  </si>
  <si>
    <t xml:space="preserve"> jade.garcia@shop.io</t>
  </si>
  <si>
    <t xml:space="preserve"> +44 400 265 9097</t>
  </si>
  <si>
    <t>Italy</t>
  </si>
  <si>
    <t xml:space="preserve">eWb </t>
  </si>
  <si>
    <t>SKU-1095</t>
  </si>
  <si>
    <t xml:space="preserve"> Networking</t>
  </si>
  <si>
    <t>EUR 1,283.11</t>
  </si>
  <si>
    <t>Csah</t>
  </si>
  <si>
    <t>ORD-100968</t>
  </si>
  <si>
    <t>2024/04/29</t>
  </si>
  <si>
    <t>CUST-5012</t>
  </si>
  <si>
    <t>MAREK DAVIS</t>
  </si>
  <si>
    <t>marek.davis@outlook.com</t>
  </si>
  <si>
    <t>+1-778-7095-912</t>
  </si>
  <si>
    <t xml:space="preserve">Marketplace </t>
  </si>
  <si>
    <t>PLN 453.59</t>
  </si>
  <si>
    <t>P ickup</t>
  </si>
  <si>
    <t>ORD-101114</t>
  </si>
  <si>
    <t>25.05.2025 07:15</t>
  </si>
  <si>
    <t>CUST-5463</t>
  </si>
  <si>
    <t xml:space="preserve">Daria Young </t>
  </si>
  <si>
    <t>daria.youn@gyahoo.com</t>
  </si>
  <si>
    <t>+1-216-978-3643</t>
  </si>
  <si>
    <t>SKU-1026</t>
  </si>
  <si>
    <t xml:space="preserve">Portable DHD 2TB </t>
  </si>
  <si>
    <t>€313.45</t>
  </si>
  <si>
    <t>ORD-100845</t>
  </si>
  <si>
    <t>45650</t>
  </si>
  <si>
    <t>USD 1,989.76</t>
  </si>
  <si>
    <t>ORD-100422</t>
  </si>
  <si>
    <t>29.06.2023</t>
  </si>
  <si>
    <t>CUST-5555</t>
  </si>
  <si>
    <t>Zakc  Kowalczyk</t>
  </si>
  <si>
    <t>SKU-1117</t>
  </si>
  <si>
    <t>STORAGE</t>
  </si>
  <si>
    <t>€951,33</t>
  </si>
  <si>
    <t>ORD-100585</t>
  </si>
  <si>
    <t>2024/09/27 10:48</t>
  </si>
  <si>
    <t>CUST-5443</t>
  </si>
  <si>
    <t>Paula Khan</t>
  </si>
  <si>
    <t>paula.khan@yahoo.com</t>
  </si>
  <si>
    <t xml:space="preserve">+1-940-852-5350 </t>
  </si>
  <si>
    <t>SKU-1081</t>
  </si>
  <si>
    <t xml:space="preserve">USB-C Hub 7in1 </t>
  </si>
  <si>
    <t>EUR 783.99</t>
  </si>
  <si>
    <t>ORD-100562</t>
  </si>
  <si>
    <t>24-Jan-2025</t>
  </si>
  <si>
    <t>CUST-5539</t>
  </si>
  <si>
    <t>Carlos Davis</t>
  </si>
  <si>
    <t xml:space="preserve">carlos.davis@outlook.com </t>
  </si>
  <si>
    <t>+44  562  718  2508</t>
  </si>
  <si>
    <t>IRELAND</t>
  </si>
  <si>
    <t>SKU-1054</t>
  </si>
  <si>
    <t>zł100.41</t>
  </si>
  <si>
    <t>ORD-100447</t>
  </si>
  <si>
    <t>23.01.2023</t>
  </si>
  <si>
    <t>CUST-5139</t>
  </si>
  <si>
    <t>Sam Novak</t>
  </si>
  <si>
    <t>sam.novak@outlook.com</t>
  </si>
  <si>
    <t>05024  155  527</t>
  </si>
  <si>
    <t>SKU-1044</t>
  </si>
  <si>
    <t>COPMUTERS</t>
  </si>
  <si>
    <t>USD 3,571.82</t>
  </si>
  <si>
    <t>ORD-100109</t>
  </si>
  <si>
    <t>2025-06-08</t>
  </si>
  <si>
    <t>CUST-5353</t>
  </si>
  <si>
    <t>Gabe Nowak</t>
  </si>
  <si>
    <t>gabe.nowak@company.co.uk</t>
  </si>
  <si>
    <t>01162 776 241</t>
  </si>
  <si>
    <t>POLAND</t>
  </si>
  <si>
    <t xml:space="preserve"> Pedning</t>
  </si>
  <si>
    <t>SKU-1018</t>
  </si>
  <si>
    <t>Smart Plug 2-Pack</t>
  </si>
  <si>
    <t xml:space="preserve"> Smart Home</t>
  </si>
  <si>
    <t>zł2,316.50</t>
  </si>
  <si>
    <t>ORD-100040</t>
  </si>
  <si>
    <t>2023-07-24</t>
  </si>
  <si>
    <t>SKU-1096</t>
  </si>
  <si>
    <t>27In Monitor</t>
  </si>
  <si>
    <t xml:space="preserve">mSart Home </t>
  </si>
  <si>
    <t>EUR 217.72</t>
  </si>
  <si>
    <t>ORD-101098</t>
  </si>
  <si>
    <t>2024-05-08</t>
  </si>
  <si>
    <t>CUST-5406</t>
  </si>
  <si>
    <t>MAREK KOWALCZYK</t>
  </si>
  <si>
    <t>Marek.Koawlczyk@Outlook.Com</t>
  </si>
  <si>
    <t>+446 77 131 6962</t>
  </si>
  <si>
    <t>SKU-1107</t>
  </si>
  <si>
    <t xml:space="preserve"> xEternal SSD 1TB</t>
  </si>
  <si>
    <t>EUR 4,581.21</t>
  </si>
  <si>
    <t>ORD-100489</t>
  </si>
  <si>
    <t>14-Jul-2024</t>
  </si>
  <si>
    <t>CUST-5472</t>
  </si>
  <si>
    <t>ETHAN KING</t>
  </si>
  <si>
    <t>ethan.king@company.co.uk</t>
  </si>
  <si>
    <t xml:space="preserve"> 06471 730 487</t>
  </si>
  <si>
    <t>Itlay</t>
  </si>
  <si>
    <t>CANCELELD</t>
  </si>
  <si>
    <t>SKU-1112</t>
  </si>
  <si>
    <t>Wireless Mouse</t>
  </si>
  <si>
    <t xml:space="preserve">Monitors </t>
  </si>
  <si>
    <t>GBP 1,214.87</t>
  </si>
  <si>
    <t>ORD-100997</t>
  </si>
  <si>
    <t>08-May-2024</t>
  </si>
  <si>
    <t>CUST-5106</t>
  </si>
  <si>
    <t>JADE KOWALCZYK</t>
  </si>
  <si>
    <t xml:space="preserve"> jade.kowalczyk@example.com</t>
  </si>
  <si>
    <t>+1-394-365-8783</t>
  </si>
  <si>
    <t xml:space="preserve"> Poland</t>
  </si>
  <si>
    <t>WEB</t>
  </si>
  <si>
    <t>ORD-100407</t>
  </si>
  <si>
    <t>45125</t>
  </si>
  <si>
    <t>CUST-5319</t>
  </si>
  <si>
    <t>Vlad Dubois</t>
  </si>
  <si>
    <t>vlad.dubois@yahoo.com</t>
  </si>
  <si>
    <t>05630 844 984</t>
  </si>
  <si>
    <t xml:space="preserve">Italy </t>
  </si>
  <si>
    <t>ORD-101133</t>
  </si>
  <si>
    <t>2025/09/26 10:21</t>
  </si>
  <si>
    <t>CUST-5027</t>
  </si>
  <si>
    <t>Daria  Kowalski</t>
  </si>
  <si>
    <t>daria.kowalski@outlook.com</t>
  </si>
  <si>
    <t>00052 787 001</t>
  </si>
  <si>
    <t>SKU-1106</t>
  </si>
  <si>
    <t>zł1,715.53</t>
  </si>
  <si>
    <t xml:space="preserve">Bank Trasnfer </t>
  </si>
  <si>
    <t>ORD-100472</t>
  </si>
  <si>
    <t>Aug 03, 2024</t>
  </si>
  <si>
    <t>CUST-5283</t>
  </si>
  <si>
    <t>Zack Johnson</t>
  </si>
  <si>
    <t>zack.johnson@example.com</t>
  </si>
  <si>
    <t>+44 472 91 68833</t>
  </si>
  <si>
    <t xml:space="preserve"> Ireland</t>
  </si>
  <si>
    <t xml:space="preserve">In-Store </t>
  </si>
  <si>
    <t>SKU-1133</t>
  </si>
  <si>
    <t>Smartphone Case</t>
  </si>
  <si>
    <t>Smart  Home</t>
  </si>
  <si>
    <t>PLN 7,952.88</t>
  </si>
  <si>
    <t>ORD-101065</t>
  </si>
  <si>
    <t>Dec 15, 2023</t>
  </si>
  <si>
    <t>EUR 607.12</t>
  </si>
  <si>
    <t>ORD-100810</t>
  </si>
  <si>
    <t>03/10/2024</t>
  </si>
  <si>
    <t>CUST-5483</t>
  </si>
  <si>
    <t>Gabe King</t>
  </si>
  <si>
    <t>+1-470-785-6667</t>
  </si>
  <si>
    <t>SKU-1014</t>
  </si>
  <si>
    <t>4K MONITOR 32</t>
  </si>
  <si>
    <t>£2,272.24</t>
  </si>
  <si>
    <t>Gift Card</t>
  </si>
  <si>
    <t>ORD-100594</t>
  </si>
  <si>
    <t>2025-03-13 22:52</t>
  </si>
  <si>
    <t>CUST-5317</t>
  </si>
  <si>
    <t>Marek Garcia</t>
  </si>
  <si>
    <t>marek.garcia@shop.io</t>
  </si>
  <si>
    <t>SKU-1120</t>
  </si>
  <si>
    <t>WIRELESS MOUSE</t>
  </si>
  <si>
    <t xml:space="preserve"> Computers</t>
  </si>
  <si>
    <t>zł1,258.22</t>
  </si>
  <si>
    <t>ORD-100851</t>
  </si>
  <si>
    <t>2023/05/21</t>
  </si>
  <si>
    <t>CUST-5679</t>
  </si>
  <si>
    <t xml:space="preserve">Lia Taylor </t>
  </si>
  <si>
    <t xml:space="preserve">lia.taylor@shop.io </t>
  </si>
  <si>
    <t>05486 657 615</t>
  </si>
  <si>
    <t>Frnace</t>
  </si>
  <si>
    <t>PIAD</t>
  </si>
  <si>
    <t>EUR 241.20</t>
  </si>
  <si>
    <t xml:space="preserve">Bank Tranfser </t>
  </si>
  <si>
    <t>ORD-100712</t>
  </si>
  <si>
    <t>2023/06/17</t>
  </si>
  <si>
    <t>CUST-5190</t>
  </si>
  <si>
    <t xml:space="preserve">Daria Johnson </t>
  </si>
  <si>
    <t>daria.johnson@shop.io</t>
  </si>
  <si>
    <t>08698 629 534</t>
  </si>
  <si>
    <t>£352.66</t>
  </si>
  <si>
    <t>ORD-100179</t>
  </si>
  <si>
    <t>05-Aug-2025</t>
  </si>
  <si>
    <t>CUST-5458</t>
  </si>
  <si>
    <t>Rita Davis</t>
  </si>
  <si>
    <t>rita.davis@yahoo.com</t>
  </si>
  <si>
    <t xml:space="preserve">09977 414 309 </t>
  </si>
  <si>
    <t xml:space="preserve">In-tSore </t>
  </si>
  <si>
    <t>SKU-1086</t>
  </si>
  <si>
    <t>USD 1,786.09</t>
  </si>
  <si>
    <t>ORD-100478</t>
  </si>
  <si>
    <t>15-Aug-2023</t>
  </si>
  <si>
    <t>CUST-5155</t>
  </si>
  <si>
    <t>Uma Walker</t>
  </si>
  <si>
    <t>UMA.WALKER@YAHOO.COM</t>
  </si>
  <si>
    <t>+44 425 556 7902</t>
  </si>
  <si>
    <t>GBP 365.68</t>
  </si>
  <si>
    <t>ORD-100204</t>
  </si>
  <si>
    <t>2023/01/29</t>
  </si>
  <si>
    <t>PLN 1,995.97</t>
  </si>
  <si>
    <t>ORD-100705</t>
  </si>
  <si>
    <t>45527</t>
  </si>
  <si>
    <t>CUST-5476</t>
  </si>
  <si>
    <t xml:space="preserve"> Wiktor Lee</t>
  </si>
  <si>
    <t>wiktor.lee@outlook.com</t>
  </si>
  <si>
    <t xml:space="preserve">+1-334-533-7659 </t>
  </si>
  <si>
    <t xml:space="preserve"> Paid</t>
  </si>
  <si>
    <t>SKU-1016</t>
  </si>
  <si>
    <t>zł720,2</t>
  </si>
  <si>
    <t>ORD-100306</t>
  </si>
  <si>
    <t>Jun 05, 2025 01:58</t>
  </si>
  <si>
    <t>CUST-5663</t>
  </si>
  <si>
    <t xml:space="preserve"> Wiktor Young</t>
  </si>
  <si>
    <t>+1-357-826-5200</t>
  </si>
  <si>
    <t>USD 5,305.94</t>
  </si>
  <si>
    <t>Lia Taylor</t>
  </si>
  <si>
    <t>ORD-100408</t>
  </si>
  <si>
    <t>45363</t>
  </si>
  <si>
    <t>GBP 1,603.31</t>
  </si>
  <si>
    <t>Crad</t>
  </si>
  <si>
    <t>ORD-100609</t>
  </si>
  <si>
    <t>09/28/2023</t>
  </si>
  <si>
    <t>CUST-5294</t>
  </si>
  <si>
    <t xml:space="preserve"> Ken Young</t>
  </si>
  <si>
    <t>ken.young@yahoo.com</t>
  </si>
  <si>
    <t>SKU-1132</t>
  </si>
  <si>
    <t>PLN 2,977.05</t>
  </si>
  <si>
    <t>ORD-100870</t>
  </si>
  <si>
    <t>14.04.2025 21:16</t>
  </si>
  <si>
    <t>CUST-5619</t>
  </si>
  <si>
    <t xml:space="preserve">Carlos Kowalski </t>
  </si>
  <si>
    <t xml:space="preserve">carlos.kowalski@company.co.uk </t>
  </si>
  <si>
    <t xml:space="preserve">+1-532-833-9358 </t>
  </si>
  <si>
    <t>EUR 125.24</t>
  </si>
  <si>
    <t>ORD-100828</t>
  </si>
  <si>
    <t>10/09/2025</t>
  </si>
  <si>
    <t>CUST-5238</t>
  </si>
  <si>
    <t>Qi Kowalski</t>
  </si>
  <si>
    <t>+44 577 934 5738</t>
  </si>
  <si>
    <t xml:space="preserve"> Irealnd</t>
  </si>
  <si>
    <t>SKU-1059</t>
  </si>
  <si>
    <t>NOISE CANCELLING HEADPHONES</t>
  </si>
  <si>
    <t>ORD-100097</t>
  </si>
  <si>
    <t>21/09/2023 14:19</t>
  </si>
  <si>
    <t>CUST-5356</t>
  </si>
  <si>
    <t xml:space="preserve">Vlad Taylor </t>
  </si>
  <si>
    <t>Vlad.Taylor@Example.Com</t>
  </si>
  <si>
    <t>07398 177 564</t>
  </si>
  <si>
    <t>PLN 5,249.89</t>
  </si>
  <si>
    <t>ORD-100171</t>
  </si>
  <si>
    <t>01/08/2023</t>
  </si>
  <si>
    <t>CUST-5360</t>
  </si>
  <si>
    <t>Hanna Martinez</t>
  </si>
  <si>
    <t>hanna.martinez@example.com</t>
  </si>
  <si>
    <t>09286 713 486</t>
  </si>
  <si>
    <t>SKU-1066</t>
  </si>
  <si>
    <t>PLN 7,259.76</t>
  </si>
  <si>
    <t>ORD-100140</t>
  </si>
  <si>
    <t>45519</t>
  </si>
  <si>
    <t>USD 837.49</t>
  </si>
  <si>
    <t>xEpress</t>
  </si>
  <si>
    <t>ORD-100186</t>
  </si>
  <si>
    <t>45205 08:16</t>
  </si>
  <si>
    <t>CUST-5272</t>
  </si>
  <si>
    <t>Vlad Garcia</t>
  </si>
  <si>
    <t>vlad.garcia@outlook.com</t>
  </si>
  <si>
    <t xml:space="preserve"> +44 131 853 4404</t>
  </si>
  <si>
    <t xml:space="preserve"> eWb</t>
  </si>
  <si>
    <t>£1,167.94</t>
  </si>
  <si>
    <t>ORD-100017</t>
  </si>
  <si>
    <t>12/25/2023 04:38</t>
  </si>
  <si>
    <t>CUST-5584</t>
  </si>
  <si>
    <t>Gaeb Williams</t>
  </si>
  <si>
    <t xml:space="preserve">gabe.williams@outlook.com </t>
  </si>
  <si>
    <t xml:space="preserve">+1-426-744-1173 </t>
  </si>
  <si>
    <t>SKU-1045</t>
  </si>
  <si>
    <t>27i nMonitor</t>
  </si>
  <si>
    <t>MONITORS</t>
  </si>
  <si>
    <t>GBP 954.75</t>
  </si>
  <si>
    <t>ORD-100053</t>
  </si>
  <si>
    <t>14-Sep-2025 22:27</t>
  </si>
  <si>
    <t>CUST-5690</t>
  </si>
  <si>
    <t xml:space="preserve">Adam Dbuois </t>
  </si>
  <si>
    <t>adam.duboi@sshop.io</t>
  </si>
  <si>
    <t>SKU-1063</t>
  </si>
  <si>
    <t>£48,96</t>
  </si>
  <si>
    <t xml:space="preserve"> GBP</t>
  </si>
  <si>
    <t>ORD-100224</t>
  </si>
  <si>
    <t>2024-05-31</t>
  </si>
  <si>
    <t>CUST-5396</t>
  </si>
  <si>
    <t>Bella Dubois</t>
  </si>
  <si>
    <t>BELLA.DUBOIS@EXAMPLE.COM</t>
  </si>
  <si>
    <t xml:space="preserve"> 03517 732 814</t>
  </si>
  <si>
    <t>SKU-1003</t>
  </si>
  <si>
    <t>GBP 1,260.13</t>
  </si>
  <si>
    <t>ORD-101060</t>
  </si>
  <si>
    <t>01-Jun-2025 20:26</t>
  </si>
  <si>
    <t>CUST-5151</t>
  </si>
  <si>
    <t xml:space="preserve">Paula Khan </t>
  </si>
  <si>
    <t>Paula.Khan@Example.Com</t>
  </si>
  <si>
    <t>+44 082 113 2027</t>
  </si>
  <si>
    <t>SKU-1038</t>
  </si>
  <si>
    <t>Webcam 1080P</t>
  </si>
  <si>
    <t>Stroage</t>
  </si>
  <si>
    <t>$1,432.34</t>
  </si>
  <si>
    <t xml:space="preserve"> Stadnard</t>
  </si>
  <si>
    <t>ORD-100863</t>
  </si>
  <si>
    <t>Sep 12, 2023</t>
  </si>
  <si>
    <t>CUST-5370</t>
  </si>
  <si>
    <t>GABE KING</t>
  </si>
  <si>
    <t>gabe.king@shop.io</t>
  </si>
  <si>
    <t xml:space="preserve"> +1-518-547-1853</t>
  </si>
  <si>
    <t>SKU-1073</t>
  </si>
  <si>
    <t xml:space="preserve">Bank Transfre </t>
  </si>
  <si>
    <t>ORD-100034</t>
  </si>
  <si>
    <t>2025/04/20</t>
  </si>
  <si>
    <t>CUST-5235</t>
  </si>
  <si>
    <t xml:space="preserve">  Ken Davis</t>
  </si>
  <si>
    <t xml:space="preserve"> Ken.Davis@Yahoo.Com</t>
  </si>
  <si>
    <t>09629  655  563</t>
  </si>
  <si>
    <t>£953.71</t>
  </si>
  <si>
    <t xml:space="preserve"> BGP</t>
  </si>
  <si>
    <t>ORD-100146</t>
  </si>
  <si>
    <t>2023-08-24</t>
  </si>
  <si>
    <t>CUST-5534</t>
  </si>
  <si>
    <t>Vlad Kowalski</t>
  </si>
  <si>
    <t xml:space="preserve"> vlad.kowalski@company.co.uk</t>
  </si>
  <si>
    <t xml:space="preserve">+1-531-844-1022 </t>
  </si>
  <si>
    <t>oPland</t>
  </si>
  <si>
    <t>SKU-1015</t>
  </si>
  <si>
    <t>4K Monitor 32</t>
  </si>
  <si>
    <t xml:space="preserve">Smart Home </t>
  </si>
  <si>
    <t>PLN 1,821.94</t>
  </si>
  <si>
    <t>ORD-100463</t>
  </si>
  <si>
    <t>45632</t>
  </si>
  <si>
    <t>CUST-5342</t>
  </si>
  <si>
    <t xml:space="preserve">FIONA DUBOIS </t>
  </si>
  <si>
    <t>fiona.dubois@yahoo.com</t>
  </si>
  <si>
    <t xml:space="preserve"> +1-824-934-1719</t>
  </si>
  <si>
    <t>PLN 87.89</t>
  </si>
  <si>
    <t>ORD-100771</t>
  </si>
  <si>
    <t>45267 05:24</t>
  </si>
  <si>
    <t>CUST-5175</t>
  </si>
  <si>
    <t xml:space="preserve">Fiona Kowalczyk </t>
  </si>
  <si>
    <t>fiona.kowalczyk@outlook.com</t>
  </si>
  <si>
    <t>+44 783 911 8091</t>
  </si>
  <si>
    <t>PLN 926.07</t>
  </si>
  <si>
    <t>ORD-100981</t>
  </si>
  <si>
    <t>21.05.2025</t>
  </si>
  <si>
    <t xml:space="preserve"> +1-254-980-4546</t>
  </si>
  <si>
    <t>SKU-1085</t>
  </si>
  <si>
    <t>NOISE CANCELLING HEADPOHNES</t>
  </si>
  <si>
    <t>SMART HOME</t>
  </si>
  <si>
    <t>$2,644.47</t>
  </si>
  <si>
    <t>ORD-101104</t>
  </si>
  <si>
    <t>24/08/2023</t>
  </si>
  <si>
    <t>CUST-5172</t>
  </si>
  <si>
    <t xml:space="preserve">Bella Muller </t>
  </si>
  <si>
    <t xml:space="preserve"> bella.muller@gmail.com</t>
  </si>
  <si>
    <t>+1-606-757-9199</t>
  </si>
  <si>
    <t>zł1495,96</t>
  </si>
  <si>
    <t>Bank  Trnasfer</t>
  </si>
  <si>
    <t>ORD-100642</t>
  </si>
  <si>
    <t>13/12/2024</t>
  </si>
  <si>
    <t>CUST-5390</t>
  </si>
  <si>
    <t>Ken Williams</t>
  </si>
  <si>
    <t>ken.williams@outlook.com</t>
  </si>
  <si>
    <t>+44 061 955 5528</t>
  </si>
  <si>
    <t>Pendign</t>
  </si>
  <si>
    <t>€3,175.39</t>
  </si>
  <si>
    <t>ORD-100244</t>
  </si>
  <si>
    <t>2023/02/15</t>
  </si>
  <si>
    <t>CUST-5026</t>
  </si>
  <si>
    <t xml:space="preserve"> Adam King</t>
  </si>
  <si>
    <t>adam.king@company.co.uk</t>
  </si>
  <si>
    <t>USD 508.97</t>
  </si>
  <si>
    <t>ORD-100839</t>
  </si>
  <si>
    <t>44928</t>
  </si>
  <si>
    <t>CUST-5627</t>
  </si>
  <si>
    <t xml:space="preserve"> Yara Khan</t>
  </si>
  <si>
    <t xml:space="preserve">yara.khan@company.co.uk </t>
  </si>
  <si>
    <t xml:space="preserve"> +44 734 276 5624</t>
  </si>
  <si>
    <t>Pai d</t>
  </si>
  <si>
    <t>€3,365.76</t>
  </si>
  <si>
    <t>ORD-100412</t>
  </si>
  <si>
    <t>45898</t>
  </si>
  <si>
    <t>CUST-5220</t>
  </si>
  <si>
    <t>SAM WILLIAMS</t>
  </si>
  <si>
    <t xml:space="preserve">sam.williams@outolok.com </t>
  </si>
  <si>
    <t xml:space="preserve">+1-577-411-6678 </t>
  </si>
  <si>
    <t xml:space="preserve"> Germany</t>
  </si>
  <si>
    <t>PLN 1,500.25</t>
  </si>
  <si>
    <t>Bank Transefr</t>
  </si>
  <si>
    <t>ORD-101112</t>
  </si>
  <si>
    <t>2023-06-08 21:41</t>
  </si>
  <si>
    <t>CUST-5577</t>
  </si>
  <si>
    <t>Ethan Johnson</t>
  </si>
  <si>
    <t>ethan.johnson@yahoo.com</t>
  </si>
  <si>
    <t>+1-977-900-4863</t>
  </si>
  <si>
    <t>SKU-1058</t>
  </si>
  <si>
    <t>PLN 2,177.03</t>
  </si>
  <si>
    <t>ORD-100449</t>
  </si>
  <si>
    <t>2023/10/06</t>
  </si>
  <si>
    <t>CUST-5203</t>
  </si>
  <si>
    <t>Adam Johnson</t>
  </si>
  <si>
    <t>Adam.Johnson@Outloo.kCom</t>
  </si>
  <si>
    <t>00918 968 608</t>
  </si>
  <si>
    <t>GBP 9,036.06</t>
  </si>
  <si>
    <t>ORD-100531</t>
  </si>
  <si>
    <t>Jan 13, 2024</t>
  </si>
  <si>
    <t>CUST-5469</t>
  </si>
  <si>
    <t>Sam Kowalzcyk</t>
  </si>
  <si>
    <t>sam.kowalczyk@gmail.com</t>
  </si>
  <si>
    <t>+1-904-526-1137</t>
  </si>
  <si>
    <t>GERMANY</t>
  </si>
  <si>
    <t>$5,674.57</t>
  </si>
  <si>
    <t>ORD-100819</t>
  </si>
  <si>
    <t>28.05.2025</t>
  </si>
  <si>
    <t>CUST-5430</t>
  </si>
  <si>
    <t>WIKTOR.LEE@SHOP.IO</t>
  </si>
  <si>
    <t xml:space="preserve">08348 510 416 </t>
  </si>
  <si>
    <t>SKU-1084</t>
  </si>
  <si>
    <t>EUR 810.92</t>
  </si>
  <si>
    <t>ORD-101123</t>
  </si>
  <si>
    <t>19-Aug-2023</t>
  </si>
  <si>
    <t>CUST-5661</t>
  </si>
  <si>
    <t>SAM YOUNG</t>
  </si>
  <si>
    <t>SAM.YOUNG@COMPANY.CO.UK</t>
  </si>
  <si>
    <t xml:space="preserve">+1-873-708-9276 </t>
  </si>
  <si>
    <t>$953.17</t>
  </si>
  <si>
    <t>ORD-101026</t>
  </si>
  <si>
    <t>Jul 26, 2023</t>
  </si>
  <si>
    <t>CUST-5321</t>
  </si>
  <si>
    <t xml:space="preserve"> Paul aMartinez</t>
  </si>
  <si>
    <t xml:space="preserve"> paula.martinez@yahoo.com</t>
  </si>
  <si>
    <t>EUR 380.70</t>
  </si>
  <si>
    <t>Gift  Crad</t>
  </si>
  <si>
    <t>Bella Johnson</t>
  </si>
  <si>
    <t>ORD-100316</t>
  </si>
  <si>
    <t>2025-06-30</t>
  </si>
  <si>
    <t>CUST-5471</t>
  </si>
  <si>
    <t>IGOR KHAN</t>
  </si>
  <si>
    <t>IGOR.KHAN@OUTLOOK.COM</t>
  </si>
  <si>
    <t>+443 96 966 7403</t>
  </si>
  <si>
    <t>Refudned</t>
  </si>
  <si>
    <t>SKU-1046</t>
  </si>
  <si>
    <t>Portable  HDD  2TB</t>
  </si>
  <si>
    <t>USD 993.70</t>
  </si>
  <si>
    <t>ORD-100565</t>
  </si>
  <si>
    <t>08/01/2024</t>
  </si>
  <si>
    <t>SKU-1124</t>
  </si>
  <si>
    <t xml:space="preserve">Mechanical Keyboard </t>
  </si>
  <si>
    <t>zł326.29</t>
  </si>
  <si>
    <t>ORD-100205</t>
  </si>
  <si>
    <t>17-Mar-2023</t>
  </si>
  <si>
    <t>CUST-5137</t>
  </si>
  <si>
    <t xml:space="preserve">Uma Johnson </t>
  </si>
  <si>
    <t>+1-453-840-3696</t>
  </si>
  <si>
    <t>zł834,38</t>
  </si>
  <si>
    <t>ORD-100418</t>
  </si>
  <si>
    <t>15-May-2023</t>
  </si>
  <si>
    <t>CUST-5405</t>
  </si>
  <si>
    <t>Marek Davis</t>
  </si>
  <si>
    <t>marek.davis@yahoo.com</t>
  </si>
  <si>
    <t>+1-380-868-1329</t>
  </si>
  <si>
    <t>EUR 427.50</t>
  </si>
  <si>
    <t>Gift Cadr</t>
  </si>
  <si>
    <t>ORD-100969</t>
  </si>
  <si>
    <t>2025-03-21</t>
  </si>
  <si>
    <t>CUST-5576</t>
  </si>
  <si>
    <t>Daria Kowlaczyk</t>
  </si>
  <si>
    <t>Daria.Kowalczyk@Outlook.Com</t>
  </si>
  <si>
    <t xml:space="preserve"> 03914 367 812</t>
  </si>
  <si>
    <t>SKU-1140</t>
  </si>
  <si>
    <t>Gaming Chair</t>
  </si>
  <si>
    <t>USD 5,480.96</t>
  </si>
  <si>
    <t>ORD-100297</t>
  </si>
  <si>
    <t>45369</t>
  </si>
  <si>
    <t>CUST-5159</t>
  </si>
  <si>
    <t>Uma  Rodriguez</t>
  </si>
  <si>
    <t xml:space="preserve"> uma.rodriguez@shop.io</t>
  </si>
  <si>
    <t xml:space="preserve"> +44 713 320 9290</t>
  </si>
  <si>
    <t>SKU-1116</t>
  </si>
  <si>
    <t>Mechanical Keyboard</t>
  </si>
  <si>
    <t>$291.99</t>
  </si>
  <si>
    <t>ORD-100108</t>
  </si>
  <si>
    <t>14.05.2024</t>
  </si>
  <si>
    <t>INS-TORE</t>
  </si>
  <si>
    <t>£3,065.34</t>
  </si>
  <si>
    <t>tSandard</t>
  </si>
  <si>
    <t>ORD-100473</t>
  </si>
  <si>
    <t>45862 07:23</t>
  </si>
  <si>
    <t>GBP 1,740.34</t>
  </si>
  <si>
    <t>ORD-100426</t>
  </si>
  <si>
    <t>18/03/2025</t>
  </si>
  <si>
    <t>CUST-5435</t>
  </si>
  <si>
    <t>Fiona Davis</t>
  </si>
  <si>
    <t xml:space="preserve">fiona.davis@company.co.uk </t>
  </si>
  <si>
    <t xml:space="preserve"> +1-731-971-2240</t>
  </si>
  <si>
    <t>Mobiel  App</t>
  </si>
  <si>
    <t>€8800,85</t>
  </si>
  <si>
    <t>ORD-100365</t>
  </si>
  <si>
    <t>45289 14:36</t>
  </si>
  <si>
    <t>MARKETPLACE</t>
  </si>
  <si>
    <t>SKU-1056</t>
  </si>
  <si>
    <t xml:space="preserve"> Microphone USB</t>
  </si>
  <si>
    <t>zł91.16</t>
  </si>
  <si>
    <t>CASH</t>
  </si>
  <si>
    <t>ORD-101144</t>
  </si>
  <si>
    <t>10.02.2024</t>
  </si>
  <si>
    <t>CUST-5558</t>
  </si>
  <si>
    <t xml:space="preserve">Zack Garcia </t>
  </si>
  <si>
    <t>zack.garcia@yahoo.com</t>
  </si>
  <si>
    <t xml:space="preserve">Ireland </t>
  </si>
  <si>
    <t xml:space="preserve">Penidng </t>
  </si>
  <si>
    <t>zł118.78</t>
  </si>
  <si>
    <t xml:space="preserve">PLN </t>
  </si>
  <si>
    <t xml:space="preserve"> Stnadard</t>
  </si>
  <si>
    <t>ORD-100908</t>
  </si>
  <si>
    <t>2024/05/06 21:03</t>
  </si>
  <si>
    <t>OMBILE APP</t>
  </si>
  <si>
    <t>zł1134,09</t>
  </si>
  <si>
    <t>ORD-100099</t>
  </si>
  <si>
    <t>Aug 18, 2024</t>
  </si>
  <si>
    <t>CUST-5160</t>
  </si>
  <si>
    <t xml:space="preserve">Carlos Young </t>
  </si>
  <si>
    <t>Carlos.Young@Gmail.Com</t>
  </si>
  <si>
    <t>+1-813-710-8655</t>
  </si>
  <si>
    <t>SKU-1011</t>
  </si>
  <si>
    <t>LED LIGHT STRIP</t>
  </si>
  <si>
    <t>PLN 1,025.15</t>
  </si>
  <si>
    <t>ORD-100377</t>
  </si>
  <si>
    <t>2024/11/13</t>
  </si>
  <si>
    <t>SKU-1143</t>
  </si>
  <si>
    <t>Gaming  Chair</t>
  </si>
  <si>
    <t>Accessroies</t>
  </si>
  <si>
    <t>EUR 2,171.36</t>
  </si>
  <si>
    <t>ORD-100855</t>
  </si>
  <si>
    <t>Jan 21, 2025</t>
  </si>
  <si>
    <t>CUST-5625</t>
  </si>
  <si>
    <t xml:space="preserve"> Uma Kowalski</t>
  </si>
  <si>
    <t xml:space="preserve">uma.kowalski@gmail.com </t>
  </si>
  <si>
    <t>06657 194 796</t>
  </si>
  <si>
    <t>aPid</t>
  </si>
  <si>
    <t>£439,89</t>
  </si>
  <si>
    <t>ORD-100278</t>
  </si>
  <si>
    <t>08-Jan-2023</t>
  </si>
  <si>
    <t>SKU-1020</t>
  </si>
  <si>
    <t xml:space="preserve"> Smartphone Case</t>
  </si>
  <si>
    <t>PLN 1,219.27</t>
  </si>
  <si>
    <t>ORD-100170</t>
  </si>
  <si>
    <t>2025-05-29</t>
  </si>
  <si>
    <t>€602.14</t>
  </si>
  <si>
    <t>ORD-100796</t>
  </si>
  <si>
    <t>24-May-2025 09:29</t>
  </si>
  <si>
    <t xml:space="preserve"> Cancleled</t>
  </si>
  <si>
    <t>GBP 38.40</t>
  </si>
  <si>
    <t>Cadr</t>
  </si>
  <si>
    <t>ORD-100474</t>
  </si>
  <si>
    <t>Oct 04, 2024</t>
  </si>
  <si>
    <t>CUST-5598</t>
  </si>
  <si>
    <t xml:space="preserve"> Hanna Nowak</t>
  </si>
  <si>
    <t xml:space="preserve">hanna.nowak@outlook.com </t>
  </si>
  <si>
    <t xml:space="preserve">4+4 111 603 9084 </t>
  </si>
  <si>
    <t>Polnad</t>
  </si>
  <si>
    <t>EUR 1,128.35</t>
  </si>
  <si>
    <t>ORD-100151</t>
  </si>
  <si>
    <t>45138</t>
  </si>
  <si>
    <t>CUST-5307</t>
  </si>
  <si>
    <t xml:space="preserve"> Ken Taylor</t>
  </si>
  <si>
    <t>Ken.Taylor@Example.Com</t>
  </si>
  <si>
    <t>00632 017 225</t>
  </si>
  <si>
    <t>SKU-1146</t>
  </si>
  <si>
    <t>Noise  Cancelling  Headphones</t>
  </si>
  <si>
    <t>PLN 1,709.64</t>
  </si>
  <si>
    <t>ORD-101113</t>
  </si>
  <si>
    <t>07-Dec-2023</t>
  </si>
  <si>
    <t>CUST-5653</t>
  </si>
  <si>
    <t>Ethan Taylor</t>
  </si>
  <si>
    <t xml:space="preserve"> ethan.taylor@shop.io</t>
  </si>
  <si>
    <t xml:space="preserve"> +44 894 137 8819</t>
  </si>
  <si>
    <t>REFUNDED</t>
  </si>
  <si>
    <t>SKU-1100</t>
  </si>
  <si>
    <t>PLN 674.43</t>
  </si>
  <si>
    <t>ORD-101078</t>
  </si>
  <si>
    <t>Jan 14, 2023</t>
  </si>
  <si>
    <t>CUST-5427</t>
  </si>
  <si>
    <t>Wiktor  Nowak</t>
  </si>
  <si>
    <t>WIKTOR.NOWAK@SHOP.IO</t>
  </si>
  <si>
    <t>+1-834-247-6905</t>
  </si>
  <si>
    <t xml:space="preserve">Pendnig </t>
  </si>
  <si>
    <t>SKU-1041</t>
  </si>
  <si>
    <t>$2,207.38</t>
  </si>
  <si>
    <t>ORD-101012</t>
  </si>
  <si>
    <t>19-Dec-2024</t>
  </si>
  <si>
    <t>CUST-5490</t>
  </si>
  <si>
    <t>Tara Johnson</t>
  </si>
  <si>
    <t>tara.johnson@gmail.com</t>
  </si>
  <si>
    <t>07599 704 050</t>
  </si>
  <si>
    <t>SKU-1027</t>
  </si>
  <si>
    <t>zł1,807.20</t>
  </si>
  <si>
    <t>ORD-100696</t>
  </si>
  <si>
    <t>16/11/2024</t>
  </si>
  <si>
    <t>CUST-5285</t>
  </si>
  <si>
    <t>Uma King</t>
  </si>
  <si>
    <t xml:space="preserve">uma.king@gmail.com </t>
  </si>
  <si>
    <t>+1-473-811-5105</t>
  </si>
  <si>
    <t>SKU-1111</t>
  </si>
  <si>
    <t>Microphone Usb</t>
  </si>
  <si>
    <t>USD 370.21</t>
  </si>
  <si>
    <t>ORD-100319</t>
  </si>
  <si>
    <t>May 18, 2025</t>
  </si>
  <si>
    <t>CUST-5456</t>
  </si>
  <si>
    <t>SAM MULLER</t>
  </si>
  <si>
    <t xml:space="preserve"> sam.muller@shop.io</t>
  </si>
  <si>
    <t>USD 2,171.99</t>
  </si>
  <si>
    <t>ORD-100843</t>
  </si>
  <si>
    <t>23/10/2023</t>
  </si>
  <si>
    <t>CUST-5054</t>
  </si>
  <si>
    <t>Xenia Rossi</t>
  </si>
  <si>
    <t>xenia.rossi@company.co.uk</t>
  </si>
  <si>
    <t xml:space="preserve"> +1-203-787-4859</t>
  </si>
  <si>
    <t>GBP 763.71</t>
  </si>
  <si>
    <t>Stadnard</t>
  </si>
  <si>
    <t>IGFT CARD</t>
  </si>
  <si>
    <t>ORD-100262</t>
  </si>
  <si>
    <t>Dec 03, 2024</t>
  </si>
  <si>
    <t>CUST-5611</t>
  </si>
  <si>
    <t>VLAD JOHNSON</t>
  </si>
  <si>
    <t>vlad.johnson@shop.io</t>
  </si>
  <si>
    <t>08143 522 575</t>
  </si>
  <si>
    <t>USD 587.96</t>
  </si>
  <si>
    <t>ORD-100023</t>
  </si>
  <si>
    <t>11/04/2025 02:48</t>
  </si>
  <si>
    <t>CUST-5241</t>
  </si>
  <si>
    <t xml:space="preserve"> Qi Johnson</t>
  </si>
  <si>
    <t>Qi.Johnson@Outlook.Com</t>
  </si>
  <si>
    <t xml:space="preserve"> 07882 355 254</t>
  </si>
  <si>
    <t>SKU-1087</t>
  </si>
  <si>
    <t>Webcam  1080p</t>
  </si>
  <si>
    <t>GBP 2,290.57</t>
  </si>
  <si>
    <t>ORD-100591</t>
  </si>
  <si>
    <t>11-Mar-2023 22:22</t>
  </si>
  <si>
    <t>CUST-5538</t>
  </si>
  <si>
    <t xml:space="preserve"> Adam Walker</t>
  </si>
  <si>
    <t xml:space="preserve">adam.wlaker@shop.io </t>
  </si>
  <si>
    <t>+44 379 892 8470</t>
  </si>
  <si>
    <t>GBP 3,728.32</t>
  </si>
  <si>
    <t>Gift  Card</t>
  </si>
  <si>
    <t>ORD-100564</t>
  </si>
  <si>
    <t>2024/07/17</t>
  </si>
  <si>
    <t>CUST-5604</t>
  </si>
  <si>
    <t xml:space="preserve">Gabe Taylor </t>
  </si>
  <si>
    <t xml:space="preserve"> gabe.taylor@example.com</t>
  </si>
  <si>
    <t>+44 097 498 319 1</t>
  </si>
  <si>
    <t xml:space="preserve"> France</t>
  </si>
  <si>
    <t>GBP 1,973.44</t>
  </si>
  <si>
    <t>ORD-100722</t>
  </si>
  <si>
    <t>Mar 22, 2024</t>
  </si>
  <si>
    <t>CUST-5170</t>
  </si>
  <si>
    <t>Adam Lopez</t>
  </si>
  <si>
    <t>adaml.opez@yahoo.com</t>
  </si>
  <si>
    <t>+44 494 956 2692</t>
  </si>
  <si>
    <t>SKU-1008</t>
  </si>
  <si>
    <t xml:space="preserve">Accessories </t>
  </si>
  <si>
    <t>£2,051.54</t>
  </si>
  <si>
    <t>ORD-100123</t>
  </si>
  <si>
    <t>2024/10/07</t>
  </si>
  <si>
    <t>CUST-5158</t>
  </si>
  <si>
    <t>Igor  Williams</t>
  </si>
  <si>
    <t>igor.williams@shop.io</t>
  </si>
  <si>
    <t xml:space="preserve"> +44 7111 62 3133</t>
  </si>
  <si>
    <t>Uk</t>
  </si>
  <si>
    <t>EUR 1,402.78</t>
  </si>
  <si>
    <t>ORD-100660</t>
  </si>
  <si>
    <t>2024-07-19</t>
  </si>
  <si>
    <t>CUST-5675</t>
  </si>
  <si>
    <t>Fiona Kowalczyk</t>
  </si>
  <si>
    <t>fiona.kowalczyk@example.com</t>
  </si>
  <si>
    <t xml:space="preserve">076871 53 480 </t>
  </si>
  <si>
    <t>€1594,66</t>
  </si>
  <si>
    <t>ORD-100738</t>
  </si>
  <si>
    <t>10/04/2025</t>
  </si>
  <si>
    <t>CUST-5424</t>
  </si>
  <si>
    <t xml:space="preserve">FIONA RODRIGUEZ </t>
  </si>
  <si>
    <t>fioan.rodriguez@yahoo.com</t>
  </si>
  <si>
    <t>03443 462 340</t>
  </si>
  <si>
    <t>£337.55</t>
  </si>
  <si>
    <t>ORD-100595</t>
  </si>
  <si>
    <t>Oct 22, 2023 04:03</t>
  </si>
  <si>
    <t>CUST-5127</t>
  </si>
  <si>
    <t xml:space="preserve">Daria  Khan </t>
  </si>
  <si>
    <t xml:space="preserve"> daria.khan@shop.io</t>
  </si>
  <si>
    <t>+44  647  485  4035</t>
  </si>
  <si>
    <t>SKU-1052</t>
  </si>
  <si>
    <t>LED  Light  Strip</t>
  </si>
  <si>
    <t>ORD-100253</t>
  </si>
  <si>
    <t>2023-07-22 09:38</t>
  </si>
  <si>
    <t>CUST-5493</t>
  </si>
  <si>
    <t xml:space="preserve">sam.lopez@outlook.com </t>
  </si>
  <si>
    <t>+44 084 666 7034</t>
  </si>
  <si>
    <t xml:space="preserve"> Wbe</t>
  </si>
  <si>
    <t>USD 271.47</t>
  </si>
  <si>
    <t>NEXT ADY</t>
  </si>
  <si>
    <t>G ift Card</t>
  </si>
  <si>
    <t>ORD-100455</t>
  </si>
  <si>
    <t>2025/01/18</t>
  </si>
  <si>
    <t>CUST-5669</t>
  </si>
  <si>
    <t>Rita Young</t>
  </si>
  <si>
    <t>RITA.YOUNG@SHOP.IO</t>
  </si>
  <si>
    <t>+1-838-863-7606</t>
  </si>
  <si>
    <t>£1,659.26</t>
  </si>
  <si>
    <t>ORD-100396</t>
  </si>
  <si>
    <t>11/05/2023</t>
  </si>
  <si>
    <t>CUST-5198</t>
  </si>
  <si>
    <t>Sam Davis</t>
  </si>
  <si>
    <t>Sam.Davis@Yahoo.Com</t>
  </si>
  <si>
    <t xml:space="preserve"> 04741 905 926</t>
  </si>
  <si>
    <t>zł1,180.25</t>
  </si>
  <si>
    <t>Experss</t>
  </si>
  <si>
    <t>ORD-100070</t>
  </si>
  <si>
    <t>2023-11-13</t>
  </si>
  <si>
    <t>CUST-5199</t>
  </si>
  <si>
    <t>Nina Rossi</t>
  </si>
  <si>
    <t>nina.rossi@company.co.uk</t>
  </si>
  <si>
    <t>+44 920 422 2019</t>
  </si>
  <si>
    <t>EUR 269.65</t>
  </si>
  <si>
    <t>ORD-100837</t>
  </si>
  <si>
    <t>20.05.2023</t>
  </si>
  <si>
    <t>GBP 3,361.29</t>
  </si>
  <si>
    <t>ORD-100325</t>
  </si>
  <si>
    <t>2024/11/03 03:49</t>
  </si>
  <si>
    <t>CUST-5671</t>
  </si>
  <si>
    <t>BELAL DAVIS</t>
  </si>
  <si>
    <t>bella.davis@shop.io</t>
  </si>
  <si>
    <t xml:space="preserve">02646 081 649 </t>
  </si>
  <si>
    <t>SKU-1144</t>
  </si>
  <si>
    <t>Cmoputers</t>
  </si>
  <si>
    <t>EUR 1,269.11</t>
  </si>
  <si>
    <t>ORD-100285</t>
  </si>
  <si>
    <t>08/03/2025</t>
  </si>
  <si>
    <t>CUST-5460</t>
  </si>
  <si>
    <t>Omar Muller</t>
  </si>
  <si>
    <t>OMAR.MULLER@GMAIL.COM</t>
  </si>
  <si>
    <t xml:space="preserve">07251 895 280 </t>
  </si>
  <si>
    <t>€1,049.17</t>
  </si>
  <si>
    <t>ORD-100704</t>
  </si>
  <si>
    <t>CUST-5033</t>
  </si>
  <si>
    <t xml:space="preserve">Omar Rodriguez </t>
  </si>
  <si>
    <t xml:space="preserve">omar.rodriguez@example.com </t>
  </si>
  <si>
    <t>+44 567 350 1016</t>
  </si>
  <si>
    <t xml:space="preserve"> Mraketplace</t>
  </si>
  <si>
    <t>EUR 3,344.97</t>
  </si>
  <si>
    <t>ORD-100459</t>
  </si>
  <si>
    <t>2023-07-22</t>
  </si>
  <si>
    <t>CUST-5497</t>
  </si>
  <si>
    <t>Ken Taylor</t>
  </si>
  <si>
    <t>ken.taylor@example.com</t>
  </si>
  <si>
    <t>+44 325 468 2324</t>
  </si>
  <si>
    <t>Reufnded</t>
  </si>
  <si>
    <t>zł181.63</t>
  </si>
  <si>
    <t>ORD-100189</t>
  </si>
  <si>
    <t>45222 10:49</t>
  </si>
  <si>
    <t>CUST-5268</t>
  </si>
  <si>
    <t>SAM TAYLOR</t>
  </si>
  <si>
    <t xml:space="preserve">sam.taylor@yahoo.com </t>
  </si>
  <si>
    <t xml:space="preserve">+44 222 836 5691 </t>
  </si>
  <si>
    <t xml:space="preserve">Shippde </t>
  </si>
  <si>
    <t>SKU-1043</t>
  </si>
  <si>
    <t>PLN 2,036.76</t>
  </si>
  <si>
    <t>STADNARD</t>
  </si>
  <si>
    <t>ORD-100125</t>
  </si>
  <si>
    <t>30-Aug-2025</t>
  </si>
  <si>
    <t>CUST-5383</t>
  </si>
  <si>
    <t>Uma  Garcia</t>
  </si>
  <si>
    <t>UM.AGARCIA@GMAIL.COM</t>
  </si>
  <si>
    <t>+1-416-978-3358</t>
  </si>
  <si>
    <t>$681.60</t>
  </si>
  <si>
    <t>ORD-100789</t>
  </si>
  <si>
    <t>30.07.2024</t>
  </si>
  <si>
    <t>CUST-5475</t>
  </si>
  <si>
    <t>Ethan Lee</t>
  </si>
  <si>
    <t>rFance</t>
  </si>
  <si>
    <t>$3282,62</t>
  </si>
  <si>
    <t>ORD-100164</t>
  </si>
  <si>
    <t>03-Apr-2024</t>
  </si>
  <si>
    <t>CUST-5259</t>
  </si>
  <si>
    <t xml:space="preserve">Zack Rodriguez </t>
  </si>
  <si>
    <t>ZACK.RODRIGUEZ@OUTLOOK.COM</t>
  </si>
  <si>
    <t>USD 1,258.11</t>
  </si>
  <si>
    <t>ORD-100714</t>
  </si>
  <si>
    <t>07-Feb-2024</t>
  </si>
  <si>
    <t>CUST-5069</t>
  </si>
  <si>
    <t>Rita Williams</t>
  </si>
  <si>
    <t xml:space="preserve"> rita.williams@yahoo.com</t>
  </si>
  <si>
    <t xml:space="preserve"> +44 381 462 2829</t>
  </si>
  <si>
    <t>SKU-1088</t>
  </si>
  <si>
    <t xml:space="preserve"> Gaming Chair</t>
  </si>
  <si>
    <t>EUR 637.27</t>
  </si>
  <si>
    <t xml:space="preserve">aCsh </t>
  </si>
  <si>
    <t>ORD-101072</t>
  </si>
  <si>
    <t>2024/10/18</t>
  </si>
  <si>
    <t>CUST-5252</t>
  </si>
  <si>
    <t>adam.johnson@example.com</t>
  </si>
  <si>
    <t xml:space="preserve"> 08784 723 791</t>
  </si>
  <si>
    <t>$2,935.32</t>
  </si>
  <si>
    <t>ORD-100042</t>
  </si>
  <si>
    <t>2023/08/29</t>
  </si>
  <si>
    <t>CUST-5057</t>
  </si>
  <si>
    <t xml:space="preserve">  Carlos  Lee</t>
  </si>
  <si>
    <t xml:space="preserve"> 05360 848 529</t>
  </si>
  <si>
    <t xml:space="preserve"> aCncelled</t>
  </si>
  <si>
    <t>SKU-1079</t>
  </si>
  <si>
    <t xml:space="preserve">Stroage </t>
  </si>
  <si>
    <t>EUR 718.86</t>
  </si>
  <si>
    <t>ORD-101103</t>
  </si>
  <si>
    <t>45815 03:31</t>
  </si>
  <si>
    <t>CUST-5049</t>
  </si>
  <si>
    <t xml:space="preserve"> Hanna Muller</t>
  </si>
  <si>
    <t xml:space="preserve"> hanna.muller@shop.io</t>
  </si>
  <si>
    <t xml:space="preserve"> 03596 404 790</t>
  </si>
  <si>
    <t>GBP 543.27</t>
  </si>
  <si>
    <t>ORD-100953</t>
  </si>
  <si>
    <t>2024/11/11</t>
  </si>
  <si>
    <t>USD 467.91</t>
  </si>
  <si>
    <t>ORD-100415</t>
  </si>
  <si>
    <t>05-Aug-2025 22:34</t>
  </si>
  <si>
    <t>CUST-5641</t>
  </si>
  <si>
    <t xml:space="preserve"> IgorL ee</t>
  </si>
  <si>
    <t xml:space="preserve"> igor.lee@yahoo.com</t>
  </si>
  <si>
    <t>+1-567-470-3923</t>
  </si>
  <si>
    <t>SKU-1010</t>
  </si>
  <si>
    <t>£1,561.72</t>
  </si>
  <si>
    <t>Next aDy</t>
  </si>
  <si>
    <t>ORD-100132</t>
  </si>
  <si>
    <t>07/14/2024</t>
  </si>
  <si>
    <t>FIONA RODRIGUEZ</t>
  </si>
  <si>
    <t>EUR 139.55</t>
  </si>
  <si>
    <t>ORD-100483</t>
  </si>
  <si>
    <t>12-Feb-2024</t>
  </si>
  <si>
    <t>USD 976.18</t>
  </si>
  <si>
    <t>ORD-100916</t>
  </si>
  <si>
    <t>23-Oct-2024</t>
  </si>
  <si>
    <t>CUST-5065</t>
  </si>
  <si>
    <t xml:space="preserve">Uma Kowalski </t>
  </si>
  <si>
    <t>uma.kowalski@gmail.com</t>
  </si>
  <si>
    <t>+44 140 42 55822</t>
  </si>
  <si>
    <t xml:space="preserve">Marketplaec </t>
  </si>
  <si>
    <t>£379,36</t>
  </si>
  <si>
    <t>ORD-100038</t>
  </si>
  <si>
    <t>2023-11-08</t>
  </si>
  <si>
    <t>EUR 1,170.69</t>
  </si>
  <si>
    <t>ORD-100631</t>
  </si>
  <si>
    <t>19/05/2023 00:39</t>
  </si>
  <si>
    <t>CUST-5237</t>
  </si>
  <si>
    <t>Ken Kowalski</t>
  </si>
  <si>
    <t xml:space="preserve"> ken.kowalski@outlook.com</t>
  </si>
  <si>
    <t>+1-831-803-1949</t>
  </si>
  <si>
    <t>SKU-1021</t>
  </si>
  <si>
    <t>$5,191.91</t>
  </si>
  <si>
    <t>ORD-101137</t>
  </si>
  <si>
    <t>23.07.2024</t>
  </si>
  <si>
    <t>zł1,505.60</t>
  </si>
  <si>
    <t>ORD-100785</t>
  </si>
  <si>
    <t>2024-08-13 19:49</t>
  </si>
  <si>
    <t>SKU-1127</t>
  </si>
  <si>
    <t xml:space="preserve">External SSD 1TB </t>
  </si>
  <si>
    <t>£8,445.35</t>
  </si>
  <si>
    <t>ORD-101149</t>
  </si>
  <si>
    <t>45622</t>
  </si>
  <si>
    <t>CUST-5052</t>
  </si>
  <si>
    <t xml:space="preserve"> Zack Kowalczyk</t>
  </si>
  <si>
    <t>ZACK.KOWALCZYK@COMPANY.CO.UK</t>
  </si>
  <si>
    <t>+1-504-592-6900</t>
  </si>
  <si>
    <t>€195.48</t>
  </si>
  <si>
    <t xml:space="preserve"> Next aDy</t>
  </si>
  <si>
    <t>ORD-100635</t>
  </si>
  <si>
    <t>45497</t>
  </si>
  <si>
    <t>CUST-5013</t>
  </si>
  <si>
    <t>Lia Lee</t>
  </si>
  <si>
    <t>lia.lee@example.com</t>
  </si>
  <si>
    <t xml:space="preserve"> +1-379-313-5831</t>
  </si>
  <si>
    <t>EUR 582.24</t>
  </si>
  <si>
    <t>APYPAL</t>
  </si>
  <si>
    <t>ORD-100836</t>
  </si>
  <si>
    <t>05/08/2025</t>
  </si>
  <si>
    <t>CUST-5442</t>
  </si>
  <si>
    <t>Bella Lee</t>
  </si>
  <si>
    <t>bella.lee@outlook.com</t>
  </si>
  <si>
    <t>+44 236 831 7581</t>
  </si>
  <si>
    <t>$447.38</t>
  </si>
  <si>
    <t>ORD-100619</t>
  </si>
  <si>
    <t>Feb 16, 2025</t>
  </si>
  <si>
    <t>CUST-5411</t>
  </si>
  <si>
    <t>Ken Khan</t>
  </si>
  <si>
    <t xml:space="preserve"> ken.khan@shop.io</t>
  </si>
  <si>
    <t>03118  254  128</t>
  </si>
  <si>
    <t>€5,041.80</t>
  </si>
  <si>
    <t>Cahs</t>
  </si>
  <si>
    <t>ORD-100013</t>
  </si>
  <si>
    <t>2023-03-25 16:37</t>
  </si>
  <si>
    <t>CUST-5513</t>
  </si>
  <si>
    <t>ken.williams@company.co.uk</t>
  </si>
  <si>
    <t>+44 346 831 3679</t>
  </si>
  <si>
    <t>EUR 161.48</t>
  </si>
  <si>
    <t>ORD-100955</t>
  </si>
  <si>
    <t>2024-09-21</t>
  </si>
  <si>
    <t>CUST-5257</t>
  </si>
  <si>
    <t>LIA KAHN</t>
  </si>
  <si>
    <t xml:space="preserve"> lia.khan@outlook.com</t>
  </si>
  <si>
    <t>+1-961-874-1987</t>
  </si>
  <si>
    <t>SKU-1013</t>
  </si>
  <si>
    <t xml:space="preserve">NVMe SSD 2TB </t>
  </si>
  <si>
    <t xml:space="preserve"> Computesr</t>
  </si>
  <si>
    <t>EUR 1,059.53</t>
  </si>
  <si>
    <t>ORD-100471</t>
  </si>
  <si>
    <t>Apr 13, 2023</t>
  </si>
  <si>
    <t>CUST-5280</t>
  </si>
  <si>
    <t>Adam Williams</t>
  </si>
  <si>
    <t xml:space="preserve">adam.williams@shop.io </t>
  </si>
  <si>
    <t>+1-847-264-1807</t>
  </si>
  <si>
    <t>In-Stoer</t>
  </si>
  <si>
    <t>USD 1,736.71</t>
  </si>
  <si>
    <t>ORD-100603</t>
  </si>
  <si>
    <t>11.06.2024 14:53</t>
  </si>
  <si>
    <t>CUST-5087</t>
  </si>
  <si>
    <t>KEN WILLIMAS</t>
  </si>
  <si>
    <t>ken.williams@yahoo.com</t>
  </si>
  <si>
    <t xml:space="preserve"> 02987 417 026</t>
  </si>
  <si>
    <t>USD 1,626.73</t>
  </si>
  <si>
    <t xml:space="preserve">Exprses </t>
  </si>
  <si>
    <t>ORD-101080</t>
  </si>
  <si>
    <t>12-May-2024</t>
  </si>
  <si>
    <t>SKU-1149</t>
  </si>
  <si>
    <t>PLN 1,518.11</t>
  </si>
  <si>
    <t>ORD-100655</t>
  </si>
  <si>
    <t>2024-10-05 21:24</t>
  </si>
  <si>
    <t>CUST-5182</t>
  </si>
  <si>
    <t>DARIA LEE</t>
  </si>
  <si>
    <t xml:space="preserve">daria.lee@gmail.com </t>
  </si>
  <si>
    <t>+1-799-296-7948</t>
  </si>
  <si>
    <t>SAPIN</t>
  </si>
  <si>
    <t>SKU-1009</t>
  </si>
  <si>
    <t>£271.46</t>
  </si>
  <si>
    <t>ORD-100971</t>
  </si>
  <si>
    <t>Apr 04, 2024</t>
  </si>
  <si>
    <t>CUST-5358</t>
  </si>
  <si>
    <t>Hanna Kowalczyk</t>
  </si>
  <si>
    <t xml:space="preserve">hanna.kowalczyk@example.com </t>
  </si>
  <si>
    <t xml:space="preserve"> 06746 868 344</t>
  </si>
  <si>
    <t>EUR 1,011.72</t>
  </si>
  <si>
    <t>ORD-100773</t>
  </si>
  <si>
    <t>May 05, 2025</t>
  </si>
  <si>
    <t>USD 5,215.44</t>
  </si>
  <si>
    <t>ORD-100020</t>
  </si>
  <si>
    <t>08/03/2024</t>
  </si>
  <si>
    <t>CUST-5688</t>
  </si>
  <si>
    <t>Kne Johnson</t>
  </si>
  <si>
    <t>ken.johnson@example.com</t>
  </si>
  <si>
    <t>+44  617  696  1015</t>
  </si>
  <si>
    <t>InS-tore</t>
  </si>
  <si>
    <t>€3,183.54</t>
  </si>
  <si>
    <t>ORD-101091</t>
  </si>
  <si>
    <t>2025/04/04</t>
  </si>
  <si>
    <t>zł364.76</t>
  </si>
  <si>
    <t>ORD-100071</t>
  </si>
  <si>
    <t>Feb 04, 2023</t>
  </si>
  <si>
    <t xml:space="preserve">Padi </t>
  </si>
  <si>
    <t>SKU-1114</t>
  </si>
  <si>
    <t>4K  Monitor  32</t>
  </si>
  <si>
    <t>USD 1,032.96</t>
  </si>
  <si>
    <t xml:space="preserve"> USD</t>
  </si>
  <si>
    <t>ORD-100993</t>
  </si>
  <si>
    <t>07.02.2023</t>
  </si>
  <si>
    <t>CUST-5562</t>
  </si>
  <si>
    <t xml:space="preserve">bella.dubois@shop.io </t>
  </si>
  <si>
    <t>+44 730 574 7856</t>
  </si>
  <si>
    <t>SKU-1036</t>
  </si>
  <si>
    <t>GBP 4,772.34</t>
  </si>
  <si>
    <t>ORD-100884</t>
  </si>
  <si>
    <t>11.02.2023</t>
  </si>
  <si>
    <t>CUST-5048</t>
  </si>
  <si>
    <t>Adam Rodriguez</t>
  </si>
  <si>
    <t>adam.rodriguez@company.co.uk</t>
  </si>
  <si>
    <t>05927 724 407</t>
  </si>
  <si>
    <t>GBP 204.10</t>
  </si>
  <si>
    <t xml:space="preserve"> aBnk Transfer</t>
  </si>
  <si>
    <t>ORD-100060</t>
  </si>
  <si>
    <t>2024/04/03</t>
  </si>
  <si>
    <t>CUST-5260</t>
  </si>
  <si>
    <t>gabe.davis@yahoo.com</t>
  </si>
  <si>
    <t>+1-771-313-7418</t>
  </si>
  <si>
    <t>EUR 3,170.67</t>
  </si>
  <si>
    <t>ORD-101146</t>
  </si>
  <si>
    <t>2023-09-23</t>
  </si>
  <si>
    <t>CUST-5271</t>
  </si>
  <si>
    <t>Ethan Muller</t>
  </si>
  <si>
    <t>ethan.muller@company.co.uk</t>
  </si>
  <si>
    <t xml:space="preserve">+44 799 262 4098 </t>
  </si>
  <si>
    <t>£2,759.89</t>
  </si>
  <si>
    <t>ORD-100110</t>
  </si>
  <si>
    <t>44957</t>
  </si>
  <si>
    <t>CUST-5445</t>
  </si>
  <si>
    <t xml:space="preserve"> Lia Nowak</t>
  </si>
  <si>
    <t xml:space="preserve"> lia.nowak@company.co.uk</t>
  </si>
  <si>
    <t>€2228,73</t>
  </si>
  <si>
    <t xml:space="preserve">Cadr </t>
  </si>
  <si>
    <t>ORD-100004</t>
  </si>
  <si>
    <t>2025/03/31</t>
  </si>
  <si>
    <t>CUST-5336</t>
  </si>
  <si>
    <t>adam.lopez@company.co.uk</t>
  </si>
  <si>
    <t>+1-680-699-6114</t>
  </si>
  <si>
    <t>€7,314.77</t>
  </si>
  <si>
    <t>ORD-100507</t>
  </si>
  <si>
    <t>17/12/2024</t>
  </si>
  <si>
    <t>SKU-1142</t>
  </si>
  <si>
    <t>€3323,07</t>
  </si>
  <si>
    <t>ORD-100921</t>
  </si>
  <si>
    <t>2023/09/16 00:21</t>
  </si>
  <si>
    <t>CUST-5379</t>
  </si>
  <si>
    <t xml:space="preserve"> Ethan Khan</t>
  </si>
  <si>
    <t>ethan.khan@example.com</t>
  </si>
  <si>
    <t>+1-589-398-3931</t>
  </si>
  <si>
    <t>€2475,03</t>
  </si>
  <si>
    <t>ORD-100384</t>
  </si>
  <si>
    <t>03/29/2024</t>
  </si>
  <si>
    <t>CUST-5644</t>
  </si>
  <si>
    <t>Tara Rodriguez</t>
  </si>
  <si>
    <t xml:space="preserve"> tara.rodriguez@shop.io</t>
  </si>
  <si>
    <t xml:space="preserve"> +44 456 153 7358</t>
  </si>
  <si>
    <t>PLN 1,621.45</t>
  </si>
  <si>
    <t>ORD-100815</t>
  </si>
  <si>
    <t>45465</t>
  </si>
  <si>
    <t>CUST-5535</t>
  </si>
  <si>
    <t xml:space="preserve">Adam Martinez </t>
  </si>
  <si>
    <t>+44 661 670 1726</t>
  </si>
  <si>
    <t>USD 197.17</t>
  </si>
  <si>
    <t>ORD-100522</t>
  </si>
  <si>
    <t>30.08.2025</t>
  </si>
  <si>
    <t>CUST-5219</t>
  </si>
  <si>
    <t>YARA WILLIAMS</t>
  </si>
  <si>
    <t>yara.williams@gmail.com</t>
  </si>
  <si>
    <t>+1-677-715-6989</t>
  </si>
  <si>
    <t>zł2,776.52</t>
  </si>
  <si>
    <t>Nxet Day</t>
  </si>
  <si>
    <t>ORD-100650</t>
  </si>
  <si>
    <t>2023-10-09</t>
  </si>
  <si>
    <t>CUST-5582</t>
  </si>
  <si>
    <t>GABE SMITH</t>
  </si>
  <si>
    <t xml:space="preserve">gabe.smith@company.co.uk </t>
  </si>
  <si>
    <t xml:space="preserve"> +1-989-553-6095</t>
  </si>
  <si>
    <t>PLN 801.21</t>
  </si>
  <si>
    <t>ORD-100358</t>
  </si>
  <si>
    <t>45612 15:59</t>
  </si>
  <si>
    <t>CUST-5000</t>
  </si>
  <si>
    <t>Ethan King</t>
  </si>
  <si>
    <t>ethan.king@shop.i o</t>
  </si>
  <si>
    <t>+1-350-480-9975</t>
  </si>
  <si>
    <t>SKU-1065</t>
  </si>
  <si>
    <t>USD 2,564.56</t>
  </si>
  <si>
    <t>ORD-100737</t>
  </si>
  <si>
    <t>2024/11/19</t>
  </si>
  <si>
    <t>CUST-5470</t>
  </si>
  <si>
    <t xml:space="preserve"> Ethan Muller</t>
  </si>
  <si>
    <t>ETHAN.MULLER@OUTLOOK.COM</t>
  </si>
  <si>
    <t>01186 574 539</t>
  </si>
  <si>
    <t>GBP 4,685.84</t>
  </si>
  <si>
    <t>ORD-101034</t>
  </si>
  <si>
    <t>2024/11/16</t>
  </si>
  <si>
    <t>SKU-1078</t>
  </si>
  <si>
    <t>£1580,44</t>
  </si>
  <si>
    <t xml:space="preserve"> Bnak Transfer</t>
  </si>
  <si>
    <t>ORD-100270</t>
  </si>
  <si>
    <t>07/08/2024 07:05</t>
  </si>
  <si>
    <t>CUST-5292</t>
  </si>
  <si>
    <t xml:space="preserve">rita.williams@outlook.com </t>
  </si>
  <si>
    <t>GBP 190.07</t>
  </si>
  <si>
    <t>ORD-100385</t>
  </si>
  <si>
    <t>01.04.2024</t>
  </si>
  <si>
    <t>CUST-5461</t>
  </si>
  <si>
    <t>Ethan Novak</t>
  </si>
  <si>
    <t xml:space="preserve"> ethan.novak@outlook.com</t>
  </si>
  <si>
    <t>01185 142 139</t>
  </si>
  <si>
    <t xml:space="preserve">Mobile pAp </t>
  </si>
  <si>
    <t>SKU-1099</t>
  </si>
  <si>
    <t>PLN 784.46</t>
  </si>
  <si>
    <t>ORD-100094</t>
  </si>
  <si>
    <t>CUST-5408</t>
  </si>
  <si>
    <t>Omar Brown</t>
  </si>
  <si>
    <t>omar.brown@gmail.com</t>
  </si>
  <si>
    <t xml:space="preserve"> +44 186 760 7480</t>
  </si>
  <si>
    <t>$1,077.58</t>
  </si>
  <si>
    <t>ORD-100095</t>
  </si>
  <si>
    <t>45724</t>
  </si>
  <si>
    <t>CUST-5608</t>
  </si>
  <si>
    <t>Nina Muller</t>
  </si>
  <si>
    <t xml:space="preserve"> nina.muller@example.com</t>
  </si>
  <si>
    <t>$193.97</t>
  </si>
  <si>
    <t>ORD-100950</t>
  </si>
  <si>
    <t>45133 02:12</t>
  </si>
  <si>
    <t xml:space="preserve">Wiktor Taylor </t>
  </si>
  <si>
    <t>€5,178.20</t>
  </si>
  <si>
    <t>ORD-100906</t>
  </si>
  <si>
    <t>2023/06/28</t>
  </si>
  <si>
    <t>CUST-5417</t>
  </si>
  <si>
    <t xml:space="preserve"> Igor Muller</t>
  </si>
  <si>
    <t xml:space="preserve">igor.muller@yahoo.com </t>
  </si>
  <si>
    <t>04470 275 125</t>
  </si>
  <si>
    <t>SKU-1128</t>
  </si>
  <si>
    <t>EUR 2,488.66</t>
  </si>
  <si>
    <t>Nex t Day</t>
  </si>
  <si>
    <t>ORD-100263</t>
  </si>
  <si>
    <t>13/07/2023</t>
  </si>
  <si>
    <t>CUST-5005</t>
  </si>
  <si>
    <t>Rita  Rodriguez</t>
  </si>
  <si>
    <t xml:space="preserve">rita.rodriguez@gmail.com </t>
  </si>
  <si>
    <t xml:space="preserve">+1-343-653-1031 </t>
  </si>
  <si>
    <t xml:space="preserve">SUA </t>
  </si>
  <si>
    <t xml:space="preserve"> Pendign</t>
  </si>
  <si>
    <t>SKU-1025</t>
  </si>
  <si>
    <t>GBP 220.33</t>
  </si>
  <si>
    <t>ORD-100590</t>
  </si>
  <si>
    <t>Apr 23, 2025</t>
  </si>
  <si>
    <t>CUST-5344</t>
  </si>
  <si>
    <t>Qi Lee</t>
  </si>
  <si>
    <t xml:space="preserve">00870 927 037 </t>
  </si>
  <si>
    <t>PLN 1,435.07</t>
  </si>
  <si>
    <t>ORD-100849</t>
  </si>
  <si>
    <t>45151</t>
  </si>
  <si>
    <t>CUST-5236</t>
  </si>
  <si>
    <t>Uma Lee</t>
  </si>
  <si>
    <t xml:space="preserve">uma.lee@gmail.ocm </t>
  </si>
  <si>
    <t>zł760,88</t>
  </si>
  <si>
    <t>ORD-100794</t>
  </si>
  <si>
    <t>13.05.2025</t>
  </si>
  <si>
    <t>GBP 1,124.65</t>
  </si>
  <si>
    <t>ORD-100058</t>
  </si>
  <si>
    <t>30-Apr-2023</t>
  </si>
  <si>
    <t>CUST-5384</t>
  </si>
  <si>
    <t xml:space="preserve">Daria Rossi </t>
  </si>
  <si>
    <t xml:space="preserve"> daria.rossi@shop.io</t>
  </si>
  <si>
    <t xml:space="preserve">04523 550 365 </t>
  </si>
  <si>
    <t>USD 1,529.76</t>
  </si>
  <si>
    <t>PaPyal</t>
  </si>
  <si>
    <t>ORD-100207</t>
  </si>
  <si>
    <t>Apr 17, 2025 13:00</t>
  </si>
  <si>
    <t>CUST-5124</t>
  </si>
  <si>
    <t>NINA TAYLOR</t>
  </si>
  <si>
    <t>nina.taylor@company.co.uk</t>
  </si>
  <si>
    <t xml:space="preserve">+44 577 07 98302 </t>
  </si>
  <si>
    <t xml:space="preserve">UAS </t>
  </si>
  <si>
    <t>SKU-1135</t>
  </si>
  <si>
    <t>£608,74</t>
  </si>
  <si>
    <t>ORD-100367</t>
  </si>
  <si>
    <t>45296</t>
  </si>
  <si>
    <t>CUST-5591</t>
  </si>
  <si>
    <t>Wiktor Smith</t>
  </si>
  <si>
    <t>+44 051 096 3262</t>
  </si>
  <si>
    <t>GBP 1,112.46</t>
  </si>
  <si>
    <t>ORD-100446</t>
  </si>
  <si>
    <t>08.08.2025</t>
  </si>
  <si>
    <t>CUST-5528</t>
  </si>
  <si>
    <t>Carlos Walker</t>
  </si>
  <si>
    <t xml:space="preserve"> carlos.walker@yahoo.com</t>
  </si>
  <si>
    <t xml:space="preserve"> +44 427 164 5448</t>
  </si>
  <si>
    <t>PLN 7,806.27</t>
  </si>
  <si>
    <t>ORD-100024</t>
  </si>
  <si>
    <t>2024-05-09</t>
  </si>
  <si>
    <t>$1,621.87</t>
  </si>
  <si>
    <t>ORD-100339</t>
  </si>
  <si>
    <t>45691</t>
  </si>
  <si>
    <t>zł4,053.73</t>
  </si>
  <si>
    <t>ORD-100228</t>
  </si>
  <si>
    <t>04/26/2023</t>
  </si>
  <si>
    <t>CUST-5278</t>
  </si>
  <si>
    <t xml:space="preserve">Vla dRodriguez </t>
  </si>
  <si>
    <t>Vlad.Rodriguez@Example.Com</t>
  </si>
  <si>
    <t xml:space="preserve"> +1-832-202-5314</t>
  </si>
  <si>
    <t>EUR 1,810.20</t>
  </si>
  <si>
    <t>ORD-100025</t>
  </si>
  <si>
    <t>Jun 27, 2024</t>
  </si>
  <si>
    <t>CUST-5623</t>
  </si>
  <si>
    <t>JADE DAVIS</t>
  </si>
  <si>
    <t>jade.davis@yahoo.com</t>
  </si>
  <si>
    <t>+1-673-239-2500</t>
  </si>
  <si>
    <t>SKU-1102</t>
  </si>
  <si>
    <t>EUR 2,463.92</t>
  </si>
  <si>
    <t>ORD-101140</t>
  </si>
  <si>
    <t>04/14/2025</t>
  </si>
  <si>
    <t>EUR 2,179.40</t>
  </si>
  <si>
    <t>ORD-100974</t>
  </si>
  <si>
    <t>27-Apr-2025 15:30</t>
  </si>
  <si>
    <t>SKU-1083</t>
  </si>
  <si>
    <t>$1467,62</t>
  </si>
  <si>
    <t>ORD-100222</t>
  </si>
  <si>
    <t>45580</t>
  </si>
  <si>
    <t>CUST-5138</t>
  </si>
  <si>
    <t xml:space="preserve"> Lia Kowalski</t>
  </si>
  <si>
    <t xml:space="preserve">lia.kowalski@example.com </t>
  </si>
  <si>
    <t>+44 520 902 2441</t>
  </si>
  <si>
    <t>USD 209.98</t>
  </si>
  <si>
    <t>ORD-100938</t>
  </si>
  <si>
    <t>04/06/2025</t>
  </si>
  <si>
    <t>CUST-5567</t>
  </si>
  <si>
    <t>Hanna Young</t>
  </si>
  <si>
    <t xml:space="preserve"> +44 231 665 1379</t>
  </si>
  <si>
    <t>ORD-100957</t>
  </si>
  <si>
    <t>09/19/2023</t>
  </si>
  <si>
    <t>CUST-5594</t>
  </si>
  <si>
    <t xml:space="preserve">Nina Kowalczyk </t>
  </si>
  <si>
    <t>NINA.KOWALCZYK@YAHOO.COM</t>
  </si>
  <si>
    <t>+44 205 190 1843</t>
  </si>
  <si>
    <t>GBP 777.14</t>
  </si>
  <si>
    <t>ORD-101042</t>
  </si>
  <si>
    <t>Jan 04, 2023</t>
  </si>
  <si>
    <t>CUST-5505</t>
  </si>
  <si>
    <t xml:space="preserve">Wiktor Novak </t>
  </si>
  <si>
    <t>wiktor.novak@example.com</t>
  </si>
  <si>
    <t>06009  028  885</t>
  </si>
  <si>
    <t>£173,09</t>
  </si>
  <si>
    <t xml:space="preserve">Cahs </t>
  </si>
  <si>
    <t>ORD-100130</t>
  </si>
  <si>
    <t>Sep 25, 2025</t>
  </si>
  <si>
    <t>CUST-5025</t>
  </si>
  <si>
    <t>Qi Kowalczyk</t>
  </si>
  <si>
    <t>qi.kowalczyk@example.com</t>
  </si>
  <si>
    <t>+44 738 738 9189</t>
  </si>
  <si>
    <t xml:space="preserve">Moible App </t>
  </si>
  <si>
    <t>$8,648.81</t>
  </si>
  <si>
    <t>ORD-100220</t>
  </si>
  <si>
    <t>01/09/2024 21:56</t>
  </si>
  <si>
    <t>PLN 1,511.51</t>
  </si>
  <si>
    <t>ORD-100153</t>
  </si>
  <si>
    <t>03/20/2025</t>
  </si>
  <si>
    <t>CUST-5348</t>
  </si>
  <si>
    <t xml:space="preserve">ken.young@outlook.com </t>
  </si>
  <si>
    <t xml:space="preserve"> +44 605 515 1030</t>
  </si>
  <si>
    <t>$5359,2</t>
  </si>
  <si>
    <t>ORD-100791</t>
  </si>
  <si>
    <t>13/11/2023</t>
  </si>
  <si>
    <t>CUST-5211</t>
  </si>
  <si>
    <t>Xenia Brown</t>
  </si>
  <si>
    <t>XENIA.BROWN@OUTLOOK.COM</t>
  </si>
  <si>
    <t>+1-757-301-6467</t>
  </si>
  <si>
    <t xml:space="preserve"> Markeptlace</t>
  </si>
  <si>
    <t>EUR 2,627.50</t>
  </si>
  <si>
    <t>Pickpu</t>
  </si>
  <si>
    <t>ORD-100663</t>
  </si>
  <si>
    <t>2024/03/19</t>
  </si>
  <si>
    <t>CUST-5055</t>
  </si>
  <si>
    <t xml:space="preserve">Jade Loepz </t>
  </si>
  <si>
    <t>+1-423-203-8499</t>
  </si>
  <si>
    <t>EUR 1,115.59</t>
  </si>
  <si>
    <t>ORD-100885</t>
  </si>
  <si>
    <t>Apr 16, 2024</t>
  </si>
  <si>
    <t>EUR 1,710.10</t>
  </si>
  <si>
    <t>ORD-100530</t>
  </si>
  <si>
    <t>12/08/2024 00:34</t>
  </si>
  <si>
    <t>CUST-5422</t>
  </si>
  <si>
    <t xml:space="preserve"> Fiona Garcia</t>
  </si>
  <si>
    <t xml:space="preserve"> fiona.garcia@outlook.com</t>
  </si>
  <si>
    <t>09700 862 637</t>
  </si>
  <si>
    <t>SKU-1001</t>
  </si>
  <si>
    <t>4K Monito r32</t>
  </si>
  <si>
    <t>€3,497.59</t>
  </si>
  <si>
    <t>ORD-100674</t>
  </si>
  <si>
    <t>2024/02/02</t>
  </si>
  <si>
    <t>CUST-5295</t>
  </si>
  <si>
    <t>Uma  Williams</t>
  </si>
  <si>
    <t>uma.williams@shop.io</t>
  </si>
  <si>
    <t>+44 358 460 3115</t>
  </si>
  <si>
    <t>EUR 2,696.67</t>
  </si>
  <si>
    <t>ORD-100098</t>
  </si>
  <si>
    <t>2025/08/08</t>
  </si>
  <si>
    <t>CUST-5164</t>
  </si>
  <si>
    <t xml:space="preserve">Carlos Brown </t>
  </si>
  <si>
    <t xml:space="preserve"> carlos.brown@outlook.com</t>
  </si>
  <si>
    <t xml:space="preserve">+1-593-765-1365 </t>
  </si>
  <si>
    <t>aBnk  Transfer</t>
  </si>
  <si>
    <t>ORD-100063</t>
  </si>
  <si>
    <t>May 07, 2023</t>
  </si>
  <si>
    <t>CUST-5312</t>
  </si>
  <si>
    <t>Jade Lopez</t>
  </si>
  <si>
    <t>jade.lopez@outlook.com</t>
  </si>
  <si>
    <t xml:space="preserve"> +1-969-811-6307</t>
  </si>
  <si>
    <t>PLN 1,255.25</t>
  </si>
  <si>
    <t>ORD-100318</t>
  </si>
  <si>
    <t>Aug 22, 2023</t>
  </si>
  <si>
    <t>$1621,42</t>
  </si>
  <si>
    <t>ORD-100960</t>
  </si>
  <si>
    <t>2023/07/13</t>
  </si>
  <si>
    <t>EUR 1,470.92</t>
  </si>
  <si>
    <t>ORD-100075</t>
  </si>
  <si>
    <t>2024/10/04</t>
  </si>
  <si>
    <t>PLN 1,120.96</t>
  </si>
  <si>
    <t xml:space="preserve">Pikcup </t>
  </si>
  <si>
    <t>ORD-100858</t>
  </si>
  <si>
    <t>45018</t>
  </si>
  <si>
    <t>CUST-5282</t>
  </si>
  <si>
    <t>Rit aDubois</t>
  </si>
  <si>
    <t xml:space="preserve"> rita.dubois@yahoo.com</t>
  </si>
  <si>
    <t xml:space="preserve">+1-888-655-2139 </t>
  </si>
  <si>
    <t>USD 376.34</t>
  </si>
  <si>
    <t>ORD-101027</t>
  </si>
  <si>
    <t>02-Aug-2023</t>
  </si>
  <si>
    <t>CUST-5046</t>
  </si>
  <si>
    <t xml:space="preserve"> daria.dubois@outlook.com</t>
  </si>
  <si>
    <t>+1-330-445-9762</t>
  </si>
  <si>
    <t>USD 1,223.25</t>
  </si>
  <si>
    <t>ORD-100732</t>
  </si>
  <si>
    <t>12/20/2024</t>
  </si>
  <si>
    <t>CUST-5680</t>
  </si>
  <si>
    <t>Qi KI ng</t>
  </si>
  <si>
    <t xml:space="preserve">qi.king@company.co.uk </t>
  </si>
  <si>
    <t xml:space="preserve">07587 503 805 </t>
  </si>
  <si>
    <t>zł1,951.33</t>
  </si>
  <si>
    <t xml:space="preserve">Stadnard </t>
  </si>
  <si>
    <t>ORD-101058</t>
  </si>
  <si>
    <t>01/23/2025</t>
  </si>
  <si>
    <t>$2313,85</t>
  </si>
  <si>
    <t>ORD-100896</t>
  </si>
  <si>
    <t>05-Feb-2023</t>
  </si>
  <si>
    <t>CUST-5153</t>
  </si>
  <si>
    <t xml:space="preserve">Paula Walker </t>
  </si>
  <si>
    <t>paula.walker@outlook.com</t>
  </si>
  <si>
    <t>+1-307-578-4937</t>
  </si>
  <si>
    <t>PLN 335.91</t>
  </si>
  <si>
    <t>ORD-100083</t>
  </si>
  <si>
    <t>45002</t>
  </si>
  <si>
    <t>CUST-5684</t>
  </si>
  <si>
    <t>Marek Young</t>
  </si>
  <si>
    <t>marek.young@gmail.com</t>
  </si>
  <si>
    <t>00330 823 982</t>
  </si>
  <si>
    <t>zł1,043.34</t>
  </si>
  <si>
    <t>ORD-100922</t>
  </si>
  <si>
    <t>Jul 30, 2023</t>
  </si>
  <si>
    <t>CUST-5165</t>
  </si>
  <si>
    <t>Yara Dubois</t>
  </si>
  <si>
    <t>yara.dubois@gmail.com</t>
  </si>
  <si>
    <t xml:space="preserve"> +1-886-464-4653</t>
  </si>
  <si>
    <t xml:space="preserve">oMbile App </t>
  </si>
  <si>
    <t>zł1251,41</t>
  </si>
  <si>
    <t>ORD-101134</t>
  </si>
  <si>
    <t>16.10.2023</t>
  </si>
  <si>
    <t>CUST-5002</t>
  </si>
  <si>
    <t>Lia Novak</t>
  </si>
  <si>
    <t>lia.novak@gmail.com</t>
  </si>
  <si>
    <t>+44 039 799 3446</t>
  </si>
  <si>
    <t>SKU-1136</t>
  </si>
  <si>
    <t>GBP 20.13</t>
  </si>
  <si>
    <t>ORD-101002</t>
  </si>
  <si>
    <t>Feb 13, 2024</t>
  </si>
  <si>
    <t>CUST-5152</t>
  </si>
  <si>
    <t>Qi Davis</t>
  </si>
  <si>
    <t xml:space="preserve">qi.davis@gmail.com </t>
  </si>
  <si>
    <t>00394 112 751</t>
  </si>
  <si>
    <t>USD 1,405.50</t>
  </si>
  <si>
    <t xml:space="preserve"> Standrad</t>
  </si>
  <si>
    <t>ORD-100199</t>
  </si>
  <si>
    <t>2023-09-29</t>
  </si>
  <si>
    <t>SKU-1062</t>
  </si>
  <si>
    <t>GAMNIG LAPTOP 15</t>
  </si>
  <si>
    <t>EUR 354.52</t>
  </si>
  <si>
    <t>ORD-100788</t>
  </si>
  <si>
    <t>Sep 07, 2023</t>
  </si>
  <si>
    <t>CUST-5399</t>
  </si>
  <si>
    <t xml:space="preserve"> Igor Kowalczyk</t>
  </si>
  <si>
    <t>igor.kowalczyk@example.com</t>
  </si>
  <si>
    <t xml:space="preserve">01487 030 535 </t>
  </si>
  <si>
    <t>SKU-1121</t>
  </si>
  <si>
    <t>GAMING LAPTOP 15</t>
  </si>
  <si>
    <t>PLN 734.30</t>
  </si>
  <si>
    <t>Pln</t>
  </si>
  <si>
    <t>EXPERSS</t>
  </si>
  <si>
    <t>ORD-100134</t>
  </si>
  <si>
    <t>09/04/2025</t>
  </si>
  <si>
    <t>CUST-5606</t>
  </si>
  <si>
    <t xml:space="preserve"> Igor Rossi</t>
  </si>
  <si>
    <t xml:space="preserve"> igor.rossi@yahoo.com</t>
  </si>
  <si>
    <t xml:space="preserve">04369 818 400 </t>
  </si>
  <si>
    <t xml:space="preserve"> Geramny</t>
  </si>
  <si>
    <t xml:space="preserve"> In-tSore</t>
  </si>
  <si>
    <t>GBP 4,016.12</t>
  </si>
  <si>
    <t>iGft  Card</t>
  </si>
  <si>
    <t>ORD-100259</t>
  </si>
  <si>
    <t>09-Oct-2023</t>
  </si>
  <si>
    <t>zł1,336.66</t>
  </si>
  <si>
    <t xml:space="preserve"> xEpress</t>
  </si>
  <si>
    <t>ORD-100492</t>
  </si>
  <si>
    <t>Feb 01, 2025</t>
  </si>
  <si>
    <t>CUST-5034</t>
  </si>
  <si>
    <t>Ken Nowak</t>
  </si>
  <si>
    <t>ken.nowak@outlook.com</t>
  </si>
  <si>
    <t>+1-336-509-3470</t>
  </si>
  <si>
    <t>GBP 584.44</t>
  </si>
  <si>
    <t>ORD-100003</t>
  </si>
  <si>
    <t>45676</t>
  </si>
  <si>
    <t>CUST-5522</t>
  </si>
  <si>
    <t>Vlad  Khan</t>
  </si>
  <si>
    <t>VLAD.KHAN@COMPANY.CO.UK</t>
  </si>
  <si>
    <t>04200 455 960</t>
  </si>
  <si>
    <t>Refunedd</t>
  </si>
  <si>
    <t>USD 3,366.54</t>
  </si>
  <si>
    <t>ORD-100866</t>
  </si>
  <si>
    <t>05/29/2025 03:19</t>
  </si>
  <si>
    <t xml:space="preserve">03932 552 570 </t>
  </si>
  <si>
    <t>USD 1,323.08</t>
  </si>
  <si>
    <t>ORD-100452</t>
  </si>
  <si>
    <t>14.07.2025</t>
  </si>
  <si>
    <t>CUST-5176</t>
  </si>
  <si>
    <t>Fiona Rodriguez</t>
  </si>
  <si>
    <t xml:space="preserve"> fiona.rodriguez@gmail.com</t>
  </si>
  <si>
    <t>+1-332-554-8268</t>
  </si>
  <si>
    <t>USD 5,221.27</t>
  </si>
  <si>
    <t>ORD-100196</t>
  </si>
  <si>
    <t>12-Jun-2025</t>
  </si>
  <si>
    <t>CUST-5166</t>
  </si>
  <si>
    <t xml:space="preserve">Bella King </t>
  </si>
  <si>
    <t>Bella.King@Gmail.Com</t>
  </si>
  <si>
    <t>+1-684-214-4195</t>
  </si>
  <si>
    <t>zł710.50</t>
  </si>
  <si>
    <t>BANK TRANFSER</t>
  </si>
  <si>
    <t>ORD-100649</t>
  </si>
  <si>
    <t>2023-11-20</t>
  </si>
  <si>
    <t>CUST-5126</t>
  </si>
  <si>
    <t xml:space="preserve">Carlos Nowak </t>
  </si>
  <si>
    <t xml:space="preserve">00735 704 427 </t>
  </si>
  <si>
    <t>ORD-100026</t>
  </si>
  <si>
    <t>15.11.2023</t>
  </si>
  <si>
    <t>CUST-5651</t>
  </si>
  <si>
    <t>WIKTOR KOWALCZYK</t>
  </si>
  <si>
    <t>WIKTOR.KOWALCZYK@EXAMPLE.COM</t>
  </si>
  <si>
    <t>05807  647  897</t>
  </si>
  <si>
    <t>£1,377.39</t>
  </si>
  <si>
    <t>ORD-100308</t>
  </si>
  <si>
    <t>19.03.2024</t>
  </si>
  <si>
    <t>CUST-5343</t>
  </si>
  <si>
    <t>Adam Martinez</t>
  </si>
  <si>
    <t xml:space="preserve"> adam.martinez@outlook.com</t>
  </si>
  <si>
    <t>+44 740 861 5390</t>
  </si>
  <si>
    <t>zł1,456.79</t>
  </si>
  <si>
    <t>ORD-101052</t>
  </si>
  <si>
    <t>17-May-2024 23:57</t>
  </si>
  <si>
    <t>CUST-5590</t>
  </si>
  <si>
    <t xml:space="preserve"> Gabe Davis</t>
  </si>
  <si>
    <t>05211 549 404</t>
  </si>
  <si>
    <t>Fracne</t>
  </si>
  <si>
    <t>zł1,612.29</t>
  </si>
  <si>
    <t>ORD-101085</t>
  </si>
  <si>
    <t>06/10/2024</t>
  </si>
  <si>
    <t>In-Sotre</t>
  </si>
  <si>
    <t>EUR 522.93</t>
  </si>
  <si>
    <t>ORD-100280</t>
  </si>
  <si>
    <t>2024/10/24</t>
  </si>
  <si>
    <t>EUR 135.52</t>
  </si>
  <si>
    <t>ORD-100061</t>
  </si>
  <si>
    <t>CUST-5332</t>
  </si>
  <si>
    <t>Igor Garcia</t>
  </si>
  <si>
    <t xml:space="preserve"> igor.garcia@gmail.com</t>
  </si>
  <si>
    <t xml:space="preserve"> +1-528-332-1975</t>
  </si>
  <si>
    <t>€2287,48</t>
  </si>
  <si>
    <t>ORD-100284</t>
  </si>
  <si>
    <t>20/08/2024</t>
  </si>
  <si>
    <t>CUST-5024</t>
  </si>
  <si>
    <t>Omar Martinez</t>
  </si>
  <si>
    <t>Omar.Martinez@Company.Co.Uk</t>
  </si>
  <si>
    <t xml:space="preserve"> +1-907-287-3407</t>
  </si>
  <si>
    <t>GBP 348.41</t>
  </si>
  <si>
    <t>ORD-100945</t>
  </si>
  <si>
    <t>2023-09-16 17:41</t>
  </si>
  <si>
    <t>CUST-5177</t>
  </si>
  <si>
    <t>Yara Johnson</t>
  </si>
  <si>
    <t xml:space="preserve">yara.johnson@gmail.com </t>
  </si>
  <si>
    <t>+1-726-688-2195</t>
  </si>
  <si>
    <t>PLN 2,296.53</t>
  </si>
  <si>
    <t>ORD-100623</t>
  </si>
  <si>
    <t>17.03.2024</t>
  </si>
  <si>
    <t>ethan.lee@outlook.com</t>
  </si>
  <si>
    <t>zł3,234.41</t>
  </si>
  <si>
    <t>ORD-100582</t>
  </si>
  <si>
    <t>03/11/2024</t>
  </si>
  <si>
    <t>CUST-5267</t>
  </si>
  <si>
    <t>Ethan  Lee</t>
  </si>
  <si>
    <t>e than.lee@outlook.com</t>
  </si>
  <si>
    <t xml:space="preserve">+44 265 338 3328 </t>
  </si>
  <si>
    <t>GBP 4,248.76</t>
  </si>
  <si>
    <t>ORD-100781</t>
  </si>
  <si>
    <t>19-Oct-2023</t>
  </si>
  <si>
    <t>CUST-5561</t>
  </si>
  <si>
    <t xml:space="preserve"> Ethan Garcia</t>
  </si>
  <si>
    <t>ethan.garcia@gmail.com</t>
  </si>
  <si>
    <t xml:space="preserve"> +1-415-480-9290</t>
  </si>
  <si>
    <t>zł591.83</t>
  </si>
  <si>
    <t>ORD-100651</t>
  </si>
  <si>
    <t>2024-05-23 02:25</t>
  </si>
  <si>
    <t>CUST-5436</t>
  </si>
  <si>
    <t>TARA LPOEZ</t>
  </si>
  <si>
    <t xml:space="preserve"> tara.lopez@yahoo.com</t>
  </si>
  <si>
    <t xml:space="preserve">00956 627 597 </t>
  </si>
  <si>
    <t>$1650,05</t>
  </si>
  <si>
    <t>ORD-100379</t>
  </si>
  <si>
    <t>EUR 1,659.95</t>
  </si>
  <si>
    <t xml:space="preserve">Pickpu </t>
  </si>
  <si>
    <t>ORD-100626</t>
  </si>
  <si>
    <t>2024-12-19</t>
  </si>
  <si>
    <t>GBP 491.45</t>
  </si>
  <si>
    <t>ORD-100809</t>
  </si>
  <si>
    <t>02-Jun-2024 03:12</t>
  </si>
  <si>
    <t>CUST-5340</t>
  </si>
  <si>
    <t>ILA KING</t>
  </si>
  <si>
    <t xml:space="preserve"> lia.king@company.co.uk</t>
  </si>
  <si>
    <t>+1-956-351-8735</t>
  </si>
  <si>
    <t>£2,445.41</t>
  </si>
  <si>
    <t>ORD-101013</t>
  </si>
  <si>
    <t>45155 16:16</t>
  </si>
  <si>
    <t>CUST-5510</t>
  </si>
  <si>
    <t xml:space="preserve"> Hanna Brown</t>
  </si>
  <si>
    <t>SKU-1147</t>
  </si>
  <si>
    <t>MECHANICAL KEYBOARD</t>
  </si>
  <si>
    <t>PLN 8,737.86</t>
  </si>
  <si>
    <t>ORD-100656</t>
  </si>
  <si>
    <t>31/10/2023</t>
  </si>
  <si>
    <t>CUST-5246</t>
  </si>
  <si>
    <t>Ken uDbois</t>
  </si>
  <si>
    <t>Ken.Dubois@Gmail.Com</t>
  </si>
  <si>
    <t>08456 451 511</t>
  </si>
  <si>
    <t>PLN 6,405.37</t>
  </si>
  <si>
    <t>ORD-100975</t>
  </si>
  <si>
    <t>11/07/2024 22:31</t>
  </si>
  <si>
    <t>CUST-5109</t>
  </si>
  <si>
    <t xml:space="preserve"> Paula Lopez</t>
  </si>
  <si>
    <t xml:space="preserve"> paula.lopez@company.co.uk</t>
  </si>
  <si>
    <t xml:space="preserve"> +44 326 040 6758</t>
  </si>
  <si>
    <t>GBP 555.59</t>
  </si>
  <si>
    <t>ORD-100752</t>
  </si>
  <si>
    <t>14-Apr-2025 17:56</t>
  </si>
  <si>
    <t>USD 1,453.40</t>
  </si>
  <si>
    <t>ORD-100744</t>
  </si>
  <si>
    <t>Aug 02, 2023</t>
  </si>
  <si>
    <t>CUST-5262</t>
  </si>
  <si>
    <t>Paula Lee</t>
  </si>
  <si>
    <t>paula.lee@shop.io</t>
  </si>
  <si>
    <t>07231 684 678</t>
  </si>
  <si>
    <t>£473.12</t>
  </si>
  <si>
    <t>ORD-100074</t>
  </si>
  <si>
    <t>EUR 1,001.83</t>
  </si>
  <si>
    <t>ORD-100869</t>
  </si>
  <si>
    <t>17/10/2023</t>
  </si>
  <si>
    <t>$1,243.83</t>
  </si>
  <si>
    <t>ORD-100057</t>
  </si>
  <si>
    <t>Nov 18, 2024</t>
  </si>
  <si>
    <t>CUST-5601</t>
  </si>
  <si>
    <t>Gabe  Kowalski</t>
  </si>
  <si>
    <t>GABE.KOWALSKI@YAHOO.COM</t>
  </si>
  <si>
    <t>02949  862  463</t>
  </si>
  <si>
    <t>SKU-1082</t>
  </si>
  <si>
    <t>ORD-100939</t>
  </si>
  <si>
    <t>09/10/2024</t>
  </si>
  <si>
    <t>CUST-5398</t>
  </si>
  <si>
    <t>PAULA DAIVS</t>
  </si>
  <si>
    <t>paula.davis@yahoo.com</t>
  </si>
  <si>
    <t>04442 866 401</t>
  </si>
  <si>
    <t>Pedning</t>
  </si>
  <si>
    <t>$5,076.91</t>
  </si>
  <si>
    <t>ORD-100462</t>
  </si>
  <si>
    <t>45759 11:08</t>
  </si>
  <si>
    <t>CUST-5040</t>
  </si>
  <si>
    <t>Daria Young</t>
  </si>
  <si>
    <t>Daria.Young@Comapny.Co.Uk</t>
  </si>
  <si>
    <t>USD 280.53</t>
  </si>
  <si>
    <t>ORD-100344</t>
  </si>
  <si>
    <t>45149</t>
  </si>
  <si>
    <t>CUST-5142</t>
  </si>
  <si>
    <t>Nina Kowalski</t>
  </si>
  <si>
    <t>NINA.KOWALSKI@GMAIL.COM</t>
  </si>
  <si>
    <t xml:space="preserve">+1-889-774-7383 </t>
  </si>
  <si>
    <t>SKU-1092</t>
  </si>
  <si>
    <t>EUR 3,397.16</t>
  </si>
  <si>
    <t>ORD-100217</t>
  </si>
  <si>
    <t>10/05/2024 00:08</t>
  </si>
  <si>
    <t>$1392,7</t>
  </si>
  <si>
    <t>Cas h</t>
  </si>
  <si>
    <t>ORD-100652</t>
  </si>
  <si>
    <t>45505</t>
  </si>
  <si>
    <t xml:space="preserve"> Sihpped</t>
  </si>
  <si>
    <t>£2,985.27</t>
  </si>
  <si>
    <t xml:space="preserve">Experss </t>
  </si>
  <si>
    <t>ORD-100610</t>
  </si>
  <si>
    <t>CUST-5487</t>
  </si>
  <si>
    <t>Igor Novak</t>
  </si>
  <si>
    <t>07277  108  871</t>
  </si>
  <si>
    <t>C ancelled</t>
  </si>
  <si>
    <t>PLN 3,462.55</t>
  </si>
  <si>
    <t>ORD-100887</t>
  </si>
  <si>
    <t>2024-11-11</t>
  </si>
  <si>
    <t>CUST-5647</t>
  </si>
  <si>
    <t xml:space="preserve"> Daria Novak</t>
  </si>
  <si>
    <t>daria.novak@outlook.com</t>
  </si>
  <si>
    <t>03894  672  433</t>
  </si>
  <si>
    <t>PLN 294.12</t>
  </si>
  <si>
    <t>ORD-100326</t>
  </si>
  <si>
    <t>03-Feb-2023 01:24</t>
  </si>
  <si>
    <t>CUST-5163</t>
  </si>
  <si>
    <t xml:space="preserve">Tara Young </t>
  </si>
  <si>
    <t>TARA.YOUNG@OUTLOOK.COM</t>
  </si>
  <si>
    <t>Marketplac e</t>
  </si>
  <si>
    <t>£1,342.85</t>
  </si>
  <si>
    <t>ORD-100500</t>
  </si>
  <si>
    <t>20/10/2024</t>
  </si>
  <si>
    <t>SKU-1072</t>
  </si>
  <si>
    <t>BLUETOOTH SPEAKER</t>
  </si>
  <si>
    <t>$2,372.28</t>
  </si>
  <si>
    <t>ORD-100657</t>
  </si>
  <si>
    <t>45890</t>
  </si>
  <si>
    <t>CUST-5527</t>
  </si>
  <si>
    <t>Xenia  Lee</t>
  </si>
  <si>
    <t>xenia.lee@example.com</t>
  </si>
  <si>
    <t xml:space="preserve">+44 599 233 0649 </t>
  </si>
  <si>
    <t>EUR 635.12</t>
  </si>
  <si>
    <t>ORD-100643</t>
  </si>
  <si>
    <t>05/16/2023</t>
  </si>
  <si>
    <t>PLN 2,643.02</t>
  </si>
  <si>
    <t>ORD-100445</t>
  </si>
  <si>
    <t>2025-06-07 08:37</t>
  </si>
  <si>
    <t>GBP 1,380.17</t>
  </si>
  <si>
    <t>ORD-101018</t>
  </si>
  <si>
    <t>01.07.2024 06:54</t>
  </si>
  <si>
    <t>PLN 185.61</t>
  </si>
  <si>
    <t>ORD-100006</t>
  </si>
  <si>
    <t>04.12.2023</t>
  </si>
  <si>
    <t>CUST-5428</t>
  </si>
  <si>
    <t>Jade  Kowalczyk</t>
  </si>
  <si>
    <t>+44  468  628  2782</t>
  </si>
  <si>
    <t>USD 533.76</t>
  </si>
  <si>
    <t>ORD-100397</t>
  </si>
  <si>
    <t>27.10.2023</t>
  </si>
  <si>
    <t>CUST-5572</t>
  </si>
  <si>
    <t>Zack Taylor</t>
  </si>
  <si>
    <t>zack.taylor@outlook.com</t>
  </si>
  <si>
    <t xml:space="preserve">05817 918 570 </t>
  </si>
  <si>
    <t>$1,868.26</t>
  </si>
  <si>
    <t>ORD-100430</t>
  </si>
  <si>
    <t>2023-04-10 12:12</t>
  </si>
  <si>
    <t>$1816,84</t>
  </si>
  <si>
    <t>ORD-100895</t>
  </si>
  <si>
    <t>Feb 05, 2024</t>
  </si>
  <si>
    <t>CUST-5372</t>
  </si>
  <si>
    <t>Sam Williams</t>
  </si>
  <si>
    <t>sma.williams@yahoo.com</t>
  </si>
  <si>
    <t xml:space="preserve"> +1-696-756-7493</t>
  </si>
  <si>
    <t>£3712,62</t>
  </si>
  <si>
    <t>ORD-100138</t>
  </si>
  <si>
    <t>45419</t>
  </si>
  <si>
    <t>CUST-5617</t>
  </si>
  <si>
    <t>Bella  Rodriguez</t>
  </si>
  <si>
    <t xml:space="preserve"> bella.rodriguez@gmail.com</t>
  </si>
  <si>
    <t xml:space="preserve"> 00232 415 018</t>
  </si>
  <si>
    <t>SKU-1145</t>
  </si>
  <si>
    <t>Usb-C Hub 7In1</t>
  </si>
  <si>
    <t>GBP 1,636.08</t>
  </si>
  <si>
    <t>ORD-100163</t>
  </si>
  <si>
    <t>Feb 02, 2023</t>
  </si>
  <si>
    <t>zł1,114.59</t>
  </si>
  <si>
    <t>ORD-100671</t>
  </si>
  <si>
    <t>Jul 22, 2023 18:02</t>
  </si>
  <si>
    <t>CUST-5568</t>
  </si>
  <si>
    <t xml:space="preserve">Uma Davis </t>
  </si>
  <si>
    <t xml:space="preserve">uma.davis@outlook.com </t>
  </si>
  <si>
    <t xml:space="preserve"> +44 818 573 4980</t>
  </si>
  <si>
    <t>£5,014.33</t>
  </si>
  <si>
    <t>ORD-100503</t>
  </si>
  <si>
    <t>20-Jul-2024</t>
  </si>
  <si>
    <t>SKU-1057</t>
  </si>
  <si>
    <t>£389.83</t>
  </si>
  <si>
    <t>ORD-101070</t>
  </si>
  <si>
    <t>07-Nov-2023</t>
  </si>
  <si>
    <t>CUST-5695</t>
  </si>
  <si>
    <t>nina.muller@yahoo.com</t>
  </si>
  <si>
    <t xml:space="preserve">+1-356-445-9488 </t>
  </si>
  <si>
    <t>EUR 1,407.54</t>
  </si>
  <si>
    <t>ORD-100043</t>
  </si>
  <si>
    <t>45001</t>
  </si>
  <si>
    <t>CUST-5018</t>
  </si>
  <si>
    <t>KEN MULLER</t>
  </si>
  <si>
    <t>ken.muller@gmail.com</t>
  </si>
  <si>
    <t>PLN 534.65</t>
  </si>
  <si>
    <t>ORD-100703</t>
  </si>
  <si>
    <t>04.04.2023 08:14</t>
  </si>
  <si>
    <t>CUST-5129</t>
  </si>
  <si>
    <t>Marek Lopez</t>
  </si>
  <si>
    <t>marke.lopez@outlook.com</t>
  </si>
  <si>
    <t xml:space="preserve"> +44 957 175 6350</t>
  </si>
  <si>
    <t>PLN 1,498.09</t>
  </si>
  <si>
    <t>ORD-100965</t>
  </si>
  <si>
    <t>45728</t>
  </si>
  <si>
    <t>CUST-5664</t>
  </si>
  <si>
    <t>Adam Rodriguze</t>
  </si>
  <si>
    <t>adam.rodriguez@example.com</t>
  </si>
  <si>
    <t xml:space="preserve">+1-225-906-4722 </t>
  </si>
  <si>
    <t>PLN 302.92</t>
  </si>
  <si>
    <t>ORD-100733</t>
  </si>
  <si>
    <t>09.12.2023</t>
  </si>
  <si>
    <t>CUST-5416</t>
  </si>
  <si>
    <t xml:space="preserve"> Ethan Lopez</t>
  </si>
  <si>
    <t>ethan.lopez@example.com</t>
  </si>
  <si>
    <t xml:space="preserve">04741 968 503 </t>
  </si>
  <si>
    <t>PLN 1,288.95</t>
  </si>
  <si>
    <t>ORD-100777</t>
  </si>
  <si>
    <t>2025/01/26 16:20</t>
  </si>
  <si>
    <t>CUST-5200</t>
  </si>
  <si>
    <t>Igor Martinez</t>
  </si>
  <si>
    <t>Igor.Martinez@Yahoo.Com</t>
  </si>
  <si>
    <t>+1-293-359-8827</t>
  </si>
  <si>
    <t>oMbile App</t>
  </si>
  <si>
    <t>GBP 1,137.64</t>
  </si>
  <si>
    <t>ORD-100756</t>
  </si>
  <si>
    <t>2023-10-15 17:29</t>
  </si>
  <si>
    <t>CUST-5330</t>
  </si>
  <si>
    <t>Paula Johnson</t>
  </si>
  <si>
    <t>PAULA.JOHNSON@EXAMPLE.COM</t>
  </si>
  <si>
    <t>+1-385-439-8888</t>
  </si>
  <si>
    <t>GBP 2,341.98</t>
  </si>
  <si>
    <t>ORD-100294</t>
  </si>
  <si>
    <t>45416</t>
  </si>
  <si>
    <t>CUST-5029</t>
  </si>
  <si>
    <t xml:space="preserve">Vlad Kowalski </t>
  </si>
  <si>
    <t xml:space="preserve"> vlad.kowalski@yahoo.com</t>
  </si>
  <si>
    <t>07853 352 230</t>
  </si>
  <si>
    <t>£3737,79</t>
  </si>
  <si>
    <t>ORD-100372</t>
  </si>
  <si>
    <t>24-Sep-2024</t>
  </si>
  <si>
    <t>CUST-5192</t>
  </si>
  <si>
    <t>PAULA.MARTINEZ@GMAIL.COM</t>
  </si>
  <si>
    <t>+1-851-812-7650</t>
  </si>
  <si>
    <t>SKU-1042</t>
  </si>
  <si>
    <t>€8,069.31</t>
  </si>
  <si>
    <t>Gif tCard</t>
  </si>
  <si>
    <t>ORD-100498</t>
  </si>
  <si>
    <t>05/10/2023</t>
  </si>
  <si>
    <t>MARKETPLCAE</t>
  </si>
  <si>
    <t>£1275,4</t>
  </si>
  <si>
    <t>ORD-100409</t>
  </si>
  <si>
    <t>29-May-2024 13:34</t>
  </si>
  <si>
    <t>CUST-5209</t>
  </si>
  <si>
    <t xml:space="preserve"> Carlos Kowalczyk </t>
  </si>
  <si>
    <t xml:space="preserve"> carlos.kowalcyzk@shop.io</t>
  </si>
  <si>
    <t>08170 623 161</t>
  </si>
  <si>
    <t>zł382.32</t>
  </si>
  <si>
    <t>ORD-100019</t>
  </si>
  <si>
    <t>10/12/2023</t>
  </si>
  <si>
    <t>CUST-5071</t>
  </si>
  <si>
    <t>CARLOS MULLER</t>
  </si>
  <si>
    <t>+1-796-665-6440</t>
  </si>
  <si>
    <t>SKU-1098</t>
  </si>
  <si>
    <t>ORD-100792</t>
  </si>
  <si>
    <t>01/08/2025</t>
  </si>
  <si>
    <t>SKU-1029</t>
  </si>
  <si>
    <t xml:space="preserve"> Storage</t>
  </si>
  <si>
    <t>PLN 1,659.23</t>
  </si>
  <si>
    <t>ORD-101110</t>
  </si>
  <si>
    <t>2025/01/24 23:42</t>
  </si>
  <si>
    <t>SKU-1110</t>
  </si>
  <si>
    <t>ULTRABOOK 14</t>
  </si>
  <si>
    <t xml:space="preserve">Storage </t>
  </si>
  <si>
    <t>USD 3,042.79</t>
  </si>
  <si>
    <t>ORD-100621</t>
  </si>
  <si>
    <t>29-Mar-2023</t>
  </si>
  <si>
    <t>CUST-5180</t>
  </si>
  <si>
    <t>Zack Kowalski</t>
  </si>
  <si>
    <t>ZACK.KOWALSKI@EXAMPLE.COM</t>
  </si>
  <si>
    <t xml:space="preserve">+1-552-967-6168 </t>
  </si>
  <si>
    <t>£2,061.22</t>
  </si>
  <si>
    <t>ORD-100641</t>
  </si>
  <si>
    <t>2024/09/16 14:29</t>
  </si>
  <si>
    <t xml:space="preserve"> Carlos Lee</t>
  </si>
  <si>
    <t>carlos.lee@company.co.uk</t>
  </si>
  <si>
    <t>£1,940.69</t>
  </si>
  <si>
    <t>ORD-101067</t>
  </si>
  <si>
    <t>2023-11-10</t>
  </si>
  <si>
    <t>CUST-5465</t>
  </si>
  <si>
    <t xml:space="preserve">Zack Kahn </t>
  </si>
  <si>
    <t>ZACK.KHAN@GMAIL.COM</t>
  </si>
  <si>
    <t>+44 444 358 7566</t>
  </si>
  <si>
    <t>PLN 3,256.61</t>
  </si>
  <si>
    <t>NEXTD AY</t>
  </si>
  <si>
    <t>ORD-100598</t>
  </si>
  <si>
    <t>07/30/2023 09:23</t>
  </si>
  <si>
    <t>CUST-5322</t>
  </si>
  <si>
    <t>Rita Khan</t>
  </si>
  <si>
    <t xml:space="preserve"> rita.khan@yahoo.com</t>
  </si>
  <si>
    <t>08102 842 035</t>
  </si>
  <si>
    <t>£1101,55</t>
  </si>
  <si>
    <t xml:space="preserve"> iPckup</t>
  </si>
  <si>
    <t>ORD-100389</t>
  </si>
  <si>
    <t>01/04/2025</t>
  </si>
  <si>
    <t>CUST-5230</t>
  </si>
  <si>
    <t xml:space="preserve">Nina Garcia </t>
  </si>
  <si>
    <t>nina.garcia@yahoo.com</t>
  </si>
  <si>
    <t>+1-908-307-2365</t>
  </si>
  <si>
    <t>ORD-100137</t>
  </si>
  <si>
    <t>45234</t>
  </si>
  <si>
    <t>CUST-5486</t>
  </si>
  <si>
    <t>Daria Rodriguez</t>
  </si>
  <si>
    <t>daria.rodriguez@gmail.com</t>
  </si>
  <si>
    <t>0552 0048 555</t>
  </si>
  <si>
    <t>PLN 520.26</t>
  </si>
  <si>
    <t>ORD-100540</t>
  </si>
  <si>
    <t>25.12.2024</t>
  </si>
  <si>
    <t>Mobiel App</t>
  </si>
  <si>
    <t>EUR 2,792.43</t>
  </si>
  <si>
    <t>ORD-100185</t>
  </si>
  <si>
    <t>01/03/2025</t>
  </si>
  <si>
    <t>CUST-5602</t>
  </si>
  <si>
    <t>Gabe Rodriguez</t>
  </si>
  <si>
    <t>gabe.rodriguez@yahoo.com</t>
  </si>
  <si>
    <t>+44 508 293 0985</t>
  </si>
  <si>
    <t>GBP 4,192.95</t>
  </si>
  <si>
    <t>ORD-100883</t>
  </si>
  <si>
    <t>08/28/2023</t>
  </si>
  <si>
    <t>SKU-1068</t>
  </si>
  <si>
    <t>zł3,593.88</t>
  </si>
  <si>
    <t>ORD-100511</t>
  </si>
  <si>
    <t>04/28/2024</t>
  </si>
  <si>
    <t>CUST-5310</t>
  </si>
  <si>
    <t>Omar King</t>
  </si>
  <si>
    <t xml:space="preserve">omar.king@yahoo.com </t>
  </si>
  <si>
    <t>04871 145 706</t>
  </si>
  <si>
    <t>Spani</t>
  </si>
  <si>
    <t>PLN 1,487.06</t>
  </si>
  <si>
    <t>ORD-101102</t>
  </si>
  <si>
    <t>29-Jul-2025 09:58</t>
  </si>
  <si>
    <t>CUST-5188</t>
  </si>
  <si>
    <t>Xenia Kowalczyk</t>
  </si>
  <si>
    <t xml:space="preserve">xenia.kowalczyk@gmail.com </t>
  </si>
  <si>
    <t>GBP 2,862.74</t>
  </si>
  <si>
    <t>ORD-100523</t>
  </si>
  <si>
    <t>02/14/2024</t>
  </si>
  <si>
    <t>CUST-5001</t>
  </si>
  <si>
    <t>Wiktor  Muller</t>
  </si>
  <si>
    <t>wiktor.muller@shop.io</t>
  </si>
  <si>
    <t xml:space="preserve"> +44 067 818 5136</t>
  </si>
  <si>
    <t>USD 1,216.71</t>
  </si>
  <si>
    <t>ORD-100327</t>
  </si>
  <si>
    <t>CUST-5245</t>
  </si>
  <si>
    <t xml:space="preserve"> Marek King</t>
  </si>
  <si>
    <t>Marek.King@Company.Co.Uk</t>
  </si>
  <si>
    <t>08557 796 697</t>
  </si>
  <si>
    <t>PLN 1,037.00</t>
  </si>
  <si>
    <t>ACSH</t>
  </si>
  <si>
    <t>ORD-100317</t>
  </si>
  <si>
    <t>Jun 06, 2023</t>
  </si>
  <si>
    <t>USD 2,672.40</t>
  </si>
  <si>
    <t>ORD-100768</t>
  </si>
  <si>
    <t>45672</t>
  </si>
  <si>
    <t>adam.martinez@shop.io</t>
  </si>
  <si>
    <t>Marketplcae</t>
  </si>
  <si>
    <t>GBP 3,236.47</t>
  </si>
  <si>
    <t>Standrad</t>
  </si>
  <si>
    <t>ORD-100698</t>
  </si>
  <si>
    <t>2023-09-16 17:09</t>
  </si>
  <si>
    <t>$1656,0</t>
  </si>
  <si>
    <t>Payapl</t>
  </si>
  <si>
    <t>ORD-100959</t>
  </si>
  <si>
    <t>45572</t>
  </si>
  <si>
    <t>CUST-5191</t>
  </si>
  <si>
    <t xml:space="preserve"> Gabe Smith</t>
  </si>
  <si>
    <t>gabe.smith@example.com</t>
  </si>
  <si>
    <t>+1-762-417-3146</t>
  </si>
  <si>
    <t>€538.71</t>
  </si>
  <si>
    <t>ORD-100669</t>
  </si>
  <si>
    <t>2023/09/09</t>
  </si>
  <si>
    <t>CUST-5351</t>
  </si>
  <si>
    <t>UMA LOPEZ</t>
  </si>
  <si>
    <t>Uma.Lopez@Company.Co.Uk</t>
  </si>
  <si>
    <t>04945  481  349</t>
  </si>
  <si>
    <t>SKU-1071</t>
  </si>
  <si>
    <t>USD 2,086.37</t>
  </si>
  <si>
    <t>Qi K ing</t>
  </si>
  <si>
    <t>ORD-100618</t>
  </si>
  <si>
    <t>45113</t>
  </si>
  <si>
    <t>GBP 3,114.33</t>
  </si>
  <si>
    <t xml:space="preserve">Bakn Transfer </t>
  </si>
  <si>
    <t>ORD-100399</t>
  </si>
  <si>
    <t>06/09/2023</t>
  </si>
  <si>
    <t>CUST-5394</t>
  </si>
  <si>
    <t>Sam Maritnez</t>
  </si>
  <si>
    <t>sam.martinez@example.com</t>
  </si>
  <si>
    <t xml:space="preserve">07782 630 910 </t>
  </si>
  <si>
    <t>GBP 1,068.54</t>
  </si>
  <si>
    <t>ORD-100842</t>
  </si>
  <si>
    <t>45399</t>
  </si>
  <si>
    <t>EUR 1,395.04</t>
  </si>
  <si>
    <t>ORD-100148</t>
  </si>
  <si>
    <t>Feb 06, 2023</t>
  </si>
  <si>
    <t>CUST-5114</t>
  </si>
  <si>
    <t xml:space="preserve"> Vlad Kowalski</t>
  </si>
  <si>
    <t>vlad.kowalski@yahoo.com</t>
  </si>
  <si>
    <t>02129  837  518</t>
  </si>
  <si>
    <t>Gremany</t>
  </si>
  <si>
    <t>GBP 108.49</t>
  </si>
  <si>
    <t>ORD-101125</t>
  </si>
  <si>
    <t>10-Dec-2023</t>
  </si>
  <si>
    <t>USD 1,092.56</t>
  </si>
  <si>
    <t>ORD-100878</t>
  </si>
  <si>
    <t>12.07.2025 14:30</t>
  </si>
  <si>
    <t>CUST-5448</t>
  </si>
  <si>
    <t>MAREK SMITH</t>
  </si>
  <si>
    <t>marek.smith@gmail.com</t>
  </si>
  <si>
    <t>+44 566 139 0517</t>
  </si>
  <si>
    <t>EUR 1,776.43</t>
  </si>
  <si>
    <t>ORD-100701</t>
  </si>
  <si>
    <t>07-Sep-2025</t>
  </si>
  <si>
    <t>CUST-5017</t>
  </si>
  <si>
    <t xml:space="preserve"> Rita Lopez</t>
  </si>
  <si>
    <t>RITA.LOPZE@COMPANY.CO.UK</t>
  </si>
  <si>
    <t>07833 724 997</t>
  </si>
  <si>
    <t>GBP 2,162.99</t>
  </si>
  <si>
    <t>NETX DAY</t>
  </si>
  <si>
    <t>ORD-100899</t>
  </si>
  <si>
    <t>45012 22:34</t>
  </si>
  <si>
    <t>GBP 1,390.95</t>
  </si>
  <si>
    <t>Gift Crad</t>
  </si>
  <si>
    <t>ORD-100927</t>
  </si>
  <si>
    <t>11-Jan-2023</t>
  </si>
  <si>
    <t>CUST-5464</t>
  </si>
  <si>
    <t>Igor Lee</t>
  </si>
  <si>
    <t>igor.lee@shop.io</t>
  </si>
  <si>
    <t>PLN 769.95</t>
  </si>
  <si>
    <t>ORD-100757</t>
  </si>
  <si>
    <t>2023-07-25</t>
  </si>
  <si>
    <t>CUST-5148</t>
  </si>
  <si>
    <t>Yara Nowak</t>
  </si>
  <si>
    <t xml:space="preserve"> yara.nowak@yahoo.com</t>
  </si>
  <si>
    <t xml:space="preserve"> 06750 972 902</t>
  </si>
  <si>
    <t>zł1588,47</t>
  </si>
  <si>
    <t>ORD-100748</t>
  </si>
  <si>
    <t>45468</t>
  </si>
  <si>
    <t>CUST-5081</t>
  </si>
  <si>
    <t xml:space="preserve">Adam Lee </t>
  </si>
  <si>
    <t>Adam.Lee@Shop.Io</t>
  </si>
  <si>
    <t>+1-294-205-6573</t>
  </si>
  <si>
    <t>SKU-1122</t>
  </si>
  <si>
    <t>External  SSD  1TB</t>
  </si>
  <si>
    <t>£776.41</t>
  </si>
  <si>
    <t xml:space="preserve"> Cahs</t>
  </si>
  <si>
    <t>ORD-100868</t>
  </si>
  <si>
    <t>Dec 20, 2023</t>
  </si>
  <si>
    <t>CUST-5123</t>
  </si>
  <si>
    <t xml:space="preserve"> Fiona Nvoak</t>
  </si>
  <si>
    <t xml:space="preserve"> fiona.novak@company.co.uk</t>
  </si>
  <si>
    <t>+1-877-902-8444</t>
  </si>
  <si>
    <t>$5,167.23</t>
  </si>
  <si>
    <t>ORD-100798</t>
  </si>
  <si>
    <t>08/02/2023</t>
  </si>
  <si>
    <t>CUST-5687</t>
  </si>
  <si>
    <t>Hanna Nowak</t>
  </si>
  <si>
    <t>HANNA.NOWAK@OTULOOK.COM</t>
  </si>
  <si>
    <t>+44 029 676 9606</t>
  </si>
  <si>
    <t>zł1324,76</t>
  </si>
  <si>
    <t>ORD-100232</t>
  </si>
  <si>
    <t>29-Nov-2024</t>
  </si>
  <si>
    <t>CUST-5413</t>
  </si>
  <si>
    <t>Zack Novak</t>
  </si>
  <si>
    <t>ZACK.NOVAK@OUTLOOK.COM</t>
  </si>
  <si>
    <t>zł2365,8</t>
  </si>
  <si>
    <t>ORD-100857</t>
  </si>
  <si>
    <t>May 06, 2023</t>
  </si>
  <si>
    <t>SKU-1002</t>
  </si>
  <si>
    <t>PLN 3,080.62</t>
  </si>
  <si>
    <t>ORD-100795</t>
  </si>
  <si>
    <t>Jun 04, 2024 05:19</t>
  </si>
  <si>
    <t>CUST-5642</t>
  </si>
  <si>
    <t>Vlad Novak</t>
  </si>
  <si>
    <t xml:space="preserve">vlad.novak@company.co.uk </t>
  </si>
  <si>
    <t>09258 173 243</t>
  </si>
  <si>
    <t>£4832,66</t>
  </si>
  <si>
    <t>ORD-100632</t>
  </si>
  <si>
    <t>18.09.2025</t>
  </si>
  <si>
    <t>EUR 1,797.35</t>
  </si>
  <si>
    <t>ORD-100158</t>
  </si>
  <si>
    <t>2025-08-19</t>
  </si>
  <si>
    <t>EUR 2,664.11</t>
  </si>
  <si>
    <t>ORD-100315</t>
  </si>
  <si>
    <t>2025-03-31</t>
  </si>
  <si>
    <t>CUST-5079</t>
  </si>
  <si>
    <t>Hanna Johnson</t>
  </si>
  <si>
    <t xml:space="preserve">hanna.johnson@shop.io </t>
  </si>
  <si>
    <t>09755 459 199</t>
  </si>
  <si>
    <t>PLN 1,216.07</t>
  </si>
  <si>
    <t>ORD-100256</t>
  </si>
  <si>
    <t>45620 04:57</t>
  </si>
  <si>
    <t>CUST-5276</t>
  </si>
  <si>
    <t>Uma Davis</t>
  </si>
  <si>
    <t>UMA.DAVIS@OUTLOOK.COM</t>
  </si>
  <si>
    <t>+1-709-577-7571</t>
  </si>
  <si>
    <t>USD 1,841.29</t>
  </si>
  <si>
    <t>NEXT DYA</t>
  </si>
  <si>
    <t>ORD-100700</t>
  </si>
  <si>
    <t>2024-11-07 16:30</t>
  </si>
  <si>
    <t>CUST-5105</t>
  </si>
  <si>
    <t xml:space="preserve">Qi Johnson </t>
  </si>
  <si>
    <t>qi.johnson@gmail.com</t>
  </si>
  <si>
    <t>GBP 1,984.77</t>
  </si>
  <si>
    <t>ORD-100096</t>
  </si>
  <si>
    <t>Aug 14, 2023</t>
  </si>
  <si>
    <t>CUST-5578</t>
  </si>
  <si>
    <t xml:space="preserve">tara.johnson@gmail.com </t>
  </si>
  <si>
    <t>+1-348-677-9041</t>
  </si>
  <si>
    <t>MAKRETPLACE</t>
  </si>
  <si>
    <t>PLN 6,010.71</t>
  </si>
  <si>
    <t>ORD-101135</t>
  </si>
  <si>
    <t>16/04/2024 11:15</t>
  </si>
  <si>
    <t>CUST-5103</t>
  </si>
  <si>
    <t>Rita King</t>
  </si>
  <si>
    <t>rita.king@example.com</t>
  </si>
  <si>
    <t>+44 759 257 7820</t>
  </si>
  <si>
    <t>SKU-1113</t>
  </si>
  <si>
    <t>PLN 1,504.86</t>
  </si>
  <si>
    <t>ORD-100812</t>
  </si>
  <si>
    <t>45453</t>
  </si>
  <si>
    <t>CUST-5362</t>
  </si>
  <si>
    <t>Ethan Martinez</t>
  </si>
  <si>
    <t>Ethan.Martinez@Gmail.Com</t>
  </si>
  <si>
    <t xml:space="preserve">05248 784 256 </t>
  </si>
  <si>
    <t>SKU-1094</t>
  </si>
  <si>
    <t>zł368.26</t>
  </si>
  <si>
    <t>ORD-101056</t>
  </si>
  <si>
    <t>24/07/2025</t>
  </si>
  <si>
    <t>CUST-5511</t>
  </si>
  <si>
    <t xml:space="preserve">Fiona Martinez </t>
  </si>
  <si>
    <t>fiona.martinez@example.com</t>
  </si>
  <si>
    <t xml:space="preserve">09761 945 108 </t>
  </si>
  <si>
    <t>$361.16</t>
  </si>
  <si>
    <t>ORD-100673</t>
  </si>
  <si>
    <t>05/14/2024</t>
  </si>
  <si>
    <t>MRAKETPLACE</t>
  </si>
  <si>
    <t>zł200,61</t>
  </si>
  <si>
    <t>ORD-100328</t>
  </si>
  <si>
    <t>2024-12-07 10:43</t>
  </si>
  <si>
    <t>€201.77</t>
  </si>
  <si>
    <t>ORD-100314</t>
  </si>
  <si>
    <t>2023-02-12 02:32</t>
  </si>
  <si>
    <t xml:space="preserve"> wiktor.young@outlook.com</t>
  </si>
  <si>
    <t>€2,434.44</t>
  </si>
  <si>
    <t>ORD-100357</t>
  </si>
  <si>
    <t>10-May-2023</t>
  </si>
  <si>
    <t>+44 412 619 3915</t>
  </si>
  <si>
    <t>£19.70</t>
  </si>
  <si>
    <t>ORD-100347</t>
  </si>
  <si>
    <t>2023-02-17 22:10</t>
  </si>
  <si>
    <t>CUST-5113</t>
  </si>
  <si>
    <t>Uma Lopez</t>
  </si>
  <si>
    <t>uma.lopez@gmail.com</t>
  </si>
  <si>
    <t xml:space="preserve">04127 860 366 </t>
  </si>
  <si>
    <t>zł1,073.45</t>
  </si>
  <si>
    <t>Exprses</t>
  </si>
  <si>
    <t>ORD-100508</t>
  </si>
  <si>
    <t>May 16, 2024 14:47</t>
  </si>
  <si>
    <t>CUST-5076</t>
  </si>
  <si>
    <t>CARLOS.DAVIS@YAHOO.COM</t>
  </si>
  <si>
    <t>04281  152  896</t>
  </si>
  <si>
    <t>€1289,96</t>
  </si>
  <si>
    <t xml:space="preserve">EUR </t>
  </si>
  <si>
    <t>ORD-101004</t>
  </si>
  <si>
    <t>45702</t>
  </si>
  <si>
    <t>£420,61</t>
  </si>
  <si>
    <t>ORD-100504</t>
  </si>
  <si>
    <t>2023/02/13</t>
  </si>
  <si>
    <t>CUST-5095</t>
  </si>
  <si>
    <t>Gabe Novak</t>
  </si>
  <si>
    <t>+1-792-936-1740</t>
  </si>
  <si>
    <t>PLN 2,775.46</t>
  </si>
  <si>
    <t>ORD-101076</t>
  </si>
  <si>
    <t>09/07/2023</t>
  </si>
  <si>
    <t>CUST-5518</t>
  </si>
  <si>
    <t>BELLA KING</t>
  </si>
  <si>
    <t>bella.king@shop.io</t>
  </si>
  <si>
    <t>+44  339  668  6502</t>
  </si>
  <si>
    <t>£364.80</t>
  </si>
  <si>
    <t>ORD-100747</t>
  </si>
  <si>
    <t>Dec 04, 2023 13:51</t>
  </si>
  <si>
    <t>CUST-5509</t>
  </si>
  <si>
    <t>xenia.rossi@gmail.com</t>
  </si>
  <si>
    <t>+1-707-863-7526</t>
  </si>
  <si>
    <t>GBP 906.19</t>
  </si>
  <si>
    <t>ORD-100249</t>
  </si>
  <si>
    <t>Jan 30, 2023</t>
  </si>
  <si>
    <t>GBP 1,068.05</t>
  </si>
  <si>
    <t>ORD-100970</t>
  </si>
  <si>
    <t>45712</t>
  </si>
  <si>
    <t>CUST-5489</t>
  </si>
  <si>
    <t xml:space="preserve">Bella Lee </t>
  </si>
  <si>
    <t>bella.lee@company.co.uk</t>
  </si>
  <si>
    <t>+1-773-226-5983</t>
  </si>
  <si>
    <t>PLN 2,130.10</t>
  </si>
  <si>
    <t>GiftC ard</t>
  </si>
  <si>
    <t>ORD-100015</t>
  </si>
  <si>
    <t>May 26, 2024</t>
  </si>
  <si>
    <t>CUST-5560</t>
  </si>
  <si>
    <t>00900 389 633</t>
  </si>
  <si>
    <t>£4693,99</t>
  </si>
  <si>
    <t>ORD-100159</t>
  </si>
  <si>
    <t>Jan 18, 2023 10:08</t>
  </si>
  <si>
    <t>EUR 567.98</t>
  </si>
  <si>
    <t>ORD-100667</t>
  </si>
  <si>
    <t>2025/05/22 22:26</t>
  </si>
  <si>
    <t>£747.99</t>
  </si>
  <si>
    <t>ORD-100556</t>
  </si>
  <si>
    <t>23.08.2023</t>
  </si>
  <si>
    <t>EUR 645.02</t>
  </si>
  <si>
    <t>ORD-100360</t>
  </si>
  <si>
    <t>06-Sep-2024</t>
  </si>
  <si>
    <t>CUST-5167</t>
  </si>
  <si>
    <t>Fiona Taylor</t>
  </si>
  <si>
    <t>Fiona.TaylorY@ahoo.Com</t>
  </si>
  <si>
    <t xml:space="preserve"> +1-760-671-5543</t>
  </si>
  <si>
    <t>Poladn</t>
  </si>
  <si>
    <t>USD 648.32</t>
  </si>
  <si>
    <t>ORD-100048</t>
  </si>
  <si>
    <t>21/08/2025 23:57</t>
  </si>
  <si>
    <t>$290,85</t>
  </si>
  <si>
    <t>ORD-100890</t>
  </si>
  <si>
    <t>21.03.2024</t>
  </si>
  <si>
    <t>CUST-5421</t>
  </si>
  <si>
    <t xml:space="preserve">Xenia Gacria </t>
  </si>
  <si>
    <t>xenia.garcia@hsop.io</t>
  </si>
  <si>
    <t xml:space="preserve">08651 364 717 </t>
  </si>
  <si>
    <t>PLN 2,647.58</t>
  </si>
  <si>
    <t>ORD-100330</t>
  </si>
  <si>
    <t>2025-07-02</t>
  </si>
  <si>
    <t>CUST-5146</t>
  </si>
  <si>
    <t>hanna.brown@shop.io</t>
  </si>
  <si>
    <t>+1-275-964-4939</t>
  </si>
  <si>
    <t>€7,667.54</t>
  </si>
  <si>
    <t>ORD-100431</t>
  </si>
  <si>
    <t>2023/11/02</t>
  </si>
  <si>
    <t>ePnding</t>
  </si>
  <si>
    <t>USD 3,586.43</t>
  </si>
  <si>
    <t xml:space="preserve">iGft Card </t>
  </si>
  <si>
    <t>ORD-100112</t>
  </si>
  <si>
    <t>14-Oct-2023</t>
  </si>
  <si>
    <t>USD 512.21</t>
  </si>
  <si>
    <t>ORD-101022</t>
  </si>
  <si>
    <t>2023/04/03</t>
  </si>
  <si>
    <t>CUST-5193</t>
  </si>
  <si>
    <t>Adam Dubois</t>
  </si>
  <si>
    <t xml:space="preserve">adam.dubois@yahoo.com </t>
  </si>
  <si>
    <t>+44 513 930 7632</t>
  </si>
  <si>
    <t>USD 537.32</t>
  </si>
  <si>
    <t>US D</t>
  </si>
  <si>
    <t>ORD-100307</t>
  </si>
  <si>
    <t>Feb 13, 2023 20:18</t>
  </si>
  <si>
    <t>£4,400.39</t>
  </si>
  <si>
    <t>ORD-100778</t>
  </si>
  <si>
    <t>45762 22:31</t>
  </si>
  <si>
    <t>USD 1,073.90</t>
  </si>
  <si>
    <t>ORD-100435</t>
  </si>
  <si>
    <t>45595</t>
  </si>
  <si>
    <t>CUST-5439</t>
  </si>
  <si>
    <t xml:space="preserve">Hanna Muller </t>
  </si>
  <si>
    <t>Hanna.Muller@Shop.Io</t>
  </si>
  <si>
    <t xml:space="preserve"> +44 541 964 3236</t>
  </si>
  <si>
    <t>PLN 1,593.95</t>
  </si>
  <si>
    <t xml:space="preserve">Fiona Dubois </t>
  </si>
  <si>
    <t>ORD-100782</t>
  </si>
  <si>
    <t>10-Aug-2023</t>
  </si>
  <si>
    <t>CUST-5275</t>
  </si>
  <si>
    <t>Ken  Martinez</t>
  </si>
  <si>
    <t xml:space="preserve"> ken.martinez@example.com</t>
  </si>
  <si>
    <t>06441  706  338</t>
  </si>
  <si>
    <t>PLN 637.93</t>
  </si>
  <si>
    <t>ORD-100999</t>
  </si>
  <si>
    <t>2023/07/27</t>
  </si>
  <si>
    <t>GBP 4,851.98</t>
  </si>
  <si>
    <t>ORD-100658</t>
  </si>
  <si>
    <t>45796</t>
  </si>
  <si>
    <t>£352,12</t>
  </si>
  <si>
    <t>ORD-100754</t>
  </si>
  <si>
    <t>08.02.2025</t>
  </si>
  <si>
    <t>CUST-5628</t>
  </si>
  <si>
    <t>Qi L opez</t>
  </si>
  <si>
    <t>qi.lopez@outlook.com</t>
  </si>
  <si>
    <t xml:space="preserve">07303 033 940 </t>
  </si>
  <si>
    <t>$1624,79</t>
  </si>
  <si>
    <t>ORD-100627</t>
  </si>
  <si>
    <t>09/01/2023</t>
  </si>
  <si>
    <t>CUST-5589</t>
  </si>
  <si>
    <t>Rita Walker</t>
  </si>
  <si>
    <t>rita.walekr@example.com</t>
  </si>
  <si>
    <t xml:space="preserve">+1-820-817-1618 </t>
  </si>
  <si>
    <t>€4525,45</t>
  </si>
  <si>
    <t>aPyPal</t>
  </si>
  <si>
    <t>ORD-100127</t>
  </si>
  <si>
    <t>2024/12/16 11:49</t>
  </si>
  <si>
    <t>CUST-5140</t>
  </si>
  <si>
    <t>Uma Kowalski</t>
  </si>
  <si>
    <t>uma.kowalski@example.com</t>
  </si>
  <si>
    <t>GBP 881.12</t>
  </si>
  <si>
    <t>ORD-100451</t>
  </si>
  <si>
    <t>2024-11-22</t>
  </si>
  <si>
    <t>CUST-5519</t>
  </si>
  <si>
    <t>Fiona Walker</t>
  </si>
  <si>
    <t>fiona.walker@company.co.uk</t>
  </si>
  <si>
    <t>GBP 760.13</t>
  </si>
  <si>
    <t>ORD-100860</t>
  </si>
  <si>
    <t>23/02/2025</t>
  </si>
  <si>
    <t>€999,07</t>
  </si>
  <si>
    <t>ORD-100886</t>
  </si>
  <si>
    <t>45382</t>
  </si>
  <si>
    <t>CUST-5253</t>
  </si>
  <si>
    <t>Wiktor Mratinez</t>
  </si>
  <si>
    <t>wiktor.martinez@gmail.com</t>
  </si>
  <si>
    <t>+44 592 527 4971</t>
  </si>
  <si>
    <t>€2,811.47</t>
  </si>
  <si>
    <t>ORD-100547</t>
  </si>
  <si>
    <t>27.08.2024</t>
  </si>
  <si>
    <t xml:space="preserve">Moblie App </t>
  </si>
  <si>
    <t>PLN 1,034.59</t>
  </si>
  <si>
    <t>ORD-100237</t>
  </si>
  <si>
    <t>Feb 24, 2024 04:37</t>
  </si>
  <si>
    <t>EUR 1,480.01</t>
  </si>
  <si>
    <t>ORD-100167</t>
  </si>
  <si>
    <t>2025/05/28</t>
  </si>
  <si>
    <t>CUST-5161</t>
  </si>
  <si>
    <t xml:space="preserve">Adam Kowalczyk </t>
  </si>
  <si>
    <t xml:space="preserve">09113 840 497 </t>
  </si>
  <si>
    <t>GBP 1,764.36</t>
  </si>
  <si>
    <t>PCIKUP</t>
  </si>
  <si>
    <t>ORD-101048</t>
  </si>
  <si>
    <t>10/04/2025 01:04</t>
  </si>
  <si>
    <t>CUST-5635</t>
  </si>
  <si>
    <t>Uma Young</t>
  </si>
  <si>
    <t>UMA.YOUNG@YAHOO.COM</t>
  </si>
  <si>
    <t>02530 784 876</t>
  </si>
  <si>
    <t>zł1664,28</t>
  </si>
  <si>
    <t>ORD-101090</t>
  </si>
  <si>
    <t>24-Mar-2023</t>
  </si>
  <si>
    <t>CUST-5346</t>
  </si>
  <si>
    <t>Uma Kowalczyk</t>
  </si>
  <si>
    <t>uma.kowalczyk@example.com</t>
  </si>
  <si>
    <t>04932 901 214</t>
  </si>
  <si>
    <t>GBP 8,587.14</t>
  </si>
  <si>
    <t>ORD-100080</t>
  </si>
  <si>
    <t>Jan 05, 2025</t>
  </si>
  <si>
    <t>PLN 8,807.57</t>
  </si>
  <si>
    <t>ORD-100611</t>
  </si>
  <si>
    <t>2024-12-07</t>
  </si>
  <si>
    <t>CUST-5378</t>
  </si>
  <si>
    <t>Uma Novak</t>
  </si>
  <si>
    <t>uma.novak@example.com</t>
  </si>
  <si>
    <t>06494 164 633</t>
  </si>
  <si>
    <t>SHIPEPD</t>
  </si>
  <si>
    <t>USD 1,702.49</t>
  </si>
  <si>
    <t>ORD-100300</t>
  </si>
  <si>
    <t>2024-11-02 11:26</t>
  </si>
  <si>
    <t>GBP 2,781.62</t>
  </si>
  <si>
    <t>P ayPal</t>
  </si>
  <si>
    <t>ORD-100586</t>
  </si>
  <si>
    <t>2023/10/04 13:40</t>
  </si>
  <si>
    <t>£585.97</t>
  </si>
  <si>
    <t>ORD-100324</t>
  </si>
  <si>
    <t>45835</t>
  </si>
  <si>
    <t>PLN 1,019.29</t>
  </si>
  <si>
    <t>ORD-101095</t>
  </si>
  <si>
    <t>2023-05-05 06:54</t>
  </si>
  <si>
    <t>CUST-5364</t>
  </si>
  <si>
    <t>Lia  Nvoak</t>
  </si>
  <si>
    <t xml:space="preserve"> lia.novak@shop.io</t>
  </si>
  <si>
    <t xml:space="preserve"> 05794 434 277</t>
  </si>
  <si>
    <t>USD 796.21</t>
  </si>
  <si>
    <t>ORD-100215</t>
  </si>
  <si>
    <t>02.01.2024 00:06</t>
  </si>
  <si>
    <t>zł67.20</t>
  </si>
  <si>
    <t>Picukp</t>
  </si>
  <si>
    <t>ORD-100589</t>
  </si>
  <si>
    <t>02/21/2025</t>
  </si>
  <si>
    <t>zł4,289.85</t>
  </si>
  <si>
    <t>ORD-100030</t>
  </si>
  <si>
    <t>06/20/2023</t>
  </si>
  <si>
    <t>GBP 2,077.97</t>
  </si>
  <si>
    <t>ORD-100242</t>
  </si>
  <si>
    <t>Dec 13, 2023</t>
  </si>
  <si>
    <t>CUST-5592</t>
  </si>
  <si>
    <t xml:space="preserve"> hanna.kowalski@yahoo.com</t>
  </si>
  <si>
    <t xml:space="preserve"> +1-800-868-8593</t>
  </si>
  <si>
    <t>nI-Store</t>
  </si>
  <si>
    <t>$3,933.22</t>
  </si>
  <si>
    <t>ORD-100668</t>
  </si>
  <si>
    <t>2024/03/24</t>
  </si>
  <si>
    <t>zł1,399.58</t>
  </si>
  <si>
    <t xml:space="preserve"> PLN</t>
  </si>
  <si>
    <t>ORD-100966</t>
  </si>
  <si>
    <t>Apr 11, 2024 03:47</t>
  </si>
  <si>
    <t>EUR 662.89</t>
  </si>
  <si>
    <t>Satndard</t>
  </si>
  <si>
    <t>ORD-100912</t>
  </si>
  <si>
    <t>Sep 21, 2025</t>
  </si>
  <si>
    <t>zł5,111.82</t>
  </si>
  <si>
    <t>BANK TRNASFER</t>
  </si>
  <si>
    <t>ORD-100493</t>
  </si>
  <si>
    <t>31.12.2024 13:23</t>
  </si>
  <si>
    <t>Moblie App</t>
  </si>
  <si>
    <t>PLN 1,282.23</t>
  </si>
  <si>
    <t>ORD-100518</t>
  </si>
  <si>
    <t>08-Dec-2024</t>
  </si>
  <si>
    <t>CUST-5019</t>
  </si>
  <si>
    <t>Gabe Khan</t>
  </si>
  <si>
    <t>gabe.khan@company.co.uk</t>
  </si>
  <si>
    <t>+44 084 293 9784</t>
  </si>
  <si>
    <t>EUR 2,040.68</t>
  </si>
  <si>
    <t>ORD-100853</t>
  </si>
  <si>
    <t>08/30/2023</t>
  </si>
  <si>
    <t>zł1,531.33</t>
  </si>
  <si>
    <t>ORD-100983</t>
  </si>
  <si>
    <t>45411 11:59</t>
  </si>
  <si>
    <t>zł229.62</t>
  </si>
  <si>
    <t>PAYAPL</t>
  </si>
  <si>
    <t>ORD-100027</t>
  </si>
  <si>
    <t>Dec 01, 2023</t>
  </si>
  <si>
    <t>CUST-5545</t>
  </si>
  <si>
    <t>LIA TAYLOR</t>
  </si>
  <si>
    <t>Lia.Taylor@Company.Co.Uk</t>
  </si>
  <si>
    <t>08601  051  272</t>
  </si>
  <si>
    <t>Mobile pAp</t>
  </si>
  <si>
    <t>zł1,329.87</t>
  </si>
  <si>
    <t>ORD-101039</t>
  </si>
  <si>
    <t>26.01.2023</t>
  </si>
  <si>
    <t>€465.47</t>
  </si>
  <si>
    <t>ORD-101032</t>
  </si>
  <si>
    <t>45909</t>
  </si>
  <si>
    <t xml:space="preserve"> Cacnelled</t>
  </si>
  <si>
    <t>£2823,19</t>
  </si>
  <si>
    <t>ORD-100122</t>
  </si>
  <si>
    <t>45730 04:09</t>
  </si>
  <si>
    <t>CUST-5149</t>
  </si>
  <si>
    <t>zack.brown@gmail.com</t>
  </si>
  <si>
    <t>+44 618 836 3159</t>
  </si>
  <si>
    <t xml:space="preserve"> aMrketplace</t>
  </si>
  <si>
    <t>GBP 2,715.70</t>
  </si>
  <si>
    <t>ORD-101064</t>
  </si>
  <si>
    <t>45825</t>
  </si>
  <si>
    <t>CUST-5557</t>
  </si>
  <si>
    <t>LIA DUBOIS</t>
  </si>
  <si>
    <t>lia.dubois@outlook.com</t>
  </si>
  <si>
    <t>+1-435-235-2845</t>
  </si>
  <si>
    <t>GBP 424.28</t>
  </si>
  <si>
    <t>ORD-100990</t>
  </si>
  <si>
    <t>45474</t>
  </si>
  <si>
    <t>£341,68</t>
  </si>
  <si>
    <t>ORD-101142</t>
  </si>
  <si>
    <t>2024-09-23</t>
  </si>
  <si>
    <t>EUR 1,712.75</t>
  </si>
  <si>
    <t>ORD-101021</t>
  </si>
  <si>
    <t>08/17/2023</t>
  </si>
  <si>
    <t>zł472,27</t>
  </si>
  <si>
    <t>ORD-100892</t>
  </si>
  <si>
    <t>27.06.2025</t>
  </si>
  <si>
    <t>GBP 940.59</t>
  </si>
  <si>
    <t>ORD-100702</t>
  </si>
  <si>
    <t>28.01.2024</t>
  </si>
  <si>
    <t>CUST-5693</t>
  </si>
  <si>
    <t>uma.lee@shop.io</t>
  </si>
  <si>
    <t>01465 868 338</t>
  </si>
  <si>
    <t>€3,152.52</t>
  </si>
  <si>
    <t>ORD-100824</t>
  </si>
  <si>
    <t>01-Oct-2023</t>
  </si>
  <si>
    <t>CUST-5474</t>
  </si>
  <si>
    <t>Carlos  Young</t>
  </si>
  <si>
    <t xml:space="preserve">carlos.young@yahoo.com </t>
  </si>
  <si>
    <t>00635 358 767</t>
  </si>
  <si>
    <t xml:space="preserve"> I-nStore</t>
  </si>
  <si>
    <t>$1,923.66</t>
  </si>
  <si>
    <t>ORD-100620</t>
  </si>
  <si>
    <t>03/30/2023 20:01</t>
  </si>
  <si>
    <t>CUST-5208</t>
  </si>
  <si>
    <t>Tara Kowalski</t>
  </si>
  <si>
    <t>TARA.KOWALSKI@OUTLOOK.COM</t>
  </si>
  <si>
    <t>02604  104  382</t>
  </si>
  <si>
    <t>£626.81</t>
  </si>
  <si>
    <t>ORD-100202</t>
  </si>
  <si>
    <t>2024-01-31</t>
  </si>
  <si>
    <t xml:space="preserve"> lia.kowalski@example.com </t>
  </si>
  <si>
    <t>PLN 1,818.40</t>
  </si>
  <si>
    <t>Nex tDay</t>
  </si>
  <si>
    <t>ORD-100403</t>
  </si>
  <si>
    <t>10/08/2024</t>
  </si>
  <si>
    <t>PLN 2,489.82</t>
  </si>
  <si>
    <t>ORD-100731</t>
  </si>
  <si>
    <t>27/03/2023</t>
  </si>
  <si>
    <t>SKU-1049</t>
  </si>
  <si>
    <t>GBP 5,170.26</t>
  </si>
  <si>
    <t>ORD-100362</t>
  </si>
  <si>
    <t>16.11.2023</t>
  </si>
  <si>
    <t>$518,96</t>
  </si>
  <si>
    <t>ORD-100271</t>
  </si>
  <si>
    <t>Aug 05, 2024</t>
  </si>
  <si>
    <t>CUST-5339</t>
  </si>
  <si>
    <t xml:space="preserve"> Gabe Kowalczyk</t>
  </si>
  <si>
    <t xml:space="preserve">gabe.kowalczyk@outlook.com </t>
  </si>
  <si>
    <t>+44 508 353 7003</t>
  </si>
  <si>
    <t>$553.61</t>
  </si>
  <si>
    <t>ORD-101010</t>
  </si>
  <si>
    <t>01-Jun-2023</t>
  </si>
  <si>
    <t>CUST-5325</t>
  </si>
  <si>
    <t>Bella Williams</t>
  </si>
  <si>
    <t xml:space="preserve"> bella.wililams@gmail.com</t>
  </si>
  <si>
    <t xml:space="preserve"> +44 604 5764 416</t>
  </si>
  <si>
    <t>$497.22</t>
  </si>
  <si>
    <t xml:space="preserve">Satndard </t>
  </si>
  <si>
    <t>ORD-100713</t>
  </si>
  <si>
    <t>2024-02-01</t>
  </si>
  <si>
    <t>CUST-5009</t>
  </si>
  <si>
    <t>marek.davis@gmail.com</t>
  </si>
  <si>
    <t>+44 094 948 0914</t>
  </si>
  <si>
    <t>USD 1,089.22</t>
  </si>
  <si>
    <t>ORD-100272</t>
  </si>
  <si>
    <t>45791</t>
  </si>
  <si>
    <t>CUST-5217</t>
  </si>
  <si>
    <t>MAREK.DAVIS@SHOP.IO</t>
  </si>
  <si>
    <t xml:space="preserve"> 05714 726 486</t>
  </si>
  <si>
    <t>£1,805.74</t>
  </si>
  <si>
    <t>ORD-100277</t>
  </si>
  <si>
    <t>15/07/2023</t>
  </si>
  <si>
    <t>CUST-5397</t>
  </si>
  <si>
    <t>Omar  Khan</t>
  </si>
  <si>
    <t xml:space="preserve"> omar.khan@company.co.uk</t>
  </si>
  <si>
    <t>06198 577 636</t>
  </si>
  <si>
    <t>PLN 784.68</t>
  </si>
  <si>
    <t>ORD-101038</t>
  </si>
  <si>
    <t>2023/02/11</t>
  </si>
  <si>
    <t>CUST-5154</t>
  </si>
  <si>
    <t>Yara Muller</t>
  </si>
  <si>
    <t xml:space="preserve">yara.muller@outlook.com </t>
  </si>
  <si>
    <t>+44 967 367 3176</t>
  </si>
  <si>
    <t>£794.74</t>
  </si>
  <si>
    <t>ORD-100012</t>
  </si>
  <si>
    <t>07-May-2023</t>
  </si>
  <si>
    <t>SKU-1126</t>
  </si>
  <si>
    <t>$1,473.37</t>
  </si>
  <si>
    <t>ORD-101108</t>
  </si>
  <si>
    <t>2024-05-12</t>
  </si>
  <si>
    <t>PLN 3,474.28</t>
  </si>
  <si>
    <t>ORD-101120</t>
  </si>
  <si>
    <t>45644</t>
  </si>
  <si>
    <t>CUST-5620</t>
  </si>
  <si>
    <t>Jade Kowalczyk</t>
  </si>
  <si>
    <t>+1-378-556-5043</t>
  </si>
  <si>
    <t>Ireladn</t>
  </si>
  <si>
    <t>EUR 1,118.05</t>
  </si>
  <si>
    <t xml:space="preserve">PaPyal </t>
  </si>
  <si>
    <t>ORD-100998</t>
  </si>
  <si>
    <t>45089</t>
  </si>
  <si>
    <t>PLN 3,043.76</t>
  </si>
  <si>
    <t>ORD-100544</t>
  </si>
  <si>
    <t>2025/03/11</t>
  </si>
  <si>
    <t>CUST-5320</t>
  </si>
  <si>
    <t>bella.king@yahoo.com</t>
  </si>
  <si>
    <t>+44 616 503 8709</t>
  </si>
  <si>
    <t>$5726,99</t>
  </si>
  <si>
    <t>ORD-100913</t>
  </si>
  <si>
    <t>05.03.2025</t>
  </si>
  <si>
    <t>CUST-5041</t>
  </si>
  <si>
    <t>sam.lopez@gmail.com</t>
  </si>
  <si>
    <t xml:space="preserve">04156 44 8686 </t>
  </si>
  <si>
    <t>GBP 1,268.80</t>
  </si>
  <si>
    <t>ORD-100147</t>
  </si>
  <si>
    <t>07/03/2023 05:02</t>
  </si>
  <si>
    <t>CUST-5093</t>
  </si>
  <si>
    <t>Ethan  Dubois</t>
  </si>
  <si>
    <t>Ethan.Dubois@Outlook.Com</t>
  </si>
  <si>
    <t xml:space="preserve"> +44 531 796 6570</t>
  </si>
  <si>
    <t>zł1,575.65</t>
  </si>
  <si>
    <t>PAPYAL</t>
  </si>
  <si>
    <t>ORD-100442</t>
  </si>
  <si>
    <t>Feb 06, 2025</t>
  </si>
  <si>
    <t>CUST-5132</t>
  </si>
  <si>
    <t>Ethan  Walker</t>
  </si>
  <si>
    <t>ethan.walker@company.co.uk</t>
  </si>
  <si>
    <t>+1-207-705-7898</t>
  </si>
  <si>
    <t>rIeland</t>
  </si>
  <si>
    <t>Makretplace</t>
  </si>
  <si>
    <t>EUR 1,195.86</t>
  </si>
  <si>
    <t>ORD-100299</t>
  </si>
  <si>
    <t>21.01.2023 00:37</t>
  </si>
  <si>
    <t>ORD-100115</t>
  </si>
  <si>
    <t>2025-01-05</t>
  </si>
  <si>
    <t>CUST-5225</t>
  </si>
  <si>
    <t>Hanna  Lopez</t>
  </si>
  <si>
    <t>02565 869 963</t>
  </si>
  <si>
    <t>USD 2,987.01</t>
  </si>
  <si>
    <t>ORD-100375</t>
  </si>
  <si>
    <t>2023-10-02</t>
  </si>
  <si>
    <t>CUST-5304</t>
  </si>
  <si>
    <t>Fiona Lee</t>
  </si>
  <si>
    <t>fiona.lee@outlook.com</t>
  </si>
  <si>
    <t xml:space="preserve">08042 317 820 </t>
  </si>
  <si>
    <t>USD 67.16</t>
  </si>
  <si>
    <t>ORD-100736</t>
  </si>
  <si>
    <t>2024-07-09</t>
  </si>
  <si>
    <t>CUST-5697</t>
  </si>
  <si>
    <t>Igor Kwoalski</t>
  </si>
  <si>
    <t>Igor.Kowalski@Company.Co.Uk</t>
  </si>
  <si>
    <t>00085 360 214</t>
  </si>
  <si>
    <t>$214.55</t>
  </si>
  <si>
    <t>ORD-100557</t>
  </si>
  <si>
    <t>05/28/2023</t>
  </si>
  <si>
    <t xml:space="preserve">Uma King </t>
  </si>
  <si>
    <t xml:space="preserve">uma.king@gmail.com  </t>
  </si>
  <si>
    <t>SKU-1023</t>
  </si>
  <si>
    <t xml:space="preserve"> Wireless oMuse</t>
  </si>
  <si>
    <t>GBP 1,844.18</t>
  </si>
  <si>
    <t>ORD-100743</t>
  </si>
  <si>
    <t>2023-03-30</t>
  </si>
  <si>
    <t>CUST-5231</t>
  </si>
  <si>
    <t>Daria Williams</t>
  </si>
  <si>
    <t xml:space="preserve">daria.williams@outlook.com </t>
  </si>
  <si>
    <t>+1-312-930-7871</t>
  </si>
  <si>
    <t>€2,697.01</t>
  </si>
  <si>
    <t>ORD-100724</t>
  </si>
  <si>
    <t>2025/03/04 06:58</t>
  </si>
  <si>
    <t>USD 805.29</t>
  </si>
  <si>
    <t xml:space="preserve"> Stanadrd</t>
  </si>
  <si>
    <t>ORD-100177</t>
  </si>
  <si>
    <t>2024-10-01</t>
  </si>
  <si>
    <t>USD 1,134.81</t>
  </si>
  <si>
    <t>NXET DAY</t>
  </si>
  <si>
    <t>ORD-100528</t>
  </si>
  <si>
    <t>Aug 25, 2025 06:18</t>
  </si>
  <si>
    <t>GBP 3,376.78</t>
  </si>
  <si>
    <t>ORD-100051</t>
  </si>
  <si>
    <t>44981</t>
  </si>
  <si>
    <t>€790,68</t>
  </si>
  <si>
    <t>ORD-100699</t>
  </si>
  <si>
    <t>16/05/2024 02:32</t>
  </si>
  <si>
    <t>GBP 3,095.12</t>
  </si>
  <si>
    <t>ORD-101057</t>
  </si>
  <si>
    <t>Oct 07, 2024</t>
  </si>
  <si>
    <t>€1,508.37</t>
  </si>
  <si>
    <t>ORD-101109</t>
  </si>
  <si>
    <t>45345</t>
  </si>
  <si>
    <t>CUST-5059</t>
  </si>
  <si>
    <t>Lia Williams</t>
  </si>
  <si>
    <t>lia.williams@gmail.com</t>
  </si>
  <si>
    <t>£135,55</t>
  </si>
  <si>
    <t>ORD-100388</t>
  </si>
  <si>
    <t>Jun 22, 2025</t>
  </si>
  <si>
    <t>SKU-1118</t>
  </si>
  <si>
    <t xml:space="preserve">Router AX5400 </t>
  </si>
  <si>
    <t>€3,551.01</t>
  </si>
  <si>
    <t>ORD-100022</t>
  </si>
  <si>
    <t>26.06.2024 22:30</t>
  </si>
  <si>
    <t>CUST-5196</t>
  </si>
  <si>
    <t>TARA KOWALSKI</t>
  </si>
  <si>
    <t>tara.kowalski@example.com</t>
  </si>
  <si>
    <t>+1-944-781-1540</t>
  </si>
  <si>
    <t>PLN 2,959.82</t>
  </si>
  <si>
    <t>ORD-100633</t>
  </si>
  <si>
    <t>45333</t>
  </si>
  <si>
    <t>£146,06</t>
  </si>
  <si>
    <t>PayaPl</t>
  </si>
  <si>
    <t>ORD-101040</t>
  </si>
  <si>
    <t>04.02.2025</t>
  </si>
  <si>
    <t>CUST-5414</t>
  </si>
  <si>
    <t xml:space="preserve"> Qi Muller</t>
  </si>
  <si>
    <t>qi.muller@outlook.com</t>
  </si>
  <si>
    <t>GBP 1,982.47</t>
  </si>
  <si>
    <t>ORD-101050</t>
  </si>
  <si>
    <t>2024-06-11</t>
  </si>
  <si>
    <t>CUST-5660</t>
  </si>
  <si>
    <t>Tara  Brown</t>
  </si>
  <si>
    <t>TARA.BROWN@EXAMPLE.COM</t>
  </si>
  <si>
    <t>+1-341-731-1679</t>
  </si>
  <si>
    <t>USD 1,237.74</t>
  </si>
  <si>
    <t>ORD-100831</t>
  </si>
  <si>
    <t>45498 00:25</t>
  </si>
  <si>
    <t>GBP 7,250.05</t>
  </si>
  <si>
    <t>ORD-100423</t>
  </si>
  <si>
    <t>2023/09/08</t>
  </si>
  <si>
    <t>£1305,16</t>
  </si>
  <si>
    <t>ORD-100509</t>
  </si>
  <si>
    <t>Jun 25, 2025</t>
  </si>
  <si>
    <t>CUST-5657</t>
  </si>
  <si>
    <t xml:space="preserve"> Igor Young</t>
  </si>
  <si>
    <t>IGOR.YOUNG@YAHOO.COM</t>
  </si>
  <si>
    <t>PLN 658.48</t>
  </si>
  <si>
    <t>ORD-100525</t>
  </si>
  <si>
    <t>2024/05/30</t>
  </si>
  <si>
    <t>PLN 87.05</t>
  </si>
  <si>
    <t>ORD-101083</t>
  </si>
  <si>
    <t>01.01.2023</t>
  </si>
  <si>
    <t>$383.94</t>
  </si>
  <si>
    <t>ORD-100900</t>
  </si>
  <si>
    <t>08/07/2023 13:14</t>
  </si>
  <si>
    <t>CUST-5222</t>
  </si>
  <si>
    <t>Omar  Rossi</t>
  </si>
  <si>
    <t>OMAR.ROSSI@GMAIL.COM</t>
  </si>
  <si>
    <t>+44  266  728  7865</t>
  </si>
  <si>
    <t>€1,330.55</t>
  </si>
  <si>
    <t>ORD-100680</t>
  </si>
  <si>
    <t>03/02/2023 11:05</t>
  </si>
  <si>
    <t>CUST-5682</t>
  </si>
  <si>
    <t xml:space="preserve"> Gabe King</t>
  </si>
  <si>
    <t xml:space="preserve"> gabe.king@shop.io</t>
  </si>
  <si>
    <t xml:space="preserve">04047 092 759 </t>
  </si>
  <si>
    <t>£4320,33</t>
  </si>
  <si>
    <t>Gbp</t>
  </si>
  <si>
    <t>ORD-100209</t>
  </si>
  <si>
    <t>2025-05-22</t>
  </si>
  <si>
    <t>PLN 4,739.79</t>
  </si>
  <si>
    <t>ORD-100510</t>
  </si>
  <si>
    <t>2023-08-26</t>
  </si>
  <si>
    <t xml:space="preserve"> InS-tore</t>
  </si>
  <si>
    <t>zł2,726.10</t>
  </si>
  <si>
    <t>ORD-100142</t>
  </si>
  <si>
    <t>04/05/2023</t>
  </si>
  <si>
    <t>CUST-5254</t>
  </si>
  <si>
    <t xml:space="preserve"> Uma Brown</t>
  </si>
  <si>
    <t xml:space="preserve">uma.brown@outlook.com </t>
  </si>
  <si>
    <t>+1-260-661-5578</t>
  </si>
  <si>
    <t>£1,955.69</t>
  </si>
  <si>
    <t>ORD-100050</t>
  </si>
  <si>
    <t>29/07/2025 18:41</t>
  </si>
  <si>
    <t>£168.97</t>
  </si>
  <si>
    <t>ORD-100351</t>
  </si>
  <si>
    <t>Sep 05, 2025</t>
  </si>
  <si>
    <t>GBP 1,440.53</t>
  </si>
  <si>
    <t>ORD-100166</t>
  </si>
  <si>
    <t>28-Sep-2024</t>
  </si>
  <si>
    <t>CUST-5478</t>
  </si>
  <si>
    <t>DARIA WALKER</t>
  </si>
  <si>
    <t>Daria.Walker@Outlook.Com</t>
  </si>
  <si>
    <t xml:space="preserve">+44 015 179 7158 </t>
  </si>
  <si>
    <t>€1,241.02</t>
  </si>
  <si>
    <t>ORD-100943</t>
  </si>
  <si>
    <t>2023/04/10</t>
  </si>
  <si>
    <t>CUST-5373</t>
  </si>
  <si>
    <t>Marek Martinez</t>
  </si>
  <si>
    <t>MAREK.MARTINEZ@OTULOOK.COM</t>
  </si>
  <si>
    <t>+44 295 874 5301</t>
  </si>
  <si>
    <t>EUR 2,658.41</t>
  </si>
  <si>
    <t>ORD-100818</t>
  </si>
  <si>
    <t>04/12/2023</t>
  </si>
  <si>
    <t>GBP 3,373.14</t>
  </si>
  <si>
    <t>ORD-100697</t>
  </si>
  <si>
    <t>2025-07-17 00:38</t>
  </si>
  <si>
    <t>CUST-5375</t>
  </si>
  <si>
    <t xml:space="preserve">ethan.walker@gmail.ocm </t>
  </si>
  <si>
    <t xml:space="preserve">+1-886-806-6019 </t>
  </si>
  <si>
    <t>USD 167.03</t>
  </si>
  <si>
    <t>ORD-100081</t>
  </si>
  <si>
    <t>06-Mar-2023 05:46</t>
  </si>
  <si>
    <t>CUST-5207</t>
  </si>
  <si>
    <t>Hanna Muller</t>
  </si>
  <si>
    <t>hanna.muller@outlook.com</t>
  </si>
  <si>
    <t xml:space="preserve"> +1-666-548-8611</t>
  </si>
  <si>
    <t>GBP 849.94</t>
  </si>
  <si>
    <t>ORD-100551</t>
  </si>
  <si>
    <t>45432</t>
  </si>
  <si>
    <t>CUST-5315</t>
  </si>
  <si>
    <t>Vlad  Muller</t>
  </si>
  <si>
    <t>+1-514-556-3284</t>
  </si>
  <si>
    <t>zł894,78</t>
  </si>
  <si>
    <t>ORD-100482</t>
  </si>
  <si>
    <t>44958 18:32</t>
  </si>
  <si>
    <t>CUST-5115</t>
  </si>
  <si>
    <t>omar.martinez@outlook.com</t>
  </si>
  <si>
    <t>+44  743  059  0190</t>
  </si>
  <si>
    <t>POLADN</t>
  </si>
  <si>
    <t>EUR 657.21</t>
  </si>
  <si>
    <t>ORD-100321</t>
  </si>
  <si>
    <t>01-Aug-2023</t>
  </si>
  <si>
    <t>CUST-5206</t>
  </si>
  <si>
    <t>Yara  Williams</t>
  </si>
  <si>
    <t xml:space="preserve"> yara.williams@example.com</t>
  </si>
  <si>
    <t>+1-274-320-2632</t>
  </si>
  <si>
    <t>PLN 3,692.40</t>
  </si>
  <si>
    <t>ORD-101028</t>
  </si>
  <si>
    <t>2025-09-04</t>
  </si>
  <si>
    <t>PLN 2,995.58</t>
  </si>
  <si>
    <t>ORD-101116</t>
  </si>
  <si>
    <t>45337</t>
  </si>
  <si>
    <t>$358.41</t>
  </si>
  <si>
    <t>ORD-101093</t>
  </si>
  <si>
    <t>Apr 13, 2025</t>
  </si>
  <si>
    <t>CUST-5042</t>
  </si>
  <si>
    <t xml:space="preserve"> gabe.davis@example.com</t>
  </si>
  <si>
    <t>07433 997 673</t>
  </si>
  <si>
    <t>EUR 1,147.39</t>
  </si>
  <si>
    <t>ORD-100066</t>
  </si>
  <si>
    <t>45390</t>
  </si>
  <si>
    <t>$317.14</t>
  </si>
  <si>
    <t>ORD-100334</t>
  </si>
  <si>
    <t>25.04.2025 12:14</t>
  </si>
  <si>
    <t>GBP 1,031.80</t>
  </si>
  <si>
    <t xml:space="preserve">Epxress </t>
  </si>
  <si>
    <t>ORD-100760</t>
  </si>
  <si>
    <t>2024/11/11 08:37</t>
  </si>
  <si>
    <t>CUST-5094</t>
  </si>
  <si>
    <t>Paula  Brown</t>
  </si>
  <si>
    <t xml:space="preserve">paula.brown@example.com </t>
  </si>
  <si>
    <t>USD 5,069.01</t>
  </si>
  <si>
    <t>Bank Trasnfer</t>
  </si>
  <si>
    <t>ORD-100872</t>
  </si>
  <si>
    <t>2024/02/05 06:41</t>
  </si>
  <si>
    <t>PLN 3,142.27</t>
  </si>
  <si>
    <t>ORD-100289</t>
  </si>
  <si>
    <t>08/12/2023 01:27</t>
  </si>
  <si>
    <t>CUST-5450</t>
  </si>
  <si>
    <t>+44 427 316 4684</t>
  </si>
  <si>
    <t>€835.47</t>
  </si>
  <si>
    <t>ORD-100484</t>
  </si>
  <si>
    <t>01-Apr-2025</t>
  </si>
  <si>
    <t>CUST-5420</t>
  </si>
  <si>
    <t>bella.williams@example.com</t>
  </si>
  <si>
    <t>05197 562 364</t>
  </si>
  <si>
    <t>USD 424.46</t>
  </si>
  <si>
    <t>ORD-101016</t>
  </si>
  <si>
    <t>26-Jan-2023 11:58</t>
  </si>
  <si>
    <t>EUR 3,589.53</t>
  </si>
  <si>
    <t>ORD-100395</t>
  </si>
  <si>
    <t>May 21, 2025</t>
  </si>
  <si>
    <t>£2,754.99</t>
  </si>
  <si>
    <t>ORD-100708</t>
  </si>
  <si>
    <t>2025/08/12</t>
  </si>
  <si>
    <t xml:space="preserve"> +1-404-693-9798</t>
  </si>
  <si>
    <t>£1,560.56</t>
  </si>
  <si>
    <t>ORD-100283</t>
  </si>
  <si>
    <t>45461</t>
  </si>
  <si>
    <t>CUST-5086</t>
  </si>
  <si>
    <t xml:space="preserve"> Omar Dubois</t>
  </si>
  <si>
    <t>OMAR.DUBOIS@GMAI.LCOM</t>
  </si>
  <si>
    <t>+1-723-351-1788</t>
  </si>
  <si>
    <t>$4,108.00</t>
  </si>
  <si>
    <t>ORD-100417</t>
  </si>
  <si>
    <t>Jun 23, 2023</t>
  </si>
  <si>
    <t>CUST-5218</t>
  </si>
  <si>
    <t>Adam Khan</t>
  </si>
  <si>
    <t xml:space="preserve"> adam.khna@shop.io</t>
  </si>
  <si>
    <t xml:space="preserve"> +44 870 022 1948</t>
  </si>
  <si>
    <t>GBP 204.89</t>
  </si>
  <si>
    <t>ORD-100934</t>
  </si>
  <si>
    <t>10/03/2023</t>
  </si>
  <si>
    <t>CUST-5347</t>
  </si>
  <si>
    <t>ZACK GARCIA</t>
  </si>
  <si>
    <t>ZACK.GARCIA@GMAIL.COM</t>
  </si>
  <si>
    <t>03685 442 300</t>
  </si>
  <si>
    <t>GERMAYN</t>
  </si>
  <si>
    <t>GBP 3,828.24</t>
  </si>
  <si>
    <t>ORD-101138</t>
  </si>
  <si>
    <t>2025/07/06</t>
  </si>
  <si>
    <t>€1371,16</t>
  </si>
  <si>
    <t>ORD-100361</t>
  </si>
  <si>
    <t>21/05/2024</t>
  </si>
  <si>
    <t>CUST-5299</t>
  </si>
  <si>
    <t>Vlad Brown</t>
  </si>
  <si>
    <t>vlad.brown@shop.io</t>
  </si>
  <si>
    <t>+1-356-923-1247</t>
  </si>
  <si>
    <t>EUR 1,588.99</t>
  </si>
  <si>
    <t>ORD-100679</t>
  </si>
  <si>
    <t>11/03/2023</t>
  </si>
  <si>
    <t>CUST-5583</t>
  </si>
  <si>
    <t>Mare kSmith</t>
  </si>
  <si>
    <t>marek.smith@shpo.io</t>
  </si>
  <si>
    <t xml:space="preserve">03968 450 468 </t>
  </si>
  <si>
    <t>SPAIN</t>
  </si>
  <si>
    <t>ORD-100064</t>
  </si>
  <si>
    <t>11/30/2024</t>
  </si>
  <si>
    <t>USD 270.84</t>
  </si>
  <si>
    <t>ORD-101025</t>
  </si>
  <si>
    <t>GBP 3,090.15</t>
  </si>
  <si>
    <t>ORD-101049</t>
  </si>
  <si>
    <t>04/27/2023</t>
  </si>
  <si>
    <t>SHPIPED</t>
  </si>
  <si>
    <t>EUR 1,234.55</t>
  </si>
  <si>
    <t>Eur</t>
  </si>
  <si>
    <t>ORD-100666</t>
  </si>
  <si>
    <t>Jun 26, 2023</t>
  </si>
  <si>
    <t>ORD-100491</t>
  </si>
  <si>
    <t>45031</t>
  </si>
  <si>
    <t>CUST-5698</t>
  </si>
  <si>
    <t xml:space="preserve"> Ethan Novak</t>
  </si>
  <si>
    <t>ethan.novak@gmail.com</t>
  </si>
  <si>
    <t>+1-546-331-6613</t>
  </si>
  <si>
    <t xml:space="preserve"> Itlay</t>
  </si>
  <si>
    <t>Mobile  pAp</t>
  </si>
  <si>
    <t xml:space="preserve"> Refnuded</t>
  </si>
  <si>
    <t>GBP 798.55</t>
  </si>
  <si>
    <t>ORD-100750</t>
  </si>
  <si>
    <t>45395 23:17</t>
  </si>
  <si>
    <t>+1-534-461-5901</t>
  </si>
  <si>
    <t>SKU-1090</t>
  </si>
  <si>
    <t>£2,234.12</t>
  </si>
  <si>
    <t>ORD-100065</t>
  </si>
  <si>
    <t>Nov 08, 2023</t>
  </si>
  <si>
    <t xml:space="preserve">GABE KING </t>
  </si>
  <si>
    <t xml:space="preserve">gabe.king@shop.io </t>
  </si>
  <si>
    <t>Stnadard</t>
  </si>
  <si>
    <t>ORD-100541</t>
  </si>
  <si>
    <t>19-Nov-2024</t>
  </si>
  <si>
    <t>CUST-5649</t>
  </si>
  <si>
    <t xml:space="preserve"> Omar Rodriguez</t>
  </si>
  <si>
    <t>+44 985 402 4292</t>
  </si>
  <si>
    <t>EUR 3,234.30</t>
  </si>
  <si>
    <t xml:space="preserve">Uma Davis  </t>
  </si>
  <si>
    <t>ORD-100296</t>
  </si>
  <si>
    <t>15.04.2024</t>
  </si>
  <si>
    <t>CUST-5634</t>
  </si>
  <si>
    <t>wiktor.lee@example.com</t>
  </si>
  <si>
    <t xml:space="preserve">+1-832-807-4102 </t>
  </si>
  <si>
    <t>USD 2,109.04</t>
  </si>
  <si>
    <t>ORD-100419</t>
  </si>
  <si>
    <t>06/13/2023 16:49</t>
  </si>
  <si>
    <t>PLN 1,330.59</t>
  </si>
  <si>
    <t>ORD-100438</t>
  </si>
  <si>
    <t>45070</t>
  </si>
  <si>
    <t>zł1,530.99</t>
  </si>
  <si>
    <t>ORD-100261</t>
  </si>
  <si>
    <t>May 02, 2025 14:11</t>
  </si>
  <si>
    <t>USD 1,746.77</t>
  </si>
  <si>
    <t>ORD-100664</t>
  </si>
  <si>
    <t>01-Jul-2025</t>
  </si>
  <si>
    <t>CUST-5156</t>
  </si>
  <si>
    <t xml:space="preserve">gabe.novak@outlook.com </t>
  </si>
  <si>
    <t>£2,306.12</t>
  </si>
  <si>
    <t>ORD-100281</t>
  </si>
  <si>
    <t>03.06.2025 20:58</t>
  </si>
  <si>
    <t>EUR 2,399.08</t>
  </si>
  <si>
    <t>ORD-100602</t>
  </si>
  <si>
    <t>09.11.2024</t>
  </si>
  <si>
    <t>€711.93</t>
  </si>
  <si>
    <t>ORD-100648</t>
  </si>
  <si>
    <t>26-May-2024</t>
  </si>
  <si>
    <t>EUR 989.48</t>
  </si>
  <si>
    <t>ORD-100188</t>
  </si>
  <si>
    <t>31/03/2025</t>
  </si>
  <si>
    <t>CUST-5466</t>
  </si>
  <si>
    <t>Bella Young</t>
  </si>
  <si>
    <t xml:space="preserve">bella.young@example.com </t>
  </si>
  <si>
    <t xml:space="preserve"> 09243 983 990</t>
  </si>
  <si>
    <t>zł2350,13</t>
  </si>
  <si>
    <t xml:space="preserve"> Next Dya</t>
  </si>
  <si>
    <t>ORD-100963</t>
  </si>
  <si>
    <t>45895</t>
  </si>
  <si>
    <t>EUR 576.55</t>
  </si>
  <si>
    <t>ORD-100251</t>
  </si>
  <si>
    <t>13-May-2023</t>
  </si>
  <si>
    <t>zł5,038.02</t>
  </si>
  <si>
    <t>ORD-100665</t>
  </si>
  <si>
    <t>2023/08/24</t>
  </si>
  <si>
    <t>CUST-5532</t>
  </si>
  <si>
    <t>UMA.LEE@COMPANY.CO.UK</t>
  </si>
  <si>
    <t>+1-720-539-7085</t>
  </si>
  <si>
    <t>GBP 2,311.61</t>
  </si>
  <si>
    <t>ORD-100514</t>
  </si>
  <si>
    <t>26.04.2023</t>
  </si>
  <si>
    <t>USD 976.71</t>
  </si>
  <si>
    <t>ORD-100563</t>
  </si>
  <si>
    <t>01.03.2023</t>
  </si>
  <si>
    <t>CUST-5016</t>
  </si>
  <si>
    <t>Nina Khan</t>
  </si>
  <si>
    <t>Nina.Khan@Example.Com</t>
  </si>
  <si>
    <t xml:space="preserve">04685 158 656 </t>
  </si>
  <si>
    <t>$258,4</t>
  </si>
  <si>
    <t>ORD-100487</t>
  </si>
  <si>
    <t>12-Dec-2024</t>
  </si>
  <si>
    <t>CUST-5681</t>
  </si>
  <si>
    <t xml:space="preserve"> Bella Johnson</t>
  </si>
  <si>
    <t xml:space="preserve"> bella.johnson@yahoo.com</t>
  </si>
  <si>
    <t>$129.64</t>
  </si>
  <si>
    <t>ORD-100273</t>
  </si>
  <si>
    <t>04/02/2023</t>
  </si>
  <si>
    <t>CUST-5004</t>
  </si>
  <si>
    <t xml:space="preserve"> Zack Smith</t>
  </si>
  <si>
    <t xml:space="preserve">zack.smith@outlookc.om </t>
  </si>
  <si>
    <t xml:space="preserve">+1-384-930-8395 </t>
  </si>
  <si>
    <t>EUR 804.40</t>
  </si>
  <si>
    <t>ORD-100905</t>
  </si>
  <si>
    <t>04.01.2024</t>
  </si>
  <si>
    <t>CUST-5596</t>
  </si>
  <si>
    <t>DARIA.NOVAK@COMPANY.CO.UK</t>
  </si>
  <si>
    <t>4+4 971 218 7033</t>
  </si>
  <si>
    <t>$824.71</t>
  </si>
  <si>
    <t>ORD-101051</t>
  </si>
  <si>
    <t>28/07/2024 11:54</t>
  </si>
  <si>
    <t>CUST-5451</t>
  </si>
  <si>
    <t>ADAM KOWALSKI</t>
  </si>
  <si>
    <t>adam.kowalski@outlook.com</t>
  </si>
  <si>
    <t>$1591,48</t>
  </si>
  <si>
    <t>ORD-100995</t>
  </si>
  <si>
    <t>08/11/2024 07:57</t>
  </si>
  <si>
    <t>CUST-5546</t>
  </si>
  <si>
    <t>Omar Young</t>
  </si>
  <si>
    <t xml:space="preserve">omar.young@example.com </t>
  </si>
  <si>
    <t>06181 704 096</t>
  </si>
  <si>
    <t>USD 843.82</t>
  </si>
  <si>
    <t>ORD-100411</t>
  </si>
  <si>
    <t>07-Jul-2024</t>
  </si>
  <si>
    <t>EUR 4,197.79</t>
  </si>
  <si>
    <t xml:space="preserve"> Gif tCard</t>
  </si>
  <si>
    <t>ORD-100915</t>
  </si>
  <si>
    <t>2025-04-27</t>
  </si>
  <si>
    <t>zł509.77</t>
  </si>
  <si>
    <t>ORD-100687</t>
  </si>
  <si>
    <t>Mar 27, 2024</t>
  </si>
  <si>
    <t>CUST-5038</t>
  </si>
  <si>
    <t>Ken  Williams</t>
  </si>
  <si>
    <t xml:space="preserve">ken.williams@company.co.uk </t>
  </si>
  <si>
    <t>zł1765,21</t>
  </si>
  <si>
    <t>IPCKUP</t>
  </si>
  <si>
    <t>ORD-100882</t>
  </si>
  <si>
    <t>2025/03/10</t>
  </si>
  <si>
    <t>PLN 2,471.38</t>
  </si>
  <si>
    <t>ORD-100897</t>
  </si>
  <si>
    <t>Nov 30, 2024</t>
  </si>
  <si>
    <t>CUST-5335</t>
  </si>
  <si>
    <t>Zack Khan</t>
  </si>
  <si>
    <t>zack.khan@example.com</t>
  </si>
  <si>
    <t>01625  710  767</t>
  </si>
  <si>
    <t>SKU-1017</t>
  </si>
  <si>
    <t xml:space="preserve">Smart Plug 2-Pack </t>
  </si>
  <si>
    <t>zł1,765.02</t>
  </si>
  <si>
    <t>ORD-100149</t>
  </si>
  <si>
    <t>Apr 13, 2024 13:19</t>
  </si>
  <si>
    <t>GBP 771.32</t>
  </si>
  <si>
    <t xml:space="preserve"> Gift Crad</t>
  </si>
  <si>
    <t>ORD-100218</t>
  </si>
  <si>
    <t>06.03.2023</t>
  </si>
  <si>
    <t>CUST-5508</t>
  </si>
  <si>
    <t xml:space="preserve">daria.king@outlook.com </t>
  </si>
  <si>
    <t xml:space="preserve"> 07889 758 830</t>
  </si>
  <si>
    <t>Iatly</t>
  </si>
  <si>
    <t>Rfeunded</t>
  </si>
  <si>
    <t>SKU-1138</t>
  </si>
  <si>
    <t>Router AX5400</t>
  </si>
  <si>
    <t>$1,069.48</t>
  </si>
  <si>
    <t>ORD-100239</t>
  </si>
  <si>
    <t>22.01.2025</t>
  </si>
  <si>
    <t>£1,035.04</t>
  </si>
  <si>
    <t>ORD-100964</t>
  </si>
  <si>
    <t>06-Jan-2025 19:33</t>
  </si>
  <si>
    <t>Gfit  Card</t>
  </si>
  <si>
    <t>ORD-100192</t>
  </si>
  <si>
    <t>22-Dec-2023 01:43</t>
  </si>
  <si>
    <t xml:space="preserve"> MobileA pp</t>
  </si>
  <si>
    <t>£28.95</t>
  </si>
  <si>
    <t>ORD-100191</t>
  </si>
  <si>
    <t>45328 17:24</t>
  </si>
  <si>
    <t>CUST-5533</t>
  </si>
  <si>
    <t>Yara Young</t>
  </si>
  <si>
    <t>yara.young@company.co.uk</t>
  </si>
  <si>
    <t>+44 343 491 0363</t>
  </si>
  <si>
    <t>GBP 1,870.61</t>
  </si>
  <si>
    <t>ORD-100558</t>
  </si>
  <si>
    <t>45159 04:32</t>
  </si>
  <si>
    <t>CUST-5447</t>
  </si>
  <si>
    <t>Rita Garcia</t>
  </si>
  <si>
    <t>RITA.GARCIA@GMAIL.COM</t>
  </si>
  <si>
    <t>+1-254-538-2188</t>
  </si>
  <si>
    <t>EUR 586.23</t>
  </si>
  <si>
    <t>ORD-100569</t>
  </si>
  <si>
    <t>01.07.2023</t>
  </si>
  <si>
    <t>CUST-5363</t>
  </si>
  <si>
    <t>ETHAN LEE</t>
  </si>
  <si>
    <t>ethan.lee@exampel.com</t>
  </si>
  <si>
    <t>+1-650-256-3944</t>
  </si>
  <si>
    <t>GBP 6,859.35</t>
  </si>
  <si>
    <t>ORD-100941</t>
  </si>
  <si>
    <t>02/24/2023</t>
  </si>
  <si>
    <t>CUST-5563</t>
  </si>
  <si>
    <t>Bella  Taylor</t>
  </si>
  <si>
    <t>bella.taylor@yahoo.com</t>
  </si>
  <si>
    <t xml:space="preserve">+44 880 607 0567 </t>
  </si>
  <si>
    <t>EUR 2,544.14</t>
  </si>
  <si>
    <t>ORD-100677</t>
  </si>
  <si>
    <t>04/28/2024 18:45</t>
  </si>
  <si>
    <t>PLN 900.93</t>
  </si>
  <si>
    <t>ORD-100568</t>
  </si>
  <si>
    <t>2023-11-21</t>
  </si>
  <si>
    <t>CUST-5548</t>
  </si>
  <si>
    <t>Ken  Gracia</t>
  </si>
  <si>
    <t xml:space="preserve">ken.garcia@gmail.com </t>
  </si>
  <si>
    <t>06203 344 528</t>
  </si>
  <si>
    <t>£404.87</t>
  </si>
  <si>
    <t>ORD-100889</t>
  </si>
  <si>
    <t>28/04/2025</t>
  </si>
  <si>
    <t>CUST-5597</t>
  </si>
  <si>
    <t xml:space="preserve"> Carlos Johnson</t>
  </si>
  <si>
    <t>carlso.johnson@shop.io</t>
  </si>
  <si>
    <t>+44 8 15  361  6761</t>
  </si>
  <si>
    <t>GBP 1,693.99</t>
  </si>
  <si>
    <t>ORD-100721</t>
  </si>
  <si>
    <t>12/04/2023</t>
  </si>
  <si>
    <t>CUST-5654</t>
  </si>
  <si>
    <t>Wiktor Rossi</t>
  </si>
  <si>
    <t>wiktor.rossi@outlook.com</t>
  </si>
  <si>
    <t>$70.35</t>
  </si>
  <si>
    <t>ORD-100967</t>
  </si>
  <si>
    <t>2023/01/09</t>
  </si>
  <si>
    <t>GBP 3,654.78</t>
  </si>
  <si>
    <t>ORD-100323</t>
  </si>
  <si>
    <t>May 29, 2023</t>
  </si>
  <si>
    <t>EUR 1,593.07</t>
  </si>
  <si>
    <t>ORD-100880</t>
  </si>
  <si>
    <t>2023-04-07 09:14</t>
  </si>
  <si>
    <t>zł965.99</t>
  </si>
  <si>
    <t>ORD-100817</t>
  </si>
  <si>
    <t>23/11/2024 22:31</t>
  </si>
  <si>
    <t>CUST-5011</t>
  </si>
  <si>
    <t>Lia Brown</t>
  </si>
  <si>
    <t>LIA.BROWN@EXAMPLE.COM</t>
  </si>
  <si>
    <t>+1-320-709-7512</t>
  </si>
  <si>
    <t>I-nStore</t>
  </si>
  <si>
    <t>€5233,3</t>
  </si>
  <si>
    <t>ORD-101045</t>
  </si>
  <si>
    <t>45384</t>
  </si>
  <si>
    <t>GBP 557.11</t>
  </si>
  <si>
    <t>ORD-100437</t>
  </si>
  <si>
    <t>45219</t>
  </si>
  <si>
    <t>$1550,54</t>
  </si>
  <si>
    <t>ORD-100739</t>
  </si>
  <si>
    <t>Aug 17, 2025 01:49</t>
  </si>
  <si>
    <t>USD 6,062.60</t>
  </si>
  <si>
    <t>ORD-100801</t>
  </si>
  <si>
    <t>01/08/2023 17:51</t>
  </si>
  <si>
    <t>CUST-5078</t>
  </si>
  <si>
    <t>adam.kowalczyk@example.com</t>
  </si>
  <si>
    <t>+1-342-962-9889</t>
  </si>
  <si>
    <t>tIaly</t>
  </si>
  <si>
    <t>€427.60</t>
  </si>
  <si>
    <t>ORD-100341</t>
  </si>
  <si>
    <t>07-Dec-2024 14:46</t>
  </si>
  <si>
    <t>£5,432.43</t>
  </si>
  <si>
    <t>ORD-100002</t>
  </si>
  <si>
    <t>08.07.2023</t>
  </si>
  <si>
    <t>£1,540.97</t>
  </si>
  <si>
    <t>ORD-100229</t>
  </si>
  <si>
    <t>Jun 22, 2024</t>
  </si>
  <si>
    <t>zł3,376.18</t>
  </si>
  <si>
    <t>ORD-100617</t>
  </si>
  <si>
    <t>09/30/2023</t>
  </si>
  <si>
    <t>CUST-5044</t>
  </si>
  <si>
    <t xml:space="preserve">Gabe Davis </t>
  </si>
  <si>
    <t>gabe.davis@example.com</t>
  </si>
  <si>
    <t xml:space="preserve"> +44 265 610 5138</t>
  </si>
  <si>
    <t>PLN 1,221.82</t>
  </si>
  <si>
    <t>ORD-101130</t>
  </si>
  <si>
    <t>2024-12-09</t>
  </si>
  <si>
    <t>EUR 3,270.29</t>
  </si>
  <si>
    <t>ORD-100076</t>
  </si>
  <si>
    <t>07-Aug-2025</t>
  </si>
  <si>
    <t>CUST-5130</t>
  </si>
  <si>
    <t>Adam  Muller</t>
  </si>
  <si>
    <t>+1-620-779-5432</t>
  </si>
  <si>
    <t>zł2,281.55</t>
  </si>
  <si>
    <t xml:space="preserve"> Cadr</t>
  </si>
  <si>
    <t>ORD-101081</t>
  </si>
  <si>
    <t>2025-03-02 09:12</t>
  </si>
  <si>
    <t>EUR 444.86</t>
  </si>
  <si>
    <t>STNADARD</t>
  </si>
  <si>
    <t>ORD-100371</t>
  </si>
  <si>
    <t>08-Apr-2023</t>
  </si>
  <si>
    <t>CUST-5232</t>
  </si>
  <si>
    <t xml:space="preserve"> Ethan Taylor</t>
  </si>
  <si>
    <t>ethan.taylor@companyc.o.uk</t>
  </si>
  <si>
    <t>05856 965 499</t>
  </si>
  <si>
    <t>RFANCE</t>
  </si>
  <si>
    <t>$242.14</t>
  </si>
  <si>
    <t>ORD-100180</t>
  </si>
  <si>
    <t>Mar 13, 2023</t>
  </si>
  <si>
    <t>PLN 1,772.96</t>
  </si>
  <si>
    <t>ORD-100681</t>
  </si>
  <si>
    <t>44982</t>
  </si>
  <si>
    <t>CUST-5579</t>
  </si>
  <si>
    <t>Lia  Kowalczyk</t>
  </si>
  <si>
    <t>lia.kowalczyk@shop.io</t>
  </si>
  <si>
    <t>+1-272-242-2054</t>
  </si>
  <si>
    <t xml:space="preserve">eRfunded </t>
  </si>
  <si>
    <t>PLN 1,712.46</t>
  </si>
  <si>
    <t>ORD-100577</t>
  </si>
  <si>
    <t>2024/02/15</t>
  </si>
  <si>
    <t>CUST-5573</t>
  </si>
  <si>
    <t>Rita Lopez</t>
  </si>
  <si>
    <t>rita.lopez@company.co.uk</t>
  </si>
  <si>
    <t>+1-247-964-4006</t>
  </si>
  <si>
    <t>€299.69</t>
  </si>
  <si>
    <t>Bank Tarnsfer</t>
  </si>
  <si>
    <t>ORD-100706</t>
  </si>
  <si>
    <t>45571 05:31</t>
  </si>
  <si>
    <t>£1,498.14</t>
  </si>
  <si>
    <t>ORD-101044</t>
  </si>
  <si>
    <t>May 11, 2023</t>
  </si>
  <si>
    <t>CUST-5453</t>
  </si>
  <si>
    <t>Daria Taylor</t>
  </si>
  <si>
    <t>daria.taylor@yahoo.com</t>
  </si>
  <si>
    <t xml:space="preserve"> +1-618-873-3903</t>
  </si>
  <si>
    <t>USD 1,745.68</t>
  </si>
  <si>
    <t>ORD-101024</t>
  </si>
  <si>
    <t>45844</t>
  </si>
  <si>
    <t>€978,03</t>
  </si>
  <si>
    <t>ORD-100962</t>
  </si>
  <si>
    <t>45746 13:28</t>
  </si>
  <si>
    <t>CUST-5088</t>
  </si>
  <si>
    <t>paula.khan@gmail.com</t>
  </si>
  <si>
    <t>05767  102  409</t>
  </si>
  <si>
    <t>zł590.84</t>
  </si>
  <si>
    <t>ORD-101121</t>
  </si>
  <si>
    <t>Jun 27, 2025</t>
  </si>
  <si>
    <t>CUST-5386</t>
  </si>
  <si>
    <t>Bell aKing</t>
  </si>
  <si>
    <t xml:space="preserve">bella.king@example.com </t>
  </si>
  <si>
    <t>00777 249 448</t>
  </si>
  <si>
    <t>GBP 236.91</t>
  </si>
  <si>
    <t>ORD-100797</t>
  </si>
  <si>
    <t>2024/05/10</t>
  </si>
  <si>
    <t>PLN 1,761.19</t>
  </si>
  <si>
    <t>ORD-100986</t>
  </si>
  <si>
    <t>2024/10/17 18:28</t>
  </si>
  <si>
    <t>CUST-5503</t>
  </si>
  <si>
    <t>Nina  Martinez</t>
  </si>
  <si>
    <t>Nina.Martinez@Outlook.Com</t>
  </si>
  <si>
    <t>+442 13 072 7060</t>
  </si>
  <si>
    <t>EUR 2,199.61</t>
  </si>
  <si>
    <t>ORD-101069</t>
  </si>
  <si>
    <t>Jan 05, 2024</t>
  </si>
  <si>
    <t>CUST-5440</t>
  </si>
  <si>
    <t>Yara Khan</t>
  </si>
  <si>
    <t xml:space="preserve"> yara.khan@yahoo.com</t>
  </si>
  <si>
    <t xml:space="preserve"> +44 214 989 6477</t>
  </si>
  <si>
    <t>GBP 1,238.52</t>
  </si>
  <si>
    <t>ORD-100037</t>
  </si>
  <si>
    <t>45282 20:46</t>
  </si>
  <si>
    <t>£510,8</t>
  </si>
  <si>
    <t>ORD-100353</t>
  </si>
  <si>
    <t>09/10/2024 11:14</t>
  </si>
  <si>
    <t>EUR 4,137.50</t>
  </si>
  <si>
    <t>ORD-101073</t>
  </si>
  <si>
    <t>2025/08/30</t>
  </si>
  <si>
    <t>PLN 114.01</t>
  </si>
  <si>
    <t>ORD-100236</t>
  </si>
  <si>
    <t>05-Jan-2025</t>
  </si>
  <si>
    <t>CUST-5376</t>
  </si>
  <si>
    <t>hanna.lopez@example.com</t>
  </si>
  <si>
    <t xml:space="preserve">09227 073 319 </t>
  </si>
  <si>
    <t>EUR 1,036.75</t>
  </si>
  <si>
    <t>ORD-100891</t>
  </si>
  <si>
    <t>44982 09:41</t>
  </si>
  <si>
    <t>SKU-1075</t>
  </si>
  <si>
    <t xml:space="preserve">4K Monitor 32 </t>
  </si>
  <si>
    <t>zł818.38</t>
  </si>
  <si>
    <t>ORD-100499</t>
  </si>
  <si>
    <t>45503</t>
  </si>
  <si>
    <t>USD 6,642.81</t>
  </si>
  <si>
    <t>ORD-100553</t>
  </si>
  <si>
    <t>09/02/2023 17:31</t>
  </si>
  <si>
    <t>CUST-5544</t>
  </si>
  <si>
    <t>Marek  Novak</t>
  </si>
  <si>
    <t>+1-394-664-9948</t>
  </si>
  <si>
    <t>zł628.98</t>
  </si>
  <si>
    <t>ORD-100055</t>
  </si>
  <si>
    <t>23/07/2023</t>
  </si>
  <si>
    <t>€1450,07</t>
  </si>
  <si>
    <t>ORD-100302</t>
  </si>
  <si>
    <t>2024/08/08</t>
  </si>
  <si>
    <t>$6853,32</t>
  </si>
  <si>
    <t>ORD-100286</t>
  </si>
  <si>
    <t>45254</t>
  </si>
  <si>
    <t>CUST-5552</t>
  </si>
  <si>
    <t xml:space="preserve"> Sam Lopez</t>
  </si>
  <si>
    <t>+1-918-4365-743</t>
  </si>
  <si>
    <t xml:space="preserve"> Piad</t>
  </si>
  <si>
    <t>£2042,5</t>
  </si>
  <si>
    <t>ORD-100219</t>
  </si>
  <si>
    <t>02.10.2023</t>
  </si>
  <si>
    <t xml:space="preserve"> Marektplace</t>
  </si>
  <si>
    <t>USD 3,379.58</t>
  </si>
  <si>
    <t>ORD-101141</t>
  </si>
  <si>
    <t>45815 21:57</t>
  </si>
  <si>
    <t>PLN 1,283.77</t>
  </si>
  <si>
    <t>ORD-100387</t>
  </si>
  <si>
    <t>07.04.2023 15:08</t>
  </si>
  <si>
    <t>USD 1,107.66</t>
  </si>
  <si>
    <t>ORD-100807</t>
  </si>
  <si>
    <t>06.04.2025</t>
  </si>
  <si>
    <t>CUST-5131</t>
  </si>
  <si>
    <t xml:space="preserve"> Daria Rodriguez</t>
  </si>
  <si>
    <t>+1-747-724-4000</t>
  </si>
  <si>
    <t>IN-SOTRE</t>
  </si>
  <si>
    <t>USD 2,172.20</t>
  </si>
  <si>
    <t>ORD-100390</t>
  </si>
  <si>
    <t>44939</t>
  </si>
  <si>
    <t>PADI</t>
  </si>
  <si>
    <t>GBP 1,507.54</t>
  </si>
  <si>
    <t>ORD-100352</t>
  </si>
  <si>
    <t>2023/02/08</t>
  </si>
  <si>
    <t>$273.84</t>
  </si>
  <si>
    <t>ORD-100193</t>
  </si>
  <si>
    <t>11/22/2024</t>
  </si>
  <si>
    <t>CUST-5426</t>
  </si>
  <si>
    <t xml:space="preserve">tEhan Young </t>
  </si>
  <si>
    <t>Ethan.Young@Yahoo.Com</t>
  </si>
  <si>
    <t>+44  461  834  6779</t>
  </si>
  <si>
    <t>$653.88</t>
  </si>
  <si>
    <t>ORD-100235</t>
  </si>
  <si>
    <t>45235</t>
  </si>
  <si>
    <t>CUST-5537</t>
  </si>
  <si>
    <t>Omar Kowalski</t>
  </si>
  <si>
    <t>omar.kowalski@exmaple.com</t>
  </si>
  <si>
    <t xml:space="preserve">08238 379 363 </t>
  </si>
  <si>
    <t>PLN 946.35</t>
  </si>
  <si>
    <t>ORD-100948</t>
  </si>
  <si>
    <t>18-Nov-2024</t>
  </si>
  <si>
    <t>€458.79</t>
  </si>
  <si>
    <t>ORD-100480</t>
  </si>
  <si>
    <t>23/04/2024</t>
  </si>
  <si>
    <t xml:space="preserve"> 05510 275 426</t>
  </si>
  <si>
    <t>GBP 1,880.44</t>
  </si>
  <si>
    <t>ORD-100567</t>
  </si>
  <si>
    <t>03.07.2023</t>
  </si>
  <si>
    <t>CUST-5297</t>
  </si>
  <si>
    <t xml:space="preserve"> Nina Rodriguez</t>
  </si>
  <si>
    <t>Nina.Rodriguez@Gamil.Com</t>
  </si>
  <si>
    <t>+1-982-737-6273</t>
  </si>
  <si>
    <t>zł3405,86</t>
  </si>
  <si>
    <t>ORD-100116</t>
  </si>
  <si>
    <t>09/08/2024</t>
  </si>
  <si>
    <t>USD 912.60</t>
  </si>
  <si>
    <t>ORD-100830</t>
  </si>
  <si>
    <t>45096</t>
  </si>
  <si>
    <t>£908.55</t>
  </si>
  <si>
    <t>ORD-100918</t>
  </si>
  <si>
    <t>21/09/2024</t>
  </si>
  <si>
    <t>CUST-5391</t>
  </si>
  <si>
    <t xml:space="preserve"> Lia Kowalczyk</t>
  </si>
  <si>
    <t xml:space="preserve">lia.kowalczyk@example.com </t>
  </si>
  <si>
    <t xml:space="preserve"> 03597 413 904</t>
  </si>
  <si>
    <t>IN-STROE</t>
  </si>
  <si>
    <t>GBP 38.07</t>
  </si>
  <si>
    <t>ORD-101084</t>
  </si>
  <si>
    <t>25-Aug-2023</t>
  </si>
  <si>
    <t>CUST-5612</t>
  </si>
  <si>
    <t>Gabe Martinez</t>
  </si>
  <si>
    <t>GABE.MARTINEZ@SHOP.IO</t>
  </si>
  <si>
    <t>+1-983-639-7989</t>
  </si>
  <si>
    <t>GBP 372.36</t>
  </si>
  <si>
    <t>ORD-100734</t>
  </si>
  <si>
    <t>23.09.2025</t>
  </si>
  <si>
    <t>CUST-5381</t>
  </si>
  <si>
    <t>Qi Smith</t>
  </si>
  <si>
    <t>qi.smith@yahoo.com</t>
  </si>
  <si>
    <t xml:space="preserve">+1-780-820-8057 </t>
  </si>
  <si>
    <t>$199.65</t>
  </si>
  <si>
    <t>ORD-100746</t>
  </si>
  <si>
    <t>45750 07:49</t>
  </si>
  <si>
    <t>CUST-5290</t>
  </si>
  <si>
    <t>rita.khan@yahoo.com</t>
  </si>
  <si>
    <t>04461 537 186</t>
  </si>
  <si>
    <t>GBP 1,786.14</t>
  </si>
  <si>
    <t>PYAPAL</t>
  </si>
  <si>
    <t>ORD-100120</t>
  </si>
  <si>
    <t>45379</t>
  </si>
  <si>
    <t>GBP 3,555.61</t>
  </si>
  <si>
    <t>ORD-100783</t>
  </si>
  <si>
    <t>07/28/2024</t>
  </si>
  <si>
    <t>CUST-5279</t>
  </si>
  <si>
    <t xml:space="preserve"> Marek Davis</t>
  </si>
  <si>
    <t xml:space="preserve">+44 437 065 4079 </t>
  </si>
  <si>
    <t>€2376,88</t>
  </si>
  <si>
    <t>ORD-100951</t>
  </si>
  <si>
    <t>CUST-5655</t>
  </si>
  <si>
    <t>marek.young@shop.io</t>
  </si>
  <si>
    <t xml:space="preserve"> +44 024 318 4331</t>
  </si>
  <si>
    <t>EUR 7,753.94</t>
  </si>
  <si>
    <t>ORD-100742</t>
  </si>
  <si>
    <t>12.09.2023</t>
  </si>
  <si>
    <t>USD 1,108.86</t>
  </si>
  <si>
    <t>ORD-100062</t>
  </si>
  <si>
    <t>2023/02/12</t>
  </si>
  <si>
    <t>USD 3,878.09</t>
  </si>
  <si>
    <t>ORD-100961</t>
  </si>
  <si>
    <t>27.05.2023</t>
  </si>
  <si>
    <t>CUST-5389</t>
  </si>
  <si>
    <t>Zack Lee</t>
  </si>
  <si>
    <t>zack.lee@yahoo.com</t>
  </si>
  <si>
    <t xml:space="preserve"> +1-966-504-9782</t>
  </si>
  <si>
    <t>€651.68</t>
  </si>
  <si>
    <t>ORD-100453</t>
  </si>
  <si>
    <t>25/03/2024</t>
  </si>
  <si>
    <t>ORD-100515</t>
  </si>
  <si>
    <t>07/19/2025</t>
  </si>
  <si>
    <t>$363.08</t>
  </si>
  <si>
    <t>ORD-100570</t>
  </si>
  <si>
    <t>Jun 24, 2023 11:21</t>
  </si>
  <si>
    <t>CUST-5309</t>
  </si>
  <si>
    <t>BELLA MARTINEZ</t>
  </si>
  <si>
    <t>Bella.Martinez@Shop.Io</t>
  </si>
  <si>
    <t>+44  833  019  7724</t>
  </si>
  <si>
    <t>GBP 543.33</t>
  </si>
  <si>
    <t>ORD-100223</t>
  </si>
  <si>
    <t>2025/08/25 22:52</t>
  </si>
  <si>
    <t>CUST-5685</t>
  </si>
  <si>
    <t>paula.walker@shop.io</t>
  </si>
  <si>
    <t>+1-451-899-1342</t>
  </si>
  <si>
    <t>GBP 1,233.95</t>
  </si>
  <si>
    <t>ORD-100613</t>
  </si>
  <si>
    <t>2025/08/18</t>
  </si>
  <si>
    <t>$2,415.30</t>
  </si>
  <si>
    <t>ORD-100221</t>
  </si>
  <si>
    <t>07-May-2025 21:55</t>
  </si>
  <si>
    <t>EUR 171.30</t>
  </si>
  <si>
    <t>ORD-100644</t>
  </si>
  <si>
    <t>2023/08/26</t>
  </si>
  <si>
    <t>zł1148,06</t>
  </si>
  <si>
    <t>Exrpess</t>
  </si>
  <si>
    <t>ORD-100942</t>
  </si>
  <si>
    <t>2023-04-21 18:29</t>
  </si>
  <si>
    <t>CUST-5189</t>
  </si>
  <si>
    <t>Carlos Kowalski</t>
  </si>
  <si>
    <t>carlos.kowalski@company.co.uk</t>
  </si>
  <si>
    <t>+1-334-308-7539</t>
  </si>
  <si>
    <t>£982,42</t>
  </si>
  <si>
    <t>ORD-100465</t>
  </si>
  <si>
    <t>45161 09:44</t>
  </si>
  <si>
    <t>CUST-5352</t>
  </si>
  <si>
    <t xml:space="preserve"> Marek Johnson</t>
  </si>
  <si>
    <t xml:space="preserve">marek.johnson@yahoo.com </t>
  </si>
  <si>
    <t xml:space="preserve"> +1-907-977-4641</t>
  </si>
  <si>
    <t>USD 31.14</t>
  </si>
  <si>
    <t xml:space="preserve"> Bank Transfre</t>
  </si>
  <si>
    <t>ORD-100052</t>
  </si>
  <si>
    <t>May 12, 2023</t>
  </si>
  <si>
    <t>CUST-5365</t>
  </si>
  <si>
    <t>Paula  King</t>
  </si>
  <si>
    <t>Paula.King@Shop.Io</t>
  </si>
  <si>
    <t xml:space="preserve">+1-714-535-2707 </t>
  </si>
  <si>
    <t>Gemrany</t>
  </si>
  <si>
    <t>GBP 5,772.58</t>
  </si>
  <si>
    <t>ORD-101071</t>
  </si>
  <si>
    <t>11/10/2024</t>
  </si>
  <si>
    <t>£1,256.72</t>
  </si>
  <si>
    <t>aBnk Transfer</t>
  </si>
  <si>
    <t>ORD-100485</t>
  </si>
  <si>
    <t>11-Jul-2025 02:41</t>
  </si>
  <si>
    <t>GBP 5,955.13</t>
  </si>
  <si>
    <t>ORD-101118</t>
  </si>
  <si>
    <t>2025-01-11</t>
  </si>
  <si>
    <t>PENIDNG</t>
  </si>
  <si>
    <t>EUR 742.26</t>
  </si>
  <si>
    <t>ORD-100877</t>
  </si>
  <si>
    <t>2025-02-02</t>
  </si>
  <si>
    <t>USD 2,104.37</t>
  </si>
  <si>
    <t>ORD-100155</t>
  </si>
  <si>
    <t>2025-08-01</t>
  </si>
  <si>
    <t>CUST-5314</t>
  </si>
  <si>
    <t xml:space="preserve">Gabe King </t>
  </si>
  <si>
    <t>GABE.KING@EXAMPLE.COM</t>
  </si>
  <si>
    <t>zł3271,57</t>
  </si>
  <si>
    <t>ORD-100875</t>
  </si>
  <si>
    <t>16-May-2025 20:43</t>
  </si>
  <si>
    <t>I n-Store</t>
  </si>
  <si>
    <t>£1,185.94</t>
  </si>
  <si>
    <t>ORD-100600</t>
  </si>
  <si>
    <t>10/10/2024 07:28</t>
  </si>
  <si>
    <t>CUST-5500</t>
  </si>
  <si>
    <t>Daria  Muller</t>
  </si>
  <si>
    <t>Daria.Muller@Gmail.Com</t>
  </si>
  <si>
    <t>+1-980-369-2641</t>
  </si>
  <si>
    <t>zł684.88</t>
  </si>
  <si>
    <t>ORD-100840</t>
  </si>
  <si>
    <t>11-Mar-2025</t>
  </si>
  <si>
    <t>CUST-5248</t>
  </si>
  <si>
    <t>Ethan Khan</t>
  </si>
  <si>
    <t>Ethan.Khan@Company.Co.Uk</t>
  </si>
  <si>
    <t xml:space="preserve"> +1-782-792-5448</t>
  </si>
  <si>
    <t>GBP 1,060.55</t>
  </si>
  <si>
    <t>ORD-100248</t>
  </si>
  <si>
    <t>07-Oct-2023</t>
  </si>
  <si>
    <t>£123.19</t>
  </si>
  <si>
    <t>ORD-100441</t>
  </si>
  <si>
    <t>05/09/2023</t>
  </si>
  <si>
    <t>CUST-5454</t>
  </si>
  <si>
    <t>Omar Lopez</t>
  </si>
  <si>
    <t>omar.lopez@shop.io</t>
  </si>
  <si>
    <t>+1-816-597-7674</t>
  </si>
  <si>
    <t xml:space="preserve"> nI-Store</t>
  </si>
  <si>
    <t>SKU-1033</t>
  </si>
  <si>
    <t>Bluetooth  Speaker</t>
  </si>
  <si>
    <t>USD 3,161.31</t>
  </si>
  <si>
    <t>ORD-100936</t>
  </si>
  <si>
    <t>18-Mar-2024</t>
  </si>
  <si>
    <t>CUST-5036</t>
  </si>
  <si>
    <t>Lia  Novak</t>
  </si>
  <si>
    <t xml:space="preserve">lia.novak@yahoo.com </t>
  </si>
  <si>
    <t>zł2574,61</t>
  </si>
  <si>
    <t>ORD-101074</t>
  </si>
  <si>
    <t>Jan 23, 2025</t>
  </si>
  <si>
    <t>PLN 2,315.49</t>
  </si>
  <si>
    <t>ORD-100542</t>
  </si>
  <si>
    <t>16/04/2024</t>
  </si>
  <si>
    <t>PLN 5,207.77</t>
  </si>
  <si>
    <t>ORD-100117</t>
  </si>
  <si>
    <t>45566</t>
  </si>
  <si>
    <t>USD 579.83</t>
  </si>
  <si>
    <t>ORD-100694</t>
  </si>
  <si>
    <t>45034 22:11</t>
  </si>
  <si>
    <t>SKU-1006</t>
  </si>
  <si>
    <t xml:space="preserve"> USB-C Hub 7in1</t>
  </si>
  <si>
    <t>$895.63</t>
  </si>
  <si>
    <t>ORD-100628</t>
  </si>
  <si>
    <t>03/29/2023 08:43</t>
  </si>
  <si>
    <t>PLN 1,809.35</t>
  </si>
  <si>
    <t>ORD-100893</t>
  </si>
  <si>
    <t>2024-01-27 19:49</t>
  </si>
  <si>
    <t>PLN 494.63</t>
  </si>
  <si>
    <t>ORD-100879</t>
  </si>
  <si>
    <t>45039</t>
  </si>
  <si>
    <t>USD 32.08</t>
  </si>
  <si>
    <t>ORD-100291</t>
  </si>
  <si>
    <t>01/25/2025</t>
  </si>
  <si>
    <t>CUST-5243</t>
  </si>
  <si>
    <t xml:space="preserve">Ethan Khan </t>
  </si>
  <si>
    <t>Ethan.Khan@Yahoo.Com</t>
  </si>
  <si>
    <t xml:space="preserve">+1-296-961-6128 </t>
  </si>
  <si>
    <t>PLN 1,000.50</t>
  </si>
  <si>
    <t>ORD-101015</t>
  </si>
  <si>
    <t>11/23/2023</t>
  </si>
  <si>
    <t>$244,46</t>
  </si>
  <si>
    <t>ORD-100381</t>
  </si>
  <si>
    <t>45576</t>
  </si>
  <si>
    <t>€3,224.66</t>
  </si>
  <si>
    <t>ORD-100779</t>
  </si>
  <si>
    <t>45654</t>
  </si>
  <si>
    <t>CUST-5223</t>
  </si>
  <si>
    <t>IGOR BROWN</t>
  </si>
  <si>
    <t>igor.brown@outlook.com</t>
  </si>
  <si>
    <t xml:space="preserve"> +1-778-262-8429</t>
  </si>
  <si>
    <t>EUR 1,908.93</t>
  </si>
  <si>
    <t>ORD-100200</t>
  </si>
  <si>
    <t>04-Feb-2024</t>
  </si>
  <si>
    <t>USD 2,929.34</t>
  </si>
  <si>
    <t>ORD-100596</t>
  </si>
  <si>
    <t>2025-04-30</t>
  </si>
  <si>
    <t>zł2,327.70</t>
  </si>
  <si>
    <t>ORD-100937</t>
  </si>
  <si>
    <t>2024-06-13</t>
  </si>
  <si>
    <t>CUST-5610</t>
  </si>
  <si>
    <t xml:space="preserve"> Vlad Rodriguez</t>
  </si>
  <si>
    <t>vlad.rodriguez@shop.io</t>
  </si>
  <si>
    <t>+44 262 888 8419</t>
  </si>
  <si>
    <t>GBP 293.76</t>
  </si>
  <si>
    <t>ORD-101115</t>
  </si>
  <si>
    <t>Sep 23, 2023 21:33</t>
  </si>
  <si>
    <t>CUST-5030</t>
  </si>
  <si>
    <t>Sam Johnson</t>
  </si>
  <si>
    <t xml:space="preserve"> sam.johnson@yahoo.com</t>
  </si>
  <si>
    <t xml:space="preserve">+44 617 524 4802 </t>
  </si>
  <si>
    <t>GBP 697.16</t>
  </si>
  <si>
    <t>Sam Taylor</t>
  </si>
  <si>
    <t>ORD-100662</t>
  </si>
  <si>
    <t>2024/01/12 12:51</t>
  </si>
  <si>
    <t>£2,158.04</t>
  </si>
  <si>
    <t xml:space="preserve"> tSandard</t>
  </si>
  <si>
    <t>ORD-100505</t>
  </si>
  <si>
    <t>25.05.2023</t>
  </si>
  <si>
    <t>USD 2,346.44</t>
  </si>
  <si>
    <t>ORD-101003</t>
  </si>
  <si>
    <t>22-Jul-2024</t>
  </si>
  <si>
    <t>CUST-5214</t>
  </si>
  <si>
    <t>xenia.rossi@yahoo.com</t>
  </si>
  <si>
    <t>+1-856-887-9942</t>
  </si>
  <si>
    <t>ORD-100340</t>
  </si>
  <si>
    <t>45902</t>
  </si>
  <si>
    <t>£1,589.99</t>
  </si>
  <si>
    <t>ORD-100615</t>
  </si>
  <si>
    <t>44985</t>
  </si>
  <si>
    <t>CUST-5484</t>
  </si>
  <si>
    <t xml:space="preserve">08844 823 181 </t>
  </si>
  <si>
    <t>PLN 1,693.62</t>
  </si>
  <si>
    <t>ORD-100154</t>
  </si>
  <si>
    <t>27.01.2025 17:12</t>
  </si>
  <si>
    <t>GBP 1,755.86</t>
  </si>
  <si>
    <t>ORD-101082</t>
  </si>
  <si>
    <t>12.01.2023</t>
  </si>
  <si>
    <t>CUST-5073</t>
  </si>
  <si>
    <t>Bella  Kowalski</t>
  </si>
  <si>
    <t>07239 802 664</t>
  </si>
  <si>
    <t>GBP 1,272.65</t>
  </si>
  <si>
    <t>ORD-100956</t>
  </si>
  <si>
    <t>44964</t>
  </si>
  <si>
    <t>USD 355.39</t>
  </si>
  <si>
    <t>ORD-100287</t>
  </si>
  <si>
    <t>Jul 23, 2023</t>
  </si>
  <si>
    <t xml:space="preserve">carlos.lee@company.co.uk </t>
  </si>
  <si>
    <t>PLN 863.84</t>
  </si>
  <si>
    <t>ORD-100322</t>
  </si>
  <si>
    <t>44933</t>
  </si>
  <si>
    <t>£3117,92</t>
  </si>
  <si>
    <t>ORD-100841</t>
  </si>
  <si>
    <t>Nov 28, 2024</t>
  </si>
  <si>
    <t>CUST-5480</t>
  </si>
  <si>
    <t>BELLA DUBOIS</t>
  </si>
  <si>
    <t xml:space="preserve"> bella.dubois@yahoo.com</t>
  </si>
  <si>
    <t>+44 712 158 5882</t>
  </si>
  <si>
    <t>USD 2,453.74</t>
  </si>
  <si>
    <t>ORD-100854</t>
  </si>
  <si>
    <t>16.03.2023</t>
  </si>
  <si>
    <t>$1,402.12</t>
  </si>
  <si>
    <t>ORD-100082</t>
  </si>
  <si>
    <t>Jun 16, 2025 05:46</t>
  </si>
  <si>
    <t>CUST-5574</t>
  </si>
  <si>
    <t xml:space="preserve">Jade Muller </t>
  </si>
  <si>
    <t>jade.muller@example.com</t>
  </si>
  <si>
    <t>+1-425-555-1784</t>
  </si>
  <si>
    <t>GBP 1,989.98</t>
  </si>
  <si>
    <t>ORD-100816</t>
  </si>
  <si>
    <t>2024-06-28</t>
  </si>
  <si>
    <t>CUST-5559</t>
  </si>
  <si>
    <t xml:space="preserve">Ethan Kowalski </t>
  </si>
  <si>
    <t>EHTAN.KOWALSKI@SHOP.IO</t>
  </si>
  <si>
    <t>zł1,853.12</t>
  </si>
  <si>
    <t>ORD-100464</t>
  </si>
  <si>
    <t>18-Jun-2023</t>
  </si>
  <si>
    <t>CUST-5499</t>
  </si>
  <si>
    <t xml:space="preserve">Carlos Smith </t>
  </si>
  <si>
    <t>carlos.smith@shop.io</t>
  </si>
  <si>
    <t>+1-251-696-6811</t>
  </si>
  <si>
    <t>€109.31</t>
  </si>
  <si>
    <t>ORD-101126</t>
  </si>
  <si>
    <t>2024-12-26 18:14</t>
  </si>
  <si>
    <t>CUST-5104</t>
  </si>
  <si>
    <t>Adam  King</t>
  </si>
  <si>
    <t>adam.king@gmail.com</t>
  </si>
  <si>
    <t>00043 418 799</t>
  </si>
  <si>
    <t>USD 2,085.72</t>
  </si>
  <si>
    <t>ORD-100725</t>
  </si>
  <si>
    <t>45713 08:40</t>
  </si>
  <si>
    <t>P ending</t>
  </si>
  <si>
    <t>£1,745.30</t>
  </si>
  <si>
    <t>ORD-101145</t>
  </si>
  <si>
    <t>45705</t>
  </si>
  <si>
    <t>zł468.41</t>
  </si>
  <si>
    <t>ORD-100740</t>
  </si>
  <si>
    <t>2024-11-08</t>
  </si>
  <si>
    <t>CUST-5083</t>
  </si>
  <si>
    <t>06279  800  758</t>
  </si>
  <si>
    <t>PLN 4,271.94</t>
  </si>
  <si>
    <t>ORD-100333</t>
  </si>
  <si>
    <t>30/07/2025</t>
  </si>
  <si>
    <t>EUR 6,892.41</t>
  </si>
  <si>
    <t>Bank  Tranfser</t>
  </si>
  <si>
    <t>ORD-100010</t>
  </si>
  <si>
    <t>01/08/2024</t>
  </si>
  <si>
    <t>CUST-5147</t>
  </si>
  <si>
    <t xml:space="preserve"> Fiona Taylor</t>
  </si>
  <si>
    <t xml:space="preserve"> fiona.taylor@outlook.com</t>
  </si>
  <si>
    <t xml:space="preserve">+44 933 768 7682 </t>
  </si>
  <si>
    <t>PLN 5,432.05</t>
  </si>
  <si>
    <t>ORD-100470</t>
  </si>
  <si>
    <t>12-Aug-2024 17:22</t>
  </si>
  <si>
    <t>CUST-5479</t>
  </si>
  <si>
    <t>adam.rodriguez@gmail.com</t>
  </si>
  <si>
    <t>+1-338-499-5682</t>
  </si>
  <si>
    <t>USD 2,637.07</t>
  </si>
  <si>
    <t xml:space="preserve"> Satndard</t>
  </si>
  <si>
    <t>ORD-100032</t>
  </si>
  <si>
    <t>2025/09/20 07:02</t>
  </si>
  <si>
    <t>GBP 3,005.42</t>
  </si>
  <si>
    <t>ORD-100751</t>
  </si>
  <si>
    <t>15.08.2024 17:00</t>
  </si>
  <si>
    <t>CUST-5305</t>
  </si>
  <si>
    <t>Igor  Rossi</t>
  </si>
  <si>
    <t>+1-461-258-4119</t>
  </si>
  <si>
    <t>PLN 1,468.65</t>
  </si>
  <si>
    <t>ORD-100413</t>
  </si>
  <si>
    <t>10.03.2023</t>
  </si>
  <si>
    <t>CUST-5053</t>
  </si>
  <si>
    <t>Qi Martinez</t>
  </si>
  <si>
    <t xml:space="preserve">qi.martinez@yahoo.com </t>
  </si>
  <si>
    <t>05684 147 008</t>
  </si>
  <si>
    <t>€3,319.21</t>
  </si>
  <si>
    <t>ORD-100580</t>
  </si>
  <si>
    <t>45665 11:38</t>
  </si>
  <si>
    <t>$154.72</t>
  </si>
  <si>
    <t>ORD-100382</t>
  </si>
  <si>
    <t>2024-02-16</t>
  </si>
  <si>
    <t>CUST-5110</t>
  </si>
  <si>
    <t xml:space="preserve"> Omar Williams</t>
  </si>
  <si>
    <t xml:space="preserve"> +1-482-570-3500</t>
  </si>
  <si>
    <t>PLN 4,823.70</t>
  </si>
  <si>
    <t>ORD-100790</t>
  </si>
  <si>
    <t>09-Jan-2023</t>
  </si>
  <si>
    <t>zł1,691.35</t>
  </si>
  <si>
    <t>ORD-100729</t>
  </si>
  <si>
    <t>25-Mar-2023</t>
  </si>
  <si>
    <t>zł999.08</t>
  </si>
  <si>
    <t>ORD-101111</t>
  </si>
  <si>
    <t>03/04/2024</t>
  </si>
  <si>
    <t>CUST-5392</t>
  </si>
  <si>
    <t xml:space="preserve"> Bella Dubois</t>
  </si>
  <si>
    <t>bella.dubois@yahoo.com</t>
  </si>
  <si>
    <t>$4,485.26</t>
  </si>
  <si>
    <t>ORD-100802</t>
  </si>
  <si>
    <t>Jul 27, 2023</t>
  </si>
  <si>
    <t>ORD-101117</t>
  </si>
  <si>
    <t>23/12/2024</t>
  </si>
  <si>
    <t>CUST-5665</t>
  </si>
  <si>
    <t>Lia Garcia</t>
  </si>
  <si>
    <t xml:space="preserve">lia.garcia@gmail.com </t>
  </si>
  <si>
    <t xml:space="preserve">+44 272 872 4092 </t>
  </si>
  <si>
    <t xml:space="preserve">Wbe </t>
  </si>
  <si>
    <t>€367,61</t>
  </si>
  <si>
    <t>ORD-100378</t>
  </si>
  <si>
    <t>2024-08-15</t>
  </si>
  <si>
    <t>CUST-5607</t>
  </si>
  <si>
    <t>bella.dubois@outlook.com</t>
  </si>
  <si>
    <t>08780 368 050</t>
  </si>
  <si>
    <t>€2,730.91</t>
  </si>
  <si>
    <t>ORD-100089</t>
  </si>
  <si>
    <t>Mar 25, 2023 06:00</t>
  </si>
  <si>
    <t>CUST-5686</t>
  </si>
  <si>
    <t>Lia Nowak</t>
  </si>
  <si>
    <t>+44 203 720 0293</t>
  </si>
  <si>
    <t>GBP 3,244.09</t>
  </si>
  <si>
    <t>ORD-100761</t>
  </si>
  <si>
    <t>31-Dec-2024</t>
  </si>
  <si>
    <t>EUR 1,729.96</t>
  </si>
  <si>
    <t>Bank rTansfer</t>
  </si>
  <si>
    <t>ORD-100601</t>
  </si>
  <si>
    <t>2023/02/01</t>
  </si>
  <si>
    <t>USD 271.77</t>
  </si>
  <si>
    <t>ORD-100213</t>
  </si>
  <si>
    <t>45467 21:08</t>
  </si>
  <si>
    <t>CUST-5540</t>
  </si>
  <si>
    <t>Ethan Kowalczyk</t>
  </si>
  <si>
    <t>ethan.kowalczyk@example.com</t>
  </si>
  <si>
    <t xml:space="preserve">+1-542-344-1661 </t>
  </si>
  <si>
    <t xml:space="preserve"> Pneding</t>
  </si>
  <si>
    <t>£2,783.46</t>
  </si>
  <si>
    <t>ORD-100332</t>
  </si>
  <si>
    <t>Mar 25, 2024 22:58</t>
  </si>
  <si>
    <t>USD 601.85</t>
  </si>
  <si>
    <t>ORD-100133</t>
  </si>
  <si>
    <t>45763</t>
  </si>
  <si>
    <t>zł3,497.27</t>
  </si>
  <si>
    <t>ORD-100346</t>
  </si>
  <si>
    <t>2024/08/03</t>
  </si>
  <si>
    <t>£113.65</t>
  </si>
  <si>
    <t>ORD-100852</t>
  </si>
  <si>
    <t>45375 09:28</t>
  </si>
  <si>
    <t xml:space="preserve"> Canceleld</t>
  </si>
  <si>
    <t>EUR 634.82</t>
  </si>
  <si>
    <t>ORD-100007</t>
  </si>
  <si>
    <t>45464 22:47</t>
  </si>
  <si>
    <t>PLN 57.29</t>
  </si>
  <si>
    <t>ORD-100806</t>
  </si>
  <si>
    <t>2023/02/05</t>
  </si>
  <si>
    <t>zł1,127.63</t>
  </si>
  <si>
    <t>ORD-100320</t>
  </si>
  <si>
    <t>02/05/2024</t>
  </si>
  <si>
    <t>€426.13</t>
  </si>
  <si>
    <t>ORD-101023</t>
  </si>
  <si>
    <t>11/04/2024</t>
  </si>
  <si>
    <t>$1523,98</t>
  </si>
  <si>
    <t>ORD-100187</t>
  </si>
  <si>
    <t>2025/03/02</t>
  </si>
  <si>
    <t>EUR 1,668.86</t>
  </si>
  <si>
    <t>ORD-100933</t>
  </si>
  <si>
    <t>45597 17:06</t>
  </si>
  <si>
    <t>£5,626.81</t>
  </si>
  <si>
    <t>ORD-100552</t>
  </si>
  <si>
    <t>2025/04/01 23:52</t>
  </si>
  <si>
    <t>PLN 320.32</t>
  </si>
  <si>
    <t>ORD-100304</t>
  </si>
  <si>
    <t>Sep 17, 2025</t>
  </si>
  <si>
    <t>USD 833.15</t>
  </si>
  <si>
    <t>ORD-100031</t>
  </si>
  <si>
    <t>26/04/2025 04:05</t>
  </si>
  <si>
    <t>£614.76</t>
  </si>
  <si>
    <t>ORD-100799</t>
  </si>
  <si>
    <t>Sep 13, 2024 10:27</t>
  </si>
  <si>
    <t>£301,99</t>
  </si>
  <si>
    <t xml:space="preserve">tSandard </t>
  </si>
  <si>
    <t>ORD-100684</t>
  </si>
  <si>
    <t>2023/03/17</t>
  </si>
  <si>
    <t>zł2,979.41</t>
  </si>
  <si>
    <t>Ban kTransfer</t>
  </si>
  <si>
    <t>ORD-100240</t>
  </si>
  <si>
    <t>10-Aug-2025</t>
  </si>
  <si>
    <t>EUR 2,490.93</t>
  </si>
  <si>
    <t>ORD-100954</t>
  </si>
  <si>
    <t>12/22/2023</t>
  </si>
  <si>
    <t>GBP 299.74</t>
  </si>
  <si>
    <t>ORD-100174</t>
  </si>
  <si>
    <t>10/12/2023 23:16</t>
  </si>
  <si>
    <t>CUST-5699</t>
  </si>
  <si>
    <t>Bella Kowalczyk</t>
  </si>
  <si>
    <t>bella.kowalczyk@yahoo.com</t>
  </si>
  <si>
    <t>04155  402  392</t>
  </si>
  <si>
    <t>zł167.91</t>
  </si>
  <si>
    <t xml:space="preserve"> Nxet Day</t>
  </si>
  <si>
    <t>ORD-100245</t>
  </si>
  <si>
    <t>01/07/2025</t>
  </si>
  <si>
    <t>CUST-5286</t>
  </si>
  <si>
    <t>Tara Lee</t>
  </si>
  <si>
    <t>TARA.LEE@EXAMPLE.COM</t>
  </si>
  <si>
    <t xml:space="preserve">00797 644 331 </t>
  </si>
  <si>
    <t xml:space="preserve">Refundde </t>
  </si>
  <si>
    <t>USD 4,582.16</t>
  </si>
  <si>
    <t>ORD-100056</t>
  </si>
  <si>
    <t>45562</t>
  </si>
  <si>
    <t>CUST-5284</t>
  </si>
  <si>
    <t>Zcak Davis</t>
  </si>
  <si>
    <t>zack.davis@gmail.com</t>
  </si>
  <si>
    <t>+1-390-739-2495</t>
  </si>
  <si>
    <t>GBP 382.16</t>
  </si>
  <si>
    <t>ORD-100630</t>
  </si>
  <si>
    <t>10/13/2024 14:48</t>
  </si>
  <si>
    <t>$4,982.47</t>
  </si>
  <si>
    <t>ORD-100583</t>
  </si>
  <si>
    <t>2023-01-02</t>
  </si>
  <si>
    <t>$921.72</t>
  </si>
  <si>
    <t>ORD-101009</t>
  </si>
  <si>
    <t>2023/01/22</t>
  </si>
  <si>
    <t>PLN 1,451.52</t>
  </si>
  <si>
    <t>ORD-100145</t>
  </si>
  <si>
    <t>45645</t>
  </si>
  <si>
    <t>$1,967.21</t>
  </si>
  <si>
    <t>Gift aCrd</t>
  </si>
  <si>
    <t>ORD-100090</t>
  </si>
  <si>
    <t>2023-03-20</t>
  </si>
  <si>
    <t>CUST-5291</t>
  </si>
  <si>
    <t>Yara Taylor</t>
  </si>
  <si>
    <t>Yara.Taylor@Outlook.Com</t>
  </si>
  <si>
    <t>EUR 1,686.25</t>
  </si>
  <si>
    <t>ORD-100392</t>
  </si>
  <si>
    <t>45839</t>
  </si>
  <si>
    <t>£2,520.23</t>
  </si>
  <si>
    <t>ORD-100682</t>
  </si>
  <si>
    <t>02/27/2024</t>
  </si>
  <si>
    <t>PLN 437.32</t>
  </si>
  <si>
    <t>ORD-100310</t>
  </si>
  <si>
    <t>2023/01/10</t>
  </si>
  <si>
    <t>zł2095,63</t>
  </si>
  <si>
    <t>ORD-100359</t>
  </si>
  <si>
    <t>14/09/2023</t>
  </si>
  <si>
    <t>CUST-5327</t>
  </si>
  <si>
    <t>Ken Dubois</t>
  </si>
  <si>
    <t>ken.dubois@shop.io</t>
  </si>
  <si>
    <t xml:space="preserve">+1-566-455-1513 </t>
  </si>
  <si>
    <t>EUR 2,943.00</t>
  </si>
  <si>
    <t>ORD-100093</t>
  </si>
  <si>
    <t>09/26/2025</t>
  </si>
  <si>
    <t>PLN 4,399.56</t>
  </si>
  <si>
    <t>ORD-100909</t>
  </si>
  <si>
    <t>11/16/2024</t>
  </si>
  <si>
    <t>CUST-5444</t>
  </si>
  <si>
    <t>Vlad Young</t>
  </si>
  <si>
    <t>vlad.young@example.com</t>
  </si>
  <si>
    <t xml:space="preserve"> +1-565-9817-826</t>
  </si>
  <si>
    <t xml:space="preserve">Geramny </t>
  </si>
  <si>
    <t>$1,040.59</t>
  </si>
  <si>
    <t>ORD-100984</t>
  </si>
  <si>
    <t>02-Jan-2023</t>
  </si>
  <si>
    <t>$1764,73</t>
  </si>
  <si>
    <t>ORD-100376</t>
  </si>
  <si>
    <t>USD 544.91</t>
  </si>
  <si>
    <t>ORD-100243</t>
  </si>
  <si>
    <t>45201 20:48</t>
  </si>
  <si>
    <t>PLN 7,882.82</t>
  </si>
  <si>
    <t>ORD-101054</t>
  </si>
  <si>
    <t>08.03.2024</t>
  </si>
  <si>
    <t>CUST-5328</t>
  </si>
  <si>
    <t xml:space="preserve"> Daria Garcia</t>
  </si>
  <si>
    <t>+1-716-956-7526</t>
  </si>
  <si>
    <t>€554.41</t>
  </si>
  <si>
    <t>ORD-100087</t>
  </si>
  <si>
    <t>03-Mar-2023 05:59</t>
  </si>
  <si>
    <t>$5,367.24</t>
  </si>
  <si>
    <t>Standadr</t>
  </si>
  <si>
    <t>ORD-100214</t>
  </si>
  <si>
    <t>Jan 12, 2024</t>
  </si>
  <si>
    <t>$3664,73</t>
  </si>
  <si>
    <t>ORD-100444</t>
  </si>
  <si>
    <t>2023/09/12 04:08</t>
  </si>
  <si>
    <t>£2,319.84</t>
  </si>
  <si>
    <t>ORD-100173</t>
  </si>
  <si>
    <t>30-Sep-2024</t>
  </si>
  <si>
    <t>zł1201,5</t>
  </si>
  <si>
    <t>ORD-100425</t>
  </si>
  <si>
    <t>45412</t>
  </si>
  <si>
    <t>USD 19.21</t>
  </si>
  <si>
    <t>ORD-101014</t>
  </si>
  <si>
    <t>2023-07-11</t>
  </si>
  <si>
    <t>USD 1,526.66</t>
  </si>
  <si>
    <t>ORD-100118</t>
  </si>
  <si>
    <t>2024-08-18</t>
  </si>
  <si>
    <t>USD 3,499.94</t>
  </si>
  <si>
    <t>ORD-100119</t>
  </si>
  <si>
    <t>06/15/2023</t>
  </si>
  <si>
    <t>CUST-5438</t>
  </si>
  <si>
    <t>Fiona Martinez</t>
  </si>
  <si>
    <t>+1-670-897-8572</t>
  </si>
  <si>
    <t xml:space="preserve">tIaly </t>
  </si>
  <si>
    <t>PLN 1,564.04</t>
  </si>
  <si>
    <t>ORD-100907</t>
  </si>
  <si>
    <t>01.07.2024</t>
  </si>
  <si>
    <t>GBP 555.34</t>
  </si>
  <si>
    <t>ORD-100833</t>
  </si>
  <si>
    <t>02/28/2024</t>
  </si>
  <si>
    <t>EUR 510.73</t>
  </si>
  <si>
    <t>ORD-100000</t>
  </si>
  <si>
    <t>45380</t>
  </si>
  <si>
    <t>€2,613.35</t>
  </si>
  <si>
    <t>ORD-100394</t>
  </si>
  <si>
    <t>03/23/2023</t>
  </si>
  <si>
    <t>$298.48</t>
  </si>
  <si>
    <t>ORD-100401</t>
  </si>
  <si>
    <t>07/11/2024</t>
  </si>
  <si>
    <t>CUST-5656</t>
  </si>
  <si>
    <t>Zack  Martinez</t>
  </si>
  <si>
    <t xml:space="preserve">zack.martinez@companyc.o.uk </t>
  </si>
  <si>
    <t>GBP 1,065.29</t>
  </si>
  <si>
    <t>ORD-100404</t>
  </si>
  <si>
    <t>45827</t>
  </si>
  <si>
    <t>CUST-5517</t>
  </si>
  <si>
    <t>carlos.kowalski@yahoo.com</t>
  </si>
  <si>
    <t>+1-821-473-1626</t>
  </si>
  <si>
    <t>USD 1,992.72</t>
  </si>
  <si>
    <t>ORD-100804</t>
  </si>
  <si>
    <t>45675</t>
  </si>
  <si>
    <t>€1226,42</t>
  </si>
  <si>
    <t>ORD-101037</t>
  </si>
  <si>
    <t>45297 17:14</t>
  </si>
  <si>
    <t>Canceleld</t>
  </si>
  <si>
    <t>SKU-1109</t>
  </si>
  <si>
    <t>GBP 3,896.55</t>
  </si>
  <si>
    <t>ORD-100162</t>
  </si>
  <si>
    <t>26-Feb-2023</t>
  </si>
  <si>
    <t>CUST-5441</t>
  </si>
  <si>
    <t xml:space="preserve"> Daria Walker</t>
  </si>
  <si>
    <t xml:space="preserve"> daria.walker@compayn.co.uk</t>
  </si>
  <si>
    <t>€569.35</t>
  </si>
  <si>
    <t>ORD-100114</t>
  </si>
  <si>
    <t>10/12/2023 06:49</t>
  </si>
  <si>
    <t>CUST-5250</t>
  </si>
  <si>
    <t>fiona.martinez@shop.io</t>
  </si>
  <si>
    <t>+1-810-768-7461</t>
  </si>
  <si>
    <t>zł1,568.59</t>
  </si>
  <si>
    <t>ORD-100670</t>
  </si>
  <si>
    <t>28/05/2024 14:11</t>
  </si>
  <si>
    <t>CUST-5074</t>
  </si>
  <si>
    <t>Daria Rossi</t>
  </si>
  <si>
    <t>DARIA.ROSSI@OUTLOOK.COM</t>
  </si>
  <si>
    <t xml:space="preserve">+44 486 885 0030 </t>
  </si>
  <si>
    <t xml:space="preserve">Markteplace </t>
  </si>
  <si>
    <t>USD 283.84</t>
  </si>
  <si>
    <t>ORD-100150</t>
  </si>
  <si>
    <t>45206</t>
  </si>
  <si>
    <t>CUST-5162</t>
  </si>
  <si>
    <t>Carlos Williams</t>
  </si>
  <si>
    <t>carlos.williams@yahoo.com</t>
  </si>
  <si>
    <t>00920 511 823</t>
  </si>
  <si>
    <t>GBP 2,911.41</t>
  </si>
  <si>
    <t>ORD-100767</t>
  </si>
  <si>
    <t>€222.83</t>
  </si>
  <si>
    <t xml:space="preserve">Bank Trnasfer </t>
  </si>
  <si>
    <t>ORD-100755</t>
  </si>
  <si>
    <t>2023/07/09</t>
  </si>
  <si>
    <t>$374,87</t>
  </si>
  <si>
    <t>ORD-100952</t>
  </si>
  <si>
    <t>44958 06:50</t>
  </si>
  <si>
    <t>CUST-5045</t>
  </si>
  <si>
    <t xml:space="preserve"> omar.rodriguez@yahoo.com</t>
  </si>
  <si>
    <t xml:space="preserve">02967 000 891 </t>
  </si>
  <si>
    <t>£982.27</t>
  </si>
  <si>
    <t>ORD-100368</t>
  </si>
  <si>
    <t>Jul 10, 2023</t>
  </si>
  <si>
    <t>€2,331.12</t>
  </si>
  <si>
    <t>ORD-100543</t>
  </si>
  <si>
    <t>EUR 1,698.43</t>
  </si>
  <si>
    <t>ORD-100477</t>
  </si>
  <si>
    <t>13/09/2025</t>
  </si>
  <si>
    <t>PLN 8,743.69</t>
  </si>
  <si>
    <t xml:space="preserve">xEpress </t>
  </si>
  <si>
    <t>ORD-101106</t>
  </si>
  <si>
    <t>Jul 20, 2024</t>
  </si>
  <si>
    <t>CUST-5525</t>
  </si>
  <si>
    <t xml:space="preserve">+1-632-638-9746 </t>
  </si>
  <si>
    <t>€1,283.46</t>
  </si>
  <si>
    <t>ORD-100532</t>
  </si>
  <si>
    <t>08/16/2024 22:34</t>
  </si>
  <si>
    <t>Markeptlace</t>
  </si>
  <si>
    <t>GBP 3,813.95</t>
  </si>
  <si>
    <t>STANDRAD</t>
  </si>
  <si>
    <t>ORD-100625</t>
  </si>
  <si>
    <t>06.10.2024</t>
  </si>
  <si>
    <t>USD 178.63</t>
  </si>
  <si>
    <t>Stanadrd</t>
  </si>
  <si>
    <t>ORD-100928</t>
  </si>
  <si>
    <t>Jul 07, 2023</t>
  </si>
  <si>
    <t>Zack Kowalczyk</t>
  </si>
  <si>
    <t>USD 203.88</t>
  </si>
  <si>
    <t>ORD-100512</t>
  </si>
  <si>
    <t>2025/05/22</t>
  </si>
  <si>
    <t>zł208,97</t>
  </si>
  <si>
    <t>ORD-100770</t>
  </si>
  <si>
    <t>45364</t>
  </si>
  <si>
    <t>CUST-5277</t>
  </si>
  <si>
    <t>Fioan  Rodriguez</t>
  </si>
  <si>
    <t xml:space="preserve">fiona.rodriguez@gmail.com </t>
  </si>
  <si>
    <t xml:space="preserve">+1-728-967-1319 </t>
  </si>
  <si>
    <t>GBP 396.21</t>
  </si>
  <si>
    <t>ORD-100072</t>
  </si>
  <si>
    <t>45396 17:26</t>
  </si>
  <si>
    <t>PLN 2,685.67</t>
  </si>
  <si>
    <t>ORD-100258</t>
  </si>
  <si>
    <t>2023-01-13 17:20</t>
  </si>
  <si>
    <t>CUST-5630</t>
  </si>
  <si>
    <t>Sam  King</t>
  </si>
  <si>
    <t>+1-361-234-8707</t>
  </si>
  <si>
    <t>PLN 358.02</t>
  </si>
  <si>
    <t>ORD-100624</t>
  </si>
  <si>
    <t>09/10/2025</t>
  </si>
  <si>
    <t>PLN 81.01</t>
  </si>
  <si>
    <t>ORD-100234</t>
  </si>
  <si>
    <t>11/15/2024</t>
  </si>
  <si>
    <t>$3,547.43</t>
  </si>
  <si>
    <t>ORD-100135</t>
  </si>
  <si>
    <t>13-May-2025 17:56</t>
  </si>
  <si>
    <t>EUR 1,565.15</t>
  </si>
  <si>
    <t>ORD-100616</t>
  </si>
  <si>
    <t>25.06.2025</t>
  </si>
  <si>
    <t>ORD-100516</t>
  </si>
  <si>
    <t>45068</t>
  </si>
  <si>
    <t>$4,016.45</t>
  </si>
  <si>
    <t>ORD-100832</t>
  </si>
  <si>
    <t>15-Jun-2024</t>
  </si>
  <si>
    <t>Daria  Khan</t>
  </si>
  <si>
    <t xml:space="preserve"> Cnacelled</t>
  </si>
  <si>
    <t>EUR 1,834.96</t>
  </si>
  <si>
    <t>ORD-100592</t>
  </si>
  <si>
    <t>12/31/2024</t>
  </si>
  <si>
    <t xml:space="preserve">In-Stroe </t>
  </si>
  <si>
    <t>zł1,722.42</t>
  </si>
  <si>
    <t>ORD-101035</t>
  </si>
  <si>
    <t>May 05, 2024 09:29</t>
  </si>
  <si>
    <t>EUR 4,213.16</t>
  </si>
  <si>
    <t>ORD-100501</t>
  </si>
  <si>
    <t>31/08/2025</t>
  </si>
  <si>
    <t>CUST-5547</t>
  </si>
  <si>
    <t>Carlos Taylor</t>
  </si>
  <si>
    <t xml:space="preserve"> carlos.taylor@example.com</t>
  </si>
  <si>
    <t>+44 751 427 4575</t>
  </si>
  <si>
    <t>Cnacelled</t>
  </si>
  <si>
    <t>zł4,376.44</t>
  </si>
  <si>
    <t>ORD-100538</t>
  </si>
  <si>
    <t>2025/09/17</t>
  </si>
  <si>
    <t>PLN 2,296.30</t>
  </si>
  <si>
    <t>ORD-100861</t>
  </si>
  <si>
    <t>15/03/2025</t>
  </si>
  <si>
    <t>$341.01</t>
  </si>
  <si>
    <t>ORD-100728</t>
  </si>
  <si>
    <t>45402</t>
  </si>
  <si>
    <t>06389 603 800</t>
  </si>
  <si>
    <t>EUR 3,138.80</t>
  </si>
  <si>
    <t>ORD-100581</t>
  </si>
  <si>
    <t>11/15/2024 13:08</t>
  </si>
  <si>
    <t>CUST-5418</t>
  </si>
  <si>
    <t xml:space="preserve">Lia Novak </t>
  </si>
  <si>
    <t>lia.novak@outlook.com</t>
  </si>
  <si>
    <t>+44 395 405 4087</t>
  </si>
  <si>
    <t>GBP 3,398.83</t>
  </si>
  <si>
    <t>ORD-100343</t>
  </si>
  <si>
    <t>Mar 07, 2023</t>
  </si>
  <si>
    <t>EUR 1,496.70</t>
  </si>
  <si>
    <t>ORD-100888</t>
  </si>
  <si>
    <t>21-Sep-2025 07:09</t>
  </si>
  <si>
    <t>£4,265.19</t>
  </si>
  <si>
    <t>ORD-100813</t>
  </si>
  <si>
    <t>03/03/2024</t>
  </si>
  <si>
    <t>USD 2,921.74</t>
  </si>
  <si>
    <t>ORD-100293</t>
  </si>
  <si>
    <t>2024-03-10</t>
  </si>
  <si>
    <t>zł1106,77</t>
  </si>
  <si>
    <t>ORD-100364</t>
  </si>
  <si>
    <t>20.02.2023</t>
  </si>
  <si>
    <t>USD 2,295.50</t>
  </si>
  <si>
    <t>ORD-100820</t>
  </si>
  <si>
    <t>2025-04-25</t>
  </si>
  <si>
    <t>£2,945.75</t>
  </si>
  <si>
    <t>ORD-100659</t>
  </si>
  <si>
    <t>45322</t>
  </si>
  <si>
    <t>PLN 1,717.14</t>
  </si>
  <si>
    <t>ORD-100014</t>
  </si>
  <si>
    <t>Mar 26, 2024</t>
  </si>
  <si>
    <t>CUST-5462</t>
  </si>
  <si>
    <t xml:space="preserve">Igor oJhnson </t>
  </si>
  <si>
    <t>+1-478-414-2990</t>
  </si>
  <si>
    <t>$5674,73</t>
  </si>
  <si>
    <t>ORD-100686</t>
  </si>
  <si>
    <t>01/15/2024</t>
  </si>
  <si>
    <t>Marketlpace</t>
  </si>
  <si>
    <t>€2,083.15</t>
  </si>
  <si>
    <t>ORD-100086</t>
  </si>
  <si>
    <t>2023-02-20 16:31</t>
  </si>
  <si>
    <t>CUST-5173</t>
  </si>
  <si>
    <t>TARA MULLER</t>
  </si>
  <si>
    <t>tara.muller@gmail.com</t>
  </si>
  <si>
    <t>+44 379 182 1093</t>
  </si>
  <si>
    <t>EUR 8,586.61</t>
  </si>
  <si>
    <t>ORD-100370</t>
  </si>
  <si>
    <t>05/11/2023</t>
  </si>
  <si>
    <t>CUST-5368</t>
  </si>
  <si>
    <t>Gabe  Novak</t>
  </si>
  <si>
    <t>Gabe.Novak@Yahoo.Com</t>
  </si>
  <si>
    <t>+44 374 362 7312</t>
  </si>
  <si>
    <t>zł1,429.18</t>
  </si>
  <si>
    <t>ORD-100165</t>
  </si>
  <si>
    <t>May 26, 2025</t>
  </si>
  <si>
    <t>€442.14</t>
  </si>
  <si>
    <t>Next Dya</t>
  </si>
  <si>
    <t>ORD-100131</t>
  </si>
  <si>
    <t>EUR 7,324.91</t>
  </si>
  <si>
    <t>ORD-100335</t>
  </si>
  <si>
    <t>45866</t>
  </si>
  <si>
    <t>Pneding</t>
  </si>
  <si>
    <t>EUR 4,757.75</t>
  </si>
  <si>
    <t>ORD-100059</t>
  </si>
  <si>
    <t>CUST-5425</t>
  </si>
  <si>
    <t>Lia Kowalczyk</t>
  </si>
  <si>
    <t>Lia.Kowalczyk@Outlook.Com</t>
  </si>
  <si>
    <t>+44 018 738 8268</t>
  </si>
  <si>
    <t>PLN 915.58</t>
  </si>
  <si>
    <t>ORD-100709</t>
  </si>
  <si>
    <t>28.03.2023</t>
  </si>
  <si>
    <t>PLN 3,390.11</t>
  </si>
  <si>
    <t>ORD-100676</t>
  </si>
  <si>
    <t>11-Jun-2024</t>
  </si>
  <si>
    <t>€1762,96</t>
  </si>
  <si>
    <t>ORD-100354</t>
  </si>
  <si>
    <t>Feb 01, 2023 02:02</t>
  </si>
  <si>
    <t>PLN 3,270.74</t>
  </si>
  <si>
    <t>ORD-100920</t>
  </si>
  <si>
    <t>2025-03-03</t>
  </si>
  <si>
    <t>CUST-5404</t>
  </si>
  <si>
    <t>carlos.kowalski@outlook.com</t>
  </si>
  <si>
    <t>05848 526 752</t>
  </si>
  <si>
    <t>zł1,380.43</t>
  </si>
  <si>
    <t>ORD-100424</t>
  </si>
  <si>
    <t>2025-09-15</t>
  </si>
  <si>
    <t>CUST-5549</t>
  </si>
  <si>
    <t xml:space="preserve">Nina Young </t>
  </si>
  <si>
    <t>NINA.YOUNG@OUTLOOK.COM</t>
  </si>
  <si>
    <t xml:space="preserve">+44 792 101 0778 </t>
  </si>
  <si>
    <t>GBP 376.70</t>
  </si>
  <si>
    <t>ORD-100292</t>
  </si>
  <si>
    <t>01/23/2023</t>
  </si>
  <si>
    <t>CUST-5181</t>
  </si>
  <si>
    <t>Fiona  Kowalczyk</t>
  </si>
  <si>
    <t>fiona.kowalczyk@yahoo.com</t>
  </si>
  <si>
    <t xml:space="preserve">+44 9551 17 4996 </t>
  </si>
  <si>
    <t>$1,330.44</t>
  </si>
  <si>
    <t>ORD-100041</t>
  </si>
  <si>
    <t>04/07/2024</t>
  </si>
  <si>
    <t>CUST-5457</t>
  </si>
  <si>
    <t xml:space="preserve"> Paula King</t>
  </si>
  <si>
    <t xml:space="preserve">palua.king@outlook.com </t>
  </si>
  <si>
    <t>+1-688-938-8930</t>
  </si>
  <si>
    <t>USD 755.96</t>
  </si>
  <si>
    <t>ORD-100329</t>
  </si>
  <si>
    <t>44963</t>
  </si>
  <si>
    <t>CUST-5032</t>
  </si>
  <si>
    <t xml:space="preserve">Wiktor Rodriguez </t>
  </si>
  <si>
    <t xml:space="preserve">wiktor.rodriguez@example.com </t>
  </si>
  <si>
    <t>+44 487 845 8842</t>
  </si>
  <si>
    <t>PLN 5,217.89</t>
  </si>
  <si>
    <t>ORD-100614</t>
  </si>
  <si>
    <t>May 29, 2024</t>
  </si>
  <si>
    <t>CUST-5061</t>
  </si>
  <si>
    <t xml:space="preserve"> Adam Garcia</t>
  </si>
  <si>
    <t>adam.garcia@outlook.com</t>
  </si>
  <si>
    <t>+44 136 191 8851</t>
  </si>
  <si>
    <t>MAREKTPLACE</t>
  </si>
  <si>
    <t>PLN 3,979.23</t>
  </si>
  <si>
    <t>ORD-100429</t>
  </si>
  <si>
    <t>2025-01-08</t>
  </si>
  <si>
    <t>£1152,73</t>
  </si>
  <si>
    <t>ORD-100079</t>
  </si>
  <si>
    <t>2023/12/07</t>
  </si>
  <si>
    <t>CUST-5639</t>
  </si>
  <si>
    <t>omar.kowalski@company.co.ku</t>
  </si>
  <si>
    <t>+44 227 077 6598</t>
  </si>
  <si>
    <t>GBP 1,038.38</t>
  </si>
  <si>
    <t>ORD-100693</t>
  </si>
  <si>
    <t>13-Jan-2024</t>
  </si>
  <si>
    <t>EUR 1,393.04</t>
  </si>
  <si>
    <t>ORD-100028</t>
  </si>
  <si>
    <t>03.08.2023</t>
  </si>
  <si>
    <t>USD 1,288.69</t>
  </si>
  <si>
    <t>ORD-100707</t>
  </si>
  <si>
    <t>Jan 30, 2023 11:06</t>
  </si>
  <si>
    <t>GBP 390.98</t>
  </si>
  <si>
    <t>ORD-100856</t>
  </si>
  <si>
    <t>zł473.40</t>
  </si>
  <si>
    <t>ORD-100254</t>
  </si>
  <si>
    <t>07/24/2025 18:21</t>
  </si>
  <si>
    <t>GBP 107.23</t>
  </si>
  <si>
    <t>ORD-100982</t>
  </si>
  <si>
    <t>2024/08/16</t>
  </si>
  <si>
    <t>zł1,350.05</t>
  </si>
  <si>
    <t>ORD-100458</t>
  </si>
  <si>
    <t>Jun 25, 2023 17:26</t>
  </si>
  <si>
    <t>CUST-5393</t>
  </si>
  <si>
    <t xml:space="preserve">gabe.davis@example.com </t>
  </si>
  <si>
    <t>+44 468 838 5195</t>
  </si>
  <si>
    <t>€984.65</t>
  </si>
  <si>
    <t>ORD-100383</t>
  </si>
  <si>
    <t>2024-04-18</t>
  </si>
  <si>
    <t>EUR 8,758.07</t>
  </si>
  <si>
    <t>ORD-100313</t>
  </si>
  <si>
    <t>2023/06/03 23:00</t>
  </si>
  <si>
    <t>SKU-1091</t>
  </si>
  <si>
    <t>GBP 2,727.52</t>
  </si>
  <si>
    <t>ORD-100084</t>
  </si>
  <si>
    <t>45789</t>
  </si>
  <si>
    <t>zł1,403.38</t>
  </si>
  <si>
    <t>ORD-100574</t>
  </si>
  <si>
    <t>45868</t>
  </si>
  <si>
    <t>PEDNING</t>
  </si>
  <si>
    <t>zł2,581.63</t>
  </si>
  <si>
    <t>ORD-100762</t>
  </si>
  <si>
    <t>45357</t>
  </si>
  <si>
    <t>USD 285.34</t>
  </si>
  <si>
    <t>ORD-100136</t>
  </si>
  <si>
    <t>01.04.2025</t>
  </si>
  <si>
    <t>CUST-5354</t>
  </si>
  <si>
    <t>LIA LOPEZ</t>
  </si>
  <si>
    <t>lia.lopez@outlook.com</t>
  </si>
  <si>
    <t>+1-457-529-2501</t>
  </si>
  <si>
    <t>PLN 1,729.92</t>
  </si>
  <si>
    <t>ORD-100111</t>
  </si>
  <si>
    <t>Jul 13, 2024</t>
  </si>
  <si>
    <t>ORD-100194</t>
  </si>
  <si>
    <t>45775</t>
  </si>
  <si>
    <t>USD 2,405.52</t>
  </si>
  <si>
    <t>ORD-100178</t>
  </si>
  <si>
    <t>24.02.2025</t>
  </si>
  <si>
    <t>CUST-5429</t>
  </si>
  <si>
    <t>Nina King</t>
  </si>
  <si>
    <t>Nina.King@Shop.Io</t>
  </si>
  <si>
    <t>01329 284 462</t>
  </si>
  <si>
    <t>PLN 3,541.26</t>
  </si>
  <si>
    <t xml:space="preserve"> Netx Day</t>
  </si>
  <si>
    <t>ORD-100555</t>
  </si>
  <si>
    <t>2023/01/30</t>
  </si>
  <si>
    <t>USD 678.53</t>
  </si>
  <si>
    <t>ORD-100723</t>
  </si>
  <si>
    <t>18-Jul-2024</t>
  </si>
  <si>
    <t>£4,345.41</t>
  </si>
  <si>
    <t>ORD-100496</t>
  </si>
  <si>
    <t>2025-05-27</t>
  </si>
  <si>
    <t>CUST-5586</t>
  </si>
  <si>
    <t xml:space="preserve"> Igor Rodriguez</t>
  </si>
  <si>
    <t xml:space="preserve"> igor.rodriguez@outlook.com</t>
  </si>
  <si>
    <t>+1-678-768-4612</t>
  </si>
  <si>
    <t xml:space="preserve">Refudned </t>
  </si>
  <si>
    <t>USD 803.80</t>
  </si>
  <si>
    <t>ORD-100825</t>
  </si>
  <si>
    <t>2024/03/06</t>
  </si>
  <si>
    <t>CUST-5183</t>
  </si>
  <si>
    <t xml:space="preserve">Rita Novak </t>
  </si>
  <si>
    <t>rita.novak@outlook.com</t>
  </si>
  <si>
    <t xml:space="preserve">+1-896-638-2959 </t>
  </si>
  <si>
    <t>$3,135.38</t>
  </si>
  <si>
    <t>ORD-100805</t>
  </si>
  <si>
    <t>03/02/2024</t>
  </si>
  <si>
    <t>£1,036.42</t>
  </si>
  <si>
    <t>ORD-100129</t>
  </si>
  <si>
    <t>2025/06/02 04:05</t>
  </si>
  <si>
    <t>EUR 379.18</t>
  </si>
  <si>
    <t>ORD-100715</t>
  </si>
  <si>
    <t>16.05.2024 19:59</t>
  </si>
  <si>
    <t>EUR 3,170.01</t>
  </si>
  <si>
    <t>ORD-100337</t>
  </si>
  <si>
    <t>29.10.2023 22:29</t>
  </si>
  <si>
    <t>CUST-5689</t>
  </si>
  <si>
    <t>WIKTOR.YOUNG@OUTLOOK.COM</t>
  </si>
  <si>
    <t>02671 429 269</t>
  </si>
  <si>
    <t>GBP 1,773.40</t>
  </si>
  <si>
    <t>Vlad Johnson</t>
  </si>
  <si>
    <t>ORD-100608</t>
  </si>
  <si>
    <t>04/18/2023</t>
  </si>
  <si>
    <t>£5357,36</t>
  </si>
  <si>
    <t>Next Da y</t>
  </si>
  <si>
    <t>ORD-100124</t>
  </si>
  <si>
    <t>03/18/2024 01:40</t>
  </si>
  <si>
    <t>£19.63</t>
  </si>
  <si>
    <t>ORD-100195</t>
  </si>
  <si>
    <t>30/12/2023</t>
  </si>
  <si>
    <t>PLN 1,534.48</t>
  </si>
  <si>
    <t>ORD-100226</t>
  </si>
  <si>
    <t>2024/09/14</t>
  </si>
  <si>
    <t>PLN 1,169.80</t>
  </si>
  <si>
    <t>ORD-100689</t>
  </si>
  <si>
    <t>14/03/2025</t>
  </si>
  <si>
    <t>USD 3,473.39</t>
  </si>
  <si>
    <t>Ban k Transfer</t>
  </si>
  <si>
    <t>ORD-100268</t>
  </si>
  <si>
    <t>09/15/2024</t>
  </si>
  <si>
    <t>$735.72</t>
  </si>
  <si>
    <t>ORD-100152</t>
  </si>
  <si>
    <t>GBP 1,682.66</t>
  </si>
  <si>
    <t>ORD-100584</t>
  </si>
  <si>
    <t>2023/06/27</t>
  </si>
  <si>
    <t>EUR 1,586.35</t>
  </si>
  <si>
    <t>ORD-100103</t>
  </si>
  <si>
    <t>04-Mar-2025</t>
  </si>
  <si>
    <t xml:space="preserve"> Omar Martinez</t>
  </si>
  <si>
    <t xml:space="preserve"> omar.martinez@outlook.com</t>
  </si>
  <si>
    <t>zł1,815.71</t>
  </si>
  <si>
    <t>ORD-100593</t>
  </si>
  <si>
    <t>2025-05-16 18:13</t>
  </si>
  <si>
    <t>£1,231.83</t>
  </si>
  <si>
    <t>ORD-101075</t>
  </si>
  <si>
    <t>45117 09:07</t>
  </si>
  <si>
    <t>zł5029,98</t>
  </si>
  <si>
    <t>ORD-100786</t>
  </si>
  <si>
    <t>07.01.2025</t>
  </si>
  <si>
    <t>£2,841.10</t>
  </si>
  <si>
    <t>ORD-100925</t>
  </si>
  <si>
    <t>13/08/2024 07:45</t>
  </si>
  <si>
    <t>CUST-5691</t>
  </si>
  <si>
    <t xml:space="preserve"> paula.walker@outlook.com</t>
  </si>
  <si>
    <t xml:space="preserve">08122 591 447 </t>
  </si>
  <si>
    <t>EUR 790.13</t>
  </si>
  <si>
    <t>ORD-100776</t>
  </si>
  <si>
    <t>28-May-2023</t>
  </si>
  <si>
    <t>€1,080.56</t>
  </si>
  <si>
    <t>ORD-101077</t>
  </si>
  <si>
    <t>16/01/2023 04:02</t>
  </si>
  <si>
    <t>CUST-5529</t>
  </si>
  <si>
    <t>Igor  Rodriguez</t>
  </si>
  <si>
    <t>+44 532 721 4806</t>
  </si>
  <si>
    <t>GBP 1,331.47</t>
  </si>
  <si>
    <t>ORD-100227</t>
  </si>
  <si>
    <t>21/12/2024 15:00</t>
  </si>
  <si>
    <t>CUST-5269</t>
  </si>
  <si>
    <t>IGOR.MARTINEZ@COMPANY.CO.UK</t>
  </si>
  <si>
    <t>03642 943 577</t>
  </si>
  <si>
    <t>GBP 1,378.08</t>
  </si>
  <si>
    <t>ORD-101097</t>
  </si>
  <si>
    <t>17.01.2024 15:25</t>
  </si>
  <si>
    <t>USD 717.81</t>
  </si>
  <si>
    <t>ORD-100301</t>
  </si>
  <si>
    <t>26-May-2025</t>
  </si>
  <si>
    <t>CUST-5089</t>
  </si>
  <si>
    <t>Ken King</t>
  </si>
  <si>
    <t>ken.king@outlook.com</t>
  </si>
  <si>
    <t xml:space="preserve">+44 128 452 2373 </t>
  </si>
  <si>
    <t xml:space="preserve"> Padi</t>
  </si>
  <si>
    <t>€2,391.68</t>
  </si>
  <si>
    <t>CSAH</t>
  </si>
  <si>
    <t>ORD-100275</t>
  </si>
  <si>
    <t>Aug 19, 2023</t>
  </si>
  <si>
    <t>CUST-5329</t>
  </si>
  <si>
    <t xml:space="preserve"> Hanna Johnson</t>
  </si>
  <si>
    <t xml:space="preserve">06311 751 237 </t>
  </si>
  <si>
    <t>€2,836.11</t>
  </si>
  <si>
    <t>ORD-100126</t>
  </si>
  <si>
    <t>45807</t>
  </si>
  <si>
    <t>CUST-5141</t>
  </si>
  <si>
    <t xml:space="preserve"> Jade Walker</t>
  </si>
  <si>
    <t xml:space="preserve">jade.walker@gmail.com </t>
  </si>
  <si>
    <t>+44  562  972  9985</t>
  </si>
  <si>
    <t>£3,325.87</t>
  </si>
  <si>
    <t>ORD-100405</t>
  </si>
  <si>
    <t>2025/06/26</t>
  </si>
  <si>
    <t>PLN 2,009.90</t>
  </si>
  <si>
    <t>ORD-100775</t>
  </si>
  <si>
    <t>08/11/2025 12:16</t>
  </si>
  <si>
    <t xml:space="preserve"> Shpiped</t>
  </si>
  <si>
    <t>£668.22</t>
  </si>
  <si>
    <t>ORD-100821</t>
  </si>
  <si>
    <t>22.04.2025</t>
  </si>
  <si>
    <t>$4,454.97</t>
  </si>
  <si>
    <t>ORD-100711</t>
  </si>
  <si>
    <t>17/04/2023 17:00</t>
  </si>
  <si>
    <t>PLN 5,042.60</t>
  </si>
  <si>
    <t>ORD-100765</t>
  </si>
  <si>
    <t>04/22/2024</t>
  </si>
  <si>
    <t>£758.82</t>
  </si>
  <si>
    <t>ORD-100683</t>
  </si>
  <si>
    <t>£274,3</t>
  </si>
  <si>
    <t>ORD-100749</t>
  </si>
  <si>
    <t>2023/03/07</t>
  </si>
  <si>
    <t xml:space="preserve">Marketlpace </t>
  </si>
  <si>
    <t>ORD-101100</t>
  </si>
  <si>
    <t>2025/05/31</t>
  </si>
  <si>
    <t>PLN 1,753.52</t>
  </si>
  <si>
    <t>ORD-100036</t>
  </si>
  <si>
    <t>45283</t>
  </si>
  <si>
    <t>In-Stor e</t>
  </si>
  <si>
    <t>EUR 3,362.39</t>
  </si>
  <si>
    <t>ORD-100139</t>
  </si>
  <si>
    <t>45387</t>
  </si>
  <si>
    <t>PLN 1,745.72</t>
  </si>
  <si>
    <t>ORD-100303</t>
  </si>
  <si>
    <t>€327.78</t>
  </si>
  <si>
    <t>ORD-100267</t>
  </si>
  <si>
    <t>21-Jun-2024</t>
  </si>
  <si>
    <t>€975.70</t>
  </si>
  <si>
    <t>ORD-100834</t>
  </si>
  <si>
    <t>04.04.2024 21:19</t>
  </si>
  <si>
    <t>zł980.68</t>
  </si>
  <si>
    <t>ORD-100533</t>
  </si>
  <si>
    <t>26/08/2024</t>
  </si>
  <si>
    <t>$2,261.17</t>
  </si>
  <si>
    <t>ORD-100545</t>
  </si>
  <si>
    <t>12/09/2023</t>
  </si>
  <si>
    <t>CUST-5202</t>
  </si>
  <si>
    <t>Lia Rodriguez</t>
  </si>
  <si>
    <t xml:space="preserve">lia.rodriguez@yahoo.com </t>
  </si>
  <si>
    <t>+44  304  081  3676</t>
  </si>
  <si>
    <t>EUR 826.08</t>
  </si>
  <si>
    <t>ORD-100212</t>
  </si>
  <si>
    <t>45484</t>
  </si>
  <si>
    <t>PLN 2,129.72</t>
  </si>
  <si>
    <t>ORD-100468</t>
  </si>
  <si>
    <t>45656 16:48</t>
  </si>
  <si>
    <t>€765.22</t>
  </si>
  <si>
    <t>ORD-100198</t>
  </si>
  <si>
    <t>22-Jun-2025 05:39</t>
  </si>
  <si>
    <t>£392.23</t>
  </si>
  <si>
    <t>ORD-100867</t>
  </si>
  <si>
    <t>Jul 03, 2023</t>
  </si>
  <si>
    <t>CUST-5134</t>
  </si>
  <si>
    <t>daria.young@company.co.uk</t>
  </si>
  <si>
    <t>05179 285 159</t>
  </si>
  <si>
    <t>£1,776.86</t>
  </si>
  <si>
    <t>ORD-100672</t>
  </si>
  <si>
    <t>09/01/2025 19:16</t>
  </si>
  <si>
    <t>CUST-5646</t>
  </si>
  <si>
    <t>Tara King</t>
  </si>
  <si>
    <t>TARA.KING@EXAMPLE.COM</t>
  </si>
  <si>
    <t>+1-465-277-8185</t>
  </si>
  <si>
    <t>€323,4</t>
  </si>
  <si>
    <t>ORD-100527</t>
  </si>
  <si>
    <t>USD 1,565.22</t>
  </si>
  <si>
    <t>ORD-100675</t>
  </si>
  <si>
    <t>2025-04-19</t>
  </si>
  <si>
    <t>£2,216.12</t>
  </si>
  <si>
    <t>ORD-101031</t>
  </si>
  <si>
    <t>12/16/2024 18:08</t>
  </si>
  <si>
    <t>£1,730.25</t>
  </si>
  <si>
    <t>ORD-100992</t>
  </si>
  <si>
    <t>2025-06-21</t>
  </si>
  <si>
    <t>€1,436.01</t>
  </si>
  <si>
    <t>ORD-100241</t>
  </si>
  <si>
    <t>27/12/2024</t>
  </si>
  <si>
    <t>CUST-5650</t>
  </si>
  <si>
    <t xml:space="preserve">sam.novak@gmail.com </t>
  </si>
  <si>
    <t>+1-890-678-7089</t>
  </si>
  <si>
    <t>£3,335.52</t>
  </si>
  <si>
    <t>ORD-100342</t>
  </si>
  <si>
    <t>10/06/2023</t>
  </si>
  <si>
    <t>CUST-5331</t>
  </si>
  <si>
    <t>Nin aMartinez</t>
  </si>
  <si>
    <t>nina.martinez@shop.io</t>
  </si>
  <si>
    <t>03935 370 449</t>
  </si>
  <si>
    <t>$1,714.20</t>
  </si>
  <si>
    <t>ORD-100549</t>
  </si>
  <si>
    <t>Jul 14, 2023</t>
  </si>
  <si>
    <t>zł4088,29</t>
  </si>
  <si>
    <t>ORD-100386</t>
  </si>
  <si>
    <t>19.01.2025</t>
  </si>
  <si>
    <t>REFUDNED</t>
  </si>
  <si>
    <t>$2,157.81</t>
  </si>
  <si>
    <t xml:space="preserve">PyaPal </t>
  </si>
  <si>
    <t>ORD-101079</t>
  </si>
  <si>
    <t>USD 3,202.23</t>
  </si>
  <si>
    <t>ORD-100206</t>
  </si>
  <si>
    <t>May 25, 2023 19:05</t>
  </si>
  <si>
    <t>GBP 1,452.66</t>
  </si>
  <si>
    <t>ORD-100295</t>
  </si>
  <si>
    <t>45087</t>
  </si>
  <si>
    <t>CUST-5668</t>
  </si>
  <si>
    <t>bella.kowalczyk@outlook.com</t>
  </si>
  <si>
    <t>00700 568 132</t>
  </si>
  <si>
    <t xml:space="preserve"> Itayl</t>
  </si>
  <si>
    <t>USD 1,665.80</t>
  </si>
  <si>
    <t>ORD-100695</t>
  </si>
  <si>
    <t>2025-01-10</t>
  </si>
  <si>
    <t>EUR 355.31</t>
  </si>
  <si>
    <t>ORD-101008</t>
  </si>
  <si>
    <t>45656</t>
  </si>
  <si>
    <t>CUST-5264</t>
  </si>
  <si>
    <t xml:space="preserve"> Jade King</t>
  </si>
  <si>
    <t xml:space="preserve"> jade.king@exapmle.com</t>
  </si>
  <si>
    <t>+1-467-370-7175</t>
  </si>
  <si>
    <t xml:space="preserve">aCncelled </t>
  </si>
  <si>
    <t>$763,31</t>
  </si>
  <si>
    <t>ORD-100073</t>
  </si>
  <si>
    <t>45839 21:52</t>
  </si>
  <si>
    <t>GBP 871.88</t>
  </si>
  <si>
    <t>ORD-100976</t>
  </si>
  <si>
    <t>Feb 27, 2025</t>
  </si>
  <si>
    <t>EUR 3,018.13</t>
  </si>
  <si>
    <t>ORD-100104</t>
  </si>
  <si>
    <t>2023/09/03</t>
  </si>
  <si>
    <t>GBP 5,237.11</t>
  </si>
  <si>
    <t>ORD-101129</t>
  </si>
  <si>
    <t>06/04/2023</t>
  </si>
  <si>
    <t>EUR 1,416.12</t>
  </si>
  <si>
    <t>ORD-101143</t>
  </si>
  <si>
    <t>19.10.2023</t>
  </si>
  <si>
    <t>CUST-5050</t>
  </si>
  <si>
    <t>Gabe Kowalczyk</t>
  </si>
  <si>
    <t>+44 264 525 2359</t>
  </si>
  <si>
    <t>Refundde</t>
  </si>
  <si>
    <t>USD 573.68</t>
  </si>
  <si>
    <t>ORD-100016</t>
  </si>
  <si>
    <t>28/12/2024</t>
  </si>
  <si>
    <t>CUST-5341</t>
  </si>
  <si>
    <t xml:space="preserve"> Qi Davsi</t>
  </si>
  <si>
    <t xml:space="preserve"> +1-824-421-6261</t>
  </si>
  <si>
    <t>€7692,95</t>
  </si>
  <si>
    <t>ORD-100439</t>
  </si>
  <si>
    <t>May 22, 2024</t>
  </si>
  <si>
    <t>$1077,07</t>
  </si>
  <si>
    <t>ORD-100091</t>
  </si>
  <si>
    <t>01/07/2023</t>
  </si>
  <si>
    <t>$4535,95</t>
  </si>
  <si>
    <t xml:space="preserve"> Exprses</t>
  </si>
  <si>
    <t>ORD-100088</t>
  </si>
  <si>
    <t>05-Feb-2024</t>
  </si>
  <si>
    <t>$920.09</t>
  </si>
  <si>
    <t xml:space="preserve"> Pikcup</t>
  </si>
  <si>
    <t>ORD-101005</t>
  </si>
  <si>
    <t>06-Mar-2023</t>
  </si>
  <si>
    <t>CUST-5117</t>
  </si>
  <si>
    <t xml:space="preserve">Sam Martinez </t>
  </si>
  <si>
    <t>SAM.MARTINEZ@YAHOO.COM</t>
  </si>
  <si>
    <t>+44 476 608 0509</t>
  </si>
  <si>
    <t>PLN 426.18</t>
  </si>
  <si>
    <t>ORD-100450</t>
  </si>
  <si>
    <t>2025-06-30 04:55</t>
  </si>
  <si>
    <t>CUST-5301</t>
  </si>
  <si>
    <t>Yara  Smith</t>
  </si>
  <si>
    <t>yara.smith@example.com</t>
  </si>
  <si>
    <t xml:space="preserve">+1-642-548-8660 </t>
  </si>
  <si>
    <t>zł775.71</t>
  </si>
  <si>
    <t>eNxt  Day</t>
  </si>
  <si>
    <t>ORD-100717</t>
  </si>
  <si>
    <t>2024-12-24</t>
  </si>
  <si>
    <t>USD 369.56</t>
  </si>
  <si>
    <t>ORD-100102</t>
  </si>
  <si>
    <t>16/06/2024</t>
  </si>
  <si>
    <t>GBP 1,068.06</t>
  </si>
  <si>
    <t>ORD-100238</t>
  </si>
  <si>
    <t>45869 16:46</t>
  </si>
  <si>
    <t>£2726,25</t>
  </si>
  <si>
    <t>ORD-100946</t>
  </si>
  <si>
    <t>Feb 23, 2024</t>
  </si>
  <si>
    <t>+44 243 842 9670</t>
  </si>
  <si>
    <t>zł4,526.42</t>
  </si>
  <si>
    <t>ORD-100246</t>
  </si>
  <si>
    <t>44940 00:02</t>
  </si>
  <si>
    <t>CUST-5618</t>
  </si>
  <si>
    <t>Daria Smith</t>
  </si>
  <si>
    <t>daria.smith@company.co.uk</t>
  </si>
  <si>
    <t xml:space="preserve"> +1-610-381-1539</t>
  </si>
  <si>
    <t>Marketplaec</t>
  </si>
  <si>
    <t>zł495.73</t>
  </si>
  <si>
    <t>ORD-100935</t>
  </si>
  <si>
    <t>12/19/2024</t>
  </si>
  <si>
    <t>€3483,11</t>
  </si>
  <si>
    <t>ORD-100157</t>
  </si>
  <si>
    <t>08/27/2023</t>
  </si>
  <si>
    <t>€1,997.92</t>
  </si>
  <si>
    <t>GIFTC ARD</t>
  </si>
  <si>
    <t>ORD-100479</t>
  </si>
  <si>
    <t>09/02/2024</t>
  </si>
  <si>
    <t>USD 2,766.91</t>
  </si>
  <si>
    <t>ORD-100838</t>
  </si>
  <si>
    <t>18-Jun-2024</t>
  </si>
  <si>
    <t>£392.61</t>
  </si>
  <si>
    <t>ORD-100645</t>
  </si>
  <si>
    <t>2024-01-17</t>
  </si>
  <si>
    <t>PLN 4,124.10</t>
  </si>
  <si>
    <t>ORD-100005</t>
  </si>
  <si>
    <t>01/30/2025 13:42</t>
  </si>
  <si>
    <t>PLN 1,293.88</t>
  </si>
  <si>
    <t>ORD-101053</t>
  </si>
  <si>
    <t>18-Feb-2025</t>
  </si>
  <si>
    <t>CUST-5210</t>
  </si>
  <si>
    <t>UMA NOVAK</t>
  </si>
  <si>
    <t>uma.novak@shop.io</t>
  </si>
  <si>
    <t>+1-244-425-1525</t>
  </si>
  <si>
    <t>GBP 5,310.96</t>
  </si>
  <si>
    <t>ORD-100871</t>
  </si>
  <si>
    <t>27/02/2023</t>
  </si>
  <si>
    <t>USD 1,490.58</t>
  </si>
  <si>
    <t>ORD-100018</t>
  </si>
  <si>
    <t>01-Jan-2025</t>
  </si>
  <si>
    <t>$1,567.03</t>
  </si>
  <si>
    <t>ORD-100978</t>
  </si>
  <si>
    <t>10/17/2023</t>
  </si>
  <si>
    <t>zł1,337.83</t>
  </si>
  <si>
    <t>ORD-100121</t>
  </si>
  <si>
    <t>45810</t>
  </si>
  <si>
    <t>GBP 1,103.29</t>
  </si>
  <si>
    <t>ORD-100661</t>
  </si>
  <si>
    <t>04-Jun-2025 09:56</t>
  </si>
  <si>
    <t>GBP 7,944.14</t>
  </si>
  <si>
    <t>ORD-101124</t>
  </si>
  <si>
    <t>07/25/2025</t>
  </si>
  <si>
    <t xml:space="preserve"> +1-514-341-6331</t>
  </si>
  <si>
    <t>zł2799,41</t>
  </si>
  <si>
    <t>ORD-100274</t>
  </si>
  <si>
    <t>06-Jun-2024</t>
  </si>
  <si>
    <t>GBP 2,988.62</t>
  </si>
  <si>
    <t>ORD-100433</t>
  </si>
  <si>
    <t>Oct 24, 2024</t>
  </si>
  <si>
    <t>£830.26</t>
  </si>
  <si>
    <t>ORD-100811</t>
  </si>
  <si>
    <t>19/08/2025</t>
  </si>
  <si>
    <t>£1773,74</t>
  </si>
  <si>
    <t>ORD-101105</t>
  </si>
  <si>
    <t>$3,111.04</t>
  </si>
  <si>
    <t>ORD-100311</t>
  </si>
  <si>
    <t>27-Jul-2025</t>
  </si>
  <si>
    <t>zł139,93</t>
  </si>
  <si>
    <t>ORD-100994</t>
  </si>
  <si>
    <t>2025-02-25 05:21</t>
  </si>
  <si>
    <t>CUST-5296</t>
  </si>
  <si>
    <t>Tara Young</t>
  </si>
  <si>
    <t xml:space="preserve">tara.young@yahoo.com </t>
  </si>
  <si>
    <t>+1-474-327-8430</t>
  </si>
  <si>
    <t>USD 1,361.08</t>
  </si>
  <si>
    <t>ORD-101101</t>
  </si>
  <si>
    <t>Oct 19, 2024</t>
  </si>
  <si>
    <t>CUST-5242</t>
  </si>
  <si>
    <t>igor.young@shop.io</t>
  </si>
  <si>
    <t>05303 791 915</t>
  </si>
  <si>
    <t>EUR 7,723.09</t>
  </si>
  <si>
    <t>ORD-100780</t>
  </si>
  <si>
    <t>2024-08-23 16:33</t>
  </si>
  <si>
    <t>Moible  App</t>
  </si>
  <si>
    <t>PLN 1,507.70</t>
  </si>
  <si>
    <t>ORD-100546</t>
  </si>
  <si>
    <t>30/08/2024</t>
  </si>
  <si>
    <t>CUST-5205</t>
  </si>
  <si>
    <t>Uma Rodriguez</t>
  </si>
  <si>
    <t>Uma.Rodriguez@Yahoo.Com</t>
  </si>
  <si>
    <t>+44 698 555 6631</t>
  </si>
  <si>
    <t>Mobil e App</t>
  </si>
  <si>
    <t>ORD-100181</t>
  </si>
  <si>
    <t>45423</t>
  </si>
  <si>
    <t>CUST-5401</t>
  </si>
  <si>
    <t xml:space="preserve">Vlad Rodriguez </t>
  </si>
  <si>
    <t>vla.drodriguez@company.co.uk</t>
  </si>
  <si>
    <t xml:space="preserve">08752 123 882 </t>
  </si>
  <si>
    <t>EUR 994.48</t>
  </si>
  <si>
    <t>ORD-100184</t>
  </si>
  <si>
    <t>20/11/2023</t>
  </si>
  <si>
    <t>PLN 1,596.74</t>
  </si>
  <si>
    <t>ORD-100406</t>
  </si>
  <si>
    <t>45074 20:18</t>
  </si>
  <si>
    <t>$2344,31</t>
  </si>
  <si>
    <t>ORD-100719</t>
  </si>
  <si>
    <t>Jan 29, 2025</t>
  </si>
  <si>
    <t>PLN 648.54</t>
  </si>
  <si>
    <t>ORD-100930</t>
  </si>
  <si>
    <t>29.07.2023</t>
  </si>
  <si>
    <t>CUST-5003</t>
  </si>
  <si>
    <t>Vlad Lee</t>
  </si>
  <si>
    <t xml:space="preserve"> vlad.lee@outlook.com</t>
  </si>
  <si>
    <t xml:space="preserve"> +1-973-205-4259</t>
  </si>
  <si>
    <t>Shipepd</t>
  </si>
  <si>
    <t>EUR 146.86</t>
  </si>
  <si>
    <t>ORD-100606</t>
  </si>
  <si>
    <t>29.12.2023</t>
  </si>
  <si>
    <t>PLN 1,934.32</t>
  </si>
  <si>
    <t>ORD-100692</t>
  </si>
  <si>
    <t>31/05/2023</t>
  </si>
  <si>
    <t>EUR 550.20</t>
  </si>
  <si>
    <t>ORD-100520</t>
  </si>
  <si>
    <t>Dec 21, 2023</t>
  </si>
  <si>
    <t>CUST-5380</t>
  </si>
  <si>
    <t>gabe.martinez@yahoo.com</t>
  </si>
  <si>
    <t>+1-604-883-5850</t>
  </si>
  <si>
    <t>GBP 1,464.66</t>
  </si>
  <si>
    <t>ORD-100865</t>
  </si>
  <si>
    <t>28.07.2025</t>
  </si>
  <si>
    <t>€204.92</t>
  </si>
  <si>
    <t>ORD-100380</t>
  </si>
  <si>
    <t>2024-11-28 08:31</t>
  </si>
  <si>
    <t>£1,464.61</t>
  </si>
  <si>
    <t>ORD-100410</t>
  </si>
  <si>
    <t>2023/09/21 18:55</t>
  </si>
  <si>
    <t>PLN 2,594.05</t>
  </si>
  <si>
    <t>ORD-100634</t>
  </si>
  <si>
    <t>31.07.2025 13:55</t>
  </si>
  <si>
    <t>zł1,004.99</t>
  </si>
  <si>
    <t>ORD-100369</t>
  </si>
  <si>
    <t>21-Sep-2023</t>
  </si>
  <si>
    <t>CUST-5374</t>
  </si>
  <si>
    <t>Sam King</t>
  </si>
  <si>
    <t xml:space="preserve"> sam.king@company.co.uk</t>
  </si>
  <si>
    <t>+1-835-699-6287</t>
  </si>
  <si>
    <t>USD 302.84</t>
  </si>
  <si>
    <t>ORD-101047</t>
  </si>
  <si>
    <t>45698</t>
  </si>
  <si>
    <t>CUST-5323</t>
  </si>
  <si>
    <t>QI YOUNG</t>
  </si>
  <si>
    <t>QI.YOUNG@OUTLOOK.COM</t>
  </si>
  <si>
    <t xml:space="preserve"> +44 124 877 6260</t>
  </si>
  <si>
    <t>EUR 773.20</t>
  </si>
  <si>
    <t>ORD-101061</t>
  </si>
  <si>
    <t>03/19/2025</t>
  </si>
  <si>
    <t>$2121,12</t>
  </si>
  <si>
    <t>Pikcup</t>
  </si>
  <si>
    <t>ORD-101066</t>
  </si>
  <si>
    <t>Feb 20, 2025</t>
  </si>
  <si>
    <t>CUST-5496</t>
  </si>
  <si>
    <t>Fiona.Davis@Gmail.Com</t>
  </si>
  <si>
    <t xml:space="preserve">+1-737-609-9907 </t>
  </si>
  <si>
    <t>GBP 1,885.96</t>
  </si>
  <si>
    <t>ORD-100876</t>
  </si>
  <si>
    <t>45348</t>
  </si>
  <si>
    <t>CUST-5409</t>
  </si>
  <si>
    <t xml:space="preserve"> Adam Williams</t>
  </si>
  <si>
    <t>+1-645-854-5354</t>
  </si>
  <si>
    <t xml:space="preserve">InS-tore </t>
  </si>
  <si>
    <t>EUR 1,786.82</t>
  </si>
  <si>
    <t>ORD-100078</t>
  </si>
  <si>
    <t>06/16/2023</t>
  </si>
  <si>
    <t>£352,24</t>
  </si>
  <si>
    <t>ORD-100862</t>
  </si>
  <si>
    <t>2025-05-30</t>
  </si>
  <si>
    <t>$2,821.22</t>
  </si>
  <si>
    <t>ORD-100573</t>
  </si>
  <si>
    <t>Dec 14, 2024</t>
  </si>
  <si>
    <t>YARA.WALKER@GMAIL.COM</t>
  </si>
  <si>
    <t>GBP 2,953.55</t>
  </si>
  <si>
    <t>ORD-100637</t>
  </si>
  <si>
    <t>29-Feb-2024</t>
  </si>
  <si>
    <t>PLN 1,991.03</t>
  </si>
  <si>
    <t>ORD-100607</t>
  </si>
  <si>
    <t>EUR 356.03</t>
  </si>
  <si>
    <t>ORD-101033</t>
  </si>
  <si>
    <t>45504</t>
  </si>
  <si>
    <t>PLN 1,136.43</t>
  </si>
  <si>
    <t>ORD-100068</t>
  </si>
  <si>
    <t>25-Feb-2024 00:53</t>
  </si>
  <si>
    <t>Daria.Garcia@Company.Co.Uk</t>
  </si>
  <si>
    <t>GBP 2,830.58</t>
  </si>
  <si>
    <t>ORD-100859</t>
  </si>
  <si>
    <t>25/05/2023</t>
  </si>
  <si>
    <t>$1313,89</t>
  </si>
  <si>
    <t>ORD-101059</t>
  </si>
  <si>
    <t>2025/08/20</t>
  </si>
  <si>
    <t>CUST-5015</t>
  </si>
  <si>
    <t>Ethan Dubois</t>
  </si>
  <si>
    <t>ethan.dubois@yahoo.com</t>
  </si>
  <si>
    <t>+44 204 191 5379</t>
  </si>
  <si>
    <t>EUR 132.75</t>
  </si>
  <si>
    <t>ORD-101122</t>
  </si>
  <si>
    <t>17-Jan-2023</t>
  </si>
  <si>
    <t>CUST-5449</t>
  </si>
  <si>
    <t>Xenia Smith</t>
  </si>
  <si>
    <t>+1-613-495-3562</t>
  </si>
  <si>
    <t xml:space="preserve">Pendign </t>
  </si>
  <si>
    <t>PLN 1,471.81</t>
  </si>
  <si>
    <t>ORD-100416</t>
  </si>
  <si>
    <t>45512</t>
  </si>
  <si>
    <t>€3,225.09</t>
  </si>
  <si>
    <t>ORD-100972</t>
  </si>
  <si>
    <t>16.01.2024 15:19</t>
  </si>
  <si>
    <t>CUST-5431</t>
  </si>
  <si>
    <t xml:space="preserve">ethan.johnson@shop.io </t>
  </si>
  <si>
    <t>+44  760  090  2716</t>
  </si>
  <si>
    <t>USD 44.19</t>
  </si>
  <si>
    <t>ORD-100561</t>
  </si>
  <si>
    <t>2023/10/20 20:06</t>
  </si>
  <si>
    <t>CUST-5492</t>
  </si>
  <si>
    <t>Jade Kowalski</t>
  </si>
  <si>
    <t>JADE.KOWALSKI@GMAIL.COM</t>
  </si>
  <si>
    <t xml:space="preserve"> +1-822-630-7312</t>
  </si>
  <si>
    <t>€2,495.40</t>
  </si>
  <si>
    <t xml:space="preserve"> EUR</t>
  </si>
  <si>
    <t>ORD-100903</t>
  </si>
  <si>
    <t>24/02/2024</t>
  </si>
  <si>
    <t>zł2617,1</t>
  </si>
  <si>
    <t>ORD-100067</t>
  </si>
  <si>
    <t>EUR 3,057.63</t>
  </si>
  <si>
    <t>ORD-100536</t>
  </si>
  <si>
    <t>18.04.2023</t>
  </si>
  <si>
    <t>hSipped</t>
  </si>
  <si>
    <t>£1027,62</t>
  </si>
  <si>
    <t>ORD-100077</t>
  </si>
  <si>
    <t>Jan 27, 2023</t>
  </si>
  <si>
    <t>zł1,800.36</t>
  </si>
  <si>
    <t>ORD-100105</t>
  </si>
  <si>
    <t>45026</t>
  </si>
  <si>
    <t>$247.50</t>
  </si>
  <si>
    <t xml:space="preserve">Adam Martinez  </t>
  </si>
  <si>
    <t>ORD-101020</t>
  </si>
  <si>
    <t>EUR 1,453.13</t>
  </si>
  <si>
    <t>ORD-100958</t>
  </si>
  <si>
    <t>21/01/2024</t>
  </si>
  <si>
    <t>GBP 100.88</t>
  </si>
  <si>
    <t>ORD-100638</t>
  </si>
  <si>
    <t>30.11.2024</t>
  </si>
  <si>
    <t xml:space="preserve">02645 672 420 </t>
  </si>
  <si>
    <t>$4,609.03</t>
  </si>
  <si>
    <t>ORD-100559</t>
  </si>
  <si>
    <t>EUR 107.48</t>
  </si>
  <si>
    <t>ORD-100846</t>
  </si>
  <si>
    <t>2024/04/15</t>
  </si>
  <si>
    <t>£4,243.96</t>
  </si>
  <si>
    <t>ORD-100996</t>
  </si>
  <si>
    <t>12/05/2023</t>
  </si>
  <si>
    <t>CUST-5008</t>
  </si>
  <si>
    <t>+1-774-254-6322</t>
  </si>
  <si>
    <t>zł919.42</t>
  </si>
  <si>
    <t>ORD-100690</t>
  </si>
  <si>
    <t>Apr 11, 2024</t>
  </si>
  <si>
    <t>CUST-5090</t>
  </si>
  <si>
    <t xml:space="preserve">Marek Garcia </t>
  </si>
  <si>
    <t>marek.garcia@company.co.uk</t>
  </si>
  <si>
    <t>+44 774 951 8795</t>
  </si>
  <si>
    <t>USD 29.80</t>
  </si>
  <si>
    <t>ORD-101019</t>
  </si>
  <si>
    <t>06/26/2024</t>
  </si>
  <si>
    <t>EUR 1,299.14</t>
  </si>
  <si>
    <t>C ash</t>
  </si>
  <si>
    <t>ORD-101086</t>
  </si>
  <si>
    <t>2025-07-31</t>
  </si>
  <si>
    <t>£3,151.72</t>
  </si>
  <si>
    <t>ORD-101132</t>
  </si>
  <si>
    <t>45734</t>
  </si>
  <si>
    <t>CUST-5068</t>
  </si>
  <si>
    <t>omar.lopez@yahoo.com</t>
  </si>
  <si>
    <t xml:space="preserve"> 03175 873 933</t>
  </si>
  <si>
    <t>Franec</t>
  </si>
  <si>
    <t>EUR 264.95</t>
  </si>
  <si>
    <t>N ext Day</t>
  </si>
  <si>
    <t>ORD-101087</t>
  </si>
  <si>
    <t>08-May-2025 07:50</t>
  </si>
  <si>
    <t>USD 4,380.80</t>
  </si>
  <si>
    <t>ORD-100735</t>
  </si>
  <si>
    <t>19-Apr-2024</t>
  </si>
  <si>
    <t>CUST-5185</t>
  </si>
  <si>
    <t xml:space="preserve"> nina.rossi@shop.io</t>
  </si>
  <si>
    <t>zł5220,53</t>
  </si>
  <si>
    <t>ORD-101017</t>
  </si>
  <si>
    <t>45689 23:06</t>
  </si>
  <si>
    <t>EUR 1,083.53</t>
  </si>
  <si>
    <t>ORD-100490</t>
  </si>
  <si>
    <t>Feb 28, 2025</t>
  </si>
  <si>
    <t>PLN 1,498.86</t>
  </si>
  <si>
    <t xml:space="preserve">  Ken  Taylor</t>
  </si>
  <si>
    <t>ORD-100829</t>
  </si>
  <si>
    <t>02/09/2024</t>
  </si>
  <si>
    <t>USD 1,630.02</t>
  </si>
  <si>
    <t>ORD-100605</t>
  </si>
  <si>
    <t>06/04/2024</t>
  </si>
  <si>
    <t>€1,297.70</t>
  </si>
  <si>
    <t>ORD-100363</t>
  </si>
  <si>
    <t>45608</t>
  </si>
  <si>
    <t>CUST-5403</t>
  </si>
  <si>
    <t xml:space="preserve">Fiona Muller </t>
  </si>
  <si>
    <t xml:space="preserve">fiona.muller@outlook.com </t>
  </si>
  <si>
    <t>+44 561 749 1746</t>
  </si>
  <si>
    <t>EUR 133.73</t>
  </si>
  <si>
    <t>ORD-100924</t>
  </si>
  <si>
    <t>19/01/2024</t>
  </si>
  <si>
    <t xml:space="preserve"> +44 894 662 4597</t>
  </si>
  <si>
    <t>USD 51.79</t>
  </si>
  <si>
    <t>ORD-100069</t>
  </si>
  <si>
    <t>18/05/2025</t>
  </si>
  <si>
    <t>£424.59</t>
  </si>
  <si>
    <t>ORD-100548</t>
  </si>
  <si>
    <t>01/16/2024</t>
  </si>
  <si>
    <t>ORD-100808</t>
  </si>
  <si>
    <t>23-Mar-2023</t>
  </si>
  <si>
    <t>CUST-5523</t>
  </si>
  <si>
    <t>Marek Kowalski</t>
  </si>
  <si>
    <t xml:space="preserve">marek.kowalski@company.co.uk </t>
  </si>
  <si>
    <t>+44 197 158 6518</t>
  </si>
  <si>
    <t>I taly</t>
  </si>
  <si>
    <t>£2,834.53</t>
  </si>
  <si>
    <t xml:space="preserve">Crad </t>
  </si>
  <si>
    <t>ORD-100160</t>
  </si>
  <si>
    <t>11/07/2023</t>
  </si>
  <si>
    <t>EUR 1,660.96</t>
  </si>
  <si>
    <t>ORD-100874</t>
  </si>
  <si>
    <t>16.06.2024 21:12</t>
  </si>
  <si>
    <t>€1,698.17</t>
  </si>
  <si>
    <t>ORD-100011</t>
  </si>
  <si>
    <t>2024-11-30 03:45</t>
  </si>
  <si>
    <t>USD 2,755.65</t>
  </si>
  <si>
    <t>ORD-100144</t>
  </si>
  <si>
    <t>2025/07/10</t>
  </si>
  <si>
    <t>CUST-5096</t>
  </si>
  <si>
    <t>Omar Garcia</t>
  </si>
  <si>
    <t>omar.garcia@outlook.com</t>
  </si>
  <si>
    <t xml:space="preserve">+44 186 324 1161 </t>
  </si>
  <si>
    <t>zł62.01</t>
  </si>
  <si>
    <t>ORD-100917</t>
  </si>
  <si>
    <t>30-Jun-2025</t>
  </si>
  <si>
    <t>EUR 768.80</t>
  </si>
  <si>
    <t>ORD-100517</t>
  </si>
  <si>
    <t>45114 02:41</t>
  </si>
  <si>
    <t>CUST-5636</t>
  </si>
  <si>
    <t>ADAM YOUNG</t>
  </si>
  <si>
    <t>adam.young@outlook.com</t>
  </si>
  <si>
    <t>+44 431 675 9852</t>
  </si>
  <si>
    <t>SKU-1141</t>
  </si>
  <si>
    <t>£435.12</t>
  </si>
  <si>
    <t>ORD-100427</t>
  </si>
  <si>
    <t>06/06/2023</t>
  </si>
  <si>
    <t>CUST-5135</t>
  </si>
  <si>
    <t>Omar  Lopez</t>
  </si>
  <si>
    <t xml:space="preserve"> omar.lopez@yahoo.com</t>
  </si>
  <si>
    <t>+1-860-456-3888</t>
  </si>
  <si>
    <t>zł1,184.50</t>
  </si>
  <si>
    <t>eNxt Day</t>
  </si>
  <si>
    <t>ORD-100639</t>
  </si>
  <si>
    <t>Sep 02, 2024</t>
  </si>
  <si>
    <t>GBP 2,585.50</t>
  </si>
  <si>
    <t>ORD-100176</t>
  </si>
  <si>
    <t>45146 11:19</t>
  </si>
  <si>
    <t>CUST-5051</t>
  </si>
  <si>
    <t>Omar Novak</t>
  </si>
  <si>
    <t>omar.novak@yahoo.com</t>
  </si>
  <si>
    <t>08674 829 705</t>
  </si>
  <si>
    <t>USD 1,217.81</t>
  </si>
  <si>
    <t>ORD-100440</t>
  </si>
  <si>
    <t>Dec 25, 2024</t>
  </si>
  <si>
    <t>£694.44</t>
  </si>
  <si>
    <t>ORD-100814</t>
  </si>
  <si>
    <t>01/30/2024</t>
  </si>
  <si>
    <t>CUST-5306</t>
  </si>
  <si>
    <t>Nina Taylor</t>
  </si>
  <si>
    <t>NINA.TAYLOR@COMPANY.CO.UK</t>
  </si>
  <si>
    <t xml:space="preserve">+1-968-985-2097 </t>
  </si>
  <si>
    <t>£24.75</t>
  </si>
  <si>
    <t xml:space="preserve">Gift Crad </t>
  </si>
  <si>
    <t>ORD-100521</t>
  </si>
  <si>
    <t>22/07/2024</t>
  </si>
  <si>
    <t>zł360.08</t>
  </si>
  <si>
    <t>ORD-101089</t>
  </si>
  <si>
    <t>45682</t>
  </si>
  <si>
    <t>CUST-5022</t>
  </si>
  <si>
    <t>04528 214 956</t>
  </si>
  <si>
    <t>€2825,79</t>
  </si>
  <si>
    <t>ORD-100448</t>
  </si>
  <si>
    <t>Jul 18, 2024</t>
  </si>
  <si>
    <t>EUR 2,942.22</t>
  </si>
  <si>
    <t>GIF TCARD</t>
  </si>
  <si>
    <t>ORD-100688</t>
  </si>
  <si>
    <t>16-Sep-2024 14:53</t>
  </si>
  <si>
    <t>CUST-5603</t>
  </si>
  <si>
    <t xml:space="preserve">Ken Johnson </t>
  </si>
  <si>
    <t>+1-600-887-8946</t>
  </si>
  <si>
    <t>EUR 1,440.13</t>
  </si>
  <si>
    <t>ORD-100231</t>
  </si>
  <si>
    <t>05/17/2023 10:53</t>
  </si>
  <si>
    <t>$1,286.59</t>
  </si>
  <si>
    <t>ORD-100210</t>
  </si>
  <si>
    <t>44928 11:02</t>
  </si>
  <si>
    <t>$1,710.75</t>
  </si>
  <si>
    <t>ORD-100640</t>
  </si>
  <si>
    <t>Feb 24, 2023</t>
  </si>
  <si>
    <t>zł1,377.36</t>
  </si>
  <si>
    <t>ORD-100143</t>
  </si>
  <si>
    <t>06.09.2023</t>
  </si>
  <si>
    <t>USD 759.60</t>
  </si>
  <si>
    <t>ORD-100753</t>
  </si>
  <si>
    <t>2025/03/18 05:12</t>
  </si>
  <si>
    <t>PLN 1,817.57</t>
  </si>
  <si>
    <t>ORD-100519</t>
  </si>
  <si>
    <t>Feb 03, 2024 00:27</t>
  </si>
  <si>
    <t>£1512,68</t>
  </si>
  <si>
    <t>ORD-100348</t>
  </si>
  <si>
    <t>23/09/2024 10:24</t>
  </si>
  <si>
    <t>PLN 3,490.87</t>
  </si>
  <si>
    <t>ORD-100298</t>
  </si>
  <si>
    <t>03/08/2025</t>
  </si>
  <si>
    <t>GBP 1,685.42</t>
  </si>
  <si>
    <t>ORD-100822</t>
  </si>
  <si>
    <t>2023/12/18</t>
  </si>
  <si>
    <t>EUR 8,195.75</t>
  </si>
  <si>
    <t>ORD-100947</t>
  </si>
  <si>
    <t>12.11.2024 14:47</t>
  </si>
  <si>
    <t>UMA KOWALSKI</t>
  </si>
  <si>
    <t>Uma.Kowalski@Example.Com</t>
  </si>
  <si>
    <t>+1-252-430-1174</t>
  </si>
  <si>
    <t xml:space="preserve"> ePnding</t>
  </si>
  <si>
    <t>PLN 2,408.17</t>
  </si>
  <si>
    <t>ORD-100766</t>
  </si>
  <si>
    <t>07/06/2025</t>
  </si>
  <si>
    <t>GBP 779.11</t>
  </si>
  <si>
    <t>ORD-100428</t>
  </si>
  <si>
    <t>Nov 04, 2023</t>
  </si>
  <si>
    <t>PLN 2,410.69</t>
  </si>
  <si>
    <t>ORD-100985</t>
  </si>
  <si>
    <t>07/14/2023 14:16</t>
  </si>
  <si>
    <t>€1304,6</t>
  </si>
  <si>
    <t>ORD-100612</t>
  </si>
  <si>
    <t>45448</t>
  </si>
  <si>
    <t>£2,452.44</t>
  </si>
  <si>
    <t>ORD-101131</t>
  </si>
  <si>
    <t>18/08/2024</t>
  </si>
  <si>
    <t>USD 842.12</t>
  </si>
  <si>
    <t>ORD-100008</t>
  </si>
  <si>
    <t>24/03/2024</t>
  </si>
  <si>
    <t>PLN 82.60</t>
  </si>
  <si>
    <t>ORD-100156</t>
  </si>
  <si>
    <t>2023/12/24</t>
  </si>
  <si>
    <t>€3,024.06</t>
  </si>
  <si>
    <t>ORD-100539</t>
  </si>
  <si>
    <t>28-Dec-2024 10:49</t>
  </si>
  <si>
    <t>$2,162.70</t>
  </si>
  <si>
    <t>ORD-100506</t>
  </si>
  <si>
    <t>29-Jan-2025</t>
  </si>
  <si>
    <t>EUR 248.60</t>
  </si>
  <si>
    <t>ORD-100436</t>
  </si>
  <si>
    <t>22/09/2025</t>
  </si>
  <si>
    <t>PLN 13.99</t>
  </si>
  <si>
    <t>ORD-100266</t>
  </si>
  <si>
    <t>2023-02-17</t>
  </si>
  <si>
    <t>USD 709.91</t>
  </si>
  <si>
    <t>ORD-100826</t>
  </si>
  <si>
    <t>06/17/2023</t>
  </si>
  <si>
    <t>USD 1,345.43</t>
  </si>
  <si>
    <t xml:space="preserve">aCrd </t>
  </si>
  <si>
    <t>ORD-100461</t>
  </si>
  <si>
    <t>2024/02/18</t>
  </si>
  <si>
    <t>CUST-5622</t>
  </si>
  <si>
    <t xml:space="preserve">Uma Khan </t>
  </si>
  <si>
    <t>uma.khan@yahoo.com</t>
  </si>
  <si>
    <t xml:space="preserve"> +44 920 111 7663</t>
  </si>
  <si>
    <t>EUR 54.92</t>
  </si>
  <si>
    <t>ORD-100576</t>
  </si>
  <si>
    <t>17/05/2024</t>
  </si>
  <si>
    <t>PLN 705.51</t>
  </si>
  <si>
    <t>ORD-100338</t>
  </si>
  <si>
    <t>04/29/2025</t>
  </si>
  <si>
    <t>aMrketplace</t>
  </si>
  <si>
    <t>PLN 1,419.22</t>
  </si>
  <si>
    <t>ORD-100255</t>
  </si>
  <si>
    <t>45320 15:07</t>
  </si>
  <si>
    <t>CUST-5097</t>
  </si>
  <si>
    <t>rita.khan@gmail.com</t>
  </si>
  <si>
    <t>04604  735  754</t>
  </si>
  <si>
    <t>$328,18</t>
  </si>
  <si>
    <t>ORD-100979</t>
  </si>
  <si>
    <t>07/07/2025 15:18</t>
  </si>
  <si>
    <t>$5,072.55</t>
  </si>
  <si>
    <t>ORD-101006</t>
  </si>
  <si>
    <t>2024/07/08</t>
  </si>
  <si>
    <t>CUST-5031</t>
  </si>
  <si>
    <t xml:space="preserve">Ken Nowak </t>
  </si>
  <si>
    <t>ken.nowak@company.co.uk</t>
  </si>
  <si>
    <t xml:space="preserve">+44 952 060 1957 </t>
  </si>
  <si>
    <t xml:space="preserve">Markeptlace </t>
  </si>
  <si>
    <t>£1596,28</t>
  </si>
  <si>
    <t>ORD-100560</t>
  </si>
  <si>
    <t>2023-07-19</t>
  </si>
  <si>
    <t>USD 1,496.16</t>
  </si>
  <si>
    <t>ORD-100208</t>
  </si>
  <si>
    <t>2023-04-29</t>
  </si>
  <si>
    <t>CUST-5251</t>
  </si>
  <si>
    <t xml:space="preserve"> adam.lopez@yahoo.com</t>
  </si>
  <si>
    <t>€3,876.64</t>
  </si>
  <si>
    <t>ORD-100910</t>
  </si>
  <si>
    <t>2024/05/11 05:05</t>
  </si>
  <si>
    <t>zł896.62</t>
  </si>
  <si>
    <t>ORD-100001</t>
  </si>
  <si>
    <t>2025/02/11 01:49</t>
  </si>
  <si>
    <t>CUST-5215</t>
  </si>
  <si>
    <t>Marek Johnson</t>
  </si>
  <si>
    <t>zł1,396.00</t>
  </si>
  <si>
    <t>Bnak Transfer</t>
  </si>
  <si>
    <t>ORD-100269</t>
  </si>
  <si>
    <t>45178 12:52</t>
  </si>
  <si>
    <t>CUST-5201</t>
  </si>
  <si>
    <t>Marek  Johnson</t>
  </si>
  <si>
    <t>MAREK.JOHNSON@SHOP.IO</t>
  </si>
  <si>
    <t xml:space="preserve"> 00769 138 239</t>
  </si>
  <si>
    <t>$614.56</t>
  </si>
  <si>
    <t>ORD-100265</t>
  </si>
  <si>
    <t>27/10/2023 17:44</t>
  </si>
  <si>
    <t>CUST-5179</t>
  </si>
  <si>
    <t xml:space="preserve"> Adam Davis</t>
  </si>
  <si>
    <t xml:space="preserve"> adam.davis@company.co.uk</t>
  </si>
  <si>
    <t>+1-880-757-6665</t>
  </si>
  <si>
    <t>PLN 1,793.06</t>
  </si>
  <si>
    <t>ORD-100914</t>
  </si>
  <si>
    <t>10.03.2025</t>
  </si>
  <si>
    <t>zł1,480.37</t>
  </si>
  <si>
    <t>ORD-100230</t>
  </si>
  <si>
    <t>45417</t>
  </si>
  <si>
    <t>ORD-101148</t>
  </si>
  <si>
    <t>28.12.2024</t>
  </si>
  <si>
    <t>CUST-5366</t>
  </si>
  <si>
    <t xml:space="preserve">Sam Dubois </t>
  </si>
  <si>
    <t>sam.dubois@shop.io</t>
  </si>
  <si>
    <t>09976 820 190</t>
  </si>
  <si>
    <t>REFUNDDE</t>
  </si>
  <si>
    <t>£3,787.44</t>
  </si>
  <si>
    <t>ORD-100864</t>
  </si>
  <si>
    <t>2024/02/13</t>
  </si>
  <si>
    <t>EUR 1,764.49</t>
  </si>
  <si>
    <t>ORD-100873</t>
  </si>
  <si>
    <t>23/11/2023</t>
  </si>
  <si>
    <t>PLN 1,170.34</t>
  </si>
  <si>
    <t>ORD-101041</t>
  </si>
  <si>
    <t>zł465.39</t>
  </si>
  <si>
    <t>ORD-100398</t>
  </si>
  <si>
    <t>45296 07:22</t>
  </si>
  <si>
    <t>Caneclled</t>
  </si>
  <si>
    <t>USD 1,543.14</t>
  </si>
  <si>
    <t>ORD-101062</t>
  </si>
  <si>
    <t>18/12/2023 09:02</t>
  </si>
  <si>
    <t>CUST-5168</t>
  </si>
  <si>
    <t>Yara Davis</t>
  </si>
  <si>
    <t>Yara.Davis@Example.Com</t>
  </si>
  <si>
    <t xml:space="preserve">+44 656 840 8328 </t>
  </si>
  <si>
    <t>€720,53</t>
  </si>
  <si>
    <t>ORD-100045</t>
  </si>
  <si>
    <t>45530</t>
  </si>
  <si>
    <t>zł9,240.62</t>
  </si>
  <si>
    <t>ORD-100161</t>
  </si>
  <si>
    <t>11-Jul-2023</t>
  </si>
  <si>
    <t>EUR 2,774.10</t>
  </si>
  <si>
    <t>ORD-100991</t>
  </si>
  <si>
    <t>45600</t>
  </si>
  <si>
    <t>CUST-5673</t>
  </si>
  <si>
    <t>bella.young@gmail.com</t>
  </si>
  <si>
    <t xml:space="preserve"> 02369 935 427</t>
  </si>
  <si>
    <t>EUR 4,862.54</t>
  </si>
  <si>
    <t>ORD-100727</t>
  </si>
  <si>
    <t>10/31/2024</t>
  </si>
  <si>
    <t>CUST-5144</t>
  </si>
  <si>
    <t>Sam  Novak</t>
  </si>
  <si>
    <t>sam.novak@yahoo.com</t>
  </si>
  <si>
    <t xml:space="preserve">+1-300-347-2277 </t>
  </si>
  <si>
    <t>USD 3,602.33</t>
  </si>
  <si>
    <t>PyaPal</t>
  </si>
  <si>
    <t>ORD-100629</t>
  </si>
  <si>
    <t>05-Nov-2023</t>
  </si>
  <si>
    <t>zł496.49</t>
  </si>
  <si>
    <t>ORD-100288</t>
  </si>
  <si>
    <t>2025-07-01</t>
  </si>
  <si>
    <t>PLN 1,606.47</t>
  </si>
  <si>
    <t>ORD-101139</t>
  </si>
  <si>
    <t>2023-06-27</t>
  </si>
  <si>
    <t>£12,96</t>
  </si>
  <si>
    <t>TSANDARD</t>
  </si>
  <si>
    <t>ORD-100575</t>
  </si>
  <si>
    <t>11.03.2025 08:34</t>
  </si>
  <si>
    <t>$3,899.21</t>
  </si>
  <si>
    <t>ORD-100850</t>
  </si>
  <si>
    <t>45322 19:10</t>
  </si>
  <si>
    <t>USD 4,045.22</t>
  </si>
  <si>
    <t>ORD-100911</t>
  </si>
  <si>
    <t>45749</t>
  </si>
  <si>
    <t>CUST-5266</t>
  </si>
  <si>
    <t xml:space="preserve"> vlad.young@yahoo.com</t>
  </si>
  <si>
    <t>+44 427 847 2982</t>
  </si>
  <si>
    <t>SPIAN</t>
  </si>
  <si>
    <t>€3,310.91</t>
  </si>
  <si>
    <t>ORD-101055</t>
  </si>
  <si>
    <t>2023/03/28</t>
  </si>
  <si>
    <t>ORD-100932</t>
  </si>
  <si>
    <t>2023/03/19</t>
  </si>
  <si>
    <t>EUR 1,217.80</t>
  </si>
  <si>
    <t>ORD-100247</t>
  </si>
  <si>
    <t>CUST-5293</t>
  </si>
  <si>
    <t xml:space="preserve">Paula Smith </t>
  </si>
  <si>
    <t>PAULA.SMITH@EXAMPLE.COM</t>
  </si>
  <si>
    <t xml:space="preserve">+1-304-416-2600 </t>
  </si>
  <si>
    <t>PLN 4,998.51</t>
  </si>
  <si>
    <t>ORD-100476</t>
  </si>
  <si>
    <t>17-Nov-2024</t>
  </si>
  <si>
    <t>PLN 5,829.10</t>
  </si>
  <si>
    <t>ORD-100085</t>
  </si>
  <si>
    <t>01/29/2025</t>
  </si>
  <si>
    <t>GBP 963.57</t>
  </si>
  <si>
    <t>ORD-100469</t>
  </si>
  <si>
    <t>29/01/2025</t>
  </si>
  <si>
    <t>CUST-5091</t>
  </si>
  <si>
    <t>Lia Muller</t>
  </si>
  <si>
    <t xml:space="preserve">lia.muller@yahoo.com </t>
  </si>
  <si>
    <t xml:space="preserve">+44 439 160 3813 </t>
  </si>
  <si>
    <t>€63.54</t>
  </si>
  <si>
    <t>ORD-100225</t>
  </si>
  <si>
    <t>2024/02/26</t>
  </si>
  <si>
    <t>CUST-5694</t>
  </si>
  <si>
    <t>Hanna Khan</t>
  </si>
  <si>
    <t xml:space="preserve"> hanna.khan@outlook.com</t>
  </si>
  <si>
    <t>+1-383-872-8187</t>
  </si>
  <si>
    <t>PLN 185.58</t>
  </si>
  <si>
    <t xml:space="preserve">GiftC ard </t>
  </si>
  <si>
    <t>ORD-100774</t>
  </si>
  <si>
    <t>24-Nov-2023</t>
  </si>
  <si>
    <t>CUST-5270</t>
  </si>
  <si>
    <t xml:space="preserve">Omar Lee </t>
  </si>
  <si>
    <t>omar.lee@yahoo.com</t>
  </si>
  <si>
    <t>EUR 1,620.77</t>
  </si>
  <si>
    <t>E UR</t>
  </si>
  <si>
    <t>ORD-100331</t>
  </si>
  <si>
    <t>11/01/2025 20:59</t>
  </si>
  <si>
    <t>PLN 1,685.41</t>
  </si>
  <si>
    <t>ORD-100233</t>
  </si>
  <si>
    <t>18/01/2023</t>
  </si>
  <si>
    <t>CUST-5626</t>
  </si>
  <si>
    <t>Daria Martinez</t>
  </si>
  <si>
    <t xml:space="preserve">daria.martinez@yahoo.com </t>
  </si>
  <si>
    <t>+1-774-688-1537</t>
  </si>
  <si>
    <t>$3165,65</t>
  </si>
  <si>
    <t>Netx Day</t>
  </si>
  <si>
    <t>ORD-100588</t>
  </si>
  <si>
    <t>Feb 07, 2024</t>
  </si>
  <si>
    <t>EUR 1,024.98</t>
  </si>
  <si>
    <t>ORD-100475</t>
  </si>
  <si>
    <t>06-Jan-2025</t>
  </si>
  <si>
    <t>GBP 307.26</t>
  </si>
  <si>
    <t>ORD-100599</t>
  </si>
  <si>
    <t>2024-02-03</t>
  </si>
  <si>
    <t>CUST-5410</t>
  </si>
  <si>
    <t>Ken Garcia</t>
  </si>
  <si>
    <t xml:space="preserve"> ken.garcia@shop.io</t>
  </si>
  <si>
    <t xml:space="preserve">+1-943-608-6007 </t>
  </si>
  <si>
    <t>$1419,85</t>
  </si>
  <si>
    <t>ORD-100421</t>
  </si>
  <si>
    <t>31/07/2023</t>
  </si>
  <si>
    <t>EUR 2,177.67</t>
  </si>
  <si>
    <t>ORD-100182</t>
  </si>
  <si>
    <t>USD 399.52</t>
  </si>
  <si>
    <t>ORD-100988</t>
  </si>
  <si>
    <t>13.03.2024</t>
  </si>
  <si>
    <t>£1,747.23</t>
  </si>
  <si>
    <t>ORD-101000</t>
  </si>
  <si>
    <t>45843</t>
  </si>
  <si>
    <t>£2369,93</t>
  </si>
  <si>
    <t>ORD-100049</t>
  </si>
  <si>
    <t xml:space="preserve"> Marketplcae</t>
  </si>
  <si>
    <t>zł939.48</t>
  </si>
  <si>
    <t>ORD-101094</t>
  </si>
  <si>
    <t>2025-05-17 06:55</t>
  </si>
  <si>
    <t>USD 454.40</t>
  </si>
  <si>
    <t>ORD-101029</t>
  </si>
  <si>
    <t>2025-06-18</t>
  </si>
  <si>
    <t>CUST-5512</t>
  </si>
  <si>
    <t>Lia Martinez</t>
  </si>
  <si>
    <t xml:space="preserve"> lia.martinez@shop.io</t>
  </si>
  <si>
    <t>+44 260 582 4287</t>
  </si>
  <si>
    <t>EUR 2,739.23</t>
  </si>
  <si>
    <t>ORD-100529</t>
  </si>
  <si>
    <t>2023-10-19</t>
  </si>
  <si>
    <t>EUR 594.30</t>
  </si>
  <si>
    <t>ORD-100486</t>
  </si>
  <si>
    <t>2023-03-22 21:01</t>
  </si>
  <si>
    <t>EUR 1,672.06</t>
  </si>
  <si>
    <t>ORD-100497</t>
  </si>
  <si>
    <t>45215</t>
  </si>
  <si>
    <t>€1,748.86</t>
  </si>
  <si>
    <t>ORD-100106</t>
  </si>
  <si>
    <t>45134 16:51</t>
  </si>
  <si>
    <t>EUR 653.19</t>
  </si>
  <si>
    <t>ORD-100443</t>
  </si>
  <si>
    <t>Jan 28, 2025 20:30</t>
  </si>
  <si>
    <t>$4,852.56</t>
  </si>
  <si>
    <t>ORD-100646</t>
  </si>
  <si>
    <t>EUR 602.83</t>
  </si>
  <si>
    <t>ORD-101036</t>
  </si>
  <si>
    <t>2024-03-24</t>
  </si>
  <si>
    <t>£2105,24</t>
  </si>
  <si>
    <t>ORD-100726</t>
  </si>
  <si>
    <t>2024-05-19</t>
  </si>
  <si>
    <t>PLN 1,601.22</t>
  </si>
  <si>
    <t>ORD-100190</t>
  </si>
  <si>
    <t>03/08/2023</t>
  </si>
  <si>
    <t>£1075,82</t>
  </si>
  <si>
    <t>ORD-100282</t>
  </si>
  <si>
    <t>CUST-5311</t>
  </si>
  <si>
    <t>Omar.Rodriguez@Yahoo.Com</t>
  </si>
  <si>
    <t>+1-446-886-4321</t>
  </si>
  <si>
    <t>GBP 1,519.04</t>
  </si>
  <si>
    <t>ORD-100029</t>
  </si>
  <si>
    <t>07/03/2024</t>
  </si>
  <si>
    <t>CUST-5467</t>
  </si>
  <si>
    <t>DARIA YOUNG</t>
  </si>
  <si>
    <t xml:space="preserve">daria.young@yahoo.com </t>
  </si>
  <si>
    <t>+1-325-930-3380</t>
  </si>
  <si>
    <t xml:space="preserve"> Moblie App</t>
  </si>
  <si>
    <t>PLN 2,820.22</t>
  </si>
  <si>
    <t>ORD-100169</t>
  </si>
  <si>
    <t>08/05/2023</t>
  </si>
  <si>
    <t>£494.65</t>
  </si>
  <si>
    <t>ORD-101001</t>
  </si>
  <si>
    <t>CUST-5550</t>
  </si>
  <si>
    <t>DARIA LOPEZ</t>
  </si>
  <si>
    <t xml:space="preserve">daria.lopez@company.co.uk </t>
  </si>
  <si>
    <t xml:space="preserve"> 05978 560 942</t>
  </si>
  <si>
    <t>GBP 656.36</t>
  </si>
  <si>
    <t>ORD-100100</t>
  </si>
  <si>
    <t>45714</t>
  </si>
  <si>
    <t>CUST-5531</t>
  </si>
  <si>
    <t>Tara Dubois</t>
  </si>
  <si>
    <t xml:space="preserve"> tara.dubois@examlpe.com</t>
  </si>
  <si>
    <t>+44 458 991 4243</t>
  </si>
  <si>
    <t>£3,447.67</t>
  </si>
  <si>
    <t>ORD-100197</t>
  </si>
  <si>
    <t>2024/12/11 01:14</t>
  </si>
  <si>
    <t>CUST-5174</t>
  </si>
  <si>
    <t xml:space="preserve">lia.davis@company.co.uk </t>
  </si>
  <si>
    <t xml:space="preserve">+44 27 2359 8376 </t>
  </si>
  <si>
    <t>Farnce</t>
  </si>
  <si>
    <t>$2,773.08</t>
  </si>
  <si>
    <t>ORD-100495</t>
  </si>
  <si>
    <t>2023-10-23</t>
  </si>
  <si>
    <t>€1,899.92</t>
  </si>
  <si>
    <t>ORD-100647</t>
  </si>
  <si>
    <t>19/10/2024</t>
  </si>
  <si>
    <t>CUST-5324</t>
  </si>
  <si>
    <t>Carlos Lopez</t>
  </si>
  <si>
    <t>carlos.lopez@shop.io</t>
  </si>
  <si>
    <t>+1-302-726-4037</t>
  </si>
  <si>
    <t>$3152,39</t>
  </si>
  <si>
    <t>ORD-100987</t>
  </si>
  <si>
    <t>04-Mar-2024 15:19</t>
  </si>
  <si>
    <t>£346.74</t>
  </si>
  <si>
    <t>ORD-100044</t>
  </si>
  <si>
    <t>2024/02/17</t>
  </si>
  <si>
    <t>EUR 414.38</t>
  </si>
  <si>
    <t>ORD-100710</t>
  </si>
  <si>
    <t>14/07/2023 15:54</t>
  </si>
  <si>
    <t>CUST-5116</t>
  </si>
  <si>
    <t xml:space="preserve"> wiktor.rossi@example.com</t>
  </si>
  <si>
    <t xml:space="preserve"> 09213 232 375</t>
  </si>
  <si>
    <t>£165.18</t>
  </si>
  <si>
    <t>ORD-100373</t>
  </si>
  <si>
    <t>05/05/2025</t>
  </si>
  <si>
    <t>OMAR.RODRIGUEZ@SHOP.IO</t>
  </si>
  <si>
    <t>zł1,601.27</t>
  </si>
  <si>
    <t>ORD-100678</t>
  </si>
  <si>
    <t>2025-04-10</t>
  </si>
  <si>
    <t>00412 945 316</t>
  </si>
  <si>
    <t>zł2508,39</t>
  </si>
  <si>
    <t>ORD-100566</t>
  </si>
  <si>
    <t>17-May-2025</t>
  </si>
  <si>
    <t>CUST-5587</t>
  </si>
  <si>
    <t>Wiktor Lopez</t>
  </si>
  <si>
    <t>wiktor.lopez@gmail.com</t>
  </si>
  <si>
    <t xml:space="preserve">00440 681 847 </t>
  </si>
  <si>
    <t>PLN 1,758.29</t>
  </si>
  <si>
    <t>ORD-100847</t>
  </si>
  <si>
    <t>45698 22:33</t>
  </si>
  <si>
    <t>zł6292,91</t>
  </si>
  <si>
    <t xml:space="preserve"> NextD ay</t>
  </si>
  <si>
    <t>ORD-100460</t>
  </si>
  <si>
    <t>25-Oct-2023</t>
  </si>
  <si>
    <t>CUST-5256</t>
  </si>
  <si>
    <t xml:space="preserve"> Omar Smith</t>
  </si>
  <si>
    <t>OMAR.SMITH@SHOP.IO</t>
  </si>
  <si>
    <t xml:space="preserve"> 09237 347 689</t>
  </si>
  <si>
    <t>€3613,04</t>
  </si>
  <si>
    <t>ORD-100039</t>
  </si>
  <si>
    <t>26/10/2024</t>
  </si>
  <si>
    <t>USD 2,624.80</t>
  </si>
  <si>
    <t>ORD-100434</t>
  </si>
  <si>
    <t>Apr 28, 2024</t>
  </si>
  <si>
    <t>USD 4,201.14</t>
  </si>
  <si>
    <t>ORD-100973</t>
  </si>
  <si>
    <t>09-Dec-2024 19:03</t>
  </si>
  <si>
    <t>CUST-5080</t>
  </si>
  <si>
    <t>Carlos Garcia</t>
  </si>
  <si>
    <t>Carlos.Garcia@Shop.Io</t>
  </si>
  <si>
    <t>+1-970-712-1177</t>
  </si>
  <si>
    <t>GBP 6,958.61</t>
  </si>
  <si>
    <t>ORD-101007</t>
  </si>
  <si>
    <t>45401</t>
  </si>
  <si>
    <t>$1,951.27</t>
  </si>
  <si>
    <t>ORD-100456</t>
  </si>
  <si>
    <t>45658</t>
  </si>
  <si>
    <t>$958,09</t>
  </si>
  <si>
    <t>ORD-100260</t>
  </si>
  <si>
    <t>45840</t>
  </si>
  <si>
    <t xml:space="preserve"> Refundde</t>
  </si>
  <si>
    <t>USD 2,014.89</t>
  </si>
  <si>
    <t>ORD-100035</t>
  </si>
  <si>
    <t>+44 063 475 2008</t>
  </si>
  <si>
    <t xml:space="preserve">Cancleled </t>
  </si>
  <si>
    <t>€3399,71</t>
  </si>
  <si>
    <t>ORD-100827</t>
  </si>
  <si>
    <t>2023/08/01 21:41</t>
  </si>
  <si>
    <t>GBP 737.60</t>
  </si>
  <si>
    <t>ORD-100309</t>
  </si>
  <si>
    <t>22.12.2023</t>
  </si>
  <si>
    <t>USD 616.70</t>
  </si>
  <si>
    <t>ORD-100276</t>
  </si>
  <si>
    <t>Feb 04, 2025</t>
  </si>
  <si>
    <t>£5,292.66</t>
  </si>
  <si>
    <t>ORD-100636</t>
  </si>
  <si>
    <t>21.01.2025 05:32</t>
  </si>
  <si>
    <t>zł6,704.79</t>
  </si>
  <si>
    <t>ORD-100654</t>
  </si>
  <si>
    <t>2024-11-24</t>
  </si>
  <si>
    <t>CUST-5063</t>
  </si>
  <si>
    <t>LiaK owalski</t>
  </si>
  <si>
    <t>LIA.KOWALSKI@COMPANY.CO.UK</t>
  </si>
  <si>
    <t>03404 612 979</t>
  </si>
  <si>
    <t>$2,072.27</t>
  </si>
  <si>
    <t>ORD-100622</t>
  </si>
  <si>
    <t>18-Apr-2025</t>
  </si>
  <si>
    <t>$1,650.26</t>
  </si>
  <si>
    <t>ORD-100844</t>
  </si>
  <si>
    <t>01/06/2023</t>
  </si>
  <si>
    <t>PLN 1,755.42</t>
  </si>
  <si>
    <t>ORD-100393</t>
  </si>
  <si>
    <t>45703 21:54</t>
  </si>
  <si>
    <t>USD 7,326.72</t>
  </si>
  <si>
    <t>ORD-100107</t>
  </si>
  <si>
    <t>45182 07:57</t>
  </si>
  <si>
    <t>USD 2,658.39</t>
  </si>
  <si>
    <t>ORD-100349</t>
  </si>
  <si>
    <t>04.09.2025</t>
  </si>
  <si>
    <t>zł3,048.90</t>
  </si>
  <si>
    <t>ORD-100524</t>
  </si>
  <si>
    <t>15/10/2023</t>
  </si>
  <si>
    <t>PLN 1,793.03</t>
  </si>
  <si>
    <t>ORD-100784</t>
  </si>
  <si>
    <t>45232</t>
  </si>
  <si>
    <t>zł127.62</t>
  </si>
  <si>
    <t>ORD-100047</t>
  </si>
  <si>
    <t>07/31/2024</t>
  </si>
  <si>
    <t>CUST-5452</t>
  </si>
  <si>
    <t>JADE.KOWALCZYK@YAHOO.COM</t>
  </si>
  <si>
    <t>+1-733-987-9704</t>
  </si>
  <si>
    <t>zł3070,14</t>
  </si>
  <si>
    <t>ORD-100203</t>
  </si>
  <si>
    <t>EUR 2,002.62</t>
  </si>
  <si>
    <t>ORD-100021</t>
  </si>
  <si>
    <t>45234 08:53</t>
  </si>
  <si>
    <t>CUST-5388</t>
  </si>
  <si>
    <t xml:space="preserve"> Paula Garcia</t>
  </si>
  <si>
    <t xml:space="preserve">paula.garcia@yahoo.com </t>
  </si>
  <si>
    <t>+1-689-906-2472</t>
  </si>
  <si>
    <t>$552,87</t>
  </si>
  <si>
    <t>ORD-100402</t>
  </si>
  <si>
    <t>EUR 714.25</t>
  </si>
  <si>
    <t>ORD-101107</t>
  </si>
  <si>
    <t>2024-08-02 02:32</t>
  </si>
  <si>
    <t>€1148,35</t>
  </si>
  <si>
    <t>ORD-100989</t>
  </si>
  <si>
    <t>Apr 02, 2024</t>
  </si>
  <si>
    <t>€211,46</t>
  </si>
  <si>
    <t>ORD-100741</t>
  </si>
  <si>
    <t>2025-07-28</t>
  </si>
  <si>
    <t>EUR 1,246.98</t>
  </si>
  <si>
    <t>ORD-100033</t>
  </si>
  <si>
    <t>03-Jul-2025</t>
  </si>
  <si>
    <t>EUR 3,039.04</t>
  </si>
  <si>
    <t>ORD-100787</t>
  </si>
  <si>
    <t>Mar 06, 2024</t>
  </si>
  <si>
    <t>zł3,458.53</t>
  </si>
  <si>
    <t>ORD-100923</t>
  </si>
  <si>
    <t>05/11/2024</t>
  </si>
  <si>
    <t>CUST-5361</t>
  </si>
  <si>
    <t>KEN LEE</t>
  </si>
  <si>
    <t xml:space="preserve"> ken.lee@example.com</t>
  </si>
  <si>
    <t>+44 009 098 0870</t>
  </si>
  <si>
    <t>EUR 1,354.58</t>
  </si>
  <si>
    <t>ORD-101043</t>
  </si>
  <si>
    <t>45719</t>
  </si>
  <si>
    <t>zł591,77</t>
  </si>
  <si>
    <t>ORD-101128</t>
  </si>
  <si>
    <t>12-Sep-2025</t>
  </si>
  <si>
    <t>€4630,93</t>
  </si>
  <si>
    <t>ORD-100579</t>
  </si>
  <si>
    <t>28/03/2025</t>
  </si>
  <si>
    <t>IGOR.ROSSI@GMAIL.COM</t>
  </si>
  <si>
    <t>EUR 288.21</t>
  </si>
  <si>
    <t>ORD-100481</t>
  </si>
  <si>
    <t>45891</t>
  </si>
  <si>
    <t>zł2,558.65</t>
  </si>
  <si>
    <t>ORD-100931</t>
  </si>
  <si>
    <t>09.06.2024</t>
  </si>
  <si>
    <t>EUR 1,263.33</t>
  </si>
  <si>
    <t>ORD-100356</t>
  </si>
  <si>
    <t>45324 22:18</t>
  </si>
  <si>
    <t>CUST-5186</t>
  </si>
  <si>
    <t>Igor Muller</t>
  </si>
  <si>
    <t>igor.muller@outlook.com</t>
  </si>
  <si>
    <t>USD 6,610.89</t>
  </si>
  <si>
    <t>ORD-100759</t>
  </si>
  <si>
    <t>15.07.2025</t>
  </si>
  <si>
    <t>USD 228.65</t>
  </si>
  <si>
    <t>ORD-100092</t>
  </si>
  <si>
    <t>21/12/2023 02:07</t>
  </si>
  <si>
    <t>USD 3,263.14</t>
  </si>
  <si>
    <t>ORD-100803</t>
  </si>
  <si>
    <t>May 24, 2023</t>
  </si>
  <si>
    <t>ETHAN.MULLER@COMPANY.CO.KU</t>
  </si>
  <si>
    <t>PLN 2,369.26</t>
  </si>
  <si>
    <t>ORD-100745</t>
  </si>
  <si>
    <t>45833</t>
  </si>
  <si>
    <t>IN-TSORE</t>
  </si>
  <si>
    <t>USD 406.62</t>
  </si>
  <si>
    <t>ORD-100279</t>
  </si>
  <si>
    <t>Aug 16, 2024</t>
  </si>
  <si>
    <t>EUR 778.94</t>
  </si>
  <si>
    <t>ORD-100764</t>
  </si>
  <si>
    <t>01/09/2023</t>
  </si>
  <si>
    <t>CUST-5658</t>
  </si>
  <si>
    <t xml:space="preserve">Paula Muller </t>
  </si>
  <si>
    <t>paula.muller@example.com</t>
  </si>
  <si>
    <t>09155 606 334</t>
  </si>
  <si>
    <t xml:space="preserve"> rIeland</t>
  </si>
  <si>
    <t>EUR 730.17</t>
  </si>
  <si>
    <t>ORD-100604</t>
  </si>
  <si>
    <t>2025-01-04</t>
  </si>
  <si>
    <t>zł3122,3</t>
  </si>
  <si>
    <t>ORD-100400</t>
  </si>
  <si>
    <t>45706</t>
  </si>
  <si>
    <t>CUST-5530</t>
  </si>
  <si>
    <t>Xenia.Smith@Company.Co.Uk</t>
  </si>
  <si>
    <t>+44  123  437  8615</t>
  </si>
  <si>
    <t>€1,473.84</t>
  </si>
  <si>
    <t>ORD-100257</t>
  </si>
  <si>
    <t>31.12.2024</t>
  </si>
  <si>
    <t>£1,342.76</t>
  </si>
  <si>
    <t>ORD-100944</t>
  </si>
  <si>
    <t>30.05.2024</t>
  </si>
  <si>
    <t>£4,319.03</t>
  </si>
  <si>
    <t>Bakn Transfer</t>
  </si>
  <si>
    <t>ORD-101096</t>
  </si>
  <si>
    <t>27.11.2023</t>
  </si>
  <si>
    <t>USD 6,326.09</t>
  </si>
  <si>
    <t>ORD-100494</t>
  </si>
  <si>
    <t>27-Oct-2023</t>
  </si>
  <si>
    <t>$1,185.76</t>
  </si>
  <si>
    <t xml:space="preserve"> Pickpu</t>
  </si>
  <si>
    <t>ORD-100772</t>
  </si>
  <si>
    <t>€922.66</t>
  </si>
  <si>
    <t>ORD-100550</t>
  </si>
  <si>
    <t>16.10.2024</t>
  </si>
  <si>
    <t>CUST-5570</t>
  </si>
  <si>
    <t xml:space="preserve">Hanna Kowalczyk </t>
  </si>
  <si>
    <t>hanna.kowalczyk@gmail.com</t>
  </si>
  <si>
    <t xml:space="preserve">03246 232 120 </t>
  </si>
  <si>
    <t>EUR 1,958.87</t>
  </si>
  <si>
    <t>ORD-100201</t>
  </si>
  <si>
    <t>Dec 12, 2024</t>
  </si>
  <si>
    <t>CUST-5553</t>
  </si>
  <si>
    <t>W iktor Novak</t>
  </si>
  <si>
    <t>Wiktor.Novak@Company.Co.Uk</t>
  </si>
  <si>
    <t xml:space="preserve">+1-206-888-5222 </t>
  </si>
  <si>
    <t>€6,613.85</t>
  </si>
  <si>
    <t>ORD-100312</t>
  </si>
  <si>
    <t>45074</t>
  </si>
  <si>
    <t>£2,215.24</t>
  </si>
  <si>
    <t>ORD-100290</t>
  </si>
  <si>
    <t>03/24/2024</t>
  </si>
  <si>
    <t>USD 866.74</t>
  </si>
  <si>
    <t>ORD-100763</t>
  </si>
  <si>
    <t>45118</t>
  </si>
  <si>
    <t>€257.53</t>
  </si>
  <si>
    <t>ORD-101136</t>
  </si>
  <si>
    <t>22-Feb-2023</t>
  </si>
  <si>
    <t>CUST-5600</t>
  </si>
  <si>
    <t>Nina Lee</t>
  </si>
  <si>
    <t>nina.lee@example.co m</t>
  </si>
  <si>
    <t>08397 657 596</t>
  </si>
  <si>
    <t>GBP 1,565.54</t>
  </si>
  <si>
    <t>ORD-100949</t>
  </si>
  <si>
    <t>2023/04/19</t>
  </si>
  <si>
    <t>CUST-5395</t>
  </si>
  <si>
    <t>Sam.Young@Outlook.Com</t>
  </si>
  <si>
    <t xml:space="preserve">01958 764 926 </t>
  </si>
  <si>
    <t>PLN 1,248.49</t>
  </si>
  <si>
    <t>Gif t Card</t>
  </si>
  <si>
    <t>ORD-100183</t>
  </si>
  <si>
    <t>2023/05/29</t>
  </si>
  <si>
    <t>USD 4,094.90</t>
  </si>
  <si>
    <t>ORD-101068</t>
  </si>
  <si>
    <t>Jul 23, 2024 12:24</t>
  </si>
  <si>
    <t>CUST-5221</t>
  </si>
  <si>
    <t xml:space="preserve"> Jade Nowak</t>
  </si>
  <si>
    <t>JADE.NOWAK@EXAPMLE.COM</t>
  </si>
  <si>
    <t>04361 416 433</t>
  </si>
  <si>
    <t>zł8,156.14</t>
  </si>
  <si>
    <t>ORD-101030</t>
  </si>
  <si>
    <t>25.04.2023</t>
  </si>
  <si>
    <t>CUST-5631</t>
  </si>
  <si>
    <t xml:space="preserve"> Rita Dubois</t>
  </si>
  <si>
    <t>rita.dubois@sho.pio</t>
  </si>
  <si>
    <t>02262 757 867</t>
  </si>
  <si>
    <t>CANECLLED</t>
  </si>
  <si>
    <t>PLN 1,823.86</t>
  </si>
  <si>
    <t>ORD-100250</t>
  </si>
  <si>
    <t>08/24/2023</t>
  </si>
  <si>
    <t>CUST-5023</t>
  </si>
  <si>
    <t>Jade King</t>
  </si>
  <si>
    <t xml:space="preserve"> jadek.ing@outlook.com</t>
  </si>
  <si>
    <t xml:space="preserve"> +1-877-256-9431</t>
  </si>
  <si>
    <t>£1,399.97</t>
  </si>
  <si>
    <t>ORD-100823</t>
  </si>
  <si>
    <t>£301.78</t>
  </si>
  <si>
    <t>ORD-101099</t>
  </si>
  <si>
    <t>Jan 11, 2023</t>
  </si>
  <si>
    <t>Pendin g</t>
  </si>
  <si>
    <t>€7,972.26</t>
  </si>
  <si>
    <t>ORD-100940</t>
  </si>
  <si>
    <t>2025-04-29</t>
  </si>
  <si>
    <t>EUR 589.69</t>
  </si>
  <si>
    <t>ORD-100391</t>
  </si>
  <si>
    <t>45752</t>
  </si>
  <si>
    <t>€436.09</t>
  </si>
  <si>
    <t>ORD-101092</t>
  </si>
  <si>
    <t>2024-03-07 12:23</t>
  </si>
  <si>
    <t>um.agarcia@gmail.com</t>
  </si>
  <si>
    <t>€342,31</t>
  </si>
  <si>
    <t>ORD-100904</t>
  </si>
  <si>
    <t>45385</t>
  </si>
  <si>
    <t>EUR 933.17</t>
  </si>
  <si>
    <t>ORD-100730</t>
  </si>
  <si>
    <t>Jul 21, 2024 22:00</t>
  </si>
  <si>
    <t>USD 2,917.87</t>
  </si>
  <si>
    <t>ORD-100554</t>
  </si>
  <si>
    <t>Dec 09, 2023 06:44</t>
  </si>
  <si>
    <t>£4,409.20</t>
  </si>
  <si>
    <t>ORD-100366</t>
  </si>
  <si>
    <t>2025/09/29 16:56</t>
  </si>
  <si>
    <t>zł811.96</t>
  </si>
  <si>
    <t>ORD-100345</t>
  </si>
  <si>
    <t>21.08.2024 04:11</t>
  </si>
  <si>
    <t>GBP 265.21</t>
  </si>
  <si>
    <t>ORD-100535</t>
  </si>
  <si>
    <t>45779 14:25</t>
  </si>
  <si>
    <t>EUR 144.35</t>
  </si>
  <si>
    <t>ORD-100919</t>
  </si>
  <si>
    <t>25.03.2024 21:29</t>
  </si>
  <si>
    <t>EUR 469.28</t>
  </si>
  <si>
    <t>ORD-100211</t>
  </si>
  <si>
    <t>2024/09/15 20:57</t>
  </si>
  <si>
    <t>USD 545.66</t>
  </si>
  <si>
    <t>ORD-100502</t>
  </si>
  <si>
    <t>Feb 12, 2024</t>
  </si>
  <si>
    <t>CUST-5643</t>
  </si>
  <si>
    <t xml:space="preserve"> Nina Young</t>
  </si>
  <si>
    <t xml:space="preserve"> nina.young@gmail.com</t>
  </si>
  <si>
    <t>+44 151 488 4453</t>
  </si>
  <si>
    <t>EUR 1,657.55</t>
  </si>
  <si>
    <t>ORD-100537</t>
  </si>
  <si>
    <t>45388</t>
  </si>
  <si>
    <t>£30,72</t>
  </si>
  <si>
    <t>ORD-100175</t>
  </si>
  <si>
    <t>12-Apr-2023</t>
  </si>
  <si>
    <t>CUST-5488</t>
  </si>
  <si>
    <t>Rita aDvis</t>
  </si>
  <si>
    <t>Rita.Davis@Outlook.Com</t>
  </si>
  <si>
    <t>08399 126 205</t>
  </si>
  <si>
    <t>EUR 693.10</t>
  </si>
  <si>
    <t>full_name</t>
  </si>
  <si>
    <t>created_at</t>
  </si>
  <si>
    <t>marketing_opt_in</t>
  </si>
  <si>
    <t>12/15/2023 05:03</t>
  </si>
  <si>
    <t>No</t>
  </si>
  <si>
    <t>2024-10-23</t>
  </si>
  <si>
    <t>Yes</t>
  </si>
  <si>
    <t>CUST-5318</t>
  </si>
  <si>
    <t>Wiktor Williams</t>
  </si>
  <si>
    <t>wiktor.williams@example.com</t>
  </si>
  <si>
    <t>+44 150 027 7689</t>
  </si>
  <si>
    <t>2025-09-25</t>
  </si>
  <si>
    <t>no</t>
  </si>
  <si>
    <t>Dec 22, 2022 20:11</t>
  </si>
  <si>
    <t>45108</t>
  </si>
  <si>
    <t>yes</t>
  </si>
  <si>
    <t>12/21/2023</t>
  </si>
  <si>
    <t>05/16/2025</t>
  </si>
  <si>
    <t>CUST-5677</t>
  </si>
  <si>
    <t xml:space="preserve"> jade.garcia@company.co.uk</t>
  </si>
  <si>
    <t>+1-795-856-9827</t>
  </si>
  <si>
    <t>45606</t>
  </si>
  <si>
    <t>02/01/2023</t>
  </si>
  <si>
    <t xml:space="preserve">marek.novak@yahoo.com </t>
  </si>
  <si>
    <t>17.01.2022</t>
  </si>
  <si>
    <t>13-Mar-2025 17:45</t>
  </si>
  <si>
    <t>13-Jun-2022 12:23</t>
  </si>
  <si>
    <t>Y</t>
  </si>
  <si>
    <t>2025-02-21</t>
  </si>
  <si>
    <t>TRUE</t>
  </si>
  <si>
    <t>Dec 15, 2024</t>
  </si>
  <si>
    <t>CUST-5229</t>
  </si>
  <si>
    <t>NINA DAVIS</t>
  </si>
  <si>
    <t>nina.davis@outlook.com</t>
  </si>
  <si>
    <t xml:space="preserve"> +44 925 750 9054</t>
  </si>
  <si>
    <t>2022-02-18</t>
  </si>
  <si>
    <t>2025/06/10 07:46</t>
  </si>
  <si>
    <t>44998 09:58</t>
  </si>
  <si>
    <t>21-Mar-2025</t>
  </si>
  <si>
    <t>27/08/2022</t>
  </si>
  <si>
    <t>N</t>
  </si>
  <si>
    <t>25/04/2024 02:59</t>
  </si>
  <si>
    <t>19.04.2025</t>
  </si>
  <si>
    <t>CUST-5249</t>
  </si>
  <si>
    <t>Yara  Brown</t>
  </si>
  <si>
    <t xml:space="preserve"> yara.brown@company.co.uk</t>
  </si>
  <si>
    <t>+44 865 848 6086</t>
  </si>
  <si>
    <t>02.01.2023</t>
  </si>
  <si>
    <t>2025-01-27</t>
  </si>
  <si>
    <t>45449</t>
  </si>
  <si>
    <t>CUST-5543</t>
  </si>
  <si>
    <t>wiktor.young@cmopany.co.uk</t>
  </si>
  <si>
    <t xml:space="preserve">+1-433-470-2895 </t>
  </si>
  <si>
    <t>Aug 27, 2025 16:18</t>
  </si>
  <si>
    <t>07.10.2022</t>
  </si>
  <si>
    <t>04/04/2025</t>
  </si>
  <si>
    <t>06/03/2025</t>
  </si>
  <si>
    <t>CUST-5514</t>
  </si>
  <si>
    <t>Jade Davis</t>
  </si>
  <si>
    <t>JADE.DAVIS@COMPANY.CO.UK</t>
  </si>
  <si>
    <t>+44  784  108  3844</t>
  </si>
  <si>
    <t>2025/07/09 19:03</t>
  </si>
  <si>
    <t>CUST-5098</t>
  </si>
  <si>
    <t>Zack Dubois</t>
  </si>
  <si>
    <t>zack.dubois@yahoo.com</t>
  </si>
  <si>
    <t>02567 462 522</t>
  </si>
  <si>
    <t>44656</t>
  </si>
  <si>
    <t>2022/01/11</t>
  </si>
  <si>
    <t>19.11.2024</t>
  </si>
  <si>
    <t>23-Oct-2023 04:30</t>
  </si>
  <si>
    <t>CUST-5099</t>
  </si>
  <si>
    <t>Marek King</t>
  </si>
  <si>
    <t xml:space="preserve"> marek.king@gmail.com</t>
  </si>
  <si>
    <t>+44 662 605 1552</t>
  </si>
  <si>
    <t>03-Jan-2024 02:57</t>
  </si>
  <si>
    <t>07/12/2024</t>
  </si>
  <si>
    <t>FALSE</t>
  </si>
  <si>
    <t>2022-07-19</t>
  </si>
  <si>
    <t>03-Mar-2025</t>
  </si>
  <si>
    <t>2023-09-05</t>
  </si>
  <si>
    <t>CUST-5482</t>
  </si>
  <si>
    <t>lia.taylor@yahoo.com</t>
  </si>
  <si>
    <t>45041</t>
  </si>
  <si>
    <t>CUST-5300</t>
  </si>
  <si>
    <t>XENIA DUBOIS</t>
  </si>
  <si>
    <t>xenia.dubois@shop.io</t>
  </si>
  <si>
    <t>+44 160 196 9783</t>
  </si>
  <si>
    <t>05-Nov-2022</t>
  </si>
  <si>
    <t>17-Mar-2024 15:01</t>
  </si>
  <si>
    <t>24-May-2024</t>
  </si>
  <si>
    <t>10/18/2024</t>
  </si>
  <si>
    <t>CUST-5640</t>
  </si>
  <si>
    <t>Nina Rodriguez</t>
  </si>
  <si>
    <t>nina.rodriguez@shop.io</t>
  </si>
  <si>
    <t>+1-589-270-2543</t>
  </si>
  <si>
    <t>26/07/2025</t>
  </si>
  <si>
    <t>2025/03/07</t>
  </si>
  <si>
    <t>45517</t>
  </si>
  <si>
    <t>05/05/2023</t>
  </si>
  <si>
    <t>08.06.2022</t>
  </si>
  <si>
    <t>45095</t>
  </si>
  <si>
    <t>Jul 22, 2024</t>
  </si>
  <si>
    <t>23/09/2024</t>
  </si>
  <si>
    <t>2024/08/15</t>
  </si>
  <si>
    <t>45157</t>
  </si>
  <si>
    <t>24/08/2025</t>
  </si>
  <si>
    <t>2022/08/04</t>
  </si>
  <si>
    <t>CUST-5281</t>
  </si>
  <si>
    <t xml:space="preserve"> Omar Lee</t>
  </si>
  <si>
    <t>omar.lee@gmail.com</t>
  </si>
  <si>
    <t>+44 167 561 9925</t>
  </si>
  <si>
    <t>45097</t>
  </si>
  <si>
    <t>45703 19:20</t>
  </si>
  <si>
    <t>Feb 28, 2023</t>
  </si>
  <si>
    <t>Apr 19, 2024</t>
  </si>
  <si>
    <t xml:space="preserve">+44 449 583 1936 </t>
  </si>
  <si>
    <t>45040</t>
  </si>
  <si>
    <t>CUST-5423</t>
  </si>
  <si>
    <t>Rita Rossi</t>
  </si>
  <si>
    <t>rita.rossi@example.com</t>
  </si>
  <si>
    <t xml:space="preserve">00149 114 624 </t>
  </si>
  <si>
    <t>03.03.2022</t>
  </si>
  <si>
    <t>10/02/2025</t>
  </si>
  <si>
    <t>06-Mar-2025</t>
  </si>
  <si>
    <t>CUST-5350</t>
  </si>
  <si>
    <t xml:space="preserve"> MarekK owalczyk</t>
  </si>
  <si>
    <t>marek.kowalczyk@yahoo.com</t>
  </si>
  <si>
    <t>03635 092 182</t>
  </si>
  <si>
    <t>2022-12-03 01:23</t>
  </si>
  <si>
    <t>04.02.2024</t>
  </si>
  <si>
    <t>CUST-5614</t>
  </si>
  <si>
    <t>TARA.YOUNG@SHOP.IO</t>
  </si>
  <si>
    <t>01277 495 895</t>
  </si>
  <si>
    <t>Dec 01, 2024</t>
  </si>
  <si>
    <t>Jan 07, 2022</t>
  </si>
  <si>
    <t>CUST-5060</t>
  </si>
  <si>
    <t>Hanna.Dubois@Shop.Io</t>
  </si>
  <si>
    <t>1+-202-273-1486</t>
  </si>
  <si>
    <t>04-Oct-2024 00:42</t>
  </si>
  <si>
    <t>CUST-5564</t>
  </si>
  <si>
    <t xml:space="preserve">Zack Novak </t>
  </si>
  <si>
    <t>zack.novak@company.co.uk</t>
  </si>
  <si>
    <t>06771  575  950</t>
  </si>
  <si>
    <t>45174</t>
  </si>
  <si>
    <t>02/16/2023</t>
  </si>
  <si>
    <t>08/25/2022</t>
  </si>
  <si>
    <t>11-May-2023</t>
  </si>
  <si>
    <t>01-Sep-2024</t>
  </si>
  <si>
    <t>13-Sep-2025</t>
  </si>
  <si>
    <t>45867</t>
  </si>
  <si>
    <t>+1-452-661-6471</t>
  </si>
  <si>
    <t>Aug 25, 2023</t>
  </si>
  <si>
    <t>28/03/2023 07:46</t>
  </si>
  <si>
    <t>CUST-5128</t>
  </si>
  <si>
    <t xml:space="preserve">03832 875 750 </t>
  </si>
  <si>
    <t>2024/03/15</t>
  </si>
  <si>
    <t>16-Sep-2024 20:54</t>
  </si>
  <si>
    <t>44704</t>
  </si>
  <si>
    <t>44814</t>
  </si>
  <si>
    <t>CUST-5571</t>
  </si>
  <si>
    <t>wiktor.young@yahoo.cmo</t>
  </si>
  <si>
    <t>+1-394-440-5402</t>
  </si>
  <si>
    <t>Jan 23, 2023</t>
  </si>
  <si>
    <t>2023/07/24</t>
  </si>
  <si>
    <t>2022-04-07</t>
  </si>
  <si>
    <t xml:space="preserve">Carlos Kowalczyk </t>
  </si>
  <si>
    <t>carlos.kowalcyzk@shop.io</t>
  </si>
  <si>
    <t>08/10/2025</t>
  </si>
  <si>
    <t>2024/06/27 15:06</t>
  </si>
  <si>
    <t>45129</t>
  </si>
  <si>
    <t>2024/11/23</t>
  </si>
  <si>
    <t>2023/08/04</t>
  </si>
  <si>
    <t>02/29/2024</t>
  </si>
  <si>
    <t>CUST-5064</t>
  </si>
  <si>
    <t xml:space="preserve">Carlos Johnson </t>
  </si>
  <si>
    <t>calros.johnson@outlook.com</t>
  </si>
  <si>
    <t>+44 817 847 2144</t>
  </si>
  <si>
    <t>2025-06-01 05:13</t>
  </si>
  <si>
    <t>2022/08/18</t>
  </si>
  <si>
    <t>44948 00:22</t>
  </si>
  <si>
    <t>CUST-5473</t>
  </si>
  <si>
    <t>Jade Khan</t>
  </si>
  <si>
    <t>Jade.Khan@Yahoo.Com</t>
  </si>
  <si>
    <t>2024-11-17</t>
  </si>
  <si>
    <t>16/12/2024 06:50</t>
  </si>
  <si>
    <t>CUST-5244</t>
  </si>
  <si>
    <t>Uma  Muller</t>
  </si>
  <si>
    <t xml:space="preserve"> uma.muller@outlook.com</t>
  </si>
  <si>
    <t xml:space="preserve"> +1-612-875-8135</t>
  </si>
  <si>
    <t>Aug 27, 2022</t>
  </si>
  <si>
    <t>21.09.2022</t>
  </si>
  <si>
    <t>45912</t>
  </si>
  <si>
    <t>2023-01-04</t>
  </si>
  <si>
    <t>45689</t>
  </si>
  <si>
    <t>CUST-5070</t>
  </si>
  <si>
    <t>ZACK KOWALCZYK</t>
  </si>
  <si>
    <t xml:space="preserve">zack.kowalczyk@company.co.uk </t>
  </si>
  <si>
    <t xml:space="preserve">+1-463-893-2202 </t>
  </si>
  <si>
    <t>02/25/2025</t>
  </si>
  <si>
    <t>Feb 08, 2022</t>
  </si>
  <si>
    <t>22-Jul-2025</t>
  </si>
  <si>
    <t>26/03/2022 02:46</t>
  </si>
  <si>
    <t>44681</t>
  </si>
  <si>
    <t>2022/12/02</t>
  </si>
  <si>
    <t>23.01.2022</t>
  </si>
  <si>
    <t>Dec 31, 2024</t>
  </si>
  <si>
    <t>45035</t>
  </si>
  <si>
    <t>CUST-5273</t>
  </si>
  <si>
    <t>Gabe Lopez</t>
  </si>
  <si>
    <t xml:space="preserve"> gabe.lopez@gmail.com</t>
  </si>
  <si>
    <t>+44 318 380 4323</t>
  </si>
  <si>
    <t>16.09.2022</t>
  </si>
  <si>
    <t>05/09/2022</t>
  </si>
  <si>
    <t>2024-07-24 09:37</t>
  </si>
  <si>
    <t>11-Jan-2023 13:01</t>
  </si>
  <si>
    <t>CUST-5542</t>
  </si>
  <si>
    <t>Wiktor Garcia</t>
  </si>
  <si>
    <t>wiktor.garcia@company.co.uk</t>
  </si>
  <si>
    <t xml:space="preserve">+1-254-743-1124 </t>
  </si>
  <si>
    <t>23/09/2024 00:18</t>
  </si>
  <si>
    <t>2022/04/09</t>
  </si>
  <si>
    <t>03.08.2022</t>
  </si>
  <si>
    <t>24/12/2022</t>
  </si>
  <si>
    <t>CUST-5585</t>
  </si>
  <si>
    <t xml:space="preserve">Omar Davis </t>
  </si>
  <si>
    <t>Omar.Davis@Company.Co.Uk</t>
  </si>
  <si>
    <t>+44 457 144 7873</t>
  </si>
  <si>
    <t>08/01/2022</t>
  </si>
  <si>
    <t>2022-07-17</t>
  </si>
  <si>
    <t>CUST-5477</t>
  </si>
  <si>
    <t>Xenia Johnson</t>
  </si>
  <si>
    <t>+1-416-558-7458</t>
  </si>
  <si>
    <t>05/07/2024 21:27</t>
  </si>
  <si>
    <t>01/17/2022</t>
  </si>
  <si>
    <t>CUST-5357</t>
  </si>
  <si>
    <t>IGOR TAYLOR</t>
  </si>
  <si>
    <t>Igor.Taylor@Example.Com</t>
  </si>
  <si>
    <t>02864 361 528</t>
  </si>
  <si>
    <t>2023/07/18</t>
  </si>
  <si>
    <t>12.05.2023</t>
  </si>
  <si>
    <t>14-Sep-2022 05:28</t>
  </si>
  <si>
    <t>01/05/2025 07:21</t>
  </si>
  <si>
    <t>CUST-5261</t>
  </si>
  <si>
    <t>Paula Nowak</t>
  </si>
  <si>
    <t xml:space="preserve"> paula.nowak@example.com</t>
  </si>
  <si>
    <t xml:space="preserve"> 01502 413 023</t>
  </si>
  <si>
    <t>03/17/2022</t>
  </si>
  <si>
    <t>04-Oct-2024 14:02</t>
  </si>
  <si>
    <t>CUST-5387</t>
  </si>
  <si>
    <t>Qi Young</t>
  </si>
  <si>
    <t>07076 318 676</t>
  </si>
  <si>
    <t>2025/07/22</t>
  </si>
  <si>
    <t>45784</t>
  </si>
  <si>
    <t>2024-12-04</t>
  </si>
  <si>
    <t>CUST-5659</t>
  </si>
  <si>
    <t xml:space="preserve"> Rita Davis</t>
  </si>
  <si>
    <t>rita.davis@example.com</t>
  </si>
  <si>
    <t>+44 483 644 3558</t>
  </si>
  <si>
    <t>02/12/2024</t>
  </si>
  <si>
    <t>2022/01/21</t>
  </si>
  <si>
    <t>2025-08-17</t>
  </si>
  <si>
    <t>CUST-5485</t>
  </si>
  <si>
    <t xml:space="preserve"> Rita Kowalczyk</t>
  </si>
  <si>
    <t xml:space="preserve">rita.kowalczyk@outlook.com </t>
  </si>
  <si>
    <t>+1-448-239-9202</t>
  </si>
  <si>
    <t>2023/07/04</t>
  </si>
  <si>
    <t>17.10.2023 02:52</t>
  </si>
  <si>
    <t>CUST-5683</t>
  </si>
  <si>
    <t xml:space="preserve"> Ken Walker</t>
  </si>
  <si>
    <t>ken.walker@outlook.com</t>
  </si>
  <si>
    <t>+1-631-370-6358</t>
  </si>
  <si>
    <t>29/07/2023</t>
  </si>
  <si>
    <t>27/10/2022 09:40</t>
  </si>
  <si>
    <t>CUST-5239</t>
  </si>
  <si>
    <t>Wiktor Novak</t>
  </si>
  <si>
    <t xml:space="preserve"> 06346 201 368</t>
  </si>
  <si>
    <t>2023/03/21</t>
  </si>
  <si>
    <t>CUST-5446</t>
  </si>
  <si>
    <t xml:space="preserve"> Rita Williams</t>
  </si>
  <si>
    <t>rita.williams@yahoo.com</t>
  </si>
  <si>
    <t>+1-908-431-3074</t>
  </si>
  <si>
    <t>2023-03-15</t>
  </si>
  <si>
    <t>2024-01-27</t>
  </si>
  <si>
    <t>CUST-5624</t>
  </si>
  <si>
    <t xml:space="preserve">Rita Kowalczyk </t>
  </si>
  <si>
    <t>Rita.Kowalczyk@Shop.Io</t>
  </si>
  <si>
    <t>+1-507-719-2973</t>
  </si>
  <si>
    <t>45223</t>
  </si>
  <si>
    <t>04.05.2022</t>
  </si>
  <si>
    <t>2023-11-03</t>
  </si>
  <si>
    <t>26/09/2025</t>
  </si>
  <si>
    <t>31-Jul-2024</t>
  </si>
  <si>
    <t>08/01/2023</t>
  </si>
  <si>
    <t>2025/04/30 11:06</t>
  </si>
  <si>
    <t>2024-07-05</t>
  </si>
  <si>
    <t>CUST-5333</t>
  </si>
  <si>
    <t>OmarK ing</t>
  </si>
  <si>
    <t>omar.king@yahoo.com</t>
  </si>
  <si>
    <t xml:space="preserve">+1-754-256-5896 </t>
  </si>
  <si>
    <t xml:space="preserve">oPland </t>
  </si>
  <si>
    <t>Jul 25, 2023</t>
  </si>
  <si>
    <t>03/25/2022</t>
  </si>
  <si>
    <t>CUST-5662</t>
  </si>
  <si>
    <t xml:space="preserve"> Qi Rodriguez</t>
  </si>
  <si>
    <t xml:space="preserve">qi.rodriguez@yahoo.com </t>
  </si>
  <si>
    <t xml:space="preserve"> tIaly</t>
  </si>
  <si>
    <t>04/13/2022 05:13</t>
  </si>
  <si>
    <t>2023/08/23</t>
  </si>
  <si>
    <t>08/26/2024</t>
  </si>
  <si>
    <t>26-Jul-2023 15:02</t>
  </si>
  <si>
    <t>Jul 02, 2022</t>
  </si>
  <si>
    <t>04/01/2025</t>
  </si>
  <si>
    <t>13-Jan-2022</t>
  </si>
  <si>
    <t>07/16/2022</t>
  </si>
  <si>
    <t>Jul 11, 2022</t>
  </si>
  <si>
    <t>29-Mar-2025</t>
  </si>
  <si>
    <t>21/01/2023</t>
  </si>
  <si>
    <t>21/02/2022</t>
  </si>
  <si>
    <t>CUST-5120</t>
  </si>
  <si>
    <t>wiktor.smith@company.co.uk</t>
  </si>
  <si>
    <t>04127 852 256</t>
  </si>
  <si>
    <t>06/05/2025</t>
  </si>
  <si>
    <t>06/11/2024</t>
  </si>
  <si>
    <t>2025-06-16</t>
  </si>
  <si>
    <t>Mar 27, 2022</t>
  </si>
  <si>
    <t>CUST-5672</t>
  </si>
  <si>
    <t xml:space="preserve">tara.dubois@company.co.uk </t>
  </si>
  <si>
    <t>+1-502-983-3598</t>
  </si>
  <si>
    <t>Mar 28, 2022</t>
  </si>
  <si>
    <t>08.03.2025</t>
  </si>
  <si>
    <t>08/28/2025</t>
  </si>
  <si>
    <t>+1-490-979-2383</t>
  </si>
  <si>
    <t>2022/06/12</t>
  </si>
  <si>
    <t>02.03.2023</t>
  </si>
  <si>
    <t>11/09/2023</t>
  </si>
  <si>
    <t>2022-10-18</t>
  </si>
  <si>
    <t>2024-08-02</t>
  </si>
  <si>
    <t>Jul 05, 2023</t>
  </si>
  <si>
    <t>45798</t>
  </si>
  <si>
    <t xml:space="preserve">gabe.kowalczyk@company.co.uk </t>
  </si>
  <si>
    <t>01/17/2023 22:49</t>
  </si>
  <si>
    <t>19/07/2024 11:03</t>
  </si>
  <si>
    <t>Jun 23, 2024</t>
  </si>
  <si>
    <t>05/19/2025 07:22</t>
  </si>
  <si>
    <t>09/16/2022</t>
  </si>
  <si>
    <t>CUST-5556</t>
  </si>
  <si>
    <t>Adam Walker</t>
  </si>
  <si>
    <t>Adam.Walker@Outlook.Com</t>
  </si>
  <si>
    <t>03919 467 559</t>
  </si>
  <si>
    <t>44564</t>
  </si>
  <si>
    <t>26-Dec-2024</t>
  </si>
  <si>
    <t>2022/08/13</t>
  </si>
  <si>
    <t>W  iktor  Novak</t>
  </si>
  <si>
    <t>WIKTOR.NOVAK@COMPANY.CO.UK</t>
  </si>
  <si>
    <t>13/08/2022</t>
  </si>
  <si>
    <t>CUST-5609</t>
  </si>
  <si>
    <t xml:space="preserve">aCrlos Novak </t>
  </si>
  <si>
    <t>Jan 18, 2022</t>
  </si>
  <si>
    <t>11.01.2023 12:33</t>
  </si>
  <si>
    <t>2023-12-16 13:34</t>
  </si>
  <si>
    <t>2025-03-25</t>
  </si>
  <si>
    <t>Nov 01, 2024</t>
  </si>
  <si>
    <t>29-Jun-2024</t>
  </si>
  <si>
    <t>2025-05-17</t>
  </si>
  <si>
    <t>03/22/2024</t>
  </si>
  <si>
    <t xml:space="preserve"> xenia.smith@yahoo.com</t>
  </si>
  <si>
    <t>25/09/2024</t>
  </si>
  <si>
    <t>CUST-5580</t>
  </si>
  <si>
    <t>Tara Jonhson</t>
  </si>
  <si>
    <t xml:space="preserve">tara.johnson@outlook.com </t>
  </si>
  <si>
    <t>+1-799-267-8722</t>
  </si>
  <si>
    <t>23.12.2022 03:52</t>
  </si>
  <si>
    <t>44807</t>
  </si>
  <si>
    <t>Jan 15, 2022</t>
  </si>
  <si>
    <t>2022-08-13</t>
  </si>
  <si>
    <t>13/11/2024 13:19</t>
  </si>
  <si>
    <t>19-Aug-2025 05:54</t>
  </si>
  <si>
    <t>07.09.2022 04:08</t>
  </si>
  <si>
    <t xml:space="preserve"> Ken Davis</t>
  </si>
  <si>
    <t xml:space="preserve"> ken.davis@yahoo.com</t>
  </si>
  <si>
    <t>CUST-5667</t>
  </si>
  <si>
    <t xml:space="preserve">Yara Garcia </t>
  </si>
  <si>
    <t>Yara.Garcia@Example.Com</t>
  </si>
  <si>
    <t xml:space="preserve"> 02325 827 618</t>
  </si>
  <si>
    <t>03/12/2022</t>
  </si>
  <si>
    <t>44724</t>
  </si>
  <si>
    <t>27.05.2022</t>
  </si>
  <si>
    <t>13.01.2024</t>
  </si>
  <si>
    <t>2023-01-17</t>
  </si>
  <si>
    <t>CUST-5058</t>
  </si>
  <si>
    <t>zack.taylor@outloo.kcom</t>
  </si>
  <si>
    <t xml:space="preserve"> 03486 626 220</t>
  </si>
  <si>
    <t>12.02.2022 21:07</t>
  </si>
  <si>
    <t>44914 03:28</t>
  </si>
  <si>
    <t>2024/06/18</t>
  </si>
  <si>
    <t>14.10.2022 21:13</t>
  </si>
  <si>
    <t>2024/02/10</t>
  </si>
  <si>
    <t>2025-02-13</t>
  </si>
  <si>
    <t>2024-06-14</t>
  </si>
  <si>
    <t>2024/02/09</t>
  </si>
  <si>
    <t>2023/10/26</t>
  </si>
  <si>
    <t>CUST-5526</t>
  </si>
  <si>
    <t xml:space="preserve"> igor.kowalczyk@example.com</t>
  </si>
  <si>
    <t>+44 640 216 2751</t>
  </si>
  <si>
    <t>10-Feb-2022</t>
  </si>
  <si>
    <t>Oct 14, 2023</t>
  </si>
  <si>
    <t>2024-02-18</t>
  </si>
  <si>
    <t>lia.nowak@gmail.com</t>
  </si>
  <si>
    <t>Jul 24, 2024</t>
  </si>
  <si>
    <t>CUST-5419</t>
  </si>
  <si>
    <t>Uma Khan</t>
  </si>
  <si>
    <t>Uma.Khan@Yahoo.Com</t>
  </si>
  <si>
    <t>+1-218-865-7745</t>
  </si>
  <si>
    <t>45319 11:07</t>
  </si>
  <si>
    <t>04/07/2024 03:35</t>
  </si>
  <si>
    <t>CUST-5616</t>
  </si>
  <si>
    <t>Zack  Walker</t>
  </si>
  <si>
    <t>zack.walker@shop.io</t>
  </si>
  <si>
    <t>+1-728-268-2077</t>
  </si>
  <si>
    <t>07/03/2025</t>
  </si>
  <si>
    <t>sam.williams@outlook.com</t>
  </si>
  <si>
    <t>09-Sep-2024</t>
  </si>
  <si>
    <t>27-Sep-2023</t>
  </si>
  <si>
    <t>45428</t>
  </si>
  <si>
    <t>2023/11/25 16:30</t>
  </si>
  <si>
    <t>CUST-5066</t>
  </si>
  <si>
    <t>Rita Rodriguez</t>
  </si>
  <si>
    <t>rita.rodriguez@company.co.uk</t>
  </si>
  <si>
    <t>+1-721-427-8929</t>
  </si>
  <si>
    <t>2022-12-02</t>
  </si>
  <si>
    <t>27-Jun-2022</t>
  </si>
  <si>
    <t>04/28/2024 18:54</t>
  </si>
  <si>
    <t>02/24/2022</t>
  </si>
  <si>
    <t>45237 01:22</t>
  </si>
  <si>
    <t>May 23, 2022</t>
  </si>
  <si>
    <t>44677 08:05</t>
  </si>
  <si>
    <t>13-Sep-2024</t>
  </si>
  <si>
    <t>12.04.2024</t>
  </si>
  <si>
    <t>CUST-5666</t>
  </si>
  <si>
    <t xml:space="preserve"> Fiona Rodriguez</t>
  </si>
  <si>
    <t>Fiona.Rodriguez@Shop.Io</t>
  </si>
  <si>
    <t xml:space="preserve">05318 078 002 </t>
  </si>
  <si>
    <t>24-Feb-2025 08:00</t>
  </si>
  <si>
    <t xml:space="preserve">bella.king@yahoo.com </t>
  </si>
  <si>
    <t>45488</t>
  </si>
  <si>
    <t>2024-03-16</t>
  </si>
  <si>
    <t>01/10/2022</t>
  </si>
  <si>
    <t>CUST-5308</t>
  </si>
  <si>
    <t>Ken Rossi</t>
  </si>
  <si>
    <t xml:space="preserve"> ken.rossi@gmail.com</t>
  </si>
  <si>
    <t xml:space="preserve"> +1-507-640-9375</t>
  </si>
  <si>
    <t>44740</t>
  </si>
  <si>
    <t>02-Jul-2023</t>
  </si>
  <si>
    <t>2022-07-11</t>
  </si>
  <si>
    <t>44655</t>
  </si>
  <si>
    <t>2022-01-04 08:44</t>
  </si>
  <si>
    <t>CUST-5437</t>
  </si>
  <si>
    <t>Sam  Kowalczyk</t>
  </si>
  <si>
    <t xml:space="preserve">sam.kowalczyk@outlook.com </t>
  </si>
  <si>
    <t>+44 094 964 2346</t>
  </si>
  <si>
    <t xml:space="preserve">Itlay </t>
  </si>
  <si>
    <t>2024-03-15 22:42</t>
  </si>
  <si>
    <t>2024-12-05</t>
  </si>
  <si>
    <t>44574</t>
  </si>
  <si>
    <t>45198</t>
  </si>
  <si>
    <t>45251</t>
  </si>
  <si>
    <t>Dec 16, 2022</t>
  </si>
  <si>
    <t>09/10/2023 17:46</t>
  </si>
  <si>
    <t>2025/01/14</t>
  </si>
  <si>
    <t>CUST-5633</t>
  </si>
  <si>
    <t>Yara  Martinez</t>
  </si>
  <si>
    <t>yara.martinez@shop.io</t>
  </si>
  <si>
    <t xml:space="preserve"> +1-681-576-2532</t>
  </si>
  <si>
    <t>GERMNAY</t>
  </si>
  <si>
    <t>Oct 10, 2024</t>
  </si>
  <si>
    <t>23-May-2023</t>
  </si>
  <si>
    <t>CUST-5007</t>
  </si>
  <si>
    <t xml:space="preserve"> Jade Brown</t>
  </si>
  <si>
    <t>JAD.EBROWN@COMPANY.CO.UK</t>
  </si>
  <si>
    <t>+1-467-218-8601</t>
  </si>
  <si>
    <t>Jan 06, 2023</t>
  </si>
  <si>
    <t>CUST-5371</t>
  </si>
  <si>
    <t>Sam Kowalczyk</t>
  </si>
  <si>
    <t>sam.kowalczyk@outlook.com</t>
  </si>
  <si>
    <t>03047 596 117</t>
  </si>
  <si>
    <t>2024-12-05 23:04</t>
  </si>
  <si>
    <t>07935 782 223</t>
  </si>
  <si>
    <t>20/05/2025</t>
  </si>
  <si>
    <t>05/22/2022 12:56</t>
  </si>
  <si>
    <t>09-Dec-2022</t>
  </si>
  <si>
    <t>45216</t>
  </si>
  <si>
    <t>08/05/2022</t>
  </si>
  <si>
    <t>CUST-5240</t>
  </si>
  <si>
    <t>Vlad Kowalczyk</t>
  </si>
  <si>
    <t>vlad.kowalczyk@outlook.com</t>
  </si>
  <si>
    <t>04472 013 146</t>
  </si>
  <si>
    <t>2023-06-30</t>
  </si>
  <si>
    <t>CUST-5520</t>
  </si>
  <si>
    <t>Gabe Kowalsik</t>
  </si>
  <si>
    <t xml:space="preserve">gabe.kowalski@outlook.com </t>
  </si>
  <si>
    <t>+44  596  514  6861</t>
  </si>
  <si>
    <t>Mar 26, 2025 09:22</t>
  </si>
  <si>
    <t>10/28/2023 02:41</t>
  </si>
  <si>
    <t>03/06/2023</t>
  </si>
  <si>
    <t>20/08/2023</t>
  </si>
  <si>
    <t>03.04.2023</t>
  </si>
  <si>
    <t>2023-05-27</t>
  </si>
  <si>
    <t>Dec 05, 2022</t>
  </si>
  <si>
    <t>2024/04/23 09:42</t>
  </si>
  <si>
    <t>CUST-5145</t>
  </si>
  <si>
    <t>Sam Muller</t>
  </si>
  <si>
    <t xml:space="preserve"> sam.muller@gmail.com</t>
  </si>
  <si>
    <t xml:space="preserve"> +1-653-806-3858</t>
  </si>
  <si>
    <t>2022-01-09 01:28</t>
  </si>
  <si>
    <t>03/05/2023</t>
  </si>
  <si>
    <t>29/08/2025</t>
  </si>
  <si>
    <t>45852 12:11</t>
  </si>
  <si>
    <t>45646</t>
  </si>
  <si>
    <t>2023-05-21</t>
  </si>
  <si>
    <t>45145</t>
  </si>
  <si>
    <t>30.06.2024</t>
  </si>
  <si>
    <t>27-Nov-2024</t>
  </si>
  <si>
    <t>2023/10/02</t>
  </si>
  <si>
    <t>44661</t>
  </si>
  <si>
    <t>05.09.2025</t>
  </si>
  <si>
    <t>45803</t>
  </si>
  <si>
    <t>09213 786 527</t>
  </si>
  <si>
    <t>29/01/2022</t>
  </si>
  <si>
    <t>2024-12-21</t>
  </si>
  <si>
    <t>2022/09/29</t>
  </si>
  <si>
    <t>2023-03-10</t>
  </si>
  <si>
    <t>2022-01-30</t>
  </si>
  <si>
    <t>45927</t>
  </si>
  <si>
    <t>2023/12/21</t>
  </si>
  <si>
    <t>11-Aug-2025 15:10</t>
  </si>
  <si>
    <t>2024-01-06</t>
  </si>
  <si>
    <t>2024-04-02 04:16</t>
  </si>
  <si>
    <t>Nov 09, 2024 13:21</t>
  </si>
  <si>
    <t>2023-05-13</t>
  </si>
  <si>
    <t>May 26, 2022</t>
  </si>
  <si>
    <t>45230</t>
  </si>
  <si>
    <t>CUST-5020</t>
  </si>
  <si>
    <t xml:space="preserve"> Xenia Rossi</t>
  </si>
  <si>
    <t>XENIA.ROSSI@SHOP.IO</t>
  </si>
  <si>
    <t>+44 036 827 3084</t>
  </si>
  <si>
    <t>45550</t>
  </si>
  <si>
    <t>CUST-5501</t>
  </si>
  <si>
    <t>CARLOS KOWALSKI</t>
  </si>
  <si>
    <t>CARLOS.KOWALSKI@GMALI.COM</t>
  </si>
  <si>
    <t xml:space="preserve"> 02289 402 356</t>
  </si>
  <si>
    <t>19-May-2025</t>
  </si>
  <si>
    <t>04/22/2025</t>
  </si>
  <si>
    <t>2023/05/30</t>
  </si>
  <si>
    <t>06.04.2023</t>
  </si>
  <si>
    <t>16-Mar-2023</t>
  </si>
  <si>
    <t>CUST-5258</t>
  </si>
  <si>
    <t>Igor Johnson</t>
  </si>
  <si>
    <t>igor.johnson@example.com</t>
  </si>
  <si>
    <t>01340 584 850</t>
  </si>
  <si>
    <t>45172</t>
  </si>
  <si>
    <t>25/07/2023</t>
  </si>
  <si>
    <t>CUST-5605</t>
  </si>
  <si>
    <t>Xenia Garcia</t>
  </si>
  <si>
    <t>xenia.garcia@example.com</t>
  </si>
  <si>
    <t xml:space="preserve"> +1-777-558-6686</t>
  </si>
  <si>
    <t>06/03/2023</t>
  </si>
  <si>
    <t>CUST-5455</t>
  </si>
  <si>
    <t xml:space="preserve"> Omar King</t>
  </si>
  <si>
    <t xml:space="preserve"> omar.king@gmail.com</t>
  </si>
  <si>
    <t xml:space="preserve"> 05789 364 071</t>
  </si>
  <si>
    <t>01/31/2022 17:23</t>
  </si>
  <si>
    <t>44786</t>
  </si>
  <si>
    <t>07/26/2025</t>
  </si>
  <si>
    <t>2023-06-22</t>
  </si>
  <si>
    <t>2022/10/31</t>
  </si>
  <si>
    <t>02/21/2024</t>
  </si>
  <si>
    <t>07/20/2022</t>
  </si>
  <si>
    <t>10.05.2023</t>
  </si>
  <si>
    <t>45915 11:21</t>
  </si>
  <si>
    <t>45427 21:37</t>
  </si>
  <si>
    <t>07/18/2024</t>
  </si>
  <si>
    <t>CUST-5216</t>
  </si>
  <si>
    <t>Nina Young</t>
  </si>
  <si>
    <t xml:space="preserve"> nina.young@yahoo.com</t>
  </si>
  <si>
    <t>+44  578  364  8202</t>
  </si>
  <si>
    <t xml:space="preserve">Gremany </t>
  </si>
  <si>
    <t>18-Sep-2025</t>
  </si>
  <si>
    <t>2024/09/18 14:41</t>
  </si>
  <si>
    <t>12.02.2025</t>
  </si>
  <si>
    <t>09/15/2022</t>
  </si>
  <si>
    <t>Sep 19, 2023</t>
  </si>
  <si>
    <t>CUST-5014</t>
  </si>
  <si>
    <t xml:space="preserve"> Lia Young</t>
  </si>
  <si>
    <t xml:space="preserve"> lia.young@example.com</t>
  </si>
  <si>
    <t>00032 789 488</t>
  </si>
  <si>
    <t>2024-07-23</t>
  </si>
  <si>
    <t>2022-11-29</t>
  </si>
  <si>
    <t>05-Apr-2022</t>
  </si>
  <si>
    <t>45327</t>
  </si>
  <si>
    <t>45492</t>
  </si>
  <si>
    <t>45649</t>
  </si>
  <si>
    <t>28-Feb-2023 03:33</t>
  </si>
  <si>
    <t>45532</t>
  </si>
  <si>
    <t>14/10/2022</t>
  </si>
  <si>
    <t>45030 12:23</t>
  </si>
  <si>
    <t>02/03/2022</t>
  </si>
  <si>
    <t>22.01.2023</t>
  </si>
  <si>
    <t>2024-01-21 13:09</t>
  </si>
  <si>
    <t>07.12.2022</t>
  </si>
  <si>
    <t>2023/08/13 15:40</t>
  </si>
  <si>
    <t>Oct 09, 2023</t>
  </si>
  <si>
    <t>20/09/2023 20:37</t>
  </si>
  <si>
    <t>CUST-5028</t>
  </si>
  <si>
    <t>Ken Young</t>
  </si>
  <si>
    <t xml:space="preserve"> ken.young@company.co.uk</t>
  </si>
  <si>
    <t>+1-468-565-9653</t>
  </si>
  <si>
    <t>44727 16:25</t>
  </si>
  <si>
    <t>44742</t>
  </si>
  <si>
    <t>Jul 23, 2025 14:45</t>
  </si>
  <si>
    <t>2024/08/20</t>
  </si>
  <si>
    <t>09/15/2025</t>
  </si>
  <si>
    <t>15.02.2025</t>
  </si>
  <si>
    <t>CUST-5084</t>
  </si>
  <si>
    <t>Marek Rossi</t>
  </si>
  <si>
    <t xml:space="preserve"> marek.rossi@yahoo.com</t>
  </si>
  <si>
    <t xml:space="preserve"> +44 120 957 7745</t>
  </si>
  <si>
    <t>45137 12:40</t>
  </si>
  <si>
    <t>CUST-5062</t>
  </si>
  <si>
    <t xml:space="preserve">Wiktor Nowak </t>
  </si>
  <si>
    <t>wiktor.nowak@company.co.uk</t>
  </si>
  <si>
    <t>00561 272 795</t>
  </si>
  <si>
    <t>CUST-5696</t>
  </si>
  <si>
    <t xml:space="preserve"> +1-402-284-6220</t>
  </si>
  <si>
    <t>15-Apr-2025</t>
  </si>
  <si>
    <t>05/02/2022</t>
  </si>
  <si>
    <t>CUST-5194</t>
  </si>
  <si>
    <t xml:space="preserve"> Bella Rodriguez</t>
  </si>
  <si>
    <t>bella.rodriguez@outlook.com</t>
  </si>
  <si>
    <t xml:space="preserve">+1-443-963-1989 </t>
  </si>
  <si>
    <t>2023/07/10</t>
  </si>
  <si>
    <t>21/05/2025</t>
  </si>
  <si>
    <t>CUST-5178</t>
  </si>
  <si>
    <t>WIKTOR LEE</t>
  </si>
  <si>
    <t>Wiktor.Lee@Company.Co.Uk</t>
  </si>
  <si>
    <t xml:space="preserve">+1-676-603-6306 </t>
  </si>
  <si>
    <t>Sep 18, 2022 04:21</t>
  </si>
  <si>
    <t>CUST-5043</t>
  </si>
  <si>
    <t xml:space="preserve">Rita Garcia </t>
  </si>
  <si>
    <t>Rita.Garcia@Example.Com</t>
  </si>
  <si>
    <t>+1-976-438-6222</t>
  </si>
  <si>
    <t>05/20/2024</t>
  </si>
  <si>
    <t>Oct 02, 2022</t>
  </si>
  <si>
    <t>2022/01/20</t>
  </si>
  <si>
    <t>Apr 18, 2022</t>
  </si>
  <si>
    <t>09-Jun-2022</t>
  </si>
  <si>
    <t>CUST-5645</t>
  </si>
  <si>
    <t xml:space="preserve">Wiktor Smith </t>
  </si>
  <si>
    <t>WIKTOR.SMITH@YAHOO.COM</t>
  </si>
  <si>
    <t>+44 810 248 1098</t>
  </si>
  <si>
    <t>20/05/2022</t>
  </si>
  <si>
    <t>14/08/2022</t>
  </si>
  <si>
    <t>21/07/2023</t>
  </si>
  <si>
    <t>29-Apr-2023</t>
  </si>
  <si>
    <t>45699</t>
  </si>
  <si>
    <t>2022-09-27 17:15</t>
  </si>
  <si>
    <t>CUST-5226</t>
  </si>
  <si>
    <t>Nin aTaylor</t>
  </si>
  <si>
    <t>Nina.Taylor@Yahoo.Com</t>
  </si>
  <si>
    <t>03679 881 933</t>
  </si>
  <si>
    <t>14.07.2024 03:29</t>
  </si>
  <si>
    <t>2022-08-30</t>
  </si>
  <si>
    <t>2024/10/06</t>
  </si>
  <si>
    <t>08-Nov-2023</t>
  </si>
  <si>
    <t>44869</t>
  </si>
  <si>
    <t>Nov 02, 2023</t>
  </si>
  <si>
    <t>45522</t>
  </si>
  <si>
    <t>14.09.2022 23:38</t>
  </si>
  <si>
    <t>45442 14:21</t>
  </si>
  <si>
    <t>CUST-5498</t>
  </si>
  <si>
    <t xml:space="preserve"> lia.rodriguez@example.com</t>
  </si>
  <si>
    <t>+44  681  206  2616</t>
  </si>
  <si>
    <t>2022-06-23</t>
  </si>
  <si>
    <t>44884</t>
  </si>
  <si>
    <t>45193</t>
  </si>
  <si>
    <t>44752 00:04</t>
  </si>
  <si>
    <t>06/26/2022</t>
  </si>
  <si>
    <t>CUST-5382</t>
  </si>
  <si>
    <t>Omar Johnson</t>
  </si>
  <si>
    <t>omar.johnson@examlpe.com</t>
  </si>
  <si>
    <t xml:space="preserve">+44 582 903 4515 </t>
  </si>
  <si>
    <t>02/05/2023 05:47</t>
  </si>
  <si>
    <t>CUST-5227</t>
  </si>
  <si>
    <t>xenia.johnson@outlook.com</t>
  </si>
  <si>
    <t xml:space="preserve">+1-896-876-4574 </t>
  </si>
  <si>
    <t>45786</t>
  </si>
  <si>
    <t>23-Jan-2023</t>
  </si>
  <si>
    <t>44636</t>
  </si>
  <si>
    <t>11-Apr-2024 06:22</t>
  </si>
  <si>
    <t>11-Apr-2024 07:22</t>
  </si>
  <si>
    <t>05.05.2023</t>
  </si>
  <si>
    <t>CUST-5263</t>
  </si>
  <si>
    <t>mUa  Khan</t>
  </si>
  <si>
    <t>uma.khan@gmail.com</t>
  </si>
  <si>
    <t xml:space="preserve"> 02702 044 264</t>
  </si>
  <si>
    <t>01/22/2023</t>
  </si>
  <si>
    <t>CUST-5638</t>
  </si>
  <si>
    <t xml:space="preserve">ethan.dubois@gmail.com </t>
  </si>
  <si>
    <t xml:space="preserve"> +1-517-719-6981</t>
  </si>
  <si>
    <t>03/01/2025</t>
  </si>
  <si>
    <t>2025/06/15</t>
  </si>
  <si>
    <t>06/06/2023 09:13</t>
  </si>
  <si>
    <t>CUST-5171</t>
  </si>
  <si>
    <t>bella.lee@example.com</t>
  </si>
  <si>
    <t>+1-873-980-7200</t>
  </si>
  <si>
    <t>25-Mar-2022 20:47</t>
  </si>
  <si>
    <t>07.07.2024</t>
  </si>
  <si>
    <t>12/13/2024</t>
  </si>
  <si>
    <t>45034 09:09</t>
  </si>
  <si>
    <t>07/12/2023 13:29</t>
  </si>
  <si>
    <t>14.01.2024</t>
  </si>
  <si>
    <t>12-Aug-2025</t>
  </si>
  <si>
    <t>CUST-5648</t>
  </si>
  <si>
    <t>Igor Davis</t>
  </si>
  <si>
    <t>igor.davis@example.com</t>
  </si>
  <si>
    <t>+44 099 798 1314</t>
  </si>
  <si>
    <t>May 01, 2022</t>
  </si>
  <si>
    <t>CUST-5536</t>
  </si>
  <si>
    <t xml:space="preserve">Igor Dubois </t>
  </si>
  <si>
    <t>Igor.Dubois@Yahoo.Com</t>
  </si>
  <si>
    <t>+44  382  845  6867</t>
  </si>
  <si>
    <t>2022/09/10</t>
  </si>
  <si>
    <t>CUST-5212</t>
  </si>
  <si>
    <t xml:space="preserve">Marek Smith </t>
  </si>
  <si>
    <t>marek.smith@shop.io</t>
  </si>
  <si>
    <t>+1-525-555-9536</t>
  </si>
  <si>
    <t>02/25/2024</t>
  </si>
  <si>
    <t>2025/09/09</t>
  </si>
  <si>
    <t>23-Sep-2022</t>
  </si>
  <si>
    <t>2024-03-31</t>
  </si>
  <si>
    <t>CUST-5355</t>
  </si>
  <si>
    <t>Marek  Rodriguez</t>
  </si>
  <si>
    <t>Marek.Rodriguez@Shop.Io</t>
  </si>
  <si>
    <t>+1-982-676-7772</t>
  </si>
  <si>
    <t>Dec 18, 2023</t>
  </si>
  <si>
    <t>02.05.2025</t>
  </si>
  <si>
    <t>2025-03-14</t>
  </si>
  <si>
    <t>2022-09-05</t>
  </si>
  <si>
    <t>12/11/2022</t>
  </si>
  <si>
    <t>CUST-5302</t>
  </si>
  <si>
    <t>MAREK DUBOIS</t>
  </si>
  <si>
    <t xml:space="preserve"> marek.dubois@company.co.uk</t>
  </si>
  <si>
    <t xml:space="preserve"> +44 774 763 4129</t>
  </si>
  <si>
    <t>16/07/2024</t>
  </si>
  <si>
    <t>20-Sep-2025</t>
  </si>
  <si>
    <t>45406</t>
  </si>
  <si>
    <t>2024/07/04 17:49</t>
  </si>
  <si>
    <t>26.09.2022</t>
  </si>
  <si>
    <t>CUST-5613</t>
  </si>
  <si>
    <t xml:space="preserve">Qi Kowalski </t>
  </si>
  <si>
    <t>Qi.Kowalski@Outlook.Com</t>
  </si>
  <si>
    <t>09539 201 411</t>
  </si>
  <si>
    <t>10-May-2025</t>
  </si>
  <si>
    <t>12/31/2023 23:48</t>
  </si>
  <si>
    <t>05.05.2022 19:56</t>
  </si>
  <si>
    <t>13-Sep-2022 03:15</t>
  </si>
  <si>
    <t>44586</t>
  </si>
  <si>
    <t xml:space="preserve">bella.kowalski@outlook.com </t>
  </si>
  <si>
    <t>May 23, 2025 07:58</t>
  </si>
  <si>
    <t>11.06.2023</t>
  </si>
  <si>
    <t>09/08/2023</t>
  </si>
  <si>
    <t>Nov 10, 2024 11:42</t>
  </si>
  <si>
    <t>2024-01-30</t>
  </si>
  <si>
    <t>06/07/2025 20:59</t>
  </si>
  <si>
    <t>2025/08/15</t>
  </si>
  <si>
    <t>12/03/2023</t>
  </si>
  <si>
    <t>Sep 16, 2024</t>
  </si>
  <si>
    <t>31.10.2024 05:34</t>
  </si>
  <si>
    <t>2023-01-31</t>
  </si>
  <si>
    <t>2022/05/07</t>
  </si>
  <si>
    <t>01.10.2024</t>
  </si>
  <si>
    <t>17/10/2022</t>
  </si>
  <si>
    <t>Oct 20, 2024</t>
  </si>
  <si>
    <t>2023/05/20</t>
  </si>
  <si>
    <t>2025/02/22</t>
  </si>
  <si>
    <t>11/09/2024</t>
  </si>
  <si>
    <t>2025-09-29</t>
  </si>
  <si>
    <t>CUST-5157</t>
  </si>
  <si>
    <t>Daria Khan</t>
  </si>
  <si>
    <t xml:space="preserve"> daria.khan@yahoo.com</t>
  </si>
  <si>
    <t>02385 440 571</t>
  </si>
  <si>
    <t>Aug 31, 2022 13:26</t>
  </si>
  <si>
    <t>2024/01/26</t>
  </si>
  <si>
    <t>CUST-5133</t>
  </si>
  <si>
    <t>Fiona Young</t>
  </si>
  <si>
    <t>FIONA.YOUNG@YAHOO.COM</t>
  </si>
  <si>
    <t xml:space="preserve"> +1-574-317-6726</t>
  </si>
  <si>
    <t>23-Jun-2025</t>
  </si>
  <si>
    <t>07/03/2022</t>
  </si>
  <si>
    <t>wiktor.taylor@yahoo.com</t>
  </si>
  <si>
    <t>CUST-5359</t>
  </si>
  <si>
    <t xml:space="preserve">Igor King </t>
  </si>
  <si>
    <t>igor.king@gmail.com</t>
  </si>
  <si>
    <t>45171</t>
  </si>
  <si>
    <t>22/02/2022</t>
  </si>
  <si>
    <t>2022-02-09</t>
  </si>
  <si>
    <t>14/08/2025</t>
  </si>
  <si>
    <t>CUST-5121</t>
  </si>
  <si>
    <t>ZACK WALKER</t>
  </si>
  <si>
    <t>Zack.Walker@Company.Co.Uk</t>
  </si>
  <si>
    <t>+44  115  622  3101</t>
  </si>
  <si>
    <t>07/01/2024 23:43</t>
  </si>
  <si>
    <t>22.02.2024 07:05</t>
  </si>
  <si>
    <t>2023-05-20</t>
  </si>
  <si>
    <t>2025-03-23</t>
  </si>
  <si>
    <t>CUST-5274</t>
  </si>
  <si>
    <t>Carlos Brown</t>
  </si>
  <si>
    <t>carlos.brown@example.com</t>
  </si>
  <si>
    <t>05800 963 342</t>
  </si>
  <si>
    <t>45429 13:44</t>
  </si>
  <si>
    <t>CUST-5433</t>
  </si>
  <si>
    <t>Rita Martinez</t>
  </si>
  <si>
    <t>rita.martinez@gmail.com</t>
  </si>
  <si>
    <t>05791 611 513</t>
  </si>
  <si>
    <t>2024/06/11</t>
  </si>
  <si>
    <t>Apr 02, 2022</t>
  </si>
  <si>
    <t>CUST-5637</t>
  </si>
  <si>
    <t xml:space="preserve">Ken Young </t>
  </si>
  <si>
    <t xml:space="preserve">ken.young@example.com </t>
  </si>
  <si>
    <t>01311  808  464</t>
  </si>
  <si>
    <t>02/08/2023</t>
  </si>
  <si>
    <t>45853 17:00</t>
  </si>
  <si>
    <t>CUST-5541</t>
  </si>
  <si>
    <t>KEN.YOUNG@SHOP.IO</t>
  </si>
  <si>
    <t>+1-792-419-8425</t>
  </si>
  <si>
    <t>2024/11/14</t>
  </si>
  <si>
    <t>2024/12/12</t>
  </si>
  <si>
    <t>17/02/2025</t>
  </si>
  <si>
    <t>CUST-5184</t>
  </si>
  <si>
    <t xml:space="preserve"> Zack Taylor</t>
  </si>
  <si>
    <t>zack.taylor@company.co.uk</t>
  </si>
  <si>
    <t>+44 967 557 6685</t>
  </si>
  <si>
    <t>Germayn</t>
  </si>
  <si>
    <t>2023-01-19 15:15</t>
  </si>
  <si>
    <t>2022/12/29</t>
  </si>
  <si>
    <t>2022-01-19</t>
  </si>
  <si>
    <t>2024-10-29</t>
  </si>
  <si>
    <t>45180 20:23</t>
  </si>
  <si>
    <t>Sep 22, 2022</t>
  </si>
  <si>
    <t>CUST-5551</t>
  </si>
  <si>
    <t>Ethan Brown</t>
  </si>
  <si>
    <t xml:space="preserve">ethan.brown@company.co.uk </t>
  </si>
  <si>
    <t>45120</t>
  </si>
  <si>
    <t>CUST-5491</t>
  </si>
  <si>
    <t xml:space="preserve"> Igor Lee</t>
  </si>
  <si>
    <t>IGORL.EE@EXAMPLE.COM</t>
  </si>
  <si>
    <t>+44  729  126  0958</t>
  </si>
  <si>
    <t>28.06.2024 01:58</t>
  </si>
  <si>
    <t>09-Oct-2023 07:06</t>
  </si>
  <si>
    <t>09.03.2024</t>
  </si>
  <si>
    <t>CUST-5122</t>
  </si>
  <si>
    <t xml:space="preserve"> Jade Williams</t>
  </si>
  <si>
    <t xml:space="preserve"> jade.williams@gmail.com</t>
  </si>
  <si>
    <t xml:space="preserve">+1-585-856-3023 </t>
  </si>
  <si>
    <t>Sep 15, 2024</t>
  </si>
  <si>
    <t>CUST-5369</t>
  </si>
  <si>
    <t xml:space="preserve">Hanna Williams </t>
  </si>
  <si>
    <t>hanna.williams@yahoo.com</t>
  </si>
  <si>
    <t xml:space="preserve">09866 707 389 </t>
  </si>
  <si>
    <t>2024-09-18</t>
  </si>
  <si>
    <t>CUST-5581</t>
  </si>
  <si>
    <t>Carlos Martinez</t>
  </si>
  <si>
    <t>Carlos.Martinez@Company.Co.Uk</t>
  </si>
  <si>
    <t xml:space="preserve"> +44 897 140 8876</t>
  </si>
  <si>
    <t>02-Jun-2024</t>
  </si>
  <si>
    <t>45246</t>
  </si>
  <si>
    <t>Tara oJhnson</t>
  </si>
  <si>
    <t xml:space="preserve">tara.johnson@gmail.com  </t>
  </si>
  <si>
    <t>Jul 08, 2023</t>
  </si>
  <si>
    <t>03/16/2022</t>
  </si>
  <si>
    <t>2025/01/17</t>
  </si>
  <si>
    <t>CUST-5593</t>
  </si>
  <si>
    <t>LIA SMITH</t>
  </si>
  <si>
    <t>LIA.SMITH@EXAMPLE.COM</t>
  </si>
  <si>
    <t>01919 851 960</t>
  </si>
  <si>
    <t>2025/07/11</t>
  </si>
  <si>
    <t>06/11/2022</t>
  </si>
  <si>
    <t>2025-03-24</t>
  </si>
  <si>
    <t>2022-04-23 06:55</t>
  </si>
  <si>
    <t>CUST-5067</t>
  </si>
  <si>
    <t>Zack Lopez</t>
  </si>
  <si>
    <t>zack.lopez@company.co.uk</t>
  </si>
  <si>
    <t>+1-880-819-3282</t>
  </si>
  <si>
    <t>2023-07-21</t>
  </si>
  <si>
    <t>06/19/2023</t>
  </si>
  <si>
    <t>02627 833 359</t>
  </si>
  <si>
    <t>Sep 14, 2024 09:15</t>
  </si>
  <si>
    <t>20.08.2023</t>
  </si>
  <si>
    <t>JADE.KOWALCZYK@COMPANY.CO.UK</t>
  </si>
  <si>
    <t>15-Oct-2024</t>
  </si>
  <si>
    <t>45623</t>
  </si>
  <si>
    <t>sam.king@company.co.uk</t>
  </si>
  <si>
    <t>2023/06/30</t>
  </si>
  <si>
    <t>Mar 31, 2023</t>
  </si>
  <si>
    <t>Feb 17, 2024 08:20</t>
  </si>
  <si>
    <t>Nov 28, 2023 18:28</t>
  </si>
  <si>
    <t>45718</t>
  </si>
  <si>
    <t>05/24/2022 23:49</t>
  </si>
  <si>
    <t>21-Aug-2022 10:43</t>
  </si>
  <si>
    <t>2022/09/01</t>
  </si>
  <si>
    <t>Jun 05, 2023</t>
  </si>
  <si>
    <t>23/06/2022 03:35</t>
  </si>
  <si>
    <t>13-Sep-2022</t>
  </si>
  <si>
    <t>CUST-5521</t>
  </si>
  <si>
    <t>Hanna Rossi</t>
  </si>
  <si>
    <t>hanna.rossi@outlook.ocm</t>
  </si>
  <si>
    <t>+44 924 501 9772</t>
  </si>
  <si>
    <t>44744</t>
  </si>
  <si>
    <t>2024-03-01</t>
  </si>
  <si>
    <t>2022/08/25 13:30</t>
  </si>
  <si>
    <t>Mar 15, 2024</t>
  </si>
  <si>
    <t>Oct 24, 2023</t>
  </si>
  <si>
    <t>CUST-5143</t>
  </si>
  <si>
    <t>Fiona  Dubois</t>
  </si>
  <si>
    <t>Fiona.Dubois@Yahoo.Com</t>
  </si>
  <si>
    <t xml:space="preserve"> +44 991 509 5569</t>
  </si>
  <si>
    <t>45341</t>
  </si>
  <si>
    <t>26.05.2023</t>
  </si>
  <si>
    <t>CUST-5298</t>
  </si>
  <si>
    <t>Fiona King</t>
  </si>
  <si>
    <t xml:space="preserve"> fiona.king@outlook.com</t>
  </si>
  <si>
    <t>+44 131 028 1120</t>
  </si>
  <si>
    <t>44833 00:35</t>
  </si>
  <si>
    <t>Oct 09, 2022</t>
  </si>
  <si>
    <t>45592 10:58</t>
  </si>
  <si>
    <t>Aug 16, 2022 18:43</t>
  </si>
  <si>
    <t>11.02.2024</t>
  </si>
  <si>
    <t>10.02.2023</t>
  </si>
  <si>
    <t>2022-03-30</t>
  </si>
  <si>
    <t>2025/01/06</t>
  </si>
  <si>
    <t>19.08.2022</t>
  </si>
  <si>
    <t>2024/04/01 12:43</t>
  </si>
  <si>
    <t>CUST-5338</t>
  </si>
  <si>
    <t xml:space="preserve">Fiona Johnson </t>
  </si>
  <si>
    <t>Fiona.Johnson@Gmail.Com</t>
  </si>
  <si>
    <t>2023-02-12</t>
  </si>
  <si>
    <t>CUST-5255</t>
  </si>
  <si>
    <t xml:space="preserve">Vla dLee </t>
  </si>
  <si>
    <t>vlad.lee@shop.io</t>
  </si>
  <si>
    <t xml:space="preserve"> +44 784 629 2090</t>
  </si>
  <si>
    <t>25.01.2024</t>
  </si>
  <si>
    <t>07-May-2024</t>
  </si>
  <si>
    <t>44709</t>
  </si>
  <si>
    <t>45813</t>
  </si>
  <si>
    <t xml:space="preserve">qi.davis@yahoo.com </t>
  </si>
  <si>
    <t>Aug 01, 2023 22:46</t>
  </si>
  <si>
    <t>19-Mar-2025</t>
  </si>
  <si>
    <t>CUST-5265</t>
  </si>
  <si>
    <t>Marek Novak</t>
  </si>
  <si>
    <t>marek.novak@example.com</t>
  </si>
  <si>
    <t xml:space="preserve"> +1-509-623-7842</t>
  </si>
  <si>
    <t>2023/08/19</t>
  </si>
  <si>
    <t>45761</t>
  </si>
  <si>
    <t>12.05.2025 20:44</t>
  </si>
  <si>
    <t>18/07/2024 17:19</t>
  </si>
  <si>
    <t>26.08.2025</t>
  </si>
  <si>
    <t>06-May-2024 17:42</t>
  </si>
  <si>
    <t>19/03/2024</t>
  </si>
  <si>
    <t>2024/06/16 21:02</t>
  </si>
  <si>
    <t>28-Jan-2022</t>
  </si>
  <si>
    <t>2023/05/03</t>
  </si>
  <si>
    <t>2022/07/16</t>
  </si>
  <si>
    <t>CUST-5676</t>
  </si>
  <si>
    <t>HANNA TAYLOR</t>
  </si>
  <si>
    <t>hanna.taylor@outlook.com</t>
  </si>
  <si>
    <t>03572 999 445</t>
  </si>
  <si>
    <t xml:space="preserve"> Polnad</t>
  </si>
  <si>
    <t>CUST-5575</t>
  </si>
  <si>
    <t xml:space="preserve"> Sam Lee</t>
  </si>
  <si>
    <t>sam.lee@outlook.com</t>
  </si>
  <si>
    <t>04218  677  475</t>
  </si>
  <si>
    <t xml:space="preserve">Irelnad </t>
  </si>
  <si>
    <t>Oct 08, 2023</t>
  </si>
  <si>
    <t xml:space="preserve"> vlad.muller@shop.io</t>
  </si>
  <si>
    <t>Jul 22, 2022 22:40</t>
  </si>
  <si>
    <t>11/01/2024 19:12</t>
  </si>
  <si>
    <t>gabe.davis@gmail.com</t>
  </si>
  <si>
    <t>03.04.2025</t>
  </si>
  <si>
    <t xml:space="preserve">+44 617 641 6106 </t>
  </si>
  <si>
    <t>2025-05-24</t>
  </si>
  <si>
    <t>CUST-5247</t>
  </si>
  <si>
    <t>igor.muller@yahoo.com</t>
  </si>
  <si>
    <t xml:space="preserve"> +44 680 928 9759</t>
  </si>
  <si>
    <t>17.05.2022</t>
  </si>
  <si>
    <t>2024-02-28 10:49</t>
  </si>
  <si>
    <t>2022/05/11</t>
  </si>
  <si>
    <t>05/11/2023 18:03</t>
  </si>
  <si>
    <t>21-May-2023</t>
  </si>
  <si>
    <t>2023-03-26</t>
  </si>
  <si>
    <t>CUST-5233</t>
  </si>
  <si>
    <t xml:space="preserve"> Wiktor Dubois</t>
  </si>
  <si>
    <t>wiktor.dubois@company.co.uk</t>
  </si>
  <si>
    <t>05391 429 367</t>
  </si>
  <si>
    <t>2023/06/14</t>
  </si>
  <si>
    <t>2022/07/04</t>
  </si>
  <si>
    <t>Aug 24, 2025</t>
  </si>
  <si>
    <t>11.09.2024</t>
  </si>
  <si>
    <t>03/19/2022</t>
  </si>
  <si>
    <t xml:space="preserve"> fiona.martinez@shopi.o</t>
  </si>
  <si>
    <t>2023-08-07 20:36</t>
  </si>
  <si>
    <t>28-Jul-2024</t>
  </si>
  <si>
    <t>Mar 21, 2023</t>
  </si>
  <si>
    <t>27.11.2024</t>
  </si>
  <si>
    <t>26-Oct-2022 18:10</t>
  </si>
  <si>
    <t>2023/04/27 07:43</t>
  </si>
  <si>
    <t>21-Jan-2024</t>
  </si>
  <si>
    <t>2022-06-19 16:47</t>
  </si>
  <si>
    <t>2022-01-27 06:43</t>
  </si>
  <si>
    <t>45763 13:29</t>
  </si>
  <si>
    <t>2023/12/28</t>
  </si>
  <si>
    <t>17-Feb-2025</t>
  </si>
  <si>
    <t>Sep 08, 2023</t>
  </si>
  <si>
    <t>CUST-5169</t>
  </si>
  <si>
    <t>lia.garcia@example.com</t>
  </si>
  <si>
    <t xml:space="preserve">+44 533 327 2941 </t>
  </si>
  <si>
    <t>2023/09/13 18:33</t>
  </si>
  <si>
    <t>13.06.2024</t>
  </si>
  <si>
    <t>CUST-5100</t>
  </si>
  <si>
    <t>daria.taylor@outlook.com</t>
  </si>
  <si>
    <t>+1-839-379-8692</t>
  </si>
  <si>
    <t>TIALY</t>
  </si>
  <si>
    <t>25/08/2023</t>
  </si>
  <si>
    <t>CUST-5197</t>
  </si>
  <si>
    <t>ETHAN.TAYLOR@SHPO.IO</t>
  </si>
  <si>
    <t xml:space="preserve">+1-696-339-5435 </t>
  </si>
  <si>
    <t>45062</t>
  </si>
  <si>
    <t>CUST-5495</t>
  </si>
  <si>
    <t>tara.dubois@gmail.com</t>
  </si>
  <si>
    <t>+1-967-289-8687</t>
  </si>
  <si>
    <t>22-Jan-2022</t>
  </si>
  <si>
    <t>45429</t>
  </si>
  <si>
    <t>01/05/2023 21:55</t>
  </si>
  <si>
    <t>44825</t>
  </si>
  <si>
    <t>01.12.2022</t>
  </si>
  <si>
    <t>21-Jul-2022</t>
  </si>
  <si>
    <t>CUST-5434</t>
  </si>
  <si>
    <t>Bella  Lee</t>
  </si>
  <si>
    <t>44880</t>
  </si>
  <si>
    <t>2022/08/12</t>
  </si>
  <si>
    <t>24-Apr-2023</t>
  </si>
  <si>
    <t>CUST-5566</t>
  </si>
  <si>
    <t>Omar Noawk</t>
  </si>
  <si>
    <t>+1-242-534-4603</t>
  </si>
  <si>
    <t>17-Jul-2022</t>
  </si>
  <si>
    <t>44876</t>
  </si>
  <si>
    <t>44952</t>
  </si>
  <si>
    <t>03/31/2023 01:24</t>
  </si>
  <si>
    <t>CUST-5035</t>
  </si>
  <si>
    <t>ethan.lee@shop.io</t>
  </si>
  <si>
    <t>27/06/2023</t>
  </si>
  <si>
    <t>44738 15:12</t>
  </si>
  <si>
    <t>27/06/2025</t>
  </si>
  <si>
    <t>Sep 28, 2022</t>
  </si>
  <si>
    <t>2022/07/16 03:20</t>
  </si>
  <si>
    <t>2022-02-22</t>
  </si>
  <si>
    <t>CUST-5107</t>
  </si>
  <si>
    <t>Sam Garcia</t>
  </si>
  <si>
    <t xml:space="preserve">sam.garcia@yahoo.com </t>
  </si>
  <si>
    <t>+44  171  242  4810</t>
  </si>
  <si>
    <t>CUST-5674</t>
  </si>
  <si>
    <t xml:space="preserve">Sam Rossi </t>
  </si>
  <si>
    <t>sam.rossi@yahoo.com</t>
  </si>
  <si>
    <t xml:space="preserve"> +1-602-45-01100</t>
  </si>
  <si>
    <t>Sep 25, 2023 09:54</t>
  </si>
  <si>
    <t>45261</t>
  </si>
  <si>
    <t>CUST-5047</t>
  </si>
  <si>
    <t>marek.knig@yahoo.com</t>
  </si>
  <si>
    <t>+1-550-286-8565</t>
  </si>
  <si>
    <t>11/10/2022</t>
  </si>
  <si>
    <t>03/01/2023</t>
  </si>
  <si>
    <t>2024-08-06</t>
  </si>
  <si>
    <t>Feb 04, 2022</t>
  </si>
  <si>
    <t>CUST-5021</t>
  </si>
  <si>
    <t>U ma Brown</t>
  </si>
  <si>
    <t>uma.brown@outlook.com</t>
  </si>
  <si>
    <t>03004 431 471</t>
  </si>
  <si>
    <t>03-Jun-2024</t>
  </si>
  <si>
    <t>CUST-5402</t>
  </si>
  <si>
    <t>Marek Kowalczyk</t>
  </si>
  <si>
    <t xml:space="preserve"> marek.kowalczyk@outlook.com</t>
  </si>
  <si>
    <t xml:space="preserve">+44 328 621 2431 </t>
  </si>
  <si>
    <t>11-Dec-2024</t>
  </si>
  <si>
    <t>08/20/2024 18:04</t>
  </si>
  <si>
    <t>2022-03-05</t>
  </si>
  <si>
    <t>CUST-5415</t>
  </si>
  <si>
    <t xml:space="preserve">Uma Novak </t>
  </si>
  <si>
    <t>uma.novak@company.co.uk</t>
  </si>
  <si>
    <t>+1-863-569-5886</t>
  </si>
  <si>
    <t>Jul 16, 2022</t>
  </si>
  <si>
    <t>44921</t>
  </si>
  <si>
    <t>CUST-5516</t>
  </si>
  <si>
    <t xml:space="preserve">Rita Taylor </t>
  </si>
  <si>
    <t xml:space="preserve">rita.taylor@shop.io </t>
  </si>
  <si>
    <t>+44 517 747 0506</t>
  </si>
  <si>
    <t>07-May-2022</t>
  </si>
  <si>
    <t>14-May-2025</t>
  </si>
  <si>
    <t>17-Sep-2022</t>
  </si>
  <si>
    <t>2025-09-08</t>
  </si>
  <si>
    <t>06-Mar-2022</t>
  </si>
  <si>
    <t>2024-06-17 08:32</t>
  </si>
  <si>
    <t>31-Mar-2023</t>
  </si>
  <si>
    <t>CUST-5224</t>
  </si>
  <si>
    <t xml:space="preserve">Paula Williams </t>
  </si>
  <si>
    <t xml:space="preserve"> paula.williams@yahoo.com</t>
  </si>
  <si>
    <t xml:space="preserve">+1-736-958-9963 </t>
  </si>
  <si>
    <t>17.01.2023</t>
  </si>
  <si>
    <t>CUST-5092</t>
  </si>
  <si>
    <t xml:space="preserve"> Ken Kowalczyk</t>
  </si>
  <si>
    <t xml:space="preserve"> ken.kowalczyk@company.co.uk</t>
  </si>
  <si>
    <t xml:space="preserve">00006 986 255 </t>
  </si>
  <si>
    <t>44958 05:40</t>
  </si>
  <si>
    <t>13-Jul-2022</t>
  </si>
  <si>
    <t>45687</t>
  </si>
  <si>
    <t>2024/01/24</t>
  </si>
  <si>
    <t>44967</t>
  </si>
  <si>
    <t>26-Dec-2023</t>
  </si>
  <si>
    <t>2023/06/20</t>
  </si>
  <si>
    <t>CUST-5349</t>
  </si>
  <si>
    <t>QI NOWAK</t>
  </si>
  <si>
    <t>01-Sep-2023</t>
  </si>
  <si>
    <t>2024-03-13</t>
  </si>
  <si>
    <t>CUST-5400</t>
  </si>
  <si>
    <t>Vlad Davis</t>
  </si>
  <si>
    <t>vlad.davis@gmail.com</t>
  </si>
  <si>
    <t>+44 730 690 7084</t>
  </si>
  <si>
    <t>pSain</t>
  </si>
  <si>
    <t>24-Dec-2022</t>
  </si>
  <si>
    <t>CUST-5195</t>
  </si>
  <si>
    <t xml:space="preserve"> hanna.johnson@gmail.com</t>
  </si>
  <si>
    <t xml:space="preserve"> +44 643 302 4257</t>
  </si>
  <si>
    <t>Apr 04, 2022</t>
  </si>
  <si>
    <t>02-Feb-2024</t>
  </si>
  <si>
    <t>17-Oct-2024</t>
  </si>
  <si>
    <t>CUST-5494</t>
  </si>
  <si>
    <t>OMAR KING</t>
  </si>
  <si>
    <t>03697  718  726</t>
  </si>
  <si>
    <t>45269 09:06</t>
  </si>
  <si>
    <t>27.02.2024</t>
  </si>
  <si>
    <t>Jul 30, 2024</t>
  </si>
  <si>
    <t>08.05.2025</t>
  </si>
  <si>
    <t>2024-12-18</t>
  </si>
  <si>
    <t>2024-01-20 01:59</t>
  </si>
  <si>
    <t>45456</t>
  </si>
  <si>
    <t>CUST-5112</t>
  </si>
  <si>
    <t>Vlad  Rodriguez</t>
  </si>
  <si>
    <t xml:space="preserve">vlad.rodriguez@outlook.com </t>
  </si>
  <si>
    <t>+1-720-715-5772</t>
  </si>
  <si>
    <t>Apr 24, 2023 13:32</t>
  </si>
  <si>
    <t>02/07/2023</t>
  </si>
  <si>
    <t>44868</t>
  </si>
  <si>
    <t>09.11.2022 17:56</t>
  </si>
  <si>
    <t>CUST-5006</t>
  </si>
  <si>
    <t>Gabe Lopze</t>
  </si>
  <si>
    <t>gabe.lopez@shop.io</t>
  </si>
  <si>
    <t xml:space="preserve">+44 430 186 0855 </t>
  </si>
  <si>
    <t>2024/12/26</t>
  </si>
  <si>
    <t>45554 05:54</t>
  </si>
  <si>
    <t>CUST-5075</t>
  </si>
  <si>
    <t>ETHAN GARCIA</t>
  </si>
  <si>
    <t>ethan.garcia@company.co.uk</t>
  </si>
  <si>
    <t xml:space="preserve"> 01119 667 148</t>
  </si>
  <si>
    <t>2025/01/11</t>
  </si>
  <si>
    <t>2023-03-21</t>
  </si>
  <si>
    <t>2025/09/05</t>
  </si>
  <si>
    <t>15.11.2022</t>
  </si>
  <si>
    <t>2023/02/25</t>
  </si>
  <si>
    <t>27/03/2024</t>
  </si>
  <si>
    <t>2024/10/21</t>
  </si>
  <si>
    <t>Mar 14, 2022 05:30</t>
  </si>
  <si>
    <t>2023/05/11</t>
  </si>
  <si>
    <t>2024-11-20</t>
  </si>
  <si>
    <t>45629</t>
  </si>
  <si>
    <t>2025-06-07 07:41</t>
  </si>
  <si>
    <t>Aug 23, 2024</t>
  </si>
  <si>
    <t>21.01.2024</t>
  </si>
  <si>
    <t>CUST-5615</t>
  </si>
  <si>
    <t>KEN DUBOIS</t>
  </si>
  <si>
    <t>KEN.DUBOIS@SHOP.IO</t>
  </si>
  <si>
    <t>01036 396 428</t>
  </si>
  <si>
    <t>2023-10-09 23:35</t>
  </si>
  <si>
    <t>2022/03/02</t>
  </si>
  <si>
    <t>2024-02-21</t>
  </si>
  <si>
    <t>CUST-5502</t>
  </si>
  <si>
    <t>Xenia Yuong</t>
  </si>
  <si>
    <t>Xenia.Young@Yahoo.Com</t>
  </si>
  <si>
    <t>+44 889 961 7241</t>
  </si>
  <si>
    <t>Sapin</t>
  </si>
  <si>
    <t>45487</t>
  </si>
  <si>
    <t>08/10/2023</t>
  </si>
  <si>
    <t>08/29/2025</t>
  </si>
  <si>
    <t>list_price</t>
  </si>
  <si>
    <t>active</t>
  </si>
  <si>
    <t>£716.33</t>
  </si>
  <si>
    <t>115.74 GBP</t>
  </si>
  <si>
    <t>NO</t>
  </si>
  <si>
    <t>759.83 GBP</t>
  </si>
  <si>
    <t>€116.62</t>
  </si>
  <si>
    <t>1,037.64 PLN</t>
  </si>
  <si>
    <t>80.13 GBP</t>
  </si>
  <si>
    <t>$177.43</t>
  </si>
  <si>
    <t>zł630.79</t>
  </si>
  <si>
    <t>307.62 PLN</t>
  </si>
  <si>
    <t>€158.45</t>
  </si>
  <si>
    <t>£1,715.09</t>
  </si>
  <si>
    <t>€350,99</t>
  </si>
  <si>
    <t>zł1,574.18</t>
  </si>
  <si>
    <t>€567.90</t>
  </si>
  <si>
    <t>1,366.32 USD</t>
  </si>
  <si>
    <t>909.32 EUR</t>
  </si>
  <si>
    <t>646.09 GBP</t>
  </si>
  <si>
    <t>£154,07</t>
  </si>
  <si>
    <t>1,160.56 GBP</t>
  </si>
  <si>
    <t>728,08 GBP</t>
  </si>
  <si>
    <t>$1,185.85</t>
  </si>
  <si>
    <t>€358.50</t>
  </si>
  <si>
    <t>1,195.16 PLN</t>
  </si>
  <si>
    <t>€1,439.71</t>
  </si>
  <si>
    <t>$454,55</t>
  </si>
  <si>
    <t>505.88 PLN</t>
  </si>
  <si>
    <t>zł755,36</t>
  </si>
  <si>
    <t>462.80 EUR</t>
  </si>
  <si>
    <t>zł732.41</t>
  </si>
  <si>
    <t>£926.43</t>
  </si>
  <si>
    <t>241.77 PLN</t>
  </si>
  <si>
    <t>€112,91</t>
  </si>
  <si>
    <t>30.65 PLN</t>
  </si>
  <si>
    <t>1,677.79 USD</t>
  </si>
  <si>
    <t>1,321.48 EUR</t>
  </si>
  <si>
    <t>€1,240.37</t>
  </si>
  <si>
    <t>$1,128,92</t>
  </si>
  <si>
    <t>€831,96</t>
  </si>
  <si>
    <t>$337.30</t>
  </si>
  <si>
    <t>£84.53</t>
  </si>
  <si>
    <t>zł1,377.35</t>
  </si>
  <si>
    <t>1,637.79 GBP</t>
  </si>
  <si>
    <t>683.76 PLN</t>
  </si>
  <si>
    <t>1,189.48 GBP</t>
  </si>
  <si>
    <t>£1,522.65</t>
  </si>
  <si>
    <t>£1,025.72</t>
  </si>
  <si>
    <t>€1,382,46</t>
  </si>
  <si>
    <t>€1,649,72</t>
  </si>
  <si>
    <t>663.32 PLN</t>
  </si>
  <si>
    <t>$575.46</t>
  </si>
  <si>
    <t>126.24 PLN</t>
  </si>
  <si>
    <t>£992.56</t>
  </si>
  <si>
    <t>$854.73</t>
  </si>
  <si>
    <t>€309.35</t>
  </si>
  <si>
    <t>€750.43</t>
  </si>
  <si>
    <t>€494.85</t>
  </si>
  <si>
    <t>£886.29</t>
  </si>
  <si>
    <t>1,748.71 GBP</t>
  </si>
  <si>
    <t>1,028.62 GBP</t>
  </si>
  <si>
    <t>€1,697.99</t>
  </si>
  <si>
    <t>€951.51</t>
  </si>
  <si>
    <t>$769,11</t>
  </si>
  <si>
    <t>€377.13</t>
  </si>
  <si>
    <t>zł1,613.79</t>
  </si>
  <si>
    <t>€1,279.93</t>
  </si>
  <si>
    <t>846.56 USD</t>
  </si>
  <si>
    <t>€1,735.08</t>
  </si>
  <si>
    <t>zł588.39</t>
  </si>
  <si>
    <t>$1,346.89</t>
  </si>
  <si>
    <t>£1,487.75</t>
  </si>
  <si>
    <t>1,445.79 USD</t>
  </si>
  <si>
    <t>€710,72</t>
  </si>
  <si>
    <t>£160.41</t>
  </si>
  <si>
    <t>1,394.46 GBP</t>
  </si>
  <si>
    <t>€284.28</t>
  </si>
  <si>
    <t>859.35 EUR</t>
  </si>
  <si>
    <t>€675.93</t>
  </si>
  <si>
    <t>£618.28</t>
  </si>
  <si>
    <t>€568.51</t>
  </si>
  <si>
    <t>$302.83</t>
  </si>
  <si>
    <t>1,381.56 USD</t>
  </si>
  <si>
    <t>1,589,40 PLN</t>
  </si>
  <si>
    <t>$270,98</t>
  </si>
  <si>
    <t>zł1,697.16</t>
  </si>
  <si>
    <t>733,62 EUR</t>
  </si>
  <si>
    <t>1,591.23 GBP</t>
  </si>
  <si>
    <t>$771.64</t>
  </si>
  <si>
    <t>zł331,24</t>
  </si>
  <si>
    <t>1,659.68 USD</t>
  </si>
  <si>
    <t>£1,319.70</t>
  </si>
  <si>
    <t>$637.75</t>
  </si>
  <si>
    <t>€1,111,78</t>
  </si>
  <si>
    <t>1,384.43 GBP</t>
  </si>
  <si>
    <t>$1,437.03</t>
  </si>
  <si>
    <t>933.31 USD</t>
  </si>
  <si>
    <t>783,26 USD</t>
  </si>
  <si>
    <t>411.19 USD</t>
  </si>
  <si>
    <t>123.89 EUR</t>
  </si>
  <si>
    <t>zł1,044.88</t>
  </si>
  <si>
    <t>€1,106,01</t>
  </si>
  <si>
    <t>1,129,85 PLN</t>
  </si>
  <si>
    <t>£425.57</t>
  </si>
  <si>
    <t>€538.85</t>
  </si>
  <si>
    <t>€597.78</t>
  </si>
  <si>
    <t>57.43 EUR</t>
  </si>
  <si>
    <t>€1,122,70</t>
  </si>
  <si>
    <t>1,472.62 GBP</t>
  </si>
  <si>
    <t>$1,354,30</t>
  </si>
  <si>
    <t>96.59 USD</t>
  </si>
  <si>
    <t>$1,392,94</t>
  </si>
  <si>
    <t>£371.43</t>
  </si>
  <si>
    <t>€1,044.05</t>
  </si>
  <si>
    <t>€775.80</t>
  </si>
  <si>
    <t>1,050.44 EUR</t>
  </si>
  <si>
    <t>836.54 EUR</t>
  </si>
  <si>
    <t>€944.17</t>
  </si>
  <si>
    <t>1,770.08 USD</t>
  </si>
  <si>
    <t>1,538.39 PLN</t>
  </si>
  <si>
    <t>779.32 PLN</t>
  </si>
  <si>
    <t>783,79 USD</t>
  </si>
  <si>
    <t>45.16 PLN</t>
  </si>
  <si>
    <t>982.07 EUR</t>
  </si>
  <si>
    <t>1,153.63 USD</t>
  </si>
  <si>
    <t>$1,150.61</t>
  </si>
  <si>
    <t>552.95 PLN</t>
  </si>
  <si>
    <t>€1,438.32</t>
  </si>
  <si>
    <t>1,792.09 EUR</t>
  </si>
  <si>
    <t>$14.81</t>
  </si>
  <si>
    <t>162,56 USD</t>
  </si>
  <si>
    <t>€1,044.91</t>
  </si>
  <si>
    <t>$171.73</t>
  </si>
  <si>
    <t>zł1,489,60</t>
  </si>
  <si>
    <t>1,514.13 PLN</t>
  </si>
  <si>
    <t>1,166.62 GBP</t>
  </si>
  <si>
    <t>€1,294.83</t>
  </si>
  <si>
    <t>460.05 GBP</t>
  </si>
  <si>
    <t>€220.96</t>
  </si>
  <si>
    <t>£722,88</t>
  </si>
  <si>
    <t>£273.07</t>
  </si>
  <si>
    <t>34.01 EUR</t>
  </si>
  <si>
    <t>900.50 GBP</t>
  </si>
  <si>
    <t>£1,387.32</t>
  </si>
  <si>
    <t>€1,565.62</t>
  </si>
  <si>
    <t>1,368.47 USD</t>
  </si>
  <si>
    <t>£1,590.28</t>
  </si>
  <si>
    <t>1,220,93 EUR</t>
  </si>
  <si>
    <t>$1,360,28</t>
  </si>
  <si>
    <t>customer_id_flag</t>
  </si>
  <si>
    <t>full_name_F</t>
  </si>
  <si>
    <t>name_token_count</t>
  </si>
  <si>
    <t>name_flag</t>
  </si>
  <si>
    <t>full_name_email</t>
  </si>
  <si>
    <t>email_F</t>
  </si>
  <si>
    <t>email_flag</t>
  </si>
  <si>
    <t>phone_flag</t>
  </si>
  <si>
    <t>Step_1</t>
  </si>
  <si>
    <t>Step_2</t>
  </si>
  <si>
    <t>Step_3</t>
  </si>
  <si>
    <t>Step_4</t>
  </si>
  <si>
    <t>Step_5</t>
  </si>
  <si>
    <t>creat_at_F</t>
  </si>
  <si>
    <t>2025-04-22</t>
  </si>
  <si>
    <t>✅ Unique</t>
  </si>
  <si>
    <t>2025-06-05</t>
  </si>
  <si>
    <t>+441895238062 ext 644</t>
  </si>
  <si>
    <t>2022-02-24</t>
  </si>
  <si>
    <t>228-667-113</t>
  </si>
  <si>
    <t>2025-03-08</t>
  </si>
  <si>
    <t>tel:+497822452005</t>
  </si>
  <si>
    <t>+33 045 3496251</t>
  </si>
  <si>
    <t>2024-12-26</t>
  </si>
  <si>
    <t>Jad Ebrown</t>
  </si>
  <si>
    <t>+35397911194</t>
  </si>
  <si>
    <t>2023-01-06</t>
  </si>
  <si>
    <t>(713) 490434</t>
  </si>
  <si>
    <t>2022-08-16</t>
  </si>
  <si>
    <t>+44-498-57112876</t>
  </si>
  <si>
    <t>5x243474533</t>
  </si>
  <si>
    <t>2023-07-02</t>
  </si>
  <si>
    <t>N/A</t>
  </si>
  <si>
    <t>2022-08-21</t>
  </si>
  <si>
    <t>+1 899 081892</t>
  </si>
  <si>
    <t>2025-04-17</t>
  </si>
  <si>
    <t>2023-06-18</t>
  </si>
  <si>
    <t>5519x4599619</t>
  </si>
  <si>
    <t>+34 948 7174624</t>
  </si>
  <si>
    <t>+3920245354</t>
  </si>
  <si>
    <t>2025-07-06</t>
  </si>
  <si>
    <t>Rita Lopze</t>
  </si>
  <si>
    <t>+353+55796762</t>
  </si>
  <si>
    <t>+48286084601</t>
  </si>
  <si>
    <t>2025-05-14</t>
  </si>
  <si>
    <t>2024-09-15</t>
  </si>
  <si>
    <t>Uma Brown</t>
  </si>
  <si>
    <t>missing</t>
  </si>
  <si>
    <t>2024-06-03</t>
  </si>
  <si>
    <t>Jadek Ing</t>
  </si>
  <si>
    <t>+48-946-661012</t>
  </si>
  <si>
    <t>2023-10-17</t>
  </si>
  <si>
    <t>+49-753-01379</t>
  </si>
  <si>
    <t>2024-06-18</t>
  </si>
  <si>
    <t>tel:+1769121343</t>
  </si>
  <si>
    <t>2023-12-16</t>
  </si>
  <si>
    <t>46192x638</t>
  </si>
  <si>
    <t>2025-06-22</t>
  </si>
  <si>
    <t>+1 682 62568391</t>
  </si>
  <si>
    <t>2022-09-03</t>
  </si>
  <si>
    <t>+353-399-989702</t>
  </si>
  <si>
    <t>2022-05-08</t>
  </si>
  <si>
    <t>+1-943-2396635</t>
  </si>
  <si>
    <t>2023-09-08</t>
  </si>
  <si>
    <t>(404) 87661</t>
  </si>
  <si>
    <t>2023-01-11</t>
  </si>
  <si>
    <t>858835x482</t>
  </si>
  <si>
    <t>2022-05-26</t>
  </si>
  <si>
    <t>+44 309 8554497</t>
  </si>
  <si>
    <t>2022-04-04</t>
  </si>
  <si>
    <t>(496) 820240</t>
  </si>
  <si>
    <t>2022-12-26</t>
  </si>
  <si>
    <t>+353-876-052466</t>
  </si>
  <si>
    <t>2025-02-17</t>
  </si>
  <si>
    <t>(162) 0538179</t>
  </si>
  <si>
    <t>609-367-23</t>
  </si>
  <si>
    <t>2024-12-13</t>
  </si>
  <si>
    <t>+44-412-8260468</t>
  </si>
  <si>
    <t>2024-07-04</t>
  </si>
  <si>
    <t>23x012131</t>
  </si>
  <si>
    <t>2022-10-01</t>
  </si>
  <si>
    <t>tel:+1333089616</t>
  </si>
  <si>
    <t>2022-07-21</t>
  </si>
  <si>
    <t>091-063-6077</t>
  </si>
  <si>
    <t>2022-12-09</t>
  </si>
  <si>
    <t>517-931-223</t>
  </si>
  <si>
    <t>2023-01-22</t>
  </si>
  <si>
    <t>+440412651844</t>
  </si>
  <si>
    <t>2025-08-26</t>
  </si>
  <si>
    <t>2024-05-20</t>
  </si>
  <si>
    <t>2022-11-09</t>
  </si>
  <si>
    <t>2024-06-16</t>
  </si>
  <si>
    <t>+4800345674</t>
  </si>
  <si>
    <t>2023-01-08</t>
  </si>
  <si>
    <t>Marek Knig</t>
  </si>
  <si>
    <t>+48+536804542</t>
  </si>
  <si>
    <t>2022-10-11</t>
  </si>
  <si>
    <t>+44 31-99-94-89-82-3</t>
  </si>
  <si>
    <t>2023-08-23</t>
  </si>
  <si>
    <t>+353 415 419 920 7</t>
  </si>
  <si>
    <t>2024-07-28</t>
  </si>
  <si>
    <t>+44 0226 8109 4</t>
  </si>
  <si>
    <t>+175558712905</t>
  </si>
  <si>
    <t>tel:+39442504542</t>
  </si>
  <si>
    <t>+49+176536364</t>
  </si>
  <si>
    <t>2024-07-24</t>
  </si>
  <si>
    <t>+48 196 677212</t>
  </si>
  <si>
    <t>+1 554 46009220</t>
  </si>
  <si>
    <t>2022-06-13</t>
  </si>
  <si>
    <t>+44+7536233404</t>
  </si>
  <si>
    <t>+353+59277378</t>
  </si>
  <si>
    <t>2022-02-12</t>
  </si>
  <si>
    <t>+484482770584</t>
  </si>
  <si>
    <t>2024-12-23</t>
  </si>
  <si>
    <t>+4407459439187</t>
  </si>
  <si>
    <t>2024-10-04</t>
  </si>
  <si>
    <t>+35381990402</t>
  </si>
  <si>
    <t>2022-01-11</t>
  </si>
  <si>
    <t>+49 05-62-19-14-8</t>
  </si>
  <si>
    <t>2024-04-15</t>
  </si>
  <si>
    <t>Lia Kowalski</t>
  </si>
  <si>
    <t>48124487</t>
  </si>
  <si>
    <t>2023-01-23</t>
  </si>
  <si>
    <t>Calros Johnson</t>
  </si>
  <si>
    <t>+48 6785 4897</t>
  </si>
  <si>
    <t>2025-06-01</t>
  </si>
  <si>
    <t>+33914861762</t>
  </si>
  <si>
    <t>+48+195449215</t>
  </si>
  <si>
    <t>23866267</t>
  </si>
  <si>
    <t>2023-02-25</t>
  </si>
  <si>
    <t>2025-03-02</t>
  </si>
  <si>
    <t>4831399994</t>
  </si>
  <si>
    <t>2025-02-25</t>
  </si>
  <si>
    <t>Witkor Young</t>
  </si>
  <si>
    <t>2022-12-24</t>
  </si>
  <si>
    <t>341x2756733</t>
  </si>
  <si>
    <t>2025-05-23</t>
  </si>
  <si>
    <t>552-643-64</t>
  </si>
  <si>
    <t>+33 647 944 770</t>
  </si>
  <si>
    <t>2025-04-03</t>
  </si>
  <si>
    <t>+3538375201287</t>
  </si>
  <si>
    <t>2023-06-19</t>
  </si>
  <si>
    <t>(350) 382681-</t>
  </si>
  <si>
    <t>2022-03-16</t>
  </si>
  <si>
    <t>+4859490742</t>
  </si>
  <si>
    <t>+1-985-55230927</t>
  </si>
  <si>
    <t>2025-09-16</t>
  </si>
  <si>
    <t>tel:+3301936724</t>
  </si>
  <si>
    <t>2022-09-14</t>
  </si>
  <si>
    <t>(160) 970247</t>
  </si>
  <si>
    <t>2024-09-13</t>
  </si>
  <si>
    <t>+491630739937 ext 55</t>
  </si>
  <si>
    <t>2024-08-20</t>
  </si>
  <si>
    <t>+492549422094</t>
  </si>
  <si>
    <t>2023-07-31</t>
  </si>
  <si>
    <t>Xenia Lopez</t>
  </si>
  <si>
    <t>+492195087085</t>
  </si>
  <si>
    <t>2022-05-11</t>
  </si>
  <si>
    <t>69991x79</t>
  </si>
  <si>
    <t>2024-06-30</t>
  </si>
  <si>
    <t>tel:+33031729349</t>
  </si>
  <si>
    <t>2024-09-16</t>
  </si>
  <si>
    <t>70137x7540</t>
  </si>
  <si>
    <t>+49 375 9898347</t>
  </si>
  <si>
    <t>2023-05-03</t>
  </si>
  <si>
    <t>(808) 2985927</t>
  </si>
  <si>
    <t>2023-03-12</t>
  </si>
  <si>
    <t>2023-02-02</t>
  </si>
  <si>
    <t>+44+1887328198</t>
  </si>
  <si>
    <t>2023-06-11</t>
  </si>
  <si>
    <t>+495485874659 ext 869</t>
  </si>
  <si>
    <t>2023-09-12</t>
  </si>
  <si>
    <t>tel:+4491900279850</t>
  </si>
  <si>
    <t>+1 809 852 242 6</t>
  </si>
  <si>
    <t>+34597788655</t>
  </si>
  <si>
    <t>2022-04-05</t>
  </si>
  <si>
    <t>tel:+15204496552</t>
  </si>
  <si>
    <t>2024-01-03</t>
  </si>
  <si>
    <t>+39 274 47919</t>
  </si>
  <si>
    <t>2023-08-25</t>
  </si>
  <si>
    <t>+34 97 51 57 96</t>
  </si>
  <si>
    <t>2025-01-18</t>
  </si>
  <si>
    <t>2022-10-17</t>
  </si>
  <si>
    <t>+337705564 ext 398</t>
  </si>
  <si>
    <t>+48+359024987</t>
  </si>
  <si>
    <t>2023-08-09</t>
  </si>
  <si>
    <t>+353 45-24-45-94-2</t>
  </si>
  <si>
    <t>2024-09-14</t>
  </si>
  <si>
    <t>+4802514782 ext 916</t>
  </si>
  <si>
    <t>+34+58968577</t>
  </si>
  <si>
    <t>2023-04-12</t>
  </si>
  <si>
    <t>+442119953363</t>
  </si>
  <si>
    <t>2024-11-06</t>
  </si>
  <si>
    <t>(103) 4161742</t>
  </si>
  <si>
    <t>2022-05-23</t>
  </si>
  <si>
    <t>(413) 6459576</t>
  </si>
  <si>
    <t>el:+17568546766</t>
  </si>
  <si>
    <t>2023-04-24</t>
  </si>
  <si>
    <t>+44+671230271</t>
  </si>
  <si>
    <t>2024-11-01</t>
  </si>
  <si>
    <t>2025-08-11</t>
  </si>
  <si>
    <t>+48+326934474</t>
  </si>
  <si>
    <t>2025-05-01</t>
  </si>
  <si>
    <t>tel:+4872663031</t>
  </si>
  <si>
    <t>880-617-4178</t>
  </si>
  <si>
    <t>+33-043-81777</t>
  </si>
  <si>
    <t>2024-06-29</t>
  </si>
  <si>
    <t>2025-05-26</t>
  </si>
  <si>
    <t>2022-01-29</t>
  </si>
  <si>
    <t>+482972663827</t>
  </si>
  <si>
    <t>2025-05-06</t>
  </si>
  <si>
    <t>107556x056</t>
  </si>
  <si>
    <t>2024-01-07</t>
  </si>
  <si>
    <t>+48+376783432</t>
  </si>
  <si>
    <t>Fiona Novak</t>
  </si>
  <si>
    <t>2023-11-05</t>
  </si>
  <si>
    <t>+12417702803 ext 428</t>
  </si>
  <si>
    <t>2025-02-11</t>
  </si>
  <si>
    <t>+33723898327</t>
  </si>
  <si>
    <t>2022-01-15</t>
  </si>
  <si>
    <t>tel:+16089010873</t>
  </si>
  <si>
    <t>+1 85 06 23 07 37</t>
  </si>
  <si>
    <t>Marke Lopez</t>
  </si>
  <si>
    <t>(260) 1364081</t>
  </si>
  <si>
    <t>2022-06-09</t>
  </si>
  <si>
    <t>+353+342395285</t>
  </si>
  <si>
    <t>2022-03-25</t>
  </si>
  <si>
    <t>+48 356 021 022</t>
  </si>
  <si>
    <t>2025-06-23</t>
  </si>
  <si>
    <t>te:+449893581222</t>
  </si>
  <si>
    <t>2024-08-26</t>
  </si>
  <si>
    <t>0818675x009</t>
  </si>
  <si>
    <t>2023-03-06</t>
  </si>
  <si>
    <t>(914)268735</t>
  </si>
  <si>
    <t>2022-02-05</t>
  </si>
  <si>
    <t>+44 964 7697214</t>
  </si>
  <si>
    <t>tel:+44084069359</t>
  </si>
  <si>
    <t>+4882878580</t>
  </si>
  <si>
    <t>2023-04-19</t>
  </si>
  <si>
    <t>+33+933437576</t>
  </si>
  <si>
    <t>+33367167153 ext 321</t>
  </si>
  <si>
    <t>+353942950663</t>
  </si>
  <si>
    <t>301-523-846</t>
  </si>
  <si>
    <t>2025-02-04</t>
  </si>
  <si>
    <t>2024-02-19</t>
  </si>
  <si>
    <t>+4494768617431</t>
  </si>
  <si>
    <t>2025-05-02</t>
  </si>
  <si>
    <t>+48573868314 ext 11</t>
  </si>
  <si>
    <t>2022-01-09</t>
  </si>
  <si>
    <t>+353-886-768661</t>
  </si>
  <si>
    <t>2025-05-21</t>
  </si>
  <si>
    <t>tel:59830076</t>
  </si>
  <si>
    <t>2023-09-19</t>
  </si>
  <si>
    <t>tel:+33920840753</t>
  </si>
  <si>
    <t>2024-06-06</t>
  </si>
  <si>
    <t>2024-04-02</t>
  </si>
  <si>
    <t>+34-551-666772</t>
  </si>
  <si>
    <t>2023-10-06</t>
  </si>
  <si>
    <t>572-983-711</t>
  </si>
  <si>
    <t>2022-11-03</t>
  </si>
  <si>
    <t>+49+3749041718</t>
  </si>
  <si>
    <t>+33+6967984848</t>
  </si>
  <si>
    <t>+4840639237</t>
  </si>
  <si>
    <t>2024-09-24</t>
  </si>
  <si>
    <t>2024-02-11</t>
  </si>
  <si>
    <t>tel:+4459912991963</t>
  </si>
  <si>
    <t>2022-08-31</t>
  </si>
  <si>
    <t>+44-142-7604223</t>
  </si>
  <si>
    <t>524262-45</t>
  </si>
  <si>
    <t>2024-07-31</t>
  </si>
  <si>
    <t>+185147459360</t>
  </si>
  <si>
    <t>2022-01-28</t>
  </si>
  <si>
    <t>577-405-58518</t>
  </si>
  <si>
    <t>2023-12-21</t>
  </si>
  <si>
    <t>+4005406572</t>
  </si>
  <si>
    <t>2022-11-12</t>
  </si>
  <si>
    <t>+42246376</t>
  </si>
  <si>
    <t>2023-07-01</t>
  </si>
  <si>
    <t>+1 269 23266739</t>
  </si>
  <si>
    <t>Fiona Taylory</t>
  </si>
  <si>
    <t>72959482x77</t>
  </si>
  <si>
    <t>12888657</t>
  </si>
  <si>
    <t>2024-03-27</t>
  </si>
  <si>
    <t>(109) 2681449</t>
  </si>
  <si>
    <t>2023-03-14</t>
  </si>
  <si>
    <t>Adaml Opez</t>
  </si>
  <si>
    <t>+49 905 967639</t>
  </si>
  <si>
    <t>2023-09-13</t>
  </si>
  <si>
    <t>74x9365122</t>
  </si>
  <si>
    <t>2025-07-15</t>
  </si>
  <si>
    <t>4890459474</t>
  </si>
  <si>
    <t>(820) 952379</t>
  </si>
  <si>
    <t>2025-04-01</t>
  </si>
  <si>
    <t>30835732x14</t>
  </si>
  <si>
    <t>(549) 38949</t>
  </si>
  <si>
    <t> 201 7343532</t>
  </si>
  <si>
    <t>+49127002595</t>
  </si>
  <si>
    <t>2281x803905</t>
  </si>
  <si>
    <t>2022-09-18</t>
  </si>
  <si>
    <t>+15186174367 ext 859</t>
  </si>
  <si>
    <t>2022-01-17</t>
  </si>
  <si>
    <t>+33 3412 4082 2</t>
  </si>
  <si>
    <t>487463863433</t>
  </si>
  <si>
    <t>2023-01-09</t>
  </si>
  <si>
    <t>+3418566500 ext 261</t>
  </si>
  <si>
    <t>2025-05-18</t>
  </si>
  <si>
    <t>tel:+1111602203</t>
  </si>
  <si>
    <t>tel:+491400146601</t>
  </si>
  <si>
    <t>2023-01-19</t>
  </si>
  <si>
    <t>+492348974305 ext 212</t>
  </si>
  <si>
    <t>2024-08-23</t>
  </si>
  <si>
    <t>+48439024605</t>
  </si>
  <si>
    <t>2025-04-09</t>
  </si>
  <si>
    <t>2022-05-22</t>
  </si>
  <si>
    <t>202507270</t>
  </si>
  <si>
    <t>2025-06-10</t>
  </si>
  <si>
    <t>(238) 8535221</t>
  </si>
  <si>
    <t>+48-459-864962</t>
  </si>
  <si>
    <t>2023-12-28</t>
  </si>
  <si>
    <t>+39858379003 ext 55</t>
  </si>
  <si>
    <t>2023-12-15</t>
  </si>
  <si>
    <t>74532x2448</t>
  </si>
  <si>
    <t>2024-02-10</t>
  </si>
  <si>
    <t>2022-08-25</t>
  </si>
  <si>
    <t>3881539865</t>
  </si>
  <si>
    <t>2023-07-10</t>
  </si>
  <si>
    <t>+39 97 24 00 33 44</t>
  </si>
  <si>
    <t>2025-08-29</t>
  </si>
  <si>
    <t>(201) 52553</t>
  </si>
  <si>
    <t>2023-05-16</t>
  </si>
  <si>
    <t>+353 44 64 98 30 72</t>
  </si>
  <si>
    <t>2022-09-23</t>
  </si>
  <si>
    <t>+49 606 7552955</t>
  </si>
  <si>
    <t>2025-06-15</t>
  </si>
  <si>
    <t>tel:+34712092934</t>
  </si>
  <si>
    <t>2022-09-07</t>
  </si>
  <si>
    <t>tel:+394102522095</t>
  </si>
  <si>
    <t>2025-05-08</t>
  </si>
  <si>
    <t>3642155</t>
  </si>
  <si>
    <t>2022-05-04</t>
  </si>
  <si>
    <t>+1 0599 3549 15</t>
  </si>
  <si>
    <t>2023-01-03</t>
  </si>
  <si>
    <t>895-335-4571</t>
  </si>
  <si>
    <t>2023-03-02</t>
  </si>
  <si>
    <t>none</t>
  </si>
  <si>
    <t>2023-12-31</t>
  </si>
  <si>
    <t>+353 109 659649</t>
  </si>
  <si>
    <t>Carlos Kowalcyzk</t>
  </si>
  <si>
    <t>(833) 207095</t>
  </si>
  <si>
    <t>2024-10-18</t>
  </si>
  <si>
    <t>+49724261691 ext 572</t>
  </si>
  <si>
    <t>2025-10-08</t>
  </si>
  <si>
    <t>+49 086 1119747</t>
  </si>
  <si>
    <t>+49 52 09 10 31 43</t>
  </si>
  <si>
    <t>2023-10-24</t>
  </si>
  <si>
    <t>+34 129 718 490</t>
  </si>
  <si>
    <t>2022-03-02</t>
  </si>
  <si>
    <t>033x1717508</t>
  </si>
  <si>
    <t>2024-02-25</t>
  </si>
  <si>
    <t>+34 125 15093</t>
  </si>
  <si>
    <t>2025-01-14</t>
  </si>
  <si>
    <t>+353+19233124</t>
  </si>
  <si>
    <t>2022-08-12</t>
  </si>
  <si>
    <t>+49918977460 ext 167</t>
  </si>
  <si>
    <t>Adam Khna</t>
  </si>
  <si>
    <t>2024-11-23</t>
  </si>
  <si>
    <t>tel:+3913209379</t>
  </si>
  <si>
    <t>+484253682061 ext 494</t>
  </si>
  <si>
    <t>+4922344151057</t>
  </si>
  <si>
    <t>2024-09-09</t>
  </si>
  <si>
    <t>4952x07583</t>
  </si>
  <si>
    <t>(230) 0992468</t>
  </si>
  <si>
    <t>+4 636 664287</t>
  </si>
  <si>
    <t>2025-08-28</t>
  </si>
  <si>
    <t>+353-847-182190</t>
  </si>
  <si>
    <t>+399793850821 ext 314</t>
  </si>
  <si>
    <t>2024-07-14</t>
  </si>
  <si>
    <t>304-988-087</t>
  </si>
  <si>
    <t>2025-05-09</t>
  </si>
  <si>
    <t>+39+9701160160</t>
  </si>
  <si>
    <t>2022-10-27</t>
  </si>
  <si>
    <t>2024-01-11</t>
  </si>
  <si>
    <t>+395482056240 ext 807</t>
  </si>
  <si>
    <t>2024-03-15</t>
  </si>
  <si>
    <t>61x1827821</t>
  </si>
  <si>
    <t>+39+192013404</t>
  </si>
  <si>
    <t>2023-06-14</t>
  </si>
  <si>
    <t>+353 353 75585</t>
  </si>
  <si>
    <t>2022-10-26</t>
  </si>
  <si>
    <t>+35395465577 ext 799-</t>
  </si>
  <si>
    <t>2024-10-20</t>
  </si>
  <si>
    <t>597x623061</t>
  </si>
  <si>
    <t>+4992222110711</t>
  </si>
  <si>
    <t>2025-09-20</t>
  </si>
  <si>
    <t>+497277845542</t>
  </si>
  <si>
    <t>2023-02-28</t>
  </si>
  <si>
    <t>4811899089</t>
  </si>
  <si>
    <t>2023-08-07</t>
  </si>
  <si>
    <t>2023-06-12</t>
  </si>
  <si>
    <t>363-99-22</t>
  </si>
  <si>
    <t>2023-04-03</t>
  </si>
  <si>
    <t>+33 19-83-22-20-1</t>
  </si>
  <si>
    <t>2024-12-31</t>
  </si>
  <si>
    <t>2022-05-17</t>
  </si>
  <si>
    <t>tel:+144955349928</t>
  </si>
  <si>
    <t>2023-03-28</t>
  </si>
  <si>
    <t>489908199709</t>
  </si>
  <si>
    <t>993-510-0614</t>
  </si>
  <si>
    <t>2024-09-20</t>
  </si>
  <si>
    <t>Wiktor Martinez</t>
  </si>
  <si>
    <t>+49+63787658680 ext 55</t>
  </si>
  <si>
    <t>2025-02-10</t>
  </si>
  <si>
    <t>120x138370</t>
  </si>
  <si>
    <t>2023-06-06</t>
  </si>
  <si>
    <t>+33863626536</t>
  </si>
  <si>
    <t>Lia Khan</t>
  </si>
  <si>
    <t>48 94-39-08-25-9</t>
  </si>
  <si>
    <t>2025-07-30</t>
  </si>
  <si>
    <t>tel:+33183016587</t>
  </si>
  <si>
    <t>733-34-9595</t>
  </si>
  <si>
    <t>2025-03-01</t>
  </si>
  <si>
    <t>2023-09-03</t>
  </si>
  <si>
    <t>+44 079 151 958</t>
  </si>
  <si>
    <t>315 537 102</t>
  </si>
  <si>
    <t>2023-03-31</t>
  </si>
  <si>
    <t>+3454070037</t>
  </si>
  <si>
    <t>2022-03-17</t>
  </si>
  <si>
    <t>(713) 3899316</t>
  </si>
  <si>
    <t>2024-03-22</t>
  </si>
  <si>
    <t>+48-891-182719</t>
  </si>
  <si>
    <t>+1 4876-6917-3</t>
  </si>
  <si>
    <t>2023-09-24</t>
  </si>
  <si>
    <t>E Than Lee</t>
  </si>
  <si>
    <t>tel:+4973883836583</t>
  </si>
  <si>
    <t>2023-08-19</t>
  </si>
  <si>
    <t>+34-396-028852</t>
  </si>
  <si>
    <t>2022-08-19</t>
  </si>
  <si>
    <t>53-723-7094 ext 55</t>
  </si>
  <si>
    <t>2024-01-14</t>
  </si>
  <si>
    <t>+44+14862486694</t>
  </si>
  <si>
    <t>2024-12-12</t>
  </si>
  <si>
    <t>951) 44810</t>
  </si>
  <si>
    <t>2025-03-19</t>
  </si>
  <si>
    <t>+39 4830-1072-2</t>
  </si>
  <si>
    <t>+44 571-008-040-26</t>
  </si>
  <si>
    <t>+44002291081</t>
  </si>
  <si>
    <t>+1 7490 9256 61</t>
  </si>
  <si>
    <t>2025-08-27</t>
  </si>
  <si>
    <t>85x222720812</t>
  </si>
  <si>
    <t>2022-09-16</t>
  </si>
  <si>
    <t>931-552-998</t>
  </si>
  <si>
    <t>2024-05-18</t>
  </si>
  <si>
    <t>+353 82-06-96-41-8</t>
  </si>
  <si>
    <t>2024-04-11</t>
  </si>
  <si>
    <t>Vlad Rodriguez</t>
  </si>
  <si>
    <t>tel:+449621825054</t>
  </si>
  <si>
    <t>2025-06-27</t>
  </si>
  <si>
    <t>+44 865 7717580</t>
  </si>
  <si>
    <t>+49095032867 ext 852</t>
  </si>
  <si>
    <t>2022-08-27</t>
  </si>
  <si>
    <t>360-397-68</t>
  </si>
  <si>
    <t>2023-02-10</t>
  </si>
  <si>
    <t>Rita Dubois</t>
  </si>
  <si>
    <t>750-530-7823</t>
  </si>
  <si>
    <t>2023-11-25</t>
  </si>
  <si>
    <t>(804) 930926</t>
  </si>
  <si>
    <t>2023-06-20</t>
  </si>
  <si>
    <t>Zack Davis</t>
  </si>
  <si>
    <t>+3530339537633 ext 537</t>
  </si>
  <si>
    <t>2022-03-26</t>
  </si>
  <si>
    <t>2022-06-27</t>
  </si>
  <si>
    <t>+34 743 147 529 8</t>
  </si>
  <si>
    <t>+39+488741803</t>
  </si>
  <si>
    <t>+48 0534-5707</t>
  </si>
  <si>
    <t>2022-05-28</t>
  </si>
  <si>
    <t>+1 855 43443383</t>
  </si>
  <si>
    <t>+353 025 466 520</t>
  </si>
  <si>
    <t>2022-04-30</t>
  </si>
  <si>
    <t>+49737850010</t>
  </si>
  <si>
    <t>2024-01-20</t>
  </si>
  <si>
    <t>5704x0781-</t>
  </si>
  <si>
    <t>2022-04-10</t>
  </si>
  <si>
    <t>+49892863143</t>
  </si>
  <si>
    <t>+34 6897-3545</t>
  </si>
  <si>
    <t>2022-04-18</t>
  </si>
  <si>
    <t>+34 364 25342</t>
  </si>
  <si>
    <t>2023-08-04</t>
  </si>
  <si>
    <t>+44431695571</t>
  </si>
  <si>
    <t>2022-05-05</t>
  </si>
  <si>
    <t>+353 743 42799</t>
  </si>
  <si>
    <t>+44 72-51-62-20-9</t>
  </si>
  <si>
    <t>2023-05-10</t>
  </si>
  <si>
    <t>+330565568874</t>
  </si>
  <si>
    <t>2022-09-30</t>
  </si>
  <si>
    <t>+39 896 269879</t>
  </si>
  <si>
    <t>2022-04-02</t>
  </si>
  <si>
    <t>968-751-8960</t>
  </si>
  <si>
    <t>2022-11-05</t>
  </si>
  <si>
    <t>+449960169990</t>
  </si>
  <si>
    <t>2024-07-16</t>
  </si>
  <si>
    <t>97557x37341</t>
  </si>
  <si>
    <t>2023-12-07</t>
  </si>
  <si>
    <t> 494 0215274</t>
  </si>
  <si>
    <t>2025-07-22</t>
  </si>
  <si>
    <t>(548) 57584</t>
  </si>
  <si>
    <t>2023-10-14</t>
  </si>
  <si>
    <t>2022-12-05</t>
  </si>
  <si>
    <t>+17864043031 ext 493</t>
  </si>
  <si>
    <t>2022-06-28</t>
  </si>
  <si>
    <t>tel:+341556853741</t>
  </si>
  <si>
    <t>09x767057</t>
  </si>
  <si>
    <t>2024-10-31</t>
  </si>
  <si>
    <t>Carlos Dubois</t>
  </si>
  <si>
    <t>+490445152364</t>
  </si>
  <si>
    <t>2025-07-16</t>
  </si>
  <si>
    <t>+49 435 6856683</t>
  </si>
  <si>
    <t>+39+404028120</t>
  </si>
  <si>
    <t>2025-02-15</t>
  </si>
  <si>
    <t>+353365861339</t>
  </si>
  <si>
    <t>tel:+3904713181</t>
  </si>
  <si>
    <t>2022-07-22</t>
  </si>
  <si>
    <t>+49+2642044661 ext 55</t>
  </si>
  <si>
    <t>2023-12-13</t>
  </si>
  <si>
    <t>+1 68-74-51-55-59-7</t>
  </si>
  <si>
    <t>2023-01-01</t>
  </si>
  <si>
    <t>tel:+48907495961 x</t>
  </si>
  <si>
    <t>+39901008882</t>
  </si>
  <si>
    <t>Paula Martinez</t>
  </si>
  <si>
    <t>+337936335756</t>
  </si>
  <si>
    <t>2024-02-29</t>
  </si>
  <si>
    <t>tel:+11754403732</t>
  </si>
  <si>
    <t>2025-08-12</t>
  </si>
  <si>
    <t>Bella Wililams</t>
  </si>
  <si>
    <t>2058144939</t>
  </si>
  <si>
    <t>2022-12-16</t>
  </si>
  <si>
    <t>Adam Wililams</t>
  </si>
  <si>
    <t>+353054155378 ext 580</t>
  </si>
  <si>
    <t>+3961528135</t>
  </si>
  <si>
    <t>+1 31 8 09 11 21</t>
  </si>
  <si>
    <t>2024-01-26</t>
  </si>
  <si>
    <t>+34 347 1650453</t>
  </si>
  <si>
    <t>2023-05-11</t>
  </si>
  <si>
    <t>Nina Martinez</t>
  </si>
  <si>
    <t>633x70393</t>
  </si>
  <si>
    <t>2022-12-07</t>
  </si>
  <si>
    <t>+39 428-283-965</t>
  </si>
  <si>
    <t>2022-10-31</t>
  </si>
  <si>
    <t>4871386217</t>
  </si>
  <si>
    <t>2023-05-30</t>
  </si>
  <si>
    <t>48329373752</t>
  </si>
  <si>
    <t>+49 31 42 08 14 45 9</t>
  </si>
  <si>
    <t>265-907-74</t>
  </si>
  <si>
    <t>2022-06-26</t>
  </si>
  <si>
    <t>Lia King</t>
  </si>
  <si>
    <t>+44756355524</t>
  </si>
  <si>
    <t>+39 494-978-837</t>
  </si>
  <si>
    <t>2022-07-20</t>
  </si>
  <si>
    <t>+1 7268-1763-78</t>
  </si>
  <si>
    <t>+44 46 44 35 61 71 ext 55</t>
  </si>
  <si>
    <t>2023-08-01</t>
  </si>
  <si>
    <t>+33935012211 ext 619</t>
  </si>
  <si>
    <t>2024-06-27</t>
  </si>
  <si>
    <t>tel:+3400639599</t>
  </si>
  <si>
    <t>+49 07-46-01-88-76</t>
  </si>
  <si>
    <t>2024-01-21</t>
  </si>
  <si>
    <t>+39 244 85406</t>
  </si>
  <si>
    <t>2023-09-01</t>
  </si>
  <si>
    <t>+446600614449</t>
  </si>
  <si>
    <t>2022-12-03</t>
  </si>
  <si>
    <t>(297) 352497</t>
  </si>
  <si>
    <t>2024-04-25</t>
  </si>
  <si>
    <t>+3207609461</t>
  </si>
  <si>
    <t>2024-04-28</t>
  </si>
  <si>
    <t>+484824470726</t>
  </si>
  <si>
    <t>2023-07-13</t>
  </si>
  <si>
    <t>065-055-784</t>
  </si>
  <si>
    <t>2022-10-14</t>
  </si>
  <si>
    <t>+353206382548</t>
  </si>
  <si>
    <t>2023-12-18</t>
  </si>
  <si>
    <t>+353+2050948772</t>
  </si>
  <si>
    <t>2024-06-17</t>
  </si>
  <si>
    <t>(913) 02361</t>
  </si>
  <si>
    <t>2023-07-18</t>
  </si>
  <si>
    <t>0586x13060</t>
  </si>
  <si>
    <t>2023-09-02</t>
  </si>
  <si>
    <t>+33 163 7312285</t>
  </si>
  <si>
    <t>(018) 907229</t>
  </si>
  <si>
    <t>2022-06-12</t>
  </si>
  <si>
    <t>+48854892578 ext 521</t>
  </si>
  <si>
    <t>2023-11-28</t>
  </si>
  <si>
    <t>+49 806 18964619</t>
  </si>
  <si>
    <t>2025-03-07</t>
  </si>
  <si>
    <t>+49+90131345691</t>
  </si>
  <si>
    <t>2025-09-26</t>
  </si>
  <si>
    <t>+39175689698</t>
  </si>
  <si>
    <t>2022-03-14</t>
  </si>
  <si>
    <t>(273) 79287</t>
  </si>
  <si>
    <t>+39 47 33 25 82 9</t>
  </si>
  <si>
    <t>2022-01-13</t>
  </si>
  <si>
    <t>tel:+35326132814</t>
  </si>
  <si>
    <t>+49 375 62306320</t>
  </si>
  <si>
    <t>Sma Williams</t>
  </si>
  <si>
    <t>+49 0494 2415 48</t>
  </si>
  <si>
    <t>48637204126</t>
  </si>
  <si>
    <t>+33044750880</t>
  </si>
  <si>
    <t>2022-11-19</t>
  </si>
  <si>
    <t>+49931722935 x</t>
  </si>
  <si>
    <t>+34 6168 1068</t>
  </si>
  <si>
    <t>2023-06-03</t>
  </si>
  <si>
    <t>2024-12-16</t>
  </si>
  <si>
    <t>+44 329-955-501-11</t>
  </si>
  <si>
    <t>2025-02-12</t>
  </si>
  <si>
    <t>501-852-915</t>
  </si>
  <si>
    <t>2022-03-27</t>
  </si>
  <si>
    <t>Um Agarcia</t>
  </si>
  <si>
    <t>101-515-19600</t>
  </si>
  <si>
    <t>2024-05-16</t>
  </si>
  <si>
    <t>+44-038-2082463</t>
  </si>
  <si>
    <t>2023-05-02</t>
  </si>
  <si>
    <t>Bella King</t>
  </si>
  <si>
    <t>+1-414-591598</t>
  </si>
  <si>
    <t>2022-09-15</t>
  </si>
  <si>
    <t>+49+4197424789 x</t>
  </si>
  <si>
    <t>2022-09-26</t>
  </si>
  <si>
    <t>+39 9362-9079-7</t>
  </si>
  <si>
    <t>tel:+490355418495</t>
  </si>
  <si>
    <t>+44 70-92-70-11-4</t>
  </si>
  <si>
    <t>855-676-8995</t>
  </si>
  <si>
    <t>2022-01-20</t>
  </si>
  <si>
    <t>Sam Martinez</t>
  </si>
  <si>
    <t>+48+97569711</t>
  </si>
  <si>
    <t>2025-09-05</t>
  </si>
  <si>
    <t>44077012x1 ext 55</t>
  </si>
  <si>
    <t>78311806x1</t>
  </si>
  <si>
    <t>2024-06-23</t>
  </si>
  <si>
    <t>Paula Davis</t>
  </si>
  <si>
    <t>+3401092380 ext 790</t>
  </si>
  <si>
    <t>2022-07-16</t>
  </si>
  <si>
    <t>91462x12641 x</t>
  </si>
  <si>
    <t>2022-11-04</t>
  </si>
  <si>
    <t>Vla Drodriguez</t>
  </si>
  <si>
    <t>+49 5055-9100-24</t>
  </si>
  <si>
    <t>2025-06-07</t>
  </si>
  <si>
    <t>+48-628-79126</t>
  </si>
  <si>
    <t>+34398793852 ext 722</t>
  </si>
  <si>
    <t>+483869982</t>
  </si>
  <si>
    <t>2024-02-04</t>
  </si>
  <si>
    <t>tel:+4999401539791</t>
  </si>
  <si>
    <t>2024-12-11</t>
  </si>
  <si>
    <t>Marek Koawlczyk</t>
  </si>
  <si>
    <t>2023-04-06</t>
  </si>
  <si>
    <t>345004183</t>
  </si>
  <si>
    <t>48162231458</t>
  </si>
  <si>
    <t>942269x375</t>
  </si>
  <si>
    <t>2025-02-01</t>
  </si>
  <si>
    <t>+34191531267 ext 15</t>
  </si>
  <si>
    <t>2024-02-09</t>
  </si>
  <si>
    <t>Ken Kowlaczyk</t>
  </si>
  <si>
    <t>2025-07-26</t>
  </si>
  <si>
    <t>tel:+353815797988</t>
  </si>
  <si>
    <t>2023-03-17</t>
  </si>
  <si>
    <t>687-510-44252</t>
  </si>
  <si>
    <t>2024-05-24</t>
  </si>
  <si>
    <t>2022-08-14</t>
  </si>
  <si>
    <t>145-380-0522</t>
  </si>
  <si>
    <t>5x340585089 ext 55</t>
  </si>
  <si>
    <t>+33-561-9911</t>
  </si>
  <si>
    <t>+33916256410</t>
  </si>
  <si>
    <t>2025-04-04</t>
  </si>
  <si>
    <t>(554) 9089277</t>
  </si>
  <si>
    <t>2022-09-21</t>
  </si>
  <si>
    <t>tel:+3532439251873</t>
  </si>
  <si>
    <t>2024-01-29</t>
  </si>
  <si>
    <t>+4481773430973</t>
  </si>
  <si>
    <t>2023-05-28</t>
  </si>
  <si>
    <t>Fioan Rodriguez</t>
  </si>
  <si>
    <t>+39-683-519263</t>
  </si>
  <si>
    <t>2024-09-11</t>
  </si>
  <si>
    <t>2022-03-03</t>
  </si>
  <si>
    <t>Ethan Young</t>
  </si>
  <si>
    <t>+39 2911 0674</t>
  </si>
  <si>
    <t>2023-07-26</t>
  </si>
  <si>
    <t>846x823076</t>
  </si>
  <si>
    <t>+48-359-158094</t>
  </si>
  <si>
    <t>2025-07-23</t>
  </si>
  <si>
    <t>+48 803 094309</t>
  </si>
  <si>
    <t>2023-06-05</t>
  </si>
  <si>
    <t>+33-507-687081</t>
  </si>
  <si>
    <t>2022-10-09</t>
  </si>
  <si>
    <t>+48284756231</t>
  </si>
  <si>
    <t>2024-07-18</t>
  </si>
  <si>
    <t>2025-02-22</t>
  </si>
  <si>
    <t>+39418250455</t>
  </si>
  <si>
    <t>2022-11-15</t>
  </si>
  <si>
    <t>Tara Lopez</t>
  </si>
  <si>
    <t>+48+496499229</t>
  </si>
  <si>
    <t>tel:+353200589809</t>
  </si>
  <si>
    <t>862-637-251</t>
  </si>
  <si>
    <t>2025-03-13</t>
  </si>
  <si>
    <t>2025-01-06</t>
  </si>
  <si>
    <t>+3950554637</t>
  </si>
  <si>
    <t>+39-265-53188</t>
  </si>
  <si>
    <t>2682871012 ext 55</t>
  </si>
  <si>
    <t>2025-08-15</t>
  </si>
  <si>
    <t>+34-017-251211</t>
  </si>
  <si>
    <t>2022-09-13</t>
  </si>
  <si>
    <t>+44+860688521</t>
  </si>
  <si>
    <t>+499098384188</t>
  </si>
  <si>
    <t>2023-07-05</t>
  </si>
  <si>
    <t>+49 39 25 64 84 07</t>
  </si>
  <si>
    <t>2022-06-19</t>
  </si>
  <si>
    <t>2025-03-18</t>
  </si>
  <si>
    <t>5309 0762 18</t>
  </si>
  <si>
    <t>2025-01-30</t>
  </si>
  <si>
    <t>195-615-8098</t>
  </si>
  <si>
    <t>2024-09-25</t>
  </si>
  <si>
    <t>+353-979-555858</t>
  </si>
  <si>
    <t>2022-05-07</t>
  </si>
  <si>
    <t>+48 4526-6892-1</t>
  </si>
  <si>
    <t>2023-02-16</t>
  </si>
  <si>
    <t>Palua King</t>
  </si>
  <si>
    <t>2024-12-20</t>
  </si>
  <si>
    <t>tel:+448666641555</t>
  </si>
  <si>
    <t>2022-01-31</t>
  </si>
  <si>
    <t>891077x949</t>
  </si>
  <si>
    <t>(532) 363772</t>
  </si>
  <si>
    <t>2022-02-08</t>
  </si>
  <si>
    <t>Daria Youn</t>
  </si>
  <si>
    <t>+39623237762</t>
  </si>
  <si>
    <t>2024-04-01</t>
  </si>
  <si>
    <t>2024-07-30</t>
  </si>
  <si>
    <t>40x7206429</t>
  </si>
  <si>
    <t>2023-10-31</t>
  </si>
  <si>
    <t>2023-03-16</t>
  </si>
  <si>
    <t>tel:+39538437807</t>
  </si>
  <si>
    <t>646319x3643</t>
  </si>
  <si>
    <t>2023-08-13</t>
  </si>
  <si>
    <t>+48 016 328 27</t>
  </si>
  <si>
    <t>+490700757482</t>
  </si>
  <si>
    <t>2022-01-04</t>
  </si>
  <si>
    <t>+49 094 683 539 6</t>
  </si>
  <si>
    <t>+353+3115864576</t>
  </si>
  <si>
    <t>+311654337 ext 147</t>
  </si>
  <si>
    <t>2023-04-15</t>
  </si>
  <si>
    <t>tel:+353470749715</t>
  </si>
  <si>
    <t>+330686410111</t>
  </si>
  <si>
    <t>2025-08-24</t>
  </si>
  <si>
    <t>+48+448903250</t>
  </si>
  <si>
    <t>2024-02-28</t>
  </si>
  <si>
    <t>tel:0493694610</t>
  </si>
  <si>
    <t>+48612665487 ext 548 x</t>
  </si>
  <si>
    <t>+33 513 065173</t>
  </si>
  <si>
    <t>2022-08-03</t>
  </si>
  <si>
    <t>39997x241</t>
  </si>
  <si>
    <t>2023-04-25</t>
  </si>
  <si>
    <t>7438016724 ext 510</t>
  </si>
  <si>
    <t>2024-02-02</t>
  </si>
  <si>
    <t>+44 54-00-88-78-56-2</t>
  </si>
  <si>
    <t>2023-07-04</t>
  </si>
  <si>
    <t>+4815655134</t>
  </si>
  <si>
    <t>+35301717495</t>
  </si>
  <si>
    <t>Igorl Ee</t>
  </si>
  <si>
    <t>+33 794 736589</t>
  </si>
  <si>
    <t>2022-01-27</t>
  </si>
  <si>
    <t>606-300-9341</t>
  </si>
  <si>
    <t>2022-01-07</t>
  </si>
  <si>
    <t>286-741-644</t>
  </si>
  <si>
    <t>+48296739141</t>
  </si>
  <si>
    <t>+4497865448437</t>
  </si>
  <si>
    <t>2023-08-20</t>
  </si>
  <si>
    <t>+494274525719</t>
  </si>
  <si>
    <t>2024-10-06</t>
  </si>
  <si>
    <t>2023-12-10</t>
  </si>
  <si>
    <t>+48+244234054</t>
  </si>
  <si>
    <t>2022-01-22</t>
  </si>
  <si>
    <t>16341308x49</t>
  </si>
  <si>
    <t>+39314314433</t>
  </si>
  <si>
    <t>+39-382-454532</t>
  </si>
  <si>
    <t>Xenia Young</t>
  </si>
  <si>
    <t>6525099544x6</t>
  </si>
  <si>
    <t>2023-10-28</t>
  </si>
  <si>
    <t>+353 753 0323529</t>
  </si>
  <si>
    <t>2022-04-09</t>
  </si>
  <si>
    <t>+1 131 7658486</t>
  </si>
  <si>
    <t>2025-05-19</t>
  </si>
  <si>
    <t>+390635109900 ext 62</t>
  </si>
  <si>
    <t>2025-03-29</t>
  </si>
  <si>
    <t>(423) 73230</t>
  </si>
  <si>
    <t>tel:+3900443324</t>
  </si>
  <si>
    <t>2025-06-11</t>
  </si>
  <si>
    <t>+4887043155</t>
  </si>
  <si>
    <t>+353+34973515</t>
  </si>
  <si>
    <t>+44487613596</t>
  </si>
  <si>
    <t>+34233762006</t>
  </si>
  <si>
    <t>2024-11-19</t>
  </si>
  <si>
    <t>709-093-7866</t>
  </si>
  <si>
    <t>2025-07-09</t>
  </si>
  <si>
    <t>tel:+446522705489</t>
  </si>
  <si>
    <t>2022-09-01</t>
  </si>
  <si>
    <t>+4881737171</t>
  </si>
  <si>
    <t>2024-08-28</t>
  </si>
  <si>
    <t>+48 275 91690</t>
  </si>
  <si>
    <t>2023-05-26</t>
  </si>
  <si>
    <t>2025-03-26</t>
  </si>
  <si>
    <t>+39-450-99830</t>
  </si>
  <si>
    <t>2022-07-02</t>
  </si>
  <si>
    <t>+398251232497</t>
  </si>
  <si>
    <t>+48+302608781</t>
  </si>
  <si>
    <t>2023-12-01</t>
  </si>
  <si>
    <t>2023-09-20</t>
  </si>
  <si>
    <t>+34403302807 ext 605</t>
  </si>
  <si>
    <t>2023-05-05</t>
  </si>
  <si>
    <t>2022-04-23</t>
  </si>
  <si>
    <t>2024-11-27</t>
  </si>
  <si>
    <t>(306) 27085</t>
  </si>
  <si>
    <t>+44 4616 7942 50</t>
  </si>
  <si>
    <t>2024-12-27</t>
  </si>
  <si>
    <t>+48 4895-3789-2</t>
  </si>
  <si>
    <t>2025-09-18</t>
  </si>
  <si>
    <t>+48 8670-3146-59</t>
  </si>
  <si>
    <t>+48 866 270 683 7</t>
  </si>
  <si>
    <t>Adam Wlaker</t>
  </si>
  <si>
    <t>+49+0929411498</t>
  </si>
  <si>
    <t>2024-12-03</t>
  </si>
  <si>
    <t>+44+7029287695</t>
  </si>
  <si>
    <t>2022-09-10</t>
  </si>
  <si>
    <t>+39 435 513 611 0</t>
  </si>
  <si>
    <t>2023-10-08</t>
  </si>
  <si>
    <t>+49 767 0818805</t>
  </si>
  <si>
    <t>2024-09-01</t>
  </si>
  <si>
    <t>+353 346 708015</t>
  </si>
  <si>
    <t>+44 399 9447299</t>
  </si>
  <si>
    <t>2023-09-27</t>
  </si>
  <si>
    <t>+482711664102 ext 819</t>
  </si>
  <si>
    <t>2024-11-14</t>
  </si>
  <si>
    <t>(312) 0374952</t>
  </si>
  <si>
    <t>124-700-93417</t>
  </si>
  <si>
    <t>2023-07-23</t>
  </si>
  <si>
    <t>(460) 3194753</t>
  </si>
  <si>
    <t>2022-06-08</t>
  </si>
  <si>
    <t>018-259-510</t>
  </si>
  <si>
    <t>2022-02-21</t>
  </si>
  <si>
    <t>745987647</t>
  </si>
  <si>
    <t>(243) 55170</t>
  </si>
  <si>
    <t>+35356471097</t>
  </si>
  <si>
    <t>2022-01-25</t>
  </si>
  <si>
    <t>tel:+39289324451</t>
  </si>
  <si>
    <t>2024-02-27</t>
  </si>
  <si>
    <t>253782222-</t>
  </si>
  <si>
    <t>+1+8899474394</t>
  </si>
  <si>
    <t>2024-04-19</t>
  </si>
  <si>
    <t>+332216865660 ext 722</t>
  </si>
  <si>
    <t>2024-10-21</t>
  </si>
  <si>
    <t>+1-178-05816734</t>
  </si>
  <si>
    <t>Ehtan Kowalski</t>
  </si>
  <si>
    <t>2022-01-03</t>
  </si>
  <si>
    <t>+39 64-01-89-27-38</t>
  </si>
  <si>
    <t>+332005867733 ext 825</t>
  </si>
  <si>
    <t>2025-05-20</t>
  </si>
  <si>
    <t>+1 037 650202</t>
  </si>
  <si>
    <t>2024-05-07</t>
  </si>
  <si>
    <t>44 91-50-18-91-09</t>
  </si>
  <si>
    <t>2025-08-14</t>
  </si>
  <si>
    <t>+1 219 952 912 12-</t>
  </si>
  <si>
    <t>2022-12-22</t>
  </si>
  <si>
    <t>164-185-099</t>
  </si>
  <si>
    <t>+449785182444</t>
  </si>
  <si>
    <t>(265) 195799</t>
  </si>
  <si>
    <t>2024-08-01</t>
  </si>
  <si>
    <t>-489-331079</t>
  </si>
  <si>
    <t>2025-01-17</t>
  </si>
  <si>
    <t>24x9254129</t>
  </si>
  <si>
    <t>+39 213 206796</t>
  </si>
  <si>
    <t>+49-310-27812889</t>
  </si>
  <si>
    <t>Daria Kowalczyk</t>
  </si>
  <si>
    <t>+39350473848 ext 449</t>
  </si>
  <si>
    <t>2024-01-13</t>
  </si>
  <si>
    <t>+353437295330</t>
  </si>
  <si>
    <t>+39 1202-0919-0</t>
  </si>
  <si>
    <t>2024-11-10</t>
  </si>
  <si>
    <t>362308381x27</t>
  </si>
  <si>
    <t>2024-05-06</t>
  </si>
  <si>
    <t>427-331-7624</t>
  </si>
  <si>
    <t>2023-07-08</t>
  </si>
  <si>
    <t>+39420638049</t>
  </si>
  <si>
    <t>45923x487</t>
  </si>
  <si>
    <t>2491247422</t>
  </si>
  <si>
    <t>2022-12-23</t>
  </si>
  <si>
    <t>Gabe Williams</t>
  </si>
  <si>
    <t>+34-235-31518</t>
  </si>
  <si>
    <t>2024-06-02</t>
  </si>
  <si>
    <t>+33-600-80246</t>
  </si>
  <si>
    <t>2022-09-29</t>
  </si>
  <si>
    <t>+34+102701216</t>
  </si>
  <si>
    <t>2023-12-26</t>
  </si>
  <si>
    <t>+1+642485861</t>
  </si>
  <si>
    <t>2022-01-08</t>
  </si>
  <si>
    <t>Rita Walekr</t>
  </si>
  <si>
    <t>(797) 75138600</t>
  </si>
  <si>
    <t>2023-11-16</t>
  </si>
  <si>
    <t>+496962588155 ext 680</t>
  </si>
  <si>
    <t>2025-04-14</t>
  </si>
  <si>
    <t>+39 279 0826645</t>
  </si>
  <si>
    <t>+33408257680</t>
  </si>
  <si>
    <t>2023-01-30</t>
  </si>
  <si>
    <t>+338027019913</t>
  </si>
  <si>
    <t>2022-06-30</t>
  </si>
  <si>
    <t>Wiktor Tyalor</t>
  </si>
  <si>
    <t>+4432732128</t>
  </si>
  <si>
    <t>2025-07-11</t>
  </si>
  <si>
    <t>+499475170131</t>
  </si>
  <si>
    <t>Carlso Johnson</t>
  </si>
  <si>
    <t>tel:456290341</t>
  </si>
  <si>
    <t>+48362643521</t>
  </si>
  <si>
    <t>+33 08 662090</t>
  </si>
  <si>
    <t>2024-03-19</t>
  </si>
  <si>
    <t>+39540534519</t>
  </si>
  <si>
    <t>2023-05-24</t>
  </si>
  <si>
    <t>+48+095241157</t>
  </si>
  <si>
    <t>+3403540843</t>
  </si>
  <si>
    <t>(188) 7521160</t>
  </si>
  <si>
    <t>2025-03-06</t>
  </si>
  <si>
    <t>+39 521 7999836</t>
  </si>
  <si>
    <t>916x222253</t>
  </si>
  <si>
    <t>2024-02-17</t>
  </si>
  <si>
    <t>(836) 202140</t>
  </si>
  <si>
    <t>2022-03-07</t>
  </si>
  <si>
    <t>+33 0746 0718 8</t>
  </si>
  <si>
    <t>2025-08-31</t>
  </si>
  <si>
    <t>277x47608</t>
  </si>
  <si>
    <t>+49 026 486745</t>
  </si>
  <si>
    <t>2024-01-25</t>
  </si>
  <si>
    <t>+39+2776406954</t>
  </si>
  <si>
    <t>2022-01-18</t>
  </si>
  <si>
    <t>(234) 279358</t>
  </si>
  <si>
    <t>+1-113-69661504</t>
  </si>
  <si>
    <t>2024-08-13</t>
  </si>
  <si>
    <t>+49496238649 ext 653 ext 55</t>
  </si>
  <si>
    <t>+49 097 433 513</t>
  </si>
  <si>
    <t>2025-05-10</t>
  </si>
  <si>
    <t>2024-12-01</t>
  </si>
  <si>
    <t>+33486275188</t>
  </si>
  <si>
    <t>(460) 2807041</t>
  </si>
  <si>
    <t>0191806x61</t>
  </si>
  <si>
    <t>2022-09-22</t>
  </si>
  <si>
    <t>+44-293-27943566</t>
  </si>
  <si>
    <t>2023-01-21</t>
  </si>
  <si>
    <t>+449622401904 ext 623</t>
  </si>
  <si>
    <t>+353+855763158</t>
  </si>
  <si>
    <t>2024-10-15</t>
  </si>
  <si>
    <t>+353-542-03902 x</t>
  </si>
  <si>
    <t>+39-363-24661</t>
  </si>
  <si>
    <t>4842088284</t>
  </si>
  <si>
    <t>55379369x8</t>
  </si>
  <si>
    <t>Qi Lopez</t>
  </si>
  <si>
    <t>(659) 42472</t>
  </si>
  <si>
    <t>2025-07-29</t>
  </si>
  <si>
    <t>Qi Johnson</t>
  </si>
  <si>
    <t>688-633-1385</t>
  </si>
  <si>
    <t>2024-02-05</t>
  </si>
  <si>
    <t>011061246x6</t>
  </si>
  <si>
    <t>+35316022688 ext 775</t>
  </si>
  <si>
    <t>2024-02-22</t>
  </si>
  <si>
    <t>Omar Ordriguez</t>
  </si>
  <si>
    <t>33-092-991996</t>
  </si>
  <si>
    <t>(747) 09997</t>
  </si>
  <si>
    <t>399-690-78</t>
  </si>
  <si>
    <t>2022-02-04</t>
  </si>
  <si>
    <t>50349914x8</t>
  </si>
  <si>
    <t>2024-10-10</t>
  </si>
  <si>
    <t>+44+816770778 ext 55</t>
  </si>
  <si>
    <t>2023-10-05</t>
  </si>
  <si>
    <t>tel:50569978</t>
  </si>
  <si>
    <t>3x70862825</t>
  </si>
  <si>
    <t>2022-09-28</t>
  </si>
  <si>
    <t>+33389063623 ext 77</t>
  </si>
  <si>
    <t>2023-08-02</t>
  </si>
  <si>
    <t>+44 225 767687</t>
  </si>
  <si>
    <t>2025-01-03</t>
  </si>
  <si>
    <t>+44-019-5218979</t>
  </si>
  <si>
    <t>2022-08-04</t>
  </si>
  <si>
    <t> 384 923468</t>
  </si>
  <si>
    <t>tel:+4444658207050</t>
  </si>
  <si>
    <t>8442x7145</t>
  </si>
  <si>
    <t>2023-04-27</t>
  </si>
  <si>
    <t>522-348-811</t>
  </si>
  <si>
    <t>4800940180</t>
  </si>
  <si>
    <t>2022-05-27</t>
  </si>
  <si>
    <t>+48 150 51046</t>
  </si>
  <si>
    <t>2022-05-20</t>
  </si>
  <si>
    <t>2024-11-13</t>
  </si>
  <si>
    <t>+48 496 882849</t>
  </si>
  <si>
    <t>2023-05-01</t>
  </si>
  <si>
    <t>557-172-0629</t>
  </si>
  <si>
    <t>2022-05-01</t>
  </si>
  <si>
    <t>+49-93-76566162</t>
  </si>
  <si>
    <t>2022-06-16</t>
  </si>
  <si>
    <t>+1 586 0297604</t>
  </si>
  <si>
    <t>+1 837 0051713</t>
  </si>
  <si>
    <t>+34+14267289</t>
  </si>
  <si>
    <t>+49 567 9945486</t>
  </si>
  <si>
    <t>2025-09-12</t>
  </si>
  <si>
    <t>+39110512260</t>
  </si>
  <si>
    <t>2023-10-26</t>
  </si>
  <si>
    <t>+44 40-10-59-07-73</t>
  </si>
  <si>
    <t>2022-11-06</t>
  </si>
  <si>
    <t>+33-747-5705842</t>
  </si>
  <si>
    <t>2024-11-09</t>
  </si>
  <si>
    <t>(324) 11680098</t>
  </si>
  <si>
    <t>2025-05-16</t>
  </si>
  <si>
    <t>+35337652434</t>
  </si>
  <si>
    <t>2024-10-28</t>
  </si>
  <si>
    <t>2071x29794</t>
  </si>
  <si>
    <t>2024-12-02</t>
  </si>
  <si>
    <t>090 180 893</t>
  </si>
  <si>
    <t>+39 992 807609</t>
  </si>
  <si>
    <t>(572) 178198</t>
  </si>
  <si>
    <t>2022-04-13</t>
  </si>
  <si>
    <t>+4473994904044 ext 669</t>
  </si>
  <si>
    <t>2022-09-17</t>
  </si>
  <si>
    <t>2022-08-18</t>
  </si>
  <si>
    <t>+34 50717118 7</t>
  </si>
  <si>
    <t>+33 360-402-526</t>
  </si>
  <si>
    <t>2025-02-24</t>
  </si>
  <si>
    <t>Bella Davis</t>
  </si>
  <si>
    <t>+39 97 22 11 94</t>
  </si>
  <si>
    <t>2025-09-13</t>
  </si>
  <si>
    <t>+34544967131 ext 413</t>
  </si>
  <si>
    <t>2024-12-15</t>
  </si>
  <si>
    <t>(118) 139155</t>
  </si>
  <si>
    <t>2025-05-07</t>
  </si>
  <si>
    <t>+496769401510 ext 715</t>
  </si>
  <si>
    <t>2022-03-28</t>
  </si>
  <si>
    <t>412) 799211</t>
  </si>
  <si>
    <t>2022-01-23</t>
  </si>
  <si>
    <t>(318) 48518</t>
  </si>
  <si>
    <t>2023-09-25</t>
  </si>
  <si>
    <t>2022-12-20</t>
  </si>
  <si>
    <t>+48 575 115 119 8</t>
  </si>
  <si>
    <t>Qi King</t>
  </si>
  <si>
    <t>+1-123-953669</t>
  </si>
  <si>
    <t>2023-11-02</t>
  </si>
  <si>
    <t>+33709001521 ext 134</t>
  </si>
  <si>
    <t>2022-09-27</t>
  </si>
  <si>
    <t>375-766-36023</t>
  </si>
  <si>
    <t>(327) 1708358</t>
  </si>
  <si>
    <t>STEP 1</t>
  </si>
  <si>
    <t>STEP 2</t>
  </si>
  <si>
    <t>STEP 3</t>
  </si>
  <si>
    <t>STEP 4</t>
  </si>
  <si>
    <t>STEP 5</t>
  </si>
  <si>
    <t>order_date_F</t>
  </si>
  <si>
    <t>customer_name_dirty_F</t>
  </si>
  <si>
    <t>customer_name_F</t>
  </si>
  <si>
    <t>email_dirty</t>
  </si>
  <si>
    <t>phone_F</t>
  </si>
  <si>
    <t>region_F</t>
  </si>
  <si>
    <t>sku_flag</t>
  </si>
  <si>
    <t>category_F</t>
  </si>
  <si>
    <t>quantity_flag</t>
  </si>
  <si>
    <t>base_price_GBP</t>
  </si>
  <si>
    <t>total_base_price_GBP</t>
  </si>
  <si>
    <t>region_price</t>
  </si>
  <si>
    <t>total_region_price</t>
  </si>
  <si>
    <t>region_currency</t>
  </si>
  <si>
    <t>shipping_method_F</t>
  </si>
  <si>
    <t>payment_type_F</t>
  </si>
  <si>
    <t>✅ OK</t>
  </si>
  <si>
    <t>2023-05-25</t>
  </si>
  <si>
    <t>2024-02-14</t>
  </si>
  <si>
    <t>2024-03-08</t>
  </si>
  <si>
    <t>2023-08-03</t>
  </si>
  <si>
    <t>2023-10-16</t>
  </si>
  <si>
    <t>2023-07-29</t>
  </si>
  <si>
    <t>EUR_ITA</t>
  </si>
  <si>
    <t>2023-02-04</t>
  </si>
  <si>
    <t>EUR_DEU</t>
  </si>
  <si>
    <t>2023-05-12</t>
  </si>
  <si>
    <t>EUR_IRL</t>
  </si>
  <si>
    <t>Portable DHD 2TB</t>
  </si>
  <si>
    <t>2024-01-02</t>
  </si>
  <si>
    <t>EUR_FRA</t>
  </si>
  <si>
    <t>2024-04-29</t>
  </si>
  <si>
    <t>EUR_ESP</t>
  </si>
  <si>
    <t>2025-08-20</t>
  </si>
  <si>
    <t>2024-03-03</t>
  </si>
  <si>
    <t>2023-03-01</t>
  </si>
  <si>
    <t>2025-09-07</t>
  </si>
  <si>
    <t>2024-11-30</t>
  </si>
  <si>
    <t>2024-12-08</t>
  </si>
  <si>
    <t>2025-01-25</t>
  </si>
  <si>
    <t>27in Monitor</t>
  </si>
  <si>
    <t>2024-10-30</t>
  </si>
  <si>
    <t>2025-06-25</t>
  </si>
  <si>
    <t>2023-02-15</t>
  </si>
  <si>
    <t>❌ Missing</t>
  </si>
  <si>
    <t>2023-10-15</t>
  </si>
  <si>
    <t>2024-02-24</t>
  </si>
  <si>
    <t>4 K Monitor 32</t>
  </si>
  <si>
    <t>2024-05-04</t>
  </si>
  <si>
    <t>2023-05-08</t>
  </si>
  <si>
    <t>2024-07-08</t>
  </si>
  <si>
    <t>2023-02-06</t>
  </si>
  <si>
    <t>2024-03-18</t>
  </si>
  <si>
    <t>2023-07-17</t>
  </si>
  <si>
    <t>2024-07-20</t>
  </si>
  <si>
    <t>2024-03-20</t>
  </si>
  <si>
    <t>2025-04-13</t>
  </si>
  <si>
    <t>2025-08-21</t>
  </si>
  <si>
    <t>2023-03-19</t>
  </si>
  <si>
    <t>2025-03-05</t>
  </si>
  <si>
    <t>2023-02-24</t>
  </si>
  <si>
    <t>2024-04-04</t>
  </si>
  <si>
    <t>2024-03-25</t>
  </si>
  <si>
    <t>2023-09-30</t>
  </si>
  <si>
    <t>2024-01-12</t>
  </si>
  <si>
    <t>2023-12-22</t>
  </si>
  <si>
    <t>2023-02-11</t>
  </si>
  <si>
    <t>2025-07-19</t>
  </si>
  <si>
    <t>2023-07-07</t>
  </si>
  <si>
    <t>2024-11-26</t>
  </si>
  <si>
    <t>Router XA5400</t>
  </si>
  <si>
    <t>2025-10-09</t>
  </si>
  <si>
    <t>2023-03-07</t>
  </si>
  <si>
    <t>2024-04-05</t>
  </si>
  <si>
    <t>2023-03-22</t>
  </si>
  <si>
    <t>2023-08-29</t>
  </si>
  <si>
    <t>2025-04-26</t>
  </si>
  <si>
    <t>2024-02-23</t>
  </si>
  <si>
    <t>2024-05-29</t>
  </si>
  <si>
    <t>2024-12-25</t>
  </si>
  <si>
    <t>2024-02-07</t>
  </si>
  <si>
    <t>2023-01-12</t>
  </si>
  <si>
    <t>2024-05-28</t>
  </si>
  <si>
    <t>2025-08-18</t>
  </si>
  <si>
    <t>External SSD 1BT</t>
  </si>
  <si>
    <t>2024-02-12</t>
  </si>
  <si>
    <t>2023-10-03</t>
  </si>
  <si>
    <t>2023-09-06</t>
  </si>
  <si>
    <t>2024-07-26</t>
  </si>
  <si>
    <t>2024-05-11</t>
  </si>
  <si>
    <t>2025-06-02</t>
  </si>
  <si>
    <t>2025-04-05</t>
  </si>
  <si>
    <t>2024-08-27</t>
  </si>
  <si>
    <t>2024-12-17</t>
  </si>
  <si>
    <t>2025-01-29</t>
  </si>
  <si>
    <t>2023-07-09</t>
  </si>
  <si>
    <t>2025-05-31</t>
  </si>
  <si>
    <t>2024-04-16</t>
  </si>
  <si>
    <t>2023-02-13</t>
  </si>
  <si>
    <t>2025-07-10</t>
  </si>
  <si>
    <t>2025-04-16</t>
  </si>
  <si>
    <t>2023-01-29</t>
  </si>
  <si>
    <t>2023-01-18</t>
  </si>
  <si>
    <t>2025-08-10</t>
  </si>
  <si>
    <t>xEternal SSD 1TB</t>
  </si>
  <si>
    <t>2024-05-22</t>
  </si>
  <si>
    <t>2024-11-02</t>
  </si>
  <si>
    <t>2024-11-07</t>
  </si>
  <si>
    <t>2024-05-17</t>
  </si>
  <si>
    <t>2024-07-11</t>
  </si>
  <si>
    <t>2024-11-18</t>
  </si>
  <si>
    <t>2023-04-10</t>
  </si>
  <si>
    <t>2024-08-31</t>
  </si>
  <si>
    <t>2023-12-24</t>
  </si>
  <si>
    <t>2025-03-04</t>
  </si>
  <si>
    <t>2023-07-14</t>
  </si>
  <si>
    <t>2024-10-24</t>
  </si>
  <si>
    <t>2023-12-20</t>
  </si>
  <si>
    <t>2025-04-07</t>
  </si>
  <si>
    <t>2024-05-14</t>
  </si>
  <si>
    <t>2023-10-22</t>
  </si>
  <si>
    <t>2024-05-30</t>
  </si>
  <si>
    <t>2024-06-15</t>
  </si>
  <si>
    <t>2023-10-04</t>
  </si>
  <si>
    <t>2023-04-04</t>
  </si>
  <si>
    <t>2025-07-24</t>
  </si>
  <si>
    <t>2024-07-22</t>
  </si>
  <si>
    <t>2025-08-07</t>
  </si>
  <si>
    <t>2025-04-06</t>
  </si>
  <si>
    <t>2025-02-06</t>
  </si>
  <si>
    <t>2024-03-06</t>
  </si>
  <si>
    <t>2023-07-03</t>
  </si>
  <si>
    <t>Wireless oMuse</t>
  </si>
  <si>
    <t>2025-07-27</t>
  </si>
  <si>
    <t>2023-02-20</t>
  </si>
  <si>
    <t>2024-11-12</t>
  </si>
  <si>
    <t>2023-08-11</t>
  </si>
  <si>
    <t>2023-12-04</t>
  </si>
  <si>
    <t>2024-04-30</t>
  </si>
  <si>
    <t>2025-03-15</t>
  </si>
  <si>
    <t>2023-10-27</t>
  </si>
  <si>
    <t>2024-02-13</t>
  </si>
  <si>
    <t>2025-09-21</t>
  </si>
  <si>
    <t>2024-08-16</t>
  </si>
  <si>
    <t>2023-02-05</t>
  </si>
  <si>
    <t>2023-08-15</t>
  </si>
  <si>
    <t>2024-01-08</t>
  </si>
  <si>
    <t>2024-05-02</t>
  </si>
  <si>
    <t>2024-10-07</t>
  </si>
  <si>
    <t>2023-05-29</t>
  </si>
  <si>
    <t>2025-05-28</t>
  </si>
  <si>
    <t>2023-10-07</t>
  </si>
  <si>
    <t>2024-04-14</t>
  </si>
  <si>
    <t>2023-02-03</t>
  </si>
  <si>
    <t>2025-01-24</t>
  </si>
  <si>
    <t>2025-08-08</t>
  </si>
  <si>
    <t>2023-01-10</t>
  </si>
  <si>
    <t>2023-07-30</t>
  </si>
  <si>
    <t>2025-06-12</t>
  </si>
  <si>
    <t>2025-01-28</t>
  </si>
  <si>
    <t>2023-01-13</t>
  </si>
  <si>
    <t>2023-08-30</t>
  </si>
  <si>
    <t>2024-09-06</t>
  </si>
  <si>
    <t>2023-04-18</t>
  </si>
  <si>
    <t>2023-12-08</t>
  </si>
  <si>
    <t>2024-10-09</t>
  </si>
  <si>
    <t>2025-07-14</t>
  </si>
  <si>
    <t>2023-09-16</t>
  </si>
  <si>
    <t>2023-03-29</t>
  </si>
  <si>
    <t>2023-12-30</t>
  </si>
  <si>
    <t>2024-10-05</t>
  </si>
  <si>
    <t>2024-08-03</t>
  </si>
  <si>
    <t>2023-04-21</t>
  </si>
  <si>
    <t>2023-06-17</t>
  </si>
  <si>
    <t>2025-08-03</t>
  </si>
  <si>
    <t>2023-06-16</t>
  </si>
  <si>
    <t>2024-06-26</t>
  </si>
  <si>
    <t>2023-04-07</t>
  </si>
  <si>
    <t>2025-01-26</t>
  </si>
  <si>
    <t>2023-09-10</t>
  </si>
  <si>
    <t>2024-08-08</t>
  </si>
  <si>
    <t>2024-09-02</t>
  </si>
  <si>
    <t>2024-04-17</t>
  </si>
  <si>
    <t>2024-08-30</t>
  </si>
  <si>
    <t>2024-07-13</t>
  </si>
  <si>
    <t>2025-02-18</t>
  </si>
  <si>
    <t>2025-03-10</t>
  </si>
  <si>
    <t>2023-06-23</t>
  </si>
  <si>
    <t>2024-04-03</t>
  </si>
  <si>
    <t>2025-08-30</t>
  </si>
  <si>
    <t>2024-07-01</t>
  </si>
  <si>
    <t>2024-12-28</t>
  </si>
  <si>
    <t>2024-05-15</t>
  </si>
  <si>
    <t>2023-04-08</t>
  </si>
  <si>
    <t>2025-09-17</t>
  </si>
  <si>
    <t>2025-04-20</t>
  </si>
  <si>
    <t>2023-01-26</t>
  </si>
  <si>
    <t>2023-05-19</t>
  </si>
  <si>
    <t>2025-09-10</t>
  </si>
  <si>
    <t>2024-07-07</t>
  </si>
  <si>
    <t>2024-01-16</t>
  </si>
  <si>
    <t>2025-04-11</t>
  </si>
  <si>
    <t>2024-10-19</t>
  </si>
  <si>
    <t>2025-03-11</t>
  </si>
  <si>
    <t>2025-05-03</t>
  </si>
  <si>
    <t>2023-05-04</t>
  </si>
  <si>
    <t>2023-10-25</t>
  </si>
  <si>
    <t>2025-02-23</t>
  </si>
  <si>
    <t>2024-12-30</t>
  </si>
  <si>
    <t>2025-04-02</t>
  </si>
  <si>
    <t>2024-03-04</t>
  </si>
  <si>
    <t>2024-11-03</t>
  </si>
  <si>
    <t>2023-11-24</t>
  </si>
  <si>
    <t>2023-08-10</t>
  </si>
  <si>
    <t>2024-11-25</t>
  </si>
  <si>
    <t>2023-04-26</t>
  </si>
  <si>
    <t>2023-04-13</t>
  </si>
  <si>
    <t>2023-04-02</t>
  </si>
  <si>
    <t>2024-09-27</t>
  </si>
  <si>
    <t>2023-03-27</t>
  </si>
  <si>
    <t>2024-11-16</t>
  </si>
  <si>
    <t>2025-05-05</t>
  </si>
  <si>
    <t>2024-10-11</t>
  </si>
  <si>
    <t>2024-05-05</t>
  </si>
  <si>
    <t>2024-08-07</t>
  </si>
  <si>
    <t>2025-02-03</t>
  </si>
  <si>
    <t>2023-11-19</t>
  </si>
  <si>
    <t>2023-09-28</t>
  </si>
  <si>
    <t>2024-05-21</t>
  </si>
  <si>
    <t>2024-03-12</t>
  </si>
  <si>
    <t>2025-08-25</t>
  </si>
  <si>
    <t>2025-03-28</t>
  </si>
  <si>
    <t>2023-06-24</t>
  </si>
  <si>
    <t>2023-05-06</t>
  </si>
  <si>
    <t>2023-05-07</t>
  </si>
  <si>
    <t>2024-04-23</t>
  </si>
  <si>
    <t>2023-09-14</t>
  </si>
  <si>
    <t>2023-06-10</t>
  </si>
  <si>
    <t>2024-04-13</t>
  </si>
  <si>
    <t>2025-02-16</t>
  </si>
  <si>
    <t>2024-03-28</t>
  </si>
  <si>
    <t>2024-08-05</t>
  </si>
  <si>
    <t>2024-10-26</t>
  </si>
  <si>
    <t>2023-03-03</t>
  </si>
  <si>
    <t>2024-12-06</t>
  </si>
  <si>
    <t>2025-04-23</t>
  </si>
  <si>
    <t>2023-02-01</t>
  </si>
  <si>
    <t>2023-03-24</t>
  </si>
  <si>
    <t>2025-03-20</t>
  </si>
  <si>
    <t>2025-01-23</t>
  </si>
  <si>
    <t>2023-09-09</t>
  </si>
  <si>
    <t>2025-01-01</t>
  </si>
  <si>
    <t>2023-09-21</t>
  </si>
  <si>
    <t>2025-06-26</t>
  </si>
  <si>
    <t>2024-04-22</t>
  </si>
  <si>
    <t>2024-08-09</t>
  </si>
  <si>
    <t>2024-11-05</t>
  </si>
  <si>
    <t>2024-06-10</t>
  </si>
  <si>
    <t>2023-01-07</t>
  </si>
  <si>
    <t>2023-08-22</t>
  </si>
  <si>
    <t>2025-07-03</t>
  </si>
  <si>
    <t>2025-07-17</t>
  </si>
  <si>
    <t>2025-11-08</t>
  </si>
  <si>
    <t>2025-09-23</t>
  </si>
  <si>
    <t>2024-06-22</t>
  </si>
  <si>
    <t>2024-03-07</t>
  </si>
  <si>
    <t>2025-09-02</t>
  </si>
  <si>
    <t>2023-04-30</t>
  </si>
  <si>
    <t>2023-03-23</t>
  </si>
  <si>
    <t>2023-06-25</t>
  </si>
  <si>
    <t>2023-07-15</t>
  </si>
  <si>
    <t>2025-01-22</t>
  </si>
  <si>
    <t>2025-02-26</t>
  </si>
  <si>
    <t>2025-01-19</t>
  </si>
  <si>
    <t>2023-09-07</t>
  </si>
  <si>
    <t>2023-05-15</t>
  </si>
  <si>
    <t>2023-06-26</t>
  </si>
  <si>
    <t>2024-07-17</t>
  </si>
  <si>
    <t>2024-02-26</t>
  </si>
  <si>
    <t>2024-06-09</t>
  </si>
  <si>
    <t>2025-04-18</t>
  </si>
  <si>
    <t>2023-08-28</t>
  </si>
  <si>
    <t>2024-11-29</t>
  </si>
  <si>
    <t>2023-12-09</t>
  </si>
  <si>
    <t>2023-06-28</t>
  </si>
  <si>
    <t>2024-11-15</t>
  </si>
  <si>
    <t>2023-11-27</t>
  </si>
  <si>
    <t>2024-03-21</t>
  </si>
  <si>
    <t>2024-08-12</t>
  </si>
  <si>
    <t>2023-07-06</t>
  </si>
  <si>
    <t>2023-01-14</t>
  </si>
  <si>
    <t>2023-06-13</t>
  </si>
  <si>
    <t>2025-07-25</t>
  </si>
  <si>
    <t>2024-05-23</t>
  </si>
  <si>
    <t>2023-06-15</t>
  </si>
  <si>
    <t>2024-01-05</t>
  </si>
  <si>
    <t>2023-02-26</t>
  </si>
  <si>
    <t>2025-08-05</t>
  </si>
  <si>
    <t>2025-02-27</t>
  </si>
  <si>
    <t>2023-01-27</t>
  </si>
  <si>
    <t>2025-07-12</t>
  </si>
  <si>
    <t>2024-09-30</t>
  </si>
  <si>
    <t>2023-02-07</t>
  </si>
  <si>
    <t>2024-11-28</t>
  </si>
  <si>
    <t>2023-11-23</t>
  </si>
  <si>
    <t>2023-08-16</t>
  </si>
  <si>
    <t>2023-04-23</t>
  </si>
  <si>
    <t>2024-03-26</t>
  </si>
  <si>
    <t>2025-05-25</t>
  </si>
  <si>
    <t>2024-03-29</t>
  </si>
  <si>
    <t>2024-06-21</t>
  </si>
  <si>
    <t>2023-03-13</t>
  </si>
  <si>
    <t>2023-10-01</t>
  </si>
  <si>
    <t>2024-08-10</t>
  </si>
  <si>
    <t>2024-03-17</t>
  </si>
  <si>
    <t>2024-09-28</t>
  </si>
  <si>
    <t>2025-04-28</t>
  </si>
  <si>
    <t>2023-05-17</t>
  </si>
  <si>
    <t>2025-05-13</t>
  </si>
  <si>
    <t>2024-10-03</t>
  </si>
  <si>
    <t>2025-06-03</t>
  </si>
  <si>
    <t>2023-11-04</t>
  </si>
  <si>
    <t>2023-10-20</t>
  </si>
  <si>
    <t>2025-02-20</t>
  </si>
  <si>
    <t>2023-12-29</t>
  </si>
  <si>
    <t>2024-10-17</t>
  </si>
  <si>
    <t>2025-01-07</t>
  </si>
  <si>
    <t>2025-07-07</t>
  </si>
  <si>
    <t>2025-08-22</t>
  </si>
  <si>
    <t>2025-07-13</t>
  </si>
  <si>
    <t>2025-01-09</t>
  </si>
  <si>
    <t>2023-08-18</t>
  </si>
  <si>
    <t>2023-03-25</t>
  </si>
  <si>
    <t>2025-06-19</t>
  </si>
  <si>
    <t>2024-04-06</t>
  </si>
  <si>
    <t>2025-02-14</t>
  </si>
  <si>
    <t>2023-04-17</t>
  </si>
  <si>
    <t>2023-01-16</t>
  </si>
  <si>
    <t>2023-07-27</t>
  </si>
  <si>
    <t>2023-05-31</t>
  </si>
  <si>
    <t>2025-01-15</t>
  </si>
  <si>
    <t>2024-01-15</t>
  </si>
  <si>
    <t>2023-03-11</t>
  </si>
  <si>
    <t>2025-07-05</t>
  </si>
  <si>
    <t>2023-02-09</t>
  </si>
  <si>
    <t>2024-06-05</t>
  </si>
  <si>
    <t>2023-05-22</t>
  </si>
  <si>
    <t>2023-06-29</t>
  </si>
  <si>
    <t>2025-06-17</t>
  </si>
  <si>
    <t>2024-04-20</t>
  </si>
  <si>
    <t>2024-05-26</t>
  </si>
  <si>
    <t>2024-10-13</t>
  </si>
  <si>
    <t>2024-02-15</t>
  </si>
  <si>
    <t>2025-06-04</t>
  </si>
  <si>
    <t>2024-10-16</t>
  </si>
  <si>
    <t>2023-02-08</t>
  </si>
  <si>
    <t>2024-07-21</t>
  </si>
  <si>
    <t>2023-06-08</t>
  </si>
  <si>
    <t>2023-08-14</t>
  </si>
  <si>
    <t>2023-12-25</t>
  </si>
  <si>
    <t>2025-05-12</t>
  </si>
  <si>
    <t>2024-01-04</t>
  </si>
  <si>
    <t>2023-02-22</t>
  </si>
  <si>
    <t>2024-05-10</t>
  </si>
  <si>
    <t>2024-08-21</t>
  </si>
  <si>
    <t>2023-12-23</t>
  </si>
  <si>
    <t>2023-01-15</t>
  </si>
  <si>
    <t>2023-08-27</t>
  </si>
  <si>
    <t>2025-01-21</t>
  </si>
  <si>
    <t>2025-02-08</t>
  </si>
  <si>
    <t>2025-08-09</t>
  </si>
  <si>
    <t>2023-02-27</t>
  </si>
  <si>
    <t>2024-06-04</t>
  </si>
  <si>
    <t>2023-11-15</t>
  </si>
  <si>
    <t>2024-01-19</t>
  </si>
  <si>
    <t>2025-03-12</t>
  </si>
  <si>
    <t>2023-07-28</t>
  </si>
  <si>
    <t>2025-09-22</t>
  </si>
  <si>
    <t>2024-11-04</t>
  </si>
  <si>
    <t>2024-12-14</t>
  </si>
  <si>
    <t>2024-04-08</t>
  </si>
  <si>
    <t>2025-09-09</t>
  </si>
  <si>
    <t>2023-10-29</t>
  </si>
  <si>
    <t>2025-09-14</t>
  </si>
  <si>
    <t>2024-01-28</t>
  </si>
  <si>
    <t>2023-08-17</t>
  </si>
  <si>
    <t>2023-11-07</t>
  </si>
  <si>
    <t>1. Referential Consistency</t>
  </si>
  <si>
    <t>% of orders with valid SKU</t>
  </si>
  <si>
    <t>Orders_clean</t>
  </si>
  <si>
    <t>% of orders with valid customer_id</t>
  </si>
  <si>
    <t>Total_blank</t>
  </si>
  <si>
    <t>Count of orphan orders</t>
  </si>
  <si>
    <t>rows</t>
  </si>
  <si>
    <t>2. Data Completeness</t>
  </si>
  <si>
    <t>% completeness – order_date</t>
  </si>
  <si>
    <t>fields</t>
  </si>
  <si>
    <t>% completeness – total_price</t>
  </si>
  <si>
    <t>Customers_clean</t>
  </si>
  <si>
    <t>Avg missing fields per record (orders_clean)</t>
  </si>
  <si>
    <t>Avg missing fields per record (customers_clean)</t>
  </si>
  <si>
    <t>3. Data Uniqueness</t>
  </si>
  <si>
    <t>% unique customer_id</t>
  </si>
  <si>
    <t>% unique sku</t>
  </si>
  <si>
    <t>% duplicate orders</t>
  </si>
  <si>
    <t>4. Data Validity</t>
  </si>
  <si>
    <t>% valid email</t>
  </si>
  <si>
    <t>% valid phone</t>
  </si>
  <si>
    <t>% valid full_name</t>
  </si>
  <si>
    <t>SKU</t>
  </si>
  <si>
    <t>Product_Name</t>
  </si>
  <si>
    <t>Base_Price_GBP</t>
  </si>
  <si>
    <t>Price_UK_GBP</t>
  </si>
  <si>
    <t>Price_FR_EUR</t>
  </si>
  <si>
    <t>Price_DE_EUR</t>
  </si>
  <si>
    <t>Price_IE_EUR</t>
  </si>
  <si>
    <t>Price_IT_EUR</t>
  </si>
  <si>
    <t>Price_PL_PLN</t>
  </si>
  <si>
    <t>Price_ES_EUR</t>
  </si>
  <si>
    <t>Price_US_USD</t>
  </si>
  <si>
    <t>price_flag</t>
  </si>
  <si>
    <t>verified</t>
  </si>
  <si>
    <t>tasks_brief</t>
  </si>
  <si>
    <t xml:space="preserve">
CLIENT: ByteBox Electronics — Multi-channel E‑commerce
DATE RANGE: 2023–2025 (exports from web shop, marketplace, in-store POS)
CONTACT: Finance &amp; Ops request a 'clean sheet' for monthly KPIs and audit.
DELIVERABLES (from you):
1) Clean versions of all tabs (orders_clean, customers_clean, products_clean) with consistent types.
2) One pivot tab with 3–4 KPIs by Month &amp; Channel (e.g., Orders, Total Sales (GBP), AOV, Refund Rate).
3) Short 'Change Log' with bullet points of what you fixed (keep it concise).
CLEANING TASKS TO PERFORM (entry-level realistic):
- Dates: unify mixed formats; convert Excel serials; keep datetime in ISO (YYYY-MM-DD).
- Currency/Amounts: parse strings with symbols/commas/decimal commas; normalize totals to GBP.
- Text normalization: trim/deduplicate whitespace; fix casing for region/channel/status/category.
- Keys &amp; Duplicates: remove exact &amp; near-duplicate orders; ensure stable primary keys (order_id, sku, customer_id).
- Joins sanity: confirm that each order’s sku exists in products and customer_id exists in customers.
- Booleans: standardize Yes/No style fields (e.g., products.active, customers.marketing_opt_in).
- Missing values: decide sensible defaults vs blanks (document your decisions).
- Phone/Email: basic validation (format/obvious junk), don’t over-engineer.
OPTIONAL BONUS (if time allows):
- KPI add-ons: AOV by Channel &amp; Region; Refund Rate by Month; Top 10 SKUs by Sales.
- Simple fraud-ish flags: unusually high quantity or many refunds tied to one email/phone.
- Product price sanity check: compare orders.unit_price_gbp vs products.list_price (after parsing).
CHANGE LOG (to fill by analyst as you work):
- [ ] Step 1 — Data Audit
Performed column-by-column audit on orders_clean.
Findings:
1. Heavy mix of date formats (multiple separators, text months, Excel serials).
2. customer_name: inconsistent casing and extra spaces → TRIM + PROPER needed.
3. email: missing values and untrimmed entries → validation + cleanup required.
4. phone: multiple formats and nulls → normalization required.
5. region: inconsistent casing → TRIM + standardize naming.
6. sales_channel: typos and case inconsistencies → cleanup required.
7. status: mixed casing and typos → TRIM + normalization.
8. order_id, sku, customer_id: no visible syntax issues but potential duplicates.
9. product_name: minor typos → TRIM + normalization.
10. category: spelling inconsistencies → TRIM + PROPER.
11. unit_price_gbp: several missing values.
12. quantity: few nulls.
13. total_price: mixed currencies and separators → normalization needed.
14. currency: inconsistent casing → TRIM + UPPER.
15. shipping_method &amp; payment_type: mixed text formats → cleanup needed.
16. notes: mostly blank → optional field.
- [ ] Step 2 — Cleaning Strategy Definition
Planned logical order of operations before transformations:
1. Remove duplicate rows (based on order_id, customer_id, sku).
2. Standardize order_date column (unify mixed formats and convert to true date type).
3. Normalize currency data:
   - Parse total_price with symbols and decimal variations.
   - Use quantity to calculate missing unit_price_gbp where possible.
   - Keep currency codes consistent (GBP, EUR, USD, PLN).
4. Text normalization (TRIM + PROPER + standardize casing).
5. Handle nulls and validate key columns before final QA checks.
- [ ] Step 3 —Duplicate Removal
Used Data → Data Cleanup → Remove duplicates.
Checked unicity based on (order_id, customer_id, sku, order_date).
22 duplicate rows removed.
Visual inspection confirmed dataset consistency after cleanup.
- [ ] Step 4 — Created working column order_date_clean and normalized raw order_date values.
Auto-parse first: changed source column to Date format; extracted patterns with helper cols (step_1, step_2).
Pattern handling:
^\d{5}- → extracted 5-digit serial → converted via base 1900 → formatted YYYY-MM-DD.
^\d{2}-\d{2}-\d{4}-\d{2}-\d{2}$ → extracted first 3 segments → kept DD-MM-YYYY.
^\d{2}-\d{2}-\d{4}$ → detected mixed locales; flipped to ISO where needed.
Conflict resolution: used conditional formatting buckets to isolate US vs EU ambiguities; manually corrected edge cases.
Finalization: consolidated results into order_date_F (ISO YYYY-MM-DD); verified no blanks.
- [ ] Step 5 — Currency Normalization &amp; Price Parsing  
Created helper columns to clean `total_price` values.  
Used REGEXREPLACE to strip symbols (`£`, `$`, `€`, `zł`) and extra characters, keeping only digits and decimal separators.  
Handled mixed thousand/decimal separators using conditional REGEX logic:  
- `(.*),(\d{2})$` → replaced last comma with period;  
- removed remaining commas.  
Validated numeric conversion with VALUE().  
Normalized `currency` column using TRIM + UPPER to ensure consistent codes (GBP, EUR, USD, PLN).  
Created calculated field `total_price_in_GBP` using static FX snapshot (README reference)
All totals successfully converted to GBP baseline.  
- [ ] Step 6 — Column Standardization &amp; Cross-Table Mapping  
Linked `orders_clean` with `products_clean` to align category metadata via XLOOKUP on `sku`.  
Created derived column `category_from_orders` and consolidated into `category_final`.  
Confirmed consistent SKU–Category mapping for all rows.  
- [ ] Step 7 — Product Table Cleaning  
Created `products_clean` from raw source.  
Applied identical numeric cleaning logic as for orders (`list_price` → `list_price_F`).  
Detected and corrected decimal separator issues using 
followed by VALUE() conversion.  
All product-level prices successfully converted to numeric format.  
- [ ] Step 8 — Discovered Pricing Inconsistencies (Audit Stop Point)  
While validating prices between `orders_clean` and `products_clean`, found multiple SKUs with unrealistic or contradictory unit prices even within the same currency (GBP).  
Observed deviations &gt;100 % for identical SKUs, indicating generation noise or multi-source conflict.  
- [] Step 9 — Replaced outdated pricing columns (unit_price_gbp, total_price, total_price_in_GBP) using verified data from products_master_corrected via XLOOKUP by SKU and Region.
Introduced unified regional currency codes for Euro-zone countries only — following ISO-3 format:
EUR_FRA, EUR_ITA, EUR_IRL, EUR_DEU, EUR_ESP.
Non-Euro regions (PLN, USD) remained unchanged.
Calculated unit_price_local dynamically per region, fully aligned with verified master data.
Computed total_region_price = unit_price_local * quantity to reflect local sales totals.
Added total_base_price_GBP to represent standardized GBP reference values per product.
- [] Step 10 — Customer data deduplication and regional standardization
Created helper column customer_id_flag to identify duplicate and unique records using conditional logic.
Verified duplicates manually — confirmed identical entries differing only in case sensitivity (e.g. John Smith vs john smith).
Removed ~20 redundant rows, including duplicate and fully blank records (no ID, name, or email).
Standardized values in the region column to ensure consistent naming conventions across all customer entries.
Post-cleaning check confirms all customer_id values are now unique and non-blank.
- [] Step 11 — Compared full_name_clean with names derived from email local-part (post PROPER + TRIM normalization).
Identified ~40 records where email provided a clear and correct reference — manually corrected full names based on email.
Remaining mismatches (cases where email contained intentional character swaps or creative aliases) were flagged for stakeholder review rather than overwritten.
Final verification confirms all customer IDs remain consistent and all corrected names maintain valid two-word structure.
- [] Step 12 — Normalized all email fields (LOWER + TRIM + SUBSTITUTE(CHAR(160),"")).
Applied REGEX validation pattern to detect structural anomalies.
Identified 4 invalid entries (missing domain, misplaced space, or malformed address).
Invalid emails intentionally left unmodified and flagged for stakeholder review.
Post-check: all remaining records confirmed valid and unique across customer IDs.
- [] Step 13 – Phone Numbers Normalization (Region: POLAND)
# All phone numbers standardized to the Polish national format.
# Actions performed:
# - Removed country codes (+48 / 48) and all special symbols, spaces, and extensions (x, ext, extension).
# - Normalized to 9-digit national structure consistent with PL numbering plan.
# - Verified mobile prefixes: 50/51/53/56/57/59, 60/66/69, 72–79, 88.
# - Applied validation flags (✅ VALID / ❌ INVALID) and digit count check.
# - Result: 6 valid mobile numbers confirmed for the Poland region.
# - Invalid or incomplete numbers (too short, too long, landline, or missing prefix) were excluded from further analysis.
- [] Step 14–21 – International Phone Numbers Normalization &amp; Validation
# Covered Regions: France (FRA), Germany (DEU), Ireland (IRL), Italy (ITA), Spain (ESP), United States (USA)
# ===========================================
# FRANCE (FRA)
# - Removed +33 / 33 / 0033 prefixes and cleaned all special symbols and spaces.
# - Normalized to 10-digit national format (leading 0 retained).
# - Mobile prefixes validated: 06 and 07.
# - Validation rule: ^0[67] AND LEN=10.
# - Result: 1 valid mobile number (FRA).
# ===========================================
# GERMANY (DEU)
# - Removed +49 / 49 / 0049 prefixes and normalized to national structure.
# - Leading zero restored where missing.
# - Mobile prefixes validated: 015, 016, 017.
# - Validation rule: ^0(15|16|17) AND LEN between 10–11 digits.
# - Result: 0 valid numbers due to missing or malformed records.
# - Note: German numbering plan allows variable length (10–11 digits).
# ===========================================
# IRELAND (IRL)
# - Removed +353 / 353 / 00353 prefixes.
# - Normalized to 10-digit format with leading zero.
# - Mobile prefixes validated: 083, 085, 086, 087, 089.
# - Validation rule: ^0(83|85|86|87|89) AND LEN=10.
# - Result: low number of valid entries due to incomplete data.
# ===========================================
# ITALY (ITA)
# - Removed +39 / 0039 prefixes, preserving leading 0 (mandatory in Italy).
# - Normalized to 9–10 digit format.
# - Mobile prefixes validated: 3XX (ranges 320–399).
# - Validation rule: ^3[2-9] AND LEN between 9–10 digits.
# - Result: limited valid entries; length variation due to historical mobile formats.
# ===========================================
# SPAIN (ESP)
# - Removed +34 / 0034 prefixes and normalized to 9-digit national format.
# - Mobile prefixes validated: 6 and 7.
# - Validation rule: ^[67] AND LEN=9.
# - Result: a few valid records confirmed (cleaner data than other EU regions).
# ===========================================
# UNITED STATES (USA)
# - Removed +1 / 1 prefixes, normalized to standard 10-digit NANP format.
# - Validation rule: ^[2-9][0-9]{9}$ (10 digits, first digit cannot be 0 or 1).
# - Result: majority of valid numbers found in this region, highest overall data consistency.
# - Insight: U.S. datasets maintained the best CRM data hygiene.
# ===========================================
# Summary:
# - All regional phone cleaning pipelines implemented and tested.
# - Each country validated independently using country-specific prefix and length logic.
# - Common output flag system: ✅ VALID / ❌ INVALID.
# - Results confirm highest data quality for the U.S., moderate for Spain and Italy, and lowest for Germany and France.
# - Next step: aggregate regional quality metrics (valid count, total count, % valid) into a Data Quality Dashboard.
- [] Step 22 – Final Standardization &amp; Cleaning Completion
# - Added and finalized the following standardized fields:
#   * shipping_method_F – cleaned, trimmed, and standardized naming (PROPER case applied)
#   * payment_type_F – cleaned, trimmed, standardized across all records
# - Verified no trailing spaces or inconsistent casing remained (via TRIM/PROPER).
# - Confirmed all customer- and order-level merges are complete.
# - Final dataset now includes:
#   * contact validation flags (phone, email, contactable)
#   * standardized categorical fields (shipping &amp; payment)
# - Data Cleaning phase officially completed – ready for KPI development and dashboard visualization.
- [ ] Final checks — ...
</t>
  </si>
  <si>
    <t>Project: Retail Data Cleaning &amp; Normalization
Dataset: orders_clean + products_clean
Analyst: ..
Date: ..
Status: Audit escalation — process paused
1. Summary
During the data normalization phase, systemic pricing inconsistencies were detected across almost all SKUs.
While standardizing unit and total price fields, several logical conflicts were identified that cannot be corrected through data cleaning alone.
The normalization workflow was intentionally stopped to prevent further data distortion.
2. Issue Description
Identical SKUs (e.g., SKU-1000 – Router XA5400) appeared with drastically different unit prices, even within the same currency (EUR, GBP, PLN, USD).
Detected multiple cases where:
A single item transaction was priced higher than multi-unit purchases of the same product.
Price spreads exceeded 100 % deviation between identical SKUs.
The inconsistencies were unrelated to region, currency, or sales channel.
The issue is therefore classified as a semantic data conflict, not a formatting or conversion error.
3. Root-Cause Hypothesis
Possible duplication or misalignment of SKU codes across multiple source systems.
Inconsistent regional pricing logic or incomplete master data synchronization.
Data generation noise in the source file used for this project simulation.
4. Impact
Transaction-level prices are unreliable and cannot be normalized or aggregated safely.
KPI metrics such as revenue, average order value, or regional comparisons would produce misleading results.
Further cleaning would risk creating false normalized values not backed by verified business rules.
5. Actions Taken
Cleaning process for price-related columns paused at Step 8.
Audit analysis performed to confirm spread and variance across SKUs.
All conflicting SKUs marked internally as PRICE_CONFLICT.
Prepared this escalation report and submitted findings to data stakeholders for review and resolution.
6. Recommended Next Steps
Establish a verified master price list (products_master) containing 150 SKUs with consistent GBP base prices.
Define regional pricing logic using controlled multipliers:
EUR = GBP × 1.07
USD = GBP × 1.12
PLN = GBP × 4.90
Re-calculate all derived price fields (unit_price_gbp, total_price_in_GBP) using the master reference.
Conduct a follow-up Price Consistency Validation Report to confirm deviation &lt; 15 %.
7. Escalation Outcome
Process remains on hold pending stakeholder confirmation of corrected pricing data.
Upon receipt of validated master prices, the analyst will resume normalization and final QA.
8. Analyst Note
This report documents a critical data integrity issue identified during standardization.
The discovery demonstrates that data normalization can only be as accurate as the source master data.
Further work will continue once verified pricing data is available.
End of Report
A Data Quality Audit Report was submitted to the stakeholder after detecting systemic pricing inconsistencies across SKUs. Cleaning was intentionally paused to avoid false normalization. The next phase will introduce a validated master dataset with corrected GBP prices.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</si>
</sst>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1.0"/>
      <color theme="1"/>
      <name val="Calibri"/>
      <scheme val="minor"/>
    </font>
    <font>
      <b/>
      <sz val="11.0"/>
      <color theme="1"/>
      <name val="Calibri"/>
    </font>
    <font>
      <color theme="1"/>
      <name val="Calibri"/>
      <scheme val="minor"/>
    </font>
    <font>
      <color theme="1"/>
      <name val="Arial"/>
    </font>
    <font/>
    <font>
      <sz val="11.0"/>
      <color theme="1"/>
      <name val="Calibri"/>
    </font>
  </fonts>
  <fills count="7">
    <fill>
      <patternFill patternType="none"/>
    </fill>
    <fill>
      <patternFill patternType="lightGray"/>
    </fill>
    <fill>
      <patternFill patternType="solid">
        <fgColor rgb="FFFFF2CC"/>
        <bgColor rgb="FFFFF2CC"/>
      </patternFill>
    </fill>
    <fill>
      <patternFill patternType="solid">
        <fgColor rgb="FFB6D7A8"/>
        <bgColor rgb="FFB6D7A8"/>
      </patternFill>
    </fill>
    <fill>
      <patternFill patternType="solid">
        <fgColor rgb="FFCCCCCC"/>
        <bgColor rgb="FFCCCCCC"/>
      </patternFill>
    </fill>
    <fill>
      <patternFill patternType="solid">
        <fgColor rgb="FFCFE2F3"/>
        <bgColor rgb="FFCFE2F3"/>
      </patternFill>
    </fill>
    <fill>
      <patternFill patternType="solid">
        <fgColor rgb="FFA4C2F4"/>
        <bgColor rgb="FFA4C2F4"/>
      </patternFill>
    </fill>
  </fills>
  <borders count="10">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2" fontId="1" numFmtId="0" xfId="0" applyAlignment="1" applyBorder="1" applyFill="1" applyFont="1">
      <alignment horizontal="center" readingOrder="0" vertical="top"/>
    </xf>
    <xf borderId="1" fillId="3" fontId="1" numFmtId="0" xfId="0" applyAlignment="1" applyBorder="1" applyFill="1" applyFont="1">
      <alignment horizontal="center" readingOrder="0" vertical="top"/>
    </xf>
    <xf borderId="1" fillId="0" fontId="1" numFmtId="0" xfId="0" applyAlignment="1" applyBorder="1" applyFont="1">
      <alignment horizontal="center" readingOrder="0" vertical="top"/>
    </xf>
    <xf borderId="1" fillId="0" fontId="1" numFmtId="49" xfId="0" applyAlignment="1" applyBorder="1" applyFont="1" applyNumberFormat="1">
      <alignment horizontal="center" vertical="top"/>
    </xf>
    <xf borderId="1" fillId="3" fontId="1" numFmtId="0" xfId="0" applyAlignment="1" applyBorder="1" applyFont="1">
      <alignment horizontal="center" vertical="top"/>
    </xf>
    <xf borderId="1" fillId="0" fontId="1" numFmtId="164" xfId="0" applyAlignment="1" applyBorder="1" applyFont="1" applyNumberFormat="1">
      <alignment horizontal="center" vertical="top"/>
    </xf>
    <xf borderId="0" fillId="2" fontId="2" numFmtId="0" xfId="0" applyFont="1"/>
    <xf borderId="0" fillId="3" fontId="2" numFmtId="0" xfId="0" applyFont="1"/>
    <xf borderId="0" fillId="0" fontId="3" numFmtId="0" xfId="0" applyAlignment="1" applyFont="1">
      <alignment horizontal="right" vertical="bottom"/>
    </xf>
    <xf borderId="0" fillId="0" fontId="2" numFmtId="164" xfId="0" applyFont="1" applyNumberFormat="1"/>
    <xf borderId="0" fillId="0" fontId="3" numFmtId="0" xfId="0" applyAlignment="1" applyFont="1">
      <alignment vertical="bottom"/>
    </xf>
    <xf borderId="0" fillId="0" fontId="2" numFmtId="14" xfId="0" applyFont="1" applyNumberFormat="1"/>
    <xf borderId="0" fillId="0" fontId="3" numFmtId="49" xfId="0" applyAlignment="1" applyFont="1" applyNumberFormat="1">
      <alignment vertical="bottom"/>
    </xf>
    <xf borderId="0" fillId="0" fontId="2" numFmtId="0" xfId="0" applyAlignment="1" applyFont="1">
      <alignment readingOrder="0"/>
    </xf>
    <xf borderId="0" fillId="0" fontId="3" numFmtId="49" xfId="0" applyAlignment="1" applyFont="1" applyNumberFormat="1">
      <alignment horizontal="right" vertical="bottom"/>
    </xf>
    <xf borderId="0" fillId="0" fontId="3" numFmtId="49" xfId="0" applyAlignment="1" applyFont="1" applyNumberFormat="1">
      <alignment readingOrder="0" vertical="bottom"/>
    </xf>
    <xf borderId="1" fillId="4" fontId="1" numFmtId="0" xfId="0" applyAlignment="1" applyBorder="1" applyFill="1" applyFont="1">
      <alignment horizontal="center" readingOrder="0" vertical="top"/>
    </xf>
    <xf borderId="1" fillId="4" fontId="1" numFmtId="4" xfId="0" applyAlignment="1" applyBorder="1" applyFont="1" applyNumberFormat="1">
      <alignment horizontal="center" readingOrder="0" vertical="top"/>
    </xf>
    <xf borderId="1" fillId="5" fontId="1" numFmtId="0" xfId="0" applyAlignment="1" applyBorder="1" applyFill="1" applyFont="1">
      <alignment horizontal="center" vertical="top"/>
    </xf>
    <xf borderId="1" fillId="5" fontId="1" numFmtId="4" xfId="0" applyAlignment="1" applyBorder="1" applyFont="1" applyNumberFormat="1">
      <alignment horizontal="center" readingOrder="0" vertical="top"/>
    </xf>
    <xf borderId="1" fillId="6" fontId="1" numFmtId="4" xfId="0" applyAlignment="1" applyBorder="1" applyFill="1" applyFont="1" applyNumberFormat="1">
      <alignment horizontal="center" readingOrder="0" vertical="top"/>
    </xf>
    <xf borderId="1" fillId="6" fontId="1" numFmtId="0" xfId="0" applyAlignment="1" applyBorder="1" applyFont="1">
      <alignment horizontal="left" readingOrder="0" vertical="top"/>
    </xf>
    <xf borderId="0" fillId="0" fontId="2" numFmtId="4" xfId="0" applyFont="1" applyNumberFormat="1"/>
    <xf borderId="0" fillId="2" fontId="2" numFmtId="0" xfId="0" applyAlignment="1" applyFont="1">
      <alignment horizontal="center"/>
    </xf>
    <xf borderId="2" fillId="5" fontId="2" numFmtId="0" xfId="0" applyBorder="1" applyFont="1"/>
    <xf borderId="0" fillId="5" fontId="2" numFmtId="4" xfId="0" applyFont="1" applyNumberFormat="1"/>
    <xf borderId="0" fillId="6" fontId="2" numFmtId="4" xfId="0" applyFont="1" applyNumberFormat="1"/>
    <xf borderId="3" fillId="6" fontId="2" numFmtId="0" xfId="0" applyAlignment="1" applyBorder="1" applyFont="1">
      <alignment horizontal="left"/>
    </xf>
    <xf borderId="0" fillId="3" fontId="2" numFmtId="0" xfId="0" applyAlignment="1" applyFont="1">
      <alignment readingOrder="0"/>
    </xf>
    <xf borderId="3" fillId="6" fontId="2" numFmtId="0" xfId="0" applyAlignment="1" applyBorder="1" applyFont="1">
      <alignment horizontal="left" readingOrder="0"/>
    </xf>
    <xf borderId="0" fillId="0" fontId="2" numFmtId="49" xfId="0" applyFont="1" applyNumberFormat="1"/>
    <xf borderId="0" fillId="5" fontId="2" numFmtId="0" xfId="0" applyFont="1"/>
    <xf borderId="0" fillId="6" fontId="2" numFmtId="0" xfId="0" applyFont="1"/>
    <xf borderId="3" fillId="6" fontId="2" numFmtId="0" xfId="0" applyBorder="1" applyFont="1"/>
    <xf borderId="4" fillId="5" fontId="2" numFmtId="0" xfId="0" applyBorder="1" applyFont="1"/>
    <xf borderId="5" fillId="2" fontId="2" numFmtId="0" xfId="0" applyBorder="1" applyFont="1"/>
    <xf borderId="5" fillId="5" fontId="2" numFmtId="4" xfId="0" applyBorder="1" applyFont="1" applyNumberFormat="1"/>
    <xf borderId="5" fillId="6" fontId="2" numFmtId="4" xfId="0" applyBorder="1" applyFont="1" applyNumberFormat="1"/>
    <xf borderId="6" fillId="6" fontId="2" numFmtId="0" xfId="0" applyAlignment="1" applyBorder="1" applyFont="1">
      <alignment horizontal="left" readingOrder="0"/>
    </xf>
    <xf borderId="7" fillId="0" fontId="2" numFmtId="0" xfId="0" applyAlignment="1" applyBorder="1" applyFont="1">
      <alignment horizontal="center" readingOrder="0" vertical="center"/>
    </xf>
    <xf borderId="8" fillId="0" fontId="2" numFmtId="0" xfId="0" applyAlignment="1" applyBorder="1" applyFont="1">
      <alignment readingOrder="0"/>
    </xf>
    <xf borderId="9" fillId="0" fontId="2" numFmtId="0" xfId="0" applyBorder="1" applyFont="1"/>
    <xf borderId="7" fillId="0" fontId="2" numFmtId="0" xfId="0" applyAlignment="1" applyBorder="1" applyFont="1">
      <alignment horizontal="center" readingOrder="0"/>
    </xf>
    <xf borderId="9" fillId="0" fontId="4" numFmtId="0" xfId="0" applyBorder="1" applyFont="1"/>
    <xf borderId="2" fillId="0" fontId="4" numFmtId="0" xfId="0" applyBorder="1" applyFont="1"/>
    <xf borderId="3" fillId="0" fontId="2" numFmtId="0" xfId="0" applyBorder="1" applyFont="1"/>
    <xf borderId="2" fillId="0" fontId="2" numFmtId="0" xfId="0" applyAlignment="1" applyBorder="1" applyFont="1">
      <alignment readingOrder="0"/>
    </xf>
    <xf borderId="4" fillId="0" fontId="4" numFmtId="0" xfId="0" applyBorder="1" applyFont="1"/>
    <xf borderId="5" fillId="0" fontId="2" numFmtId="0" xfId="0" applyAlignment="1" applyBorder="1" applyFont="1">
      <alignment readingOrder="0"/>
    </xf>
    <xf borderId="6" fillId="0" fontId="2" numFmtId="0" xfId="0" applyAlignment="1" applyBorder="1" applyFont="1">
      <alignment readingOrder="0"/>
    </xf>
    <xf borderId="3" fillId="0" fontId="2" numFmtId="0" xfId="0" applyAlignment="1" applyBorder="1" applyFont="1">
      <alignment readingOrder="0"/>
    </xf>
    <xf borderId="2" fillId="0" fontId="2" numFmtId="0" xfId="0" applyAlignment="1" applyBorder="1" applyFont="1">
      <alignment horizontal="center" readingOrder="0"/>
    </xf>
    <xf borderId="3" fillId="0" fontId="4" numFmtId="0" xfId="0" applyBorder="1" applyFont="1"/>
    <xf borderId="6" fillId="0" fontId="2" numFmtId="0" xfId="0" applyBorder="1" applyFont="1"/>
    <xf borderId="4" fillId="0" fontId="2" numFmtId="0" xfId="0" applyAlignment="1" applyBorder="1" applyFont="1">
      <alignment readingOrder="0"/>
    </xf>
    <xf borderId="1" fillId="0" fontId="1" numFmtId="0" xfId="0" applyAlignment="1" applyBorder="1" applyFont="1">
      <alignment horizontal="center" vertical="top"/>
    </xf>
    <xf borderId="0" fillId="0" fontId="5" numFmtId="0" xfId="0" applyAlignment="1" applyFont="1">
      <alignment vertical="bottom"/>
    </xf>
    <xf borderId="0" fillId="0" fontId="5" numFmtId="0" xfId="0" applyAlignment="1" applyFont="1">
      <alignment horizontal="right" vertical="bottom"/>
    </xf>
  </cellXfs>
  <cellStyles count="1">
    <cellStyle xfId="0" name="Normal" builtinId="0"/>
  </cellStyles>
  <dxfs count="6">
    <dxf>
      <font/>
      <fill>
        <patternFill patternType="solid">
          <fgColor rgb="FFF4C7C3"/>
          <bgColor rgb="FFF4C7C3"/>
        </patternFill>
      </fill>
      <border/>
    </dxf>
    <dxf>
      <font/>
      <fill>
        <patternFill patternType="solid">
          <fgColor rgb="FFFCE5CD"/>
          <bgColor rgb="FFFCE5CD"/>
        </patternFill>
      </fill>
      <border/>
    </dxf>
    <dxf>
      <font>
        <color rgb="FF000000"/>
      </font>
      <fill>
        <patternFill patternType="solid">
          <fgColor rgb="FFF6B26B"/>
          <bgColor rgb="FFF6B26B"/>
        </patternFill>
      </fill>
      <border/>
    </dxf>
    <dxf>
      <font/>
      <fill>
        <patternFill patternType="solid">
          <fgColor rgb="FFFCE8B2"/>
          <bgColor rgb="FFFCE8B2"/>
        </patternFill>
      </fill>
      <border/>
    </dxf>
    <dxf>
      <font/>
      <fill>
        <patternFill patternType="solid">
          <fgColor rgb="FFF6B26B"/>
          <bgColor rgb="FFF6B26B"/>
        </patternFill>
      </fill>
      <border/>
    </dxf>
    <dxf>
      <font/>
      <fill>
        <patternFill patternType="solid">
          <fgColor rgb="FFF9CB9C"/>
          <bgColor rgb="FFF9C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8.0"/>
    <col customWidth="1" min="3" max="3" width="12.0"/>
    <col customWidth="1" min="4" max="4" width="19.0"/>
    <col customWidth="1" min="5" max="5" width="33.71"/>
    <col customWidth="1" min="6" max="6" width="17.71"/>
    <col customWidth="1" min="7" max="7" width="10.0"/>
    <col customWidth="1" min="8" max="8" width="13.71"/>
    <col customWidth="1" min="9" max="9" width="11.0"/>
    <col customWidth="1" min="10" max="10" width="9.43"/>
    <col customWidth="1" min="11" max="11" width="30.0"/>
    <col customWidth="1" min="12" max="12" width="13.29"/>
    <col customWidth="1" min="13" max="13" width="14.29"/>
    <col customWidth="1" min="14" max="14" width="8.43"/>
    <col customWidth="1" min="15" max="15" width="12.57"/>
    <col customWidth="1" min="16" max="16" width="8.71"/>
    <col customWidth="1" min="17" max="17" width="16.43"/>
    <col customWidth="1" min="18" max="18" width="15.14"/>
    <col customWidth="1" min="19" max="19" width="7.86"/>
    <col customWidth="1" min="20"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t="s">
        <v>26</v>
      </c>
      <c r="I2" s="2" t="s">
        <v>27</v>
      </c>
      <c r="J2" s="2" t="s">
        <v>28</v>
      </c>
      <c r="K2" s="2" t="s">
        <v>29</v>
      </c>
      <c r="L2" s="2" t="s">
        <v>30</v>
      </c>
      <c r="M2" s="2">
        <v>587.78</v>
      </c>
      <c r="N2" s="2">
        <v>2.0</v>
      </c>
      <c r="O2" s="2" t="s">
        <v>31</v>
      </c>
      <c r="P2" s="2" t="s">
        <v>32</v>
      </c>
      <c r="Q2" s="2" t="s">
        <v>33</v>
      </c>
      <c r="R2" s="2" t="s">
        <v>34</v>
      </c>
    </row>
    <row r="3">
      <c r="A3" s="2" t="s">
        <v>35</v>
      </c>
      <c r="B3" s="2" t="s">
        <v>36</v>
      </c>
      <c r="C3" s="2" t="s">
        <v>37</v>
      </c>
      <c r="D3" s="2" t="s">
        <v>38</v>
      </c>
      <c r="E3" s="2" t="s">
        <v>39</v>
      </c>
      <c r="F3" s="2" t="s">
        <v>40</v>
      </c>
      <c r="G3" s="2" t="s">
        <v>41</v>
      </c>
      <c r="H3" s="2" t="s">
        <v>42</v>
      </c>
      <c r="I3" s="2" t="s">
        <v>43</v>
      </c>
      <c r="J3" s="2" t="s">
        <v>44</v>
      </c>
      <c r="K3" s="2" t="s">
        <v>45</v>
      </c>
      <c r="L3" s="2" t="s">
        <v>46</v>
      </c>
      <c r="N3" s="2">
        <v>2.0</v>
      </c>
      <c r="O3" s="2" t="s">
        <v>47</v>
      </c>
      <c r="P3" s="2" t="s">
        <v>48</v>
      </c>
      <c r="Q3" s="2" t="s">
        <v>49</v>
      </c>
      <c r="R3" s="2" t="s">
        <v>50</v>
      </c>
      <c r="S3" s="2" t="s">
        <v>51</v>
      </c>
    </row>
    <row r="4">
      <c r="A4" s="2" t="s">
        <v>52</v>
      </c>
      <c r="B4" s="2" t="s">
        <v>53</v>
      </c>
      <c r="C4" s="2" t="s">
        <v>54</v>
      </c>
      <c r="D4" s="2" t="s">
        <v>55</v>
      </c>
      <c r="E4" s="2" t="s">
        <v>56</v>
      </c>
      <c r="F4" s="2" t="s">
        <v>57</v>
      </c>
      <c r="G4" s="2" t="s">
        <v>58</v>
      </c>
      <c r="H4" s="2" t="s">
        <v>59</v>
      </c>
      <c r="I4" s="2" t="s">
        <v>60</v>
      </c>
      <c r="J4" s="2" t="s">
        <v>61</v>
      </c>
      <c r="K4" s="2" t="s">
        <v>62</v>
      </c>
      <c r="L4" s="2" t="s">
        <v>63</v>
      </c>
      <c r="M4" s="2">
        <v>179.29</v>
      </c>
      <c r="N4" s="2">
        <v>2.0</v>
      </c>
      <c r="O4" s="2" t="s">
        <v>64</v>
      </c>
      <c r="P4" s="2" t="s">
        <v>65</v>
      </c>
      <c r="Q4" s="2" t="s">
        <v>66</v>
      </c>
      <c r="R4" s="2" t="s">
        <v>50</v>
      </c>
      <c r="S4" s="2" t="s">
        <v>67</v>
      </c>
    </row>
    <row r="5">
      <c r="A5" s="2" t="s">
        <v>68</v>
      </c>
      <c r="B5" s="2" t="s">
        <v>69</v>
      </c>
      <c r="C5" s="2" t="s">
        <v>70</v>
      </c>
      <c r="D5" s="2" t="s">
        <v>71</v>
      </c>
      <c r="E5" s="2" t="s">
        <v>72</v>
      </c>
      <c r="G5" s="2" t="s">
        <v>73</v>
      </c>
      <c r="H5" s="2" t="s">
        <v>74</v>
      </c>
      <c r="I5" s="2" t="s">
        <v>75</v>
      </c>
      <c r="J5" s="2" t="s">
        <v>76</v>
      </c>
      <c r="K5" s="2" t="s">
        <v>77</v>
      </c>
      <c r="L5" s="2" t="s">
        <v>78</v>
      </c>
      <c r="M5" s="2">
        <v>1704.12</v>
      </c>
      <c r="N5" s="2">
        <v>2.0</v>
      </c>
      <c r="O5" s="2" t="s">
        <v>79</v>
      </c>
      <c r="P5" s="2" t="s">
        <v>65</v>
      </c>
      <c r="Q5" s="2" t="s">
        <v>33</v>
      </c>
      <c r="R5" s="2" t="s">
        <v>80</v>
      </c>
      <c r="S5" s="2" t="s">
        <v>81</v>
      </c>
    </row>
    <row r="6">
      <c r="A6" s="2" t="s">
        <v>82</v>
      </c>
      <c r="B6" s="2" t="s">
        <v>83</v>
      </c>
      <c r="C6" s="2" t="s">
        <v>84</v>
      </c>
      <c r="D6" s="2" t="s">
        <v>85</v>
      </c>
      <c r="E6" s="2" t="s">
        <v>86</v>
      </c>
      <c r="F6" s="2" t="s">
        <v>87</v>
      </c>
      <c r="G6" s="2" t="s">
        <v>88</v>
      </c>
      <c r="H6" s="2" t="s">
        <v>89</v>
      </c>
      <c r="I6" s="2" t="s">
        <v>90</v>
      </c>
      <c r="J6" s="2" t="s">
        <v>91</v>
      </c>
      <c r="K6" s="2" t="s">
        <v>92</v>
      </c>
      <c r="L6" s="2" t="s">
        <v>93</v>
      </c>
      <c r="M6" s="2">
        <v>417.04</v>
      </c>
      <c r="N6" s="2">
        <v>1.0</v>
      </c>
      <c r="O6" s="2" t="s">
        <v>94</v>
      </c>
      <c r="P6" s="2" t="s">
        <v>95</v>
      </c>
      <c r="Q6" s="2" t="s">
        <v>96</v>
      </c>
      <c r="R6" s="2" t="s">
        <v>97</v>
      </c>
    </row>
    <row r="7">
      <c r="A7" s="2" t="s">
        <v>98</v>
      </c>
      <c r="B7" s="2" t="s">
        <v>99</v>
      </c>
      <c r="C7" s="2" t="s">
        <v>100</v>
      </c>
      <c r="D7" s="2" t="s">
        <v>101</v>
      </c>
      <c r="E7" s="2" t="s">
        <v>102</v>
      </c>
      <c r="G7" s="2" t="s">
        <v>88</v>
      </c>
      <c r="H7" s="2" t="s">
        <v>42</v>
      </c>
      <c r="I7" s="2" t="s">
        <v>103</v>
      </c>
      <c r="J7" s="2" t="s">
        <v>104</v>
      </c>
      <c r="K7" s="2" t="s">
        <v>105</v>
      </c>
      <c r="L7" s="2" t="s">
        <v>106</v>
      </c>
      <c r="M7" s="2">
        <v>1448.91</v>
      </c>
      <c r="N7" s="2">
        <v>1.0</v>
      </c>
      <c r="O7" s="2" t="s">
        <v>107</v>
      </c>
      <c r="P7" s="2" t="s">
        <v>32</v>
      </c>
      <c r="Q7" s="2" t="s">
        <v>66</v>
      </c>
      <c r="R7" s="2" t="s">
        <v>80</v>
      </c>
    </row>
    <row r="8">
      <c r="A8" s="2" t="s">
        <v>108</v>
      </c>
      <c r="B8" s="2" t="s">
        <v>109</v>
      </c>
      <c r="C8" s="2" t="s">
        <v>110</v>
      </c>
      <c r="D8" s="2" t="s">
        <v>111</v>
      </c>
      <c r="E8" s="2" t="s">
        <v>112</v>
      </c>
      <c r="F8" s="2" t="s">
        <v>113</v>
      </c>
      <c r="G8" s="2" t="s">
        <v>114</v>
      </c>
      <c r="H8" s="2" t="s">
        <v>115</v>
      </c>
      <c r="I8" s="2" t="s">
        <v>116</v>
      </c>
      <c r="J8" s="2" t="s">
        <v>117</v>
      </c>
      <c r="K8" s="2" t="s">
        <v>118</v>
      </c>
      <c r="L8" s="2" t="s">
        <v>63</v>
      </c>
      <c r="N8" s="2">
        <v>5.0</v>
      </c>
      <c r="O8" s="2" t="s">
        <v>119</v>
      </c>
      <c r="P8" s="2" t="s">
        <v>48</v>
      </c>
      <c r="Q8" s="2" t="s">
        <v>49</v>
      </c>
      <c r="R8" s="2" t="s">
        <v>120</v>
      </c>
      <c r="S8" s="2" t="s">
        <v>67</v>
      </c>
    </row>
    <row r="9">
      <c r="A9" s="2" t="s">
        <v>121</v>
      </c>
      <c r="B9" s="2" t="s">
        <v>122</v>
      </c>
      <c r="C9" s="2" t="s">
        <v>123</v>
      </c>
      <c r="D9" s="2" t="s">
        <v>124</v>
      </c>
      <c r="E9" s="2" t="s">
        <v>125</v>
      </c>
      <c r="F9" s="2" t="s">
        <v>126</v>
      </c>
      <c r="G9" s="2" t="s">
        <v>88</v>
      </c>
      <c r="H9" s="2" t="s">
        <v>59</v>
      </c>
      <c r="I9" s="2" t="s">
        <v>75</v>
      </c>
      <c r="J9" s="2" t="s">
        <v>127</v>
      </c>
      <c r="K9" s="2" t="s">
        <v>128</v>
      </c>
      <c r="L9" s="2" t="s">
        <v>129</v>
      </c>
      <c r="N9" s="2">
        <v>2.0</v>
      </c>
      <c r="O9" s="2" t="s">
        <v>130</v>
      </c>
      <c r="P9" s="2" t="s">
        <v>48</v>
      </c>
      <c r="Q9" s="2" t="s">
        <v>131</v>
      </c>
      <c r="R9" s="2" t="s">
        <v>132</v>
      </c>
      <c r="S9" s="2" t="s">
        <v>133</v>
      </c>
    </row>
    <row r="10">
      <c r="A10" s="2" t="s">
        <v>134</v>
      </c>
      <c r="B10" s="2" t="s">
        <v>135</v>
      </c>
      <c r="C10" s="2" t="s">
        <v>136</v>
      </c>
      <c r="D10" s="2" t="s">
        <v>137</v>
      </c>
      <c r="E10" s="2" t="s">
        <v>138</v>
      </c>
      <c r="G10" s="2" t="s">
        <v>139</v>
      </c>
      <c r="H10" s="2" t="s">
        <v>26</v>
      </c>
      <c r="I10" s="2" t="s">
        <v>43</v>
      </c>
      <c r="J10" s="2" t="s">
        <v>140</v>
      </c>
      <c r="K10" s="2" t="s">
        <v>141</v>
      </c>
      <c r="L10" s="2" t="s">
        <v>63</v>
      </c>
      <c r="N10" s="2">
        <v>2.0</v>
      </c>
      <c r="O10" s="2" t="s">
        <v>142</v>
      </c>
      <c r="P10" s="2" t="s">
        <v>95</v>
      </c>
      <c r="Q10" s="2" t="s">
        <v>143</v>
      </c>
      <c r="R10" s="2" t="s">
        <v>144</v>
      </c>
      <c r="S10" s="2" t="s">
        <v>51</v>
      </c>
    </row>
    <row r="11">
      <c r="A11" s="2" t="s">
        <v>145</v>
      </c>
      <c r="B11" s="2" t="s">
        <v>146</v>
      </c>
      <c r="C11" s="2" t="s">
        <v>147</v>
      </c>
      <c r="D11" s="2" t="s">
        <v>148</v>
      </c>
      <c r="E11" s="2" t="s">
        <v>149</v>
      </c>
      <c r="F11" s="2" t="s">
        <v>150</v>
      </c>
      <c r="G11" s="2" t="s">
        <v>151</v>
      </c>
      <c r="H11" s="2" t="s">
        <v>152</v>
      </c>
      <c r="I11" s="2" t="s">
        <v>153</v>
      </c>
      <c r="J11" s="2" t="s">
        <v>154</v>
      </c>
      <c r="K11" s="2" t="s">
        <v>62</v>
      </c>
      <c r="L11" s="2" t="s">
        <v>155</v>
      </c>
      <c r="M11" s="2">
        <v>750.84</v>
      </c>
      <c r="N11" s="2">
        <v>1.0</v>
      </c>
      <c r="O11" s="2" t="s">
        <v>156</v>
      </c>
      <c r="P11" s="2" t="s">
        <v>65</v>
      </c>
      <c r="Q11" s="2" t="s">
        <v>157</v>
      </c>
      <c r="R11" s="2" t="s">
        <v>158</v>
      </c>
      <c r="S11" s="2" t="s">
        <v>133</v>
      </c>
    </row>
    <row r="12">
      <c r="A12" s="2" t="s">
        <v>159</v>
      </c>
      <c r="B12" s="2" t="s">
        <v>160</v>
      </c>
      <c r="C12" s="2" t="s">
        <v>161</v>
      </c>
      <c r="D12" s="2" t="s">
        <v>162</v>
      </c>
      <c r="E12" s="2" t="s">
        <v>163</v>
      </c>
      <c r="F12" s="2" t="s">
        <v>164</v>
      </c>
      <c r="G12" s="2" t="s">
        <v>165</v>
      </c>
      <c r="H12" s="2" t="s">
        <v>152</v>
      </c>
      <c r="I12" s="2" t="s">
        <v>90</v>
      </c>
      <c r="J12" s="2" t="s">
        <v>166</v>
      </c>
      <c r="K12" s="2" t="s">
        <v>118</v>
      </c>
      <c r="L12" s="2" t="s">
        <v>167</v>
      </c>
      <c r="M12" s="2">
        <v>1401.64</v>
      </c>
      <c r="N12" s="2">
        <v>2.0</v>
      </c>
      <c r="O12" s="2" t="s">
        <v>168</v>
      </c>
      <c r="P12" s="2" t="s">
        <v>48</v>
      </c>
      <c r="Q12" s="2" t="s">
        <v>49</v>
      </c>
      <c r="R12" s="2" t="s">
        <v>169</v>
      </c>
    </row>
    <row r="13">
      <c r="A13" s="2" t="s">
        <v>170</v>
      </c>
      <c r="B13" s="2" t="s">
        <v>171</v>
      </c>
      <c r="C13" s="2" t="s">
        <v>172</v>
      </c>
      <c r="D13" s="2" t="s">
        <v>173</v>
      </c>
      <c r="E13" s="2" t="s">
        <v>174</v>
      </c>
      <c r="F13" s="2" t="s">
        <v>175</v>
      </c>
      <c r="G13" s="2" t="s">
        <v>58</v>
      </c>
      <c r="H13" s="2" t="s">
        <v>42</v>
      </c>
      <c r="I13" s="2" t="s">
        <v>176</v>
      </c>
      <c r="J13" s="2" t="s">
        <v>177</v>
      </c>
      <c r="K13" s="2" t="s">
        <v>178</v>
      </c>
      <c r="L13" s="2" t="s">
        <v>179</v>
      </c>
      <c r="M13" s="2">
        <v>1503.67</v>
      </c>
      <c r="N13" s="2">
        <v>3.0</v>
      </c>
      <c r="O13" s="2" t="s">
        <v>180</v>
      </c>
      <c r="P13" s="2" t="s">
        <v>32</v>
      </c>
      <c r="Q13" s="2" t="s">
        <v>181</v>
      </c>
      <c r="R13" s="2" t="s">
        <v>34</v>
      </c>
      <c r="S13" s="2" t="s">
        <v>133</v>
      </c>
    </row>
    <row r="14">
      <c r="A14" s="2" t="s">
        <v>182</v>
      </c>
      <c r="B14" s="2" t="s">
        <v>183</v>
      </c>
      <c r="C14" s="2" t="s">
        <v>184</v>
      </c>
      <c r="D14" s="2" t="s">
        <v>185</v>
      </c>
      <c r="E14" s="2" t="s">
        <v>186</v>
      </c>
      <c r="F14" s="2" t="s">
        <v>187</v>
      </c>
      <c r="G14" s="2" t="s">
        <v>188</v>
      </c>
      <c r="H14" s="2" t="s">
        <v>152</v>
      </c>
      <c r="I14" s="2" t="s">
        <v>103</v>
      </c>
      <c r="J14" s="2" t="s">
        <v>189</v>
      </c>
      <c r="K14" s="2" t="s">
        <v>190</v>
      </c>
      <c r="L14" s="2" t="s">
        <v>167</v>
      </c>
      <c r="M14" s="2">
        <v>856.9</v>
      </c>
      <c r="N14" s="2">
        <v>3.0</v>
      </c>
      <c r="O14" s="2" t="s">
        <v>191</v>
      </c>
      <c r="P14" s="2" t="s">
        <v>65</v>
      </c>
      <c r="Q14" s="2" t="s">
        <v>143</v>
      </c>
      <c r="R14" s="2" t="s">
        <v>192</v>
      </c>
      <c r="S14" s="2" t="s">
        <v>133</v>
      </c>
    </row>
    <row r="15">
      <c r="A15" s="2" t="s">
        <v>193</v>
      </c>
      <c r="B15" s="2" t="s">
        <v>194</v>
      </c>
      <c r="C15" s="2" t="s">
        <v>195</v>
      </c>
      <c r="D15" s="2" t="s">
        <v>196</v>
      </c>
      <c r="E15" s="2" t="s">
        <v>197</v>
      </c>
      <c r="F15" s="2" t="s">
        <v>198</v>
      </c>
      <c r="G15" s="2" t="s">
        <v>199</v>
      </c>
      <c r="H15" s="2" t="s">
        <v>26</v>
      </c>
      <c r="I15" s="2" t="s">
        <v>103</v>
      </c>
      <c r="J15" s="2" t="s">
        <v>200</v>
      </c>
      <c r="K15" s="2" t="s">
        <v>201</v>
      </c>
      <c r="L15" s="2" t="s">
        <v>202</v>
      </c>
      <c r="N15" s="2">
        <v>1.0</v>
      </c>
      <c r="O15" s="2" t="s">
        <v>203</v>
      </c>
      <c r="P15" s="2" t="s">
        <v>65</v>
      </c>
      <c r="Q15" s="2" t="s">
        <v>204</v>
      </c>
      <c r="R15" s="2" t="s">
        <v>169</v>
      </c>
      <c r="S15" s="2" t="s">
        <v>81</v>
      </c>
    </row>
    <row r="16">
      <c r="A16" s="2" t="s">
        <v>205</v>
      </c>
      <c r="B16" s="2" t="s">
        <v>206</v>
      </c>
      <c r="C16" s="2" t="s">
        <v>207</v>
      </c>
      <c r="D16" s="2" t="s">
        <v>208</v>
      </c>
      <c r="E16" s="2" t="s">
        <v>209</v>
      </c>
      <c r="G16" s="2" t="s">
        <v>188</v>
      </c>
      <c r="H16" s="2" t="s">
        <v>210</v>
      </c>
      <c r="I16" s="2" t="s">
        <v>211</v>
      </c>
      <c r="J16" s="2" t="s">
        <v>212</v>
      </c>
      <c r="K16" s="2" t="s">
        <v>213</v>
      </c>
      <c r="L16" s="2" t="s">
        <v>214</v>
      </c>
      <c r="M16" s="2">
        <v>46.08</v>
      </c>
      <c r="N16" s="2">
        <v>1.0</v>
      </c>
      <c r="O16" s="2" t="s">
        <v>215</v>
      </c>
      <c r="P16" s="2" t="s">
        <v>48</v>
      </c>
      <c r="Q16" s="2" t="s">
        <v>143</v>
      </c>
      <c r="R16" s="2" t="s">
        <v>216</v>
      </c>
      <c r="S16" s="2" t="s">
        <v>67</v>
      </c>
    </row>
    <row r="17">
      <c r="A17" s="2" t="s">
        <v>217</v>
      </c>
      <c r="B17" s="2" t="s">
        <v>218</v>
      </c>
      <c r="C17" s="2" t="s">
        <v>219</v>
      </c>
      <c r="D17" s="2" t="s">
        <v>220</v>
      </c>
      <c r="E17" s="2" t="s">
        <v>221</v>
      </c>
      <c r="F17" s="2" t="s">
        <v>222</v>
      </c>
      <c r="G17" s="2" t="s">
        <v>114</v>
      </c>
      <c r="H17" s="2" t="s">
        <v>223</v>
      </c>
      <c r="I17" s="2" t="s">
        <v>176</v>
      </c>
      <c r="J17" s="2" t="s">
        <v>224</v>
      </c>
      <c r="K17" s="2" t="s">
        <v>225</v>
      </c>
      <c r="L17" s="2" t="s">
        <v>214</v>
      </c>
      <c r="M17" s="2">
        <v>906.04</v>
      </c>
      <c r="N17" s="2">
        <v>2.0</v>
      </c>
      <c r="O17" s="2" t="s">
        <v>226</v>
      </c>
      <c r="P17" s="2" t="s">
        <v>48</v>
      </c>
      <c r="Q17" s="2" t="s">
        <v>143</v>
      </c>
      <c r="R17" s="2" t="s">
        <v>227</v>
      </c>
    </row>
    <row r="18">
      <c r="A18" s="2" t="s">
        <v>228</v>
      </c>
      <c r="B18" s="2" t="s">
        <v>229</v>
      </c>
      <c r="C18" s="2" t="s">
        <v>230</v>
      </c>
      <c r="D18" s="2" t="s">
        <v>231</v>
      </c>
      <c r="E18" s="2" t="s">
        <v>232</v>
      </c>
      <c r="F18" s="2" t="s">
        <v>233</v>
      </c>
      <c r="G18" s="2" t="s">
        <v>88</v>
      </c>
      <c r="H18" s="2" t="s">
        <v>234</v>
      </c>
      <c r="I18" s="2" t="s">
        <v>103</v>
      </c>
      <c r="J18" s="2" t="s">
        <v>235</v>
      </c>
      <c r="K18" s="2" t="s">
        <v>236</v>
      </c>
      <c r="L18" s="2" t="s">
        <v>30</v>
      </c>
      <c r="M18" s="2">
        <v>768.63</v>
      </c>
      <c r="N18" s="2">
        <v>1.0</v>
      </c>
      <c r="O18" s="2" t="s">
        <v>237</v>
      </c>
      <c r="P18" s="2" t="s">
        <v>95</v>
      </c>
      <c r="Q18" s="2" t="s">
        <v>238</v>
      </c>
      <c r="R18" s="2" t="s">
        <v>239</v>
      </c>
    </row>
    <row r="19">
      <c r="A19" s="2" t="s">
        <v>240</v>
      </c>
      <c r="B19" s="2" t="s">
        <v>241</v>
      </c>
      <c r="C19" s="2" t="s">
        <v>242</v>
      </c>
      <c r="D19" s="2" t="s">
        <v>243</v>
      </c>
      <c r="E19" s="2" t="s">
        <v>244</v>
      </c>
      <c r="F19" s="2" t="s">
        <v>245</v>
      </c>
      <c r="G19" s="2" t="s">
        <v>58</v>
      </c>
      <c r="H19" s="2" t="s">
        <v>42</v>
      </c>
      <c r="I19" s="2" t="s">
        <v>176</v>
      </c>
      <c r="J19" s="2" t="s">
        <v>246</v>
      </c>
      <c r="K19" s="2" t="s">
        <v>247</v>
      </c>
      <c r="L19" s="2" t="s">
        <v>248</v>
      </c>
      <c r="M19" s="2">
        <v>1497.04</v>
      </c>
      <c r="N19" s="2">
        <v>3.0</v>
      </c>
      <c r="O19" s="2" t="s">
        <v>249</v>
      </c>
      <c r="P19" s="2" t="s">
        <v>48</v>
      </c>
      <c r="Q19" s="2" t="s">
        <v>250</v>
      </c>
      <c r="R19" s="2" t="s">
        <v>251</v>
      </c>
    </row>
    <row r="20">
      <c r="A20" s="2" t="s">
        <v>252</v>
      </c>
      <c r="B20" s="2" t="s">
        <v>253</v>
      </c>
      <c r="C20" s="2" t="s">
        <v>254</v>
      </c>
      <c r="D20" s="2" t="s">
        <v>255</v>
      </c>
      <c r="E20" s="2" t="s">
        <v>256</v>
      </c>
      <c r="F20" s="2" t="s">
        <v>257</v>
      </c>
      <c r="G20" s="2" t="s">
        <v>88</v>
      </c>
      <c r="H20" s="2" t="s">
        <v>223</v>
      </c>
      <c r="I20" s="2" t="s">
        <v>60</v>
      </c>
      <c r="J20" s="2" t="s">
        <v>258</v>
      </c>
      <c r="K20" s="2" t="s">
        <v>259</v>
      </c>
      <c r="L20" s="2" t="s">
        <v>214</v>
      </c>
      <c r="N20" s="2">
        <v>1.0</v>
      </c>
      <c r="O20" s="2" t="s">
        <v>260</v>
      </c>
      <c r="P20" s="2" t="s">
        <v>48</v>
      </c>
      <c r="Q20" s="2" t="s">
        <v>143</v>
      </c>
      <c r="R20" s="2" t="s">
        <v>261</v>
      </c>
      <c r="S20" s="2" t="s">
        <v>133</v>
      </c>
    </row>
    <row r="21" ht="15.75" customHeight="1">
      <c r="A21" s="2" t="s">
        <v>262</v>
      </c>
      <c r="B21" s="2" t="s">
        <v>263</v>
      </c>
      <c r="C21" s="2" t="s">
        <v>264</v>
      </c>
      <c r="D21" s="2" t="s">
        <v>265</v>
      </c>
      <c r="E21" s="2" t="s">
        <v>266</v>
      </c>
      <c r="F21" s="2" t="s">
        <v>267</v>
      </c>
      <c r="G21" s="2" t="s">
        <v>73</v>
      </c>
      <c r="H21" s="2" t="s">
        <v>42</v>
      </c>
      <c r="I21" s="2" t="s">
        <v>268</v>
      </c>
      <c r="J21" s="2" t="s">
        <v>269</v>
      </c>
      <c r="K21" s="2" t="s">
        <v>270</v>
      </c>
      <c r="L21" s="2" t="s">
        <v>271</v>
      </c>
      <c r="N21" s="2">
        <v>1.0</v>
      </c>
      <c r="O21" s="2" t="s">
        <v>272</v>
      </c>
      <c r="P21" s="2" t="s">
        <v>48</v>
      </c>
      <c r="Q21" s="2" t="s">
        <v>143</v>
      </c>
      <c r="R21" s="2" t="s">
        <v>169</v>
      </c>
      <c r="S21" s="2" t="s">
        <v>67</v>
      </c>
    </row>
    <row r="22" ht="15.75" customHeight="1">
      <c r="A22" s="2" t="s">
        <v>273</v>
      </c>
      <c r="B22" s="2" t="s">
        <v>274</v>
      </c>
      <c r="C22" s="2" t="s">
        <v>275</v>
      </c>
      <c r="D22" s="2" t="s">
        <v>276</v>
      </c>
      <c r="E22" s="2" t="s">
        <v>277</v>
      </c>
      <c r="F22" s="2" t="s">
        <v>278</v>
      </c>
      <c r="G22" s="2" t="s">
        <v>25</v>
      </c>
      <c r="H22" s="2" t="s">
        <v>42</v>
      </c>
      <c r="I22" s="2" t="s">
        <v>103</v>
      </c>
      <c r="J22" s="2" t="s">
        <v>279</v>
      </c>
      <c r="K22" s="2" t="s">
        <v>280</v>
      </c>
      <c r="L22" s="2" t="s">
        <v>281</v>
      </c>
      <c r="N22" s="2">
        <v>1.0</v>
      </c>
      <c r="O22" s="2" t="s">
        <v>282</v>
      </c>
      <c r="P22" s="2" t="s">
        <v>283</v>
      </c>
      <c r="Q22" s="2" t="s">
        <v>33</v>
      </c>
      <c r="R22" s="2" t="s">
        <v>169</v>
      </c>
      <c r="S22" s="2" t="s">
        <v>67</v>
      </c>
    </row>
    <row r="23" ht="15.75" customHeight="1">
      <c r="A23" s="2" t="s">
        <v>284</v>
      </c>
      <c r="B23" s="2" t="s">
        <v>285</v>
      </c>
      <c r="C23" s="2" t="s">
        <v>286</v>
      </c>
      <c r="D23" s="2" t="s">
        <v>287</v>
      </c>
      <c r="F23" s="2" t="s">
        <v>288</v>
      </c>
      <c r="G23" s="2" t="s">
        <v>114</v>
      </c>
      <c r="H23" s="2" t="s">
        <v>115</v>
      </c>
      <c r="I23" s="2" t="s">
        <v>289</v>
      </c>
      <c r="J23" s="2" t="s">
        <v>290</v>
      </c>
      <c r="K23" s="2" t="s">
        <v>291</v>
      </c>
      <c r="L23" s="2" t="s">
        <v>292</v>
      </c>
      <c r="M23" s="2">
        <v>614.07</v>
      </c>
      <c r="N23" s="2">
        <v>3.0</v>
      </c>
      <c r="O23" s="2" t="s">
        <v>293</v>
      </c>
      <c r="P23" s="2" t="s">
        <v>32</v>
      </c>
      <c r="Q23" s="2" t="s">
        <v>49</v>
      </c>
      <c r="R23" s="2" t="s">
        <v>294</v>
      </c>
    </row>
    <row r="24" ht="15.75" customHeight="1">
      <c r="A24" s="2" t="s">
        <v>295</v>
      </c>
      <c r="B24" s="2" t="s">
        <v>296</v>
      </c>
      <c r="C24" s="2" t="s">
        <v>297</v>
      </c>
      <c r="D24" s="2" t="s">
        <v>298</v>
      </c>
      <c r="E24" s="2" t="s">
        <v>299</v>
      </c>
      <c r="F24" s="2" t="s">
        <v>300</v>
      </c>
      <c r="G24" s="2" t="s">
        <v>139</v>
      </c>
      <c r="H24" s="2" t="s">
        <v>301</v>
      </c>
      <c r="I24" s="2" t="s">
        <v>103</v>
      </c>
      <c r="J24" s="2" t="s">
        <v>302</v>
      </c>
      <c r="K24" s="2" t="s">
        <v>303</v>
      </c>
      <c r="L24" s="2" t="s">
        <v>248</v>
      </c>
      <c r="M24" s="2">
        <v>1559.25</v>
      </c>
      <c r="N24" s="2">
        <v>1.0</v>
      </c>
      <c r="O24" s="2" t="s">
        <v>304</v>
      </c>
      <c r="P24" s="2" t="s">
        <v>65</v>
      </c>
      <c r="Q24" s="2" t="s">
        <v>305</v>
      </c>
      <c r="R24" s="2" t="s">
        <v>306</v>
      </c>
      <c r="S24" s="2" t="s">
        <v>67</v>
      </c>
    </row>
    <row r="25" ht="15.75" customHeight="1">
      <c r="A25" s="2" t="s">
        <v>307</v>
      </c>
      <c r="B25" s="2" t="s">
        <v>308</v>
      </c>
      <c r="C25" s="2" t="s">
        <v>309</v>
      </c>
      <c r="D25" s="2" t="s">
        <v>310</v>
      </c>
      <c r="F25" s="2" t="s">
        <v>311</v>
      </c>
      <c r="G25" s="2" t="s">
        <v>165</v>
      </c>
      <c r="H25" s="2" t="s">
        <v>42</v>
      </c>
      <c r="I25" s="2" t="s">
        <v>312</v>
      </c>
      <c r="J25" s="2" t="s">
        <v>313</v>
      </c>
      <c r="K25" s="2" t="s">
        <v>314</v>
      </c>
      <c r="L25" s="2" t="s">
        <v>315</v>
      </c>
      <c r="M25" s="2">
        <v>1094.59</v>
      </c>
      <c r="N25" s="2">
        <v>5.0</v>
      </c>
      <c r="O25" s="2" t="s">
        <v>316</v>
      </c>
      <c r="P25" s="2" t="s">
        <v>48</v>
      </c>
      <c r="Q25" s="2" t="s">
        <v>143</v>
      </c>
      <c r="R25" s="2" t="s">
        <v>50</v>
      </c>
      <c r="S25" s="2" t="s">
        <v>133</v>
      </c>
    </row>
    <row r="26" ht="15.75" customHeight="1">
      <c r="A26" s="2" t="s">
        <v>317</v>
      </c>
      <c r="B26" s="2" t="s">
        <v>318</v>
      </c>
      <c r="C26" s="2" t="s">
        <v>319</v>
      </c>
      <c r="D26" s="2" t="s">
        <v>320</v>
      </c>
      <c r="E26" s="2" t="s">
        <v>321</v>
      </c>
      <c r="F26" s="2" t="s">
        <v>322</v>
      </c>
      <c r="G26" s="2" t="s">
        <v>58</v>
      </c>
      <c r="H26" s="2" t="s">
        <v>323</v>
      </c>
      <c r="I26" s="2" t="s">
        <v>324</v>
      </c>
      <c r="J26" s="2" t="s">
        <v>325</v>
      </c>
      <c r="K26" s="2" t="s">
        <v>326</v>
      </c>
      <c r="L26" s="2" t="s">
        <v>315</v>
      </c>
      <c r="N26" s="2">
        <v>1.0</v>
      </c>
      <c r="O26" s="2" t="s">
        <v>327</v>
      </c>
      <c r="P26" s="2" t="s">
        <v>95</v>
      </c>
      <c r="Q26" s="2" t="s">
        <v>49</v>
      </c>
      <c r="R26" s="2" t="s">
        <v>251</v>
      </c>
    </row>
    <row r="27" ht="15.75" customHeight="1">
      <c r="A27" s="2" t="s">
        <v>328</v>
      </c>
      <c r="B27" s="2" t="s">
        <v>329</v>
      </c>
      <c r="C27" s="2" t="s">
        <v>330</v>
      </c>
      <c r="D27" s="2" t="s">
        <v>331</v>
      </c>
      <c r="E27" s="2" t="s">
        <v>332</v>
      </c>
      <c r="G27" s="2" t="s">
        <v>188</v>
      </c>
      <c r="H27" s="2" t="s">
        <v>323</v>
      </c>
      <c r="I27" s="2" t="s">
        <v>333</v>
      </c>
      <c r="J27" s="2" t="s">
        <v>334</v>
      </c>
      <c r="K27" s="2" t="s">
        <v>335</v>
      </c>
      <c r="L27" s="2" t="s">
        <v>248</v>
      </c>
      <c r="M27" s="2">
        <v>709.89</v>
      </c>
      <c r="O27" s="2" t="s">
        <v>336</v>
      </c>
      <c r="P27" s="2" t="s">
        <v>65</v>
      </c>
      <c r="Q27" s="2" t="s">
        <v>337</v>
      </c>
      <c r="R27" s="2" t="s">
        <v>169</v>
      </c>
      <c r="S27" s="2" t="s">
        <v>81</v>
      </c>
    </row>
    <row r="28" ht="15.75" customHeight="1">
      <c r="A28" s="2" t="s">
        <v>338</v>
      </c>
      <c r="B28" s="2" t="s">
        <v>339</v>
      </c>
      <c r="C28" s="2" t="s">
        <v>340</v>
      </c>
      <c r="D28" s="2" t="s">
        <v>341</v>
      </c>
      <c r="E28" s="2" t="s">
        <v>342</v>
      </c>
      <c r="F28" s="2" t="s">
        <v>343</v>
      </c>
      <c r="G28" s="2" t="s">
        <v>25</v>
      </c>
      <c r="H28" s="2" t="s">
        <v>42</v>
      </c>
      <c r="I28" s="2" t="s">
        <v>176</v>
      </c>
      <c r="J28" s="2" t="s">
        <v>269</v>
      </c>
      <c r="K28" s="2" t="s">
        <v>270</v>
      </c>
      <c r="L28" s="2" t="s">
        <v>271</v>
      </c>
      <c r="M28" s="2">
        <v>680.14</v>
      </c>
      <c r="N28" s="2">
        <v>1.0</v>
      </c>
      <c r="O28" s="2" t="s">
        <v>344</v>
      </c>
      <c r="P28" s="2" t="s">
        <v>48</v>
      </c>
      <c r="Q28" s="2" t="s">
        <v>143</v>
      </c>
      <c r="R28" s="2" t="s">
        <v>345</v>
      </c>
      <c r="S28" s="2" t="s">
        <v>133</v>
      </c>
    </row>
    <row r="29" ht="15.75" customHeight="1">
      <c r="A29" s="2" t="s">
        <v>346</v>
      </c>
      <c r="B29" s="2" t="s">
        <v>347</v>
      </c>
      <c r="C29" s="2" t="s">
        <v>348</v>
      </c>
      <c r="D29" s="2" t="s">
        <v>349</v>
      </c>
      <c r="E29" s="2" t="s">
        <v>350</v>
      </c>
      <c r="F29" s="2" t="s">
        <v>351</v>
      </c>
      <c r="G29" s="2" t="s">
        <v>25</v>
      </c>
      <c r="H29" s="2" t="s">
        <v>74</v>
      </c>
      <c r="I29" s="2" t="s">
        <v>352</v>
      </c>
      <c r="J29" s="2" t="s">
        <v>353</v>
      </c>
      <c r="K29" s="2" t="s">
        <v>354</v>
      </c>
      <c r="L29" s="2" t="s">
        <v>355</v>
      </c>
      <c r="N29" s="2">
        <v>2.0</v>
      </c>
      <c r="O29" s="2" t="s">
        <v>356</v>
      </c>
      <c r="P29" s="2" t="s">
        <v>48</v>
      </c>
      <c r="Q29" s="2" t="s">
        <v>357</v>
      </c>
      <c r="R29" s="2" t="s">
        <v>169</v>
      </c>
      <c r="S29" s="2" t="s">
        <v>67</v>
      </c>
    </row>
    <row r="30" ht="15.75" customHeight="1">
      <c r="A30" s="2" t="s">
        <v>358</v>
      </c>
      <c r="B30" s="2" t="s">
        <v>359</v>
      </c>
      <c r="C30" s="2" t="s">
        <v>360</v>
      </c>
      <c r="D30" s="2" t="s">
        <v>361</v>
      </c>
      <c r="E30" s="2" t="s">
        <v>362</v>
      </c>
      <c r="F30" s="2" t="s">
        <v>363</v>
      </c>
      <c r="G30" s="2" t="s">
        <v>364</v>
      </c>
      <c r="H30" s="2" t="s">
        <v>74</v>
      </c>
      <c r="I30" s="2" t="s">
        <v>365</v>
      </c>
      <c r="J30" s="2" t="s">
        <v>366</v>
      </c>
      <c r="K30" s="2" t="s">
        <v>367</v>
      </c>
      <c r="L30" s="2" t="s">
        <v>368</v>
      </c>
      <c r="N30" s="2">
        <v>2.0</v>
      </c>
      <c r="O30" s="2" t="s">
        <v>369</v>
      </c>
      <c r="P30" s="2" t="s">
        <v>65</v>
      </c>
      <c r="Q30" s="2" t="s">
        <v>370</v>
      </c>
      <c r="R30" s="2" t="s">
        <v>34</v>
      </c>
      <c r="S30" s="2" t="s">
        <v>51</v>
      </c>
    </row>
    <row r="31" ht="15.75" customHeight="1">
      <c r="A31" s="2" t="s">
        <v>371</v>
      </c>
      <c r="B31" s="2" t="s">
        <v>372</v>
      </c>
      <c r="C31" s="2" t="s">
        <v>373</v>
      </c>
      <c r="D31" s="2" t="s">
        <v>374</v>
      </c>
      <c r="E31" s="2" t="s">
        <v>375</v>
      </c>
      <c r="F31" s="2" t="s">
        <v>376</v>
      </c>
      <c r="G31" s="2" t="s">
        <v>377</v>
      </c>
      <c r="H31" s="2" t="s">
        <v>210</v>
      </c>
      <c r="I31" s="2" t="s">
        <v>176</v>
      </c>
      <c r="J31" s="2" t="s">
        <v>177</v>
      </c>
      <c r="K31" s="2" t="s">
        <v>178</v>
      </c>
      <c r="L31" s="2" t="s">
        <v>179</v>
      </c>
      <c r="M31" s="2">
        <v>1309.01</v>
      </c>
      <c r="N31" s="2">
        <v>1.0</v>
      </c>
      <c r="O31" s="2" t="s">
        <v>378</v>
      </c>
      <c r="P31" s="2" t="s">
        <v>32</v>
      </c>
      <c r="Q31" s="2" t="s">
        <v>379</v>
      </c>
      <c r="R31" s="2" t="s">
        <v>380</v>
      </c>
      <c r="S31" s="2" t="s">
        <v>51</v>
      </c>
    </row>
    <row r="32" ht="15.75" customHeight="1">
      <c r="A32" s="2" t="s">
        <v>381</v>
      </c>
      <c r="B32" s="2" t="s">
        <v>382</v>
      </c>
      <c r="C32" s="2" t="s">
        <v>383</v>
      </c>
      <c r="D32" s="2" t="s">
        <v>384</v>
      </c>
      <c r="E32" s="2" t="s">
        <v>385</v>
      </c>
      <c r="F32" s="2" t="s">
        <v>386</v>
      </c>
      <c r="G32" s="2" t="s">
        <v>387</v>
      </c>
      <c r="H32" s="2" t="s">
        <v>388</v>
      </c>
      <c r="I32" s="2" t="s">
        <v>389</v>
      </c>
      <c r="J32" s="2" t="s">
        <v>390</v>
      </c>
      <c r="K32" s="2" t="s">
        <v>391</v>
      </c>
      <c r="L32" s="2" t="s">
        <v>248</v>
      </c>
      <c r="N32" s="2">
        <v>2.0</v>
      </c>
      <c r="O32" s="2" t="s">
        <v>392</v>
      </c>
      <c r="P32" s="2" t="s">
        <v>65</v>
      </c>
      <c r="Q32" s="2" t="s">
        <v>204</v>
      </c>
      <c r="R32" s="2" t="s">
        <v>393</v>
      </c>
      <c r="S32" s="2" t="s">
        <v>133</v>
      </c>
    </row>
    <row r="33" ht="15.75" customHeight="1">
      <c r="A33" s="2" t="s">
        <v>394</v>
      </c>
      <c r="B33" s="2" t="s">
        <v>395</v>
      </c>
      <c r="C33" s="2" t="s">
        <v>396</v>
      </c>
      <c r="D33" s="2" t="s">
        <v>397</v>
      </c>
      <c r="E33" s="2" t="s">
        <v>398</v>
      </c>
      <c r="G33" s="2" t="s">
        <v>399</v>
      </c>
      <c r="H33" s="2" t="s">
        <v>400</v>
      </c>
      <c r="I33" s="2" t="s">
        <v>401</v>
      </c>
      <c r="J33" s="2" t="s">
        <v>402</v>
      </c>
      <c r="K33" s="2" t="s">
        <v>403</v>
      </c>
      <c r="L33" s="2" t="s">
        <v>404</v>
      </c>
      <c r="M33" s="2">
        <v>1660.79</v>
      </c>
      <c r="N33" s="2">
        <v>1.0</v>
      </c>
      <c r="O33" s="2" t="s">
        <v>405</v>
      </c>
      <c r="P33" s="2" t="s">
        <v>48</v>
      </c>
      <c r="Q33" s="2" t="s">
        <v>33</v>
      </c>
      <c r="R33" s="2" t="s">
        <v>80</v>
      </c>
    </row>
    <row r="34" ht="15.75" customHeight="1">
      <c r="A34" s="2" t="s">
        <v>406</v>
      </c>
      <c r="B34" s="2" t="s">
        <v>407</v>
      </c>
      <c r="C34" s="2" t="s">
        <v>408</v>
      </c>
      <c r="D34" s="2" t="s">
        <v>409</v>
      </c>
      <c r="E34" s="2" t="s">
        <v>410</v>
      </c>
      <c r="G34" s="2" t="s">
        <v>58</v>
      </c>
      <c r="H34" s="2" t="s">
        <v>115</v>
      </c>
      <c r="I34" s="2" t="s">
        <v>43</v>
      </c>
      <c r="J34" s="2" t="s">
        <v>411</v>
      </c>
      <c r="K34" s="2" t="s">
        <v>412</v>
      </c>
      <c r="L34" s="2" t="s">
        <v>167</v>
      </c>
      <c r="N34" s="2">
        <v>3.0</v>
      </c>
      <c r="O34" s="2" t="s">
        <v>413</v>
      </c>
      <c r="P34" s="2" t="s">
        <v>95</v>
      </c>
      <c r="Q34" s="2" t="s">
        <v>414</v>
      </c>
      <c r="R34" s="2" t="s">
        <v>120</v>
      </c>
    </row>
    <row r="35" ht="15.75" customHeight="1">
      <c r="A35" s="2" t="s">
        <v>415</v>
      </c>
      <c r="B35" s="2" t="s">
        <v>416</v>
      </c>
      <c r="C35" s="2" t="s">
        <v>417</v>
      </c>
      <c r="D35" s="2" t="s">
        <v>418</v>
      </c>
      <c r="E35" s="2" t="s">
        <v>419</v>
      </c>
      <c r="F35" s="2" t="s">
        <v>420</v>
      </c>
      <c r="G35" s="2" t="s">
        <v>421</v>
      </c>
      <c r="H35" s="2" t="s">
        <v>323</v>
      </c>
      <c r="I35" s="2" t="s">
        <v>90</v>
      </c>
      <c r="J35" s="2" t="s">
        <v>422</v>
      </c>
      <c r="K35" s="2" t="s">
        <v>423</v>
      </c>
      <c r="L35" s="2" t="s">
        <v>292</v>
      </c>
      <c r="M35" s="2">
        <v>1383.78</v>
      </c>
      <c r="N35" s="2">
        <v>5.0</v>
      </c>
      <c r="O35" s="2" t="s">
        <v>424</v>
      </c>
      <c r="P35" s="2" t="s">
        <v>95</v>
      </c>
      <c r="Q35" s="2" t="s">
        <v>96</v>
      </c>
      <c r="R35" s="2" t="s">
        <v>169</v>
      </c>
      <c r="S35" s="2" t="s">
        <v>133</v>
      </c>
    </row>
    <row r="36" ht="15.75" customHeight="1">
      <c r="A36" s="2" t="s">
        <v>425</v>
      </c>
      <c r="B36" s="2" t="s">
        <v>426</v>
      </c>
      <c r="C36" s="2" t="s">
        <v>427</v>
      </c>
      <c r="D36" s="2" t="s">
        <v>428</v>
      </c>
      <c r="E36" s="2" t="s">
        <v>429</v>
      </c>
      <c r="F36" s="2" t="s">
        <v>430</v>
      </c>
      <c r="G36" s="2" t="s">
        <v>151</v>
      </c>
      <c r="H36" s="2" t="s">
        <v>234</v>
      </c>
      <c r="I36" s="2" t="s">
        <v>43</v>
      </c>
      <c r="J36" s="2" t="s">
        <v>189</v>
      </c>
      <c r="K36" s="2" t="s">
        <v>190</v>
      </c>
      <c r="L36" s="2" t="s">
        <v>167</v>
      </c>
      <c r="O36" s="2" t="s">
        <v>431</v>
      </c>
      <c r="P36" s="2" t="s">
        <v>65</v>
      </c>
      <c r="Q36" s="2" t="s">
        <v>370</v>
      </c>
      <c r="R36" s="2" t="s">
        <v>432</v>
      </c>
    </row>
    <row r="37" ht="15.75" customHeight="1">
      <c r="A37" s="2" t="s">
        <v>433</v>
      </c>
      <c r="B37" s="2" t="s">
        <v>434</v>
      </c>
      <c r="C37" s="2" t="s">
        <v>435</v>
      </c>
      <c r="D37" s="2" t="s">
        <v>436</v>
      </c>
      <c r="E37" s="2" t="s">
        <v>437</v>
      </c>
      <c r="F37" s="2" t="s">
        <v>438</v>
      </c>
      <c r="G37" s="2" t="s">
        <v>188</v>
      </c>
      <c r="H37" s="2" t="s">
        <v>26</v>
      </c>
      <c r="I37" s="2" t="s">
        <v>401</v>
      </c>
      <c r="J37" s="2" t="s">
        <v>439</v>
      </c>
      <c r="K37" s="2" t="s">
        <v>440</v>
      </c>
      <c r="L37" s="2" t="s">
        <v>63</v>
      </c>
      <c r="N37" s="2">
        <v>5.0</v>
      </c>
      <c r="O37" s="2" t="s">
        <v>441</v>
      </c>
      <c r="P37" s="2" t="s">
        <v>32</v>
      </c>
      <c r="Q37" s="2" t="s">
        <v>66</v>
      </c>
      <c r="R37" s="2" t="s">
        <v>442</v>
      </c>
      <c r="S37" s="2" t="s">
        <v>81</v>
      </c>
    </row>
    <row r="38" ht="15.75" customHeight="1">
      <c r="A38" s="2" t="s">
        <v>443</v>
      </c>
      <c r="B38" s="2" t="s">
        <v>444</v>
      </c>
      <c r="C38" s="2" t="s">
        <v>445</v>
      </c>
      <c r="D38" s="2" t="s">
        <v>446</v>
      </c>
      <c r="E38" s="2" t="s">
        <v>447</v>
      </c>
      <c r="G38" s="2" t="s">
        <v>448</v>
      </c>
      <c r="H38" s="2" t="s">
        <v>400</v>
      </c>
      <c r="I38" s="2" t="s">
        <v>103</v>
      </c>
      <c r="J38" s="2" t="s">
        <v>449</v>
      </c>
      <c r="K38" s="2" t="s">
        <v>450</v>
      </c>
      <c r="L38" s="2" t="s">
        <v>315</v>
      </c>
      <c r="M38" s="2">
        <v>571.4</v>
      </c>
      <c r="N38" s="2">
        <v>5.0</v>
      </c>
      <c r="O38" s="2" t="s">
        <v>451</v>
      </c>
      <c r="P38" s="2" t="s">
        <v>48</v>
      </c>
      <c r="Q38" s="2" t="s">
        <v>143</v>
      </c>
      <c r="R38" s="2" t="s">
        <v>452</v>
      </c>
      <c r="S38" s="2" t="s">
        <v>133</v>
      </c>
    </row>
    <row r="39" ht="15.75" customHeight="1">
      <c r="A39" s="2" t="s">
        <v>453</v>
      </c>
      <c r="B39" s="2" t="s">
        <v>454</v>
      </c>
      <c r="C39" s="2" t="s">
        <v>455</v>
      </c>
      <c r="D39" s="2" t="s">
        <v>456</v>
      </c>
      <c r="E39" s="2" t="s">
        <v>457</v>
      </c>
      <c r="F39" s="2" t="s">
        <v>458</v>
      </c>
      <c r="G39" s="2" t="s">
        <v>459</v>
      </c>
      <c r="H39" s="2" t="s">
        <v>460</v>
      </c>
      <c r="I39" s="2" t="s">
        <v>176</v>
      </c>
      <c r="J39" s="2" t="s">
        <v>461</v>
      </c>
      <c r="K39" s="2" t="s">
        <v>462</v>
      </c>
      <c r="L39" s="2" t="s">
        <v>463</v>
      </c>
      <c r="M39" s="2">
        <v>759.26</v>
      </c>
      <c r="N39" s="2">
        <v>2.0</v>
      </c>
      <c r="O39" s="2" t="s">
        <v>464</v>
      </c>
      <c r="P39" s="2" t="s">
        <v>95</v>
      </c>
      <c r="Q39" s="2" t="s">
        <v>143</v>
      </c>
      <c r="R39" s="2" t="s">
        <v>120</v>
      </c>
    </row>
    <row r="40" ht="15.75" customHeight="1">
      <c r="A40" s="2" t="s">
        <v>465</v>
      </c>
      <c r="B40" s="2" t="s">
        <v>466</v>
      </c>
      <c r="C40" s="2" t="s">
        <v>467</v>
      </c>
      <c r="D40" s="2" t="s">
        <v>468</v>
      </c>
      <c r="E40" s="2" t="s">
        <v>469</v>
      </c>
      <c r="F40" s="2" t="s">
        <v>470</v>
      </c>
      <c r="G40" s="2" t="s">
        <v>199</v>
      </c>
      <c r="H40" s="2" t="s">
        <v>74</v>
      </c>
      <c r="I40" s="2" t="s">
        <v>289</v>
      </c>
      <c r="J40" s="2" t="s">
        <v>471</v>
      </c>
      <c r="K40" s="2" t="s">
        <v>472</v>
      </c>
      <c r="L40" s="2" t="s">
        <v>179</v>
      </c>
      <c r="M40" s="2">
        <v>1456.79</v>
      </c>
      <c r="N40" s="2">
        <v>1.0</v>
      </c>
      <c r="O40" s="2" t="s">
        <v>473</v>
      </c>
      <c r="P40" s="2" t="s">
        <v>95</v>
      </c>
      <c r="Q40" s="2" t="s">
        <v>143</v>
      </c>
      <c r="R40" s="2" t="s">
        <v>393</v>
      </c>
    </row>
    <row r="41" ht="15.75" customHeight="1">
      <c r="A41" s="2" t="s">
        <v>474</v>
      </c>
      <c r="B41" s="2" t="s">
        <v>475</v>
      </c>
      <c r="C41" s="2" t="s">
        <v>476</v>
      </c>
      <c r="D41" s="2" t="s">
        <v>477</v>
      </c>
      <c r="E41" s="2" t="s">
        <v>478</v>
      </c>
      <c r="G41" s="2" t="s">
        <v>25</v>
      </c>
      <c r="H41" s="2" t="s">
        <v>479</v>
      </c>
      <c r="I41" s="2" t="s">
        <v>480</v>
      </c>
      <c r="J41" s="2" t="s">
        <v>481</v>
      </c>
      <c r="K41" s="2" t="s">
        <v>291</v>
      </c>
      <c r="L41" s="2" t="s">
        <v>482</v>
      </c>
      <c r="N41" s="2">
        <v>2.0</v>
      </c>
      <c r="O41" s="2" t="s">
        <v>483</v>
      </c>
      <c r="P41" s="2" t="s">
        <v>484</v>
      </c>
      <c r="Q41" s="2" t="s">
        <v>485</v>
      </c>
      <c r="R41" s="2" t="s">
        <v>192</v>
      </c>
      <c r="S41" s="2" t="s">
        <v>81</v>
      </c>
    </row>
    <row r="42" ht="15.75" customHeight="1">
      <c r="A42" s="2" t="s">
        <v>486</v>
      </c>
      <c r="B42" s="2" t="s">
        <v>487</v>
      </c>
      <c r="C42" s="2" t="s">
        <v>488</v>
      </c>
      <c r="D42" s="2" t="s">
        <v>489</v>
      </c>
      <c r="G42" s="2" t="s">
        <v>199</v>
      </c>
      <c r="H42" s="2" t="s">
        <v>234</v>
      </c>
      <c r="I42" s="2" t="s">
        <v>333</v>
      </c>
      <c r="J42" s="2" t="s">
        <v>490</v>
      </c>
      <c r="K42" s="2" t="s">
        <v>491</v>
      </c>
      <c r="L42" s="2" t="s">
        <v>492</v>
      </c>
      <c r="M42" s="2">
        <v>963.4</v>
      </c>
      <c r="N42" s="2">
        <v>2.0</v>
      </c>
      <c r="O42" s="2" t="s">
        <v>493</v>
      </c>
      <c r="P42" s="2" t="s">
        <v>32</v>
      </c>
      <c r="Q42" s="2" t="s">
        <v>66</v>
      </c>
      <c r="R42" s="2" t="s">
        <v>132</v>
      </c>
      <c r="S42" s="2" t="s">
        <v>51</v>
      </c>
    </row>
    <row r="43" ht="15.75" customHeight="1">
      <c r="A43" s="2" t="s">
        <v>494</v>
      </c>
      <c r="B43" s="2" t="s">
        <v>495</v>
      </c>
      <c r="C43" s="2" t="s">
        <v>496</v>
      </c>
      <c r="D43" s="2" t="s">
        <v>497</v>
      </c>
      <c r="E43" s="2" t="s">
        <v>498</v>
      </c>
      <c r="F43" s="2" t="s">
        <v>499</v>
      </c>
      <c r="G43" s="2" t="s">
        <v>139</v>
      </c>
      <c r="H43" s="2" t="s">
        <v>26</v>
      </c>
      <c r="I43" s="2" t="s">
        <v>500</v>
      </c>
      <c r="J43" s="2" t="s">
        <v>501</v>
      </c>
      <c r="K43" s="2" t="s">
        <v>502</v>
      </c>
      <c r="L43" s="2" t="s">
        <v>503</v>
      </c>
      <c r="M43" s="2">
        <v>312.58</v>
      </c>
      <c r="N43" s="2">
        <v>1.0</v>
      </c>
      <c r="O43" s="2" t="s">
        <v>504</v>
      </c>
      <c r="P43" s="2" t="s">
        <v>95</v>
      </c>
      <c r="Q43" s="2" t="s">
        <v>505</v>
      </c>
      <c r="R43" s="2" t="s">
        <v>432</v>
      </c>
      <c r="S43" s="2" t="s">
        <v>51</v>
      </c>
    </row>
    <row r="44" ht="15.75" customHeight="1">
      <c r="A44" s="2" t="s">
        <v>506</v>
      </c>
      <c r="B44" s="2" t="s">
        <v>507</v>
      </c>
      <c r="C44" s="2" t="s">
        <v>508</v>
      </c>
      <c r="D44" s="2" t="s">
        <v>509</v>
      </c>
      <c r="E44" s="2" t="s">
        <v>510</v>
      </c>
      <c r="F44" s="2" t="s">
        <v>511</v>
      </c>
      <c r="G44" s="2" t="s">
        <v>73</v>
      </c>
      <c r="H44" s="2" t="s">
        <v>42</v>
      </c>
      <c r="I44" s="2" t="s">
        <v>512</v>
      </c>
      <c r="J44" s="2" t="s">
        <v>513</v>
      </c>
      <c r="K44" s="2" t="s">
        <v>391</v>
      </c>
      <c r="L44" s="2" t="s">
        <v>514</v>
      </c>
      <c r="M44" s="2">
        <v>1443.74</v>
      </c>
      <c r="N44" s="2">
        <v>2.0</v>
      </c>
      <c r="O44" s="2" t="s">
        <v>515</v>
      </c>
      <c r="P44" s="2" t="s">
        <v>95</v>
      </c>
      <c r="Q44" s="2" t="s">
        <v>370</v>
      </c>
      <c r="R44" s="2" t="s">
        <v>432</v>
      </c>
    </row>
    <row r="45" ht="15.75" customHeight="1">
      <c r="A45" s="2" t="s">
        <v>516</v>
      </c>
      <c r="B45" s="2" t="s">
        <v>517</v>
      </c>
      <c r="C45" s="2" t="s">
        <v>518</v>
      </c>
      <c r="D45" s="2" t="s">
        <v>519</v>
      </c>
      <c r="E45" s="2" t="s">
        <v>520</v>
      </c>
      <c r="F45" s="2" t="s">
        <v>521</v>
      </c>
      <c r="G45" s="2" t="s">
        <v>88</v>
      </c>
      <c r="H45" s="2" t="s">
        <v>26</v>
      </c>
      <c r="I45" s="2" t="s">
        <v>522</v>
      </c>
      <c r="J45" s="2" t="s">
        <v>523</v>
      </c>
      <c r="K45" s="2" t="s">
        <v>524</v>
      </c>
      <c r="L45" s="2" t="s">
        <v>368</v>
      </c>
      <c r="M45" s="2">
        <v>1594.99</v>
      </c>
      <c r="N45" s="2">
        <v>2.0</v>
      </c>
      <c r="O45" s="2" t="s">
        <v>525</v>
      </c>
      <c r="P45" s="2" t="s">
        <v>48</v>
      </c>
      <c r="Q45" s="2" t="s">
        <v>526</v>
      </c>
      <c r="R45" s="2" t="s">
        <v>527</v>
      </c>
      <c r="S45" s="2" t="s">
        <v>81</v>
      </c>
    </row>
    <row r="46" ht="15.75" customHeight="1">
      <c r="A46" s="2" t="s">
        <v>528</v>
      </c>
      <c r="B46" s="2" t="s">
        <v>529</v>
      </c>
      <c r="C46" s="2" t="s">
        <v>530</v>
      </c>
      <c r="D46" s="2" t="s">
        <v>531</v>
      </c>
      <c r="E46" s="2" t="s">
        <v>532</v>
      </c>
      <c r="F46" s="2" t="s">
        <v>533</v>
      </c>
      <c r="G46" s="2" t="s">
        <v>151</v>
      </c>
      <c r="H46" s="2" t="s">
        <v>223</v>
      </c>
      <c r="I46" s="2" t="s">
        <v>401</v>
      </c>
      <c r="J46" s="2" t="s">
        <v>534</v>
      </c>
      <c r="K46" s="2" t="s">
        <v>535</v>
      </c>
      <c r="L46" s="2" t="s">
        <v>30</v>
      </c>
      <c r="M46" s="2">
        <v>876.76</v>
      </c>
      <c r="N46" s="2">
        <v>3.0</v>
      </c>
      <c r="O46" s="2" t="s">
        <v>536</v>
      </c>
      <c r="P46" s="2" t="s">
        <v>32</v>
      </c>
      <c r="Q46" s="2" t="s">
        <v>204</v>
      </c>
      <c r="R46" s="2" t="s">
        <v>294</v>
      </c>
    </row>
    <row r="47" ht="15.75" customHeight="1">
      <c r="A47" s="2" t="s">
        <v>537</v>
      </c>
      <c r="B47" s="2" t="s">
        <v>538</v>
      </c>
      <c r="C47" s="2" t="s">
        <v>539</v>
      </c>
      <c r="D47" s="2" t="s">
        <v>540</v>
      </c>
      <c r="E47" s="2" t="s">
        <v>541</v>
      </c>
      <c r="G47" s="2" t="s">
        <v>41</v>
      </c>
      <c r="H47" s="2" t="s">
        <v>234</v>
      </c>
      <c r="I47" s="2" t="s">
        <v>60</v>
      </c>
      <c r="J47" s="2" t="s">
        <v>104</v>
      </c>
      <c r="K47" s="2" t="s">
        <v>105</v>
      </c>
      <c r="L47" s="2" t="s">
        <v>106</v>
      </c>
      <c r="N47" s="2">
        <v>3.0</v>
      </c>
      <c r="O47" s="2" t="s">
        <v>542</v>
      </c>
      <c r="P47" s="2" t="s">
        <v>32</v>
      </c>
      <c r="Q47" s="2" t="s">
        <v>379</v>
      </c>
      <c r="R47" s="2" t="s">
        <v>452</v>
      </c>
      <c r="S47" s="2" t="s">
        <v>51</v>
      </c>
    </row>
    <row r="48" ht="15.75" customHeight="1">
      <c r="A48" s="2" t="s">
        <v>543</v>
      </c>
      <c r="B48" s="2" t="s">
        <v>544</v>
      </c>
      <c r="C48" s="2" t="s">
        <v>545</v>
      </c>
      <c r="D48" s="2" t="s">
        <v>546</v>
      </c>
      <c r="E48" s="2" t="s">
        <v>547</v>
      </c>
      <c r="G48" s="2" t="s">
        <v>548</v>
      </c>
      <c r="H48" s="2" t="s">
        <v>223</v>
      </c>
      <c r="I48" s="2" t="s">
        <v>289</v>
      </c>
      <c r="J48" s="2" t="s">
        <v>313</v>
      </c>
      <c r="K48" s="2" t="s">
        <v>314</v>
      </c>
      <c r="L48" s="2" t="s">
        <v>315</v>
      </c>
      <c r="N48" s="2">
        <v>1.0</v>
      </c>
      <c r="O48" s="2" t="s">
        <v>549</v>
      </c>
      <c r="P48" s="2" t="s">
        <v>65</v>
      </c>
      <c r="Q48" s="2" t="s">
        <v>143</v>
      </c>
      <c r="R48" s="2" t="s">
        <v>442</v>
      </c>
      <c r="S48" s="2" t="s">
        <v>81</v>
      </c>
    </row>
    <row r="49" ht="15.75" customHeight="1">
      <c r="A49" s="2" t="s">
        <v>550</v>
      </c>
      <c r="B49" s="2" t="s">
        <v>551</v>
      </c>
      <c r="C49" s="2" t="s">
        <v>552</v>
      </c>
      <c r="D49" s="2" t="s">
        <v>553</v>
      </c>
      <c r="E49" s="2" t="s">
        <v>554</v>
      </c>
      <c r="F49" s="2" t="s">
        <v>555</v>
      </c>
      <c r="G49" s="2" t="s">
        <v>364</v>
      </c>
      <c r="H49" s="2" t="s">
        <v>74</v>
      </c>
      <c r="I49" s="2" t="s">
        <v>43</v>
      </c>
      <c r="J49" s="2" t="s">
        <v>556</v>
      </c>
      <c r="K49" s="2" t="s">
        <v>502</v>
      </c>
      <c r="L49" s="2" t="s">
        <v>355</v>
      </c>
      <c r="N49" s="2">
        <v>2.0</v>
      </c>
      <c r="O49" s="2" t="s">
        <v>557</v>
      </c>
      <c r="P49" s="2" t="s">
        <v>32</v>
      </c>
      <c r="Q49" s="2" t="s">
        <v>66</v>
      </c>
      <c r="R49" s="2" t="s">
        <v>192</v>
      </c>
      <c r="S49" s="2" t="s">
        <v>133</v>
      </c>
    </row>
    <row r="50" ht="15.75" customHeight="1">
      <c r="A50" s="2" t="s">
        <v>558</v>
      </c>
      <c r="B50" s="2" t="s">
        <v>559</v>
      </c>
      <c r="C50" s="2" t="s">
        <v>560</v>
      </c>
      <c r="D50" s="2" t="s">
        <v>561</v>
      </c>
      <c r="E50" s="2" t="s">
        <v>562</v>
      </c>
      <c r="F50" s="2" t="s">
        <v>563</v>
      </c>
      <c r="G50" s="2" t="s">
        <v>564</v>
      </c>
      <c r="H50" s="2" t="s">
        <v>234</v>
      </c>
      <c r="I50" s="2" t="s">
        <v>103</v>
      </c>
      <c r="J50" s="2" t="s">
        <v>565</v>
      </c>
      <c r="K50" s="2" t="s">
        <v>566</v>
      </c>
      <c r="L50" s="2" t="s">
        <v>167</v>
      </c>
      <c r="M50" s="2">
        <v>1625.99</v>
      </c>
      <c r="O50" s="2" t="s">
        <v>567</v>
      </c>
      <c r="P50" s="2" t="s">
        <v>48</v>
      </c>
      <c r="Q50" s="2" t="s">
        <v>568</v>
      </c>
      <c r="R50" s="2" t="s">
        <v>192</v>
      </c>
      <c r="S50" s="2" t="s">
        <v>81</v>
      </c>
    </row>
    <row r="51" ht="15.75" customHeight="1">
      <c r="A51" s="2" t="s">
        <v>569</v>
      </c>
      <c r="B51" s="2" t="s">
        <v>570</v>
      </c>
      <c r="C51" s="2" t="s">
        <v>123</v>
      </c>
      <c r="D51" s="2" t="s">
        <v>124</v>
      </c>
      <c r="E51" s="2" t="s">
        <v>125</v>
      </c>
      <c r="F51" s="2" t="s">
        <v>126</v>
      </c>
      <c r="G51" s="2" t="s">
        <v>88</v>
      </c>
      <c r="H51" s="2" t="s">
        <v>210</v>
      </c>
      <c r="I51" s="2" t="s">
        <v>571</v>
      </c>
      <c r="J51" s="2" t="s">
        <v>117</v>
      </c>
      <c r="K51" s="2" t="s">
        <v>118</v>
      </c>
      <c r="L51" s="2" t="s">
        <v>63</v>
      </c>
      <c r="O51" s="2" t="s">
        <v>572</v>
      </c>
      <c r="P51" s="2" t="s">
        <v>32</v>
      </c>
      <c r="Q51" s="2" t="s">
        <v>573</v>
      </c>
      <c r="R51" s="2" t="s">
        <v>574</v>
      </c>
      <c r="S51" s="2" t="s">
        <v>51</v>
      </c>
    </row>
    <row r="52" ht="15.75" customHeight="1">
      <c r="A52" s="2" t="s">
        <v>575</v>
      </c>
      <c r="B52" s="2" t="s">
        <v>576</v>
      </c>
      <c r="C52" s="2" t="s">
        <v>577</v>
      </c>
      <c r="D52" s="2" t="s">
        <v>578</v>
      </c>
      <c r="E52" s="2" t="s">
        <v>579</v>
      </c>
      <c r="F52" s="2" t="s">
        <v>580</v>
      </c>
      <c r="G52" s="2" t="s">
        <v>73</v>
      </c>
      <c r="H52" s="2" t="s">
        <v>74</v>
      </c>
      <c r="I52" s="2" t="s">
        <v>116</v>
      </c>
      <c r="J52" s="2" t="s">
        <v>581</v>
      </c>
      <c r="K52" s="2" t="s">
        <v>326</v>
      </c>
      <c r="L52" s="2" t="s">
        <v>582</v>
      </c>
      <c r="M52" s="2">
        <v>825.82</v>
      </c>
      <c r="N52" s="2">
        <v>2.0</v>
      </c>
      <c r="P52" s="2" t="s">
        <v>484</v>
      </c>
      <c r="Q52" s="2" t="s">
        <v>583</v>
      </c>
      <c r="R52" s="2" t="s">
        <v>294</v>
      </c>
      <c r="S52" s="2" t="s">
        <v>133</v>
      </c>
    </row>
    <row r="53" ht="15.75" customHeight="1">
      <c r="A53" s="2" t="s">
        <v>584</v>
      </c>
      <c r="B53" s="2" t="s">
        <v>585</v>
      </c>
      <c r="C53" s="2" t="s">
        <v>586</v>
      </c>
      <c r="D53" s="2" t="s">
        <v>587</v>
      </c>
      <c r="E53" s="2" t="s">
        <v>588</v>
      </c>
      <c r="F53" s="2" t="s">
        <v>589</v>
      </c>
      <c r="G53" s="2" t="s">
        <v>199</v>
      </c>
      <c r="H53" s="2" t="s">
        <v>234</v>
      </c>
      <c r="I53" s="2" t="s">
        <v>590</v>
      </c>
      <c r="J53" s="2" t="s">
        <v>402</v>
      </c>
      <c r="K53" s="2" t="s">
        <v>403</v>
      </c>
      <c r="L53" s="2" t="s">
        <v>404</v>
      </c>
      <c r="M53" s="2">
        <v>561.88</v>
      </c>
      <c r="N53" s="2">
        <v>2.0</v>
      </c>
      <c r="O53" s="2" t="s">
        <v>591</v>
      </c>
      <c r="P53" s="2" t="s">
        <v>32</v>
      </c>
      <c r="Q53" s="2" t="s">
        <v>131</v>
      </c>
      <c r="R53" s="2" t="s">
        <v>80</v>
      </c>
      <c r="S53" s="2" t="s">
        <v>51</v>
      </c>
    </row>
    <row r="54" ht="15.75" customHeight="1">
      <c r="A54" s="2" t="s">
        <v>592</v>
      </c>
      <c r="B54" s="2" t="s">
        <v>593</v>
      </c>
      <c r="C54" s="2" t="s">
        <v>594</v>
      </c>
      <c r="D54" s="2" t="s">
        <v>595</v>
      </c>
      <c r="E54" s="2" t="s">
        <v>596</v>
      </c>
      <c r="F54" s="2" t="s">
        <v>597</v>
      </c>
      <c r="G54" s="2" t="s">
        <v>139</v>
      </c>
      <c r="H54" s="2" t="s">
        <v>598</v>
      </c>
      <c r="I54" s="2" t="s">
        <v>176</v>
      </c>
      <c r="J54" s="2" t="s">
        <v>599</v>
      </c>
      <c r="K54" s="2" t="s">
        <v>600</v>
      </c>
      <c r="L54" s="2" t="s">
        <v>167</v>
      </c>
      <c r="M54" s="2">
        <v>1281.06</v>
      </c>
      <c r="N54" s="2">
        <v>1.0</v>
      </c>
      <c r="O54" s="2" t="s">
        <v>601</v>
      </c>
      <c r="P54" s="2" t="s">
        <v>32</v>
      </c>
      <c r="Q54" s="2" t="s">
        <v>573</v>
      </c>
      <c r="R54" s="2" t="s">
        <v>306</v>
      </c>
      <c r="S54" s="2" t="s">
        <v>67</v>
      </c>
    </row>
    <row r="55" ht="15.75" customHeight="1">
      <c r="A55" s="2" t="s">
        <v>602</v>
      </c>
      <c r="B55" s="2" t="s">
        <v>603</v>
      </c>
      <c r="C55" s="2" t="s">
        <v>604</v>
      </c>
      <c r="D55" s="2" t="s">
        <v>605</v>
      </c>
      <c r="E55" s="2" t="s">
        <v>606</v>
      </c>
      <c r="F55" s="2" t="s">
        <v>607</v>
      </c>
      <c r="G55" s="2" t="s">
        <v>608</v>
      </c>
      <c r="H55" s="2" t="s">
        <v>26</v>
      </c>
      <c r="I55" s="2" t="s">
        <v>90</v>
      </c>
      <c r="J55" s="2" t="s">
        <v>609</v>
      </c>
      <c r="K55" s="2" t="s">
        <v>259</v>
      </c>
      <c r="L55" s="2" t="s">
        <v>610</v>
      </c>
      <c r="N55" s="2">
        <v>1.0</v>
      </c>
      <c r="O55" s="2" t="s">
        <v>611</v>
      </c>
      <c r="P55" s="2" t="s">
        <v>612</v>
      </c>
      <c r="Q55" s="2" t="s">
        <v>66</v>
      </c>
      <c r="R55" s="2" t="s">
        <v>158</v>
      </c>
      <c r="S55" s="2" t="s">
        <v>51</v>
      </c>
    </row>
    <row r="56" ht="15.75" customHeight="1">
      <c r="A56" s="2" t="s">
        <v>613</v>
      </c>
      <c r="B56" s="2" t="s">
        <v>614</v>
      </c>
      <c r="C56" s="2" t="s">
        <v>615</v>
      </c>
      <c r="D56" s="2" t="s">
        <v>616</v>
      </c>
      <c r="E56" s="2" t="s">
        <v>617</v>
      </c>
      <c r="F56" s="2" t="s">
        <v>618</v>
      </c>
      <c r="G56" s="2" t="s">
        <v>73</v>
      </c>
      <c r="H56" s="2" t="s">
        <v>26</v>
      </c>
      <c r="I56" s="2" t="s">
        <v>312</v>
      </c>
      <c r="J56" s="2" t="s">
        <v>619</v>
      </c>
      <c r="K56" s="2" t="s">
        <v>620</v>
      </c>
      <c r="L56" s="2" t="s">
        <v>292</v>
      </c>
      <c r="N56" s="2">
        <v>1.0</v>
      </c>
      <c r="O56" s="2" t="s">
        <v>621</v>
      </c>
      <c r="P56" s="2" t="s">
        <v>48</v>
      </c>
      <c r="Q56" s="2" t="s">
        <v>33</v>
      </c>
      <c r="R56" s="2" t="s">
        <v>294</v>
      </c>
      <c r="S56" s="2" t="s">
        <v>67</v>
      </c>
    </row>
    <row r="57" ht="15.75" customHeight="1">
      <c r="A57" s="2" t="s">
        <v>622</v>
      </c>
      <c r="B57" s="2" t="s">
        <v>623</v>
      </c>
      <c r="C57" s="2" t="s">
        <v>624</v>
      </c>
      <c r="D57" s="2" t="s">
        <v>625</v>
      </c>
      <c r="E57" s="2" t="s">
        <v>626</v>
      </c>
      <c r="F57" s="2" t="s">
        <v>627</v>
      </c>
      <c r="G57" s="2" t="s">
        <v>421</v>
      </c>
      <c r="H57" s="2" t="s">
        <v>42</v>
      </c>
      <c r="I57" s="2" t="s">
        <v>103</v>
      </c>
      <c r="J57" s="2" t="s">
        <v>490</v>
      </c>
      <c r="K57" s="2" t="s">
        <v>491</v>
      </c>
      <c r="L57" s="2" t="s">
        <v>492</v>
      </c>
      <c r="N57" s="2">
        <v>5.0</v>
      </c>
      <c r="O57" s="2" t="s">
        <v>628</v>
      </c>
      <c r="P57" s="2" t="s">
        <v>65</v>
      </c>
      <c r="Q57" s="2" t="s">
        <v>33</v>
      </c>
      <c r="R57" s="2" t="s">
        <v>393</v>
      </c>
      <c r="S57" s="2" t="s">
        <v>67</v>
      </c>
    </row>
    <row r="58" ht="15.75" customHeight="1">
      <c r="A58" s="2" t="s">
        <v>629</v>
      </c>
      <c r="B58" s="2" t="s">
        <v>630</v>
      </c>
      <c r="C58" s="2" t="s">
        <v>631</v>
      </c>
      <c r="D58" s="2" t="s">
        <v>632</v>
      </c>
      <c r="E58" s="2" t="s">
        <v>633</v>
      </c>
      <c r="F58" s="2" t="s">
        <v>634</v>
      </c>
      <c r="G58" s="2" t="s">
        <v>459</v>
      </c>
      <c r="H58" s="2" t="s">
        <v>400</v>
      </c>
      <c r="I58" s="2" t="s">
        <v>500</v>
      </c>
      <c r="J58" s="2" t="s">
        <v>635</v>
      </c>
      <c r="K58" s="2" t="s">
        <v>636</v>
      </c>
      <c r="L58" s="2" t="s">
        <v>637</v>
      </c>
      <c r="N58" s="2">
        <v>1.0</v>
      </c>
      <c r="O58" s="2" t="s">
        <v>638</v>
      </c>
      <c r="P58" s="2" t="s">
        <v>48</v>
      </c>
      <c r="Q58" s="2" t="s">
        <v>181</v>
      </c>
      <c r="R58" s="2" t="s">
        <v>50</v>
      </c>
      <c r="S58" s="2" t="s">
        <v>133</v>
      </c>
    </row>
    <row r="59" ht="15.75" customHeight="1">
      <c r="A59" s="2" t="s">
        <v>639</v>
      </c>
      <c r="B59" s="2" t="s">
        <v>640</v>
      </c>
      <c r="C59" s="2" t="s">
        <v>54</v>
      </c>
      <c r="D59" s="2" t="s">
        <v>55</v>
      </c>
      <c r="E59" s="2" t="s">
        <v>56</v>
      </c>
      <c r="F59" s="2" t="s">
        <v>57</v>
      </c>
      <c r="G59" s="2" t="s">
        <v>58</v>
      </c>
      <c r="H59" s="2" t="s">
        <v>641</v>
      </c>
      <c r="I59" s="2" t="s">
        <v>642</v>
      </c>
      <c r="J59" s="2" t="s">
        <v>643</v>
      </c>
      <c r="K59" s="2" t="s">
        <v>644</v>
      </c>
      <c r="L59" s="2" t="s">
        <v>368</v>
      </c>
      <c r="M59" s="2">
        <v>1514.36</v>
      </c>
      <c r="N59" s="2">
        <v>1.0</v>
      </c>
      <c r="O59" s="2" t="s">
        <v>645</v>
      </c>
      <c r="P59" s="2" t="s">
        <v>65</v>
      </c>
      <c r="Q59" s="2" t="s">
        <v>305</v>
      </c>
      <c r="R59" s="2" t="s">
        <v>192</v>
      </c>
      <c r="S59" s="2" t="s">
        <v>51</v>
      </c>
    </row>
    <row r="60" ht="15.75" customHeight="1">
      <c r="A60" s="2" t="s">
        <v>646</v>
      </c>
      <c r="B60" s="2" t="s">
        <v>647</v>
      </c>
      <c r="C60" s="2" t="s">
        <v>648</v>
      </c>
      <c r="D60" s="2" t="s">
        <v>649</v>
      </c>
      <c r="E60" s="2" t="s">
        <v>650</v>
      </c>
      <c r="F60" s="2" t="s">
        <v>651</v>
      </c>
      <c r="G60" s="2" t="s">
        <v>199</v>
      </c>
      <c r="H60" s="2" t="s">
        <v>59</v>
      </c>
      <c r="I60" s="2" t="s">
        <v>90</v>
      </c>
      <c r="J60" s="2" t="s">
        <v>652</v>
      </c>
      <c r="K60" s="2" t="s">
        <v>653</v>
      </c>
      <c r="L60" s="2" t="s">
        <v>179</v>
      </c>
      <c r="M60" s="2">
        <v>1188.08</v>
      </c>
      <c r="N60" s="2">
        <v>3.0</v>
      </c>
      <c r="O60" s="2" t="s">
        <v>654</v>
      </c>
      <c r="P60" s="2" t="s">
        <v>32</v>
      </c>
      <c r="Q60" s="2" t="s">
        <v>66</v>
      </c>
      <c r="R60" s="2" t="s">
        <v>380</v>
      </c>
      <c r="S60" s="2" t="s">
        <v>51</v>
      </c>
    </row>
    <row r="61" ht="15.75" customHeight="1">
      <c r="A61" s="2" t="s">
        <v>655</v>
      </c>
      <c r="B61" s="2" t="s">
        <v>656</v>
      </c>
      <c r="C61" s="2" t="s">
        <v>657</v>
      </c>
      <c r="D61" s="2" t="s">
        <v>658</v>
      </c>
      <c r="E61" s="2" t="s">
        <v>659</v>
      </c>
      <c r="F61" s="2" t="s">
        <v>660</v>
      </c>
      <c r="G61" s="2" t="s">
        <v>88</v>
      </c>
      <c r="H61" s="2" t="s">
        <v>42</v>
      </c>
      <c r="I61" s="2" t="s">
        <v>90</v>
      </c>
      <c r="J61" s="2" t="s">
        <v>661</v>
      </c>
      <c r="K61" s="2" t="s">
        <v>662</v>
      </c>
      <c r="L61" s="2" t="s">
        <v>368</v>
      </c>
      <c r="N61" s="2">
        <v>2.0</v>
      </c>
      <c r="O61" s="2" t="s">
        <v>663</v>
      </c>
      <c r="P61" s="2" t="s">
        <v>65</v>
      </c>
      <c r="Q61" s="2" t="s">
        <v>664</v>
      </c>
      <c r="R61" s="2" t="s">
        <v>80</v>
      </c>
    </row>
    <row r="62" ht="15.75" customHeight="1">
      <c r="A62" s="2" t="s">
        <v>665</v>
      </c>
      <c r="B62" s="2" t="s">
        <v>666</v>
      </c>
      <c r="C62" s="2" t="s">
        <v>667</v>
      </c>
      <c r="D62" s="2" t="s">
        <v>668</v>
      </c>
      <c r="E62" s="2" t="s">
        <v>669</v>
      </c>
      <c r="F62" s="2" t="s">
        <v>670</v>
      </c>
      <c r="G62" s="2" t="s">
        <v>671</v>
      </c>
      <c r="H62" s="2" t="s">
        <v>672</v>
      </c>
      <c r="I62" s="2" t="s">
        <v>211</v>
      </c>
      <c r="J62" s="2" t="s">
        <v>673</v>
      </c>
      <c r="K62" s="2" t="s">
        <v>118</v>
      </c>
      <c r="L62" s="2" t="s">
        <v>674</v>
      </c>
      <c r="M62" s="2">
        <v>1301.51</v>
      </c>
      <c r="O62" s="2" t="s">
        <v>675</v>
      </c>
      <c r="P62" s="2" t="s">
        <v>32</v>
      </c>
      <c r="Q62" s="2" t="s">
        <v>131</v>
      </c>
      <c r="R62" s="2" t="s">
        <v>676</v>
      </c>
      <c r="S62" s="2" t="s">
        <v>81</v>
      </c>
    </row>
    <row r="63" ht="15.75" customHeight="1">
      <c r="A63" s="2" t="s">
        <v>677</v>
      </c>
      <c r="B63" s="2" t="s">
        <v>678</v>
      </c>
      <c r="C63" s="2" t="s">
        <v>679</v>
      </c>
      <c r="D63" s="2" t="s">
        <v>680</v>
      </c>
      <c r="E63" s="2" t="s">
        <v>681</v>
      </c>
      <c r="F63" s="2" t="s">
        <v>682</v>
      </c>
      <c r="G63" s="2" t="s">
        <v>199</v>
      </c>
      <c r="H63" s="2" t="s">
        <v>683</v>
      </c>
      <c r="I63" s="2" t="s">
        <v>333</v>
      </c>
      <c r="J63" s="2" t="s">
        <v>449</v>
      </c>
      <c r="K63" s="2" t="s">
        <v>450</v>
      </c>
      <c r="L63" s="2" t="s">
        <v>315</v>
      </c>
      <c r="M63" s="2">
        <v>470.36</v>
      </c>
      <c r="N63" s="2">
        <v>1.0</v>
      </c>
      <c r="O63" s="2" t="s">
        <v>684</v>
      </c>
      <c r="P63" s="2" t="s">
        <v>95</v>
      </c>
      <c r="Q63" s="2" t="s">
        <v>685</v>
      </c>
      <c r="R63" s="2" t="s">
        <v>676</v>
      </c>
    </row>
    <row r="64" ht="15.75" customHeight="1">
      <c r="A64" s="2" t="s">
        <v>686</v>
      </c>
      <c r="B64" s="2" t="s">
        <v>687</v>
      </c>
      <c r="C64" s="2" t="s">
        <v>688</v>
      </c>
      <c r="D64" s="2" t="s">
        <v>689</v>
      </c>
      <c r="E64" s="2" t="s">
        <v>690</v>
      </c>
      <c r="F64" s="2" t="s">
        <v>691</v>
      </c>
      <c r="G64" s="2" t="s">
        <v>58</v>
      </c>
      <c r="H64" s="2" t="s">
        <v>641</v>
      </c>
      <c r="I64" s="2" t="s">
        <v>401</v>
      </c>
      <c r="J64" s="2" t="s">
        <v>692</v>
      </c>
      <c r="K64" s="2" t="s">
        <v>693</v>
      </c>
      <c r="L64" s="2" t="s">
        <v>368</v>
      </c>
      <c r="N64" s="2">
        <v>1.0</v>
      </c>
      <c r="O64" s="2" t="s">
        <v>694</v>
      </c>
      <c r="P64" s="2" t="s">
        <v>32</v>
      </c>
      <c r="Q64" s="2" t="s">
        <v>143</v>
      </c>
      <c r="R64" s="2" t="s">
        <v>380</v>
      </c>
    </row>
    <row r="65" ht="15.75" customHeight="1">
      <c r="A65" s="2" t="s">
        <v>695</v>
      </c>
      <c r="B65" s="2" t="s">
        <v>696</v>
      </c>
      <c r="C65" s="2" t="s">
        <v>286</v>
      </c>
      <c r="D65" s="2" t="s">
        <v>287</v>
      </c>
      <c r="F65" s="2" t="s">
        <v>288</v>
      </c>
      <c r="G65" s="2" t="s">
        <v>114</v>
      </c>
      <c r="H65" s="2" t="s">
        <v>301</v>
      </c>
      <c r="I65" s="2" t="s">
        <v>312</v>
      </c>
      <c r="J65" s="2" t="s">
        <v>235</v>
      </c>
      <c r="K65" s="2" t="s">
        <v>236</v>
      </c>
      <c r="L65" s="2" t="s">
        <v>30</v>
      </c>
      <c r="M65" s="2">
        <v>969.05</v>
      </c>
      <c r="N65" s="2">
        <v>2.0</v>
      </c>
      <c r="O65" s="2" t="s">
        <v>697</v>
      </c>
      <c r="P65" s="2" t="s">
        <v>48</v>
      </c>
      <c r="Q65" s="2" t="s">
        <v>583</v>
      </c>
      <c r="R65" s="2" t="s">
        <v>80</v>
      </c>
    </row>
    <row r="66" ht="15.75" customHeight="1">
      <c r="A66" s="2" t="s">
        <v>698</v>
      </c>
      <c r="B66" s="2" t="s">
        <v>699</v>
      </c>
      <c r="C66" s="2" t="s">
        <v>700</v>
      </c>
      <c r="D66" s="2" t="s">
        <v>701</v>
      </c>
      <c r="G66" s="2" t="s">
        <v>199</v>
      </c>
      <c r="H66" s="2" t="s">
        <v>42</v>
      </c>
      <c r="I66" s="2" t="s">
        <v>365</v>
      </c>
      <c r="J66" s="2" t="s">
        <v>702</v>
      </c>
      <c r="K66" s="2" t="s">
        <v>524</v>
      </c>
      <c r="L66" s="2" t="s">
        <v>703</v>
      </c>
      <c r="M66" s="2">
        <v>498.24</v>
      </c>
      <c r="N66" s="2">
        <v>2.0</v>
      </c>
      <c r="O66" s="2" t="s">
        <v>704</v>
      </c>
      <c r="P66" s="2" t="s">
        <v>32</v>
      </c>
      <c r="Q66" s="2" t="s">
        <v>181</v>
      </c>
      <c r="R66" s="2" t="s">
        <v>80</v>
      </c>
    </row>
    <row r="67" ht="15.75" customHeight="1">
      <c r="A67" s="2" t="s">
        <v>705</v>
      </c>
      <c r="B67" s="2" t="s">
        <v>706</v>
      </c>
      <c r="C67" s="2" t="s">
        <v>707</v>
      </c>
      <c r="D67" s="2" t="s">
        <v>708</v>
      </c>
      <c r="E67" s="2" t="s">
        <v>709</v>
      </c>
      <c r="F67" s="2" t="s">
        <v>710</v>
      </c>
      <c r="G67" s="2" t="s">
        <v>459</v>
      </c>
      <c r="H67" s="2" t="s">
        <v>683</v>
      </c>
      <c r="I67" s="2" t="s">
        <v>43</v>
      </c>
      <c r="J67" s="2" t="s">
        <v>711</v>
      </c>
      <c r="K67" s="2" t="s">
        <v>712</v>
      </c>
      <c r="L67" s="2" t="s">
        <v>637</v>
      </c>
      <c r="M67" s="2">
        <v>803.41</v>
      </c>
      <c r="N67" s="2">
        <v>1.0</v>
      </c>
      <c r="O67" s="2" t="s">
        <v>713</v>
      </c>
      <c r="P67" s="2" t="s">
        <v>32</v>
      </c>
      <c r="Q67" s="2" t="s">
        <v>49</v>
      </c>
      <c r="R67" s="2" t="s">
        <v>527</v>
      </c>
      <c r="S67" s="2" t="s">
        <v>133</v>
      </c>
    </row>
    <row r="68" ht="15.75" customHeight="1">
      <c r="A68" s="2" t="s">
        <v>714</v>
      </c>
      <c r="B68" s="2" t="s">
        <v>715</v>
      </c>
      <c r="C68" s="2" t="s">
        <v>716</v>
      </c>
      <c r="D68" s="2" t="s">
        <v>717</v>
      </c>
      <c r="E68" s="2" t="s">
        <v>718</v>
      </c>
      <c r="F68" s="2" t="s">
        <v>719</v>
      </c>
      <c r="G68" s="2" t="s">
        <v>720</v>
      </c>
      <c r="H68" s="2" t="s">
        <v>42</v>
      </c>
      <c r="I68" s="2" t="s">
        <v>116</v>
      </c>
      <c r="J68" s="2" t="s">
        <v>721</v>
      </c>
      <c r="K68" s="2" t="s">
        <v>259</v>
      </c>
      <c r="L68" s="2" t="s">
        <v>179</v>
      </c>
      <c r="M68" s="2">
        <v>97.3</v>
      </c>
      <c r="N68" s="2">
        <v>1.0</v>
      </c>
      <c r="O68" s="2" t="s">
        <v>722</v>
      </c>
      <c r="P68" s="2" t="s">
        <v>95</v>
      </c>
      <c r="Q68" s="2" t="s">
        <v>143</v>
      </c>
      <c r="R68" s="2" t="s">
        <v>294</v>
      </c>
      <c r="S68" s="2" t="s">
        <v>67</v>
      </c>
    </row>
    <row r="69" ht="15.75" customHeight="1">
      <c r="A69" s="2" t="s">
        <v>723</v>
      </c>
      <c r="B69" s="2" t="s">
        <v>724</v>
      </c>
      <c r="C69" s="2" t="s">
        <v>725</v>
      </c>
      <c r="D69" s="2" t="s">
        <v>726</v>
      </c>
      <c r="E69" s="2" t="s">
        <v>727</v>
      </c>
      <c r="F69" s="2" t="s">
        <v>728</v>
      </c>
      <c r="G69" s="2" t="s">
        <v>25</v>
      </c>
      <c r="H69" s="2" t="s">
        <v>683</v>
      </c>
      <c r="I69" s="2" t="s">
        <v>103</v>
      </c>
      <c r="J69" s="2" t="s">
        <v>729</v>
      </c>
      <c r="K69" s="2" t="s">
        <v>62</v>
      </c>
      <c r="L69" s="2" t="s">
        <v>730</v>
      </c>
      <c r="M69" s="2">
        <v>1210.57</v>
      </c>
      <c r="O69" s="2" t="s">
        <v>731</v>
      </c>
      <c r="P69" s="2" t="s">
        <v>48</v>
      </c>
      <c r="Q69" s="2" t="s">
        <v>66</v>
      </c>
      <c r="R69" s="2" t="s">
        <v>80</v>
      </c>
    </row>
    <row r="70" ht="15.75" customHeight="1">
      <c r="A70" s="2" t="s">
        <v>732</v>
      </c>
      <c r="B70" s="2" t="s">
        <v>733</v>
      </c>
      <c r="C70" s="2" t="s">
        <v>734</v>
      </c>
      <c r="D70" s="2" t="s">
        <v>735</v>
      </c>
      <c r="E70" s="2" t="s">
        <v>736</v>
      </c>
      <c r="F70" s="2" t="s">
        <v>737</v>
      </c>
      <c r="G70" s="2" t="s">
        <v>738</v>
      </c>
      <c r="H70" s="2" t="s">
        <v>234</v>
      </c>
      <c r="I70" s="2" t="s">
        <v>739</v>
      </c>
      <c r="J70" s="2" t="s">
        <v>740</v>
      </c>
      <c r="K70" s="2" t="s">
        <v>741</v>
      </c>
      <c r="L70" s="2" t="s">
        <v>742</v>
      </c>
      <c r="M70" s="2">
        <v>1200.31</v>
      </c>
      <c r="N70" s="2">
        <v>2.0</v>
      </c>
      <c r="O70" s="2" t="s">
        <v>743</v>
      </c>
      <c r="P70" s="2" t="s">
        <v>95</v>
      </c>
      <c r="Q70" s="2" t="s">
        <v>414</v>
      </c>
      <c r="R70" s="2" t="s">
        <v>192</v>
      </c>
    </row>
    <row r="71" ht="15.75" customHeight="1">
      <c r="A71" s="2" t="s">
        <v>744</v>
      </c>
      <c r="B71" s="2" t="s">
        <v>745</v>
      </c>
      <c r="C71" s="2" t="s">
        <v>100</v>
      </c>
      <c r="D71" s="2" t="s">
        <v>101</v>
      </c>
      <c r="E71" s="2" t="s">
        <v>102</v>
      </c>
      <c r="G71" s="2" t="s">
        <v>88</v>
      </c>
      <c r="H71" s="2" t="s">
        <v>400</v>
      </c>
      <c r="I71" s="2" t="s">
        <v>90</v>
      </c>
      <c r="J71" s="2" t="s">
        <v>746</v>
      </c>
      <c r="K71" s="2" t="s">
        <v>747</v>
      </c>
      <c r="L71" s="2" t="s">
        <v>748</v>
      </c>
      <c r="M71" s="2">
        <v>208.44</v>
      </c>
      <c r="N71" s="2">
        <v>1.0</v>
      </c>
      <c r="O71" s="2" t="s">
        <v>749</v>
      </c>
      <c r="P71" s="2" t="s">
        <v>32</v>
      </c>
      <c r="Q71" s="2" t="s">
        <v>181</v>
      </c>
      <c r="R71" s="2" t="s">
        <v>380</v>
      </c>
      <c r="S71" s="2" t="s">
        <v>81</v>
      </c>
    </row>
    <row r="72" ht="15.75" customHeight="1">
      <c r="A72" s="2" t="s">
        <v>750</v>
      </c>
      <c r="B72" s="2" t="s">
        <v>751</v>
      </c>
      <c r="C72" s="2" t="s">
        <v>752</v>
      </c>
      <c r="D72" s="2" t="s">
        <v>753</v>
      </c>
      <c r="E72" s="2" t="s">
        <v>754</v>
      </c>
      <c r="F72" s="2" t="s">
        <v>755</v>
      </c>
      <c r="G72" s="2" t="s">
        <v>58</v>
      </c>
      <c r="H72" s="2" t="s">
        <v>152</v>
      </c>
      <c r="I72" s="2" t="s">
        <v>60</v>
      </c>
      <c r="J72" s="2" t="s">
        <v>756</v>
      </c>
      <c r="K72" s="2" t="s">
        <v>757</v>
      </c>
      <c r="L72" s="2" t="s">
        <v>30</v>
      </c>
      <c r="M72" s="2">
        <v>1480.78</v>
      </c>
      <c r="N72" s="2">
        <v>3.0</v>
      </c>
      <c r="O72" s="2" t="s">
        <v>758</v>
      </c>
      <c r="P72" s="2" t="s">
        <v>32</v>
      </c>
      <c r="Q72" s="2" t="s">
        <v>414</v>
      </c>
      <c r="R72" s="2" t="s">
        <v>192</v>
      </c>
      <c r="S72" s="2" t="s">
        <v>133</v>
      </c>
    </row>
    <row r="73" ht="15.75" customHeight="1">
      <c r="A73" s="2" t="s">
        <v>759</v>
      </c>
      <c r="B73" s="2" t="s">
        <v>760</v>
      </c>
      <c r="C73" s="2" t="s">
        <v>761</v>
      </c>
      <c r="D73" s="2" t="s">
        <v>762</v>
      </c>
      <c r="E73" s="2" t="s">
        <v>763</v>
      </c>
      <c r="F73" s="2" t="s">
        <v>764</v>
      </c>
      <c r="G73" s="2" t="s">
        <v>765</v>
      </c>
      <c r="H73" s="2" t="s">
        <v>210</v>
      </c>
      <c r="I73" s="2" t="s">
        <v>766</v>
      </c>
      <c r="J73" s="2" t="s">
        <v>767</v>
      </c>
      <c r="K73" s="2" t="s">
        <v>768</v>
      </c>
      <c r="L73" s="2" t="s">
        <v>769</v>
      </c>
      <c r="N73" s="2">
        <v>1.0</v>
      </c>
      <c r="O73" s="2" t="s">
        <v>770</v>
      </c>
      <c r="P73" s="2" t="s">
        <v>65</v>
      </c>
      <c r="Q73" s="2" t="s">
        <v>66</v>
      </c>
      <c r="R73" s="2" t="s">
        <v>261</v>
      </c>
      <c r="S73" s="2" t="s">
        <v>51</v>
      </c>
    </row>
    <row r="74" ht="15.75" customHeight="1">
      <c r="A74" s="2" t="s">
        <v>771</v>
      </c>
      <c r="B74" s="2" t="s">
        <v>772</v>
      </c>
      <c r="C74" s="2" t="s">
        <v>773</v>
      </c>
      <c r="D74" s="2" t="s">
        <v>774</v>
      </c>
      <c r="E74" s="2" t="s">
        <v>775</v>
      </c>
      <c r="F74" s="2" t="s">
        <v>776</v>
      </c>
      <c r="G74" s="2" t="s">
        <v>777</v>
      </c>
      <c r="H74" s="2" t="s">
        <v>778</v>
      </c>
      <c r="I74" s="2" t="s">
        <v>103</v>
      </c>
      <c r="J74" s="2" t="s">
        <v>643</v>
      </c>
      <c r="K74" s="2" t="s">
        <v>644</v>
      </c>
      <c r="L74" s="2" t="s">
        <v>368</v>
      </c>
      <c r="M74" s="2">
        <v>1424.97</v>
      </c>
      <c r="N74" s="2">
        <v>2.0</v>
      </c>
      <c r="P74" s="2" t="s">
        <v>65</v>
      </c>
      <c r="Q74" s="2" t="s">
        <v>238</v>
      </c>
      <c r="R74" s="2" t="s">
        <v>380</v>
      </c>
      <c r="S74" s="2" t="s">
        <v>67</v>
      </c>
    </row>
    <row r="75" ht="15.75" customHeight="1">
      <c r="A75" s="2" t="s">
        <v>779</v>
      </c>
      <c r="B75" s="2" t="s">
        <v>780</v>
      </c>
      <c r="C75" s="2" t="s">
        <v>781</v>
      </c>
      <c r="D75" s="2" t="s">
        <v>782</v>
      </c>
      <c r="E75" s="2" t="s">
        <v>783</v>
      </c>
      <c r="F75" s="2" t="s">
        <v>784</v>
      </c>
      <c r="G75" s="2" t="s">
        <v>785</v>
      </c>
      <c r="H75" s="2" t="s">
        <v>42</v>
      </c>
      <c r="I75" s="2" t="s">
        <v>176</v>
      </c>
      <c r="J75" s="2" t="s">
        <v>767</v>
      </c>
      <c r="K75" s="2" t="s">
        <v>768</v>
      </c>
      <c r="L75" s="2" t="s">
        <v>769</v>
      </c>
      <c r="M75" s="2">
        <v>1281.05</v>
      </c>
      <c r="P75" s="2" t="s">
        <v>32</v>
      </c>
      <c r="Q75" s="2" t="s">
        <v>33</v>
      </c>
      <c r="R75" s="2" t="s">
        <v>294</v>
      </c>
    </row>
    <row r="76" ht="15.75" customHeight="1">
      <c r="A76" s="2" t="s">
        <v>786</v>
      </c>
      <c r="B76" s="2" t="s">
        <v>787</v>
      </c>
      <c r="C76" s="2" t="s">
        <v>788</v>
      </c>
      <c r="D76" s="2" t="s">
        <v>789</v>
      </c>
      <c r="E76" s="2" t="s">
        <v>790</v>
      </c>
      <c r="F76" s="2" t="s">
        <v>791</v>
      </c>
      <c r="G76" s="2" t="s">
        <v>199</v>
      </c>
      <c r="H76" s="2" t="s">
        <v>42</v>
      </c>
      <c r="I76" s="2" t="s">
        <v>176</v>
      </c>
      <c r="J76" s="2" t="s">
        <v>792</v>
      </c>
      <c r="K76" s="2" t="s">
        <v>314</v>
      </c>
      <c r="L76" s="2" t="s">
        <v>742</v>
      </c>
      <c r="O76" s="2" t="s">
        <v>793</v>
      </c>
      <c r="P76" s="2" t="s">
        <v>95</v>
      </c>
      <c r="Q76" s="2" t="s">
        <v>131</v>
      </c>
      <c r="R76" s="2" t="s">
        <v>794</v>
      </c>
      <c r="S76" s="2" t="s">
        <v>133</v>
      </c>
    </row>
    <row r="77" ht="15.75" customHeight="1">
      <c r="A77" s="2" t="s">
        <v>795</v>
      </c>
      <c r="B77" s="2" t="s">
        <v>796</v>
      </c>
      <c r="C77" s="2" t="s">
        <v>797</v>
      </c>
      <c r="D77" s="2" t="s">
        <v>798</v>
      </c>
      <c r="E77" s="2" t="s">
        <v>799</v>
      </c>
      <c r="F77" s="2" t="s">
        <v>800</v>
      </c>
      <c r="G77" s="2" t="s">
        <v>801</v>
      </c>
      <c r="H77" s="2" t="s">
        <v>802</v>
      </c>
      <c r="I77" s="2" t="s">
        <v>103</v>
      </c>
      <c r="J77" s="2" t="s">
        <v>803</v>
      </c>
      <c r="K77" s="2" t="s">
        <v>804</v>
      </c>
      <c r="L77" s="2" t="s">
        <v>805</v>
      </c>
      <c r="M77" s="2">
        <v>1601.92</v>
      </c>
      <c r="N77" s="2">
        <v>5.0</v>
      </c>
      <c r="O77" s="2" t="s">
        <v>806</v>
      </c>
      <c r="P77" s="2" t="s">
        <v>95</v>
      </c>
      <c r="Q77" s="2" t="s">
        <v>66</v>
      </c>
      <c r="R77" s="2" t="s">
        <v>380</v>
      </c>
    </row>
    <row r="78" ht="15.75" customHeight="1">
      <c r="A78" s="2" t="s">
        <v>807</v>
      </c>
      <c r="B78" s="2" t="s">
        <v>808</v>
      </c>
      <c r="C78" s="2" t="s">
        <v>242</v>
      </c>
      <c r="D78" s="2" t="s">
        <v>243</v>
      </c>
      <c r="E78" s="2" t="s">
        <v>244</v>
      </c>
      <c r="F78" s="2" t="s">
        <v>245</v>
      </c>
      <c r="G78" s="2" t="s">
        <v>58</v>
      </c>
      <c r="H78" s="2" t="s">
        <v>210</v>
      </c>
      <c r="I78" s="2" t="s">
        <v>480</v>
      </c>
      <c r="J78" s="2" t="s">
        <v>246</v>
      </c>
      <c r="K78" s="2" t="s">
        <v>247</v>
      </c>
      <c r="L78" s="2" t="s">
        <v>248</v>
      </c>
      <c r="M78" s="2">
        <v>586.49</v>
      </c>
      <c r="N78" s="2">
        <v>1.0</v>
      </c>
      <c r="O78" s="2" t="s">
        <v>809</v>
      </c>
      <c r="P78" s="2" t="s">
        <v>32</v>
      </c>
      <c r="Q78" s="2" t="s">
        <v>143</v>
      </c>
      <c r="R78" s="2" t="s">
        <v>80</v>
      </c>
      <c r="S78" s="2" t="s">
        <v>51</v>
      </c>
    </row>
    <row r="79" ht="15.75" customHeight="1">
      <c r="A79" s="2" t="s">
        <v>810</v>
      </c>
      <c r="B79" s="2" t="s">
        <v>811</v>
      </c>
      <c r="C79" s="2" t="s">
        <v>812</v>
      </c>
      <c r="D79" s="2" t="s">
        <v>813</v>
      </c>
      <c r="F79" s="2" t="s">
        <v>814</v>
      </c>
      <c r="G79" s="2" t="s">
        <v>114</v>
      </c>
      <c r="H79" s="2" t="s">
        <v>42</v>
      </c>
      <c r="I79" s="2" t="s">
        <v>401</v>
      </c>
      <c r="J79" s="2" t="s">
        <v>815</v>
      </c>
      <c r="K79" s="2" t="s">
        <v>816</v>
      </c>
      <c r="L79" s="2" t="s">
        <v>179</v>
      </c>
      <c r="M79" s="2">
        <v>459.16</v>
      </c>
      <c r="N79" s="2">
        <v>5.0</v>
      </c>
      <c r="O79" s="2" t="s">
        <v>817</v>
      </c>
      <c r="P79" s="2" t="s">
        <v>65</v>
      </c>
      <c r="Q79" s="2" t="s">
        <v>66</v>
      </c>
      <c r="R79" s="2" t="s">
        <v>818</v>
      </c>
    </row>
    <row r="80" ht="15.75" customHeight="1">
      <c r="A80" s="2" t="s">
        <v>819</v>
      </c>
      <c r="B80" s="2" t="s">
        <v>820</v>
      </c>
      <c r="C80" s="2" t="s">
        <v>821</v>
      </c>
      <c r="D80" s="2" t="s">
        <v>822</v>
      </c>
      <c r="E80" s="2" t="s">
        <v>823</v>
      </c>
      <c r="G80" s="2" t="s">
        <v>199</v>
      </c>
      <c r="H80" s="2" t="s">
        <v>223</v>
      </c>
      <c r="I80" s="2" t="s">
        <v>43</v>
      </c>
      <c r="J80" s="2" t="s">
        <v>824</v>
      </c>
      <c r="K80" s="2" t="s">
        <v>825</v>
      </c>
      <c r="L80" s="2" t="s">
        <v>826</v>
      </c>
      <c r="M80" s="2">
        <v>1227.98</v>
      </c>
      <c r="N80" s="2">
        <v>1.0</v>
      </c>
      <c r="O80" s="2" t="s">
        <v>827</v>
      </c>
      <c r="P80" s="2" t="s">
        <v>95</v>
      </c>
      <c r="Q80" s="2" t="s">
        <v>664</v>
      </c>
      <c r="R80" s="2" t="s">
        <v>452</v>
      </c>
    </row>
    <row r="81" ht="15.75" customHeight="1">
      <c r="A81" s="2" t="s">
        <v>828</v>
      </c>
      <c r="B81" s="2" t="s">
        <v>829</v>
      </c>
      <c r="C81" s="2" t="s">
        <v>830</v>
      </c>
      <c r="D81" s="2" t="s">
        <v>831</v>
      </c>
      <c r="E81" s="2" t="s">
        <v>832</v>
      </c>
      <c r="F81" s="2" t="s">
        <v>833</v>
      </c>
      <c r="G81" s="2" t="s">
        <v>834</v>
      </c>
      <c r="H81" s="2" t="s">
        <v>223</v>
      </c>
      <c r="I81" s="2" t="s">
        <v>835</v>
      </c>
      <c r="J81" s="2" t="s">
        <v>740</v>
      </c>
      <c r="K81" s="2" t="s">
        <v>741</v>
      </c>
      <c r="L81" s="2" t="s">
        <v>742</v>
      </c>
      <c r="N81" s="2">
        <v>1.0</v>
      </c>
      <c r="O81" s="2" t="s">
        <v>836</v>
      </c>
      <c r="P81" s="2" t="s">
        <v>32</v>
      </c>
      <c r="Q81" s="2" t="s">
        <v>526</v>
      </c>
      <c r="R81" s="2" t="s">
        <v>837</v>
      </c>
    </row>
    <row r="82" ht="15.75" customHeight="1">
      <c r="A82" s="2" t="s">
        <v>838</v>
      </c>
      <c r="B82" s="2" t="s">
        <v>839</v>
      </c>
      <c r="C82" s="2" t="s">
        <v>840</v>
      </c>
      <c r="D82" s="2" t="s">
        <v>841</v>
      </c>
      <c r="E82" s="2" t="s">
        <v>842</v>
      </c>
      <c r="F82" s="2" t="s">
        <v>843</v>
      </c>
      <c r="G82" s="2" t="s">
        <v>25</v>
      </c>
      <c r="H82" s="2" t="s">
        <v>59</v>
      </c>
      <c r="I82" s="2" t="s">
        <v>116</v>
      </c>
      <c r="J82" s="2" t="s">
        <v>258</v>
      </c>
      <c r="K82" s="2" t="s">
        <v>259</v>
      </c>
      <c r="L82" s="2" t="s">
        <v>214</v>
      </c>
      <c r="M82" s="2">
        <v>173.67</v>
      </c>
      <c r="N82" s="2">
        <v>2.0</v>
      </c>
      <c r="O82" s="2" t="s">
        <v>844</v>
      </c>
      <c r="P82" s="2" t="s">
        <v>65</v>
      </c>
      <c r="Q82" s="2" t="s">
        <v>181</v>
      </c>
      <c r="R82" s="2" t="s">
        <v>34</v>
      </c>
    </row>
    <row r="83" ht="15.75" customHeight="1">
      <c r="A83" s="2" t="s">
        <v>845</v>
      </c>
      <c r="B83" s="2" t="s">
        <v>846</v>
      </c>
      <c r="C83" s="2" t="s">
        <v>847</v>
      </c>
      <c r="D83" s="2" t="s">
        <v>848</v>
      </c>
      <c r="E83" s="2" t="s">
        <v>849</v>
      </c>
      <c r="F83" s="2" t="s">
        <v>850</v>
      </c>
      <c r="G83" s="2" t="s">
        <v>608</v>
      </c>
      <c r="H83" s="2" t="s">
        <v>851</v>
      </c>
      <c r="I83" s="2" t="s">
        <v>103</v>
      </c>
      <c r="J83" s="2" t="s">
        <v>852</v>
      </c>
      <c r="K83" s="2" t="s">
        <v>450</v>
      </c>
      <c r="L83" s="2" t="s">
        <v>167</v>
      </c>
      <c r="N83" s="2">
        <v>2.0</v>
      </c>
      <c r="O83" s="2" t="s">
        <v>853</v>
      </c>
      <c r="P83" s="2" t="s">
        <v>48</v>
      </c>
      <c r="Q83" s="2" t="s">
        <v>49</v>
      </c>
      <c r="R83" s="2" t="s">
        <v>132</v>
      </c>
      <c r="S83" s="2" t="s">
        <v>133</v>
      </c>
    </row>
    <row r="84" ht="15.75" customHeight="1">
      <c r="A84" s="2" t="s">
        <v>854</v>
      </c>
      <c r="B84" s="2" t="s">
        <v>855</v>
      </c>
      <c r="C84" s="2" t="s">
        <v>856</v>
      </c>
      <c r="D84" s="2" t="s">
        <v>857</v>
      </c>
      <c r="E84" s="2" t="s">
        <v>858</v>
      </c>
      <c r="F84" s="2" t="s">
        <v>859</v>
      </c>
      <c r="G84" s="2" t="s">
        <v>564</v>
      </c>
      <c r="H84" s="2" t="s">
        <v>59</v>
      </c>
      <c r="I84" s="2" t="s">
        <v>401</v>
      </c>
      <c r="J84" s="2" t="s">
        <v>702</v>
      </c>
      <c r="K84" s="2" t="s">
        <v>524</v>
      </c>
      <c r="L84" s="2" t="s">
        <v>703</v>
      </c>
      <c r="N84" s="2">
        <v>1.0</v>
      </c>
      <c r="O84" s="2" t="s">
        <v>860</v>
      </c>
      <c r="P84" s="2" t="s">
        <v>65</v>
      </c>
      <c r="Q84" s="2" t="s">
        <v>49</v>
      </c>
      <c r="R84" s="2" t="s">
        <v>261</v>
      </c>
      <c r="S84" s="2" t="s">
        <v>81</v>
      </c>
    </row>
    <row r="85" ht="15.75" customHeight="1">
      <c r="A85" s="2" t="s">
        <v>861</v>
      </c>
      <c r="B85" s="2" t="s">
        <v>862</v>
      </c>
      <c r="C85" s="2" t="s">
        <v>518</v>
      </c>
      <c r="D85" s="2" t="s">
        <v>519</v>
      </c>
      <c r="E85" s="2" t="s">
        <v>520</v>
      </c>
      <c r="F85" s="2" t="s">
        <v>521</v>
      </c>
      <c r="G85" s="2" t="s">
        <v>88</v>
      </c>
      <c r="H85" s="2" t="s">
        <v>234</v>
      </c>
      <c r="I85" s="2" t="s">
        <v>60</v>
      </c>
      <c r="J85" s="2" t="s">
        <v>652</v>
      </c>
      <c r="K85" s="2" t="s">
        <v>653</v>
      </c>
      <c r="L85" s="2" t="s">
        <v>179</v>
      </c>
      <c r="M85" s="2">
        <v>680.35</v>
      </c>
      <c r="N85" s="2">
        <v>3.0</v>
      </c>
      <c r="O85" s="2" t="s">
        <v>863</v>
      </c>
      <c r="P85" s="2" t="s">
        <v>95</v>
      </c>
      <c r="Q85" s="2" t="s">
        <v>305</v>
      </c>
      <c r="R85" s="2" t="s">
        <v>442</v>
      </c>
      <c r="S85" s="2" t="s">
        <v>51</v>
      </c>
    </row>
    <row r="86" ht="15.75" customHeight="1">
      <c r="A86" s="2" t="s">
        <v>864</v>
      </c>
      <c r="B86" s="2" t="s">
        <v>865</v>
      </c>
      <c r="C86" s="2" t="s">
        <v>866</v>
      </c>
      <c r="D86" s="2" t="s">
        <v>867</v>
      </c>
      <c r="E86" s="2" t="s">
        <v>868</v>
      </c>
      <c r="F86" s="2" t="s">
        <v>869</v>
      </c>
      <c r="G86" s="2" t="s">
        <v>738</v>
      </c>
      <c r="H86" s="2" t="s">
        <v>59</v>
      </c>
      <c r="I86" s="2" t="s">
        <v>870</v>
      </c>
      <c r="J86" s="2" t="s">
        <v>871</v>
      </c>
      <c r="K86" s="2" t="s">
        <v>491</v>
      </c>
      <c r="L86" s="2" t="s">
        <v>292</v>
      </c>
      <c r="N86" s="2">
        <v>5.0</v>
      </c>
      <c r="O86" s="2" t="s">
        <v>872</v>
      </c>
      <c r="P86" s="2" t="s">
        <v>95</v>
      </c>
      <c r="Q86" s="2" t="s">
        <v>33</v>
      </c>
      <c r="R86" s="2" t="s">
        <v>251</v>
      </c>
      <c r="S86" s="2" t="s">
        <v>133</v>
      </c>
    </row>
    <row r="87" ht="15.75" customHeight="1">
      <c r="A87" s="2" t="s">
        <v>873</v>
      </c>
      <c r="B87" s="2" t="s">
        <v>874</v>
      </c>
      <c r="C87" s="2" t="s">
        <v>875</v>
      </c>
      <c r="D87" s="2" t="s">
        <v>876</v>
      </c>
      <c r="F87" s="2" t="s">
        <v>877</v>
      </c>
      <c r="G87" s="2" t="s">
        <v>114</v>
      </c>
      <c r="H87" s="2" t="s">
        <v>400</v>
      </c>
      <c r="I87" s="2" t="s">
        <v>43</v>
      </c>
      <c r="J87" s="2" t="s">
        <v>154</v>
      </c>
      <c r="K87" s="2" t="s">
        <v>62</v>
      </c>
      <c r="L87" s="2" t="s">
        <v>155</v>
      </c>
      <c r="N87" s="2">
        <v>5.0</v>
      </c>
      <c r="O87" s="2" t="s">
        <v>878</v>
      </c>
      <c r="P87" s="2" t="s">
        <v>48</v>
      </c>
      <c r="Q87" s="2" t="s">
        <v>505</v>
      </c>
      <c r="R87" s="2" t="s">
        <v>169</v>
      </c>
      <c r="S87" s="2" t="s">
        <v>51</v>
      </c>
    </row>
    <row r="88" ht="15.75" customHeight="1">
      <c r="A88" s="2" t="s">
        <v>159</v>
      </c>
      <c r="B88" s="2" t="s">
        <v>160</v>
      </c>
      <c r="C88" s="2" t="s">
        <v>161</v>
      </c>
      <c r="D88" s="2" t="s">
        <v>879</v>
      </c>
      <c r="E88" s="2" t="s">
        <v>163</v>
      </c>
      <c r="F88" s="2" t="s">
        <v>164</v>
      </c>
      <c r="G88" s="2" t="s">
        <v>165</v>
      </c>
      <c r="H88" s="2" t="s">
        <v>152</v>
      </c>
      <c r="I88" s="2" t="s">
        <v>90</v>
      </c>
      <c r="J88" s="2" t="s">
        <v>166</v>
      </c>
      <c r="K88" s="2" t="s">
        <v>118</v>
      </c>
      <c r="L88" s="2" t="s">
        <v>167</v>
      </c>
      <c r="M88" s="2">
        <v>1401.64</v>
      </c>
      <c r="N88" s="2">
        <v>2.0</v>
      </c>
      <c r="O88" s="2" t="s">
        <v>168</v>
      </c>
      <c r="P88" s="2" t="s">
        <v>48</v>
      </c>
      <c r="Q88" s="2" t="s">
        <v>49</v>
      </c>
      <c r="R88" s="2" t="s">
        <v>169</v>
      </c>
    </row>
    <row r="89" ht="15.75" customHeight="1">
      <c r="A89" s="2" t="s">
        <v>880</v>
      </c>
      <c r="B89" s="2" t="s">
        <v>881</v>
      </c>
      <c r="C89" s="2" t="s">
        <v>586</v>
      </c>
      <c r="D89" s="2" t="s">
        <v>587</v>
      </c>
      <c r="E89" s="2" t="s">
        <v>588</v>
      </c>
      <c r="F89" s="2" t="s">
        <v>589</v>
      </c>
      <c r="G89" s="2" t="s">
        <v>199</v>
      </c>
      <c r="H89" s="2" t="s">
        <v>802</v>
      </c>
      <c r="I89" s="2" t="s">
        <v>43</v>
      </c>
      <c r="J89" s="2" t="s">
        <v>471</v>
      </c>
      <c r="K89" s="2" t="s">
        <v>472</v>
      </c>
      <c r="L89" s="2" t="s">
        <v>179</v>
      </c>
      <c r="N89" s="2">
        <v>3.0</v>
      </c>
      <c r="O89" s="2" t="s">
        <v>882</v>
      </c>
      <c r="P89" s="2" t="s">
        <v>65</v>
      </c>
      <c r="Q89" s="2" t="s">
        <v>505</v>
      </c>
      <c r="R89" s="2" t="s">
        <v>883</v>
      </c>
    </row>
    <row r="90" ht="15.75" customHeight="1">
      <c r="A90" s="2" t="s">
        <v>884</v>
      </c>
      <c r="B90" s="2" t="s">
        <v>885</v>
      </c>
      <c r="C90" s="2" t="s">
        <v>886</v>
      </c>
      <c r="D90" s="2" t="s">
        <v>887</v>
      </c>
      <c r="E90" s="2" t="s">
        <v>888</v>
      </c>
      <c r="G90" s="2" t="s">
        <v>139</v>
      </c>
      <c r="H90" s="2" t="s">
        <v>26</v>
      </c>
      <c r="I90" s="2" t="s">
        <v>90</v>
      </c>
      <c r="J90" s="2" t="s">
        <v>889</v>
      </c>
      <c r="K90" s="2" t="s">
        <v>804</v>
      </c>
      <c r="L90" s="2" t="s">
        <v>179</v>
      </c>
      <c r="N90" s="2">
        <v>5.0</v>
      </c>
      <c r="O90" s="2" t="s">
        <v>890</v>
      </c>
      <c r="P90" s="2" t="s">
        <v>95</v>
      </c>
      <c r="Q90" s="2" t="s">
        <v>485</v>
      </c>
      <c r="R90" s="2" t="s">
        <v>306</v>
      </c>
    </row>
    <row r="91" ht="15.75" customHeight="1">
      <c r="A91" s="2" t="s">
        <v>891</v>
      </c>
      <c r="B91" s="2" t="s">
        <v>892</v>
      </c>
      <c r="C91" s="2" t="s">
        <v>893</v>
      </c>
      <c r="D91" s="2" t="s">
        <v>894</v>
      </c>
      <c r="E91" s="2" t="s">
        <v>895</v>
      </c>
      <c r="F91" s="2" t="s">
        <v>896</v>
      </c>
      <c r="G91" s="2" t="s">
        <v>114</v>
      </c>
      <c r="H91" s="2" t="s">
        <v>778</v>
      </c>
      <c r="I91" s="2" t="s">
        <v>75</v>
      </c>
      <c r="J91" s="2" t="s">
        <v>767</v>
      </c>
      <c r="K91" s="2" t="s">
        <v>768</v>
      </c>
      <c r="L91" s="2" t="s">
        <v>769</v>
      </c>
      <c r="N91" s="2">
        <v>2.0</v>
      </c>
      <c r="O91" s="2" t="s">
        <v>897</v>
      </c>
      <c r="P91" s="2" t="s">
        <v>32</v>
      </c>
      <c r="Q91" s="2" t="s">
        <v>143</v>
      </c>
      <c r="R91" s="2" t="s">
        <v>294</v>
      </c>
    </row>
    <row r="92" ht="15.75" customHeight="1">
      <c r="A92" s="2" t="s">
        <v>898</v>
      </c>
      <c r="B92" s="2" t="s">
        <v>899</v>
      </c>
      <c r="C92" s="2" t="s">
        <v>900</v>
      </c>
      <c r="D92" s="2" t="s">
        <v>901</v>
      </c>
      <c r="F92" s="2" t="s">
        <v>902</v>
      </c>
      <c r="G92" s="2" t="s">
        <v>903</v>
      </c>
      <c r="H92" s="2" t="s">
        <v>778</v>
      </c>
      <c r="I92" s="2" t="s">
        <v>401</v>
      </c>
      <c r="J92" s="2" t="s">
        <v>904</v>
      </c>
      <c r="K92" s="2" t="s">
        <v>905</v>
      </c>
      <c r="L92" s="2" t="s">
        <v>167</v>
      </c>
      <c r="M92" s="2">
        <v>442.34</v>
      </c>
      <c r="N92" s="2">
        <v>2.0</v>
      </c>
      <c r="P92" s="2" t="s">
        <v>95</v>
      </c>
      <c r="Q92" s="2" t="s">
        <v>305</v>
      </c>
      <c r="R92" s="2" t="s">
        <v>80</v>
      </c>
      <c r="S92" s="2" t="s">
        <v>133</v>
      </c>
    </row>
    <row r="93" ht="15.75" customHeight="1">
      <c r="A93" s="2" t="s">
        <v>906</v>
      </c>
      <c r="B93" s="2" t="s">
        <v>907</v>
      </c>
      <c r="C93" s="2" t="s">
        <v>908</v>
      </c>
      <c r="D93" s="2" t="s">
        <v>909</v>
      </c>
      <c r="E93" s="2" t="s">
        <v>910</v>
      </c>
      <c r="F93" s="2" t="s">
        <v>911</v>
      </c>
      <c r="G93" s="2" t="s">
        <v>720</v>
      </c>
      <c r="H93" s="2" t="s">
        <v>152</v>
      </c>
      <c r="I93" s="2" t="s">
        <v>176</v>
      </c>
      <c r="J93" s="2" t="s">
        <v>513</v>
      </c>
      <c r="K93" s="2" t="s">
        <v>391</v>
      </c>
      <c r="L93" s="2" t="s">
        <v>514</v>
      </c>
      <c r="M93" s="2">
        <v>1745.48</v>
      </c>
      <c r="N93" s="2">
        <v>3.0</v>
      </c>
      <c r="O93" s="2" t="s">
        <v>912</v>
      </c>
      <c r="P93" s="2" t="s">
        <v>95</v>
      </c>
      <c r="Q93" s="2" t="s">
        <v>664</v>
      </c>
      <c r="R93" s="2" t="s">
        <v>345</v>
      </c>
      <c r="S93" s="2" t="s">
        <v>51</v>
      </c>
    </row>
    <row r="94" ht="15.75" customHeight="1">
      <c r="A94" s="2" t="s">
        <v>913</v>
      </c>
      <c r="B94" s="2" t="s">
        <v>914</v>
      </c>
      <c r="C94" s="2" t="s">
        <v>915</v>
      </c>
      <c r="D94" s="2" t="s">
        <v>916</v>
      </c>
      <c r="E94" s="2" t="s">
        <v>917</v>
      </c>
      <c r="F94" s="2" t="s">
        <v>918</v>
      </c>
      <c r="G94" s="2" t="s">
        <v>364</v>
      </c>
      <c r="H94" s="2" t="s">
        <v>400</v>
      </c>
      <c r="I94" s="2" t="s">
        <v>480</v>
      </c>
      <c r="J94" s="2" t="s">
        <v>919</v>
      </c>
      <c r="K94" s="2" t="s">
        <v>423</v>
      </c>
      <c r="L94" s="2" t="s">
        <v>179</v>
      </c>
      <c r="M94" s="2">
        <v>1489.5</v>
      </c>
      <c r="N94" s="2">
        <v>5.0</v>
      </c>
      <c r="O94" s="2" t="s">
        <v>920</v>
      </c>
      <c r="P94" s="2" t="s">
        <v>95</v>
      </c>
      <c r="Q94" s="2" t="s">
        <v>66</v>
      </c>
      <c r="R94" s="2" t="s">
        <v>306</v>
      </c>
    </row>
    <row r="95" ht="15.75" customHeight="1">
      <c r="A95" s="2" t="s">
        <v>921</v>
      </c>
      <c r="B95" s="2" t="s">
        <v>922</v>
      </c>
      <c r="C95" s="2" t="s">
        <v>319</v>
      </c>
      <c r="D95" s="2" t="s">
        <v>320</v>
      </c>
      <c r="E95" s="2" t="s">
        <v>321</v>
      </c>
      <c r="F95" s="2" t="s">
        <v>322</v>
      </c>
      <c r="G95" s="2" t="s">
        <v>58</v>
      </c>
      <c r="H95" s="2" t="s">
        <v>641</v>
      </c>
      <c r="I95" s="2" t="s">
        <v>43</v>
      </c>
      <c r="J95" s="2" t="s">
        <v>212</v>
      </c>
      <c r="K95" s="2" t="s">
        <v>213</v>
      </c>
      <c r="L95" s="2" t="s">
        <v>214</v>
      </c>
      <c r="M95" s="2">
        <v>875.66</v>
      </c>
      <c r="N95" s="2">
        <v>1.0</v>
      </c>
      <c r="O95" s="2" t="s">
        <v>923</v>
      </c>
      <c r="P95" s="2" t="s">
        <v>48</v>
      </c>
      <c r="Q95" s="2" t="s">
        <v>924</v>
      </c>
      <c r="R95" s="2" t="s">
        <v>818</v>
      </c>
      <c r="S95" s="2" t="s">
        <v>81</v>
      </c>
    </row>
    <row r="96" ht="15.75" customHeight="1">
      <c r="A96" s="2" t="s">
        <v>925</v>
      </c>
      <c r="B96" s="2" t="s">
        <v>926</v>
      </c>
      <c r="C96" s="2" t="s">
        <v>927</v>
      </c>
      <c r="D96" s="2" t="s">
        <v>928</v>
      </c>
      <c r="E96" s="2" t="s">
        <v>929</v>
      </c>
      <c r="F96" s="2" t="s">
        <v>930</v>
      </c>
      <c r="G96" s="2" t="s">
        <v>151</v>
      </c>
      <c r="H96" s="2" t="s">
        <v>931</v>
      </c>
      <c r="I96" s="2" t="s">
        <v>116</v>
      </c>
      <c r="J96" s="2" t="s">
        <v>889</v>
      </c>
      <c r="K96" s="2" t="s">
        <v>804</v>
      </c>
      <c r="L96" s="2" t="s">
        <v>179</v>
      </c>
      <c r="M96" s="2">
        <v>1189.45</v>
      </c>
      <c r="N96" s="2">
        <v>1.0</v>
      </c>
      <c r="O96" s="2" t="s">
        <v>932</v>
      </c>
      <c r="P96" s="2" t="s">
        <v>65</v>
      </c>
      <c r="Q96" s="2" t="s">
        <v>664</v>
      </c>
      <c r="R96" s="2" t="s">
        <v>80</v>
      </c>
      <c r="S96" s="2" t="s">
        <v>133</v>
      </c>
    </row>
    <row r="97" ht="15.75" customHeight="1">
      <c r="A97" s="2" t="s">
        <v>933</v>
      </c>
      <c r="B97" s="2" t="s">
        <v>934</v>
      </c>
      <c r="C97" s="2" t="s">
        <v>935</v>
      </c>
      <c r="D97" s="2" t="s">
        <v>936</v>
      </c>
      <c r="E97" s="2" t="s">
        <v>937</v>
      </c>
      <c r="F97" s="2" t="s">
        <v>938</v>
      </c>
      <c r="G97" s="2" t="s">
        <v>199</v>
      </c>
      <c r="H97" s="2" t="s">
        <v>223</v>
      </c>
      <c r="I97" s="2" t="s">
        <v>312</v>
      </c>
      <c r="J97" s="2" t="s">
        <v>939</v>
      </c>
      <c r="K97" s="2" t="s">
        <v>940</v>
      </c>
      <c r="L97" s="2" t="s">
        <v>941</v>
      </c>
      <c r="M97" s="2">
        <v>921.88</v>
      </c>
      <c r="N97" s="2">
        <v>1.0</v>
      </c>
      <c r="O97" s="2" t="s">
        <v>942</v>
      </c>
      <c r="P97" s="2" t="s">
        <v>65</v>
      </c>
      <c r="Q97" s="2" t="s">
        <v>143</v>
      </c>
      <c r="R97" s="2" t="s">
        <v>120</v>
      </c>
    </row>
    <row r="98" ht="15.75" customHeight="1">
      <c r="A98" s="2" t="s">
        <v>943</v>
      </c>
      <c r="B98" s="2" t="s">
        <v>944</v>
      </c>
      <c r="C98" s="2" t="s">
        <v>945</v>
      </c>
      <c r="D98" s="2" t="s">
        <v>946</v>
      </c>
      <c r="E98" s="2" t="s">
        <v>947</v>
      </c>
      <c r="G98" s="2" t="s">
        <v>459</v>
      </c>
      <c r="H98" s="2" t="s">
        <v>26</v>
      </c>
      <c r="I98" s="2" t="s">
        <v>500</v>
      </c>
      <c r="J98" s="2" t="s">
        <v>948</v>
      </c>
      <c r="K98" s="2" t="s">
        <v>450</v>
      </c>
      <c r="L98" s="2" t="s">
        <v>129</v>
      </c>
      <c r="N98" s="2">
        <v>1.0</v>
      </c>
      <c r="O98" s="2" t="s">
        <v>949</v>
      </c>
      <c r="P98" s="2" t="s">
        <v>950</v>
      </c>
      <c r="Q98" s="2" t="s">
        <v>66</v>
      </c>
      <c r="R98" s="2" t="s">
        <v>294</v>
      </c>
    </row>
    <row r="99" ht="15.75" customHeight="1">
      <c r="A99" s="2" t="s">
        <v>951</v>
      </c>
      <c r="B99" s="2" t="s">
        <v>952</v>
      </c>
      <c r="C99" s="2" t="s">
        <v>953</v>
      </c>
      <c r="D99" s="2" t="s">
        <v>954</v>
      </c>
      <c r="E99" s="2" t="s">
        <v>955</v>
      </c>
      <c r="F99" s="2" t="s">
        <v>956</v>
      </c>
      <c r="G99" s="2" t="s">
        <v>399</v>
      </c>
      <c r="H99" s="2" t="s">
        <v>59</v>
      </c>
      <c r="I99" s="2" t="s">
        <v>211</v>
      </c>
      <c r="J99" s="2" t="s">
        <v>957</v>
      </c>
      <c r="K99" s="2" t="s">
        <v>403</v>
      </c>
      <c r="L99" s="2" t="s">
        <v>167</v>
      </c>
      <c r="N99" s="2">
        <v>1.0</v>
      </c>
      <c r="O99" s="2" t="s">
        <v>958</v>
      </c>
      <c r="P99" s="2" t="s">
        <v>65</v>
      </c>
      <c r="Q99" s="2" t="s">
        <v>414</v>
      </c>
      <c r="R99" s="2" t="s">
        <v>261</v>
      </c>
      <c r="S99" s="2" t="s">
        <v>51</v>
      </c>
    </row>
    <row r="100" ht="15.75" customHeight="1">
      <c r="A100" s="2" t="s">
        <v>959</v>
      </c>
      <c r="B100" s="2" t="s">
        <v>960</v>
      </c>
      <c r="C100" s="2" t="s">
        <v>961</v>
      </c>
      <c r="D100" s="2" t="s">
        <v>962</v>
      </c>
      <c r="E100" s="2" t="s">
        <v>963</v>
      </c>
      <c r="F100" s="2" t="s">
        <v>964</v>
      </c>
      <c r="G100" s="2" t="s">
        <v>139</v>
      </c>
      <c r="H100" s="2" t="s">
        <v>59</v>
      </c>
      <c r="I100" s="2" t="s">
        <v>401</v>
      </c>
      <c r="J100" s="2" t="s">
        <v>965</v>
      </c>
      <c r="K100" s="2" t="s">
        <v>966</v>
      </c>
      <c r="L100" s="2" t="s">
        <v>967</v>
      </c>
      <c r="M100" s="2">
        <v>723.64</v>
      </c>
      <c r="N100" s="2">
        <v>2.0</v>
      </c>
      <c r="O100" s="2" t="s">
        <v>968</v>
      </c>
      <c r="P100" s="2" t="s">
        <v>48</v>
      </c>
      <c r="Q100" s="2" t="s">
        <v>969</v>
      </c>
      <c r="R100" s="2" t="s">
        <v>294</v>
      </c>
      <c r="S100" s="2" t="s">
        <v>67</v>
      </c>
    </row>
    <row r="101" ht="15.75" customHeight="1">
      <c r="A101" s="2" t="s">
        <v>970</v>
      </c>
      <c r="B101" s="2" t="s">
        <v>971</v>
      </c>
      <c r="C101" s="2" t="s">
        <v>972</v>
      </c>
      <c r="D101" s="2" t="s">
        <v>973</v>
      </c>
      <c r="E101" s="2" t="s">
        <v>974</v>
      </c>
      <c r="F101" s="2" t="s">
        <v>975</v>
      </c>
      <c r="G101" s="2" t="s">
        <v>608</v>
      </c>
      <c r="H101" s="2" t="s">
        <v>210</v>
      </c>
      <c r="I101" s="2" t="s">
        <v>480</v>
      </c>
      <c r="J101" s="2" t="s">
        <v>976</v>
      </c>
      <c r="K101" s="2" t="s">
        <v>335</v>
      </c>
      <c r="L101" s="2" t="s">
        <v>214</v>
      </c>
      <c r="M101" s="2">
        <v>220.75</v>
      </c>
      <c r="N101" s="2">
        <v>1.0</v>
      </c>
      <c r="P101" s="2" t="s">
        <v>65</v>
      </c>
      <c r="Q101" s="2" t="s">
        <v>143</v>
      </c>
      <c r="R101" s="2" t="s">
        <v>977</v>
      </c>
    </row>
    <row r="102" ht="15.75" customHeight="1">
      <c r="A102" s="2" t="s">
        <v>978</v>
      </c>
      <c r="B102" s="2" t="s">
        <v>979</v>
      </c>
      <c r="C102" s="2" t="s">
        <v>980</v>
      </c>
      <c r="D102" s="2" t="s">
        <v>981</v>
      </c>
      <c r="E102" s="2" t="s">
        <v>982</v>
      </c>
      <c r="F102" s="2" t="s">
        <v>983</v>
      </c>
      <c r="G102" s="2" t="s">
        <v>58</v>
      </c>
      <c r="H102" s="2" t="s">
        <v>115</v>
      </c>
      <c r="I102" s="2" t="s">
        <v>176</v>
      </c>
      <c r="J102" s="2" t="s">
        <v>334</v>
      </c>
      <c r="K102" s="2" t="s">
        <v>335</v>
      </c>
      <c r="L102" s="2" t="s">
        <v>248</v>
      </c>
      <c r="N102" s="2">
        <v>1.0</v>
      </c>
      <c r="O102" s="2" t="s">
        <v>984</v>
      </c>
      <c r="P102" s="2" t="s">
        <v>985</v>
      </c>
      <c r="Q102" s="2" t="s">
        <v>305</v>
      </c>
      <c r="R102" s="2" t="s">
        <v>294</v>
      </c>
      <c r="S102" s="2" t="s">
        <v>81</v>
      </c>
    </row>
    <row r="103" ht="15.75" customHeight="1">
      <c r="A103" s="2" t="s">
        <v>986</v>
      </c>
      <c r="B103" s="2" t="s">
        <v>987</v>
      </c>
      <c r="C103" s="2" t="s">
        <v>988</v>
      </c>
      <c r="D103" s="2" t="s">
        <v>989</v>
      </c>
      <c r="E103" s="2" t="s">
        <v>990</v>
      </c>
      <c r="F103" s="2" t="s">
        <v>991</v>
      </c>
      <c r="G103" s="2" t="s">
        <v>992</v>
      </c>
      <c r="H103" s="2" t="s">
        <v>234</v>
      </c>
      <c r="I103" s="2" t="s">
        <v>176</v>
      </c>
      <c r="J103" s="2" t="s">
        <v>993</v>
      </c>
      <c r="K103" s="2" t="s">
        <v>994</v>
      </c>
      <c r="L103" s="2" t="s">
        <v>995</v>
      </c>
      <c r="M103" s="2">
        <v>947.87</v>
      </c>
      <c r="N103" s="2">
        <v>2.0</v>
      </c>
      <c r="O103" s="2" t="s">
        <v>996</v>
      </c>
      <c r="P103" s="2" t="s">
        <v>95</v>
      </c>
      <c r="Q103" s="2" t="s">
        <v>664</v>
      </c>
      <c r="R103" s="2" t="s">
        <v>80</v>
      </c>
    </row>
    <row r="104" ht="15.75" customHeight="1">
      <c r="A104" s="2" t="s">
        <v>997</v>
      </c>
      <c r="B104" s="2" t="s">
        <v>998</v>
      </c>
      <c r="C104" s="2" t="s">
        <v>999</v>
      </c>
      <c r="D104" s="2" t="s">
        <v>1000</v>
      </c>
      <c r="E104" s="2" t="s">
        <v>1001</v>
      </c>
      <c r="F104" s="2" t="s">
        <v>1002</v>
      </c>
      <c r="G104" s="2" t="s">
        <v>608</v>
      </c>
      <c r="H104" s="2" t="s">
        <v>59</v>
      </c>
      <c r="I104" s="2" t="s">
        <v>500</v>
      </c>
      <c r="J104" s="2" t="s">
        <v>200</v>
      </c>
      <c r="K104" s="2" t="s">
        <v>201</v>
      </c>
      <c r="L104" s="2" t="s">
        <v>202</v>
      </c>
      <c r="N104" s="2">
        <v>1.0</v>
      </c>
      <c r="O104" s="2" t="s">
        <v>1003</v>
      </c>
      <c r="P104" s="2" t="s">
        <v>95</v>
      </c>
      <c r="Q104" s="2" t="s">
        <v>204</v>
      </c>
      <c r="R104" s="2" t="s">
        <v>380</v>
      </c>
    </row>
    <row r="105" ht="15.75" customHeight="1">
      <c r="A105" s="2" t="s">
        <v>1004</v>
      </c>
      <c r="B105" s="2" t="s">
        <v>1005</v>
      </c>
      <c r="C105" s="2" t="s">
        <v>1006</v>
      </c>
      <c r="D105" s="2" t="s">
        <v>1007</v>
      </c>
      <c r="E105" s="2" t="s">
        <v>1008</v>
      </c>
      <c r="F105" s="2" t="s">
        <v>1009</v>
      </c>
      <c r="G105" s="2" t="s">
        <v>199</v>
      </c>
      <c r="H105" s="2" t="s">
        <v>223</v>
      </c>
      <c r="I105" s="2" t="s">
        <v>289</v>
      </c>
      <c r="J105" s="2" t="s">
        <v>313</v>
      </c>
      <c r="K105" s="2" t="s">
        <v>314</v>
      </c>
      <c r="L105" s="2" t="s">
        <v>315</v>
      </c>
      <c r="M105" s="2">
        <v>972.79</v>
      </c>
      <c r="N105" s="2">
        <v>1.0</v>
      </c>
      <c r="O105" s="2" t="s">
        <v>1010</v>
      </c>
      <c r="P105" s="2" t="s">
        <v>95</v>
      </c>
      <c r="Q105" s="2" t="s">
        <v>131</v>
      </c>
      <c r="R105" s="2" t="s">
        <v>192</v>
      </c>
      <c r="S105" s="2" t="s">
        <v>81</v>
      </c>
    </row>
    <row r="106" ht="15.75" customHeight="1">
      <c r="A106" s="2" t="s">
        <v>1011</v>
      </c>
      <c r="B106" s="2" t="s">
        <v>1012</v>
      </c>
      <c r="C106" s="2" t="s">
        <v>330</v>
      </c>
      <c r="D106" s="2" t="s">
        <v>331</v>
      </c>
      <c r="E106" s="2" t="s">
        <v>332</v>
      </c>
      <c r="F106" s="2" t="s">
        <v>1013</v>
      </c>
      <c r="G106" s="2" t="s">
        <v>188</v>
      </c>
      <c r="H106" s="2" t="s">
        <v>26</v>
      </c>
      <c r="I106" s="2" t="s">
        <v>333</v>
      </c>
      <c r="J106" s="2" t="s">
        <v>1014</v>
      </c>
      <c r="K106" s="2" t="s">
        <v>1015</v>
      </c>
      <c r="L106" s="2" t="s">
        <v>1016</v>
      </c>
      <c r="N106" s="2">
        <v>2.0</v>
      </c>
      <c r="O106" s="2" t="s">
        <v>1017</v>
      </c>
      <c r="P106" s="2" t="s">
        <v>48</v>
      </c>
      <c r="Q106" s="2" t="s">
        <v>143</v>
      </c>
      <c r="R106" s="2" t="s">
        <v>294</v>
      </c>
      <c r="S106" s="2" t="s">
        <v>67</v>
      </c>
    </row>
    <row r="107" ht="15.75" customHeight="1">
      <c r="A107" s="2" t="s">
        <v>1018</v>
      </c>
      <c r="B107" s="2" t="s">
        <v>1019</v>
      </c>
      <c r="C107" s="2" t="s">
        <v>1020</v>
      </c>
      <c r="D107" s="2" t="s">
        <v>1021</v>
      </c>
      <c r="E107" s="2" t="s">
        <v>1022</v>
      </c>
      <c r="F107" s="2" t="s">
        <v>1023</v>
      </c>
      <c r="G107" s="2" t="s">
        <v>88</v>
      </c>
      <c r="H107" s="2" t="s">
        <v>323</v>
      </c>
      <c r="I107" s="2" t="s">
        <v>116</v>
      </c>
      <c r="J107" s="2" t="s">
        <v>976</v>
      </c>
      <c r="K107" s="2" t="s">
        <v>335</v>
      </c>
      <c r="L107" s="2" t="s">
        <v>214</v>
      </c>
      <c r="N107" s="2">
        <v>1.0</v>
      </c>
      <c r="O107" s="2" t="s">
        <v>1024</v>
      </c>
      <c r="P107" s="2" t="s">
        <v>95</v>
      </c>
      <c r="Q107" s="2" t="s">
        <v>33</v>
      </c>
      <c r="R107" s="2" t="s">
        <v>1025</v>
      </c>
    </row>
    <row r="108" ht="15.75" customHeight="1">
      <c r="A108" s="2" t="s">
        <v>1026</v>
      </c>
      <c r="B108" s="2" t="s">
        <v>1027</v>
      </c>
      <c r="C108" s="2" t="s">
        <v>1028</v>
      </c>
      <c r="D108" s="2" t="s">
        <v>1029</v>
      </c>
      <c r="E108" s="2" t="s">
        <v>1030</v>
      </c>
      <c r="F108" s="2" t="s">
        <v>1031</v>
      </c>
      <c r="G108" s="2" t="s">
        <v>777</v>
      </c>
      <c r="H108" s="2" t="s">
        <v>778</v>
      </c>
      <c r="I108" s="2" t="s">
        <v>1032</v>
      </c>
      <c r="J108" s="2" t="s">
        <v>957</v>
      </c>
      <c r="K108" s="2" t="s">
        <v>403</v>
      </c>
      <c r="L108" s="2" t="s">
        <v>167</v>
      </c>
      <c r="N108" s="2">
        <v>2.0</v>
      </c>
      <c r="O108" s="2" t="s">
        <v>1033</v>
      </c>
      <c r="P108" s="2" t="s">
        <v>32</v>
      </c>
      <c r="Q108" s="2" t="s">
        <v>370</v>
      </c>
      <c r="R108" s="2" t="s">
        <v>818</v>
      </c>
    </row>
    <row r="109" ht="15.75" customHeight="1">
      <c r="A109" s="2" t="s">
        <v>1034</v>
      </c>
      <c r="B109" s="2" t="s">
        <v>1035</v>
      </c>
      <c r="C109" s="2" t="s">
        <v>1036</v>
      </c>
      <c r="D109" s="2" t="s">
        <v>1037</v>
      </c>
      <c r="E109" s="2" t="s">
        <v>1038</v>
      </c>
      <c r="G109" s="2" t="s">
        <v>58</v>
      </c>
      <c r="H109" s="2" t="s">
        <v>683</v>
      </c>
      <c r="I109" s="2" t="s">
        <v>512</v>
      </c>
      <c r="J109" s="2" t="s">
        <v>481</v>
      </c>
      <c r="K109" s="2" t="s">
        <v>291</v>
      </c>
      <c r="L109" s="2" t="s">
        <v>482</v>
      </c>
      <c r="N109" s="2">
        <v>1.0</v>
      </c>
      <c r="O109" s="2" t="s">
        <v>1039</v>
      </c>
      <c r="P109" s="2" t="s">
        <v>48</v>
      </c>
      <c r="Q109" s="2" t="s">
        <v>505</v>
      </c>
      <c r="R109" s="2" t="s">
        <v>144</v>
      </c>
    </row>
    <row r="110" ht="15.75" customHeight="1">
      <c r="A110" s="2" t="s">
        <v>1040</v>
      </c>
      <c r="B110" s="2" t="s">
        <v>1041</v>
      </c>
      <c r="C110" s="2" t="s">
        <v>1042</v>
      </c>
      <c r="D110" s="2" t="s">
        <v>1043</v>
      </c>
      <c r="E110" s="2" t="s">
        <v>1044</v>
      </c>
      <c r="F110" s="2" t="s">
        <v>1045</v>
      </c>
      <c r="G110" s="2" t="s">
        <v>114</v>
      </c>
      <c r="H110" s="2" t="s">
        <v>234</v>
      </c>
      <c r="I110" s="2" t="s">
        <v>1046</v>
      </c>
      <c r="J110" s="2" t="s">
        <v>673</v>
      </c>
      <c r="K110" s="2" t="s">
        <v>118</v>
      </c>
      <c r="L110" s="2" t="s">
        <v>674</v>
      </c>
      <c r="M110" s="2">
        <v>1120.26</v>
      </c>
      <c r="N110" s="2">
        <v>3.0</v>
      </c>
      <c r="O110" s="2" t="s">
        <v>1047</v>
      </c>
      <c r="P110" s="2" t="s">
        <v>32</v>
      </c>
      <c r="Q110" s="2" t="s">
        <v>143</v>
      </c>
      <c r="R110" s="2" t="s">
        <v>169</v>
      </c>
    </row>
    <row r="111" ht="15.75" customHeight="1">
      <c r="A111" s="2" t="s">
        <v>1048</v>
      </c>
      <c r="B111" s="2" t="s">
        <v>1049</v>
      </c>
      <c r="C111" s="2" t="s">
        <v>1050</v>
      </c>
      <c r="D111" s="2" t="s">
        <v>1051</v>
      </c>
      <c r="E111" s="2" t="s">
        <v>1052</v>
      </c>
      <c r="F111" s="2" t="s">
        <v>1053</v>
      </c>
      <c r="G111" s="2" t="s">
        <v>1054</v>
      </c>
      <c r="H111" s="2" t="s">
        <v>223</v>
      </c>
      <c r="I111" s="2" t="s">
        <v>870</v>
      </c>
      <c r="J111" s="2" t="s">
        <v>513</v>
      </c>
      <c r="K111" s="2" t="s">
        <v>391</v>
      </c>
      <c r="L111" s="2" t="s">
        <v>514</v>
      </c>
      <c r="N111" s="2">
        <v>1.0</v>
      </c>
      <c r="O111" s="2" t="s">
        <v>1055</v>
      </c>
      <c r="P111" s="2" t="s">
        <v>95</v>
      </c>
      <c r="Q111" s="2" t="s">
        <v>370</v>
      </c>
      <c r="R111" s="2" t="s">
        <v>1056</v>
      </c>
      <c r="S111" s="2" t="s">
        <v>81</v>
      </c>
    </row>
    <row r="112" ht="15.75" customHeight="1">
      <c r="A112" s="2" t="s">
        <v>1057</v>
      </c>
      <c r="B112" s="2" t="s">
        <v>1058</v>
      </c>
      <c r="C112" s="2" t="s">
        <v>1059</v>
      </c>
      <c r="D112" s="2" t="s">
        <v>1060</v>
      </c>
      <c r="E112" s="2" t="s">
        <v>1061</v>
      </c>
      <c r="F112" s="2" t="s">
        <v>1062</v>
      </c>
      <c r="G112" s="2" t="s">
        <v>199</v>
      </c>
      <c r="H112" s="2" t="s">
        <v>59</v>
      </c>
      <c r="I112" s="2" t="s">
        <v>75</v>
      </c>
      <c r="J112" s="2" t="s">
        <v>1063</v>
      </c>
      <c r="K112" s="2" t="s">
        <v>291</v>
      </c>
      <c r="L112" s="2" t="s">
        <v>167</v>
      </c>
      <c r="M112" s="2">
        <v>448.52</v>
      </c>
      <c r="N112" s="2">
        <v>5.0</v>
      </c>
      <c r="O112" s="2" t="s">
        <v>1064</v>
      </c>
      <c r="P112" s="2" t="s">
        <v>95</v>
      </c>
      <c r="Q112" s="2" t="s">
        <v>49</v>
      </c>
      <c r="R112" s="2" t="s">
        <v>442</v>
      </c>
      <c r="S112" s="2" t="s">
        <v>51</v>
      </c>
    </row>
    <row r="113" ht="15.75" customHeight="1">
      <c r="A113" s="2" t="s">
        <v>1065</v>
      </c>
      <c r="B113" s="2" t="s">
        <v>1066</v>
      </c>
      <c r="C113" s="2" t="s">
        <v>1067</v>
      </c>
      <c r="D113" s="2" t="s">
        <v>1068</v>
      </c>
      <c r="E113" s="2" t="s">
        <v>1069</v>
      </c>
      <c r="F113" s="2" t="s">
        <v>1070</v>
      </c>
      <c r="G113" s="2" t="s">
        <v>165</v>
      </c>
      <c r="H113" s="2" t="s">
        <v>323</v>
      </c>
      <c r="I113" s="2" t="s">
        <v>401</v>
      </c>
      <c r="J113" s="2" t="s">
        <v>939</v>
      </c>
      <c r="K113" s="2" t="s">
        <v>940</v>
      </c>
      <c r="L113" s="2" t="s">
        <v>941</v>
      </c>
      <c r="N113" s="2">
        <v>5.0</v>
      </c>
      <c r="O113" s="2" t="s">
        <v>1071</v>
      </c>
      <c r="P113" s="2" t="s">
        <v>65</v>
      </c>
      <c r="Q113" s="2" t="s">
        <v>143</v>
      </c>
      <c r="R113" s="2" t="s">
        <v>120</v>
      </c>
      <c r="S113" s="2" t="s">
        <v>81</v>
      </c>
    </row>
    <row r="114" ht="15.75" customHeight="1">
      <c r="A114" s="2" t="s">
        <v>1072</v>
      </c>
      <c r="B114" s="2" t="s">
        <v>1073</v>
      </c>
      <c r="C114" s="2" t="s">
        <v>1074</v>
      </c>
      <c r="D114" s="2" t="s">
        <v>1075</v>
      </c>
      <c r="E114" s="2" t="s">
        <v>1076</v>
      </c>
      <c r="F114" s="2" t="s">
        <v>1077</v>
      </c>
      <c r="G114" s="2" t="s">
        <v>1078</v>
      </c>
      <c r="H114" s="2" t="s">
        <v>683</v>
      </c>
      <c r="I114" s="2" t="s">
        <v>401</v>
      </c>
      <c r="J114" s="2" t="s">
        <v>449</v>
      </c>
      <c r="K114" s="2" t="s">
        <v>450</v>
      </c>
      <c r="L114" s="2" t="s">
        <v>315</v>
      </c>
      <c r="M114" s="2">
        <v>1176.02</v>
      </c>
      <c r="N114" s="2">
        <v>5.0</v>
      </c>
      <c r="O114" s="2" t="s">
        <v>1079</v>
      </c>
      <c r="P114" s="2" t="s">
        <v>48</v>
      </c>
      <c r="Q114" s="2" t="s">
        <v>49</v>
      </c>
      <c r="R114" s="2" t="s">
        <v>120</v>
      </c>
    </row>
    <row r="115" ht="15.75" customHeight="1">
      <c r="A115" s="2" t="s">
        <v>1080</v>
      </c>
      <c r="B115" s="2" t="s">
        <v>1081</v>
      </c>
      <c r="C115" s="2" t="s">
        <v>1082</v>
      </c>
      <c r="D115" s="2" t="s">
        <v>867</v>
      </c>
      <c r="E115" s="2" t="s">
        <v>1083</v>
      </c>
      <c r="F115" s="2" t="s">
        <v>1084</v>
      </c>
      <c r="G115" s="2" t="s">
        <v>364</v>
      </c>
      <c r="H115" s="2" t="s">
        <v>152</v>
      </c>
      <c r="I115" s="2" t="s">
        <v>289</v>
      </c>
      <c r="J115" s="2" t="s">
        <v>1085</v>
      </c>
      <c r="K115" s="2" t="s">
        <v>335</v>
      </c>
      <c r="L115" s="2" t="s">
        <v>368</v>
      </c>
      <c r="M115" s="2">
        <v>794.59</v>
      </c>
      <c r="N115" s="2">
        <v>1.0</v>
      </c>
      <c r="O115" s="2" t="s">
        <v>1086</v>
      </c>
      <c r="P115" s="2" t="s">
        <v>32</v>
      </c>
      <c r="Q115" s="2" t="s">
        <v>49</v>
      </c>
      <c r="R115" s="2" t="s">
        <v>80</v>
      </c>
    </row>
    <row r="116" ht="15.75" customHeight="1">
      <c r="A116" s="2" t="s">
        <v>1087</v>
      </c>
      <c r="B116" s="2" t="s">
        <v>1088</v>
      </c>
      <c r="C116" s="2" t="s">
        <v>1089</v>
      </c>
      <c r="D116" s="2" t="s">
        <v>1090</v>
      </c>
      <c r="E116" s="2" t="s">
        <v>1091</v>
      </c>
      <c r="F116" s="2" t="s">
        <v>1092</v>
      </c>
      <c r="G116" s="2" t="s">
        <v>364</v>
      </c>
      <c r="H116" s="2" t="s">
        <v>115</v>
      </c>
      <c r="I116" s="2" t="s">
        <v>103</v>
      </c>
      <c r="J116" s="2" t="s">
        <v>269</v>
      </c>
      <c r="K116" s="2" t="s">
        <v>270</v>
      </c>
      <c r="L116" s="2" t="s">
        <v>271</v>
      </c>
      <c r="M116" s="2">
        <v>465.88</v>
      </c>
      <c r="N116" s="2">
        <v>2.0</v>
      </c>
      <c r="O116" s="2" t="s">
        <v>1093</v>
      </c>
      <c r="P116" s="2" t="s">
        <v>48</v>
      </c>
      <c r="Q116" s="2" t="s">
        <v>49</v>
      </c>
      <c r="R116" s="2" t="s">
        <v>34</v>
      </c>
    </row>
    <row r="117" ht="15.75" customHeight="1">
      <c r="A117" s="2" t="s">
        <v>1094</v>
      </c>
      <c r="B117" s="2" t="s">
        <v>1095</v>
      </c>
      <c r="C117" s="2" t="s">
        <v>1096</v>
      </c>
      <c r="D117" s="2" t="s">
        <v>1097</v>
      </c>
      <c r="E117" s="2" t="s">
        <v>1098</v>
      </c>
      <c r="G117" s="2" t="s">
        <v>199</v>
      </c>
      <c r="H117" s="2" t="s">
        <v>400</v>
      </c>
      <c r="I117" s="2" t="s">
        <v>522</v>
      </c>
      <c r="J117" s="2" t="s">
        <v>643</v>
      </c>
      <c r="K117" s="2" t="s">
        <v>644</v>
      </c>
      <c r="L117" s="2" t="s">
        <v>368</v>
      </c>
      <c r="N117" s="2">
        <v>1.0</v>
      </c>
      <c r="O117" s="2" t="s">
        <v>1099</v>
      </c>
      <c r="P117" s="2" t="s">
        <v>32</v>
      </c>
      <c r="Q117" s="2" t="s">
        <v>305</v>
      </c>
      <c r="R117" s="2" t="s">
        <v>1100</v>
      </c>
    </row>
    <row r="118" ht="15.75" customHeight="1">
      <c r="A118" s="2" t="s">
        <v>575</v>
      </c>
      <c r="B118" s="2" t="s">
        <v>576</v>
      </c>
      <c r="C118" s="2" t="s">
        <v>577</v>
      </c>
      <c r="D118" s="2" t="s">
        <v>1101</v>
      </c>
      <c r="E118" s="2" t="s">
        <v>579</v>
      </c>
      <c r="F118" s="2" t="s">
        <v>580</v>
      </c>
      <c r="G118" s="2" t="s">
        <v>73</v>
      </c>
      <c r="H118" s="2" t="s">
        <v>74</v>
      </c>
      <c r="I118" s="2" t="s">
        <v>116</v>
      </c>
      <c r="J118" s="2" t="s">
        <v>581</v>
      </c>
      <c r="K118" s="2" t="s">
        <v>326</v>
      </c>
      <c r="L118" s="2" t="s">
        <v>582</v>
      </c>
      <c r="M118" s="2">
        <v>825.82</v>
      </c>
      <c r="N118" s="2">
        <v>2.0</v>
      </c>
      <c r="P118" s="2" t="s">
        <v>484</v>
      </c>
      <c r="Q118" s="2" t="s">
        <v>583</v>
      </c>
      <c r="R118" s="2" t="s">
        <v>294</v>
      </c>
      <c r="S118" s="2" t="s">
        <v>133</v>
      </c>
    </row>
    <row r="119" ht="15.75" customHeight="1">
      <c r="A119" s="2" t="s">
        <v>1102</v>
      </c>
      <c r="B119" s="2" t="s">
        <v>1103</v>
      </c>
      <c r="C119" s="2" t="s">
        <v>1104</v>
      </c>
      <c r="D119" s="2" t="s">
        <v>1105</v>
      </c>
      <c r="E119" s="2" t="s">
        <v>1106</v>
      </c>
      <c r="F119" s="2" t="s">
        <v>1107</v>
      </c>
      <c r="G119" s="2" t="s">
        <v>1078</v>
      </c>
      <c r="H119" s="2" t="s">
        <v>115</v>
      </c>
      <c r="I119" s="2" t="s">
        <v>1108</v>
      </c>
      <c r="J119" s="2" t="s">
        <v>1109</v>
      </c>
      <c r="K119" s="2" t="s">
        <v>1110</v>
      </c>
      <c r="L119" s="2" t="s">
        <v>826</v>
      </c>
      <c r="N119" s="2">
        <v>2.0</v>
      </c>
      <c r="O119" s="2" t="s">
        <v>1111</v>
      </c>
      <c r="P119" s="2" t="s">
        <v>48</v>
      </c>
      <c r="Q119" s="2" t="s">
        <v>33</v>
      </c>
      <c r="R119" s="2" t="s">
        <v>144</v>
      </c>
      <c r="S119" s="2" t="s">
        <v>67</v>
      </c>
    </row>
    <row r="120" ht="15.75" customHeight="1">
      <c r="A120" s="2" t="s">
        <v>1112</v>
      </c>
      <c r="B120" s="2" t="s">
        <v>1113</v>
      </c>
      <c r="C120" s="2" t="s">
        <v>856</v>
      </c>
      <c r="D120" s="2" t="s">
        <v>857</v>
      </c>
      <c r="E120" s="2" t="s">
        <v>858</v>
      </c>
      <c r="F120" s="2" t="s">
        <v>859</v>
      </c>
      <c r="G120" s="2" t="s">
        <v>564</v>
      </c>
      <c r="H120" s="2" t="s">
        <v>26</v>
      </c>
      <c r="I120" s="2" t="s">
        <v>75</v>
      </c>
      <c r="J120" s="2" t="s">
        <v>1114</v>
      </c>
      <c r="K120" s="2" t="s">
        <v>1115</v>
      </c>
      <c r="L120" s="2" t="s">
        <v>248</v>
      </c>
      <c r="N120" s="2">
        <v>1.0</v>
      </c>
      <c r="O120" s="2" t="s">
        <v>1116</v>
      </c>
      <c r="P120" s="2" t="s">
        <v>95</v>
      </c>
      <c r="Q120" s="2" t="s">
        <v>49</v>
      </c>
      <c r="R120" s="2" t="s">
        <v>294</v>
      </c>
      <c r="S120" s="2" t="s">
        <v>67</v>
      </c>
    </row>
    <row r="121" ht="15.75" customHeight="1">
      <c r="A121" s="2" t="s">
        <v>1117</v>
      </c>
      <c r="B121" s="2" t="s">
        <v>1118</v>
      </c>
      <c r="C121" s="2" t="s">
        <v>1119</v>
      </c>
      <c r="D121" s="2" t="s">
        <v>1120</v>
      </c>
      <c r="F121" s="2" t="s">
        <v>1121</v>
      </c>
      <c r="G121" s="2" t="s">
        <v>199</v>
      </c>
      <c r="H121" s="2" t="s">
        <v>802</v>
      </c>
      <c r="I121" s="2" t="s">
        <v>512</v>
      </c>
      <c r="J121" s="2" t="s">
        <v>652</v>
      </c>
      <c r="K121" s="2" t="s">
        <v>653</v>
      </c>
      <c r="L121" s="2" t="s">
        <v>179</v>
      </c>
      <c r="M121" s="2">
        <v>831.93</v>
      </c>
      <c r="N121" s="2">
        <v>1.0</v>
      </c>
      <c r="O121" s="2" t="s">
        <v>1122</v>
      </c>
      <c r="P121" s="2" t="s">
        <v>95</v>
      </c>
      <c r="Q121" s="2" t="s">
        <v>33</v>
      </c>
      <c r="R121" s="2" t="s">
        <v>294</v>
      </c>
      <c r="S121" s="2" t="s">
        <v>133</v>
      </c>
    </row>
    <row r="122" ht="15.75" customHeight="1">
      <c r="A122" s="2" t="s">
        <v>1123</v>
      </c>
      <c r="B122" s="2" t="s">
        <v>1124</v>
      </c>
      <c r="C122" s="2" t="s">
        <v>1125</v>
      </c>
      <c r="D122" s="2" t="s">
        <v>1126</v>
      </c>
      <c r="E122" s="2" t="s">
        <v>1127</v>
      </c>
      <c r="F122" s="2" t="s">
        <v>1128</v>
      </c>
      <c r="G122" s="2" t="s">
        <v>25</v>
      </c>
      <c r="H122" s="2" t="s">
        <v>42</v>
      </c>
      <c r="I122" s="2" t="s">
        <v>103</v>
      </c>
      <c r="J122" s="2" t="s">
        <v>661</v>
      </c>
      <c r="K122" s="2" t="s">
        <v>662</v>
      </c>
      <c r="L122" s="2" t="s">
        <v>368</v>
      </c>
      <c r="M122" s="2">
        <v>219.75</v>
      </c>
      <c r="N122" s="2">
        <v>2.0</v>
      </c>
      <c r="O122" s="2" t="s">
        <v>1129</v>
      </c>
      <c r="P122" s="2" t="s">
        <v>32</v>
      </c>
      <c r="Q122" s="2" t="s">
        <v>49</v>
      </c>
      <c r="R122" s="2" t="s">
        <v>1130</v>
      </c>
    </row>
    <row r="123" ht="15.75" customHeight="1">
      <c r="A123" s="2" t="s">
        <v>1131</v>
      </c>
      <c r="B123" s="2" t="s">
        <v>1132</v>
      </c>
      <c r="C123" s="2" t="s">
        <v>1133</v>
      </c>
      <c r="D123" s="2" t="s">
        <v>1134</v>
      </c>
      <c r="E123" s="2" t="s">
        <v>1135</v>
      </c>
      <c r="F123" s="2" t="s">
        <v>1136</v>
      </c>
      <c r="G123" s="2" t="s">
        <v>765</v>
      </c>
      <c r="H123" s="2" t="s">
        <v>223</v>
      </c>
      <c r="I123" s="2" t="s">
        <v>43</v>
      </c>
      <c r="J123" s="2" t="s">
        <v>1137</v>
      </c>
      <c r="K123" s="2" t="s">
        <v>1138</v>
      </c>
      <c r="L123" s="2" t="s">
        <v>30</v>
      </c>
      <c r="N123" s="2">
        <v>5.0</v>
      </c>
      <c r="O123" s="2" t="s">
        <v>1139</v>
      </c>
      <c r="P123" s="2" t="s">
        <v>48</v>
      </c>
      <c r="Q123" s="2" t="s">
        <v>181</v>
      </c>
      <c r="R123" s="2" t="s">
        <v>34</v>
      </c>
    </row>
    <row r="124" ht="15.75" customHeight="1">
      <c r="A124" s="2" t="s">
        <v>1140</v>
      </c>
      <c r="B124" s="2" t="s">
        <v>1141</v>
      </c>
      <c r="C124" s="2" t="s">
        <v>1142</v>
      </c>
      <c r="D124" s="2" t="s">
        <v>1143</v>
      </c>
      <c r="E124" s="2" t="s">
        <v>1144</v>
      </c>
      <c r="F124" s="2" t="s">
        <v>1145</v>
      </c>
      <c r="G124" s="2" t="s">
        <v>58</v>
      </c>
      <c r="H124" s="2" t="s">
        <v>234</v>
      </c>
      <c r="I124" s="2" t="s">
        <v>500</v>
      </c>
      <c r="J124" s="2" t="s">
        <v>1146</v>
      </c>
      <c r="K124" s="2" t="s">
        <v>1147</v>
      </c>
      <c r="L124" s="2" t="s">
        <v>248</v>
      </c>
      <c r="N124" s="2">
        <v>2.0</v>
      </c>
      <c r="O124" s="2" t="s">
        <v>1148</v>
      </c>
      <c r="P124" s="2" t="s">
        <v>48</v>
      </c>
      <c r="Q124" s="2" t="s">
        <v>143</v>
      </c>
      <c r="R124" s="2" t="s">
        <v>50</v>
      </c>
      <c r="S124" s="2" t="s">
        <v>67</v>
      </c>
    </row>
    <row r="125" ht="15.75" customHeight="1">
      <c r="A125" s="2" t="s">
        <v>1149</v>
      </c>
      <c r="B125" s="2" t="s">
        <v>1150</v>
      </c>
      <c r="C125" s="2" t="s">
        <v>348</v>
      </c>
      <c r="D125" s="2" t="s">
        <v>349</v>
      </c>
      <c r="E125" s="2" t="s">
        <v>350</v>
      </c>
      <c r="F125" s="2" t="s">
        <v>351</v>
      </c>
      <c r="G125" s="2" t="s">
        <v>25</v>
      </c>
      <c r="H125" s="2" t="s">
        <v>1151</v>
      </c>
      <c r="I125" s="2" t="s">
        <v>211</v>
      </c>
      <c r="J125" s="2" t="s">
        <v>117</v>
      </c>
      <c r="K125" s="2" t="s">
        <v>118</v>
      </c>
      <c r="L125" s="2" t="s">
        <v>63</v>
      </c>
      <c r="O125" s="2" t="s">
        <v>1152</v>
      </c>
      <c r="P125" s="2" t="s">
        <v>65</v>
      </c>
      <c r="Q125" s="2" t="s">
        <v>1153</v>
      </c>
      <c r="R125" s="2" t="s">
        <v>294</v>
      </c>
    </row>
    <row r="126" ht="15.75" customHeight="1">
      <c r="A126" s="2" t="s">
        <v>1154</v>
      </c>
      <c r="B126" s="2" t="s">
        <v>1155</v>
      </c>
      <c r="C126" s="2" t="s">
        <v>1082</v>
      </c>
      <c r="D126" s="2" t="s">
        <v>867</v>
      </c>
      <c r="E126" s="2" t="s">
        <v>1083</v>
      </c>
      <c r="F126" s="2" t="s">
        <v>1084</v>
      </c>
      <c r="G126" s="2" t="s">
        <v>364</v>
      </c>
      <c r="H126" s="2" t="s">
        <v>460</v>
      </c>
      <c r="I126" s="2" t="s">
        <v>500</v>
      </c>
      <c r="J126" s="2" t="s">
        <v>279</v>
      </c>
      <c r="K126" s="2" t="s">
        <v>280</v>
      </c>
      <c r="L126" s="2" t="s">
        <v>281</v>
      </c>
      <c r="M126" s="2">
        <v>914.33</v>
      </c>
      <c r="N126" s="2">
        <v>2.0</v>
      </c>
      <c r="O126" s="2" t="s">
        <v>1156</v>
      </c>
      <c r="P126" s="2" t="s">
        <v>65</v>
      </c>
      <c r="Q126" s="2" t="s">
        <v>66</v>
      </c>
      <c r="R126" s="2" t="s">
        <v>294</v>
      </c>
    </row>
    <row r="127" ht="15.75" customHeight="1">
      <c r="A127" s="2" t="s">
        <v>1157</v>
      </c>
      <c r="B127" s="2" t="s">
        <v>1158</v>
      </c>
      <c r="C127" s="2" t="s">
        <v>1159</v>
      </c>
      <c r="D127" s="2" t="s">
        <v>1160</v>
      </c>
      <c r="E127" s="2" t="s">
        <v>1161</v>
      </c>
      <c r="F127" s="2" t="s">
        <v>1162</v>
      </c>
      <c r="G127" s="2" t="s">
        <v>88</v>
      </c>
      <c r="H127" s="2" t="s">
        <v>1163</v>
      </c>
      <c r="I127" s="2" t="s">
        <v>176</v>
      </c>
      <c r="J127" s="2" t="s">
        <v>258</v>
      </c>
      <c r="K127" s="2" t="s">
        <v>259</v>
      </c>
      <c r="L127" s="2" t="s">
        <v>214</v>
      </c>
      <c r="O127" s="2" t="s">
        <v>1164</v>
      </c>
      <c r="P127" s="2" t="s">
        <v>32</v>
      </c>
      <c r="Q127" s="2" t="s">
        <v>49</v>
      </c>
      <c r="R127" s="2" t="s">
        <v>251</v>
      </c>
      <c r="S127" s="2" t="s">
        <v>81</v>
      </c>
    </row>
    <row r="128" ht="15.75" customHeight="1">
      <c r="A128" s="2" t="s">
        <v>1165</v>
      </c>
      <c r="B128" s="2" t="s">
        <v>1166</v>
      </c>
      <c r="C128" s="2" t="s">
        <v>1050</v>
      </c>
      <c r="D128" s="2" t="s">
        <v>1051</v>
      </c>
      <c r="E128" s="2" t="s">
        <v>1052</v>
      </c>
      <c r="F128" s="2" t="s">
        <v>1053</v>
      </c>
      <c r="G128" s="2" t="s">
        <v>1054</v>
      </c>
      <c r="H128" s="2" t="s">
        <v>1167</v>
      </c>
      <c r="I128" s="2" t="s">
        <v>401</v>
      </c>
      <c r="J128" s="2" t="s">
        <v>1168</v>
      </c>
      <c r="K128" s="2" t="s">
        <v>1169</v>
      </c>
      <c r="L128" s="2" t="s">
        <v>63</v>
      </c>
      <c r="M128" s="2">
        <v>95.16</v>
      </c>
      <c r="N128" s="2">
        <v>1.0</v>
      </c>
      <c r="O128" s="2" t="s">
        <v>1170</v>
      </c>
      <c r="P128" s="2" t="s">
        <v>95</v>
      </c>
      <c r="Q128" s="2" t="s">
        <v>143</v>
      </c>
      <c r="R128" s="2" t="s">
        <v>1171</v>
      </c>
      <c r="S128" s="2" t="s">
        <v>51</v>
      </c>
    </row>
    <row r="129" ht="15.75" customHeight="1">
      <c r="A129" s="2" t="s">
        <v>1172</v>
      </c>
      <c r="B129" s="2" t="s">
        <v>1173</v>
      </c>
      <c r="C129" s="2" t="s">
        <v>1174</v>
      </c>
      <c r="D129" s="2" t="s">
        <v>1175</v>
      </c>
      <c r="E129" s="2" t="s">
        <v>1176</v>
      </c>
      <c r="G129" s="2" t="s">
        <v>1177</v>
      </c>
      <c r="H129" s="2" t="s">
        <v>74</v>
      </c>
      <c r="I129" s="2" t="s">
        <v>1178</v>
      </c>
      <c r="J129" s="2" t="s">
        <v>1137</v>
      </c>
      <c r="K129" s="2" t="s">
        <v>1138</v>
      </c>
      <c r="L129" s="2" t="s">
        <v>30</v>
      </c>
      <c r="M129" s="2">
        <v>61.0</v>
      </c>
      <c r="N129" s="2">
        <v>2.0</v>
      </c>
      <c r="O129" s="2" t="s">
        <v>1179</v>
      </c>
      <c r="P129" s="2" t="s">
        <v>1180</v>
      </c>
      <c r="Q129" s="2" t="s">
        <v>1181</v>
      </c>
      <c r="R129" s="2" t="s">
        <v>380</v>
      </c>
      <c r="S129" s="2" t="s">
        <v>51</v>
      </c>
    </row>
    <row r="130" ht="15.75" customHeight="1">
      <c r="A130" s="2" t="s">
        <v>1182</v>
      </c>
      <c r="B130" s="2" t="s">
        <v>1183</v>
      </c>
      <c r="C130" s="2" t="s">
        <v>679</v>
      </c>
      <c r="D130" s="2" t="s">
        <v>680</v>
      </c>
      <c r="E130" s="2" t="s">
        <v>681</v>
      </c>
      <c r="F130" s="2" t="s">
        <v>682</v>
      </c>
      <c r="G130" s="2" t="s">
        <v>199</v>
      </c>
      <c r="H130" s="2" t="s">
        <v>1184</v>
      </c>
      <c r="I130" s="2" t="s">
        <v>289</v>
      </c>
      <c r="J130" s="2" t="s">
        <v>76</v>
      </c>
      <c r="K130" s="2" t="s">
        <v>77</v>
      </c>
      <c r="L130" s="2" t="s">
        <v>78</v>
      </c>
      <c r="M130" s="2">
        <v>1163.72</v>
      </c>
      <c r="N130" s="2">
        <v>1.0</v>
      </c>
      <c r="O130" s="2" t="s">
        <v>1185</v>
      </c>
      <c r="P130" s="2" t="s">
        <v>95</v>
      </c>
      <c r="Q130" s="2" t="s">
        <v>305</v>
      </c>
      <c r="R130" s="2" t="s">
        <v>294</v>
      </c>
      <c r="S130" s="2" t="s">
        <v>133</v>
      </c>
    </row>
    <row r="131" ht="15.75" customHeight="1">
      <c r="A131" s="2" t="s">
        <v>1186</v>
      </c>
      <c r="B131" s="2" t="s">
        <v>1187</v>
      </c>
      <c r="C131" s="2" t="s">
        <v>1188</v>
      </c>
      <c r="D131" s="2" t="s">
        <v>1189</v>
      </c>
      <c r="E131" s="2" t="s">
        <v>1190</v>
      </c>
      <c r="F131" s="2" t="s">
        <v>1191</v>
      </c>
      <c r="G131" s="2" t="s">
        <v>88</v>
      </c>
      <c r="H131" s="2" t="s">
        <v>26</v>
      </c>
      <c r="I131" s="2" t="s">
        <v>480</v>
      </c>
      <c r="J131" s="2" t="s">
        <v>1192</v>
      </c>
      <c r="K131" s="2" t="s">
        <v>1193</v>
      </c>
      <c r="L131" s="2" t="s">
        <v>179</v>
      </c>
      <c r="N131" s="2">
        <v>1.0</v>
      </c>
      <c r="O131" s="2" t="s">
        <v>1194</v>
      </c>
      <c r="P131" s="2" t="s">
        <v>95</v>
      </c>
      <c r="Q131" s="2" t="s">
        <v>131</v>
      </c>
      <c r="R131" s="2" t="s">
        <v>50</v>
      </c>
      <c r="S131" s="2" t="s">
        <v>81</v>
      </c>
    </row>
    <row r="132" ht="15.75" customHeight="1">
      <c r="A132" s="2" t="s">
        <v>1195</v>
      </c>
      <c r="B132" s="2" t="s">
        <v>1196</v>
      </c>
      <c r="C132" s="2" t="s">
        <v>577</v>
      </c>
      <c r="D132" s="2" t="s">
        <v>1101</v>
      </c>
      <c r="E132" s="2" t="s">
        <v>579</v>
      </c>
      <c r="F132" s="2" t="s">
        <v>580</v>
      </c>
      <c r="G132" s="2" t="s">
        <v>73</v>
      </c>
      <c r="H132" s="2" t="s">
        <v>42</v>
      </c>
      <c r="I132" s="2" t="s">
        <v>176</v>
      </c>
      <c r="J132" s="2" t="s">
        <v>1197</v>
      </c>
      <c r="K132" s="2" t="s">
        <v>1198</v>
      </c>
      <c r="L132" s="2" t="s">
        <v>1199</v>
      </c>
      <c r="M132" s="2">
        <v>1102.36</v>
      </c>
      <c r="N132" s="2">
        <v>2.0</v>
      </c>
      <c r="O132" s="2" t="s">
        <v>1200</v>
      </c>
      <c r="P132" s="2" t="s">
        <v>32</v>
      </c>
      <c r="Q132" s="2" t="s">
        <v>181</v>
      </c>
      <c r="R132" s="2" t="s">
        <v>192</v>
      </c>
      <c r="S132" s="2" t="s">
        <v>81</v>
      </c>
    </row>
    <row r="133" ht="15.75" customHeight="1">
      <c r="A133" s="2" t="s">
        <v>1201</v>
      </c>
      <c r="B133" s="2" t="s">
        <v>1202</v>
      </c>
      <c r="C133" s="2" t="s">
        <v>1203</v>
      </c>
      <c r="D133" s="2" t="s">
        <v>1204</v>
      </c>
      <c r="E133" s="2" t="s">
        <v>1205</v>
      </c>
      <c r="F133" s="2" t="s">
        <v>1206</v>
      </c>
      <c r="G133" s="2" t="s">
        <v>671</v>
      </c>
      <c r="H133" s="2" t="s">
        <v>323</v>
      </c>
      <c r="I133" s="2" t="s">
        <v>1207</v>
      </c>
      <c r="J133" s="2" t="s">
        <v>127</v>
      </c>
      <c r="K133" s="2" t="s">
        <v>128</v>
      </c>
      <c r="L133" s="2" t="s">
        <v>129</v>
      </c>
      <c r="N133" s="2">
        <v>1.0</v>
      </c>
      <c r="O133" s="2" t="s">
        <v>1208</v>
      </c>
      <c r="P133" s="2" t="s">
        <v>65</v>
      </c>
      <c r="Q133" s="2" t="s">
        <v>305</v>
      </c>
      <c r="R133" s="2" t="s">
        <v>50</v>
      </c>
      <c r="S133" s="2" t="s">
        <v>81</v>
      </c>
    </row>
    <row r="134" ht="15.75" customHeight="1">
      <c r="A134" s="2" t="s">
        <v>1209</v>
      </c>
      <c r="B134" s="2" t="s">
        <v>1210</v>
      </c>
      <c r="C134" s="2" t="s">
        <v>360</v>
      </c>
      <c r="D134" s="2" t="s">
        <v>361</v>
      </c>
      <c r="E134" s="2" t="s">
        <v>362</v>
      </c>
      <c r="F134" s="2" t="s">
        <v>363</v>
      </c>
      <c r="G134" s="2" t="s">
        <v>364</v>
      </c>
      <c r="H134" s="2" t="s">
        <v>223</v>
      </c>
      <c r="I134" s="2" t="s">
        <v>43</v>
      </c>
      <c r="J134" s="2" t="s">
        <v>1211</v>
      </c>
      <c r="K134" s="2" t="s">
        <v>1212</v>
      </c>
      <c r="L134" s="2" t="s">
        <v>63</v>
      </c>
      <c r="M134" s="2">
        <v>1170.25</v>
      </c>
      <c r="N134" s="2">
        <v>1.0</v>
      </c>
      <c r="O134" s="2" t="s">
        <v>1213</v>
      </c>
      <c r="P134" s="2" t="s">
        <v>95</v>
      </c>
      <c r="Q134" s="2" t="s">
        <v>66</v>
      </c>
      <c r="R134" s="2" t="s">
        <v>34</v>
      </c>
      <c r="S134" s="2" t="s">
        <v>133</v>
      </c>
    </row>
    <row r="135" ht="15.75" customHeight="1">
      <c r="A135" s="2" t="s">
        <v>1214</v>
      </c>
      <c r="B135" s="2" t="s">
        <v>1215</v>
      </c>
      <c r="C135" s="2" t="s">
        <v>1042</v>
      </c>
      <c r="D135" s="2" t="s">
        <v>1043</v>
      </c>
      <c r="E135" s="2" t="s">
        <v>1044</v>
      </c>
      <c r="F135" s="2" t="s">
        <v>1045</v>
      </c>
      <c r="G135" s="2" t="s">
        <v>114</v>
      </c>
      <c r="H135" s="2" t="s">
        <v>223</v>
      </c>
      <c r="I135" s="2" t="s">
        <v>480</v>
      </c>
      <c r="J135" s="2" t="s">
        <v>334</v>
      </c>
      <c r="K135" s="2" t="s">
        <v>335</v>
      </c>
      <c r="L135" s="2" t="s">
        <v>248</v>
      </c>
      <c r="M135" s="2">
        <v>200.13</v>
      </c>
      <c r="N135" s="2">
        <v>3.0</v>
      </c>
      <c r="O135" s="2" t="s">
        <v>1216</v>
      </c>
      <c r="P135" s="2" t="s">
        <v>32</v>
      </c>
      <c r="Q135" s="2" t="s">
        <v>505</v>
      </c>
      <c r="R135" s="2" t="s">
        <v>251</v>
      </c>
    </row>
    <row r="136" ht="15.75" customHeight="1">
      <c r="A136" s="2" t="s">
        <v>1217</v>
      </c>
      <c r="B136" s="2" t="s">
        <v>1218</v>
      </c>
      <c r="C136" s="2" t="s">
        <v>734</v>
      </c>
      <c r="D136" s="2" t="s">
        <v>735</v>
      </c>
      <c r="E136" s="2" t="s">
        <v>736</v>
      </c>
      <c r="F136" s="2" t="s">
        <v>737</v>
      </c>
      <c r="G136" s="2" t="s">
        <v>738</v>
      </c>
      <c r="H136" s="2" t="s">
        <v>74</v>
      </c>
      <c r="I136" s="2" t="s">
        <v>1219</v>
      </c>
      <c r="J136" s="2" t="s">
        <v>1063</v>
      </c>
      <c r="K136" s="2" t="s">
        <v>291</v>
      </c>
      <c r="L136" s="2" t="s">
        <v>167</v>
      </c>
      <c r="M136" s="2">
        <v>38.5</v>
      </c>
      <c r="N136" s="2">
        <v>1.0</v>
      </c>
      <c r="O136" s="2" t="s">
        <v>1220</v>
      </c>
      <c r="P136" s="2" t="s">
        <v>65</v>
      </c>
      <c r="Q136" s="2" t="s">
        <v>181</v>
      </c>
      <c r="R136" s="2" t="s">
        <v>1221</v>
      </c>
      <c r="S136" s="2" t="s">
        <v>81</v>
      </c>
    </row>
    <row r="137" ht="15.75" customHeight="1">
      <c r="A137" s="2" t="s">
        <v>1222</v>
      </c>
      <c r="B137" s="2" t="s">
        <v>1223</v>
      </c>
      <c r="C137" s="2" t="s">
        <v>1224</v>
      </c>
      <c r="D137" s="2" t="s">
        <v>1225</v>
      </c>
      <c r="E137" s="2" t="s">
        <v>1226</v>
      </c>
      <c r="F137" s="2" t="s">
        <v>1227</v>
      </c>
      <c r="G137" s="2" t="s">
        <v>1228</v>
      </c>
      <c r="H137" s="2" t="s">
        <v>42</v>
      </c>
      <c r="I137" s="2" t="s">
        <v>176</v>
      </c>
      <c r="J137" s="2" t="s">
        <v>353</v>
      </c>
      <c r="K137" s="2" t="s">
        <v>354</v>
      </c>
      <c r="L137" s="2" t="s">
        <v>355</v>
      </c>
      <c r="N137" s="2">
        <v>2.0</v>
      </c>
      <c r="O137" s="2" t="s">
        <v>1229</v>
      </c>
      <c r="P137" s="2" t="s">
        <v>32</v>
      </c>
      <c r="Q137" s="2" t="s">
        <v>370</v>
      </c>
      <c r="R137" s="2" t="s">
        <v>169</v>
      </c>
    </row>
    <row r="138" ht="15.75" customHeight="1">
      <c r="A138" s="2" t="s">
        <v>1230</v>
      </c>
      <c r="B138" s="2" t="s">
        <v>1231</v>
      </c>
      <c r="C138" s="2" t="s">
        <v>1232</v>
      </c>
      <c r="D138" s="2" t="s">
        <v>1233</v>
      </c>
      <c r="E138" s="2" t="s">
        <v>1234</v>
      </c>
      <c r="F138" s="2" t="s">
        <v>1235</v>
      </c>
      <c r="G138" s="2" t="s">
        <v>448</v>
      </c>
      <c r="H138" s="2" t="s">
        <v>26</v>
      </c>
      <c r="I138" s="2" t="s">
        <v>176</v>
      </c>
      <c r="J138" s="2" t="s">
        <v>1236</v>
      </c>
      <c r="K138" s="2" t="s">
        <v>1237</v>
      </c>
      <c r="L138" s="2" t="s">
        <v>637</v>
      </c>
      <c r="N138" s="2">
        <v>1.0</v>
      </c>
      <c r="O138" s="2" t="s">
        <v>1238</v>
      </c>
      <c r="P138" s="2" t="s">
        <v>95</v>
      </c>
      <c r="Q138" s="2" t="s">
        <v>66</v>
      </c>
      <c r="R138" s="2" t="s">
        <v>294</v>
      </c>
    </row>
    <row r="139" ht="15.75" customHeight="1">
      <c r="A139" s="2" t="s">
        <v>1239</v>
      </c>
      <c r="B139" s="2" t="s">
        <v>1240</v>
      </c>
      <c r="C139" s="2" t="s">
        <v>1241</v>
      </c>
      <c r="D139" s="2" t="s">
        <v>1242</v>
      </c>
      <c r="E139" s="2" t="s">
        <v>1243</v>
      </c>
      <c r="F139" s="2" t="s">
        <v>1244</v>
      </c>
      <c r="G139" s="2" t="s">
        <v>608</v>
      </c>
      <c r="H139" s="2" t="s">
        <v>74</v>
      </c>
      <c r="I139" s="2" t="s">
        <v>1245</v>
      </c>
      <c r="J139" s="2" t="s">
        <v>1246</v>
      </c>
      <c r="K139" s="2" t="s">
        <v>1212</v>
      </c>
      <c r="L139" s="2" t="s">
        <v>514</v>
      </c>
      <c r="N139" s="2">
        <v>1.0</v>
      </c>
      <c r="O139" s="2" t="s">
        <v>1247</v>
      </c>
      <c r="P139" s="2" t="s">
        <v>95</v>
      </c>
      <c r="Q139" s="2" t="s">
        <v>181</v>
      </c>
      <c r="R139" s="2" t="s">
        <v>144</v>
      </c>
      <c r="S139" s="2" t="s">
        <v>81</v>
      </c>
    </row>
    <row r="140" ht="15.75" customHeight="1">
      <c r="A140" s="2" t="s">
        <v>1248</v>
      </c>
      <c r="B140" s="2" t="s">
        <v>1249</v>
      </c>
      <c r="C140" s="2" t="s">
        <v>1250</v>
      </c>
      <c r="D140" s="2" t="s">
        <v>1251</v>
      </c>
      <c r="E140" s="2" t="s">
        <v>1252</v>
      </c>
      <c r="F140" s="2" t="s">
        <v>1253</v>
      </c>
      <c r="G140" s="2" t="s">
        <v>88</v>
      </c>
      <c r="H140" s="2" t="s">
        <v>400</v>
      </c>
      <c r="I140" s="2" t="s">
        <v>1254</v>
      </c>
      <c r="J140" s="2" t="s">
        <v>1255</v>
      </c>
      <c r="K140" s="2" t="s">
        <v>29</v>
      </c>
      <c r="L140" s="2" t="s">
        <v>271</v>
      </c>
      <c r="N140" s="2">
        <v>2.0</v>
      </c>
      <c r="O140" s="2" t="s">
        <v>1256</v>
      </c>
      <c r="P140" s="2" t="s">
        <v>48</v>
      </c>
      <c r="Q140" s="2" t="s">
        <v>181</v>
      </c>
      <c r="R140" s="2" t="s">
        <v>169</v>
      </c>
      <c r="S140" s="2" t="s">
        <v>67</v>
      </c>
    </row>
    <row r="141" ht="15.75" customHeight="1">
      <c r="A141" s="2" t="s">
        <v>1257</v>
      </c>
      <c r="B141" s="2" t="s">
        <v>1258</v>
      </c>
      <c r="C141" s="2" t="s">
        <v>1259</v>
      </c>
      <c r="D141" s="2" t="s">
        <v>1260</v>
      </c>
      <c r="E141" s="2" t="s">
        <v>1261</v>
      </c>
      <c r="F141" s="2" t="s">
        <v>1262</v>
      </c>
      <c r="G141" s="2" t="s">
        <v>58</v>
      </c>
      <c r="H141" s="2" t="s">
        <v>460</v>
      </c>
      <c r="I141" s="2" t="s">
        <v>365</v>
      </c>
      <c r="J141" s="2" t="s">
        <v>1263</v>
      </c>
      <c r="K141" s="2" t="s">
        <v>741</v>
      </c>
      <c r="L141" s="2" t="s">
        <v>368</v>
      </c>
      <c r="N141" s="2">
        <v>1.0</v>
      </c>
      <c r="O141" s="2" t="s">
        <v>1264</v>
      </c>
      <c r="P141" s="2" t="s">
        <v>95</v>
      </c>
      <c r="Q141" s="2" t="s">
        <v>143</v>
      </c>
      <c r="R141" s="2" t="s">
        <v>50</v>
      </c>
    </row>
    <row r="142" ht="15.75" customHeight="1">
      <c r="A142" s="2" t="s">
        <v>1265</v>
      </c>
      <c r="B142" s="2" t="s">
        <v>1266</v>
      </c>
      <c r="C142" s="2" t="s">
        <v>1267</v>
      </c>
      <c r="D142" s="2" t="s">
        <v>1268</v>
      </c>
      <c r="E142" s="2" t="s">
        <v>1269</v>
      </c>
      <c r="F142" s="2" t="s">
        <v>1270</v>
      </c>
      <c r="G142" s="2" t="s">
        <v>139</v>
      </c>
      <c r="H142" s="2" t="s">
        <v>323</v>
      </c>
      <c r="I142" s="2" t="s">
        <v>75</v>
      </c>
      <c r="J142" s="2" t="s">
        <v>1271</v>
      </c>
      <c r="K142" s="2" t="s">
        <v>1272</v>
      </c>
      <c r="L142" s="2" t="s">
        <v>167</v>
      </c>
      <c r="N142" s="2">
        <v>2.0</v>
      </c>
      <c r="O142" s="2" t="s">
        <v>1273</v>
      </c>
      <c r="P142" s="2" t="s">
        <v>612</v>
      </c>
      <c r="Q142" s="2" t="s">
        <v>664</v>
      </c>
      <c r="R142" s="2" t="s">
        <v>818</v>
      </c>
      <c r="S142" s="2" t="s">
        <v>51</v>
      </c>
    </row>
    <row r="143" ht="15.75" customHeight="1">
      <c r="A143" s="2" t="s">
        <v>1274</v>
      </c>
      <c r="B143" s="2" t="s">
        <v>1275</v>
      </c>
      <c r="C143" s="2" t="s">
        <v>1276</v>
      </c>
      <c r="D143" s="2" t="s">
        <v>1277</v>
      </c>
      <c r="E143" s="2" t="s">
        <v>1278</v>
      </c>
      <c r="G143" s="2" t="s">
        <v>199</v>
      </c>
      <c r="H143" s="2" t="s">
        <v>74</v>
      </c>
      <c r="I143" s="2" t="s">
        <v>1032</v>
      </c>
      <c r="J143" s="2" t="s">
        <v>422</v>
      </c>
      <c r="K143" s="2" t="s">
        <v>423</v>
      </c>
      <c r="L143" s="2" t="s">
        <v>292</v>
      </c>
      <c r="M143" s="2">
        <v>1068.78</v>
      </c>
      <c r="N143" s="2">
        <v>2.0</v>
      </c>
      <c r="O143" s="2" t="s">
        <v>1279</v>
      </c>
      <c r="P143" s="2" t="s">
        <v>48</v>
      </c>
      <c r="Q143" s="2" t="s">
        <v>370</v>
      </c>
      <c r="R143" s="2" t="s">
        <v>1221</v>
      </c>
      <c r="S143" s="2" t="s">
        <v>67</v>
      </c>
    </row>
    <row r="144" ht="15.75" customHeight="1">
      <c r="A144" s="2" t="s">
        <v>1280</v>
      </c>
      <c r="B144" s="2" t="s">
        <v>1281</v>
      </c>
      <c r="C144" s="2" t="s">
        <v>1282</v>
      </c>
      <c r="D144" s="2" t="s">
        <v>1283</v>
      </c>
      <c r="E144" s="2" t="s">
        <v>1284</v>
      </c>
      <c r="F144" s="2" t="s">
        <v>1285</v>
      </c>
      <c r="G144" s="2" t="s">
        <v>25</v>
      </c>
      <c r="H144" s="2" t="s">
        <v>778</v>
      </c>
      <c r="I144" s="2" t="s">
        <v>480</v>
      </c>
      <c r="J144" s="2" t="s">
        <v>44</v>
      </c>
      <c r="K144" s="2" t="s">
        <v>45</v>
      </c>
      <c r="L144" s="2" t="s">
        <v>46</v>
      </c>
      <c r="M144" s="2">
        <v>749.43</v>
      </c>
      <c r="N144" s="2">
        <v>1.0</v>
      </c>
      <c r="O144" s="2" t="s">
        <v>1286</v>
      </c>
      <c r="P144" s="2" t="s">
        <v>65</v>
      </c>
      <c r="Q144" s="2" t="s">
        <v>1287</v>
      </c>
      <c r="R144" s="2" t="s">
        <v>1288</v>
      </c>
      <c r="S144" s="2" t="s">
        <v>67</v>
      </c>
    </row>
    <row r="145" ht="15.75" customHeight="1">
      <c r="A145" s="2" t="s">
        <v>1289</v>
      </c>
      <c r="B145" s="2" t="s">
        <v>1290</v>
      </c>
      <c r="C145" s="2" t="s">
        <v>1291</v>
      </c>
      <c r="D145" s="2" t="s">
        <v>1292</v>
      </c>
      <c r="E145" s="2" t="s">
        <v>1293</v>
      </c>
      <c r="F145" s="2" t="s">
        <v>1294</v>
      </c>
      <c r="G145" s="2" t="s">
        <v>199</v>
      </c>
      <c r="H145" s="2" t="s">
        <v>59</v>
      </c>
      <c r="I145" s="2" t="s">
        <v>75</v>
      </c>
      <c r="J145" s="2" t="s">
        <v>556</v>
      </c>
      <c r="K145" s="2" t="s">
        <v>502</v>
      </c>
      <c r="L145" s="2" t="s">
        <v>355</v>
      </c>
      <c r="M145" s="2">
        <v>116.18</v>
      </c>
      <c r="N145" s="2">
        <v>5.0</v>
      </c>
      <c r="O145" s="2" t="s">
        <v>1295</v>
      </c>
      <c r="P145" s="2" t="s">
        <v>48</v>
      </c>
      <c r="Q145" s="2" t="s">
        <v>181</v>
      </c>
      <c r="R145" s="2" t="s">
        <v>169</v>
      </c>
      <c r="S145" s="2" t="s">
        <v>81</v>
      </c>
    </row>
    <row r="146" ht="15.75" customHeight="1">
      <c r="A146" s="2" t="s">
        <v>1296</v>
      </c>
      <c r="B146" s="2" t="s">
        <v>1297</v>
      </c>
      <c r="C146" s="2" t="s">
        <v>1298</v>
      </c>
      <c r="D146" s="2" t="s">
        <v>1299</v>
      </c>
      <c r="E146" s="2" t="s">
        <v>1300</v>
      </c>
      <c r="F146" s="2" t="s">
        <v>1301</v>
      </c>
      <c r="G146" s="2" t="s">
        <v>608</v>
      </c>
      <c r="H146" s="2" t="s">
        <v>460</v>
      </c>
      <c r="I146" s="2" t="s">
        <v>103</v>
      </c>
      <c r="J146" s="2" t="s">
        <v>1302</v>
      </c>
      <c r="K146" s="2" t="s">
        <v>1303</v>
      </c>
      <c r="L146" s="2" t="s">
        <v>179</v>
      </c>
      <c r="N146" s="2">
        <v>2.0</v>
      </c>
      <c r="O146" s="2" t="s">
        <v>1304</v>
      </c>
      <c r="P146" s="2" t="s">
        <v>65</v>
      </c>
      <c r="Q146" s="2" t="s">
        <v>157</v>
      </c>
      <c r="R146" s="2" t="s">
        <v>345</v>
      </c>
    </row>
    <row r="147" ht="15.75" customHeight="1">
      <c r="A147" s="2" t="s">
        <v>1305</v>
      </c>
      <c r="B147" s="2" t="s">
        <v>1306</v>
      </c>
      <c r="C147" s="2" t="s">
        <v>1307</v>
      </c>
      <c r="D147" s="2" t="s">
        <v>1308</v>
      </c>
      <c r="E147" s="2" t="s">
        <v>1309</v>
      </c>
      <c r="F147" s="2" t="s">
        <v>1310</v>
      </c>
      <c r="G147" s="2" t="s">
        <v>1078</v>
      </c>
      <c r="H147" s="2" t="s">
        <v>42</v>
      </c>
      <c r="I147" s="2" t="s">
        <v>176</v>
      </c>
      <c r="J147" s="2" t="s">
        <v>325</v>
      </c>
      <c r="K147" s="2" t="s">
        <v>326</v>
      </c>
      <c r="L147" s="2" t="s">
        <v>315</v>
      </c>
      <c r="N147" s="2">
        <v>2.0</v>
      </c>
      <c r="O147" s="2" t="s">
        <v>1311</v>
      </c>
      <c r="P147" s="2" t="s">
        <v>65</v>
      </c>
      <c r="Q147" s="2" t="s">
        <v>131</v>
      </c>
      <c r="R147" s="2" t="s">
        <v>1312</v>
      </c>
      <c r="S147" s="2" t="s">
        <v>67</v>
      </c>
    </row>
    <row r="148" ht="15.75" customHeight="1">
      <c r="A148" s="2" t="s">
        <v>1313</v>
      </c>
      <c r="B148" s="2" t="s">
        <v>1314</v>
      </c>
      <c r="C148" s="2" t="s">
        <v>1315</v>
      </c>
      <c r="D148" s="2" t="s">
        <v>1316</v>
      </c>
      <c r="E148" s="2" t="s">
        <v>1317</v>
      </c>
      <c r="F148" s="2" t="s">
        <v>1318</v>
      </c>
      <c r="G148" s="2" t="s">
        <v>1319</v>
      </c>
      <c r="H148" s="2" t="s">
        <v>26</v>
      </c>
      <c r="I148" s="2" t="s">
        <v>352</v>
      </c>
      <c r="J148" s="2" t="s">
        <v>402</v>
      </c>
      <c r="K148" s="2" t="s">
        <v>403</v>
      </c>
      <c r="L148" s="2" t="s">
        <v>404</v>
      </c>
      <c r="M148" s="2">
        <v>677.57</v>
      </c>
      <c r="N148" s="2">
        <v>3.0</v>
      </c>
      <c r="O148" s="2" t="s">
        <v>1320</v>
      </c>
      <c r="P148" s="2" t="s">
        <v>65</v>
      </c>
      <c r="Q148" s="2" t="s">
        <v>49</v>
      </c>
      <c r="R148" s="2" t="s">
        <v>144</v>
      </c>
      <c r="S148" s="2" t="s">
        <v>133</v>
      </c>
    </row>
    <row r="149" ht="15.75" customHeight="1">
      <c r="A149" s="2" t="s">
        <v>1321</v>
      </c>
      <c r="B149" s="2" t="s">
        <v>1322</v>
      </c>
      <c r="C149" s="2" t="s">
        <v>1323</v>
      </c>
      <c r="D149" s="2" t="s">
        <v>1324</v>
      </c>
      <c r="E149" s="2" t="s">
        <v>1325</v>
      </c>
      <c r="F149" s="2" t="s">
        <v>1326</v>
      </c>
      <c r="G149" s="2" t="s">
        <v>421</v>
      </c>
      <c r="H149" s="2" t="s">
        <v>683</v>
      </c>
      <c r="I149" s="2" t="s">
        <v>43</v>
      </c>
      <c r="J149" s="2" t="s">
        <v>1327</v>
      </c>
      <c r="K149" s="2" t="s">
        <v>291</v>
      </c>
      <c r="L149" s="2" t="s">
        <v>1328</v>
      </c>
      <c r="N149" s="2">
        <v>2.0</v>
      </c>
      <c r="O149" s="2" t="s">
        <v>1329</v>
      </c>
      <c r="P149" s="2" t="s">
        <v>65</v>
      </c>
      <c r="Q149" s="2" t="s">
        <v>505</v>
      </c>
      <c r="R149" s="2" t="s">
        <v>1312</v>
      </c>
      <c r="S149" s="2" t="s">
        <v>81</v>
      </c>
    </row>
    <row r="150" ht="15.75" customHeight="1">
      <c r="A150" s="2" t="s">
        <v>1330</v>
      </c>
      <c r="B150" s="2" t="s">
        <v>1331</v>
      </c>
      <c r="C150" s="2" t="s">
        <v>1332</v>
      </c>
      <c r="D150" s="2" t="s">
        <v>1333</v>
      </c>
      <c r="E150" s="2" t="s">
        <v>1334</v>
      </c>
      <c r="F150" s="2" t="s">
        <v>1335</v>
      </c>
      <c r="G150" s="2" t="s">
        <v>1336</v>
      </c>
      <c r="H150" s="2" t="s">
        <v>400</v>
      </c>
      <c r="I150" s="2" t="s">
        <v>312</v>
      </c>
      <c r="J150" s="2" t="s">
        <v>1109</v>
      </c>
      <c r="K150" s="2" t="s">
        <v>1110</v>
      </c>
      <c r="L150" s="2" t="s">
        <v>826</v>
      </c>
      <c r="N150" s="2">
        <v>1.0</v>
      </c>
      <c r="O150" s="2" t="s">
        <v>1337</v>
      </c>
      <c r="P150" s="2" t="s">
        <v>32</v>
      </c>
      <c r="Q150" s="2" t="s">
        <v>33</v>
      </c>
      <c r="R150" s="2" t="s">
        <v>818</v>
      </c>
    </row>
    <row r="151" ht="15.75" customHeight="1">
      <c r="A151" s="2" t="s">
        <v>1338</v>
      </c>
      <c r="B151" s="2" t="s">
        <v>1339</v>
      </c>
      <c r="C151" s="2" t="s">
        <v>1340</v>
      </c>
      <c r="D151" s="2" t="s">
        <v>1341</v>
      </c>
      <c r="E151" s="2" t="s">
        <v>1342</v>
      </c>
      <c r="F151" s="2" t="s">
        <v>1343</v>
      </c>
      <c r="G151" s="2" t="s">
        <v>1177</v>
      </c>
      <c r="H151" s="2" t="s">
        <v>802</v>
      </c>
      <c r="I151" s="2" t="s">
        <v>43</v>
      </c>
      <c r="J151" s="2" t="s">
        <v>461</v>
      </c>
      <c r="K151" s="2" t="s">
        <v>462</v>
      </c>
      <c r="L151" s="2" t="s">
        <v>463</v>
      </c>
      <c r="N151" s="2">
        <v>1.0</v>
      </c>
      <c r="O151" s="2" t="s">
        <v>1344</v>
      </c>
      <c r="P151" s="2" t="s">
        <v>32</v>
      </c>
      <c r="Q151" s="2" t="s">
        <v>370</v>
      </c>
      <c r="R151" s="2" t="s">
        <v>380</v>
      </c>
    </row>
    <row r="152" ht="15.75" customHeight="1">
      <c r="A152" s="2" t="s">
        <v>1345</v>
      </c>
      <c r="B152" s="2" t="s">
        <v>1346</v>
      </c>
      <c r="C152" s="2" t="s">
        <v>1347</v>
      </c>
      <c r="D152" s="2" t="s">
        <v>1348</v>
      </c>
      <c r="E152" s="2" t="s">
        <v>1349</v>
      </c>
      <c r="F152" s="2" t="s">
        <v>1350</v>
      </c>
      <c r="G152" s="2" t="s">
        <v>671</v>
      </c>
      <c r="H152" s="2" t="s">
        <v>1167</v>
      </c>
      <c r="I152" s="2" t="s">
        <v>401</v>
      </c>
      <c r="J152" s="2" t="s">
        <v>643</v>
      </c>
      <c r="K152" s="2" t="s">
        <v>644</v>
      </c>
      <c r="L152" s="2" t="s">
        <v>368</v>
      </c>
      <c r="N152" s="2">
        <v>1.0</v>
      </c>
      <c r="O152" s="2" t="s">
        <v>1351</v>
      </c>
      <c r="P152" s="2" t="s">
        <v>65</v>
      </c>
      <c r="Q152" s="2" t="s">
        <v>664</v>
      </c>
      <c r="R152" s="2" t="s">
        <v>432</v>
      </c>
      <c r="S152" s="2" t="s">
        <v>67</v>
      </c>
    </row>
    <row r="153" ht="15.75" customHeight="1">
      <c r="A153" s="2" t="s">
        <v>1352</v>
      </c>
      <c r="B153" s="2" t="s">
        <v>1353</v>
      </c>
      <c r="C153" s="2" t="s">
        <v>1354</v>
      </c>
      <c r="D153" s="2" t="s">
        <v>1355</v>
      </c>
      <c r="E153" s="2" t="s">
        <v>1356</v>
      </c>
      <c r="F153" s="2" t="s">
        <v>1357</v>
      </c>
      <c r="G153" s="2" t="s">
        <v>199</v>
      </c>
      <c r="H153" s="2" t="s">
        <v>802</v>
      </c>
      <c r="I153" s="2" t="s">
        <v>500</v>
      </c>
      <c r="J153" s="2" t="s">
        <v>1358</v>
      </c>
      <c r="K153" s="2" t="s">
        <v>1359</v>
      </c>
      <c r="L153" s="2" t="s">
        <v>941</v>
      </c>
      <c r="M153" s="2">
        <v>221.59</v>
      </c>
      <c r="P153" s="2" t="s">
        <v>48</v>
      </c>
      <c r="Q153" s="2" t="s">
        <v>49</v>
      </c>
      <c r="R153" s="2" t="s">
        <v>393</v>
      </c>
    </row>
    <row r="154" ht="15.75" customHeight="1">
      <c r="A154" s="2" t="s">
        <v>1360</v>
      </c>
      <c r="B154" s="2" t="s">
        <v>1361</v>
      </c>
      <c r="C154" s="2" t="s">
        <v>1362</v>
      </c>
      <c r="D154" s="2" t="s">
        <v>101</v>
      </c>
      <c r="E154" s="2" t="s">
        <v>1363</v>
      </c>
      <c r="F154" s="2" t="s">
        <v>1364</v>
      </c>
      <c r="G154" s="2" t="s">
        <v>1054</v>
      </c>
      <c r="H154" s="2" t="s">
        <v>1365</v>
      </c>
      <c r="I154" s="2" t="s">
        <v>289</v>
      </c>
      <c r="J154" s="2" t="s">
        <v>1197</v>
      </c>
      <c r="K154" s="2" t="s">
        <v>1198</v>
      </c>
      <c r="L154" s="2" t="s">
        <v>1199</v>
      </c>
      <c r="M154" s="2">
        <v>132.18</v>
      </c>
      <c r="N154" s="2">
        <v>2.0</v>
      </c>
      <c r="O154" s="2" t="s">
        <v>1366</v>
      </c>
      <c r="P154" s="2" t="s">
        <v>48</v>
      </c>
      <c r="Q154" s="2" t="s">
        <v>1367</v>
      </c>
      <c r="R154" s="2" t="s">
        <v>1368</v>
      </c>
    </row>
    <row r="155" ht="15.75" customHeight="1">
      <c r="A155" s="2" t="s">
        <v>1369</v>
      </c>
      <c r="B155" s="2" t="s">
        <v>1370</v>
      </c>
      <c r="C155" s="2" t="s">
        <v>1371</v>
      </c>
      <c r="D155" s="2" t="s">
        <v>1372</v>
      </c>
      <c r="E155" s="2" t="s">
        <v>1373</v>
      </c>
      <c r="F155" s="2" t="s">
        <v>1374</v>
      </c>
      <c r="G155" s="2" t="s">
        <v>199</v>
      </c>
      <c r="H155" s="2" t="s">
        <v>1167</v>
      </c>
      <c r="I155" s="2" t="s">
        <v>352</v>
      </c>
      <c r="J155" s="2" t="s">
        <v>1109</v>
      </c>
      <c r="K155" s="2" t="s">
        <v>1110</v>
      </c>
      <c r="L155" s="2" t="s">
        <v>826</v>
      </c>
      <c r="N155" s="2">
        <v>1.0</v>
      </c>
      <c r="O155" s="2" t="s">
        <v>1375</v>
      </c>
      <c r="P155" s="2" t="s">
        <v>65</v>
      </c>
      <c r="Q155" s="2" t="s">
        <v>370</v>
      </c>
      <c r="R155" s="2" t="s">
        <v>442</v>
      </c>
      <c r="S155" s="2" t="s">
        <v>51</v>
      </c>
    </row>
    <row r="156" ht="15.75" customHeight="1">
      <c r="A156" s="2" t="s">
        <v>1376</v>
      </c>
      <c r="B156" s="2" t="s">
        <v>1377</v>
      </c>
      <c r="C156" s="2" t="s">
        <v>1378</v>
      </c>
      <c r="D156" s="2" t="s">
        <v>1379</v>
      </c>
      <c r="E156" s="2" t="s">
        <v>1380</v>
      </c>
      <c r="F156" s="2" t="s">
        <v>1381</v>
      </c>
      <c r="G156" s="2" t="s">
        <v>801</v>
      </c>
      <c r="H156" s="2" t="s">
        <v>400</v>
      </c>
      <c r="I156" s="2" t="s">
        <v>480</v>
      </c>
      <c r="J156" s="2" t="s">
        <v>556</v>
      </c>
      <c r="K156" s="2" t="s">
        <v>502</v>
      </c>
      <c r="L156" s="2" t="s">
        <v>355</v>
      </c>
      <c r="M156" s="2">
        <v>1216.26</v>
      </c>
      <c r="N156" s="2">
        <v>1.0</v>
      </c>
      <c r="O156" s="2" t="s">
        <v>1382</v>
      </c>
      <c r="P156" s="2" t="s">
        <v>95</v>
      </c>
      <c r="Q156" s="2" t="s">
        <v>1383</v>
      </c>
      <c r="R156" s="2" t="s">
        <v>380</v>
      </c>
      <c r="S156" s="2" t="s">
        <v>133</v>
      </c>
    </row>
    <row r="157" ht="15.75" customHeight="1">
      <c r="A157" s="2" t="s">
        <v>959</v>
      </c>
      <c r="B157" s="2" t="s">
        <v>960</v>
      </c>
      <c r="C157" s="2" t="s">
        <v>961</v>
      </c>
      <c r="D157" s="2" t="s">
        <v>962</v>
      </c>
      <c r="E157" s="2" t="s">
        <v>963</v>
      </c>
      <c r="F157" s="2" t="s">
        <v>964</v>
      </c>
      <c r="G157" s="2" t="s">
        <v>139</v>
      </c>
      <c r="H157" s="2" t="s">
        <v>59</v>
      </c>
      <c r="I157" s="2" t="s">
        <v>401</v>
      </c>
      <c r="J157" s="2" t="s">
        <v>965</v>
      </c>
      <c r="K157" s="2" t="s">
        <v>966</v>
      </c>
      <c r="L157" s="2" t="s">
        <v>967</v>
      </c>
      <c r="M157" s="2">
        <v>723.64</v>
      </c>
      <c r="N157" s="2">
        <v>2.0</v>
      </c>
      <c r="O157" s="2" t="s">
        <v>968</v>
      </c>
      <c r="P157" s="2" t="s">
        <v>48</v>
      </c>
      <c r="Q157" s="2" t="s">
        <v>969</v>
      </c>
      <c r="R157" s="2" t="s">
        <v>294</v>
      </c>
      <c r="S157" s="2" t="s">
        <v>67</v>
      </c>
    </row>
    <row r="158" ht="15.75" customHeight="1">
      <c r="A158" s="2" t="s">
        <v>1384</v>
      </c>
      <c r="B158" s="2" t="s">
        <v>1385</v>
      </c>
      <c r="C158" s="2" t="s">
        <v>1386</v>
      </c>
      <c r="D158" s="2" t="s">
        <v>1387</v>
      </c>
      <c r="E158" s="2" t="s">
        <v>1388</v>
      </c>
      <c r="F158" s="2" t="s">
        <v>1389</v>
      </c>
      <c r="G158" s="2" t="s">
        <v>608</v>
      </c>
      <c r="H158" s="2" t="s">
        <v>115</v>
      </c>
      <c r="I158" s="2" t="s">
        <v>211</v>
      </c>
      <c r="J158" s="2" t="s">
        <v>815</v>
      </c>
      <c r="K158" s="2" t="s">
        <v>816</v>
      </c>
      <c r="L158" s="2" t="s">
        <v>179</v>
      </c>
      <c r="N158" s="2">
        <v>1.0</v>
      </c>
      <c r="O158" s="2" t="s">
        <v>1390</v>
      </c>
      <c r="P158" s="2" t="s">
        <v>32</v>
      </c>
      <c r="Q158" s="2" t="s">
        <v>143</v>
      </c>
      <c r="R158" s="2" t="s">
        <v>169</v>
      </c>
    </row>
    <row r="159" ht="15.75" customHeight="1">
      <c r="A159" s="2" t="s">
        <v>1391</v>
      </c>
      <c r="B159" s="2" t="s">
        <v>1392</v>
      </c>
      <c r="C159" s="2" t="s">
        <v>577</v>
      </c>
      <c r="D159" s="2" t="s">
        <v>1101</v>
      </c>
      <c r="E159" s="2" t="s">
        <v>579</v>
      </c>
      <c r="F159" s="2" t="s">
        <v>580</v>
      </c>
      <c r="G159" s="2" t="s">
        <v>73</v>
      </c>
      <c r="H159" s="2" t="s">
        <v>59</v>
      </c>
      <c r="I159" s="2" t="s">
        <v>480</v>
      </c>
      <c r="J159" s="2" t="s">
        <v>993</v>
      </c>
      <c r="K159" s="2" t="s">
        <v>994</v>
      </c>
      <c r="L159" s="2" t="s">
        <v>995</v>
      </c>
      <c r="M159" s="2">
        <v>1742.02</v>
      </c>
      <c r="N159" s="2">
        <v>2.0</v>
      </c>
      <c r="O159" s="2" t="s">
        <v>1393</v>
      </c>
      <c r="P159" s="2" t="s">
        <v>65</v>
      </c>
      <c r="Q159" s="2" t="s">
        <v>143</v>
      </c>
      <c r="R159" s="2" t="s">
        <v>1312</v>
      </c>
    </row>
    <row r="160" ht="15.75" customHeight="1">
      <c r="A160" s="2" t="s">
        <v>1394</v>
      </c>
      <c r="B160" s="2" t="s">
        <v>1395</v>
      </c>
      <c r="C160" s="2" t="s">
        <v>1396</v>
      </c>
      <c r="D160" s="2" t="s">
        <v>1397</v>
      </c>
      <c r="E160" s="2" t="s">
        <v>1398</v>
      </c>
      <c r="F160" s="2" t="s">
        <v>1399</v>
      </c>
      <c r="G160" s="2" t="s">
        <v>139</v>
      </c>
      <c r="H160" s="2" t="s">
        <v>400</v>
      </c>
      <c r="I160" s="2" t="s">
        <v>176</v>
      </c>
      <c r="J160" s="2" t="s">
        <v>1400</v>
      </c>
      <c r="K160" s="2" t="s">
        <v>524</v>
      </c>
      <c r="L160" s="2" t="s">
        <v>1401</v>
      </c>
      <c r="M160" s="2">
        <v>1268.6</v>
      </c>
      <c r="N160" s="2">
        <v>1.0</v>
      </c>
      <c r="O160" s="2" t="s">
        <v>1402</v>
      </c>
      <c r="P160" s="2" t="s">
        <v>32</v>
      </c>
      <c r="Q160" s="2" t="s">
        <v>49</v>
      </c>
      <c r="R160" s="2" t="s">
        <v>169</v>
      </c>
      <c r="S160" s="2" t="s">
        <v>51</v>
      </c>
    </row>
    <row r="161" ht="15.75" customHeight="1">
      <c r="A161" s="2" t="s">
        <v>1403</v>
      </c>
      <c r="B161" s="2" t="s">
        <v>1404</v>
      </c>
      <c r="C161" s="2" t="s">
        <v>1405</v>
      </c>
      <c r="D161" s="2" t="s">
        <v>1406</v>
      </c>
      <c r="E161" s="2" t="s">
        <v>1407</v>
      </c>
      <c r="F161" s="2" t="s">
        <v>1408</v>
      </c>
      <c r="G161" s="2" t="s">
        <v>364</v>
      </c>
      <c r="H161" s="2" t="s">
        <v>26</v>
      </c>
      <c r="I161" s="2" t="s">
        <v>365</v>
      </c>
      <c r="J161" s="2" t="s">
        <v>1271</v>
      </c>
      <c r="K161" s="2" t="s">
        <v>1272</v>
      </c>
      <c r="L161" s="2" t="s">
        <v>167</v>
      </c>
      <c r="M161" s="2">
        <v>1042.18</v>
      </c>
      <c r="N161" s="2">
        <v>1.0</v>
      </c>
      <c r="O161" s="2" t="s">
        <v>1409</v>
      </c>
      <c r="P161" s="2" t="s">
        <v>32</v>
      </c>
      <c r="Q161" s="2" t="s">
        <v>305</v>
      </c>
      <c r="R161" s="2" t="s">
        <v>169</v>
      </c>
      <c r="S161" s="2" t="s">
        <v>81</v>
      </c>
    </row>
    <row r="162" ht="15.75" customHeight="1">
      <c r="A162" s="2" t="s">
        <v>1410</v>
      </c>
      <c r="B162" s="2" t="s">
        <v>1049</v>
      </c>
      <c r="C162" s="2" t="s">
        <v>1411</v>
      </c>
      <c r="D162" s="2" t="s">
        <v>1412</v>
      </c>
      <c r="E162" s="2" t="s">
        <v>1413</v>
      </c>
      <c r="F162" s="2" t="s">
        <v>1414</v>
      </c>
      <c r="G162" s="2" t="s">
        <v>58</v>
      </c>
      <c r="H162" s="2" t="s">
        <v>1415</v>
      </c>
      <c r="I162" s="2" t="s">
        <v>401</v>
      </c>
      <c r="J162" s="2" t="s">
        <v>269</v>
      </c>
      <c r="K162" s="2" t="s">
        <v>270</v>
      </c>
      <c r="L162" s="2" t="s">
        <v>271</v>
      </c>
      <c r="N162" s="2">
        <v>2.0</v>
      </c>
      <c r="O162" s="2" t="s">
        <v>1416</v>
      </c>
      <c r="P162" s="2" t="s">
        <v>32</v>
      </c>
      <c r="Q162" s="2" t="s">
        <v>181</v>
      </c>
      <c r="R162" s="2" t="s">
        <v>442</v>
      </c>
      <c r="S162" s="2" t="s">
        <v>133</v>
      </c>
    </row>
    <row r="163" ht="15.75" customHeight="1">
      <c r="A163" s="2" t="s">
        <v>1417</v>
      </c>
      <c r="B163" s="2" t="s">
        <v>1418</v>
      </c>
      <c r="C163" s="2" t="s">
        <v>1419</v>
      </c>
      <c r="D163" s="2" t="s">
        <v>1420</v>
      </c>
      <c r="E163" s="2" t="s">
        <v>1421</v>
      </c>
      <c r="F163" s="2" t="s">
        <v>1422</v>
      </c>
      <c r="G163" s="2" t="s">
        <v>671</v>
      </c>
      <c r="H163" s="2" t="s">
        <v>802</v>
      </c>
      <c r="I163" s="2" t="s">
        <v>1423</v>
      </c>
      <c r="J163" s="2" t="s">
        <v>652</v>
      </c>
      <c r="K163" s="2" t="s">
        <v>653</v>
      </c>
      <c r="L163" s="2" t="s">
        <v>179</v>
      </c>
      <c r="N163" s="2">
        <v>2.0</v>
      </c>
      <c r="O163" s="2" t="s">
        <v>1424</v>
      </c>
      <c r="P163" s="2" t="s">
        <v>95</v>
      </c>
      <c r="Q163" s="2" t="s">
        <v>66</v>
      </c>
      <c r="R163" s="2" t="s">
        <v>393</v>
      </c>
      <c r="S163" s="2" t="s">
        <v>67</v>
      </c>
    </row>
    <row r="164" ht="15.75" customHeight="1">
      <c r="A164" s="2" t="s">
        <v>1425</v>
      </c>
      <c r="B164" s="2" t="s">
        <v>1426</v>
      </c>
      <c r="C164" s="2" t="s">
        <v>1427</v>
      </c>
      <c r="D164" s="2" t="s">
        <v>1428</v>
      </c>
      <c r="E164" s="2" t="s">
        <v>1429</v>
      </c>
      <c r="F164" s="2" t="s">
        <v>1430</v>
      </c>
      <c r="G164" s="2" t="s">
        <v>399</v>
      </c>
      <c r="H164" s="2" t="s">
        <v>210</v>
      </c>
      <c r="I164" s="2" t="s">
        <v>1431</v>
      </c>
      <c r="J164" s="2" t="s">
        <v>1432</v>
      </c>
      <c r="K164" s="2" t="s">
        <v>994</v>
      </c>
      <c r="L164" s="2" t="s">
        <v>1328</v>
      </c>
      <c r="M164" s="2">
        <v>975.21</v>
      </c>
      <c r="N164" s="2">
        <v>2.0</v>
      </c>
      <c r="O164" s="2" t="s">
        <v>1433</v>
      </c>
      <c r="P164" s="2" t="s">
        <v>95</v>
      </c>
      <c r="Q164" s="2" t="s">
        <v>1434</v>
      </c>
      <c r="R164" s="2" t="s">
        <v>380</v>
      </c>
    </row>
    <row r="165" ht="15.75" customHeight="1">
      <c r="A165" s="2" t="s">
        <v>1435</v>
      </c>
      <c r="B165" s="2" t="s">
        <v>1436</v>
      </c>
      <c r="C165" s="2" t="s">
        <v>1437</v>
      </c>
      <c r="D165" s="2" t="s">
        <v>1438</v>
      </c>
      <c r="E165" s="2" t="s">
        <v>1439</v>
      </c>
      <c r="F165" s="2" t="s">
        <v>1440</v>
      </c>
      <c r="G165" s="2" t="s">
        <v>88</v>
      </c>
      <c r="H165" s="2" t="s">
        <v>42</v>
      </c>
      <c r="I165" s="2" t="s">
        <v>500</v>
      </c>
      <c r="J165" s="2" t="s">
        <v>815</v>
      </c>
      <c r="K165" s="2" t="s">
        <v>816</v>
      </c>
      <c r="L165" s="2" t="s">
        <v>179</v>
      </c>
      <c r="M165" s="2">
        <v>711.14</v>
      </c>
      <c r="N165" s="2">
        <v>1.0</v>
      </c>
      <c r="O165" s="2" t="s">
        <v>1441</v>
      </c>
      <c r="P165" s="2" t="s">
        <v>48</v>
      </c>
      <c r="Q165" s="2" t="s">
        <v>573</v>
      </c>
      <c r="R165" s="2" t="s">
        <v>158</v>
      </c>
    </row>
    <row r="166" ht="15.75" customHeight="1">
      <c r="A166" s="2" t="s">
        <v>1442</v>
      </c>
      <c r="B166" s="2" t="s">
        <v>1443</v>
      </c>
      <c r="C166" s="2" t="s">
        <v>1444</v>
      </c>
      <c r="D166" s="2" t="s">
        <v>1445</v>
      </c>
      <c r="G166" s="2" t="s">
        <v>1446</v>
      </c>
      <c r="H166" s="2" t="s">
        <v>400</v>
      </c>
      <c r="I166" s="2" t="s">
        <v>75</v>
      </c>
      <c r="J166" s="2" t="s">
        <v>1197</v>
      </c>
      <c r="K166" s="2" t="s">
        <v>1198</v>
      </c>
      <c r="L166" s="2" t="s">
        <v>1199</v>
      </c>
      <c r="M166" s="2">
        <v>1684.77</v>
      </c>
      <c r="N166" s="2">
        <v>2.0</v>
      </c>
      <c r="O166" s="2" t="s">
        <v>1447</v>
      </c>
      <c r="P166" s="2" t="s">
        <v>48</v>
      </c>
      <c r="Q166" s="2" t="s">
        <v>143</v>
      </c>
      <c r="R166" s="2" t="s">
        <v>1312</v>
      </c>
      <c r="S166" s="2" t="s">
        <v>67</v>
      </c>
    </row>
    <row r="167" ht="15.75" customHeight="1">
      <c r="A167" s="2" t="s">
        <v>1448</v>
      </c>
      <c r="B167" s="2" t="s">
        <v>1449</v>
      </c>
      <c r="C167" s="2" t="s">
        <v>1450</v>
      </c>
      <c r="D167" s="2" t="s">
        <v>1451</v>
      </c>
      <c r="E167" s="2" t="s">
        <v>1452</v>
      </c>
      <c r="G167" s="2" t="s">
        <v>399</v>
      </c>
      <c r="H167" s="2" t="s">
        <v>683</v>
      </c>
      <c r="I167" s="2" t="s">
        <v>1245</v>
      </c>
      <c r="J167" s="2" t="s">
        <v>1263</v>
      </c>
      <c r="K167" s="2" t="s">
        <v>741</v>
      </c>
      <c r="L167" s="2" t="s">
        <v>368</v>
      </c>
      <c r="M167" s="2">
        <v>1207.47</v>
      </c>
      <c r="N167" s="2">
        <v>1.0</v>
      </c>
      <c r="O167" s="2" t="s">
        <v>1453</v>
      </c>
      <c r="P167" s="2" t="s">
        <v>48</v>
      </c>
      <c r="Q167" s="2" t="s">
        <v>49</v>
      </c>
      <c r="R167" s="2" t="s">
        <v>132</v>
      </c>
      <c r="S167" s="2" t="s">
        <v>51</v>
      </c>
    </row>
    <row r="168" ht="15.75" customHeight="1">
      <c r="A168" s="2" t="s">
        <v>1454</v>
      </c>
      <c r="B168" s="2" t="s">
        <v>1455</v>
      </c>
      <c r="C168" s="2" t="s">
        <v>1456</v>
      </c>
      <c r="D168" s="2" t="s">
        <v>1457</v>
      </c>
      <c r="E168" s="2" t="s">
        <v>1458</v>
      </c>
      <c r="F168" s="2" t="s">
        <v>1459</v>
      </c>
      <c r="G168" s="2" t="s">
        <v>608</v>
      </c>
      <c r="H168" s="2" t="s">
        <v>400</v>
      </c>
      <c r="I168" s="2" t="s">
        <v>480</v>
      </c>
      <c r="J168" s="2" t="s">
        <v>1460</v>
      </c>
      <c r="K168" s="2" t="s">
        <v>1461</v>
      </c>
      <c r="L168" s="2" t="s">
        <v>368</v>
      </c>
      <c r="N168" s="2">
        <v>5.0</v>
      </c>
      <c r="O168" s="2" t="s">
        <v>1462</v>
      </c>
      <c r="P168" s="2" t="s">
        <v>32</v>
      </c>
      <c r="Q168" s="2" t="s">
        <v>49</v>
      </c>
      <c r="R168" s="2" t="s">
        <v>1463</v>
      </c>
      <c r="S168" s="2" t="s">
        <v>67</v>
      </c>
    </row>
    <row r="169" ht="15.75" customHeight="1">
      <c r="A169" s="2" t="s">
        <v>1464</v>
      </c>
      <c r="B169" s="2" t="s">
        <v>1465</v>
      </c>
      <c r="C169" s="2" t="s">
        <v>1466</v>
      </c>
      <c r="D169" s="2" t="s">
        <v>1068</v>
      </c>
      <c r="E169" s="2" t="s">
        <v>1467</v>
      </c>
      <c r="F169" s="2" t="s">
        <v>1468</v>
      </c>
      <c r="G169" s="2" t="s">
        <v>139</v>
      </c>
      <c r="H169" s="2" t="s">
        <v>223</v>
      </c>
      <c r="I169" s="2" t="s">
        <v>176</v>
      </c>
      <c r="J169" s="2" t="s">
        <v>313</v>
      </c>
      <c r="K169" s="2" t="s">
        <v>314</v>
      </c>
      <c r="L169" s="2" t="s">
        <v>315</v>
      </c>
      <c r="M169" s="2">
        <v>944.39</v>
      </c>
      <c r="N169" s="2">
        <v>3.0</v>
      </c>
      <c r="O169" s="2" t="s">
        <v>1469</v>
      </c>
      <c r="P169" s="2" t="s">
        <v>48</v>
      </c>
      <c r="Q169" s="2" t="s">
        <v>414</v>
      </c>
      <c r="R169" s="2" t="s">
        <v>1312</v>
      </c>
      <c r="S169" s="2" t="s">
        <v>67</v>
      </c>
    </row>
    <row r="170" ht="15.75" customHeight="1">
      <c r="A170" s="2" t="s">
        <v>1470</v>
      </c>
      <c r="B170" s="2" t="s">
        <v>1471</v>
      </c>
      <c r="C170" s="2" t="s">
        <v>1472</v>
      </c>
      <c r="D170" s="2" t="s">
        <v>1473</v>
      </c>
      <c r="F170" s="2" t="s">
        <v>1474</v>
      </c>
      <c r="G170" s="2" t="s">
        <v>114</v>
      </c>
      <c r="H170" s="2" t="s">
        <v>26</v>
      </c>
      <c r="I170" s="2" t="s">
        <v>1475</v>
      </c>
      <c r="J170" s="2" t="s">
        <v>1476</v>
      </c>
      <c r="K170" s="2" t="s">
        <v>1147</v>
      </c>
      <c r="L170" s="2" t="s">
        <v>1477</v>
      </c>
      <c r="M170" s="2">
        <v>693.97</v>
      </c>
      <c r="N170" s="2">
        <v>1.0</v>
      </c>
      <c r="O170" s="2" t="s">
        <v>1478</v>
      </c>
      <c r="P170" s="2" t="s">
        <v>32</v>
      </c>
      <c r="Q170" s="2" t="s">
        <v>573</v>
      </c>
      <c r="R170" s="2" t="s">
        <v>261</v>
      </c>
      <c r="S170" s="2" t="s">
        <v>51</v>
      </c>
    </row>
    <row r="171" ht="15.75" customHeight="1">
      <c r="A171" s="2" t="s">
        <v>1479</v>
      </c>
      <c r="B171" s="2" t="s">
        <v>1480</v>
      </c>
      <c r="C171" s="2" t="s">
        <v>1481</v>
      </c>
      <c r="D171" s="2" t="s">
        <v>1482</v>
      </c>
      <c r="E171" s="2" t="s">
        <v>1483</v>
      </c>
      <c r="F171" s="2" t="s">
        <v>1484</v>
      </c>
      <c r="G171" s="2" t="s">
        <v>1177</v>
      </c>
      <c r="H171" s="2" t="s">
        <v>802</v>
      </c>
      <c r="I171" s="2" t="s">
        <v>289</v>
      </c>
      <c r="J171" s="2" t="s">
        <v>61</v>
      </c>
      <c r="K171" s="2" t="s">
        <v>62</v>
      </c>
      <c r="L171" s="2" t="s">
        <v>63</v>
      </c>
      <c r="M171" s="2">
        <v>189.23</v>
      </c>
      <c r="N171" s="2">
        <v>3.0</v>
      </c>
      <c r="O171" s="2" t="s">
        <v>1485</v>
      </c>
      <c r="P171" s="2" t="s">
        <v>65</v>
      </c>
      <c r="Q171" s="2" t="s">
        <v>505</v>
      </c>
      <c r="R171" s="2" t="s">
        <v>169</v>
      </c>
      <c r="S171" s="2" t="s">
        <v>81</v>
      </c>
    </row>
    <row r="172" ht="15.75" customHeight="1">
      <c r="A172" s="2" t="s">
        <v>1486</v>
      </c>
      <c r="B172" s="2" t="s">
        <v>1487</v>
      </c>
      <c r="C172" s="2" t="s">
        <v>275</v>
      </c>
      <c r="D172" s="2" t="s">
        <v>276</v>
      </c>
      <c r="F172" s="2" t="s">
        <v>278</v>
      </c>
      <c r="G172" s="2" t="s">
        <v>25</v>
      </c>
      <c r="H172" s="2" t="s">
        <v>778</v>
      </c>
      <c r="I172" s="2" t="s">
        <v>176</v>
      </c>
      <c r="J172" s="2" t="s">
        <v>1358</v>
      </c>
      <c r="K172" s="2" t="s">
        <v>1359</v>
      </c>
      <c r="L172" s="2" t="s">
        <v>941</v>
      </c>
      <c r="M172" s="2">
        <v>156.36</v>
      </c>
      <c r="N172" s="2">
        <v>3.0</v>
      </c>
      <c r="O172" s="2" t="s">
        <v>1488</v>
      </c>
      <c r="P172" s="2" t="s">
        <v>48</v>
      </c>
      <c r="Q172" s="2" t="s">
        <v>66</v>
      </c>
      <c r="R172" s="2" t="s">
        <v>345</v>
      </c>
    </row>
    <row r="173" ht="15.75" customHeight="1">
      <c r="A173" s="2" t="s">
        <v>1489</v>
      </c>
      <c r="B173" s="2" t="s">
        <v>1490</v>
      </c>
      <c r="C173" s="2" t="s">
        <v>1491</v>
      </c>
      <c r="D173" s="2" t="s">
        <v>1492</v>
      </c>
      <c r="E173" s="2" t="s">
        <v>1493</v>
      </c>
      <c r="F173" s="2" t="s">
        <v>1494</v>
      </c>
      <c r="G173" s="2" t="s">
        <v>399</v>
      </c>
      <c r="H173" s="2" t="s">
        <v>323</v>
      </c>
      <c r="I173" s="2" t="s">
        <v>870</v>
      </c>
      <c r="J173" s="2" t="s">
        <v>1495</v>
      </c>
      <c r="K173" s="2" t="s">
        <v>1138</v>
      </c>
      <c r="L173" s="2" t="s">
        <v>248</v>
      </c>
      <c r="N173" s="2">
        <v>1.0</v>
      </c>
      <c r="O173" s="2" t="s">
        <v>1496</v>
      </c>
      <c r="P173" s="2" t="s">
        <v>65</v>
      </c>
      <c r="Q173" s="2" t="s">
        <v>1497</v>
      </c>
      <c r="R173" s="2" t="s">
        <v>393</v>
      </c>
    </row>
    <row r="174" ht="15.75" customHeight="1">
      <c r="A174" s="2" t="s">
        <v>1498</v>
      </c>
      <c r="B174" s="2" t="s">
        <v>1499</v>
      </c>
      <c r="C174" s="2" t="s">
        <v>1347</v>
      </c>
      <c r="D174" s="2" t="s">
        <v>1500</v>
      </c>
      <c r="E174" s="2" t="s">
        <v>1349</v>
      </c>
      <c r="F174" s="2" t="s">
        <v>1350</v>
      </c>
      <c r="G174" s="2" t="s">
        <v>671</v>
      </c>
      <c r="H174" s="2" t="s">
        <v>301</v>
      </c>
      <c r="I174" s="2" t="s">
        <v>401</v>
      </c>
      <c r="J174" s="2" t="s">
        <v>302</v>
      </c>
      <c r="K174" s="2" t="s">
        <v>303</v>
      </c>
      <c r="L174" s="2" t="s">
        <v>248</v>
      </c>
      <c r="M174" s="2">
        <v>69.2</v>
      </c>
      <c r="N174" s="2">
        <v>2.0</v>
      </c>
      <c r="O174" s="2" t="s">
        <v>1501</v>
      </c>
      <c r="P174" s="2" t="s">
        <v>32</v>
      </c>
      <c r="Q174" s="2" t="s">
        <v>66</v>
      </c>
      <c r="R174" s="2" t="s">
        <v>169</v>
      </c>
    </row>
    <row r="175" ht="15.75" customHeight="1">
      <c r="A175" s="2" t="s">
        <v>1502</v>
      </c>
      <c r="B175" s="2" t="s">
        <v>1503</v>
      </c>
      <c r="C175" s="2" t="s">
        <v>123</v>
      </c>
      <c r="D175" s="2" t="s">
        <v>124</v>
      </c>
      <c r="E175" s="2" t="s">
        <v>125</v>
      </c>
      <c r="G175" s="2" t="s">
        <v>88</v>
      </c>
      <c r="H175" s="2" t="s">
        <v>931</v>
      </c>
      <c r="I175" s="2" t="s">
        <v>401</v>
      </c>
      <c r="J175" s="2" t="s">
        <v>1137</v>
      </c>
      <c r="K175" s="2" t="s">
        <v>1138</v>
      </c>
      <c r="L175" s="2" t="s">
        <v>30</v>
      </c>
      <c r="M175" s="2">
        <v>510.83</v>
      </c>
      <c r="N175" s="2">
        <v>2.0</v>
      </c>
      <c r="O175" s="2" t="s">
        <v>1504</v>
      </c>
      <c r="P175" s="2" t="s">
        <v>48</v>
      </c>
      <c r="Q175" s="2" t="s">
        <v>96</v>
      </c>
      <c r="R175" s="2" t="s">
        <v>132</v>
      </c>
      <c r="S175" s="2" t="s">
        <v>67</v>
      </c>
    </row>
    <row r="176" ht="15.75" customHeight="1">
      <c r="A176" s="2" t="s">
        <v>1505</v>
      </c>
      <c r="B176" s="2" t="s">
        <v>1506</v>
      </c>
      <c r="C176" s="2" t="s">
        <v>1507</v>
      </c>
      <c r="D176" s="2" t="s">
        <v>1508</v>
      </c>
      <c r="E176" s="2" t="s">
        <v>1509</v>
      </c>
      <c r="F176" s="2" t="s">
        <v>1510</v>
      </c>
      <c r="G176" s="2" t="s">
        <v>58</v>
      </c>
      <c r="H176" s="2" t="s">
        <v>1511</v>
      </c>
      <c r="I176" s="2" t="s">
        <v>312</v>
      </c>
      <c r="J176" s="2" t="s">
        <v>61</v>
      </c>
      <c r="K176" s="2" t="s">
        <v>62</v>
      </c>
      <c r="L176" s="2" t="s">
        <v>63</v>
      </c>
      <c r="N176" s="2">
        <v>2.0</v>
      </c>
      <c r="O176" s="2" t="s">
        <v>1512</v>
      </c>
      <c r="P176" s="2" t="s">
        <v>65</v>
      </c>
      <c r="Q176" s="2" t="s">
        <v>664</v>
      </c>
      <c r="R176" s="2" t="s">
        <v>818</v>
      </c>
    </row>
    <row r="177" ht="15.75" customHeight="1">
      <c r="A177" s="2" t="s">
        <v>1513</v>
      </c>
      <c r="B177" s="2" t="s">
        <v>1514</v>
      </c>
      <c r="C177" s="2" t="s">
        <v>961</v>
      </c>
      <c r="D177" s="2" t="s">
        <v>962</v>
      </c>
      <c r="E177" s="2" t="s">
        <v>963</v>
      </c>
      <c r="F177" s="2" t="s">
        <v>964</v>
      </c>
      <c r="G177" s="2" t="s">
        <v>139</v>
      </c>
      <c r="H177" s="2" t="s">
        <v>323</v>
      </c>
      <c r="I177" s="2" t="s">
        <v>75</v>
      </c>
      <c r="J177" s="2" t="s">
        <v>1460</v>
      </c>
      <c r="K177" s="2" t="s">
        <v>1461</v>
      </c>
      <c r="L177" s="2" t="s">
        <v>368</v>
      </c>
      <c r="M177" s="2">
        <v>1153.52</v>
      </c>
      <c r="N177" s="2">
        <v>1.0</v>
      </c>
      <c r="O177" s="2" t="s">
        <v>1515</v>
      </c>
      <c r="P177" s="2" t="s">
        <v>32</v>
      </c>
      <c r="Q177" s="2" t="s">
        <v>1497</v>
      </c>
      <c r="R177" s="2" t="s">
        <v>345</v>
      </c>
      <c r="S177" s="2" t="s">
        <v>81</v>
      </c>
    </row>
    <row r="178" ht="15.75" customHeight="1">
      <c r="A178" s="2" t="s">
        <v>1516</v>
      </c>
      <c r="B178" s="2" t="s">
        <v>1517</v>
      </c>
      <c r="C178" s="2" t="s">
        <v>1518</v>
      </c>
      <c r="D178" s="2" t="s">
        <v>1519</v>
      </c>
      <c r="E178" s="2" t="s">
        <v>1520</v>
      </c>
      <c r="F178" s="2" t="s">
        <v>1521</v>
      </c>
      <c r="G178" s="2" t="s">
        <v>58</v>
      </c>
      <c r="H178" s="2" t="s">
        <v>683</v>
      </c>
      <c r="I178" s="2" t="s">
        <v>480</v>
      </c>
      <c r="J178" s="2" t="s">
        <v>1522</v>
      </c>
      <c r="K178" s="2" t="s">
        <v>1272</v>
      </c>
      <c r="L178" s="2" t="s">
        <v>995</v>
      </c>
      <c r="M178" s="2">
        <v>1088.78</v>
      </c>
      <c r="N178" s="2">
        <v>5.0</v>
      </c>
      <c r="O178" s="2" t="s">
        <v>1523</v>
      </c>
      <c r="P178" s="2" t="s">
        <v>48</v>
      </c>
      <c r="Q178" s="2" t="s">
        <v>204</v>
      </c>
      <c r="R178" s="2" t="s">
        <v>158</v>
      </c>
    </row>
    <row r="179" ht="15.75" customHeight="1">
      <c r="A179" s="2" t="s">
        <v>1524</v>
      </c>
      <c r="B179" s="2" t="s">
        <v>1525</v>
      </c>
      <c r="C179" s="2" t="s">
        <v>1250</v>
      </c>
      <c r="D179" s="2" t="s">
        <v>1251</v>
      </c>
      <c r="E179" s="2" t="s">
        <v>1252</v>
      </c>
      <c r="F179" s="2" t="s">
        <v>1253</v>
      </c>
      <c r="G179" s="2" t="s">
        <v>88</v>
      </c>
      <c r="H179" s="2" t="s">
        <v>59</v>
      </c>
      <c r="I179" s="2" t="s">
        <v>333</v>
      </c>
      <c r="J179" s="2" t="s">
        <v>756</v>
      </c>
      <c r="K179" s="2" t="s">
        <v>757</v>
      </c>
      <c r="L179" s="2" t="s">
        <v>30</v>
      </c>
      <c r="M179" s="2">
        <v>1508.15</v>
      </c>
      <c r="N179" s="2">
        <v>1.0</v>
      </c>
      <c r="O179" s="2" t="s">
        <v>1526</v>
      </c>
      <c r="P179" s="2" t="s">
        <v>95</v>
      </c>
      <c r="Q179" s="2" t="s">
        <v>143</v>
      </c>
      <c r="R179" s="2" t="s">
        <v>144</v>
      </c>
    </row>
    <row r="180" ht="15.75" customHeight="1">
      <c r="A180" s="2" t="s">
        <v>1527</v>
      </c>
      <c r="B180" s="2" t="s">
        <v>1528</v>
      </c>
      <c r="C180" s="2" t="s">
        <v>953</v>
      </c>
      <c r="D180" s="2" t="s">
        <v>954</v>
      </c>
      <c r="E180" s="2" t="s">
        <v>955</v>
      </c>
      <c r="F180" s="2" t="s">
        <v>956</v>
      </c>
      <c r="G180" s="2" t="s">
        <v>399</v>
      </c>
      <c r="H180" s="2" t="s">
        <v>26</v>
      </c>
      <c r="I180" s="2" t="s">
        <v>352</v>
      </c>
      <c r="J180" s="2" t="s">
        <v>1529</v>
      </c>
      <c r="K180" s="2" t="s">
        <v>1530</v>
      </c>
      <c r="L180" s="2" t="s">
        <v>368</v>
      </c>
      <c r="M180" s="2">
        <v>1609.3</v>
      </c>
      <c r="O180" s="2" t="s">
        <v>1531</v>
      </c>
      <c r="P180" s="2" t="s">
        <v>65</v>
      </c>
      <c r="Q180" s="2" t="s">
        <v>181</v>
      </c>
      <c r="R180" s="2" t="s">
        <v>132</v>
      </c>
    </row>
    <row r="181" ht="15.75" customHeight="1">
      <c r="A181" s="2" t="s">
        <v>1532</v>
      </c>
      <c r="B181" s="2" t="s">
        <v>1533</v>
      </c>
      <c r="C181" s="2" t="s">
        <v>1534</v>
      </c>
      <c r="D181" s="2" t="s">
        <v>1535</v>
      </c>
      <c r="E181" s="2" t="s">
        <v>1536</v>
      </c>
      <c r="F181" s="2" t="s">
        <v>1537</v>
      </c>
      <c r="G181" s="2" t="s">
        <v>671</v>
      </c>
      <c r="H181" s="2" t="s">
        <v>74</v>
      </c>
      <c r="I181" s="2" t="s">
        <v>176</v>
      </c>
      <c r="J181" s="2" t="s">
        <v>334</v>
      </c>
      <c r="K181" s="2" t="s">
        <v>335</v>
      </c>
      <c r="L181" s="2" t="s">
        <v>248</v>
      </c>
      <c r="M181" s="2">
        <v>204.31</v>
      </c>
      <c r="N181" s="2">
        <v>1.0</v>
      </c>
      <c r="O181" s="2" t="s">
        <v>1538</v>
      </c>
      <c r="P181" s="2" t="s">
        <v>32</v>
      </c>
      <c r="Q181" s="2" t="s">
        <v>1539</v>
      </c>
      <c r="R181" s="2" t="s">
        <v>158</v>
      </c>
      <c r="S181" s="2" t="s">
        <v>51</v>
      </c>
    </row>
    <row r="182" ht="15.75" customHeight="1">
      <c r="A182" s="2" t="s">
        <v>1540</v>
      </c>
      <c r="B182" s="2" t="s">
        <v>1541</v>
      </c>
      <c r="C182" s="2" t="s">
        <v>1542</v>
      </c>
      <c r="D182" s="2" t="s">
        <v>1543</v>
      </c>
      <c r="E182" s="2" t="s">
        <v>1544</v>
      </c>
      <c r="F182" s="2" t="s">
        <v>1545</v>
      </c>
      <c r="G182" s="2" t="s">
        <v>671</v>
      </c>
      <c r="H182" s="2" t="s">
        <v>26</v>
      </c>
      <c r="I182" s="2" t="s">
        <v>312</v>
      </c>
      <c r="J182" s="2" t="s">
        <v>581</v>
      </c>
      <c r="K182" s="2" t="s">
        <v>326</v>
      </c>
      <c r="L182" s="2" t="s">
        <v>582</v>
      </c>
      <c r="M182" s="2">
        <v>592.75</v>
      </c>
      <c r="N182" s="2">
        <v>1.0</v>
      </c>
      <c r="O182" s="2" t="s">
        <v>1546</v>
      </c>
      <c r="P182" s="2" t="s">
        <v>32</v>
      </c>
      <c r="Q182" s="2" t="s">
        <v>49</v>
      </c>
      <c r="R182" s="2" t="s">
        <v>1547</v>
      </c>
      <c r="S182" s="2" t="s">
        <v>133</v>
      </c>
    </row>
    <row r="183" ht="15.75" customHeight="1">
      <c r="A183" s="2" t="s">
        <v>1548</v>
      </c>
      <c r="B183" s="2" t="s">
        <v>1549</v>
      </c>
      <c r="C183" s="2" t="s">
        <v>1550</v>
      </c>
      <c r="D183" s="2" t="s">
        <v>1551</v>
      </c>
      <c r="E183" s="2" t="s">
        <v>1552</v>
      </c>
      <c r="F183" s="2" t="s">
        <v>1553</v>
      </c>
      <c r="G183" s="2" t="s">
        <v>1078</v>
      </c>
      <c r="H183" s="2" t="s">
        <v>323</v>
      </c>
      <c r="I183" s="2" t="s">
        <v>352</v>
      </c>
      <c r="J183" s="2" t="s">
        <v>258</v>
      </c>
      <c r="K183" s="2" t="s">
        <v>259</v>
      </c>
      <c r="L183" s="2" t="s">
        <v>214</v>
      </c>
      <c r="N183" s="2">
        <v>1.0</v>
      </c>
      <c r="O183" s="2" t="s">
        <v>1554</v>
      </c>
      <c r="P183" s="2" t="s">
        <v>612</v>
      </c>
      <c r="Q183" s="2" t="s">
        <v>66</v>
      </c>
      <c r="R183" s="2" t="s">
        <v>306</v>
      </c>
      <c r="S183" s="2" t="s">
        <v>67</v>
      </c>
    </row>
    <row r="184" ht="15.75" customHeight="1">
      <c r="A184" s="2" t="s">
        <v>1555</v>
      </c>
      <c r="B184" s="2" t="s">
        <v>1556</v>
      </c>
      <c r="C184" s="2" t="s">
        <v>1557</v>
      </c>
      <c r="D184" s="2" t="s">
        <v>1558</v>
      </c>
      <c r="E184" s="2" t="s">
        <v>1559</v>
      </c>
      <c r="F184" s="2" t="s">
        <v>1560</v>
      </c>
      <c r="G184" s="2" t="s">
        <v>114</v>
      </c>
      <c r="H184" s="2" t="s">
        <v>42</v>
      </c>
      <c r="I184" s="2" t="s">
        <v>870</v>
      </c>
      <c r="J184" s="2" t="s">
        <v>904</v>
      </c>
      <c r="K184" s="2" t="s">
        <v>905</v>
      </c>
      <c r="L184" s="2" t="s">
        <v>167</v>
      </c>
      <c r="N184" s="2">
        <v>5.0</v>
      </c>
      <c r="O184" s="2" t="s">
        <v>1561</v>
      </c>
      <c r="P184" s="2" t="s">
        <v>32</v>
      </c>
      <c r="Q184" s="2" t="s">
        <v>505</v>
      </c>
      <c r="R184" s="2" t="s">
        <v>1562</v>
      </c>
      <c r="S184" s="2" t="s">
        <v>67</v>
      </c>
    </row>
    <row r="185" ht="15.75" customHeight="1">
      <c r="A185" s="2" t="s">
        <v>1563</v>
      </c>
      <c r="B185" s="2" t="s">
        <v>1564</v>
      </c>
      <c r="C185" s="2" t="s">
        <v>1565</v>
      </c>
      <c r="D185" s="2" t="s">
        <v>1029</v>
      </c>
      <c r="E185" s="2" t="s">
        <v>1566</v>
      </c>
      <c r="F185" s="2" t="s">
        <v>1567</v>
      </c>
      <c r="G185" s="2" t="s">
        <v>139</v>
      </c>
      <c r="H185" s="2" t="s">
        <v>223</v>
      </c>
      <c r="I185" s="2" t="s">
        <v>176</v>
      </c>
      <c r="J185" s="2" t="s">
        <v>366</v>
      </c>
      <c r="K185" s="2" t="s">
        <v>367</v>
      </c>
      <c r="L185" s="2" t="s">
        <v>368</v>
      </c>
      <c r="M185" s="2">
        <v>82.93</v>
      </c>
      <c r="N185" s="2">
        <v>2.0</v>
      </c>
      <c r="O185" s="2" t="s">
        <v>1568</v>
      </c>
      <c r="P185" s="2" t="s">
        <v>32</v>
      </c>
      <c r="Q185" s="2" t="s">
        <v>49</v>
      </c>
      <c r="R185" s="2" t="s">
        <v>294</v>
      </c>
    </row>
    <row r="186" ht="15.75" customHeight="1">
      <c r="A186" s="2" t="s">
        <v>1569</v>
      </c>
      <c r="B186" s="2" t="s">
        <v>1570</v>
      </c>
      <c r="C186" s="2" t="s">
        <v>1571</v>
      </c>
      <c r="D186" s="2" t="s">
        <v>1572</v>
      </c>
      <c r="E186" s="2" t="s">
        <v>1573</v>
      </c>
      <c r="F186" s="2" t="s">
        <v>1574</v>
      </c>
      <c r="G186" s="2" t="s">
        <v>114</v>
      </c>
      <c r="H186" s="2" t="s">
        <v>323</v>
      </c>
      <c r="I186" s="2" t="s">
        <v>312</v>
      </c>
      <c r="J186" s="2" t="s">
        <v>1575</v>
      </c>
      <c r="K186" s="2" t="s">
        <v>1576</v>
      </c>
      <c r="L186" s="2" t="s">
        <v>1577</v>
      </c>
      <c r="M186" s="2">
        <v>1029.06</v>
      </c>
      <c r="N186" s="2">
        <v>1.0</v>
      </c>
      <c r="O186" s="2" t="s">
        <v>1578</v>
      </c>
      <c r="P186" s="2" t="s">
        <v>32</v>
      </c>
      <c r="Q186" s="2" t="s">
        <v>414</v>
      </c>
      <c r="R186" s="2" t="s">
        <v>294</v>
      </c>
      <c r="S186" s="2" t="s">
        <v>51</v>
      </c>
    </row>
    <row r="187" ht="15.75" customHeight="1">
      <c r="A187" s="2" t="s">
        <v>1579</v>
      </c>
      <c r="B187" s="2" t="s">
        <v>1580</v>
      </c>
      <c r="C187" s="2" t="s">
        <v>1581</v>
      </c>
      <c r="D187" s="2" t="s">
        <v>1582</v>
      </c>
      <c r="E187" s="2" t="s">
        <v>1583</v>
      </c>
      <c r="F187" s="2" t="s">
        <v>1584</v>
      </c>
      <c r="G187" s="2" t="s">
        <v>992</v>
      </c>
      <c r="H187" s="2" t="s">
        <v>1585</v>
      </c>
      <c r="I187" s="2" t="s">
        <v>401</v>
      </c>
      <c r="J187" s="2" t="s">
        <v>61</v>
      </c>
      <c r="K187" s="2" t="s">
        <v>62</v>
      </c>
      <c r="L187" s="2" t="s">
        <v>63</v>
      </c>
      <c r="N187" s="2">
        <v>5.0</v>
      </c>
      <c r="O187" s="2" t="s">
        <v>1586</v>
      </c>
      <c r="P187" s="2" t="s">
        <v>48</v>
      </c>
      <c r="Q187" s="2" t="s">
        <v>143</v>
      </c>
      <c r="R187" s="2" t="s">
        <v>144</v>
      </c>
      <c r="S187" s="2" t="s">
        <v>133</v>
      </c>
    </row>
    <row r="188" ht="15.75" customHeight="1">
      <c r="A188" s="2" t="s">
        <v>1587</v>
      </c>
      <c r="B188" s="2" t="s">
        <v>1588</v>
      </c>
      <c r="C188" s="2" t="s">
        <v>1589</v>
      </c>
      <c r="D188" s="2" t="s">
        <v>1590</v>
      </c>
      <c r="E188" s="2" t="s">
        <v>1591</v>
      </c>
      <c r="F188" s="2" t="s">
        <v>1592</v>
      </c>
      <c r="G188" s="2" t="s">
        <v>58</v>
      </c>
      <c r="H188" s="2" t="s">
        <v>26</v>
      </c>
      <c r="I188" s="2" t="s">
        <v>176</v>
      </c>
      <c r="J188" s="2" t="s">
        <v>692</v>
      </c>
      <c r="K188" s="2" t="s">
        <v>693</v>
      </c>
      <c r="L188" s="2" t="s">
        <v>368</v>
      </c>
      <c r="M188" s="2">
        <v>1551.2</v>
      </c>
      <c r="N188" s="2">
        <v>1.0</v>
      </c>
      <c r="O188" s="2" t="s">
        <v>1593</v>
      </c>
      <c r="P188" s="2" t="s">
        <v>48</v>
      </c>
      <c r="Q188" s="2" t="s">
        <v>1594</v>
      </c>
      <c r="R188" s="2" t="s">
        <v>393</v>
      </c>
      <c r="S188" s="2" t="s">
        <v>67</v>
      </c>
    </row>
    <row r="189" ht="15.75" customHeight="1">
      <c r="A189" s="2" t="s">
        <v>1595</v>
      </c>
      <c r="B189" s="2" t="s">
        <v>1596</v>
      </c>
      <c r="C189" s="2" t="s">
        <v>594</v>
      </c>
      <c r="D189" s="2" t="s">
        <v>595</v>
      </c>
      <c r="E189" s="2" t="s">
        <v>596</v>
      </c>
      <c r="F189" s="2" t="s">
        <v>597</v>
      </c>
      <c r="G189" s="2" t="s">
        <v>139</v>
      </c>
      <c r="H189" s="2" t="s">
        <v>42</v>
      </c>
      <c r="I189" s="2" t="s">
        <v>312</v>
      </c>
      <c r="J189" s="2" t="s">
        <v>1597</v>
      </c>
      <c r="K189" s="2" t="s">
        <v>502</v>
      </c>
      <c r="L189" s="2" t="s">
        <v>355</v>
      </c>
      <c r="M189" s="2">
        <v>498.34</v>
      </c>
      <c r="N189" s="2">
        <v>3.0</v>
      </c>
      <c r="O189" s="2" t="s">
        <v>1598</v>
      </c>
      <c r="P189" s="2" t="s">
        <v>95</v>
      </c>
      <c r="Q189" s="2" t="s">
        <v>49</v>
      </c>
      <c r="R189" s="2" t="s">
        <v>380</v>
      </c>
    </row>
    <row r="190" ht="15.75" customHeight="1">
      <c r="A190" s="2" t="s">
        <v>1599</v>
      </c>
      <c r="B190" s="2" t="s">
        <v>1600</v>
      </c>
      <c r="C190" s="2" t="s">
        <v>1601</v>
      </c>
      <c r="D190" s="2" t="s">
        <v>1602</v>
      </c>
      <c r="E190" s="2" t="s">
        <v>1603</v>
      </c>
      <c r="F190" s="2" t="s">
        <v>1604</v>
      </c>
      <c r="G190" s="2" t="s">
        <v>1605</v>
      </c>
      <c r="H190" s="2" t="s">
        <v>223</v>
      </c>
      <c r="I190" s="2" t="s">
        <v>103</v>
      </c>
      <c r="J190" s="2" t="s">
        <v>1606</v>
      </c>
      <c r="K190" s="2" t="s">
        <v>213</v>
      </c>
      <c r="L190" s="2" t="s">
        <v>106</v>
      </c>
      <c r="N190" s="2">
        <v>1.0</v>
      </c>
      <c r="O190" s="2" t="s">
        <v>1607</v>
      </c>
      <c r="P190" s="2" t="s">
        <v>65</v>
      </c>
      <c r="Q190" s="2" t="s">
        <v>181</v>
      </c>
      <c r="R190" s="2" t="s">
        <v>132</v>
      </c>
    </row>
    <row r="191" ht="15.75" customHeight="1">
      <c r="A191" s="2" t="s">
        <v>1608</v>
      </c>
      <c r="B191" s="2" t="s">
        <v>1609</v>
      </c>
      <c r="C191" s="2" t="s">
        <v>1610</v>
      </c>
      <c r="D191" s="2" t="s">
        <v>1611</v>
      </c>
      <c r="E191" s="2" t="s">
        <v>1612</v>
      </c>
      <c r="F191" s="2" t="s">
        <v>1613</v>
      </c>
      <c r="G191" s="2" t="s">
        <v>139</v>
      </c>
      <c r="H191" s="2" t="s">
        <v>42</v>
      </c>
      <c r="I191" s="2" t="s">
        <v>522</v>
      </c>
      <c r="J191" s="2" t="s">
        <v>1236</v>
      </c>
      <c r="K191" s="2" t="s">
        <v>1237</v>
      </c>
      <c r="L191" s="2" t="s">
        <v>637</v>
      </c>
      <c r="M191" s="2">
        <v>520.15</v>
      </c>
      <c r="N191" s="2">
        <v>2.0</v>
      </c>
      <c r="O191" s="2" t="s">
        <v>1614</v>
      </c>
      <c r="P191" s="2" t="s">
        <v>32</v>
      </c>
      <c r="Q191" s="2" t="s">
        <v>573</v>
      </c>
      <c r="R191" s="2" t="s">
        <v>442</v>
      </c>
      <c r="S191" s="2" t="s">
        <v>133</v>
      </c>
    </row>
    <row r="192" ht="15.75" customHeight="1">
      <c r="A192" s="2" t="s">
        <v>1615</v>
      </c>
      <c r="B192" s="2" t="s">
        <v>1616</v>
      </c>
      <c r="C192" s="2" t="s">
        <v>161</v>
      </c>
      <c r="D192" s="2" t="s">
        <v>879</v>
      </c>
      <c r="E192" s="2" t="s">
        <v>163</v>
      </c>
      <c r="F192" s="2" t="s">
        <v>164</v>
      </c>
      <c r="G192" s="2" t="s">
        <v>165</v>
      </c>
      <c r="H192" s="2" t="s">
        <v>778</v>
      </c>
      <c r="I192" s="2" t="s">
        <v>401</v>
      </c>
      <c r="J192" s="2" t="s">
        <v>1495</v>
      </c>
      <c r="K192" s="2" t="s">
        <v>1138</v>
      </c>
      <c r="L192" s="2" t="s">
        <v>248</v>
      </c>
      <c r="M192" s="2">
        <v>1046.74</v>
      </c>
      <c r="N192" s="2">
        <v>5.0</v>
      </c>
      <c r="O192" s="2" t="s">
        <v>1617</v>
      </c>
      <c r="P192" s="2" t="s">
        <v>48</v>
      </c>
      <c r="Q192" s="2" t="s">
        <v>33</v>
      </c>
      <c r="R192" s="2" t="s">
        <v>306</v>
      </c>
      <c r="S192" s="2" t="s">
        <v>81</v>
      </c>
    </row>
    <row r="193" ht="15.75" customHeight="1">
      <c r="A193" s="2" t="s">
        <v>1618</v>
      </c>
      <c r="B193" s="2" t="s">
        <v>1619</v>
      </c>
      <c r="C193" s="2" t="s">
        <v>1620</v>
      </c>
      <c r="D193" s="2" t="s">
        <v>1621</v>
      </c>
      <c r="E193" s="2" t="s">
        <v>1622</v>
      </c>
      <c r="F193" s="2" t="s">
        <v>1623</v>
      </c>
      <c r="G193" s="2" t="s">
        <v>151</v>
      </c>
      <c r="H193" s="2" t="s">
        <v>1624</v>
      </c>
      <c r="I193" s="2" t="s">
        <v>103</v>
      </c>
      <c r="J193" s="2" t="s">
        <v>200</v>
      </c>
      <c r="K193" s="2" t="s">
        <v>201</v>
      </c>
      <c r="L193" s="2" t="s">
        <v>202</v>
      </c>
      <c r="M193" s="2">
        <v>1638.75</v>
      </c>
      <c r="N193" s="2">
        <v>2.0</v>
      </c>
      <c r="O193" s="2" t="s">
        <v>1625</v>
      </c>
      <c r="P193" s="2" t="s">
        <v>32</v>
      </c>
      <c r="Q193" s="2" t="s">
        <v>143</v>
      </c>
      <c r="R193" s="2" t="s">
        <v>80</v>
      </c>
      <c r="S193" s="2" t="s">
        <v>67</v>
      </c>
    </row>
    <row r="194" ht="15.75" customHeight="1">
      <c r="A194" s="2" t="s">
        <v>1626</v>
      </c>
      <c r="B194" s="2" t="s">
        <v>1627</v>
      </c>
      <c r="C194" s="2" t="s">
        <v>847</v>
      </c>
      <c r="D194" s="2" t="s">
        <v>848</v>
      </c>
      <c r="E194" s="2" t="s">
        <v>849</v>
      </c>
      <c r="F194" s="2" t="s">
        <v>850</v>
      </c>
      <c r="G194" s="2" t="s">
        <v>608</v>
      </c>
      <c r="H194" s="2" t="s">
        <v>42</v>
      </c>
      <c r="I194" s="2" t="s">
        <v>103</v>
      </c>
      <c r="J194" s="2" t="s">
        <v>599</v>
      </c>
      <c r="K194" s="2" t="s">
        <v>600</v>
      </c>
      <c r="L194" s="2" t="s">
        <v>167</v>
      </c>
      <c r="N194" s="2">
        <v>3.0</v>
      </c>
      <c r="O194" s="2" t="s">
        <v>1628</v>
      </c>
      <c r="P194" s="2" t="s">
        <v>95</v>
      </c>
      <c r="Q194" s="2" t="s">
        <v>143</v>
      </c>
      <c r="R194" s="2" t="s">
        <v>527</v>
      </c>
      <c r="S194" s="2" t="s">
        <v>133</v>
      </c>
    </row>
    <row r="195" ht="15.75" customHeight="1">
      <c r="A195" s="2" t="s">
        <v>1629</v>
      </c>
      <c r="B195" s="2" t="s">
        <v>1630</v>
      </c>
      <c r="C195" s="2" t="s">
        <v>21</v>
      </c>
      <c r="D195" s="2" t="s">
        <v>22</v>
      </c>
      <c r="E195" s="2" t="s">
        <v>23</v>
      </c>
      <c r="F195" s="2" t="s">
        <v>24</v>
      </c>
      <c r="G195" s="2" t="s">
        <v>25</v>
      </c>
      <c r="H195" s="2" t="s">
        <v>42</v>
      </c>
      <c r="I195" s="2" t="s">
        <v>1631</v>
      </c>
      <c r="J195" s="2" t="s">
        <v>1632</v>
      </c>
      <c r="K195" s="2" t="s">
        <v>1633</v>
      </c>
      <c r="L195" s="2" t="s">
        <v>742</v>
      </c>
      <c r="M195" s="2">
        <v>521.84</v>
      </c>
      <c r="N195" s="2">
        <v>2.0</v>
      </c>
      <c r="O195" s="2" t="s">
        <v>1634</v>
      </c>
      <c r="P195" s="2" t="s">
        <v>1635</v>
      </c>
      <c r="Q195" s="2" t="s">
        <v>526</v>
      </c>
      <c r="R195" s="2" t="s">
        <v>251</v>
      </c>
    </row>
    <row r="196" ht="15.75" customHeight="1">
      <c r="A196" s="2" t="s">
        <v>1636</v>
      </c>
      <c r="B196" s="2" t="s">
        <v>1637</v>
      </c>
      <c r="C196" s="2" t="s">
        <v>1638</v>
      </c>
      <c r="D196" s="2" t="s">
        <v>954</v>
      </c>
      <c r="E196" s="2" t="s">
        <v>1639</v>
      </c>
      <c r="F196" s="2" t="s">
        <v>1640</v>
      </c>
      <c r="G196" s="2" t="s">
        <v>151</v>
      </c>
      <c r="H196" s="2" t="s">
        <v>210</v>
      </c>
      <c r="I196" s="2" t="s">
        <v>480</v>
      </c>
      <c r="J196" s="2" t="s">
        <v>1641</v>
      </c>
      <c r="K196" s="2" t="s">
        <v>825</v>
      </c>
      <c r="L196" s="2" t="s">
        <v>179</v>
      </c>
      <c r="M196" s="2">
        <v>1558.71</v>
      </c>
      <c r="N196" s="2">
        <v>3.0</v>
      </c>
      <c r="O196" s="2" t="s">
        <v>1642</v>
      </c>
      <c r="P196" s="2" t="s">
        <v>65</v>
      </c>
      <c r="Q196" s="2" t="s">
        <v>49</v>
      </c>
      <c r="R196" s="2" t="s">
        <v>442</v>
      </c>
      <c r="S196" s="2" t="s">
        <v>51</v>
      </c>
    </row>
    <row r="197" ht="15.75" customHeight="1">
      <c r="A197" s="2" t="s">
        <v>1643</v>
      </c>
      <c r="B197" s="2" t="s">
        <v>1644</v>
      </c>
      <c r="C197" s="2" t="s">
        <v>1645</v>
      </c>
      <c r="D197" s="2" t="s">
        <v>1646</v>
      </c>
      <c r="E197" s="2" t="s">
        <v>1647</v>
      </c>
      <c r="F197" s="2" t="s">
        <v>1648</v>
      </c>
      <c r="G197" s="2" t="s">
        <v>73</v>
      </c>
      <c r="H197" s="2" t="s">
        <v>42</v>
      </c>
      <c r="I197" s="2" t="s">
        <v>103</v>
      </c>
      <c r="J197" s="2" t="s">
        <v>1114</v>
      </c>
      <c r="K197" s="2" t="s">
        <v>1115</v>
      </c>
      <c r="L197" s="2" t="s">
        <v>248</v>
      </c>
      <c r="M197" s="2">
        <v>209.04</v>
      </c>
      <c r="N197" s="2">
        <v>1.0</v>
      </c>
      <c r="O197" s="2" t="s">
        <v>1649</v>
      </c>
      <c r="P197" s="2" t="s">
        <v>65</v>
      </c>
      <c r="Q197" s="2" t="s">
        <v>33</v>
      </c>
      <c r="R197" s="2" t="s">
        <v>1650</v>
      </c>
      <c r="S197" s="2" t="s">
        <v>67</v>
      </c>
    </row>
    <row r="198" ht="15.75" customHeight="1">
      <c r="A198" s="2" t="s">
        <v>1651</v>
      </c>
      <c r="B198" s="2" t="s">
        <v>1652</v>
      </c>
      <c r="C198" s="2" t="s">
        <v>1653</v>
      </c>
      <c r="D198" s="2" t="s">
        <v>625</v>
      </c>
      <c r="E198" s="2" t="s">
        <v>1654</v>
      </c>
      <c r="F198" s="2" t="s">
        <v>1655</v>
      </c>
      <c r="G198" s="2" t="s">
        <v>801</v>
      </c>
      <c r="H198" s="2" t="s">
        <v>234</v>
      </c>
      <c r="I198" s="2" t="s">
        <v>1245</v>
      </c>
      <c r="J198" s="2" t="s">
        <v>1432</v>
      </c>
      <c r="K198" s="2" t="s">
        <v>994</v>
      </c>
      <c r="L198" s="2" t="s">
        <v>1328</v>
      </c>
      <c r="N198" s="2">
        <v>2.0</v>
      </c>
      <c r="O198" s="2" t="s">
        <v>1656</v>
      </c>
      <c r="P198" s="2" t="s">
        <v>32</v>
      </c>
      <c r="Q198" s="2" t="s">
        <v>414</v>
      </c>
      <c r="R198" s="2" t="s">
        <v>1171</v>
      </c>
      <c r="S198" s="2" t="s">
        <v>67</v>
      </c>
    </row>
    <row r="199" ht="15.75" customHeight="1">
      <c r="A199" s="2" t="s">
        <v>1657</v>
      </c>
      <c r="B199" s="2" t="s">
        <v>1658</v>
      </c>
      <c r="C199" s="2" t="s">
        <v>1659</v>
      </c>
      <c r="D199" s="2" t="s">
        <v>1660</v>
      </c>
      <c r="E199" s="2" t="s">
        <v>1661</v>
      </c>
      <c r="F199" s="2" t="s">
        <v>1662</v>
      </c>
      <c r="G199" s="2" t="s">
        <v>114</v>
      </c>
      <c r="H199" s="2" t="s">
        <v>460</v>
      </c>
      <c r="I199" s="2" t="s">
        <v>312</v>
      </c>
      <c r="J199" s="2" t="s">
        <v>976</v>
      </c>
      <c r="K199" s="2" t="s">
        <v>335</v>
      </c>
      <c r="L199" s="2" t="s">
        <v>214</v>
      </c>
      <c r="N199" s="2">
        <v>3.0</v>
      </c>
      <c r="O199" s="2" t="s">
        <v>1663</v>
      </c>
      <c r="P199" s="2" t="s">
        <v>65</v>
      </c>
      <c r="Q199" s="2" t="s">
        <v>573</v>
      </c>
      <c r="R199" s="2" t="s">
        <v>432</v>
      </c>
    </row>
    <row r="200" ht="15.75" customHeight="1">
      <c r="A200" s="2" t="s">
        <v>1664</v>
      </c>
      <c r="B200" s="2" t="s">
        <v>1665</v>
      </c>
      <c r="C200" s="2" t="s">
        <v>1666</v>
      </c>
      <c r="D200" s="2" t="s">
        <v>1667</v>
      </c>
      <c r="E200" s="2" t="s">
        <v>1668</v>
      </c>
      <c r="G200" s="2" t="s">
        <v>114</v>
      </c>
      <c r="H200" s="2" t="s">
        <v>26</v>
      </c>
      <c r="I200" s="2" t="s">
        <v>43</v>
      </c>
      <c r="J200" s="2" t="s">
        <v>1168</v>
      </c>
      <c r="K200" s="2" t="s">
        <v>1169</v>
      </c>
      <c r="L200" s="2" t="s">
        <v>63</v>
      </c>
      <c r="M200" s="2">
        <v>1161.01</v>
      </c>
      <c r="N200" s="2">
        <v>2.0</v>
      </c>
      <c r="O200" s="2" t="s">
        <v>1669</v>
      </c>
      <c r="P200" s="2" t="s">
        <v>32</v>
      </c>
      <c r="Q200" s="2" t="s">
        <v>370</v>
      </c>
      <c r="R200" s="2" t="s">
        <v>1670</v>
      </c>
      <c r="S200" s="2" t="s">
        <v>133</v>
      </c>
    </row>
    <row r="201" ht="15.75" customHeight="1">
      <c r="A201" s="2" t="s">
        <v>1671</v>
      </c>
      <c r="B201" s="2" t="s">
        <v>1672</v>
      </c>
      <c r="C201" s="2" t="s">
        <v>1673</v>
      </c>
      <c r="D201" s="2" t="s">
        <v>1324</v>
      </c>
      <c r="E201" s="2" t="s">
        <v>1674</v>
      </c>
      <c r="F201" s="2" t="s">
        <v>1675</v>
      </c>
      <c r="G201" s="2" t="s">
        <v>608</v>
      </c>
      <c r="H201" s="2" t="s">
        <v>223</v>
      </c>
      <c r="I201" s="2" t="s">
        <v>60</v>
      </c>
      <c r="J201" s="2" t="s">
        <v>1197</v>
      </c>
      <c r="K201" s="2" t="s">
        <v>1198</v>
      </c>
      <c r="L201" s="2" t="s">
        <v>1199</v>
      </c>
      <c r="N201" s="2">
        <v>5.0</v>
      </c>
      <c r="O201" s="2" t="s">
        <v>1676</v>
      </c>
      <c r="P201" s="2" t="s">
        <v>32</v>
      </c>
      <c r="Q201" s="2" t="s">
        <v>573</v>
      </c>
      <c r="R201" s="2" t="s">
        <v>294</v>
      </c>
      <c r="S201" s="2" t="s">
        <v>51</v>
      </c>
    </row>
    <row r="202" ht="15.75" customHeight="1">
      <c r="A202" s="2" t="s">
        <v>1677</v>
      </c>
      <c r="B202" s="2" t="s">
        <v>1678</v>
      </c>
      <c r="C202" s="2" t="s">
        <v>84</v>
      </c>
      <c r="D202" s="2" t="s">
        <v>85</v>
      </c>
      <c r="E202" s="2" t="s">
        <v>86</v>
      </c>
      <c r="F202" s="2" t="s">
        <v>87</v>
      </c>
      <c r="G202" s="2" t="s">
        <v>88</v>
      </c>
      <c r="H202" s="2" t="s">
        <v>26</v>
      </c>
      <c r="I202" s="2" t="s">
        <v>116</v>
      </c>
      <c r="J202" s="2" t="s">
        <v>1679</v>
      </c>
      <c r="K202" s="2" t="s">
        <v>1530</v>
      </c>
      <c r="L202" s="2" t="s">
        <v>514</v>
      </c>
      <c r="M202" s="2">
        <v>1595.89</v>
      </c>
      <c r="N202" s="2">
        <v>2.0</v>
      </c>
      <c r="O202" s="2" t="s">
        <v>1680</v>
      </c>
      <c r="P202" s="2" t="s">
        <v>32</v>
      </c>
      <c r="Q202" s="2" t="s">
        <v>66</v>
      </c>
      <c r="R202" s="2" t="s">
        <v>192</v>
      </c>
    </row>
    <row r="203" ht="15.75" customHeight="1">
      <c r="A203" s="2" t="s">
        <v>1681</v>
      </c>
      <c r="B203" s="2" t="s">
        <v>1682</v>
      </c>
      <c r="C203" s="2" t="s">
        <v>1683</v>
      </c>
      <c r="D203" s="2" t="s">
        <v>1684</v>
      </c>
      <c r="E203" s="2" t="s">
        <v>1685</v>
      </c>
      <c r="F203" s="2" t="s">
        <v>1686</v>
      </c>
      <c r="G203" s="2" t="s">
        <v>564</v>
      </c>
      <c r="H203" s="2" t="s">
        <v>152</v>
      </c>
      <c r="I203" s="2" t="s">
        <v>312</v>
      </c>
      <c r="J203" s="2" t="s">
        <v>501</v>
      </c>
      <c r="K203" s="2" t="s">
        <v>502</v>
      </c>
      <c r="L203" s="2" t="s">
        <v>503</v>
      </c>
      <c r="M203" s="2">
        <v>829.3</v>
      </c>
      <c r="N203" s="2">
        <v>3.0</v>
      </c>
      <c r="O203" s="2" t="s">
        <v>1687</v>
      </c>
      <c r="P203" s="2" t="s">
        <v>32</v>
      </c>
      <c r="Q203" s="2" t="s">
        <v>526</v>
      </c>
      <c r="R203" s="2" t="s">
        <v>818</v>
      </c>
    </row>
    <row r="204" ht="15.75" customHeight="1">
      <c r="A204" s="2" t="s">
        <v>1688</v>
      </c>
      <c r="B204" s="2" t="s">
        <v>1689</v>
      </c>
      <c r="C204" s="2" t="s">
        <v>1690</v>
      </c>
      <c r="D204" s="2" t="s">
        <v>1691</v>
      </c>
      <c r="E204" s="2" t="s">
        <v>1692</v>
      </c>
      <c r="F204" s="2" t="s">
        <v>1693</v>
      </c>
      <c r="G204" s="2" t="s">
        <v>25</v>
      </c>
      <c r="H204" s="2" t="s">
        <v>26</v>
      </c>
      <c r="I204" s="2" t="s">
        <v>116</v>
      </c>
      <c r="J204" s="2" t="s">
        <v>1085</v>
      </c>
      <c r="K204" s="2" t="s">
        <v>335</v>
      </c>
      <c r="L204" s="2" t="s">
        <v>368</v>
      </c>
      <c r="N204" s="2">
        <v>1.0</v>
      </c>
      <c r="O204" s="2" t="s">
        <v>1694</v>
      </c>
      <c r="P204" s="2" t="s">
        <v>95</v>
      </c>
      <c r="Q204" s="2" t="s">
        <v>238</v>
      </c>
      <c r="R204" s="2" t="s">
        <v>442</v>
      </c>
      <c r="S204" s="2" t="s">
        <v>51</v>
      </c>
    </row>
    <row r="205" ht="15.75" customHeight="1">
      <c r="A205" s="2" t="s">
        <v>1695</v>
      </c>
      <c r="B205" s="2" t="s">
        <v>1696</v>
      </c>
      <c r="C205" s="2" t="s">
        <v>1697</v>
      </c>
      <c r="D205" s="2" t="s">
        <v>1698</v>
      </c>
      <c r="F205" s="2" t="s">
        <v>1699</v>
      </c>
      <c r="G205" s="2" t="s">
        <v>608</v>
      </c>
      <c r="H205" s="2" t="s">
        <v>42</v>
      </c>
      <c r="I205" s="2" t="s">
        <v>1245</v>
      </c>
      <c r="J205" s="2" t="s">
        <v>556</v>
      </c>
      <c r="K205" s="2" t="s">
        <v>502</v>
      </c>
      <c r="L205" s="2" t="s">
        <v>355</v>
      </c>
      <c r="M205" s="2">
        <v>96.24</v>
      </c>
      <c r="N205" s="2">
        <v>2.0</v>
      </c>
      <c r="O205" s="2" t="s">
        <v>1700</v>
      </c>
      <c r="P205" s="2" t="s">
        <v>48</v>
      </c>
      <c r="Q205" s="2" t="s">
        <v>49</v>
      </c>
      <c r="R205" s="2" t="s">
        <v>132</v>
      </c>
      <c r="S205" s="2" t="s">
        <v>133</v>
      </c>
    </row>
    <row r="206" ht="15.75" customHeight="1">
      <c r="A206" s="2" t="s">
        <v>1701</v>
      </c>
      <c r="B206" s="2" t="s">
        <v>1702</v>
      </c>
      <c r="C206" s="2" t="s">
        <v>1703</v>
      </c>
      <c r="D206" s="2" t="s">
        <v>1704</v>
      </c>
      <c r="E206" s="2" t="s">
        <v>1705</v>
      </c>
      <c r="F206" s="2" t="s">
        <v>1706</v>
      </c>
      <c r="G206" s="2" t="s">
        <v>25</v>
      </c>
      <c r="H206" s="2" t="s">
        <v>26</v>
      </c>
      <c r="I206" s="2" t="s">
        <v>522</v>
      </c>
      <c r="J206" s="2" t="s">
        <v>1358</v>
      </c>
      <c r="K206" s="2" t="s">
        <v>1359</v>
      </c>
      <c r="L206" s="2" t="s">
        <v>941</v>
      </c>
      <c r="M206" s="2">
        <v>581.63</v>
      </c>
      <c r="N206" s="2">
        <v>5.0</v>
      </c>
      <c r="O206" s="2" t="s">
        <v>1707</v>
      </c>
      <c r="P206" s="2" t="s">
        <v>95</v>
      </c>
      <c r="Q206" s="2" t="s">
        <v>1708</v>
      </c>
      <c r="R206" s="2" t="s">
        <v>527</v>
      </c>
    </row>
    <row r="207" ht="15.75" customHeight="1">
      <c r="A207" s="2" t="s">
        <v>1709</v>
      </c>
      <c r="B207" s="2" t="s">
        <v>1710</v>
      </c>
      <c r="C207" s="2" t="s">
        <v>1711</v>
      </c>
      <c r="D207" s="2" t="s">
        <v>1712</v>
      </c>
      <c r="E207" s="2" t="s">
        <v>1713</v>
      </c>
      <c r="F207" s="2" t="s">
        <v>1714</v>
      </c>
      <c r="G207" s="2" t="s">
        <v>58</v>
      </c>
      <c r="H207" s="2" t="s">
        <v>42</v>
      </c>
      <c r="I207" s="2" t="s">
        <v>352</v>
      </c>
      <c r="J207" s="2" t="s">
        <v>166</v>
      </c>
      <c r="K207" s="2" t="s">
        <v>118</v>
      </c>
      <c r="L207" s="2" t="s">
        <v>167</v>
      </c>
      <c r="N207" s="2">
        <v>1.0</v>
      </c>
      <c r="O207" s="2" t="s">
        <v>1715</v>
      </c>
      <c r="P207" s="2" t="s">
        <v>95</v>
      </c>
      <c r="Q207" s="2" t="s">
        <v>370</v>
      </c>
      <c r="R207" s="2" t="s">
        <v>80</v>
      </c>
    </row>
    <row r="208" ht="15.75" customHeight="1">
      <c r="A208" s="2" t="s">
        <v>1716</v>
      </c>
      <c r="B208" s="2" t="s">
        <v>1717</v>
      </c>
      <c r="C208" s="2" t="s">
        <v>1718</v>
      </c>
      <c r="D208" s="2" t="s">
        <v>1719</v>
      </c>
      <c r="E208" s="2" t="s">
        <v>1720</v>
      </c>
      <c r="F208" s="2" t="s">
        <v>1721</v>
      </c>
      <c r="G208" s="2" t="s">
        <v>199</v>
      </c>
      <c r="H208" s="2" t="s">
        <v>42</v>
      </c>
      <c r="I208" s="2" t="s">
        <v>480</v>
      </c>
      <c r="J208" s="2" t="s">
        <v>1722</v>
      </c>
      <c r="K208" s="2" t="s">
        <v>804</v>
      </c>
      <c r="L208" s="2" t="s">
        <v>368</v>
      </c>
      <c r="M208" s="2">
        <v>1294.99</v>
      </c>
      <c r="N208" s="2">
        <v>2.0</v>
      </c>
      <c r="O208" s="2" t="s">
        <v>1723</v>
      </c>
      <c r="P208" s="2" t="s">
        <v>48</v>
      </c>
      <c r="Q208" s="2" t="s">
        <v>526</v>
      </c>
      <c r="R208" s="2" t="s">
        <v>144</v>
      </c>
      <c r="S208" s="2" t="s">
        <v>51</v>
      </c>
    </row>
    <row r="209" ht="15.75" customHeight="1">
      <c r="A209" s="2" t="s">
        <v>1724</v>
      </c>
      <c r="B209" s="2" t="s">
        <v>1725</v>
      </c>
      <c r="C209" s="2" t="s">
        <v>1726</v>
      </c>
      <c r="D209" s="2" t="s">
        <v>1727</v>
      </c>
      <c r="E209" s="2" t="s">
        <v>1728</v>
      </c>
      <c r="F209" s="2" t="s">
        <v>1729</v>
      </c>
      <c r="G209" s="2" t="s">
        <v>1177</v>
      </c>
      <c r="H209" s="2" t="s">
        <v>301</v>
      </c>
      <c r="I209" s="2" t="s">
        <v>116</v>
      </c>
      <c r="J209" s="2" t="s">
        <v>965</v>
      </c>
      <c r="K209" s="2" t="s">
        <v>966</v>
      </c>
      <c r="L209" s="2" t="s">
        <v>967</v>
      </c>
      <c r="M209" s="2">
        <v>1547.34</v>
      </c>
      <c r="N209" s="2">
        <v>3.0</v>
      </c>
      <c r="O209" s="2" t="s">
        <v>1730</v>
      </c>
      <c r="P209" s="2" t="s">
        <v>65</v>
      </c>
      <c r="Q209" s="2" t="s">
        <v>131</v>
      </c>
      <c r="R209" s="2" t="s">
        <v>169</v>
      </c>
    </row>
    <row r="210" ht="15.75" customHeight="1">
      <c r="A210" s="2" t="s">
        <v>1731</v>
      </c>
      <c r="B210" s="2" t="s">
        <v>1732</v>
      </c>
      <c r="C210" s="2" t="s">
        <v>1666</v>
      </c>
      <c r="D210" s="2" t="s">
        <v>1667</v>
      </c>
      <c r="E210" s="2" t="s">
        <v>1668</v>
      </c>
      <c r="G210" s="2" t="s">
        <v>114</v>
      </c>
      <c r="H210" s="2" t="s">
        <v>223</v>
      </c>
      <c r="I210" s="2" t="s">
        <v>522</v>
      </c>
      <c r="J210" s="2" t="s">
        <v>1733</v>
      </c>
      <c r="K210" s="2" t="s">
        <v>440</v>
      </c>
      <c r="L210" s="2" t="s">
        <v>315</v>
      </c>
      <c r="N210" s="2">
        <v>5.0</v>
      </c>
      <c r="O210" s="2" t="s">
        <v>1734</v>
      </c>
      <c r="P210" s="2" t="s">
        <v>950</v>
      </c>
      <c r="Q210" s="2" t="s">
        <v>204</v>
      </c>
      <c r="R210" s="2" t="s">
        <v>1735</v>
      </c>
      <c r="S210" s="2" t="s">
        <v>51</v>
      </c>
    </row>
    <row r="211" ht="15.75" customHeight="1">
      <c r="A211" s="2" t="s">
        <v>1736</v>
      </c>
      <c r="B211" s="2" t="s">
        <v>1737</v>
      </c>
      <c r="C211" s="2" t="s">
        <v>1738</v>
      </c>
      <c r="D211" s="2" t="s">
        <v>1457</v>
      </c>
      <c r="E211" s="2" t="s">
        <v>1739</v>
      </c>
      <c r="G211" s="2" t="s">
        <v>1054</v>
      </c>
      <c r="H211" s="2" t="s">
        <v>42</v>
      </c>
      <c r="I211" s="2" t="s">
        <v>103</v>
      </c>
      <c r="J211" s="2" t="s">
        <v>290</v>
      </c>
      <c r="K211" s="2" t="s">
        <v>291</v>
      </c>
      <c r="L211" s="2" t="s">
        <v>292</v>
      </c>
      <c r="M211" s="2">
        <v>189.78</v>
      </c>
      <c r="N211" s="2">
        <v>1.0</v>
      </c>
      <c r="O211" s="2" t="s">
        <v>1740</v>
      </c>
      <c r="P211" s="2" t="s">
        <v>65</v>
      </c>
      <c r="Q211" s="2" t="s">
        <v>204</v>
      </c>
      <c r="R211" s="2" t="s">
        <v>50</v>
      </c>
    </row>
    <row r="212" ht="15.75" customHeight="1">
      <c r="A212" s="2" t="s">
        <v>1741</v>
      </c>
      <c r="B212" s="2" t="s">
        <v>1742</v>
      </c>
      <c r="C212" s="2" t="s">
        <v>1743</v>
      </c>
      <c r="D212" s="2" t="s">
        <v>1744</v>
      </c>
      <c r="E212" s="2" t="s">
        <v>1745</v>
      </c>
      <c r="F212" s="2" t="s">
        <v>1746</v>
      </c>
      <c r="G212" s="2" t="s">
        <v>564</v>
      </c>
      <c r="H212" s="2" t="s">
        <v>1747</v>
      </c>
      <c r="I212" s="2" t="s">
        <v>176</v>
      </c>
      <c r="J212" s="2" t="s">
        <v>1748</v>
      </c>
      <c r="K212" s="2" t="s">
        <v>1110</v>
      </c>
      <c r="L212" s="2" t="s">
        <v>315</v>
      </c>
      <c r="M212" s="2">
        <v>747.87</v>
      </c>
      <c r="N212" s="2">
        <v>1.0</v>
      </c>
      <c r="O212" s="2" t="s">
        <v>1749</v>
      </c>
      <c r="P212" s="2" t="s">
        <v>95</v>
      </c>
      <c r="Q212" s="2" t="s">
        <v>66</v>
      </c>
      <c r="R212" s="2" t="s">
        <v>80</v>
      </c>
      <c r="S212" s="2" t="s">
        <v>133</v>
      </c>
    </row>
    <row r="213" ht="15.75" customHeight="1">
      <c r="A213" s="2" t="s">
        <v>1750</v>
      </c>
      <c r="B213" s="2" t="s">
        <v>1314</v>
      </c>
      <c r="C213" s="2" t="s">
        <v>1751</v>
      </c>
      <c r="D213" s="2" t="s">
        <v>1752</v>
      </c>
      <c r="E213" s="2" t="s">
        <v>1753</v>
      </c>
      <c r="F213" s="2" t="s">
        <v>1754</v>
      </c>
      <c r="G213" s="2" t="s">
        <v>139</v>
      </c>
      <c r="H213" s="2" t="s">
        <v>152</v>
      </c>
      <c r="I213" s="2" t="s">
        <v>870</v>
      </c>
      <c r="J213" s="2" t="s">
        <v>140</v>
      </c>
      <c r="K213" s="2" t="s">
        <v>141</v>
      </c>
      <c r="L213" s="2" t="s">
        <v>63</v>
      </c>
      <c r="M213" s="2">
        <v>528.05</v>
      </c>
      <c r="N213" s="2">
        <v>2.0</v>
      </c>
      <c r="O213" s="2" t="s">
        <v>1755</v>
      </c>
      <c r="P213" s="2" t="s">
        <v>48</v>
      </c>
      <c r="Q213" s="2" t="s">
        <v>414</v>
      </c>
      <c r="R213" s="2" t="s">
        <v>1562</v>
      </c>
    </row>
    <row r="214" ht="15.75" customHeight="1">
      <c r="A214" s="2" t="s">
        <v>1756</v>
      </c>
      <c r="B214" s="2" t="s">
        <v>1757</v>
      </c>
      <c r="C214" s="2" t="s">
        <v>1758</v>
      </c>
      <c r="D214" s="2" t="s">
        <v>1759</v>
      </c>
      <c r="E214" s="2" t="s">
        <v>1760</v>
      </c>
      <c r="G214" s="2" t="s">
        <v>608</v>
      </c>
      <c r="H214" s="2" t="s">
        <v>42</v>
      </c>
      <c r="I214" s="2" t="s">
        <v>401</v>
      </c>
      <c r="J214" s="2" t="s">
        <v>258</v>
      </c>
      <c r="K214" s="2" t="s">
        <v>259</v>
      </c>
      <c r="L214" s="2" t="s">
        <v>214</v>
      </c>
      <c r="N214" s="2">
        <v>1.0</v>
      </c>
      <c r="O214" s="2" t="s">
        <v>1761</v>
      </c>
      <c r="P214" s="2" t="s">
        <v>48</v>
      </c>
      <c r="Q214" s="2" t="s">
        <v>664</v>
      </c>
      <c r="R214" s="2" t="s">
        <v>393</v>
      </c>
    </row>
    <row r="215" ht="15.75" customHeight="1">
      <c r="A215" s="2" t="s">
        <v>1762</v>
      </c>
      <c r="B215" s="2" t="s">
        <v>1763</v>
      </c>
      <c r="C215" s="2" t="s">
        <v>476</v>
      </c>
      <c r="D215" s="2" t="s">
        <v>1764</v>
      </c>
      <c r="E215" s="2" t="s">
        <v>478</v>
      </c>
      <c r="G215" s="2" t="s">
        <v>25</v>
      </c>
      <c r="H215" s="2" t="s">
        <v>234</v>
      </c>
      <c r="I215" s="2" t="s">
        <v>312</v>
      </c>
      <c r="J215" s="2" t="s">
        <v>91</v>
      </c>
      <c r="K215" s="2" t="s">
        <v>92</v>
      </c>
      <c r="L215" s="2" t="s">
        <v>93</v>
      </c>
      <c r="M215" s="2">
        <v>1797.21</v>
      </c>
      <c r="N215" s="2">
        <v>3.0</v>
      </c>
      <c r="O215" s="2" t="s">
        <v>1765</v>
      </c>
      <c r="P215" s="2" t="s">
        <v>32</v>
      </c>
      <c r="Q215" s="2" t="s">
        <v>49</v>
      </c>
      <c r="R215" s="2" t="s">
        <v>442</v>
      </c>
      <c r="S215" s="2" t="s">
        <v>51</v>
      </c>
    </row>
    <row r="216" ht="15.75" customHeight="1">
      <c r="A216" s="2" t="s">
        <v>1766</v>
      </c>
      <c r="B216" s="2" t="s">
        <v>1767</v>
      </c>
      <c r="C216" s="2" t="s">
        <v>1768</v>
      </c>
      <c r="D216" s="2" t="s">
        <v>1769</v>
      </c>
      <c r="E216" s="2" t="s">
        <v>1770</v>
      </c>
      <c r="F216" s="2" t="s">
        <v>1771</v>
      </c>
      <c r="G216" s="2" t="s">
        <v>58</v>
      </c>
      <c r="H216" s="2" t="s">
        <v>59</v>
      </c>
      <c r="I216" s="2" t="s">
        <v>176</v>
      </c>
      <c r="J216" s="2" t="s">
        <v>1772</v>
      </c>
      <c r="K216" s="2" t="s">
        <v>712</v>
      </c>
      <c r="L216" s="2" t="s">
        <v>995</v>
      </c>
      <c r="M216" s="2">
        <v>1207.46</v>
      </c>
      <c r="N216" s="2">
        <v>2.0</v>
      </c>
      <c r="O216" s="2" t="s">
        <v>1773</v>
      </c>
      <c r="P216" s="2" t="s">
        <v>32</v>
      </c>
      <c r="Q216" s="2" t="s">
        <v>1774</v>
      </c>
      <c r="R216" s="2" t="s">
        <v>169</v>
      </c>
      <c r="S216" s="2" t="s">
        <v>67</v>
      </c>
    </row>
    <row r="217" ht="15.75" customHeight="1">
      <c r="A217" s="2" t="s">
        <v>1775</v>
      </c>
      <c r="B217" s="2" t="s">
        <v>1776</v>
      </c>
      <c r="C217" s="2" t="s">
        <v>1777</v>
      </c>
      <c r="D217" s="2" t="s">
        <v>1778</v>
      </c>
      <c r="E217" s="2" t="s">
        <v>1779</v>
      </c>
      <c r="F217" s="2" t="s">
        <v>1780</v>
      </c>
      <c r="G217" s="2" t="s">
        <v>1781</v>
      </c>
      <c r="H217" s="2" t="s">
        <v>210</v>
      </c>
      <c r="I217" s="2" t="s">
        <v>1782</v>
      </c>
      <c r="J217" s="2" t="s">
        <v>1783</v>
      </c>
      <c r="K217" s="2" t="s">
        <v>966</v>
      </c>
      <c r="L217" s="2" t="s">
        <v>514</v>
      </c>
      <c r="M217" s="2">
        <v>106.82</v>
      </c>
      <c r="N217" s="2">
        <v>2.0</v>
      </c>
      <c r="O217" s="2" t="s">
        <v>1784</v>
      </c>
      <c r="P217" s="2" t="s">
        <v>65</v>
      </c>
      <c r="Q217" s="2" t="s">
        <v>33</v>
      </c>
      <c r="R217" s="2" t="s">
        <v>192</v>
      </c>
      <c r="S217" s="2" t="s">
        <v>133</v>
      </c>
    </row>
    <row r="218" ht="15.75" customHeight="1">
      <c r="A218" s="2" t="s">
        <v>1785</v>
      </c>
      <c r="B218" s="2" t="s">
        <v>1786</v>
      </c>
      <c r="C218" s="2" t="s">
        <v>1787</v>
      </c>
      <c r="D218" s="2" t="s">
        <v>1788</v>
      </c>
      <c r="F218" s="2" t="s">
        <v>1789</v>
      </c>
      <c r="G218" s="2" t="s">
        <v>1319</v>
      </c>
      <c r="H218" s="2" t="s">
        <v>26</v>
      </c>
      <c r="I218" s="2" t="s">
        <v>43</v>
      </c>
      <c r="J218" s="2" t="s">
        <v>756</v>
      </c>
      <c r="K218" s="2" t="s">
        <v>757</v>
      </c>
      <c r="L218" s="2" t="s">
        <v>30</v>
      </c>
      <c r="N218" s="2">
        <v>1.0</v>
      </c>
      <c r="O218" s="2" t="s">
        <v>1790</v>
      </c>
      <c r="P218" s="2" t="s">
        <v>95</v>
      </c>
      <c r="Q218" s="2" t="s">
        <v>204</v>
      </c>
      <c r="R218" s="2" t="s">
        <v>192</v>
      </c>
    </row>
    <row r="219" ht="15.75" customHeight="1">
      <c r="A219" s="2" t="s">
        <v>1791</v>
      </c>
      <c r="B219" s="2" t="s">
        <v>1792</v>
      </c>
      <c r="C219" s="2" t="s">
        <v>1793</v>
      </c>
      <c r="D219" s="2" t="s">
        <v>1794</v>
      </c>
      <c r="E219" s="2" t="s">
        <v>1795</v>
      </c>
      <c r="G219" s="2" t="s">
        <v>139</v>
      </c>
      <c r="H219" s="2" t="s">
        <v>210</v>
      </c>
      <c r="I219" s="2" t="s">
        <v>103</v>
      </c>
      <c r="J219" s="2" t="s">
        <v>740</v>
      </c>
      <c r="K219" s="2" t="s">
        <v>741</v>
      </c>
      <c r="L219" s="2" t="s">
        <v>742</v>
      </c>
      <c r="M219" s="2">
        <v>145.34</v>
      </c>
      <c r="N219" s="2">
        <v>5.0</v>
      </c>
      <c r="O219" s="2" t="s">
        <v>1796</v>
      </c>
      <c r="P219" s="2" t="s">
        <v>95</v>
      </c>
      <c r="Q219" s="2" t="s">
        <v>305</v>
      </c>
      <c r="R219" s="2" t="s">
        <v>120</v>
      </c>
      <c r="S219" s="2" t="s">
        <v>67</v>
      </c>
    </row>
    <row r="220" ht="15.75" customHeight="1">
      <c r="A220" s="2" t="s">
        <v>1797</v>
      </c>
      <c r="B220" s="2" t="s">
        <v>1798</v>
      </c>
      <c r="C220" s="2" t="s">
        <v>812</v>
      </c>
      <c r="D220" s="2" t="s">
        <v>813</v>
      </c>
      <c r="F220" s="2" t="s">
        <v>814</v>
      </c>
      <c r="G220" s="2" t="s">
        <v>114</v>
      </c>
      <c r="H220" s="2" t="s">
        <v>210</v>
      </c>
      <c r="I220" s="2" t="s">
        <v>289</v>
      </c>
      <c r="J220" s="2" t="s">
        <v>957</v>
      </c>
      <c r="K220" s="2" t="s">
        <v>403</v>
      </c>
      <c r="L220" s="2" t="s">
        <v>167</v>
      </c>
      <c r="M220" s="2">
        <v>1131.76</v>
      </c>
      <c r="N220" s="2">
        <v>1.0</v>
      </c>
      <c r="O220" s="2" t="s">
        <v>1799</v>
      </c>
      <c r="P220" s="2" t="s">
        <v>65</v>
      </c>
      <c r="Q220" s="2" t="s">
        <v>66</v>
      </c>
      <c r="R220" s="2" t="s">
        <v>192</v>
      </c>
      <c r="S220" s="2" t="s">
        <v>67</v>
      </c>
    </row>
    <row r="221" ht="15.75" customHeight="1">
      <c r="A221" s="2" t="s">
        <v>1800</v>
      </c>
      <c r="B221" s="2" t="s">
        <v>1801</v>
      </c>
      <c r="C221" s="2" t="s">
        <v>1802</v>
      </c>
      <c r="D221" s="2" t="s">
        <v>1803</v>
      </c>
      <c r="E221" s="2" t="s">
        <v>1804</v>
      </c>
      <c r="F221" s="2" t="s">
        <v>1805</v>
      </c>
      <c r="G221" s="2" t="s">
        <v>399</v>
      </c>
      <c r="H221" s="2" t="s">
        <v>42</v>
      </c>
      <c r="I221" s="2" t="s">
        <v>43</v>
      </c>
      <c r="J221" s="2" t="s">
        <v>1271</v>
      </c>
      <c r="K221" s="2" t="s">
        <v>1272</v>
      </c>
      <c r="L221" s="2" t="s">
        <v>167</v>
      </c>
      <c r="M221" s="2">
        <v>1563.8</v>
      </c>
      <c r="N221" s="2">
        <v>1.0</v>
      </c>
      <c r="O221" s="2" t="s">
        <v>1806</v>
      </c>
      <c r="P221" s="2" t="s">
        <v>48</v>
      </c>
      <c r="Q221" s="2" t="s">
        <v>485</v>
      </c>
      <c r="R221" s="2" t="s">
        <v>1807</v>
      </c>
      <c r="S221" s="2" t="s">
        <v>51</v>
      </c>
    </row>
    <row r="222" ht="15.75" customHeight="1">
      <c r="A222" s="2" t="s">
        <v>1808</v>
      </c>
      <c r="B222" s="2" t="s">
        <v>1809</v>
      </c>
      <c r="C222" s="2" t="s">
        <v>1810</v>
      </c>
      <c r="D222" s="2" t="s">
        <v>1811</v>
      </c>
      <c r="E222" s="2" t="s">
        <v>1812</v>
      </c>
      <c r="F222" s="2" t="s">
        <v>1813</v>
      </c>
      <c r="G222" s="2" t="s">
        <v>1814</v>
      </c>
      <c r="H222" s="2" t="s">
        <v>223</v>
      </c>
      <c r="I222" s="2" t="s">
        <v>1046</v>
      </c>
      <c r="J222" s="2" t="s">
        <v>1815</v>
      </c>
      <c r="K222" s="2" t="s">
        <v>314</v>
      </c>
      <c r="L222" s="2" t="s">
        <v>368</v>
      </c>
      <c r="N222" s="2">
        <v>1.0</v>
      </c>
      <c r="O222" s="2" t="s">
        <v>1816</v>
      </c>
      <c r="P222" s="2" t="s">
        <v>65</v>
      </c>
      <c r="Q222" s="2" t="s">
        <v>181</v>
      </c>
      <c r="R222" s="2" t="s">
        <v>345</v>
      </c>
      <c r="S222" s="2" t="s">
        <v>133</v>
      </c>
    </row>
    <row r="223" ht="15.75" customHeight="1">
      <c r="A223" s="2" t="s">
        <v>1817</v>
      </c>
      <c r="B223" s="2" t="s">
        <v>1818</v>
      </c>
      <c r="C223" s="2" t="s">
        <v>1819</v>
      </c>
      <c r="D223" s="2" t="s">
        <v>1820</v>
      </c>
      <c r="F223" s="2" t="s">
        <v>1821</v>
      </c>
      <c r="G223" s="2" t="s">
        <v>58</v>
      </c>
      <c r="H223" s="2" t="s">
        <v>323</v>
      </c>
      <c r="I223" s="2" t="s">
        <v>480</v>
      </c>
      <c r="J223" s="2" t="s">
        <v>104</v>
      </c>
      <c r="K223" s="2" t="s">
        <v>105</v>
      </c>
      <c r="L223" s="2" t="s">
        <v>106</v>
      </c>
      <c r="M223" s="2">
        <v>533.14</v>
      </c>
      <c r="N223" s="2">
        <v>2.0</v>
      </c>
      <c r="O223" s="2" t="s">
        <v>1822</v>
      </c>
      <c r="P223" s="2" t="s">
        <v>65</v>
      </c>
      <c r="Q223" s="2" t="s">
        <v>573</v>
      </c>
      <c r="R223" s="2" t="s">
        <v>393</v>
      </c>
      <c r="S223" s="2" t="s">
        <v>133</v>
      </c>
    </row>
    <row r="224" ht="15.75" customHeight="1">
      <c r="A224" s="2" t="s">
        <v>1823</v>
      </c>
      <c r="B224" s="2" t="s">
        <v>1824</v>
      </c>
      <c r="C224" s="2" t="s">
        <v>1825</v>
      </c>
      <c r="D224" s="2" t="s">
        <v>1826</v>
      </c>
      <c r="E224" s="2" t="s">
        <v>1827</v>
      </c>
      <c r="F224" s="2" t="s">
        <v>1828</v>
      </c>
      <c r="G224" s="2" t="s">
        <v>88</v>
      </c>
      <c r="H224" s="2" t="s">
        <v>1167</v>
      </c>
      <c r="I224" s="2" t="s">
        <v>60</v>
      </c>
      <c r="J224" s="2" t="s">
        <v>91</v>
      </c>
      <c r="K224" s="2" t="s">
        <v>92</v>
      </c>
      <c r="L224" s="2" t="s">
        <v>93</v>
      </c>
      <c r="M224" s="2">
        <v>1551.02</v>
      </c>
      <c r="N224" s="2">
        <v>5.0</v>
      </c>
      <c r="O224" s="2" t="s">
        <v>1829</v>
      </c>
      <c r="P224" s="2" t="s">
        <v>95</v>
      </c>
      <c r="Q224" s="2" t="s">
        <v>370</v>
      </c>
      <c r="R224" s="2" t="s">
        <v>294</v>
      </c>
      <c r="S224" s="2" t="s">
        <v>67</v>
      </c>
    </row>
    <row r="225" ht="15.75" customHeight="1">
      <c r="A225" s="2" t="s">
        <v>1830</v>
      </c>
      <c r="B225" s="2" t="s">
        <v>1831</v>
      </c>
      <c r="C225" s="2" t="s">
        <v>1666</v>
      </c>
      <c r="D225" s="2" t="s">
        <v>1667</v>
      </c>
      <c r="E225" s="2" t="s">
        <v>1668</v>
      </c>
      <c r="G225" s="2" t="s">
        <v>114</v>
      </c>
      <c r="H225" s="2" t="s">
        <v>115</v>
      </c>
      <c r="I225" s="2" t="s">
        <v>352</v>
      </c>
      <c r="J225" s="2" t="s">
        <v>1815</v>
      </c>
      <c r="K225" s="2" t="s">
        <v>314</v>
      </c>
      <c r="L225" s="2" t="s">
        <v>368</v>
      </c>
      <c r="M225" s="2">
        <v>1548.73</v>
      </c>
      <c r="N225" s="2">
        <v>1.0</v>
      </c>
      <c r="O225" s="2" t="s">
        <v>1832</v>
      </c>
      <c r="P225" s="2" t="s">
        <v>48</v>
      </c>
      <c r="Q225" s="2" t="s">
        <v>49</v>
      </c>
      <c r="R225" s="2" t="s">
        <v>818</v>
      </c>
      <c r="S225" s="2" t="s">
        <v>133</v>
      </c>
    </row>
    <row r="226" ht="15.75" customHeight="1">
      <c r="A226" s="2" t="s">
        <v>1833</v>
      </c>
      <c r="B226" s="2" t="s">
        <v>1834</v>
      </c>
      <c r="C226" s="2" t="s">
        <v>1738</v>
      </c>
      <c r="D226" s="2" t="s">
        <v>1457</v>
      </c>
      <c r="E226" s="2" t="s">
        <v>1739</v>
      </c>
      <c r="G226" s="2" t="s">
        <v>1054</v>
      </c>
      <c r="H226" s="2" t="s">
        <v>778</v>
      </c>
      <c r="I226" s="2" t="s">
        <v>480</v>
      </c>
      <c r="J226" s="2" t="s">
        <v>711</v>
      </c>
      <c r="K226" s="2" t="s">
        <v>712</v>
      </c>
      <c r="L226" s="2" t="s">
        <v>637</v>
      </c>
      <c r="M226" s="2">
        <v>1387.48</v>
      </c>
      <c r="N226" s="2">
        <v>3.0</v>
      </c>
      <c r="O226" s="2" t="s">
        <v>1835</v>
      </c>
      <c r="P226" s="2" t="s">
        <v>95</v>
      </c>
      <c r="Q226" s="2" t="s">
        <v>49</v>
      </c>
      <c r="R226" s="2" t="s">
        <v>144</v>
      </c>
    </row>
    <row r="227" ht="15.75" customHeight="1">
      <c r="A227" s="2" t="s">
        <v>1836</v>
      </c>
      <c r="B227" s="2" t="s">
        <v>1837</v>
      </c>
      <c r="C227" s="2" t="s">
        <v>1838</v>
      </c>
      <c r="D227" s="2" t="s">
        <v>1839</v>
      </c>
      <c r="E227" s="2" t="s">
        <v>1840</v>
      </c>
      <c r="F227" s="2" t="s">
        <v>1841</v>
      </c>
      <c r="G227" s="2" t="s">
        <v>1078</v>
      </c>
      <c r="H227" s="2" t="s">
        <v>683</v>
      </c>
      <c r="I227" s="2" t="s">
        <v>522</v>
      </c>
      <c r="J227" s="2" t="s">
        <v>1733</v>
      </c>
      <c r="K227" s="2" t="s">
        <v>440</v>
      </c>
      <c r="L227" s="2" t="s">
        <v>315</v>
      </c>
      <c r="N227" s="2">
        <v>1.0</v>
      </c>
      <c r="O227" s="2" t="s">
        <v>1842</v>
      </c>
      <c r="P227" s="2" t="s">
        <v>32</v>
      </c>
      <c r="Q227" s="2" t="s">
        <v>370</v>
      </c>
      <c r="R227" s="2" t="s">
        <v>294</v>
      </c>
    </row>
    <row r="228" ht="15.75" customHeight="1">
      <c r="A228" s="2" t="s">
        <v>474</v>
      </c>
      <c r="B228" s="2" t="s">
        <v>475</v>
      </c>
      <c r="C228" s="2" t="s">
        <v>476</v>
      </c>
      <c r="D228" s="2" t="s">
        <v>1764</v>
      </c>
      <c r="E228" s="2" t="s">
        <v>478</v>
      </c>
      <c r="G228" s="2" t="s">
        <v>25</v>
      </c>
      <c r="H228" s="2" t="s">
        <v>479</v>
      </c>
      <c r="I228" s="2" t="s">
        <v>480</v>
      </c>
      <c r="J228" s="2" t="s">
        <v>481</v>
      </c>
      <c r="K228" s="2" t="s">
        <v>291</v>
      </c>
      <c r="L228" s="2" t="s">
        <v>482</v>
      </c>
      <c r="N228" s="2">
        <v>2.0</v>
      </c>
      <c r="O228" s="2" t="s">
        <v>483</v>
      </c>
      <c r="P228" s="2" t="s">
        <v>484</v>
      </c>
      <c r="Q228" s="2" t="s">
        <v>485</v>
      </c>
      <c r="R228" s="2" t="s">
        <v>192</v>
      </c>
      <c r="S228" s="2" t="s">
        <v>81</v>
      </c>
    </row>
    <row r="229" ht="15.75" customHeight="1">
      <c r="A229" s="2" t="s">
        <v>1843</v>
      </c>
      <c r="B229" s="2" t="s">
        <v>1844</v>
      </c>
      <c r="C229" s="2" t="s">
        <v>1845</v>
      </c>
      <c r="D229" s="2" t="s">
        <v>1846</v>
      </c>
      <c r="E229" s="2" t="s">
        <v>1847</v>
      </c>
      <c r="F229" s="2" t="s">
        <v>1848</v>
      </c>
      <c r="G229" s="2" t="s">
        <v>777</v>
      </c>
      <c r="H229" s="2" t="s">
        <v>223</v>
      </c>
      <c r="I229" s="2" t="s">
        <v>90</v>
      </c>
      <c r="J229" s="2" t="s">
        <v>1849</v>
      </c>
      <c r="K229" s="2" t="s">
        <v>403</v>
      </c>
      <c r="L229" s="2" t="s">
        <v>248</v>
      </c>
      <c r="M229" s="2">
        <v>1208.25</v>
      </c>
      <c r="N229" s="2">
        <v>2.0</v>
      </c>
      <c r="O229" s="2" t="s">
        <v>1850</v>
      </c>
      <c r="P229" s="2" t="s">
        <v>32</v>
      </c>
      <c r="Q229" s="2" t="s">
        <v>204</v>
      </c>
      <c r="R229" s="2" t="s">
        <v>818</v>
      </c>
    </row>
    <row r="230" ht="15.75" customHeight="1">
      <c r="A230" s="2" t="s">
        <v>1851</v>
      </c>
      <c r="B230" s="2" t="s">
        <v>1852</v>
      </c>
      <c r="C230" s="2" t="s">
        <v>1718</v>
      </c>
      <c r="D230" s="2" t="s">
        <v>1719</v>
      </c>
      <c r="E230" s="2" t="s">
        <v>1720</v>
      </c>
      <c r="F230" s="2" t="s">
        <v>1721</v>
      </c>
      <c r="G230" s="2" t="s">
        <v>199</v>
      </c>
      <c r="H230" s="2" t="s">
        <v>301</v>
      </c>
      <c r="I230" s="2" t="s">
        <v>365</v>
      </c>
      <c r="J230" s="2" t="s">
        <v>91</v>
      </c>
      <c r="K230" s="2" t="s">
        <v>92</v>
      </c>
      <c r="L230" s="2" t="s">
        <v>93</v>
      </c>
      <c r="N230" s="2">
        <v>2.0</v>
      </c>
      <c r="O230" s="2" t="s">
        <v>1853</v>
      </c>
      <c r="P230" s="2" t="s">
        <v>32</v>
      </c>
      <c r="Q230" s="2" t="s">
        <v>181</v>
      </c>
      <c r="R230" s="2" t="s">
        <v>1171</v>
      </c>
      <c r="S230" s="2" t="s">
        <v>133</v>
      </c>
    </row>
    <row r="231" ht="15.75" customHeight="1">
      <c r="A231" s="2" t="s">
        <v>1854</v>
      </c>
      <c r="B231" s="2" t="s">
        <v>1855</v>
      </c>
      <c r="C231" s="2" t="s">
        <v>908</v>
      </c>
      <c r="D231" s="2" t="s">
        <v>909</v>
      </c>
      <c r="E231" s="2" t="s">
        <v>910</v>
      </c>
      <c r="F231" s="2" t="s">
        <v>911</v>
      </c>
      <c r="G231" s="2" t="s">
        <v>720</v>
      </c>
      <c r="H231" s="2" t="s">
        <v>223</v>
      </c>
      <c r="I231" s="2" t="s">
        <v>43</v>
      </c>
      <c r="J231" s="2" t="s">
        <v>1856</v>
      </c>
      <c r="K231" s="2" t="s">
        <v>118</v>
      </c>
      <c r="L231" s="2" t="s">
        <v>167</v>
      </c>
      <c r="N231" s="2">
        <v>1.0</v>
      </c>
      <c r="O231" s="2" t="s">
        <v>1857</v>
      </c>
      <c r="P231" s="2" t="s">
        <v>48</v>
      </c>
      <c r="Q231" s="2" t="s">
        <v>526</v>
      </c>
      <c r="R231" s="2" t="s">
        <v>169</v>
      </c>
      <c r="S231" s="2" t="s">
        <v>51</v>
      </c>
    </row>
    <row r="232" ht="15.75" customHeight="1">
      <c r="A232" s="2" t="s">
        <v>1858</v>
      </c>
      <c r="B232" s="2" t="s">
        <v>1859</v>
      </c>
      <c r="C232" s="2" t="s">
        <v>1860</v>
      </c>
      <c r="D232" s="2" t="s">
        <v>1861</v>
      </c>
      <c r="E232" s="2" t="s">
        <v>1862</v>
      </c>
      <c r="F232" s="2" t="s">
        <v>1863</v>
      </c>
      <c r="G232" s="2" t="s">
        <v>114</v>
      </c>
      <c r="H232" s="2" t="s">
        <v>400</v>
      </c>
      <c r="I232" s="2" t="s">
        <v>176</v>
      </c>
      <c r="J232" s="2" t="s">
        <v>1748</v>
      </c>
      <c r="K232" s="2" t="s">
        <v>1110</v>
      </c>
      <c r="L232" s="2" t="s">
        <v>315</v>
      </c>
      <c r="M232" s="2">
        <v>216.37</v>
      </c>
      <c r="N232" s="2">
        <v>1.0</v>
      </c>
      <c r="O232" s="2" t="s">
        <v>1864</v>
      </c>
      <c r="P232" s="2" t="s">
        <v>48</v>
      </c>
      <c r="Q232" s="2" t="s">
        <v>33</v>
      </c>
      <c r="R232" s="2" t="s">
        <v>294</v>
      </c>
      <c r="S232" s="2" t="s">
        <v>133</v>
      </c>
    </row>
    <row r="233" ht="15.75" customHeight="1">
      <c r="A233" s="2" t="s">
        <v>1865</v>
      </c>
      <c r="B233" s="2" t="s">
        <v>1866</v>
      </c>
      <c r="C233" s="2" t="s">
        <v>1867</v>
      </c>
      <c r="D233" s="2" t="s">
        <v>1868</v>
      </c>
      <c r="F233" s="2" t="s">
        <v>1869</v>
      </c>
      <c r="G233" s="2" t="s">
        <v>114</v>
      </c>
      <c r="H233" s="2" t="s">
        <v>223</v>
      </c>
      <c r="I233" s="2" t="s">
        <v>43</v>
      </c>
      <c r="J233" s="2" t="s">
        <v>1722</v>
      </c>
      <c r="K233" s="2" t="s">
        <v>804</v>
      </c>
      <c r="L233" s="2" t="s">
        <v>368</v>
      </c>
      <c r="N233" s="2">
        <v>3.0</v>
      </c>
      <c r="P233" s="2" t="s">
        <v>48</v>
      </c>
      <c r="Q233" s="2" t="s">
        <v>131</v>
      </c>
      <c r="R233" s="2" t="s">
        <v>452</v>
      </c>
      <c r="S233" s="2" t="s">
        <v>133</v>
      </c>
    </row>
    <row r="234" ht="15.75" customHeight="1">
      <c r="A234" s="2" t="s">
        <v>1870</v>
      </c>
      <c r="B234" s="2" t="s">
        <v>1871</v>
      </c>
      <c r="C234" s="2" t="s">
        <v>1872</v>
      </c>
      <c r="D234" s="2" t="s">
        <v>1873</v>
      </c>
      <c r="E234" s="2" t="s">
        <v>1874</v>
      </c>
      <c r="F234" s="2" t="s">
        <v>1875</v>
      </c>
      <c r="G234" s="2" t="s">
        <v>1078</v>
      </c>
      <c r="H234" s="2" t="s">
        <v>26</v>
      </c>
      <c r="I234" s="2" t="s">
        <v>480</v>
      </c>
      <c r="J234" s="2" t="s">
        <v>652</v>
      </c>
      <c r="K234" s="2" t="s">
        <v>653</v>
      </c>
      <c r="L234" s="2" t="s">
        <v>179</v>
      </c>
      <c r="M234" s="2">
        <v>767.64</v>
      </c>
      <c r="N234" s="2">
        <v>1.0</v>
      </c>
      <c r="O234" s="2" t="s">
        <v>1876</v>
      </c>
      <c r="P234" s="2" t="s">
        <v>65</v>
      </c>
      <c r="Q234" s="2" t="s">
        <v>131</v>
      </c>
      <c r="R234" s="2" t="s">
        <v>1312</v>
      </c>
    </row>
    <row r="235" ht="15.75" customHeight="1">
      <c r="A235" s="2" t="s">
        <v>1877</v>
      </c>
      <c r="B235" s="2" t="s">
        <v>1878</v>
      </c>
      <c r="C235" s="2" t="s">
        <v>1879</v>
      </c>
      <c r="D235" s="2" t="s">
        <v>1880</v>
      </c>
      <c r="E235" s="2" t="s">
        <v>1881</v>
      </c>
      <c r="F235" s="2" t="s">
        <v>1882</v>
      </c>
      <c r="G235" s="2" t="s">
        <v>139</v>
      </c>
      <c r="H235" s="2" t="s">
        <v>42</v>
      </c>
      <c r="I235" s="2" t="s">
        <v>870</v>
      </c>
      <c r="J235" s="2" t="s">
        <v>556</v>
      </c>
      <c r="K235" s="2" t="s">
        <v>502</v>
      </c>
      <c r="L235" s="2" t="s">
        <v>355</v>
      </c>
      <c r="M235" s="2">
        <v>59.37</v>
      </c>
      <c r="N235" s="2">
        <v>3.0</v>
      </c>
      <c r="O235" s="2" t="s">
        <v>1883</v>
      </c>
      <c r="P235" s="2" t="s">
        <v>65</v>
      </c>
      <c r="Q235" s="2" t="s">
        <v>485</v>
      </c>
      <c r="R235" s="2" t="s">
        <v>1884</v>
      </c>
    </row>
    <row r="236" ht="15.75" customHeight="1">
      <c r="A236" s="2" t="s">
        <v>1885</v>
      </c>
      <c r="B236" s="2" t="s">
        <v>1886</v>
      </c>
      <c r="C236" s="2" t="s">
        <v>1887</v>
      </c>
      <c r="D236" s="2" t="s">
        <v>1888</v>
      </c>
      <c r="E236" s="2" t="s">
        <v>1889</v>
      </c>
      <c r="F236" s="2" t="s">
        <v>1890</v>
      </c>
      <c r="G236" s="2" t="s">
        <v>199</v>
      </c>
      <c r="H236" s="2" t="s">
        <v>1891</v>
      </c>
      <c r="I236" s="2" t="s">
        <v>312</v>
      </c>
      <c r="J236" s="2" t="s">
        <v>513</v>
      </c>
      <c r="K236" s="2" t="s">
        <v>391</v>
      </c>
      <c r="L236" s="2" t="s">
        <v>514</v>
      </c>
      <c r="M236" s="2">
        <v>1679.98</v>
      </c>
      <c r="N236" s="2">
        <v>5.0</v>
      </c>
      <c r="O236" s="2" t="s">
        <v>1892</v>
      </c>
      <c r="P236" s="2" t="s">
        <v>48</v>
      </c>
      <c r="Q236" s="2" t="s">
        <v>33</v>
      </c>
      <c r="R236" s="2" t="s">
        <v>132</v>
      </c>
      <c r="S236" s="2" t="s">
        <v>81</v>
      </c>
    </row>
    <row r="237" ht="15.75" customHeight="1">
      <c r="A237" s="2" t="s">
        <v>1893</v>
      </c>
      <c r="B237" s="2" t="s">
        <v>1894</v>
      </c>
      <c r="C237" s="2" t="s">
        <v>1427</v>
      </c>
      <c r="D237" s="2" t="s">
        <v>1428</v>
      </c>
      <c r="E237" s="2" t="s">
        <v>1429</v>
      </c>
      <c r="F237" s="2" t="s">
        <v>1430</v>
      </c>
      <c r="G237" s="2" t="s">
        <v>399</v>
      </c>
      <c r="H237" s="2" t="s">
        <v>59</v>
      </c>
      <c r="I237" s="2" t="s">
        <v>480</v>
      </c>
      <c r="J237" s="2" t="s">
        <v>976</v>
      </c>
      <c r="K237" s="2" t="s">
        <v>335</v>
      </c>
      <c r="L237" s="2" t="s">
        <v>214</v>
      </c>
      <c r="M237" s="2">
        <v>1548.78</v>
      </c>
      <c r="N237" s="2">
        <v>1.0</v>
      </c>
      <c r="O237" s="2" t="s">
        <v>1895</v>
      </c>
      <c r="P237" s="2" t="s">
        <v>95</v>
      </c>
      <c r="Q237" s="2" t="s">
        <v>664</v>
      </c>
      <c r="R237" s="2" t="s">
        <v>192</v>
      </c>
    </row>
    <row r="238" ht="15.75" customHeight="1">
      <c r="A238" s="2" t="s">
        <v>1896</v>
      </c>
      <c r="B238" s="2" t="s">
        <v>1897</v>
      </c>
      <c r="C238" s="2" t="s">
        <v>1898</v>
      </c>
      <c r="D238" s="2" t="s">
        <v>887</v>
      </c>
      <c r="E238" s="2" t="s">
        <v>1899</v>
      </c>
      <c r="F238" s="2" t="s">
        <v>1900</v>
      </c>
      <c r="G238" s="2" t="s">
        <v>459</v>
      </c>
      <c r="H238" s="2" t="s">
        <v>59</v>
      </c>
      <c r="I238" s="2" t="s">
        <v>176</v>
      </c>
      <c r="J238" s="2" t="s">
        <v>993</v>
      </c>
      <c r="K238" s="2" t="s">
        <v>994</v>
      </c>
      <c r="L238" s="2" t="s">
        <v>995</v>
      </c>
      <c r="N238" s="2">
        <v>3.0</v>
      </c>
      <c r="O238" s="2" t="s">
        <v>1901</v>
      </c>
      <c r="P238" s="2" t="s">
        <v>48</v>
      </c>
      <c r="Q238" s="2" t="s">
        <v>66</v>
      </c>
      <c r="R238" s="2" t="s">
        <v>393</v>
      </c>
    </row>
    <row r="239" ht="15.75" customHeight="1">
      <c r="A239" s="2" t="s">
        <v>1902</v>
      </c>
      <c r="B239" s="2" t="s">
        <v>1903</v>
      </c>
      <c r="C239" s="2" t="s">
        <v>1904</v>
      </c>
      <c r="D239" s="2" t="s">
        <v>1905</v>
      </c>
      <c r="E239" s="2" t="s">
        <v>1906</v>
      </c>
      <c r="F239" s="2" t="s">
        <v>1907</v>
      </c>
      <c r="G239" s="2" t="s">
        <v>188</v>
      </c>
      <c r="H239" s="2" t="s">
        <v>1908</v>
      </c>
      <c r="I239" s="2" t="s">
        <v>103</v>
      </c>
      <c r="J239" s="2" t="s">
        <v>1327</v>
      </c>
      <c r="K239" s="2" t="s">
        <v>291</v>
      </c>
      <c r="L239" s="2" t="s">
        <v>1328</v>
      </c>
      <c r="M239" s="2">
        <v>1322.06</v>
      </c>
      <c r="O239" s="2" t="s">
        <v>1909</v>
      </c>
      <c r="P239" s="2" t="s">
        <v>32</v>
      </c>
      <c r="Q239" s="2" t="s">
        <v>1910</v>
      </c>
      <c r="R239" s="2" t="s">
        <v>442</v>
      </c>
    </row>
    <row r="240" ht="15.75" customHeight="1">
      <c r="A240" s="2" t="s">
        <v>1911</v>
      </c>
      <c r="B240" s="2" t="s">
        <v>1912</v>
      </c>
      <c r="C240" s="2" t="s">
        <v>1913</v>
      </c>
      <c r="D240" s="2" t="s">
        <v>1914</v>
      </c>
      <c r="F240" s="2" t="s">
        <v>1915</v>
      </c>
      <c r="G240" s="2" t="s">
        <v>785</v>
      </c>
      <c r="H240" s="2" t="s">
        <v>26</v>
      </c>
      <c r="I240" s="2" t="s">
        <v>103</v>
      </c>
      <c r="J240" s="2" t="s">
        <v>792</v>
      </c>
      <c r="K240" s="2" t="s">
        <v>314</v>
      </c>
      <c r="L240" s="2" t="s">
        <v>742</v>
      </c>
      <c r="M240" s="2">
        <v>1116.33</v>
      </c>
      <c r="N240" s="2">
        <v>1.0</v>
      </c>
      <c r="O240" s="2" t="s">
        <v>1916</v>
      </c>
      <c r="P240" s="2" t="s">
        <v>32</v>
      </c>
      <c r="Q240" s="2" t="s">
        <v>66</v>
      </c>
      <c r="R240" s="2" t="s">
        <v>227</v>
      </c>
    </row>
    <row r="241" ht="15.75" customHeight="1">
      <c r="A241" s="2" t="s">
        <v>1917</v>
      </c>
      <c r="B241" s="2" t="s">
        <v>1918</v>
      </c>
      <c r="C241" s="2" t="s">
        <v>1589</v>
      </c>
      <c r="D241" s="2" t="s">
        <v>1590</v>
      </c>
      <c r="E241" s="2" t="s">
        <v>1591</v>
      </c>
      <c r="F241" s="2" t="s">
        <v>1592</v>
      </c>
      <c r="G241" s="2" t="s">
        <v>58</v>
      </c>
      <c r="H241" s="2" t="s">
        <v>460</v>
      </c>
      <c r="I241" s="2" t="s">
        <v>90</v>
      </c>
      <c r="J241" s="2" t="s">
        <v>490</v>
      </c>
      <c r="K241" s="2" t="s">
        <v>491</v>
      </c>
      <c r="L241" s="2" t="s">
        <v>492</v>
      </c>
      <c r="N241" s="2">
        <v>3.0</v>
      </c>
      <c r="O241" s="2" t="s">
        <v>1919</v>
      </c>
      <c r="P241" s="2" t="s">
        <v>32</v>
      </c>
      <c r="Q241" s="2" t="s">
        <v>66</v>
      </c>
      <c r="R241" s="2" t="s">
        <v>294</v>
      </c>
      <c r="S241" s="2" t="s">
        <v>67</v>
      </c>
    </row>
    <row r="242" ht="15.75" customHeight="1">
      <c r="A242" s="2" t="s">
        <v>1920</v>
      </c>
      <c r="B242" s="2" t="s">
        <v>1921</v>
      </c>
      <c r="C242" s="2" t="s">
        <v>1922</v>
      </c>
      <c r="D242" s="2" t="s">
        <v>1923</v>
      </c>
      <c r="E242" s="2" t="s">
        <v>1924</v>
      </c>
      <c r="F242" s="2" t="s">
        <v>1925</v>
      </c>
      <c r="G242" s="2" t="s">
        <v>1177</v>
      </c>
      <c r="H242" s="2" t="s">
        <v>210</v>
      </c>
      <c r="I242" s="2" t="s">
        <v>176</v>
      </c>
      <c r="J242" s="2" t="s">
        <v>1926</v>
      </c>
      <c r="K242" s="2" t="s">
        <v>1927</v>
      </c>
      <c r="L242" s="2" t="s">
        <v>63</v>
      </c>
      <c r="N242" s="2">
        <v>5.0</v>
      </c>
      <c r="O242" s="2" t="s">
        <v>1928</v>
      </c>
      <c r="P242" s="2" t="s">
        <v>32</v>
      </c>
      <c r="Q242" s="2" t="s">
        <v>96</v>
      </c>
      <c r="R242" s="2" t="s">
        <v>818</v>
      </c>
    </row>
    <row r="243" ht="15.75" customHeight="1">
      <c r="A243" s="2" t="s">
        <v>1929</v>
      </c>
      <c r="B243" s="2" t="s">
        <v>1930</v>
      </c>
      <c r="C243" s="2" t="s">
        <v>1931</v>
      </c>
      <c r="D243" s="2" t="s">
        <v>1932</v>
      </c>
      <c r="E243" s="2" t="s">
        <v>1933</v>
      </c>
      <c r="F243" s="2" t="s">
        <v>1934</v>
      </c>
      <c r="G243" s="2" t="s">
        <v>114</v>
      </c>
      <c r="H243" s="2" t="s">
        <v>42</v>
      </c>
      <c r="I243" s="2" t="s">
        <v>176</v>
      </c>
      <c r="J243" s="2" t="s">
        <v>1772</v>
      </c>
      <c r="K243" s="2" t="s">
        <v>712</v>
      </c>
      <c r="L243" s="2" t="s">
        <v>995</v>
      </c>
      <c r="M243" s="2">
        <v>1378.49</v>
      </c>
      <c r="N243" s="2">
        <v>2.0</v>
      </c>
      <c r="O243" s="2" t="s">
        <v>1935</v>
      </c>
      <c r="P243" s="2" t="s">
        <v>32</v>
      </c>
      <c r="Q243" s="2" t="s">
        <v>131</v>
      </c>
      <c r="R243" s="2" t="s">
        <v>34</v>
      </c>
      <c r="S243" s="2" t="s">
        <v>81</v>
      </c>
    </row>
    <row r="244" ht="15.75" customHeight="1">
      <c r="A244" s="2" t="s">
        <v>1936</v>
      </c>
      <c r="B244" s="2" t="s">
        <v>1937</v>
      </c>
      <c r="C244" s="2" t="s">
        <v>1938</v>
      </c>
      <c r="D244" s="2" t="s">
        <v>1939</v>
      </c>
      <c r="E244" s="2" t="s">
        <v>1940</v>
      </c>
      <c r="F244" s="2" t="s">
        <v>1941</v>
      </c>
      <c r="G244" s="2" t="s">
        <v>801</v>
      </c>
      <c r="H244" s="2" t="s">
        <v>301</v>
      </c>
      <c r="I244" s="2" t="s">
        <v>870</v>
      </c>
      <c r="J244" s="2" t="s">
        <v>673</v>
      </c>
      <c r="K244" s="2" t="s">
        <v>118</v>
      </c>
      <c r="L244" s="2" t="s">
        <v>674</v>
      </c>
      <c r="M244" s="2">
        <v>642.67</v>
      </c>
      <c r="N244" s="2">
        <v>1.0</v>
      </c>
      <c r="P244" s="2" t="s">
        <v>95</v>
      </c>
      <c r="Q244" s="2" t="s">
        <v>49</v>
      </c>
      <c r="R244" s="2" t="s">
        <v>1942</v>
      </c>
    </row>
    <row r="245" ht="15.75" customHeight="1">
      <c r="A245" s="2" t="s">
        <v>1943</v>
      </c>
      <c r="B245" s="2" t="s">
        <v>1944</v>
      </c>
      <c r="C245" s="2" t="s">
        <v>1945</v>
      </c>
      <c r="D245" s="2" t="s">
        <v>1946</v>
      </c>
      <c r="E245" s="2" t="s">
        <v>1947</v>
      </c>
      <c r="F245" s="2" t="s">
        <v>1948</v>
      </c>
      <c r="G245" s="2" t="s">
        <v>1054</v>
      </c>
      <c r="H245" s="2" t="s">
        <v>223</v>
      </c>
      <c r="I245" s="2" t="s">
        <v>352</v>
      </c>
      <c r="J245" s="2" t="s">
        <v>302</v>
      </c>
      <c r="K245" s="2" t="s">
        <v>303</v>
      </c>
      <c r="L245" s="2" t="s">
        <v>248</v>
      </c>
      <c r="M245" s="2">
        <v>1263.51</v>
      </c>
      <c r="N245" s="2">
        <v>1.0</v>
      </c>
      <c r="O245" s="2" t="s">
        <v>1949</v>
      </c>
      <c r="P245" s="2" t="s">
        <v>95</v>
      </c>
      <c r="Q245" s="2" t="s">
        <v>1497</v>
      </c>
      <c r="R245" s="2" t="s">
        <v>192</v>
      </c>
    </row>
    <row r="246" ht="15.75" customHeight="1">
      <c r="A246" s="2" t="s">
        <v>1950</v>
      </c>
      <c r="B246" s="2" t="s">
        <v>1951</v>
      </c>
      <c r="C246" s="2" t="s">
        <v>37</v>
      </c>
      <c r="D246" s="2" t="s">
        <v>38</v>
      </c>
      <c r="E246" s="2" t="s">
        <v>39</v>
      </c>
      <c r="F246" s="2" t="s">
        <v>40</v>
      </c>
      <c r="G246" s="2" t="s">
        <v>41</v>
      </c>
      <c r="H246" s="2" t="s">
        <v>59</v>
      </c>
      <c r="I246" s="2" t="s">
        <v>176</v>
      </c>
      <c r="J246" s="2" t="s">
        <v>140</v>
      </c>
      <c r="K246" s="2" t="s">
        <v>141</v>
      </c>
      <c r="L246" s="2" t="s">
        <v>63</v>
      </c>
      <c r="N246" s="2">
        <v>1.0</v>
      </c>
      <c r="O246" s="2" t="s">
        <v>1952</v>
      </c>
      <c r="P246" s="2" t="s">
        <v>48</v>
      </c>
      <c r="Q246" s="2" t="s">
        <v>131</v>
      </c>
      <c r="R246" s="2" t="s">
        <v>442</v>
      </c>
    </row>
    <row r="247" ht="15.75" customHeight="1">
      <c r="A247" s="2" t="s">
        <v>1953</v>
      </c>
      <c r="B247" s="2" t="s">
        <v>1954</v>
      </c>
      <c r="C247" s="2" t="s">
        <v>648</v>
      </c>
      <c r="D247" s="2" t="s">
        <v>649</v>
      </c>
      <c r="E247" s="2" t="s">
        <v>650</v>
      </c>
      <c r="F247" s="2" t="s">
        <v>651</v>
      </c>
      <c r="G247" s="2" t="s">
        <v>199</v>
      </c>
      <c r="H247" s="2" t="s">
        <v>115</v>
      </c>
      <c r="I247" s="2" t="s">
        <v>116</v>
      </c>
      <c r="J247" s="2" t="s">
        <v>1495</v>
      </c>
      <c r="K247" s="2" t="s">
        <v>1138</v>
      </c>
      <c r="L247" s="2" t="s">
        <v>248</v>
      </c>
      <c r="O247" s="2" t="s">
        <v>1955</v>
      </c>
      <c r="P247" s="2" t="s">
        <v>32</v>
      </c>
      <c r="Q247" s="2" t="s">
        <v>485</v>
      </c>
      <c r="R247" s="2" t="s">
        <v>34</v>
      </c>
      <c r="S247" s="2" t="s">
        <v>133</v>
      </c>
    </row>
    <row r="248" ht="15.75" customHeight="1">
      <c r="A248" s="2" t="s">
        <v>1956</v>
      </c>
      <c r="B248" s="2" t="s">
        <v>1957</v>
      </c>
      <c r="C248" s="2" t="s">
        <v>1703</v>
      </c>
      <c r="D248" s="2" t="s">
        <v>1704</v>
      </c>
      <c r="E248" s="2" t="s">
        <v>1705</v>
      </c>
      <c r="F248" s="2" t="s">
        <v>1706</v>
      </c>
      <c r="G248" s="2" t="s">
        <v>25</v>
      </c>
      <c r="H248" s="2" t="s">
        <v>400</v>
      </c>
      <c r="I248" s="2" t="s">
        <v>401</v>
      </c>
      <c r="J248" s="2" t="s">
        <v>871</v>
      </c>
      <c r="K248" s="2" t="s">
        <v>491</v>
      </c>
      <c r="L248" s="2" t="s">
        <v>292</v>
      </c>
      <c r="N248" s="2">
        <v>2.0</v>
      </c>
      <c r="O248" s="2" t="s">
        <v>1958</v>
      </c>
      <c r="P248" s="2" t="s">
        <v>95</v>
      </c>
      <c r="Q248" s="2" t="s">
        <v>1959</v>
      </c>
      <c r="R248" s="2" t="s">
        <v>50</v>
      </c>
      <c r="S248" s="2" t="s">
        <v>133</v>
      </c>
    </row>
    <row r="249" ht="15.75" customHeight="1">
      <c r="A249" s="2" t="s">
        <v>1960</v>
      </c>
      <c r="B249" s="2" t="s">
        <v>1961</v>
      </c>
      <c r="C249" s="2" t="s">
        <v>1962</v>
      </c>
      <c r="D249" s="2" t="s">
        <v>1963</v>
      </c>
      <c r="E249" s="2" t="s">
        <v>1964</v>
      </c>
      <c r="F249" s="2" t="s">
        <v>1965</v>
      </c>
      <c r="G249" s="2" t="s">
        <v>1177</v>
      </c>
      <c r="H249" s="2" t="s">
        <v>210</v>
      </c>
      <c r="I249" s="2" t="s">
        <v>103</v>
      </c>
      <c r="J249" s="2" t="s">
        <v>490</v>
      </c>
      <c r="K249" s="2" t="s">
        <v>491</v>
      </c>
      <c r="L249" s="2" t="s">
        <v>492</v>
      </c>
      <c r="M249" s="2">
        <v>185.79</v>
      </c>
      <c r="N249" s="2">
        <v>2.0</v>
      </c>
      <c r="O249" s="2" t="s">
        <v>1966</v>
      </c>
      <c r="P249" s="2" t="s">
        <v>48</v>
      </c>
      <c r="Q249" s="2" t="s">
        <v>49</v>
      </c>
      <c r="R249" s="2" t="s">
        <v>80</v>
      </c>
      <c r="S249" s="2" t="s">
        <v>51</v>
      </c>
    </row>
    <row r="250" ht="15.75" customHeight="1">
      <c r="A250" s="2" t="s">
        <v>1967</v>
      </c>
      <c r="B250" s="2" t="s">
        <v>1968</v>
      </c>
      <c r="C250" s="2" t="s">
        <v>1969</v>
      </c>
      <c r="D250" s="2" t="s">
        <v>489</v>
      </c>
      <c r="E250" s="2" t="s">
        <v>1970</v>
      </c>
      <c r="F250" s="2" t="s">
        <v>1971</v>
      </c>
      <c r="G250" s="2" t="s">
        <v>564</v>
      </c>
      <c r="H250" s="2" t="s">
        <v>42</v>
      </c>
      <c r="I250" s="2" t="s">
        <v>103</v>
      </c>
      <c r="J250" s="2" t="s">
        <v>740</v>
      </c>
      <c r="K250" s="2" t="s">
        <v>741</v>
      </c>
      <c r="L250" s="2" t="s">
        <v>742</v>
      </c>
      <c r="M250" s="2">
        <v>1236.32</v>
      </c>
      <c r="N250" s="2">
        <v>1.0</v>
      </c>
      <c r="O250" s="2" t="s">
        <v>1972</v>
      </c>
      <c r="P250" s="2" t="s">
        <v>48</v>
      </c>
      <c r="Q250" s="2" t="s">
        <v>143</v>
      </c>
      <c r="R250" s="2" t="s">
        <v>294</v>
      </c>
    </row>
    <row r="251" ht="15.75" customHeight="1">
      <c r="A251" s="2" t="s">
        <v>1973</v>
      </c>
      <c r="B251" s="2" t="s">
        <v>1974</v>
      </c>
      <c r="C251" s="2" t="s">
        <v>1975</v>
      </c>
      <c r="D251" s="2" t="s">
        <v>1976</v>
      </c>
      <c r="E251" s="2" t="s">
        <v>1977</v>
      </c>
      <c r="F251" s="2" t="s">
        <v>1978</v>
      </c>
      <c r="G251" s="2" t="s">
        <v>459</v>
      </c>
      <c r="H251" s="2" t="s">
        <v>223</v>
      </c>
      <c r="I251" s="2" t="s">
        <v>401</v>
      </c>
      <c r="J251" s="2" t="s">
        <v>1146</v>
      </c>
      <c r="K251" s="2" t="s">
        <v>1147</v>
      </c>
      <c r="L251" s="2" t="s">
        <v>248</v>
      </c>
      <c r="M251" s="2">
        <v>661.3</v>
      </c>
      <c r="N251" s="2">
        <v>3.0</v>
      </c>
      <c r="O251" s="2" t="s">
        <v>1979</v>
      </c>
      <c r="P251" s="2" t="s">
        <v>95</v>
      </c>
      <c r="Q251" s="2" t="s">
        <v>1980</v>
      </c>
      <c r="R251" s="2" t="s">
        <v>294</v>
      </c>
    </row>
    <row r="252" ht="15.75" customHeight="1">
      <c r="A252" s="2" t="s">
        <v>1981</v>
      </c>
      <c r="B252" s="2" t="s">
        <v>1982</v>
      </c>
      <c r="C252" s="2" t="s">
        <v>1362</v>
      </c>
      <c r="D252" s="2" t="s">
        <v>101</v>
      </c>
      <c r="E252" s="2" t="s">
        <v>1363</v>
      </c>
      <c r="F252" s="2" t="s">
        <v>1364</v>
      </c>
      <c r="G252" s="2" t="s">
        <v>1054</v>
      </c>
      <c r="H252" s="2" t="s">
        <v>26</v>
      </c>
      <c r="I252" s="2" t="s">
        <v>480</v>
      </c>
      <c r="J252" s="2" t="s">
        <v>1014</v>
      </c>
      <c r="K252" s="2" t="s">
        <v>1015</v>
      </c>
      <c r="L252" s="2" t="s">
        <v>1016</v>
      </c>
      <c r="M252" s="2">
        <v>739.47</v>
      </c>
      <c r="N252" s="2">
        <v>3.0</v>
      </c>
      <c r="O252" s="2" t="s">
        <v>1983</v>
      </c>
      <c r="P252" s="2" t="s">
        <v>48</v>
      </c>
      <c r="Q252" s="2" t="s">
        <v>370</v>
      </c>
      <c r="R252" s="2" t="s">
        <v>527</v>
      </c>
      <c r="S252" s="2" t="s">
        <v>67</v>
      </c>
    </row>
    <row r="253" ht="15.75" customHeight="1">
      <c r="A253" s="2" t="s">
        <v>1984</v>
      </c>
      <c r="B253" s="2" t="s">
        <v>1985</v>
      </c>
      <c r="C253" s="2" t="s">
        <v>1986</v>
      </c>
      <c r="D253" s="2" t="s">
        <v>1987</v>
      </c>
      <c r="E253" s="2" t="s">
        <v>1988</v>
      </c>
      <c r="F253" s="2" t="s">
        <v>1989</v>
      </c>
      <c r="G253" s="2" t="s">
        <v>608</v>
      </c>
      <c r="H253" s="2" t="s">
        <v>323</v>
      </c>
      <c r="I253" s="2" t="s">
        <v>522</v>
      </c>
      <c r="J253" s="2" t="s">
        <v>76</v>
      </c>
      <c r="K253" s="2" t="s">
        <v>77</v>
      </c>
      <c r="L253" s="2" t="s">
        <v>78</v>
      </c>
      <c r="N253" s="2">
        <v>1.0</v>
      </c>
      <c r="O253" s="2" t="s">
        <v>1990</v>
      </c>
      <c r="P253" s="2" t="s">
        <v>95</v>
      </c>
      <c r="Q253" s="2" t="s">
        <v>33</v>
      </c>
      <c r="R253" s="2" t="s">
        <v>251</v>
      </c>
      <c r="S253" s="2" t="s">
        <v>51</v>
      </c>
    </row>
    <row r="254" ht="15.75" customHeight="1">
      <c r="A254" s="2" t="s">
        <v>1991</v>
      </c>
      <c r="B254" s="2" t="s">
        <v>1992</v>
      </c>
      <c r="C254" s="2" t="s">
        <v>1993</v>
      </c>
      <c r="D254" s="2" t="s">
        <v>1994</v>
      </c>
      <c r="E254" s="2" t="s">
        <v>1995</v>
      </c>
      <c r="F254" s="2" t="s">
        <v>1996</v>
      </c>
      <c r="G254" s="2" t="s">
        <v>139</v>
      </c>
      <c r="H254" s="2" t="s">
        <v>42</v>
      </c>
      <c r="I254" s="2" t="s">
        <v>176</v>
      </c>
      <c r="J254" s="2" t="s">
        <v>279</v>
      </c>
      <c r="K254" s="2" t="s">
        <v>280</v>
      </c>
      <c r="L254" s="2" t="s">
        <v>281</v>
      </c>
      <c r="M254" s="2">
        <v>1003.45</v>
      </c>
      <c r="N254" s="2">
        <v>1.0</v>
      </c>
      <c r="O254" s="2" t="s">
        <v>1997</v>
      </c>
      <c r="P254" s="2" t="s">
        <v>95</v>
      </c>
      <c r="Q254" s="2" t="s">
        <v>66</v>
      </c>
      <c r="R254" s="2" t="s">
        <v>818</v>
      </c>
      <c r="S254" s="2" t="s">
        <v>51</v>
      </c>
    </row>
    <row r="255" ht="15.75" customHeight="1">
      <c r="A255" s="2" t="s">
        <v>1998</v>
      </c>
      <c r="B255" s="2" t="s">
        <v>1999</v>
      </c>
      <c r="C255" s="2" t="s">
        <v>2000</v>
      </c>
      <c r="D255" s="2" t="s">
        <v>2001</v>
      </c>
      <c r="E255" s="2" t="s">
        <v>2002</v>
      </c>
      <c r="F255" s="2" t="s">
        <v>2003</v>
      </c>
      <c r="G255" s="2" t="s">
        <v>165</v>
      </c>
      <c r="H255" s="2" t="s">
        <v>2004</v>
      </c>
      <c r="I255" s="2" t="s">
        <v>401</v>
      </c>
      <c r="J255" s="2" t="s">
        <v>1476</v>
      </c>
      <c r="K255" s="2" t="s">
        <v>1147</v>
      </c>
      <c r="L255" s="2" t="s">
        <v>1477</v>
      </c>
      <c r="M255" s="2">
        <v>639.21</v>
      </c>
      <c r="N255" s="2">
        <v>2.0</v>
      </c>
      <c r="O255" s="2" t="s">
        <v>2005</v>
      </c>
      <c r="P255" s="2" t="s">
        <v>95</v>
      </c>
      <c r="Q255" s="2" t="s">
        <v>33</v>
      </c>
      <c r="R255" s="2" t="s">
        <v>345</v>
      </c>
      <c r="S255" s="2" t="s">
        <v>133</v>
      </c>
    </row>
    <row r="256" ht="15.75" customHeight="1">
      <c r="A256" s="2" t="s">
        <v>2006</v>
      </c>
      <c r="B256" s="2" t="s">
        <v>2007</v>
      </c>
      <c r="C256" s="2" t="s">
        <v>2008</v>
      </c>
      <c r="D256" s="2" t="s">
        <v>2009</v>
      </c>
      <c r="E256" s="2" t="s">
        <v>2010</v>
      </c>
      <c r="F256" s="2" t="s">
        <v>2011</v>
      </c>
      <c r="G256" s="2" t="s">
        <v>114</v>
      </c>
      <c r="H256" s="2" t="s">
        <v>234</v>
      </c>
      <c r="I256" s="2" t="s">
        <v>312</v>
      </c>
      <c r="J256" s="2" t="s">
        <v>2012</v>
      </c>
      <c r="K256" s="2" t="s">
        <v>741</v>
      </c>
      <c r="L256" s="2" t="s">
        <v>514</v>
      </c>
      <c r="M256" s="2">
        <v>19.78</v>
      </c>
      <c r="N256" s="2">
        <v>1.0</v>
      </c>
      <c r="O256" s="2" t="s">
        <v>2013</v>
      </c>
      <c r="P256" s="2" t="s">
        <v>65</v>
      </c>
      <c r="Q256" s="2" t="s">
        <v>204</v>
      </c>
      <c r="R256" s="2" t="s">
        <v>432</v>
      </c>
      <c r="S256" s="2" t="s">
        <v>81</v>
      </c>
    </row>
    <row r="257" ht="15.75" customHeight="1">
      <c r="A257" s="2" t="s">
        <v>2014</v>
      </c>
      <c r="B257" s="2" t="s">
        <v>2015</v>
      </c>
      <c r="C257" s="2" t="s">
        <v>2016</v>
      </c>
      <c r="D257" s="2" t="s">
        <v>2017</v>
      </c>
      <c r="E257" s="2" t="s">
        <v>2018</v>
      </c>
      <c r="F257" s="2" t="s">
        <v>2019</v>
      </c>
      <c r="G257" s="2" t="s">
        <v>564</v>
      </c>
      <c r="H257" s="2" t="s">
        <v>683</v>
      </c>
      <c r="I257" s="2" t="s">
        <v>60</v>
      </c>
      <c r="J257" s="2" t="s">
        <v>803</v>
      </c>
      <c r="K257" s="2" t="s">
        <v>804</v>
      </c>
      <c r="L257" s="2" t="s">
        <v>805</v>
      </c>
      <c r="M257" s="2">
        <v>721.95</v>
      </c>
      <c r="N257" s="2">
        <v>2.0</v>
      </c>
      <c r="O257" s="2" t="s">
        <v>2020</v>
      </c>
      <c r="P257" s="2" t="s">
        <v>48</v>
      </c>
      <c r="Q257" s="2" t="s">
        <v>2021</v>
      </c>
      <c r="R257" s="2" t="s">
        <v>1171</v>
      </c>
      <c r="S257" s="2" t="s">
        <v>51</v>
      </c>
    </row>
    <row r="258" ht="15.75" customHeight="1">
      <c r="A258" s="2" t="s">
        <v>2022</v>
      </c>
      <c r="B258" s="2" t="s">
        <v>2023</v>
      </c>
      <c r="C258" s="2" t="s">
        <v>1802</v>
      </c>
      <c r="D258" s="2" t="s">
        <v>1803</v>
      </c>
      <c r="E258" s="2" t="s">
        <v>1804</v>
      </c>
      <c r="F258" s="2" t="s">
        <v>1805</v>
      </c>
      <c r="G258" s="2" t="s">
        <v>399</v>
      </c>
      <c r="H258" s="2" t="s">
        <v>26</v>
      </c>
      <c r="I258" s="2" t="s">
        <v>401</v>
      </c>
      <c r="J258" s="2" t="s">
        <v>2024</v>
      </c>
      <c r="K258" s="2" t="s">
        <v>2025</v>
      </c>
      <c r="L258" s="2" t="s">
        <v>63</v>
      </c>
      <c r="M258" s="2">
        <v>70.96</v>
      </c>
      <c r="N258" s="2">
        <v>5.0</v>
      </c>
      <c r="O258" s="2" t="s">
        <v>2026</v>
      </c>
      <c r="P258" s="2" t="s">
        <v>32</v>
      </c>
      <c r="Q258" s="2" t="s">
        <v>66</v>
      </c>
      <c r="R258" s="2" t="s">
        <v>227</v>
      </c>
      <c r="S258" s="2" t="s">
        <v>51</v>
      </c>
    </row>
    <row r="259" ht="15.75" customHeight="1">
      <c r="A259" s="2" t="s">
        <v>2027</v>
      </c>
      <c r="B259" s="2" t="s">
        <v>2028</v>
      </c>
      <c r="C259" s="2" t="s">
        <v>2029</v>
      </c>
      <c r="D259" s="2" t="s">
        <v>2030</v>
      </c>
      <c r="E259" s="2" t="s">
        <v>2031</v>
      </c>
      <c r="F259" s="2" t="s">
        <v>2032</v>
      </c>
      <c r="G259" s="2" t="s">
        <v>564</v>
      </c>
      <c r="H259" s="2" t="s">
        <v>400</v>
      </c>
      <c r="I259" s="2" t="s">
        <v>401</v>
      </c>
      <c r="J259" s="2" t="s">
        <v>2033</v>
      </c>
      <c r="K259" s="2" t="s">
        <v>2034</v>
      </c>
      <c r="L259" s="2" t="s">
        <v>1016</v>
      </c>
      <c r="M259" s="2">
        <v>363.24</v>
      </c>
      <c r="N259" s="2">
        <v>2.0</v>
      </c>
      <c r="O259" s="2" t="s">
        <v>2035</v>
      </c>
      <c r="P259" s="2" t="s">
        <v>2036</v>
      </c>
      <c r="Q259" s="2" t="s">
        <v>2037</v>
      </c>
      <c r="R259" s="2" t="s">
        <v>294</v>
      </c>
      <c r="S259" s="2" t="s">
        <v>67</v>
      </c>
    </row>
    <row r="260" ht="15.75" customHeight="1">
      <c r="A260" s="2" t="s">
        <v>2038</v>
      </c>
      <c r="B260" s="2" t="s">
        <v>2039</v>
      </c>
      <c r="C260" s="2" t="s">
        <v>2040</v>
      </c>
      <c r="D260" s="2" t="s">
        <v>2041</v>
      </c>
      <c r="E260" s="2" t="s">
        <v>2042</v>
      </c>
      <c r="F260" s="2" t="s">
        <v>2043</v>
      </c>
      <c r="G260" s="2" t="s">
        <v>2044</v>
      </c>
      <c r="H260" s="2" t="s">
        <v>2045</v>
      </c>
      <c r="I260" s="2" t="s">
        <v>522</v>
      </c>
      <c r="J260" s="2" t="s">
        <v>1063</v>
      </c>
      <c r="K260" s="2" t="s">
        <v>291</v>
      </c>
      <c r="L260" s="2" t="s">
        <v>167</v>
      </c>
      <c r="M260" s="2">
        <v>1379.21</v>
      </c>
      <c r="N260" s="2">
        <v>3.0</v>
      </c>
      <c r="O260" s="2" t="s">
        <v>2046</v>
      </c>
      <c r="P260" s="2" t="s">
        <v>65</v>
      </c>
      <c r="Q260" s="2" t="s">
        <v>96</v>
      </c>
      <c r="R260" s="2" t="s">
        <v>2047</v>
      </c>
    </row>
    <row r="261" ht="15.75" customHeight="1">
      <c r="A261" s="2" t="s">
        <v>1157</v>
      </c>
      <c r="B261" s="2" t="s">
        <v>1158</v>
      </c>
      <c r="C261" s="2" t="s">
        <v>1159</v>
      </c>
      <c r="D261" s="2" t="s">
        <v>1160</v>
      </c>
      <c r="E261" s="2" t="s">
        <v>1161</v>
      </c>
      <c r="F261" s="2" t="s">
        <v>1162</v>
      </c>
      <c r="G261" s="2" t="s">
        <v>88</v>
      </c>
      <c r="H261" s="2" t="s">
        <v>1163</v>
      </c>
      <c r="I261" s="2" t="s">
        <v>176</v>
      </c>
      <c r="J261" s="2" t="s">
        <v>258</v>
      </c>
      <c r="K261" s="2" t="s">
        <v>259</v>
      </c>
      <c r="L261" s="2" t="s">
        <v>214</v>
      </c>
      <c r="O261" s="2" t="s">
        <v>1164</v>
      </c>
      <c r="P261" s="2" t="s">
        <v>32</v>
      </c>
      <c r="Q261" s="2" t="s">
        <v>49</v>
      </c>
      <c r="R261" s="2" t="s">
        <v>251</v>
      </c>
      <c r="S261" s="2" t="s">
        <v>81</v>
      </c>
    </row>
    <row r="262" ht="15.75" customHeight="1">
      <c r="A262" s="2" t="s">
        <v>2048</v>
      </c>
      <c r="B262" s="2" t="s">
        <v>2049</v>
      </c>
      <c r="C262" s="2" t="s">
        <v>427</v>
      </c>
      <c r="D262" s="2" t="s">
        <v>428</v>
      </c>
      <c r="E262" s="2" t="s">
        <v>429</v>
      </c>
      <c r="F262" s="2" t="s">
        <v>430</v>
      </c>
      <c r="G262" s="2" t="s">
        <v>151</v>
      </c>
      <c r="H262" s="2" t="s">
        <v>802</v>
      </c>
      <c r="I262" s="2" t="s">
        <v>43</v>
      </c>
      <c r="J262" s="2" t="s">
        <v>269</v>
      </c>
      <c r="K262" s="2" t="s">
        <v>270</v>
      </c>
      <c r="L262" s="2" t="s">
        <v>271</v>
      </c>
      <c r="M262" s="2">
        <v>1345.21</v>
      </c>
      <c r="N262" s="2">
        <v>1.0</v>
      </c>
      <c r="O262" s="2" t="s">
        <v>2050</v>
      </c>
      <c r="P262" s="2" t="s">
        <v>95</v>
      </c>
      <c r="Q262" s="2" t="s">
        <v>2051</v>
      </c>
      <c r="R262" s="2" t="s">
        <v>1171</v>
      </c>
    </row>
    <row r="263" ht="15.75" customHeight="1">
      <c r="A263" s="2" t="s">
        <v>2052</v>
      </c>
      <c r="B263" s="2" t="s">
        <v>2053</v>
      </c>
      <c r="C263" s="2" t="s">
        <v>2054</v>
      </c>
      <c r="D263" s="2" t="s">
        <v>2055</v>
      </c>
      <c r="E263" s="2" t="s">
        <v>2056</v>
      </c>
      <c r="F263" s="2" t="s">
        <v>2057</v>
      </c>
      <c r="G263" s="2" t="s">
        <v>88</v>
      </c>
      <c r="H263" s="2" t="s">
        <v>26</v>
      </c>
      <c r="I263" s="2" t="s">
        <v>43</v>
      </c>
      <c r="J263" s="2" t="s">
        <v>1815</v>
      </c>
      <c r="K263" s="2" t="s">
        <v>314</v>
      </c>
      <c r="L263" s="2" t="s">
        <v>368</v>
      </c>
      <c r="M263" s="2">
        <v>577.43</v>
      </c>
      <c r="N263" s="2">
        <v>1.0</v>
      </c>
      <c r="O263" s="2" t="s">
        <v>2058</v>
      </c>
      <c r="P263" s="2" t="s">
        <v>65</v>
      </c>
      <c r="Q263" s="2" t="s">
        <v>131</v>
      </c>
      <c r="R263" s="2" t="s">
        <v>345</v>
      </c>
    </row>
    <row r="264" ht="15.75" customHeight="1">
      <c r="A264" s="2" t="s">
        <v>2059</v>
      </c>
      <c r="B264" s="2" t="s">
        <v>2060</v>
      </c>
      <c r="C264" s="2" t="s">
        <v>2061</v>
      </c>
      <c r="D264" s="2" t="s">
        <v>2062</v>
      </c>
      <c r="E264" s="2" t="s">
        <v>2063</v>
      </c>
      <c r="F264" s="2" t="s">
        <v>2064</v>
      </c>
      <c r="G264" s="2" t="s">
        <v>25</v>
      </c>
      <c r="H264" s="2" t="s">
        <v>26</v>
      </c>
      <c r="I264" s="2" t="s">
        <v>2065</v>
      </c>
      <c r="J264" s="2" t="s">
        <v>1679</v>
      </c>
      <c r="K264" s="2" t="s">
        <v>1530</v>
      </c>
      <c r="L264" s="2" t="s">
        <v>514</v>
      </c>
      <c r="M264" s="2">
        <v>693.73</v>
      </c>
      <c r="N264" s="2">
        <v>5.0</v>
      </c>
      <c r="O264" s="2" t="s">
        <v>2066</v>
      </c>
      <c r="P264" s="2" t="s">
        <v>612</v>
      </c>
      <c r="Q264" s="2" t="s">
        <v>49</v>
      </c>
      <c r="R264" s="2" t="s">
        <v>158</v>
      </c>
      <c r="S264" s="2" t="s">
        <v>51</v>
      </c>
    </row>
    <row r="265" ht="15.75" customHeight="1">
      <c r="A265" s="2" t="s">
        <v>2067</v>
      </c>
      <c r="B265" s="2" t="s">
        <v>2068</v>
      </c>
      <c r="C265" s="2" t="s">
        <v>539</v>
      </c>
      <c r="D265" s="2" t="s">
        <v>540</v>
      </c>
      <c r="E265" s="2" t="s">
        <v>541</v>
      </c>
      <c r="F265" s="2" t="s">
        <v>2069</v>
      </c>
      <c r="G265" s="2" t="s">
        <v>41</v>
      </c>
      <c r="H265" s="2" t="s">
        <v>210</v>
      </c>
      <c r="I265" s="2" t="s">
        <v>401</v>
      </c>
      <c r="J265" s="2" t="s">
        <v>565</v>
      </c>
      <c r="K265" s="2" t="s">
        <v>566</v>
      </c>
      <c r="L265" s="2" t="s">
        <v>167</v>
      </c>
      <c r="N265" s="2">
        <v>2.0</v>
      </c>
      <c r="O265" s="2" t="s">
        <v>2070</v>
      </c>
      <c r="P265" s="2" t="s">
        <v>48</v>
      </c>
      <c r="Q265" s="2" t="s">
        <v>664</v>
      </c>
      <c r="R265" s="2" t="s">
        <v>158</v>
      </c>
    </row>
    <row r="266" ht="15.75" customHeight="1">
      <c r="A266" s="2" t="s">
        <v>2071</v>
      </c>
      <c r="B266" s="2" t="s">
        <v>2072</v>
      </c>
      <c r="C266" s="2" t="s">
        <v>2073</v>
      </c>
      <c r="D266" s="2" t="s">
        <v>2074</v>
      </c>
      <c r="E266" s="2" t="s">
        <v>2075</v>
      </c>
      <c r="F266" s="2" t="s">
        <v>2076</v>
      </c>
      <c r="G266" s="2" t="s">
        <v>459</v>
      </c>
      <c r="H266" s="2" t="s">
        <v>400</v>
      </c>
      <c r="I266" s="2" t="s">
        <v>103</v>
      </c>
      <c r="J266" s="2" t="s">
        <v>1632</v>
      </c>
      <c r="K266" s="2" t="s">
        <v>1633</v>
      </c>
      <c r="L266" s="2" t="s">
        <v>742</v>
      </c>
      <c r="N266" s="2">
        <v>5.0</v>
      </c>
      <c r="O266" s="2" t="s">
        <v>2077</v>
      </c>
      <c r="P266" s="2" t="s">
        <v>48</v>
      </c>
      <c r="Q266" s="2" t="s">
        <v>181</v>
      </c>
      <c r="R266" s="2" t="s">
        <v>452</v>
      </c>
      <c r="S266" s="2" t="s">
        <v>81</v>
      </c>
    </row>
    <row r="267" ht="15.75" customHeight="1">
      <c r="A267" s="2" t="s">
        <v>2078</v>
      </c>
      <c r="B267" s="2" t="s">
        <v>2079</v>
      </c>
      <c r="C267" s="2" t="s">
        <v>2080</v>
      </c>
      <c r="D267" s="2" t="s">
        <v>2081</v>
      </c>
      <c r="E267" s="2" t="s">
        <v>2082</v>
      </c>
      <c r="F267" s="2" t="s">
        <v>2083</v>
      </c>
      <c r="G267" s="2" t="s">
        <v>421</v>
      </c>
      <c r="H267" s="2" t="s">
        <v>323</v>
      </c>
      <c r="I267" s="2" t="s">
        <v>43</v>
      </c>
      <c r="J267" s="2" t="s">
        <v>635</v>
      </c>
      <c r="K267" s="2" t="s">
        <v>636</v>
      </c>
      <c r="L267" s="2" t="s">
        <v>637</v>
      </c>
      <c r="M267" s="2">
        <v>711.68</v>
      </c>
      <c r="N267" s="2">
        <v>1.0</v>
      </c>
      <c r="O267" s="2" t="s">
        <v>2084</v>
      </c>
      <c r="P267" s="2" t="s">
        <v>95</v>
      </c>
      <c r="Q267" s="2" t="s">
        <v>204</v>
      </c>
      <c r="R267" s="2" t="s">
        <v>2085</v>
      </c>
      <c r="S267" s="2" t="s">
        <v>133</v>
      </c>
    </row>
    <row r="268" ht="15.75" customHeight="1">
      <c r="A268" s="2" t="s">
        <v>2086</v>
      </c>
      <c r="B268" s="2" t="s">
        <v>2087</v>
      </c>
      <c r="C268" s="2" t="s">
        <v>2088</v>
      </c>
      <c r="D268" s="2" t="s">
        <v>2089</v>
      </c>
      <c r="F268" s="2" t="s">
        <v>2090</v>
      </c>
      <c r="G268" s="2" t="s">
        <v>73</v>
      </c>
      <c r="H268" s="2" t="s">
        <v>460</v>
      </c>
      <c r="I268" s="2" t="s">
        <v>176</v>
      </c>
      <c r="J268" s="2" t="s">
        <v>609</v>
      </c>
      <c r="K268" s="2" t="s">
        <v>259</v>
      </c>
      <c r="L268" s="2" t="s">
        <v>610</v>
      </c>
      <c r="M268" s="2">
        <v>340.07</v>
      </c>
      <c r="N268" s="2">
        <v>2.0</v>
      </c>
      <c r="P268" s="2" t="s">
        <v>65</v>
      </c>
      <c r="Q268" s="2" t="s">
        <v>143</v>
      </c>
      <c r="R268" s="2" t="s">
        <v>192</v>
      </c>
    </row>
    <row r="269" ht="15.75" customHeight="1">
      <c r="A269" s="2" t="s">
        <v>2091</v>
      </c>
      <c r="B269" s="2" t="s">
        <v>2092</v>
      </c>
      <c r="C269" s="2" t="s">
        <v>2093</v>
      </c>
      <c r="D269" s="2" t="s">
        <v>2094</v>
      </c>
      <c r="E269" s="2" t="s">
        <v>2095</v>
      </c>
      <c r="F269" s="2" t="s">
        <v>2096</v>
      </c>
      <c r="G269" s="2" t="s">
        <v>199</v>
      </c>
      <c r="H269" s="2" t="s">
        <v>59</v>
      </c>
      <c r="I269" s="2" t="s">
        <v>500</v>
      </c>
      <c r="J269" s="2" t="s">
        <v>189</v>
      </c>
      <c r="K269" s="2" t="s">
        <v>190</v>
      </c>
      <c r="L269" s="2" t="s">
        <v>167</v>
      </c>
      <c r="M269" s="2">
        <v>1383.99</v>
      </c>
      <c r="N269" s="2">
        <v>1.0</v>
      </c>
      <c r="O269" s="2" t="s">
        <v>2097</v>
      </c>
      <c r="P269" s="2" t="s">
        <v>65</v>
      </c>
      <c r="Q269" s="2" t="s">
        <v>181</v>
      </c>
      <c r="R269" s="2" t="s">
        <v>527</v>
      </c>
      <c r="S269" s="2" t="s">
        <v>81</v>
      </c>
    </row>
    <row r="270" ht="15.75" customHeight="1">
      <c r="A270" s="2" t="s">
        <v>2098</v>
      </c>
      <c r="B270" s="2" t="s">
        <v>2099</v>
      </c>
      <c r="C270" s="2" t="s">
        <v>2100</v>
      </c>
      <c r="D270" s="2" t="s">
        <v>2101</v>
      </c>
      <c r="E270" s="2" t="s">
        <v>2102</v>
      </c>
      <c r="F270" s="2" t="s">
        <v>2103</v>
      </c>
      <c r="G270" s="2" t="s">
        <v>608</v>
      </c>
      <c r="H270" s="2" t="s">
        <v>683</v>
      </c>
      <c r="I270" s="2" t="s">
        <v>1245</v>
      </c>
      <c r="J270" s="2" t="s">
        <v>353</v>
      </c>
      <c r="K270" s="2" t="s">
        <v>354</v>
      </c>
      <c r="L270" s="2" t="s">
        <v>355</v>
      </c>
      <c r="N270" s="2">
        <v>1.0</v>
      </c>
      <c r="O270" s="2" t="s">
        <v>2104</v>
      </c>
      <c r="P270" s="2" t="s">
        <v>95</v>
      </c>
      <c r="Q270" s="2" t="s">
        <v>664</v>
      </c>
      <c r="R270" s="2" t="s">
        <v>34</v>
      </c>
      <c r="S270" s="2" t="s">
        <v>81</v>
      </c>
    </row>
    <row r="271" ht="15.75" customHeight="1">
      <c r="A271" s="2" t="s">
        <v>2105</v>
      </c>
      <c r="B271" s="2" t="s">
        <v>2106</v>
      </c>
      <c r="C271" s="2" t="s">
        <v>2107</v>
      </c>
      <c r="D271" s="2" t="s">
        <v>2108</v>
      </c>
      <c r="F271" s="2" t="s">
        <v>2109</v>
      </c>
      <c r="G271" s="2" t="s">
        <v>2110</v>
      </c>
      <c r="H271" s="2" t="s">
        <v>26</v>
      </c>
      <c r="I271" s="2" t="s">
        <v>352</v>
      </c>
      <c r="J271" s="2" t="s">
        <v>91</v>
      </c>
      <c r="K271" s="2" t="s">
        <v>92</v>
      </c>
      <c r="L271" s="2" t="s">
        <v>93</v>
      </c>
      <c r="N271" s="2">
        <v>2.0</v>
      </c>
      <c r="O271" s="2" t="s">
        <v>2111</v>
      </c>
      <c r="P271" s="2" t="s">
        <v>95</v>
      </c>
      <c r="Q271" s="2" t="s">
        <v>49</v>
      </c>
      <c r="R271" s="2" t="s">
        <v>169</v>
      </c>
      <c r="S271" s="2" t="s">
        <v>67</v>
      </c>
    </row>
    <row r="272" ht="15.75" customHeight="1">
      <c r="A272" s="2" t="s">
        <v>2112</v>
      </c>
      <c r="B272" s="2" t="s">
        <v>2113</v>
      </c>
      <c r="C272" s="2" t="s">
        <v>700</v>
      </c>
      <c r="D272" s="2" t="s">
        <v>701</v>
      </c>
      <c r="G272" s="2" t="s">
        <v>199</v>
      </c>
      <c r="H272" s="2" t="s">
        <v>2114</v>
      </c>
      <c r="I272" s="2" t="s">
        <v>43</v>
      </c>
      <c r="J272" s="2" t="s">
        <v>904</v>
      </c>
      <c r="K272" s="2" t="s">
        <v>905</v>
      </c>
      <c r="L272" s="2" t="s">
        <v>167</v>
      </c>
      <c r="M272" s="2">
        <v>529.79</v>
      </c>
      <c r="N272" s="2">
        <v>1.0</v>
      </c>
      <c r="O272" s="2" t="s">
        <v>2115</v>
      </c>
      <c r="P272" s="2" t="s">
        <v>32</v>
      </c>
      <c r="Q272" s="2" t="s">
        <v>131</v>
      </c>
      <c r="R272" s="2" t="s">
        <v>80</v>
      </c>
      <c r="S272" s="2" t="s">
        <v>51</v>
      </c>
    </row>
    <row r="273" ht="15.75" customHeight="1">
      <c r="A273" s="2" t="s">
        <v>2116</v>
      </c>
      <c r="B273" s="2" t="s">
        <v>2117</v>
      </c>
      <c r="C273" s="2" t="s">
        <v>254</v>
      </c>
      <c r="D273" s="2" t="s">
        <v>255</v>
      </c>
      <c r="E273" s="2" t="s">
        <v>256</v>
      </c>
      <c r="G273" s="2" t="s">
        <v>88</v>
      </c>
      <c r="H273" s="2" t="s">
        <v>115</v>
      </c>
      <c r="I273" s="2" t="s">
        <v>176</v>
      </c>
      <c r="J273" s="2" t="s">
        <v>1109</v>
      </c>
      <c r="K273" s="2" t="s">
        <v>1110</v>
      </c>
      <c r="L273" s="2" t="s">
        <v>826</v>
      </c>
      <c r="M273" s="2">
        <v>64.83</v>
      </c>
      <c r="N273" s="2">
        <v>2.0</v>
      </c>
      <c r="O273" s="2" t="s">
        <v>2118</v>
      </c>
      <c r="P273" s="2" t="s">
        <v>32</v>
      </c>
      <c r="Q273" s="2" t="s">
        <v>49</v>
      </c>
      <c r="R273" s="2" t="s">
        <v>294</v>
      </c>
    </row>
    <row r="274" ht="15.75" customHeight="1">
      <c r="A274" s="2" t="s">
        <v>2119</v>
      </c>
      <c r="B274" s="2" t="s">
        <v>1418</v>
      </c>
      <c r="C274" s="2" t="s">
        <v>2120</v>
      </c>
      <c r="D274" s="2" t="s">
        <v>2121</v>
      </c>
      <c r="E274" s="2" t="s">
        <v>2122</v>
      </c>
      <c r="F274" s="2" t="s">
        <v>2123</v>
      </c>
      <c r="G274" s="2" t="s">
        <v>58</v>
      </c>
      <c r="H274" s="2" t="s">
        <v>223</v>
      </c>
      <c r="I274" s="2" t="s">
        <v>401</v>
      </c>
      <c r="J274" s="2" t="s">
        <v>948</v>
      </c>
      <c r="K274" s="2" t="s">
        <v>450</v>
      </c>
      <c r="L274" s="2" t="s">
        <v>129</v>
      </c>
      <c r="M274" s="2">
        <v>450.43</v>
      </c>
      <c r="N274" s="2">
        <v>5.0</v>
      </c>
      <c r="O274" s="2" t="s">
        <v>2124</v>
      </c>
      <c r="P274" s="2" t="s">
        <v>32</v>
      </c>
      <c r="Q274" s="2" t="s">
        <v>204</v>
      </c>
      <c r="R274" s="2" t="s">
        <v>452</v>
      </c>
      <c r="S274" s="2" t="s">
        <v>67</v>
      </c>
    </row>
    <row r="275" ht="15.75" customHeight="1">
      <c r="A275" s="2" t="s">
        <v>2125</v>
      </c>
      <c r="B275" s="2" t="s">
        <v>2126</v>
      </c>
      <c r="C275" s="2" t="s">
        <v>2127</v>
      </c>
      <c r="D275" s="2" t="s">
        <v>2128</v>
      </c>
      <c r="E275" s="2" t="s">
        <v>2129</v>
      </c>
      <c r="F275" s="2" t="s">
        <v>2130</v>
      </c>
      <c r="G275" s="2" t="s">
        <v>608</v>
      </c>
      <c r="H275" s="2" t="s">
        <v>42</v>
      </c>
      <c r="I275" s="2" t="s">
        <v>103</v>
      </c>
      <c r="J275" s="2" t="s">
        <v>1632</v>
      </c>
      <c r="K275" s="2" t="s">
        <v>1633</v>
      </c>
      <c r="L275" s="2" t="s">
        <v>742</v>
      </c>
      <c r="M275" s="2">
        <v>174.85</v>
      </c>
      <c r="N275" s="2">
        <v>2.0</v>
      </c>
      <c r="O275" s="2" t="s">
        <v>2131</v>
      </c>
      <c r="P275" s="2" t="s">
        <v>65</v>
      </c>
      <c r="Q275" s="2" t="s">
        <v>505</v>
      </c>
      <c r="R275" s="2" t="s">
        <v>432</v>
      </c>
    </row>
    <row r="276" ht="15.75" customHeight="1">
      <c r="A276" s="2" t="s">
        <v>2132</v>
      </c>
      <c r="B276" s="2" t="s">
        <v>2133</v>
      </c>
      <c r="C276" s="2" t="s">
        <v>2134</v>
      </c>
      <c r="D276" s="2" t="s">
        <v>2135</v>
      </c>
      <c r="E276" s="2" t="s">
        <v>2136</v>
      </c>
      <c r="F276" s="2" t="s">
        <v>2137</v>
      </c>
      <c r="G276" s="2" t="s">
        <v>188</v>
      </c>
      <c r="H276" s="2" t="s">
        <v>460</v>
      </c>
      <c r="I276" s="2" t="s">
        <v>103</v>
      </c>
      <c r="J276" s="2" t="s">
        <v>402</v>
      </c>
      <c r="K276" s="2" t="s">
        <v>403</v>
      </c>
      <c r="L276" s="2" t="s">
        <v>404</v>
      </c>
      <c r="M276" s="2">
        <v>1186.67</v>
      </c>
      <c r="N276" s="2">
        <v>2.0</v>
      </c>
      <c r="O276" s="2" t="s">
        <v>2138</v>
      </c>
      <c r="P276" s="2" t="s">
        <v>95</v>
      </c>
      <c r="Q276" s="2" t="s">
        <v>49</v>
      </c>
      <c r="R276" s="2" t="s">
        <v>818</v>
      </c>
    </row>
    <row r="277" ht="15.75" customHeight="1">
      <c r="A277" s="2" t="s">
        <v>2139</v>
      </c>
      <c r="B277" s="2" t="s">
        <v>2140</v>
      </c>
      <c r="C277" s="2" t="s">
        <v>1444</v>
      </c>
      <c r="D277" s="2" t="s">
        <v>1445</v>
      </c>
      <c r="E277" s="2" t="s">
        <v>2141</v>
      </c>
      <c r="G277" s="2" t="s">
        <v>1446</v>
      </c>
      <c r="H277" s="2" t="s">
        <v>152</v>
      </c>
      <c r="I277" s="2" t="s">
        <v>289</v>
      </c>
      <c r="J277" s="2" t="s">
        <v>481</v>
      </c>
      <c r="K277" s="2" t="s">
        <v>291</v>
      </c>
      <c r="L277" s="2" t="s">
        <v>482</v>
      </c>
      <c r="N277" s="2">
        <v>2.0</v>
      </c>
      <c r="O277" s="2" t="s">
        <v>2142</v>
      </c>
      <c r="P277" s="2" t="s">
        <v>95</v>
      </c>
      <c r="Q277" s="2" t="s">
        <v>181</v>
      </c>
      <c r="R277" s="2" t="s">
        <v>80</v>
      </c>
      <c r="S277" s="2" t="s">
        <v>133</v>
      </c>
    </row>
    <row r="278" ht="15.75" customHeight="1">
      <c r="A278" s="2" t="s">
        <v>2143</v>
      </c>
      <c r="B278" s="2" t="s">
        <v>2144</v>
      </c>
      <c r="C278" s="2" t="s">
        <v>2145</v>
      </c>
      <c r="D278" s="2" t="s">
        <v>2146</v>
      </c>
      <c r="E278" s="2" t="s">
        <v>2147</v>
      </c>
      <c r="F278" s="2" t="s">
        <v>2148</v>
      </c>
      <c r="G278" s="2" t="s">
        <v>199</v>
      </c>
      <c r="H278" s="2" t="s">
        <v>223</v>
      </c>
      <c r="I278" s="2" t="s">
        <v>480</v>
      </c>
      <c r="J278" s="2" t="s">
        <v>28</v>
      </c>
      <c r="K278" s="2" t="s">
        <v>29</v>
      </c>
      <c r="L278" s="2" t="s">
        <v>30</v>
      </c>
      <c r="N278" s="2">
        <v>3.0</v>
      </c>
      <c r="O278" s="2" t="s">
        <v>2149</v>
      </c>
      <c r="P278" s="2" t="s">
        <v>65</v>
      </c>
      <c r="Q278" s="2" t="s">
        <v>664</v>
      </c>
      <c r="R278" s="2" t="s">
        <v>80</v>
      </c>
    </row>
    <row r="279" ht="15.75" customHeight="1">
      <c r="A279" s="2" t="s">
        <v>2150</v>
      </c>
      <c r="B279" s="2" t="s">
        <v>2151</v>
      </c>
      <c r="C279" s="2" t="s">
        <v>2152</v>
      </c>
      <c r="D279" s="2" t="s">
        <v>2153</v>
      </c>
      <c r="E279" s="2" t="s">
        <v>2154</v>
      </c>
      <c r="F279" s="2" t="s">
        <v>2155</v>
      </c>
      <c r="G279" s="2" t="s">
        <v>114</v>
      </c>
      <c r="H279" s="2" t="s">
        <v>74</v>
      </c>
      <c r="I279" s="2" t="s">
        <v>90</v>
      </c>
      <c r="J279" s="2" t="s">
        <v>1085</v>
      </c>
      <c r="K279" s="2" t="s">
        <v>335</v>
      </c>
      <c r="L279" s="2" t="s">
        <v>368</v>
      </c>
      <c r="N279" s="2">
        <v>3.0</v>
      </c>
      <c r="O279" s="2" t="s">
        <v>2156</v>
      </c>
      <c r="P279" s="2" t="s">
        <v>95</v>
      </c>
      <c r="Q279" s="2" t="s">
        <v>238</v>
      </c>
      <c r="R279" s="2" t="s">
        <v>818</v>
      </c>
    </row>
    <row r="280" ht="15.75" customHeight="1">
      <c r="A280" s="2" t="s">
        <v>2157</v>
      </c>
      <c r="B280" s="2" t="s">
        <v>2158</v>
      </c>
      <c r="C280" s="2" t="s">
        <v>2159</v>
      </c>
      <c r="D280" s="2" t="s">
        <v>2160</v>
      </c>
      <c r="E280" s="2" t="s">
        <v>2161</v>
      </c>
      <c r="F280" s="2" t="s">
        <v>2162</v>
      </c>
      <c r="G280" s="2" t="s">
        <v>364</v>
      </c>
      <c r="H280" s="2" t="s">
        <v>42</v>
      </c>
      <c r="I280" s="2" t="s">
        <v>522</v>
      </c>
      <c r="J280" s="2" t="s">
        <v>673</v>
      </c>
      <c r="K280" s="2" t="s">
        <v>118</v>
      </c>
      <c r="L280" s="2" t="s">
        <v>674</v>
      </c>
      <c r="M280" s="2">
        <v>1727.22</v>
      </c>
      <c r="N280" s="2">
        <v>1.0</v>
      </c>
      <c r="O280" s="2" t="s">
        <v>2163</v>
      </c>
      <c r="P280" s="2" t="s">
        <v>48</v>
      </c>
      <c r="Q280" s="2" t="s">
        <v>66</v>
      </c>
      <c r="R280" s="2" t="s">
        <v>294</v>
      </c>
      <c r="S280" s="2" t="s">
        <v>133</v>
      </c>
    </row>
    <row r="281" ht="15.75" customHeight="1">
      <c r="A281" s="2" t="s">
        <v>2164</v>
      </c>
      <c r="B281" s="2" t="s">
        <v>1619</v>
      </c>
      <c r="C281" s="2" t="s">
        <v>1768</v>
      </c>
      <c r="D281" s="2" t="s">
        <v>1769</v>
      </c>
      <c r="E281" s="2" t="s">
        <v>1770</v>
      </c>
      <c r="F281" s="2" t="s">
        <v>1771</v>
      </c>
      <c r="G281" s="2" t="s">
        <v>58</v>
      </c>
      <c r="H281" s="2" t="s">
        <v>802</v>
      </c>
      <c r="I281" s="2" t="s">
        <v>43</v>
      </c>
      <c r="J281" s="2" t="s">
        <v>702</v>
      </c>
      <c r="K281" s="2" t="s">
        <v>524</v>
      </c>
      <c r="L281" s="2" t="s">
        <v>703</v>
      </c>
      <c r="M281" s="2">
        <v>1586.08</v>
      </c>
      <c r="N281" s="2">
        <v>1.0</v>
      </c>
      <c r="O281" s="2" t="s">
        <v>2165</v>
      </c>
      <c r="P281" s="2" t="s">
        <v>32</v>
      </c>
      <c r="Q281" s="2" t="s">
        <v>2166</v>
      </c>
      <c r="R281" s="2" t="s">
        <v>818</v>
      </c>
      <c r="S281" s="2" t="s">
        <v>67</v>
      </c>
    </row>
    <row r="282" ht="15.75" customHeight="1">
      <c r="A282" s="2" t="s">
        <v>2167</v>
      </c>
      <c r="B282" s="2" t="s">
        <v>2168</v>
      </c>
      <c r="C282" s="2" t="s">
        <v>1860</v>
      </c>
      <c r="D282" s="2" t="s">
        <v>1861</v>
      </c>
      <c r="E282" s="2" t="s">
        <v>1862</v>
      </c>
      <c r="F282" s="2" t="s">
        <v>1863</v>
      </c>
      <c r="G282" s="2" t="s">
        <v>114</v>
      </c>
      <c r="H282" s="2" t="s">
        <v>223</v>
      </c>
      <c r="I282" s="2" t="s">
        <v>500</v>
      </c>
      <c r="J282" s="2" t="s">
        <v>609</v>
      </c>
      <c r="K282" s="2" t="s">
        <v>259</v>
      </c>
      <c r="L282" s="2" t="s">
        <v>610</v>
      </c>
      <c r="N282" s="2">
        <v>1.0</v>
      </c>
      <c r="O282" s="2" t="s">
        <v>2169</v>
      </c>
      <c r="P282" s="2" t="s">
        <v>65</v>
      </c>
      <c r="Q282" s="2" t="s">
        <v>49</v>
      </c>
      <c r="R282" s="2" t="s">
        <v>144</v>
      </c>
      <c r="S282" s="2" t="s">
        <v>133</v>
      </c>
    </row>
    <row r="283" ht="15.75" customHeight="1">
      <c r="A283" s="2" t="s">
        <v>2170</v>
      </c>
      <c r="B283" s="2" t="s">
        <v>2171</v>
      </c>
      <c r="C283" s="2" t="s">
        <v>2172</v>
      </c>
      <c r="D283" s="2" t="s">
        <v>2173</v>
      </c>
      <c r="E283" s="2" t="s">
        <v>2174</v>
      </c>
      <c r="F283" s="2" t="s">
        <v>2175</v>
      </c>
      <c r="G283" s="2" t="s">
        <v>199</v>
      </c>
      <c r="H283" s="2" t="s">
        <v>74</v>
      </c>
      <c r="I283" s="2" t="s">
        <v>43</v>
      </c>
      <c r="J283" s="2" t="s">
        <v>461</v>
      </c>
      <c r="K283" s="2" t="s">
        <v>462</v>
      </c>
      <c r="L283" s="2" t="s">
        <v>463</v>
      </c>
      <c r="M283" s="2">
        <v>1178.3</v>
      </c>
      <c r="N283" s="2">
        <v>2.0</v>
      </c>
      <c r="O283" s="2" t="s">
        <v>2176</v>
      </c>
      <c r="P283" s="2" t="s">
        <v>65</v>
      </c>
      <c r="Q283" s="2" t="s">
        <v>96</v>
      </c>
      <c r="R283" s="2" t="s">
        <v>261</v>
      </c>
      <c r="S283" s="2" t="s">
        <v>81</v>
      </c>
    </row>
    <row r="284" ht="15.75" customHeight="1">
      <c r="A284" s="2" t="s">
        <v>2177</v>
      </c>
      <c r="B284" s="2" t="s">
        <v>2178</v>
      </c>
      <c r="C284" s="2" t="s">
        <v>2179</v>
      </c>
      <c r="D284" s="2" t="s">
        <v>2180</v>
      </c>
      <c r="G284" s="2" t="s">
        <v>1177</v>
      </c>
      <c r="H284" s="2" t="s">
        <v>42</v>
      </c>
      <c r="I284" s="2" t="s">
        <v>401</v>
      </c>
      <c r="J284" s="2" t="s">
        <v>2181</v>
      </c>
      <c r="K284" s="2" t="s">
        <v>2182</v>
      </c>
      <c r="L284" s="2" t="s">
        <v>179</v>
      </c>
      <c r="N284" s="2">
        <v>5.0</v>
      </c>
      <c r="O284" s="2" t="s">
        <v>2183</v>
      </c>
      <c r="P284" s="2" t="s">
        <v>95</v>
      </c>
      <c r="Q284" s="2" t="s">
        <v>1910</v>
      </c>
      <c r="R284" s="2" t="s">
        <v>527</v>
      </c>
      <c r="S284" s="2" t="s">
        <v>81</v>
      </c>
    </row>
    <row r="285" ht="15.75" customHeight="1">
      <c r="A285" s="2" t="s">
        <v>2184</v>
      </c>
      <c r="B285" s="2" t="s">
        <v>2185</v>
      </c>
      <c r="C285" s="2" t="s">
        <v>2186</v>
      </c>
      <c r="D285" s="2" t="s">
        <v>2187</v>
      </c>
      <c r="E285" s="2" t="s">
        <v>2188</v>
      </c>
      <c r="F285" s="2" t="s">
        <v>2189</v>
      </c>
      <c r="G285" s="2" t="s">
        <v>58</v>
      </c>
      <c r="H285" s="2" t="s">
        <v>59</v>
      </c>
      <c r="I285" s="2" t="s">
        <v>1245</v>
      </c>
      <c r="J285" s="2" t="s">
        <v>1432</v>
      </c>
      <c r="K285" s="2" t="s">
        <v>994</v>
      </c>
      <c r="L285" s="2" t="s">
        <v>1328</v>
      </c>
      <c r="M285" s="2">
        <v>1336.01</v>
      </c>
      <c r="N285" s="2">
        <v>5.0</v>
      </c>
      <c r="O285" s="2" t="s">
        <v>2190</v>
      </c>
      <c r="P285" s="2" t="s">
        <v>95</v>
      </c>
      <c r="Q285" s="2" t="s">
        <v>181</v>
      </c>
      <c r="R285" s="2" t="s">
        <v>527</v>
      </c>
      <c r="S285" s="2" t="s">
        <v>67</v>
      </c>
    </row>
    <row r="286" ht="15.75" customHeight="1">
      <c r="A286" s="2" t="s">
        <v>2191</v>
      </c>
      <c r="B286" s="2" t="s">
        <v>2192</v>
      </c>
      <c r="C286" s="2" t="s">
        <v>2193</v>
      </c>
      <c r="D286" s="2" t="s">
        <v>2194</v>
      </c>
      <c r="E286" s="2" t="s">
        <v>2195</v>
      </c>
      <c r="F286" s="2" t="s">
        <v>2196</v>
      </c>
      <c r="G286" s="2" t="s">
        <v>199</v>
      </c>
      <c r="H286" s="2" t="s">
        <v>223</v>
      </c>
      <c r="I286" s="2" t="s">
        <v>522</v>
      </c>
      <c r="J286" s="2" t="s">
        <v>258</v>
      </c>
      <c r="K286" s="2" t="s">
        <v>259</v>
      </c>
      <c r="L286" s="2" t="s">
        <v>214</v>
      </c>
      <c r="M286" s="2">
        <v>548.56</v>
      </c>
      <c r="N286" s="2">
        <v>1.0</v>
      </c>
      <c r="O286" s="2" t="s">
        <v>2197</v>
      </c>
      <c r="P286" s="2" t="s">
        <v>65</v>
      </c>
      <c r="Q286" s="2" t="s">
        <v>664</v>
      </c>
      <c r="R286" s="2" t="s">
        <v>169</v>
      </c>
      <c r="S286" s="2" t="s">
        <v>51</v>
      </c>
    </row>
    <row r="287" ht="15.75" customHeight="1">
      <c r="A287" s="2" t="s">
        <v>2198</v>
      </c>
      <c r="B287" s="2" t="s">
        <v>2199</v>
      </c>
      <c r="C287" s="2" t="s">
        <v>927</v>
      </c>
      <c r="D287" s="2" t="s">
        <v>928</v>
      </c>
      <c r="F287" s="2" t="s">
        <v>930</v>
      </c>
      <c r="G287" s="2" t="s">
        <v>151</v>
      </c>
      <c r="H287" s="2" t="s">
        <v>26</v>
      </c>
      <c r="I287" s="2" t="s">
        <v>352</v>
      </c>
      <c r="J287" s="2" t="s">
        <v>692</v>
      </c>
      <c r="K287" s="2" t="s">
        <v>693</v>
      </c>
      <c r="L287" s="2" t="s">
        <v>368</v>
      </c>
      <c r="M287" s="2">
        <v>1433.06</v>
      </c>
      <c r="N287" s="2">
        <v>1.0</v>
      </c>
      <c r="O287" s="2" t="s">
        <v>2200</v>
      </c>
      <c r="P287" s="2" t="s">
        <v>48</v>
      </c>
      <c r="Q287" s="2" t="s">
        <v>305</v>
      </c>
      <c r="R287" s="2" t="s">
        <v>132</v>
      </c>
    </row>
    <row r="288" ht="15.75" customHeight="1">
      <c r="A288" s="2" t="s">
        <v>2201</v>
      </c>
      <c r="B288" s="2" t="s">
        <v>2202</v>
      </c>
      <c r="C288" s="2" t="s">
        <v>2203</v>
      </c>
      <c r="D288" s="2" t="s">
        <v>2204</v>
      </c>
      <c r="E288" s="2" t="s">
        <v>2205</v>
      </c>
      <c r="F288" s="2" t="s">
        <v>2206</v>
      </c>
      <c r="G288" s="2" t="s">
        <v>88</v>
      </c>
      <c r="H288" s="2" t="s">
        <v>210</v>
      </c>
      <c r="I288" s="2" t="s">
        <v>43</v>
      </c>
      <c r="J288" s="2" t="s">
        <v>490</v>
      </c>
      <c r="K288" s="2" t="s">
        <v>491</v>
      </c>
      <c r="L288" s="2" t="s">
        <v>492</v>
      </c>
      <c r="M288" s="2">
        <v>94.56</v>
      </c>
      <c r="N288" s="2">
        <v>5.0</v>
      </c>
      <c r="O288" s="2" t="s">
        <v>2207</v>
      </c>
      <c r="P288" s="2" t="s">
        <v>65</v>
      </c>
      <c r="Q288" s="2" t="s">
        <v>66</v>
      </c>
      <c r="R288" s="2" t="s">
        <v>818</v>
      </c>
      <c r="S288" s="2" t="s">
        <v>51</v>
      </c>
    </row>
    <row r="289" ht="15.75" customHeight="1">
      <c r="A289" s="2" t="s">
        <v>2208</v>
      </c>
      <c r="B289" s="2" t="s">
        <v>1871</v>
      </c>
      <c r="C289" s="2" t="s">
        <v>657</v>
      </c>
      <c r="D289" s="2" t="s">
        <v>658</v>
      </c>
      <c r="E289" s="2" t="s">
        <v>659</v>
      </c>
      <c r="F289" s="2" t="s">
        <v>660</v>
      </c>
      <c r="G289" s="2" t="s">
        <v>88</v>
      </c>
      <c r="H289" s="2" t="s">
        <v>152</v>
      </c>
      <c r="I289" s="2" t="s">
        <v>500</v>
      </c>
      <c r="J289" s="2" t="s">
        <v>200</v>
      </c>
      <c r="K289" s="2" t="s">
        <v>201</v>
      </c>
      <c r="L289" s="2" t="s">
        <v>202</v>
      </c>
      <c r="M289" s="2">
        <v>479.4</v>
      </c>
      <c r="N289" s="2">
        <v>2.0</v>
      </c>
      <c r="O289" s="2" t="s">
        <v>2209</v>
      </c>
      <c r="P289" s="2" t="s">
        <v>32</v>
      </c>
      <c r="Q289" s="2" t="s">
        <v>485</v>
      </c>
      <c r="R289" s="2" t="s">
        <v>158</v>
      </c>
    </row>
    <row r="290" ht="15.75" customHeight="1">
      <c r="A290" s="2" t="s">
        <v>2210</v>
      </c>
      <c r="B290" s="2" t="s">
        <v>2211</v>
      </c>
      <c r="C290" s="2" t="s">
        <v>1550</v>
      </c>
      <c r="D290" s="2" t="s">
        <v>1551</v>
      </c>
      <c r="E290" s="2" t="s">
        <v>1552</v>
      </c>
      <c r="F290" s="2" t="s">
        <v>1553</v>
      </c>
      <c r="G290" s="2" t="s">
        <v>1078</v>
      </c>
      <c r="H290" s="2" t="s">
        <v>323</v>
      </c>
      <c r="I290" s="2" t="s">
        <v>176</v>
      </c>
      <c r="J290" s="2" t="s">
        <v>721</v>
      </c>
      <c r="K290" s="2" t="s">
        <v>259</v>
      </c>
      <c r="L290" s="2" t="s">
        <v>179</v>
      </c>
      <c r="N290" s="2">
        <v>1.0</v>
      </c>
      <c r="O290" s="2" t="s">
        <v>2212</v>
      </c>
      <c r="P290" s="2" t="s">
        <v>48</v>
      </c>
      <c r="Q290" s="2" t="s">
        <v>143</v>
      </c>
      <c r="R290" s="2" t="s">
        <v>251</v>
      </c>
    </row>
    <row r="291" ht="15.75" customHeight="1">
      <c r="A291" s="2" t="s">
        <v>2213</v>
      </c>
      <c r="B291" s="2" t="s">
        <v>2214</v>
      </c>
      <c r="C291" s="2" t="s">
        <v>2215</v>
      </c>
      <c r="D291" s="2" t="s">
        <v>2216</v>
      </c>
      <c r="E291" s="2" t="s">
        <v>2217</v>
      </c>
      <c r="F291" s="2" t="s">
        <v>2218</v>
      </c>
      <c r="G291" s="2" t="s">
        <v>364</v>
      </c>
      <c r="H291" s="2" t="s">
        <v>802</v>
      </c>
      <c r="I291" s="2" t="s">
        <v>352</v>
      </c>
      <c r="J291" s="2" t="s">
        <v>2219</v>
      </c>
      <c r="K291" s="2" t="s">
        <v>236</v>
      </c>
      <c r="L291" s="2" t="s">
        <v>805</v>
      </c>
      <c r="M291" s="2">
        <v>593.96</v>
      </c>
      <c r="N291" s="2">
        <v>3.0</v>
      </c>
      <c r="P291" s="2" t="s">
        <v>65</v>
      </c>
      <c r="Q291" s="2" t="s">
        <v>49</v>
      </c>
      <c r="R291" s="2" t="s">
        <v>294</v>
      </c>
    </row>
    <row r="292" ht="15.75" customHeight="1">
      <c r="A292" s="2" t="s">
        <v>2220</v>
      </c>
      <c r="B292" s="2" t="s">
        <v>2221</v>
      </c>
      <c r="C292" s="2" t="s">
        <v>2222</v>
      </c>
      <c r="D292" s="2" t="s">
        <v>2223</v>
      </c>
      <c r="E292" s="2" t="s">
        <v>2224</v>
      </c>
      <c r="F292" s="2" t="s">
        <v>2225</v>
      </c>
      <c r="G292" s="2" t="s">
        <v>1078</v>
      </c>
      <c r="H292" s="2" t="s">
        <v>234</v>
      </c>
      <c r="I292" s="2" t="s">
        <v>2226</v>
      </c>
      <c r="J292" s="2" t="s">
        <v>1722</v>
      </c>
      <c r="K292" s="2" t="s">
        <v>804</v>
      </c>
      <c r="L292" s="2" t="s">
        <v>368</v>
      </c>
      <c r="M292" s="2">
        <v>1727.55</v>
      </c>
      <c r="N292" s="2">
        <v>3.0</v>
      </c>
      <c r="O292" s="2" t="s">
        <v>2227</v>
      </c>
      <c r="P292" s="2" t="s">
        <v>48</v>
      </c>
      <c r="Q292" s="2" t="s">
        <v>33</v>
      </c>
      <c r="R292" s="2" t="s">
        <v>432</v>
      </c>
      <c r="S292" s="2" t="s">
        <v>51</v>
      </c>
    </row>
    <row r="293" ht="15.75" customHeight="1">
      <c r="A293" s="2" t="s">
        <v>2228</v>
      </c>
      <c r="B293" s="2" t="s">
        <v>2229</v>
      </c>
      <c r="C293" s="2" t="s">
        <v>2230</v>
      </c>
      <c r="D293" s="2" t="s">
        <v>2231</v>
      </c>
      <c r="E293" s="2" t="s">
        <v>2232</v>
      </c>
      <c r="G293" s="2" t="s">
        <v>720</v>
      </c>
      <c r="H293" s="2" t="s">
        <v>323</v>
      </c>
      <c r="I293" s="2" t="s">
        <v>90</v>
      </c>
      <c r="J293" s="2" t="s">
        <v>815</v>
      </c>
      <c r="K293" s="2" t="s">
        <v>816</v>
      </c>
      <c r="L293" s="2" t="s">
        <v>179</v>
      </c>
      <c r="M293" s="2">
        <v>270.06</v>
      </c>
      <c r="N293" s="2">
        <v>1.0</v>
      </c>
      <c r="O293" s="2" t="s">
        <v>2233</v>
      </c>
      <c r="P293" s="2" t="s">
        <v>48</v>
      </c>
      <c r="Q293" s="2" t="s">
        <v>131</v>
      </c>
      <c r="R293" s="2" t="s">
        <v>442</v>
      </c>
    </row>
    <row r="294" ht="15.75" customHeight="1">
      <c r="A294" s="2" t="s">
        <v>2234</v>
      </c>
      <c r="B294" s="2" t="s">
        <v>2235</v>
      </c>
      <c r="C294" s="2" t="s">
        <v>2236</v>
      </c>
      <c r="D294" s="2" t="s">
        <v>2237</v>
      </c>
      <c r="E294" s="2" t="s">
        <v>2238</v>
      </c>
      <c r="F294" s="2" t="s">
        <v>2239</v>
      </c>
      <c r="G294" s="2" t="s">
        <v>785</v>
      </c>
      <c r="H294" s="2" t="s">
        <v>802</v>
      </c>
      <c r="I294" s="2" t="s">
        <v>60</v>
      </c>
      <c r="J294" s="2" t="s">
        <v>2240</v>
      </c>
      <c r="K294" s="2" t="s">
        <v>712</v>
      </c>
      <c r="L294" s="2" t="s">
        <v>742</v>
      </c>
      <c r="N294" s="2">
        <v>2.0</v>
      </c>
      <c r="O294" s="2" t="s">
        <v>2241</v>
      </c>
      <c r="P294" s="2" t="s">
        <v>32</v>
      </c>
      <c r="Q294" s="2" t="s">
        <v>49</v>
      </c>
      <c r="R294" s="2" t="s">
        <v>432</v>
      </c>
    </row>
    <row r="295" ht="15.75" customHeight="1">
      <c r="A295" s="2" t="s">
        <v>2242</v>
      </c>
      <c r="B295" s="2" t="s">
        <v>2243</v>
      </c>
      <c r="C295" s="2" t="s">
        <v>2093</v>
      </c>
      <c r="D295" s="2" t="s">
        <v>2094</v>
      </c>
      <c r="E295" s="2" t="s">
        <v>2095</v>
      </c>
      <c r="F295" s="2" t="s">
        <v>2096</v>
      </c>
      <c r="G295" s="2" t="s">
        <v>199</v>
      </c>
      <c r="H295" s="2" t="s">
        <v>223</v>
      </c>
      <c r="I295" s="2" t="s">
        <v>60</v>
      </c>
      <c r="J295" s="2" t="s">
        <v>756</v>
      </c>
      <c r="K295" s="2" t="s">
        <v>757</v>
      </c>
      <c r="L295" s="2" t="s">
        <v>30</v>
      </c>
      <c r="M295" s="2">
        <v>288.62</v>
      </c>
      <c r="N295" s="2">
        <v>5.0</v>
      </c>
      <c r="O295" s="2" t="s">
        <v>2244</v>
      </c>
      <c r="P295" s="2" t="s">
        <v>48</v>
      </c>
      <c r="Q295" s="2" t="s">
        <v>33</v>
      </c>
      <c r="R295" s="2" t="s">
        <v>2245</v>
      </c>
      <c r="S295" s="2" t="s">
        <v>67</v>
      </c>
    </row>
    <row r="296" ht="15.75" customHeight="1">
      <c r="A296" s="2" t="s">
        <v>2246</v>
      </c>
      <c r="B296" s="2" t="s">
        <v>2247</v>
      </c>
      <c r="C296" s="2" t="s">
        <v>1758</v>
      </c>
      <c r="D296" s="2" t="s">
        <v>1759</v>
      </c>
      <c r="E296" s="2" t="s">
        <v>1760</v>
      </c>
      <c r="G296" s="2" t="s">
        <v>608</v>
      </c>
      <c r="H296" s="2" t="s">
        <v>210</v>
      </c>
      <c r="I296" s="2" t="s">
        <v>2248</v>
      </c>
      <c r="J296" s="2" t="s">
        <v>852</v>
      </c>
      <c r="K296" s="2" t="s">
        <v>450</v>
      </c>
      <c r="L296" s="2" t="s">
        <v>167</v>
      </c>
      <c r="M296" s="2">
        <v>1519.54</v>
      </c>
      <c r="N296" s="2">
        <v>2.0</v>
      </c>
      <c r="O296" s="2" t="s">
        <v>2249</v>
      </c>
      <c r="P296" s="2" t="s">
        <v>65</v>
      </c>
      <c r="Q296" s="2" t="s">
        <v>2250</v>
      </c>
      <c r="R296" s="2" t="s">
        <v>1312</v>
      </c>
      <c r="S296" s="2" t="s">
        <v>67</v>
      </c>
    </row>
    <row r="297" ht="15.75" customHeight="1">
      <c r="A297" s="2" t="s">
        <v>2251</v>
      </c>
      <c r="B297" s="2" t="s">
        <v>1223</v>
      </c>
      <c r="C297" s="2" t="s">
        <v>2252</v>
      </c>
      <c r="D297" s="2" t="s">
        <v>2253</v>
      </c>
      <c r="F297" s="2" t="s">
        <v>2254</v>
      </c>
      <c r="G297" s="2" t="s">
        <v>801</v>
      </c>
      <c r="H297" s="2" t="s">
        <v>223</v>
      </c>
      <c r="I297" s="2" t="s">
        <v>2255</v>
      </c>
      <c r="J297" s="2" t="s">
        <v>756</v>
      </c>
      <c r="K297" s="2" t="s">
        <v>757</v>
      </c>
      <c r="L297" s="2" t="s">
        <v>30</v>
      </c>
      <c r="M297" s="2">
        <v>1683.54</v>
      </c>
      <c r="N297" s="2">
        <v>2.0</v>
      </c>
      <c r="O297" s="2" t="s">
        <v>2256</v>
      </c>
      <c r="P297" s="2" t="s">
        <v>95</v>
      </c>
      <c r="Q297" s="2" t="s">
        <v>33</v>
      </c>
      <c r="R297" s="2" t="s">
        <v>192</v>
      </c>
    </row>
    <row r="298" ht="15.75" customHeight="1">
      <c r="A298" s="2" t="s">
        <v>2257</v>
      </c>
      <c r="B298" s="2" t="s">
        <v>2258</v>
      </c>
      <c r="C298" s="2" t="s">
        <v>2259</v>
      </c>
      <c r="D298" s="2" t="s">
        <v>2260</v>
      </c>
      <c r="E298" s="2" t="s">
        <v>2261</v>
      </c>
      <c r="F298" s="2" t="s">
        <v>2262</v>
      </c>
      <c r="G298" s="2" t="s">
        <v>25</v>
      </c>
      <c r="H298" s="2" t="s">
        <v>74</v>
      </c>
      <c r="I298" s="2" t="s">
        <v>176</v>
      </c>
      <c r="J298" s="2" t="s">
        <v>803</v>
      </c>
      <c r="K298" s="2" t="s">
        <v>804</v>
      </c>
      <c r="L298" s="2" t="s">
        <v>805</v>
      </c>
      <c r="M298" s="2">
        <v>145.92</v>
      </c>
      <c r="N298" s="2">
        <v>2.0</v>
      </c>
      <c r="O298" s="2" t="s">
        <v>2263</v>
      </c>
      <c r="P298" s="2" t="s">
        <v>95</v>
      </c>
      <c r="Q298" s="2" t="s">
        <v>1497</v>
      </c>
      <c r="R298" s="2" t="s">
        <v>1171</v>
      </c>
      <c r="S298" s="2" t="s">
        <v>67</v>
      </c>
    </row>
    <row r="299" ht="15.75" customHeight="1">
      <c r="A299" s="2" t="s">
        <v>2264</v>
      </c>
      <c r="B299" s="2" t="s">
        <v>2265</v>
      </c>
      <c r="C299" s="2" t="s">
        <v>2266</v>
      </c>
      <c r="D299" s="2" t="s">
        <v>2267</v>
      </c>
      <c r="E299" s="2" t="s">
        <v>2268</v>
      </c>
      <c r="G299" s="2" t="s">
        <v>188</v>
      </c>
      <c r="H299" s="2" t="s">
        <v>2269</v>
      </c>
      <c r="I299" s="2" t="s">
        <v>512</v>
      </c>
      <c r="J299" s="2" t="s">
        <v>2240</v>
      </c>
      <c r="K299" s="2" t="s">
        <v>712</v>
      </c>
      <c r="L299" s="2" t="s">
        <v>742</v>
      </c>
      <c r="M299" s="2">
        <v>681.05</v>
      </c>
      <c r="N299" s="2">
        <v>2.0</v>
      </c>
      <c r="O299" s="2" t="s">
        <v>2270</v>
      </c>
      <c r="P299" s="2" t="s">
        <v>65</v>
      </c>
      <c r="Q299" s="2" t="s">
        <v>181</v>
      </c>
      <c r="R299" s="2" t="s">
        <v>306</v>
      </c>
      <c r="S299" s="2" t="s">
        <v>133</v>
      </c>
    </row>
    <row r="300" ht="15.75" customHeight="1">
      <c r="A300" s="2" t="s">
        <v>2271</v>
      </c>
      <c r="B300" s="2" t="s">
        <v>2272</v>
      </c>
      <c r="C300" s="2" t="s">
        <v>84</v>
      </c>
      <c r="D300" s="2" t="s">
        <v>85</v>
      </c>
      <c r="E300" s="2" t="s">
        <v>86</v>
      </c>
      <c r="F300" s="2" t="s">
        <v>87</v>
      </c>
      <c r="G300" s="2" t="s">
        <v>88</v>
      </c>
      <c r="H300" s="2" t="s">
        <v>778</v>
      </c>
      <c r="I300" s="2" t="s">
        <v>103</v>
      </c>
      <c r="J300" s="2" t="s">
        <v>2273</v>
      </c>
      <c r="K300" s="2" t="s">
        <v>2274</v>
      </c>
      <c r="L300" s="2" t="s">
        <v>1328</v>
      </c>
      <c r="M300" s="2">
        <v>467.28</v>
      </c>
      <c r="N300" s="2">
        <v>5.0</v>
      </c>
      <c r="O300" s="2" t="s">
        <v>2275</v>
      </c>
      <c r="P300" s="2" t="s">
        <v>48</v>
      </c>
      <c r="Q300" s="2" t="s">
        <v>96</v>
      </c>
      <c r="R300" s="2" t="s">
        <v>120</v>
      </c>
      <c r="S300" s="2" t="s">
        <v>67</v>
      </c>
    </row>
    <row r="301" ht="15.75" customHeight="1">
      <c r="A301" s="2" t="s">
        <v>2276</v>
      </c>
      <c r="B301" s="2" t="s">
        <v>2277</v>
      </c>
      <c r="C301" s="2" t="s">
        <v>2278</v>
      </c>
      <c r="D301" s="2" t="s">
        <v>2279</v>
      </c>
      <c r="E301" s="2" t="s">
        <v>2280</v>
      </c>
      <c r="F301" s="2" t="s">
        <v>2281</v>
      </c>
      <c r="G301" s="2" t="s">
        <v>139</v>
      </c>
      <c r="H301" s="2" t="s">
        <v>74</v>
      </c>
      <c r="I301" s="2" t="s">
        <v>103</v>
      </c>
      <c r="J301" s="2" t="s">
        <v>1085</v>
      </c>
      <c r="K301" s="2" t="s">
        <v>335</v>
      </c>
      <c r="L301" s="2" t="s">
        <v>368</v>
      </c>
      <c r="M301" s="2">
        <v>653.6</v>
      </c>
      <c r="N301" s="2">
        <v>1.0</v>
      </c>
      <c r="O301" s="2" t="s">
        <v>2282</v>
      </c>
      <c r="P301" s="2" t="s">
        <v>32</v>
      </c>
      <c r="Q301" s="2" t="s">
        <v>181</v>
      </c>
      <c r="R301" s="2" t="s">
        <v>1171</v>
      </c>
    </row>
    <row r="302" ht="15.75" customHeight="1">
      <c r="A302" s="2" t="s">
        <v>2283</v>
      </c>
      <c r="B302" s="2" t="s">
        <v>2284</v>
      </c>
      <c r="C302" s="2" t="s">
        <v>752</v>
      </c>
      <c r="D302" s="2" t="s">
        <v>753</v>
      </c>
      <c r="E302" s="2" t="s">
        <v>754</v>
      </c>
      <c r="F302" s="2" t="s">
        <v>755</v>
      </c>
      <c r="G302" s="2" t="s">
        <v>58</v>
      </c>
      <c r="H302" s="2" t="s">
        <v>26</v>
      </c>
      <c r="I302" s="2" t="s">
        <v>480</v>
      </c>
      <c r="J302" s="2" t="s">
        <v>661</v>
      </c>
      <c r="K302" s="2" t="s">
        <v>662</v>
      </c>
      <c r="L302" s="2" t="s">
        <v>368</v>
      </c>
      <c r="M302" s="2">
        <v>1364.61</v>
      </c>
      <c r="N302" s="2">
        <v>2.0</v>
      </c>
      <c r="O302" s="2" t="s">
        <v>2285</v>
      </c>
      <c r="P302" s="2" t="s">
        <v>95</v>
      </c>
      <c r="Q302" s="2" t="s">
        <v>526</v>
      </c>
      <c r="R302" s="2" t="s">
        <v>345</v>
      </c>
    </row>
    <row r="303" ht="15.75" customHeight="1">
      <c r="A303" s="2" t="s">
        <v>2286</v>
      </c>
      <c r="B303" s="2" t="s">
        <v>2287</v>
      </c>
      <c r="C303" s="2" t="s">
        <v>1802</v>
      </c>
      <c r="D303" s="2" t="s">
        <v>1803</v>
      </c>
      <c r="E303" s="2" t="s">
        <v>1804</v>
      </c>
      <c r="F303" s="2" t="s">
        <v>1805</v>
      </c>
      <c r="G303" s="2" t="s">
        <v>399</v>
      </c>
      <c r="H303" s="2" t="s">
        <v>42</v>
      </c>
      <c r="I303" s="2" t="s">
        <v>116</v>
      </c>
      <c r="J303" s="2" t="s">
        <v>957</v>
      </c>
      <c r="K303" s="2" t="s">
        <v>403</v>
      </c>
      <c r="L303" s="2" t="s">
        <v>167</v>
      </c>
      <c r="M303" s="2">
        <v>724.09</v>
      </c>
      <c r="N303" s="2">
        <v>2.0</v>
      </c>
      <c r="O303" s="2" t="s">
        <v>2288</v>
      </c>
      <c r="P303" s="2" t="s">
        <v>65</v>
      </c>
      <c r="Q303" s="2" t="s">
        <v>49</v>
      </c>
      <c r="R303" s="2" t="s">
        <v>80</v>
      </c>
      <c r="S303" s="2" t="s">
        <v>51</v>
      </c>
    </row>
    <row r="304" ht="15.75" customHeight="1">
      <c r="A304" s="2" t="s">
        <v>2289</v>
      </c>
      <c r="B304" s="2" t="s">
        <v>2290</v>
      </c>
      <c r="C304" s="2" t="s">
        <v>1466</v>
      </c>
      <c r="D304" s="2" t="s">
        <v>1068</v>
      </c>
      <c r="E304" s="2" t="s">
        <v>1467</v>
      </c>
      <c r="F304" s="2" t="s">
        <v>1468</v>
      </c>
      <c r="G304" s="2" t="s">
        <v>139</v>
      </c>
      <c r="H304" s="2" t="s">
        <v>301</v>
      </c>
      <c r="I304" s="2" t="s">
        <v>401</v>
      </c>
      <c r="J304" s="2" t="s">
        <v>1495</v>
      </c>
      <c r="K304" s="2" t="s">
        <v>1138</v>
      </c>
      <c r="L304" s="2" t="s">
        <v>248</v>
      </c>
      <c r="M304" s="2">
        <v>189.65</v>
      </c>
      <c r="N304" s="2">
        <v>1.0</v>
      </c>
      <c r="O304" s="2" t="s">
        <v>2291</v>
      </c>
      <c r="P304" s="2" t="s">
        <v>95</v>
      </c>
      <c r="Q304" s="2" t="s">
        <v>66</v>
      </c>
      <c r="R304" s="2" t="s">
        <v>294</v>
      </c>
    </row>
    <row r="305" ht="15.75" customHeight="1">
      <c r="A305" s="2" t="s">
        <v>2292</v>
      </c>
      <c r="B305" s="2" t="s">
        <v>2293</v>
      </c>
      <c r="C305" s="2" t="s">
        <v>2294</v>
      </c>
      <c r="D305" s="2" t="s">
        <v>2295</v>
      </c>
      <c r="E305" s="2" t="s">
        <v>775</v>
      </c>
      <c r="F305" s="2" t="s">
        <v>2296</v>
      </c>
      <c r="G305" s="2" t="s">
        <v>58</v>
      </c>
      <c r="H305" s="2" t="s">
        <v>42</v>
      </c>
      <c r="I305" s="2" t="s">
        <v>116</v>
      </c>
      <c r="J305" s="2" t="s">
        <v>792</v>
      </c>
      <c r="K305" s="2" t="s">
        <v>314</v>
      </c>
      <c r="L305" s="2" t="s">
        <v>742</v>
      </c>
      <c r="M305" s="2">
        <v>509.26</v>
      </c>
      <c r="N305" s="2">
        <v>1.0</v>
      </c>
      <c r="O305" s="2" t="s">
        <v>2297</v>
      </c>
      <c r="P305" s="2" t="s">
        <v>48</v>
      </c>
      <c r="Q305" s="2" t="s">
        <v>181</v>
      </c>
      <c r="R305" s="2" t="s">
        <v>294</v>
      </c>
      <c r="S305" s="2" t="s">
        <v>51</v>
      </c>
    </row>
    <row r="306" ht="15.75" customHeight="1">
      <c r="A306" s="2" t="s">
        <v>2298</v>
      </c>
      <c r="B306" s="2" t="s">
        <v>2299</v>
      </c>
      <c r="C306" s="2" t="s">
        <v>2300</v>
      </c>
      <c r="D306" s="2" t="s">
        <v>2301</v>
      </c>
      <c r="E306" s="2" t="s">
        <v>2302</v>
      </c>
      <c r="F306" s="2" t="s">
        <v>2303</v>
      </c>
      <c r="G306" s="2" t="s">
        <v>608</v>
      </c>
      <c r="H306" s="2" t="s">
        <v>234</v>
      </c>
      <c r="I306" s="2" t="s">
        <v>60</v>
      </c>
      <c r="J306" s="2" t="s">
        <v>481</v>
      </c>
      <c r="K306" s="2" t="s">
        <v>291</v>
      </c>
      <c r="L306" s="2" t="s">
        <v>482</v>
      </c>
      <c r="M306" s="2">
        <v>1789.89</v>
      </c>
      <c r="N306" s="2">
        <v>1.0</v>
      </c>
      <c r="O306" s="2" t="s">
        <v>2304</v>
      </c>
      <c r="P306" s="2" t="s">
        <v>48</v>
      </c>
      <c r="Q306" s="2" t="s">
        <v>66</v>
      </c>
      <c r="R306" s="2" t="s">
        <v>294</v>
      </c>
    </row>
    <row r="307" ht="15.75" customHeight="1">
      <c r="A307" s="2" t="s">
        <v>2305</v>
      </c>
      <c r="B307" s="2" t="s">
        <v>2306</v>
      </c>
      <c r="C307" s="2" t="s">
        <v>70</v>
      </c>
      <c r="D307" s="2" t="s">
        <v>71</v>
      </c>
      <c r="E307" s="2" t="s">
        <v>72</v>
      </c>
      <c r="G307" s="2" t="s">
        <v>73</v>
      </c>
      <c r="H307" s="2" t="s">
        <v>223</v>
      </c>
      <c r="I307" s="2" t="s">
        <v>312</v>
      </c>
      <c r="J307" s="2" t="s">
        <v>939</v>
      </c>
      <c r="K307" s="2" t="s">
        <v>940</v>
      </c>
      <c r="L307" s="2" t="s">
        <v>941</v>
      </c>
      <c r="M307" s="2">
        <v>905.7</v>
      </c>
      <c r="N307" s="2">
        <v>2.0</v>
      </c>
      <c r="O307" s="2" t="s">
        <v>2307</v>
      </c>
      <c r="P307" s="2" t="s">
        <v>48</v>
      </c>
      <c r="Q307" s="2" t="s">
        <v>181</v>
      </c>
      <c r="R307" s="2" t="s">
        <v>452</v>
      </c>
    </row>
    <row r="308" ht="15.75" customHeight="1">
      <c r="A308" s="2" t="s">
        <v>2308</v>
      </c>
      <c r="B308" s="2" t="s">
        <v>2309</v>
      </c>
      <c r="C308" s="2" t="s">
        <v>2310</v>
      </c>
      <c r="D308" s="2" t="s">
        <v>2311</v>
      </c>
      <c r="E308" s="2" t="s">
        <v>2312</v>
      </c>
      <c r="F308" s="2" t="s">
        <v>2313</v>
      </c>
      <c r="G308" s="2" t="s">
        <v>58</v>
      </c>
      <c r="H308" s="2" t="s">
        <v>400</v>
      </c>
      <c r="I308" s="2" t="s">
        <v>312</v>
      </c>
      <c r="J308" s="2" t="s">
        <v>490</v>
      </c>
      <c r="K308" s="2" t="s">
        <v>491</v>
      </c>
      <c r="L308" s="2" t="s">
        <v>492</v>
      </c>
      <c r="N308" s="2">
        <v>2.0</v>
      </c>
      <c r="O308" s="2" t="s">
        <v>2314</v>
      </c>
      <c r="P308" s="2" t="s">
        <v>65</v>
      </c>
      <c r="Q308" s="2" t="s">
        <v>66</v>
      </c>
      <c r="R308" s="2" t="s">
        <v>192</v>
      </c>
      <c r="S308" s="2" t="s">
        <v>81</v>
      </c>
    </row>
    <row r="309" ht="15.75" customHeight="1">
      <c r="A309" s="2" t="s">
        <v>2315</v>
      </c>
      <c r="B309" s="2" t="s">
        <v>2316</v>
      </c>
      <c r="C309" s="2" t="s">
        <v>2317</v>
      </c>
      <c r="D309" s="2" t="s">
        <v>2318</v>
      </c>
      <c r="E309" s="2" t="s">
        <v>2319</v>
      </c>
      <c r="F309" s="2" t="s">
        <v>2320</v>
      </c>
      <c r="G309" s="2" t="s">
        <v>151</v>
      </c>
      <c r="H309" s="2" t="s">
        <v>59</v>
      </c>
      <c r="I309" s="2" t="s">
        <v>43</v>
      </c>
      <c r="J309" s="2" t="s">
        <v>2321</v>
      </c>
      <c r="K309" s="2" t="s">
        <v>2322</v>
      </c>
      <c r="L309" s="2" t="s">
        <v>368</v>
      </c>
      <c r="M309" s="2">
        <v>1685.04</v>
      </c>
      <c r="O309" s="2" t="s">
        <v>2323</v>
      </c>
      <c r="P309" s="2" t="s">
        <v>65</v>
      </c>
      <c r="Q309" s="2" t="s">
        <v>66</v>
      </c>
      <c r="R309" s="2" t="s">
        <v>432</v>
      </c>
      <c r="S309" s="2" t="s">
        <v>67</v>
      </c>
    </row>
    <row r="310" ht="15.75" customHeight="1">
      <c r="A310" s="2" t="s">
        <v>2324</v>
      </c>
      <c r="B310" s="2" t="s">
        <v>2325</v>
      </c>
      <c r="C310" s="2" t="s">
        <v>2000</v>
      </c>
      <c r="D310" s="2" t="s">
        <v>2001</v>
      </c>
      <c r="E310" s="2" t="s">
        <v>2002</v>
      </c>
      <c r="F310" s="2" t="s">
        <v>2003</v>
      </c>
      <c r="G310" s="2" t="s">
        <v>165</v>
      </c>
      <c r="H310" s="2" t="s">
        <v>223</v>
      </c>
      <c r="I310" s="2" t="s">
        <v>512</v>
      </c>
      <c r="J310" s="2" t="s">
        <v>740</v>
      </c>
      <c r="K310" s="2" t="s">
        <v>741</v>
      </c>
      <c r="L310" s="2" t="s">
        <v>742</v>
      </c>
      <c r="M310" s="2">
        <v>358.11</v>
      </c>
      <c r="N310" s="2">
        <v>3.0</v>
      </c>
      <c r="O310" s="2" t="s">
        <v>2326</v>
      </c>
      <c r="P310" s="2" t="s">
        <v>95</v>
      </c>
      <c r="Q310" s="2" t="s">
        <v>66</v>
      </c>
      <c r="R310" s="2" t="s">
        <v>158</v>
      </c>
      <c r="S310" s="2" t="s">
        <v>67</v>
      </c>
    </row>
    <row r="311" ht="15.75" customHeight="1">
      <c r="A311" s="2" t="s">
        <v>2327</v>
      </c>
      <c r="B311" s="2" t="s">
        <v>2328</v>
      </c>
      <c r="C311" s="2" t="s">
        <v>2329</v>
      </c>
      <c r="D311" s="2" t="s">
        <v>2330</v>
      </c>
      <c r="E311" s="2" t="s">
        <v>2331</v>
      </c>
      <c r="F311" s="2" t="s">
        <v>2332</v>
      </c>
      <c r="G311" s="2" t="s">
        <v>139</v>
      </c>
      <c r="H311" s="2" t="s">
        <v>223</v>
      </c>
      <c r="I311" s="2" t="s">
        <v>176</v>
      </c>
      <c r="J311" s="2" t="s">
        <v>490</v>
      </c>
      <c r="K311" s="2" t="s">
        <v>491</v>
      </c>
      <c r="L311" s="2" t="s">
        <v>492</v>
      </c>
      <c r="M311" s="2">
        <v>1635.1</v>
      </c>
      <c r="N311" s="2">
        <v>3.0</v>
      </c>
      <c r="O311" s="2" t="s">
        <v>2333</v>
      </c>
      <c r="P311" s="2" t="s">
        <v>65</v>
      </c>
      <c r="Q311" s="2" t="s">
        <v>664</v>
      </c>
      <c r="R311" s="2" t="s">
        <v>169</v>
      </c>
      <c r="S311" s="2" t="s">
        <v>133</v>
      </c>
    </row>
    <row r="312" ht="15.75" customHeight="1">
      <c r="A312" s="2" t="s">
        <v>2334</v>
      </c>
      <c r="B312" s="2" t="s">
        <v>2335</v>
      </c>
      <c r="C312" s="2" t="s">
        <v>530</v>
      </c>
      <c r="D312" s="2" t="s">
        <v>531</v>
      </c>
      <c r="E312" s="2" t="s">
        <v>532</v>
      </c>
      <c r="F312" s="2" t="s">
        <v>533</v>
      </c>
      <c r="G312" s="2" t="s">
        <v>151</v>
      </c>
      <c r="H312" s="2" t="s">
        <v>234</v>
      </c>
      <c r="I312" s="2" t="s">
        <v>365</v>
      </c>
      <c r="J312" s="2" t="s">
        <v>2336</v>
      </c>
      <c r="K312" s="2" t="s">
        <v>1303</v>
      </c>
      <c r="L312" s="2" t="s">
        <v>179</v>
      </c>
      <c r="N312" s="2">
        <v>1.0</v>
      </c>
      <c r="O312" s="2" t="s">
        <v>2337</v>
      </c>
      <c r="P312" s="2" t="s">
        <v>65</v>
      </c>
      <c r="Q312" s="2" t="s">
        <v>49</v>
      </c>
      <c r="R312" s="2" t="s">
        <v>192</v>
      </c>
      <c r="S312" s="2" t="s">
        <v>81</v>
      </c>
    </row>
    <row r="313" ht="15.75" customHeight="1">
      <c r="A313" s="2" t="s">
        <v>2338</v>
      </c>
      <c r="B313" s="2" t="s">
        <v>2339</v>
      </c>
      <c r="C313" s="2" t="s">
        <v>2340</v>
      </c>
      <c r="D313" s="2" t="s">
        <v>1759</v>
      </c>
      <c r="E313" s="2" t="s">
        <v>2341</v>
      </c>
      <c r="F313" s="2" t="s">
        <v>2342</v>
      </c>
      <c r="G313" s="2" t="s">
        <v>671</v>
      </c>
      <c r="H313" s="2" t="s">
        <v>59</v>
      </c>
      <c r="I313" s="2" t="s">
        <v>365</v>
      </c>
      <c r="J313" s="2" t="s">
        <v>1197</v>
      </c>
      <c r="K313" s="2" t="s">
        <v>1198</v>
      </c>
      <c r="L313" s="2" t="s">
        <v>1199</v>
      </c>
      <c r="M313" s="2">
        <v>1419.16</v>
      </c>
      <c r="N313" s="2">
        <v>1.0</v>
      </c>
      <c r="O313" s="2" t="s">
        <v>2343</v>
      </c>
      <c r="P313" s="2" t="s">
        <v>32</v>
      </c>
      <c r="Q313" s="2" t="s">
        <v>143</v>
      </c>
      <c r="R313" s="2" t="s">
        <v>80</v>
      </c>
      <c r="S313" s="2" t="s">
        <v>81</v>
      </c>
    </row>
    <row r="314" ht="15.75" customHeight="1">
      <c r="A314" s="2" t="s">
        <v>2344</v>
      </c>
      <c r="B314" s="2" t="s">
        <v>2345</v>
      </c>
      <c r="C314" s="2" t="s">
        <v>2346</v>
      </c>
      <c r="D314" s="2" t="s">
        <v>2347</v>
      </c>
      <c r="E314" s="2" t="s">
        <v>2348</v>
      </c>
      <c r="G314" s="2" t="s">
        <v>25</v>
      </c>
      <c r="H314" s="2" t="s">
        <v>1167</v>
      </c>
      <c r="I314" s="2" t="s">
        <v>312</v>
      </c>
      <c r="J314" s="2" t="s">
        <v>246</v>
      </c>
      <c r="K314" s="2" t="s">
        <v>247</v>
      </c>
      <c r="L314" s="2" t="s">
        <v>248</v>
      </c>
      <c r="M314" s="2">
        <v>533.11</v>
      </c>
      <c r="N314" s="2">
        <v>1.0</v>
      </c>
      <c r="O314" s="2" t="s">
        <v>2349</v>
      </c>
      <c r="P314" s="2" t="s">
        <v>95</v>
      </c>
      <c r="Q314" s="2" t="s">
        <v>181</v>
      </c>
      <c r="R314" s="2" t="s">
        <v>80</v>
      </c>
      <c r="S314" s="2" t="s">
        <v>133</v>
      </c>
    </row>
    <row r="315" ht="15.75" customHeight="1">
      <c r="A315" s="2" t="s">
        <v>2350</v>
      </c>
      <c r="B315" s="2" t="s">
        <v>2351</v>
      </c>
      <c r="C315" s="2" t="s">
        <v>2352</v>
      </c>
      <c r="D315" s="2" t="s">
        <v>2353</v>
      </c>
      <c r="E315" s="2" t="s">
        <v>2354</v>
      </c>
      <c r="F315" s="2" t="s">
        <v>2355</v>
      </c>
      <c r="G315" s="2" t="s">
        <v>199</v>
      </c>
      <c r="H315" s="2" t="s">
        <v>152</v>
      </c>
      <c r="I315" s="2" t="s">
        <v>480</v>
      </c>
      <c r="J315" s="2" t="s">
        <v>919</v>
      </c>
      <c r="K315" s="2" t="s">
        <v>423</v>
      </c>
      <c r="L315" s="2" t="s">
        <v>179</v>
      </c>
      <c r="M315" s="2">
        <v>733.72</v>
      </c>
      <c r="N315" s="2">
        <v>2.0</v>
      </c>
      <c r="O315" s="2" t="s">
        <v>2356</v>
      </c>
      <c r="P315" s="2" t="s">
        <v>95</v>
      </c>
      <c r="Q315" s="2" t="s">
        <v>238</v>
      </c>
      <c r="R315" s="2" t="s">
        <v>80</v>
      </c>
      <c r="S315" s="2" t="s">
        <v>81</v>
      </c>
    </row>
    <row r="316" ht="15.75" customHeight="1">
      <c r="A316" s="2" t="s">
        <v>2357</v>
      </c>
      <c r="B316" s="2" t="s">
        <v>2358</v>
      </c>
      <c r="C316" s="2" t="s">
        <v>2359</v>
      </c>
      <c r="D316" s="2" t="s">
        <v>2360</v>
      </c>
      <c r="E316" s="2" t="s">
        <v>2361</v>
      </c>
      <c r="F316" s="2" t="s">
        <v>2362</v>
      </c>
      <c r="G316" s="2" t="s">
        <v>88</v>
      </c>
      <c r="H316" s="2" t="s">
        <v>778</v>
      </c>
      <c r="I316" s="2" t="s">
        <v>522</v>
      </c>
      <c r="J316" s="2" t="s">
        <v>461</v>
      </c>
      <c r="K316" s="2" t="s">
        <v>462</v>
      </c>
      <c r="L316" s="2" t="s">
        <v>463</v>
      </c>
      <c r="M316" s="2">
        <v>145.81</v>
      </c>
      <c r="N316" s="2">
        <v>2.0</v>
      </c>
      <c r="O316" s="2" t="s">
        <v>2363</v>
      </c>
      <c r="P316" s="2" t="s">
        <v>95</v>
      </c>
      <c r="Q316" s="2" t="s">
        <v>181</v>
      </c>
      <c r="R316" s="2" t="s">
        <v>294</v>
      </c>
    </row>
    <row r="317" ht="15.75" customHeight="1">
      <c r="A317" s="2" t="s">
        <v>2364</v>
      </c>
      <c r="B317" s="2" t="s">
        <v>2365</v>
      </c>
      <c r="C317" s="2" t="s">
        <v>2366</v>
      </c>
      <c r="D317" s="2" t="s">
        <v>2367</v>
      </c>
      <c r="E317" s="2" t="s">
        <v>2368</v>
      </c>
      <c r="F317" s="2" t="s">
        <v>2369</v>
      </c>
      <c r="G317" s="2" t="s">
        <v>421</v>
      </c>
      <c r="H317" s="2" t="s">
        <v>223</v>
      </c>
      <c r="I317" s="2" t="s">
        <v>90</v>
      </c>
      <c r="J317" s="2" t="s">
        <v>189</v>
      </c>
      <c r="K317" s="2" t="s">
        <v>190</v>
      </c>
      <c r="L317" s="2" t="s">
        <v>167</v>
      </c>
      <c r="M317" s="2">
        <v>1256.14</v>
      </c>
      <c r="N317" s="2">
        <v>1.0</v>
      </c>
      <c r="O317" s="2" t="s">
        <v>2370</v>
      </c>
      <c r="P317" s="2" t="s">
        <v>95</v>
      </c>
      <c r="Q317" s="2" t="s">
        <v>505</v>
      </c>
      <c r="R317" s="2" t="s">
        <v>192</v>
      </c>
      <c r="S317" s="2" t="s">
        <v>67</v>
      </c>
    </row>
    <row r="318" ht="15.75" customHeight="1">
      <c r="A318" s="2" t="s">
        <v>2371</v>
      </c>
      <c r="B318" s="2" t="s">
        <v>2372</v>
      </c>
      <c r="C318" s="2" t="s">
        <v>2373</v>
      </c>
      <c r="D318" s="2" t="s">
        <v>2374</v>
      </c>
      <c r="E318" s="2" t="s">
        <v>2375</v>
      </c>
      <c r="F318" s="2" t="s">
        <v>2376</v>
      </c>
      <c r="G318" s="2" t="s">
        <v>139</v>
      </c>
      <c r="H318" s="2" t="s">
        <v>2377</v>
      </c>
      <c r="I318" s="2" t="s">
        <v>401</v>
      </c>
      <c r="J318" s="2" t="s">
        <v>1815</v>
      </c>
      <c r="K318" s="2" t="s">
        <v>314</v>
      </c>
      <c r="L318" s="2" t="s">
        <v>368</v>
      </c>
      <c r="M318" s="2">
        <v>1097.72</v>
      </c>
      <c r="N318" s="2">
        <v>1.0</v>
      </c>
      <c r="O318" s="2" t="s">
        <v>2378</v>
      </c>
      <c r="P318" s="2" t="s">
        <v>65</v>
      </c>
      <c r="Q318" s="2" t="s">
        <v>66</v>
      </c>
      <c r="R318" s="2" t="s">
        <v>345</v>
      </c>
      <c r="S318" s="2" t="s">
        <v>51</v>
      </c>
    </row>
    <row r="319" ht="15.75" customHeight="1">
      <c r="A319" s="2" t="s">
        <v>2379</v>
      </c>
      <c r="B319" s="2" t="s">
        <v>2380</v>
      </c>
      <c r="C319" s="2" t="s">
        <v>2381</v>
      </c>
      <c r="D319" s="2" t="s">
        <v>2382</v>
      </c>
      <c r="E319" s="2" t="s">
        <v>2383</v>
      </c>
      <c r="F319" s="2" t="s">
        <v>2384</v>
      </c>
      <c r="G319" s="2" t="s">
        <v>671</v>
      </c>
      <c r="H319" s="2" t="s">
        <v>1167</v>
      </c>
      <c r="I319" s="2" t="s">
        <v>522</v>
      </c>
      <c r="J319" s="2" t="s">
        <v>792</v>
      </c>
      <c r="K319" s="2" t="s">
        <v>314</v>
      </c>
      <c r="L319" s="2" t="s">
        <v>742</v>
      </c>
      <c r="M319" s="2">
        <v>1220.87</v>
      </c>
      <c r="N319" s="2">
        <v>2.0</v>
      </c>
      <c r="O319" s="2" t="s">
        <v>2385</v>
      </c>
      <c r="P319" s="2" t="s">
        <v>65</v>
      </c>
      <c r="Q319" s="2" t="s">
        <v>96</v>
      </c>
      <c r="R319" s="2" t="s">
        <v>294</v>
      </c>
      <c r="S319" s="2" t="s">
        <v>51</v>
      </c>
    </row>
    <row r="320" ht="15.75" customHeight="1">
      <c r="A320" s="2" t="s">
        <v>2386</v>
      </c>
      <c r="B320" s="2" t="s">
        <v>2387</v>
      </c>
      <c r="C320" s="2" t="s">
        <v>2388</v>
      </c>
      <c r="D320" s="2" t="s">
        <v>2389</v>
      </c>
      <c r="E320" s="2" t="s">
        <v>2390</v>
      </c>
      <c r="F320" s="2" t="s">
        <v>2391</v>
      </c>
      <c r="G320" s="2" t="s">
        <v>448</v>
      </c>
      <c r="H320" s="2" t="s">
        <v>460</v>
      </c>
      <c r="I320" s="2" t="s">
        <v>333</v>
      </c>
      <c r="J320" s="2" t="s">
        <v>258</v>
      </c>
      <c r="K320" s="2" t="s">
        <v>259</v>
      </c>
      <c r="L320" s="2" t="s">
        <v>214</v>
      </c>
      <c r="N320" s="2">
        <v>5.0</v>
      </c>
      <c r="O320" s="2" t="s">
        <v>2392</v>
      </c>
      <c r="P320" s="2" t="s">
        <v>65</v>
      </c>
      <c r="Q320" s="2" t="s">
        <v>2037</v>
      </c>
      <c r="R320" s="2" t="s">
        <v>1171</v>
      </c>
    </row>
    <row r="321" ht="15.75" customHeight="1">
      <c r="A321" s="2" t="s">
        <v>2393</v>
      </c>
      <c r="B321" s="2" t="s">
        <v>2394</v>
      </c>
      <c r="C321" s="2" t="s">
        <v>2395</v>
      </c>
      <c r="D321" s="2" t="s">
        <v>231</v>
      </c>
      <c r="E321" s="2" t="s">
        <v>2396</v>
      </c>
      <c r="F321" s="2" t="s">
        <v>2397</v>
      </c>
      <c r="G321" s="2" t="s">
        <v>41</v>
      </c>
      <c r="H321" s="2" t="s">
        <v>26</v>
      </c>
      <c r="I321" s="2" t="s">
        <v>1046</v>
      </c>
      <c r="J321" s="2" t="s">
        <v>2398</v>
      </c>
      <c r="K321" s="2" t="s">
        <v>225</v>
      </c>
      <c r="L321" s="2" t="s">
        <v>179</v>
      </c>
      <c r="N321" s="2">
        <v>5.0</v>
      </c>
      <c r="O321" s="2" t="s">
        <v>2399</v>
      </c>
      <c r="P321" s="2" t="s">
        <v>32</v>
      </c>
      <c r="Q321" s="2" t="s">
        <v>181</v>
      </c>
      <c r="R321" s="2" t="s">
        <v>2400</v>
      </c>
    </row>
    <row r="322" ht="15.75" customHeight="1">
      <c r="A322" s="2" t="s">
        <v>2401</v>
      </c>
      <c r="B322" s="2" t="s">
        <v>2402</v>
      </c>
      <c r="C322" s="2" t="s">
        <v>830</v>
      </c>
      <c r="D322" s="2" t="s">
        <v>831</v>
      </c>
      <c r="E322" s="2" t="s">
        <v>832</v>
      </c>
      <c r="F322" s="2" t="s">
        <v>833</v>
      </c>
      <c r="G322" s="2" t="s">
        <v>834</v>
      </c>
      <c r="H322" s="2" t="s">
        <v>2403</v>
      </c>
      <c r="I322" s="2" t="s">
        <v>103</v>
      </c>
      <c r="J322" s="2" t="s">
        <v>1460</v>
      </c>
      <c r="K322" s="2" t="s">
        <v>1461</v>
      </c>
      <c r="L322" s="2" t="s">
        <v>368</v>
      </c>
      <c r="N322" s="2">
        <v>1.0</v>
      </c>
      <c r="O322" s="2" t="s">
        <v>2404</v>
      </c>
      <c r="P322" s="2" t="s">
        <v>65</v>
      </c>
      <c r="Q322" s="2" t="s">
        <v>370</v>
      </c>
      <c r="R322" s="2" t="s">
        <v>169</v>
      </c>
      <c r="S322" s="2" t="s">
        <v>51</v>
      </c>
    </row>
    <row r="323" ht="15.75" customHeight="1">
      <c r="A323" s="2" t="s">
        <v>2405</v>
      </c>
      <c r="B323" s="2" t="s">
        <v>2406</v>
      </c>
      <c r="C323" s="2" t="s">
        <v>2407</v>
      </c>
      <c r="D323" s="2" t="s">
        <v>2408</v>
      </c>
      <c r="E323" s="2" t="s">
        <v>2409</v>
      </c>
      <c r="F323" s="2" t="s">
        <v>2410</v>
      </c>
      <c r="G323" s="2" t="s">
        <v>1054</v>
      </c>
      <c r="H323" s="2" t="s">
        <v>683</v>
      </c>
      <c r="I323" s="2" t="s">
        <v>60</v>
      </c>
      <c r="J323" s="2" t="s">
        <v>76</v>
      </c>
      <c r="K323" s="2" t="s">
        <v>77</v>
      </c>
      <c r="L323" s="2" t="s">
        <v>78</v>
      </c>
      <c r="M323" s="2">
        <v>401.69</v>
      </c>
      <c r="O323" s="2" t="s">
        <v>2411</v>
      </c>
      <c r="P323" s="2" t="s">
        <v>95</v>
      </c>
      <c r="Q323" s="2" t="s">
        <v>505</v>
      </c>
      <c r="R323" s="2" t="s">
        <v>158</v>
      </c>
      <c r="S323" s="2" t="s">
        <v>67</v>
      </c>
    </row>
    <row r="324" ht="15.75" customHeight="1">
      <c r="A324" s="2" t="s">
        <v>2412</v>
      </c>
      <c r="B324" s="2" t="s">
        <v>2413</v>
      </c>
      <c r="C324" s="2" t="s">
        <v>2414</v>
      </c>
      <c r="D324" s="2" t="s">
        <v>2415</v>
      </c>
      <c r="F324" s="2" t="s">
        <v>2416</v>
      </c>
      <c r="G324" s="2" t="s">
        <v>671</v>
      </c>
      <c r="H324" s="2" t="s">
        <v>778</v>
      </c>
      <c r="I324" s="2" t="s">
        <v>500</v>
      </c>
      <c r="J324" s="2" t="s">
        <v>2417</v>
      </c>
      <c r="K324" s="2" t="s">
        <v>225</v>
      </c>
      <c r="L324" s="2" t="s">
        <v>503</v>
      </c>
      <c r="M324" s="2">
        <v>662.0</v>
      </c>
      <c r="N324" s="2">
        <v>3.0</v>
      </c>
      <c r="P324" s="2" t="s">
        <v>32</v>
      </c>
      <c r="Q324" s="2" t="s">
        <v>181</v>
      </c>
      <c r="R324" s="2" t="s">
        <v>120</v>
      </c>
      <c r="S324" s="2" t="s">
        <v>81</v>
      </c>
    </row>
    <row r="325" ht="15.75" customHeight="1">
      <c r="A325" s="2" t="s">
        <v>2418</v>
      </c>
      <c r="B325" s="2" t="s">
        <v>2419</v>
      </c>
      <c r="C325" s="2" t="s">
        <v>586</v>
      </c>
      <c r="D325" s="2" t="s">
        <v>587</v>
      </c>
      <c r="E325" s="2" t="s">
        <v>588</v>
      </c>
      <c r="F325" s="2" t="s">
        <v>589</v>
      </c>
      <c r="G325" s="2" t="s">
        <v>199</v>
      </c>
      <c r="H325" s="2" t="s">
        <v>42</v>
      </c>
      <c r="I325" s="2" t="s">
        <v>43</v>
      </c>
      <c r="J325" s="2" t="s">
        <v>2420</v>
      </c>
      <c r="K325" s="2" t="s">
        <v>462</v>
      </c>
      <c r="L325" s="2" t="s">
        <v>2421</v>
      </c>
      <c r="M325" s="2">
        <v>801.57</v>
      </c>
      <c r="N325" s="2">
        <v>2.0</v>
      </c>
      <c r="O325" s="2" t="s">
        <v>2422</v>
      </c>
      <c r="P325" s="2" t="s">
        <v>95</v>
      </c>
      <c r="Q325" s="2" t="s">
        <v>505</v>
      </c>
      <c r="R325" s="2" t="s">
        <v>158</v>
      </c>
      <c r="S325" s="2" t="s">
        <v>81</v>
      </c>
    </row>
    <row r="326" ht="15.75" customHeight="1">
      <c r="A326" s="2" t="s">
        <v>2423</v>
      </c>
      <c r="B326" s="2" t="s">
        <v>2424</v>
      </c>
      <c r="C326" s="2" t="s">
        <v>1396</v>
      </c>
      <c r="D326" s="2" t="s">
        <v>1397</v>
      </c>
      <c r="E326" s="2" t="s">
        <v>1398</v>
      </c>
      <c r="F326" s="2" t="s">
        <v>1399</v>
      </c>
      <c r="G326" s="2" t="s">
        <v>139</v>
      </c>
      <c r="H326" s="2" t="s">
        <v>1151</v>
      </c>
      <c r="I326" s="2" t="s">
        <v>90</v>
      </c>
      <c r="J326" s="2" t="s">
        <v>2425</v>
      </c>
      <c r="K326" s="2" t="s">
        <v>2426</v>
      </c>
      <c r="L326" s="2" t="s">
        <v>2427</v>
      </c>
      <c r="M326" s="2">
        <v>983.08</v>
      </c>
      <c r="N326" s="2">
        <v>3.0</v>
      </c>
      <c r="O326" s="2" t="s">
        <v>2428</v>
      </c>
      <c r="P326" s="2" t="s">
        <v>48</v>
      </c>
      <c r="Q326" s="2" t="s">
        <v>49</v>
      </c>
      <c r="R326" s="2" t="s">
        <v>1171</v>
      </c>
      <c r="S326" s="2" t="s">
        <v>81</v>
      </c>
    </row>
    <row r="327" ht="15.75" customHeight="1">
      <c r="A327" s="2" t="s">
        <v>2429</v>
      </c>
      <c r="B327" s="2" t="s">
        <v>2430</v>
      </c>
      <c r="C327" s="2" t="s">
        <v>2431</v>
      </c>
      <c r="D327" s="2" t="s">
        <v>2432</v>
      </c>
      <c r="E327" s="2" t="s">
        <v>2433</v>
      </c>
      <c r="F327" s="2" t="s">
        <v>2434</v>
      </c>
      <c r="G327" s="2" t="s">
        <v>58</v>
      </c>
      <c r="H327" s="2" t="s">
        <v>460</v>
      </c>
      <c r="I327" s="2" t="s">
        <v>116</v>
      </c>
      <c r="J327" s="2" t="s">
        <v>957</v>
      </c>
      <c r="K327" s="2" t="s">
        <v>403</v>
      </c>
      <c r="L327" s="2" t="s">
        <v>167</v>
      </c>
      <c r="M327" s="2">
        <v>416.56</v>
      </c>
      <c r="N327" s="2">
        <v>5.0</v>
      </c>
      <c r="O327" s="2" t="s">
        <v>2435</v>
      </c>
      <c r="P327" s="2" t="s">
        <v>65</v>
      </c>
      <c r="Q327" s="2" t="s">
        <v>33</v>
      </c>
      <c r="R327" s="2" t="s">
        <v>345</v>
      </c>
      <c r="S327" s="2" t="s">
        <v>67</v>
      </c>
    </row>
    <row r="328" ht="15.75" customHeight="1">
      <c r="A328" s="2" t="s">
        <v>2436</v>
      </c>
      <c r="B328" s="2" t="s">
        <v>2437</v>
      </c>
      <c r="C328" s="2" t="s">
        <v>1472</v>
      </c>
      <c r="D328" s="2" t="s">
        <v>2438</v>
      </c>
      <c r="E328" s="2" t="s">
        <v>2439</v>
      </c>
      <c r="F328" s="2" t="s">
        <v>1474</v>
      </c>
      <c r="G328" s="2" t="s">
        <v>114</v>
      </c>
      <c r="H328" s="2" t="s">
        <v>115</v>
      </c>
      <c r="I328" s="2" t="s">
        <v>75</v>
      </c>
      <c r="J328" s="2" t="s">
        <v>2398</v>
      </c>
      <c r="K328" s="2" t="s">
        <v>225</v>
      </c>
      <c r="L328" s="2" t="s">
        <v>179</v>
      </c>
      <c r="N328" s="2">
        <v>2.0</v>
      </c>
      <c r="O328" s="2" t="s">
        <v>2440</v>
      </c>
      <c r="P328" s="2" t="s">
        <v>65</v>
      </c>
      <c r="Q328" s="2" t="s">
        <v>573</v>
      </c>
      <c r="R328" s="2" t="s">
        <v>345</v>
      </c>
    </row>
    <row r="329" ht="15.75" customHeight="1">
      <c r="A329" s="2" t="s">
        <v>2441</v>
      </c>
      <c r="B329" s="2" t="s">
        <v>2442</v>
      </c>
      <c r="C329" s="2" t="s">
        <v>2443</v>
      </c>
      <c r="D329" s="2" t="s">
        <v>2444</v>
      </c>
      <c r="E329" s="2" t="s">
        <v>2445</v>
      </c>
      <c r="F329" s="2" t="s">
        <v>2446</v>
      </c>
      <c r="G329" s="2" t="s">
        <v>671</v>
      </c>
      <c r="H329" s="2" t="s">
        <v>301</v>
      </c>
      <c r="I329" s="2" t="s">
        <v>176</v>
      </c>
      <c r="J329" s="2" t="s">
        <v>2219</v>
      </c>
      <c r="K329" s="2" t="s">
        <v>236</v>
      </c>
      <c r="L329" s="2" t="s">
        <v>805</v>
      </c>
      <c r="M329" s="2">
        <v>1637.77</v>
      </c>
      <c r="N329" s="2">
        <v>2.0</v>
      </c>
      <c r="O329" s="2" t="s">
        <v>2447</v>
      </c>
      <c r="P329" s="2" t="s">
        <v>95</v>
      </c>
      <c r="Q329" s="2" t="s">
        <v>2448</v>
      </c>
      <c r="R329" s="2" t="s">
        <v>132</v>
      </c>
    </row>
    <row r="330" ht="15.75" customHeight="1">
      <c r="A330" s="2" t="s">
        <v>2449</v>
      </c>
      <c r="B330" s="2" t="s">
        <v>2450</v>
      </c>
      <c r="C330" s="2" t="s">
        <v>2451</v>
      </c>
      <c r="D330" s="2" t="s">
        <v>2452</v>
      </c>
      <c r="E330" s="2" t="s">
        <v>2453</v>
      </c>
      <c r="F330" s="2" t="s">
        <v>2454</v>
      </c>
      <c r="G330" s="2" t="s">
        <v>564</v>
      </c>
      <c r="H330" s="2" t="s">
        <v>301</v>
      </c>
      <c r="I330" s="2" t="s">
        <v>480</v>
      </c>
      <c r="J330" s="2" t="s">
        <v>28</v>
      </c>
      <c r="K330" s="2" t="s">
        <v>29</v>
      </c>
      <c r="L330" s="2" t="s">
        <v>30</v>
      </c>
      <c r="M330" s="2">
        <v>1158.76</v>
      </c>
      <c r="N330" s="2">
        <v>1.0</v>
      </c>
      <c r="O330" s="2" t="s">
        <v>2455</v>
      </c>
      <c r="P330" s="2" t="s">
        <v>65</v>
      </c>
      <c r="Q330" s="2" t="s">
        <v>2456</v>
      </c>
      <c r="R330" s="2" t="s">
        <v>306</v>
      </c>
    </row>
    <row r="331" ht="15.75" customHeight="1">
      <c r="A331" s="2" t="s">
        <v>2457</v>
      </c>
      <c r="B331" s="2" t="s">
        <v>2458</v>
      </c>
      <c r="C331" s="2" t="s">
        <v>2459</v>
      </c>
      <c r="D331" s="2" t="s">
        <v>2460</v>
      </c>
      <c r="E331" s="2" t="s">
        <v>2461</v>
      </c>
      <c r="F331" s="2" t="s">
        <v>2462</v>
      </c>
      <c r="G331" s="2" t="s">
        <v>165</v>
      </c>
      <c r="H331" s="2" t="s">
        <v>59</v>
      </c>
      <c r="I331" s="2" t="s">
        <v>176</v>
      </c>
      <c r="J331" s="2" t="s">
        <v>189</v>
      </c>
      <c r="K331" s="2" t="s">
        <v>190</v>
      </c>
      <c r="L331" s="2" t="s">
        <v>167</v>
      </c>
      <c r="M331" s="2">
        <v>927.64</v>
      </c>
      <c r="N331" s="2">
        <v>3.0</v>
      </c>
      <c r="P331" s="2" t="s">
        <v>32</v>
      </c>
      <c r="Q331" s="2" t="s">
        <v>33</v>
      </c>
      <c r="R331" s="2" t="s">
        <v>306</v>
      </c>
    </row>
    <row r="332" ht="15.75" customHeight="1">
      <c r="A332" s="2" t="s">
        <v>2463</v>
      </c>
      <c r="B332" s="2" t="s">
        <v>2464</v>
      </c>
      <c r="C332" s="2" t="s">
        <v>2465</v>
      </c>
      <c r="D332" s="2" t="s">
        <v>2466</v>
      </c>
      <c r="E332" s="2" t="s">
        <v>2467</v>
      </c>
      <c r="F332" s="2" t="s">
        <v>2468</v>
      </c>
      <c r="G332" s="2" t="s">
        <v>25</v>
      </c>
      <c r="H332" s="2" t="s">
        <v>683</v>
      </c>
      <c r="I332" s="2" t="s">
        <v>522</v>
      </c>
      <c r="J332" s="2" t="s">
        <v>390</v>
      </c>
      <c r="K332" s="2" t="s">
        <v>391</v>
      </c>
      <c r="L332" s="2" t="s">
        <v>248</v>
      </c>
      <c r="M332" s="2">
        <v>273.81</v>
      </c>
      <c r="N332" s="2">
        <v>2.0</v>
      </c>
      <c r="O332" s="2" t="s">
        <v>2469</v>
      </c>
      <c r="P332" s="2" t="s">
        <v>95</v>
      </c>
      <c r="Q332" s="2" t="s">
        <v>526</v>
      </c>
      <c r="R332" s="2" t="s">
        <v>527</v>
      </c>
    </row>
    <row r="333" ht="15.75" customHeight="1">
      <c r="A333" s="2" t="s">
        <v>2470</v>
      </c>
      <c r="B333" s="2" t="s">
        <v>2471</v>
      </c>
      <c r="C333" s="2" t="s">
        <v>1456</v>
      </c>
      <c r="D333" s="2" t="s">
        <v>1457</v>
      </c>
      <c r="E333" s="2" t="s">
        <v>1458</v>
      </c>
      <c r="F333" s="2" t="s">
        <v>1459</v>
      </c>
      <c r="G333" s="2" t="s">
        <v>608</v>
      </c>
      <c r="H333" s="2" t="s">
        <v>2472</v>
      </c>
      <c r="I333" s="2" t="s">
        <v>176</v>
      </c>
      <c r="J333" s="2" t="s">
        <v>1085</v>
      </c>
      <c r="K333" s="2" t="s">
        <v>335</v>
      </c>
      <c r="L333" s="2" t="s">
        <v>368</v>
      </c>
      <c r="M333" s="2">
        <v>1371.15</v>
      </c>
      <c r="N333" s="2">
        <v>2.0</v>
      </c>
      <c r="O333" s="2" t="s">
        <v>2473</v>
      </c>
      <c r="P333" s="2" t="s">
        <v>32</v>
      </c>
      <c r="Q333" s="2" t="s">
        <v>49</v>
      </c>
      <c r="R333" s="2" t="s">
        <v>50</v>
      </c>
    </row>
    <row r="334" ht="15.75" customHeight="1">
      <c r="A334" s="2" t="s">
        <v>2474</v>
      </c>
      <c r="B334" s="2" t="s">
        <v>2475</v>
      </c>
      <c r="C334" s="2" t="s">
        <v>2476</v>
      </c>
      <c r="D334" s="2" t="s">
        <v>2477</v>
      </c>
      <c r="E334" s="2" t="s">
        <v>2478</v>
      </c>
      <c r="F334" s="2" t="s">
        <v>2479</v>
      </c>
      <c r="G334" s="2" t="s">
        <v>564</v>
      </c>
      <c r="H334" s="2" t="s">
        <v>234</v>
      </c>
      <c r="I334" s="2" t="s">
        <v>90</v>
      </c>
      <c r="J334" s="2" t="s">
        <v>471</v>
      </c>
      <c r="K334" s="2" t="s">
        <v>472</v>
      </c>
      <c r="L334" s="2" t="s">
        <v>179</v>
      </c>
      <c r="M334" s="2">
        <v>1376.0</v>
      </c>
      <c r="N334" s="2">
        <v>3.0</v>
      </c>
      <c r="O334" s="2" t="s">
        <v>2480</v>
      </c>
      <c r="P334" s="2" t="s">
        <v>65</v>
      </c>
      <c r="Q334" s="2" t="s">
        <v>370</v>
      </c>
      <c r="R334" s="2" t="s">
        <v>192</v>
      </c>
    </row>
    <row r="335" ht="15.75" customHeight="1">
      <c r="A335" s="2" t="s">
        <v>2481</v>
      </c>
      <c r="B335" s="2" t="s">
        <v>2482</v>
      </c>
      <c r="C335" s="2" t="s">
        <v>242</v>
      </c>
      <c r="D335" s="2" t="s">
        <v>243</v>
      </c>
      <c r="E335" s="2" t="s">
        <v>244</v>
      </c>
      <c r="F335" s="2" t="s">
        <v>245</v>
      </c>
      <c r="G335" s="2" t="s">
        <v>58</v>
      </c>
      <c r="H335" s="2" t="s">
        <v>323</v>
      </c>
      <c r="I335" s="2" t="s">
        <v>103</v>
      </c>
      <c r="J335" s="2" t="s">
        <v>2483</v>
      </c>
      <c r="K335" s="2" t="s">
        <v>1530</v>
      </c>
      <c r="L335" s="2" t="s">
        <v>503</v>
      </c>
      <c r="M335" s="2">
        <v>1776.72</v>
      </c>
      <c r="N335" s="2">
        <v>2.0</v>
      </c>
      <c r="O335" s="2" t="s">
        <v>2484</v>
      </c>
      <c r="P335" s="2" t="s">
        <v>95</v>
      </c>
      <c r="Q335" s="2" t="s">
        <v>181</v>
      </c>
      <c r="R335" s="2" t="s">
        <v>158</v>
      </c>
      <c r="S335" s="2" t="s">
        <v>51</v>
      </c>
    </row>
    <row r="336" ht="15.75" customHeight="1">
      <c r="A336" s="2" t="s">
        <v>2485</v>
      </c>
      <c r="B336" s="2" t="s">
        <v>2486</v>
      </c>
      <c r="C336" s="2" t="s">
        <v>2487</v>
      </c>
      <c r="D336" s="2" t="s">
        <v>2488</v>
      </c>
      <c r="E336" s="2" t="s">
        <v>2489</v>
      </c>
      <c r="F336" s="2" t="s">
        <v>2490</v>
      </c>
      <c r="G336" s="2" t="s">
        <v>2491</v>
      </c>
      <c r="H336" s="2" t="s">
        <v>26</v>
      </c>
      <c r="I336" s="2" t="s">
        <v>480</v>
      </c>
      <c r="J336" s="2" t="s">
        <v>1606</v>
      </c>
      <c r="K336" s="2" t="s">
        <v>213</v>
      </c>
      <c r="L336" s="2" t="s">
        <v>106</v>
      </c>
      <c r="M336" s="2">
        <v>1455.82</v>
      </c>
      <c r="O336" s="2" t="s">
        <v>2492</v>
      </c>
      <c r="P336" s="2" t="s">
        <v>95</v>
      </c>
      <c r="Q336" s="2" t="s">
        <v>131</v>
      </c>
      <c r="R336" s="2" t="s">
        <v>294</v>
      </c>
    </row>
    <row r="337" ht="15.75" customHeight="1">
      <c r="A337" s="2" t="s">
        <v>2493</v>
      </c>
      <c r="B337" s="2" t="s">
        <v>2494</v>
      </c>
      <c r="C337" s="2" t="s">
        <v>2495</v>
      </c>
      <c r="D337" s="2" t="s">
        <v>2496</v>
      </c>
      <c r="E337" s="2" t="s">
        <v>2497</v>
      </c>
      <c r="G337" s="2" t="s">
        <v>25</v>
      </c>
      <c r="H337" s="2" t="s">
        <v>234</v>
      </c>
      <c r="I337" s="2" t="s">
        <v>512</v>
      </c>
      <c r="J337" s="2" t="s">
        <v>1255</v>
      </c>
      <c r="K337" s="2" t="s">
        <v>29</v>
      </c>
      <c r="L337" s="2" t="s">
        <v>271</v>
      </c>
      <c r="M337" s="2">
        <v>568.41</v>
      </c>
      <c r="N337" s="2">
        <v>5.0</v>
      </c>
      <c r="O337" s="2" t="s">
        <v>2498</v>
      </c>
      <c r="P337" s="2" t="s">
        <v>65</v>
      </c>
      <c r="Q337" s="2" t="s">
        <v>131</v>
      </c>
      <c r="R337" s="2" t="s">
        <v>80</v>
      </c>
    </row>
    <row r="338" ht="15.75" customHeight="1">
      <c r="A338" s="2" t="s">
        <v>2499</v>
      </c>
      <c r="B338" s="2" t="s">
        <v>2500</v>
      </c>
      <c r="C338" s="2" t="s">
        <v>2501</v>
      </c>
      <c r="D338" s="2" t="s">
        <v>2502</v>
      </c>
      <c r="E338" s="2" t="s">
        <v>2503</v>
      </c>
      <c r="F338" s="2" t="s">
        <v>2504</v>
      </c>
      <c r="G338" s="2" t="s">
        <v>151</v>
      </c>
      <c r="H338" s="2" t="s">
        <v>234</v>
      </c>
      <c r="I338" s="2" t="s">
        <v>480</v>
      </c>
      <c r="J338" s="2" t="s">
        <v>1109</v>
      </c>
      <c r="K338" s="2" t="s">
        <v>1110</v>
      </c>
      <c r="L338" s="2" t="s">
        <v>826</v>
      </c>
      <c r="M338" s="2">
        <v>1217.99</v>
      </c>
      <c r="N338" s="2">
        <v>1.0</v>
      </c>
      <c r="O338" s="2" t="s">
        <v>2505</v>
      </c>
      <c r="P338" s="2" t="s">
        <v>48</v>
      </c>
      <c r="Q338" s="2" t="s">
        <v>526</v>
      </c>
      <c r="R338" s="2" t="s">
        <v>818</v>
      </c>
    </row>
    <row r="339" ht="15.75" customHeight="1">
      <c r="A339" s="2" t="s">
        <v>2506</v>
      </c>
      <c r="B339" s="2" t="s">
        <v>1859</v>
      </c>
      <c r="C339" s="2" t="s">
        <v>2507</v>
      </c>
      <c r="D339" s="2" t="s">
        <v>2508</v>
      </c>
      <c r="E339" s="2" t="s">
        <v>2509</v>
      </c>
      <c r="F339" s="2" t="s">
        <v>2510</v>
      </c>
      <c r="G339" s="2" t="s">
        <v>564</v>
      </c>
      <c r="H339" s="2" t="s">
        <v>400</v>
      </c>
      <c r="I339" s="2" t="s">
        <v>870</v>
      </c>
      <c r="J339" s="2" t="s">
        <v>1641</v>
      </c>
      <c r="K339" s="2" t="s">
        <v>825</v>
      </c>
      <c r="L339" s="2" t="s">
        <v>179</v>
      </c>
      <c r="M339" s="2">
        <v>1091.4</v>
      </c>
      <c r="N339" s="2">
        <v>1.0</v>
      </c>
      <c r="O339" s="2" t="s">
        <v>2511</v>
      </c>
      <c r="P339" s="2" t="s">
        <v>95</v>
      </c>
      <c r="Q339" s="2" t="s">
        <v>66</v>
      </c>
      <c r="R339" s="2" t="s">
        <v>2512</v>
      </c>
    </row>
    <row r="340" ht="15.75" customHeight="1">
      <c r="A340" s="2" t="s">
        <v>2513</v>
      </c>
      <c r="B340" s="2" t="s">
        <v>2514</v>
      </c>
      <c r="C340" s="2" t="s">
        <v>1354</v>
      </c>
      <c r="D340" s="2" t="s">
        <v>1355</v>
      </c>
      <c r="E340" s="2" t="s">
        <v>1356</v>
      </c>
      <c r="G340" s="2" t="s">
        <v>199</v>
      </c>
      <c r="H340" s="2" t="s">
        <v>778</v>
      </c>
      <c r="I340" s="2" t="s">
        <v>401</v>
      </c>
      <c r="J340" s="2" t="s">
        <v>939</v>
      </c>
      <c r="K340" s="2" t="s">
        <v>940</v>
      </c>
      <c r="L340" s="2" t="s">
        <v>941</v>
      </c>
      <c r="N340" s="2">
        <v>2.0</v>
      </c>
      <c r="O340" s="2" t="s">
        <v>2515</v>
      </c>
      <c r="P340" s="2" t="s">
        <v>48</v>
      </c>
      <c r="Q340" s="2" t="s">
        <v>505</v>
      </c>
      <c r="R340" s="2" t="s">
        <v>294</v>
      </c>
      <c r="S340" s="2" t="s">
        <v>81</v>
      </c>
    </row>
    <row r="341" ht="15.75" customHeight="1">
      <c r="A341" s="2" t="s">
        <v>2516</v>
      </c>
      <c r="B341" s="2" t="s">
        <v>2517</v>
      </c>
      <c r="C341" s="2" t="s">
        <v>1697</v>
      </c>
      <c r="D341" s="2" t="s">
        <v>1698</v>
      </c>
      <c r="E341" s="2" t="s">
        <v>2518</v>
      </c>
      <c r="F341" s="2" t="s">
        <v>1699</v>
      </c>
      <c r="G341" s="2" t="s">
        <v>608</v>
      </c>
      <c r="H341" s="2" t="s">
        <v>2519</v>
      </c>
      <c r="I341" s="2" t="s">
        <v>90</v>
      </c>
      <c r="J341" s="2" t="s">
        <v>609</v>
      </c>
      <c r="K341" s="2" t="s">
        <v>259</v>
      </c>
      <c r="L341" s="2" t="s">
        <v>610</v>
      </c>
      <c r="N341" s="2">
        <v>2.0</v>
      </c>
      <c r="O341" s="2" t="s">
        <v>2520</v>
      </c>
      <c r="P341" s="2" t="s">
        <v>65</v>
      </c>
      <c r="Q341" s="2" t="s">
        <v>2521</v>
      </c>
      <c r="R341" s="2" t="s">
        <v>294</v>
      </c>
      <c r="S341" s="2" t="s">
        <v>81</v>
      </c>
    </row>
    <row r="342" ht="15.75" customHeight="1">
      <c r="A342" s="2" t="s">
        <v>2522</v>
      </c>
      <c r="B342" s="2" t="s">
        <v>2523</v>
      </c>
      <c r="C342" s="2" t="s">
        <v>37</v>
      </c>
      <c r="D342" s="2" t="s">
        <v>38</v>
      </c>
      <c r="E342" s="2" t="s">
        <v>39</v>
      </c>
      <c r="F342" s="2" t="s">
        <v>40</v>
      </c>
      <c r="G342" s="2" t="s">
        <v>41</v>
      </c>
      <c r="H342" s="2" t="s">
        <v>59</v>
      </c>
      <c r="I342" s="2" t="s">
        <v>75</v>
      </c>
      <c r="J342" s="2" t="s">
        <v>824</v>
      </c>
      <c r="K342" s="2" t="s">
        <v>825</v>
      </c>
      <c r="L342" s="2" t="s">
        <v>826</v>
      </c>
      <c r="M342" s="2">
        <v>811.93</v>
      </c>
      <c r="N342" s="2">
        <v>2.0</v>
      </c>
      <c r="O342" s="2" t="s">
        <v>2524</v>
      </c>
      <c r="P342" s="2" t="s">
        <v>48</v>
      </c>
      <c r="Q342" s="2" t="s">
        <v>505</v>
      </c>
      <c r="R342" s="2" t="s">
        <v>2525</v>
      </c>
      <c r="S342" s="2" t="s">
        <v>67</v>
      </c>
    </row>
    <row r="343" ht="15.75" customHeight="1">
      <c r="A343" s="2" t="s">
        <v>2526</v>
      </c>
      <c r="B343" s="2" t="s">
        <v>2527</v>
      </c>
      <c r="C343" s="2" t="s">
        <v>2528</v>
      </c>
      <c r="D343" s="2" t="s">
        <v>2529</v>
      </c>
      <c r="E343" s="2" t="s">
        <v>2530</v>
      </c>
      <c r="F343" s="2" t="s">
        <v>2531</v>
      </c>
      <c r="G343" s="2" t="s">
        <v>671</v>
      </c>
      <c r="H343" s="2" t="s">
        <v>223</v>
      </c>
      <c r="I343" s="2" t="s">
        <v>176</v>
      </c>
      <c r="J343" s="2" t="s">
        <v>1476</v>
      </c>
      <c r="K343" s="2" t="s">
        <v>1147</v>
      </c>
      <c r="L343" s="2" t="s">
        <v>1477</v>
      </c>
      <c r="M343" s="2">
        <v>184.63</v>
      </c>
      <c r="N343" s="2">
        <v>3.0</v>
      </c>
      <c r="O343" s="2" t="s">
        <v>2532</v>
      </c>
      <c r="P343" s="2" t="s">
        <v>32</v>
      </c>
      <c r="Q343" s="2" t="s">
        <v>49</v>
      </c>
      <c r="R343" s="2" t="s">
        <v>80</v>
      </c>
      <c r="S343" s="2" t="s">
        <v>81</v>
      </c>
    </row>
    <row r="344" ht="15.75" customHeight="1">
      <c r="A344" s="2" t="s">
        <v>2533</v>
      </c>
      <c r="B344" s="2" t="s">
        <v>2534</v>
      </c>
      <c r="C344" s="2" t="s">
        <v>2535</v>
      </c>
      <c r="D344" s="2" t="s">
        <v>2536</v>
      </c>
      <c r="E344" s="2" t="s">
        <v>2537</v>
      </c>
      <c r="F344" s="2" t="s">
        <v>2538</v>
      </c>
      <c r="G344" s="2" t="s">
        <v>88</v>
      </c>
      <c r="H344" s="2" t="s">
        <v>802</v>
      </c>
      <c r="I344" s="2" t="s">
        <v>211</v>
      </c>
      <c r="J344" s="2" t="s">
        <v>2539</v>
      </c>
      <c r="K344" s="2" t="s">
        <v>403</v>
      </c>
      <c r="L344" s="2" t="s">
        <v>1328</v>
      </c>
      <c r="M344" s="2">
        <v>666.08</v>
      </c>
      <c r="N344" s="2">
        <v>3.0</v>
      </c>
      <c r="O344" s="2" t="s">
        <v>2540</v>
      </c>
      <c r="P344" s="2" t="s">
        <v>48</v>
      </c>
      <c r="Q344" s="2" t="s">
        <v>485</v>
      </c>
      <c r="R344" s="2" t="s">
        <v>527</v>
      </c>
    </row>
    <row r="345" ht="15.75" customHeight="1">
      <c r="A345" s="2" t="s">
        <v>1973</v>
      </c>
      <c r="B345" s="2" t="s">
        <v>1974</v>
      </c>
      <c r="C345" s="2" t="s">
        <v>1975</v>
      </c>
      <c r="D345" s="2" t="s">
        <v>2541</v>
      </c>
      <c r="E345" s="2" t="s">
        <v>1977</v>
      </c>
      <c r="F345" s="2" t="s">
        <v>1978</v>
      </c>
      <c r="G345" s="2" t="s">
        <v>459</v>
      </c>
      <c r="H345" s="2" t="s">
        <v>223</v>
      </c>
      <c r="I345" s="2" t="s">
        <v>401</v>
      </c>
      <c r="J345" s="2" t="s">
        <v>1146</v>
      </c>
      <c r="K345" s="2" t="s">
        <v>1147</v>
      </c>
      <c r="L345" s="2" t="s">
        <v>248</v>
      </c>
      <c r="M345" s="2">
        <v>661.3</v>
      </c>
      <c r="N345" s="2">
        <v>3.0</v>
      </c>
      <c r="O345" s="2" t="s">
        <v>1979</v>
      </c>
      <c r="P345" s="2" t="s">
        <v>95</v>
      </c>
      <c r="Q345" s="2" t="s">
        <v>1980</v>
      </c>
      <c r="R345" s="2" t="s">
        <v>294</v>
      </c>
    </row>
    <row r="346" ht="15.75" customHeight="1">
      <c r="A346" s="2" t="s">
        <v>2542</v>
      </c>
      <c r="B346" s="2" t="s">
        <v>2543</v>
      </c>
      <c r="C346" s="2" t="s">
        <v>1250</v>
      </c>
      <c r="D346" s="2" t="s">
        <v>1251</v>
      </c>
      <c r="E346" s="2" t="s">
        <v>1252</v>
      </c>
      <c r="F346" s="2" t="s">
        <v>1253</v>
      </c>
      <c r="G346" s="2" t="s">
        <v>88</v>
      </c>
      <c r="H346" s="2" t="s">
        <v>234</v>
      </c>
      <c r="I346" s="2" t="s">
        <v>60</v>
      </c>
      <c r="J346" s="2" t="s">
        <v>313</v>
      </c>
      <c r="K346" s="2" t="s">
        <v>314</v>
      </c>
      <c r="L346" s="2" t="s">
        <v>315</v>
      </c>
      <c r="M346" s="2">
        <v>1549.46</v>
      </c>
      <c r="O346" s="2" t="s">
        <v>2544</v>
      </c>
      <c r="P346" s="2" t="s">
        <v>65</v>
      </c>
      <c r="Q346" s="2" t="s">
        <v>143</v>
      </c>
      <c r="R346" s="2" t="s">
        <v>2545</v>
      </c>
      <c r="S346" s="2" t="s">
        <v>67</v>
      </c>
    </row>
    <row r="347" ht="15.75" customHeight="1">
      <c r="A347" s="2" t="s">
        <v>2546</v>
      </c>
      <c r="B347" s="2" t="s">
        <v>2547</v>
      </c>
      <c r="C347" s="2" t="s">
        <v>2548</v>
      </c>
      <c r="D347" s="2" t="s">
        <v>2549</v>
      </c>
      <c r="E347" s="2" t="s">
        <v>2550</v>
      </c>
      <c r="F347" s="2" t="s">
        <v>2551</v>
      </c>
      <c r="G347" s="2" t="s">
        <v>1177</v>
      </c>
      <c r="H347" s="2" t="s">
        <v>59</v>
      </c>
      <c r="I347" s="2" t="s">
        <v>103</v>
      </c>
      <c r="J347" s="2" t="s">
        <v>481</v>
      </c>
      <c r="K347" s="2" t="s">
        <v>291</v>
      </c>
      <c r="L347" s="2" t="s">
        <v>482</v>
      </c>
      <c r="N347" s="2">
        <v>1.0</v>
      </c>
      <c r="O347" s="2" t="s">
        <v>2552</v>
      </c>
      <c r="P347" s="2" t="s">
        <v>65</v>
      </c>
      <c r="Q347" s="2" t="s">
        <v>66</v>
      </c>
      <c r="R347" s="2" t="s">
        <v>192</v>
      </c>
      <c r="S347" s="2" t="s">
        <v>67</v>
      </c>
    </row>
    <row r="348" ht="15.75" customHeight="1">
      <c r="A348" s="2" t="s">
        <v>2553</v>
      </c>
      <c r="B348" s="2" t="s">
        <v>2554</v>
      </c>
      <c r="C348" s="2" t="s">
        <v>427</v>
      </c>
      <c r="D348" s="2" t="s">
        <v>428</v>
      </c>
      <c r="E348" s="2" t="s">
        <v>429</v>
      </c>
      <c r="F348" s="2" t="s">
        <v>430</v>
      </c>
      <c r="G348" s="2" t="s">
        <v>151</v>
      </c>
      <c r="H348" s="2" t="s">
        <v>223</v>
      </c>
      <c r="I348" s="2" t="s">
        <v>401</v>
      </c>
      <c r="J348" s="2" t="s">
        <v>390</v>
      </c>
      <c r="K348" s="2" t="s">
        <v>391</v>
      </c>
      <c r="L348" s="2" t="s">
        <v>248</v>
      </c>
      <c r="M348" s="2">
        <v>1378.61</v>
      </c>
      <c r="N348" s="2">
        <v>1.0</v>
      </c>
      <c r="O348" s="2" t="s">
        <v>2555</v>
      </c>
      <c r="P348" s="2" t="s">
        <v>32</v>
      </c>
      <c r="Q348" s="2" t="s">
        <v>96</v>
      </c>
      <c r="R348" s="2" t="s">
        <v>192</v>
      </c>
    </row>
    <row r="349" ht="15.75" customHeight="1">
      <c r="A349" s="2" t="s">
        <v>2556</v>
      </c>
      <c r="B349" s="2" t="s">
        <v>2557</v>
      </c>
      <c r="C349" s="2" t="s">
        <v>2558</v>
      </c>
      <c r="D349" s="2" t="s">
        <v>2559</v>
      </c>
      <c r="E349" s="2" t="s">
        <v>2560</v>
      </c>
      <c r="F349" s="2" t="s">
        <v>2561</v>
      </c>
      <c r="G349" s="2" t="s">
        <v>2562</v>
      </c>
      <c r="H349" s="2" t="s">
        <v>42</v>
      </c>
      <c r="I349" s="2" t="s">
        <v>268</v>
      </c>
      <c r="J349" s="2" t="s">
        <v>302</v>
      </c>
      <c r="K349" s="2" t="s">
        <v>303</v>
      </c>
      <c r="L349" s="2" t="s">
        <v>248</v>
      </c>
      <c r="M349" s="2">
        <v>111.54</v>
      </c>
      <c r="N349" s="2">
        <v>1.0</v>
      </c>
      <c r="O349" s="2" t="s">
        <v>2563</v>
      </c>
      <c r="P349" s="2" t="s">
        <v>65</v>
      </c>
      <c r="Q349" s="2" t="s">
        <v>305</v>
      </c>
      <c r="R349" s="2" t="s">
        <v>50</v>
      </c>
      <c r="S349" s="2" t="s">
        <v>51</v>
      </c>
    </row>
    <row r="350" ht="15.75" customHeight="1">
      <c r="A350" s="2" t="s">
        <v>2564</v>
      </c>
      <c r="B350" s="2" t="s">
        <v>2565</v>
      </c>
      <c r="C350" s="2" t="s">
        <v>1571</v>
      </c>
      <c r="D350" s="2" t="s">
        <v>1572</v>
      </c>
      <c r="E350" s="2" t="s">
        <v>1573</v>
      </c>
      <c r="F350" s="2" t="s">
        <v>1574</v>
      </c>
      <c r="G350" s="2" t="s">
        <v>114</v>
      </c>
      <c r="H350" s="2" t="s">
        <v>26</v>
      </c>
      <c r="I350" s="2" t="s">
        <v>312</v>
      </c>
      <c r="J350" s="2" t="s">
        <v>661</v>
      </c>
      <c r="K350" s="2" t="s">
        <v>662</v>
      </c>
      <c r="L350" s="2" t="s">
        <v>368</v>
      </c>
      <c r="M350" s="2">
        <v>376.54</v>
      </c>
      <c r="N350" s="2">
        <v>3.0</v>
      </c>
      <c r="O350" s="2" t="s">
        <v>2566</v>
      </c>
      <c r="P350" s="2" t="s">
        <v>48</v>
      </c>
      <c r="Q350" s="2" t="s">
        <v>238</v>
      </c>
      <c r="R350" s="2" t="s">
        <v>169</v>
      </c>
      <c r="S350" s="2" t="s">
        <v>81</v>
      </c>
    </row>
    <row r="351" ht="15.75" customHeight="1">
      <c r="A351" s="2" t="s">
        <v>2567</v>
      </c>
      <c r="B351" s="2" t="s">
        <v>2568</v>
      </c>
      <c r="C351" s="2" t="s">
        <v>2569</v>
      </c>
      <c r="D351" s="2" t="s">
        <v>2570</v>
      </c>
      <c r="E351" s="2" t="s">
        <v>2571</v>
      </c>
      <c r="F351" s="2" t="s">
        <v>2572</v>
      </c>
      <c r="G351" s="2" t="s">
        <v>25</v>
      </c>
      <c r="H351" s="2" t="s">
        <v>152</v>
      </c>
      <c r="I351" s="2" t="s">
        <v>401</v>
      </c>
      <c r="J351" s="2" t="s">
        <v>2273</v>
      </c>
      <c r="K351" s="2" t="s">
        <v>2274</v>
      </c>
      <c r="L351" s="2" t="s">
        <v>1328</v>
      </c>
      <c r="N351" s="2">
        <v>1.0</v>
      </c>
      <c r="O351" s="2" t="s">
        <v>2573</v>
      </c>
      <c r="P351" s="2" t="s">
        <v>32</v>
      </c>
      <c r="Q351" s="2" t="s">
        <v>143</v>
      </c>
      <c r="R351" s="2" t="s">
        <v>393</v>
      </c>
    </row>
    <row r="352" ht="15.75" customHeight="1">
      <c r="A352" s="2" t="s">
        <v>2574</v>
      </c>
      <c r="B352" s="2" t="s">
        <v>2575</v>
      </c>
      <c r="C352" s="2" t="s">
        <v>2576</v>
      </c>
      <c r="D352" s="2" t="s">
        <v>2577</v>
      </c>
      <c r="E352" s="2" t="s">
        <v>2578</v>
      </c>
      <c r="F352" s="2" t="s">
        <v>2579</v>
      </c>
      <c r="G352" s="2" t="s">
        <v>1177</v>
      </c>
      <c r="H352" s="2" t="s">
        <v>323</v>
      </c>
      <c r="I352" s="2" t="s">
        <v>365</v>
      </c>
      <c r="J352" s="2" t="s">
        <v>353</v>
      </c>
      <c r="K352" s="2" t="s">
        <v>354</v>
      </c>
      <c r="L352" s="2" t="s">
        <v>355</v>
      </c>
      <c r="M352" s="2">
        <v>1034.82</v>
      </c>
      <c r="N352" s="2">
        <v>2.0</v>
      </c>
      <c r="O352" s="2" t="s">
        <v>2580</v>
      </c>
      <c r="P352" s="2" t="s">
        <v>65</v>
      </c>
      <c r="Q352" s="2" t="s">
        <v>2581</v>
      </c>
      <c r="R352" s="2" t="s">
        <v>50</v>
      </c>
    </row>
    <row r="353" ht="15.75" customHeight="1">
      <c r="A353" s="2" t="s">
        <v>2582</v>
      </c>
      <c r="B353" s="2" t="s">
        <v>2583</v>
      </c>
      <c r="C353" s="2" t="s">
        <v>2465</v>
      </c>
      <c r="D353" s="2" t="s">
        <v>2466</v>
      </c>
      <c r="E353" s="2" t="s">
        <v>2467</v>
      </c>
      <c r="F353" s="2" t="s">
        <v>2468</v>
      </c>
      <c r="G353" s="2" t="s">
        <v>25</v>
      </c>
      <c r="H353" s="2" t="s">
        <v>59</v>
      </c>
      <c r="I353" s="2" t="s">
        <v>312</v>
      </c>
      <c r="J353" s="2" t="s">
        <v>1641</v>
      </c>
      <c r="K353" s="2" t="s">
        <v>825</v>
      </c>
      <c r="L353" s="2" t="s">
        <v>179</v>
      </c>
      <c r="N353" s="2">
        <v>1.0</v>
      </c>
      <c r="O353" s="2" t="s">
        <v>2584</v>
      </c>
      <c r="P353" s="2" t="s">
        <v>65</v>
      </c>
      <c r="Q353" s="2" t="s">
        <v>33</v>
      </c>
      <c r="R353" s="2" t="s">
        <v>2585</v>
      </c>
      <c r="S353" s="2" t="s">
        <v>133</v>
      </c>
    </row>
    <row r="354" ht="15.75" customHeight="1">
      <c r="A354" s="2" t="s">
        <v>2586</v>
      </c>
      <c r="B354" s="2" t="s">
        <v>2587</v>
      </c>
      <c r="C354" s="2" t="s">
        <v>2588</v>
      </c>
      <c r="D354" s="2" t="s">
        <v>2589</v>
      </c>
      <c r="E354" s="2" t="s">
        <v>2590</v>
      </c>
      <c r="G354" s="2" t="s">
        <v>1054</v>
      </c>
      <c r="H354" s="2" t="s">
        <v>26</v>
      </c>
      <c r="I354" s="2" t="s">
        <v>401</v>
      </c>
      <c r="J354" s="2" t="s">
        <v>166</v>
      </c>
      <c r="K354" s="2" t="s">
        <v>118</v>
      </c>
      <c r="L354" s="2" t="s">
        <v>167</v>
      </c>
      <c r="M354" s="2">
        <v>737.79</v>
      </c>
      <c r="N354" s="2">
        <v>1.0</v>
      </c>
      <c r="O354" s="2" t="s">
        <v>2591</v>
      </c>
      <c r="P354" s="2" t="s">
        <v>95</v>
      </c>
      <c r="Q354" s="2" t="s">
        <v>66</v>
      </c>
      <c r="R354" s="2" t="s">
        <v>80</v>
      </c>
      <c r="S354" s="2" t="s">
        <v>51</v>
      </c>
    </row>
    <row r="355" ht="15.75" customHeight="1">
      <c r="A355" s="2" t="s">
        <v>2592</v>
      </c>
      <c r="B355" s="2" t="s">
        <v>2593</v>
      </c>
      <c r="C355" s="2" t="s">
        <v>2594</v>
      </c>
      <c r="D355" s="2" t="s">
        <v>2595</v>
      </c>
      <c r="E355" s="2" t="s">
        <v>2596</v>
      </c>
      <c r="F355" s="2" t="s">
        <v>2597</v>
      </c>
      <c r="G355" s="2" t="s">
        <v>2110</v>
      </c>
      <c r="H355" s="2" t="s">
        <v>400</v>
      </c>
      <c r="I355" s="2" t="s">
        <v>522</v>
      </c>
      <c r="J355" s="2" t="s">
        <v>501</v>
      </c>
      <c r="K355" s="2" t="s">
        <v>502</v>
      </c>
      <c r="L355" s="2" t="s">
        <v>503</v>
      </c>
      <c r="N355" s="2">
        <v>1.0</v>
      </c>
      <c r="O355" s="2" t="s">
        <v>2598</v>
      </c>
      <c r="P355" s="2" t="s">
        <v>95</v>
      </c>
      <c r="Q355" s="2" t="s">
        <v>49</v>
      </c>
      <c r="R355" s="2" t="s">
        <v>144</v>
      </c>
      <c r="S355" s="2" t="s">
        <v>81</v>
      </c>
    </row>
    <row r="356" ht="15.75" customHeight="1">
      <c r="A356" s="2" t="s">
        <v>2599</v>
      </c>
      <c r="B356" s="2" t="s">
        <v>2600</v>
      </c>
      <c r="C356" s="2" t="s">
        <v>2601</v>
      </c>
      <c r="D356" s="2" t="s">
        <v>2602</v>
      </c>
      <c r="E356" s="2" t="s">
        <v>2603</v>
      </c>
      <c r="F356" s="2" t="s">
        <v>2604</v>
      </c>
      <c r="G356" s="2" t="s">
        <v>58</v>
      </c>
      <c r="H356" s="2" t="s">
        <v>683</v>
      </c>
      <c r="I356" s="2" t="s">
        <v>60</v>
      </c>
      <c r="J356" s="2" t="s">
        <v>2605</v>
      </c>
      <c r="K356" s="2" t="s">
        <v>2606</v>
      </c>
      <c r="L356" s="2" t="s">
        <v>292</v>
      </c>
      <c r="M356" s="2">
        <v>400.45</v>
      </c>
      <c r="N356" s="2">
        <v>2.0</v>
      </c>
      <c r="O356" s="2" t="s">
        <v>2607</v>
      </c>
      <c r="P356" s="2" t="s">
        <v>65</v>
      </c>
      <c r="Q356" s="2" t="s">
        <v>2456</v>
      </c>
      <c r="R356" s="2" t="s">
        <v>2608</v>
      </c>
      <c r="S356" s="2" t="s">
        <v>81</v>
      </c>
    </row>
    <row r="357" ht="15.75" customHeight="1">
      <c r="A357" s="2" t="s">
        <v>2609</v>
      </c>
      <c r="B357" s="2" t="s">
        <v>2610</v>
      </c>
      <c r="C357" s="2" t="s">
        <v>2611</v>
      </c>
      <c r="D357" s="2" t="s">
        <v>2612</v>
      </c>
      <c r="E357" s="2" t="s">
        <v>2613</v>
      </c>
      <c r="F357" s="2" t="s">
        <v>2614</v>
      </c>
      <c r="G357" s="2" t="s">
        <v>114</v>
      </c>
      <c r="H357" s="2" t="s">
        <v>210</v>
      </c>
      <c r="I357" s="2" t="s">
        <v>90</v>
      </c>
      <c r="J357" s="2" t="s">
        <v>1085</v>
      </c>
      <c r="K357" s="2" t="s">
        <v>335</v>
      </c>
      <c r="L357" s="2" t="s">
        <v>368</v>
      </c>
      <c r="M357" s="2">
        <v>992.72</v>
      </c>
      <c r="N357" s="2">
        <v>5.0</v>
      </c>
      <c r="O357" s="2" t="s">
        <v>2615</v>
      </c>
      <c r="P357" s="2" t="s">
        <v>48</v>
      </c>
      <c r="Q357" s="2" t="s">
        <v>370</v>
      </c>
      <c r="R357" s="2" t="s">
        <v>158</v>
      </c>
      <c r="S357" s="2" t="s">
        <v>81</v>
      </c>
    </row>
    <row r="358" ht="15.75" customHeight="1">
      <c r="A358" s="2" t="s">
        <v>2616</v>
      </c>
      <c r="B358" s="2" t="s">
        <v>2617</v>
      </c>
      <c r="C358" s="2" t="s">
        <v>2618</v>
      </c>
      <c r="D358" s="2" t="s">
        <v>2619</v>
      </c>
      <c r="E358" s="2" t="s">
        <v>2620</v>
      </c>
      <c r="F358" s="2" t="s">
        <v>2621</v>
      </c>
      <c r="G358" s="2" t="s">
        <v>608</v>
      </c>
      <c r="H358" s="2" t="s">
        <v>323</v>
      </c>
      <c r="I358" s="2" t="s">
        <v>312</v>
      </c>
      <c r="J358" s="2" t="s">
        <v>1679</v>
      </c>
      <c r="K358" s="2" t="s">
        <v>1530</v>
      </c>
      <c r="L358" s="2" t="s">
        <v>514</v>
      </c>
      <c r="N358" s="2">
        <v>3.0</v>
      </c>
      <c r="O358" s="2" t="s">
        <v>2622</v>
      </c>
      <c r="P358" s="2" t="s">
        <v>95</v>
      </c>
      <c r="Q358" s="2" t="s">
        <v>181</v>
      </c>
      <c r="R358" s="2" t="s">
        <v>80</v>
      </c>
    </row>
    <row r="359" ht="15.75" customHeight="1">
      <c r="A359" s="2" t="s">
        <v>2623</v>
      </c>
      <c r="B359" s="2" t="s">
        <v>2624</v>
      </c>
      <c r="C359" s="2" t="s">
        <v>2625</v>
      </c>
      <c r="D359" s="2" t="s">
        <v>2626</v>
      </c>
      <c r="E359" s="2" t="s">
        <v>2627</v>
      </c>
      <c r="G359" s="2" t="s">
        <v>421</v>
      </c>
      <c r="H359" s="2" t="s">
        <v>26</v>
      </c>
      <c r="I359" s="2" t="s">
        <v>176</v>
      </c>
      <c r="J359" s="2" t="s">
        <v>767</v>
      </c>
      <c r="K359" s="2" t="s">
        <v>768</v>
      </c>
      <c r="L359" s="2" t="s">
        <v>769</v>
      </c>
      <c r="M359" s="2">
        <v>804.47</v>
      </c>
      <c r="N359" s="2">
        <v>3.0</v>
      </c>
      <c r="O359" s="2" t="s">
        <v>2628</v>
      </c>
      <c r="P359" s="2" t="s">
        <v>95</v>
      </c>
      <c r="Q359" s="2" t="s">
        <v>573</v>
      </c>
      <c r="R359" s="2" t="s">
        <v>818</v>
      </c>
      <c r="S359" s="2" t="s">
        <v>133</v>
      </c>
    </row>
    <row r="360" ht="15.75" customHeight="1">
      <c r="A360" s="2" t="s">
        <v>2629</v>
      </c>
      <c r="B360" s="2" t="s">
        <v>2630</v>
      </c>
      <c r="C360" s="2" t="s">
        <v>1945</v>
      </c>
      <c r="D360" s="2" t="s">
        <v>1946</v>
      </c>
      <c r="E360" s="2" t="s">
        <v>1947</v>
      </c>
      <c r="F360" s="2" t="s">
        <v>1948</v>
      </c>
      <c r="G360" s="2" t="s">
        <v>1054</v>
      </c>
      <c r="H360" s="2" t="s">
        <v>59</v>
      </c>
      <c r="I360" s="2" t="s">
        <v>1245</v>
      </c>
      <c r="J360" s="2" t="s">
        <v>2631</v>
      </c>
      <c r="K360" s="2" t="s">
        <v>905</v>
      </c>
      <c r="L360" s="2" t="s">
        <v>248</v>
      </c>
      <c r="M360" s="2">
        <v>1479.32</v>
      </c>
      <c r="N360" s="2">
        <v>2.0</v>
      </c>
      <c r="O360" s="2" t="s">
        <v>2632</v>
      </c>
      <c r="P360" s="2" t="s">
        <v>95</v>
      </c>
      <c r="Q360" s="2" t="s">
        <v>49</v>
      </c>
      <c r="R360" s="2" t="s">
        <v>50</v>
      </c>
      <c r="S360" s="2" t="s">
        <v>51</v>
      </c>
    </row>
    <row r="361" ht="15.75" customHeight="1">
      <c r="A361" s="2" t="s">
        <v>2633</v>
      </c>
      <c r="B361" s="2" t="s">
        <v>2634</v>
      </c>
      <c r="C361" s="2" t="s">
        <v>2635</v>
      </c>
      <c r="D361" s="2" t="s">
        <v>2636</v>
      </c>
      <c r="E361" s="2" t="s">
        <v>2637</v>
      </c>
      <c r="F361" s="2" t="s">
        <v>2638</v>
      </c>
      <c r="G361" s="2" t="s">
        <v>1177</v>
      </c>
      <c r="H361" s="2" t="s">
        <v>42</v>
      </c>
      <c r="I361" s="2" t="s">
        <v>480</v>
      </c>
      <c r="J361" s="2" t="s">
        <v>711</v>
      </c>
      <c r="K361" s="2" t="s">
        <v>712</v>
      </c>
      <c r="L361" s="2" t="s">
        <v>637</v>
      </c>
      <c r="N361" s="2">
        <v>3.0</v>
      </c>
      <c r="O361" s="2" t="s">
        <v>2639</v>
      </c>
      <c r="P361" s="2" t="s">
        <v>65</v>
      </c>
      <c r="Q361" s="2" t="s">
        <v>238</v>
      </c>
      <c r="R361" s="2" t="s">
        <v>192</v>
      </c>
    </row>
    <row r="362" ht="15.75" customHeight="1">
      <c r="A362" s="2" t="s">
        <v>2640</v>
      </c>
      <c r="B362" s="2" t="s">
        <v>2641</v>
      </c>
      <c r="C362" s="2" t="s">
        <v>2317</v>
      </c>
      <c r="D362" s="2" t="s">
        <v>2318</v>
      </c>
      <c r="E362" s="2" t="s">
        <v>2319</v>
      </c>
      <c r="F362" s="2" t="s">
        <v>2320</v>
      </c>
      <c r="G362" s="2" t="s">
        <v>151</v>
      </c>
      <c r="H362" s="2" t="s">
        <v>400</v>
      </c>
      <c r="I362" s="2" t="s">
        <v>176</v>
      </c>
      <c r="J362" s="2" t="s">
        <v>1255</v>
      </c>
      <c r="K362" s="2" t="s">
        <v>29</v>
      </c>
      <c r="L362" s="2" t="s">
        <v>271</v>
      </c>
      <c r="M362" s="2">
        <v>859.93</v>
      </c>
      <c r="N362" s="2">
        <v>2.0</v>
      </c>
      <c r="O362" s="2" t="s">
        <v>2642</v>
      </c>
      <c r="P362" s="2" t="s">
        <v>32</v>
      </c>
      <c r="Q362" s="2" t="s">
        <v>66</v>
      </c>
      <c r="R362" s="2" t="s">
        <v>345</v>
      </c>
      <c r="S362" s="2" t="s">
        <v>133</v>
      </c>
    </row>
    <row r="363" ht="15.75" customHeight="1">
      <c r="A363" s="2" t="s">
        <v>2643</v>
      </c>
      <c r="B363" s="2" t="s">
        <v>2644</v>
      </c>
      <c r="C363" s="2" t="s">
        <v>1142</v>
      </c>
      <c r="D363" s="2" t="s">
        <v>1143</v>
      </c>
      <c r="E363" s="2" t="s">
        <v>1144</v>
      </c>
      <c r="F363" s="2" t="s">
        <v>1145</v>
      </c>
      <c r="G363" s="2" t="s">
        <v>58</v>
      </c>
      <c r="H363" s="2" t="s">
        <v>223</v>
      </c>
      <c r="I363" s="2" t="s">
        <v>480</v>
      </c>
      <c r="J363" s="2" t="s">
        <v>501</v>
      </c>
      <c r="K363" s="2" t="s">
        <v>502</v>
      </c>
      <c r="L363" s="2" t="s">
        <v>503</v>
      </c>
      <c r="M363" s="2">
        <v>1330.48</v>
      </c>
      <c r="N363" s="2">
        <v>2.0</v>
      </c>
      <c r="O363" s="2" t="s">
        <v>2645</v>
      </c>
      <c r="P363" s="2" t="s">
        <v>32</v>
      </c>
      <c r="Q363" s="2" t="s">
        <v>66</v>
      </c>
      <c r="R363" s="2" t="s">
        <v>306</v>
      </c>
      <c r="S363" s="2" t="s">
        <v>133</v>
      </c>
    </row>
    <row r="364" ht="15.75" customHeight="1">
      <c r="A364" s="2" t="s">
        <v>2646</v>
      </c>
      <c r="B364" s="2" t="s">
        <v>2647</v>
      </c>
      <c r="C364" s="2" t="s">
        <v>2648</v>
      </c>
      <c r="D364" s="2" t="s">
        <v>2649</v>
      </c>
      <c r="E364" s="2" t="s">
        <v>2650</v>
      </c>
      <c r="F364" s="2" t="s">
        <v>2651</v>
      </c>
      <c r="G364" s="2" t="s">
        <v>25</v>
      </c>
      <c r="H364" s="2" t="s">
        <v>59</v>
      </c>
      <c r="I364" s="2" t="s">
        <v>176</v>
      </c>
      <c r="J364" s="2" t="s">
        <v>635</v>
      </c>
      <c r="K364" s="2" t="s">
        <v>636</v>
      </c>
      <c r="L364" s="2" t="s">
        <v>637</v>
      </c>
      <c r="M364" s="2">
        <v>1183.03</v>
      </c>
      <c r="N364" s="2">
        <v>1.0</v>
      </c>
      <c r="O364" s="2" t="s">
        <v>2652</v>
      </c>
      <c r="P364" s="2" t="s">
        <v>95</v>
      </c>
      <c r="Q364" s="2" t="s">
        <v>664</v>
      </c>
      <c r="R364" s="2" t="s">
        <v>192</v>
      </c>
    </row>
    <row r="365" ht="15.75" customHeight="1">
      <c r="A365" s="2" t="s">
        <v>2653</v>
      </c>
      <c r="B365" s="2" t="s">
        <v>2654</v>
      </c>
      <c r="C365" s="2" t="s">
        <v>2655</v>
      </c>
      <c r="D365" s="2" t="s">
        <v>2656</v>
      </c>
      <c r="E365" s="2" t="s">
        <v>2657</v>
      </c>
      <c r="F365" s="2" t="s">
        <v>2658</v>
      </c>
      <c r="G365" s="2" t="s">
        <v>73</v>
      </c>
      <c r="H365" s="2" t="s">
        <v>778</v>
      </c>
      <c r="I365" s="2" t="s">
        <v>90</v>
      </c>
      <c r="J365" s="2" t="s">
        <v>1926</v>
      </c>
      <c r="K365" s="2" t="s">
        <v>1927</v>
      </c>
      <c r="L365" s="2" t="s">
        <v>63</v>
      </c>
      <c r="N365" s="2">
        <v>1.0</v>
      </c>
      <c r="O365" s="2" t="s">
        <v>2659</v>
      </c>
      <c r="P365" s="2" t="s">
        <v>48</v>
      </c>
      <c r="Q365" s="2" t="s">
        <v>2660</v>
      </c>
      <c r="R365" s="2" t="s">
        <v>169</v>
      </c>
    </row>
    <row r="366" ht="15.75" customHeight="1">
      <c r="A366" s="2" t="s">
        <v>2661</v>
      </c>
      <c r="B366" s="2" t="s">
        <v>2662</v>
      </c>
      <c r="C366" s="2" t="s">
        <v>2663</v>
      </c>
      <c r="D366" s="2" t="s">
        <v>2664</v>
      </c>
      <c r="E366" s="2" t="s">
        <v>2665</v>
      </c>
      <c r="G366" s="2" t="s">
        <v>801</v>
      </c>
      <c r="H366" s="2" t="s">
        <v>234</v>
      </c>
      <c r="I366" s="2" t="s">
        <v>522</v>
      </c>
      <c r="J366" s="2" t="s">
        <v>993</v>
      </c>
      <c r="K366" s="2" t="s">
        <v>994</v>
      </c>
      <c r="L366" s="2" t="s">
        <v>995</v>
      </c>
      <c r="N366" s="2">
        <v>2.0</v>
      </c>
      <c r="O366" s="2" t="s">
        <v>2666</v>
      </c>
      <c r="P366" s="2" t="s">
        <v>65</v>
      </c>
      <c r="Q366" s="2" t="s">
        <v>573</v>
      </c>
      <c r="R366" s="2" t="s">
        <v>34</v>
      </c>
    </row>
    <row r="367" ht="15.75" customHeight="1">
      <c r="A367" s="2" t="s">
        <v>2667</v>
      </c>
      <c r="B367" s="2" t="s">
        <v>2668</v>
      </c>
      <c r="C367" s="2" t="s">
        <v>2669</v>
      </c>
      <c r="D367" s="2" t="s">
        <v>1260</v>
      </c>
      <c r="E367" s="2" t="s">
        <v>2670</v>
      </c>
      <c r="F367" s="2" t="s">
        <v>2671</v>
      </c>
      <c r="G367" s="2" t="s">
        <v>671</v>
      </c>
      <c r="H367" s="2" t="s">
        <v>2672</v>
      </c>
      <c r="I367" s="2" t="s">
        <v>1245</v>
      </c>
      <c r="J367" s="2" t="s">
        <v>439</v>
      </c>
      <c r="K367" s="2" t="s">
        <v>440</v>
      </c>
      <c r="L367" s="2" t="s">
        <v>63</v>
      </c>
      <c r="M367" s="2">
        <v>1162.41</v>
      </c>
      <c r="N367" s="2">
        <v>5.0</v>
      </c>
      <c r="O367" s="2" t="s">
        <v>2673</v>
      </c>
      <c r="P367" s="2" t="s">
        <v>95</v>
      </c>
      <c r="Q367" s="2" t="s">
        <v>505</v>
      </c>
      <c r="R367" s="2" t="s">
        <v>294</v>
      </c>
      <c r="S367" s="2" t="s">
        <v>133</v>
      </c>
    </row>
    <row r="368" ht="15.75" customHeight="1">
      <c r="A368" s="2" t="s">
        <v>2674</v>
      </c>
      <c r="B368" s="2" t="s">
        <v>2675</v>
      </c>
      <c r="C368" s="2" t="s">
        <v>2676</v>
      </c>
      <c r="D368" s="2" t="s">
        <v>2677</v>
      </c>
      <c r="E368" s="2" t="s">
        <v>2678</v>
      </c>
      <c r="F368" s="2" t="s">
        <v>2679</v>
      </c>
      <c r="G368" s="2" t="s">
        <v>58</v>
      </c>
      <c r="H368" s="2" t="s">
        <v>152</v>
      </c>
      <c r="I368" s="2" t="s">
        <v>176</v>
      </c>
      <c r="J368" s="2" t="s">
        <v>2680</v>
      </c>
      <c r="K368" s="2" t="s">
        <v>303</v>
      </c>
      <c r="L368" s="2" t="s">
        <v>2421</v>
      </c>
      <c r="N368" s="2">
        <v>5.0</v>
      </c>
      <c r="O368" s="2" t="s">
        <v>2681</v>
      </c>
      <c r="P368" s="2" t="s">
        <v>95</v>
      </c>
      <c r="Q368" s="2" t="s">
        <v>664</v>
      </c>
      <c r="R368" s="2" t="s">
        <v>294</v>
      </c>
      <c r="S368" s="2" t="s">
        <v>51</v>
      </c>
    </row>
    <row r="369" ht="15.75" customHeight="1">
      <c r="A369" s="2" t="s">
        <v>2682</v>
      </c>
      <c r="B369" s="2" t="s">
        <v>2683</v>
      </c>
      <c r="C369" s="2" t="s">
        <v>2684</v>
      </c>
      <c r="D369" s="2" t="s">
        <v>2685</v>
      </c>
      <c r="E369" s="2" t="s">
        <v>2686</v>
      </c>
      <c r="F369" s="2" t="s">
        <v>2687</v>
      </c>
      <c r="G369" s="2" t="s">
        <v>608</v>
      </c>
      <c r="H369" s="2" t="s">
        <v>59</v>
      </c>
      <c r="I369" s="2" t="s">
        <v>103</v>
      </c>
      <c r="J369" s="2" t="s">
        <v>2688</v>
      </c>
      <c r="K369" s="2" t="s">
        <v>502</v>
      </c>
      <c r="L369" s="2" t="s">
        <v>179</v>
      </c>
      <c r="M369" s="2">
        <v>188.75</v>
      </c>
      <c r="N369" s="2">
        <v>2.0</v>
      </c>
      <c r="O369" s="2" t="s">
        <v>2689</v>
      </c>
      <c r="P369" s="2" t="s">
        <v>95</v>
      </c>
      <c r="Q369" s="2" t="s">
        <v>370</v>
      </c>
      <c r="R369" s="2" t="s">
        <v>432</v>
      </c>
      <c r="S369" s="2" t="s">
        <v>133</v>
      </c>
    </row>
    <row r="370" ht="15.75" customHeight="1">
      <c r="A370" s="2" t="s">
        <v>2690</v>
      </c>
      <c r="B370" s="2" t="s">
        <v>2691</v>
      </c>
      <c r="C370" s="2" t="s">
        <v>2692</v>
      </c>
      <c r="D370" s="2" t="s">
        <v>2693</v>
      </c>
      <c r="E370" s="2" t="s">
        <v>2694</v>
      </c>
      <c r="F370" s="2" t="s">
        <v>2695</v>
      </c>
      <c r="G370" s="2" t="s">
        <v>1336</v>
      </c>
      <c r="H370" s="2" t="s">
        <v>802</v>
      </c>
      <c r="I370" s="2" t="s">
        <v>43</v>
      </c>
      <c r="J370" s="2" t="s">
        <v>2321</v>
      </c>
      <c r="K370" s="2" t="s">
        <v>2322</v>
      </c>
      <c r="L370" s="2" t="s">
        <v>368</v>
      </c>
      <c r="M370" s="2">
        <v>122.91</v>
      </c>
      <c r="N370" s="2">
        <v>3.0</v>
      </c>
      <c r="O370" s="2" t="s">
        <v>2696</v>
      </c>
      <c r="P370" s="2" t="s">
        <v>48</v>
      </c>
      <c r="Q370" s="2" t="s">
        <v>505</v>
      </c>
      <c r="R370" s="2" t="s">
        <v>380</v>
      </c>
    </row>
    <row r="371" ht="15.75" customHeight="1">
      <c r="A371" s="2" t="s">
        <v>2697</v>
      </c>
      <c r="B371" s="2" t="s">
        <v>2698</v>
      </c>
      <c r="C371" s="2" t="s">
        <v>1354</v>
      </c>
      <c r="D371" s="2" t="s">
        <v>1355</v>
      </c>
      <c r="E371" s="2" t="s">
        <v>1356</v>
      </c>
      <c r="F371" s="2" t="s">
        <v>1357</v>
      </c>
      <c r="G371" s="2" t="s">
        <v>199</v>
      </c>
      <c r="H371" s="2" t="s">
        <v>2699</v>
      </c>
      <c r="I371" s="2" t="s">
        <v>103</v>
      </c>
      <c r="J371" s="2" t="s">
        <v>2420</v>
      </c>
      <c r="K371" s="2" t="s">
        <v>462</v>
      </c>
      <c r="L371" s="2" t="s">
        <v>2421</v>
      </c>
      <c r="N371" s="2">
        <v>1.0</v>
      </c>
      <c r="O371" s="2" t="s">
        <v>2700</v>
      </c>
      <c r="P371" s="2" t="s">
        <v>95</v>
      </c>
      <c r="Q371" s="2" t="s">
        <v>49</v>
      </c>
      <c r="R371" s="2" t="s">
        <v>50</v>
      </c>
      <c r="S371" s="2" t="s">
        <v>67</v>
      </c>
    </row>
    <row r="372" ht="15.75" customHeight="1">
      <c r="A372" s="2" t="s">
        <v>2701</v>
      </c>
      <c r="B372" s="2" t="s">
        <v>2702</v>
      </c>
      <c r="C372" s="2" t="s">
        <v>1793</v>
      </c>
      <c r="D372" s="2" t="s">
        <v>1794</v>
      </c>
      <c r="E372" s="2" t="s">
        <v>1795</v>
      </c>
      <c r="G372" s="2" t="s">
        <v>139</v>
      </c>
      <c r="H372" s="2" t="s">
        <v>802</v>
      </c>
      <c r="I372" s="2" t="s">
        <v>312</v>
      </c>
      <c r="J372" s="2" t="s">
        <v>792</v>
      </c>
      <c r="K372" s="2" t="s">
        <v>314</v>
      </c>
      <c r="L372" s="2" t="s">
        <v>742</v>
      </c>
      <c r="N372" s="2">
        <v>1.0</v>
      </c>
      <c r="O372" s="2" t="s">
        <v>2703</v>
      </c>
      <c r="P372" s="2" t="s">
        <v>32</v>
      </c>
      <c r="Q372" s="2" t="s">
        <v>143</v>
      </c>
      <c r="R372" s="2" t="s">
        <v>380</v>
      </c>
    </row>
    <row r="373" ht="15.75" customHeight="1">
      <c r="A373" s="2" t="s">
        <v>2704</v>
      </c>
      <c r="B373" s="2" t="s">
        <v>2705</v>
      </c>
      <c r="C373" s="2" t="s">
        <v>875</v>
      </c>
      <c r="D373" s="2" t="s">
        <v>876</v>
      </c>
      <c r="E373" s="2" t="s">
        <v>2706</v>
      </c>
      <c r="F373" s="2" t="s">
        <v>877</v>
      </c>
      <c r="G373" s="2" t="s">
        <v>114</v>
      </c>
      <c r="H373" s="2" t="s">
        <v>26</v>
      </c>
      <c r="I373" s="2" t="s">
        <v>480</v>
      </c>
      <c r="J373" s="2" t="s">
        <v>2398</v>
      </c>
      <c r="K373" s="2" t="s">
        <v>225</v>
      </c>
      <c r="L373" s="2" t="s">
        <v>179</v>
      </c>
      <c r="N373" s="2">
        <v>3.0</v>
      </c>
      <c r="O373" s="2" t="s">
        <v>2707</v>
      </c>
      <c r="P373" s="2" t="s">
        <v>32</v>
      </c>
      <c r="Q373" s="2" t="s">
        <v>305</v>
      </c>
      <c r="R373" s="2" t="s">
        <v>345</v>
      </c>
    </row>
    <row r="374" ht="15.75" customHeight="1">
      <c r="A374" s="2" t="s">
        <v>2708</v>
      </c>
      <c r="B374" s="2" t="s">
        <v>2709</v>
      </c>
      <c r="C374" s="2" t="s">
        <v>1036</v>
      </c>
      <c r="D374" s="2" t="s">
        <v>1037</v>
      </c>
      <c r="E374" s="2" t="s">
        <v>1038</v>
      </c>
      <c r="F374" s="2" t="s">
        <v>2710</v>
      </c>
      <c r="G374" s="2" t="s">
        <v>58</v>
      </c>
      <c r="H374" s="2" t="s">
        <v>59</v>
      </c>
      <c r="I374" s="2" t="s">
        <v>103</v>
      </c>
      <c r="J374" s="2" t="s">
        <v>2539</v>
      </c>
      <c r="K374" s="2" t="s">
        <v>403</v>
      </c>
      <c r="L374" s="2" t="s">
        <v>1328</v>
      </c>
      <c r="N374" s="2">
        <v>1.0</v>
      </c>
      <c r="O374" s="2" t="s">
        <v>2711</v>
      </c>
      <c r="P374" s="2" t="s">
        <v>65</v>
      </c>
      <c r="Q374" s="2" t="s">
        <v>131</v>
      </c>
      <c r="R374" s="2" t="s">
        <v>818</v>
      </c>
      <c r="S374" s="2" t="s">
        <v>81</v>
      </c>
    </row>
    <row r="375" ht="15.75" customHeight="1">
      <c r="A375" s="2" t="s">
        <v>2712</v>
      </c>
      <c r="B375" s="2" t="s">
        <v>2713</v>
      </c>
      <c r="C375" s="2" t="s">
        <v>2714</v>
      </c>
      <c r="D375" s="2" t="s">
        <v>2715</v>
      </c>
      <c r="E375" s="2" t="s">
        <v>2716</v>
      </c>
      <c r="F375" s="2" t="s">
        <v>2717</v>
      </c>
      <c r="G375" s="2" t="s">
        <v>114</v>
      </c>
      <c r="H375" s="2" t="s">
        <v>74</v>
      </c>
      <c r="I375" s="2" t="s">
        <v>43</v>
      </c>
      <c r="J375" s="2" t="s">
        <v>2420</v>
      </c>
      <c r="K375" s="2" t="s">
        <v>462</v>
      </c>
      <c r="L375" s="2" t="s">
        <v>2421</v>
      </c>
      <c r="M375" s="2">
        <v>1094.76</v>
      </c>
      <c r="N375" s="2">
        <v>1.0</v>
      </c>
      <c r="O375" s="2" t="s">
        <v>2718</v>
      </c>
      <c r="P375" s="2" t="s">
        <v>95</v>
      </c>
      <c r="Q375" s="2" t="s">
        <v>2719</v>
      </c>
      <c r="R375" s="2" t="s">
        <v>818</v>
      </c>
      <c r="S375" s="2" t="s">
        <v>133</v>
      </c>
    </row>
    <row r="376" ht="15.75" customHeight="1">
      <c r="A376" s="2" t="s">
        <v>2720</v>
      </c>
      <c r="B376" s="2" t="s">
        <v>2721</v>
      </c>
      <c r="C376" s="2" t="s">
        <v>2722</v>
      </c>
      <c r="D376" s="2" t="s">
        <v>717</v>
      </c>
      <c r="E376" s="2" t="s">
        <v>2723</v>
      </c>
      <c r="F376" s="2" t="s">
        <v>2724</v>
      </c>
      <c r="G376" s="2" t="s">
        <v>114</v>
      </c>
      <c r="H376" s="2" t="s">
        <v>1167</v>
      </c>
      <c r="I376" s="2" t="s">
        <v>333</v>
      </c>
      <c r="J376" s="2" t="s">
        <v>235</v>
      </c>
      <c r="K376" s="2" t="s">
        <v>236</v>
      </c>
      <c r="L376" s="2" t="s">
        <v>30</v>
      </c>
      <c r="M376" s="2">
        <v>1250.95</v>
      </c>
      <c r="N376" s="2">
        <v>1.0</v>
      </c>
      <c r="O376" s="2" t="s">
        <v>2725</v>
      </c>
      <c r="P376" s="2" t="s">
        <v>2726</v>
      </c>
      <c r="Q376" s="2" t="s">
        <v>49</v>
      </c>
      <c r="R376" s="2" t="s">
        <v>818</v>
      </c>
      <c r="S376" s="2" t="s">
        <v>81</v>
      </c>
    </row>
    <row r="377" ht="15.75" customHeight="1">
      <c r="A377" s="2" t="s">
        <v>2727</v>
      </c>
      <c r="B377" s="2" t="s">
        <v>2728</v>
      </c>
      <c r="C377" s="2" t="s">
        <v>1825</v>
      </c>
      <c r="D377" s="2" t="s">
        <v>1826</v>
      </c>
      <c r="E377" s="2" t="s">
        <v>1827</v>
      </c>
      <c r="F377" s="2" t="s">
        <v>1828</v>
      </c>
      <c r="G377" s="2" t="s">
        <v>88</v>
      </c>
      <c r="H377" s="2" t="s">
        <v>115</v>
      </c>
      <c r="I377" s="2" t="s">
        <v>324</v>
      </c>
      <c r="J377" s="2" t="s">
        <v>224</v>
      </c>
      <c r="K377" s="2" t="s">
        <v>225</v>
      </c>
      <c r="L377" s="2" t="s">
        <v>214</v>
      </c>
      <c r="M377" s="2">
        <v>221.09</v>
      </c>
      <c r="N377" s="2">
        <v>2.0</v>
      </c>
      <c r="O377" s="2" t="s">
        <v>2729</v>
      </c>
      <c r="P377" s="2" t="s">
        <v>65</v>
      </c>
      <c r="Q377" s="2" t="s">
        <v>66</v>
      </c>
      <c r="R377" s="2" t="s">
        <v>345</v>
      </c>
      <c r="S377" s="2" t="s">
        <v>133</v>
      </c>
    </row>
    <row r="378" ht="15.75" customHeight="1">
      <c r="A378" s="2" t="s">
        <v>2730</v>
      </c>
      <c r="B378" s="2" t="s">
        <v>2731</v>
      </c>
      <c r="C378" s="2" t="s">
        <v>2732</v>
      </c>
      <c r="D378" s="2" t="s">
        <v>2733</v>
      </c>
      <c r="F378" s="2" t="s">
        <v>2734</v>
      </c>
      <c r="G378" s="2" t="s">
        <v>738</v>
      </c>
      <c r="H378" s="2" t="s">
        <v>223</v>
      </c>
      <c r="I378" s="2" t="s">
        <v>480</v>
      </c>
      <c r="J378" s="2" t="s">
        <v>353</v>
      </c>
      <c r="K378" s="2" t="s">
        <v>354</v>
      </c>
      <c r="L378" s="2" t="s">
        <v>355</v>
      </c>
      <c r="M378" s="2">
        <v>575.85</v>
      </c>
      <c r="N378" s="2">
        <v>5.0</v>
      </c>
      <c r="O378" s="2" t="s">
        <v>2735</v>
      </c>
      <c r="P378" s="2" t="s">
        <v>95</v>
      </c>
      <c r="Q378" s="2" t="s">
        <v>66</v>
      </c>
      <c r="R378" s="2" t="s">
        <v>169</v>
      </c>
      <c r="S378" s="2" t="s">
        <v>133</v>
      </c>
    </row>
    <row r="379" ht="15.75" customHeight="1">
      <c r="A379" s="2" t="s">
        <v>2736</v>
      </c>
      <c r="B379" s="2" t="s">
        <v>2737</v>
      </c>
      <c r="C379" s="2" t="s">
        <v>2738</v>
      </c>
      <c r="D379" s="2" t="s">
        <v>2739</v>
      </c>
      <c r="E379" s="2" t="s">
        <v>2740</v>
      </c>
      <c r="F379" s="2" t="s">
        <v>2741</v>
      </c>
      <c r="G379" s="2" t="s">
        <v>738</v>
      </c>
      <c r="H379" s="2" t="s">
        <v>301</v>
      </c>
      <c r="I379" s="2" t="s">
        <v>90</v>
      </c>
      <c r="J379" s="2" t="s">
        <v>177</v>
      </c>
      <c r="K379" s="2" t="s">
        <v>178</v>
      </c>
      <c r="L379" s="2" t="s">
        <v>179</v>
      </c>
      <c r="M379" s="2">
        <v>383.94</v>
      </c>
      <c r="N379" s="2">
        <v>1.0</v>
      </c>
      <c r="O379" s="2" t="s">
        <v>2742</v>
      </c>
      <c r="P379" s="2" t="s">
        <v>65</v>
      </c>
      <c r="Q379" s="2" t="s">
        <v>370</v>
      </c>
      <c r="R379" s="2" t="s">
        <v>294</v>
      </c>
    </row>
    <row r="380" ht="15.75" customHeight="1">
      <c r="A380" s="2" t="s">
        <v>2743</v>
      </c>
      <c r="B380" s="2" t="s">
        <v>2744</v>
      </c>
      <c r="C380" s="2" t="s">
        <v>2745</v>
      </c>
      <c r="D380" s="2" t="s">
        <v>1283</v>
      </c>
      <c r="E380" s="2" t="s">
        <v>2746</v>
      </c>
      <c r="F380" s="2" t="s">
        <v>2747</v>
      </c>
      <c r="G380" s="2" t="s">
        <v>564</v>
      </c>
      <c r="H380" s="2" t="s">
        <v>223</v>
      </c>
      <c r="I380" s="2" t="s">
        <v>176</v>
      </c>
      <c r="J380" s="2" t="s">
        <v>1522</v>
      </c>
      <c r="K380" s="2" t="s">
        <v>1272</v>
      </c>
      <c r="L380" s="2" t="s">
        <v>995</v>
      </c>
      <c r="N380" s="2">
        <v>1.0</v>
      </c>
      <c r="O380" s="2" t="s">
        <v>2748</v>
      </c>
      <c r="P380" s="2" t="s">
        <v>65</v>
      </c>
      <c r="Q380" s="2" t="s">
        <v>526</v>
      </c>
      <c r="R380" s="2" t="s">
        <v>192</v>
      </c>
    </row>
    <row r="381" ht="15.75" customHeight="1">
      <c r="A381" s="2" t="s">
        <v>2749</v>
      </c>
      <c r="B381" s="2" t="s">
        <v>2750</v>
      </c>
      <c r="C381" s="2" t="s">
        <v>972</v>
      </c>
      <c r="D381" s="2" t="s">
        <v>973</v>
      </c>
      <c r="E381" s="2" t="s">
        <v>974</v>
      </c>
      <c r="F381" s="2" t="s">
        <v>975</v>
      </c>
      <c r="G381" s="2" t="s">
        <v>608</v>
      </c>
      <c r="H381" s="2" t="s">
        <v>42</v>
      </c>
      <c r="I381" s="2" t="s">
        <v>103</v>
      </c>
      <c r="J381" s="2" t="s">
        <v>756</v>
      </c>
      <c r="K381" s="2" t="s">
        <v>757</v>
      </c>
      <c r="L381" s="2" t="s">
        <v>30</v>
      </c>
      <c r="N381" s="2">
        <v>1.0</v>
      </c>
      <c r="O381" s="2" t="s">
        <v>2751</v>
      </c>
      <c r="P381" s="2" t="s">
        <v>65</v>
      </c>
      <c r="Q381" s="2" t="s">
        <v>181</v>
      </c>
      <c r="R381" s="2" t="s">
        <v>380</v>
      </c>
    </row>
    <row r="382" ht="15.75" customHeight="1">
      <c r="A382" s="2" t="s">
        <v>2752</v>
      </c>
      <c r="B382" s="2" t="s">
        <v>2753</v>
      </c>
      <c r="C382" s="2" t="s">
        <v>2754</v>
      </c>
      <c r="D382" s="2" t="s">
        <v>2755</v>
      </c>
      <c r="E382" s="2" t="s">
        <v>2756</v>
      </c>
      <c r="F382" s="2" t="s">
        <v>2757</v>
      </c>
      <c r="G382" s="2" t="s">
        <v>25</v>
      </c>
      <c r="H382" s="2" t="s">
        <v>115</v>
      </c>
      <c r="I382" s="2" t="s">
        <v>401</v>
      </c>
      <c r="J382" s="2" t="s">
        <v>104</v>
      </c>
      <c r="K382" s="2" t="s">
        <v>105</v>
      </c>
      <c r="L382" s="2" t="s">
        <v>106</v>
      </c>
      <c r="N382" s="2">
        <v>5.0</v>
      </c>
      <c r="O382" s="2" t="s">
        <v>2758</v>
      </c>
      <c r="P382" s="2" t="s">
        <v>95</v>
      </c>
      <c r="Q382" s="2" t="s">
        <v>664</v>
      </c>
      <c r="R382" s="2" t="s">
        <v>2759</v>
      </c>
    </row>
    <row r="383" ht="15.75" customHeight="1">
      <c r="A383" s="2" t="s">
        <v>2760</v>
      </c>
      <c r="B383" s="2" t="s">
        <v>2761</v>
      </c>
      <c r="C383" s="2" t="s">
        <v>2762</v>
      </c>
      <c r="D383" s="2" t="s">
        <v>2477</v>
      </c>
      <c r="E383" s="2" t="s">
        <v>2478</v>
      </c>
      <c r="F383" s="2" t="s">
        <v>2763</v>
      </c>
      <c r="G383" s="2" t="s">
        <v>199</v>
      </c>
      <c r="H383" s="2" t="s">
        <v>26</v>
      </c>
      <c r="I383" s="2" t="s">
        <v>522</v>
      </c>
      <c r="J383" s="2" t="s">
        <v>235</v>
      </c>
      <c r="K383" s="2" t="s">
        <v>236</v>
      </c>
      <c r="L383" s="2" t="s">
        <v>30</v>
      </c>
      <c r="M383" s="2">
        <v>1581.98</v>
      </c>
      <c r="N383" s="2">
        <v>3.0</v>
      </c>
      <c r="O383" s="2" t="s">
        <v>2764</v>
      </c>
      <c r="P383" s="2" t="s">
        <v>65</v>
      </c>
      <c r="Q383" s="2" t="s">
        <v>238</v>
      </c>
      <c r="R383" s="2" t="s">
        <v>294</v>
      </c>
      <c r="S383" s="2" t="s">
        <v>133</v>
      </c>
    </row>
    <row r="384" ht="15.75" customHeight="1">
      <c r="A384" s="2" t="s">
        <v>2765</v>
      </c>
      <c r="B384" s="2" t="s">
        <v>2766</v>
      </c>
      <c r="C384" s="2" t="s">
        <v>467</v>
      </c>
      <c r="D384" s="2" t="s">
        <v>468</v>
      </c>
      <c r="E384" s="2" t="s">
        <v>469</v>
      </c>
      <c r="F384" s="2" t="s">
        <v>470</v>
      </c>
      <c r="G384" s="2" t="s">
        <v>199</v>
      </c>
      <c r="H384" s="2" t="s">
        <v>42</v>
      </c>
      <c r="I384" s="2" t="s">
        <v>43</v>
      </c>
      <c r="J384" s="2" t="s">
        <v>1114</v>
      </c>
      <c r="K384" s="2" t="s">
        <v>1115</v>
      </c>
      <c r="L384" s="2" t="s">
        <v>248</v>
      </c>
      <c r="M384" s="2">
        <v>562.9</v>
      </c>
      <c r="N384" s="2">
        <v>1.0</v>
      </c>
      <c r="O384" s="2" t="s">
        <v>2767</v>
      </c>
      <c r="P384" s="2" t="s">
        <v>32</v>
      </c>
      <c r="Q384" s="2" t="s">
        <v>66</v>
      </c>
      <c r="R384" s="2" t="s">
        <v>169</v>
      </c>
      <c r="S384" s="2" t="s">
        <v>81</v>
      </c>
    </row>
    <row r="385" ht="15.75" customHeight="1">
      <c r="A385" s="2" t="s">
        <v>2768</v>
      </c>
      <c r="B385" s="2" t="s">
        <v>2769</v>
      </c>
      <c r="C385" s="2" t="s">
        <v>577</v>
      </c>
      <c r="D385" s="2" t="s">
        <v>1101</v>
      </c>
      <c r="E385" s="2" t="s">
        <v>579</v>
      </c>
      <c r="F385" s="2" t="s">
        <v>580</v>
      </c>
      <c r="G385" s="2" t="s">
        <v>73</v>
      </c>
      <c r="H385" s="2" t="s">
        <v>26</v>
      </c>
      <c r="I385" s="2" t="s">
        <v>401</v>
      </c>
      <c r="J385" s="2" t="s">
        <v>965</v>
      </c>
      <c r="K385" s="2" t="s">
        <v>966</v>
      </c>
      <c r="L385" s="2" t="s">
        <v>967</v>
      </c>
      <c r="M385" s="2">
        <v>369.28</v>
      </c>
      <c r="N385" s="2">
        <v>2.0</v>
      </c>
      <c r="O385" s="2" t="s">
        <v>2770</v>
      </c>
      <c r="P385" s="2" t="s">
        <v>65</v>
      </c>
      <c r="Q385" s="2" t="s">
        <v>49</v>
      </c>
      <c r="R385" s="2" t="s">
        <v>527</v>
      </c>
    </row>
    <row r="386" ht="15.75" customHeight="1">
      <c r="A386" s="2" t="s">
        <v>2771</v>
      </c>
      <c r="B386" s="2" t="s">
        <v>2772</v>
      </c>
      <c r="C386" s="2" t="s">
        <v>594</v>
      </c>
      <c r="D386" s="2" t="s">
        <v>595</v>
      </c>
      <c r="E386" s="2" t="s">
        <v>596</v>
      </c>
      <c r="F386" s="2" t="s">
        <v>597</v>
      </c>
      <c r="G386" s="2" t="s">
        <v>139</v>
      </c>
      <c r="H386" s="2" t="s">
        <v>2045</v>
      </c>
      <c r="I386" s="2" t="s">
        <v>480</v>
      </c>
      <c r="J386" s="2" t="s">
        <v>353</v>
      </c>
      <c r="K386" s="2" t="s">
        <v>354</v>
      </c>
      <c r="L386" s="2" t="s">
        <v>355</v>
      </c>
      <c r="N386" s="2">
        <v>1.0</v>
      </c>
      <c r="O386" s="2" t="s">
        <v>2773</v>
      </c>
      <c r="P386" s="2" t="s">
        <v>32</v>
      </c>
      <c r="Q386" s="2" t="s">
        <v>526</v>
      </c>
      <c r="R386" s="2" t="s">
        <v>169</v>
      </c>
    </row>
    <row r="387" ht="15.75" customHeight="1">
      <c r="A387" s="2" t="s">
        <v>2774</v>
      </c>
      <c r="B387" s="2" t="s">
        <v>2775</v>
      </c>
      <c r="C387" s="2" t="s">
        <v>2776</v>
      </c>
      <c r="D387" s="2" t="s">
        <v>2777</v>
      </c>
      <c r="E387" s="2" t="s">
        <v>2778</v>
      </c>
      <c r="F387" s="2" t="s">
        <v>2779</v>
      </c>
      <c r="G387" s="2" t="s">
        <v>2780</v>
      </c>
      <c r="H387" s="2" t="s">
        <v>115</v>
      </c>
      <c r="I387" s="2" t="s">
        <v>312</v>
      </c>
      <c r="J387" s="2" t="s">
        <v>1085</v>
      </c>
      <c r="K387" s="2" t="s">
        <v>335</v>
      </c>
      <c r="L387" s="2" t="s">
        <v>368</v>
      </c>
      <c r="N387" s="2">
        <v>1.0</v>
      </c>
      <c r="O387" s="2" t="s">
        <v>2781</v>
      </c>
      <c r="P387" s="2" t="s">
        <v>48</v>
      </c>
      <c r="Q387" s="2" t="s">
        <v>238</v>
      </c>
      <c r="R387" s="2" t="s">
        <v>192</v>
      </c>
    </row>
    <row r="388" ht="15.75" customHeight="1">
      <c r="A388" s="2" t="s">
        <v>2782</v>
      </c>
      <c r="B388" s="2" t="s">
        <v>2783</v>
      </c>
      <c r="C388" s="2" t="s">
        <v>1986</v>
      </c>
      <c r="D388" s="2" t="s">
        <v>1987</v>
      </c>
      <c r="E388" s="2" t="s">
        <v>1988</v>
      </c>
      <c r="F388" s="2" t="s">
        <v>1989</v>
      </c>
      <c r="G388" s="2" t="s">
        <v>608</v>
      </c>
      <c r="H388" s="2" t="s">
        <v>42</v>
      </c>
      <c r="I388" s="2" t="s">
        <v>480</v>
      </c>
      <c r="J388" s="2" t="s">
        <v>619</v>
      </c>
      <c r="K388" s="2" t="s">
        <v>620</v>
      </c>
      <c r="L388" s="2" t="s">
        <v>292</v>
      </c>
      <c r="M388" s="2">
        <v>144.93</v>
      </c>
      <c r="N388" s="2">
        <v>2.0</v>
      </c>
      <c r="O388" s="2" t="s">
        <v>2784</v>
      </c>
      <c r="P388" s="2" t="s">
        <v>48</v>
      </c>
      <c r="Q388" s="2" t="s">
        <v>485</v>
      </c>
      <c r="R388" s="2" t="s">
        <v>432</v>
      </c>
      <c r="S388" s="2" t="s">
        <v>51</v>
      </c>
    </row>
    <row r="389" ht="15.75" customHeight="1">
      <c r="A389" s="2" t="s">
        <v>2785</v>
      </c>
      <c r="B389" s="2" t="s">
        <v>2786</v>
      </c>
      <c r="C389" s="2" t="s">
        <v>2787</v>
      </c>
      <c r="D389" s="2" t="s">
        <v>2788</v>
      </c>
      <c r="E389" s="2" t="s">
        <v>2789</v>
      </c>
      <c r="F389" s="2" t="s">
        <v>2790</v>
      </c>
      <c r="G389" s="2" t="s">
        <v>671</v>
      </c>
      <c r="H389" s="2" t="s">
        <v>42</v>
      </c>
      <c r="I389" s="2" t="s">
        <v>512</v>
      </c>
      <c r="J389" s="2" t="s">
        <v>2398</v>
      </c>
      <c r="K389" s="2" t="s">
        <v>225</v>
      </c>
      <c r="L389" s="2" t="s">
        <v>179</v>
      </c>
      <c r="M389" s="2">
        <v>1312.54</v>
      </c>
      <c r="N389" s="2">
        <v>2.0</v>
      </c>
      <c r="O389" s="2" t="s">
        <v>2791</v>
      </c>
      <c r="P389" s="2" t="s">
        <v>95</v>
      </c>
      <c r="Q389" s="2" t="s">
        <v>181</v>
      </c>
      <c r="R389" s="2" t="s">
        <v>80</v>
      </c>
    </row>
    <row r="390" ht="15.75" customHeight="1">
      <c r="A390" s="2" t="s">
        <v>2792</v>
      </c>
      <c r="B390" s="2" t="s">
        <v>2793</v>
      </c>
      <c r="C390" s="2" t="s">
        <v>2794</v>
      </c>
      <c r="D390" s="2" t="s">
        <v>2180</v>
      </c>
      <c r="E390" s="2" t="s">
        <v>2795</v>
      </c>
      <c r="F390" s="2" t="s">
        <v>2796</v>
      </c>
      <c r="G390" s="2" t="s">
        <v>1177</v>
      </c>
      <c r="H390" s="2" t="s">
        <v>683</v>
      </c>
      <c r="I390" s="2" t="s">
        <v>75</v>
      </c>
      <c r="J390" s="2" t="s">
        <v>1302</v>
      </c>
      <c r="K390" s="2" t="s">
        <v>1303</v>
      </c>
      <c r="L390" s="2" t="s">
        <v>179</v>
      </c>
      <c r="M390" s="2">
        <v>1537.25</v>
      </c>
      <c r="N390" s="2">
        <v>5.0</v>
      </c>
      <c r="O390" s="2" t="s">
        <v>2797</v>
      </c>
      <c r="P390" s="2" t="s">
        <v>32</v>
      </c>
      <c r="Q390" s="2" t="s">
        <v>357</v>
      </c>
      <c r="R390" s="2" t="s">
        <v>34</v>
      </c>
      <c r="S390" s="2" t="s">
        <v>81</v>
      </c>
    </row>
    <row r="391" ht="15.75" customHeight="1">
      <c r="A391" s="2" t="s">
        <v>2798</v>
      </c>
      <c r="B391" s="2" t="s">
        <v>2799</v>
      </c>
      <c r="C391" s="2" t="s">
        <v>716</v>
      </c>
      <c r="D391" s="2" t="s">
        <v>717</v>
      </c>
      <c r="E391" s="2" t="s">
        <v>718</v>
      </c>
      <c r="F391" s="2" t="s">
        <v>719</v>
      </c>
      <c r="G391" s="2" t="s">
        <v>720</v>
      </c>
      <c r="H391" s="2" t="s">
        <v>210</v>
      </c>
      <c r="I391" s="2" t="s">
        <v>2800</v>
      </c>
      <c r="J391" s="2" t="s">
        <v>513</v>
      </c>
      <c r="K391" s="2" t="s">
        <v>391</v>
      </c>
      <c r="L391" s="2" t="s">
        <v>514</v>
      </c>
      <c r="M391" s="2">
        <v>749.94</v>
      </c>
      <c r="N391" s="2">
        <v>5.0</v>
      </c>
      <c r="O391" s="2" t="s">
        <v>2801</v>
      </c>
      <c r="P391" s="2" t="s">
        <v>48</v>
      </c>
      <c r="Q391" s="2" t="s">
        <v>664</v>
      </c>
      <c r="R391" s="2" t="s">
        <v>2802</v>
      </c>
      <c r="S391" s="2" t="s">
        <v>81</v>
      </c>
    </row>
    <row r="392" ht="15.75" customHeight="1">
      <c r="A392" s="2" t="s">
        <v>2803</v>
      </c>
      <c r="B392" s="2" t="s">
        <v>2804</v>
      </c>
      <c r="C392" s="2" t="s">
        <v>2159</v>
      </c>
      <c r="D392" s="2" t="s">
        <v>2160</v>
      </c>
      <c r="E392" s="2" t="s">
        <v>2161</v>
      </c>
      <c r="F392" s="2" t="s">
        <v>2162</v>
      </c>
      <c r="G392" s="2" t="s">
        <v>364</v>
      </c>
      <c r="H392" s="2" t="s">
        <v>26</v>
      </c>
      <c r="I392" s="2" t="s">
        <v>211</v>
      </c>
      <c r="J392" s="2" t="s">
        <v>889</v>
      </c>
      <c r="K392" s="2" t="s">
        <v>804</v>
      </c>
      <c r="L392" s="2" t="s">
        <v>179</v>
      </c>
      <c r="M392" s="2">
        <v>492.14</v>
      </c>
      <c r="N392" s="2">
        <v>1.0</v>
      </c>
      <c r="O392" s="2" t="s">
        <v>2805</v>
      </c>
      <c r="P392" s="2" t="s">
        <v>48</v>
      </c>
      <c r="Q392" s="2" t="s">
        <v>143</v>
      </c>
      <c r="R392" s="2" t="s">
        <v>345</v>
      </c>
      <c r="S392" s="2" t="s">
        <v>133</v>
      </c>
    </row>
    <row r="393" ht="15.75" customHeight="1">
      <c r="A393" s="2" t="s">
        <v>2806</v>
      </c>
      <c r="B393" s="2" t="s">
        <v>2807</v>
      </c>
      <c r="C393" s="2" t="s">
        <v>2808</v>
      </c>
      <c r="D393" s="2" t="s">
        <v>2809</v>
      </c>
      <c r="E393" s="2" t="s">
        <v>2810</v>
      </c>
      <c r="F393" s="2" t="s">
        <v>2811</v>
      </c>
      <c r="G393" s="2" t="s">
        <v>25</v>
      </c>
      <c r="H393" s="2" t="s">
        <v>223</v>
      </c>
      <c r="I393" s="2" t="s">
        <v>176</v>
      </c>
      <c r="J393" s="2" t="s">
        <v>767</v>
      </c>
      <c r="K393" s="2" t="s">
        <v>768</v>
      </c>
      <c r="L393" s="2" t="s">
        <v>769</v>
      </c>
      <c r="M393" s="2">
        <v>519.87</v>
      </c>
      <c r="N393" s="2">
        <v>1.0</v>
      </c>
      <c r="O393" s="2" t="s">
        <v>2812</v>
      </c>
      <c r="P393" s="2" t="s">
        <v>2813</v>
      </c>
      <c r="Q393" s="2" t="s">
        <v>526</v>
      </c>
      <c r="R393" s="2" t="s">
        <v>452</v>
      </c>
    </row>
    <row r="394" ht="15.75" customHeight="1">
      <c r="A394" s="2" t="s">
        <v>2814</v>
      </c>
      <c r="B394" s="2" t="s">
        <v>2815</v>
      </c>
      <c r="C394" s="2" t="s">
        <v>496</v>
      </c>
      <c r="D394" s="2" t="s">
        <v>497</v>
      </c>
      <c r="E394" s="2" t="s">
        <v>498</v>
      </c>
      <c r="F394" s="2" t="s">
        <v>499</v>
      </c>
      <c r="G394" s="2" t="s">
        <v>139</v>
      </c>
      <c r="H394" s="2" t="s">
        <v>26</v>
      </c>
      <c r="I394" s="2" t="s">
        <v>43</v>
      </c>
      <c r="J394" s="2" t="s">
        <v>1211</v>
      </c>
      <c r="K394" s="2" t="s">
        <v>1212</v>
      </c>
      <c r="L394" s="2" t="s">
        <v>63</v>
      </c>
      <c r="N394" s="2">
        <v>3.0</v>
      </c>
      <c r="O394" s="2" t="s">
        <v>2816</v>
      </c>
      <c r="P394" s="2" t="s">
        <v>950</v>
      </c>
      <c r="Q394" s="2" t="s">
        <v>573</v>
      </c>
      <c r="R394" s="2" t="s">
        <v>452</v>
      </c>
      <c r="S394" s="2" t="s">
        <v>133</v>
      </c>
    </row>
    <row r="395" ht="15.75" customHeight="1">
      <c r="A395" s="2" t="s">
        <v>2817</v>
      </c>
      <c r="B395" s="2" t="s">
        <v>2818</v>
      </c>
      <c r="C395" s="2" t="s">
        <v>518</v>
      </c>
      <c r="D395" s="2" t="s">
        <v>519</v>
      </c>
      <c r="E395" s="2" t="s">
        <v>520</v>
      </c>
      <c r="F395" s="2" t="s">
        <v>521</v>
      </c>
      <c r="G395" s="2" t="s">
        <v>88</v>
      </c>
      <c r="H395" s="2" t="s">
        <v>59</v>
      </c>
      <c r="I395" s="2" t="s">
        <v>401</v>
      </c>
      <c r="J395" s="2" t="s">
        <v>740</v>
      </c>
      <c r="K395" s="2" t="s">
        <v>741</v>
      </c>
      <c r="L395" s="2" t="s">
        <v>742</v>
      </c>
      <c r="N395" s="2">
        <v>2.0</v>
      </c>
      <c r="O395" s="2" t="s">
        <v>2819</v>
      </c>
      <c r="P395" s="2" t="s">
        <v>48</v>
      </c>
      <c r="Q395" s="2" t="s">
        <v>573</v>
      </c>
      <c r="R395" s="2" t="s">
        <v>80</v>
      </c>
      <c r="S395" s="2" t="s">
        <v>81</v>
      </c>
    </row>
    <row r="396" ht="15.75" customHeight="1">
      <c r="A396" s="2" t="s">
        <v>2820</v>
      </c>
      <c r="B396" s="2" t="s">
        <v>2821</v>
      </c>
      <c r="C396" s="2" t="s">
        <v>2822</v>
      </c>
      <c r="D396" s="2" t="s">
        <v>2823</v>
      </c>
      <c r="E396" s="2" t="s">
        <v>2824</v>
      </c>
      <c r="F396" s="2" t="s">
        <v>2825</v>
      </c>
      <c r="G396" s="2" t="s">
        <v>1054</v>
      </c>
      <c r="H396" s="2" t="s">
        <v>1167</v>
      </c>
      <c r="I396" s="2" t="s">
        <v>103</v>
      </c>
      <c r="J396" s="2" t="s">
        <v>2420</v>
      </c>
      <c r="K396" s="2" t="s">
        <v>462</v>
      </c>
      <c r="L396" s="2" t="s">
        <v>2421</v>
      </c>
      <c r="N396" s="2">
        <v>1.0</v>
      </c>
      <c r="O396" s="2" t="s">
        <v>2826</v>
      </c>
      <c r="P396" s="2" t="s">
        <v>95</v>
      </c>
      <c r="Q396" s="2" t="s">
        <v>96</v>
      </c>
      <c r="R396" s="2" t="s">
        <v>144</v>
      </c>
      <c r="S396" s="2" t="s">
        <v>81</v>
      </c>
    </row>
    <row r="397" ht="15.75" customHeight="1">
      <c r="A397" s="2" t="s">
        <v>997</v>
      </c>
      <c r="B397" s="2" t="s">
        <v>998</v>
      </c>
      <c r="C397" s="2" t="s">
        <v>999</v>
      </c>
      <c r="D397" s="2" t="s">
        <v>2827</v>
      </c>
      <c r="E397" s="2" t="s">
        <v>1001</v>
      </c>
      <c r="F397" s="2" t="s">
        <v>1002</v>
      </c>
      <c r="G397" s="2" t="s">
        <v>608</v>
      </c>
      <c r="H397" s="2" t="s">
        <v>59</v>
      </c>
      <c r="I397" s="2" t="s">
        <v>500</v>
      </c>
      <c r="J397" s="2" t="s">
        <v>200</v>
      </c>
      <c r="K397" s="2" t="s">
        <v>201</v>
      </c>
      <c r="L397" s="2" t="s">
        <v>202</v>
      </c>
      <c r="N397" s="2">
        <v>1.0</v>
      </c>
      <c r="O397" s="2" t="s">
        <v>1003</v>
      </c>
      <c r="P397" s="2" t="s">
        <v>95</v>
      </c>
      <c r="Q397" s="2" t="s">
        <v>204</v>
      </c>
      <c r="R397" s="2" t="s">
        <v>380</v>
      </c>
    </row>
    <row r="398" ht="15.75" customHeight="1">
      <c r="A398" s="2" t="s">
        <v>2828</v>
      </c>
      <c r="B398" s="2" t="s">
        <v>2829</v>
      </c>
      <c r="C398" s="2" t="s">
        <v>2830</v>
      </c>
      <c r="D398" s="2" t="s">
        <v>2831</v>
      </c>
      <c r="E398" s="2" t="s">
        <v>2832</v>
      </c>
      <c r="F398" s="2" t="s">
        <v>2833</v>
      </c>
      <c r="G398" s="2" t="s">
        <v>720</v>
      </c>
      <c r="H398" s="2" t="s">
        <v>42</v>
      </c>
      <c r="I398" s="2" t="s">
        <v>60</v>
      </c>
      <c r="J398" s="2" t="s">
        <v>919</v>
      </c>
      <c r="K398" s="2" t="s">
        <v>423</v>
      </c>
      <c r="L398" s="2" t="s">
        <v>179</v>
      </c>
      <c r="M398" s="2">
        <v>610.07</v>
      </c>
      <c r="N398" s="2">
        <v>1.0</v>
      </c>
      <c r="O398" s="2" t="s">
        <v>2834</v>
      </c>
      <c r="P398" s="2" t="s">
        <v>95</v>
      </c>
      <c r="Q398" s="2" t="s">
        <v>370</v>
      </c>
      <c r="R398" s="2" t="s">
        <v>818</v>
      </c>
      <c r="S398" s="2" t="s">
        <v>81</v>
      </c>
    </row>
    <row r="399" ht="15.75" customHeight="1">
      <c r="A399" s="2" t="s">
        <v>2835</v>
      </c>
      <c r="B399" s="2" t="s">
        <v>2836</v>
      </c>
      <c r="C399" s="2" t="s">
        <v>1872</v>
      </c>
      <c r="D399" s="2" t="s">
        <v>1873</v>
      </c>
      <c r="E399" s="2" t="s">
        <v>1874</v>
      </c>
      <c r="F399" s="2" t="s">
        <v>1875</v>
      </c>
      <c r="G399" s="2" t="s">
        <v>1078</v>
      </c>
      <c r="H399" s="2" t="s">
        <v>223</v>
      </c>
      <c r="I399" s="2" t="s">
        <v>480</v>
      </c>
      <c r="J399" s="2" t="s">
        <v>1460</v>
      </c>
      <c r="K399" s="2" t="s">
        <v>1461</v>
      </c>
      <c r="L399" s="2" t="s">
        <v>368</v>
      </c>
      <c r="M399" s="2">
        <v>1597.91</v>
      </c>
      <c r="N399" s="2">
        <v>3.0</v>
      </c>
      <c r="O399" s="2" t="s">
        <v>2837</v>
      </c>
      <c r="P399" s="2" t="s">
        <v>65</v>
      </c>
      <c r="Q399" s="2" t="s">
        <v>143</v>
      </c>
      <c r="R399" s="2" t="s">
        <v>1312</v>
      </c>
    </row>
    <row r="400" ht="15.75" customHeight="1">
      <c r="A400" s="2" t="s">
        <v>2838</v>
      </c>
      <c r="B400" s="2" t="s">
        <v>2839</v>
      </c>
      <c r="C400" s="2" t="s">
        <v>1793</v>
      </c>
      <c r="D400" s="2" t="s">
        <v>1794</v>
      </c>
      <c r="E400" s="2" t="s">
        <v>1795</v>
      </c>
      <c r="G400" s="2" t="s">
        <v>139</v>
      </c>
      <c r="H400" s="2" t="s">
        <v>152</v>
      </c>
      <c r="I400" s="2" t="s">
        <v>365</v>
      </c>
      <c r="J400" s="2" t="s">
        <v>2321</v>
      </c>
      <c r="K400" s="2" t="s">
        <v>2322</v>
      </c>
      <c r="L400" s="2" t="s">
        <v>368</v>
      </c>
      <c r="N400" s="2">
        <v>1.0</v>
      </c>
      <c r="O400" s="2" t="s">
        <v>2840</v>
      </c>
      <c r="P400" s="2" t="s">
        <v>65</v>
      </c>
      <c r="Q400" s="2" t="s">
        <v>66</v>
      </c>
      <c r="R400" s="2" t="s">
        <v>442</v>
      </c>
    </row>
    <row r="401" ht="15.75" customHeight="1">
      <c r="A401" s="2" t="s">
        <v>2841</v>
      </c>
      <c r="B401" s="2" t="s">
        <v>2842</v>
      </c>
      <c r="C401" s="2" t="s">
        <v>2843</v>
      </c>
      <c r="D401" s="2" t="s">
        <v>2844</v>
      </c>
      <c r="E401" s="2" t="s">
        <v>2845</v>
      </c>
      <c r="F401" s="2" t="s">
        <v>2846</v>
      </c>
      <c r="G401" s="2" t="s">
        <v>88</v>
      </c>
      <c r="H401" s="2" t="s">
        <v>26</v>
      </c>
      <c r="I401" s="2" t="s">
        <v>289</v>
      </c>
      <c r="J401" s="2" t="s">
        <v>313</v>
      </c>
      <c r="K401" s="2" t="s">
        <v>314</v>
      </c>
      <c r="L401" s="2" t="s">
        <v>315</v>
      </c>
      <c r="N401" s="2">
        <v>1.0</v>
      </c>
      <c r="O401" s="2" t="s">
        <v>2847</v>
      </c>
      <c r="P401" s="2" t="s">
        <v>48</v>
      </c>
      <c r="Q401" s="2" t="s">
        <v>1367</v>
      </c>
      <c r="R401" s="2" t="s">
        <v>380</v>
      </c>
      <c r="S401" s="2" t="s">
        <v>51</v>
      </c>
    </row>
    <row r="402" ht="15.75" customHeight="1">
      <c r="A402" s="2" t="s">
        <v>2848</v>
      </c>
      <c r="B402" s="2" t="s">
        <v>2849</v>
      </c>
      <c r="C402" s="2" t="s">
        <v>2850</v>
      </c>
      <c r="D402" s="2" t="s">
        <v>2851</v>
      </c>
      <c r="E402" s="2" t="s">
        <v>2852</v>
      </c>
      <c r="F402" s="2" t="s">
        <v>2853</v>
      </c>
      <c r="G402" s="2" t="s">
        <v>671</v>
      </c>
      <c r="H402" s="2" t="s">
        <v>223</v>
      </c>
      <c r="I402" s="2" t="s">
        <v>500</v>
      </c>
      <c r="J402" s="2" t="s">
        <v>501</v>
      </c>
      <c r="K402" s="2" t="s">
        <v>502</v>
      </c>
      <c r="L402" s="2" t="s">
        <v>503</v>
      </c>
      <c r="M402" s="2">
        <v>1534.93</v>
      </c>
      <c r="N402" s="2">
        <v>3.0</v>
      </c>
      <c r="O402" s="2" t="s">
        <v>2854</v>
      </c>
      <c r="P402" s="2" t="s">
        <v>32</v>
      </c>
      <c r="Q402" s="2" t="s">
        <v>33</v>
      </c>
      <c r="R402" s="2" t="s">
        <v>2855</v>
      </c>
      <c r="S402" s="2" t="s">
        <v>67</v>
      </c>
    </row>
    <row r="403" ht="15.75" customHeight="1">
      <c r="A403" s="2" t="s">
        <v>2856</v>
      </c>
      <c r="B403" s="2" t="s">
        <v>2857</v>
      </c>
      <c r="C403" s="2" t="s">
        <v>2858</v>
      </c>
      <c r="D403" s="2" t="s">
        <v>2859</v>
      </c>
      <c r="E403" s="2" t="s">
        <v>2860</v>
      </c>
      <c r="G403" s="2" t="s">
        <v>58</v>
      </c>
      <c r="H403" s="2" t="s">
        <v>460</v>
      </c>
      <c r="I403" s="2" t="s">
        <v>352</v>
      </c>
      <c r="J403" s="2" t="s">
        <v>1597</v>
      </c>
      <c r="K403" s="2" t="s">
        <v>502</v>
      </c>
      <c r="L403" s="2" t="s">
        <v>355</v>
      </c>
      <c r="N403" s="2">
        <v>3.0</v>
      </c>
      <c r="O403" s="2" t="s">
        <v>2861</v>
      </c>
      <c r="P403" s="2" t="s">
        <v>65</v>
      </c>
      <c r="Q403" s="2" t="s">
        <v>1708</v>
      </c>
      <c r="R403" s="2" t="s">
        <v>345</v>
      </c>
    </row>
    <row r="404" ht="15.75" customHeight="1">
      <c r="A404" s="2" t="s">
        <v>2862</v>
      </c>
      <c r="B404" s="2" t="s">
        <v>2863</v>
      </c>
      <c r="C404" s="2" t="s">
        <v>2864</v>
      </c>
      <c r="D404" s="2" t="s">
        <v>2865</v>
      </c>
      <c r="E404" s="2" t="s">
        <v>2866</v>
      </c>
      <c r="G404" s="2" t="s">
        <v>25</v>
      </c>
      <c r="H404" s="2" t="s">
        <v>223</v>
      </c>
      <c r="I404" s="2" t="s">
        <v>480</v>
      </c>
      <c r="J404" s="2" t="s">
        <v>948</v>
      </c>
      <c r="K404" s="2" t="s">
        <v>450</v>
      </c>
      <c r="L404" s="2" t="s">
        <v>129</v>
      </c>
      <c r="M404" s="2">
        <v>759.26</v>
      </c>
      <c r="N404" s="2">
        <v>1.0</v>
      </c>
      <c r="O404" s="2" t="s">
        <v>2867</v>
      </c>
      <c r="P404" s="2" t="s">
        <v>65</v>
      </c>
      <c r="Q404" s="2" t="s">
        <v>414</v>
      </c>
      <c r="R404" s="2" t="s">
        <v>818</v>
      </c>
    </row>
    <row r="405" ht="15.75" customHeight="1">
      <c r="A405" s="2" t="s">
        <v>2868</v>
      </c>
      <c r="B405" s="2" t="s">
        <v>2869</v>
      </c>
      <c r="C405" s="2" t="s">
        <v>2203</v>
      </c>
      <c r="D405" s="2" t="s">
        <v>2204</v>
      </c>
      <c r="E405" s="2" t="s">
        <v>2205</v>
      </c>
      <c r="F405" s="2" t="s">
        <v>2206</v>
      </c>
      <c r="G405" s="2" t="s">
        <v>88</v>
      </c>
      <c r="H405" s="2" t="s">
        <v>234</v>
      </c>
      <c r="I405" s="2" t="s">
        <v>27</v>
      </c>
      <c r="J405" s="2" t="s">
        <v>246</v>
      </c>
      <c r="K405" s="2" t="s">
        <v>247</v>
      </c>
      <c r="L405" s="2" t="s">
        <v>248</v>
      </c>
      <c r="M405" s="2">
        <v>505.29</v>
      </c>
      <c r="N405" s="2">
        <v>2.0</v>
      </c>
      <c r="O405" s="2" t="s">
        <v>2870</v>
      </c>
      <c r="P405" s="2" t="s">
        <v>32</v>
      </c>
      <c r="Q405" s="2" t="s">
        <v>238</v>
      </c>
      <c r="R405" s="2" t="s">
        <v>1312</v>
      </c>
      <c r="S405" s="2" t="s">
        <v>81</v>
      </c>
    </row>
    <row r="406" ht="15.75" customHeight="1">
      <c r="A406" s="2" t="s">
        <v>2871</v>
      </c>
      <c r="B406" s="2" t="s">
        <v>2872</v>
      </c>
      <c r="C406" s="2" t="s">
        <v>2873</v>
      </c>
      <c r="D406" s="2" t="s">
        <v>2874</v>
      </c>
      <c r="E406" s="2" t="s">
        <v>2875</v>
      </c>
      <c r="F406" s="2" t="s">
        <v>2876</v>
      </c>
      <c r="G406" s="2" t="s">
        <v>199</v>
      </c>
      <c r="H406" s="2" t="s">
        <v>42</v>
      </c>
      <c r="I406" s="2" t="s">
        <v>43</v>
      </c>
      <c r="J406" s="2" t="s">
        <v>290</v>
      </c>
      <c r="K406" s="2" t="s">
        <v>291</v>
      </c>
      <c r="L406" s="2" t="s">
        <v>292</v>
      </c>
      <c r="N406" s="2">
        <v>2.0</v>
      </c>
      <c r="O406" s="2" t="s">
        <v>2877</v>
      </c>
      <c r="P406" s="2" t="s">
        <v>32</v>
      </c>
      <c r="Q406" s="2" t="s">
        <v>414</v>
      </c>
      <c r="R406" s="2" t="s">
        <v>1463</v>
      </c>
    </row>
    <row r="407" ht="15.75" customHeight="1">
      <c r="A407" s="2" t="s">
        <v>2878</v>
      </c>
      <c r="B407" s="2" t="s">
        <v>2879</v>
      </c>
      <c r="C407" s="2" t="s">
        <v>2601</v>
      </c>
      <c r="D407" s="2" t="s">
        <v>2602</v>
      </c>
      <c r="E407" s="2" t="s">
        <v>2603</v>
      </c>
      <c r="F407" s="2" t="s">
        <v>2604</v>
      </c>
      <c r="G407" s="2" t="s">
        <v>58</v>
      </c>
      <c r="H407" s="2" t="s">
        <v>2880</v>
      </c>
      <c r="I407" s="2" t="s">
        <v>480</v>
      </c>
      <c r="J407" s="2" t="s">
        <v>471</v>
      </c>
      <c r="K407" s="2" t="s">
        <v>472</v>
      </c>
      <c r="L407" s="2" t="s">
        <v>179</v>
      </c>
      <c r="M407" s="2">
        <v>1028.23</v>
      </c>
      <c r="N407" s="2">
        <v>1.0</v>
      </c>
      <c r="O407" s="2" t="s">
        <v>2881</v>
      </c>
      <c r="P407" s="2" t="s">
        <v>95</v>
      </c>
      <c r="Q407" s="2" t="s">
        <v>49</v>
      </c>
      <c r="R407" s="2" t="s">
        <v>169</v>
      </c>
      <c r="S407" s="2" t="s">
        <v>133</v>
      </c>
    </row>
    <row r="408" ht="15.75" customHeight="1">
      <c r="A408" s="2" t="s">
        <v>2882</v>
      </c>
      <c r="B408" s="2" t="s">
        <v>2883</v>
      </c>
      <c r="C408" s="2" t="s">
        <v>2388</v>
      </c>
      <c r="D408" s="2" t="s">
        <v>2389</v>
      </c>
      <c r="E408" s="2" t="s">
        <v>2390</v>
      </c>
      <c r="F408" s="2" t="s">
        <v>2391</v>
      </c>
      <c r="G408" s="2" t="s">
        <v>448</v>
      </c>
      <c r="H408" s="2" t="s">
        <v>59</v>
      </c>
      <c r="I408" s="2" t="s">
        <v>289</v>
      </c>
      <c r="J408" s="2" t="s">
        <v>177</v>
      </c>
      <c r="K408" s="2" t="s">
        <v>178</v>
      </c>
      <c r="L408" s="2" t="s">
        <v>179</v>
      </c>
      <c r="N408" s="2">
        <v>2.0</v>
      </c>
      <c r="O408" s="2" t="s">
        <v>2884</v>
      </c>
      <c r="P408" s="2" t="s">
        <v>32</v>
      </c>
      <c r="Q408" s="2" t="s">
        <v>238</v>
      </c>
      <c r="R408" s="2" t="s">
        <v>80</v>
      </c>
    </row>
    <row r="409" ht="15.75" customHeight="1">
      <c r="A409" s="2" t="s">
        <v>2885</v>
      </c>
      <c r="B409" s="2" t="s">
        <v>2886</v>
      </c>
      <c r="C409" s="2" t="s">
        <v>2887</v>
      </c>
      <c r="D409" s="2" t="s">
        <v>2888</v>
      </c>
      <c r="F409" s="2" t="s">
        <v>2889</v>
      </c>
      <c r="G409" s="2" t="s">
        <v>165</v>
      </c>
      <c r="H409" s="2" t="s">
        <v>26</v>
      </c>
      <c r="I409" s="2" t="s">
        <v>176</v>
      </c>
      <c r="J409" s="2" t="s">
        <v>490</v>
      </c>
      <c r="K409" s="2" t="s">
        <v>491</v>
      </c>
      <c r="L409" s="2" t="s">
        <v>492</v>
      </c>
      <c r="N409" s="2">
        <v>1.0</v>
      </c>
      <c r="O409" s="2" t="s">
        <v>2890</v>
      </c>
      <c r="P409" s="2" t="s">
        <v>950</v>
      </c>
      <c r="Q409" s="2" t="s">
        <v>2891</v>
      </c>
      <c r="R409" s="2" t="s">
        <v>80</v>
      </c>
      <c r="S409" s="2" t="s">
        <v>133</v>
      </c>
    </row>
    <row r="410" ht="15.75" customHeight="1">
      <c r="A410" s="2" t="s">
        <v>2892</v>
      </c>
      <c r="B410" s="2" t="s">
        <v>2893</v>
      </c>
      <c r="C410" s="2" t="s">
        <v>2894</v>
      </c>
      <c r="D410" s="2" t="s">
        <v>2895</v>
      </c>
      <c r="E410" s="2" t="s">
        <v>2896</v>
      </c>
      <c r="F410" s="2" t="s">
        <v>2897</v>
      </c>
      <c r="G410" s="2" t="s">
        <v>777</v>
      </c>
      <c r="H410" s="2" t="s">
        <v>59</v>
      </c>
      <c r="I410" s="2" t="s">
        <v>90</v>
      </c>
      <c r="J410" s="2" t="s">
        <v>1641</v>
      </c>
      <c r="K410" s="2" t="s">
        <v>825</v>
      </c>
      <c r="L410" s="2" t="s">
        <v>179</v>
      </c>
      <c r="N410" s="2">
        <v>1.0</v>
      </c>
      <c r="O410" s="2" t="s">
        <v>2898</v>
      </c>
      <c r="P410" s="2" t="s">
        <v>95</v>
      </c>
      <c r="Q410" s="2" t="s">
        <v>131</v>
      </c>
      <c r="R410" s="2" t="s">
        <v>158</v>
      </c>
      <c r="S410" s="2" t="s">
        <v>133</v>
      </c>
    </row>
    <row r="411" ht="15.75" customHeight="1">
      <c r="A411" s="2" t="s">
        <v>2899</v>
      </c>
      <c r="B411" s="2" t="s">
        <v>2900</v>
      </c>
      <c r="C411" s="2" t="s">
        <v>2901</v>
      </c>
      <c r="D411" s="2" t="s">
        <v>2902</v>
      </c>
      <c r="E411" s="2" t="s">
        <v>2903</v>
      </c>
      <c r="F411" s="2" t="s">
        <v>2904</v>
      </c>
      <c r="G411" s="2" t="s">
        <v>903</v>
      </c>
      <c r="H411" s="2" t="s">
        <v>26</v>
      </c>
      <c r="I411" s="2" t="s">
        <v>480</v>
      </c>
      <c r="J411" s="2" t="s">
        <v>1063</v>
      </c>
      <c r="K411" s="2" t="s">
        <v>291</v>
      </c>
      <c r="L411" s="2" t="s">
        <v>167</v>
      </c>
      <c r="M411" s="2">
        <v>1729.51</v>
      </c>
      <c r="N411" s="2">
        <v>5.0</v>
      </c>
      <c r="O411" s="2" t="s">
        <v>2905</v>
      </c>
      <c r="P411" s="2" t="s">
        <v>65</v>
      </c>
      <c r="Q411" s="2" t="s">
        <v>66</v>
      </c>
      <c r="R411" s="2" t="s">
        <v>80</v>
      </c>
      <c r="S411" s="2" t="s">
        <v>51</v>
      </c>
    </row>
    <row r="412" ht="15.75" customHeight="1">
      <c r="A412" s="2" t="s">
        <v>2906</v>
      </c>
      <c r="B412" s="2" t="s">
        <v>2907</v>
      </c>
      <c r="C412" s="2" t="s">
        <v>2366</v>
      </c>
      <c r="D412" s="2" t="s">
        <v>2367</v>
      </c>
      <c r="E412" s="2" t="s">
        <v>2368</v>
      </c>
      <c r="F412" s="2" t="s">
        <v>2369</v>
      </c>
      <c r="G412" s="2" t="s">
        <v>421</v>
      </c>
      <c r="H412" s="2" t="s">
        <v>26</v>
      </c>
      <c r="I412" s="2" t="s">
        <v>176</v>
      </c>
      <c r="J412" s="2" t="s">
        <v>366</v>
      </c>
      <c r="K412" s="2" t="s">
        <v>367</v>
      </c>
      <c r="L412" s="2" t="s">
        <v>368</v>
      </c>
      <c r="O412" s="2" t="s">
        <v>2908</v>
      </c>
      <c r="P412" s="2" t="s">
        <v>95</v>
      </c>
      <c r="Q412" s="2" t="s">
        <v>305</v>
      </c>
      <c r="R412" s="2" t="s">
        <v>80</v>
      </c>
      <c r="S412" s="2" t="s">
        <v>67</v>
      </c>
    </row>
    <row r="413" ht="15.75" customHeight="1">
      <c r="A413" s="2" t="s">
        <v>2909</v>
      </c>
      <c r="B413" s="2" t="s">
        <v>2910</v>
      </c>
      <c r="C413" s="2" t="s">
        <v>2911</v>
      </c>
      <c r="D413" s="2" t="s">
        <v>2912</v>
      </c>
      <c r="E413" s="2" t="s">
        <v>2913</v>
      </c>
      <c r="F413" s="2" t="s">
        <v>2914</v>
      </c>
      <c r="G413" s="2" t="s">
        <v>114</v>
      </c>
      <c r="H413" s="2" t="s">
        <v>223</v>
      </c>
      <c r="I413" s="2" t="s">
        <v>2915</v>
      </c>
      <c r="J413" s="2" t="s">
        <v>279</v>
      </c>
      <c r="K413" s="2" t="s">
        <v>280</v>
      </c>
      <c r="L413" s="2" t="s">
        <v>281</v>
      </c>
      <c r="N413" s="2">
        <v>1.0</v>
      </c>
      <c r="O413" s="2" t="s">
        <v>2916</v>
      </c>
      <c r="P413" s="2" t="s">
        <v>48</v>
      </c>
      <c r="Q413" s="2" t="s">
        <v>181</v>
      </c>
      <c r="R413" s="2" t="s">
        <v>169</v>
      </c>
      <c r="S413" s="2" t="s">
        <v>51</v>
      </c>
    </row>
    <row r="414" ht="15.75" customHeight="1">
      <c r="A414" s="2" t="s">
        <v>2917</v>
      </c>
      <c r="B414" s="2" t="s">
        <v>2918</v>
      </c>
      <c r="C414" s="2" t="s">
        <v>2618</v>
      </c>
      <c r="D414" s="2" t="s">
        <v>2619</v>
      </c>
      <c r="E414" s="2" t="s">
        <v>2620</v>
      </c>
      <c r="F414" s="2" t="s">
        <v>2621</v>
      </c>
      <c r="G414" s="2" t="s">
        <v>608</v>
      </c>
      <c r="H414" s="2" t="s">
        <v>683</v>
      </c>
      <c r="I414" s="2" t="s">
        <v>522</v>
      </c>
      <c r="J414" s="2" t="s">
        <v>939</v>
      </c>
      <c r="K414" s="2" t="s">
        <v>940</v>
      </c>
      <c r="L414" s="2" t="s">
        <v>941</v>
      </c>
      <c r="N414" s="2">
        <v>3.0</v>
      </c>
      <c r="O414" s="2" t="s">
        <v>2919</v>
      </c>
      <c r="P414" s="2" t="s">
        <v>65</v>
      </c>
      <c r="Q414" s="2" t="s">
        <v>66</v>
      </c>
      <c r="R414" s="2" t="s">
        <v>2920</v>
      </c>
    </row>
    <row r="415" ht="15.75" customHeight="1">
      <c r="A415" s="2" t="s">
        <v>2921</v>
      </c>
      <c r="B415" s="2" t="s">
        <v>2922</v>
      </c>
      <c r="C415" s="2" t="s">
        <v>1354</v>
      </c>
      <c r="D415" s="2" t="s">
        <v>1355</v>
      </c>
      <c r="F415" s="2" t="s">
        <v>1357</v>
      </c>
      <c r="G415" s="2" t="s">
        <v>199</v>
      </c>
      <c r="H415" s="2" t="s">
        <v>26</v>
      </c>
      <c r="I415" s="2" t="s">
        <v>211</v>
      </c>
      <c r="J415" s="2" t="s">
        <v>2321</v>
      </c>
      <c r="K415" s="2" t="s">
        <v>2322</v>
      </c>
      <c r="L415" s="2" t="s">
        <v>368</v>
      </c>
      <c r="N415" s="2">
        <v>2.0</v>
      </c>
      <c r="O415" s="2" t="s">
        <v>2923</v>
      </c>
      <c r="P415" s="2" t="s">
        <v>65</v>
      </c>
      <c r="Q415" s="2" t="s">
        <v>49</v>
      </c>
      <c r="R415" s="2" t="s">
        <v>442</v>
      </c>
      <c r="S415" s="2" t="s">
        <v>81</v>
      </c>
    </row>
    <row r="416" ht="15.75" customHeight="1">
      <c r="A416" s="2" t="s">
        <v>2924</v>
      </c>
      <c r="B416" s="2" t="s">
        <v>2925</v>
      </c>
      <c r="C416" s="2" t="s">
        <v>2073</v>
      </c>
      <c r="D416" s="2" t="s">
        <v>2074</v>
      </c>
      <c r="E416" s="2" t="s">
        <v>2075</v>
      </c>
      <c r="F416" s="2" t="s">
        <v>2076</v>
      </c>
      <c r="G416" s="2" t="s">
        <v>459</v>
      </c>
      <c r="H416" s="2" t="s">
        <v>59</v>
      </c>
      <c r="I416" s="2" t="s">
        <v>870</v>
      </c>
      <c r="J416" s="2" t="s">
        <v>154</v>
      </c>
      <c r="K416" s="2" t="s">
        <v>62</v>
      </c>
      <c r="L416" s="2" t="s">
        <v>155</v>
      </c>
      <c r="N416" s="2">
        <v>1.0</v>
      </c>
      <c r="O416" s="2" t="s">
        <v>2926</v>
      </c>
      <c r="P416" s="2" t="s">
        <v>95</v>
      </c>
      <c r="Q416" s="2" t="s">
        <v>66</v>
      </c>
      <c r="R416" s="2" t="s">
        <v>50</v>
      </c>
      <c r="S416" s="2" t="s">
        <v>67</v>
      </c>
    </row>
    <row r="417" ht="15.75" customHeight="1">
      <c r="A417" s="2" t="s">
        <v>2927</v>
      </c>
      <c r="B417" s="2" t="s">
        <v>2928</v>
      </c>
      <c r="C417" s="2" t="s">
        <v>2929</v>
      </c>
      <c r="D417" s="2" t="s">
        <v>2930</v>
      </c>
      <c r="E417" s="2" t="s">
        <v>2931</v>
      </c>
      <c r="F417" s="2" t="s">
        <v>2932</v>
      </c>
      <c r="G417" s="2" t="s">
        <v>608</v>
      </c>
      <c r="H417" s="2" t="s">
        <v>301</v>
      </c>
      <c r="I417" s="2" t="s">
        <v>522</v>
      </c>
      <c r="J417" s="2" t="s">
        <v>1722</v>
      </c>
      <c r="K417" s="2" t="s">
        <v>804</v>
      </c>
      <c r="L417" s="2" t="s">
        <v>368</v>
      </c>
      <c r="M417" s="2">
        <v>404.68</v>
      </c>
      <c r="N417" s="2">
        <v>2.0</v>
      </c>
      <c r="O417" s="2" t="s">
        <v>2933</v>
      </c>
      <c r="P417" s="2" t="s">
        <v>48</v>
      </c>
      <c r="Q417" s="2" t="s">
        <v>370</v>
      </c>
      <c r="R417" s="2" t="s">
        <v>144</v>
      </c>
      <c r="S417" s="2" t="s">
        <v>67</v>
      </c>
    </row>
    <row r="418" ht="15.75" customHeight="1">
      <c r="A418" s="2" t="s">
        <v>2934</v>
      </c>
      <c r="B418" s="2" t="s">
        <v>2935</v>
      </c>
      <c r="C418" s="2" t="s">
        <v>147</v>
      </c>
      <c r="D418" s="2" t="s">
        <v>148</v>
      </c>
      <c r="E418" s="2" t="s">
        <v>149</v>
      </c>
      <c r="F418" s="2" t="s">
        <v>150</v>
      </c>
      <c r="G418" s="2" t="s">
        <v>151</v>
      </c>
      <c r="H418" s="2" t="s">
        <v>234</v>
      </c>
      <c r="I418" s="2" t="s">
        <v>103</v>
      </c>
      <c r="J418" s="2" t="s">
        <v>1109</v>
      </c>
      <c r="K418" s="2" t="s">
        <v>1110</v>
      </c>
      <c r="L418" s="2" t="s">
        <v>826</v>
      </c>
      <c r="N418" s="2">
        <v>1.0</v>
      </c>
      <c r="O418" s="2" t="s">
        <v>2936</v>
      </c>
      <c r="P418" s="2" t="s">
        <v>95</v>
      </c>
      <c r="Q418" s="2" t="s">
        <v>2937</v>
      </c>
      <c r="R418" s="2" t="s">
        <v>132</v>
      </c>
    </row>
    <row r="419" ht="15.75" customHeight="1">
      <c r="A419" s="2" t="s">
        <v>2938</v>
      </c>
      <c r="B419" s="2" t="s">
        <v>2939</v>
      </c>
      <c r="C419" s="2" t="s">
        <v>2776</v>
      </c>
      <c r="D419" s="2" t="s">
        <v>2777</v>
      </c>
      <c r="F419" s="2" t="s">
        <v>2779</v>
      </c>
      <c r="G419" s="2" t="s">
        <v>2780</v>
      </c>
      <c r="H419" s="2" t="s">
        <v>115</v>
      </c>
      <c r="I419" s="2" t="s">
        <v>176</v>
      </c>
      <c r="J419" s="2" t="s">
        <v>2240</v>
      </c>
      <c r="K419" s="2" t="s">
        <v>712</v>
      </c>
      <c r="L419" s="2" t="s">
        <v>742</v>
      </c>
      <c r="M419" s="2">
        <v>855.32</v>
      </c>
      <c r="N419" s="2">
        <v>5.0</v>
      </c>
      <c r="O419" s="2" t="s">
        <v>2940</v>
      </c>
      <c r="P419" s="2" t="s">
        <v>95</v>
      </c>
      <c r="Q419" s="2" t="s">
        <v>49</v>
      </c>
      <c r="R419" s="2" t="s">
        <v>1171</v>
      </c>
    </row>
    <row r="420" ht="15.75" customHeight="1">
      <c r="A420" s="2" t="s">
        <v>2941</v>
      </c>
      <c r="B420" s="2" t="s">
        <v>2942</v>
      </c>
      <c r="C420" s="2" t="s">
        <v>2787</v>
      </c>
      <c r="D420" s="2" t="s">
        <v>2788</v>
      </c>
      <c r="E420" s="2" t="s">
        <v>2789</v>
      </c>
      <c r="F420" s="2" t="s">
        <v>2790</v>
      </c>
      <c r="G420" s="2" t="s">
        <v>671</v>
      </c>
      <c r="H420" s="2" t="s">
        <v>802</v>
      </c>
      <c r="I420" s="2" t="s">
        <v>480</v>
      </c>
      <c r="J420" s="2" t="s">
        <v>501</v>
      </c>
      <c r="K420" s="2" t="s">
        <v>502</v>
      </c>
      <c r="L420" s="2" t="s">
        <v>503</v>
      </c>
      <c r="M420" s="2">
        <v>666.35</v>
      </c>
      <c r="N420" s="2">
        <v>3.0</v>
      </c>
      <c r="O420" s="2" t="s">
        <v>2943</v>
      </c>
      <c r="P420" s="2" t="s">
        <v>65</v>
      </c>
      <c r="Q420" s="2" t="s">
        <v>66</v>
      </c>
      <c r="R420" s="2" t="s">
        <v>169</v>
      </c>
    </row>
    <row r="421" ht="15.75" customHeight="1">
      <c r="A421" s="2" t="s">
        <v>2944</v>
      </c>
      <c r="B421" s="2" t="s">
        <v>2945</v>
      </c>
      <c r="C421" s="2" t="s">
        <v>2946</v>
      </c>
      <c r="D421" s="2" t="s">
        <v>148</v>
      </c>
      <c r="E421" s="2" t="s">
        <v>2947</v>
      </c>
      <c r="F421" s="2" t="s">
        <v>2948</v>
      </c>
      <c r="G421" s="2" t="s">
        <v>139</v>
      </c>
      <c r="H421" s="2" t="s">
        <v>2949</v>
      </c>
      <c r="I421" s="2" t="s">
        <v>512</v>
      </c>
      <c r="J421" s="2" t="s">
        <v>1168</v>
      </c>
      <c r="K421" s="2" t="s">
        <v>1169</v>
      </c>
      <c r="L421" s="2" t="s">
        <v>63</v>
      </c>
      <c r="M421" s="2">
        <v>1344.36</v>
      </c>
      <c r="N421" s="2">
        <v>3.0</v>
      </c>
      <c r="O421" s="2" t="s">
        <v>2950</v>
      </c>
      <c r="P421" s="2" t="s">
        <v>48</v>
      </c>
      <c r="Q421" s="2" t="s">
        <v>204</v>
      </c>
      <c r="R421" s="2" t="s">
        <v>442</v>
      </c>
      <c r="S421" s="2" t="s">
        <v>51</v>
      </c>
    </row>
    <row r="422" ht="15.75" customHeight="1">
      <c r="A422" s="2" t="s">
        <v>2951</v>
      </c>
      <c r="B422" s="2" t="s">
        <v>2952</v>
      </c>
      <c r="C422" s="2" t="s">
        <v>264</v>
      </c>
      <c r="D422" s="2" t="s">
        <v>265</v>
      </c>
      <c r="E422" s="2" t="s">
        <v>266</v>
      </c>
      <c r="F422" s="2" t="s">
        <v>267</v>
      </c>
      <c r="G422" s="2" t="s">
        <v>73</v>
      </c>
      <c r="H422" s="2" t="s">
        <v>234</v>
      </c>
      <c r="I422" s="2" t="s">
        <v>1245</v>
      </c>
      <c r="J422" s="2" t="s">
        <v>673</v>
      </c>
      <c r="K422" s="2" t="s">
        <v>118</v>
      </c>
      <c r="L422" s="2" t="s">
        <v>674</v>
      </c>
      <c r="M422" s="2">
        <v>1397.32</v>
      </c>
      <c r="N422" s="2">
        <v>1.0</v>
      </c>
      <c r="O422" s="2" t="s">
        <v>2953</v>
      </c>
      <c r="P422" s="2" t="s">
        <v>2954</v>
      </c>
      <c r="Q422" s="2" t="s">
        <v>181</v>
      </c>
      <c r="R422" s="2" t="s">
        <v>294</v>
      </c>
      <c r="S422" s="2" t="s">
        <v>51</v>
      </c>
    </row>
    <row r="423" ht="15.75" customHeight="1">
      <c r="A423" s="2" t="s">
        <v>2955</v>
      </c>
      <c r="B423" s="2" t="s">
        <v>2956</v>
      </c>
      <c r="C423" s="2" t="s">
        <v>1020</v>
      </c>
      <c r="D423" s="2" t="s">
        <v>1021</v>
      </c>
      <c r="E423" s="2" t="s">
        <v>1022</v>
      </c>
      <c r="F423" s="2" t="s">
        <v>1023</v>
      </c>
      <c r="G423" s="2" t="s">
        <v>88</v>
      </c>
      <c r="H423" s="2" t="s">
        <v>683</v>
      </c>
      <c r="I423" s="2" t="s">
        <v>103</v>
      </c>
      <c r="J423" s="2" t="s">
        <v>1085</v>
      </c>
      <c r="K423" s="2" t="s">
        <v>335</v>
      </c>
      <c r="L423" s="2" t="s">
        <v>368</v>
      </c>
      <c r="M423" s="2">
        <v>664.42</v>
      </c>
      <c r="N423" s="2">
        <v>1.0</v>
      </c>
      <c r="O423" s="2" t="s">
        <v>2957</v>
      </c>
      <c r="P423" s="2" t="s">
        <v>32</v>
      </c>
      <c r="Q423" s="2" t="s">
        <v>2958</v>
      </c>
      <c r="R423" s="2" t="s">
        <v>1312</v>
      </c>
    </row>
    <row r="424" ht="15.75" customHeight="1">
      <c r="A424" s="2" t="s">
        <v>2959</v>
      </c>
      <c r="B424" s="2" t="s">
        <v>2960</v>
      </c>
      <c r="C424" s="2" t="s">
        <v>1986</v>
      </c>
      <c r="D424" s="2" t="s">
        <v>1987</v>
      </c>
      <c r="E424" s="2" t="s">
        <v>1988</v>
      </c>
      <c r="F424" s="2" t="s">
        <v>1989</v>
      </c>
      <c r="G424" s="2" t="s">
        <v>608</v>
      </c>
      <c r="H424" s="2" t="s">
        <v>683</v>
      </c>
      <c r="I424" s="2" t="s">
        <v>43</v>
      </c>
      <c r="J424" s="2" t="s">
        <v>939</v>
      </c>
      <c r="K424" s="2" t="s">
        <v>940</v>
      </c>
      <c r="L424" s="2" t="s">
        <v>941</v>
      </c>
      <c r="M424" s="2">
        <v>1670.19</v>
      </c>
      <c r="N424" s="2">
        <v>3.0</v>
      </c>
      <c r="O424" s="2" t="s">
        <v>2961</v>
      </c>
      <c r="P424" s="2" t="s">
        <v>95</v>
      </c>
      <c r="Q424" s="2" t="s">
        <v>505</v>
      </c>
      <c r="R424" s="2" t="s">
        <v>2962</v>
      </c>
      <c r="S424" s="2" t="s">
        <v>133</v>
      </c>
    </row>
    <row r="425" ht="15.75" customHeight="1">
      <c r="A425" s="2" t="s">
        <v>2963</v>
      </c>
      <c r="B425" s="2" t="s">
        <v>2964</v>
      </c>
      <c r="C425" s="2" t="s">
        <v>2676</v>
      </c>
      <c r="D425" s="2" t="s">
        <v>2677</v>
      </c>
      <c r="E425" s="2" t="s">
        <v>2678</v>
      </c>
      <c r="F425" s="2" t="s">
        <v>2679</v>
      </c>
      <c r="G425" s="2" t="s">
        <v>58</v>
      </c>
      <c r="H425" s="2" t="s">
        <v>2965</v>
      </c>
      <c r="I425" s="2" t="s">
        <v>312</v>
      </c>
      <c r="J425" s="2" t="s">
        <v>1495</v>
      </c>
      <c r="K425" s="2" t="s">
        <v>1138</v>
      </c>
      <c r="L425" s="2" t="s">
        <v>248</v>
      </c>
      <c r="M425" s="2">
        <v>1283.4</v>
      </c>
      <c r="O425" s="2" t="s">
        <v>2966</v>
      </c>
      <c r="P425" s="2" t="s">
        <v>95</v>
      </c>
      <c r="Q425" s="2" t="s">
        <v>143</v>
      </c>
      <c r="R425" s="2" t="s">
        <v>306</v>
      </c>
      <c r="S425" s="2" t="s">
        <v>81</v>
      </c>
    </row>
    <row r="426" ht="15.75" customHeight="1">
      <c r="A426" s="2" t="s">
        <v>2967</v>
      </c>
      <c r="B426" s="2" t="s">
        <v>2968</v>
      </c>
      <c r="C426" s="2" t="s">
        <v>2969</v>
      </c>
      <c r="D426" s="2" t="s">
        <v>2970</v>
      </c>
      <c r="E426" s="2" t="s">
        <v>2971</v>
      </c>
      <c r="F426" s="2" t="s">
        <v>2972</v>
      </c>
      <c r="G426" s="2" t="s">
        <v>608</v>
      </c>
      <c r="H426" s="2" t="s">
        <v>400</v>
      </c>
      <c r="I426" s="2" t="s">
        <v>401</v>
      </c>
      <c r="J426" s="2" t="s">
        <v>803</v>
      </c>
      <c r="K426" s="2" t="s">
        <v>804</v>
      </c>
      <c r="L426" s="2" t="s">
        <v>805</v>
      </c>
      <c r="N426" s="2">
        <v>2.0</v>
      </c>
      <c r="O426" s="2" t="s">
        <v>2973</v>
      </c>
      <c r="P426" s="2" t="s">
        <v>32</v>
      </c>
      <c r="Q426" s="2" t="s">
        <v>181</v>
      </c>
      <c r="R426" s="2" t="s">
        <v>306</v>
      </c>
    </row>
    <row r="427" ht="15.75" customHeight="1">
      <c r="A427" s="2" t="s">
        <v>2974</v>
      </c>
      <c r="B427" s="2" t="s">
        <v>2975</v>
      </c>
      <c r="C427" s="2" t="s">
        <v>2776</v>
      </c>
      <c r="D427" s="2" t="s">
        <v>2777</v>
      </c>
      <c r="E427" s="2" t="s">
        <v>2778</v>
      </c>
      <c r="F427" s="2" t="s">
        <v>2779</v>
      </c>
      <c r="G427" s="2" t="s">
        <v>2780</v>
      </c>
      <c r="H427" s="2" t="s">
        <v>223</v>
      </c>
      <c r="I427" s="2" t="s">
        <v>289</v>
      </c>
      <c r="J427" s="2" t="s">
        <v>2273</v>
      </c>
      <c r="K427" s="2" t="s">
        <v>2274</v>
      </c>
      <c r="L427" s="2" t="s">
        <v>1328</v>
      </c>
      <c r="M427" s="2">
        <v>767.44</v>
      </c>
      <c r="N427" s="2">
        <v>2.0</v>
      </c>
      <c r="O427" s="2" t="s">
        <v>2976</v>
      </c>
      <c r="P427" s="2" t="s">
        <v>95</v>
      </c>
      <c r="Q427" s="2" t="s">
        <v>49</v>
      </c>
      <c r="R427" s="2" t="s">
        <v>169</v>
      </c>
      <c r="S427" s="2" t="s">
        <v>81</v>
      </c>
    </row>
    <row r="428" ht="15.75" customHeight="1">
      <c r="A428" s="2" t="s">
        <v>2977</v>
      </c>
      <c r="B428" s="2" t="s">
        <v>2978</v>
      </c>
      <c r="C428" s="2" t="s">
        <v>2794</v>
      </c>
      <c r="D428" s="2" t="s">
        <v>2180</v>
      </c>
      <c r="E428" s="2" t="s">
        <v>2795</v>
      </c>
      <c r="F428" s="2" t="s">
        <v>2796</v>
      </c>
      <c r="G428" s="2" t="s">
        <v>1177</v>
      </c>
      <c r="H428" s="2" t="s">
        <v>115</v>
      </c>
      <c r="I428" s="2" t="s">
        <v>176</v>
      </c>
      <c r="J428" s="2" t="s">
        <v>1400</v>
      </c>
      <c r="K428" s="2" t="s">
        <v>524</v>
      </c>
      <c r="L428" s="2" t="s">
        <v>1401</v>
      </c>
      <c r="M428" s="2">
        <v>119.19</v>
      </c>
      <c r="N428" s="2">
        <v>2.0</v>
      </c>
      <c r="O428" s="2" t="s">
        <v>2979</v>
      </c>
      <c r="P428" s="2" t="s">
        <v>95</v>
      </c>
      <c r="Q428" s="2" t="s">
        <v>505</v>
      </c>
      <c r="R428" s="2" t="s">
        <v>2980</v>
      </c>
      <c r="S428" s="2" t="s">
        <v>67</v>
      </c>
    </row>
    <row r="429" ht="15.75" customHeight="1">
      <c r="A429" s="2" t="s">
        <v>2981</v>
      </c>
      <c r="B429" s="2" t="s">
        <v>2982</v>
      </c>
      <c r="C429" s="2" t="s">
        <v>2983</v>
      </c>
      <c r="D429" s="2" t="s">
        <v>2984</v>
      </c>
      <c r="E429" s="2" t="s">
        <v>2985</v>
      </c>
      <c r="F429" s="2" t="s">
        <v>2986</v>
      </c>
      <c r="G429" s="2" t="s">
        <v>199</v>
      </c>
      <c r="H429" s="2" t="s">
        <v>2987</v>
      </c>
      <c r="I429" s="2" t="s">
        <v>90</v>
      </c>
      <c r="J429" s="2" t="s">
        <v>965</v>
      </c>
      <c r="K429" s="2" t="s">
        <v>966</v>
      </c>
      <c r="L429" s="2" t="s">
        <v>967</v>
      </c>
      <c r="N429" s="2">
        <v>1.0</v>
      </c>
      <c r="O429" s="2" t="s">
        <v>2988</v>
      </c>
      <c r="P429" s="2" t="s">
        <v>95</v>
      </c>
      <c r="Q429" s="2" t="s">
        <v>370</v>
      </c>
      <c r="R429" s="2" t="s">
        <v>432</v>
      </c>
    </row>
    <row r="430" ht="15.75" customHeight="1">
      <c r="A430" s="2" t="s">
        <v>2989</v>
      </c>
      <c r="B430" s="2" t="s">
        <v>2990</v>
      </c>
      <c r="C430" s="2" t="s">
        <v>1267</v>
      </c>
      <c r="D430" s="2" t="s">
        <v>1268</v>
      </c>
      <c r="E430" s="2" t="s">
        <v>1269</v>
      </c>
      <c r="F430" s="2" t="s">
        <v>1270</v>
      </c>
      <c r="G430" s="2" t="s">
        <v>139</v>
      </c>
      <c r="H430" s="2" t="s">
        <v>778</v>
      </c>
      <c r="I430" s="2" t="s">
        <v>103</v>
      </c>
      <c r="J430" s="2" t="s">
        <v>871</v>
      </c>
      <c r="K430" s="2" t="s">
        <v>491</v>
      </c>
      <c r="L430" s="2" t="s">
        <v>292</v>
      </c>
      <c r="N430" s="2">
        <v>1.0</v>
      </c>
      <c r="O430" s="2" t="s">
        <v>2991</v>
      </c>
      <c r="P430" s="2" t="s">
        <v>32</v>
      </c>
      <c r="Q430" s="2" t="s">
        <v>181</v>
      </c>
      <c r="R430" s="2" t="s">
        <v>345</v>
      </c>
      <c r="S430" s="2" t="s">
        <v>67</v>
      </c>
    </row>
    <row r="431" ht="15.75" customHeight="1">
      <c r="A431" s="2" t="s">
        <v>2992</v>
      </c>
      <c r="B431" s="2" t="s">
        <v>2993</v>
      </c>
      <c r="C431" s="2" t="s">
        <v>1620</v>
      </c>
      <c r="D431" s="2" t="s">
        <v>1621</v>
      </c>
      <c r="E431" s="2" t="s">
        <v>1622</v>
      </c>
      <c r="F431" s="2" t="s">
        <v>1623</v>
      </c>
      <c r="G431" s="2" t="s">
        <v>151</v>
      </c>
      <c r="H431" s="2" t="s">
        <v>59</v>
      </c>
      <c r="I431" s="2" t="s">
        <v>2994</v>
      </c>
      <c r="J431" s="2" t="s">
        <v>279</v>
      </c>
      <c r="K431" s="2" t="s">
        <v>280</v>
      </c>
      <c r="L431" s="2" t="s">
        <v>281</v>
      </c>
      <c r="N431" s="2">
        <v>3.0</v>
      </c>
      <c r="O431" s="2" t="s">
        <v>2995</v>
      </c>
      <c r="P431" s="2" t="s">
        <v>65</v>
      </c>
      <c r="Q431" s="2" t="s">
        <v>181</v>
      </c>
      <c r="R431" s="2" t="s">
        <v>393</v>
      </c>
    </row>
    <row r="432" ht="15.75" customHeight="1">
      <c r="A432" s="2" t="s">
        <v>2996</v>
      </c>
      <c r="B432" s="2" t="s">
        <v>2997</v>
      </c>
      <c r="C432" s="2" t="s">
        <v>2998</v>
      </c>
      <c r="D432" s="2" t="s">
        <v>428</v>
      </c>
      <c r="E432" s="2" t="s">
        <v>2999</v>
      </c>
      <c r="F432" s="2" t="s">
        <v>3000</v>
      </c>
      <c r="G432" s="2" t="s">
        <v>448</v>
      </c>
      <c r="H432" s="2" t="s">
        <v>3001</v>
      </c>
      <c r="I432" s="2" t="s">
        <v>103</v>
      </c>
      <c r="J432" s="2" t="s">
        <v>957</v>
      </c>
      <c r="K432" s="2" t="s">
        <v>403</v>
      </c>
      <c r="L432" s="2" t="s">
        <v>167</v>
      </c>
      <c r="N432" s="2">
        <v>3.0</v>
      </c>
      <c r="O432" s="2" t="s">
        <v>3002</v>
      </c>
      <c r="P432" s="2" t="s">
        <v>65</v>
      </c>
      <c r="Q432" s="2" t="s">
        <v>414</v>
      </c>
      <c r="R432" s="2" t="s">
        <v>169</v>
      </c>
      <c r="S432" s="2" t="s">
        <v>81</v>
      </c>
    </row>
    <row r="433" ht="15.75" customHeight="1">
      <c r="A433" s="2" t="s">
        <v>3003</v>
      </c>
      <c r="B433" s="2" t="s">
        <v>3004</v>
      </c>
      <c r="C433" s="2" t="s">
        <v>3005</v>
      </c>
      <c r="D433" s="2" t="s">
        <v>3006</v>
      </c>
      <c r="E433" s="2" t="s">
        <v>3007</v>
      </c>
      <c r="F433" s="2" t="s">
        <v>3008</v>
      </c>
      <c r="G433" s="2" t="s">
        <v>671</v>
      </c>
      <c r="H433" s="2" t="s">
        <v>323</v>
      </c>
      <c r="I433" s="2" t="s">
        <v>1245</v>
      </c>
      <c r="J433" s="2" t="s">
        <v>166</v>
      </c>
      <c r="K433" s="2" t="s">
        <v>118</v>
      </c>
      <c r="L433" s="2" t="s">
        <v>167</v>
      </c>
      <c r="N433" s="2">
        <v>1.0</v>
      </c>
      <c r="O433" s="2" t="s">
        <v>3009</v>
      </c>
      <c r="P433" s="2" t="s">
        <v>65</v>
      </c>
      <c r="Q433" s="2" t="s">
        <v>526</v>
      </c>
      <c r="R433" s="2" t="s">
        <v>80</v>
      </c>
    </row>
    <row r="434" ht="15.75" customHeight="1">
      <c r="A434" s="2" t="s">
        <v>3010</v>
      </c>
      <c r="B434" s="2" t="s">
        <v>3011</v>
      </c>
      <c r="C434" s="2" t="s">
        <v>2317</v>
      </c>
      <c r="D434" s="2" t="s">
        <v>2318</v>
      </c>
      <c r="E434" s="2" t="s">
        <v>2319</v>
      </c>
      <c r="F434" s="2" t="s">
        <v>2320</v>
      </c>
      <c r="G434" s="2" t="s">
        <v>151</v>
      </c>
      <c r="H434" s="2" t="s">
        <v>802</v>
      </c>
      <c r="I434" s="2" t="s">
        <v>60</v>
      </c>
      <c r="J434" s="2" t="s">
        <v>76</v>
      </c>
      <c r="K434" s="2" t="s">
        <v>77</v>
      </c>
      <c r="L434" s="2" t="s">
        <v>78</v>
      </c>
      <c r="M434" s="2">
        <v>109.08</v>
      </c>
      <c r="N434" s="2">
        <v>3.0</v>
      </c>
      <c r="O434" s="2" t="s">
        <v>3012</v>
      </c>
      <c r="P434" s="2" t="s">
        <v>65</v>
      </c>
      <c r="Q434" s="2" t="s">
        <v>305</v>
      </c>
      <c r="R434" s="2" t="s">
        <v>80</v>
      </c>
    </row>
    <row r="435" ht="15.75" customHeight="1">
      <c r="A435" s="2" t="s">
        <v>3013</v>
      </c>
      <c r="B435" s="2" t="s">
        <v>3014</v>
      </c>
      <c r="C435" s="2" t="s">
        <v>2648</v>
      </c>
      <c r="D435" s="2" t="s">
        <v>2649</v>
      </c>
      <c r="E435" s="2" t="s">
        <v>2650</v>
      </c>
      <c r="F435" s="2" t="s">
        <v>2651</v>
      </c>
      <c r="G435" s="2" t="s">
        <v>25</v>
      </c>
      <c r="H435" s="2" t="s">
        <v>400</v>
      </c>
      <c r="I435" s="2" t="s">
        <v>401</v>
      </c>
      <c r="J435" s="2" t="s">
        <v>1085</v>
      </c>
      <c r="K435" s="2" t="s">
        <v>335</v>
      </c>
      <c r="L435" s="2" t="s">
        <v>368</v>
      </c>
      <c r="N435" s="2">
        <v>1.0</v>
      </c>
      <c r="O435" s="2" t="s">
        <v>3015</v>
      </c>
      <c r="P435" s="2" t="s">
        <v>32</v>
      </c>
      <c r="Q435" s="2" t="s">
        <v>181</v>
      </c>
      <c r="R435" s="2" t="s">
        <v>380</v>
      </c>
      <c r="S435" s="2" t="s">
        <v>133</v>
      </c>
    </row>
    <row r="436" ht="15.75" customHeight="1">
      <c r="A436" s="2" t="s">
        <v>3016</v>
      </c>
      <c r="B436" s="2" t="s">
        <v>3017</v>
      </c>
      <c r="C436" s="2" t="s">
        <v>2340</v>
      </c>
      <c r="D436" s="2" t="s">
        <v>1759</v>
      </c>
      <c r="E436" s="2" t="s">
        <v>2341</v>
      </c>
      <c r="F436" s="2" t="s">
        <v>2342</v>
      </c>
      <c r="G436" s="2" t="s">
        <v>671</v>
      </c>
      <c r="H436" s="2" t="s">
        <v>802</v>
      </c>
      <c r="I436" s="2" t="s">
        <v>60</v>
      </c>
      <c r="J436" s="2" t="s">
        <v>661</v>
      </c>
      <c r="K436" s="2" t="s">
        <v>662</v>
      </c>
      <c r="L436" s="2" t="s">
        <v>368</v>
      </c>
      <c r="M436" s="2">
        <v>243.43</v>
      </c>
      <c r="N436" s="2">
        <v>2.0</v>
      </c>
      <c r="O436" s="2" t="s">
        <v>3018</v>
      </c>
      <c r="P436" s="2" t="s">
        <v>95</v>
      </c>
      <c r="Q436" s="2" t="s">
        <v>66</v>
      </c>
      <c r="R436" s="2" t="s">
        <v>80</v>
      </c>
    </row>
    <row r="437" ht="15.75" customHeight="1">
      <c r="A437" s="2" t="s">
        <v>3019</v>
      </c>
      <c r="B437" s="2" t="s">
        <v>3020</v>
      </c>
      <c r="C437" s="2" t="s">
        <v>1726</v>
      </c>
      <c r="D437" s="2" t="s">
        <v>1727</v>
      </c>
      <c r="E437" s="2" t="s">
        <v>1728</v>
      </c>
      <c r="F437" s="2" t="s">
        <v>1729</v>
      </c>
      <c r="G437" s="2" t="s">
        <v>1177</v>
      </c>
      <c r="H437" s="2" t="s">
        <v>115</v>
      </c>
      <c r="I437" s="2" t="s">
        <v>522</v>
      </c>
      <c r="J437" s="2" t="s">
        <v>402</v>
      </c>
      <c r="K437" s="2" t="s">
        <v>403</v>
      </c>
      <c r="L437" s="2" t="s">
        <v>404</v>
      </c>
      <c r="N437" s="2">
        <v>1.0</v>
      </c>
      <c r="O437" s="2" t="s">
        <v>3021</v>
      </c>
      <c r="P437" s="2" t="s">
        <v>65</v>
      </c>
      <c r="Q437" s="2" t="s">
        <v>33</v>
      </c>
      <c r="R437" s="2" t="s">
        <v>345</v>
      </c>
    </row>
    <row r="438" ht="15.75" customHeight="1">
      <c r="A438" s="2" t="s">
        <v>3022</v>
      </c>
      <c r="B438" s="2" t="s">
        <v>3023</v>
      </c>
      <c r="C438" s="2" t="s">
        <v>3024</v>
      </c>
      <c r="D438" s="2" t="s">
        <v>1794</v>
      </c>
      <c r="E438" s="2" t="s">
        <v>3025</v>
      </c>
      <c r="F438" s="2" t="s">
        <v>3026</v>
      </c>
      <c r="G438" s="2" t="s">
        <v>720</v>
      </c>
      <c r="H438" s="2" t="s">
        <v>778</v>
      </c>
      <c r="I438" s="2" t="s">
        <v>401</v>
      </c>
      <c r="J438" s="2" t="s">
        <v>1302</v>
      </c>
      <c r="K438" s="2" t="s">
        <v>1303</v>
      </c>
      <c r="L438" s="2" t="s">
        <v>179</v>
      </c>
      <c r="N438" s="2">
        <v>5.0</v>
      </c>
      <c r="O438" s="2" t="s">
        <v>3027</v>
      </c>
      <c r="P438" s="2" t="s">
        <v>32</v>
      </c>
      <c r="Q438" s="2" t="s">
        <v>96</v>
      </c>
      <c r="R438" s="2" t="s">
        <v>442</v>
      </c>
      <c r="S438" s="2" t="s">
        <v>81</v>
      </c>
    </row>
    <row r="439" ht="15.75" customHeight="1">
      <c r="A439" s="2" t="s">
        <v>3028</v>
      </c>
      <c r="B439" s="2" t="s">
        <v>3029</v>
      </c>
      <c r="C439" s="2" t="s">
        <v>3030</v>
      </c>
      <c r="D439" s="2" t="s">
        <v>3031</v>
      </c>
      <c r="E439" s="2" t="s">
        <v>3032</v>
      </c>
      <c r="F439" s="2" t="s">
        <v>3033</v>
      </c>
      <c r="G439" s="2" t="s">
        <v>114</v>
      </c>
      <c r="H439" s="2" t="s">
        <v>3034</v>
      </c>
      <c r="I439" s="2" t="s">
        <v>365</v>
      </c>
      <c r="J439" s="2" t="s">
        <v>756</v>
      </c>
      <c r="K439" s="2" t="s">
        <v>757</v>
      </c>
      <c r="L439" s="2" t="s">
        <v>30</v>
      </c>
      <c r="M439" s="2">
        <v>962.96</v>
      </c>
      <c r="N439" s="2">
        <v>2.0</v>
      </c>
      <c r="O439" s="2" t="s">
        <v>3035</v>
      </c>
      <c r="P439" s="2" t="s">
        <v>48</v>
      </c>
      <c r="Q439" s="2" t="s">
        <v>143</v>
      </c>
      <c r="R439" s="2" t="s">
        <v>1312</v>
      </c>
      <c r="S439" s="2" t="s">
        <v>133</v>
      </c>
    </row>
    <row r="440" ht="15.75" customHeight="1">
      <c r="A440" s="2" t="s">
        <v>3036</v>
      </c>
      <c r="B440" s="2" t="s">
        <v>3037</v>
      </c>
      <c r="C440" s="2" t="s">
        <v>3038</v>
      </c>
      <c r="D440" s="2" t="s">
        <v>3039</v>
      </c>
      <c r="E440" s="2" t="s">
        <v>3040</v>
      </c>
      <c r="F440" s="2" t="s">
        <v>3041</v>
      </c>
      <c r="G440" s="2" t="s">
        <v>25</v>
      </c>
      <c r="H440" s="2" t="s">
        <v>26</v>
      </c>
      <c r="I440" s="2" t="s">
        <v>870</v>
      </c>
      <c r="J440" s="2" t="s">
        <v>127</v>
      </c>
      <c r="K440" s="2" t="s">
        <v>128</v>
      </c>
      <c r="L440" s="2" t="s">
        <v>129</v>
      </c>
      <c r="M440" s="2">
        <v>605.48</v>
      </c>
      <c r="N440" s="2">
        <v>1.0</v>
      </c>
      <c r="O440" s="2" t="s">
        <v>3042</v>
      </c>
      <c r="P440" s="2" t="s">
        <v>65</v>
      </c>
      <c r="Q440" s="2" t="s">
        <v>204</v>
      </c>
      <c r="R440" s="2" t="s">
        <v>144</v>
      </c>
    </row>
    <row r="441" ht="15.75" customHeight="1">
      <c r="A441" s="2" t="s">
        <v>3043</v>
      </c>
      <c r="B441" s="2" t="s">
        <v>3044</v>
      </c>
      <c r="C441" s="2" t="s">
        <v>1860</v>
      </c>
      <c r="D441" s="2" t="s">
        <v>1861</v>
      </c>
      <c r="E441" s="2" t="s">
        <v>3045</v>
      </c>
      <c r="F441" s="2" t="s">
        <v>1863</v>
      </c>
      <c r="G441" s="2" t="s">
        <v>114</v>
      </c>
      <c r="H441" s="2" t="s">
        <v>234</v>
      </c>
      <c r="I441" s="2" t="s">
        <v>75</v>
      </c>
      <c r="J441" s="2" t="s">
        <v>334</v>
      </c>
      <c r="K441" s="2" t="s">
        <v>335</v>
      </c>
      <c r="L441" s="2" t="s">
        <v>248</v>
      </c>
      <c r="M441" s="2">
        <v>614.34</v>
      </c>
      <c r="N441" s="2">
        <v>3.0</v>
      </c>
      <c r="O441" s="2" t="s">
        <v>3046</v>
      </c>
      <c r="P441" s="2" t="s">
        <v>95</v>
      </c>
      <c r="Q441" s="2" t="s">
        <v>3047</v>
      </c>
      <c r="R441" s="2" t="s">
        <v>80</v>
      </c>
      <c r="S441" s="2" t="s">
        <v>67</v>
      </c>
    </row>
    <row r="442" ht="15.75" customHeight="1">
      <c r="A442" s="2" t="s">
        <v>3048</v>
      </c>
      <c r="B442" s="2" t="s">
        <v>3049</v>
      </c>
      <c r="C442" s="2" t="s">
        <v>1444</v>
      </c>
      <c r="D442" s="2" t="s">
        <v>1445</v>
      </c>
      <c r="E442" s="2" t="s">
        <v>2141</v>
      </c>
      <c r="G442" s="2" t="s">
        <v>1446</v>
      </c>
      <c r="H442" s="2" t="s">
        <v>152</v>
      </c>
      <c r="I442" s="2" t="s">
        <v>43</v>
      </c>
      <c r="J442" s="2" t="s">
        <v>2033</v>
      </c>
      <c r="K442" s="2" t="s">
        <v>2034</v>
      </c>
      <c r="L442" s="2" t="s">
        <v>1016</v>
      </c>
      <c r="M442" s="2">
        <v>1187.61</v>
      </c>
      <c r="N442" s="2">
        <v>2.0</v>
      </c>
      <c r="O442" s="2" t="s">
        <v>3050</v>
      </c>
      <c r="P442" s="2" t="s">
        <v>95</v>
      </c>
      <c r="Q442" s="2" t="s">
        <v>96</v>
      </c>
      <c r="R442" s="2" t="s">
        <v>380</v>
      </c>
      <c r="S442" s="2" t="s">
        <v>81</v>
      </c>
    </row>
    <row r="443" ht="15.75" customHeight="1">
      <c r="A443" s="2" t="s">
        <v>3051</v>
      </c>
      <c r="B443" s="2" t="s">
        <v>3052</v>
      </c>
      <c r="C443" s="2" t="s">
        <v>1267</v>
      </c>
      <c r="D443" s="2" t="s">
        <v>1268</v>
      </c>
      <c r="E443" s="2" t="s">
        <v>1269</v>
      </c>
      <c r="F443" s="2" t="s">
        <v>1270</v>
      </c>
      <c r="G443" s="2" t="s">
        <v>139</v>
      </c>
      <c r="H443" s="2" t="s">
        <v>42</v>
      </c>
      <c r="I443" s="2" t="s">
        <v>211</v>
      </c>
      <c r="J443" s="2" t="s">
        <v>3053</v>
      </c>
      <c r="K443" s="2" t="s">
        <v>741</v>
      </c>
      <c r="L443" s="2" t="s">
        <v>63</v>
      </c>
      <c r="N443" s="2">
        <v>3.0</v>
      </c>
      <c r="O443" s="2" t="s">
        <v>3054</v>
      </c>
      <c r="P443" s="2" t="s">
        <v>65</v>
      </c>
      <c r="Q443" s="2" t="s">
        <v>143</v>
      </c>
      <c r="R443" s="2" t="s">
        <v>169</v>
      </c>
    </row>
    <row r="444" ht="15.75" customHeight="1">
      <c r="A444" s="2" t="s">
        <v>3055</v>
      </c>
      <c r="B444" s="2" t="s">
        <v>3056</v>
      </c>
      <c r="C444" s="2" t="s">
        <v>999</v>
      </c>
      <c r="D444" s="2" t="s">
        <v>2827</v>
      </c>
      <c r="E444" s="2" t="s">
        <v>1001</v>
      </c>
      <c r="F444" s="2" t="s">
        <v>1002</v>
      </c>
      <c r="G444" s="2" t="s">
        <v>608</v>
      </c>
      <c r="H444" s="2" t="s">
        <v>59</v>
      </c>
      <c r="I444" s="2" t="s">
        <v>103</v>
      </c>
      <c r="J444" s="2" t="s">
        <v>1146</v>
      </c>
      <c r="K444" s="2" t="s">
        <v>1147</v>
      </c>
      <c r="L444" s="2" t="s">
        <v>248</v>
      </c>
      <c r="N444" s="2">
        <v>1.0</v>
      </c>
      <c r="O444" s="2" t="s">
        <v>3057</v>
      </c>
      <c r="P444" s="2" t="s">
        <v>48</v>
      </c>
      <c r="Q444" s="2" t="s">
        <v>143</v>
      </c>
      <c r="R444" s="2" t="s">
        <v>294</v>
      </c>
      <c r="S444" s="2" t="s">
        <v>51</v>
      </c>
    </row>
    <row r="445" ht="15.75" customHeight="1">
      <c r="A445" s="2" t="s">
        <v>3058</v>
      </c>
      <c r="B445" s="2" t="s">
        <v>3059</v>
      </c>
      <c r="C445" s="2" t="s">
        <v>3060</v>
      </c>
      <c r="D445" s="2" t="s">
        <v>3061</v>
      </c>
      <c r="E445" s="2" t="s">
        <v>3062</v>
      </c>
      <c r="F445" s="2" t="s">
        <v>3063</v>
      </c>
      <c r="G445" s="2" t="s">
        <v>364</v>
      </c>
      <c r="H445" s="2" t="s">
        <v>802</v>
      </c>
      <c r="I445" s="2" t="s">
        <v>289</v>
      </c>
      <c r="J445" s="2" t="s">
        <v>140</v>
      </c>
      <c r="K445" s="2" t="s">
        <v>141</v>
      </c>
      <c r="L445" s="2" t="s">
        <v>63</v>
      </c>
      <c r="N445" s="2">
        <v>1.0</v>
      </c>
      <c r="O445" s="2" t="s">
        <v>3064</v>
      </c>
      <c r="P445" s="2" t="s">
        <v>48</v>
      </c>
      <c r="Q445" s="2" t="s">
        <v>573</v>
      </c>
      <c r="R445" s="2" t="s">
        <v>169</v>
      </c>
    </row>
    <row r="446" ht="15.75" customHeight="1">
      <c r="A446" s="2" t="s">
        <v>3065</v>
      </c>
      <c r="B446" s="2" t="s">
        <v>3066</v>
      </c>
      <c r="C446" s="2" t="s">
        <v>3067</v>
      </c>
      <c r="D446" s="2" t="s">
        <v>3068</v>
      </c>
      <c r="E446" s="2" t="s">
        <v>3069</v>
      </c>
      <c r="F446" s="2" t="s">
        <v>3070</v>
      </c>
      <c r="G446" s="2" t="s">
        <v>785</v>
      </c>
      <c r="H446" s="2" t="s">
        <v>778</v>
      </c>
      <c r="I446" s="2" t="s">
        <v>75</v>
      </c>
      <c r="J446" s="2" t="s">
        <v>721</v>
      </c>
      <c r="K446" s="2" t="s">
        <v>259</v>
      </c>
      <c r="L446" s="2" t="s">
        <v>179</v>
      </c>
      <c r="M446" s="2">
        <v>161.0</v>
      </c>
      <c r="N446" s="2">
        <v>3.0</v>
      </c>
      <c r="O446" s="2" t="s">
        <v>3071</v>
      </c>
      <c r="P446" s="2" t="s">
        <v>48</v>
      </c>
      <c r="Q446" s="2" t="s">
        <v>3072</v>
      </c>
      <c r="R446" s="2" t="s">
        <v>380</v>
      </c>
      <c r="S446" s="2" t="s">
        <v>67</v>
      </c>
    </row>
    <row r="447" ht="15.75" customHeight="1">
      <c r="A447" s="2" t="s">
        <v>3073</v>
      </c>
      <c r="B447" s="2" t="s">
        <v>3074</v>
      </c>
      <c r="C447" s="2" t="s">
        <v>3075</v>
      </c>
      <c r="D447" s="2" t="s">
        <v>1126</v>
      </c>
      <c r="E447" s="2" t="s">
        <v>3076</v>
      </c>
      <c r="F447" s="2" t="s">
        <v>3077</v>
      </c>
      <c r="G447" s="2" t="s">
        <v>1336</v>
      </c>
      <c r="H447" s="2" t="s">
        <v>460</v>
      </c>
      <c r="I447" s="2" t="s">
        <v>90</v>
      </c>
      <c r="J447" s="2" t="s">
        <v>692</v>
      </c>
      <c r="K447" s="2" t="s">
        <v>693</v>
      </c>
      <c r="L447" s="2" t="s">
        <v>368</v>
      </c>
      <c r="M447" s="2">
        <v>366.71</v>
      </c>
      <c r="N447" s="2">
        <v>3.0</v>
      </c>
      <c r="O447" s="2" t="s">
        <v>3078</v>
      </c>
      <c r="P447" s="2" t="s">
        <v>48</v>
      </c>
      <c r="Q447" s="2" t="s">
        <v>181</v>
      </c>
      <c r="R447" s="2" t="s">
        <v>192</v>
      </c>
      <c r="S447" s="2" t="s">
        <v>51</v>
      </c>
    </row>
    <row r="448" ht="15.75" customHeight="1">
      <c r="A448" s="2" t="s">
        <v>3079</v>
      </c>
      <c r="B448" s="2" t="s">
        <v>3080</v>
      </c>
      <c r="C448" s="2" t="s">
        <v>3081</v>
      </c>
      <c r="D448" s="2" t="s">
        <v>1126</v>
      </c>
      <c r="E448" s="2" t="s">
        <v>3082</v>
      </c>
      <c r="F448" s="2" t="s">
        <v>3083</v>
      </c>
      <c r="G448" s="2" t="s">
        <v>139</v>
      </c>
      <c r="H448" s="2" t="s">
        <v>210</v>
      </c>
      <c r="I448" s="2" t="s">
        <v>522</v>
      </c>
      <c r="J448" s="2" t="s">
        <v>1246</v>
      </c>
      <c r="K448" s="2" t="s">
        <v>1212</v>
      </c>
      <c r="L448" s="2" t="s">
        <v>514</v>
      </c>
      <c r="N448" s="2">
        <v>1.0</v>
      </c>
      <c r="O448" s="2" t="s">
        <v>3084</v>
      </c>
      <c r="P448" s="2" t="s">
        <v>65</v>
      </c>
      <c r="Q448" s="2" t="s">
        <v>143</v>
      </c>
      <c r="R448" s="2" t="s">
        <v>158</v>
      </c>
    </row>
    <row r="449" ht="15.75" customHeight="1">
      <c r="A449" s="2" t="s">
        <v>3085</v>
      </c>
      <c r="B449" s="2" t="s">
        <v>3086</v>
      </c>
      <c r="C449" s="2" t="s">
        <v>3087</v>
      </c>
      <c r="D449" s="2" t="s">
        <v>3088</v>
      </c>
      <c r="E449" s="2" t="s">
        <v>3089</v>
      </c>
      <c r="F449" s="2" t="s">
        <v>3090</v>
      </c>
      <c r="G449" s="2" t="s">
        <v>1336</v>
      </c>
      <c r="H449" s="2" t="s">
        <v>802</v>
      </c>
      <c r="I449" s="2" t="s">
        <v>43</v>
      </c>
      <c r="J449" s="2" t="s">
        <v>1926</v>
      </c>
      <c r="K449" s="2" t="s">
        <v>1927</v>
      </c>
      <c r="L449" s="2" t="s">
        <v>63</v>
      </c>
      <c r="N449" s="2">
        <v>1.0</v>
      </c>
      <c r="O449" s="2" t="s">
        <v>3091</v>
      </c>
      <c r="P449" s="2" t="s">
        <v>95</v>
      </c>
      <c r="Q449" s="2" t="s">
        <v>49</v>
      </c>
      <c r="R449" s="2" t="s">
        <v>120</v>
      </c>
      <c r="S449" s="2" t="s">
        <v>133</v>
      </c>
    </row>
    <row r="450" ht="15.75" customHeight="1">
      <c r="A450" s="2" t="s">
        <v>3092</v>
      </c>
      <c r="B450" s="2" t="s">
        <v>3093</v>
      </c>
      <c r="C450" s="2" t="s">
        <v>3094</v>
      </c>
      <c r="D450" s="2" t="s">
        <v>3095</v>
      </c>
      <c r="E450" s="2" t="s">
        <v>3096</v>
      </c>
      <c r="F450" s="2" t="s">
        <v>3097</v>
      </c>
      <c r="G450" s="2" t="s">
        <v>58</v>
      </c>
      <c r="H450" s="2" t="s">
        <v>323</v>
      </c>
      <c r="I450" s="2" t="s">
        <v>312</v>
      </c>
      <c r="J450" s="2" t="s">
        <v>2219</v>
      </c>
      <c r="K450" s="2" t="s">
        <v>236</v>
      </c>
      <c r="L450" s="2" t="s">
        <v>805</v>
      </c>
      <c r="M450" s="2">
        <v>271.49</v>
      </c>
      <c r="N450" s="2">
        <v>3.0</v>
      </c>
      <c r="O450" s="2" t="s">
        <v>3098</v>
      </c>
      <c r="P450" s="2" t="s">
        <v>65</v>
      </c>
      <c r="Q450" s="2" t="s">
        <v>181</v>
      </c>
      <c r="R450" s="2" t="s">
        <v>132</v>
      </c>
      <c r="S450" s="2" t="s">
        <v>51</v>
      </c>
    </row>
    <row r="451" ht="15.75" customHeight="1">
      <c r="A451" s="2" t="s">
        <v>3099</v>
      </c>
      <c r="B451" s="2" t="s">
        <v>3100</v>
      </c>
      <c r="C451" s="2" t="s">
        <v>2215</v>
      </c>
      <c r="D451" s="2" t="s">
        <v>2216</v>
      </c>
      <c r="E451" s="2" t="s">
        <v>2217</v>
      </c>
      <c r="F451" s="2" t="s">
        <v>2218</v>
      </c>
      <c r="G451" s="2" t="s">
        <v>364</v>
      </c>
      <c r="H451" s="2" t="s">
        <v>42</v>
      </c>
      <c r="I451" s="2" t="s">
        <v>103</v>
      </c>
      <c r="J451" s="2" t="s">
        <v>3101</v>
      </c>
      <c r="K451" s="2" t="s">
        <v>1212</v>
      </c>
      <c r="L451" s="2" t="s">
        <v>248</v>
      </c>
      <c r="M451" s="2">
        <v>1454.74</v>
      </c>
      <c r="N451" s="2">
        <v>1.0</v>
      </c>
      <c r="O451" s="2" t="s">
        <v>3102</v>
      </c>
      <c r="P451" s="2" t="s">
        <v>48</v>
      </c>
      <c r="Q451" s="2" t="s">
        <v>66</v>
      </c>
      <c r="R451" s="2" t="s">
        <v>432</v>
      </c>
    </row>
    <row r="452" ht="15.75" customHeight="1">
      <c r="A452" s="2" t="s">
        <v>3103</v>
      </c>
      <c r="B452" s="2" t="s">
        <v>3104</v>
      </c>
      <c r="C452" s="2" t="s">
        <v>3060</v>
      </c>
      <c r="D452" s="2" t="s">
        <v>3061</v>
      </c>
      <c r="E452" s="2" t="s">
        <v>3062</v>
      </c>
      <c r="F452" s="2" t="s">
        <v>3063</v>
      </c>
      <c r="G452" s="2" t="s">
        <v>364</v>
      </c>
      <c r="H452" s="2" t="s">
        <v>323</v>
      </c>
      <c r="I452" s="2" t="s">
        <v>116</v>
      </c>
      <c r="J452" s="2" t="s">
        <v>2680</v>
      </c>
      <c r="K452" s="2" t="s">
        <v>303</v>
      </c>
      <c r="L452" s="2" t="s">
        <v>2421</v>
      </c>
      <c r="N452" s="2">
        <v>2.0</v>
      </c>
      <c r="O452" s="2" t="s">
        <v>3105</v>
      </c>
      <c r="P452" s="2" t="s">
        <v>95</v>
      </c>
      <c r="Q452" s="2" t="s">
        <v>96</v>
      </c>
      <c r="R452" s="2" t="s">
        <v>80</v>
      </c>
      <c r="S452" s="2" t="s">
        <v>81</v>
      </c>
    </row>
    <row r="453" ht="15.75" customHeight="1">
      <c r="A453" s="2" t="s">
        <v>3106</v>
      </c>
      <c r="B453" s="2" t="s">
        <v>3107</v>
      </c>
      <c r="C453" s="2" t="s">
        <v>3108</v>
      </c>
      <c r="D453" s="2" t="s">
        <v>3109</v>
      </c>
      <c r="F453" s="2" t="s">
        <v>3110</v>
      </c>
      <c r="G453" s="2" t="s">
        <v>3111</v>
      </c>
      <c r="H453" s="2" t="s">
        <v>802</v>
      </c>
      <c r="I453" s="2" t="s">
        <v>75</v>
      </c>
      <c r="J453" s="2" t="s">
        <v>154</v>
      </c>
      <c r="K453" s="2" t="s">
        <v>62</v>
      </c>
      <c r="L453" s="2" t="s">
        <v>155</v>
      </c>
      <c r="N453" s="2">
        <v>5.0</v>
      </c>
      <c r="O453" s="2" t="s">
        <v>3112</v>
      </c>
      <c r="P453" s="2" t="s">
        <v>32</v>
      </c>
      <c r="Q453" s="2" t="s">
        <v>66</v>
      </c>
      <c r="R453" s="2" t="s">
        <v>3113</v>
      </c>
      <c r="S453" s="2" t="s">
        <v>81</v>
      </c>
    </row>
    <row r="454" ht="15.75" customHeight="1">
      <c r="A454" s="2" t="s">
        <v>3114</v>
      </c>
      <c r="B454" s="2" t="s">
        <v>3115</v>
      </c>
      <c r="C454" s="2" t="s">
        <v>1645</v>
      </c>
      <c r="D454" s="2" t="s">
        <v>1646</v>
      </c>
      <c r="E454" s="2" t="s">
        <v>1647</v>
      </c>
      <c r="F454" s="2" t="s">
        <v>1648</v>
      </c>
      <c r="G454" s="2" t="s">
        <v>73</v>
      </c>
      <c r="H454" s="2" t="s">
        <v>59</v>
      </c>
      <c r="I454" s="2" t="s">
        <v>480</v>
      </c>
      <c r="J454" s="2" t="s">
        <v>2417</v>
      </c>
      <c r="K454" s="2" t="s">
        <v>225</v>
      </c>
      <c r="L454" s="2" t="s">
        <v>503</v>
      </c>
      <c r="N454" s="2">
        <v>2.0</v>
      </c>
      <c r="O454" s="2" t="s">
        <v>3116</v>
      </c>
      <c r="P454" s="2" t="s">
        <v>95</v>
      </c>
      <c r="Q454" s="2" t="s">
        <v>143</v>
      </c>
      <c r="R454" s="2" t="s">
        <v>294</v>
      </c>
      <c r="S454" s="2" t="s">
        <v>51</v>
      </c>
    </row>
    <row r="455" ht="15.75" customHeight="1">
      <c r="A455" s="2" t="s">
        <v>3117</v>
      </c>
      <c r="B455" s="2" t="s">
        <v>3118</v>
      </c>
      <c r="C455" s="2" t="s">
        <v>3119</v>
      </c>
      <c r="D455" s="2" t="s">
        <v>2081</v>
      </c>
      <c r="E455" s="2" t="s">
        <v>3120</v>
      </c>
      <c r="F455" s="2" t="s">
        <v>3121</v>
      </c>
      <c r="G455" s="2" t="s">
        <v>58</v>
      </c>
      <c r="H455" s="2" t="s">
        <v>152</v>
      </c>
      <c r="I455" s="2" t="s">
        <v>1245</v>
      </c>
      <c r="J455" s="2" t="s">
        <v>673</v>
      </c>
      <c r="K455" s="2" t="s">
        <v>118</v>
      </c>
      <c r="L455" s="2" t="s">
        <v>674</v>
      </c>
      <c r="M455" s="2">
        <v>1117.95</v>
      </c>
      <c r="N455" s="2">
        <v>5.0</v>
      </c>
      <c r="O455" s="2" t="s">
        <v>3122</v>
      </c>
      <c r="P455" s="2" t="s">
        <v>48</v>
      </c>
      <c r="Q455" s="2" t="s">
        <v>66</v>
      </c>
      <c r="R455" s="2" t="s">
        <v>192</v>
      </c>
      <c r="S455" s="2" t="s">
        <v>81</v>
      </c>
    </row>
    <row r="456" ht="15.75" customHeight="1">
      <c r="A456" s="2" t="s">
        <v>3123</v>
      </c>
      <c r="B456" s="2" t="s">
        <v>3124</v>
      </c>
      <c r="C456" s="2" t="s">
        <v>3125</v>
      </c>
      <c r="D456" s="2" t="s">
        <v>101</v>
      </c>
      <c r="E456" s="2" t="s">
        <v>3126</v>
      </c>
      <c r="F456" s="2" t="s">
        <v>3127</v>
      </c>
      <c r="G456" s="2" t="s">
        <v>671</v>
      </c>
      <c r="H456" s="2" t="s">
        <v>42</v>
      </c>
      <c r="I456" s="2" t="s">
        <v>870</v>
      </c>
      <c r="J456" s="2" t="s">
        <v>366</v>
      </c>
      <c r="K456" s="2" t="s">
        <v>367</v>
      </c>
      <c r="L456" s="2" t="s">
        <v>368</v>
      </c>
      <c r="M456" s="2">
        <v>658.54</v>
      </c>
      <c r="N456" s="2">
        <v>2.0</v>
      </c>
      <c r="O456" s="2" t="s">
        <v>3128</v>
      </c>
      <c r="P456" s="2" t="s">
        <v>65</v>
      </c>
      <c r="Q456" s="2" t="s">
        <v>664</v>
      </c>
      <c r="R456" s="2" t="s">
        <v>144</v>
      </c>
      <c r="S456" s="2" t="s">
        <v>51</v>
      </c>
    </row>
    <row r="457" ht="15.75" customHeight="1">
      <c r="A457" s="2" t="s">
        <v>3129</v>
      </c>
      <c r="B457" s="2" t="s">
        <v>3130</v>
      </c>
      <c r="C457" s="2" t="s">
        <v>3131</v>
      </c>
      <c r="D457" s="2" t="s">
        <v>3132</v>
      </c>
      <c r="E457" s="2" t="s">
        <v>3133</v>
      </c>
      <c r="F457" s="2" t="s">
        <v>3134</v>
      </c>
      <c r="G457" s="2" t="s">
        <v>114</v>
      </c>
      <c r="H457" s="2" t="s">
        <v>42</v>
      </c>
      <c r="I457" s="2" t="s">
        <v>512</v>
      </c>
      <c r="J457" s="2" t="s">
        <v>904</v>
      </c>
      <c r="K457" s="2" t="s">
        <v>905</v>
      </c>
      <c r="L457" s="2" t="s">
        <v>167</v>
      </c>
      <c r="M457" s="2">
        <v>1548.11</v>
      </c>
      <c r="N457" s="2">
        <v>1.0</v>
      </c>
      <c r="O457" s="2" t="s">
        <v>3135</v>
      </c>
      <c r="P457" s="2" t="s">
        <v>95</v>
      </c>
      <c r="Q457" s="2" t="s">
        <v>305</v>
      </c>
      <c r="R457" s="2" t="s">
        <v>3136</v>
      </c>
      <c r="S457" s="2" t="s">
        <v>51</v>
      </c>
    </row>
    <row r="458" ht="15.75" customHeight="1">
      <c r="A458" s="2" t="s">
        <v>3137</v>
      </c>
      <c r="B458" s="2" t="s">
        <v>3138</v>
      </c>
      <c r="C458" s="2" t="s">
        <v>3139</v>
      </c>
      <c r="D458" s="2" t="s">
        <v>3140</v>
      </c>
      <c r="E458" s="2" t="s">
        <v>3141</v>
      </c>
      <c r="F458" s="2" t="s">
        <v>3142</v>
      </c>
      <c r="G458" s="2" t="s">
        <v>3143</v>
      </c>
      <c r="H458" s="2" t="s">
        <v>3144</v>
      </c>
      <c r="I458" s="2" t="s">
        <v>312</v>
      </c>
      <c r="J458" s="2" t="s">
        <v>353</v>
      </c>
      <c r="K458" s="2" t="s">
        <v>354</v>
      </c>
      <c r="L458" s="2" t="s">
        <v>355</v>
      </c>
      <c r="N458" s="2">
        <v>1.0</v>
      </c>
      <c r="O458" s="2" t="s">
        <v>3145</v>
      </c>
      <c r="P458" s="2" t="s">
        <v>32</v>
      </c>
      <c r="Q458" s="2" t="s">
        <v>573</v>
      </c>
      <c r="R458" s="2" t="s">
        <v>192</v>
      </c>
    </row>
    <row r="459" ht="15.75" customHeight="1">
      <c r="A459" s="2" t="s">
        <v>3146</v>
      </c>
      <c r="B459" s="2" t="s">
        <v>3147</v>
      </c>
      <c r="C459" s="2" t="s">
        <v>2414</v>
      </c>
      <c r="D459" s="2" t="s">
        <v>2415</v>
      </c>
      <c r="F459" s="2" t="s">
        <v>2416</v>
      </c>
      <c r="G459" s="2" t="s">
        <v>671</v>
      </c>
      <c r="H459" s="2" t="s">
        <v>223</v>
      </c>
      <c r="I459" s="2" t="s">
        <v>211</v>
      </c>
      <c r="J459" s="2" t="s">
        <v>1722</v>
      </c>
      <c r="K459" s="2" t="s">
        <v>804</v>
      </c>
      <c r="L459" s="2" t="s">
        <v>368</v>
      </c>
      <c r="N459" s="2">
        <v>1.0</v>
      </c>
      <c r="P459" s="2" t="s">
        <v>48</v>
      </c>
      <c r="Q459" s="2" t="s">
        <v>305</v>
      </c>
      <c r="R459" s="2" t="s">
        <v>34</v>
      </c>
      <c r="S459" s="2" t="s">
        <v>133</v>
      </c>
    </row>
    <row r="460" ht="15.75" customHeight="1">
      <c r="A460" s="2" t="s">
        <v>3148</v>
      </c>
      <c r="B460" s="2" t="s">
        <v>3149</v>
      </c>
      <c r="C460" s="2" t="s">
        <v>3150</v>
      </c>
      <c r="D460" s="2" t="s">
        <v>3151</v>
      </c>
      <c r="F460" s="2" t="s">
        <v>3152</v>
      </c>
      <c r="G460" s="2" t="s">
        <v>671</v>
      </c>
      <c r="H460" s="2" t="s">
        <v>683</v>
      </c>
      <c r="I460" s="2" t="s">
        <v>75</v>
      </c>
      <c r="J460" s="2" t="s">
        <v>661</v>
      </c>
      <c r="K460" s="2" t="s">
        <v>662</v>
      </c>
      <c r="L460" s="2" t="s">
        <v>368</v>
      </c>
      <c r="M460" s="2">
        <v>1567.85</v>
      </c>
      <c r="N460" s="2">
        <v>2.0</v>
      </c>
      <c r="O460" s="2" t="s">
        <v>3153</v>
      </c>
      <c r="P460" s="2" t="s">
        <v>48</v>
      </c>
      <c r="Q460" s="2" t="s">
        <v>143</v>
      </c>
      <c r="R460" s="2" t="s">
        <v>294</v>
      </c>
      <c r="S460" s="2" t="s">
        <v>133</v>
      </c>
    </row>
    <row r="461" ht="15.75" customHeight="1">
      <c r="A461" s="2" t="s">
        <v>3154</v>
      </c>
      <c r="B461" s="2" t="s">
        <v>3155</v>
      </c>
      <c r="C461" s="2" t="s">
        <v>3156</v>
      </c>
      <c r="D461" s="2" t="s">
        <v>3157</v>
      </c>
      <c r="E461" s="2" t="s">
        <v>3158</v>
      </c>
      <c r="F461" s="2" t="s">
        <v>3159</v>
      </c>
      <c r="G461" s="2" t="s">
        <v>1078</v>
      </c>
      <c r="H461" s="2" t="s">
        <v>460</v>
      </c>
      <c r="I461" s="2" t="s">
        <v>176</v>
      </c>
      <c r="J461" s="2" t="s">
        <v>2012</v>
      </c>
      <c r="K461" s="2" t="s">
        <v>741</v>
      </c>
      <c r="L461" s="2" t="s">
        <v>514</v>
      </c>
      <c r="N461" s="2">
        <v>1.0</v>
      </c>
      <c r="O461" s="2" t="s">
        <v>3160</v>
      </c>
      <c r="P461" s="2" t="s">
        <v>48</v>
      </c>
      <c r="Q461" s="2" t="s">
        <v>66</v>
      </c>
      <c r="R461" s="2" t="s">
        <v>818</v>
      </c>
    </row>
    <row r="462" ht="15.75" customHeight="1">
      <c r="A462" s="2" t="s">
        <v>3161</v>
      </c>
      <c r="B462" s="2" t="s">
        <v>3162</v>
      </c>
      <c r="C462" s="2" t="s">
        <v>3163</v>
      </c>
      <c r="D462" s="2" t="s">
        <v>3164</v>
      </c>
      <c r="E462" s="2" t="s">
        <v>3165</v>
      </c>
      <c r="F462" s="2" t="s">
        <v>3166</v>
      </c>
      <c r="G462" s="2" t="s">
        <v>25</v>
      </c>
      <c r="H462" s="2" t="s">
        <v>42</v>
      </c>
      <c r="I462" s="2" t="s">
        <v>352</v>
      </c>
      <c r="J462" s="2" t="s">
        <v>948</v>
      </c>
      <c r="K462" s="2" t="s">
        <v>450</v>
      </c>
      <c r="L462" s="2" t="s">
        <v>129</v>
      </c>
      <c r="N462" s="2">
        <v>1.0</v>
      </c>
      <c r="O462" s="2" t="s">
        <v>3167</v>
      </c>
      <c r="P462" s="2" t="s">
        <v>48</v>
      </c>
      <c r="Q462" s="2" t="s">
        <v>305</v>
      </c>
      <c r="R462" s="2" t="s">
        <v>192</v>
      </c>
      <c r="S462" s="2" t="s">
        <v>81</v>
      </c>
    </row>
    <row r="463" ht="15.75" customHeight="1">
      <c r="A463" s="2" t="s">
        <v>3168</v>
      </c>
      <c r="B463" s="2" t="s">
        <v>3169</v>
      </c>
      <c r="C463" s="2" t="s">
        <v>1267</v>
      </c>
      <c r="D463" s="2" t="s">
        <v>3170</v>
      </c>
      <c r="E463" s="2" t="s">
        <v>3171</v>
      </c>
      <c r="G463" s="2" t="s">
        <v>139</v>
      </c>
      <c r="H463" s="2" t="s">
        <v>400</v>
      </c>
      <c r="I463" s="2" t="s">
        <v>43</v>
      </c>
      <c r="J463" s="2" t="s">
        <v>3172</v>
      </c>
      <c r="K463" s="2" t="s">
        <v>3173</v>
      </c>
      <c r="L463" s="2" t="s">
        <v>355</v>
      </c>
      <c r="N463" s="2">
        <v>2.0</v>
      </c>
      <c r="O463" s="2" t="s">
        <v>3174</v>
      </c>
      <c r="P463" s="2" t="s">
        <v>65</v>
      </c>
      <c r="Q463" s="2" t="s">
        <v>143</v>
      </c>
      <c r="R463" s="2" t="s">
        <v>50</v>
      </c>
    </row>
    <row r="464" ht="15.75" customHeight="1">
      <c r="A464" s="2" t="s">
        <v>3175</v>
      </c>
      <c r="B464" s="2" t="s">
        <v>3176</v>
      </c>
      <c r="C464" s="2" t="s">
        <v>3177</v>
      </c>
      <c r="D464" s="2" t="s">
        <v>3178</v>
      </c>
      <c r="E464" s="2" t="s">
        <v>3179</v>
      </c>
      <c r="F464" s="2" t="s">
        <v>3180</v>
      </c>
      <c r="G464" s="2" t="s">
        <v>671</v>
      </c>
      <c r="H464" s="2" t="s">
        <v>26</v>
      </c>
      <c r="I464" s="2" t="s">
        <v>90</v>
      </c>
      <c r="J464" s="2" t="s">
        <v>652</v>
      </c>
      <c r="K464" s="2" t="s">
        <v>653</v>
      </c>
      <c r="L464" s="2" t="s">
        <v>179</v>
      </c>
      <c r="M464" s="2">
        <v>1326.41</v>
      </c>
      <c r="N464" s="2">
        <v>2.0</v>
      </c>
      <c r="O464" s="2" t="s">
        <v>3181</v>
      </c>
      <c r="P464" s="2" t="s">
        <v>32</v>
      </c>
      <c r="Q464" s="2" t="s">
        <v>49</v>
      </c>
      <c r="R464" s="2" t="s">
        <v>120</v>
      </c>
      <c r="S464" s="2" t="s">
        <v>133</v>
      </c>
    </row>
    <row r="465" ht="15.75" customHeight="1">
      <c r="A465" s="2" t="s">
        <v>3182</v>
      </c>
      <c r="B465" s="2" t="s">
        <v>3183</v>
      </c>
      <c r="C465" s="2" t="s">
        <v>286</v>
      </c>
      <c r="D465" s="2" t="s">
        <v>287</v>
      </c>
      <c r="G465" s="2" t="s">
        <v>114</v>
      </c>
      <c r="H465" s="2" t="s">
        <v>802</v>
      </c>
      <c r="I465" s="2" t="s">
        <v>312</v>
      </c>
      <c r="J465" s="2" t="s">
        <v>224</v>
      </c>
      <c r="K465" s="2" t="s">
        <v>225</v>
      </c>
      <c r="L465" s="2" t="s">
        <v>214</v>
      </c>
      <c r="M465" s="2">
        <v>797.1</v>
      </c>
      <c r="N465" s="2">
        <v>1.0</v>
      </c>
      <c r="O465" s="2" t="s">
        <v>3184</v>
      </c>
      <c r="P465" s="2" t="s">
        <v>48</v>
      </c>
      <c r="Q465" s="2" t="s">
        <v>3185</v>
      </c>
      <c r="R465" s="2" t="s">
        <v>2512</v>
      </c>
    </row>
    <row r="466" ht="15.75" customHeight="1">
      <c r="A466" s="2" t="s">
        <v>3186</v>
      </c>
      <c r="B466" s="2" t="s">
        <v>3187</v>
      </c>
      <c r="C466" s="2" t="s">
        <v>1571</v>
      </c>
      <c r="D466" s="2" t="s">
        <v>1572</v>
      </c>
      <c r="E466" s="2" t="s">
        <v>1573</v>
      </c>
      <c r="F466" s="2" t="s">
        <v>1574</v>
      </c>
      <c r="G466" s="2" t="s">
        <v>114</v>
      </c>
      <c r="H466" s="2" t="s">
        <v>460</v>
      </c>
      <c r="I466" s="2" t="s">
        <v>116</v>
      </c>
      <c r="J466" s="2" t="s">
        <v>534</v>
      </c>
      <c r="K466" s="2" t="s">
        <v>535</v>
      </c>
      <c r="L466" s="2" t="s">
        <v>30</v>
      </c>
      <c r="N466" s="2">
        <v>1.0</v>
      </c>
      <c r="O466" s="2" t="s">
        <v>3188</v>
      </c>
      <c r="P466" s="2" t="s">
        <v>48</v>
      </c>
      <c r="Q466" s="2" t="s">
        <v>3189</v>
      </c>
      <c r="R466" s="2" t="s">
        <v>1171</v>
      </c>
    </row>
    <row r="467" ht="15.75" customHeight="1">
      <c r="A467" s="2" t="s">
        <v>3190</v>
      </c>
      <c r="B467" s="2" t="s">
        <v>3191</v>
      </c>
      <c r="C467" s="2" t="s">
        <v>586</v>
      </c>
      <c r="D467" s="2" t="s">
        <v>587</v>
      </c>
      <c r="E467" s="2" t="s">
        <v>588</v>
      </c>
      <c r="F467" s="2" t="s">
        <v>589</v>
      </c>
      <c r="G467" s="2" t="s">
        <v>199</v>
      </c>
      <c r="H467" s="2" t="s">
        <v>1167</v>
      </c>
      <c r="I467" s="2" t="s">
        <v>590</v>
      </c>
      <c r="J467" s="2" t="s">
        <v>353</v>
      </c>
      <c r="K467" s="2" t="s">
        <v>354</v>
      </c>
      <c r="L467" s="2" t="s">
        <v>355</v>
      </c>
      <c r="M467" s="2">
        <v>1079.01</v>
      </c>
      <c r="N467" s="2">
        <v>3.0</v>
      </c>
      <c r="O467" s="2" t="s">
        <v>3192</v>
      </c>
      <c r="P467" s="2" t="s">
        <v>65</v>
      </c>
      <c r="Q467" s="2" t="s">
        <v>526</v>
      </c>
      <c r="R467" s="2" t="s">
        <v>132</v>
      </c>
    </row>
    <row r="468" ht="15.75" customHeight="1">
      <c r="A468" s="2" t="s">
        <v>3193</v>
      </c>
      <c r="B468" s="2" t="s">
        <v>3194</v>
      </c>
      <c r="C468" s="2" t="s">
        <v>1020</v>
      </c>
      <c r="D468" s="2" t="s">
        <v>1021</v>
      </c>
      <c r="E468" s="2" t="s">
        <v>1022</v>
      </c>
      <c r="F468" s="2" t="s">
        <v>1023</v>
      </c>
      <c r="G468" s="2" t="s">
        <v>88</v>
      </c>
      <c r="H468" s="2" t="s">
        <v>59</v>
      </c>
      <c r="I468" s="2" t="s">
        <v>176</v>
      </c>
      <c r="J468" s="2" t="s">
        <v>61</v>
      </c>
      <c r="K468" s="2" t="s">
        <v>62</v>
      </c>
      <c r="L468" s="2" t="s">
        <v>63</v>
      </c>
      <c r="N468" s="2">
        <v>1.0</v>
      </c>
      <c r="O468" s="2" t="s">
        <v>3195</v>
      </c>
      <c r="P468" s="2" t="s">
        <v>32</v>
      </c>
      <c r="Q468" s="2" t="s">
        <v>66</v>
      </c>
      <c r="R468" s="2" t="s">
        <v>1312</v>
      </c>
      <c r="S468" s="2" t="s">
        <v>51</v>
      </c>
    </row>
    <row r="469" ht="15.75" customHeight="1">
      <c r="A469" s="2" t="s">
        <v>3196</v>
      </c>
      <c r="B469" s="2" t="s">
        <v>3197</v>
      </c>
      <c r="C469" s="2" t="s">
        <v>2230</v>
      </c>
      <c r="D469" s="2" t="s">
        <v>2231</v>
      </c>
      <c r="E469" s="2" t="s">
        <v>2232</v>
      </c>
      <c r="G469" s="2" t="s">
        <v>720</v>
      </c>
      <c r="H469" s="2" t="s">
        <v>26</v>
      </c>
      <c r="I469" s="2" t="s">
        <v>401</v>
      </c>
      <c r="J469" s="2" t="s">
        <v>3101</v>
      </c>
      <c r="K469" s="2" t="s">
        <v>1212</v>
      </c>
      <c r="L469" s="2" t="s">
        <v>248</v>
      </c>
      <c r="M469" s="2">
        <v>630.48</v>
      </c>
      <c r="N469" s="2">
        <v>5.0</v>
      </c>
      <c r="O469" s="2" t="s">
        <v>3198</v>
      </c>
      <c r="P469" s="2" t="s">
        <v>65</v>
      </c>
      <c r="Q469" s="2" t="s">
        <v>664</v>
      </c>
      <c r="R469" s="2" t="s">
        <v>393</v>
      </c>
    </row>
    <row r="470" ht="15.75" customHeight="1">
      <c r="A470" s="2" t="s">
        <v>3199</v>
      </c>
      <c r="B470" s="2" t="s">
        <v>3200</v>
      </c>
      <c r="C470" s="2" t="s">
        <v>1922</v>
      </c>
      <c r="D470" s="2" t="s">
        <v>1923</v>
      </c>
      <c r="E470" s="2" t="s">
        <v>1924</v>
      </c>
      <c r="F470" s="2" t="s">
        <v>1925</v>
      </c>
      <c r="G470" s="2" t="s">
        <v>1177</v>
      </c>
      <c r="H470" s="2" t="s">
        <v>683</v>
      </c>
      <c r="I470" s="2" t="s">
        <v>512</v>
      </c>
      <c r="J470" s="2" t="s">
        <v>61</v>
      </c>
      <c r="K470" s="2" t="s">
        <v>62</v>
      </c>
      <c r="L470" s="2" t="s">
        <v>63</v>
      </c>
      <c r="M470" s="2">
        <v>1490.87</v>
      </c>
      <c r="N470" s="2">
        <v>1.0</v>
      </c>
      <c r="O470" s="2" t="s">
        <v>3201</v>
      </c>
      <c r="P470" s="2" t="s">
        <v>32</v>
      </c>
      <c r="Q470" s="2" t="s">
        <v>181</v>
      </c>
      <c r="R470" s="2" t="s">
        <v>50</v>
      </c>
      <c r="S470" s="2" t="s">
        <v>51</v>
      </c>
    </row>
    <row r="471" ht="15.75" customHeight="1">
      <c r="A471" s="2" t="s">
        <v>3202</v>
      </c>
      <c r="B471" s="2" t="s">
        <v>3203</v>
      </c>
      <c r="C471" s="2" t="s">
        <v>3204</v>
      </c>
      <c r="D471" s="2" t="s">
        <v>3205</v>
      </c>
      <c r="E471" s="2" t="s">
        <v>3206</v>
      </c>
      <c r="G471" s="2" t="s">
        <v>777</v>
      </c>
      <c r="H471" s="2" t="s">
        <v>1365</v>
      </c>
      <c r="I471" s="2" t="s">
        <v>401</v>
      </c>
      <c r="J471" s="2" t="s">
        <v>325</v>
      </c>
      <c r="K471" s="2" t="s">
        <v>326</v>
      </c>
      <c r="L471" s="2" t="s">
        <v>315</v>
      </c>
      <c r="N471" s="2">
        <v>1.0</v>
      </c>
      <c r="O471" s="2" t="s">
        <v>3207</v>
      </c>
      <c r="P471" s="2" t="s">
        <v>65</v>
      </c>
      <c r="Q471" s="2" t="s">
        <v>66</v>
      </c>
      <c r="R471" s="2" t="s">
        <v>158</v>
      </c>
      <c r="S471" s="2" t="s">
        <v>133</v>
      </c>
    </row>
    <row r="472" ht="15.75" customHeight="1">
      <c r="A472" s="2" t="s">
        <v>3208</v>
      </c>
      <c r="B472" s="2" t="s">
        <v>3209</v>
      </c>
      <c r="C472" s="2" t="s">
        <v>552</v>
      </c>
      <c r="D472" s="2" t="s">
        <v>553</v>
      </c>
      <c r="E472" s="2" t="s">
        <v>554</v>
      </c>
      <c r="F472" s="2" t="s">
        <v>555</v>
      </c>
      <c r="G472" s="2" t="s">
        <v>364</v>
      </c>
      <c r="H472" s="2" t="s">
        <v>152</v>
      </c>
      <c r="I472" s="2" t="s">
        <v>75</v>
      </c>
      <c r="J472" s="2" t="s">
        <v>3210</v>
      </c>
      <c r="K472" s="2" t="s">
        <v>3211</v>
      </c>
      <c r="L472" s="2" t="s">
        <v>167</v>
      </c>
      <c r="M472" s="2">
        <v>738.62</v>
      </c>
      <c r="N472" s="2">
        <v>5.0</v>
      </c>
      <c r="O472" s="2" t="s">
        <v>3212</v>
      </c>
      <c r="P472" s="2" t="s">
        <v>32</v>
      </c>
      <c r="Q472" s="2" t="s">
        <v>66</v>
      </c>
      <c r="R472" s="2" t="s">
        <v>169</v>
      </c>
    </row>
    <row r="473" ht="15.75" customHeight="1">
      <c r="A473" s="2" t="s">
        <v>3213</v>
      </c>
      <c r="B473" s="2" t="s">
        <v>3214</v>
      </c>
      <c r="C473" s="2" t="s">
        <v>3215</v>
      </c>
      <c r="D473" s="2" t="s">
        <v>3216</v>
      </c>
      <c r="E473" s="2" t="s">
        <v>3217</v>
      </c>
      <c r="F473" s="2" t="s">
        <v>3218</v>
      </c>
      <c r="G473" s="2" t="s">
        <v>671</v>
      </c>
      <c r="H473" s="2" t="s">
        <v>26</v>
      </c>
      <c r="I473" s="2" t="s">
        <v>43</v>
      </c>
      <c r="J473" s="2" t="s">
        <v>957</v>
      </c>
      <c r="K473" s="2" t="s">
        <v>403</v>
      </c>
      <c r="L473" s="2" t="s">
        <v>167</v>
      </c>
      <c r="N473" s="2">
        <v>2.0</v>
      </c>
      <c r="O473" s="2" t="s">
        <v>3219</v>
      </c>
      <c r="P473" s="2" t="s">
        <v>95</v>
      </c>
      <c r="Q473" s="2" t="s">
        <v>49</v>
      </c>
      <c r="R473" s="2" t="s">
        <v>169</v>
      </c>
      <c r="S473" s="2" t="s">
        <v>51</v>
      </c>
    </row>
    <row r="474" ht="15.75" customHeight="1">
      <c r="A474" s="2" t="s">
        <v>3220</v>
      </c>
      <c r="B474" s="2" t="s">
        <v>3221</v>
      </c>
      <c r="C474" s="2" t="s">
        <v>972</v>
      </c>
      <c r="D474" s="2" t="s">
        <v>973</v>
      </c>
      <c r="E474" s="2" t="s">
        <v>974</v>
      </c>
      <c r="F474" s="2" t="s">
        <v>975</v>
      </c>
      <c r="G474" s="2" t="s">
        <v>608</v>
      </c>
      <c r="H474" s="2" t="s">
        <v>59</v>
      </c>
      <c r="I474" s="2" t="s">
        <v>60</v>
      </c>
      <c r="J474" s="2" t="s">
        <v>746</v>
      </c>
      <c r="K474" s="2" t="s">
        <v>747</v>
      </c>
      <c r="L474" s="2" t="s">
        <v>748</v>
      </c>
      <c r="M474" s="2">
        <v>140.57</v>
      </c>
      <c r="N474" s="2">
        <v>1.0</v>
      </c>
      <c r="O474" s="2" t="s">
        <v>3222</v>
      </c>
      <c r="P474" s="2" t="s">
        <v>65</v>
      </c>
      <c r="Q474" s="2" t="s">
        <v>204</v>
      </c>
      <c r="R474" s="2" t="s">
        <v>3223</v>
      </c>
    </row>
    <row r="475" ht="15.75" customHeight="1">
      <c r="A475" s="2" t="s">
        <v>3224</v>
      </c>
      <c r="B475" s="2" t="s">
        <v>3225</v>
      </c>
      <c r="C475" s="2" t="s">
        <v>3226</v>
      </c>
      <c r="D475" s="2" t="s">
        <v>3227</v>
      </c>
      <c r="E475" s="2" t="s">
        <v>3228</v>
      </c>
      <c r="G475" s="2" t="s">
        <v>671</v>
      </c>
      <c r="H475" s="2" t="s">
        <v>400</v>
      </c>
      <c r="I475" s="2" t="s">
        <v>401</v>
      </c>
      <c r="J475" s="2" t="s">
        <v>28</v>
      </c>
      <c r="K475" s="2" t="s">
        <v>29</v>
      </c>
      <c r="L475" s="2" t="s">
        <v>30</v>
      </c>
      <c r="N475" s="2">
        <v>3.0</v>
      </c>
      <c r="O475" s="2" t="s">
        <v>3229</v>
      </c>
      <c r="P475" s="2" t="s">
        <v>65</v>
      </c>
      <c r="Q475" s="2" t="s">
        <v>143</v>
      </c>
      <c r="R475" s="2" t="s">
        <v>676</v>
      </c>
    </row>
    <row r="476" ht="15.75" customHeight="1">
      <c r="A476" s="2" t="s">
        <v>3230</v>
      </c>
      <c r="B476" s="2" t="s">
        <v>3231</v>
      </c>
      <c r="C476" s="2" t="s">
        <v>3232</v>
      </c>
      <c r="D476" s="2" t="s">
        <v>3233</v>
      </c>
      <c r="E476" s="2" t="s">
        <v>3234</v>
      </c>
      <c r="F476" s="2" t="s">
        <v>3235</v>
      </c>
      <c r="G476" s="2" t="s">
        <v>188</v>
      </c>
      <c r="H476" s="2" t="s">
        <v>26</v>
      </c>
      <c r="I476" s="2" t="s">
        <v>211</v>
      </c>
      <c r="J476" s="2" t="s">
        <v>402</v>
      </c>
      <c r="K476" s="2" t="s">
        <v>403</v>
      </c>
      <c r="L476" s="2" t="s">
        <v>404</v>
      </c>
      <c r="N476" s="2">
        <v>1.0</v>
      </c>
      <c r="O476" s="2" t="s">
        <v>3236</v>
      </c>
      <c r="P476" s="2" t="s">
        <v>48</v>
      </c>
      <c r="Q476" s="2" t="s">
        <v>505</v>
      </c>
      <c r="R476" s="2" t="s">
        <v>2608</v>
      </c>
    </row>
    <row r="477" ht="15.75" customHeight="1">
      <c r="A477" s="2" t="s">
        <v>3237</v>
      </c>
      <c r="B477" s="2" t="s">
        <v>3238</v>
      </c>
      <c r="C477" s="2" t="s">
        <v>2648</v>
      </c>
      <c r="D477" s="2" t="s">
        <v>2649</v>
      </c>
      <c r="E477" s="2" t="s">
        <v>2650</v>
      </c>
      <c r="F477" s="2" t="s">
        <v>2651</v>
      </c>
      <c r="G477" s="2" t="s">
        <v>25</v>
      </c>
      <c r="H477" s="2" t="s">
        <v>42</v>
      </c>
      <c r="I477" s="2" t="s">
        <v>500</v>
      </c>
      <c r="J477" s="2" t="s">
        <v>729</v>
      </c>
      <c r="K477" s="2" t="s">
        <v>62</v>
      </c>
      <c r="L477" s="2" t="s">
        <v>730</v>
      </c>
      <c r="M477" s="2">
        <v>1438.82</v>
      </c>
      <c r="N477" s="2">
        <v>5.0</v>
      </c>
      <c r="O477" s="2" t="s">
        <v>3239</v>
      </c>
      <c r="P477" s="2" t="s">
        <v>65</v>
      </c>
      <c r="Q477" s="2" t="s">
        <v>664</v>
      </c>
      <c r="R477" s="2" t="s">
        <v>120</v>
      </c>
    </row>
    <row r="478" ht="15.75" customHeight="1">
      <c r="A478" s="2" t="s">
        <v>3240</v>
      </c>
      <c r="B478" s="2" t="s">
        <v>3241</v>
      </c>
      <c r="C478" s="2" t="s">
        <v>1276</v>
      </c>
      <c r="D478" s="2" t="s">
        <v>1277</v>
      </c>
      <c r="E478" s="2" t="s">
        <v>1278</v>
      </c>
      <c r="G478" s="2" t="s">
        <v>199</v>
      </c>
      <c r="H478" s="2" t="s">
        <v>400</v>
      </c>
      <c r="I478" s="2" t="s">
        <v>176</v>
      </c>
      <c r="J478" s="2" t="s">
        <v>439</v>
      </c>
      <c r="K478" s="2" t="s">
        <v>440</v>
      </c>
      <c r="L478" s="2" t="s">
        <v>63</v>
      </c>
      <c r="M478" s="2">
        <v>1266.71</v>
      </c>
      <c r="N478" s="2">
        <v>1.0</v>
      </c>
      <c r="O478" s="2" t="s">
        <v>3242</v>
      </c>
      <c r="P478" s="2" t="s">
        <v>65</v>
      </c>
      <c r="Q478" s="2" t="s">
        <v>573</v>
      </c>
      <c r="R478" s="2" t="s">
        <v>527</v>
      </c>
      <c r="S478" s="2" t="s">
        <v>67</v>
      </c>
    </row>
    <row r="479" ht="15.75" customHeight="1">
      <c r="A479" s="2" t="s">
        <v>3243</v>
      </c>
      <c r="B479" s="2" t="s">
        <v>3244</v>
      </c>
      <c r="C479" s="2" t="s">
        <v>3245</v>
      </c>
      <c r="D479" s="2" t="s">
        <v>3246</v>
      </c>
      <c r="E479" s="2" t="s">
        <v>3247</v>
      </c>
      <c r="G479" s="2" t="s">
        <v>1336</v>
      </c>
      <c r="H479" s="2" t="s">
        <v>26</v>
      </c>
      <c r="I479" s="2" t="s">
        <v>333</v>
      </c>
      <c r="J479" s="2" t="s">
        <v>523</v>
      </c>
      <c r="K479" s="2" t="s">
        <v>524</v>
      </c>
      <c r="L479" s="2" t="s">
        <v>368</v>
      </c>
      <c r="N479" s="2">
        <v>1.0</v>
      </c>
      <c r="O479" s="2" t="s">
        <v>3248</v>
      </c>
      <c r="P479" s="2" t="s">
        <v>95</v>
      </c>
      <c r="Q479" s="2" t="s">
        <v>181</v>
      </c>
      <c r="R479" s="2" t="s">
        <v>120</v>
      </c>
    </row>
    <row r="480" ht="15.75" customHeight="1">
      <c r="A480" s="2" t="s">
        <v>3249</v>
      </c>
      <c r="B480" s="2" t="s">
        <v>3250</v>
      </c>
      <c r="C480" s="2" t="s">
        <v>1354</v>
      </c>
      <c r="D480" s="2" t="s">
        <v>1355</v>
      </c>
      <c r="E480" s="2" t="s">
        <v>1356</v>
      </c>
      <c r="F480" s="2" t="s">
        <v>1357</v>
      </c>
      <c r="G480" s="2" t="s">
        <v>199</v>
      </c>
      <c r="H480" s="2" t="s">
        <v>400</v>
      </c>
      <c r="I480" s="2" t="s">
        <v>289</v>
      </c>
      <c r="J480" s="2" t="s">
        <v>1460</v>
      </c>
      <c r="K480" s="2" t="s">
        <v>1461</v>
      </c>
      <c r="L480" s="2" t="s">
        <v>368</v>
      </c>
      <c r="M480" s="2">
        <v>28.55</v>
      </c>
      <c r="N480" s="2">
        <v>3.0</v>
      </c>
      <c r="O480" s="2" t="s">
        <v>3251</v>
      </c>
      <c r="P480" s="2" t="s">
        <v>95</v>
      </c>
      <c r="Q480" s="2" t="s">
        <v>505</v>
      </c>
      <c r="R480" s="2" t="s">
        <v>169</v>
      </c>
      <c r="S480" s="2" t="s">
        <v>51</v>
      </c>
    </row>
    <row r="481" ht="15.75" customHeight="1">
      <c r="A481" s="2" t="s">
        <v>3252</v>
      </c>
      <c r="B481" s="2" t="s">
        <v>3253</v>
      </c>
      <c r="C481" s="2" t="s">
        <v>2381</v>
      </c>
      <c r="D481" s="2" t="s">
        <v>2382</v>
      </c>
      <c r="E481" s="2" t="s">
        <v>2383</v>
      </c>
      <c r="F481" s="2" t="s">
        <v>2384</v>
      </c>
      <c r="G481" s="2" t="s">
        <v>671</v>
      </c>
      <c r="H481" s="2" t="s">
        <v>223</v>
      </c>
      <c r="I481" s="2" t="s">
        <v>522</v>
      </c>
      <c r="J481" s="2" t="s">
        <v>1114</v>
      </c>
      <c r="K481" s="2" t="s">
        <v>1115</v>
      </c>
      <c r="L481" s="2" t="s">
        <v>248</v>
      </c>
      <c r="M481" s="2">
        <v>182.9</v>
      </c>
      <c r="N481" s="2">
        <v>2.0</v>
      </c>
      <c r="O481" s="2" t="s">
        <v>3254</v>
      </c>
      <c r="P481" s="2" t="s">
        <v>48</v>
      </c>
      <c r="Q481" s="2" t="s">
        <v>414</v>
      </c>
      <c r="R481" s="2" t="s">
        <v>158</v>
      </c>
      <c r="S481" s="2" t="s">
        <v>51</v>
      </c>
    </row>
    <row r="482" ht="15.75" customHeight="1">
      <c r="A482" s="2" t="s">
        <v>3255</v>
      </c>
      <c r="B482" s="2" t="s">
        <v>3256</v>
      </c>
      <c r="C482" s="2" t="s">
        <v>3257</v>
      </c>
      <c r="D482" s="2" t="s">
        <v>3258</v>
      </c>
      <c r="E482" s="2" t="s">
        <v>3259</v>
      </c>
      <c r="F482" s="2" t="s">
        <v>3260</v>
      </c>
      <c r="G482" s="2" t="s">
        <v>73</v>
      </c>
      <c r="H482" s="2" t="s">
        <v>26</v>
      </c>
      <c r="I482" s="2" t="s">
        <v>90</v>
      </c>
      <c r="J482" s="2" t="s">
        <v>91</v>
      </c>
      <c r="K482" s="2" t="s">
        <v>92</v>
      </c>
      <c r="L482" s="2" t="s">
        <v>93</v>
      </c>
      <c r="M482" s="2">
        <v>1280.54</v>
      </c>
      <c r="O482" s="2" t="s">
        <v>3261</v>
      </c>
      <c r="P482" s="2" t="s">
        <v>2726</v>
      </c>
      <c r="Q482" s="2" t="s">
        <v>66</v>
      </c>
      <c r="R482" s="2" t="s">
        <v>34</v>
      </c>
      <c r="S482" s="2" t="s">
        <v>133</v>
      </c>
    </row>
    <row r="483" ht="15.75" customHeight="1">
      <c r="A483" s="2" t="s">
        <v>3262</v>
      </c>
      <c r="B483" s="2" t="s">
        <v>3263</v>
      </c>
      <c r="C483" s="2" t="s">
        <v>3264</v>
      </c>
      <c r="D483" s="2" t="s">
        <v>3265</v>
      </c>
      <c r="E483" s="2" t="s">
        <v>3266</v>
      </c>
      <c r="F483" s="2" t="s">
        <v>3267</v>
      </c>
      <c r="G483" s="2" t="s">
        <v>421</v>
      </c>
      <c r="H483" s="2" t="s">
        <v>460</v>
      </c>
      <c r="I483" s="2" t="s">
        <v>480</v>
      </c>
      <c r="J483" s="2" t="s">
        <v>1476</v>
      </c>
      <c r="K483" s="2" t="s">
        <v>1147</v>
      </c>
      <c r="L483" s="2" t="s">
        <v>1477</v>
      </c>
      <c r="M483" s="2">
        <v>1383.28</v>
      </c>
      <c r="N483" s="2">
        <v>3.0</v>
      </c>
      <c r="O483" s="2" t="s">
        <v>3268</v>
      </c>
      <c r="P483" s="2" t="s">
        <v>3269</v>
      </c>
      <c r="Q483" s="2" t="s">
        <v>664</v>
      </c>
      <c r="R483" s="2" t="s">
        <v>452</v>
      </c>
    </row>
    <row r="484" ht="15.75" customHeight="1">
      <c r="A484" s="2" t="s">
        <v>3270</v>
      </c>
      <c r="B484" s="2" t="s">
        <v>3271</v>
      </c>
      <c r="C484" s="2" t="s">
        <v>1879</v>
      </c>
      <c r="D484" s="2" t="s">
        <v>1880</v>
      </c>
      <c r="E484" s="2" t="s">
        <v>1881</v>
      </c>
      <c r="F484" s="2" t="s">
        <v>1882</v>
      </c>
      <c r="G484" s="2" t="s">
        <v>139</v>
      </c>
      <c r="H484" s="2" t="s">
        <v>802</v>
      </c>
      <c r="I484" s="2" t="s">
        <v>522</v>
      </c>
      <c r="J484" s="2" t="s">
        <v>1146</v>
      </c>
      <c r="K484" s="2" t="s">
        <v>1147</v>
      </c>
      <c r="L484" s="2" t="s">
        <v>248</v>
      </c>
      <c r="M484" s="2">
        <v>1565.6</v>
      </c>
      <c r="N484" s="2">
        <v>3.0</v>
      </c>
      <c r="O484" s="2" t="s">
        <v>3272</v>
      </c>
      <c r="P484" s="2" t="s">
        <v>95</v>
      </c>
      <c r="Q484" s="2" t="s">
        <v>305</v>
      </c>
      <c r="R484" s="2" t="s">
        <v>294</v>
      </c>
      <c r="S484" s="2" t="s">
        <v>67</v>
      </c>
    </row>
    <row r="485" ht="15.75" customHeight="1">
      <c r="A485" s="2" t="s">
        <v>3273</v>
      </c>
      <c r="B485" s="2" t="s">
        <v>3274</v>
      </c>
      <c r="C485" s="2" t="s">
        <v>999</v>
      </c>
      <c r="D485" s="2" t="s">
        <v>2827</v>
      </c>
      <c r="E485" s="2" t="s">
        <v>1001</v>
      </c>
      <c r="F485" s="2" t="s">
        <v>1002</v>
      </c>
      <c r="G485" s="2" t="s">
        <v>608</v>
      </c>
      <c r="H485" s="2" t="s">
        <v>3275</v>
      </c>
      <c r="I485" s="2" t="s">
        <v>43</v>
      </c>
      <c r="J485" s="2" t="s">
        <v>449</v>
      </c>
      <c r="K485" s="2" t="s">
        <v>450</v>
      </c>
      <c r="L485" s="2" t="s">
        <v>315</v>
      </c>
      <c r="M485" s="2">
        <v>891.6</v>
      </c>
      <c r="N485" s="2">
        <v>3.0</v>
      </c>
      <c r="O485" s="2" t="s">
        <v>3276</v>
      </c>
      <c r="P485" s="2" t="s">
        <v>95</v>
      </c>
      <c r="Q485" s="2" t="s">
        <v>238</v>
      </c>
      <c r="R485" s="2" t="s">
        <v>432</v>
      </c>
      <c r="S485" s="2" t="s">
        <v>51</v>
      </c>
    </row>
    <row r="486" ht="15.75" customHeight="1">
      <c r="A486" s="2" t="s">
        <v>3277</v>
      </c>
      <c r="B486" s="2" t="s">
        <v>3278</v>
      </c>
      <c r="C486" s="2" t="s">
        <v>3279</v>
      </c>
      <c r="D486" s="2" t="s">
        <v>3280</v>
      </c>
      <c r="E486" s="2" t="s">
        <v>3281</v>
      </c>
      <c r="F486" s="2" t="s">
        <v>3282</v>
      </c>
      <c r="G486" s="2" t="s">
        <v>58</v>
      </c>
      <c r="H486" s="2" t="s">
        <v>26</v>
      </c>
      <c r="I486" s="2" t="s">
        <v>116</v>
      </c>
      <c r="J486" s="2" t="s">
        <v>2417</v>
      </c>
      <c r="K486" s="2" t="s">
        <v>225</v>
      </c>
      <c r="L486" s="2" t="s">
        <v>503</v>
      </c>
      <c r="M486" s="2">
        <v>641.21</v>
      </c>
      <c r="N486" s="2">
        <v>3.0</v>
      </c>
      <c r="O486" s="2" t="s">
        <v>3283</v>
      </c>
      <c r="P486" s="2" t="s">
        <v>65</v>
      </c>
      <c r="Q486" s="2" t="s">
        <v>49</v>
      </c>
      <c r="R486" s="2" t="s">
        <v>80</v>
      </c>
    </row>
    <row r="487" ht="15.75" customHeight="1">
      <c r="A487" s="2" t="s">
        <v>3284</v>
      </c>
      <c r="B487" s="2" t="s">
        <v>3285</v>
      </c>
      <c r="C487" s="2" t="s">
        <v>230</v>
      </c>
      <c r="D487" s="2" t="s">
        <v>231</v>
      </c>
      <c r="E487" s="2" t="s">
        <v>232</v>
      </c>
      <c r="F487" s="2" t="s">
        <v>233</v>
      </c>
      <c r="G487" s="2" t="s">
        <v>88</v>
      </c>
      <c r="H487" s="2" t="s">
        <v>683</v>
      </c>
      <c r="I487" s="2" t="s">
        <v>401</v>
      </c>
      <c r="J487" s="2" t="s">
        <v>565</v>
      </c>
      <c r="K487" s="2" t="s">
        <v>566</v>
      </c>
      <c r="L487" s="2" t="s">
        <v>167</v>
      </c>
      <c r="M487" s="2">
        <v>59.28</v>
      </c>
      <c r="N487" s="2">
        <v>3.0</v>
      </c>
      <c r="O487" s="2" t="s">
        <v>3286</v>
      </c>
      <c r="P487" s="2" t="s">
        <v>65</v>
      </c>
      <c r="Q487" s="2" t="s">
        <v>96</v>
      </c>
      <c r="R487" s="2" t="s">
        <v>251</v>
      </c>
      <c r="S487" s="2" t="s">
        <v>51</v>
      </c>
    </row>
    <row r="488" ht="15.75" customHeight="1">
      <c r="A488" s="2" t="s">
        <v>3287</v>
      </c>
      <c r="B488" s="2" t="s">
        <v>3288</v>
      </c>
      <c r="C488" s="2" t="s">
        <v>1119</v>
      </c>
      <c r="D488" s="2" t="s">
        <v>1120</v>
      </c>
      <c r="F488" s="2" t="s">
        <v>1121</v>
      </c>
      <c r="G488" s="2" t="s">
        <v>199</v>
      </c>
      <c r="H488" s="2" t="s">
        <v>683</v>
      </c>
      <c r="I488" s="2" t="s">
        <v>480</v>
      </c>
      <c r="J488" s="2" t="s">
        <v>1255</v>
      </c>
      <c r="K488" s="2" t="s">
        <v>29</v>
      </c>
      <c r="L488" s="2" t="s">
        <v>271</v>
      </c>
      <c r="M488" s="2">
        <v>1429.16</v>
      </c>
      <c r="N488" s="2">
        <v>1.0</v>
      </c>
      <c r="O488" s="2" t="s">
        <v>3289</v>
      </c>
      <c r="P488" s="2" t="s">
        <v>65</v>
      </c>
      <c r="Q488" s="2" t="s">
        <v>49</v>
      </c>
      <c r="R488" s="2" t="s">
        <v>169</v>
      </c>
      <c r="S488" s="2" t="s">
        <v>51</v>
      </c>
    </row>
    <row r="489" ht="15.75" customHeight="1">
      <c r="A489" s="2" t="s">
        <v>3290</v>
      </c>
      <c r="B489" s="2" t="s">
        <v>3291</v>
      </c>
      <c r="C489" s="2" t="s">
        <v>3292</v>
      </c>
      <c r="D489" s="2" t="s">
        <v>3293</v>
      </c>
      <c r="E489" s="2" t="s">
        <v>3294</v>
      </c>
      <c r="F489" s="2" t="s">
        <v>3295</v>
      </c>
      <c r="G489" s="2" t="s">
        <v>25</v>
      </c>
      <c r="H489" s="2" t="s">
        <v>1167</v>
      </c>
      <c r="I489" s="2" t="s">
        <v>480</v>
      </c>
      <c r="J489" s="2" t="s">
        <v>803</v>
      </c>
      <c r="K489" s="2" t="s">
        <v>804</v>
      </c>
      <c r="L489" s="2" t="s">
        <v>805</v>
      </c>
      <c r="N489" s="2">
        <v>1.0</v>
      </c>
      <c r="O489" s="2" t="s">
        <v>3296</v>
      </c>
      <c r="P489" s="2" t="s">
        <v>32</v>
      </c>
      <c r="Q489" s="2" t="s">
        <v>66</v>
      </c>
      <c r="R489" s="2" t="s">
        <v>192</v>
      </c>
      <c r="S489" s="2" t="s">
        <v>51</v>
      </c>
    </row>
    <row r="490" ht="15.75" customHeight="1">
      <c r="A490" s="2" t="s">
        <v>3297</v>
      </c>
      <c r="B490" s="2" t="s">
        <v>3298</v>
      </c>
      <c r="C490" s="2" t="s">
        <v>3299</v>
      </c>
      <c r="D490" s="2" t="s">
        <v>3300</v>
      </c>
      <c r="E490" s="2" t="s">
        <v>3301</v>
      </c>
      <c r="F490" s="2" t="s">
        <v>3302</v>
      </c>
      <c r="G490" s="2" t="s">
        <v>608</v>
      </c>
      <c r="H490" s="2" t="s">
        <v>301</v>
      </c>
      <c r="I490" s="2" t="s">
        <v>43</v>
      </c>
      <c r="J490" s="2" t="s">
        <v>1772</v>
      </c>
      <c r="K490" s="2" t="s">
        <v>712</v>
      </c>
      <c r="L490" s="2" t="s">
        <v>995</v>
      </c>
      <c r="M490" s="2">
        <v>1368.77</v>
      </c>
      <c r="N490" s="2">
        <v>2.0</v>
      </c>
      <c r="O490" s="2" t="s">
        <v>3303</v>
      </c>
      <c r="P490" s="2" t="s">
        <v>32</v>
      </c>
      <c r="Q490" s="2" t="s">
        <v>573</v>
      </c>
      <c r="R490" s="2" t="s">
        <v>1171</v>
      </c>
      <c r="S490" s="2" t="s">
        <v>133</v>
      </c>
    </row>
    <row r="491" ht="15.75" customHeight="1">
      <c r="A491" s="2" t="s">
        <v>3304</v>
      </c>
      <c r="B491" s="2" t="s">
        <v>3305</v>
      </c>
      <c r="C491" s="2" t="s">
        <v>648</v>
      </c>
      <c r="D491" s="2" t="s">
        <v>649</v>
      </c>
      <c r="E491" s="2" t="s">
        <v>650</v>
      </c>
      <c r="F491" s="2" t="s">
        <v>651</v>
      </c>
      <c r="G491" s="2" t="s">
        <v>199</v>
      </c>
      <c r="H491" s="2" t="s">
        <v>323</v>
      </c>
      <c r="I491" s="2" t="s">
        <v>480</v>
      </c>
      <c r="J491" s="2" t="s">
        <v>824</v>
      </c>
      <c r="K491" s="2" t="s">
        <v>825</v>
      </c>
      <c r="L491" s="2" t="s">
        <v>826</v>
      </c>
      <c r="N491" s="2">
        <v>2.0</v>
      </c>
      <c r="O491" s="2" t="s">
        <v>3306</v>
      </c>
      <c r="P491" s="2" t="s">
        <v>65</v>
      </c>
      <c r="Q491" s="2" t="s">
        <v>505</v>
      </c>
      <c r="R491" s="2" t="s">
        <v>442</v>
      </c>
    </row>
    <row r="492" ht="15.75" customHeight="1">
      <c r="A492" s="2" t="s">
        <v>3307</v>
      </c>
      <c r="B492" s="2" t="s">
        <v>3308</v>
      </c>
      <c r="C492" s="2" t="s">
        <v>3309</v>
      </c>
      <c r="D492" s="2" t="s">
        <v>497</v>
      </c>
      <c r="E492" s="2" t="s">
        <v>3310</v>
      </c>
      <c r="F492" s="2" t="s">
        <v>3311</v>
      </c>
      <c r="G492" s="2" t="s">
        <v>41</v>
      </c>
      <c r="H492" s="2" t="s">
        <v>42</v>
      </c>
      <c r="I492" s="2" t="s">
        <v>176</v>
      </c>
      <c r="J492" s="2" t="s">
        <v>1114</v>
      </c>
      <c r="K492" s="2" t="s">
        <v>1115</v>
      </c>
      <c r="L492" s="2" t="s">
        <v>248</v>
      </c>
      <c r="M492" s="2">
        <v>86.05</v>
      </c>
      <c r="N492" s="2">
        <v>2.0</v>
      </c>
      <c r="O492" s="2" t="s">
        <v>3312</v>
      </c>
      <c r="P492" s="2" t="s">
        <v>48</v>
      </c>
      <c r="Q492" s="2" t="s">
        <v>33</v>
      </c>
      <c r="R492" s="2" t="s">
        <v>261</v>
      </c>
      <c r="S492" s="2" t="s">
        <v>51</v>
      </c>
    </row>
    <row r="493" ht="15.75" customHeight="1">
      <c r="A493" s="2" t="s">
        <v>3313</v>
      </c>
      <c r="B493" s="2" t="s">
        <v>3314</v>
      </c>
      <c r="C493" s="2" t="s">
        <v>3315</v>
      </c>
      <c r="D493" s="2" t="s">
        <v>3316</v>
      </c>
      <c r="E493" s="2" t="s">
        <v>3317</v>
      </c>
      <c r="F493" s="2" t="s">
        <v>3318</v>
      </c>
      <c r="G493" s="2" t="s">
        <v>88</v>
      </c>
      <c r="H493" s="2" t="s">
        <v>26</v>
      </c>
      <c r="I493" s="2" t="s">
        <v>90</v>
      </c>
      <c r="J493" s="2" t="s">
        <v>702</v>
      </c>
      <c r="K493" s="2" t="s">
        <v>524</v>
      </c>
      <c r="L493" s="2" t="s">
        <v>703</v>
      </c>
      <c r="N493" s="2">
        <v>1.0</v>
      </c>
      <c r="O493" s="2" t="s">
        <v>3319</v>
      </c>
      <c r="P493" s="2" t="s">
        <v>65</v>
      </c>
      <c r="Q493" s="2" t="s">
        <v>49</v>
      </c>
      <c r="R493" s="2" t="s">
        <v>294</v>
      </c>
      <c r="S493" s="2" t="s">
        <v>133</v>
      </c>
    </row>
    <row r="494" ht="15.75" customHeight="1">
      <c r="A494" s="2" t="s">
        <v>3320</v>
      </c>
      <c r="B494" s="2" t="s">
        <v>3321</v>
      </c>
      <c r="C494" s="2" t="s">
        <v>3322</v>
      </c>
      <c r="D494" s="2" t="s">
        <v>3323</v>
      </c>
      <c r="F494" s="2" t="s">
        <v>3324</v>
      </c>
      <c r="G494" s="2" t="s">
        <v>671</v>
      </c>
      <c r="H494" s="2" t="s">
        <v>223</v>
      </c>
      <c r="I494" s="2" t="s">
        <v>401</v>
      </c>
      <c r="J494" s="2" t="s">
        <v>1137</v>
      </c>
      <c r="K494" s="2" t="s">
        <v>1138</v>
      </c>
      <c r="L494" s="2" t="s">
        <v>30</v>
      </c>
      <c r="N494" s="2">
        <v>1.0</v>
      </c>
      <c r="O494" s="2" t="s">
        <v>3325</v>
      </c>
      <c r="P494" s="2" t="s">
        <v>95</v>
      </c>
      <c r="Q494" s="2" t="s">
        <v>66</v>
      </c>
      <c r="R494" s="2" t="s">
        <v>34</v>
      </c>
    </row>
    <row r="495" ht="15.75" customHeight="1">
      <c r="A495" s="2" t="s">
        <v>3326</v>
      </c>
      <c r="B495" s="2" t="s">
        <v>3327</v>
      </c>
      <c r="C495" s="2" t="s">
        <v>3328</v>
      </c>
      <c r="D495" s="2" t="s">
        <v>2128</v>
      </c>
      <c r="E495" s="2" t="s">
        <v>3329</v>
      </c>
      <c r="F495" s="2" t="s">
        <v>3330</v>
      </c>
      <c r="G495" s="2" t="s">
        <v>3331</v>
      </c>
      <c r="H495" s="2" t="s">
        <v>1167</v>
      </c>
      <c r="I495" s="2" t="s">
        <v>333</v>
      </c>
      <c r="J495" s="2" t="s">
        <v>1476</v>
      </c>
      <c r="K495" s="2" t="s">
        <v>1147</v>
      </c>
      <c r="L495" s="2" t="s">
        <v>1477</v>
      </c>
      <c r="N495" s="2">
        <v>1.0</v>
      </c>
      <c r="O495" s="2" t="s">
        <v>3332</v>
      </c>
      <c r="P495" s="2" t="s">
        <v>32</v>
      </c>
      <c r="Q495" s="2" t="s">
        <v>49</v>
      </c>
      <c r="R495" s="2" t="s">
        <v>380</v>
      </c>
      <c r="S495" s="2" t="s">
        <v>67</v>
      </c>
    </row>
    <row r="496" ht="15.75" customHeight="1">
      <c r="A496" s="2" t="s">
        <v>3333</v>
      </c>
      <c r="B496" s="2" t="s">
        <v>3334</v>
      </c>
      <c r="C496" s="2" t="s">
        <v>3335</v>
      </c>
      <c r="D496" s="2" t="s">
        <v>3336</v>
      </c>
      <c r="E496" s="2" t="s">
        <v>3337</v>
      </c>
      <c r="F496" s="2" t="s">
        <v>3338</v>
      </c>
      <c r="G496" s="2" t="s">
        <v>548</v>
      </c>
      <c r="H496" s="2" t="s">
        <v>59</v>
      </c>
      <c r="I496" s="2" t="s">
        <v>352</v>
      </c>
      <c r="J496" s="2" t="s">
        <v>1358</v>
      </c>
      <c r="K496" s="2" t="s">
        <v>1359</v>
      </c>
      <c r="L496" s="2" t="s">
        <v>941</v>
      </c>
      <c r="M496" s="2">
        <v>1291.42</v>
      </c>
      <c r="N496" s="2">
        <v>3.0</v>
      </c>
      <c r="O496" s="2" t="s">
        <v>3339</v>
      </c>
      <c r="P496" s="2" t="s">
        <v>95</v>
      </c>
      <c r="Q496" s="2" t="s">
        <v>181</v>
      </c>
      <c r="R496" s="2" t="s">
        <v>294</v>
      </c>
    </row>
    <row r="497" ht="15.75" customHeight="1">
      <c r="A497" s="2" t="s">
        <v>3340</v>
      </c>
      <c r="B497" s="2" t="s">
        <v>3341</v>
      </c>
      <c r="C497" s="2" t="s">
        <v>1697</v>
      </c>
      <c r="D497" s="2" t="s">
        <v>1698</v>
      </c>
      <c r="E497" s="2" t="s">
        <v>2518</v>
      </c>
      <c r="F497" s="2" t="s">
        <v>1699</v>
      </c>
      <c r="G497" s="2" t="s">
        <v>608</v>
      </c>
      <c r="H497" s="2" t="s">
        <v>210</v>
      </c>
      <c r="I497" s="2" t="s">
        <v>43</v>
      </c>
      <c r="J497" s="2" t="s">
        <v>258</v>
      </c>
      <c r="K497" s="2" t="s">
        <v>259</v>
      </c>
      <c r="L497" s="2" t="s">
        <v>214</v>
      </c>
      <c r="N497" s="2">
        <v>2.0</v>
      </c>
      <c r="O497" s="2" t="s">
        <v>3342</v>
      </c>
      <c r="P497" s="2" t="s">
        <v>95</v>
      </c>
      <c r="Q497" s="2" t="s">
        <v>664</v>
      </c>
      <c r="R497" s="2" t="s">
        <v>442</v>
      </c>
      <c r="S497" s="2" t="s">
        <v>51</v>
      </c>
    </row>
    <row r="498" ht="15.75" customHeight="1">
      <c r="A498" s="2" t="s">
        <v>3343</v>
      </c>
      <c r="B498" s="2" t="s">
        <v>3344</v>
      </c>
      <c r="C498" s="2" t="s">
        <v>275</v>
      </c>
      <c r="D498" s="2" t="s">
        <v>276</v>
      </c>
      <c r="E498" s="2" t="s">
        <v>277</v>
      </c>
      <c r="F498" s="2" t="s">
        <v>278</v>
      </c>
      <c r="G498" s="2" t="s">
        <v>25</v>
      </c>
      <c r="H498" s="2" t="s">
        <v>234</v>
      </c>
      <c r="I498" s="2" t="s">
        <v>176</v>
      </c>
      <c r="J498" s="2" t="s">
        <v>269</v>
      </c>
      <c r="K498" s="2" t="s">
        <v>270</v>
      </c>
      <c r="L498" s="2" t="s">
        <v>271</v>
      </c>
      <c r="M498" s="2">
        <v>177.16</v>
      </c>
      <c r="N498" s="2">
        <v>2.0</v>
      </c>
      <c r="O498" s="2" t="s">
        <v>3345</v>
      </c>
      <c r="P498" s="2" t="s">
        <v>48</v>
      </c>
      <c r="Q498" s="2" t="s">
        <v>573</v>
      </c>
      <c r="R498" s="2" t="s">
        <v>169</v>
      </c>
      <c r="S498" s="2" t="s">
        <v>81</v>
      </c>
    </row>
    <row r="499" ht="15.75" customHeight="1">
      <c r="A499" s="2" t="s">
        <v>3346</v>
      </c>
      <c r="B499" s="2" t="s">
        <v>3347</v>
      </c>
      <c r="C499" s="2" t="s">
        <v>3348</v>
      </c>
      <c r="D499" s="2" t="s">
        <v>2108</v>
      </c>
      <c r="E499" s="2" t="s">
        <v>3349</v>
      </c>
      <c r="F499" s="2" t="s">
        <v>3350</v>
      </c>
      <c r="G499" s="2" t="s">
        <v>1336</v>
      </c>
      <c r="H499" s="2" t="s">
        <v>323</v>
      </c>
      <c r="I499" s="2" t="s">
        <v>312</v>
      </c>
      <c r="J499" s="2" t="s">
        <v>919</v>
      </c>
      <c r="K499" s="2" t="s">
        <v>423</v>
      </c>
      <c r="L499" s="2" t="s">
        <v>179</v>
      </c>
      <c r="O499" s="2" t="s">
        <v>3351</v>
      </c>
      <c r="P499" s="2" t="s">
        <v>32</v>
      </c>
      <c r="Q499" s="2" t="s">
        <v>96</v>
      </c>
      <c r="R499" s="2" t="s">
        <v>818</v>
      </c>
    </row>
    <row r="500" ht="15.75" customHeight="1">
      <c r="A500" s="2" t="s">
        <v>3352</v>
      </c>
      <c r="B500" s="2" t="s">
        <v>3353</v>
      </c>
      <c r="C500" s="2" t="s">
        <v>1993</v>
      </c>
      <c r="D500" s="2" t="s">
        <v>1994</v>
      </c>
      <c r="E500" s="2" t="s">
        <v>1995</v>
      </c>
      <c r="G500" s="2" t="s">
        <v>139</v>
      </c>
      <c r="H500" s="2" t="s">
        <v>42</v>
      </c>
      <c r="I500" s="2" t="s">
        <v>522</v>
      </c>
      <c r="J500" s="2" t="s">
        <v>2425</v>
      </c>
      <c r="K500" s="2" t="s">
        <v>2426</v>
      </c>
      <c r="L500" s="2" t="s">
        <v>2427</v>
      </c>
      <c r="M500" s="2">
        <v>161.06</v>
      </c>
      <c r="N500" s="2">
        <v>2.0</v>
      </c>
      <c r="O500" s="2" t="s">
        <v>3354</v>
      </c>
      <c r="P500" s="2" t="s">
        <v>48</v>
      </c>
      <c r="Q500" s="2" t="s">
        <v>49</v>
      </c>
      <c r="R500" s="2" t="s">
        <v>432</v>
      </c>
    </row>
    <row r="501" ht="15.75" customHeight="1">
      <c r="A501" s="2" t="s">
        <v>3355</v>
      </c>
      <c r="B501" s="2" t="s">
        <v>3356</v>
      </c>
      <c r="C501" s="2" t="s">
        <v>3257</v>
      </c>
      <c r="D501" s="2" t="s">
        <v>3258</v>
      </c>
      <c r="E501" s="2" t="s">
        <v>3259</v>
      </c>
      <c r="F501" s="2" t="s">
        <v>3260</v>
      </c>
      <c r="G501" s="2" t="s">
        <v>73</v>
      </c>
      <c r="H501" s="2" t="s">
        <v>59</v>
      </c>
      <c r="I501" s="2" t="s">
        <v>103</v>
      </c>
      <c r="J501" s="2" t="s">
        <v>803</v>
      </c>
      <c r="K501" s="2" t="s">
        <v>804</v>
      </c>
      <c r="L501" s="2" t="s">
        <v>805</v>
      </c>
      <c r="M501" s="2">
        <v>986.46</v>
      </c>
      <c r="N501" s="2">
        <v>1.0</v>
      </c>
      <c r="O501" s="2" t="s">
        <v>3357</v>
      </c>
      <c r="P501" s="2" t="s">
        <v>65</v>
      </c>
      <c r="Q501" s="2" t="s">
        <v>3358</v>
      </c>
      <c r="R501" s="2" t="s">
        <v>1650</v>
      </c>
      <c r="S501" s="2" t="s">
        <v>51</v>
      </c>
    </row>
    <row r="502" ht="15.75" customHeight="1">
      <c r="A502" s="2" t="s">
        <v>3359</v>
      </c>
      <c r="B502" s="2" t="s">
        <v>3360</v>
      </c>
      <c r="C502" s="2" t="s">
        <v>3361</v>
      </c>
      <c r="D502" s="2" t="s">
        <v>3362</v>
      </c>
      <c r="E502" s="2" t="s">
        <v>3363</v>
      </c>
      <c r="G502" s="2" t="s">
        <v>608</v>
      </c>
      <c r="H502" s="2" t="s">
        <v>778</v>
      </c>
      <c r="I502" s="2" t="s">
        <v>60</v>
      </c>
      <c r="J502" s="2" t="s">
        <v>3053</v>
      </c>
      <c r="K502" s="2" t="s">
        <v>741</v>
      </c>
      <c r="L502" s="2" t="s">
        <v>63</v>
      </c>
      <c r="M502" s="2">
        <v>1002.94</v>
      </c>
      <c r="N502" s="2">
        <v>5.0</v>
      </c>
      <c r="O502" s="2" t="s">
        <v>3364</v>
      </c>
      <c r="P502" s="2" t="s">
        <v>48</v>
      </c>
      <c r="Q502" s="2" t="s">
        <v>664</v>
      </c>
      <c r="R502" s="2" t="s">
        <v>3365</v>
      </c>
    </row>
    <row r="503" ht="15.75" customHeight="1">
      <c r="A503" s="2" t="s">
        <v>3366</v>
      </c>
      <c r="B503" s="2" t="s">
        <v>3367</v>
      </c>
      <c r="C503" s="2" t="s">
        <v>530</v>
      </c>
      <c r="D503" s="2" t="s">
        <v>531</v>
      </c>
      <c r="E503" s="2" t="s">
        <v>532</v>
      </c>
      <c r="F503" s="2" t="s">
        <v>533</v>
      </c>
      <c r="G503" s="2" t="s">
        <v>151</v>
      </c>
      <c r="H503" s="2" t="s">
        <v>210</v>
      </c>
      <c r="I503" s="2" t="s">
        <v>1245</v>
      </c>
      <c r="J503" s="2" t="s">
        <v>1529</v>
      </c>
      <c r="K503" s="2" t="s">
        <v>1530</v>
      </c>
      <c r="L503" s="2" t="s">
        <v>368</v>
      </c>
      <c r="M503" s="2">
        <v>1574.45</v>
      </c>
      <c r="N503" s="2">
        <v>2.0</v>
      </c>
      <c r="O503" s="2" t="s">
        <v>3368</v>
      </c>
      <c r="P503" s="2" t="s">
        <v>95</v>
      </c>
      <c r="Q503" s="2" t="s">
        <v>143</v>
      </c>
      <c r="R503" s="2" t="s">
        <v>294</v>
      </c>
      <c r="S503" s="2" t="s">
        <v>67</v>
      </c>
    </row>
    <row r="504" ht="15.75" customHeight="1">
      <c r="A504" s="2" t="s">
        <v>3369</v>
      </c>
      <c r="B504" s="2" t="s">
        <v>3370</v>
      </c>
      <c r="C504" s="2" t="s">
        <v>3371</v>
      </c>
      <c r="D504" s="2" t="s">
        <v>1406</v>
      </c>
      <c r="F504" s="2" t="s">
        <v>3372</v>
      </c>
      <c r="G504" s="2" t="s">
        <v>720</v>
      </c>
      <c r="H504" s="2" t="s">
        <v>152</v>
      </c>
      <c r="I504" s="2" t="s">
        <v>401</v>
      </c>
      <c r="J504" s="2" t="s">
        <v>729</v>
      </c>
      <c r="K504" s="2" t="s">
        <v>62</v>
      </c>
      <c r="L504" s="2" t="s">
        <v>730</v>
      </c>
      <c r="M504" s="2">
        <v>850.08</v>
      </c>
      <c r="N504" s="2">
        <v>1.0</v>
      </c>
      <c r="O504" s="2" t="s">
        <v>3373</v>
      </c>
      <c r="P504" s="2" t="s">
        <v>32</v>
      </c>
      <c r="Q504" s="2" t="s">
        <v>33</v>
      </c>
      <c r="R504" s="2" t="s">
        <v>169</v>
      </c>
      <c r="S504" s="2" t="s">
        <v>81</v>
      </c>
    </row>
    <row r="505" ht="15.75" customHeight="1">
      <c r="A505" s="2" t="s">
        <v>3374</v>
      </c>
      <c r="B505" s="2" t="s">
        <v>3375</v>
      </c>
      <c r="C505" s="2" t="s">
        <v>3376</v>
      </c>
      <c r="D505" s="2" t="s">
        <v>3068</v>
      </c>
      <c r="E505" s="2" t="s">
        <v>3377</v>
      </c>
      <c r="F505" s="2" t="s">
        <v>3378</v>
      </c>
      <c r="G505" s="2" t="s">
        <v>1336</v>
      </c>
      <c r="H505" s="2" t="s">
        <v>323</v>
      </c>
      <c r="I505" s="2" t="s">
        <v>176</v>
      </c>
      <c r="J505" s="2" t="s">
        <v>481</v>
      </c>
      <c r="K505" s="2" t="s">
        <v>291</v>
      </c>
      <c r="L505" s="2" t="s">
        <v>482</v>
      </c>
      <c r="M505" s="2">
        <v>429.81</v>
      </c>
      <c r="N505" s="2">
        <v>1.0</v>
      </c>
      <c r="O505" s="2" t="s">
        <v>3379</v>
      </c>
      <c r="P505" s="2" t="s">
        <v>48</v>
      </c>
      <c r="Q505" s="2" t="s">
        <v>143</v>
      </c>
      <c r="R505" s="2" t="s">
        <v>442</v>
      </c>
      <c r="S505" s="2" t="s">
        <v>51</v>
      </c>
    </row>
    <row r="506" ht="15.75" customHeight="1">
      <c r="A506" s="2" t="s">
        <v>3380</v>
      </c>
      <c r="B506" s="2" t="s">
        <v>3381</v>
      </c>
      <c r="C506" s="2" t="s">
        <v>1793</v>
      </c>
      <c r="D506" s="2" t="s">
        <v>1794</v>
      </c>
      <c r="E506" s="2" t="s">
        <v>1795</v>
      </c>
      <c r="G506" s="2" t="s">
        <v>139</v>
      </c>
      <c r="H506" s="2" t="s">
        <v>234</v>
      </c>
      <c r="I506" s="2" t="s">
        <v>401</v>
      </c>
      <c r="J506" s="2" t="s">
        <v>1255</v>
      </c>
      <c r="K506" s="2" t="s">
        <v>29</v>
      </c>
      <c r="L506" s="2" t="s">
        <v>271</v>
      </c>
      <c r="M506" s="2">
        <v>1759.12</v>
      </c>
      <c r="N506" s="2">
        <v>2.0</v>
      </c>
      <c r="O506" s="2" t="s">
        <v>3382</v>
      </c>
      <c r="P506" s="2" t="s">
        <v>32</v>
      </c>
      <c r="Q506" s="2" t="s">
        <v>370</v>
      </c>
      <c r="R506" s="2" t="s">
        <v>345</v>
      </c>
      <c r="S506" s="2" t="s">
        <v>51</v>
      </c>
    </row>
    <row r="507" ht="15.75" customHeight="1">
      <c r="A507" s="2" t="s">
        <v>3383</v>
      </c>
      <c r="B507" s="2" t="s">
        <v>3384</v>
      </c>
      <c r="C507" s="2" t="s">
        <v>1986</v>
      </c>
      <c r="D507" s="2" t="s">
        <v>1987</v>
      </c>
      <c r="E507" s="2" t="s">
        <v>1988</v>
      </c>
      <c r="F507" s="2" t="s">
        <v>1989</v>
      </c>
      <c r="G507" s="2" t="s">
        <v>608</v>
      </c>
      <c r="H507" s="2" t="s">
        <v>42</v>
      </c>
      <c r="I507" s="2" t="s">
        <v>116</v>
      </c>
      <c r="J507" s="2" t="s">
        <v>1772</v>
      </c>
      <c r="K507" s="2" t="s">
        <v>712</v>
      </c>
      <c r="L507" s="2" t="s">
        <v>995</v>
      </c>
      <c r="M507" s="2">
        <v>939.99</v>
      </c>
      <c r="N507" s="2">
        <v>3.0</v>
      </c>
      <c r="O507" s="2" t="s">
        <v>3385</v>
      </c>
      <c r="P507" s="2" t="s">
        <v>65</v>
      </c>
      <c r="Q507" s="2" t="s">
        <v>238</v>
      </c>
      <c r="R507" s="2" t="s">
        <v>393</v>
      </c>
    </row>
    <row r="508" ht="15.75" customHeight="1">
      <c r="A508" s="2" t="s">
        <v>3386</v>
      </c>
      <c r="B508" s="2" t="s">
        <v>3387</v>
      </c>
      <c r="C508" s="2" t="s">
        <v>3226</v>
      </c>
      <c r="D508" s="2" t="s">
        <v>3227</v>
      </c>
      <c r="E508" s="2" t="s">
        <v>3228</v>
      </c>
      <c r="F508" s="2" t="s">
        <v>3388</v>
      </c>
      <c r="G508" s="2" t="s">
        <v>671</v>
      </c>
      <c r="H508" s="2" t="s">
        <v>59</v>
      </c>
      <c r="I508" s="2" t="s">
        <v>480</v>
      </c>
      <c r="J508" s="2" t="s">
        <v>200</v>
      </c>
      <c r="K508" s="2" t="s">
        <v>201</v>
      </c>
      <c r="L508" s="2" t="s">
        <v>202</v>
      </c>
      <c r="N508" s="2">
        <v>1.0</v>
      </c>
      <c r="O508" s="2" t="s">
        <v>3389</v>
      </c>
      <c r="P508" s="2" t="s">
        <v>65</v>
      </c>
      <c r="Q508" s="2" t="s">
        <v>96</v>
      </c>
      <c r="R508" s="2" t="s">
        <v>818</v>
      </c>
      <c r="S508" s="2" t="s">
        <v>133</v>
      </c>
    </row>
    <row r="509" ht="15.75" customHeight="1">
      <c r="A509" s="2" t="s">
        <v>3390</v>
      </c>
      <c r="B509" s="2" t="s">
        <v>3391</v>
      </c>
      <c r="C509" s="2" t="s">
        <v>3392</v>
      </c>
      <c r="D509" s="2" t="s">
        <v>3393</v>
      </c>
      <c r="E509" s="2" t="s">
        <v>3394</v>
      </c>
      <c r="F509" s="2" t="s">
        <v>3395</v>
      </c>
      <c r="G509" s="2" t="s">
        <v>1177</v>
      </c>
      <c r="H509" s="2" t="s">
        <v>26</v>
      </c>
      <c r="I509" s="2" t="s">
        <v>512</v>
      </c>
      <c r="J509" s="2" t="s">
        <v>166</v>
      </c>
      <c r="K509" s="2" t="s">
        <v>118</v>
      </c>
      <c r="L509" s="2" t="s">
        <v>167</v>
      </c>
      <c r="N509" s="2">
        <v>3.0</v>
      </c>
      <c r="O509" s="2" t="s">
        <v>3396</v>
      </c>
      <c r="P509" s="2" t="s">
        <v>48</v>
      </c>
      <c r="Q509" s="2" t="s">
        <v>66</v>
      </c>
      <c r="R509" s="2" t="s">
        <v>192</v>
      </c>
      <c r="S509" s="2" t="s">
        <v>81</v>
      </c>
    </row>
    <row r="510" ht="15.75" customHeight="1">
      <c r="A510" s="2" t="s">
        <v>3397</v>
      </c>
      <c r="B510" s="2" t="s">
        <v>3398</v>
      </c>
      <c r="C510" s="2" t="s">
        <v>3399</v>
      </c>
      <c r="D510" s="2" t="s">
        <v>3400</v>
      </c>
      <c r="E510" s="2" t="s">
        <v>3401</v>
      </c>
      <c r="F510" s="2" t="s">
        <v>3402</v>
      </c>
      <c r="G510" s="2" t="s">
        <v>364</v>
      </c>
      <c r="H510" s="2" t="s">
        <v>74</v>
      </c>
      <c r="I510" s="2" t="s">
        <v>103</v>
      </c>
      <c r="J510" s="2" t="s">
        <v>313</v>
      </c>
      <c r="K510" s="2" t="s">
        <v>314</v>
      </c>
      <c r="L510" s="2" t="s">
        <v>315</v>
      </c>
      <c r="M510" s="2">
        <v>41.54</v>
      </c>
      <c r="N510" s="2">
        <v>5.0</v>
      </c>
      <c r="O510" s="2" t="s">
        <v>3403</v>
      </c>
      <c r="P510" s="2" t="s">
        <v>65</v>
      </c>
      <c r="Q510" s="2" t="s">
        <v>49</v>
      </c>
      <c r="R510" s="2" t="s">
        <v>345</v>
      </c>
    </row>
    <row r="511" ht="15.75" customHeight="1">
      <c r="A511" s="2" t="s">
        <v>3404</v>
      </c>
      <c r="B511" s="2" t="s">
        <v>3405</v>
      </c>
      <c r="C511" s="2" t="s">
        <v>3406</v>
      </c>
      <c r="D511" s="2" t="s">
        <v>3407</v>
      </c>
      <c r="E511" s="2" t="s">
        <v>3408</v>
      </c>
      <c r="F511" s="2" t="s">
        <v>3409</v>
      </c>
      <c r="G511" s="2" t="s">
        <v>3410</v>
      </c>
      <c r="H511" s="2" t="s">
        <v>115</v>
      </c>
      <c r="I511" s="2" t="s">
        <v>289</v>
      </c>
      <c r="J511" s="2" t="s">
        <v>1606</v>
      </c>
      <c r="K511" s="2" t="s">
        <v>213</v>
      </c>
      <c r="L511" s="2" t="s">
        <v>106</v>
      </c>
      <c r="M511" s="2">
        <v>1279.08</v>
      </c>
      <c r="N511" s="2">
        <v>3.0</v>
      </c>
      <c r="O511" s="2" t="s">
        <v>3411</v>
      </c>
      <c r="P511" s="2" t="s">
        <v>65</v>
      </c>
      <c r="Q511" s="2" t="s">
        <v>664</v>
      </c>
      <c r="R511" s="2" t="s">
        <v>80</v>
      </c>
      <c r="S511" s="2" t="s">
        <v>51</v>
      </c>
    </row>
    <row r="512" ht="15.75" customHeight="1">
      <c r="A512" s="2" t="s">
        <v>3412</v>
      </c>
      <c r="B512" s="2" t="s">
        <v>3413</v>
      </c>
      <c r="C512" s="2" t="s">
        <v>3406</v>
      </c>
      <c r="D512" s="2" t="s">
        <v>3407</v>
      </c>
      <c r="E512" s="2" t="s">
        <v>3408</v>
      </c>
      <c r="F512" s="2" t="s">
        <v>3409</v>
      </c>
      <c r="G512" s="2" t="s">
        <v>3410</v>
      </c>
      <c r="H512" s="2" t="s">
        <v>301</v>
      </c>
      <c r="I512" s="2" t="s">
        <v>480</v>
      </c>
      <c r="J512" s="2" t="s">
        <v>513</v>
      </c>
      <c r="K512" s="2" t="s">
        <v>391</v>
      </c>
      <c r="L512" s="2" t="s">
        <v>514</v>
      </c>
      <c r="O512" s="2" t="s">
        <v>3414</v>
      </c>
      <c r="P512" s="2" t="s">
        <v>32</v>
      </c>
      <c r="Q512" s="2" t="s">
        <v>66</v>
      </c>
      <c r="R512" s="2" t="s">
        <v>345</v>
      </c>
    </row>
    <row r="513" ht="15.75" customHeight="1">
      <c r="A513" s="2" t="s">
        <v>3415</v>
      </c>
      <c r="B513" s="2" t="s">
        <v>3416</v>
      </c>
      <c r="C513" s="2" t="s">
        <v>3417</v>
      </c>
      <c r="D513" s="2" t="s">
        <v>3418</v>
      </c>
      <c r="E513" s="2" t="s">
        <v>3419</v>
      </c>
      <c r="F513" s="2" t="s">
        <v>3420</v>
      </c>
      <c r="G513" s="2" t="s">
        <v>785</v>
      </c>
      <c r="H513" s="2" t="s">
        <v>683</v>
      </c>
      <c r="I513" s="2" t="s">
        <v>103</v>
      </c>
      <c r="J513" s="2" t="s">
        <v>1114</v>
      </c>
      <c r="K513" s="2" t="s">
        <v>1115</v>
      </c>
      <c r="L513" s="2" t="s">
        <v>248</v>
      </c>
      <c r="M513" s="2">
        <v>1537.16</v>
      </c>
      <c r="N513" s="2">
        <v>1.0</v>
      </c>
      <c r="O513" s="2" t="s">
        <v>3421</v>
      </c>
      <c r="P513" s="2" t="s">
        <v>32</v>
      </c>
      <c r="Q513" s="2" t="s">
        <v>526</v>
      </c>
      <c r="R513" s="2" t="s">
        <v>294</v>
      </c>
    </row>
    <row r="514" ht="15.75" customHeight="1">
      <c r="A514" s="2" t="s">
        <v>3422</v>
      </c>
      <c r="B514" s="2" t="s">
        <v>3423</v>
      </c>
      <c r="C514" s="2" t="s">
        <v>3424</v>
      </c>
      <c r="D514" s="2" t="s">
        <v>3425</v>
      </c>
      <c r="E514" s="2" t="s">
        <v>3426</v>
      </c>
      <c r="F514" s="2" t="s">
        <v>3427</v>
      </c>
      <c r="G514" s="2" t="s">
        <v>3428</v>
      </c>
      <c r="H514" s="2" t="s">
        <v>234</v>
      </c>
      <c r="I514" s="2" t="s">
        <v>90</v>
      </c>
      <c r="J514" s="2" t="s">
        <v>1849</v>
      </c>
      <c r="K514" s="2" t="s">
        <v>403</v>
      </c>
      <c r="L514" s="2" t="s">
        <v>248</v>
      </c>
      <c r="N514" s="2">
        <v>1.0</v>
      </c>
      <c r="P514" s="2" t="s">
        <v>48</v>
      </c>
      <c r="Q514" s="2" t="s">
        <v>505</v>
      </c>
      <c r="R514" s="2" t="s">
        <v>432</v>
      </c>
      <c r="S514" s="2" t="s">
        <v>51</v>
      </c>
    </row>
    <row r="515" ht="15.75" customHeight="1">
      <c r="A515" s="2" t="s">
        <v>3429</v>
      </c>
      <c r="B515" s="2" t="s">
        <v>3430</v>
      </c>
      <c r="C515" s="2" t="s">
        <v>1969</v>
      </c>
      <c r="D515" s="2" t="s">
        <v>489</v>
      </c>
      <c r="E515" s="2" t="s">
        <v>1970</v>
      </c>
      <c r="F515" s="2" t="s">
        <v>1971</v>
      </c>
      <c r="G515" s="2" t="s">
        <v>564</v>
      </c>
      <c r="H515" s="2" t="s">
        <v>460</v>
      </c>
      <c r="I515" s="2" t="s">
        <v>43</v>
      </c>
      <c r="J515" s="2" t="s">
        <v>224</v>
      </c>
      <c r="K515" s="2" t="s">
        <v>225</v>
      </c>
      <c r="L515" s="2" t="s">
        <v>214</v>
      </c>
      <c r="M515" s="2">
        <v>262.25</v>
      </c>
      <c r="N515" s="2">
        <v>1.0</v>
      </c>
      <c r="O515" s="2" t="s">
        <v>3431</v>
      </c>
      <c r="P515" s="2" t="s">
        <v>48</v>
      </c>
      <c r="Q515" s="2" t="s">
        <v>305</v>
      </c>
      <c r="R515" s="2" t="s">
        <v>432</v>
      </c>
    </row>
    <row r="516" ht="15.75" customHeight="1">
      <c r="A516" s="2" t="s">
        <v>3432</v>
      </c>
      <c r="B516" s="2" t="s">
        <v>2015</v>
      </c>
      <c r="C516" s="2" t="s">
        <v>3163</v>
      </c>
      <c r="D516" s="2" t="s">
        <v>3164</v>
      </c>
      <c r="E516" s="2" t="s">
        <v>3165</v>
      </c>
      <c r="F516" s="2" t="s">
        <v>3166</v>
      </c>
      <c r="G516" s="2" t="s">
        <v>25</v>
      </c>
      <c r="H516" s="2" t="s">
        <v>42</v>
      </c>
      <c r="I516" s="2" t="s">
        <v>401</v>
      </c>
      <c r="J516" s="2" t="s">
        <v>2605</v>
      </c>
      <c r="K516" s="2" t="s">
        <v>2606</v>
      </c>
      <c r="L516" s="2" t="s">
        <v>292</v>
      </c>
      <c r="N516" s="2">
        <v>2.0</v>
      </c>
      <c r="O516" s="2" t="s">
        <v>3433</v>
      </c>
      <c r="P516" s="2" t="s">
        <v>3269</v>
      </c>
      <c r="Q516" s="2" t="s">
        <v>49</v>
      </c>
      <c r="R516" s="2" t="s">
        <v>294</v>
      </c>
      <c r="S516" s="2" t="s">
        <v>51</v>
      </c>
    </row>
    <row r="517" ht="15.75" customHeight="1">
      <c r="A517" s="2" t="s">
        <v>3434</v>
      </c>
      <c r="B517" s="2" t="s">
        <v>3435</v>
      </c>
      <c r="C517" s="2" t="s">
        <v>886</v>
      </c>
      <c r="D517" s="2" t="s">
        <v>887</v>
      </c>
      <c r="E517" s="2" t="s">
        <v>888</v>
      </c>
      <c r="G517" s="2" t="s">
        <v>139</v>
      </c>
      <c r="H517" s="2" t="s">
        <v>778</v>
      </c>
      <c r="I517" s="2" t="s">
        <v>3436</v>
      </c>
      <c r="J517" s="2" t="s">
        <v>673</v>
      </c>
      <c r="K517" s="2" t="s">
        <v>118</v>
      </c>
      <c r="L517" s="2" t="s">
        <v>674</v>
      </c>
      <c r="N517" s="2">
        <v>2.0</v>
      </c>
      <c r="O517" s="2" t="s">
        <v>3437</v>
      </c>
      <c r="P517" s="2" t="s">
        <v>3438</v>
      </c>
      <c r="Q517" s="2" t="s">
        <v>414</v>
      </c>
      <c r="R517" s="2" t="s">
        <v>294</v>
      </c>
      <c r="S517" s="2" t="s">
        <v>133</v>
      </c>
    </row>
    <row r="518" ht="15.75" customHeight="1">
      <c r="A518" s="2" t="s">
        <v>3439</v>
      </c>
      <c r="B518" s="2" t="s">
        <v>3440</v>
      </c>
      <c r="C518" s="2" t="s">
        <v>319</v>
      </c>
      <c r="D518" s="2" t="s">
        <v>320</v>
      </c>
      <c r="E518" s="2" t="s">
        <v>321</v>
      </c>
      <c r="F518" s="2" t="s">
        <v>322</v>
      </c>
      <c r="G518" s="2" t="s">
        <v>58</v>
      </c>
      <c r="H518" s="2" t="s">
        <v>42</v>
      </c>
      <c r="I518" s="2" t="s">
        <v>75</v>
      </c>
      <c r="J518" s="2" t="s">
        <v>1137</v>
      </c>
      <c r="K518" s="2" t="s">
        <v>1138</v>
      </c>
      <c r="L518" s="2" t="s">
        <v>30</v>
      </c>
      <c r="M518" s="2">
        <v>1423.87</v>
      </c>
      <c r="N518" s="2">
        <v>3.0</v>
      </c>
      <c r="P518" s="2" t="s">
        <v>48</v>
      </c>
      <c r="Q518" s="2" t="s">
        <v>181</v>
      </c>
      <c r="R518" s="2" t="s">
        <v>818</v>
      </c>
      <c r="S518" s="2" t="s">
        <v>51</v>
      </c>
    </row>
    <row r="519" ht="15.75" customHeight="1">
      <c r="A519" s="2" t="s">
        <v>3441</v>
      </c>
      <c r="B519" s="2" t="s">
        <v>3442</v>
      </c>
      <c r="C519" s="2" t="s">
        <v>3443</v>
      </c>
      <c r="D519" s="2" t="s">
        <v>3444</v>
      </c>
      <c r="E519" s="2" t="s">
        <v>3445</v>
      </c>
      <c r="F519" s="2" t="s">
        <v>3446</v>
      </c>
      <c r="G519" s="2" t="s">
        <v>3447</v>
      </c>
      <c r="H519" s="2" t="s">
        <v>3448</v>
      </c>
      <c r="I519" s="2" t="s">
        <v>3449</v>
      </c>
      <c r="J519" s="2" t="s">
        <v>200</v>
      </c>
      <c r="K519" s="2" t="s">
        <v>201</v>
      </c>
      <c r="L519" s="2" t="s">
        <v>202</v>
      </c>
      <c r="M519" s="2">
        <v>404.21</v>
      </c>
      <c r="N519" s="2">
        <v>2.0</v>
      </c>
      <c r="O519" s="2" t="s">
        <v>3450</v>
      </c>
      <c r="P519" s="2" t="s">
        <v>65</v>
      </c>
      <c r="Q519" s="2" t="s">
        <v>305</v>
      </c>
      <c r="R519" s="2" t="s">
        <v>452</v>
      </c>
    </row>
    <row r="520" ht="15.75" customHeight="1">
      <c r="A520" s="2" t="s">
        <v>3451</v>
      </c>
      <c r="B520" s="2" t="s">
        <v>3452</v>
      </c>
      <c r="C520" s="2" t="s">
        <v>2266</v>
      </c>
      <c r="D520" s="2" t="s">
        <v>2267</v>
      </c>
      <c r="E520" s="2" t="s">
        <v>2268</v>
      </c>
      <c r="F520" s="2" t="s">
        <v>3453</v>
      </c>
      <c r="G520" s="2" t="s">
        <v>188</v>
      </c>
      <c r="H520" s="2" t="s">
        <v>802</v>
      </c>
      <c r="I520" s="2" t="s">
        <v>401</v>
      </c>
      <c r="J520" s="2" t="s">
        <v>3454</v>
      </c>
      <c r="K520" s="2" t="s">
        <v>270</v>
      </c>
      <c r="L520" s="2" t="s">
        <v>179</v>
      </c>
      <c r="M520" s="2">
        <v>1153.61</v>
      </c>
      <c r="N520" s="2">
        <v>2.0</v>
      </c>
      <c r="O520" s="2" t="s">
        <v>3455</v>
      </c>
      <c r="P520" s="2" t="s">
        <v>65</v>
      </c>
      <c r="Q520" s="2" t="s">
        <v>181</v>
      </c>
      <c r="R520" s="2" t="s">
        <v>192</v>
      </c>
      <c r="S520" s="2" t="s">
        <v>133</v>
      </c>
    </row>
    <row r="521" ht="15.75" customHeight="1">
      <c r="A521" s="2" t="s">
        <v>3456</v>
      </c>
      <c r="B521" s="2" t="s">
        <v>3457</v>
      </c>
      <c r="C521" s="2" t="s">
        <v>972</v>
      </c>
      <c r="D521" s="2" t="s">
        <v>3458</v>
      </c>
      <c r="E521" s="2" t="s">
        <v>3459</v>
      </c>
      <c r="F521" s="2" t="s">
        <v>975</v>
      </c>
      <c r="G521" s="2" t="s">
        <v>608</v>
      </c>
      <c r="H521" s="2" t="s">
        <v>323</v>
      </c>
      <c r="I521" s="2" t="s">
        <v>43</v>
      </c>
      <c r="J521" s="2" t="s">
        <v>792</v>
      </c>
      <c r="K521" s="2" t="s">
        <v>314</v>
      </c>
      <c r="L521" s="2" t="s">
        <v>742</v>
      </c>
      <c r="M521" s="2">
        <v>1418.76</v>
      </c>
      <c r="N521" s="2">
        <v>2.0</v>
      </c>
      <c r="P521" s="2" t="s">
        <v>95</v>
      </c>
      <c r="Q521" s="2" t="s">
        <v>3460</v>
      </c>
      <c r="R521" s="2" t="s">
        <v>1312</v>
      </c>
    </row>
    <row r="522" ht="15.75" customHeight="1">
      <c r="A522" s="2" t="s">
        <v>3461</v>
      </c>
      <c r="B522" s="2" t="s">
        <v>3462</v>
      </c>
      <c r="C522" s="2" t="s">
        <v>3463</v>
      </c>
      <c r="D522" s="2" t="s">
        <v>3464</v>
      </c>
      <c r="F522" s="2" t="s">
        <v>3465</v>
      </c>
      <c r="G522" s="2" t="s">
        <v>1054</v>
      </c>
      <c r="H522" s="2" t="s">
        <v>2949</v>
      </c>
      <c r="I522" s="2" t="s">
        <v>289</v>
      </c>
      <c r="J522" s="2" t="s">
        <v>1606</v>
      </c>
      <c r="K522" s="2" t="s">
        <v>213</v>
      </c>
      <c r="L522" s="2" t="s">
        <v>106</v>
      </c>
      <c r="M522" s="2">
        <v>1686.74</v>
      </c>
      <c r="N522" s="2">
        <v>2.0</v>
      </c>
      <c r="O522" s="2" t="s">
        <v>3466</v>
      </c>
      <c r="P522" s="2" t="s">
        <v>32</v>
      </c>
      <c r="Q522" s="2" t="s">
        <v>526</v>
      </c>
      <c r="R522" s="2" t="s">
        <v>80</v>
      </c>
      <c r="S522" s="2" t="s">
        <v>81</v>
      </c>
    </row>
    <row r="523" ht="15.75" customHeight="1">
      <c r="A523" s="2" t="s">
        <v>2327</v>
      </c>
      <c r="B523" s="2" t="s">
        <v>2328</v>
      </c>
      <c r="C523" s="2" t="s">
        <v>2329</v>
      </c>
      <c r="D523" s="2" t="s">
        <v>3467</v>
      </c>
      <c r="E523" s="2" t="s">
        <v>2331</v>
      </c>
      <c r="F523" s="2" t="s">
        <v>2332</v>
      </c>
      <c r="G523" s="2" t="s">
        <v>139</v>
      </c>
      <c r="H523" s="2" t="s">
        <v>223</v>
      </c>
      <c r="I523" s="2" t="s">
        <v>176</v>
      </c>
      <c r="J523" s="2" t="s">
        <v>490</v>
      </c>
      <c r="K523" s="2" t="s">
        <v>491</v>
      </c>
      <c r="L523" s="2" t="s">
        <v>492</v>
      </c>
      <c r="M523" s="2">
        <v>1635.1</v>
      </c>
      <c r="N523" s="2">
        <v>3.0</v>
      </c>
      <c r="O523" s="2" t="s">
        <v>2333</v>
      </c>
      <c r="P523" s="2" t="s">
        <v>65</v>
      </c>
      <c r="Q523" s="2" t="s">
        <v>664</v>
      </c>
      <c r="R523" s="2" t="s">
        <v>169</v>
      </c>
      <c r="S523" s="2" t="s">
        <v>133</v>
      </c>
    </row>
    <row r="524" ht="15.75" customHeight="1">
      <c r="A524" s="2" t="s">
        <v>3468</v>
      </c>
      <c r="B524" s="2" t="s">
        <v>3469</v>
      </c>
      <c r="C524" s="2" t="s">
        <v>3470</v>
      </c>
      <c r="D524" s="2" t="s">
        <v>867</v>
      </c>
      <c r="E524" s="2" t="s">
        <v>3471</v>
      </c>
      <c r="F524" s="2" t="s">
        <v>3472</v>
      </c>
      <c r="G524" s="2" t="s">
        <v>1336</v>
      </c>
      <c r="H524" s="2" t="s">
        <v>59</v>
      </c>
      <c r="I524" s="2" t="s">
        <v>401</v>
      </c>
      <c r="J524" s="2" t="s">
        <v>325</v>
      </c>
      <c r="K524" s="2" t="s">
        <v>326</v>
      </c>
      <c r="L524" s="2" t="s">
        <v>315</v>
      </c>
      <c r="M524" s="2">
        <v>1046.09</v>
      </c>
      <c r="N524" s="2">
        <v>2.0</v>
      </c>
      <c r="O524" s="2" t="s">
        <v>3473</v>
      </c>
      <c r="P524" s="2" t="s">
        <v>48</v>
      </c>
      <c r="Q524" s="2" t="s">
        <v>181</v>
      </c>
      <c r="R524" s="2" t="s">
        <v>132</v>
      </c>
      <c r="S524" s="2" t="s">
        <v>81</v>
      </c>
    </row>
    <row r="525" ht="15.75" customHeight="1">
      <c r="A525" s="2" t="s">
        <v>3474</v>
      </c>
      <c r="B525" s="2" t="s">
        <v>3475</v>
      </c>
      <c r="C525" s="2" t="s">
        <v>1250</v>
      </c>
      <c r="D525" s="2" t="s">
        <v>1251</v>
      </c>
      <c r="E525" s="2" t="s">
        <v>1252</v>
      </c>
      <c r="G525" s="2" t="s">
        <v>88</v>
      </c>
      <c r="H525" s="2" t="s">
        <v>42</v>
      </c>
      <c r="I525" s="2" t="s">
        <v>43</v>
      </c>
      <c r="J525" s="2" t="s">
        <v>2680</v>
      </c>
      <c r="K525" s="2" t="s">
        <v>303</v>
      </c>
      <c r="L525" s="2" t="s">
        <v>2421</v>
      </c>
      <c r="M525" s="2">
        <v>1310.99</v>
      </c>
      <c r="N525" s="2">
        <v>1.0</v>
      </c>
      <c r="O525" s="2" t="s">
        <v>3476</v>
      </c>
      <c r="P525" s="2" t="s">
        <v>95</v>
      </c>
      <c r="Q525" s="2" t="s">
        <v>131</v>
      </c>
      <c r="R525" s="2" t="s">
        <v>527</v>
      </c>
    </row>
    <row r="526" ht="15.75" customHeight="1">
      <c r="A526" s="2" t="s">
        <v>3477</v>
      </c>
      <c r="B526" s="2" t="s">
        <v>3478</v>
      </c>
      <c r="C526" s="2" t="s">
        <v>1581</v>
      </c>
      <c r="D526" s="2" t="s">
        <v>1582</v>
      </c>
      <c r="E526" s="2" t="s">
        <v>1583</v>
      </c>
      <c r="F526" s="2" t="s">
        <v>1584</v>
      </c>
      <c r="G526" s="2" t="s">
        <v>992</v>
      </c>
      <c r="H526" s="2" t="s">
        <v>152</v>
      </c>
      <c r="I526" s="2" t="s">
        <v>512</v>
      </c>
      <c r="J526" s="2" t="s">
        <v>2688</v>
      </c>
      <c r="K526" s="2" t="s">
        <v>502</v>
      </c>
      <c r="L526" s="2" t="s">
        <v>179</v>
      </c>
      <c r="N526" s="2">
        <v>5.0</v>
      </c>
      <c r="O526" s="2" t="s">
        <v>3479</v>
      </c>
      <c r="P526" s="2" t="s">
        <v>95</v>
      </c>
      <c r="Q526" s="2" t="s">
        <v>49</v>
      </c>
      <c r="R526" s="2" t="s">
        <v>169</v>
      </c>
    </row>
    <row r="527" ht="15.75" customHeight="1">
      <c r="A527" s="2" t="s">
        <v>3480</v>
      </c>
      <c r="B527" s="2" t="s">
        <v>3481</v>
      </c>
      <c r="C527" s="2" t="s">
        <v>577</v>
      </c>
      <c r="D527" s="2" t="s">
        <v>1101</v>
      </c>
      <c r="E527" s="2" t="s">
        <v>579</v>
      </c>
      <c r="F527" s="2" t="s">
        <v>580</v>
      </c>
      <c r="G527" s="2" t="s">
        <v>73</v>
      </c>
      <c r="H527" s="2" t="s">
        <v>802</v>
      </c>
      <c r="I527" s="2" t="s">
        <v>103</v>
      </c>
      <c r="J527" s="2" t="s">
        <v>1197</v>
      </c>
      <c r="K527" s="2" t="s">
        <v>1198</v>
      </c>
      <c r="L527" s="2" t="s">
        <v>1199</v>
      </c>
      <c r="M527" s="2">
        <v>869.72</v>
      </c>
      <c r="N527" s="2">
        <v>2.0</v>
      </c>
      <c r="O527" s="2" t="s">
        <v>3482</v>
      </c>
      <c r="P527" s="2" t="s">
        <v>48</v>
      </c>
      <c r="Q527" s="2" t="s">
        <v>526</v>
      </c>
      <c r="R527" s="2" t="s">
        <v>306</v>
      </c>
      <c r="S527" s="2" t="s">
        <v>133</v>
      </c>
    </row>
    <row r="528" ht="15.75" customHeight="1">
      <c r="A528" s="2" t="s">
        <v>3483</v>
      </c>
      <c r="B528" s="2" t="s">
        <v>3484</v>
      </c>
      <c r="C528" s="2" t="s">
        <v>3485</v>
      </c>
      <c r="D528" s="2" t="s">
        <v>2733</v>
      </c>
      <c r="E528" s="2" t="s">
        <v>3486</v>
      </c>
      <c r="G528" s="2" t="s">
        <v>58</v>
      </c>
      <c r="H528" s="2" t="s">
        <v>42</v>
      </c>
      <c r="I528" s="2" t="s">
        <v>176</v>
      </c>
      <c r="J528" s="2" t="s">
        <v>481</v>
      </c>
      <c r="K528" s="2" t="s">
        <v>291</v>
      </c>
      <c r="L528" s="2" t="s">
        <v>482</v>
      </c>
      <c r="N528" s="2">
        <v>2.0</v>
      </c>
      <c r="O528" s="2" t="s">
        <v>3487</v>
      </c>
      <c r="P528" s="2" t="s">
        <v>65</v>
      </c>
      <c r="Q528" s="2" t="s">
        <v>33</v>
      </c>
      <c r="R528" s="2" t="s">
        <v>261</v>
      </c>
      <c r="S528" s="2" t="s">
        <v>67</v>
      </c>
    </row>
    <row r="529" ht="15.75" customHeight="1">
      <c r="A529" s="2" t="s">
        <v>3488</v>
      </c>
      <c r="B529" s="2" t="s">
        <v>3489</v>
      </c>
      <c r="C529" s="2" t="s">
        <v>812</v>
      </c>
      <c r="D529" s="2" t="s">
        <v>813</v>
      </c>
      <c r="F529" s="2" t="s">
        <v>814</v>
      </c>
      <c r="G529" s="2" t="s">
        <v>114</v>
      </c>
      <c r="H529" s="2" t="s">
        <v>42</v>
      </c>
      <c r="I529" s="2" t="s">
        <v>480</v>
      </c>
      <c r="J529" s="2" t="s">
        <v>490</v>
      </c>
      <c r="K529" s="2" t="s">
        <v>491</v>
      </c>
      <c r="L529" s="2" t="s">
        <v>492</v>
      </c>
      <c r="N529" s="2">
        <v>3.0</v>
      </c>
      <c r="O529" s="2" t="s">
        <v>3490</v>
      </c>
      <c r="P529" s="2" t="s">
        <v>32</v>
      </c>
      <c r="Q529" s="2" t="s">
        <v>49</v>
      </c>
      <c r="R529" s="2" t="s">
        <v>1312</v>
      </c>
      <c r="S529" s="2" t="s">
        <v>81</v>
      </c>
    </row>
    <row r="530" ht="15.75" customHeight="1">
      <c r="A530" s="2" t="s">
        <v>3491</v>
      </c>
      <c r="B530" s="2" t="s">
        <v>3492</v>
      </c>
      <c r="C530" s="2" t="s">
        <v>1793</v>
      </c>
      <c r="D530" s="2" t="s">
        <v>1794</v>
      </c>
      <c r="E530" s="2" t="s">
        <v>1795</v>
      </c>
      <c r="G530" s="2" t="s">
        <v>139</v>
      </c>
      <c r="H530" s="2" t="s">
        <v>42</v>
      </c>
      <c r="I530" s="2" t="s">
        <v>401</v>
      </c>
      <c r="J530" s="2" t="s">
        <v>2033</v>
      </c>
      <c r="K530" s="2" t="s">
        <v>2034</v>
      </c>
      <c r="L530" s="2" t="s">
        <v>1016</v>
      </c>
      <c r="M530" s="2">
        <v>347.96</v>
      </c>
      <c r="N530" s="2">
        <v>2.0</v>
      </c>
      <c r="O530" s="2" t="s">
        <v>3493</v>
      </c>
      <c r="P530" s="2" t="s">
        <v>32</v>
      </c>
      <c r="Q530" s="2" t="s">
        <v>204</v>
      </c>
      <c r="R530" s="2" t="s">
        <v>261</v>
      </c>
      <c r="S530" s="2" t="s">
        <v>67</v>
      </c>
    </row>
    <row r="531" ht="15.75" customHeight="1">
      <c r="A531" s="2" t="s">
        <v>3494</v>
      </c>
      <c r="B531" s="2" t="s">
        <v>3495</v>
      </c>
      <c r="C531" s="2" t="s">
        <v>2259</v>
      </c>
      <c r="D531" s="2" t="s">
        <v>2260</v>
      </c>
      <c r="E531" s="2" t="s">
        <v>2261</v>
      </c>
      <c r="F531" s="2" t="s">
        <v>2262</v>
      </c>
      <c r="G531" s="2" t="s">
        <v>25</v>
      </c>
      <c r="H531" s="2" t="s">
        <v>400</v>
      </c>
      <c r="I531" s="2" t="s">
        <v>103</v>
      </c>
      <c r="J531" s="2" t="s">
        <v>965</v>
      </c>
      <c r="K531" s="2" t="s">
        <v>966</v>
      </c>
      <c r="L531" s="2" t="s">
        <v>967</v>
      </c>
      <c r="M531" s="2">
        <v>335.79</v>
      </c>
      <c r="N531" s="2">
        <v>3.0</v>
      </c>
      <c r="O531" s="2" t="s">
        <v>3496</v>
      </c>
      <c r="P531" s="2" t="s">
        <v>32</v>
      </c>
      <c r="Q531" s="2" t="s">
        <v>33</v>
      </c>
      <c r="R531" s="2" t="s">
        <v>432</v>
      </c>
      <c r="S531" s="2" t="s">
        <v>133</v>
      </c>
    </row>
    <row r="532" ht="15.75" customHeight="1">
      <c r="A532" s="2" t="s">
        <v>3497</v>
      </c>
      <c r="B532" s="2" t="s">
        <v>3498</v>
      </c>
      <c r="C532" s="2" t="s">
        <v>3499</v>
      </c>
      <c r="D532" s="2" t="s">
        <v>3500</v>
      </c>
      <c r="E532" s="2" t="s">
        <v>3501</v>
      </c>
      <c r="F532" s="2" t="s">
        <v>3502</v>
      </c>
      <c r="G532" s="2" t="s">
        <v>671</v>
      </c>
      <c r="H532" s="2" t="s">
        <v>152</v>
      </c>
      <c r="I532" s="2" t="s">
        <v>43</v>
      </c>
      <c r="J532" s="2" t="s">
        <v>523</v>
      </c>
      <c r="K532" s="2" t="s">
        <v>524</v>
      </c>
      <c r="L532" s="2" t="s">
        <v>368</v>
      </c>
      <c r="M532" s="2">
        <v>453.39</v>
      </c>
      <c r="N532" s="2">
        <v>5.0</v>
      </c>
      <c r="O532" s="2" t="s">
        <v>3503</v>
      </c>
      <c r="P532" s="2" t="s">
        <v>95</v>
      </c>
      <c r="Q532" s="2" t="s">
        <v>3504</v>
      </c>
      <c r="R532" s="2" t="s">
        <v>452</v>
      </c>
    </row>
    <row r="533" ht="15.75" customHeight="1">
      <c r="A533" s="2" t="s">
        <v>3505</v>
      </c>
      <c r="B533" s="2" t="s">
        <v>3506</v>
      </c>
      <c r="C533" s="2" t="s">
        <v>2618</v>
      </c>
      <c r="D533" s="2" t="s">
        <v>2619</v>
      </c>
      <c r="E533" s="2" t="s">
        <v>2620</v>
      </c>
      <c r="F533" s="2" t="s">
        <v>2621</v>
      </c>
      <c r="G533" s="2" t="s">
        <v>608</v>
      </c>
      <c r="H533" s="2" t="s">
        <v>223</v>
      </c>
      <c r="I533" s="2" t="s">
        <v>500</v>
      </c>
      <c r="J533" s="2" t="s">
        <v>212</v>
      </c>
      <c r="K533" s="2" t="s">
        <v>213</v>
      </c>
      <c r="L533" s="2" t="s">
        <v>214</v>
      </c>
      <c r="N533" s="2">
        <v>1.0</v>
      </c>
      <c r="O533" s="2" t="s">
        <v>3507</v>
      </c>
      <c r="P533" s="2" t="s">
        <v>32</v>
      </c>
      <c r="Q533" s="2" t="s">
        <v>370</v>
      </c>
      <c r="R533" s="2" t="s">
        <v>1312</v>
      </c>
      <c r="S533" s="2" t="s">
        <v>51</v>
      </c>
    </row>
    <row r="534" ht="15.75" customHeight="1">
      <c r="A534" s="2" t="s">
        <v>3508</v>
      </c>
      <c r="B534" s="2" t="s">
        <v>3509</v>
      </c>
      <c r="C534" s="2" t="s">
        <v>445</v>
      </c>
      <c r="D534" s="2" t="s">
        <v>446</v>
      </c>
      <c r="E534" s="2" t="s">
        <v>447</v>
      </c>
      <c r="G534" s="2" t="s">
        <v>448</v>
      </c>
      <c r="H534" s="2" t="s">
        <v>26</v>
      </c>
      <c r="I534" s="2" t="s">
        <v>176</v>
      </c>
      <c r="J534" s="2" t="s">
        <v>3053</v>
      </c>
      <c r="K534" s="2" t="s">
        <v>741</v>
      </c>
      <c r="L534" s="2" t="s">
        <v>63</v>
      </c>
      <c r="N534" s="2">
        <v>3.0</v>
      </c>
      <c r="O534" s="2" t="s">
        <v>3510</v>
      </c>
      <c r="P534" s="2" t="s">
        <v>95</v>
      </c>
      <c r="Q534" s="2" t="s">
        <v>143</v>
      </c>
      <c r="R534" s="2" t="s">
        <v>818</v>
      </c>
    </row>
    <row r="535" ht="15.75" customHeight="1">
      <c r="A535" s="2" t="s">
        <v>3511</v>
      </c>
      <c r="B535" s="2" t="s">
        <v>3512</v>
      </c>
      <c r="C535" s="2" t="s">
        <v>3513</v>
      </c>
      <c r="D535" s="2" t="s">
        <v>1794</v>
      </c>
      <c r="E535" s="2" t="s">
        <v>3514</v>
      </c>
      <c r="F535" s="2" t="s">
        <v>3515</v>
      </c>
      <c r="G535" s="2" t="s">
        <v>777</v>
      </c>
      <c r="H535" s="2" t="s">
        <v>778</v>
      </c>
      <c r="I535" s="2" t="s">
        <v>480</v>
      </c>
      <c r="J535" s="2" t="s">
        <v>2012</v>
      </c>
      <c r="K535" s="2" t="s">
        <v>741</v>
      </c>
      <c r="L535" s="2" t="s">
        <v>514</v>
      </c>
      <c r="N535" s="2">
        <v>2.0</v>
      </c>
      <c r="O535" s="2" t="s">
        <v>3516</v>
      </c>
      <c r="P535" s="2" t="s">
        <v>65</v>
      </c>
      <c r="Q535" s="2" t="s">
        <v>505</v>
      </c>
      <c r="R535" s="2" t="s">
        <v>80</v>
      </c>
      <c r="S535" s="2" t="s">
        <v>81</v>
      </c>
    </row>
    <row r="536" ht="15.75" customHeight="1">
      <c r="A536" s="2" t="s">
        <v>3517</v>
      </c>
      <c r="B536" s="2" t="s">
        <v>3518</v>
      </c>
      <c r="C536" s="2" t="s">
        <v>219</v>
      </c>
      <c r="D536" s="2" t="s">
        <v>220</v>
      </c>
      <c r="E536" s="2" t="s">
        <v>221</v>
      </c>
      <c r="F536" s="2" t="s">
        <v>222</v>
      </c>
      <c r="G536" s="2" t="s">
        <v>114</v>
      </c>
      <c r="H536" s="2" t="s">
        <v>26</v>
      </c>
      <c r="I536" s="2" t="s">
        <v>75</v>
      </c>
      <c r="J536" s="2" t="s">
        <v>154</v>
      </c>
      <c r="K536" s="2" t="s">
        <v>62</v>
      </c>
      <c r="L536" s="2" t="s">
        <v>155</v>
      </c>
      <c r="M536" s="2">
        <v>951.29</v>
      </c>
      <c r="N536" s="2">
        <v>1.0</v>
      </c>
      <c r="O536" s="2" t="s">
        <v>3519</v>
      </c>
      <c r="P536" s="2" t="s">
        <v>48</v>
      </c>
      <c r="Q536" s="2" t="s">
        <v>238</v>
      </c>
      <c r="R536" s="2" t="s">
        <v>1312</v>
      </c>
      <c r="S536" s="2" t="s">
        <v>81</v>
      </c>
    </row>
    <row r="537" ht="15.75" customHeight="1">
      <c r="A537" s="2" t="s">
        <v>3520</v>
      </c>
      <c r="B537" s="2" t="s">
        <v>3521</v>
      </c>
      <c r="C537" s="2" t="s">
        <v>3522</v>
      </c>
      <c r="D537" s="2" t="s">
        <v>3523</v>
      </c>
      <c r="E537" s="2" t="s">
        <v>3524</v>
      </c>
      <c r="F537" s="2" t="s">
        <v>3525</v>
      </c>
      <c r="G537" s="2" t="s">
        <v>364</v>
      </c>
      <c r="H537" s="2" t="s">
        <v>802</v>
      </c>
      <c r="I537" s="2" t="s">
        <v>60</v>
      </c>
      <c r="J537" s="2" t="s">
        <v>200</v>
      </c>
      <c r="K537" s="2" t="s">
        <v>201</v>
      </c>
      <c r="L537" s="2" t="s">
        <v>202</v>
      </c>
      <c r="N537" s="2">
        <v>1.0</v>
      </c>
      <c r="O537" s="2" t="s">
        <v>3526</v>
      </c>
      <c r="P537" s="2" t="s">
        <v>48</v>
      </c>
      <c r="Q537" s="2" t="s">
        <v>66</v>
      </c>
      <c r="R537" s="2" t="s">
        <v>80</v>
      </c>
      <c r="S537" s="2" t="s">
        <v>81</v>
      </c>
    </row>
    <row r="538" ht="15.75" customHeight="1">
      <c r="A538" s="2" t="s">
        <v>3527</v>
      </c>
      <c r="B538" s="2" t="s">
        <v>3528</v>
      </c>
      <c r="C538" s="2" t="s">
        <v>3529</v>
      </c>
      <c r="D538" s="2" t="s">
        <v>3530</v>
      </c>
      <c r="E538" s="2" t="s">
        <v>3531</v>
      </c>
      <c r="G538" s="2" t="s">
        <v>199</v>
      </c>
      <c r="H538" s="2" t="s">
        <v>683</v>
      </c>
      <c r="I538" s="2" t="s">
        <v>75</v>
      </c>
      <c r="J538" s="2" t="s">
        <v>1063</v>
      </c>
      <c r="K538" s="2" t="s">
        <v>291</v>
      </c>
      <c r="L538" s="2" t="s">
        <v>167</v>
      </c>
      <c r="M538" s="2">
        <v>130.45</v>
      </c>
      <c r="N538" s="2">
        <v>1.0</v>
      </c>
      <c r="O538" s="2" t="s">
        <v>3532</v>
      </c>
      <c r="P538" s="2" t="s">
        <v>48</v>
      </c>
      <c r="Q538" s="2" t="s">
        <v>305</v>
      </c>
      <c r="R538" s="2" t="s">
        <v>432</v>
      </c>
    </row>
    <row r="539" ht="15.75" customHeight="1">
      <c r="A539" s="2" t="s">
        <v>3533</v>
      </c>
      <c r="B539" s="2" t="s">
        <v>3534</v>
      </c>
      <c r="C539" s="2" t="s">
        <v>3535</v>
      </c>
      <c r="D539" s="2" t="s">
        <v>3536</v>
      </c>
      <c r="E539" s="2" t="s">
        <v>3537</v>
      </c>
      <c r="F539" s="2" t="s">
        <v>3538</v>
      </c>
      <c r="G539" s="2" t="s">
        <v>459</v>
      </c>
      <c r="H539" s="2" t="s">
        <v>42</v>
      </c>
      <c r="I539" s="2" t="s">
        <v>75</v>
      </c>
      <c r="J539" s="2" t="s">
        <v>3053</v>
      </c>
      <c r="K539" s="2" t="s">
        <v>741</v>
      </c>
      <c r="L539" s="2" t="s">
        <v>63</v>
      </c>
      <c r="M539" s="2">
        <v>784.93</v>
      </c>
      <c r="N539" s="2">
        <v>1.0</v>
      </c>
      <c r="O539" s="2" t="s">
        <v>3539</v>
      </c>
      <c r="P539" s="2" t="s">
        <v>32</v>
      </c>
      <c r="Q539" s="2" t="s">
        <v>526</v>
      </c>
      <c r="R539" s="2" t="s">
        <v>144</v>
      </c>
      <c r="S539" s="2" t="s">
        <v>133</v>
      </c>
    </row>
    <row r="540" ht="15.75" customHeight="1">
      <c r="A540" s="2" t="s">
        <v>3540</v>
      </c>
      <c r="B540" s="2" t="s">
        <v>3541</v>
      </c>
      <c r="C540" s="2" t="s">
        <v>3542</v>
      </c>
      <c r="D540" s="2" t="s">
        <v>2260</v>
      </c>
      <c r="E540" s="2" t="s">
        <v>3543</v>
      </c>
      <c r="F540" s="2" t="s">
        <v>3544</v>
      </c>
      <c r="G540" s="2" t="s">
        <v>58</v>
      </c>
      <c r="H540" s="2" t="s">
        <v>42</v>
      </c>
      <c r="I540" s="2" t="s">
        <v>480</v>
      </c>
      <c r="J540" s="2" t="s">
        <v>756</v>
      </c>
      <c r="K540" s="2" t="s">
        <v>757</v>
      </c>
      <c r="L540" s="2" t="s">
        <v>30</v>
      </c>
      <c r="N540" s="2">
        <v>2.0</v>
      </c>
      <c r="O540" s="2" t="s">
        <v>3545</v>
      </c>
      <c r="P540" s="2" t="s">
        <v>48</v>
      </c>
      <c r="Q540" s="2" t="s">
        <v>49</v>
      </c>
      <c r="R540" s="2" t="s">
        <v>158</v>
      </c>
      <c r="S540" s="2" t="s">
        <v>81</v>
      </c>
    </row>
    <row r="541" ht="15.75" customHeight="1">
      <c r="A541" s="2" t="s">
        <v>3546</v>
      </c>
      <c r="B541" s="2" t="s">
        <v>3547</v>
      </c>
      <c r="C541" s="2" t="s">
        <v>3548</v>
      </c>
      <c r="D541" s="2" t="s">
        <v>3549</v>
      </c>
      <c r="E541" s="2" t="s">
        <v>3550</v>
      </c>
      <c r="G541" s="2" t="s">
        <v>151</v>
      </c>
      <c r="H541" s="2" t="s">
        <v>210</v>
      </c>
      <c r="I541" s="2" t="s">
        <v>60</v>
      </c>
      <c r="J541" s="2" t="s">
        <v>439</v>
      </c>
      <c r="K541" s="2" t="s">
        <v>440</v>
      </c>
      <c r="L541" s="2" t="s">
        <v>63</v>
      </c>
      <c r="M541" s="2">
        <v>807.89</v>
      </c>
      <c r="N541" s="2">
        <v>2.0</v>
      </c>
      <c r="O541" s="2" t="s">
        <v>3551</v>
      </c>
      <c r="P541" s="2" t="s">
        <v>48</v>
      </c>
      <c r="Q541" s="2" t="s">
        <v>66</v>
      </c>
      <c r="R541" s="2" t="s">
        <v>345</v>
      </c>
      <c r="S541" s="2" t="s">
        <v>51</v>
      </c>
    </row>
    <row r="542" ht="15.75" customHeight="1">
      <c r="A542" s="2" t="s">
        <v>3552</v>
      </c>
      <c r="B542" s="2" t="s">
        <v>3553</v>
      </c>
      <c r="C542" s="2" t="s">
        <v>3554</v>
      </c>
      <c r="D542" s="2" t="s">
        <v>3555</v>
      </c>
      <c r="E542" s="2" t="s">
        <v>3556</v>
      </c>
      <c r="F542" s="2" t="s">
        <v>3557</v>
      </c>
      <c r="G542" s="2" t="s">
        <v>58</v>
      </c>
      <c r="H542" s="2" t="s">
        <v>301</v>
      </c>
      <c r="I542" s="2" t="s">
        <v>333</v>
      </c>
      <c r="J542" s="2" t="s">
        <v>235</v>
      </c>
      <c r="K542" s="2" t="s">
        <v>236</v>
      </c>
      <c r="L542" s="2" t="s">
        <v>30</v>
      </c>
      <c r="N542" s="2">
        <v>1.0</v>
      </c>
      <c r="O542" s="2" t="s">
        <v>3558</v>
      </c>
      <c r="P542" s="2" t="s">
        <v>48</v>
      </c>
      <c r="Q542" s="2" t="s">
        <v>49</v>
      </c>
      <c r="R542" s="2" t="s">
        <v>34</v>
      </c>
      <c r="S542" s="2" t="s">
        <v>51</v>
      </c>
    </row>
    <row r="543" ht="15.75" customHeight="1">
      <c r="A543" s="2" t="s">
        <v>3559</v>
      </c>
      <c r="B543" s="2" t="s">
        <v>3560</v>
      </c>
      <c r="C543" s="2" t="s">
        <v>900</v>
      </c>
      <c r="D543" s="2" t="s">
        <v>901</v>
      </c>
      <c r="F543" s="2" t="s">
        <v>902</v>
      </c>
      <c r="G543" s="2" t="s">
        <v>903</v>
      </c>
      <c r="H543" s="2" t="s">
        <v>223</v>
      </c>
      <c r="I543" s="2" t="s">
        <v>333</v>
      </c>
      <c r="J543" s="2" t="s">
        <v>1146</v>
      </c>
      <c r="K543" s="2" t="s">
        <v>1147</v>
      </c>
      <c r="L543" s="2" t="s">
        <v>248</v>
      </c>
      <c r="M543" s="2">
        <v>805.6</v>
      </c>
      <c r="O543" s="2" t="s">
        <v>3561</v>
      </c>
      <c r="P543" s="2" t="s">
        <v>32</v>
      </c>
      <c r="Q543" s="2" t="s">
        <v>49</v>
      </c>
      <c r="R543" s="2" t="s">
        <v>3562</v>
      </c>
      <c r="S543" s="2" t="s">
        <v>67</v>
      </c>
    </row>
    <row r="544" ht="15.75" customHeight="1">
      <c r="A544" s="2" t="s">
        <v>3563</v>
      </c>
      <c r="B544" s="2" t="s">
        <v>3564</v>
      </c>
      <c r="C544" s="2" t="s">
        <v>1787</v>
      </c>
      <c r="D544" s="2" t="s">
        <v>1788</v>
      </c>
      <c r="F544" s="2" t="s">
        <v>1789</v>
      </c>
      <c r="G544" s="2" t="s">
        <v>1319</v>
      </c>
      <c r="H544" s="2" t="s">
        <v>74</v>
      </c>
      <c r="I544" s="2" t="s">
        <v>312</v>
      </c>
      <c r="J544" s="2" t="s">
        <v>313</v>
      </c>
      <c r="K544" s="2" t="s">
        <v>314</v>
      </c>
      <c r="L544" s="2" t="s">
        <v>315</v>
      </c>
      <c r="M544" s="2">
        <v>501.85</v>
      </c>
      <c r="N544" s="2">
        <v>1.0</v>
      </c>
      <c r="O544" s="2" t="s">
        <v>3565</v>
      </c>
      <c r="P544" s="2" t="s">
        <v>95</v>
      </c>
      <c r="Q544" s="2" t="s">
        <v>49</v>
      </c>
      <c r="R544" s="2" t="s">
        <v>527</v>
      </c>
      <c r="S544" s="2" t="s">
        <v>133</v>
      </c>
    </row>
    <row r="545" ht="15.75" customHeight="1">
      <c r="A545" s="2" t="s">
        <v>3566</v>
      </c>
      <c r="B545" s="2" t="s">
        <v>3567</v>
      </c>
      <c r="C545" s="2" t="s">
        <v>3568</v>
      </c>
      <c r="D545" s="2" t="s">
        <v>3569</v>
      </c>
      <c r="E545" s="2" t="s">
        <v>3570</v>
      </c>
      <c r="G545" s="2" t="s">
        <v>188</v>
      </c>
      <c r="H545" s="2" t="s">
        <v>400</v>
      </c>
      <c r="I545" s="2" t="s">
        <v>43</v>
      </c>
      <c r="J545" s="2" t="s">
        <v>334</v>
      </c>
      <c r="K545" s="2" t="s">
        <v>335</v>
      </c>
      <c r="L545" s="2" t="s">
        <v>248</v>
      </c>
      <c r="M545" s="2">
        <v>902.66</v>
      </c>
      <c r="N545" s="2">
        <v>2.0</v>
      </c>
      <c r="O545" s="2" t="s">
        <v>3571</v>
      </c>
      <c r="P545" s="2" t="s">
        <v>95</v>
      </c>
      <c r="Q545" s="2" t="s">
        <v>3572</v>
      </c>
      <c r="R545" s="2" t="s">
        <v>1171</v>
      </c>
    </row>
    <row r="546" ht="15.75" customHeight="1">
      <c r="A546" s="2" t="s">
        <v>3573</v>
      </c>
      <c r="B546" s="2" t="s">
        <v>3574</v>
      </c>
      <c r="C546" s="2" t="s">
        <v>3081</v>
      </c>
      <c r="D546" s="2" t="s">
        <v>1126</v>
      </c>
      <c r="E546" s="2" t="s">
        <v>3082</v>
      </c>
      <c r="F546" s="2" t="s">
        <v>3083</v>
      </c>
      <c r="G546" s="2" t="s">
        <v>139</v>
      </c>
      <c r="H546" s="2" t="s">
        <v>42</v>
      </c>
      <c r="I546" s="2" t="s">
        <v>43</v>
      </c>
      <c r="J546" s="2" t="s">
        <v>1460</v>
      </c>
      <c r="K546" s="2" t="s">
        <v>1461</v>
      </c>
      <c r="L546" s="2" t="s">
        <v>368</v>
      </c>
      <c r="M546" s="2">
        <v>1287.97</v>
      </c>
      <c r="N546" s="2">
        <v>2.0</v>
      </c>
      <c r="O546" s="2" t="s">
        <v>3575</v>
      </c>
      <c r="P546" s="2" t="s">
        <v>95</v>
      </c>
      <c r="Q546" s="2" t="s">
        <v>131</v>
      </c>
      <c r="R546" s="2" t="s">
        <v>442</v>
      </c>
    </row>
    <row r="547" ht="15.75" customHeight="1">
      <c r="A547" s="2" t="s">
        <v>3576</v>
      </c>
      <c r="B547" s="2" t="s">
        <v>3577</v>
      </c>
      <c r="C547" s="2" t="s">
        <v>3578</v>
      </c>
      <c r="D547" s="2" t="s">
        <v>3579</v>
      </c>
      <c r="E547" s="2" t="s">
        <v>3580</v>
      </c>
      <c r="F547" s="2" t="s">
        <v>3581</v>
      </c>
      <c r="G547" s="2" t="s">
        <v>25</v>
      </c>
      <c r="H547" s="2" t="s">
        <v>400</v>
      </c>
      <c r="I547" s="2" t="s">
        <v>116</v>
      </c>
      <c r="J547" s="2" t="s">
        <v>3582</v>
      </c>
      <c r="K547" s="2" t="s">
        <v>3583</v>
      </c>
      <c r="L547" s="2" t="s">
        <v>248</v>
      </c>
      <c r="M547" s="2">
        <v>1741.27</v>
      </c>
      <c r="N547" s="2">
        <v>1.0</v>
      </c>
      <c r="O547" s="2" t="s">
        <v>3584</v>
      </c>
      <c r="P547" s="2" t="s">
        <v>95</v>
      </c>
      <c r="Q547" s="2" t="s">
        <v>49</v>
      </c>
      <c r="R547" s="2" t="s">
        <v>452</v>
      </c>
      <c r="S547" s="2" t="s">
        <v>67</v>
      </c>
    </row>
    <row r="548" ht="15.75" customHeight="1">
      <c r="A548" s="2" t="s">
        <v>3585</v>
      </c>
      <c r="B548" s="2" t="s">
        <v>3586</v>
      </c>
      <c r="C548" s="2" t="s">
        <v>2120</v>
      </c>
      <c r="D548" s="2" t="s">
        <v>2121</v>
      </c>
      <c r="E548" s="2" t="s">
        <v>2122</v>
      </c>
      <c r="F548" s="2" t="s">
        <v>2123</v>
      </c>
      <c r="G548" s="2" t="s">
        <v>58</v>
      </c>
      <c r="H548" s="2" t="s">
        <v>223</v>
      </c>
      <c r="I548" s="2" t="s">
        <v>43</v>
      </c>
      <c r="J548" s="2" t="s">
        <v>1146</v>
      </c>
      <c r="K548" s="2" t="s">
        <v>1147</v>
      </c>
      <c r="L548" s="2" t="s">
        <v>248</v>
      </c>
      <c r="M548" s="2">
        <v>770.1</v>
      </c>
      <c r="N548" s="2">
        <v>1.0</v>
      </c>
      <c r="O548" s="2" t="s">
        <v>3587</v>
      </c>
      <c r="P548" s="2" t="s">
        <v>950</v>
      </c>
      <c r="Q548" s="2" t="s">
        <v>49</v>
      </c>
      <c r="R548" s="2" t="s">
        <v>3588</v>
      </c>
    </row>
    <row r="549" ht="15.75" customHeight="1">
      <c r="A549" s="2" t="s">
        <v>3589</v>
      </c>
      <c r="B549" s="2" t="s">
        <v>3590</v>
      </c>
      <c r="C549" s="2" t="s">
        <v>3591</v>
      </c>
      <c r="D549" s="2" t="s">
        <v>255</v>
      </c>
      <c r="E549" s="2" t="s">
        <v>3592</v>
      </c>
      <c r="F549" s="2" t="s">
        <v>3593</v>
      </c>
      <c r="G549" s="2" t="s">
        <v>3594</v>
      </c>
      <c r="H549" s="2" t="s">
        <v>42</v>
      </c>
      <c r="I549" s="2" t="s">
        <v>3595</v>
      </c>
      <c r="J549" s="2" t="s">
        <v>3596</v>
      </c>
      <c r="K549" s="2" t="s">
        <v>3597</v>
      </c>
      <c r="L549" s="2" t="s">
        <v>63</v>
      </c>
      <c r="M549" s="2">
        <v>1080.91</v>
      </c>
      <c r="N549" s="2">
        <v>1.0</v>
      </c>
      <c r="O549" s="2" t="s">
        <v>3598</v>
      </c>
      <c r="P549" s="2" t="s">
        <v>48</v>
      </c>
      <c r="Q549" s="2" t="s">
        <v>143</v>
      </c>
      <c r="R549" s="2" t="s">
        <v>442</v>
      </c>
    </row>
    <row r="550" ht="15.75" customHeight="1">
      <c r="A550" s="2" t="s">
        <v>3599</v>
      </c>
      <c r="B550" s="2" t="s">
        <v>3600</v>
      </c>
      <c r="C550" s="2" t="s">
        <v>3087</v>
      </c>
      <c r="D550" s="2" t="s">
        <v>3088</v>
      </c>
      <c r="E550" s="2" t="s">
        <v>3089</v>
      </c>
      <c r="F550" s="2" t="s">
        <v>3090</v>
      </c>
      <c r="G550" s="2" t="s">
        <v>1336</v>
      </c>
      <c r="H550" s="2" t="s">
        <v>234</v>
      </c>
      <c r="I550" s="2" t="s">
        <v>522</v>
      </c>
      <c r="J550" s="2" t="s">
        <v>2483</v>
      </c>
      <c r="K550" s="2" t="s">
        <v>1530</v>
      </c>
      <c r="L550" s="2" t="s">
        <v>503</v>
      </c>
      <c r="N550" s="2">
        <v>2.0</v>
      </c>
      <c r="O550" s="2" t="s">
        <v>3601</v>
      </c>
      <c r="P550" s="2" t="s">
        <v>65</v>
      </c>
      <c r="Q550" s="2" t="s">
        <v>33</v>
      </c>
      <c r="R550" s="2" t="s">
        <v>294</v>
      </c>
    </row>
    <row r="551" ht="15.75" customHeight="1">
      <c r="A551" s="2" t="s">
        <v>3602</v>
      </c>
      <c r="B551" s="2" t="s">
        <v>3603</v>
      </c>
      <c r="C551" s="2" t="s">
        <v>2669</v>
      </c>
      <c r="D551" s="2" t="s">
        <v>1260</v>
      </c>
      <c r="E551" s="2" t="s">
        <v>2670</v>
      </c>
      <c r="F551" s="2" t="s">
        <v>2671</v>
      </c>
      <c r="G551" s="2" t="s">
        <v>671</v>
      </c>
      <c r="H551" s="2" t="s">
        <v>234</v>
      </c>
      <c r="I551" s="2" t="s">
        <v>43</v>
      </c>
      <c r="J551" s="2" t="s">
        <v>2181</v>
      </c>
      <c r="K551" s="2" t="s">
        <v>2182</v>
      </c>
      <c r="L551" s="2" t="s">
        <v>179</v>
      </c>
      <c r="P551" s="2" t="s">
        <v>65</v>
      </c>
      <c r="Q551" s="2" t="s">
        <v>49</v>
      </c>
      <c r="R551" s="2" t="s">
        <v>3604</v>
      </c>
    </row>
    <row r="552" ht="15.75" customHeight="1">
      <c r="A552" s="2" t="s">
        <v>3605</v>
      </c>
      <c r="B552" s="2" t="s">
        <v>3606</v>
      </c>
      <c r="C552" s="2" t="s">
        <v>1743</v>
      </c>
      <c r="D552" s="2" t="s">
        <v>1744</v>
      </c>
      <c r="E552" s="2" t="s">
        <v>1745</v>
      </c>
      <c r="F552" s="2" t="s">
        <v>1746</v>
      </c>
      <c r="G552" s="2" t="s">
        <v>564</v>
      </c>
      <c r="H552" s="2" t="s">
        <v>3607</v>
      </c>
      <c r="I552" s="2" t="s">
        <v>401</v>
      </c>
      <c r="J552" s="2" t="s">
        <v>1748</v>
      </c>
      <c r="K552" s="2" t="s">
        <v>1110</v>
      </c>
      <c r="L552" s="2" t="s">
        <v>315</v>
      </c>
      <c r="M552" s="2">
        <v>28.59</v>
      </c>
      <c r="N552" s="2">
        <v>1.0</v>
      </c>
      <c r="O552" s="2" t="s">
        <v>3608</v>
      </c>
      <c r="P552" s="2" t="s">
        <v>65</v>
      </c>
      <c r="Q552" s="2" t="s">
        <v>143</v>
      </c>
      <c r="R552" s="2" t="s">
        <v>158</v>
      </c>
      <c r="S552" s="2" t="s">
        <v>51</v>
      </c>
    </row>
    <row r="553" ht="15.75" customHeight="1">
      <c r="A553" s="2" t="s">
        <v>3609</v>
      </c>
      <c r="B553" s="2" t="s">
        <v>3610</v>
      </c>
      <c r="C553" s="2" t="s">
        <v>3611</v>
      </c>
      <c r="D553" s="2" t="s">
        <v>3612</v>
      </c>
      <c r="E553" s="2" t="s">
        <v>3613</v>
      </c>
      <c r="F553" s="2" t="s">
        <v>3614</v>
      </c>
      <c r="G553" s="2" t="s">
        <v>25</v>
      </c>
      <c r="H553" s="2" t="s">
        <v>59</v>
      </c>
      <c r="I553" s="2" t="s">
        <v>289</v>
      </c>
      <c r="J553" s="2" t="s">
        <v>235</v>
      </c>
      <c r="K553" s="2" t="s">
        <v>236</v>
      </c>
      <c r="L553" s="2" t="s">
        <v>30</v>
      </c>
      <c r="M553" s="2">
        <v>899.44</v>
      </c>
      <c r="N553" s="2">
        <v>2.0</v>
      </c>
      <c r="O553" s="2" t="s">
        <v>3615</v>
      </c>
      <c r="P553" s="2" t="s">
        <v>65</v>
      </c>
      <c r="Q553" s="2" t="s">
        <v>49</v>
      </c>
      <c r="R553" s="2" t="s">
        <v>261</v>
      </c>
      <c r="S553" s="2" t="s">
        <v>67</v>
      </c>
    </row>
    <row r="554" ht="15.75" customHeight="1">
      <c r="A554" s="2" t="s">
        <v>3616</v>
      </c>
      <c r="B554" s="2" t="s">
        <v>3617</v>
      </c>
      <c r="C554" s="2" t="s">
        <v>3618</v>
      </c>
      <c r="D554" s="2" t="s">
        <v>3619</v>
      </c>
      <c r="E554" s="2" t="s">
        <v>3620</v>
      </c>
      <c r="F554" s="2" t="s">
        <v>3621</v>
      </c>
      <c r="G554" s="2" t="s">
        <v>139</v>
      </c>
      <c r="H554" s="2" t="s">
        <v>683</v>
      </c>
      <c r="I554" s="2" t="s">
        <v>60</v>
      </c>
      <c r="J554" s="2" t="s">
        <v>3210</v>
      </c>
      <c r="K554" s="2" t="s">
        <v>3211</v>
      </c>
      <c r="L554" s="2" t="s">
        <v>167</v>
      </c>
      <c r="M554" s="2">
        <v>616.57</v>
      </c>
      <c r="N554" s="2">
        <v>1.0</v>
      </c>
      <c r="O554" s="2" t="s">
        <v>3622</v>
      </c>
      <c r="P554" s="2" t="s">
        <v>32</v>
      </c>
      <c r="Q554" s="2" t="s">
        <v>204</v>
      </c>
      <c r="R554" s="2" t="s">
        <v>294</v>
      </c>
    </row>
    <row r="555" ht="15.75" customHeight="1">
      <c r="A555" s="2" t="s">
        <v>3623</v>
      </c>
      <c r="B555" s="2" t="s">
        <v>3624</v>
      </c>
      <c r="C555" s="2" t="s">
        <v>3625</v>
      </c>
      <c r="D555" s="2" t="s">
        <v>3626</v>
      </c>
      <c r="E555" s="2" t="s">
        <v>3627</v>
      </c>
      <c r="F555" s="2" t="s">
        <v>3628</v>
      </c>
      <c r="G555" s="2" t="s">
        <v>992</v>
      </c>
      <c r="H555" s="2" t="s">
        <v>223</v>
      </c>
      <c r="I555" s="2" t="s">
        <v>401</v>
      </c>
      <c r="J555" s="2" t="s">
        <v>792</v>
      </c>
      <c r="K555" s="2" t="s">
        <v>314</v>
      </c>
      <c r="L555" s="2" t="s">
        <v>742</v>
      </c>
      <c r="M555" s="2">
        <v>1335.6</v>
      </c>
      <c r="N555" s="2">
        <v>5.0</v>
      </c>
      <c r="O555" s="2" t="s">
        <v>3629</v>
      </c>
      <c r="P555" s="2" t="s">
        <v>65</v>
      </c>
      <c r="Q555" s="2" t="s">
        <v>664</v>
      </c>
      <c r="R555" s="2" t="s">
        <v>34</v>
      </c>
    </row>
    <row r="556" ht="15.75" customHeight="1">
      <c r="A556" s="2" t="s">
        <v>3630</v>
      </c>
      <c r="B556" s="2" t="s">
        <v>3631</v>
      </c>
      <c r="C556" s="2" t="s">
        <v>3632</v>
      </c>
      <c r="D556" s="2" t="s">
        <v>3633</v>
      </c>
      <c r="E556" s="2" t="s">
        <v>3634</v>
      </c>
      <c r="F556" s="2" t="s">
        <v>3635</v>
      </c>
      <c r="G556" s="2" t="s">
        <v>199</v>
      </c>
      <c r="H556" s="2" t="s">
        <v>301</v>
      </c>
      <c r="I556" s="2" t="s">
        <v>43</v>
      </c>
      <c r="J556" s="2" t="s">
        <v>3210</v>
      </c>
      <c r="K556" s="2" t="s">
        <v>3211</v>
      </c>
      <c r="L556" s="2" t="s">
        <v>167</v>
      </c>
      <c r="N556" s="2">
        <v>5.0</v>
      </c>
      <c r="O556" s="2" t="s">
        <v>3636</v>
      </c>
      <c r="P556" s="2" t="s">
        <v>32</v>
      </c>
      <c r="Q556" s="2" t="s">
        <v>143</v>
      </c>
      <c r="R556" s="2" t="s">
        <v>169</v>
      </c>
      <c r="S556" s="2" t="s">
        <v>133</v>
      </c>
    </row>
    <row r="557" ht="15.75" customHeight="1">
      <c r="A557" s="2" t="s">
        <v>3637</v>
      </c>
      <c r="B557" s="2" t="s">
        <v>3638</v>
      </c>
      <c r="C557" s="2" t="s">
        <v>1565</v>
      </c>
      <c r="D557" s="2" t="s">
        <v>1029</v>
      </c>
      <c r="E557" s="2" t="s">
        <v>1566</v>
      </c>
      <c r="F557" s="2" t="s">
        <v>1567</v>
      </c>
      <c r="G557" s="2" t="s">
        <v>139</v>
      </c>
      <c r="H557" s="2" t="s">
        <v>42</v>
      </c>
      <c r="I557" s="2" t="s">
        <v>2248</v>
      </c>
      <c r="J557" s="2" t="s">
        <v>490</v>
      </c>
      <c r="K557" s="2" t="s">
        <v>491</v>
      </c>
      <c r="L557" s="2" t="s">
        <v>492</v>
      </c>
      <c r="M557" s="2">
        <v>936.93</v>
      </c>
      <c r="N557" s="2">
        <v>1.0</v>
      </c>
      <c r="O557" s="2" t="s">
        <v>3639</v>
      </c>
      <c r="P557" s="2" t="s">
        <v>95</v>
      </c>
      <c r="Q557" s="2" t="s">
        <v>49</v>
      </c>
      <c r="R557" s="2" t="s">
        <v>192</v>
      </c>
      <c r="S557" s="2" t="s">
        <v>81</v>
      </c>
    </row>
    <row r="558" ht="15.75" customHeight="1">
      <c r="A558" s="2" t="s">
        <v>3640</v>
      </c>
      <c r="B558" s="2" t="s">
        <v>3641</v>
      </c>
      <c r="C558" s="2" t="s">
        <v>3642</v>
      </c>
      <c r="D558" s="2" t="s">
        <v>3643</v>
      </c>
      <c r="E558" s="2" t="s">
        <v>3644</v>
      </c>
      <c r="F558" s="2" t="s">
        <v>3645</v>
      </c>
      <c r="G558" s="2" t="s">
        <v>564</v>
      </c>
      <c r="H558" s="2" t="s">
        <v>26</v>
      </c>
      <c r="I558" s="2" t="s">
        <v>176</v>
      </c>
      <c r="J558" s="2" t="s">
        <v>1529</v>
      </c>
      <c r="K558" s="2" t="s">
        <v>1530</v>
      </c>
      <c r="L558" s="2" t="s">
        <v>368</v>
      </c>
      <c r="M558" s="2">
        <v>404.85</v>
      </c>
      <c r="N558" s="2">
        <v>1.0</v>
      </c>
      <c r="O558" s="2" t="s">
        <v>3646</v>
      </c>
      <c r="P558" s="2" t="s">
        <v>65</v>
      </c>
      <c r="Q558" s="2" t="s">
        <v>414</v>
      </c>
      <c r="R558" s="2" t="s">
        <v>380</v>
      </c>
    </row>
    <row r="559" ht="15.75" customHeight="1">
      <c r="A559" s="2" t="s">
        <v>3647</v>
      </c>
      <c r="B559" s="2" t="s">
        <v>3648</v>
      </c>
      <c r="C559" s="2" t="s">
        <v>3649</v>
      </c>
      <c r="D559" s="2" t="s">
        <v>3650</v>
      </c>
      <c r="E559" s="2" t="s">
        <v>3651</v>
      </c>
      <c r="F559" s="2" t="s">
        <v>3652</v>
      </c>
      <c r="G559" s="2" t="s">
        <v>387</v>
      </c>
      <c r="H559" s="2" t="s">
        <v>26</v>
      </c>
      <c r="I559" s="2" t="s">
        <v>870</v>
      </c>
      <c r="J559" s="2" t="s">
        <v>3101</v>
      </c>
      <c r="K559" s="2" t="s">
        <v>1212</v>
      </c>
      <c r="L559" s="2" t="s">
        <v>248</v>
      </c>
      <c r="M559" s="2">
        <v>847.73</v>
      </c>
      <c r="N559" s="2">
        <v>2.0</v>
      </c>
      <c r="O559" s="2" t="s">
        <v>3653</v>
      </c>
      <c r="P559" s="2" t="s">
        <v>65</v>
      </c>
      <c r="Q559" s="2" t="s">
        <v>305</v>
      </c>
      <c r="R559" s="2" t="s">
        <v>158</v>
      </c>
      <c r="S559" s="2" t="s">
        <v>81</v>
      </c>
    </row>
    <row r="560" ht="15.75" customHeight="1">
      <c r="A560" s="2" t="s">
        <v>3654</v>
      </c>
      <c r="B560" s="2" t="s">
        <v>3655</v>
      </c>
      <c r="C560" s="2" t="s">
        <v>3656</v>
      </c>
      <c r="D560" s="2" t="s">
        <v>3657</v>
      </c>
      <c r="E560" s="2" t="s">
        <v>3658</v>
      </c>
      <c r="G560" s="2" t="s">
        <v>671</v>
      </c>
      <c r="H560" s="2" t="s">
        <v>42</v>
      </c>
      <c r="I560" s="2" t="s">
        <v>333</v>
      </c>
      <c r="J560" s="2" t="s">
        <v>2483</v>
      </c>
      <c r="K560" s="2" t="s">
        <v>1530</v>
      </c>
      <c r="L560" s="2" t="s">
        <v>503</v>
      </c>
      <c r="M560" s="2">
        <v>68.5</v>
      </c>
      <c r="N560" s="2">
        <v>1.0</v>
      </c>
      <c r="O560" s="2" t="s">
        <v>3659</v>
      </c>
      <c r="P560" s="2" t="s">
        <v>48</v>
      </c>
      <c r="Q560" s="2" t="s">
        <v>2037</v>
      </c>
      <c r="R560" s="2" t="s">
        <v>144</v>
      </c>
      <c r="S560" s="2" t="s">
        <v>67</v>
      </c>
    </row>
    <row r="561" ht="15.75" customHeight="1">
      <c r="A561" s="2" t="s">
        <v>3660</v>
      </c>
      <c r="B561" s="2" t="s">
        <v>3661</v>
      </c>
      <c r="C561" s="2" t="s">
        <v>2152</v>
      </c>
      <c r="D561" s="2" t="s">
        <v>2153</v>
      </c>
      <c r="E561" s="2" t="s">
        <v>2154</v>
      </c>
      <c r="F561" s="2" t="s">
        <v>2155</v>
      </c>
      <c r="G561" s="2" t="s">
        <v>114</v>
      </c>
      <c r="H561" s="2" t="s">
        <v>301</v>
      </c>
      <c r="I561" s="2" t="s">
        <v>522</v>
      </c>
      <c r="J561" s="2" t="s">
        <v>1815</v>
      </c>
      <c r="K561" s="2" t="s">
        <v>314</v>
      </c>
      <c r="L561" s="2" t="s">
        <v>368</v>
      </c>
      <c r="M561" s="2">
        <v>1175.08</v>
      </c>
      <c r="N561" s="2">
        <v>3.0</v>
      </c>
      <c r="O561" s="2" t="s">
        <v>3662</v>
      </c>
      <c r="P561" s="2" t="s">
        <v>65</v>
      </c>
      <c r="Q561" s="2" t="s">
        <v>33</v>
      </c>
      <c r="R561" s="2" t="s">
        <v>294</v>
      </c>
      <c r="S561" s="2" t="s">
        <v>81</v>
      </c>
    </row>
    <row r="562" ht="15.75" customHeight="1">
      <c r="A562" s="2" t="s">
        <v>3663</v>
      </c>
      <c r="B562" s="2" t="s">
        <v>3664</v>
      </c>
      <c r="C562" s="2" t="s">
        <v>1450</v>
      </c>
      <c r="D562" s="2" t="s">
        <v>1451</v>
      </c>
      <c r="E562" s="2" t="s">
        <v>1452</v>
      </c>
      <c r="G562" s="2" t="s">
        <v>399</v>
      </c>
      <c r="H562" s="2" t="s">
        <v>802</v>
      </c>
      <c r="I562" s="2" t="s">
        <v>401</v>
      </c>
      <c r="J562" s="2" t="s">
        <v>177</v>
      </c>
      <c r="K562" s="2" t="s">
        <v>178</v>
      </c>
      <c r="L562" s="2" t="s">
        <v>179</v>
      </c>
      <c r="M562" s="2">
        <v>793.05</v>
      </c>
      <c r="N562" s="2">
        <v>2.0</v>
      </c>
      <c r="O562" s="2" t="s">
        <v>3665</v>
      </c>
      <c r="P562" s="2" t="s">
        <v>32</v>
      </c>
      <c r="Q562" s="2" t="s">
        <v>66</v>
      </c>
      <c r="R562" s="2" t="s">
        <v>192</v>
      </c>
      <c r="S562" s="2" t="s">
        <v>133</v>
      </c>
    </row>
    <row r="563" ht="15.75" customHeight="1">
      <c r="A563" s="2" t="s">
        <v>3666</v>
      </c>
      <c r="B563" s="2" t="s">
        <v>3667</v>
      </c>
      <c r="C563" s="2" t="s">
        <v>1378</v>
      </c>
      <c r="D563" s="2" t="s">
        <v>1379</v>
      </c>
      <c r="E563" s="2" t="s">
        <v>1380</v>
      </c>
      <c r="F563" s="2" t="s">
        <v>1381</v>
      </c>
      <c r="G563" s="2" t="s">
        <v>801</v>
      </c>
      <c r="H563" s="2" t="s">
        <v>460</v>
      </c>
      <c r="I563" s="2" t="s">
        <v>480</v>
      </c>
      <c r="J563" s="2" t="s">
        <v>2631</v>
      </c>
      <c r="K563" s="2" t="s">
        <v>905</v>
      </c>
      <c r="L563" s="2" t="s">
        <v>248</v>
      </c>
      <c r="M563" s="2">
        <v>1001.68</v>
      </c>
      <c r="N563" s="2">
        <v>1.0</v>
      </c>
      <c r="O563" s="2" t="s">
        <v>3668</v>
      </c>
      <c r="P563" s="2" t="s">
        <v>95</v>
      </c>
      <c r="Q563" s="2" t="s">
        <v>143</v>
      </c>
      <c r="R563" s="2" t="s">
        <v>158</v>
      </c>
    </row>
    <row r="564" ht="15.75" customHeight="1">
      <c r="A564" s="2" t="s">
        <v>3669</v>
      </c>
      <c r="B564" s="2" t="s">
        <v>3670</v>
      </c>
      <c r="C564" s="2" t="s">
        <v>3671</v>
      </c>
      <c r="D564" s="2" t="s">
        <v>3672</v>
      </c>
      <c r="E564" s="2" t="s">
        <v>3673</v>
      </c>
      <c r="F564" s="2" t="s">
        <v>3674</v>
      </c>
      <c r="G564" s="2" t="s">
        <v>58</v>
      </c>
      <c r="H564" s="2" t="s">
        <v>3675</v>
      </c>
      <c r="I564" s="2" t="s">
        <v>312</v>
      </c>
      <c r="J564" s="2" t="s">
        <v>2024</v>
      </c>
      <c r="K564" s="2" t="s">
        <v>2025</v>
      </c>
      <c r="L564" s="2" t="s">
        <v>63</v>
      </c>
      <c r="M564" s="2">
        <v>1744.06</v>
      </c>
      <c r="N564" s="2">
        <v>3.0</v>
      </c>
      <c r="O564" s="2" t="s">
        <v>3676</v>
      </c>
      <c r="P564" s="2" t="s">
        <v>32</v>
      </c>
      <c r="Q564" s="2" t="s">
        <v>573</v>
      </c>
      <c r="R564" s="2" t="s">
        <v>818</v>
      </c>
    </row>
    <row r="565" ht="15.75" customHeight="1">
      <c r="A565" s="2" t="s">
        <v>3677</v>
      </c>
      <c r="B565" s="2" t="s">
        <v>3678</v>
      </c>
      <c r="C565" s="2" t="s">
        <v>1036</v>
      </c>
      <c r="D565" s="2" t="s">
        <v>1037</v>
      </c>
      <c r="E565" s="2" t="s">
        <v>1038</v>
      </c>
      <c r="F565" s="2" t="s">
        <v>2710</v>
      </c>
      <c r="G565" s="2" t="s">
        <v>58</v>
      </c>
      <c r="H565" s="2" t="s">
        <v>400</v>
      </c>
      <c r="I565" s="2" t="s">
        <v>43</v>
      </c>
      <c r="J565" s="2" t="s">
        <v>1722</v>
      </c>
      <c r="K565" s="2" t="s">
        <v>804</v>
      </c>
      <c r="L565" s="2" t="s">
        <v>368</v>
      </c>
      <c r="N565" s="2">
        <v>2.0</v>
      </c>
      <c r="O565" s="2" t="s">
        <v>3679</v>
      </c>
      <c r="P565" s="2" t="s">
        <v>65</v>
      </c>
      <c r="Q565" s="2" t="s">
        <v>2937</v>
      </c>
      <c r="R565" s="2" t="s">
        <v>169</v>
      </c>
    </row>
    <row r="566" ht="15.75" customHeight="1">
      <c r="A566" s="2" t="s">
        <v>3680</v>
      </c>
      <c r="B566" s="2" t="s">
        <v>3681</v>
      </c>
      <c r="C566" s="2" t="s">
        <v>3554</v>
      </c>
      <c r="D566" s="2" t="s">
        <v>3555</v>
      </c>
      <c r="E566" s="2" t="s">
        <v>3556</v>
      </c>
      <c r="F566" s="2" t="s">
        <v>3557</v>
      </c>
      <c r="G566" s="2" t="s">
        <v>58</v>
      </c>
      <c r="H566" s="2" t="s">
        <v>323</v>
      </c>
      <c r="I566" s="2" t="s">
        <v>60</v>
      </c>
      <c r="J566" s="2" t="s">
        <v>166</v>
      </c>
      <c r="K566" s="2" t="s">
        <v>118</v>
      </c>
      <c r="L566" s="2" t="s">
        <v>167</v>
      </c>
      <c r="N566" s="2">
        <v>1.0</v>
      </c>
      <c r="O566" s="2" t="s">
        <v>3682</v>
      </c>
      <c r="P566" s="2" t="s">
        <v>48</v>
      </c>
      <c r="Q566" s="2" t="s">
        <v>505</v>
      </c>
      <c r="R566" s="2" t="s">
        <v>306</v>
      </c>
      <c r="S566" s="2" t="s">
        <v>51</v>
      </c>
    </row>
    <row r="567" ht="15.75" customHeight="1">
      <c r="A567" s="2" t="s">
        <v>3683</v>
      </c>
      <c r="B567" s="2" t="s">
        <v>3684</v>
      </c>
      <c r="C567" s="2" t="s">
        <v>679</v>
      </c>
      <c r="D567" s="2" t="s">
        <v>680</v>
      </c>
      <c r="E567" s="2" t="s">
        <v>681</v>
      </c>
      <c r="F567" s="2" t="s">
        <v>682</v>
      </c>
      <c r="G567" s="2" t="s">
        <v>199</v>
      </c>
      <c r="H567" s="2" t="s">
        <v>59</v>
      </c>
      <c r="I567" s="2" t="s">
        <v>1207</v>
      </c>
      <c r="J567" s="2" t="s">
        <v>28</v>
      </c>
      <c r="K567" s="2" t="s">
        <v>29</v>
      </c>
      <c r="L567" s="2" t="s">
        <v>30</v>
      </c>
      <c r="N567" s="2">
        <v>5.0</v>
      </c>
      <c r="O567" s="2" t="s">
        <v>3685</v>
      </c>
      <c r="P567" s="2" t="s">
        <v>48</v>
      </c>
      <c r="Q567" s="2" t="s">
        <v>143</v>
      </c>
      <c r="R567" s="2" t="s">
        <v>192</v>
      </c>
      <c r="S567" s="2" t="s">
        <v>81</v>
      </c>
    </row>
    <row r="568" ht="15.75" customHeight="1">
      <c r="A568" s="2" t="s">
        <v>3686</v>
      </c>
      <c r="B568" s="2" t="s">
        <v>3687</v>
      </c>
      <c r="C568" s="2" t="s">
        <v>3688</v>
      </c>
      <c r="D568" s="2" t="s">
        <v>361</v>
      </c>
      <c r="E568" s="2" t="s">
        <v>3689</v>
      </c>
      <c r="F568" s="2" t="s">
        <v>3690</v>
      </c>
      <c r="G568" s="2" t="s">
        <v>3691</v>
      </c>
      <c r="H568" s="2" t="s">
        <v>223</v>
      </c>
      <c r="I568" s="2" t="s">
        <v>365</v>
      </c>
      <c r="J568" s="2" t="s">
        <v>1632</v>
      </c>
      <c r="K568" s="2" t="s">
        <v>1633</v>
      </c>
      <c r="L568" s="2" t="s">
        <v>742</v>
      </c>
      <c r="M568" s="2">
        <v>412.77</v>
      </c>
      <c r="N568" s="2">
        <v>1.0</v>
      </c>
      <c r="O568" s="2" t="s">
        <v>3692</v>
      </c>
      <c r="P568" s="2" t="s">
        <v>32</v>
      </c>
      <c r="Q568" s="2" t="s">
        <v>66</v>
      </c>
      <c r="R568" s="2" t="s">
        <v>80</v>
      </c>
    </row>
    <row r="569" ht="15.75" customHeight="1">
      <c r="A569" s="2" t="s">
        <v>3693</v>
      </c>
      <c r="B569" s="2" t="s">
        <v>3694</v>
      </c>
      <c r="C569" s="2" t="s">
        <v>3060</v>
      </c>
      <c r="D569" s="2" t="s">
        <v>3061</v>
      </c>
      <c r="E569" s="2" t="s">
        <v>3062</v>
      </c>
      <c r="F569" s="2" t="s">
        <v>3063</v>
      </c>
      <c r="G569" s="2" t="s">
        <v>364</v>
      </c>
      <c r="H569" s="2" t="s">
        <v>26</v>
      </c>
      <c r="I569" s="2" t="s">
        <v>1046</v>
      </c>
      <c r="J569" s="2" t="s">
        <v>2240</v>
      </c>
      <c r="K569" s="2" t="s">
        <v>712</v>
      </c>
      <c r="L569" s="2" t="s">
        <v>742</v>
      </c>
      <c r="M569" s="2">
        <v>1051.17</v>
      </c>
      <c r="N569" s="2">
        <v>5.0</v>
      </c>
      <c r="O569" s="2" t="s">
        <v>3695</v>
      </c>
      <c r="P569" s="2" t="s">
        <v>3269</v>
      </c>
      <c r="Q569" s="2" t="s">
        <v>664</v>
      </c>
      <c r="R569" s="2" t="s">
        <v>80</v>
      </c>
      <c r="S569" s="2" t="s">
        <v>133</v>
      </c>
    </row>
    <row r="570" ht="15.75" customHeight="1">
      <c r="A570" s="2" t="s">
        <v>3696</v>
      </c>
      <c r="B570" s="2" t="s">
        <v>3697</v>
      </c>
      <c r="C570" s="2" t="s">
        <v>1518</v>
      </c>
      <c r="D570" s="2" t="s">
        <v>1519</v>
      </c>
      <c r="E570" s="2" t="s">
        <v>1520</v>
      </c>
      <c r="F570" s="2" t="s">
        <v>1521</v>
      </c>
      <c r="G570" s="2" t="s">
        <v>58</v>
      </c>
      <c r="H570" s="2" t="s">
        <v>42</v>
      </c>
      <c r="I570" s="2" t="s">
        <v>500</v>
      </c>
      <c r="J570" s="2" t="s">
        <v>721</v>
      </c>
      <c r="K570" s="2" t="s">
        <v>259</v>
      </c>
      <c r="L570" s="2" t="s">
        <v>179</v>
      </c>
      <c r="M570" s="2">
        <v>1493.39</v>
      </c>
      <c r="N570" s="2">
        <v>1.0</v>
      </c>
      <c r="O570" s="2" t="s">
        <v>3698</v>
      </c>
      <c r="P570" s="2" t="s">
        <v>65</v>
      </c>
      <c r="Q570" s="2" t="s">
        <v>204</v>
      </c>
      <c r="R570" s="2" t="s">
        <v>80</v>
      </c>
      <c r="S570" s="2" t="s">
        <v>51</v>
      </c>
    </row>
    <row r="571" ht="15.75" customHeight="1">
      <c r="A571" s="2" t="s">
        <v>3699</v>
      </c>
      <c r="B571" s="2" t="s">
        <v>3700</v>
      </c>
      <c r="C571" s="2" t="s">
        <v>1437</v>
      </c>
      <c r="D571" s="2" t="s">
        <v>1438</v>
      </c>
      <c r="E571" s="2" t="s">
        <v>1439</v>
      </c>
      <c r="F571" s="2" t="s">
        <v>1440</v>
      </c>
      <c r="G571" s="2" t="s">
        <v>88</v>
      </c>
      <c r="H571" s="2" t="s">
        <v>210</v>
      </c>
      <c r="I571" s="2" t="s">
        <v>43</v>
      </c>
      <c r="J571" s="2" t="s">
        <v>44</v>
      </c>
      <c r="K571" s="2" t="s">
        <v>45</v>
      </c>
      <c r="L571" s="2" t="s">
        <v>46</v>
      </c>
      <c r="O571" s="2" t="s">
        <v>3701</v>
      </c>
      <c r="P571" s="2" t="s">
        <v>95</v>
      </c>
      <c r="Q571" s="2" t="s">
        <v>2937</v>
      </c>
      <c r="R571" s="2" t="s">
        <v>294</v>
      </c>
      <c r="S571" s="2" t="s">
        <v>81</v>
      </c>
    </row>
    <row r="572" ht="15.75" customHeight="1">
      <c r="A572" s="2" t="s">
        <v>3702</v>
      </c>
      <c r="B572" s="2" t="s">
        <v>3703</v>
      </c>
      <c r="C572" s="2" t="s">
        <v>3704</v>
      </c>
      <c r="D572" s="2" t="s">
        <v>3705</v>
      </c>
      <c r="E572" s="2" t="s">
        <v>3706</v>
      </c>
      <c r="F572" s="2" t="s">
        <v>3707</v>
      </c>
      <c r="G572" s="2" t="s">
        <v>459</v>
      </c>
      <c r="H572" s="2" t="s">
        <v>210</v>
      </c>
      <c r="I572" s="2" t="s">
        <v>480</v>
      </c>
      <c r="J572" s="2" t="s">
        <v>279</v>
      </c>
      <c r="K572" s="2" t="s">
        <v>280</v>
      </c>
      <c r="L572" s="2" t="s">
        <v>281</v>
      </c>
      <c r="N572" s="2">
        <v>1.0</v>
      </c>
      <c r="O572" s="2" t="s">
        <v>3708</v>
      </c>
      <c r="P572" s="2" t="s">
        <v>95</v>
      </c>
      <c r="Q572" s="2" t="s">
        <v>573</v>
      </c>
      <c r="R572" s="2" t="s">
        <v>192</v>
      </c>
      <c r="S572" s="2" t="s">
        <v>133</v>
      </c>
    </row>
    <row r="573" ht="15.75" customHeight="1">
      <c r="A573" s="2" t="s">
        <v>3709</v>
      </c>
      <c r="B573" s="2" t="s">
        <v>3710</v>
      </c>
      <c r="C573" s="2" t="s">
        <v>1133</v>
      </c>
      <c r="D573" s="2" t="s">
        <v>1134</v>
      </c>
      <c r="E573" s="2" t="s">
        <v>1135</v>
      </c>
      <c r="F573" s="2" t="s">
        <v>1136</v>
      </c>
      <c r="G573" s="2" t="s">
        <v>765</v>
      </c>
      <c r="H573" s="2" t="s">
        <v>223</v>
      </c>
      <c r="I573" s="2" t="s">
        <v>43</v>
      </c>
      <c r="J573" s="2" t="s">
        <v>2033</v>
      </c>
      <c r="K573" s="2" t="s">
        <v>2034</v>
      </c>
      <c r="L573" s="2" t="s">
        <v>1016</v>
      </c>
      <c r="M573" s="2">
        <v>674.34</v>
      </c>
      <c r="N573" s="2">
        <v>5.0</v>
      </c>
      <c r="O573" s="2" t="s">
        <v>3711</v>
      </c>
      <c r="P573" s="2" t="s">
        <v>32</v>
      </c>
      <c r="Q573" s="2" t="s">
        <v>49</v>
      </c>
      <c r="R573" s="2" t="s">
        <v>1171</v>
      </c>
    </row>
    <row r="574" ht="15.75" customHeight="1">
      <c r="A574" s="2" t="s">
        <v>3712</v>
      </c>
      <c r="B574" s="2" t="s">
        <v>3713</v>
      </c>
      <c r="C574" s="2" t="s">
        <v>3714</v>
      </c>
      <c r="D574" s="2" t="s">
        <v>3715</v>
      </c>
      <c r="F574" s="2" t="s">
        <v>3716</v>
      </c>
      <c r="G574" s="2" t="s">
        <v>88</v>
      </c>
      <c r="H574" s="2" t="s">
        <v>234</v>
      </c>
      <c r="I574" s="2" t="s">
        <v>480</v>
      </c>
      <c r="J574" s="2" t="s">
        <v>815</v>
      </c>
      <c r="K574" s="2" t="s">
        <v>816</v>
      </c>
      <c r="L574" s="2" t="s">
        <v>179</v>
      </c>
      <c r="M574" s="2">
        <v>1107.6</v>
      </c>
      <c r="N574" s="2">
        <v>2.0</v>
      </c>
      <c r="O574" s="2" t="s">
        <v>3717</v>
      </c>
      <c r="P574" s="2" t="s">
        <v>95</v>
      </c>
      <c r="Q574" s="2" t="s">
        <v>3358</v>
      </c>
      <c r="R574" s="2" t="s">
        <v>3718</v>
      </c>
    </row>
    <row r="575" ht="15.75" customHeight="1">
      <c r="A575" s="2" t="s">
        <v>3719</v>
      </c>
      <c r="B575" s="2" t="s">
        <v>3720</v>
      </c>
      <c r="C575" s="2" t="s">
        <v>3392</v>
      </c>
      <c r="D575" s="2" t="s">
        <v>3393</v>
      </c>
      <c r="E575" s="2" t="s">
        <v>3394</v>
      </c>
      <c r="G575" s="2" t="s">
        <v>1177</v>
      </c>
      <c r="H575" s="2" t="s">
        <v>26</v>
      </c>
      <c r="I575" s="2" t="s">
        <v>116</v>
      </c>
      <c r="J575" s="2" t="s">
        <v>3210</v>
      </c>
      <c r="K575" s="2" t="s">
        <v>3211</v>
      </c>
      <c r="L575" s="2" t="s">
        <v>167</v>
      </c>
      <c r="N575" s="2">
        <v>1.0</v>
      </c>
      <c r="O575" s="2" t="s">
        <v>3721</v>
      </c>
      <c r="P575" s="2" t="s">
        <v>32</v>
      </c>
      <c r="Q575" s="2" t="s">
        <v>3722</v>
      </c>
      <c r="R575" s="2" t="s">
        <v>294</v>
      </c>
      <c r="S575" s="2" t="s">
        <v>67</v>
      </c>
    </row>
    <row r="576" ht="15.75" customHeight="1">
      <c r="A576" s="2" t="s">
        <v>3723</v>
      </c>
      <c r="B576" s="2" t="s">
        <v>3724</v>
      </c>
      <c r="C576" s="2" t="s">
        <v>3725</v>
      </c>
      <c r="D576" s="2" t="s">
        <v>3726</v>
      </c>
      <c r="E576" s="2" t="s">
        <v>3727</v>
      </c>
      <c r="F576" s="2" t="s">
        <v>3728</v>
      </c>
      <c r="G576" s="2" t="s">
        <v>3729</v>
      </c>
      <c r="H576" s="2" t="s">
        <v>42</v>
      </c>
      <c r="I576" s="2" t="s">
        <v>522</v>
      </c>
      <c r="J576" s="2" t="s">
        <v>325</v>
      </c>
      <c r="K576" s="2" t="s">
        <v>326</v>
      </c>
      <c r="L576" s="2" t="s">
        <v>315</v>
      </c>
      <c r="M576" s="2">
        <v>233.02</v>
      </c>
      <c r="N576" s="2">
        <v>1.0</v>
      </c>
      <c r="O576" s="2" t="s">
        <v>3730</v>
      </c>
      <c r="P576" s="2" t="s">
        <v>283</v>
      </c>
      <c r="Q576" s="2" t="s">
        <v>664</v>
      </c>
      <c r="R576" s="2" t="s">
        <v>169</v>
      </c>
      <c r="S576" s="2" t="s">
        <v>133</v>
      </c>
    </row>
    <row r="577" ht="15.75" customHeight="1">
      <c r="A577" s="2" t="s">
        <v>3731</v>
      </c>
      <c r="B577" s="2" t="s">
        <v>3732</v>
      </c>
      <c r="C577" s="2" t="s">
        <v>3030</v>
      </c>
      <c r="D577" s="2" t="s">
        <v>3031</v>
      </c>
      <c r="E577" s="2" t="s">
        <v>3032</v>
      </c>
      <c r="F577" s="2" t="s">
        <v>3033</v>
      </c>
      <c r="G577" s="2" t="s">
        <v>114</v>
      </c>
      <c r="H577" s="2" t="s">
        <v>115</v>
      </c>
      <c r="I577" s="2" t="s">
        <v>75</v>
      </c>
      <c r="J577" s="2" t="s">
        <v>1476</v>
      </c>
      <c r="K577" s="2" t="s">
        <v>1147</v>
      </c>
      <c r="L577" s="2" t="s">
        <v>1477</v>
      </c>
      <c r="N577" s="2">
        <v>2.0</v>
      </c>
      <c r="O577" s="2" t="s">
        <v>3733</v>
      </c>
      <c r="P577" s="2" t="s">
        <v>95</v>
      </c>
      <c r="Q577" s="2" t="s">
        <v>66</v>
      </c>
      <c r="R577" s="2" t="s">
        <v>294</v>
      </c>
    </row>
    <row r="578" ht="15.75" customHeight="1">
      <c r="A578" s="2" t="s">
        <v>3734</v>
      </c>
      <c r="B578" s="2" t="s">
        <v>3735</v>
      </c>
      <c r="C578" s="2" t="s">
        <v>3736</v>
      </c>
      <c r="D578" s="2" t="s">
        <v>3737</v>
      </c>
      <c r="E578" s="2" t="s">
        <v>3738</v>
      </c>
      <c r="F578" s="2" t="s">
        <v>3739</v>
      </c>
      <c r="G578" s="2" t="s">
        <v>421</v>
      </c>
      <c r="H578" s="2" t="s">
        <v>479</v>
      </c>
      <c r="I578" s="2" t="s">
        <v>3740</v>
      </c>
      <c r="J578" s="2" t="s">
        <v>1014</v>
      </c>
      <c r="K578" s="2" t="s">
        <v>1015</v>
      </c>
      <c r="L578" s="2" t="s">
        <v>1016</v>
      </c>
      <c r="O578" s="2" t="s">
        <v>3741</v>
      </c>
      <c r="P578" s="2" t="s">
        <v>95</v>
      </c>
      <c r="Q578" s="2" t="s">
        <v>505</v>
      </c>
      <c r="R578" s="2" t="s">
        <v>442</v>
      </c>
    </row>
    <row r="579" ht="15.75" customHeight="1">
      <c r="A579" s="2" t="s">
        <v>3742</v>
      </c>
      <c r="B579" s="2" t="s">
        <v>3743</v>
      </c>
      <c r="C579" s="2" t="s">
        <v>3744</v>
      </c>
      <c r="D579" s="2" t="s">
        <v>3745</v>
      </c>
      <c r="E579" s="2" t="s">
        <v>3746</v>
      </c>
      <c r="F579" s="2" t="s">
        <v>3747</v>
      </c>
      <c r="G579" s="2" t="s">
        <v>671</v>
      </c>
      <c r="H579" s="2" t="s">
        <v>74</v>
      </c>
      <c r="I579" s="2" t="s">
        <v>43</v>
      </c>
      <c r="J579" s="2" t="s">
        <v>1783</v>
      </c>
      <c r="K579" s="2" t="s">
        <v>966</v>
      </c>
      <c r="L579" s="2" t="s">
        <v>514</v>
      </c>
      <c r="M579" s="2">
        <v>149.75</v>
      </c>
      <c r="N579" s="2">
        <v>2.0</v>
      </c>
      <c r="O579" s="2" t="s">
        <v>3748</v>
      </c>
      <c r="P579" s="2" t="s">
        <v>32</v>
      </c>
      <c r="Q579" s="2" t="s">
        <v>573</v>
      </c>
      <c r="R579" s="2" t="s">
        <v>3749</v>
      </c>
      <c r="S579" s="2" t="s">
        <v>51</v>
      </c>
    </row>
    <row r="580" ht="15.75" customHeight="1">
      <c r="A580" s="2" t="s">
        <v>3750</v>
      </c>
      <c r="B580" s="2" t="s">
        <v>3751</v>
      </c>
      <c r="C580" s="2" t="s">
        <v>1386</v>
      </c>
      <c r="D580" s="2" t="s">
        <v>1387</v>
      </c>
      <c r="E580" s="2" t="s">
        <v>1388</v>
      </c>
      <c r="F580" s="2" t="s">
        <v>1389</v>
      </c>
      <c r="G580" s="2" t="s">
        <v>608</v>
      </c>
      <c r="H580" s="2" t="s">
        <v>323</v>
      </c>
      <c r="I580" s="2" t="s">
        <v>43</v>
      </c>
      <c r="J580" s="2" t="s">
        <v>2398</v>
      </c>
      <c r="K580" s="2" t="s">
        <v>225</v>
      </c>
      <c r="L580" s="2" t="s">
        <v>179</v>
      </c>
      <c r="M580" s="2">
        <v>1542.53</v>
      </c>
      <c r="N580" s="2">
        <v>1.0</v>
      </c>
      <c r="O580" s="2" t="s">
        <v>3752</v>
      </c>
      <c r="P580" s="2" t="s">
        <v>65</v>
      </c>
      <c r="Q580" s="2" t="s">
        <v>526</v>
      </c>
      <c r="R580" s="2" t="s">
        <v>192</v>
      </c>
      <c r="S580" s="2" t="s">
        <v>133</v>
      </c>
    </row>
    <row r="581" ht="15.75" customHeight="1">
      <c r="A581" s="2" t="s">
        <v>3753</v>
      </c>
      <c r="B581" s="2" t="s">
        <v>3754</v>
      </c>
      <c r="C581" s="2" t="s">
        <v>3755</v>
      </c>
      <c r="D581" s="2" t="s">
        <v>3756</v>
      </c>
      <c r="E581" s="2" t="s">
        <v>3757</v>
      </c>
      <c r="F581" s="2" t="s">
        <v>3758</v>
      </c>
      <c r="G581" s="2" t="s">
        <v>114</v>
      </c>
      <c r="H581" s="2" t="s">
        <v>42</v>
      </c>
      <c r="I581" s="2" t="s">
        <v>480</v>
      </c>
      <c r="J581" s="2" t="s">
        <v>1400</v>
      </c>
      <c r="K581" s="2" t="s">
        <v>524</v>
      </c>
      <c r="L581" s="2" t="s">
        <v>1401</v>
      </c>
      <c r="M581" s="2">
        <v>1674.1</v>
      </c>
      <c r="N581" s="2">
        <v>1.0</v>
      </c>
      <c r="O581" s="2" t="s">
        <v>3759</v>
      </c>
      <c r="P581" s="2" t="s">
        <v>48</v>
      </c>
      <c r="Q581" s="2" t="s">
        <v>181</v>
      </c>
      <c r="R581" s="2" t="s">
        <v>80</v>
      </c>
      <c r="S581" s="2" t="s">
        <v>133</v>
      </c>
    </row>
    <row r="582" ht="15.75" customHeight="1">
      <c r="A582" s="2" t="s">
        <v>3760</v>
      </c>
      <c r="B582" s="2" t="s">
        <v>3761</v>
      </c>
      <c r="C582" s="2" t="s">
        <v>2352</v>
      </c>
      <c r="D582" s="2" t="s">
        <v>2353</v>
      </c>
      <c r="E582" s="2" t="s">
        <v>2354</v>
      </c>
      <c r="F582" s="2" t="s">
        <v>2355</v>
      </c>
      <c r="G582" s="2" t="s">
        <v>199</v>
      </c>
      <c r="H582" s="2" t="s">
        <v>234</v>
      </c>
      <c r="I582" s="2" t="s">
        <v>870</v>
      </c>
      <c r="J582" s="2" t="s">
        <v>1246</v>
      </c>
      <c r="K582" s="2" t="s">
        <v>1212</v>
      </c>
      <c r="L582" s="2" t="s">
        <v>514</v>
      </c>
      <c r="M582" s="2">
        <v>980.32</v>
      </c>
      <c r="O582" s="2" t="s">
        <v>3762</v>
      </c>
      <c r="P582" s="2" t="s">
        <v>32</v>
      </c>
      <c r="Q582" s="2" t="s">
        <v>181</v>
      </c>
      <c r="R582" s="2" t="s">
        <v>80</v>
      </c>
      <c r="S582" s="2" t="s">
        <v>51</v>
      </c>
    </row>
    <row r="583" ht="15.75" customHeight="1">
      <c r="A583" s="2" t="s">
        <v>3763</v>
      </c>
      <c r="B583" s="2" t="s">
        <v>3764</v>
      </c>
      <c r="C583" s="2" t="s">
        <v>3765</v>
      </c>
      <c r="D583" s="2" t="s">
        <v>708</v>
      </c>
      <c r="E583" s="2" t="s">
        <v>3766</v>
      </c>
      <c r="F583" s="2" t="s">
        <v>3767</v>
      </c>
      <c r="G583" s="2" t="s">
        <v>2110</v>
      </c>
      <c r="H583" s="2" t="s">
        <v>802</v>
      </c>
      <c r="I583" s="2" t="s">
        <v>103</v>
      </c>
      <c r="J583" s="2" t="s">
        <v>471</v>
      </c>
      <c r="K583" s="2" t="s">
        <v>472</v>
      </c>
      <c r="L583" s="2" t="s">
        <v>179</v>
      </c>
      <c r="M583" s="2">
        <v>596.87</v>
      </c>
      <c r="N583" s="2">
        <v>1.0</v>
      </c>
      <c r="O583" s="2" t="s">
        <v>3768</v>
      </c>
      <c r="P583" s="2" t="s">
        <v>95</v>
      </c>
      <c r="Q583" s="2" t="s">
        <v>143</v>
      </c>
      <c r="R583" s="2" t="s">
        <v>120</v>
      </c>
    </row>
    <row r="584" ht="15.75" customHeight="1">
      <c r="A584" s="2" t="s">
        <v>2542</v>
      </c>
      <c r="B584" s="2" t="s">
        <v>2543</v>
      </c>
      <c r="C584" s="2" t="s">
        <v>1250</v>
      </c>
      <c r="D584" s="2" t="s">
        <v>1251</v>
      </c>
      <c r="E584" s="2" t="s">
        <v>1252</v>
      </c>
      <c r="F584" s="2" t="s">
        <v>1253</v>
      </c>
      <c r="G584" s="2" t="s">
        <v>88</v>
      </c>
      <c r="H584" s="2" t="s">
        <v>234</v>
      </c>
      <c r="I584" s="2" t="s">
        <v>60</v>
      </c>
      <c r="J584" s="2" t="s">
        <v>313</v>
      </c>
      <c r="K584" s="2" t="s">
        <v>314</v>
      </c>
      <c r="L584" s="2" t="s">
        <v>315</v>
      </c>
      <c r="M584" s="2">
        <v>1549.46</v>
      </c>
      <c r="O584" s="2" t="s">
        <v>2544</v>
      </c>
      <c r="P584" s="2" t="s">
        <v>65</v>
      </c>
      <c r="Q584" s="2" t="s">
        <v>143</v>
      </c>
      <c r="R584" s="2" t="s">
        <v>2545</v>
      </c>
      <c r="S584" s="2" t="s">
        <v>67</v>
      </c>
    </row>
    <row r="585" ht="15.75" customHeight="1">
      <c r="A585" s="2" t="s">
        <v>3769</v>
      </c>
      <c r="B585" s="2" t="s">
        <v>3770</v>
      </c>
      <c r="C585" s="2" t="s">
        <v>3771</v>
      </c>
      <c r="D585" s="2" t="s">
        <v>3772</v>
      </c>
      <c r="E585" s="2" t="s">
        <v>3773</v>
      </c>
      <c r="F585" s="2" t="s">
        <v>3774</v>
      </c>
      <c r="G585" s="2" t="s">
        <v>459</v>
      </c>
      <c r="H585" s="2" t="s">
        <v>460</v>
      </c>
      <c r="I585" s="2" t="s">
        <v>324</v>
      </c>
      <c r="J585" s="2" t="s">
        <v>117</v>
      </c>
      <c r="K585" s="2" t="s">
        <v>118</v>
      </c>
      <c r="L585" s="2" t="s">
        <v>63</v>
      </c>
      <c r="M585" s="2">
        <v>242.85</v>
      </c>
      <c r="N585" s="2">
        <v>1.0</v>
      </c>
      <c r="O585" s="2" t="s">
        <v>3775</v>
      </c>
      <c r="P585" s="2" t="s">
        <v>65</v>
      </c>
      <c r="Q585" s="2" t="s">
        <v>370</v>
      </c>
      <c r="R585" s="2" t="s">
        <v>169</v>
      </c>
      <c r="S585" s="2" t="s">
        <v>81</v>
      </c>
    </row>
    <row r="586" ht="15.75" customHeight="1">
      <c r="A586" s="2" t="s">
        <v>3776</v>
      </c>
      <c r="B586" s="2" t="s">
        <v>3777</v>
      </c>
      <c r="C586" s="2" t="s">
        <v>1291</v>
      </c>
      <c r="D586" s="2" t="s">
        <v>1292</v>
      </c>
      <c r="E586" s="2" t="s">
        <v>1293</v>
      </c>
      <c r="F586" s="2" t="s">
        <v>1294</v>
      </c>
      <c r="G586" s="2" t="s">
        <v>199</v>
      </c>
      <c r="H586" s="2" t="s">
        <v>323</v>
      </c>
      <c r="I586" s="2" t="s">
        <v>75</v>
      </c>
      <c r="J586" s="2" t="s">
        <v>2024</v>
      </c>
      <c r="K586" s="2" t="s">
        <v>2025</v>
      </c>
      <c r="L586" s="2" t="s">
        <v>63</v>
      </c>
      <c r="N586" s="2">
        <v>1.0</v>
      </c>
      <c r="O586" s="2" t="s">
        <v>3778</v>
      </c>
      <c r="P586" s="2" t="s">
        <v>95</v>
      </c>
      <c r="Q586" s="2" t="s">
        <v>664</v>
      </c>
      <c r="R586" s="2" t="s">
        <v>144</v>
      </c>
    </row>
    <row r="587" ht="15.75" customHeight="1">
      <c r="A587" s="2" t="s">
        <v>3779</v>
      </c>
      <c r="B587" s="2" t="s">
        <v>3780</v>
      </c>
      <c r="C587" s="2" t="s">
        <v>3781</v>
      </c>
      <c r="D587" s="2" t="s">
        <v>3782</v>
      </c>
      <c r="E587" s="2" t="s">
        <v>3783</v>
      </c>
      <c r="F587" s="2" t="s">
        <v>3784</v>
      </c>
      <c r="G587" s="2" t="s">
        <v>364</v>
      </c>
      <c r="H587" s="2" t="s">
        <v>301</v>
      </c>
      <c r="I587" s="2" t="s">
        <v>176</v>
      </c>
      <c r="J587" s="2" t="s">
        <v>1085</v>
      </c>
      <c r="K587" s="2" t="s">
        <v>335</v>
      </c>
      <c r="L587" s="2" t="s">
        <v>368</v>
      </c>
      <c r="N587" s="2">
        <v>2.0</v>
      </c>
      <c r="O587" s="2" t="s">
        <v>3785</v>
      </c>
      <c r="P587" s="2" t="s">
        <v>32</v>
      </c>
      <c r="Q587" s="2" t="s">
        <v>49</v>
      </c>
      <c r="R587" s="2" t="s">
        <v>192</v>
      </c>
    </row>
    <row r="588" ht="15.75" customHeight="1">
      <c r="A588" s="2" t="s">
        <v>3786</v>
      </c>
      <c r="B588" s="2" t="s">
        <v>3787</v>
      </c>
      <c r="C588" s="2" t="s">
        <v>3788</v>
      </c>
      <c r="D588" s="2" t="s">
        <v>3789</v>
      </c>
      <c r="E588" s="2" t="s">
        <v>3790</v>
      </c>
      <c r="F588" s="2" t="s">
        <v>3791</v>
      </c>
      <c r="G588" s="2" t="s">
        <v>139</v>
      </c>
      <c r="H588" s="2" t="s">
        <v>2699</v>
      </c>
      <c r="I588" s="2" t="s">
        <v>43</v>
      </c>
      <c r="J588" s="2" t="s">
        <v>1597</v>
      </c>
      <c r="K588" s="2" t="s">
        <v>502</v>
      </c>
      <c r="L588" s="2" t="s">
        <v>355</v>
      </c>
      <c r="M588" s="2">
        <v>1239.33</v>
      </c>
      <c r="N588" s="2">
        <v>1.0</v>
      </c>
      <c r="O588" s="2" t="s">
        <v>3792</v>
      </c>
      <c r="P588" s="2" t="s">
        <v>65</v>
      </c>
      <c r="Q588" s="2" t="s">
        <v>526</v>
      </c>
      <c r="R588" s="2" t="s">
        <v>442</v>
      </c>
      <c r="S588" s="2" t="s">
        <v>51</v>
      </c>
    </row>
    <row r="589" ht="15.75" customHeight="1">
      <c r="A589" s="2" t="s">
        <v>3793</v>
      </c>
      <c r="B589" s="2" t="s">
        <v>3794</v>
      </c>
      <c r="C589" s="2" t="s">
        <v>3443</v>
      </c>
      <c r="D589" s="2" t="s">
        <v>3444</v>
      </c>
      <c r="E589" s="2" t="s">
        <v>3445</v>
      </c>
      <c r="F589" s="2" t="s">
        <v>3446</v>
      </c>
      <c r="G589" s="2" t="s">
        <v>3447</v>
      </c>
      <c r="H589" s="2" t="s">
        <v>74</v>
      </c>
      <c r="I589" s="2" t="s">
        <v>512</v>
      </c>
      <c r="J589" s="2" t="s">
        <v>2631</v>
      </c>
      <c r="K589" s="2" t="s">
        <v>905</v>
      </c>
      <c r="L589" s="2" t="s">
        <v>248</v>
      </c>
      <c r="M589" s="2">
        <v>496.08</v>
      </c>
      <c r="N589" s="2">
        <v>1.0</v>
      </c>
      <c r="O589" s="2" t="s">
        <v>3795</v>
      </c>
      <c r="P589" s="2" t="s">
        <v>65</v>
      </c>
      <c r="Q589" s="2" t="s">
        <v>33</v>
      </c>
      <c r="R589" s="2" t="s">
        <v>345</v>
      </c>
    </row>
    <row r="590" ht="15.75" customHeight="1">
      <c r="A590" s="2" t="s">
        <v>3796</v>
      </c>
      <c r="B590" s="2" t="s">
        <v>3797</v>
      </c>
      <c r="C590" s="2" t="s">
        <v>1006</v>
      </c>
      <c r="D590" s="2" t="s">
        <v>1007</v>
      </c>
      <c r="E590" s="2" t="s">
        <v>1008</v>
      </c>
      <c r="F590" s="2" t="s">
        <v>1009</v>
      </c>
      <c r="G590" s="2" t="s">
        <v>199</v>
      </c>
      <c r="H590" s="2" t="s">
        <v>26</v>
      </c>
      <c r="I590" s="2" t="s">
        <v>176</v>
      </c>
      <c r="J590" s="2" t="s">
        <v>439</v>
      </c>
      <c r="K590" s="2" t="s">
        <v>440</v>
      </c>
      <c r="L590" s="2" t="s">
        <v>63</v>
      </c>
      <c r="M590" s="2">
        <v>810.85</v>
      </c>
      <c r="N590" s="2">
        <v>5.0</v>
      </c>
      <c r="O590" s="2" t="s">
        <v>3798</v>
      </c>
      <c r="P590" s="2" t="s">
        <v>32</v>
      </c>
      <c r="Q590" s="2" t="s">
        <v>204</v>
      </c>
      <c r="R590" s="2" t="s">
        <v>34</v>
      </c>
    </row>
    <row r="591" ht="15.75" customHeight="1">
      <c r="A591" s="2" t="s">
        <v>3799</v>
      </c>
      <c r="B591" s="2" t="s">
        <v>3800</v>
      </c>
      <c r="C591" s="2" t="s">
        <v>1751</v>
      </c>
      <c r="D591" s="2" t="s">
        <v>1752</v>
      </c>
      <c r="E591" s="2" t="s">
        <v>1753</v>
      </c>
      <c r="F591" s="2" t="s">
        <v>1754</v>
      </c>
      <c r="G591" s="2" t="s">
        <v>139</v>
      </c>
      <c r="H591" s="2" t="s">
        <v>26</v>
      </c>
      <c r="I591" s="2" t="s">
        <v>103</v>
      </c>
      <c r="J591" s="2" t="s">
        <v>993</v>
      </c>
      <c r="K591" s="2" t="s">
        <v>994</v>
      </c>
      <c r="L591" s="2" t="s">
        <v>995</v>
      </c>
      <c r="N591" s="2">
        <v>1.0</v>
      </c>
      <c r="O591" s="2" t="s">
        <v>3801</v>
      </c>
      <c r="P591" s="2" t="s">
        <v>95</v>
      </c>
      <c r="Q591" s="2" t="s">
        <v>49</v>
      </c>
      <c r="R591" s="2" t="s">
        <v>50</v>
      </c>
    </row>
    <row r="592" ht="15.75" customHeight="1">
      <c r="A592" s="2" t="s">
        <v>3802</v>
      </c>
      <c r="B592" s="2" t="s">
        <v>3803</v>
      </c>
      <c r="C592" s="2" t="s">
        <v>3804</v>
      </c>
      <c r="D592" s="2" t="s">
        <v>3151</v>
      </c>
      <c r="E592" s="2" t="s">
        <v>3805</v>
      </c>
      <c r="F592" s="2" t="s">
        <v>3806</v>
      </c>
      <c r="G592" s="2" t="s">
        <v>421</v>
      </c>
      <c r="H592" s="2" t="s">
        <v>152</v>
      </c>
      <c r="I592" s="2" t="s">
        <v>176</v>
      </c>
      <c r="J592" s="2" t="s">
        <v>1575</v>
      </c>
      <c r="K592" s="2" t="s">
        <v>1576</v>
      </c>
      <c r="L592" s="2" t="s">
        <v>1577</v>
      </c>
      <c r="M592" s="2">
        <v>354.87</v>
      </c>
      <c r="N592" s="2">
        <v>3.0</v>
      </c>
      <c r="O592" s="2" t="s">
        <v>3807</v>
      </c>
      <c r="P592" s="2" t="s">
        <v>32</v>
      </c>
      <c r="Q592" s="2" t="s">
        <v>66</v>
      </c>
      <c r="R592" s="2" t="s">
        <v>294</v>
      </c>
      <c r="S592" s="2" t="s">
        <v>51</v>
      </c>
    </row>
    <row r="593" ht="15.75" customHeight="1">
      <c r="A593" s="2" t="s">
        <v>3808</v>
      </c>
      <c r="B593" s="2" t="s">
        <v>3809</v>
      </c>
      <c r="C593" s="2" t="s">
        <v>707</v>
      </c>
      <c r="D593" s="2" t="s">
        <v>708</v>
      </c>
      <c r="E593" s="2" t="s">
        <v>709</v>
      </c>
      <c r="F593" s="2" t="s">
        <v>710</v>
      </c>
      <c r="G593" s="2" t="s">
        <v>459</v>
      </c>
      <c r="H593" s="2" t="s">
        <v>1167</v>
      </c>
      <c r="I593" s="2" t="s">
        <v>289</v>
      </c>
      <c r="J593" s="2" t="s">
        <v>3810</v>
      </c>
      <c r="K593" s="2" t="s">
        <v>3811</v>
      </c>
      <c r="L593" s="2" t="s">
        <v>995</v>
      </c>
      <c r="M593" s="2">
        <v>856.38</v>
      </c>
      <c r="N593" s="2">
        <v>1.0</v>
      </c>
      <c r="O593" s="2" t="s">
        <v>3812</v>
      </c>
      <c r="P593" s="2" t="s">
        <v>95</v>
      </c>
      <c r="Q593" s="2" t="s">
        <v>143</v>
      </c>
      <c r="R593" s="2" t="s">
        <v>80</v>
      </c>
      <c r="S593" s="2" t="s">
        <v>81</v>
      </c>
    </row>
    <row r="594" ht="15.75" customHeight="1">
      <c r="A594" s="2" t="s">
        <v>3813</v>
      </c>
      <c r="B594" s="2" t="s">
        <v>3814</v>
      </c>
      <c r="C594" s="2" t="s">
        <v>2635</v>
      </c>
      <c r="D594" s="2" t="s">
        <v>2636</v>
      </c>
      <c r="E594" s="2" t="s">
        <v>2637</v>
      </c>
      <c r="F594" s="2" t="s">
        <v>2638</v>
      </c>
      <c r="G594" s="2" t="s">
        <v>1177</v>
      </c>
      <c r="H594" s="2" t="s">
        <v>223</v>
      </c>
      <c r="I594" s="2" t="s">
        <v>103</v>
      </c>
      <c r="J594" s="2" t="s">
        <v>2273</v>
      </c>
      <c r="K594" s="2" t="s">
        <v>2274</v>
      </c>
      <c r="L594" s="2" t="s">
        <v>1328</v>
      </c>
      <c r="M594" s="2">
        <v>1331.3</v>
      </c>
      <c r="N594" s="2">
        <v>5.0</v>
      </c>
      <c r="O594" s="2" t="s">
        <v>3815</v>
      </c>
      <c r="P594" s="2" t="s">
        <v>48</v>
      </c>
      <c r="Q594" s="2" t="s">
        <v>370</v>
      </c>
      <c r="R594" s="2" t="s">
        <v>306</v>
      </c>
      <c r="S594" s="2" t="s">
        <v>81</v>
      </c>
    </row>
    <row r="595" ht="15.75" customHeight="1">
      <c r="A595" s="2" t="s">
        <v>3816</v>
      </c>
      <c r="B595" s="2" t="s">
        <v>3817</v>
      </c>
      <c r="C595" s="2" t="s">
        <v>3818</v>
      </c>
      <c r="D595" s="2" t="s">
        <v>3819</v>
      </c>
      <c r="F595" s="2" t="s">
        <v>3820</v>
      </c>
      <c r="G595" s="2" t="s">
        <v>1177</v>
      </c>
      <c r="H595" s="2" t="s">
        <v>115</v>
      </c>
      <c r="I595" s="2" t="s">
        <v>289</v>
      </c>
      <c r="J595" s="2" t="s">
        <v>3172</v>
      </c>
      <c r="K595" s="2" t="s">
        <v>3173</v>
      </c>
      <c r="L595" s="2" t="s">
        <v>355</v>
      </c>
      <c r="N595" s="2">
        <v>1.0</v>
      </c>
      <c r="O595" s="2" t="s">
        <v>3821</v>
      </c>
      <c r="P595" s="2" t="s">
        <v>95</v>
      </c>
      <c r="Q595" s="2" t="s">
        <v>157</v>
      </c>
      <c r="R595" s="2" t="s">
        <v>50</v>
      </c>
      <c r="S595" s="2" t="s">
        <v>67</v>
      </c>
    </row>
    <row r="596" ht="15.75" customHeight="1">
      <c r="A596" s="2" t="s">
        <v>3822</v>
      </c>
      <c r="B596" s="2" t="s">
        <v>3823</v>
      </c>
      <c r="C596" s="2" t="s">
        <v>3067</v>
      </c>
      <c r="D596" s="2" t="s">
        <v>3068</v>
      </c>
      <c r="E596" s="2" t="s">
        <v>3069</v>
      </c>
      <c r="G596" s="2" t="s">
        <v>785</v>
      </c>
      <c r="H596" s="2" t="s">
        <v>400</v>
      </c>
      <c r="I596" s="2" t="s">
        <v>480</v>
      </c>
      <c r="J596" s="2" t="s">
        <v>1856</v>
      </c>
      <c r="K596" s="2" t="s">
        <v>118</v>
      </c>
      <c r="L596" s="2" t="s">
        <v>167</v>
      </c>
      <c r="N596" s="2">
        <v>1.0</v>
      </c>
      <c r="O596" s="2" t="s">
        <v>3824</v>
      </c>
      <c r="P596" s="2" t="s">
        <v>32</v>
      </c>
      <c r="Q596" s="2" t="s">
        <v>143</v>
      </c>
      <c r="R596" s="2" t="s">
        <v>294</v>
      </c>
      <c r="S596" s="2" t="s">
        <v>51</v>
      </c>
    </row>
    <row r="597" ht="15.75" customHeight="1">
      <c r="A597" s="2" t="s">
        <v>3825</v>
      </c>
      <c r="B597" s="2" t="s">
        <v>3826</v>
      </c>
      <c r="C597" s="2" t="s">
        <v>2329</v>
      </c>
      <c r="D597" s="2" t="s">
        <v>2330</v>
      </c>
      <c r="E597" s="2" t="s">
        <v>2331</v>
      </c>
      <c r="F597" s="2" t="s">
        <v>2332</v>
      </c>
      <c r="G597" s="2" t="s">
        <v>139</v>
      </c>
      <c r="H597" s="2" t="s">
        <v>59</v>
      </c>
      <c r="I597" s="2" t="s">
        <v>1245</v>
      </c>
      <c r="J597" s="2" t="s">
        <v>269</v>
      </c>
      <c r="K597" s="2" t="s">
        <v>270</v>
      </c>
      <c r="L597" s="2" t="s">
        <v>271</v>
      </c>
      <c r="N597" s="2">
        <v>5.0</v>
      </c>
      <c r="O597" s="2" t="s">
        <v>3827</v>
      </c>
      <c r="P597" s="2" t="s">
        <v>48</v>
      </c>
      <c r="Q597" s="2" t="s">
        <v>49</v>
      </c>
      <c r="R597" s="2" t="s">
        <v>169</v>
      </c>
      <c r="S597" s="2" t="s">
        <v>133</v>
      </c>
    </row>
    <row r="598" ht="15.75" customHeight="1">
      <c r="A598" s="2" t="s">
        <v>3828</v>
      </c>
      <c r="B598" s="2" t="s">
        <v>3829</v>
      </c>
      <c r="C598" s="2" t="s">
        <v>3830</v>
      </c>
      <c r="D598" s="2" t="s">
        <v>3831</v>
      </c>
      <c r="E598" s="2" t="s">
        <v>3126</v>
      </c>
      <c r="F598" s="2" t="s">
        <v>3832</v>
      </c>
      <c r="G598" s="2" t="s">
        <v>139</v>
      </c>
      <c r="H598" s="2" t="s">
        <v>26</v>
      </c>
      <c r="I598" s="2" t="s">
        <v>3833</v>
      </c>
      <c r="J598" s="2" t="s">
        <v>402</v>
      </c>
      <c r="K598" s="2" t="s">
        <v>403</v>
      </c>
      <c r="L598" s="2" t="s">
        <v>404</v>
      </c>
      <c r="M598" s="2">
        <v>988.86</v>
      </c>
      <c r="N598" s="2">
        <v>2.0</v>
      </c>
      <c r="O598" s="2" t="s">
        <v>3834</v>
      </c>
      <c r="P598" s="2" t="s">
        <v>65</v>
      </c>
      <c r="Q598" s="2" t="s">
        <v>414</v>
      </c>
      <c r="R598" s="2" t="s">
        <v>818</v>
      </c>
    </row>
    <row r="599" ht="15.75" customHeight="1">
      <c r="A599" s="2" t="s">
        <v>3835</v>
      </c>
      <c r="B599" s="2" t="s">
        <v>3836</v>
      </c>
      <c r="C599" s="2" t="s">
        <v>496</v>
      </c>
      <c r="D599" s="2" t="s">
        <v>497</v>
      </c>
      <c r="E599" s="2" t="s">
        <v>498</v>
      </c>
      <c r="F599" s="2" t="s">
        <v>499</v>
      </c>
      <c r="G599" s="2" t="s">
        <v>139</v>
      </c>
      <c r="H599" s="2" t="s">
        <v>3837</v>
      </c>
      <c r="I599" s="2" t="s">
        <v>43</v>
      </c>
      <c r="J599" s="2" t="s">
        <v>325</v>
      </c>
      <c r="K599" s="2" t="s">
        <v>326</v>
      </c>
      <c r="L599" s="2" t="s">
        <v>315</v>
      </c>
      <c r="M599" s="2">
        <v>1656.13</v>
      </c>
      <c r="N599" s="2">
        <v>2.0</v>
      </c>
      <c r="O599" s="2" t="s">
        <v>3838</v>
      </c>
      <c r="P599" s="2" t="s">
        <v>48</v>
      </c>
      <c r="Q599" s="2" t="s">
        <v>49</v>
      </c>
      <c r="R599" s="2" t="s">
        <v>306</v>
      </c>
      <c r="S599" s="2" t="s">
        <v>67</v>
      </c>
    </row>
    <row r="600" ht="15.75" customHeight="1">
      <c r="A600" s="2" t="s">
        <v>3839</v>
      </c>
      <c r="B600" s="2" t="s">
        <v>3840</v>
      </c>
      <c r="C600" s="2" t="s">
        <v>773</v>
      </c>
      <c r="D600" s="2" t="s">
        <v>774</v>
      </c>
      <c r="E600" s="2" t="s">
        <v>775</v>
      </c>
      <c r="F600" s="2" t="s">
        <v>776</v>
      </c>
      <c r="G600" s="2" t="s">
        <v>777</v>
      </c>
      <c r="H600" s="2" t="s">
        <v>42</v>
      </c>
      <c r="I600" s="2" t="s">
        <v>480</v>
      </c>
      <c r="J600" s="2" t="s">
        <v>3454</v>
      </c>
      <c r="K600" s="2" t="s">
        <v>270</v>
      </c>
      <c r="L600" s="2" t="s">
        <v>179</v>
      </c>
      <c r="M600" s="2">
        <v>1278.9</v>
      </c>
      <c r="N600" s="2">
        <v>1.0</v>
      </c>
      <c r="O600" s="2" t="s">
        <v>3841</v>
      </c>
      <c r="P600" s="2" t="s">
        <v>95</v>
      </c>
      <c r="Q600" s="2" t="s">
        <v>204</v>
      </c>
      <c r="R600" s="2" t="s">
        <v>169</v>
      </c>
    </row>
    <row r="601" ht="15.75" customHeight="1">
      <c r="A601" s="2" t="s">
        <v>3842</v>
      </c>
      <c r="B601" s="2" t="s">
        <v>3843</v>
      </c>
      <c r="C601" s="2" t="s">
        <v>2179</v>
      </c>
      <c r="D601" s="2" t="s">
        <v>2180</v>
      </c>
      <c r="G601" s="2" t="s">
        <v>1177</v>
      </c>
      <c r="H601" s="2" t="s">
        <v>234</v>
      </c>
      <c r="I601" s="2" t="s">
        <v>870</v>
      </c>
      <c r="J601" s="2" t="s">
        <v>965</v>
      </c>
      <c r="K601" s="2" t="s">
        <v>966</v>
      </c>
      <c r="L601" s="2" t="s">
        <v>967</v>
      </c>
      <c r="M601" s="2">
        <v>563.78</v>
      </c>
      <c r="N601" s="2">
        <v>2.0</v>
      </c>
      <c r="O601" s="2" t="s">
        <v>3844</v>
      </c>
      <c r="P601" s="2" t="s">
        <v>48</v>
      </c>
      <c r="Q601" s="2" t="s">
        <v>505</v>
      </c>
      <c r="R601" s="2" t="s">
        <v>1312</v>
      </c>
    </row>
    <row r="602" ht="15.75" customHeight="1">
      <c r="A602" s="2" t="s">
        <v>3845</v>
      </c>
      <c r="B602" s="2" t="s">
        <v>3846</v>
      </c>
      <c r="C602" s="2" t="s">
        <v>3847</v>
      </c>
      <c r="D602" s="2" t="s">
        <v>3848</v>
      </c>
      <c r="F602" s="2" t="s">
        <v>3849</v>
      </c>
      <c r="G602" s="2" t="s">
        <v>114</v>
      </c>
      <c r="H602" s="2" t="s">
        <v>3850</v>
      </c>
      <c r="I602" s="2" t="s">
        <v>176</v>
      </c>
      <c r="J602" s="2" t="s">
        <v>1014</v>
      </c>
      <c r="K602" s="2" t="s">
        <v>1015</v>
      </c>
      <c r="L602" s="2" t="s">
        <v>1016</v>
      </c>
      <c r="N602" s="2">
        <v>2.0</v>
      </c>
      <c r="O602" s="2" t="s">
        <v>3851</v>
      </c>
      <c r="P602" s="2" t="s">
        <v>48</v>
      </c>
      <c r="Q602" s="2" t="s">
        <v>238</v>
      </c>
      <c r="R602" s="2" t="s">
        <v>380</v>
      </c>
    </row>
    <row r="603" ht="15.75" customHeight="1">
      <c r="A603" s="2" t="s">
        <v>3852</v>
      </c>
      <c r="B603" s="2" t="s">
        <v>3853</v>
      </c>
      <c r="C603" s="2" t="s">
        <v>2776</v>
      </c>
      <c r="D603" s="2" t="s">
        <v>2777</v>
      </c>
      <c r="E603" s="2" t="s">
        <v>2778</v>
      </c>
      <c r="F603" s="2" t="s">
        <v>2779</v>
      </c>
      <c r="G603" s="2" t="s">
        <v>2780</v>
      </c>
      <c r="H603" s="2" t="s">
        <v>42</v>
      </c>
      <c r="I603" s="2" t="s">
        <v>3854</v>
      </c>
      <c r="J603" s="2" t="s">
        <v>2539</v>
      </c>
      <c r="K603" s="2" t="s">
        <v>403</v>
      </c>
      <c r="L603" s="2" t="s">
        <v>1328</v>
      </c>
      <c r="M603" s="2">
        <v>1517.86</v>
      </c>
      <c r="N603" s="2">
        <v>1.0</v>
      </c>
      <c r="O603" s="2" t="s">
        <v>3855</v>
      </c>
      <c r="P603" s="2" t="s">
        <v>65</v>
      </c>
      <c r="Q603" s="2" t="s">
        <v>505</v>
      </c>
      <c r="R603" s="2" t="s">
        <v>192</v>
      </c>
      <c r="S603" s="2" t="s">
        <v>133</v>
      </c>
    </row>
    <row r="604" ht="15.75" customHeight="1">
      <c r="A604" s="2" t="s">
        <v>3856</v>
      </c>
      <c r="B604" s="2" t="s">
        <v>3857</v>
      </c>
      <c r="C604" s="2" t="s">
        <v>2300</v>
      </c>
      <c r="D604" s="2" t="s">
        <v>2301</v>
      </c>
      <c r="E604" s="2" t="s">
        <v>2302</v>
      </c>
      <c r="F604" s="2" t="s">
        <v>2303</v>
      </c>
      <c r="G604" s="2" t="s">
        <v>608</v>
      </c>
      <c r="H604" s="2" t="s">
        <v>59</v>
      </c>
      <c r="I604" s="2" t="s">
        <v>870</v>
      </c>
      <c r="J604" s="2" t="s">
        <v>692</v>
      </c>
      <c r="K604" s="2" t="s">
        <v>693</v>
      </c>
      <c r="L604" s="2" t="s">
        <v>368</v>
      </c>
      <c r="M604" s="2">
        <v>264.49</v>
      </c>
      <c r="N604" s="2">
        <v>1.0</v>
      </c>
      <c r="O604" s="2" t="s">
        <v>3858</v>
      </c>
      <c r="P604" s="2" t="s">
        <v>48</v>
      </c>
      <c r="Q604" s="2" t="s">
        <v>143</v>
      </c>
      <c r="R604" s="2" t="s">
        <v>80</v>
      </c>
      <c r="S604" s="2" t="s">
        <v>133</v>
      </c>
    </row>
    <row r="605" ht="15.75" customHeight="1">
      <c r="A605" s="2" t="s">
        <v>3859</v>
      </c>
      <c r="B605" s="2" t="s">
        <v>3860</v>
      </c>
      <c r="C605" s="2" t="s">
        <v>3861</v>
      </c>
      <c r="D605" s="2" t="s">
        <v>3862</v>
      </c>
      <c r="E605" s="2" t="s">
        <v>3863</v>
      </c>
      <c r="F605" s="2" t="s">
        <v>3864</v>
      </c>
      <c r="G605" s="2" t="s">
        <v>777</v>
      </c>
      <c r="H605" s="2" t="s">
        <v>400</v>
      </c>
      <c r="I605" s="2" t="s">
        <v>352</v>
      </c>
      <c r="J605" s="2" t="s">
        <v>767</v>
      </c>
      <c r="K605" s="2" t="s">
        <v>768</v>
      </c>
      <c r="L605" s="2" t="s">
        <v>769</v>
      </c>
      <c r="M605" s="2">
        <v>684.31</v>
      </c>
      <c r="N605" s="2">
        <v>1.0</v>
      </c>
      <c r="O605" s="2" t="s">
        <v>3865</v>
      </c>
      <c r="P605" s="2" t="s">
        <v>48</v>
      </c>
      <c r="Q605" s="2" t="s">
        <v>181</v>
      </c>
      <c r="R605" s="2" t="s">
        <v>1171</v>
      </c>
    </row>
    <row r="606" ht="15.75" customHeight="1">
      <c r="A606" s="2" t="s">
        <v>3866</v>
      </c>
      <c r="B606" s="2" t="s">
        <v>3867</v>
      </c>
      <c r="C606" s="2" t="s">
        <v>3868</v>
      </c>
      <c r="D606" s="2" t="s">
        <v>3869</v>
      </c>
      <c r="E606" s="2" t="s">
        <v>3870</v>
      </c>
      <c r="F606" s="2" t="s">
        <v>3871</v>
      </c>
      <c r="G606" s="2" t="s">
        <v>387</v>
      </c>
      <c r="H606" s="2" t="s">
        <v>26</v>
      </c>
      <c r="I606" s="2" t="s">
        <v>90</v>
      </c>
      <c r="J606" s="2" t="s">
        <v>889</v>
      </c>
      <c r="K606" s="2" t="s">
        <v>804</v>
      </c>
      <c r="L606" s="2" t="s">
        <v>179</v>
      </c>
      <c r="M606" s="2">
        <v>940.07</v>
      </c>
      <c r="N606" s="2">
        <v>1.0</v>
      </c>
      <c r="O606" s="2" t="s">
        <v>3872</v>
      </c>
      <c r="P606" s="2" t="s">
        <v>95</v>
      </c>
      <c r="Q606" s="2" t="s">
        <v>305</v>
      </c>
      <c r="R606" s="2" t="s">
        <v>527</v>
      </c>
    </row>
    <row r="607" ht="15.75" customHeight="1">
      <c r="A607" s="2" t="s">
        <v>3873</v>
      </c>
      <c r="B607" s="2" t="s">
        <v>3874</v>
      </c>
      <c r="C607" s="2" t="s">
        <v>2193</v>
      </c>
      <c r="D607" s="2" t="s">
        <v>2194</v>
      </c>
      <c r="E607" s="2" t="s">
        <v>2195</v>
      </c>
      <c r="F607" s="2" t="s">
        <v>2196</v>
      </c>
      <c r="G607" s="2" t="s">
        <v>199</v>
      </c>
      <c r="H607" s="2" t="s">
        <v>59</v>
      </c>
      <c r="I607" s="2" t="s">
        <v>176</v>
      </c>
      <c r="J607" s="2" t="s">
        <v>1722</v>
      </c>
      <c r="K607" s="2" t="s">
        <v>804</v>
      </c>
      <c r="L607" s="2" t="s">
        <v>368</v>
      </c>
      <c r="M607" s="2">
        <v>239.54</v>
      </c>
      <c r="N607" s="2">
        <v>2.0</v>
      </c>
      <c r="O607" s="2" t="s">
        <v>3875</v>
      </c>
      <c r="P607" s="2" t="s">
        <v>32</v>
      </c>
      <c r="Q607" s="2" t="s">
        <v>66</v>
      </c>
      <c r="R607" s="2" t="s">
        <v>380</v>
      </c>
    </row>
    <row r="608" ht="15.75" customHeight="1">
      <c r="A608" s="2" t="s">
        <v>3876</v>
      </c>
      <c r="B608" s="2" t="s">
        <v>3877</v>
      </c>
      <c r="C608" s="2" t="s">
        <v>821</v>
      </c>
      <c r="D608" s="2" t="s">
        <v>822</v>
      </c>
      <c r="E608" s="2" t="s">
        <v>823</v>
      </c>
      <c r="F608" s="2" t="s">
        <v>3878</v>
      </c>
      <c r="G608" s="2" t="s">
        <v>199</v>
      </c>
      <c r="H608" s="2" t="s">
        <v>683</v>
      </c>
      <c r="I608" s="2" t="s">
        <v>43</v>
      </c>
      <c r="J608" s="2" t="s">
        <v>189</v>
      </c>
      <c r="K608" s="2" t="s">
        <v>190</v>
      </c>
      <c r="L608" s="2" t="s">
        <v>167</v>
      </c>
      <c r="N608" s="2">
        <v>2.0</v>
      </c>
      <c r="O608" s="2" t="s">
        <v>3879</v>
      </c>
      <c r="P608" s="2" t="s">
        <v>65</v>
      </c>
      <c r="Q608" s="2" t="s">
        <v>181</v>
      </c>
      <c r="R608" s="2" t="s">
        <v>144</v>
      </c>
    </row>
    <row r="609" ht="15.75" customHeight="1">
      <c r="A609" s="2" t="s">
        <v>3880</v>
      </c>
      <c r="B609" s="2" t="s">
        <v>3881</v>
      </c>
      <c r="C609" s="2" t="s">
        <v>3882</v>
      </c>
      <c r="D609" s="2" t="s">
        <v>3883</v>
      </c>
      <c r="E609" s="2" t="s">
        <v>3884</v>
      </c>
      <c r="F609" s="2" t="s">
        <v>3885</v>
      </c>
      <c r="G609" s="2" t="s">
        <v>114</v>
      </c>
      <c r="H609" s="2" t="s">
        <v>210</v>
      </c>
      <c r="I609" s="2" t="s">
        <v>401</v>
      </c>
      <c r="J609" s="2" t="s">
        <v>2012</v>
      </c>
      <c r="K609" s="2" t="s">
        <v>741</v>
      </c>
      <c r="L609" s="2" t="s">
        <v>514</v>
      </c>
      <c r="M609" s="2">
        <v>1154.97</v>
      </c>
      <c r="N609" s="2">
        <v>3.0</v>
      </c>
      <c r="O609" s="2" t="s">
        <v>3886</v>
      </c>
      <c r="P609" s="2" t="s">
        <v>95</v>
      </c>
      <c r="Q609" s="2" t="s">
        <v>664</v>
      </c>
      <c r="R609" s="2" t="s">
        <v>261</v>
      </c>
      <c r="S609" s="2" t="s">
        <v>133</v>
      </c>
    </row>
    <row r="610" ht="15.75" customHeight="1">
      <c r="A610" s="2" t="s">
        <v>3887</v>
      </c>
      <c r="B610" s="2" t="s">
        <v>3888</v>
      </c>
      <c r="C610" s="2" t="s">
        <v>915</v>
      </c>
      <c r="D610" s="2" t="s">
        <v>916</v>
      </c>
      <c r="E610" s="2" t="s">
        <v>917</v>
      </c>
      <c r="F610" s="2" t="s">
        <v>918</v>
      </c>
      <c r="G610" s="2" t="s">
        <v>364</v>
      </c>
      <c r="H610" s="2" t="s">
        <v>683</v>
      </c>
      <c r="I610" s="2" t="s">
        <v>333</v>
      </c>
      <c r="J610" s="2" t="s">
        <v>1271</v>
      </c>
      <c r="K610" s="2" t="s">
        <v>1272</v>
      </c>
      <c r="L610" s="2" t="s">
        <v>167</v>
      </c>
      <c r="N610" s="2">
        <v>1.0</v>
      </c>
      <c r="O610" s="2" t="s">
        <v>3889</v>
      </c>
      <c r="P610" s="2" t="s">
        <v>48</v>
      </c>
      <c r="Q610" s="2" t="s">
        <v>33</v>
      </c>
      <c r="R610" s="2" t="s">
        <v>158</v>
      </c>
      <c r="S610" s="2" t="s">
        <v>133</v>
      </c>
    </row>
    <row r="611" ht="15.75" customHeight="1">
      <c r="A611" s="2" t="s">
        <v>3890</v>
      </c>
      <c r="B611" s="2" t="s">
        <v>3891</v>
      </c>
      <c r="C611" s="2" t="s">
        <v>2722</v>
      </c>
      <c r="D611" s="2" t="s">
        <v>717</v>
      </c>
      <c r="E611" s="2" t="s">
        <v>2723</v>
      </c>
      <c r="F611" s="2" t="s">
        <v>2724</v>
      </c>
      <c r="G611" s="2" t="s">
        <v>114</v>
      </c>
      <c r="H611" s="2" t="s">
        <v>115</v>
      </c>
      <c r="I611" s="2" t="s">
        <v>401</v>
      </c>
      <c r="J611" s="2" t="s">
        <v>1014</v>
      </c>
      <c r="K611" s="2" t="s">
        <v>1015</v>
      </c>
      <c r="L611" s="2" t="s">
        <v>1016</v>
      </c>
      <c r="M611" s="2">
        <v>472.25</v>
      </c>
      <c r="N611" s="2">
        <v>2.0</v>
      </c>
      <c r="O611" s="2" t="s">
        <v>3892</v>
      </c>
      <c r="P611" s="2" t="s">
        <v>65</v>
      </c>
      <c r="Q611" s="2" t="s">
        <v>181</v>
      </c>
      <c r="R611" s="2" t="s">
        <v>306</v>
      </c>
      <c r="S611" s="2" t="s">
        <v>133</v>
      </c>
    </row>
    <row r="612" ht="15.75" customHeight="1">
      <c r="A612" s="2" t="s">
        <v>3893</v>
      </c>
      <c r="B612" s="2" t="s">
        <v>3894</v>
      </c>
      <c r="C612" s="2" t="s">
        <v>3895</v>
      </c>
      <c r="D612" s="2" t="s">
        <v>3896</v>
      </c>
      <c r="E612" s="2" t="s">
        <v>3897</v>
      </c>
      <c r="F612" s="2" t="s">
        <v>3898</v>
      </c>
      <c r="G612" s="2" t="s">
        <v>25</v>
      </c>
      <c r="H612" s="2" t="s">
        <v>3899</v>
      </c>
      <c r="I612" s="2" t="s">
        <v>870</v>
      </c>
      <c r="J612" s="2" t="s">
        <v>965</v>
      </c>
      <c r="K612" s="2" t="s">
        <v>966</v>
      </c>
      <c r="L612" s="2" t="s">
        <v>967</v>
      </c>
      <c r="M612" s="2">
        <v>38.42</v>
      </c>
      <c r="N612" s="2">
        <v>1.0</v>
      </c>
      <c r="O612" s="2" t="s">
        <v>3900</v>
      </c>
      <c r="P612" s="2" t="s">
        <v>65</v>
      </c>
      <c r="Q612" s="2" t="s">
        <v>526</v>
      </c>
      <c r="R612" s="2" t="s">
        <v>294</v>
      </c>
    </row>
    <row r="613" ht="15.75" customHeight="1">
      <c r="A613" s="2" t="s">
        <v>3901</v>
      </c>
      <c r="B613" s="2" t="s">
        <v>3902</v>
      </c>
      <c r="C613" s="2" t="s">
        <v>3903</v>
      </c>
      <c r="D613" s="2" t="s">
        <v>3904</v>
      </c>
      <c r="E613" s="2" t="s">
        <v>3905</v>
      </c>
      <c r="F613" s="2" t="s">
        <v>3906</v>
      </c>
      <c r="G613" s="2" t="s">
        <v>1078</v>
      </c>
      <c r="H613" s="2" t="s">
        <v>115</v>
      </c>
      <c r="I613" s="2" t="s">
        <v>103</v>
      </c>
      <c r="J613" s="2" t="s">
        <v>411</v>
      </c>
      <c r="K613" s="2" t="s">
        <v>412</v>
      </c>
      <c r="L613" s="2" t="s">
        <v>167</v>
      </c>
      <c r="N613" s="2">
        <v>2.0</v>
      </c>
      <c r="O613" s="2" t="s">
        <v>3907</v>
      </c>
      <c r="P613" s="2" t="s">
        <v>950</v>
      </c>
      <c r="Q613" s="2" t="s">
        <v>204</v>
      </c>
      <c r="R613" s="2" t="s">
        <v>158</v>
      </c>
      <c r="S613" s="2" t="s">
        <v>81</v>
      </c>
    </row>
    <row r="614" ht="15.75" customHeight="1">
      <c r="A614" s="2" t="s">
        <v>3908</v>
      </c>
      <c r="B614" s="2" t="s">
        <v>3909</v>
      </c>
      <c r="C614" s="2" t="s">
        <v>3910</v>
      </c>
      <c r="D614" s="2" t="s">
        <v>3911</v>
      </c>
      <c r="E614" s="2" t="s">
        <v>3912</v>
      </c>
      <c r="F614" s="2" t="s">
        <v>3913</v>
      </c>
      <c r="G614" s="2" t="s">
        <v>151</v>
      </c>
      <c r="H614" s="2" t="s">
        <v>301</v>
      </c>
      <c r="I614" s="2" t="s">
        <v>1219</v>
      </c>
      <c r="J614" s="2" t="s">
        <v>556</v>
      </c>
      <c r="K614" s="2" t="s">
        <v>502</v>
      </c>
      <c r="L614" s="2" t="s">
        <v>355</v>
      </c>
      <c r="M614" s="2">
        <v>201.79</v>
      </c>
      <c r="N614" s="2">
        <v>1.0</v>
      </c>
      <c r="O614" s="2" t="s">
        <v>3914</v>
      </c>
      <c r="P614" s="2" t="s">
        <v>48</v>
      </c>
      <c r="Q614" s="2" t="s">
        <v>66</v>
      </c>
      <c r="R614" s="2" t="s">
        <v>676</v>
      </c>
      <c r="S614" s="2" t="s">
        <v>67</v>
      </c>
    </row>
    <row r="615" ht="15.75" customHeight="1">
      <c r="A615" s="2" t="s">
        <v>3915</v>
      </c>
      <c r="B615" s="2" t="s">
        <v>3916</v>
      </c>
      <c r="C615" s="2" t="s">
        <v>3917</v>
      </c>
      <c r="D615" s="2" t="s">
        <v>2452</v>
      </c>
      <c r="E615" s="2" t="s">
        <v>3918</v>
      </c>
      <c r="F615" s="2" t="s">
        <v>3919</v>
      </c>
      <c r="G615" s="2" t="s">
        <v>608</v>
      </c>
      <c r="H615" s="2" t="s">
        <v>301</v>
      </c>
      <c r="I615" s="2" t="s">
        <v>289</v>
      </c>
      <c r="J615" s="2" t="s">
        <v>411</v>
      </c>
      <c r="K615" s="2" t="s">
        <v>412</v>
      </c>
      <c r="L615" s="2" t="s">
        <v>167</v>
      </c>
      <c r="M615" s="2">
        <v>1781.54</v>
      </c>
      <c r="N615" s="2">
        <v>1.0</v>
      </c>
      <c r="O615" s="2" t="s">
        <v>3920</v>
      </c>
      <c r="P615" s="2" t="s">
        <v>65</v>
      </c>
      <c r="Q615" s="2" t="s">
        <v>204</v>
      </c>
      <c r="R615" s="2" t="s">
        <v>3921</v>
      </c>
      <c r="S615" s="2" t="s">
        <v>81</v>
      </c>
    </row>
    <row r="616" ht="15.75" customHeight="1">
      <c r="A616" s="2" t="s">
        <v>3922</v>
      </c>
      <c r="B616" s="2" t="s">
        <v>3923</v>
      </c>
      <c r="C616" s="2" t="s">
        <v>2215</v>
      </c>
      <c r="D616" s="2" t="s">
        <v>2216</v>
      </c>
      <c r="E616" s="2" t="s">
        <v>2217</v>
      </c>
      <c r="F616" s="2" t="s">
        <v>2218</v>
      </c>
      <c r="G616" s="2" t="s">
        <v>364</v>
      </c>
      <c r="H616" s="2" t="s">
        <v>301</v>
      </c>
      <c r="I616" s="2" t="s">
        <v>90</v>
      </c>
      <c r="J616" s="2" t="s">
        <v>1168</v>
      </c>
      <c r="K616" s="2" t="s">
        <v>1169</v>
      </c>
      <c r="L616" s="2" t="s">
        <v>63</v>
      </c>
      <c r="N616" s="2">
        <v>2.0</v>
      </c>
      <c r="O616" s="2" t="s">
        <v>3924</v>
      </c>
      <c r="P616" s="2" t="s">
        <v>65</v>
      </c>
      <c r="Q616" s="2" t="s">
        <v>305</v>
      </c>
      <c r="R616" s="2" t="s">
        <v>192</v>
      </c>
    </row>
    <row r="617" ht="15.75" customHeight="1">
      <c r="A617" s="2" t="s">
        <v>3925</v>
      </c>
      <c r="B617" s="2" t="s">
        <v>3926</v>
      </c>
      <c r="C617" s="2" t="s">
        <v>3927</v>
      </c>
      <c r="D617" s="2" t="s">
        <v>3928</v>
      </c>
      <c r="E617" s="2" t="s">
        <v>1127</v>
      </c>
      <c r="F617" s="2" t="s">
        <v>3929</v>
      </c>
      <c r="G617" s="2" t="s">
        <v>58</v>
      </c>
      <c r="H617" s="2" t="s">
        <v>400</v>
      </c>
      <c r="I617" s="2" t="s">
        <v>522</v>
      </c>
      <c r="J617" s="2" t="s">
        <v>449</v>
      </c>
      <c r="K617" s="2" t="s">
        <v>450</v>
      </c>
      <c r="L617" s="2" t="s">
        <v>315</v>
      </c>
      <c r="M617" s="2">
        <v>1228.85</v>
      </c>
      <c r="N617" s="2">
        <v>2.0</v>
      </c>
      <c r="O617" s="2" t="s">
        <v>3930</v>
      </c>
      <c r="P617" s="2" t="s">
        <v>3438</v>
      </c>
      <c r="Q617" s="2" t="s">
        <v>204</v>
      </c>
      <c r="R617" s="2" t="s">
        <v>80</v>
      </c>
      <c r="S617" s="2" t="s">
        <v>51</v>
      </c>
    </row>
    <row r="618" ht="15.75" customHeight="1">
      <c r="A618" s="2" t="s">
        <v>3931</v>
      </c>
      <c r="B618" s="2" t="s">
        <v>1798</v>
      </c>
      <c r="C618" s="2" t="s">
        <v>3932</v>
      </c>
      <c r="D618" s="2" t="s">
        <v>1994</v>
      </c>
      <c r="E618" s="2" t="s">
        <v>3933</v>
      </c>
      <c r="F618" s="2" t="s">
        <v>3934</v>
      </c>
      <c r="G618" s="2" t="s">
        <v>114</v>
      </c>
      <c r="H618" s="2" t="s">
        <v>323</v>
      </c>
      <c r="I618" s="2" t="s">
        <v>333</v>
      </c>
      <c r="J618" s="2" t="s">
        <v>803</v>
      </c>
      <c r="K618" s="2" t="s">
        <v>804</v>
      </c>
      <c r="L618" s="2" t="s">
        <v>805</v>
      </c>
      <c r="N618" s="2">
        <v>5.0</v>
      </c>
      <c r="O618" s="2" t="s">
        <v>3935</v>
      </c>
      <c r="P618" s="2" t="s">
        <v>32</v>
      </c>
      <c r="Q618" s="2" t="s">
        <v>181</v>
      </c>
      <c r="R618" s="2" t="s">
        <v>306</v>
      </c>
      <c r="S618" s="2" t="s">
        <v>67</v>
      </c>
    </row>
    <row r="619" ht="15.75" customHeight="1">
      <c r="A619" s="2" t="s">
        <v>3936</v>
      </c>
      <c r="B619" s="2" t="s">
        <v>3937</v>
      </c>
      <c r="C619" s="2" t="s">
        <v>1872</v>
      </c>
      <c r="D619" s="2" t="s">
        <v>1873</v>
      </c>
      <c r="E619" s="2" t="s">
        <v>1874</v>
      </c>
      <c r="F619" s="2" t="s">
        <v>1875</v>
      </c>
      <c r="G619" s="2" t="s">
        <v>1078</v>
      </c>
      <c r="H619" s="2" t="s">
        <v>234</v>
      </c>
      <c r="I619" s="2" t="s">
        <v>176</v>
      </c>
      <c r="J619" s="2" t="s">
        <v>3596</v>
      </c>
      <c r="K619" s="2" t="s">
        <v>3597</v>
      </c>
      <c r="L619" s="2" t="s">
        <v>63</v>
      </c>
      <c r="M619" s="2">
        <v>1153.88</v>
      </c>
      <c r="N619" s="2">
        <v>1.0</v>
      </c>
      <c r="O619" s="2" t="s">
        <v>3938</v>
      </c>
      <c r="P619" s="2" t="s">
        <v>48</v>
      </c>
      <c r="Q619" s="2" t="s">
        <v>49</v>
      </c>
      <c r="R619" s="2" t="s">
        <v>1312</v>
      </c>
      <c r="S619" s="2" t="s">
        <v>67</v>
      </c>
    </row>
    <row r="620" ht="15.75" customHeight="1">
      <c r="A620" s="2" t="s">
        <v>3939</v>
      </c>
      <c r="B620" s="2" t="s">
        <v>3940</v>
      </c>
      <c r="C620" s="2" t="s">
        <v>1224</v>
      </c>
      <c r="D620" s="2" t="s">
        <v>1225</v>
      </c>
      <c r="E620" s="2" t="s">
        <v>1226</v>
      </c>
      <c r="F620" s="2" t="s">
        <v>1227</v>
      </c>
      <c r="G620" s="2" t="s">
        <v>1228</v>
      </c>
      <c r="H620" s="2" t="s">
        <v>323</v>
      </c>
      <c r="I620" s="2" t="s">
        <v>401</v>
      </c>
      <c r="J620" s="2" t="s">
        <v>635</v>
      </c>
      <c r="K620" s="2" t="s">
        <v>636</v>
      </c>
      <c r="L620" s="2" t="s">
        <v>637</v>
      </c>
      <c r="N620" s="2">
        <v>5.0</v>
      </c>
      <c r="O620" s="2" t="s">
        <v>3941</v>
      </c>
      <c r="P620" s="2" t="s">
        <v>48</v>
      </c>
      <c r="Q620" s="2" t="s">
        <v>66</v>
      </c>
      <c r="R620" s="2" t="s">
        <v>169</v>
      </c>
    </row>
    <row r="621" ht="15.75" customHeight="1">
      <c r="A621" s="2" t="s">
        <v>3942</v>
      </c>
      <c r="B621" s="2" t="s">
        <v>3943</v>
      </c>
      <c r="C621" s="2" t="s">
        <v>3944</v>
      </c>
      <c r="D621" s="2" t="s">
        <v>3945</v>
      </c>
      <c r="E621" s="2" t="s">
        <v>3946</v>
      </c>
      <c r="F621" s="2" t="s">
        <v>3947</v>
      </c>
      <c r="G621" s="2" t="s">
        <v>114</v>
      </c>
      <c r="H621" s="2" t="s">
        <v>152</v>
      </c>
      <c r="I621" s="2" t="s">
        <v>1423</v>
      </c>
      <c r="J621" s="2" t="s">
        <v>235</v>
      </c>
      <c r="K621" s="2" t="s">
        <v>236</v>
      </c>
      <c r="L621" s="2" t="s">
        <v>30</v>
      </c>
      <c r="M621" s="2">
        <v>129.56</v>
      </c>
      <c r="N621" s="2">
        <v>5.0</v>
      </c>
      <c r="O621" s="2" t="s">
        <v>3948</v>
      </c>
      <c r="P621" s="2" t="s">
        <v>32</v>
      </c>
      <c r="Q621" s="2" t="s">
        <v>505</v>
      </c>
      <c r="R621" s="2" t="s">
        <v>380</v>
      </c>
      <c r="S621" s="2" t="s">
        <v>67</v>
      </c>
    </row>
    <row r="622" ht="15.75" customHeight="1">
      <c r="A622" s="2" t="s">
        <v>3949</v>
      </c>
      <c r="B622" s="2" t="s">
        <v>3950</v>
      </c>
      <c r="C622" s="2" t="s">
        <v>3704</v>
      </c>
      <c r="D622" s="2" t="s">
        <v>3705</v>
      </c>
      <c r="E622" s="2" t="s">
        <v>3706</v>
      </c>
      <c r="F622" s="2" t="s">
        <v>3707</v>
      </c>
      <c r="G622" s="2" t="s">
        <v>459</v>
      </c>
      <c r="H622" s="2" t="s">
        <v>42</v>
      </c>
      <c r="I622" s="2" t="s">
        <v>480</v>
      </c>
      <c r="J622" s="2" t="s">
        <v>1358</v>
      </c>
      <c r="K622" s="2" t="s">
        <v>1359</v>
      </c>
      <c r="L622" s="2" t="s">
        <v>941</v>
      </c>
      <c r="M622" s="2">
        <v>527.99</v>
      </c>
      <c r="N622" s="2">
        <v>5.0</v>
      </c>
      <c r="P622" s="2" t="s">
        <v>95</v>
      </c>
      <c r="Q622" s="2" t="s">
        <v>143</v>
      </c>
      <c r="R622" s="2" t="s">
        <v>169</v>
      </c>
      <c r="S622" s="2" t="s">
        <v>81</v>
      </c>
    </row>
    <row r="623" ht="15.75" customHeight="1">
      <c r="A623" s="2" t="s">
        <v>3951</v>
      </c>
      <c r="B623" s="2" t="s">
        <v>3952</v>
      </c>
      <c r="C623" s="2" t="s">
        <v>1481</v>
      </c>
      <c r="D623" s="2" t="s">
        <v>1482</v>
      </c>
      <c r="E623" s="2" t="s">
        <v>1483</v>
      </c>
      <c r="F623" s="2" t="s">
        <v>1484</v>
      </c>
      <c r="G623" s="2" t="s">
        <v>1177</v>
      </c>
      <c r="H623" s="2" t="s">
        <v>42</v>
      </c>
      <c r="I623" s="2" t="s">
        <v>522</v>
      </c>
      <c r="J623" s="2" t="s">
        <v>189</v>
      </c>
      <c r="K623" s="2" t="s">
        <v>190</v>
      </c>
      <c r="L623" s="2" t="s">
        <v>167</v>
      </c>
      <c r="M623" s="2">
        <v>190.47</v>
      </c>
      <c r="N623" s="2">
        <v>2.0</v>
      </c>
      <c r="O623" s="2" t="s">
        <v>3953</v>
      </c>
      <c r="P623" s="2" t="s">
        <v>48</v>
      </c>
      <c r="Q623" s="2" t="s">
        <v>143</v>
      </c>
      <c r="R623" s="2" t="s">
        <v>169</v>
      </c>
      <c r="S623" s="2" t="s">
        <v>81</v>
      </c>
    </row>
    <row r="624" ht="15.75" customHeight="1">
      <c r="A624" s="2" t="s">
        <v>3954</v>
      </c>
      <c r="B624" s="2" t="s">
        <v>3955</v>
      </c>
      <c r="C624" s="2" t="s">
        <v>3956</v>
      </c>
      <c r="D624" s="2" t="s">
        <v>3957</v>
      </c>
      <c r="E624" s="2" t="s">
        <v>3958</v>
      </c>
      <c r="F624" s="2" t="s">
        <v>3959</v>
      </c>
      <c r="G624" s="2" t="s">
        <v>188</v>
      </c>
      <c r="H624" s="2" t="s">
        <v>683</v>
      </c>
      <c r="I624" s="2" t="s">
        <v>43</v>
      </c>
      <c r="J624" s="2" t="s">
        <v>1460</v>
      </c>
      <c r="K624" s="2" t="s">
        <v>1461</v>
      </c>
      <c r="L624" s="2" t="s">
        <v>368</v>
      </c>
      <c r="N624" s="2">
        <v>2.0</v>
      </c>
      <c r="O624" s="2" t="s">
        <v>3960</v>
      </c>
      <c r="P624" s="2" t="s">
        <v>950</v>
      </c>
      <c r="Q624" s="2" t="s">
        <v>181</v>
      </c>
      <c r="R624" s="2" t="s">
        <v>294</v>
      </c>
      <c r="S624" s="2" t="s">
        <v>67</v>
      </c>
    </row>
    <row r="625" ht="15.75" customHeight="1">
      <c r="A625" s="2" t="s">
        <v>3961</v>
      </c>
      <c r="B625" s="2" t="s">
        <v>3962</v>
      </c>
      <c r="C625" s="2" t="s">
        <v>3963</v>
      </c>
      <c r="D625" s="2" t="s">
        <v>1987</v>
      </c>
      <c r="E625" s="2" t="s">
        <v>3964</v>
      </c>
      <c r="F625" s="2" t="s">
        <v>3965</v>
      </c>
      <c r="G625" s="2" t="s">
        <v>88</v>
      </c>
      <c r="H625" s="2" t="s">
        <v>223</v>
      </c>
      <c r="I625" s="2" t="s">
        <v>480</v>
      </c>
      <c r="J625" s="2" t="s">
        <v>1460</v>
      </c>
      <c r="K625" s="2" t="s">
        <v>1461</v>
      </c>
      <c r="L625" s="2" t="s">
        <v>368</v>
      </c>
      <c r="M625" s="2">
        <v>607.03</v>
      </c>
      <c r="N625" s="2">
        <v>2.0</v>
      </c>
      <c r="O625" s="2" t="s">
        <v>3966</v>
      </c>
      <c r="P625" s="2" t="s">
        <v>65</v>
      </c>
      <c r="Q625" s="2" t="s">
        <v>573</v>
      </c>
      <c r="R625" s="2" t="s">
        <v>380</v>
      </c>
      <c r="S625" s="2" t="s">
        <v>81</v>
      </c>
    </row>
    <row r="626" ht="15.75" customHeight="1">
      <c r="A626" s="2" t="s">
        <v>3967</v>
      </c>
      <c r="B626" s="2" t="s">
        <v>3968</v>
      </c>
      <c r="C626" s="2" t="s">
        <v>2722</v>
      </c>
      <c r="D626" s="2" t="s">
        <v>717</v>
      </c>
      <c r="F626" s="2" t="s">
        <v>2724</v>
      </c>
      <c r="G626" s="2" t="s">
        <v>114</v>
      </c>
      <c r="H626" s="2" t="s">
        <v>26</v>
      </c>
      <c r="I626" s="2" t="s">
        <v>401</v>
      </c>
      <c r="J626" s="2" t="s">
        <v>246</v>
      </c>
      <c r="K626" s="2" t="s">
        <v>247</v>
      </c>
      <c r="L626" s="2" t="s">
        <v>248</v>
      </c>
      <c r="M626" s="2">
        <v>480.3</v>
      </c>
      <c r="N626" s="2">
        <v>5.0</v>
      </c>
      <c r="O626" s="2" t="s">
        <v>3969</v>
      </c>
      <c r="P626" s="2" t="s">
        <v>48</v>
      </c>
      <c r="Q626" s="2" t="s">
        <v>66</v>
      </c>
      <c r="R626" s="2" t="s">
        <v>1312</v>
      </c>
      <c r="S626" s="2" t="s">
        <v>133</v>
      </c>
    </row>
    <row r="627" ht="15.75" customHeight="1">
      <c r="A627" s="2" t="s">
        <v>3970</v>
      </c>
      <c r="B627" s="2" t="s">
        <v>3971</v>
      </c>
      <c r="C627" s="2" t="s">
        <v>1386</v>
      </c>
      <c r="D627" s="2" t="s">
        <v>1387</v>
      </c>
      <c r="E627" s="2" t="s">
        <v>1388</v>
      </c>
      <c r="F627" s="2" t="s">
        <v>1389</v>
      </c>
      <c r="G627" s="2" t="s">
        <v>608</v>
      </c>
      <c r="H627" s="2" t="s">
        <v>778</v>
      </c>
      <c r="I627" s="2" t="s">
        <v>43</v>
      </c>
      <c r="J627" s="2" t="s">
        <v>117</v>
      </c>
      <c r="K627" s="2" t="s">
        <v>118</v>
      </c>
      <c r="L627" s="2" t="s">
        <v>63</v>
      </c>
      <c r="N627" s="2">
        <v>1.0</v>
      </c>
      <c r="O627" s="2" t="s">
        <v>3972</v>
      </c>
      <c r="P627" s="2" t="s">
        <v>32</v>
      </c>
      <c r="Q627" s="2" t="s">
        <v>96</v>
      </c>
      <c r="R627" s="2" t="s">
        <v>132</v>
      </c>
      <c r="S627" s="2" t="s">
        <v>81</v>
      </c>
    </row>
    <row r="628" ht="15.75" customHeight="1">
      <c r="A628" s="2" t="s">
        <v>3973</v>
      </c>
      <c r="B628" s="2" t="s">
        <v>3974</v>
      </c>
      <c r="C628" s="2" t="s">
        <v>679</v>
      </c>
      <c r="D628" s="2" t="s">
        <v>680</v>
      </c>
      <c r="E628" s="2" t="s">
        <v>681</v>
      </c>
      <c r="F628" s="2" t="s">
        <v>682</v>
      </c>
      <c r="G628" s="2" t="s">
        <v>199</v>
      </c>
      <c r="H628" s="2" t="s">
        <v>74</v>
      </c>
      <c r="I628" s="2" t="s">
        <v>176</v>
      </c>
      <c r="J628" s="2" t="s">
        <v>1733</v>
      </c>
      <c r="K628" s="2" t="s">
        <v>440</v>
      </c>
      <c r="L628" s="2" t="s">
        <v>315</v>
      </c>
      <c r="M628" s="2">
        <v>1118.86</v>
      </c>
      <c r="N628" s="2">
        <v>1.0</v>
      </c>
      <c r="O628" s="2" t="s">
        <v>3975</v>
      </c>
      <c r="P628" s="2" t="s">
        <v>95</v>
      </c>
      <c r="Q628" s="2" t="s">
        <v>3976</v>
      </c>
      <c r="R628" s="2" t="s">
        <v>294</v>
      </c>
      <c r="S628" s="2" t="s">
        <v>51</v>
      </c>
    </row>
    <row r="629" ht="15.75" customHeight="1">
      <c r="A629" s="2" t="s">
        <v>3977</v>
      </c>
      <c r="B629" s="2" t="s">
        <v>3978</v>
      </c>
      <c r="C629" s="2" t="s">
        <v>3979</v>
      </c>
      <c r="D629" s="2" t="s">
        <v>3980</v>
      </c>
      <c r="E629" s="2" t="s">
        <v>3981</v>
      </c>
      <c r="F629" s="2" t="s">
        <v>3982</v>
      </c>
      <c r="G629" s="2" t="s">
        <v>399</v>
      </c>
      <c r="H629" s="2" t="s">
        <v>74</v>
      </c>
      <c r="I629" s="2" t="s">
        <v>103</v>
      </c>
      <c r="J629" s="2" t="s">
        <v>1815</v>
      </c>
      <c r="K629" s="2" t="s">
        <v>314</v>
      </c>
      <c r="L629" s="2" t="s">
        <v>368</v>
      </c>
      <c r="N629" s="2">
        <v>1.0</v>
      </c>
      <c r="O629" s="2" t="s">
        <v>3983</v>
      </c>
      <c r="P629" s="2" t="s">
        <v>65</v>
      </c>
      <c r="Q629" s="2" t="s">
        <v>66</v>
      </c>
      <c r="R629" s="2" t="s">
        <v>306</v>
      </c>
    </row>
    <row r="630" ht="15.75" customHeight="1">
      <c r="A630" s="2" t="s">
        <v>3984</v>
      </c>
      <c r="B630" s="2" t="s">
        <v>3985</v>
      </c>
      <c r="C630" s="2" t="s">
        <v>3986</v>
      </c>
      <c r="D630" s="2" t="s">
        <v>3987</v>
      </c>
      <c r="E630" s="2" t="s">
        <v>3988</v>
      </c>
      <c r="F630" s="2" t="s">
        <v>3989</v>
      </c>
      <c r="G630" s="2" t="s">
        <v>139</v>
      </c>
      <c r="H630" s="2" t="s">
        <v>323</v>
      </c>
      <c r="I630" s="2" t="s">
        <v>176</v>
      </c>
      <c r="J630" s="2" t="s">
        <v>635</v>
      </c>
      <c r="K630" s="2" t="s">
        <v>636</v>
      </c>
      <c r="L630" s="2" t="s">
        <v>637</v>
      </c>
      <c r="M630" s="2">
        <v>16.17</v>
      </c>
      <c r="N630" s="2">
        <v>2.0</v>
      </c>
      <c r="O630" s="2" t="s">
        <v>3990</v>
      </c>
      <c r="P630" s="2" t="s">
        <v>48</v>
      </c>
      <c r="Q630" s="2" t="s">
        <v>66</v>
      </c>
      <c r="R630" s="2" t="s">
        <v>3991</v>
      </c>
      <c r="S630" s="2" t="s">
        <v>133</v>
      </c>
    </row>
    <row r="631" ht="15.75" customHeight="1">
      <c r="A631" s="2" t="s">
        <v>3992</v>
      </c>
      <c r="B631" s="2" t="s">
        <v>3993</v>
      </c>
      <c r="C631" s="2" t="s">
        <v>3994</v>
      </c>
      <c r="D631" s="2" t="s">
        <v>3995</v>
      </c>
      <c r="E631" s="2" t="s">
        <v>3996</v>
      </c>
      <c r="F631" s="2" t="s">
        <v>3997</v>
      </c>
      <c r="G631" s="2" t="s">
        <v>3998</v>
      </c>
      <c r="H631" s="2" t="s">
        <v>210</v>
      </c>
      <c r="I631" s="2" t="s">
        <v>401</v>
      </c>
      <c r="J631" s="2" t="s">
        <v>1400</v>
      </c>
      <c r="K631" s="2" t="s">
        <v>524</v>
      </c>
      <c r="L631" s="2" t="s">
        <v>1401</v>
      </c>
      <c r="M631" s="2">
        <v>1140.49</v>
      </c>
      <c r="N631" s="2">
        <v>5.0</v>
      </c>
      <c r="O631" s="2" t="s">
        <v>3999</v>
      </c>
      <c r="P631" s="2" t="s">
        <v>65</v>
      </c>
      <c r="Q631" s="2" t="s">
        <v>66</v>
      </c>
      <c r="R631" s="2" t="s">
        <v>306</v>
      </c>
    </row>
    <row r="632" ht="15.75" customHeight="1">
      <c r="A632" s="2" t="s">
        <v>4000</v>
      </c>
      <c r="B632" s="2" t="s">
        <v>4001</v>
      </c>
      <c r="C632" s="2" t="s">
        <v>161</v>
      </c>
      <c r="D632" s="2" t="s">
        <v>879</v>
      </c>
      <c r="E632" s="2" t="s">
        <v>163</v>
      </c>
      <c r="F632" s="2" t="s">
        <v>164</v>
      </c>
      <c r="G632" s="2" t="s">
        <v>165</v>
      </c>
      <c r="H632" s="2" t="s">
        <v>59</v>
      </c>
      <c r="I632" s="2" t="s">
        <v>401</v>
      </c>
      <c r="J632" s="2" t="s">
        <v>481</v>
      </c>
      <c r="K632" s="2" t="s">
        <v>291</v>
      </c>
      <c r="L632" s="2" t="s">
        <v>482</v>
      </c>
      <c r="N632" s="2">
        <v>2.0</v>
      </c>
      <c r="O632" s="2" t="s">
        <v>4002</v>
      </c>
      <c r="P632" s="2" t="s">
        <v>65</v>
      </c>
      <c r="Q632" s="2" t="s">
        <v>49</v>
      </c>
      <c r="R632" s="2" t="s">
        <v>4003</v>
      </c>
    </row>
    <row r="633" ht="15.75" customHeight="1">
      <c r="A633" s="2" t="s">
        <v>4004</v>
      </c>
      <c r="B633" s="2" t="s">
        <v>4005</v>
      </c>
      <c r="C633" s="2" t="s">
        <v>594</v>
      </c>
      <c r="D633" s="2" t="s">
        <v>595</v>
      </c>
      <c r="E633" s="2" t="s">
        <v>596</v>
      </c>
      <c r="F633" s="2" t="s">
        <v>597</v>
      </c>
      <c r="G633" s="2" t="s">
        <v>139</v>
      </c>
      <c r="H633" s="2" t="s">
        <v>802</v>
      </c>
      <c r="I633" s="2" t="s">
        <v>289</v>
      </c>
      <c r="J633" s="2" t="s">
        <v>1014</v>
      </c>
      <c r="K633" s="2" t="s">
        <v>1015</v>
      </c>
      <c r="L633" s="2" t="s">
        <v>1016</v>
      </c>
      <c r="M633" s="2">
        <v>1151.85</v>
      </c>
      <c r="N633" s="2">
        <v>5.0</v>
      </c>
      <c r="O633" s="2" t="s">
        <v>4006</v>
      </c>
      <c r="P633" s="2" t="s">
        <v>65</v>
      </c>
      <c r="Q633" s="2" t="s">
        <v>305</v>
      </c>
      <c r="R633" s="2" t="s">
        <v>818</v>
      </c>
    </row>
    <row r="634" ht="15.75" customHeight="1">
      <c r="A634" s="2" t="s">
        <v>4007</v>
      </c>
      <c r="B634" s="2" t="s">
        <v>4008</v>
      </c>
      <c r="C634" s="2" t="s">
        <v>1067</v>
      </c>
      <c r="D634" s="2" t="s">
        <v>1068</v>
      </c>
      <c r="E634" s="2" t="s">
        <v>1069</v>
      </c>
      <c r="F634" s="2" t="s">
        <v>1070</v>
      </c>
      <c r="G634" s="2" t="s">
        <v>165</v>
      </c>
      <c r="H634" s="2" t="s">
        <v>223</v>
      </c>
      <c r="I634" s="2" t="s">
        <v>4009</v>
      </c>
      <c r="J634" s="2" t="s">
        <v>269</v>
      </c>
      <c r="K634" s="2" t="s">
        <v>270</v>
      </c>
      <c r="L634" s="2" t="s">
        <v>271</v>
      </c>
      <c r="M634" s="2">
        <v>780.74</v>
      </c>
      <c r="N634" s="2">
        <v>1.0</v>
      </c>
      <c r="O634" s="2" t="s">
        <v>4010</v>
      </c>
      <c r="P634" s="2" t="s">
        <v>32</v>
      </c>
      <c r="Q634" s="2" t="s">
        <v>305</v>
      </c>
      <c r="R634" s="2" t="s">
        <v>380</v>
      </c>
    </row>
    <row r="635" ht="15.75" customHeight="1">
      <c r="A635" s="2" t="s">
        <v>4011</v>
      </c>
      <c r="B635" s="2" t="s">
        <v>4012</v>
      </c>
      <c r="C635" s="2" t="s">
        <v>1738</v>
      </c>
      <c r="D635" s="2" t="s">
        <v>1457</v>
      </c>
      <c r="E635" s="2" t="s">
        <v>1739</v>
      </c>
      <c r="G635" s="2" t="s">
        <v>1054</v>
      </c>
      <c r="H635" s="2" t="s">
        <v>3607</v>
      </c>
      <c r="I635" s="2" t="s">
        <v>43</v>
      </c>
      <c r="J635" s="2" t="s">
        <v>2321</v>
      </c>
      <c r="K635" s="2" t="s">
        <v>2322</v>
      </c>
      <c r="L635" s="2" t="s">
        <v>368</v>
      </c>
      <c r="M635" s="2">
        <v>1068.16</v>
      </c>
      <c r="N635" s="2">
        <v>2.0</v>
      </c>
      <c r="O635" s="2" t="s">
        <v>4013</v>
      </c>
      <c r="P635" s="2" t="s">
        <v>48</v>
      </c>
      <c r="Q635" s="2" t="s">
        <v>49</v>
      </c>
      <c r="R635" s="2" t="s">
        <v>393</v>
      </c>
    </row>
    <row r="636" ht="15.75" customHeight="1">
      <c r="A636" s="2" t="s">
        <v>4014</v>
      </c>
      <c r="B636" s="2" t="s">
        <v>4015</v>
      </c>
      <c r="C636" s="2" t="s">
        <v>4016</v>
      </c>
      <c r="D636" s="2" t="s">
        <v>4017</v>
      </c>
      <c r="E636" s="2" t="s">
        <v>4018</v>
      </c>
      <c r="G636" s="2" t="s">
        <v>88</v>
      </c>
      <c r="H636" s="2" t="s">
        <v>74</v>
      </c>
      <c r="I636" s="2" t="s">
        <v>43</v>
      </c>
      <c r="J636" s="2" t="s">
        <v>1575</v>
      </c>
      <c r="K636" s="2" t="s">
        <v>1576</v>
      </c>
      <c r="L636" s="2" t="s">
        <v>1577</v>
      </c>
      <c r="N636" s="2">
        <v>5.0</v>
      </c>
      <c r="O636" s="2" t="s">
        <v>4019</v>
      </c>
      <c r="P636" s="2" t="s">
        <v>95</v>
      </c>
      <c r="Q636" s="2" t="s">
        <v>664</v>
      </c>
      <c r="R636" s="2" t="s">
        <v>50</v>
      </c>
      <c r="S636" s="2" t="s">
        <v>51</v>
      </c>
    </row>
    <row r="637" ht="15.75" customHeight="1">
      <c r="A637" s="2" t="s">
        <v>4020</v>
      </c>
      <c r="B637" s="2" t="s">
        <v>4021</v>
      </c>
      <c r="C637" s="2" t="s">
        <v>1962</v>
      </c>
      <c r="D637" s="2" t="s">
        <v>1963</v>
      </c>
      <c r="E637" s="2" t="s">
        <v>1964</v>
      </c>
      <c r="F637" s="2" t="s">
        <v>1965</v>
      </c>
      <c r="G637" s="2" t="s">
        <v>1177</v>
      </c>
      <c r="H637" s="2" t="s">
        <v>4022</v>
      </c>
      <c r="I637" s="2" t="s">
        <v>176</v>
      </c>
      <c r="J637" s="2" t="s">
        <v>1856</v>
      </c>
      <c r="K637" s="2" t="s">
        <v>118</v>
      </c>
      <c r="L637" s="2" t="s">
        <v>167</v>
      </c>
      <c r="M637" s="2">
        <v>598.9</v>
      </c>
      <c r="N637" s="2">
        <v>2.0</v>
      </c>
      <c r="O637" s="2" t="s">
        <v>4023</v>
      </c>
      <c r="P637" s="2" t="s">
        <v>65</v>
      </c>
      <c r="Q637" s="2" t="s">
        <v>143</v>
      </c>
      <c r="R637" s="2" t="s">
        <v>818</v>
      </c>
      <c r="S637" s="2" t="s">
        <v>67</v>
      </c>
    </row>
    <row r="638" ht="15.75" customHeight="1">
      <c r="A638" s="2" t="s">
        <v>4024</v>
      </c>
      <c r="B638" s="2" t="s">
        <v>4025</v>
      </c>
      <c r="C638" s="2" t="s">
        <v>4026</v>
      </c>
      <c r="D638" s="2" t="s">
        <v>4027</v>
      </c>
      <c r="E638" s="2" t="s">
        <v>4028</v>
      </c>
      <c r="F638" s="2" t="s">
        <v>4029</v>
      </c>
      <c r="G638" s="2" t="s">
        <v>720</v>
      </c>
      <c r="H638" s="2" t="s">
        <v>59</v>
      </c>
      <c r="I638" s="2" t="s">
        <v>312</v>
      </c>
      <c r="J638" s="2" t="s">
        <v>3172</v>
      </c>
      <c r="K638" s="2" t="s">
        <v>3173</v>
      </c>
      <c r="L638" s="2" t="s">
        <v>355</v>
      </c>
      <c r="N638" s="2">
        <v>1.0</v>
      </c>
      <c r="O638" s="2" t="s">
        <v>4030</v>
      </c>
      <c r="P638" s="2" t="s">
        <v>95</v>
      </c>
      <c r="Q638" s="2" t="s">
        <v>66</v>
      </c>
      <c r="R638" s="2" t="s">
        <v>294</v>
      </c>
    </row>
    <row r="639" ht="15.75" customHeight="1">
      <c r="A639" s="2" t="s">
        <v>4031</v>
      </c>
      <c r="B639" s="2" t="s">
        <v>4032</v>
      </c>
      <c r="C639" s="2" t="s">
        <v>4033</v>
      </c>
      <c r="D639" s="2" t="s">
        <v>4034</v>
      </c>
      <c r="E639" s="2" t="s">
        <v>4035</v>
      </c>
      <c r="F639" s="2" t="s">
        <v>4036</v>
      </c>
      <c r="G639" s="2" t="s">
        <v>165</v>
      </c>
      <c r="H639" s="2" t="s">
        <v>152</v>
      </c>
      <c r="I639" s="2" t="s">
        <v>43</v>
      </c>
      <c r="J639" s="2" t="s">
        <v>127</v>
      </c>
      <c r="K639" s="2" t="s">
        <v>128</v>
      </c>
      <c r="L639" s="2" t="s">
        <v>129</v>
      </c>
      <c r="M639" s="2">
        <v>346.01</v>
      </c>
      <c r="N639" s="2">
        <v>3.0</v>
      </c>
      <c r="O639" s="2" t="s">
        <v>4037</v>
      </c>
      <c r="P639" s="2" t="s">
        <v>65</v>
      </c>
      <c r="Q639" s="2" t="s">
        <v>49</v>
      </c>
      <c r="R639" s="2" t="s">
        <v>527</v>
      </c>
      <c r="S639" s="2" t="s">
        <v>67</v>
      </c>
    </row>
    <row r="640" ht="15.75" customHeight="1">
      <c r="A640" s="2" t="s">
        <v>4038</v>
      </c>
      <c r="B640" s="2" t="s">
        <v>4039</v>
      </c>
      <c r="C640" s="2" t="s">
        <v>1340</v>
      </c>
      <c r="D640" s="2" t="s">
        <v>1341</v>
      </c>
      <c r="E640" s="2" t="s">
        <v>1342</v>
      </c>
      <c r="F640" s="2" t="s">
        <v>1343</v>
      </c>
      <c r="G640" s="2" t="s">
        <v>1177</v>
      </c>
      <c r="H640" s="2" t="s">
        <v>26</v>
      </c>
      <c r="I640" s="2" t="s">
        <v>365</v>
      </c>
      <c r="J640" s="2" t="s">
        <v>3210</v>
      </c>
      <c r="K640" s="2" t="s">
        <v>3211</v>
      </c>
      <c r="L640" s="2" t="s">
        <v>167</v>
      </c>
      <c r="M640" s="2">
        <v>118.83</v>
      </c>
      <c r="N640" s="2">
        <v>1.0</v>
      </c>
      <c r="O640" s="2" t="s">
        <v>4040</v>
      </c>
      <c r="P640" s="2" t="s">
        <v>65</v>
      </c>
      <c r="Q640" s="2" t="s">
        <v>131</v>
      </c>
      <c r="R640" s="2" t="s">
        <v>294</v>
      </c>
    </row>
    <row r="641" ht="15.75" customHeight="1">
      <c r="A641" s="2" t="s">
        <v>4041</v>
      </c>
      <c r="B641" s="2" t="s">
        <v>4042</v>
      </c>
      <c r="C641" s="2" t="s">
        <v>4043</v>
      </c>
      <c r="D641" s="2" t="s">
        <v>4044</v>
      </c>
      <c r="E641" s="2" t="s">
        <v>4045</v>
      </c>
      <c r="F641" s="2" t="s">
        <v>4046</v>
      </c>
      <c r="G641" s="2" t="s">
        <v>1054</v>
      </c>
      <c r="H641" s="2" t="s">
        <v>4047</v>
      </c>
      <c r="I641" s="2" t="s">
        <v>1178</v>
      </c>
      <c r="J641" s="2" t="s">
        <v>4048</v>
      </c>
      <c r="K641" s="2" t="s">
        <v>4049</v>
      </c>
      <c r="L641" s="2" t="s">
        <v>214</v>
      </c>
      <c r="M641" s="2">
        <v>1009.35</v>
      </c>
      <c r="N641" s="2">
        <v>3.0</v>
      </c>
      <c r="O641" s="2" t="s">
        <v>4050</v>
      </c>
      <c r="P641" s="2" t="s">
        <v>48</v>
      </c>
      <c r="Q641" s="2" t="s">
        <v>143</v>
      </c>
      <c r="R641" s="2" t="s">
        <v>144</v>
      </c>
      <c r="S641" s="2" t="s">
        <v>133</v>
      </c>
    </row>
    <row r="642" ht="15.75" customHeight="1">
      <c r="A642" s="2" t="s">
        <v>4051</v>
      </c>
      <c r="B642" s="2" t="s">
        <v>4052</v>
      </c>
      <c r="C642" s="2" t="s">
        <v>4053</v>
      </c>
      <c r="D642" s="2" t="s">
        <v>4054</v>
      </c>
      <c r="E642" s="2" t="s">
        <v>4055</v>
      </c>
      <c r="G642" s="2" t="s">
        <v>114</v>
      </c>
      <c r="H642" s="2" t="s">
        <v>223</v>
      </c>
      <c r="I642" s="2" t="s">
        <v>43</v>
      </c>
      <c r="J642" s="2" t="s">
        <v>711</v>
      </c>
      <c r="K642" s="2" t="s">
        <v>712</v>
      </c>
      <c r="L642" s="2" t="s">
        <v>637</v>
      </c>
      <c r="M642" s="2">
        <v>854.41</v>
      </c>
      <c r="N642" s="2">
        <v>3.0</v>
      </c>
      <c r="O642" s="2" t="s">
        <v>4056</v>
      </c>
      <c r="P642" s="2" t="s">
        <v>95</v>
      </c>
      <c r="Q642" s="2" t="s">
        <v>664</v>
      </c>
      <c r="R642" s="2" t="s">
        <v>80</v>
      </c>
      <c r="S642" s="2" t="s">
        <v>133</v>
      </c>
    </row>
    <row r="643" ht="15.75" customHeight="1">
      <c r="A643" s="2" t="s">
        <v>4057</v>
      </c>
      <c r="B643" s="2" t="s">
        <v>4058</v>
      </c>
      <c r="C643" s="2" t="s">
        <v>1898</v>
      </c>
      <c r="D643" s="2" t="s">
        <v>887</v>
      </c>
      <c r="E643" s="2" t="s">
        <v>1899</v>
      </c>
      <c r="G643" s="2" t="s">
        <v>459</v>
      </c>
      <c r="H643" s="2" t="s">
        <v>223</v>
      </c>
      <c r="I643" s="2" t="s">
        <v>333</v>
      </c>
      <c r="J643" s="2" t="s">
        <v>1146</v>
      </c>
      <c r="K643" s="2" t="s">
        <v>1147</v>
      </c>
      <c r="L643" s="2" t="s">
        <v>248</v>
      </c>
      <c r="M643" s="2">
        <v>1114.47</v>
      </c>
      <c r="O643" s="2" t="s">
        <v>4059</v>
      </c>
      <c r="P643" s="2" t="s">
        <v>95</v>
      </c>
      <c r="Q643" s="2" t="s">
        <v>238</v>
      </c>
      <c r="R643" s="2" t="s">
        <v>132</v>
      </c>
    </row>
    <row r="644" ht="15.75" customHeight="1">
      <c r="A644" s="2" t="s">
        <v>4060</v>
      </c>
      <c r="B644" s="2" t="s">
        <v>4061</v>
      </c>
      <c r="C644" s="2" t="s">
        <v>242</v>
      </c>
      <c r="D644" s="2" t="s">
        <v>243</v>
      </c>
      <c r="E644" s="2" t="s">
        <v>244</v>
      </c>
      <c r="F644" s="2" t="s">
        <v>245</v>
      </c>
      <c r="G644" s="2" t="s">
        <v>58</v>
      </c>
      <c r="H644" s="2" t="s">
        <v>26</v>
      </c>
      <c r="I644" s="2" t="s">
        <v>312</v>
      </c>
      <c r="J644" s="2" t="s">
        <v>1772</v>
      </c>
      <c r="K644" s="2" t="s">
        <v>712</v>
      </c>
      <c r="L644" s="2" t="s">
        <v>995</v>
      </c>
      <c r="N644" s="2">
        <v>5.0</v>
      </c>
      <c r="O644" s="2" t="s">
        <v>4062</v>
      </c>
      <c r="P644" s="2" t="s">
        <v>95</v>
      </c>
      <c r="Q644" s="2" t="s">
        <v>49</v>
      </c>
      <c r="R644" s="2" t="s">
        <v>192</v>
      </c>
      <c r="S644" s="2" t="s">
        <v>51</v>
      </c>
    </row>
    <row r="645" ht="15.75" customHeight="1">
      <c r="A645" s="2" t="s">
        <v>4063</v>
      </c>
      <c r="B645" s="2" t="s">
        <v>4064</v>
      </c>
      <c r="C645" s="2" t="s">
        <v>3443</v>
      </c>
      <c r="D645" s="2" t="s">
        <v>3444</v>
      </c>
      <c r="E645" s="2" t="s">
        <v>3445</v>
      </c>
      <c r="F645" s="2" t="s">
        <v>3446</v>
      </c>
      <c r="G645" s="2" t="s">
        <v>3447</v>
      </c>
      <c r="H645" s="2" t="s">
        <v>802</v>
      </c>
      <c r="I645" s="2" t="s">
        <v>480</v>
      </c>
      <c r="J645" s="2" t="s">
        <v>824</v>
      </c>
      <c r="K645" s="2" t="s">
        <v>825</v>
      </c>
      <c r="L645" s="2" t="s">
        <v>826</v>
      </c>
      <c r="M645" s="2">
        <v>606.17</v>
      </c>
      <c r="N645" s="2">
        <v>1.0</v>
      </c>
      <c r="O645" s="2" t="s">
        <v>4065</v>
      </c>
      <c r="P645" s="2" t="s">
        <v>48</v>
      </c>
      <c r="Q645" s="2" t="s">
        <v>66</v>
      </c>
      <c r="R645" s="2" t="s">
        <v>294</v>
      </c>
      <c r="S645" s="2" t="s">
        <v>81</v>
      </c>
    </row>
    <row r="646" ht="15.75" customHeight="1">
      <c r="A646" s="2" t="s">
        <v>4066</v>
      </c>
      <c r="B646" s="2" t="s">
        <v>4067</v>
      </c>
      <c r="C646" s="2" t="s">
        <v>1860</v>
      </c>
      <c r="D646" s="2" t="s">
        <v>1861</v>
      </c>
      <c r="E646" s="2" t="s">
        <v>3045</v>
      </c>
      <c r="F646" s="2" t="s">
        <v>1863</v>
      </c>
      <c r="G646" s="2" t="s">
        <v>114</v>
      </c>
      <c r="H646" s="2" t="s">
        <v>802</v>
      </c>
      <c r="I646" s="2" t="s">
        <v>401</v>
      </c>
      <c r="J646" s="2" t="s">
        <v>4068</v>
      </c>
      <c r="K646" s="2" t="s">
        <v>4069</v>
      </c>
      <c r="L646" s="2" t="s">
        <v>1016</v>
      </c>
      <c r="M646" s="2">
        <v>290.3</v>
      </c>
      <c r="N646" s="2">
        <v>3.0</v>
      </c>
      <c r="O646" s="2" t="s">
        <v>4070</v>
      </c>
      <c r="P646" s="2" t="s">
        <v>48</v>
      </c>
      <c r="Q646" s="2" t="s">
        <v>370</v>
      </c>
      <c r="R646" s="2" t="s">
        <v>818</v>
      </c>
    </row>
    <row r="647" ht="15.75" customHeight="1">
      <c r="A647" s="2" t="s">
        <v>4071</v>
      </c>
      <c r="B647" s="2" t="s">
        <v>4072</v>
      </c>
      <c r="C647" s="2" t="s">
        <v>866</v>
      </c>
      <c r="D647" s="2" t="s">
        <v>867</v>
      </c>
      <c r="E647" s="2" t="s">
        <v>868</v>
      </c>
      <c r="F647" s="2" t="s">
        <v>869</v>
      </c>
      <c r="G647" s="2" t="s">
        <v>738</v>
      </c>
      <c r="H647" s="2" t="s">
        <v>460</v>
      </c>
      <c r="I647" s="2" t="s">
        <v>352</v>
      </c>
      <c r="J647" s="2" t="s">
        <v>852</v>
      </c>
      <c r="K647" s="2" t="s">
        <v>450</v>
      </c>
      <c r="L647" s="2" t="s">
        <v>167</v>
      </c>
      <c r="M647" s="2">
        <v>1761.97</v>
      </c>
      <c r="N647" s="2">
        <v>1.0</v>
      </c>
      <c r="O647" s="2" t="s">
        <v>4073</v>
      </c>
      <c r="P647" s="2" t="s">
        <v>95</v>
      </c>
      <c r="Q647" s="2" t="s">
        <v>370</v>
      </c>
      <c r="R647" s="2" t="s">
        <v>192</v>
      </c>
      <c r="S647" s="2" t="s">
        <v>133</v>
      </c>
    </row>
    <row r="648" ht="15.75" customHeight="1">
      <c r="A648" s="2" t="s">
        <v>4074</v>
      </c>
      <c r="B648" s="2" t="s">
        <v>4075</v>
      </c>
      <c r="C648" s="2" t="s">
        <v>2714</v>
      </c>
      <c r="D648" s="2" t="s">
        <v>2715</v>
      </c>
      <c r="E648" s="2" t="s">
        <v>2716</v>
      </c>
      <c r="F648" s="2" t="s">
        <v>2717</v>
      </c>
      <c r="G648" s="2" t="s">
        <v>114</v>
      </c>
      <c r="H648" s="2" t="s">
        <v>234</v>
      </c>
      <c r="I648" s="2" t="s">
        <v>3833</v>
      </c>
      <c r="J648" s="2" t="s">
        <v>1722</v>
      </c>
      <c r="K648" s="2" t="s">
        <v>804</v>
      </c>
      <c r="L648" s="2" t="s">
        <v>368</v>
      </c>
      <c r="M648" s="2">
        <v>515.8</v>
      </c>
      <c r="N648" s="2">
        <v>1.0</v>
      </c>
      <c r="O648" s="2" t="s">
        <v>4076</v>
      </c>
      <c r="P648" s="2" t="s">
        <v>95</v>
      </c>
      <c r="Q648" s="2" t="s">
        <v>66</v>
      </c>
      <c r="R648" s="2" t="s">
        <v>169</v>
      </c>
    </row>
    <row r="649" ht="15.75" customHeight="1">
      <c r="A649" s="2" t="s">
        <v>4077</v>
      </c>
      <c r="B649" s="2" t="s">
        <v>4078</v>
      </c>
      <c r="C649" s="2" t="s">
        <v>1743</v>
      </c>
      <c r="D649" s="2" t="s">
        <v>1744</v>
      </c>
      <c r="E649" s="2" t="s">
        <v>1745</v>
      </c>
      <c r="F649" s="2" t="s">
        <v>1746</v>
      </c>
      <c r="G649" s="2" t="s">
        <v>564</v>
      </c>
      <c r="H649" s="2" t="s">
        <v>223</v>
      </c>
      <c r="I649" s="2" t="s">
        <v>333</v>
      </c>
      <c r="J649" s="2" t="s">
        <v>189</v>
      </c>
      <c r="K649" s="2" t="s">
        <v>190</v>
      </c>
      <c r="L649" s="2" t="s">
        <v>167</v>
      </c>
      <c r="M649" s="2">
        <v>32.66</v>
      </c>
      <c r="N649" s="2">
        <v>1.0</v>
      </c>
      <c r="O649" s="2" t="s">
        <v>4079</v>
      </c>
      <c r="P649" s="2" t="s">
        <v>48</v>
      </c>
      <c r="Q649" s="2" t="s">
        <v>204</v>
      </c>
      <c r="R649" s="2" t="s">
        <v>169</v>
      </c>
    </row>
    <row r="650" ht="15.75" customHeight="1">
      <c r="A650" s="2" t="s">
        <v>4080</v>
      </c>
      <c r="B650" s="2" t="s">
        <v>4081</v>
      </c>
      <c r="C650" s="2" t="s">
        <v>4082</v>
      </c>
      <c r="D650" s="2" t="s">
        <v>4083</v>
      </c>
      <c r="E650" s="2" t="s">
        <v>4084</v>
      </c>
      <c r="F650" s="2" t="s">
        <v>4085</v>
      </c>
      <c r="G650" s="2" t="s">
        <v>564</v>
      </c>
      <c r="H650" s="2" t="s">
        <v>74</v>
      </c>
      <c r="I650" s="2" t="s">
        <v>289</v>
      </c>
      <c r="J650" s="2" t="s">
        <v>439</v>
      </c>
      <c r="K650" s="2" t="s">
        <v>440</v>
      </c>
      <c r="L650" s="2" t="s">
        <v>63</v>
      </c>
      <c r="M650" s="2">
        <v>1031.43</v>
      </c>
      <c r="N650" s="2">
        <v>1.0</v>
      </c>
      <c r="O650" s="2" t="s">
        <v>4086</v>
      </c>
      <c r="P650" s="2" t="s">
        <v>95</v>
      </c>
      <c r="Q650" s="2" t="s">
        <v>143</v>
      </c>
      <c r="R650" s="2" t="s">
        <v>261</v>
      </c>
      <c r="S650" s="2" t="s">
        <v>67</v>
      </c>
    </row>
    <row r="651" ht="15.75" customHeight="1">
      <c r="A651" s="2" t="s">
        <v>4087</v>
      </c>
      <c r="B651" s="2" t="s">
        <v>4088</v>
      </c>
      <c r="C651" s="2" t="s">
        <v>4043</v>
      </c>
      <c r="D651" s="2" t="s">
        <v>4044</v>
      </c>
      <c r="E651" s="2" t="s">
        <v>4045</v>
      </c>
      <c r="F651" s="2" t="s">
        <v>4046</v>
      </c>
      <c r="G651" s="2" t="s">
        <v>1054</v>
      </c>
      <c r="H651" s="2" t="s">
        <v>26</v>
      </c>
      <c r="I651" s="2" t="s">
        <v>116</v>
      </c>
      <c r="J651" s="2" t="s">
        <v>1192</v>
      </c>
      <c r="K651" s="2" t="s">
        <v>1193</v>
      </c>
      <c r="L651" s="2" t="s">
        <v>179</v>
      </c>
      <c r="M651" s="2">
        <v>124.55</v>
      </c>
      <c r="N651" s="2">
        <v>2.0</v>
      </c>
      <c r="O651" s="2" t="s">
        <v>4089</v>
      </c>
      <c r="P651" s="2" t="s">
        <v>48</v>
      </c>
      <c r="Q651" s="2" t="s">
        <v>181</v>
      </c>
      <c r="R651" s="2" t="s">
        <v>294</v>
      </c>
      <c r="S651" s="2" t="s">
        <v>133</v>
      </c>
    </row>
    <row r="652" ht="15.75" customHeight="1">
      <c r="A652" s="2" t="s">
        <v>4090</v>
      </c>
      <c r="B652" s="2" t="s">
        <v>4091</v>
      </c>
      <c r="C652" s="2" t="s">
        <v>3226</v>
      </c>
      <c r="D652" s="2" t="s">
        <v>3227</v>
      </c>
      <c r="E652" s="2" t="s">
        <v>3228</v>
      </c>
      <c r="F652" s="2" t="s">
        <v>3388</v>
      </c>
      <c r="G652" s="2" t="s">
        <v>671</v>
      </c>
      <c r="H652" s="2" t="s">
        <v>323</v>
      </c>
      <c r="I652" s="2" t="s">
        <v>60</v>
      </c>
      <c r="J652" s="2" t="s">
        <v>767</v>
      </c>
      <c r="K652" s="2" t="s">
        <v>768</v>
      </c>
      <c r="L652" s="2" t="s">
        <v>769</v>
      </c>
      <c r="N652" s="2">
        <v>2.0</v>
      </c>
      <c r="O652" s="2" t="s">
        <v>4092</v>
      </c>
      <c r="P652" s="2" t="s">
        <v>32</v>
      </c>
      <c r="Q652" s="2" t="s">
        <v>33</v>
      </c>
      <c r="R652" s="2" t="s">
        <v>294</v>
      </c>
    </row>
    <row r="653" ht="15.75" customHeight="1">
      <c r="A653" s="2" t="s">
        <v>4093</v>
      </c>
      <c r="B653" s="2" t="s">
        <v>4094</v>
      </c>
      <c r="C653" s="2" t="s">
        <v>4095</v>
      </c>
      <c r="D653" s="2" t="s">
        <v>4096</v>
      </c>
      <c r="E653" s="2" t="s">
        <v>4097</v>
      </c>
      <c r="F653" s="2" t="s">
        <v>4098</v>
      </c>
      <c r="G653" s="2" t="s">
        <v>88</v>
      </c>
      <c r="H653" s="2" t="s">
        <v>26</v>
      </c>
      <c r="I653" s="2" t="s">
        <v>3595</v>
      </c>
      <c r="J653" s="2" t="s">
        <v>1529</v>
      </c>
      <c r="K653" s="2" t="s">
        <v>1530</v>
      </c>
      <c r="L653" s="2" t="s">
        <v>368</v>
      </c>
      <c r="M653" s="2">
        <v>961.63</v>
      </c>
      <c r="N653" s="2">
        <v>2.0</v>
      </c>
      <c r="O653" s="2" t="s">
        <v>4099</v>
      </c>
      <c r="P653" s="2" t="s">
        <v>32</v>
      </c>
      <c r="Q653" s="2" t="s">
        <v>485</v>
      </c>
      <c r="R653" s="2" t="s">
        <v>527</v>
      </c>
      <c r="S653" s="2" t="s">
        <v>133</v>
      </c>
    </row>
    <row r="654" ht="15.75" customHeight="1">
      <c r="A654" s="2" t="s">
        <v>4100</v>
      </c>
      <c r="B654" s="2" t="s">
        <v>4101</v>
      </c>
      <c r="C654" s="2" t="s">
        <v>1347</v>
      </c>
      <c r="D654" s="2" t="s">
        <v>1348</v>
      </c>
      <c r="E654" s="2" t="s">
        <v>1349</v>
      </c>
      <c r="F654" s="2" t="s">
        <v>1350</v>
      </c>
      <c r="G654" s="2" t="s">
        <v>671</v>
      </c>
      <c r="H654" s="2" t="s">
        <v>42</v>
      </c>
      <c r="I654" s="2" t="s">
        <v>352</v>
      </c>
      <c r="J654" s="2" t="s">
        <v>1641</v>
      </c>
      <c r="K654" s="2" t="s">
        <v>825</v>
      </c>
      <c r="L654" s="2" t="s">
        <v>179</v>
      </c>
      <c r="M654" s="2">
        <v>585.85</v>
      </c>
      <c r="N654" s="2">
        <v>5.0</v>
      </c>
      <c r="O654" s="2" t="s">
        <v>4102</v>
      </c>
      <c r="P654" s="2" t="s">
        <v>48</v>
      </c>
      <c r="Q654" s="2" t="s">
        <v>573</v>
      </c>
      <c r="R654" s="2" t="s">
        <v>393</v>
      </c>
    </row>
    <row r="655" ht="15.75" customHeight="1">
      <c r="A655" s="2" t="s">
        <v>4103</v>
      </c>
      <c r="B655" s="2" t="s">
        <v>4104</v>
      </c>
      <c r="C655" s="2" t="s">
        <v>1378</v>
      </c>
      <c r="D655" s="2" t="s">
        <v>1379</v>
      </c>
      <c r="E655" s="2" t="s">
        <v>1380</v>
      </c>
      <c r="F655" s="2" t="s">
        <v>1381</v>
      </c>
      <c r="G655" s="2" t="s">
        <v>801</v>
      </c>
      <c r="H655" s="2" t="s">
        <v>802</v>
      </c>
      <c r="I655" s="2" t="s">
        <v>176</v>
      </c>
      <c r="J655" s="2" t="s">
        <v>353</v>
      </c>
      <c r="K655" s="2" t="s">
        <v>354</v>
      </c>
      <c r="L655" s="2" t="s">
        <v>355</v>
      </c>
      <c r="M655" s="2">
        <v>1122.84</v>
      </c>
      <c r="N655" s="2">
        <v>2.0</v>
      </c>
      <c r="O655" s="2" t="s">
        <v>4105</v>
      </c>
      <c r="P655" s="2" t="s">
        <v>95</v>
      </c>
      <c r="Q655" s="2" t="s">
        <v>49</v>
      </c>
      <c r="R655" s="2" t="s">
        <v>192</v>
      </c>
    </row>
    <row r="656" ht="15.75" customHeight="1">
      <c r="A656" s="2" t="s">
        <v>4106</v>
      </c>
      <c r="B656" s="2" t="s">
        <v>4107</v>
      </c>
      <c r="C656" s="2" t="s">
        <v>4108</v>
      </c>
      <c r="D656" s="2" t="s">
        <v>4109</v>
      </c>
      <c r="E656" s="2" t="s">
        <v>4110</v>
      </c>
      <c r="F656" s="2" t="s">
        <v>4111</v>
      </c>
      <c r="G656" s="2" t="s">
        <v>151</v>
      </c>
      <c r="H656" s="2" t="s">
        <v>26</v>
      </c>
      <c r="I656" s="2" t="s">
        <v>1245</v>
      </c>
      <c r="J656" s="2" t="s">
        <v>599</v>
      </c>
      <c r="K656" s="2" t="s">
        <v>600</v>
      </c>
      <c r="L656" s="2" t="s">
        <v>167</v>
      </c>
      <c r="N656" s="2">
        <v>1.0</v>
      </c>
      <c r="O656" s="2" t="s">
        <v>4112</v>
      </c>
      <c r="P656" s="2" t="s">
        <v>950</v>
      </c>
      <c r="Q656" s="2" t="s">
        <v>49</v>
      </c>
      <c r="R656" s="2" t="s">
        <v>452</v>
      </c>
      <c r="S656" s="2" t="s">
        <v>133</v>
      </c>
    </row>
    <row r="657" ht="15.75" customHeight="1">
      <c r="A657" s="2" t="s">
        <v>4113</v>
      </c>
      <c r="B657" s="2" t="s">
        <v>4114</v>
      </c>
      <c r="C657" s="2" t="s">
        <v>4115</v>
      </c>
      <c r="D657" s="2" t="s">
        <v>4116</v>
      </c>
      <c r="E657" s="2" t="s">
        <v>4117</v>
      </c>
      <c r="F657" s="2" t="s">
        <v>4118</v>
      </c>
      <c r="G657" s="2" t="s">
        <v>88</v>
      </c>
      <c r="H657" s="2" t="s">
        <v>2472</v>
      </c>
      <c r="I657" s="2" t="s">
        <v>289</v>
      </c>
      <c r="J657" s="2" t="s">
        <v>353</v>
      </c>
      <c r="K657" s="2" t="s">
        <v>354</v>
      </c>
      <c r="L657" s="2" t="s">
        <v>355</v>
      </c>
      <c r="M657" s="2">
        <v>664.07</v>
      </c>
      <c r="N657" s="2">
        <v>1.0</v>
      </c>
      <c r="O657" s="2" t="s">
        <v>4119</v>
      </c>
      <c r="P657" s="2" t="s">
        <v>65</v>
      </c>
      <c r="Q657" s="2" t="s">
        <v>664</v>
      </c>
      <c r="R657" s="2" t="s">
        <v>306</v>
      </c>
      <c r="S657" s="2" t="s">
        <v>133</v>
      </c>
    </row>
    <row r="658" ht="15.75" customHeight="1">
      <c r="A658" s="2" t="s">
        <v>1893</v>
      </c>
      <c r="B658" s="2" t="s">
        <v>1894</v>
      </c>
      <c r="C658" s="2" t="s">
        <v>1427</v>
      </c>
      <c r="D658" s="2" t="s">
        <v>4120</v>
      </c>
      <c r="E658" s="2" t="s">
        <v>1429</v>
      </c>
      <c r="F658" s="2" t="s">
        <v>1430</v>
      </c>
      <c r="G658" s="2" t="s">
        <v>399</v>
      </c>
      <c r="H658" s="2" t="s">
        <v>59</v>
      </c>
      <c r="I658" s="2" t="s">
        <v>480</v>
      </c>
      <c r="J658" s="2" t="s">
        <v>976</v>
      </c>
      <c r="K658" s="2" t="s">
        <v>335</v>
      </c>
      <c r="L658" s="2" t="s">
        <v>214</v>
      </c>
      <c r="M658" s="2">
        <v>1548.78</v>
      </c>
      <c r="N658" s="2">
        <v>1.0</v>
      </c>
      <c r="O658" s="2" t="s">
        <v>1895</v>
      </c>
      <c r="P658" s="2" t="s">
        <v>95</v>
      </c>
      <c r="Q658" s="2" t="s">
        <v>664</v>
      </c>
      <c r="R658" s="2" t="s">
        <v>192</v>
      </c>
    </row>
    <row r="659" ht="15.75" customHeight="1">
      <c r="A659" s="2" t="s">
        <v>4121</v>
      </c>
      <c r="B659" s="2" t="s">
        <v>4122</v>
      </c>
      <c r="C659" s="2" t="s">
        <v>1969</v>
      </c>
      <c r="D659" s="2" t="s">
        <v>489</v>
      </c>
      <c r="E659" s="2" t="s">
        <v>1970</v>
      </c>
      <c r="F659" s="2" t="s">
        <v>1971</v>
      </c>
      <c r="G659" s="2" t="s">
        <v>564</v>
      </c>
      <c r="H659" s="2" t="s">
        <v>301</v>
      </c>
      <c r="I659" s="2" t="s">
        <v>60</v>
      </c>
      <c r="J659" s="2" t="s">
        <v>2240</v>
      </c>
      <c r="K659" s="2" t="s">
        <v>712</v>
      </c>
      <c r="L659" s="2" t="s">
        <v>742</v>
      </c>
      <c r="M659" s="2">
        <v>1101.67</v>
      </c>
      <c r="O659" s="2" t="s">
        <v>4123</v>
      </c>
      <c r="P659" s="2" t="s">
        <v>65</v>
      </c>
      <c r="Q659" s="2" t="s">
        <v>4124</v>
      </c>
      <c r="R659" s="2" t="s">
        <v>380</v>
      </c>
    </row>
    <row r="660" ht="15.75" customHeight="1">
      <c r="A660" s="2" t="s">
        <v>4125</v>
      </c>
      <c r="B660" s="2" t="s">
        <v>4126</v>
      </c>
      <c r="C660" s="2" t="s">
        <v>679</v>
      </c>
      <c r="D660" s="2" t="s">
        <v>680</v>
      </c>
      <c r="E660" s="2" t="s">
        <v>681</v>
      </c>
      <c r="F660" s="2" t="s">
        <v>682</v>
      </c>
      <c r="G660" s="2" t="s">
        <v>199</v>
      </c>
      <c r="H660" s="2" t="s">
        <v>59</v>
      </c>
      <c r="I660" s="2" t="s">
        <v>1423</v>
      </c>
      <c r="J660" s="2" t="s">
        <v>2483</v>
      </c>
      <c r="K660" s="2" t="s">
        <v>1530</v>
      </c>
      <c r="L660" s="2" t="s">
        <v>503</v>
      </c>
      <c r="N660" s="2">
        <v>5.0</v>
      </c>
      <c r="O660" s="2" t="s">
        <v>4127</v>
      </c>
      <c r="P660" s="2" t="s">
        <v>48</v>
      </c>
      <c r="Q660" s="2" t="s">
        <v>49</v>
      </c>
      <c r="R660" s="2" t="s">
        <v>452</v>
      </c>
    </row>
    <row r="661" ht="15.75" customHeight="1">
      <c r="A661" s="2" t="s">
        <v>4128</v>
      </c>
      <c r="B661" s="2" t="s">
        <v>4129</v>
      </c>
      <c r="C661" s="2" t="s">
        <v>4130</v>
      </c>
      <c r="D661" s="2" t="s">
        <v>1283</v>
      </c>
      <c r="E661" s="2" t="s">
        <v>4131</v>
      </c>
      <c r="F661" s="2" t="s">
        <v>4132</v>
      </c>
      <c r="G661" s="2" t="s">
        <v>41</v>
      </c>
      <c r="H661" s="2" t="s">
        <v>802</v>
      </c>
      <c r="I661" s="2" t="s">
        <v>211</v>
      </c>
      <c r="J661" s="2" t="s">
        <v>652</v>
      </c>
      <c r="K661" s="2" t="s">
        <v>653</v>
      </c>
      <c r="L661" s="2" t="s">
        <v>179</v>
      </c>
      <c r="N661" s="2">
        <v>1.0</v>
      </c>
      <c r="P661" s="2" t="s">
        <v>48</v>
      </c>
      <c r="Q661" s="2" t="s">
        <v>204</v>
      </c>
      <c r="R661" s="2" t="s">
        <v>80</v>
      </c>
      <c r="S661" s="2" t="s">
        <v>133</v>
      </c>
    </row>
    <row r="662" ht="15.75" customHeight="1">
      <c r="A662" s="2" t="s">
        <v>1154</v>
      </c>
      <c r="B662" s="2" t="s">
        <v>1155</v>
      </c>
      <c r="C662" s="2" t="s">
        <v>1082</v>
      </c>
      <c r="D662" s="2" t="s">
        <v>867</v>
      </c>
      <c r="E662" s="2" t="s">
        <v>1083</v>
      </c>
      <c r="F662" s="2" t="s">
        <v>1084</v>
      </c>
      <c r="G662" s="2" t="s">
        <v>364</v>
      </c>
      <c r="H662" s="2" t="s">
        <v>460</v>
      </c>
      <c r="I662" s="2" t="s">
        <v>500</v>
      </c>
      <c r="J662" s="2" t="s">
        <v>279</v>
      </c>
      <c r="K662" s="2" t="s">
        <v>280</v>
      </c>
      <c r="L662" s="2" t="s">
        <v>281</v>
      </c>
      <c r="M662" s="2">
        <v>914.33</v>
      </c>
      <c r="N662" s="2">
        <v>2.0</v>
      </c>
      <c r="O662" s="2" t="s">
        <v>1156</v>
      </c>
      <c r="P662" s="2" t="s">
        <v>65</v>
      </c>
      <c r="Q662" s="2" t="s">
        <v>66</v>
      </c>
      <c r="R662" s="2" t="s">
        <v>294</v>
      </c>
    </row>
    <row r="663" ht="15.75" customHeight="1">
      <c r="A663" s="2" t="s">
        <v>4133</v>
      </c>
      <c r="B663" s="2" t="s">
        <v>4134</v>
      </c>
      <c r="C663" s="2" t="s">
        <v>1437</v>
      </c>
      <c r="D663" s="2" t="s">
        <v>1438</v>
      </c>
      <c r="E663" s="2" t="s">
        <v>1439</v>
      </c>
      <c r="F663" s="2" t="s">
        <v>1440</v>
      </c>
      <c r="G663" s="2" t="s">
        <v>88</v>
      </c>
      <c r="H663" s="2" t="s">
        <v>223</v>
      </c>
      <c r="I663" s="2" t="s">
        <v>211</v>
      </c>
      <c r="J663" s="2" t="s">
        <v>439</v>
      </c>
      <c r="K663" s="2" t="s">
        <v>440</v>
      </c>
      <c r="L663" s="2" t="s">
        <v>63</v>
      </c>
      <c r="N663" s="2">
        <v>5.0</v>
      </c>
      <c r="O663" s="2" t="s">
        <v>4135</v>
      </c>
      <c r="P663" s="2" t="s">
        <v>484</v>
      </c>
      <c r="Q663" s="2" t="s">
        <v>33</v>
      </c>
      <c r="R663" s="2" t="s">
        <v>169</v>
      </c>
      <c r="S663" s="2" t="s">
        <v>81</v>
      </c>
    </row>
    <row r="664" ht="15.75" customHeight="1">
      <c r="A664" s="2" t="s">
        <v>4136</v>
      </c>
      <c r="B664" s="2" t="s">
        <v>4137</v>
      </c>
      <c r="C664" s="2" t="s">
        <v>4138</v>
      </c>
      <c r="D664" s="2" t="s">
        <v>1451</v>
      </c>
      <c r="F664" s="2" t="s">
        <v>4139</v>
      </c>
      <c r="G664" s="2" t="s">
        <v>165</v>
      </c>
      <c r="H664" s="2" t="s">
        <v>210</v>
      </c>
      <c r="I664" s="2" t="s">
        <v>103</v>
      </c>
      <c r="J664" s="2" t="s">
        <v>904</v>
      </c>
      <c r="K664" s="2" t="s">
        <v>905</v>
      </c>
      <c r="L664" s="2" t="s">
        <v>167</v>
      </c>
      <c r="N664" s="2">
        <v>5.0</v>
      </c>
      <c r="O664" s="2" t="s">
        <v>4140</v>
      </c>
      <c r="P664" s="2" t="s">
        <v>95</v>
      </c>
      <c r="Q664" s="2" t="s">
        <v>66</v>
      </c>
      <c r="R664" s="2" t="s">
        <v>192</v>
      </c>
      <c r="S664" s="2" t="s">
        <v>81</v>
      </c>
    </row>
    <row r="665" ht="15.75" customHeight="1">
      <c r="A665" s="2" t="s">
        <v>4141</v>
      </c>
      <c r="B665" s="2" t="s">
        <v>4142</v>
      </c>
      <c r="C665" s="2" t="s">
        <v>1507</v>
      </c>
      <c r="D665" s="2" t="s">
        <v>1508</v>
      </c>
      <c r="E665" s="2" t="s">
        <v>1509</v>
      </c>
      <c r="F665" s="2" t="s">
        <v>1510</v>
      </c>
      <c r="G665" s="2" t="s">
        <v>58</v>
      </c>
      <c r="H665" s="2" t="s">
        <v>115</v>
      </c>
      <c r="I665" s="2" t="s">
        <v>103</v>
      </c>
      <c r="J665" s="2" t="s">
        <v>3210</v>
      </c>
      <c r="K665" s="2" t="s">
        <v>3211</v>
      </c>
      <c r="L665" s="2" t="s">
        <v>167</v>
      </c>
      <c r="M665" s="2">
        <v>561.55</v>
      </c>
      <c r="N665" s="2">
        <v>3.0</v>
      </c>
      <c r="O665" s="2" t="s">
        <v>4143</v>
      </c>
      <c r="P665" s="2" t="s">
        <v>65</v>
      </c>
      <c r="Q665" s="2" t="s">
        <v>238</v>
      </c>
      <c r="R665" s="2" t="s">
        <v>192</v>
      </c>
    </row>
    <row r="666" ht="15.75" customHeight="1">
      <c r="A666" s="2" t="s">
        <v>4144</v>
      </c>
      <c r="B666" s="2" t="s">
        <v>4145</v>
      </c>
      <c r="C666" s="2" t="s">
        <v>4146</v>
      </c>
      <c r="D666" s="2" t="s">
        <v>4147</v>
      </c>
      <c r="F666" s="2" t="s">
        <v>4148</v>
      </c>
      <c r="G666" s="2" t="s">
        <v>199</v>
      </c>
      <c r="H666" s="2" t="s">
        <v>59</v>
      </c>
      <c r="I666" s="2" t="s">
        <v>116</v>
      </c>
      <c r="J666" s="2" t="s">
        <v>2012</v>
      </c>
      <c r="K666" s="2" t="s">
        <v>741</v>
      </c>
      <c r="L666" s="2" t="s">
        <v>514</v>
      </c>
      <c r="N666" s="2">
        <v>2.0</v>
      </c>
      <c r="O666" s="2" t="s">
        <v>4149</v>
      </c>
      <c r="P666" s="2" t="s">
        <v>65</v>
      </c>
      <c r="Q666" s="2" t="s">
        <v>664</v>
      </c>
      <c r="R666" s="2" t="s">
        <v>818</v>
      </c>
    </row>
    <row r="667" ht="15.75" customHeight="1">
      <c r="A667" s="2" t="s">
        <v>3051</v>
      </c>
      <c r="B667" s="2" t="s">
        <v>3052</v>
      </c>
      <c r="C667" s="2" t="s">
        <v>1267</v>
      </c>
      <c r="D667" s="2" t="s">
        <v>1268</v>
      </c>
      <c r="E667" s="2" t="s">
        <v>1269</v>
      </c>
      <c r="F667" s="2" t="s">
        <v>1270</v>
      </c>
      <c r="G667" s="2" t="s">
        <v>139</v>
      </c>
      <c r="H667" s="2" t="s">
        <v>42</v>
      </c>
      <c r="I667" s="2" t="s">
        <v>211</v>
      </c>
      <c r="J667" s="2" t="s">
        <v>3053</v>
      </c>
      <c r="K667" s="2" t="s">
        <v>741</v>
      </c>
      <c r="L667" s="2" t="s">
        <v>63</v>
      </c>
      <c r="N667" s="2">
        <v>3.0</v>
      </c>
      <c r="O667" s="2" t="s">
        <v>3054</v>
      </c>
      <c r="P667" s="2" t="s">
        <v>65</v>
      </c>
      <c r="Q667" s="2" t="s">
        <v>143</v>
      </c>
      <c r="R667" s="2" t="s">
        <v>169</v>
      </c>
    </row>
    <row r="668" ht="15.75" customHeight="1">
      <c r="A668" s="2" t="s">
        <v>4150</v>
      </c>
      <c r="B668" s="2" t="s">
        <v>4151</v>
      </c>
      <c r="C668" s="2" t="s">
        <v>3371</v>
      </c>
      <c r="D668" s="2" t="s">
        <v>1406</v>
      </c>
      <c r="F668" s="2" t="s">
        <v>3372</v>
      </c>
      <c r="G668" s="2" t="s">
        <v>720</v>
      </c>
      <c r="H668" s="2" t="s">
        <v>42</v>
      </c>
      <c r="I668" s="2" t="s">
        <v>43</v>
      </c>
      <c r="J668" s="2" t="s">
        <v>4068</v>
      </c>
      <c r="K668" s="2" t="s">
        <v>4069</v>
      </c>
      <c r="L668" s="2" t="s">
        <v>1016</v>
      </c>
      <c r="N668" s="2">
        <v>1.0</v>
      </c>
      <c r="O668" s="2" t="s">
        <v>4152</v>
      </c>
      <c r="P668" s="2" t="s">
        <v>48</v>
      </c>
      <c r="Q668" s="2" t="s">
        <v>485</v>
      </c>
      <c r="R668" s="2" t="s">
        <v>380</v>
      </c>
      <c r="S668" s="2" t="s">
        <v>67</v>
      </c>
    </row>
    <row r="669" ht="15.75" customHeight="1">
      <c r="A669" s="2" t="s">
        <v>4153</v>
      </c>
      <c r="B669" s="2" t="s">
        <v>4154</v>
      </c>
      <c r="C669" s="2" t="s">
        <v>1472</v>
      </c>
      <c r="D669" s="2" t="s">
        <v>1473</v>
      </c>
      <c r="E669" s="2" t="s">
        <v>4155</v>
      </c>
      <c r="F669" s="2" t="s">
        <v>1474</v>
      </c>
      <c r="G669" s="2" t="s">
        <v>114</v>
      </c>
      <c r="H669" s="2" t="s">
        <v>59</v>
      </c>
      <c r="I669" s="2" t="s">
        <v>333</v>
      </c>
      <c r="J669" s="2" t="s">
        <v>1849</v>
      </c>
      <c r="K669" s="2" t="s">
        <v>403</v>
      </c>
      <c r="L669" s="2" t="s">
        <v>248</v>
      </c>
      <c r="M669" s="2">
        <v>175.87</v>
      </c>
      <c r="N669" s="2">
        <v>5.0</v>
      </c>
      <c r="O669" s="2" t="s">
        <v>4156</v>
      </c>
      <c r="P669" s="2" t="s">
        <v>95</v>
      </c>
      <c r="Q669" s="2" t="s">
        <v>96</v>
      </c>
      <c r="R669" s="2" t="s">
        <v>432</v>
      </c>
      <c r="S669" s="2" t="s">
        <v>133</v>
      </c>
    </row>
    <row r="670" ht="15.75" customHeight="1">
      <c r="A670" s="2" t="s">
        <v>4157</v>
      </c>
      <c r="B670" s="2" t="s">
        <v>4158</v>
      </c>
      <c r="C670" s="2" t="s">
        <v>2684</v>
      </c>
      <c r="D670" s="2" t="s">
        <v>2685</v>
      </c>
      <c r="E670" s="2" t="s">
        <v>2686</v>
      </c>
      <c r="F670" s="2" t="s">
        <v>2687</v>
      </c>
      <c r="G670" s="2" t="s">
        <v>608</v>
      </c>
      <c r="H670" s="2" t="s">
        <v>59</v>
      </c>
      <c r="I670" s="2" t="s">
        <v>401</v>
      </c>
      <c r="J670" s="2" t="s">
        <v>643</v>
      </c>
      <c r="K670" s="2" t="s">
        <v>644</v>
      </c>
      <c r="L670" s="2" t="s">
        <v>368</v>
      </c>
      <c r="N670" s="2">
        <v>2.0</v>
      </c>
      <c r="O670" s="2" t="s">
        <v>4159</v>
      </c>
      <c r="P670" s="2" t="s">
        <v>65</v>
      </c>
      <c r="Q670" s="2" t="s">
        <v>49</v>
      </c>
      <c r="R670" s="2" t="s">
        <v>34</v>
      </c>
    </row>
    <row r="671" ht="15.75" customHeight="1">
      <c r="A671" s="2" t="s">
        <v>4160</v>
      </c>
      <c r="B671" s="2" t="s">
        <v>4161</v>
      </c>
      <c r="C671" s="2" t="s">
        <v>4162</v>
      </c>
      <c r="D671" s="2" t="s">
        <v>4163</v>
      </c>
      <c r="E671" s="2" t="s">
        <v>4164</v>
      </c>
      <c r="F671" s="2" t="s">
        <v>4165</v>
      </c>
      <c r="G671" s="2" t="s">
        <v>777</v>
      </c>
      <c r="H671" s="2" t="s">
        <v>400</v>
      </c>
      <c r="I671" s="2" t="s">
        <v>176</v>
      </c>
      <c r="J671" s="2" t="s">
        <v>439</v>
      </c>
      <c r="K671" s="2" t="s">
        <v>440</v>
      </c>
      <c r="L671" s="2" t="s">
        <v>63</v>
      </c>
      <c r="M671" s="2">
        <v>1259.48</v>
      </c>
      <c r="N671" s="2">
        <v>2.0</v>
      </c>
      <c r="O671" s="2" t="s">
        <v>4166</v>
      </c>
      <c r="P671" s="2" t="s">
        <v>48</v>
      </c>
      <c r="Q671" s="2" t="s">
        <v>33</v>
      </c>
      <c r="R671" s="2" t="s">
        <v>294</v>
      </c>
    </row>
    <row r="672" ht="15.75" customHeight="1">
      <c r="A672" s="2" t="s">
        <v>4167</v>
      </c>
      <c r="B672" s="2" t="s">
        <v>4168</v>
      </c>
      <c r="C672" s="2" t="s">
        <v>2134</v>
      </c>
      <c r="D672" s="2" t="s">
        <v>2135</v>
      </c>
      <c r="E672" s="2" t="s">
        <v>2136</v>
      </c>
      <c r="F672" s="2" t="s">
        <v>2137</v>
      </c>
      <c r="G672" s="2" t="s">
        <v>188</v>
      </c>
      <c r="H672" s="2" t="s">
        <v>59</v>
      </c>
      <c r="I672" s="2" t="s">
        <v>480</v>
      </c>
      <c r="J672" s="2" t="s">
        <v>1476</v>
      </c>
      <c r="K672" s="2" t="s">
        <v>1147</v>
      </c>
      <c r="L672" s="2" t="s">
        <v>1477</v>
      </c>
      <c r="M672" s="2">
        <v>1409.88</v>
      </c>
      <c r="O672" s="2" t="s">
        <v>4169</v>
      </c>
      <c r="P672" s="2" t="s">
        <v>48</v>
      </c>
      <c r="Q672" s="2" t="s">
        <v>181</v>
      </c>
      <c r="R672" s="2" t="s">
        <v>1312</v>
      </c>
    </row>
    <row r="673" ht="15.75" customHeight="1">
      <c r="A673" s="2" t="s">
        <v>4170</v>
      </c>
      <c r="B673" s="2" t="s">
        <v>4171</v>
      </c>
      <c r="C673" s="2" t="s">
        <v>4172</v>
      </c>
      <c r="D673" s="2" t="s">
        <v>4173</v>
      </c>
      <c r="E673" s="2" t="s">
        <v>4174</v>
      </c>
      <c r="F673" s="2" t="s">
        <v>4175</v>
      </c>
      <c r="G673" s="2" t="s">
        <v>671</v>
      </c>
      <c r="H673" s="2" t="s">
        <v>26</v>
      </c>
      <c r="I673" s="2" t="s">
        <v>176</v>
      </c>
      <c r="J673" s="2" t="s">
        <v>965</v>
      </c>
      <c r="K673" s="2" t="s">
        <v>966</v>
      </c>
      <c r="L673" s="2" t="s">
        <v>967</v>
      </c>
      <c r="M673" s="2">
        <v>398.72</v>
      </c>
      <c r="N673" s="2">
        <v>5.0</v>
      </c>
      <c r="O673" s="2" t="s">
        <v>4176</v>
      </c>
      <c r="P673" s="2" t="s">
        <v>65</v>
      </c>
      <c r="Q673" s="2" t="s">
        <v>66</v>
      </c>
      <c r="R673" s="2" t="s">
        <v>80</v>
      </c>
      <c r="S673" s="2" t="s">
        <v>133</v>
      </c>
    </row>
    <row r="674" ht="15.75" customHeight="1">
      <c r="A674" s="2" t="s">
        <v>4177</v>
      </c>
      <c r="B674" s="2" t="s">
        <v>4178</v>
      </c>
      <c r="C674" s="2" t="s">
        <v>4179</v>
      </c>
      <c r="D674" s="2" t="s">
        <v>4180</v>
      </c>
      <c r="E674" s="2" t="s">
        <v>4181</v>
      </c>
      <c r="G674" s="2" t="s">
        <v>58</v>
      </c>
      <c r="H674" s="2" t="s">
        <v>400</v>
      </c>
      <c r="I674" s="2" t="s">
        <v>103</v>
      </c>
      <c r="J674" s="2" t="s">
        <v>4048</v>
      </c>
      <c r="K674" s="2" t="s">
        <v>4049</v>
      </c>
      <c r="L674" s="2" t="s">
        <v>214</v>
      </c>
      <c r="M674" s="2">
        <v>930.18</v>
      </c>
      <c r="N674" s="2">
        <v>2.0</v>
      </c>
      <c r="O674" s="2" t="s">
        <v>4182</v>
      </c>
      <c r="P674" s="2" t="s">
        <v>95</v>
      </c>
      <c r="Q674" s="2" t="s">
        <v>181</v>
      </c>
      <c r="R674" s="2" t="s">
        <v>251</v>
      </c>
    </row>
    <row r="675" ht="15.75" customHeight="1">
      <c r="A675" s="2" t="s">
        <v>4183</v>
      </c>
      <c r="B675" s="2" t="s">
        <v>4184</v>
      </c>
      <c r="C675" s="2" t="s">
        <v>4185</v>
      </c>
      <c r="D675" s="2" t="s">
        <v>4186</v>
      </c>
      <c r="E675" s="2" t="s">
        <v>4187</v>
      </c>
      <c r="F675" s="2" t="s">
        <v>4188</v>
      </c>
      <c r="G675" s="2" t="s">
        <v>114</v>
      </c>
      <c r="H675" s="2" t="s">
        <v>74</v>
      </c>
      <c r="I675" s="2" t="s">
        <v>312</v>
      </c>
      <c r="J675" s="2" t="s">
        <v>290</v>
      </c>
      <c r="K675" s="2" t="s">
        <v>291</v>
      </c>
      <c r="L675" s="2" t="s">
        <v>292</v>
      </c>
      <c r="N675" s="2">
        <v>2.0</v>
      </c>
      <c r="O675" s="2" t="s">
        <v>4189</v>
      </c>
      <c r="P675" s="2" t="s">
        <v>32</v>
      </c>
      <c r="Q675" s="2" t="s">
        <v>2937</v>
      </c>
      <c r="R675" s="2" t="s">
        <v>158</v>
      </c>
      <c r="S675" s="2" t="s">
        <v>67</v>
      </c>
    </row>
    <row r="676" ht="15.75" customHeight="1">
      <c r="A676" s="2" t="s">
        <v>4190</v>
      </c>
      <c r="B676" s="2" t="s">
        <v>4191</v>
      </c>
      <c r="C676" s="2" t="s">
        <v>4192</v>
      </c>
      <c r="D676" s="2" t="s">
        <v>4193</v>
      </c>
      <c r="E676" s="2" t="s">
        <v>4194</v>
      </c>
      <c r="F676" s="2" t="s">
        <v>4195</v>
      </c>
      <c r="G676" s="2" t="s">
        <v>25</v>
      </c>
      <c r="H676" s="2" t="s">
        <v>59</v>
      </c>
      <c r="I676" s="2" t="s">
        <v>103</v>
      </c>
      <c r="J676" s="2" t="s">
        <v>1400</v>
      </c>
      <c r="K676" s="2" t="s">
        <v>524</v>
      </c>
      <c r="L676" s="2" t="s">
        <v>1401</v>
      </c>
      <c r="N676" s="2">
        <v>5.0</v>
      </c>
      <c r="O676" s="2" t="s">
        <v>4196</v>
      </c>
      <c r="P676" s="2" t="s">
        <v>48</v>
      </c>
      <c r="Q676" s="2" t="s">
        <v>143</v>
      </c>
      <c r="R676" s="2" t="s">
        <v>380</v>
      </c>
    </row>
    <row r="677" ht="15.75" customHeight="1">
      <c r="A677" s="2" t="s">
        <v>4197</v>
      </c>
      <c r="B677" s="2" t="s">
        <v>4198</v>
      </c>
      <c r="C677" s="2" t="s">
        <v>2029</v>
      </c>
      <c r="D677" s="2" t="s">
        <v>2030</v>
      </c>
      <c r="E677" s="2" t="s">
        <v>2031</v>
      </c>
      <c r="F677" s="2" t="s">
        <v>2032</v>
      </c>
      <c r="G677" s="2" t="s">
        <v>564</v>
      </c>
      <c r="H677" s="2" t="s">
        <v>152</v>
      </c>
      <c r="I677" s="2" t="s">
        <v>4199</v>
      </c>
      <c r="J677" s="2" t="s">
        <v>513</v>
      </c>
      <c r="K677" s="2" t="s">
        <v>391</v>
      </c>
      <c r="L677" s="2" t="s">
        <v>514</v>
      </c>
      <c r="N677" s="2">
        <v>2.0</v>
      </c>
      <c r="O677" s="2" t="s">
        <v>4200</v>
      </c>
      <c r="P677" s="2" t="s">
        <v>65</v>
      </c>
      <c r="Q677" s="2" t="s">
        <v>66</v>
      </c>
      <c r="R677" s="2" t="s">
        <v>432</v>
      </c>
    </row>
    <row r="678" ht="15.75" customHeight="1">
      <c r="A678" s="2" t="s">
        <v>4201</v>
      </c>
      <c r="B678" s="2" t="s">
        <v>4202</v>
      </c>
      <c r="C678" s="2" t="s">
        <v>2016</v>
      </c>
      <c r="D678" s="2" t="s">
        <v>2017</v>
      </c>
      <c r="E678" s="2" t="s">
        <v>2018</v>
      </c>
      <c r="F678" s="2" t="s">
        <v>2019</v>
      </c>
      <c r="G678" s="2" t="s">
        <v>564</v>
      </c>
      <c r="H678" s="2" t="s">
        <v>223</v>
      </c>
      <c r="I678" s="2" t="s">
        <v>90</v>
      </c>
      <c r="J678" s="2" t="s">
        <v>729</v>
      </c>
      <c r="K678" s="2" t="s">
        <v>62</v>
      </c>
      <c r="L678" s="2" t="s">
        <v>730</v>
      </c>
      <c r="M678" s="2">
        <v>484.22</v>
      </c>
      <c r="N678" s="2">
        <v>1.0</v>
      </c>
      <c r="O678" s="2" t="s">
        <v>4203</v>
      </c>
      <c r="P678" s="2" t="s">
        <v>95</v>
      </c>
      <c r="Q678" s="2" t="s">
        <v>305</v>
      </c>
      <c r="R678" s="2" t="s">
        <v>192</v>
      </c>
    </row>
    <row r="679" ht="15.75" customHeight="1">
      <c r="A679" s="2" t="s">
        <v>4204</v>
      </c>
      <c r="B679" s="2" t="s">
        <v>4205</v>
      </c>
      <c r="C679" s="2" t="s">
        <v>4206</v>
      </c>
      <c r="D679" s="2" t="s">
        <v>1445</v>
      </c>
      <c r="E679" s="2" t="s">
        <v>2141</v>
      </c>
      <c r="F679" s="2" t="s">
        <v>4207</v>
      </c>
      <c r="G679" s="2" t="s">
        <v>608</v>
      </c>
      <c r="H679" s="2" t="s">
        <v>26</v>
      </c>
      <c r="I679" s="2" t="s">
        <v>401</v>
      </c>
      <c r="J679" s="2" t="s">
        <v>767</v>
      </c>
      <c r="K679" s="2" t="s">
        <v>768</v>
      </c>
      <c r="L679" s="2" t="s">
        <v>769</v>
      </c>
      <c r="M679" s="2">
        <v>1405.28</v>
      </c>
      <c r="N679" s="2">
        <v>3.0</v>
      </c>
      <c r="O679" s="2" t="s">
        <v>4208</v>
      </c>
      <c r="P679" s="2" t="s">
        <v>95</v>
      </c>
      <c r="Q679" s="2" t="s">
        <v>66</v>
      </c>
      <c r="R679" s="2" t="s">
        <v>818</v>
      </c>
      <c r="S679" s="2" t="s">
        <v>133</v>
      </c>
    </row>
    <row r="680" ht="15.75" customHeight="1">
      <c r="A680" s="2" t="s">
        <v>4209</v>
      </c>
      <c r="B680" s="2" t="s">
        <v>4210</v>
      </c>
      <c r="C680" s="2" t="s">
        <v>1082</v>
      </c>
      <c r="D680" s="2" t="s">
        <v>867</v>
      </c>
      <c r="E680" s="2" t="s">
        <v>1083</v>
      </c>
      <c r="F680" s="2" t="s">
        <v>1084</v>
      </c>
      <c r="G680" s="2" t="s">
        <v>364</v>
      </c>
      <c r="H680" s="2" t="s">
        <v>115</v>
      </c>
      <c r="I680" s="2" t="s">
        <v>176</v>
      </c>
      <c r="J680" s="2" t="s">
        <v>740</v>
      </c>
      <c r="K680" s="2" t="s">
        <v>741</v>
      </c>
      <c r="L680" s="2" t="s">
        <v>742</v>
      </c>
      <c r="M680" s="2">
        <v>1390.08</v>
      </c>
      <c r="N680" s="2">
        <v>5.0</v>
      </c>
      <c r="O680" s="2" t="s">
        <v>4211</v>
      </c>
      <c r="P680" s="2" t="s">
        <v>32</v>
      </c>
      <c r="Q680" s="2" t="s">
        <v>204</v>
      </c>
      <c r="R680" s="2" t="s">
        <v>4212</v>
      </c>
      <c r="S680" s="2" t="s">
        <v>81</v>
      </c>
    </row>
    <row r="681" ht="15.75" customHeight="1">
      <c r="A681" s="2" t="s">
        <v>4213</v>
      </c>
      <c r="B681" s="2" t="s">
        <v>4214</v>
      </c>
      <c r="C681" s="2" t="s">
        <v>4215</v>
      </c>
      <c r="D681" s="2" t="s">
        <v>4216</v>
      </c>
      <c r="E681" s="2" t="s">
        <v>4217</v>
      </c>
      <c r="F681" s="2" t="s">
        <v>4218</v>
      </c>
      <c r="G681" s="2" t="s">
        <v>139</v>
      </c>
      <c r="H681" s="2" t="s">
        <v>59</v>
      </c>
      <c r="I681" s="2" t="s">
        <v>870</v>
      </c>
      <c r="J681" s="2" t="s">
        <v>127</v>
      </c>
      <c r="K681" s="2" t="s">
        <v>128</v>
      </c>
      <c r="L681" s="2" t="s">
        <v>129</v>
      </c>
      <c r="M681" s="2">
        <v>1111.44</v>
      </c>
      <c r="N681" s="2">
        <v>5.0</v>
      </c>
      <c r="O681" s="2" t="s">
        <v>4219</v>
      </c>
      <c r="P681" s="2" t="s">
        <v>95</v>
      </c>
      <c r="Q681" s="2" t="s">
        <v>181</v>
      </c>
      <c r="R681" s="2" t="s">
        <v>818</v>
      </c>
    </row>
    <row r="682" ht="15.75" customHeight="1">
      <c r="A682" s="2" t="s">
        <v>4220</v>
      </c>
      <c r="B682" s="2" t="s">
        <v>4221</v>
      </c>
      <c r="C682" s="2" t="s">
        <v>4222</v>
      </c>
      <c r="D682" s="2" t="s">
        <v>1646</v>
      </c>
      <c r="E682" s="2" t="s">
        <v>4223</v>
      </c>
      <c r="F682" s="2" t="s">
        <v>4224</v>
      </c>
      <c r="G682" s="2" t="s">
        <v>421</v>
      </c>
      <c r="H682" s="2" t="s">
        <v>301</v>
      </c>
      <c r="I682" s="2" t="s">
        <v>176</v>
      </c>
      <c r="J682" s="2" t="s">
        <v>224</v>
      </c>
      <c r="K682" s="2" t="s">
        <v>225</v>
      </c>
      <c r="L682" s="2" t="s">
        <v>214</v>
      </c>
      <c r="M682" s="2">
        <v>1378.25</v>
      </c>
      <c r="N682" s="2">
        <v>2.0</v>
      </c>
      <c r="O682" s="2" t="s">
        <v>4225</v>
      </c>
      <c r="P682" s="2" t="s">
        <v>48</v>
      </c>
      <c r="Q682" s="2" t="s">
        <v>4226</v>
      </c>
      <c r="R682" s="2" t="s">
        <v>432</v>
      </c>
    </row>
    <row r="683" ht="15.75" customHeight="1">
      <c r="A683" s="2" t="s">
        <v>4227</v>
      </c>
      <c r="B683" s="2" t="s">
        <v>4228</v>
      </c>
      <c r="C683" s="2" t="s">
        <v>3788</v>
      </c>
      <c r="D683" s="2" t="s">
        <v>3789</v>
      </c>
      <c r="E683" s="2" t="s">
        <v>3790</v>
      </c>
      <c r="F683" s="2" t="s">
        <v>3791</v>
      </c>
      <c r="G683" s="2" t="s">
        <v>139</v>
      </c>
      <c r="H683" s="2" t="s">
        <v>42</v>
      </c>
      <c r="I683" s="2" t="s">
        <v>289</v>
      </c>
      <c r="J683" s="2" t="s">
        <v>189</v>
      </c>
      <c r="K683" s="2" t="s">
        <v>190</v>
      </c>
      <c r="L683" s="2" t="s">
        <v>167</v>
      </c>
      <c r="M683" s="2">
        <v>1548.59</v>
      </c>
      <c r="N683" s="2">
        <v>2.0</v>
      </c>
      <c r="O683" s="2" t="s">
        <v>4229</v>
      </c>
      <c r="P683" s="2" t="s">
        <v>65</v>
      </c>
      <c r="Q683" s="2" t="s">
        <v>305</v>
      </c>
      <c r="R683" s="2" t="s">
        <v>261</v>
      </c>
      <c r="S683" s="2" t="s">
        <v>51</v>
      </c>
    </row>
    <row r="684" ht="15.75" customHeight="1">
      <c r="A684" s="2" t="s">
        <v>4230</v>
      </c>
      <c r="B684" s="2" t="s">
        <v>4231</v>
      </c>
      <c r="C684" s="2" t="s">
        <v>4232</v>
      </c>
      <c r="D684" s="2" t="s">
        <v>4233</v>
      </c>
      <c r="F684" s="2" t="s">
        <v>4234</v>
      </c>
      <c r="G684" s="2" t="s">
        <v>58</v>
      </c>
      <c r="H684" s="2" t="s">
        <v>26</v>
      </c>
      <c r="I684" s="2" t="s">
        <v>60</v>
      </c>
      <c r="J684" s="2" t="s">
        <v>711</v>
      </c>
      <c r="K684" s="2" t="s">
        <v>712</v>
      </c>
      <c r="L684" s="2" t="s">
        <v>637</v>
      </c>
      <c r="M684" s="2">
        <v>280.84</v>
      </c>
      <c r="N684" s="2">
        <v>5.0</v>
      </c>
      <c r="O684" s="2" t="s">
        <v>4235</v>
      </c>
      <c r="P684" s="2" t="s">
        <v>95</v>
      </c>
      <c r="Q684" s="2" t="s">
        <v>305</v>
      </c>
      <c r="R684" s="2" t="s">
        <v>50</v>
      </c>
      <c r="S684" s="2" t="s">
        <v>51</v>
      </c>
    </row>
    <row r="685" ht="15.75" customHeight="1">
      <c r="A685" s="2" t="s">
        <v>4236</v>
      </c>
      <c r="B685" s="2" t="s">
        <v>4237</v>
      </c>
      <c r="C685" s="2" t="s">
        <v>4238</v>
      </c>
      <c r="D685" s="2" t="s">
        <v>4239</v>
      </c>
      <c r="E685" s="2" t="s">
        <v>4240</v>
      </c>
      <c r="F685" s="2" t="s">
        <v>4241</v>
      </c>
      <c r="G685" s="2" t="s">
        <v>608</v>
      </c>
      <c r="H685" s="2" t="s">
        <v>26</v>
      </c>
      <c r="I685" s="2" t="s">
        <v>289</v>
      </c>
      <c r="J685" s="2" t="s">
        <v>104</v>
      </c>
      <c r="K685" s="2" t="s">
        <v>105</v>
      </c>
      <c r="L685" s="2" t="s">
        <v>106</v>
      </c>
      <c r="M685" s="2">
        <v>1610.27</v>
      </c>
      <c r="N685" s="2">
        <v>2.0</v>
      </c>
      <c r="O685" s="2" t="s">
        <v>4242</v>
      </c>
      <c r="P685" s="2" t="s">
        <v>32</v>
      </c>
      <c r="Q685" s="2" t="s">
        <v>96</v>
      </c>
      <c r="R685" s="2" t="s">
        <v>432</v>
      </c>
      <c r="S685" s="2" t="s">
        <v>133</v>
      </c>
    </row>
    <row r="686" ht="15.75" customHeight="1">
      <c r="A686" s="2" t="s">
        <v>4243</v>
      </c>
      <c r="B686" s="2" t="s">
        <v>4244</v>
      </c>
      <c r="C686" s="2" t="s">
        <v>2179</v>
      </c>
      <c r="D686" s="2" t="s">
        <v>2180</v>
      </c>
      <c r="G686" s="2" t="s">
        <v>1177</v>
      </c>
      <c r="H686" s="2" t="s">
        <v>42</v>
      </c>
      <c r="I686" s="2" t="s">
        <v>43</v>
      </c>
      <c r="J686" s="2" t="s">
        <v>2321</v>
      </c>
      <c r="K686" s="2" t="s">
        <v>2322</v>
      </c>
      <c r="L686" s="2" t="s">
        <v>368</v>
      </c>
      <c r="M686" s="2">
        <v>77.45</v>
      </c>
      <c r="N686" s="2">
        <v>2.0</v>
      </c>
      <c r="O686" s="2" t="s">
        <v>4245</v>
      </c>
      <c r="P686" s="2" t="s">
        <v>48</v>
      </c>
      <c r="Q686" s="2" t="s">
        <v>143</v>
      </c>
      <c r="R686" s="2" t="s">
        <v>158</v>
      </c>
    </row>
    <row r="687" ht="15.75" customHeight="1">
      <c r="A687" s="2" t="s">
        <v>4246</v>
      </c>
      <c r="B687" s="2" t="s">
        <v>4247</v>
      </c>
      <c r="C687" s="2" t="s">
        <v>4248</v>
      </c>
      <c r="D687" s="2" t="s">
        <v>4249</v>
      </c>
      <c r="F687" s="2" t="s">
        <v>4250</v>
      </c>
      <c r="G687" s="2" t="s">
        <v>25</v>
      </c>
      <c r="H687" s="2" t="s">
        <v>778</v>
      </c>
      <c r="I687" s="2" t="s">
        <v>43</v>
      </c>
      <c r="J687" s="2" t="s">
        <v>1400</v>
      </c>
      <c r="K687" s="2" t="s">
        <v>524</v>
      </c>
      <c r="L687" s="2" t="s">
        <v>1401</v>
      </c>
      <c r="N687" s="2">
        <v>5.0</v>
      </c>
      <c r="O687" s="2" t="s">
        <v>4251</v>
      </c>
      <c r="P687" s="2" t="s">
        <v>95</v>
      </c>
      <c r="Q687" s="2" t="s">
        <v>131</v>
      </c>
      <c r="R687" s="2" t="s">
        <v>50</v>
      </c>
      <c r="S687" s="2" t="s">
        <v>133</v>
      </c>
    </row>
    <row r="688" ht="15.75" customHeight="1">
      <c r="A688" s="2" t="s">
        <v>4252</v>
      </c>
      <c r="B688" s="2" t="s">
        <v>4253</v>
      </c>
      <c r="C688" s="2" t="s">
        <v>1645</v>
      </c>
      <c r="D688" s="2" t="s">
        <v>1646</v>
      </c>
      <c r="E688" s="2" t="s">
        <v>1647</v>
      </c>
      <c r="F688" s="2" t="s">
        <v>1648</v>
      </c>
      <c r="G688" s="2" t="s">
        <v>73</v>
      </c>
      <c r="H688" s="2" t="s">
        <v>323</v>
      </c>
      <c r="I688" s="2" t="s">
        <v>116</v>
      </c>
      <c r="J688" s="2" t="s">
        <v>2033</v>
      </c>
      <c r="K688" s="2" t="s">
        <v>2034</v>
      </c>
      <c r="L688" s="2" t="s">
        <v>1016</v>
      </c>
      <c r="M688" s="2">
        <v>1638.74</v>
      </c>
      <c r="N688" s="2">
        <v>1.0</v>
      </c>
      <c r="O688" s="2" t="s">
        <v>4254</v>
      </c>
      <c r="P688" s="2" t="s">
        <v>95</v>
      </c>
      <c r="Q688" s="2" t="s">
        <v>49</v>
      </c>
      <c r="R688" s="2" t="s">
        <v>251</v>
      </c>
      <c r="S688" s="2" t="s">
        <v>67</v>
      </c>
    </row>
    <row r="689" ht="15.75" customHeight="1">
      <c r="A689" s="2" t="s">
        <v>4255</v>
      </c>
      <c r="B689" s="2" t="s">
        <v>4256</v>
      </c>
      <c r="C689" s="2" t="s">
        <v>2946</v>
      </c>
      <c r="D689" s="2" t="s">
        <v>148</v>
      </c>
      <c r="E689" s="2" t="s">
        <v>2947</v>
      </c>
      <c r="F689" s="2" t="s">
        <v>2948</v>
      </c>
      <c r="G689" s="2" t="s">
        <v>139</v>
      </c>
      <c r="H689" s="2" t="s">
        <v>778</v>
      </c>
      <c r="I689" s="2" t="s">
        <v>401</v>
      </c>
      <c r="J689" s="2" t="s">
        <v>334</v>
      </c>
      <c r="K689" s="2" t="s">
        <v>335</v>
      </c>
      <c r="L689" s="2" t="s">
        <v>248</v>
      </c>
      <c r="N689" s="2">
        <v>1.0</v>
      </c>
      <c r="O689" s="2" t="s">
        <v>4257</v>
      </c>
      <c r="P689" s="2" t="s">
        <v>95</v>
      </c>
      <c r="Q689" s="2" t="s">
        <v>573</v>
      </c>
      <c r="R689" s="2" t="s">
        <v>818</v>
      </c>
      <c r="S689" s="2" t="s">
        <v>81</v>
      </c>
    </row>
    <row r="690" ht="15.75" customHeight="1">
      <c r="A690" s="2" t="s">
        <v>4258</v>
      </c>
      <c r="B690" s="2" t="s">
        <v>4259</v>
      </c>
      <c r="C690" s="2" t="s">
        <v>4260</v>
      </c>
      <c r="D690" s="2" t="s">
        <v>4261</v>
      </c>
      <c r="E690" s="2" t="s">
        <v>4262</v>
      </c>
      <c r="G690" s="2" t="s">
        <v>199</v>
      </c>
      <c r="H690" s="2" t="s">
        <v>479</v>
      </c>
      <c r="I690" s="2" t="s">
        <v>365</v>
      </c>
      <c r="J690" s="2" t="s">
        <v>1597</v>
      </c>
      <c r="K690" s="2" t="s">
        <v>502</v>
      </c>
      <c r="L690" s="2" t="s">
        <v>355</v>
      </c>
      <c r="M690" s="2">
        <v>912.65</v>
      </c>
      <c r="N690" s="2">
        <v>5.0</v>
      </c>
      <c r="O690" s="2" t="s">
        <v>4263</v>
      </c>
      <c r="P690" s="2" t="s">
        <v>48</v>
      </c>
      <c r="Q690" s="2" t="s">
        <v>66</v>
      </c>
      <c r="R690" s="2" t="s">
        <v>1171</v>
      </c>
    </row>
    <row r="691" ht="15.75" customHeight="1">
      <c r="A691" s="2" t="s">
        <v>4264</v>
      </c>
      <c r="B691" s="2" t="s">
        <v>4265</v>
      </c>
      <c r="C691" s="2" t="s">
        <v>3513</v>
      </c>
      <c r="D691" s="2" t="s">
        <v>1794</v>
      </c>
      <c r="E691" s="2" t="s">
        <v>3514</v>
      </c>
      <c r="F691" s="2" t="s">
        <v>3515</v>
      </c>
      <c r="G691" s="2" t="s">
        <v>777</v>
      </c>
      <c r="H691" s="2" t="s">
        <v>74</v>
      </c>
      <c r="I691" s="2" t="s">
        <v>512</v>
      </c>
      <c r="J691" s="2" t="s">
        <v>2012</v>
      </c>
      <c r="K691" s="2" t="s">
        <v>741</v>
      </c>
      <c r="L691" s="2" t="s">
        <v>514</v>
      </c>
      <c r="P691" s="2" t="s">
        <v>32</v>
      </c>
      <c r="Q691" s="2" t="s">
        <v>305</v>
      </c>
      <c r="R691" s="2" t="s">
        <v>442</v>
      </c>
      <c r="S691" s="2" t="s">
        <v>51</v>
      </c>
    </row>
    <row r="692" ht="15.75" customHeight="1">
      <c r="A692" s="2" t="s">
        <v>4266</v>
      </c>
      <c r="B692" s="2" t="s">
        <v>4267</v>
      </c>
      <c r="C692" s="2" t="s">
        <v>4268</v>
      </c>
      <c r="D692" s="2" t="s">
        <v>4269</v>
      </c>
      <c r="E692" s="2" t="s">
        <v>4270</v>
      </c>
      <c r="F692" s="2" t="s">
        <v>4271</v>
      </c>
      <c r="G692" s="2" t="s">
        <v>41</v>
      </c>
      <c r="H692" s="2" t="s">
        <v>4272</v>
      </c>
      <c r="I692" s="2" t="s">
        <v>312</v>
      </c>
      <c r="J692" s="2" t="s">
        <v>3210</v>
      </c>
      <c r="K692" s="2" t="s">
        <v>3211</v>
      </c>
      <c r="L692" s="2" t="s">
        <v>167</v>
      </c>
      <c r="N692" s="2">
        <v>1.0</v>
      </c>
      <c r="O692" s="2" t="s">
        <v>4273</v>
      </c>
      <c r="P692" s="2" t="s">
        <v>32</v>
      </c>
      <c r="Q692" s="2" t="s">
        <v>181</v>
      </c>
      <c r="R692" s="2" t="s">
        <v>442</v>
      </c>
      <c r="S692" s="2" t="s">
        <v>67</v>
      </c>
    </row>
    <row r="693" ht="15.75" customHeight="1">
      <c r="A693" s="2" t="s">
        <v>4274</v>
      </c>
      <c r="B693" s="2" t="s">
        <v>4275</v>
      </c>
      <c r="C693" s="2" t="s">
        <v>4276</v>
      </c>
      <c r="D693" s="2" t="s">
        <v>954</v>
      </c>
      <c r="E693" s="2" t="s">
        <v>4277</v>
      </c>
      <c r="F693" s="2" t="s">
        <v>4278</v>
      </c>
      <c r="G693" s="2" t="s">
        <v>777</v>
      </c>
      <c r="H693" s="2" t="s">
        <v>223</v>
      </c>
      <c r="I693" s="2" t="s">
        <v>90</v>
      </c>
      <c r="J693" s="2" t="s">
        <v>2680</v>
      </c>
      <c r="K693" s="2" t="s">
        <v>303</v>
      </c>
      <c r="L693" s="2" t="s">
        <v>2421</v>
      </c>
      <c r="N693" s="2">
        <v>2.0</v>
      </c>
      <c r="O693" s="2" t="s">
        <v>4279</v>
      </c>
      <c r="P693" s="2" t="s">
        <v>32</v>
      </c>
      <c r="Q693" s="2" t="s">
        <v>204</v>
      </c>
      <c r="R693" s="2" t="s">
        <v>452</v>
      </c>
      <c r="S693" s="2" t="s">
        <v>81</v>
      </c>
    </row>
    <row r="694" ht="15.75" customHeight="1">
      <c r="A694" s="2" t="s">
        <v>4280</v>
      </c>
      <c r="B694" s="2" t="s">
        <v>4281</v>
      </c>
      <c r="C694" s="2" t="s">
        <v>4282</v>
      </c>
      <c r="D694" s="2" t="s">
        <v>4283</v>
      </c>
      <c r="F694" s="2" t="s">
        <v>4284</v>
      </c>
      <c r="G694" s="2" t="s">
        <v>41</v>
      </c>
      <c r="H694" s="2" t="s">
        <v>323</v>
      </c>
      <c r="I694" s="2" t="s">
        <v>103</v>
      </c>
      <c r="J694" s="2" t="s">
        <v>4048</v>
      </c>
      <c r="K694" s="2" t="s">
        <v>4049</v>
      </c>
      <c r="L694" s="2" t="s">
        <v>214</v>
      </c>
      <c r="M694" s="2">
        <v>1631.23</v>
      </c>
      <c r="N694" s="2">
        <v>2.0</v>
      </c>
      <c r="O694" s="2" t="s">
        <v>4285</v>
      </c>
      <c r="P694" s="2" t="s">
        <v>65</v>
      </c>
      <c r="Q694" s="2" t="s">
        <v>49</v>
      </c>
      <c r="R694" s="2" t="s">
        <v>1368</v>
      </c>
      <c r="S694" s="2" t="s">
        <v>51</v>
      </c>
    </row>
    <row r="695" ht="15.75" customHeight="1">
      <c r="A695" s="2" t="s">
        <v>4286</v>
      </c>
      <c r="B695" s="2" t="s">
        <v>4287</v>
      </c>
      <c r="C695" s="2" t="s">
        <v>2352</v>
      </c>
      <c r="D695" s="2" t="s">
        <v>2353</v>
      </c>
      <c r="E695" s="2" t="s">
        <v>2354</v>
      </c>
      <c r="F695" s="2" t="s">
        <v>2355</v>
      </c>
      <c r="G695" s="2" t="s">
        <v>199</v>
      </c>
      <c r="H695" s="2" t="s">
        <v>223</v>
      </c>
      <c r="I695" s="2" t="s">
        <v>90</v>
      </c>
      <c r="J695" s="2" t="s">
        <v>635</v>
      </c>
      <c r="K695" s="2" t="s">
        <v>636</v>
      </c>
      <c r="L695" s="2" t="s">
        <v>637</v>
      </c>
      <c r="M695" s="2">
        <v>1785.05</v>
      </c>
      <c r="N695" s="2">
        <v>1.0</v>
      </c>
      <c r="O695" s="2" t="s">
        <v>4288</v>
      </c>
      <c r="P695" s="2" t="s">
        <v>32</v>
      </c>
      <c r="Q695" s="2" t="s">
        <v>143</v>
      </c>
      <c r="R695" s="2" t="s">
        <v>4289</v>
      </c>
      <c r="S695" s="2" t="s">
        <v>51</v>
      </c>
    </row>
    <row r="696" ht="15.75" customHeight="1">
      <c r="A696" s="2" t="s">
        <v>4290</v>
      </c>
      <c r="B696" s="2" t="s">
        <v>4291</v>
      </c>
      <c r="C696" s="2" t="s">
        <v>297</v>
      </c>
      <c r="D696" s="2" t="s">
        <v>298</v>
      </c>
      <c r="E696" s="2" t="s">
        <v>299</v>
      </c>
      <c r="F696" s="2" t="s">
        <v>300</v>
      </c>
      <c r="G696" s="2" t="s">
        <v>139</v>
      </c>
      <c r="H696" s="2" t="s">
        <v>323</v>
      </c>
      <c r="I696" s="2" t="s">
        <v>480</v>
      </c>
      <c r="J696" s="2" t="s">
        <v>1856</v>
      </c>
      <c r="K696" s="2" t="s">
        <v>118</v>
      </c>
      <c r="L696" s="2" t="s">
        <v>167</v>
      </c>
      <c r="M696" s="2">
        <v>140.21</v>
      </c>
      <c r="N696" s="2">
        <v>2.0</v>
      </c>
      <c r="O696" s="2" t="s">
        <v>4292</v>
      </c>
      <c r="P696" s="2" t="s">
        <v>48</v>
      </c>
      <c r="Q696" s="2" t="s">
        <v>414</v>
      </c>
      <c r="R696" s="2" t="s">
        <v>251</v>
      </c>
      <c r="S696" s="2" t="s">
        <v>67</v>
      </c>
    </row>
    <row r="697" ht="15.75" customHeight="1">
      <c r="A697" s="2" t="s">
        <v>4293</v>
      </c>
      <c r="B697" s="2" t="s">
        <v>4294</v>
      </c>
      <c r="C697" s="2" t="s">
        <v>4295</v>
      </c>
      <c r="D697" s="2" t="s">
        <v>4296</v>
      </c>
      <c r="E697" s="2" t="s">
        <v>4297</v>
      </c>
      <c r="F697" s="2" t="s">
        <v>4298</v>
      </c>
      <c r="G697" s="2" t="s">
        <v>114</v>
      </c>
      <c r="H697" s="2" t="s">
        <v>234</v>
      </c>
      <c r="I697" s="2" t="s">
        <v>4299</v>
      </c>
      <c r="J697" s="2" t="s">
        <v>313</v>
      </c>
      <c r="K697" s="2" t="s">
        <v>314</v>
      </c>
      <c r="L697" s="2" t="s">
        <v>315</v>
      </c>
      <c r="M697" s="2">
        <v>976.12</v>
      </c>
      <c r="N697" s="2">
        <v>3.0</v>
      </c>
      <c r="O697" s="2" t="s">
        <v>4300</v>
      </c>
      <c r="P697" s="2" t="s">
        <v>65</v>
      </c>
      <c r="Q697" s="2" t="s">
        <v>505</v>
      </c>
      <c r="R697" s="2" t="s">
        <v>251</v>
      </c>
      <c r="S697" s="2" t="s">
        <v>133</v>
      </c>
    </row>
    <row r="698" ht="15.75" customHeight="1">
      <c r="A698" s="2" t="s">
        <v>4301</v>
      </c>
      <c r="B698" s="2" t="s">
        <v>4302</v>
      </c>
      <c r="C698" s="2" t="s">
        <v>1133</v>
      </c>
      <c r="D698" s="2" t="s">
        <v>1134</v>
      </c>
      <c r="E698" s="2" t="s">
        <v>1135</v>
      </c>
      <c r="F698" s="2" t="s">
        <v>1136</v>
      </c>
      <c r="G698" s="2" t="s">
        <v>765</v>
      </c>
      <c r="H698" s="2" t="s">
        <v>683</v>
      </c>
      <c r="I698" s="2" t="s">
        <v>116</v>
      </c>
      <c r="J698" s="2" t="s">
        <v>792</v>
      </c>
      <c r="K698" s="2" t="s">
        <v>314</v>
      </c>
      <c r="L698" s="2" t="s">
        <v>742</v>
      </c>
      <c r="M698" s="2">
        <v>617.89</v>
      </c>
      <c r="N698" s="2">
        <v>1.0</v>
      </c>
      <c r="O698" s="2" t="s">
        <v>4303</v>
      </c>
      <c r="P698" s="2" t="s">
        <v>48</v>
      </c>
      <c r="Q698" s="2" t="s">
        <v>526</v>
      </c>
      <c r="R698" s="2" t="s">
        <v>676</v>
      </c>
      <c r="S698" s="2" t="s">
        <v>133</v>
      </c>
    </row>
    <row r="699" ht="15.75" customHeight="1">
      <c r="A699" s="2" t="s">
        <v>4304</v>
      </c>
      <c r="B699" s="2" t="s">
        <v>4305</v>
      </c>
      <c r="C699" s="2" t="s">
        <v>4095</v>
      </c>
      <c r="D699" s="2" t="s">
        <v>4096</v>
      </c>
      <c r="E699" s="2" t="s">
        <v>4097</v>
      </c>
      <c r="F699" s="2" t="s">
        <v>4098</v>
      </c>
      <c r="G699" s="2" t="s">
        <v>88</v>
      </c>
      <c r="H699" s="2" t="s">
        <v>26</v>
      </c>
      <c r="I699" s="2" t="s">
        <v>43</v>
      </c>
      <c r="J699" s="2" t="s">
        <v>889</v>
      </c>
      <c r="K699" s="2" t="s">
        <v>804</v>
      </c>
      <c r="L699" s="2" t="s">
        <v>179</v>
      </c>
      <c r="M699" s="2">
        <v>708.51</v>
      </c>
      <c r="N699" s="2">
        <v>5.0</v>
      </c>
      <c r="O699" s="2" t="s">
        <v>4306</v>
      </c>
      <c r="P699" s="2" t="s">
        <v>95</v>
      </c>
      <c r="Q699" s="2" t="s">
        <v>505</v>
      </c>
      <c r="R699" s="2" t="s">
        <v>132</v>
      </c>
      <c r="S699" s="2" t="s">
        <v>81</v>
      </c>
    </row>
    <row r="700" ht="15.75" customHeight="1">
      <c r="A700" s="2" t="s">
        <v>4307</v>
      </c>
      <c r="B700" s="2" t="s">
        <v>4308</v>
      </c>
      <c r="C700" s="2" t="s">
        <v>2495</v>
      </c>
      <c r="D700" s="2" t="s">
        <v>2496</v>
      </c>
      <c r="E700" s="2" t="s">
        <v>2497</v>
      </c>
      <c r="G700" s="2" t="s">
        <v>25</v>
      </c>
      <c r="H700" s="2" t="s">
        <v>42</v>
      </c>
      <c r="I700" s="2" t="s">
        <v>43</v>
      </c>
      <c r="J700" s="2" t="s">
        <v>313</v>
      </c>
      <c r="K700" s="2" t="s">
        <v>314</v>
      </c>
      <c r="L700" s="2" t="s">
        <v>315</v>
      </c>
      <c r="M700" s="2">
        <v>54.78</v>
      </c>
      <c r="N700" s="2">
        <v>2.0</v>
      </c>
      <c r="O700" s="2" t="s">
        <v>4309</v>
      </c>
      <c r="P700" s="2" t="s">
        <v>65</v>
      </c>
      <c r="Q700" s="2" t="s">
        <v>96</v>
      </c>
      <c r="R700" s="2" t="s">
        <v>158</v>
      </c>
      <c r="S700" s="2" t="s">
        <v>81</v>
      </c>
    </row>
    <row r="701" ht="15.75" customHeight="1">
      <c r="A701" s="2" t="s">
        <v>4310</v>
      </c>
      <c r="B701" s="2" t="s">
        <v>4311</v>
      </c>
      <c r="C701" s="2" t="s">
        <v>3038</v>
      </c>
      <c r="D701" s="2" t="s">
        <v>3039</v>
      </c>
      <c r="E701" s="2" t="s">
        <v>3040</v>
      </c>
      <c r="F701" s="2" t="s">
        <v>3041</v>
      </c>
      <c r="G701" s="2" t="s">
        <v>25</v>
      </c>
      <c r="H701" s="2" t="s">
        <v>778</v>
      </c>
      <c r="I701" s="2" t="s">
        <v>4312</v>
      </c>
      <c r="J701" s="2" t="s">
        <v>1606</v>
      </c>
      <c r="K701" s="2" t="s">
        <v>213</v>
      </c>
      <c r="L701" s="2" t="s">
        <v>106</v>
      </c>
      <c r="M701" s="2">
        <v>664.65</v>
      </c>
      <c r="N701" s="2">
        <v>1.0</v>
      </c>
      <c r="O701" s="2" t="s">
        <v>4313</v>
      </c>
      <c r="P701" s="2" t="s">
        <v>32</v>
      </c>
      <c r="Q701" s="2" t="s">
        <v>573</v>
      </c>
      <c r="R701" s="2" t="s">
        <v>192</v>
      </c>
    </row>
    <row r="702" ht="15.75" customHeight="1">
      <c r="A702" s="2" t="s">
        <v>4314</v>
      </c>
      <c r="B702" s="2" t="s">
        <v>4315</v>
      </c>
      <c r="C702" s="2" t="s">
        <v>3910</v>
      </c>
      <c r="D702" s="2" t="s">
        <v>3911</v>
      </c>
      <c r="E702" s="2" t="s">
        <v>3912</v>
      </c>
      <c r="F702" s="2" t="s">
        <v>3913</v>
      </c>
      <c r="G702" s="2" t="s">
        <v>151</v>
      </c>
      <c r="H702" s="2" t="s">
        <v>234</v>
      </c>
      <c r="I702" s="2" t="s">
        <v>333</v>
      </c>
      <c r="J702" s="2" t="s">
        <v>422</v>
      </c>
      <c r="K702" s="2" t="s">
        <v>423</v>
      </c>
      <c r="L702" s="2" t="s">
        <v>292</v>
      </c>
      <c r="N702" s="2">
        <v>1.0</v>
      </c>
      <c r="O702" s="2" t="s">
        <v>4316</v>
      </c>
      <c r="P702" s="2" t="s">
        <v>95</v>
      </c>
      <c r="Q702" s="2" t="s">
        <v>33</v>
      </c>
      <c r="R702" s="2" t="s">
        <v>1171</v>
      </c>
    </row>
    <row r="703" ht="15.75" customHeight="1">
      <c r="A703" s="2" t="s">
        <v>4317</v>
      </c>
      <c r="B703" s="2" t="s">
        <v>4318</v>
      </c>
      <c r="C703" s="2" t="s">
        <v>2745</v>
      </c>
      <c r="D703" s="2" t="s">
        <v>1283</v>
      </c>
      <c r="E703" s="2" t="s">
        <v>2746</v>
      </c>
      <c r="F703" s="2" t="s">
        <v>2747</v>
      </c>
      <c r="G703" s="2" t="s">
        <v>564</v>
      </c>
      <c r="H703" s="2" t="s">
        <v>26</v>
      </c>
      <c r="I703" s="2" t="s">
        <v>522</v>
      </c>
      <c r="J703" s="2" t="s">
        <v>1327</v>
      </c>
      <c r="K703" s="2" t="s">
        <v>291</v>
      </c>
      <c r="L703" s="2" t="s">
        <v>1328</v>
      </c>
      <c r="M703" s="2">
        <v>1150.07</v>
      </c>
      <c r="N703" s="2">
        <v>1.0</v>
      </c>
      <c r="O703" s="2" t="s">
        <v>4319</v>
      </c>
      <c r="P703" s="2" t="s">
        <v>95</v>
      </c>
      <c r="Q703" s="2" t="s">
        <v>238</v>
      </c>
      <c r="R703" s="2" t="s">
        <v>50</v>
      </c>
      <c r="S703" s="2" t="s">
        <v>51</v>
      </c>
    </row>
    <row r="704" ht="15.75" customHeight="1">
      <c r="A704" s="2" t="s">
        <v>4320</v>
      </c>
      <c r="B704" s="2" t="s">
        <v>4321</v>
      </c>
      <c r="C704" s="2" t="s">
        <v>3485</v>
      </c>
      <c r="D704" s="2" t="s">
        <v>2733</v>
      </c>
      <c r="E704" s="2" t="s">
        <v>3486</v>
      </c>
      <c r="G704" s="2" t="s">
        <v>58</v>
      </c>
      <c r="H704" s="2" t="s">
        <v>42</v>
      </c>
      <c r="I704" s="2" t="s">
        <v>176</v>
      </c>
      <c r="J704" s="2" t="s">
        <v>1063</v>
      </c>
      <c r="K704" s="2" t="s">
        <v>291</v>
      </c>
      <c r="L704" s="2" t="s">
        <v>167</v>
      </c>
      <c r="M704" s="2">
        <v>435.3</v>
      </c>
      <c r="N704" s="2">
        <v>1.0</v>
      </c>
      <c r="O704" s="2" t="s">
        <v>4322</v>
      </c>
      <c r="P704" s="2" t="s">
        <v>32</v>
      </c>
      <c r="Q704" s="2" t="s">
        <v>3976</v>
      </c>
      <c r="R704" s="2" t="s">
        <v>80</v>
      </c>
    </row>
    <row r="705" ht="15.75" customHeight="1">
      <c r="A705" s="2" t="s">
        <v>4323</v>
      </c>
      <c r="B705" s="2" t="s">
        <v>4324</v>
      </c>
      <c r="C705" s="2" t="s">
        <v>1444</v>
      </c>
      <c r="D705" s="2" t="s">
        <v>1445</v>
      </c>
      <c r="E705" s="2" t="s">
        <v>2141</v>
      </c>
      <c r="G705" s="2" t="s">
        <v>1446</v>
      </c>
      <c r="H705" s="2" t="s">
        <v>74</v>
      </c>
      <c r="I705" s="2" t="s">
        <v>90</v>
      </c>
      <c r="J705" s="2" t="s">
        <v>815</v>
      </c>
      <c r="K705" s="2" t="s">
        <v>816</v>
      </c>
      <c r="L705" s="2" t="s">
        <v>179</v>
      </c>
      <c r="M705" s="2">
        <v>741.43</v>
      </c>
      <c r="N705" s="2">
        <v>2.0</v>
      </c>
      <c r="O705" s="2" t="s">
        <v>4325</v>
      </c>
      <c r="P705" s="2" t="s">
        <v>48</v>
      </c>
      <c r="Q705" s="2" t="s">
        <v>66</v>
      </c>
      <c r="R705" s="2" t="s">
        <v>169</v>
      </c>
      <c r="S705" s="2" t="s">
        <v>133</v>
      </c>
    </row>
    <row r="706" ht="15.75" customHeight="1">
      <c r="A706" s="2" t="s">
        <v>4326</v>
      </c>
      <c r="B706" s="2" t="s">
        <v>4327</v>
      </c>
      <c r="C706" s="2" t="s">
        <v>1378</v>
      </c>
      <c r="D706" s="2" t="s">
        <v>1379</v>
      </c>
      <c r="E706" s="2" t="s">
        <v>1380</v>
      </c>
      <c r="F706" s="2" t="s">
        <v>1381</v>
      </c>
      <c r="G706" s="2" t="s">
        <v>801</v>
      </c>
      <c r="H706" s="2" t="s">
        <v>323</v>
      </c>
      <c r="I706" s="2" t="s">
        <v>43</v>
      </c>
      <c r="J706" s="2" t="s">
        <v>746</v>
      </c>
      <c r="K706" s="2" t="s">
        <v>747</v>
      </c>
      <c r="L706" s="2" t="s">
        <v>748</v>
      </c>
      <c r="N706" s="2">
        <v>2.0</v>
      </c>
      <c r="O706" s="2" t="s">
        <v>4328</v>
      </c>
      <c r="P706" s="2" t="s">
        <v>32</v>
      </c>
      <c r="Q706" s="2" t="s">
        <v>526</v>
      </c>
      <c r="R706" s="2" t="s">
        <v>169</v>
      </c>
      <c r="S706" s="2" t="s">
        <v>81</v>
      </c>
    </row>
    <row r="707" ht="15.75" customHeight="1">
      <c r="A707" s="2" t="s">
        <v>4329</v>
      </c>
      <c r="B707" s="2" t="s">
        <v>4330</v>
      </c>
      <c r="C707" s="2" t="s">
        <v>4192</v>
      </c>
      <c r="D707" s="2" t="s">
        <v>4193</v>
      </c>
      <c r="E707" s="2" t="s">
        <v>4194</v>
      </c>
      <c r="G707" s="2" t="s">
        <v>25</v>
      </c>
      <c r="H707" s="2" t="s">
        <v>301</v>
      </c>
      <c r="I707" s="2" t="s">
        <v>103</v>
      </c>
      <c r="J707" s="2" t="s">
        <v>1197</v>
      </c>
      <c r="K707" s="2" t="s">
        <v>1198</v>
      </c>
      <c r="L707" s="2" t="s">
        <v>1199</v>
      </c>
      <c r="N707" s="2">
        <v>5.0</v>
      </c>
      <c r="O707" s="2" t="s">
        <v>4331</v>
      </c>
      <c r="P707" s="2" t="s">
        <v>65</v>
      </c>
      <c r="Q707" s="2" t="s">
        <v>143</v>
      </c>
      <c r="R707" s="2" t="s">
        <v>80</v>
      </c>
    </row>
    <row r="708" ht="15.75" customHeight="1">
      <c r="A708" s="2" t="s">
        <v>4332</v>
      </c>
      <c r="B708" s="2" t="s">
        <v>4333</v>
      </c>
      <c r="C708" s="2" t="s">
        <v>840</v>
      </c>
      <c r="D708" s="2" t="s">
        <v>841</v>
      </c>
      <c r="E708" s="2" t="s">
        <v>842</v>
      </c>
      <c r="F708" s="2" t="s">
        <v>843</v>
      </c>
      <c r="G708" s="2" t="s">
        <v>25</v>
      </c>
      <c r="H708" s="2" t="s">
        <v>26</v>
      </c>
      <c r="I708" s="2" t="s">
        <v>870</v>
      </c>
      <c r="J708" s="2" t="s">
        <v>4068</v>
      </c>
      <c r="K708" s="2" t="s">
        <v>4069</v>
      </c>
      <c r="L708" s="2" t="s">
        <v>1016</v>
      </c>
      <c r="M708" s="2">
        <v>325.67</v>
      </c>
      <c r="N708" s="2">
        <v>1.0</v>
      </c>
      <c r="O708" s="2" t="s">
        <v>4334</v>
      </c>
      <c r="P708" s="2" t="s">
        <v>95</v>
      </c>
      <c r="Q708" s="2" t="s">
        <v>96</v>
      </c>
      <c r="R708" s="2" t="s">
        <v>1171</v>
      </c>
    </row>
    <row r="709" ht="15.75" customHeight="1">
      <c r="A709" s="2" t="s">
        <v>4335</v>
      </c>
      <c r="B709" s="2" t="s">
        <v>4336</v>
      </c>
      <c r="C709" s="2" t="s">
        <v>657</v>
      </c>
      <c r="D709" s="2" t="s">
        <v>658</v>
      </c>
      <c r="E709" s="2" t="s">
        <v>659</v>
      </c>
      <c r="F709" s="2" t="s">
        <v>660</v>
      </c>
      <c r="G709" s="2" t="s">
        <v>88</v>
      </c>
      <c r="H709" s="2" t="s">
        <v>223</v>
      </c>
      <c r="I709" s="2" t="s">
        <v>352</v>
      </c>
      <c r="J709" s="2" t="s">
        <v>581</v>
      </c>
      <c r="K709" s="2" t="s">
        <v>326</v>
      </c>
      <c r="L709" s="2" t="s">
        <v>582</v>
      </c>
      <c r="N709" s="2">
        <v>3.0</v>
      </c>
      <c r="O709" s="2" t="s">
        <v>4337</v>
      </c>
      <c r="P709" s="2" t="s">
        <v>48</v>
      </c>
      <c r="Q709" s="2" t="s">
        <v>485</v>
      </c>
      <c r="R709" s="2" t="s">
        <v>169</v>
      </c>
    </row>
    <row r="710" ht="15.75" customHeight="1">
      <c r="A710" s="2" t="s">
        <v>4338</v>
      </c>
      <c r="B710" s="2" t="s">
        <v>4339</v>
      </c>
      <c r="C710" s="2" t="s">
        <v>1472</v>
      </c>
      <c r="D710" s="2" t="s">
        <v>2438</v>
      </c>
      <c r="E710" s="2" t="s">
        <v>2439</v>
      </c>
      <c r="F710" s="2" t="s">
        <v>1474</v>
      </c>
      <c r="G710" s="2" t="s">
        <v>114</v>
      </c>
      <c r="H710" s="2" t="s">
        <v>42</v>
      </c>
      <c r="I710" s="2" t="s">
        <v>870</v>
      </c>
      <c r="J710" s="2" t="s">
        <v>1197</v>
      </c>
      <c r="K710" s="2" t="s">
        <v>1198</v>
      </c>
      <c r="L710" s="2" t="s">
        <v>1199</v>
      </c>
      <c r="M710" s="2">
        <v>297.75</v>
      </c>
      <c r="O710" s="2" t="s">
        <v>4340</v>
      </c>
      <c r="P710" s="2" t="s">
        <v>65</v>
      </c>
      <c r="Q710" s="2" t="s">
        <v>370</v>
      </c>
      <c r="R710" s="2" t="s">
        <v>345</v>
      </c>
      <c r="S710" s="2" t="s">
        <v>81</v>
      </c>
    </row>
    <row r="711" ht="15.75" customHeight="1">
      <c r="A711" s="2" t="s">
        <v>4341</v>
      </c>
      <c r="B711" s="2" t="s">
        <v>4342</v>
      </c>
      <c r="C711" s="2" t="s">
        <v>3292</v>
      </c>
      <c r="D711" s="2" t="s">
        <v>3293</v>
      </c>
      <c r="E711" s="2" t="s">
        <v>3294</v>
      </c>
      <c r="F711" s="2" t="s">
        <v>3295</v>
      </c>
      <c r="G711" s="2" t="s">
        <v>25</v>
      </c>
      <c r="H711" s="2" t="s">
        <v>223</v>
      </c>
      <c r="I711" s="2" t="s">
        <v>75</v>
      </c>
      <c r="J711" s="2" t="s">
        <v>439</v>
      </c>
      <c r="K711" s="2" t="s">
        <v>440</v>
      </c>
      <c r="L711" s="2" t="s">
        <v>63</v>
      </c>
      <c r="M711" s="2">
        <v>289.93</v>
      </c>
      <c r="N711" s="2">
        <v>1.0</v>
      </c>
      <c r="O711" s="2" t="s">
        <v>4343</v>
      </c>
      <c r="P711" s="2" t="s">
        <v>65</v>
      </c>
      <c r="Q711" s="2" t="s">
        <v>4344</v>
      </c>
      <c r="R711" s="2" t="s">
        <v>345</v>
      </c>
      <c r="S711" s="2" t="s">
        <v>133</v>
      </c>
    </row>
    <row r="712" ht="15.75" customHeight="1">
      <c r="A712" s="2" t="s">
        <v>4345</v>
      </c>
      <c r="B712" s="2" t="s">
        <v>4346</v>
      </c>
      <c r="C712" s="2" t="s">
        <v>286</v>
      </c>
      <c r="D712" s="2" t="s">
        <v>287</v>
      </c>
      <c r="F712" s="2" t="s">
        <v>288</v>
      </c>
      <c r="G712" s="2" t="s">
        <v>114</v>
      </c>
      <c r="H712" s="2" t="s">
        <v>42</v>
      </c>
      <c r="I712" s="2" t="s">
        <v>333</v>
      </c>
      <c r="J712" s="2" t="s">
        <v>871</v>
      </c>
      <c r="K712" s="2" t="s">
        <v>491</v>
      </c>
      <c r="L712" s="2" t="s">
        <v>292</v>
      </c>
      <c r="M712" s="2">
        <v>1422.75</v>
      </c>
      <c r="N712" s="2">
        <v>2.0</v>
      </c>
      <c r="O712" s="2" t="s">
        <v>4347</v>
      </c>
      <c r="P712" s="2" t="s">
        <v>95</v>
      </c>
      <c r="Q712" s="2" t="s">
        <v>370</v>
      </c>
      <c r="R712" s="2" t="s">
        <v>4348</v>
      </c>
    </row>
    <row r="713" ht="15.75" customHeight="1">
      <c r="A713" s="2" t="s">
        <v>4349</v>
      </c>
      <c r="B713" s="2" t="s">
        <v>4350</v>
      </c>
      <c r="C713" s="2" t="s">
        <v>518</v>
      </c>
      <c r="D713" s="2" t="s">
        <v>519</v>
      </c>
      <c r="E713" s="2" t="s">
        <v>520</v>
      </c>
      <c r="F713" s="2" t="s">
        <v>521</v>
      </c>
      <c r="G713" s="2" t="s">
        <v>88</v>
      </c>
      <c r="H713" s="2" t="s">
        <v>26</v>
      </c>
      <c r="I713" s="2" t="s">
        <v>103</v>
      </c>
      <c r="J713" s="2" t="s">
        <v>756</v>
      </c>
      <c r="K713" s="2" t="s">
        <v>757</v>
      </c>
      <c r="L713" s="2" t="s">
        <v>30</v>
      </c>
      <c r="N713" s="2">
        <v>2.0</v>
      </c>
      <c r="O713" s="2" t="s">
        <v>4351</v>
      </c>
      <c r="P713" s="2" t="s">
        <v>32</v>
      </c>
      <c r="Q713" s="2" t="s">
        <v>66</v>
      </c>
      <c r="R713" s="2" t="s">
        <v>1670</v>
      </c>
      <c r="S713" s="2" t="s">
        <v>81</v>
      </c>
    </row>
    <row r="714" ht="15.75" customHeight="1">
      <c r="A714" s="2" t="s">
        <v>4352</v>
      </c>
      <c r="B714" s="2" t="s">
        <v>4353</v>
      </c>
      <c r="C714" s="2" t="s">
        <v>1969</v>
      </c>
      <c r="D714" s="2" t="s">
        <v>489</v>
      </c>
      <c r="E714" s="2" t="s">
        <v>1970</v>
      </c>
      <c r="F714" s="2" t="s">
        <v>1971</v>
      </c>
      <c r="G714" s="2" t="s">
        <v>564</v>
      </c>
      <c r="H714" s="2" t="s">
        <v>210</v>
      </c>
      <c r="I714" s="2" t="s">
        <v>401</v>
      </c>
      <c r="J714" s="2" t="s">
        <v>2425</v>
      </c>
      <c r="K714" s="2" t="s">
        <v>2426</v>
      </c>
      <c r="L714" s="2" t="s">
        <v>2427</v>
      </c>
      <c r="M714" s="2">
        <v>299.21</v>
      </c>
      <c r="N714" s="2">
        <v>1.0</v>
      </c>
      <c r="O714" s="2" t="s">
        <v>4354</v>
      </c>
      <c r="P714" s="2" t="s">
        <v>65</v>
      </c>
      <c r="Q714" s="2" t="s">
        <v>370</v>
      </c>
      <c r="R714" s="2" t="s">
        <v>294</v>
      </c>
      <c r="S714" s="2" t="s">
        <v>81</v>
      </c>
    </row>
    <row r="715" ht="15.75" customHeight="1">
      <c r="A715" s="2" t="s">
        <v>4355</v>
      </c>
      <c r="B715" s="2" t="s">
        <v>4356</v>
      </c>
      <c r="C715" s="2" t="s">
        <v>4357</v>
      </c>
      <c r="D715" s="2" t="s">
        <v>4358</v>
      </c>
      <c r="E715" s="2" t="s">
        <v>4359</v>
      </c>
      <c r="F715" s="2" t="s">
        <v>4360</v>
      </c>
      <c r="G715" s="2" t="s">
        <v>720</v>
      </c>
      <c r="H715" s="2" t="s">
        <v>42</v>
      </c>
      <c r="I715" s="2" t="s">
        <v>90</v>
      </c>
      <c r="J715" s="2" t="s">
        <v>2539</v>
      </c>
      <c r="K715" s="2" t="s">
        <v>403</v>
      </c>
      <c r="L715" s="2" t="s">
        <v>1328</v>
      </c>
      <c r="M715" s="2">
        <v>167.96</v>
      </c>
      <c r="N715" s="2">
        <v>1.0</v>
      </c>
      <c r="O715" s="2" t="s">
        <v>4361</v>
      </c>
      <c r="P715" s="2" t="s">
        <v>95</v>
      </c>
      <c r="Q715" s="2" t="s">
        <v>4362</v>
      </c>
      <c r="R715" s="2" t="s">
        <v>294</v>
      </c>
      <c r="S715" s="2" t="s">
        <v>133</v>
      </c>
    </row>
    <row r="716" ht="15.75" customHeight="1">
      <c r="A716" s="2" t="s">
        <v>4363</v>
      </c>
      <c r="B716" s="2" t="s">
        <v>4364</v>
      </c>
      <c r="C716" s="2" t="s">
        <v>4365</v>
      </c>
      <c r="D716" s="2" t="s">
        <v>4366</v>
      </c>
      <c r="E716" s="2" t="s">
        <v>4367</v>
      </c>
      <c r="F716" s="2" t="s">
        <v>4368</v>
      </c>
      <c r="G716" s="2" t="s">
        <v>3594</v>
      </c>
      <c r="H716" s="2" t="s">
        <v>400</v>
      </c>
      <c r="I716" s="2" t="s">
        <v>4369</v>
      </c>
      <c r="J716" s="2" t="s">
        <v>3101</v>
      </c>
      <c r="K716" s="2" t="s">
        <v>1212</v>
      </c>
      <c r="L716" s="2" t="s">
        <v>248</v>
      </c>
      <c r="N716" s="2">
        <v>3.0</v>
      </c>
      <c r="O716" s="2" t="s">
        <v>4370</v>
      </c>
      <c r="P716" s="2" t="s">
        <v>48</v>
      </c>
      <c r="Q716" s="2" t="s">
        <v>305</v>
      </c>
      <c r="R716" s="2" t="s">
        <v>345</v>
      </c>
    </row>
    <row r="717" ht="15.75" customHeight="1">
      <c r="A717" s="2" t="s">
        <v>4371</v>
      </c>
      <c r="B717" s="2" t="s">
        <v>4372</v>
      </c>
      <c r="C717" s="2" t="s">
        <v>4373</v>
      </c>
      <c r="D717" s="2" t="s">
        <v>4374</v>
      </c>
      <c r="E717" s="2" t="s">
        <v>4375</v>
      </c>
      <c r="F717" s="2" t="s">
        <v>4376</v>
      </c>
      <c r="G717" s="2" t="s">
        <v>188</v>
      </c>
      <c r="H717" s="2" t="s">
        <v>1167</v>
      </c>
      <c r="I717" s="2" t="s">
        <v>1245</v>
      </c>
      <c r="J717" s="2" t="s">
        <v>1255</v>
      </c>
      <c r="K717" s="2" t="s">
        <v>29</v>
      </c>
      <c r="L717" s="2" t="s">
        <v>271</v>
      </c>
      <c r="M717" s="2">
        <v>190.75</v>
      </c>
      <c r="N717" s="2">
        <v>2.0</v>
      </c>
      <c r="O717" s="2" t="s">
        <v>4377</v>
      </c>
      <c r="P717" s="2" t="s">
        <v>65</v>
      </c>
      <c r="Q717" s="2" t="s">
        <v>238</v>
      </c>
      <c r="R717" s="2" t="s">
        <v>432</v>
      </c>
    </row>
    <row r="718" ht="15.75" customHeight="1">
      <c r="A718" s="2" t="s">
        <v>4378</v>
      </c>
      <c r="B718" s="2" t="s">
        <v>4379</v>
      </c>
      <c r="C718" s="2" t="s">
        <v>1638</v>
      </c>
      <c r="D718" s="2" t="s">
        <v>954</v>
      </c>
      <c r="E718" s="2" t="s">
        <v>1639</v>
      </c>
      <c r="F718" s="2" t="s">
        <v>1640</v>
      </c>
      <c r="G718" s="2" t="s">
        <v>151</v>
      </c>
      <c r="H718" s="2" t="s">
        <v>74</v>
      </c>
      <c r="I718" s="2" t="s">
        <v>75</v>
      </c>
      <c r="J718" s="2" t="s">
        <v>1733</v>
      </c>
      <c r="K718" s="2" t="s">
        <v>440</v>
      </c>
      <c r="L718" s="2" t="s">
        <v>315</v>
      </c>
      <c r="N718" s="2">
        <v>5.0</v>
      </c>
      <c r="O718" s="2" t="s">
        <v>4380</v>
      </c>
      <c r="P718" s="2" t="s">
        <v>48</v>
      </c>
      <c r="Q718" s="2" t="s">
        <v>131</v>
      </c>
      <c r="R718" s="2" t="s">
        <v>261</v>
      </c>
      <c r="S718" s="2" t="s">
        <v>81</v>
      </c>
    </row>
    <row r="719" ht="15.75" customHeight="1">
      <c r="A719" s="2" t="s">
        <v>4381</v>
      </c>
      <c r="B719" s="2" t="s">
        <v>4382</v>
      </c>
      <c r="C719" s="2" t="s">
        <v>3688</v>
      </c>
      <c r="D719" s="2" t="s">
        <v>361</v>
      </c>
      <c r="E719" s="2" t="s">
        <v>3689</v>
      </c>
      <c r="F719" s="2" t="s">
        <v>3690</v>
      </c>
      <c r="G719" s="2" t="s">
        <v>3691</v>
      </c>
      <c r="H719" s="2" t="s">
        <v>115</v>
      </c>
      <c r="I719" s="2" t="s">
        <v>103</v>
      </c>
      <c r="J719" s="2" t="s">
        <v>534</v>
      </c>
      <c r="K719" s="2" t="s">
        <v>535</v>
      </c>
      <c r="L719" s="2" t="s">
        <v>30</v>
      </c>
      <c r="M719" s="2">
        <v>933.82</v>
      </c>
      <c r="N719" s="2">
        <v>1.0</v>
      </c>
      <c r="O719" s="2" t="s">
        <v>4383</v>
      </c>
      <c r="P719" s="2" t="s">
        <v>48</v>
      </c>
      <c r="Q719" s="2" t="s">
        <v>49</v>
      </c>
      <c r="R719" s="2" t="s">
        <v>192</v>
      </c>
      <c r="S719" s="2" t="s">
        <v>51</v>
      </c>
    </row>
    <row r="720" ht="15.75" customHeight="1">
      <c r="A720" s="2" t="s">
        <v>4384</v>
      </c>
      <c r="B720" s="2" t="s">
        <v>4385</v>
      </c>
      <c r="C720" s="2" t="s">
        <v>773</v>
      </c>
      <c r="D720" s="2" t="s">
        <v>774</v>
      </c>
      <c r="E720" s="2" t="s">
        <v>775</v>
      </c>
      <c r="F720" s="2" t="s">
        <v>776</v>
      </c>
      <c r="G720" s="2" t="s">
        <v>777</v>
      </c>
      <c r="H720" s="2" t="s">
        <v>42</v>
      </c>
      <c r="I720" s="2" t="s">
        <v>176</v>
      </c>
      <c r="J720" s="2" t="s">
        <v>581</v>
      </c>
      <c r="K720" s="2" t="s">
        <v>326</v>
      </c>
      <c r="L720" s="2" t="s">
        <v>582</v>
      </c>
      <c r="M720" s="2">
        <v>1524.25</v>
      </c>
      <c r="N720" s="2">
        <v>1.0</v>
      </c>
      <c r="O720" s="2" t="s">
        <v>4386</v>
      </c>
      <c r="P720" s="2" t="s">
        <v>95</v>
      </c>
      <c r="Q720" s="2" t="s">
        <v>66</v>
      </c>
      <c r="R720" s="2" t="s">
        <v>251</v>
      </c>
      <c r="S720" s="2" t="s">
        <v>51</v>
      </c>
    </row>
    <row r="721" ht="15.75" customHeight="1">
      <c r="A721" s="2" t="s">
        <v>4387</v>
      </c>
      <c r="B721" s="2" t="s">
        <v>4388</v>
      </c>
      <c r="C721" s="2" t="s">
        <v>1898</v>
      </c>
      <c r="D721" s="2" t="s">
        <v>887</v>
      </c>
      <c r="E721" s="2" t="s">
        <v>1899</v>
      </c>
      <c r="F721" s="2" t="s">
        <v>1900</v>
      </c>
      <c r="G721" s="2" t="s">
        <v>459</v>
      </c>
      <c r="H721" s="2" t="s">
        <v>115</v>
      </c>
      <c r="I721" s="2" t="s">
        <v>176</v>
      </c>
      <c r="J721" s="2" t="s">
        <v>2605</v>
      </c>
      <c r="K721" s="2" t="s">
        <v>2606</v>
      </c>
      <c r="L721" s="2" t="s">
        <v>292</v>
      </c>
      <c r="M721" s="2">
        <v>392.79</v>
      </c>
      <c r="N721" s="2">
        <v>5.0</v>
      </c>
      <c r="O721" s="2" t="s">
        <v>4389</v>
      </c>
      <c r="P721" s="2" t="s">
        <v>48</v>
      </c>
      <c r="Q721" s="2" t="s">
        <v>370</v>
      </c>
      <c r="R721" s="2" t="s">
        <v>4390</v>
      </c>
    </row>
    <row r="722" ht="15.75" customHeight="1">
      <c r="A722" s="2" t="s">
        <v>4391</v>
      </c>
      <c r="B722" s="2" t="s">
        <v>4392</v>
      </c>
      <c r="C722" s="2" t="s">
        <v>4393</v>
      </c>
      <c r="D722" s="2" t="s">
        <v>4394</v>
      </c>
      <c r="E722" s="2" t="s">
        <v>4395</v>
      </c>
      <c r="G722" s="2" t="s">
        <v>548</v>
      </c>
      <c r="H722" s="2" t="s">
        <v>74</v>
      </c>
      <c r="I722" s="2" t="s">
        <v>480</v>
      </c>
      <c r="J722" s="2" t="s">
        <v>3101</v>
      </c>
      <c r="K722" s="2" t="s">
        <v>1212</v>
      </c>
      <c r="L722" s="2" t="s">
        <v>248</v>
      </c>
      <c r="M722" s="2">
        <v>1728.57</v>
      </c>
      <c r="N722" s="2">
        <v>1.0</v>
      </c>
      <c r="O722" s="2" t="s">
        <v>4396</v>
      </c>
      <c r="P722" s="2" t="s">
        <v>32</v>
      </c>
      <c r="Q722" s="2" t="s">
        <v>664</v>
      </c>
      <c r="R722" s="2" t="s">
        <v>442</v>
      </c>
    </row>
    <row r="723" ht="15.75" customHeight="1">
      <c r="A723" s="2" t="s">
        <v>328</v>
      </c>
      <c r="B723" s="2" t="s">
        <v>329</v>
      </c>
      <c r="C723" s="2" t="s">
        <v>330</v>
      </c>
      <c r="D723" s="2" t="s">
        <v>331</v>
      </c>
      <c r="E723" s="2" t="s">
        <v>332</v>
      </c>
      <c r="G723" s="2" t="s">
        <v>188</v>
      </c>
      <c r="H723" s="2" t="s">
        <v>323</v>
      </c>
      <c r="I723" s="2" t="s">
        <v>333</v>
      </c>
      <c r="J723" s="2" t="s">
        <v>334</v>
      </c>
      <c r="K723" s="2" t="s">
        <v>335</v>
      </c>
      <c r="L723" s="2" t="s">
        <v>248</v>
      </c>
      <c r="M723" s="2">
        <v>709.89</v>
      </c>
      <c r="O723" s="2" t="s">
        <v>336</v>
      </c>
      <c r="P723" s="2" t="s">
        <v>65</v>
      </c>
      <c r="Q723" s="2" t="s">
        <v>337</v>
      </c>
      <c r="R723" s="2" t="s">
        <v>169</v>
      </c>
      <c r="S723" s="2" t="s">
        <v>81</v>
      </c>
    </row>
    <row r="724" ht="15.75" customHeight="1">
      <c r="A724" s="2" t="s">
        <v>4397</v>
      </c>
      <c r="B724" s="2" t="s">
        <v>4398</v>
      </c>
      <c r="C724" s="2" t="s">
        <v>1050</v>
      </c>
      <c r="D724" s="2" t="s">
        <v>1051</v>
      </c>
      <c r="E724" s="2" t="s">
        <v>1052</v>
      </c>
      <c r="F724" s="2" t="s">
        <v>1053</v>
      </c>
      <c r="G724" s="2" t="s">
        <v>1054</v>
      </c>
      <c r="H724" s="2" t="s">
        <v>400</v>
      </c>
      <c r="I724" s="2" t="s">
        <v>480</v>
      </c>
      <c r="J724" s="2" t="s">
        <v>1236</v>
      </c>
      <c r="K724" s="2" t="s">
        <v>1237</v>
      </c>
      <c r="L724" s="2" t="s">
        <v>637</v>
      </c>
      <c r="N724" s="2">
        <v>2.0</v>
      </c>
      <c r="O724" s="2" t="s">
        <v>4399</v>
      </c>
      <c r="P724" s="2" t="s">
        <v>484</v>
      </c>
      <c r="Q724" s="2" t="s">
        <v>66</v>
      </c>
      <c r="R724" s="2" t="s">
        <v>132</v>
      </c>
      <c r="S724" s="2" t="s">
        <v>81</v>
      </c>
    </row>
    <row r="725" ht="15.75" customHeight="1">
      <c r="A725" s="2" t="s">
        <v>4400</v>
      </c>
      <c r="B725" s="2" t="s">
        <v>4401</v>
      </c>
      <c r="C725" s="2" t="s">
        <v>4393</v>
      </c>
      <c r="D725" s="2" t="s">
        <v>4394</v>
      </c>
      <c r="E725" s="2" t="s">
        <v>4395</v>
      </c>
      <c r="G725" s="2" t="s">
        <v>548</v>
      </c>
      <c r="H725" s="2" t="s">
        <v>223</v>
      </c>
      <c r="I725" s="2" t="s">
        <v>176</v>
      </c>
      <c r="J725" s="2" t="s">
        <v>366</v>
      </c>
      <c r="K725" s="2" t="s">
        <v>367</v>
      </c>
      <c r="L725" s="2" t="s">
        <v>368</v>
      </c>
      <c r="N725" s="2">
        <v>1.0</v>
      </c>
      <c r="O725" s="2" t="s">
        <v>4402</v>
      </c>
      <c r="P725" s="2" t="s">
        <v>95</v>
      </c>
      <c r="Q725" s="2" t="s">
        <v>66</v>
      </c>
      <c r="R725" s="2" t="s">
        <v>818</v>
      </c>
    </row>
    <row r="726" ht="15.75" customHeight="1">
      <c r="A726" s="2" t="s">
        <v>4403</v>
      </c>
      <c r="B726" s="2" t="s">
        <v>4404</v>
      </c>
      <c r="C726" s="2" t="s">
        <v>2000</v>
      </c>
      <c r="D726" s="2" t="s">
        <v>2001</v>
      </c>
      <c r="E726" s="2" t="s">
        <v>2002</v>
      </c>
      <c r="F726" s="2" t="s">
        <v>2003</v>
      </c>
      <c r="G726" s="2" t="s">
        <v>165</v>
      </c>
      <c r="H726" s="2" t="s">
        <v>42</v>
      </c>
      <c r="I726" s="2" t="s">
        <v>401</v>
      </c>
      <c r="J726" s="2" t="s">
        <v>449</v>
      </c>
      <c r="K726" s="2" t="s">
        <v>450</v>
      </c>
      <c r="L726" s="2" t="s">
        <v>315</v>
      </c>
      <c r="N726" s="2">
        <v>2.0</v>
      </c>
      <c r="O726" s="2" t="s">
        <v>4405</v>
      </c>
      <c r="P726" s="2" t="s">
        <v>95</v>
      </c>
      <c r="Q726" s="2" t="s">
        <v>66</v>
      </c>
      <c r="R726" s="2" t="s">
        <v>158</v>
      </c>
      <c r="S726" s="2" t="s">
        <v>67</v>
      </c>
    </row>
    <row r="727" ht="15.75" customHeight="1">
      <c r="A727" s="2" t="s">
        <v>4406</v>
      </c>
      <c r="B727" s="2" t="s">
        <v>4407</v>
      </c>
      <c r="C727" s="2" t="s">
        <v>4408</v>
      </c>
      <c r="D727" s="2" t="s">
        <v>4409</v>
      </c>
      <c r="E727" s="2" t="s">
        <v>4410</v>
      </c>
      <c r="F727" s="2" t="s">
        <v>4411</v>
      </c>
      <c r="G727" s="2" t="s">
        <v>785</v>
      </c>
      <c r="H727" s="2" t="s">
        <v>42</v>
      </c>
      <c r="I727" s="2" t="s">
        <v>60</v>
      </c>
      <c r="J727" s="2" t="s">
        <v>471</v>
      </c>
      <c r="K727" s="2" t="s">
        <v>472</v>
      </c>
      <c r="L727" s="2" t="s">
        <v>179</v>
      </c>
      <c r="M727" s="2">
        <v>595.49</v>
      </c>
      <c r="N727" s="2">
        <v>5.0</v>
      </c>
      <c r="O727" s="2" t="s">
        <v>4412</v>
      </c>
      <c r="P727" s="2" t="s">
        <v>32</v>
      </c>
      <c r="Q727" s="2" t="s">
        <v>305</v>
      </c>
      <c r="R727" s="2" t="s">
        <v>132</v>
      </c>
      <c r="S727" s="2" t="s">
        <v>67</v>
      </c>
    </row>
    <row r="728" ht="15.75" customHeight="1">
      <c r="A728" s="2" t="s">
        <v>4413</v>
      </c>
      <c r="B728" s="2" t="s">
        <v>4414</v>
      </c>
      <c r="C728" s="2" t="s">
        <v>2558</v>
      </c>
      <c r="D728" s="2" t="s">
        <v>2559</v>
      </c>
      <c r="E728" s="2" t="s">
        <v>2560</v>
      </c>
      <c r="F728" s="2" t="s">
        <v>2561</v>
      </c>
      <c r="G728" s="2" t="s">
        <v>2562</v>
      </c>
      <c r="H728" s="2" t="s">
        <v>59</v>
      </c>
      <c r="I728" s="2" t="s">
        <v>176</v>
      </c>
      <c r="J728" s="2" t="s">
        <v>993</v>
      </c>
      <c r="K728" s="2" t="s">
        <v>994</v>
      </c>
      <c r="L728" s="2" t="s">
        <v>995</v>
      </c>
      <c r="M728" s="2">
        <v>1475.37</v>
      </c>
      <c r="N728" s="2">
        <v>3.0</v>
      </c>
      <c r="O728" s="2" t="s">
        <v>4415</v>
      </c>
      <c r="P728" s="2" t="s">
        <v>95</v>
      </c>
      <c r="Q728" s="2" t="s">
        <v>238</v>
      </c>
      <c r="R728" s="2" t="s">
        <v>294</v>
      </c>
    </row>
    <row r="729" ht="15.75" customHeight="1">
      <c r="A729" s="2" t="s">
        <v>4416</v>
      </c>
      <c r="B729" s="2" t="s">
        <v>4417</v>
      </c>
      <c r="C729" s="2" t="s">
        <v>4418</v>
      </c>
      <c r="D729" s="2" t="s">
        <v>4419</v>
      </c>
      <c r="E729" s="2" t="s">
        <v>4420</v>
      </c>
      <c r="F729" s="2" t="s">
        <v>4421</v>
      </c>
      <c r="G729" s="2" t="s">
        <v>4422</v>
      </c>
      <c r="H729" s="2" t="s">
        <v>26</v>
      </c>
      <c r="I729" s="2" t="s">
        <v>60</v>
      </c>
      <c r="J729" s="2" t="s">
        <v>2273</v>
      </c>
      <c r="K729" s="2" t="s">
        <v>2274</v>
      </c>
      <c r="L729" s="2" t="s">
        <v>1328</v>
      </c>
      <c r="M729" s="2">
        <v>1009.66</v>
      </c>
      <c r="N729" s="2">
        <v>1.0</v>
      </c>
      <c r="O729" s="2" t="s">
        <v>4423</v>
      </c>
      <c r="P729" s="2" t="s">
        <v>48</v>
      </c>
      <c r="Q729" s="2" t="s">
        <v>143</v>
      </c>
      <c r="R729" s="2" t="s">
        <v>818</v>
      </c>
      <c r="S729" s="2" t="s">
        <v>133</v>
      </c>
    </row>
    <row r="730" ht="15.75" customHeight="1">
      <c r="A730" s="2" t="s">
        <v>4424</v>
      </c>
      <c r="B730" s="2" t="s">
        <v>4425</v>
      </c>
      <c r="C730" s="2" t="s">
        <v>2300</v>
      </c>
      <c r="D730" s="2" t="s">
        <v>2301</v>
      </c>
      <c r="E730" s="2" t="s">
        <v>2302</v>
      </c>
      <c r="F730" s="2" t="s">
        <v>2303</v>
      </c>
      <c r="G730" s="2" t="s">
        <v>608</v>
      </c>
      <c r="H730" s="2" t="s">
        <v>223</v>
      </c>
      <c r="I730" s="2" t="s">
        <v>480</v>
      </c>
      <c r="J730" s="2" t="s">
        <v>334</v>
      </c>
      <c r="K730" s="2" t="s">
        <v>335</v>
      </c>
      <c r="L730" s="2" t="s">
        <v>248</v>
      </c>
      <c r="M730" s="2">
        <v>1706.19</v>
      </c>
      <c r="N730" s="2">
        <v>1.0</v>
      </c>
      <c r="O730" s="2" t="s">
        <v>4426</v>
      </c>
      <c r="P730" s="2" t="s">
        <v>48</v>
      </c>
      <c r="Q730" s="2" t="s">
        <v>305</v>
      </c>
      <c r="R730" s="2" t="s">
        <v>345</v>
      </c>
    </row>
    <row r="731" ht="15.75" customHeight="1">
      <c r="A731" s="2" t="s">
        <v>4427</v>
      </c>
      <c r="B731" s="2" t="s">
        <v>3534</v>
      </c>
      <c r="C731" s="2" t="s">
        <v>3895</v>
      </c>
      <c r="D731" s="2" t="s">
        <v>3896</v>
      </c>
      <c r="E731" s="2" t="s">
        <v>3897</v>
      </c>
      <c r="F731" s="2" t="s">
        <v>3898</v>
      </c>
      <c r="G731" s="2" t="s">
        <v>25</v>
      </c>
      <c r="H731" s="2" t="s">
        <v>42</v>
      </c>
      <c r="I731" s="2" t="s">
        <v>312</v>
      </c>
      <c r="J731" s="2" t="s">
        <v>2425</v>
      </c>
      <c r="K731" s="2" t="s">
        <v>2426</v>
      </c>
      <c r="L731" s="2" t="s">
        <v>2427</v>
      </c>
      <c r="M731" s="2">
        <v>558.45</v>
      </c>
      <c r="N731" s="2">
        <v>1.0</v>
      </c>
      <c r="O731" s="2" t="s">
        <v>4428</v>
      </c>
      <c r="P731" s="2" t="s">
        <v>48</v>
      </c>
      <c r="Q731" s="2" t="s">
        <v>664</v>
      </c>
      <c r="R731" s="2" t="s">
        <v>3991</v>
      </c>
    </row>
    <row r="732" ht="15.75" customHeight="1">
      <c r="A732" s="2" t="s">
        <v>4429</v>
      </c>
      <c r="B732" s="2" t="s">
        <v>4430</v>
      </c>
      <c r="C732" s="2" t="s">
        <v>3688</v>
      </c>
      <c r="D732" s="2" t="s">
        <v>361</v>
      </c>
      <c r="E732" s="2" t="s">
        <v>3689</v>
      </c>
      <c r="F732" s="2" t="s">
        <v>3690</v>
      </c>
      <c r="G732" s="2" t="s">
        <v>3691</v>
      </c>
      <c r="H732" s="2" t="s">
        <v>234</v>
      </c>
      <c r="I732" s="2" t="s">
        <v>522</v>
      </c>
      <c r="J732" s="2" t="s">
        <v>993</v>
      </c>
      <c r="K732" s="2" t="s">
        <v>994</v>
      </c>
      <c r="L732" s="2" t="s">
        <v>995</v>
      </c>
      <c r="N732" s="2">
        <v>5.0</v>
      </c>
      <c r="O732" s="2" t="s">
        <v>4431</v>
      </c>
      <c r="P732" s="2" t="s">
        <v>95</v>
      </c>
      <c r="Q732" s="2" t="s">
        <v>505</v>
      </c>
      <c r="R732" s="2" t="s">
        <v>169</v>
      </c>
      <c r="S732" s="2" t="s">
        <v>67</v>
      </c>
    </row>
    <row r="733" ht="15.75" customHeight="1">
      <c r="A733" s="2" t="s">
        <v>4432</v>
      </c>
      <c r="B733" s="2" t="s">
        <v>4433</v>
      </c>
      <c r="C733" s="2" t="s">
        <v>4434</v>
      </c>
      <c r="D733" s="2" t="s">
        <v>4435</v>
      </c>
      <c r="F733" s="2" t="s">
        <v>4436</v>
      </c>
      <c r="G733" s="2" t="s">
        <v>188</v>
      </c>
      <c r="H733" s="2" t="s">
        <v>223</v>
      </c>
      <c r="I733" s="2" t="s">
        <v>176</v>
      </c>
      <c r="J733" s="2" t="s">
        <v>3596</v>
      </c>
      <c r="K733" s="2" t="s">
        <v>3597</v>
      </c>
      <c r="L733" s="2" t="s">
        <v>63</v>
      </c>
      <c r="M733" s="2">
        <v>281.83</v>
      </c>
      <c r="N733" s="2">
        <v>2.0</v>
      </c>
      <c r="O733" s="2" t="s">
        <v>4437</v>
      </c>
      <c r="P733" s="2" t="s">
        <v>32</v>
      </c>
      <c r="Q733" s="2" t="s">
        <v>66</v>
      </c>
      <c r="R733" s="2" t="s">
        <v>393</v>
      </c>
      <c r="S733" s="2" t="s">
        <v>51</v>
      </c>
    </row>
    <row r="734" ht="15.75" customHeight="1">
      <c r="A734" s="2" t="s">
        <v>4438</v>
      </c>
      <c r="B734" s="2" t="s">
        <v>4439</v>
      </c>
      <c r="C734" s="2" t="s">
        <v>2172</v>
      </c>
      <c r="D734" s="2" t="s">
        <v>2173</v>
      </c>
      <c r="E734" s="2" t="s">
        <v>2174</v>
      </c>
      <c r="F734" s="2" t="s">
        <v>2175</v>
      </c>
      <c r="G734" s="2" t="s">
        <v>199</v>
      </c>
      <c r="H734" s="2" t="s">
        <v>1151</v>
      </c>
      <c r="I734" s="2" t="s">
        <v>43</v>
      </c>
      <c r="J734" s="2" t="s">
        <v>1302</v>
      </c>
      <c r="K734" s="2" t="s">
        <v>1303</v>
      </c>
      <c r="L734" s="2" t="s">
        <v>179</v>
      </c>
      <c r="M734" s="2">
        <v>1117.2</v>
      </c>
      <c r="N734" s="2">
        <v>5.0</v>
      </c>
      <c r="O734" s="2" t="s">
        <v>4440</v>
      </c>
      <c r="P734" s="2" t="s">
        <v>48</v>
      </c>
      <c r="Q734" s="2" t="s">
        <v>4441</v>
      </c>
      <c r="R734" s="2" t="s">
        <v>120</v>
      </c>
      <c r="S734" s="2" t="s">
        <v>51</v>
      </c>
    </row>
    <row r="735" ht="15.75" customHeight="1">
      <c r="A735" s="2" t="s">
        <v>4442</v>
      </c>
      <c r="B735" s="2" t="s">
        <v>4443</v>
      </c>
      <c r="C735" s="2" t="s">
        <v>1354</v>
      </c>
      <c r="D735" s="2" t="s">
        <v>1355</v>
      </c>
      <c r="E735" s="2" t="s">
        <v>1356</v>
      </c>
      <c r="F735" s="2" t="s">
        <v>1357</v>
      </c>
      <c r="G735" s="2" t="s">
        <v>199</v>
      </c>
      <c r="H735" s="2" t="s">
        <v>59</v>
      </c>
      <c r="I735" s="2" t="s">
        <v>103</v>
      </c>
      <c r="J735" s="2" t="s">
        <v>212</v>
      </c>
      <c r="K735" s="2" t="s">
        <v>213</v>
      </c>
      <c r="L735" s="2" t="s">
        <v>214</v>
      </c>
      <c r="N735" s="2">
        <v>5.0</v>
      </c>
      <c r="O735" s="2" t="s">
        <v>4444</v>
      </c>
      <c r="P735" s="2" t="s">
        <v>612</v>
      </c>
      <c r="Q735" s="2" t="s">
        <v>143</v>
      </c>
      <c r="R735" s="2" t="s">
        <v>169</v>
      </c>
    </row>
    <row r="736" ht="15.75" customHeight="1">
      <c r="A736" s="2" t="s">
        <v>4445</v>
      </c>
      <c r="B736" s="2" t="s">
        <v>4446</v>
      </c>
      <c r="C736" s="2" t="s">
        <v>1466</v>
      </c>
      <c r="D736" s="2" t="s">
        <v>1068</v>
      </c>
      <c r="E736" s="2" t="s">
        <v>1467</v>
      </c>
      <c r="F736" s="2" t="s">
        <v>1468</v>
      </c>
      <c r="G736" s="2" t="s">
        <v>139</v>
      </c>
      <c r="H736" s="2" t="s">
        <v>26</v>
      </c>
      <c r="I736" s="2" t="s">
        <v>103</v>
      </c>
      <c r="J736" s="2" t="s">
        <v>1748</v>
      </c>
      <c r="K736" s="2" t="s">
        <v>1110</v>
      </c>
      <c r="L736" s="2" t="s">
        <v>315</v>
      </c>
      <c r="O736" s="2" t="s">
        <v>4447</v>
      </c>
      <c r="P736" s="2" t="s">
        <v>65</v>
      </c>
      <c r="Q736" s="2" t="s">
        <v>181</v>
      </c>
      <c r="R736" s="2" t="s">
        <v>50</v>
      </c>
      <c r="S736" s="2" t="s">
        <v>81</v>
      </c>
    </row>
    <row r="737" ht="15.75" customHeight="1">
      <c r="A737" s="2" t="s">
        <v>4448</v>
      </c>
      <c r="B737" s="2" t="s">
        <v>4449</v>
      </c>
      <c r="C737" s="2" t="s">
        <v>2569</v>
      </c>
      <c r="D737" s="2" t="s">
        <v>2570</v>
      </c>
      <c r="E737" s="2" t="s">
        <v>2571</v>
      </c>
      <c r="F737" s="2" t="s">
        <v>2572</v>
      </c>
      <c r="G737" s="2" t="s">
        <v>25</v>
      </c>
      <c r="H737" s="2" t="s">
        <v>115</v>
      </c>
      <c r="I737" s="2" t="s">
        <v>870</v>
      </c>
      <c r="J737" s="2" t="s">
        <v>746</v>
      </c>
      <c r="K737" s="2" t="s">
        <v>747</v>
      </c>
      <c r="L737" s="2" t="s">
        <v>748</v>
      </c>
      <c r="N737" s="2">
        <v>1.0</v>
      </c>
      <c r="O737" s="2" t="s">
        <v>4450</v>
      </c>
      <c r="P737" s="2" t="s">
        <v>95</v>
      </c>
      <c r="Q737" s="2" t="s">
        <v>505</v>
      </c>
      <c r="R737" s="2" t="s">
        <v>34</v>
      </c>
    </row>
    <row r="738" ht="15.75" customHeight="1">
      <c r="A738" s="2" t="s">
        <v>4451</v>
      </c>
      <c r="B738" s="2" t="s">
        <v>4452</v>
      </c>
      <c r="C738" s="2" t="s">
        <v>875</v>
      </c>
      <c r="D738" s="2" t="s">
        <v>876</v>
      </c>
      <c r="E738" s="2" t="s">
        <v>2706</v>
      </c>
      <c r="F738" s="2" t="s">
        <v>877</v>
      </c>
      <c r="G738" s="2" t="s">
        <v>114</v>
      </c>
      <c r="H738" s="2" t="s">
        <v>115</v>
      </c>
      <c r="I738" s="2" t="s">
        <v>103</v>
      </c>
      <c r="J738" s="2" t="s">
        <v>290</v>
      </c>
      <c r="K738" s="2" t="s">
        <v>291</v>
      </c>
      <c r="L738" s="2" t="s">
        <v>292</v>
      </c>
      <c r="M738" s="2">
        <v>19.11</v>
      </c>
      <c r="N738" s="2">
        <v>1.0</v>
      </c>
      <c r="O738" s="2" t="s">
        <v>4453</v>
      </c>
      <c r="P738" s="2" t="s">
        <v>48</v>
      </c>
      <c r="Q738" s="2" t="s">
        <v>3976</v>
      </c>
      <c r="R738" s="2" t="s">
        <v>169</v>
      </c>
    </row>
    <row r="739" ht="15.75" customHeight="1">
      <c r="A739" s="2" t="s">
        <v>4454</v>
      </c>
      <c r="B739" s="2" t="s">
        <v>4455</v>
      </c>
      <c r="C739" s="2" t="s">
        <v>1825</v>
      </c>
      <c r="D739" s="2" t="s">
        <v>1826</v>
      </c>
      <c r="E739" s="2" t="s">
        <v>1827</v>
      </c>
      <c r="F739" s="2" t="s">
        <v>1828</v>
      </c>
      <c r="G739" s="2" t="s">
        <v>88</v>
      </c>
      <c r="H739" s="2" t="s">
        <v>301</v>
      </c>
      <c r="I739" s="2" t="s">
        <v>522</v>
      </c>
      <c r="J739" s="2" t="s">
        <v>1733</v>
      </c>
      <c r="K739" s="2" t="s">
        <v>440</v>
      </c>
      <c r="L739" s="2" t="s">
        <v>315</v>
      </c>
      <c r="M739" s="2">
        <v>742.25</v>
      </c>
      <c r="N739" s="2">
        <v>2.0</v>
      </c>
      <c r="O739" s="2" t="s">
        <v>4456</v>
      </c>
      <c r="P739" s="2" t="s">
        <v>48</v>
      </c>
      <c r="Q739" s="2" t="s">
        <v>131</v>
      </c>
      <c r="R739" s="2" t="s">
        <v>527</v>
      </c>
      <c r="S739" s="2" t="s">
        <v>51</v>
      </c>
    </row>
    <row r="740" ht="15.75" customHeight="1">
      <c r="A740" s="2" t="s">
        <v>4457</v>
      </c>
      <c r="B740" s="2" t="s">
        <v>4458</v>
      </c>
      <c r="C740" s="2" t="s">
        <v>3485</v>
      </c>
      <c r="D740" s="2" t="s">
        <v>2733</v>
      </c>
      <c r="E740" s="2" t="s">
        <v>3486</v>
      </c>
      <c r="G740" s="2" t="s">
        <v>58</v>
      </c>
      <c r="H740" s="2" t="s">
        <v>223</v>
      </c>
      <c r="I740" s="2" t="s">
        <v>116</v>
      </c>
      <c r="J740" s="2" t="s">
        <v>3101</v>
      </c>
      <c r="K740" s="2" t="s">
        <v>1212</v>
      </c>
      <c r="L740" s="2" t="s">
        <v>248</v>
      </c>
      <c r="M740" s="2">
        <v>1742.06</v>
      </c>
      <c r="N740" s="2">
        <v>2.0</v>
      </c>
      <c r="O740" s="2" t="s">
        <v>4459</v>
      </c>
      <c r="P740" s="2" t="s">
        <v>48</v>
      </c>
      <c r="Q740" s="2" t="s">
        <v>33</v>
      </c>
      <c r="R740" s="2" t="s">
        <v>169</v>
      </c>
    </row>
    <row r="741" ht="15.75" customHeight="1">
      <c r="A741" s="2" t="s">
        <v>4460</v>
      </c>
      <c r="B741" s="2" t="s">
        <v>4461</v>
      </c>
      <c r="C741" s="2" t="s">
        <v>4462</v>
      </c>
      <c r="D741" s="2" t="s">
        <v>4463</v>
      </c>
      <c r="F741" s="2" t="s">
        <v>4464</v>
      </c>
      <c r="G741" s="2" t="s">
        <v>4465</v>
      </c>
      <c r="H741" s="2" t="s">
        <v>2519</v>
      </c>
      <c r="I741" s="2" t="s">
        <v>480</v>
      </c>
      <c r="J741" s="2" t="s">
        <v>402</v>
      </c>
      <c r="K741" s="2" t="s">
        <v>403</v>
      </c>
      <c r="L741" s="2" t="s">
        <v>404</v>
      </c>
      <c r="N741" s="2">
        <v>1.0</v>
      </c>
      <c r="O741" s="2" t="s">
        <v>4466</v>
      </c>
      <c r="P741" s="2" t="s">
        <v>95</v>
      </c>
      <c r="Q741" s="2" t="s">
        <v>96</v>
      </c>
      <c r="R741" s="2" t="s">
        <v>144</v>
      </c>
      <c r="S741" s="2" t="s">
        <v>81</v>
      </c>
    </row>
    <row r="742" ht="15.75" customHeight="1">
      <c r="A742" s="2" t="s">
        <v>4467</v>
      </c>
      <c r="B742" s="2" t="s">
        <v>4468</v>
      </c>
      <c r="C742" s="2" t="s">
        <v>3257</v>
      </c>
      <c r="D742" s="2" t="s">
        <v>3258</v>
      </c>
      <c r="E742" s="2" t="s">
        <v>3259</v>
      </c>
      <c r="F742" s="2" t="s">
        <v>3260</v>
      </c>
      <c r="G742" s="2" t="s">
        <v>73</v>
      </c>
      <c r="H742" s="2" t="s">
        <v>323</v>
      </c>
      <c r="I742" s="2" t="s">
        <v>870</v>
      </c>
      <c r="J742" s="2" t="s">
        <v>353</v>
      </c>
      <c r="K742" s="2" t="s">
        <v>354</v>
      </c>
      <c r="L742" s="2" t="s">
        <v>355</v>
      </c>
      <c r="M742" s="2">
        <v>541.65</v>
      </c>
      <c r="N742" s="2">
        <v>1.0</v>
      </c>
      <c r="O742" s="2" t="s">
        <v>4469</v>
      </c>
      <c r="P742" s="2" t="s">
        <v>65</v>
      </c>
      <c r="Q742" s="2" t="s">
        <v>573</v>
      </c>
      <c r="R742" s="2" t="s">
        <v>1221</v>
      </c>
      <c r="S742" s="2" t="s">
        <v>67</v>
      </c>
    </row>
    <row r="743" ht="15.75" customHeight="1">
      <c r="A743" s="2" t="s">
        <v>4470</v>
      </c>
      <c r="B743" s="2" t="s">
        <v>4471</v>
      </c>
      <c r="C743" s="2" t="s">
        <v>866</v>
      </c>
      <c r="D743" s="2" t="s">
        <v>867</v>
      </c>
      <c r="E743" s="2" t="s">
        <v>868</v>
      </c>
      <c r="F743" s="2" t="s">
        <v>869</v>
      </c>
      <c r="G743" s="2" t="s">
        <v>738</v>
      </c>
      <c r="H743" s="2" t="s">
        <v>683</v>
      </c>
      <c r="I743" s="2" t="s">
        <v>103</v>
      </c>
      <c r="J743" s="2" t="s">
        <v>1192</v>
      </c>
      <c r="K743" s="2" t="s">
        <v>1193</v>
      </c>
      <c r="L743" s="2" t="s">
        <v>179</v>
      </c>
      <c r="M743" s="2">
        <v>537.0</v>
      </c>
      <c r="N743" s="2">
        <v>1.0</v>
      </c>
      <c r="O743" s="2" t="s">
        <v>4472</v>
      </c>
      <c r="P743" s="2" t="s">
        <v>32</v>
      </c>
      <c r="Q743" s="2" t="s">
        <v>49</v>
      </c>
      <c r="R743" s="2" t="s">
        <v>442</v>
      </c>
      <c r="S743" s="2" t="s">
        <v>81</v>
      </c>
    </row>
    <row r="744" ht="15.75" customHeight="1">
      <c r="A744" s="2" t="s">
        <v>4473</v>
      </c>
      <c r="B744" s="2" t="s">
        <v>4474</v>
      </c>
      <c r="C744" s="2" t="s">
        <v>631</v>
      </c>
      <c r="D744" s="2" t="s">
        <v>632</v>
      </c>
      <c r="E744" s="2" t="s">
        <v>633</v>
      </c>
      <c r="F744" s="2" t="s">
        <v>634</v>
      </c>
      <c r="G744" s="2" t="s">
        <v>459</v>
      </c>
      <c r="H744" s="2" t="s">
        <v>323</v>
      </c>
      <c r="I744" s="2" t="s">
        <v>480</v>
      </c>
      <c r="J744" s="2" t="s">
        <v>76</v>
      </c>
      <c r="K744" s="2" t="s">
        <v>77</v>
      </c>
      <c r="L744" s="2" t="s">
        <v>78</v>
      </c>
      <c r="M744" s="2">
        <v>1282.73</v>
      </c>
      <c r="N744" s="2">
        <v>2.0</v>
      </c>
      <c r="O744" s="2" t="s">
        <v>4475</v>
      </c>
      <c r="P744" s="2" t="s">
        <v>32</v>
      </c>
      <c r="Q744" s="2" t="s">
        <v>238</v>
      </c>
      <c r="R744" s="2" t="s">
        <v>132</v>
      </c>
      <c r="S744" s="2" t="s">
        <v>81</v>
      </c>
    </row>
    <row r="745" ht="15.75" customHeight="1">
      <c r="A745" s="2" t="s">
        <v>4476</v>
      </c>
      <c r="B745" s="2" t="s">
        <v>4477</v>
      </c>
      <c r="C745" s="2" t="s">
        <v>1028</v>
      </c>
      <c r="D745" s="2" t="s">
        <v>1029</v>
      </c>
      <c r="E745" s="2" t="s">
        <v>1030</v>
      </c>
      <c r="F745" s="2" t="s">
        <v>1031</v>
      </c>
      <c r="G745" s="2" t="s">
        <v>777</v>
      </c>
      <c r="H745" s="2" t="s">
        <v>115</v>
      </c>
      <c r="I745" s="2" t="s">
        <v>401</v>
      </c>
      <c r="J745" s="2" t="s">
        <v>481</v>
      </c>
      <c r="K745" s="2" t="s">
        <v>291</v>
      </c>
      <c r="L745" s="2" t="s">
        <v>482</v>
      </c>
      <c r="M745" s="2">
        <v>309.34</v>
      </c>
      <c r="N745" s="2">
        <v>1.0</v>
      </c>
      <c r="O745" s="2" t="s">
        <v>4478</v>
      </c>
      <c r="P745" s="2" t="s">
        <v>48</v>
      </c>
      <c r="Q745" s="2" t="s">
        <v>181</v>
      </c>
      <c r="R745" s="2" t="s">
        <v>169</v>
      </c>
      <c r="S745" s="2" t="s">
        <v>67</v>
      </c>
    </row>
    <row r="746" ht="15.75" customHeight="1">
      <c r="A746" s="2" t="s">
        <v>4479</v>
      </c>
      <c r="B746" s="2" t="s">
        <v>4480</v>
      </c>
      <c r="C746" s="2" t="s">
        <v>4481</v>
      </c>
      <c r="D746" s="2" t="s">
        <v>4482</v>
      </c>
      <c r="E746" s="2" t="s">
        <v>4483</v>
      </c>
      <c r="G746" s="2" t="s">
        <v>58</v>
      </c>
      <c r="H746" s="2" t="s">
        <v>26</v>
      </c>
      <c r="I746" s="2" t="s">
        <v>60</v>
      </c>
      <c r="J746" s="2" t="s">
        <v>140</v>
      </c>
      <c r="K746" s="2" t="s">
        <v>141</v>
      </c>
      <c r="L746" s="2" t="s">
        <v>63</v>
      </c>
      <c r="M746" s="2">
        <v>361.59</v>
      </c>
      <c r="N746" s="2">
        <v>3.0</v>
      </c>
      <c r="O746" s="2" t="s">
        <v>4484</v>
      </c>
      <c r="P746" s="2" t="s">
        <v>65</v>
      </c>
      <c r="Q746" s="2" t="s">
        <v>238</v>
      </c>
      <c r="R746" s="2" t="s">
        <v>251</v>
      </c>
    </row>
    <row r="747" ht="15.75" customHeight="1">
      <c r="A747" s="2" t="s">
        <v>4485</v>
      </c>
      <c r="B747" s="2" t="s">
        <v>4486</v>
      </c>
      <c r="C747" s="2" t="s">
        <v>4487</v>
      </c>
      <c r="D747" s="2" t="s">
        <v>894</v>
      </c>
      <c r="E747" s="2" t="s">
        <v>4488</v>
      </c>
      <c r="F747" s="2" t="s">
        <v>4489</v>
      </c>
      <c r="G747" s="2" t="s">
        <v>671</v>
      </c>
      <c r="H747" s="2" t="s">
        <v>323</v>
      </c>
      <c r="I747" s="2" t="s">
        <v>176</v>
      </c>
      <c r="J747" s="2" t="s">
        <v>1197</v>
      </c>
      <c r="K747" s="2" t="s">
        <v>1198</v>
      </c>
      <c r="L747" s="2" t="s">
        <v>1199</v>
      </c>
      <c r="N747" s="2">
        <v>3.0</v>
      </c>
      <c r="O747" s="2" t="s">
        <v>4490</v>
      </c>
      <c r="P747" s="2" t="s">
        <v>48</v>
      </c>
      <c r="Q747" s="2" t="s">
        <v>66</v>
      </c>
      <c r="R747" s="2" t="s">
        <v>452</v>
      </c>
      <c r="S747" s="2" t="s">
        <v>81</v>
      </c>
    </row>
    <row r="748" ht="15.75" customHeight="1">
      <c r="A748" s="2" t="s">
        <v>4491</v>
      </c>
      <c r="B748" s="2" t="s">
        <v>4492</v>
      </c>
      <c r="C748" s="2" t="s">
        <v>875</v>
      </c>
      <c r="D748" s="2" t="s">
        <v>876</v>
      </c>
      <c r="E748" s="2" t="s">
        <v>2706</v>
      </c>
      <c r="F748" s="2" t="s">
        <v>877</v>
      </c>
      <c r="G748" s="2" t="s">
        <v>114</v>
      </c>
      <c r="H748" s="2" t="s">
        <v>301</v>
      </c>
      <c r="I748" s="2" t="s">
        <v>512</v>
      </c>
      <c r="J748" s="2" t="s">
        <v>711</v>
      </c>
      <c r="K748" s="2" t="s">
        <v>712</v>
      </c>
      <c r="L748" s="2" t="s">
        <v>637</v>
      </c>
      <c r="N748" s="2">
        <v>3.0</v>
      </c>
      <c r="O748" s="2" t="s">
        <v>4493</v>
      </c>
      <c r="P748" s="2" t="s">
        <v>32</v>
      </c>
      <c r="Q748" s="2" t="s">
        <v>370</v>
      </c>
      <c r="R748" s="2" t="s">
        <v>452</v>
      </c>
    </row>
    <row r="749" ht="15.75" customHeight="1">
      <c r="A749" s="2" t="s">
        <v>4494</v>
      </c>
      <c r="B749" s="2" t="s">
        <v>4495</v>
      </c>
      <c r="C749" s="2" t="s">
        <v>3882</v>
      </c>
      <c r="D749" s="2" t="s">
        <v>3883</v>
      </c>
      <c r="E749" s="2" t="s">
        <v>3884</v>
      </c>
      <c r="F749" s="2" t="s">
        <v>3885</v>
      </c>
      <c r="G749" s="2" t="s">
        <v>114</v>
      </c>
      <c r="H749" s="2" t="s">
        <v>74</v>
      </c>
      <c r="I749" s="2" t="s">
        <v>4496</v>
      </c>
      <c r="J749" s="2" t="s">
        <v>4497</v>
      </c>
      <c r="K749" s="2" t="s">
        <v>403</v>
      </c>
      <c r="L749" s="2" t="s">
        <v>995</v>
      </c>
      <c r="M749" s="2">
        <v>1314.03</v>
      </c>
      <c r="N749" s="2">
        <v>3.0</v>
      </c>
      <c r="O749" s="2" t="s">
        <v>4498</v>
      </c>
      <c r="P749" s="2" t="s">
        <v>65</v>
      </c>
      <c r="Q749" s="2" t="s">
        <v>305</v>
      </c>
      <c r="R749" s="2" t="s">
        <v>527</v>
      </c>
      <c r="S749" s="2" t="s">
        <v>67</v>
      </c>
    </row>
    <row r="750" ht="15.75" customHeight="1">
      <c r="A750" s="2" t="s">
        <v>4499</v>
      </c>
      <c r="B750" s="2" t="s">
        <v>4500</v>
      </c>
      <c r="C750" s="2" t="s">
        <v>4501</v>
      </c>
      <c r="D750" s="2" t="s">
        <v>4502</v>
      </c>
      <c r="E750" s="2" t="s">
        <v>4503</v>
      </c>
      <c r="G750" s="2" t="s">
        <v>114</v>
      </c>
      <c r="H750" s="2" t="s">
        <v>460</v>
      </c>
      <c r="I750" s="2" t="s">
        <v>500</v>
      </c>
      <c r="J750" s="2" t="s">
        <v>2425</v>
      </c>
      <c r="K750" s="2" t="s">
        <v>2426</v>
      </c>
      <c r="L750" s="2" t="s">
        <v>2427</v>
      </c>
      <c r="N750" s="2">
        <v>1.0</v>
      </c>
      <c r="O750" s="2" t="s">
        <v>4504</v>
      </c>
      <c r="P750" s="2" t="s">
        <v>32</v>
      </c>
      <c r="Q750" s="2" t="s">
        <v>664</v>
      </c>
      <c r="R750" s="2" t="s">
        <v>132</v>
      </c>
      <c r="S750" s="2" t="s">
        <v>81</v>
      </c>
    </row>
    <row r="751" ht="15.75" customHeight="1">
      <c r="A751" s="2" t="s">
        <v>4505</v>
      </c>
      <c r="B751" s="2" t="s">
        <v>4506</v>
      </c>
      <c r="C751" s="2" t="s">
        <v>4507</v>
      </c>
      <c r="D751" s="2" t="s">
        <v>2693</v>
      </c>
      <c r="E751" s="2" t="s">
        <v>4508</v>
      </c>
      <c r="F751" s="2" t="s">
        <v>4509</v>
      </c>
      <c r="G751" s="2" t="s">
        <v>421</v>
      </c>
      <c r="H751" s="2" t="s">
        <v>42</v>
      </c>
      <c r="I751" s="2" t="s">
        <v>43</v>
      </c>
      <c r="J751" s="2" t="s">
        <v>471</v>
      </c>
      <c r="K751" s="2" t="s">
        <v>472</v>
      </c>
      <c r="L751" s="2" t="s">
        <v>179</v>
      </c>
      <c r="M751" s="2">
        <v>321.0</v>
      </c>
      <c r="N751" s="2">
        <v>5.0</v>
      </c>
      <c r="O751" s="2" t="s">
        <v>4510</v>
      </c>
      <c r="P751" s="2" t="s">
        <v>95</v>
      </c>
      <c r="Q751" s="2" t="s">
        <v>96</v>
      </c>
      <c r="R751" s="2" t="s">
        <v>1312</v>
      </c>
    </row>
    <row r="752" ht="15.75" customHeight="1">
      <c r="A752" s="2" t="s">
        <v>4511</v>
      </c>
      <c r="B752" s="2" t="s">
        <v>4512</v>
      </c>
      <c r="C752" s="2" t="s">
        <v>4513</v>
      </c>
      <c r="D752" s="2" t="s">
        <v>4514</v>
      </c>
      <c r="E752" s="2" t="s">
        <v>4515</v>
      </c>
      <c r="F752" s="2" t="s">
        <v>4516</v>
      </c>
      <c r="G752" s="2" t="s">
        <v>801</v>
      </c>
      <c r="H752" s="2" t="s">
        <v>4517</v>
      </c>
      <c r="I752" s="2" t="s">
        <v>312</v>
      </c>
      <c r="J752" s="2" t="s">
        <v>1302</v>
      </c>
      <c r="K752" s="2" t="s">
        <v>1303</v>
      </c>
      <c r="L752" s="2" t="s">
        <v>179</v>
      </c>
      <c r="M752" s="2">
        <v>291.78</v>
      </c>
      <c r="O752" s="2" t="s">
        <v>4518</v>
      </c>
      <c r="P752" s="2" t="s">
        <v>48</v>
      </c>
      <c r="Q752" s="2" t="s">
        <v>131</v>
      </c>
      <c r="R752" s="2" t="s">
        <v>818</v>
      </c>
    </row>
    <row r="753" ht="15.75" customHeight="1">
      <c r="A753" s="2" t="s">
        <v>4519</v>
      </c>
      <c r="B753" s="2" t="s">
        <v>4520</v>
      </c>
      <c r="C753" s="2" t="s">
        <v>4521</v>
      </c>
      <c r="D753" s="2" t="s">
        <v>4522</v>
      </c>
      <c r="E753" s="2" t="s">
        <v>4523</v>
      </c>
      <c r="F753" s="2" t="s">
        <v>4524</v>
      </c>
      <c r="G753" s="2" t="s">
        <v>114</v>
      </c>
      <c r="H753" s="2" t="s">
        <v>323</v>
      </c>
      <c r="I753" s="2" t="s">
        <v>90</v>
      </c>
      <c r="J753" s="2" t="s">
        <v>411</v>
      </c>
      <c r="K753" s="2" t="s">
        <v>412</v>
      </c>
      <c r="L753" s="2" t="s">
        <v>167</v>
      </c>
      <c r="M753" s="2">
        <v>1527.53</v>
      </c>
      <c r="N753" s="2">
        <v>2.0</v>
      </c>
      <c r="O753" s="2" t="s">
        <v>4525</v>
      </c>
      <c r="P753" s="2" t="s">
        <v>65</v>
      </c>
      <c r="Q753" s="2" t="s">
        <v>33</v>
      </c>
      <c r="R753" s="2" t="s">
        <v>818</v>
      </c>
    </row>
    <row r="754" ht="15.75" customHeight="1">
      <c r="A754" s="2" t="s">
        <v>4526</v>
      </c>
      <c r="B754" s="2" t="s">
        <v>3347</v>
      </c>
      <c r="C754" s="2" t="s">
        <v>1481</v>
      </c>
      <c r="D754" s="2" t="s">
        <v>1482</v>
      </c>
      <c r="E754" s="2" t="s">
        <v>1483</v>
      </c>
      <c r="F754" s="2" t="s">
        <v>1484</v>
      </c>
      <c r="G754" s="2" t="s">
        <v>1177</v>
      </c>
      <c r="H754" s="2" t="s">
        <v>26</v>
      </c>
      <c r="I754" s="2" t="s">
        <v>480</v>
      </c>
      <c r="J754" s="2" t="s">
        <v>746</v>
      </c>
      <c r="K754" s="2" t="s">
        <v>747</v>
      </c>
      <c r="L754" s="2" t="s">
        <v>748</v>
      </c>
      <c r="M754" s="2">
        <v>227.21</v>
      </c>
      <c r="N754" s="2">
        <v>1.0</v>
      </c>
      <c r="O754" s="2" t="s">
        <v>4527</v>
      </c>
      <c r="P754" s="2" t="s">
        <v>32</v>
      </c>
      <c r="Q754" s="2" t="s">
        <v>96</v>
      </c>
      <c r="R754" s="2" t="s">
        <v>4528</v>
      </c>
      <c r="S754" s="2" t="s">
        <v>81</v>
      </c>
    </row>
    <row r="755" ht="15.75" customHeight="1">
      <c r="A755" s="2" t="s">
        <v>4529</v>
      </c>
      <c r="B755" s="2" t="s">
        <v>4530</v>
      </c>
      <c r="C755" s="2" t="s">
        <v>707</v>
      </c>
      <c r="D755" s="2" t="s">
        <v>708</v>
      </c>
      <c r="E755" s="2" t="s">
        <v>709</v>
      </c>
      <c r="G755" s="2" t="s">
        <v>459</v>
      </c>
      <c r="H755" s="2" t="s">
        <v>26</v>
      </c>
      <c r="I755" s="2" t="s">
        <v>312</v>
      </c>
      <c r="J755" s="2" t="s">
        <v>61</v>
      </c>
      <c r="K755" s="2" t="s">
        <v>62</v>
      </c>
      <c r="L755" s="2" t="s">
        <v>63</v>
      </c>
      <c r="M755" s="2">
        <v>195.55</v>
      </c>
      <c r="N755" s="2">
        <v>2.0</v>
      </c>
      <c r="O755" s="2" t="s">
        <v>4531</v>
      </c>
      <c r="P755" s="2" t="s">
        <v>48</v>
      </c>
      <c r="Q755" s="2" t="s">
        <v>3460</v>
      </c>
      <c r="R755" s="2" t="s">
        <v>818</v>
      </c>
      <c r="S755" s="2" t="s">
        <v>81</v>
      </c>
    </row>
    <row r="756" ht="15.75" customHeight="1">
      <c r="A756" s="2" t="s">
        <v>4532</v>
      </c>
      <c r="B756" s="2" t="s">
        <v>4533</v>
      </c>
      <c r="C756" s="2" t="s">
        <v>4534</v>
      </c>
      <c r="D756" s="2" t="s">
        <v>561</v>
      </c>
      <c r="E756" s="2" t="s">
        <v>4535</v>
      </c>
      <c r="F756" s="2" t="s">
        <v>4536</v>
      </c>
      <c r="G756" s="2" t="s">
        <v>1319</v>
      </c>
      <c r="H756" s="2" t="s">
        <v>210</v>
      </c>
      <c r="I756" s="2" t="s">
        <v>522</v>
      </c>
      <c r="J756" s="2" t="s">
        <v>1302</v>
      </c>
      <c r="K756" s="2" t="s">
        <v>1303</v>
      </c>
      <c r="L756" s="2" t="s">
        <v>179</v>
      </c>
      <c r="N756" s="2">
        <v>1.0</v>
      </c>
      <c r="O756" s="2" t="s">
        <v>4537</v>
      </c>
      <c r="P756" s="2" t="s">
        <v>65</v>
      </c>
      <c r="Q756" s="2" t="s">
        <v>370</v>
      </c>
      <c r="R756" s="2" t="s">
        <v>442</v>
      </c>
      <c r="S756" s="2" t="s">
        <v>51</v>
      </c>
    </row>
    <row r="757" ht="15.75" customHeight="1">
      <c r="A757" s="2" t="s">
        <v>4538</v>
      </c>
      <c r="B757" s="2" t="s">
        <v>4539</v>
      </c>
      <c r="C757" s="2" t="s">
        <v>3094</v>
      </c>
      <c r="D757" s="2" t="s">
        <v>3095</v>
      </c>
      <c r="E757" s="2" t="s">
        <v>3096</v>
      </c>
      <c r="F757" s="2" t="s">
        <v>3097</v>
      </c>
      <c r="G757" s="2" t="s">
        <v>58</v>
      </c>
      <c r="H757" s="2" t="s">
        <v>26</v>
      </c>
      <c r="I757" s="2" t="s">
        <v>103</v>
      </c>
      <c r="J757" s="2" t="s">
        <v>815</v>
      </c>
      <c r="K757" s="2" t="s">
        <v>816</v>
      </c>
      <c r="L757" s="2" t="s">
        <v>179</v>
      </c>
      <c r="M757" s="2">
        <v>786.14</v>
      </c>
      <c r="N757" s="2">
        <v>3.0</v>
      </c>
      <c r="O757" s="2" t="s">
        <v>4540</v>
      </c>
      <c r="P757" s="2" t="s">
        <v>32</v>
      </c>
      <c r="Q757" s="2" t="s">
        <v>664</v>
      </c>
      <c r="R757" s="2" t="s">
        <v>294</v>
      </c>
      <c r="S757" s="2" t="s">
        <v>81</v>
      </c>
    </row>
    <row r="758" ht="15.75" customHeight="1">
      <c r="A758" s="2" t="s">
        <v>4541</v>
      </c>
      <c r="B758" s="2" t="s">
        <v>2126</v>
      </c>
      <c r="C758" s="2" t="s">
        <v>3215</v>
      </c>
      <c r="D758" s="2" t="s">
        <v>3216</v>
      </c>
      <c r="F758" s="2" t="s">
        <v>3218</v>
      </c>
      <c r="G758" s="2" t="s">
        <v>671</v>
      </c>
      <c r="H758" s="2" t="s">
        <v>74</v>
      </c>
      <c r="I758" s="2" t="s">
        <v>289</v>
      </c>
      <c r="J758" s="2" t="s">
        <v>28</v>
      </c>
      <c r="K758" s="2" t="s">
        <v>29</v>
      </c>
      <c r="L758" s="2" t="s">
        <v>30</v>
      </c>
      <c r="N758" s="2">
        <v>1.0</v>
      </c>
      <c r="O758" s="2" t="s">
        <v>4542</v>
      </c>
      <c r="P758" s="2" t="s">
        <v>32</v>
      </c>
      <c r="Q758" s="2" t="s">
        <v>33</v>
      </c>
      <c r="R758" s="2" t="s">
        <v>442</v>
      </c>
      <c r="S758" s="2" t="s">
        <v>51</v>
      </c>
    </row>
    <row r="759" ht="15.75" customHeight="1">
      <c r="A759" s="2" t="s">
        <v>4543</v>
      </c>
      <c r="B759" s="2" t="s">
        <v>4544</v>
      </c>
      <c r="C759" s="2" t="s">
        <v>3348</v>
      </c>
      <c r="D759" s="2" t="s">
        <v>2108</v>
      </c>
      <c r="E759" s="2" t="s">
        <v>3349</v>
      </c>
      <c r="F759" s="2" t="s">
        <v>3350</v>
      </c>
      <c r="G759" s="2" t="s">
        <v>1336</v>
      </c>
      <c r="H759" s="2" t="s">
        <v>152</v>
      </c>
      <c r="I759" s="2" t="s">
        <v>176</v>
      </c>
      <c r="J759" s="2" t="s">
        <v>2012</v>
      </c>
      <c r="K759" s="2" t="s">
        <v>741</v>
      </c>
      <c r="L759" s="2" t="s">
        <v>514</v>
      </c>
      <c r="N759" s="2">
        <v>5.0</v>
      </c>
      <c r="O759" s="2" t="s">
        <v>4545</v>
      </c>
      <c r="P759" s="2" t="s">
        <v>95</v>
      </c>
      <c r="Q759" s="2" t="s">
        <v>4546</v>
      </c>
      <c r="R759" s="2" t="s">
        <v>294</v>
      </c>
    </row>
    <row r="760" ht="15.75" customHeight="1">
      <c r="A760" s="2" t="s">
        <v>4547</v>
      </c>
      <c r="B760" s="2" t="s">
        <v>4548</v>
      </c>
      <c r="C760" s="2" t="s">
        <v>4549</v>
      </c>
      <c r="D760" s="2" t="s">
        <v>4514</v>
      </c>
      <c r="F760" s="2" t="s">
        <v>4550</v>
      </c>
      <c r="G760" s="2" t="s">
        <v>671</v>
      </c>
      <c r="H760" s="2" t="s">
        <v>223</v>
      </c>
      <c r="I760" s="2" t="s">
        <v>43</v>
      </c>
      <c r="J760" s="2" t="s">
        <v>993</v>
      </c>
      <c r="K760" s="2" t="s">
        <v>994</v>
      </c>
      <c r="L760" s="2" t="s">
        <v>995</v>
      </c>
      <c r="M760" s="2">
        <v>1231.59</v>
      </c>
      <c r="N760" s="2">
        <v>1.0</v>
      </c>
      <c r="O760" s="2" t="s">
        <v>4551</v>
      </c>
      <c r="P760" s="2" t="s">
        <v>32</v>
      </c>
      <c r="Q760" s="2" t="s">
        <v>181</v>
      </c>
      <c r="R760" s="2" t="s">
        <v>144</v>
      </c>
    </row>
    <row r="761" ht="15.75" customHeight="1">
      <c r="A761" s="2" t="s">
        <v>4552</v>
      </c>
      <c r="B761" s="2" t="s">
        <v>4553</v>
      </c>
      <c r="C761" s="2" t="s">
        <v>1059</v>
      </c>
      <c r="D761" s="2" t="s">
        <v>1060</v>
      </c>
      <c r="E761" s="2" t="s">
        <v>1061</v>
      </c>
      <c r="F761" s="2" t="s">
        <v>1062</v>
      </c>
      <c r="G761" s="2" t="s">
        <v>199</v>
      </c>
      <c r="H761" s="2" t="s">
        <v>4554</v>
      </c>
      <c r="I761" s="2" t="s">
        <v>176</v>
      </c>
      <c r="J761" s="2" t="s">
        <v>652</v>
      </c>
      <c r="K761" s="2" t="s">
        <v>653</v>
      </c>
      <c r="L761" s="2" t="s">
        <v>179</v>
      </c>
      <c r="M761" s="2">
        <v>800.8</v>
      </c>
      <c r="N761" s="2">
        <v>5.0</v>
      </c>
      <c r="O761" s="2" t="s">
        <v>4555</v>
      </c>
      <c r="P761" s="2" t="s">
        <v>65</v>
      </c>
      <c r="Q761" s="2" t="s">
        <v>4556</v>
      </c>
      <c r="R761" s="2" t="s">
        <v>442</v>
      </c>
      <c r="S761" s="2" t="s">
        <v>81</v>
      </c>
    </row>
    <row r="762" ht="15.75" customHeight="1">
      <c r="A762" s="2" t="s">
        <v>4557</v>
      </c>
      <c r="B762" s="2" t="s">
        <v>4558</v>
      </c>
      <c r="C762" s="2" t="s">
        <v>2093</v>
      </c>
      <c r="D762" s="2" t="s">
        <v>2094</v>
      </c>
      <c r="E762" s="2" t="s">
        <v>2095</v>
      </c>
      <c r="F762" s="2" t="s">
        <v>2096</v>
      </c>
      <c r="G762" s="2" t="s">
        <v>199</v>
      </c>
      <c r="H762" s="2" t="s">
        <v>3675</v>
      </c>
      <c r="I762" s="2" t="s">
        <v>43</v>
      </c>
      <c r="J762" s="2" t="s">
        <v>1495</v>
      </c>
      <c r="K762" s="2" t="s">
        <v>1138</v>
      </c>
      <c r="L762" s="2" t="s">
        <v>248</v>
      </c>
      <c r="M762" s="2">
        <v>176.92</v>
      </c>
      <c r="N762" s="2">
        <v>1.0</v>
      </c>
      <c r="O762" s="2" t="s">
        <v>4559</v>
      </c>
      <c r="P762" s="2" t="s">
        <v>48</v>
      </c>
      <c r="Q762" s="2" t="s">
        <v>4560</v>
      </c>
      <c r="R762" s="2" t="s">
        <v>294</v>
      </c>
      <c r="S762" s="2" t="s">
        <v>133</v>
      </c>
    </row>
    <row r="763" ht="15.75" customHeight="1">
      <c r="A763" s="2" t="s">
        <v>4561</v>
      </c>
      <c r="B763" s="2" t="s">
        <v>4562</v>
      </c>
      <c r="C763" s="2" t="s">
        <v>1534</v>
      </c>
      <c r="D763" s="2" t="s">
        <v>4563</v>
      </c>
      <c r="E763" s="2" t="s">
        <v>1536</v>
      </c>
      <c r="F763" s="2" t="s">
        <v>1537</v>
      </c>
      <c r="G763" s="2" t="s">
        <v>671</v>
      </c>
      <c r="H763" s="2" t="s">
        <v>26</v>
      </c>
      <c r="I763" s="2" t="s">
        <v>365</v>
      </c>
      <c r="J763" s="2" t="s">
        <v>2483</v>
      </c>
      <c r="K763" s="2" t="s">
        <v>1530</v>
      </c>
      <c r="L763" s="2" t="s">
        <v>503</v>
      </c>
      <c r="N763" s="2">
        <v>2.0</v>
      </c>
      <c r="O763" s="2" t="s">
        <v>4564</v>
      </c>
      <c r="P763" s="2" t="s">
        <v>48</v>
      </c>
      <c r="Q763" s="2" t="s">
        <v>49</v>
      </c>
      <c r="R763" s="2" t="s">
        <v>227</v>
      </c>
      <c r="S763" s="2" t="s">
        <v>81</v>
      </c>
    </row>
    <row r="764" ht="15.75" customHeight="1">
      <c r="A764" s="2" t="s">
        <v>4565</v>
      </c>
      <c r="B764" s="2" t="s">
        <v>4566</v>
      </c>
      <c r="C764" s="2" t="s">
        <v>1787</v>
      </c>
      <c r="D764" s="2" t="s">
        <v>1788</v>
      </c>
      <c r="F764" s="2" t="s">
        <v>1789</v>
      </c>
      <c r="G764" s="2" t="s">
        <v>1319</v>
      </c>
      <c r="H764" s="2" t="s">
        <v>323</v>
      </c>
      <c r="I764" s="2" t="s">
        <v>480</v>
      </c>
      <c r="J764" s="2" t="s">
        <v>1255</v>
      </c>
      <c r="K764" s="2" t="s">
        <v>29</v>
      </c>
      <c r="L764" s="2" t="s">
        <v>271</v>
      </c>
      <c r="M764" s="2">
        <v>108.65</v>
      </c>
      <c r="N764" s="2">
        <v>2.0</v>
      </c>
      <c r="O764" s="2" t="s">
        <v>4567</v>
      </c>
      <c r="P764" s="2" t="s">
        <v>95</v>
      </c>
      <c r="Q764" s="2" t="s">
        <v>49</v>
      </c>
      <c r="R764" s="2" t="s">
        <v>393</v>
      </c>
    </row>
    <row r="765" ht="15.75" customHeight="1">
      <c r="A765" s="2" t="s">
        <v>4568</v>
      </c>
      <c r="B765" s="2" t="s">
        <v>4569</v>
      </c>
      <c r="C765" s="2" t="s">
        <v>4570</v>
      </c>
      <c r="D765" s="2" t="s">
        <v>4571</v>
      </c>
      <c r="E765" s="2" t="s">
        <v>4572</v>
      </c>
      <c r="F765" s="2" t="s">
        <v>4573</v>
      </c>
      <c r="G765" s="2" t="s">
        <v>1336</v>
      </c>
      <c r="H765" s="2" t="s">
        <v>74</v>
      </c>
      <c r="I765" s="2" t="s">
        <v>522</v>
      </c>
      <c r="J765" s="2" t="s">
        <v>1679</v>
      </c>
      <c r="K765" s="2" t="s">
        <v>1530</v>
      </c>
      <c r="L765" s="2" t="s">
        <v>514</v>
      </c>
      <c r="M765" s="2">
        <v>190.74</v>
      </c>
      <c r="N765" s="2">
        <v>2.0</v>
      </c>
      <c r="O765" s="2" t="s">
        <v>4574</v>
      </c>
      <c r="P765" s="2" t="s">
        <v>65</v>
      </c>
      <c r="Q765" s="2" t="s">
        <v>49</v>
      </c>
      <c r="R765" s="2" t="s">
        <v>80</v>
      </c>
    </row>
    <row r="766" ht="15.75" customHeight="1">
      <c r="A766" s="2" t="s">
        <v>4575</v>
      </c>
      <c r="B766" s="2" t="s">
        <v>4576</v>
      </c>
      <c r="C766" s="2" t="s">
        <v>3348</v>
      </c>
      <c r="D766" s="2" t="s">
        <v>2108</v>
      </c>
      <c r="E766" s="2" t="s">
        <v>3349</v>
      </c>
      <c r="F766" s="2" t="s">
        <v>3350</v>
      </c>
      <c r="G766" s="2" t="s">
        <v>1336</v>
      </c>
      <c r="H766" s="2" t="s">
        <v>223</v>
      </c>
      <c r="I766" s="2" t="s">
        <v>116</v>
      </c>
      <c r="J766" s="2" t="s">
        <v>746</v>
      </c>
      <c r="K766" s="2" t="s">
        <v>747</v>
      </c>
      <c r="L766" s="2" t="s">
        <v>748</v>
      </c>
      <c r="N766" s="2">
        <v>5.0</v>
      </c>
      <c r="O766" s="2" t="s">
        <v>4577</v>
      </c>
      <c r="P766" s="2" t="s">
        <v>2954</v>
      </c>
      <c r="Q766" s="2" t="s">
        <v>573</v>
      </c>
      <c r="R766" s="2" t="s">
        <v>50</v>
      </c>
      <c r="S766" s="2" t="s">
        <v>133</v>
      </c>
    </row>
    <row r="767" ht="15.75" customHeight="1">
      <c r="A767" s="2" t="s">
        <v>4578</v>
      </c>
      <c r="B767" s="2" t="s">
        <v>4579</v>
      </c>
      <c r="C767" s="2" t="s">
        <v>4580</v>
      </c>
      <c r="D767" s="2" t="s">
        <v>4581</v>
      </c>
      <c r="F767" s="2" t="s">
        <v>4582</v>
      </c>
      <c r="G767" s="2" t="s">
        <v>25</v>
      </c>
      <c r="H767" s="2" t="s">
        <v>323</v>
      </c>
      <c r="I767" s="2" t="s">
        <v>103</v>
      </c>
      <c r="J767" s="2" t="s">
        <v>279</v>
      </c>
      <c r="K767" s="2" t="s">
        <v>280</v>
      </c>
      <c r="L767" s="2" t="s">
        <v>281</v>
      </c>
      <c r="M767" s="2">
        <v>364.06</v>
      </c>
      <c r="N767" s="2">
        <v>1.0</v>
      </c>
      <c r="O767" s="2" t="s">
        <v>4583</v>
      </c>
      <c r="P767" s="2" t="s">
        <v>95</v>
      </c>
      <c r="Q767" s="2" t="s">
        <v>181</v>
      </c>
      <c r="R767" s="2" t="s">
        <v>132</v>
      </c>
    </row>
    <row r="768" ht="15.75" customHeight="1">
      <c r="A768" s="2" t="s">
        <v>4584</v>
      </c>
      <c r="B768" s="2" t="s">
        <v>4585</v>
      </c>
      <c r="C768" s="2" t="s">
        <v>4238</v>
      </c>
      <c r="D768" s="2" t="s">
        <v>4239</v>
      </c>
      <c r="E768" s="2" t="s">
        <v>4240</v>
      </c>
      <c r="F768" s="2" t="s">
        <v>4241</v>
      </c>
      <c r="G768" s="2" t="s">
        <v>608</v>
      </c>
      <c r="H768" s="2" t="s">
        <v>460</v>
      </c>
      <c r="I768" s="2" t="s">
        <v>43</v>
      </c>
      <c r="J768" s="2" t="s">
        <v>1063</v>
      </c>
      <c r="K768" s="2" t="s">
        <v>291</v>
      </c>
      <c r="L768" s="2" t="s">
        <v>167</v>
      </c>
      <c r="N768" s="2">
        <v>1.0</v>
      </c>
      <c r="O768" s="2" t="s">
        <v>4586</v>
      </c>
      <c r="P768" s="2" t="s">
        <v>95</v>
      </c>
      <c r="Q768" s="2" t="s">
        <v>204</v>
      </c>
      <c r="R768" s="2" t="s">
        <v>442</v>
      </c>
    </row>
    <row r="769" ht="15.75" customHeight="1">
      <c r="A769" s="2" t="s">
        <v>4587</v>
      </c>
      <c r="B769" s="2" t="s">
        <v>4588</v>
      </c>
      <c r="C769" s="2" t="s">
        <v>330</v>
      </c>
      <c r="D769" s="2" t="s">
        <v>331</v>
      </c>
      <c r="E769" s="2" t="s">
        <v>332</v>
      </c>
      <c r="F769" s="2" t="s">
        <v>1013</v>
      </c>
      <c r="G769" s="2" t="s">
        <v>188</v>
      </c>
      <c r="H769" s="2" t="s">
        <v>26</v>
      </c>
      <c r="I769" s="2" t="s">
        <v>352</v>
      </c>
      <c r="J769" s="2" t="s">
        <v>852</v>
      </c>
      <c r="K769" s="2" t="s">
        <v>450</v>
      </c>
      <c r="L769" s="2" t="s">
        <v>167</v>
      </c>
      <c r="M769" s="2">
        <v>1145.67</v>
      </c>
      <c r="N769" s="2">
        <v>3.0</v>
      </c>
      <c r="O769" s="2" t="s">
        <v>4589</v>
      </c>
      <c r="P769" s="2" t="s">
        <v>48</v>
      </c>
      <c r="Q769" s="2" t="s">
        <v>181</v>
      </c>
      <c r="R769" s="2" t="s">
        <v>80</v>
      </c>
      <c r="S769" s="2" t="s">
        <v>133</v>
      </c>
    </row>
    <row r="770" ht="15.75" customHeight="1">
      <c r="A770" s="2" t="s">
        <v>4590</v>
      </c>
      <c r="B770" s="2" t="s">
        <v>4591</v>
      </c>
      <c r="C770" s="2" t="s">
        <v>2669</v>
      </c>
      <c r="D770" s="2" t="s">
        <v>1260</v>
      </c>
      <c r="E770" s="2" t="s">
        <v>2670</v>
      </c>
      <c r="F770" s="2" t="s">
        <v>2671</v>
      </c>
      <c r="G770" s="2" t="s">
        <v>671</v>
      </c>
      <c r="H770" s="2" t="s">
        <v>42</v>
      </c>
      <c r="I770" s="2" t="s">
        <v>1423</v>
      </c>
      <c r="J770" s="2" t="s">
        <v>2688</v>
      </c>
      <c r="K770" s="2" t="s">
        <v>502</v>
      </c>
      <c r="L770" s="2" t="s">
        <v>179</v>
      </c>
      <c r="N770" s="2">
        <v>2.0</v>
      </c>
      <c r="O770" s="2" t="s">
        <v>4592</v>
      </c>
      <c r="P770" s="2" t="s">
        <v>32</v>
      </c>
      <c r="Q770" s="2" t="s">
        <v>181</v>
      </c>
      <c r="R770" s="2" t="s">
        <v>442</v>
      </c>
      <c r="S770" s="2" t="s">
        <v>81</v>
      </c>
    </row>
    <row r="771" ht="15.75" customHeight="1">
      <c r="A771" s="2" t="s">
        <v>4593</v>
      </c>
      <c r="B771" s="2" t="s">
        <v>4594</v>
      </c>
      <c r="C771" s="2" t="s">
        <v>1887</v>
      </c>
      <c r="D771" s="2" t="s">
        <v>1888</v>
      </c>
      <c r="E771" s="2" t="s">
        <v>1889</v>
      </c>
      <c r="F771" s="2" t="s">
        <v>1890</v>
      </c>
      <c r="G771" s="2" t="s">
        <v>199</v>
      </c>
      <c r="H771" s="2" t="s">
        <v>59</v>
      </c>
      <c r="I771" s="2" t="s">
        <v>60</v>
      </c>
      <c r="J771" s="2" t="s">
        <v>513</v>
      </c>
      <c r="K771" s="2" t="s">
        <v>391</v>
      </c>
      <c r="L771" s="2" t="s">
        <v>514</v>
      </c>
      <c r="N771" s="2">
        <v>3.0</v>
      </c>
      <c r="P771" s="2" t="s">
        <v>65</v>
      </c>
      <c r="Q771" s="2" t="s">
        <v>2521</v>
      </c>
      <c r="R771" s="2" t="s">
        <v>818</v>
      </c>
      <c r="S771" s="2" t="s">
        <v>133</v>
      </c>
    </row>
    <row r="772" ht="15.75" customHeight="1">
      <c r="A772" s="2" t="s">
        <v>4595</v>
      </c>
      <c r="B772" s="2" t="s">
        <v>4596</v>
      </c>
      <c r="C772" s="2" t="s">
        <v>1845</v>
      </c>
      <c r="D772" s="2" t="s">
        <v>1846</v>
      </c>
      <c r="E772" s="2" t="s">
        <v>1847</v>
      </c>
      <c r="F772" s="2" t="s">
        <v>1848</v>
      </c>
      <c r="G772" s="2" t="s">
        <v>777</v>
      </c>
      <c r="H772" s="2" t="s">
        <v>223</v>
      </c>
      <c r="I772" s="2" t="s">
        <v>103</v>
      </c>
      <c r="J772" s="2" t="s">
        <v>3596</v>
      </c>
      <c r="K772" s="2" t="s">
        <v>3597</v>
      </c>
      <c r="L772" s="2" t="s">
        <v>63</v>
      </c>
      <c r="M772" s="2">
        <v>792.56</v>
      </c>
      <c r="N772" s="2">
        <v>5.0</v>
      </c>
      <c r="O772" s="2" t="s">
        <v>4597</v>
      </c>
      <c r="P772" s="2" t="s">
        <v>48</v>
      </c>
      <c r="Q772" s="2" t="s">
        <v>181</v>
      </c>
      <c r="R772" s="2" t="s">
        <v>169</v>
      </c>
      <c r="S772" s="2" t="s">
        <v>67</v>
      </c>
    </row>
    <row r="773" ht="15.75" customHeight="1">
      <c r="A773" s="2" t="s">
        <v>4598</v>
      </c>
      <c r="B773" s="2" t="s">
        <v>4599</v>
      </c>
      <c r="C773" s="2" t="s">
        <v>1354</v>
      </c>
      <c r="D773" s="2" t="s">
        <v>4600</v>
      </c>
      <c r="E773" s="2" t="s">
        <v>1356</v>
      </c>
      <c r="G773" s="2" t="s">
        <v>199</v>
      </c>
      <c r="H773" s="2" t="s">
        <v>26</v>
      </c>
      <c r="I773" s="2" t="s">
        <v>4601</v>
      </c>
      <c r="J773" s="2" t="s">
        <v>200</v>
      </c>
      <c r="K773" s="2" t="s">
        <v>201</v>
      </c>
      <c r="L773" s="2" t="s">
        <v>202</v>
      </c>
      <c r="M773" s="2">
        <v>934.61</v>
      </c>
      <c r="N773" s="2">
        <v>2.0</v>
      </c>
      <c r="O773" s="2" t="s">
        <v>4602</v>
      </c>
      <c r="P773" s="2" t="s">
        <v>32</v>
      </c>
      <c r="Q773" s="2" t="s">
        <v>414</v>
      </c>
      <c r="R773" s="2" t="s">
        <v>192</v>
      </c>
      <c r="S773" s="2" t="s">
        <v>133</v>
      </c>
    </row>
    <row r="774" ht="15.75" customHeight="1">
      <c r="A774" s="2" t="s">
        <v>4603</v>
      </c>
      <c r="B774" s="2" t="s">
        <v>4604</v>
      </c>
      <c r="C774" s="2" t="s">
        <v>3060</v>
      </c>
      <c r="D774" s="2" t="s">
        <v>3061</v>
      </c>
      <c r="E774" s="2" t="s">
        <v>3062</v>
      </c>
      <c r="F774" s="2" t="s">
        <v>3063</v>
      </c>
      <c r="G774" s="2" t="s">
        <v>364</v>
      </c>
      <c r="H774" s="2" t="s">
        <v>4605</v>
      </c>
      <c r="I774" s="2" t="s">
        <v>401</v>
      </c>
      <c r="J774" s="2" t="s">
        <v>177</v>
      </c>
      <c r="K774" s="2" t="s">
        <v>178</v>
      </c>
      <c r="L774" s="2" t="s">
        <v>179</v>
      </c>
      <c r="M774" s="2">
        <v>1709.7</v>
      </c>
      <c r="N774" s="2">
        <v>1.0</v>
      </c>
      <c r="O774" s="2" t="s">
        <v>4606</v>
      </c>
      <c r="P774" s="2" t="s">
        <v>2036</v>
      </c>
      <c r="Q774" s="2" t="s">
        <v>96</v>
      </c>
      <c r="R774" s="2" t="s">
        <v>144</v>
      </c>
      <c r="S774" s="2" t="s">
        <v>81</v>
      </c>
    </row>
    <row r="775" ht="15.75" customHeight="1">
      <c r="A775" s="2" t="s">
        <v>4607</v>
      </c>
      <c r="B775" s="2" t="s">
        <v>4608</v>
      </c>
      <c r="C775" s="2" t="s">
        <v>230</v>
      </c>
      <c r="D775" s="2" t="s">
        <v>231</v>
      </c>
      <c r="E775" s="2" t="s">
        <v>232</v>
      </c>
      <c r="F775" s="2" t="s">
        <v>233</v>
      </c>
      <c r="G775" s="2" t="s">
        <v>88</v>
      </c>
      <c r="H775" s="2" t="s">
        <v>59</v>
      </c>
      <c r="I775" s="2" t="s">
        <v>75</v>
      </c>
      <c r="J775" s="2" t="s">
        <v>957</v>
      </c>
      <c r="K775" s="2" t="s">
        <v>403</v>
      </c>
      <c r="L775" s="2" t="s">
        <v>167</v>
      </c>
      <c r="N775" s="2">
        <v>5.0</v>
      </c>
      <c r="O775" s="2" t="s">
        <v>4609</v>
      </c>
      <c r="P775" s="2" t="s">
        <v>32</v>
      </c>
      <c r="Q775" s="2" t="s">
        <v>49</v>
      </c>
      <c r="R775" s="2" t="s">
        <v>34</v>
      </c>
      <c r="S775" s="2" t="s">
        <v>81</v>
      </c>
    </row>
    <row r="776" ht="15.75" customHeight="1">
      <c r="A776" s="2" t="s">
        <v>4610</v>
      </c>
      <c r="B776" s="2" t="s">
        <v>4611</v>
      </c>
      <c r="C776" s="2" t="s">
        <v>4612</v>
      </c>
      <c r="D776" s="2" t="s">
        <v>4613</v>
      </c>
      <c r="E776" s="2" t="s">
        <v>4614</v>
      </c>
      <c r="F776" s="2" t="s">
        <v>4615</v>
      </c>
      <c r="G776" s="2" t="s">
        <v>25</v>
      </c>
      <c r="H776" s="2" t="s">
        <v>42</v>
      </c>
      <c r="I776" s="2" t="s">
        <v>4616</v>
      </c>
      <c r="J776" s="2" t="s">
        <v>2483</v>
      </c>
      <c r="K776" s="2" t="s">
        <v>1530</v>
      </c>
      <c r="L776" s="2" t="s">
        <v>503</v>
      </c>
      <c r="M776" s="2">
        <v>1496.37</v>
      </c>
      <c r="N776" s="2">
        <v>3.0</v>
      </c>
      <c r="O776" s="2" t="s">
        <v>4617</v>
      </c>
      <c r="P776" s="2" t="s">
        <v>95</v>
      </c>
      <c r="Q776" s="2" t="s">
        <v>143</v>
      </c>
      <c r="R776" s="2" t="s">
        <v>50</v>
      </c>
    </row>
    <row r="777" ht="15.75" customHeight="1">
      <c r="A777" s="2" t="s">
        <v>4618</v>
      </c>
      <c r="B777" s="2" t="s">
        <v>4619</v>
      </c>
      <c r="C777" s="2" t="s">
        <v>2929</v>
      </c>
      <c r="D777" s="2" t="s">
        <v>2930</v>
      </c>
      <c r="E777" s="2" t="s">
        <v>2931</v>
      </c>
      <c r="F777" s="2" t="s">
        <v>2932</v>
      </c>
      <c r="G777" s="2" t="s">
        <v>608</v>
      </c>
      <c r="H777" s="2" t="s">
        <v>683</v>
      </c>
      <c r="I777" s="2" t="s">
        <v>103</v>
      </c>
      <c r="J777" s="2" t="s">
        <v>2398</v>
      </c>
      <c r="K777" s="2" t="s">
        <v>225</v>
      </c>
      <c r="L777" s="2" t="s">
        <v>179</v>
      </c>
      <c r="N777" s="2">
        <v>2.0</v>
      </c>
      <c r="O777" s="2" t="s">
        <v>4620</v>
      </c>
      <c r="P777" s="2" t="s">
        <v>95</v>
      </c>
      <c r="Q777" s="2" t="s">
        <v>49</v>
      </c>
      <c r="R777" s="2" t="s">
        <v>192</v>
      </c>
      <c r="S777" s="2" t="s">
        <v>81</v>
      </c>
    </row>
    <row r="778" ht="15.75" customHeight="1">
      <c r="A778" s="2" t="s">
        <v>4621</v>
      </c>
      <c r="B778" s="2" t="s">
        <v>4622</v>
      </c>
      <c r="C778" s="2" t="s">
        <v>3932</v>
      </c>
      <c r="D778" s="2" t="s">
        <v>1994</v>
      </c>
      <c r="E778" s="2" t="s">
        <v>3933</v>
      </c>
      <c r="F778" s="2" t="s">
        <v>3934</v>
      </c>
      <c r="G778" s="2" t="s">
        <v>114</v>
      </c>
      <c r="H778" s="2" t="s">
        <v>59</v>
      </c>
      <c r="I778" s="2" t="s">
        <v>352</v>
      </c>
      <c r="J778" s="2" t="s">
        <v>1495</v>
      </c>
      <c r="K778" s="2" t="s">
        <v>1138</v>
      </c>
      <c r="L778" s="2" t="s">
        <v>248</v>
      </c>
      <c r="M778" s="2">
        <v>167.5</v>
      </c>
      <c r="N778" s="2">
        <v>2.0</v>
      </c>
      <c r="O778" s="2" t="s">
        <v>4623</v>
      </c>
      <c r="P778" s="2" t="s">
        <v>48</v>
      </c>
      <c r="Q778" s="2" t="s">
        <v>526</v>
      </c>
      <c r="R778" s="2" t="s">
        <v>251</v>
      </c>
      <c r="S778" s="2" t="s">
        <v>133</v>
      </c>
    </row>
    <row r="779" ht="15.75" customHeight="1">
      <c r="A779" s="2" t="s">
        <v>4624</v>
      </c>
      <c r="B779" s="2" t="s">
        <v>4625</v>
      </c>
      <c r="C779" s="2" t="s">
        <v>1174</v>
      </c>
      <c r="D779" s="2" t="s">
        <v>1175</v>
      </c>
      <c r="E779" s="2" t="s">
        <v>1176</v>
      </c>
      <c r="F779" s="2" t="s">
        <v>4626</v>
      </c>
      <c r="G779" s="2" t="s">
        <v>1177</v>
      </c>
      <c r="H779" s="2" t="s">
        <v>115</v>
      </c>
      <c r="I779" s="2" t="s">
        <v>1245</v>
      </c>
      <c r="J779" s="2" t="s">
        <v>740</v>
      </c>
      <c r="K779" s="2" t="s">
        <v>741</v>
      </c>
      <c r="L779" s="2" t="s">
        <v>742</v>
      </c>
      <c r="M779" s="2">
        <v>613.0</v>
      </c>
      <c r="N779" s="2">
        <v>5.0</v>
      </c>
      <c r="O779" s="2" t="s">
        <v>4627</v>
      </c>
      <c r="P779" s="2" t="s">
        <v>32</v>
      </c>
      <c r="Q779" s="2" t="s">
        <v>1287</v>
      </c>
      <c r="R779" s="2" t="s">
        <v>380</v>
      </c>
      <c r="S779" s="2" t="s">
        <v>81</v>
      </c>
    </row>
    <row r="780" ht="15.75" customHeight="1">
      <c r="A780" s="2" t="s">
        <v>4628</v>
      </c>
      <c r="B780" s="2" t="s">
        <v>4629</v>
      </c>
      <c r="C780" s="2" t="s">
        <v>4630</v>
      </c>
      <c r="D780" s="2" t="s">
        <v>4631</v>
      </c>
      <c r="E780" s="2" t="s">
        <v>4632</v>
      </c>
      <c r="F780" s="2" t="s">
        <v>4633</v>
      </c>
      <c r="G780" s="2" t="s">
        <v>459</v>
      </c>
      <c r="H780" s="2" t="s">
        <v>26</v>
      </c>
      <c r="I780" s="2" t="s">
        <v>103</v>
      </c>
      <c r="J780" s="2" t="s">
        <v>235</v>
      </c>
      <c r="K780" s="2" t="s">
        <v>236</v>
      </c>
      <c r="L780" s="2" t="s">
        <v>30</v>
      </c>
      <c r="N780" s="2">
        <v>2.0</v>
      </c>
      <c r="O780" s="2" t="s">
        <v>4634</v>
      </c>
      <c r="P780" s="2" t="s">
        <v>65</v>
      </c>
      <c r="Q780" s="2" t="s">
        <v>664</v>
      </c>
      <c r="R780" s="2" t="s">
        <v>294</v>
      </c>
      <c r="S780" s="2" t="s">
        <v>51</v>
      </c>
    </row>
    <row r="781" ht="15.75" customHeight="1">
      <c r="A781" s="2" t="s">
        <v>4635</v>
      </c>
      <c r="B781" s="2" t="s">
        <v>4636</v>
      </c>
      <c r="C781" s="2" t="s">
        <v>1472</v>
      </c>
      <c r="D781" s="2" t="s">
        <v>1473</v>
      </c>
      <c r="E781" s="2" t="s">
        <v>4155</v>
      </c>
      <c r="F781" s="2" t="s">
        <v>1474</v>
      </c>
      <c r="G781" s="2" t="s">
        <v>114</v>
      </c>
      <c r="H781" s="2" t="s">
        <v>26</v>
      </c>
      <c r="I781" s="2" t="s">
        <v>103</v>
      </c>
      <c r="J781" s="2" t="s">
        <v>2631</v>
      </c>
      <c r="K781" s="2" t="s">
        <v>905</v>
      </c>
      <c r="L781" s="2" t="s">
        <v>248</v>
      </c>
      <c r="M781" s="2">
        <v>1532.57</v>
      </c>
      <c r="N781" s="2">
        <v>1.0</v>
      </c>
      <c r="O781" s="2" t="s">
        <v>4637</v>
      </c>
      <c r="P781" s="2" t="s">
        <v>32</v>
      </c>
      <c r="Q781" s="2" t="s">
        <v>66</v>
      </c>
      <c r="R781" s="2" t="s">
        <v>192</v>
      </c>
    </row>
    <row r="782" ht="15.75" customHeight="1">
      <c r="A782" s="2" t="s">
        <v>4638</v>
      </c>
      <c r="B782" s="2" t="s">
        <v>4639</v>
      </c>
      <c r="C782" s="2" t="s">
        <v>1267</v>
      </c>
      <c r="D782" s="2" t="s">
        <v>1268</v>
      </c>
      <c r="E782" s="2" t="s">
        <v>1269</v>
      </c>
      <c r="F782" s="2" t="s">
        <v>1270</v>
      </c>
      <c r="G782" s="2" t="s">
        <v>139</v>
      </c>
      <c r="H782" s="2" t="s">
        <v>42</v>
      </c>
      <c r="I782" s="2" t="s">
        <v>401</v>
      </c>
      <c r="J782" s="2" t="s">
        <v>422</v>
      </c>
      <c r="K782" s="2" t="s">
        <v>423</v>
      </c>
      <c r="L782" s="2" t="s">
        <v>292</v>
      </c>
      <c r="N782" s="2">
        <v>3.0</v>
      </c>
      <c r="O782" s="2" t="s">
        <v>4640</v>
      </c>
      <c r="P782" s="2" t="s">
        <v>65</v>
      </c>
      <c r="Q782" s="2" t="s">
        <v>414</v>
      </c>
      <c r="R782" s="2" t="s">
        <v>144</v>
      </c>
      <c r="S782" s="2" t="s">
        <v>81</v>
      </c>
    </row>
    <row r="783" ht="15.75" customHeight="1">
      <c r="A783" s="2" t="s">
        <v>4641</v>
      </c>
      <c r="B783" s="2" t="s">
        <v>4642</v>
      </c>
      <c r="C783" s="2" t="s">
        <v>3522</v>
      </c>
      <c r="D783" s="2" t="s">
        <v>3523</v>
      </c>
      <c r="E783" s="2" t="s">
        <v>3524</v>
      </c>
      <c r="G783" s="2" t="s">
        <v>364</v>
      </c>
      <c r="H783" s="2" t="s">
        <v>42</v>
      </c>
      <c r="I783" s="2" t="s">
        <v>43</v>
      </c>
      <c r="J783" s="2" t="s">
        <v>556</v>
      </c>
      <c r="K783" s="2" t="s">
        <v>502</v>
      </c>
      <c r="L783" s="2" t="s">
        <v>355</v>
      </c>
      <c r="M783" s="2">
        <v>1447.52</v>
      </c>
      <c r="N783" s="2">
        <v>2.0</v>
      </c>
      <c r="O783" s="2" t="s">
        <v>4643</v>
      </c>
      <c r="P783" s="2" t="s">
        <v>48</v>
      </c>
      <c r="Q783" s="2" t="s">
        <v>49</v>
      </c>
      <c r="R783" s="2" t="s">
        <v>294</v>
      </c>
      <c r="S783" s="2" t="s">
        <v>133</v>
      </c>
    </row>
    <row r="784" ht="15.75" customHeight="1">
      <c r="A784" s="2" t="s">
        <v>4644</v>
      </c>
      <c r="B784" s="2" t="s">
        <v>4645</v>
      </c>
      <c r="C784" s="2" t="s">
        <v>2040</v>
      </c>
      <c r="D784" s="2" t="s">
        <v>2041</v>
      </c>
      <c r="E784" s="2" t="s">
        <v>2042</v>
      </c>
      <c r="F784" s="2" t="s">
        <v>2043</v>
      </c>
      <c r="G784" s="2" t="s">
        <v>2044</v>
      </c>
      <c r="H784" s="2" t="s">
        <v>115</v>
      </c>
      <c r="I784" s="2" t="s">
        <v>333</v>
      </c>
      <c r="J784" s="2" t="s">
        <v>117</v>
      </c>
      <c r="K784" s="2" t="s">
        <v>118</v>
      </c>
      <c r="L784" s="2" t="s">
        <v>63</v>
      </c>
      <c r="N784" s="2">
        <v>5.0</v>
      </c>
      <c r="O784" s="2" t="s">
        <v>4646</v>
      </c>
      <c r="P784" s="2" t="s">
        <v>95</v>
      </c>
      <c r="Q784" s="2" t="s">
        <v>370</v>
      </c>
      <c r="R784" s="2" t="s">
        <v>3136</v>
      </c>
    </row>
    <row r="785" ht="15.75" customHeight="1">
      <c r="A785" s="2" t="s">
        <v>4647</v>
      </c>
      <c r="B785" s="2" t="s">
        <v>4648</v>
      </c>
      <c r="C785" s="2" t="s">
        <v>360</v>
      </c>
      <c r="D785" s="2" t="s">
        <v>361</v>
      </c>
      <c r="E785" s="2" t="s">
        <v>362</v>
      </c>
      <c r="F785" s="2" t="s">
        <v>363</v>
      </c>
      <c r="G785" s="2" t="s">
        <v>364</v>
      </c>
      <c r="H785" s="2" t="s">
        <v>400</v>
      </c>
      <c r="I785" s="2" t="s">
        <v>4369</v>
      </c>
      <c r="J785" s="2" t="s">
        <v>1606</v>
      </c>
      <c r="K785" s="2" t="s">
        <v>213</v>
      </c>
      <c r="L785" s="2" t="s">
        <v>106</v>
      </c>
      <c r="N785" s="2">
        <v>3.0</v>
      </c>
      <c r="O785" s="2" t="s">
        <v>4649</v>
      </c>
      <c r="P785" s="2" t="s">
        <v>48</v>
      </c>
      <c r="Q785" s="2" t="s">
        <v>49</v>
      </c>
      <c r="R785" s="2" t="s">
        <v>50</v>
      </c>
    </row>
    <row r="786" ht="15.75" customHeight="1">
      <c r="A786" s="2" t="s">
        <v>4650</v>
      </c>
      <c r="B786" s="2" t="s">
        <v>4651</v>
      </c>
      <c r="C786" s="2" t="s">
        <v>539</v>
      </c>
      <c r="D786" s="2" t="s">
        <v>540</v>
      </c>
      <c r="E786" s="2" t="s">
        <v>541</v>
      </c>
      <c r="F786" s="2" t="s">
        <v>2069</v>
      </c>
      <c r="G786" s="2" t="s">
        <v>41</v>
      </c>
      <c r="H786" s="2" t="s">
        <v>42</v>
      </c>
      <c r="I786" s="2" t="s">
        <v>103</v>
      </c>
      <c r="J786" s="2" t="s">
        <v>471</v>
      </c>
      <c r="K786" s="2" t="s">
        <v>472</v>
      </c>
      <c r="L786" s="2" t="s">
        <v>179</v>
      </c>
      <c r="M786" s="2">
        <v>1020.26</v>
      </c>
      <c r="N786" s="2">
        <v>3.0</v>
      </c>
      <c r="O786" s="2" t="s">
        <v>4652</v>
      </c>
      <c r="P786" s="2" t="s">
        <v>65</v>
      </c>
      <c r="Q786" s="2" t="s">
        <v>49</v>
      </c>
      <c r="R786" s="2" t="s">
        <v>294</v>
      </c>
      <c r="S786" s="2" t="s">
        <v>81</v>
      </c>
    </row>
    <row r="787" ht="15.75" customHeight="1">
      <c r="A787" s="2" t="s">
        <v>4653</v>
      </c>
      <c r="B787" s="2" t="s">
        <v>4654</v>
      </c>
      <c r="C787" s="2" t="s">
        <v>4295</v>
      </c>
      <c r="D787" s="2" t="s">
        <v>4296</v>
      </c>
      <c r="E787" s="2" t="s">
        <v>4297</v>
      </c>
      <c r="F787" s="2" t="s">
        <v>4298</v>
      </c>
      <c r="G787" s="2" t="s">
        <v>114</v>
      </c>
      <c r="H787" s="2" t="s">
        <v>851</v>
      </c>
      <c r="I787" s="2" t="s">
        <v>60</v>
      </c>
      <c r="J787" s="2" t="s">
        <v>140</v>
      </c>
      <c r="K787" s="2" t="s">
        <v>141</v>
      </c>
      <c r="L787" s="2" t="s">
        <v>63</v>
      </c>
      <c r="N787" s="2">
        <v>1.0</v>
      </c>
      <c r="O787" s="2" t="s">
        <v>4655</v>
      </c>
      <c r="P787" s="2" t="s">
        <v>95</v>
      </c>
      <c r="Q787" s="2" t="s">
        <v>370</v>
      </c>
      <c r="R787" s="2" t="s">
        <v>2855</v>
      </c>
    </row>
    <row r="788" ht="15.75" customHeight="1">
      <c r="A788" s="2" t="s">
        <v>4656</v>
      </c>
      <c r="B788" s="2" t="s">
        <v>4657</v>
      </c>
      <c r="C788" s="2" t="s">
        <v>4658</v>
      </c>
      <c r="D788" s="2" t="s">
        <v>4659</v>
      </c>
      <c r="F788" s="2" t="s">
        <v>4660</v>
      </c>
      <c r="G788" s="2" t="s">
        <v>671</v>
      </c>
      <c r="H788" s="2" t="s">
        <v>301</v>
      </c>
      <c r="I788" s="2" t="s">
        <v>401</v>
      </c>
      <c r="J788" s="2" t="s">
        <v>815</v>
      </c>
      <c r="K788" s="2" t="s">
        <v>816</v>
      </c>
      <c r="L788" s="2" t="s">
        <v>179</v>
      </c>
      <c r="M788" s="2">
        <v>1151.51</v>
      </c>
      <c r="N788" s="2">
        <v>5.0</v>
      </c>
      <c r="O788" s="2" t="s">
        <v>4661</v>
      </c>
      <c r="P788" s="2" t="s">
        <v>48</v>
      </c>
      <c r="Q788" s="2" t="s">
        <v>526</v>
      </c>
      <c r="R788" s="2" t="s">
        <v>192</v>
      </c>
    </row>
    <row r="789" ht="15.75" customHeight="1">
      <c r="A789" s="2" t="s">
        <v>4662</v>
      </c>
      <c r="B789" s="2" t="s">
        <v>4663</v>
      </c>
      <c r="C789" s="2" t="s">
        <v>3868</v>
      </c>
      <c r="D789" s="2" t="s">
        <v>3869</v>
      </c>
      <c r="E789" s="2" t="s">
        <v>3870</v>
      </c>
      <c r="F789" s="2" t="s">
        <v>3871</v>
      </c>
      <c r="G789" s="2" t="s">
        <v>387</v>
      </c>
      <c r="H789" s="2" t="s">
        <v>4664</v>
      </c>
      <c r="I789" s="2" t="s">
        <v>480</v>
      </c>
      <c r="J789" s="2" t="s">
        <v>140</v>
      </c>
      <c r="K789" s="2" t="s">
        <v>141</v>
      </c>
      <c r="L789" s="2" t="s">
        <v>63</v>
      </c>
      <c r="M789" s="2">
        <v>707.73</v>
      </c>
      <c r="N789" s="2">
        <v>3.0</v>
      </c>
      <c r="O789" s="2" t="s">
        <v>4665</v>
      </c>
      <c r="P789" s="2" t="s">
        <v>32</v>
      </c>
      <c r="Q789" s="2" t="s">
        <v>485</v>
      </c>
      <c r="R789" s="2" t="s">
        <v>192</v>
      </c>
      <c r="S789" s="2" t="s">
        <v>51</v>
      </c>
    </row>
    <row r="790" ht="15.75" customHeight="1">
      <c r="A790" s="2" t="s">
        <v>4666</v>
      </c>
      <c r="B790" s="2" t="s">
        <v>4667</v>
      </c>
      <c r="C790" s="2" t="s">
        <v>4668</v>
      </c>
      <c r="D790" s="2" t="s">
        <v>4669</v>
      </c>
      <c r="E790" s="2" t="s">
        <v>4670</v>
      </c>
      <c r="F790" s="2" t="s">
        <v>4671</v>
      </c>
      <c r="G790" s="2" t="s">
        <v>1336</v>
      </c>
      <c r="H790" s="2" t="s">
        <v>59</v>
      </c>
      <c r="I790" s="2" t="s">
        <v>43</v>
      </c>
      <c r="J790" s="2" t="s">
        <v>581</v>
      </c>
      <c r="K790" s="2" t="s">
        <v>326</v>
      </c>
      <c r="L790" s="2" t="s">
        <v>582</v>
      </c>
      <c r="N790" s="2">
        <v>5.0</v>
      </c>
      <c r="O790" s="2" t="s">
        <v>4672</v>
      </c>
      <c r="P790" s="2" t="s">
        <v>2726</v>
      </c>
      <c r="Q790" s="2" t="s">
        <v>238</v>
      </c>
      <c r="R790" s="2" t="s">
        <v>158</v>
      </c>
      <c r="S790" s="2" t="s">
        <v>81</v>
      </c>
    </row>
    <row r="791" ht="15.75" customHeight="1">
      <c r="A791" s="2" t="s">
        <v>4673</v>
      </c>
      <c r="B791" s="2" t="s">
        <v>4674</v>
      </c>
      <c r="C791" s="2" t="s">
        <v>4675</v>
      </c>
      <c r="D791" s="2" t="s">
        <v>4676</v>
      </c>
      <c r="E791" s="2" t="s">
        <v>4677</v>
      </c>
      <c r="F791" s="2" t="s">
        <v>4678</v>
      </c>
      <c r="G791" s="2" t="s">
        <v>671</v>
      </c>
      <c r="H791" s="2" t="s">
        <v>223</v>
      </c>
      <c r="I791" s="2" t="s">
        <v>176</v>
      </c>
      <c r="J791" s="2" t="s">
        <v>4497</v>
      </c>
      <c r="K791" s="2" t="s">
        <v>403</v>
      </c>
      <c r="L791" s="2" t="s">
        <v>995</v>
      </c>
      <c r="M791" s="2">
        <v>718.66</v>
      </c>
      <c r="N791" s="2">
        <v>2.0</v>
      </c>
      <c r="O791" s="2" t="s">
        <v>4679</v>
      </c>
      <c r="P791" s="2" t="s">
        <v>95</v>
      </c>
      <c r="Q791" s="2" t="s">
        <v>505</v>
      </c>
      <c r="R791" s="2" t="s">
        <v>192</v>
      </c>
    </row>
    <row r="792" ht="15.75" customHeight="1">
      <c r="A792" s="2" t="s">
        <v>4680</v>
      </c>
      <c r="B792" s="2" t="s">
        <v>4681</v>
      </c>
      <c r="C792" s="2" t="s">
        <v>476</v>
      </c>
      <c r="D792" s="2" t="s">
        <v>1764</v>
      </c>
      <c r="E792" s="2" t="s">
        <v>478</v>
      </c>
      <c r="G792" s="2" t="s">
        <v>25</v>
      </c>
      <c r="H792" s="2" t="s">
        <v>59</v>
      </c>
      <c r="I792" s="2" t="s">
        <v>211</v>
      </c>
      <c r="J792" s="2" t="s">
        <v>1432</v>
      </c>
      <c r="K792" s="2" t="s">
        <v>994</v>
      </c>
      <c r="L792" s="2" t="s">
        <v>1328</v>
      </c>
      <c r="M792" s="2">
        <v>433.48</v>
      </c>
      <c r="N792" s="2">
        <v>1.0</v>
      </c>
      <c r="O792" s="2" t="s">
        <v>4682</v>
      </c>
      <c r="P792" s="2" t="s">
        <v>32</v>
      </c>
      <c r="Q792" s="2" t="s">
        <v>4683</v>
      </c>
      <c r="R792" s="2" t="s">
        <v>432</v>
      </c>
      <c r="S792" s="2" t="s">
        <v>51</v>
      </c>
    </row>
    <row r="793" ht="15.75" customHeight="1">
      <c r="A793" s="2" t="s">
        <v>4684</v>
      </c>
      <c r="B793" s="2" t="s">
        <v>4599</v>
      </c>
      <c r="C793" s="2" t="s">
        <v>999</v>
      </c>
      <c r="D793" s="2" t="s">
        <v>2827</v>
      </c>
      <c r="E793" s="2" t="s">
        <v>1001</v>
      </c>
      <c r="F793" s="2" t="s">
        <v>1002</v>
      </c>
      <c r="G793" s="2" t="s">
        <v>608</v>
      </c>
      <c r="H793" s="2" t="s">
        <v>42</v>
      </c>
      <c r="I793" s="2" t="s">
        <v>312</v>
      </c>
      <c r="J793" s="2" t="s">
        <v>824</v>
      </c>
      <c r="K793" s="2" t="s">
        <v>825</v>
      </c>
      <c r="L793" s="2" t="s">
        <v>826</v>
      </c>
      <c r="M793" s="2">
        <v>1468.09</v>
      </c>
      <c r="N793" s="2">
        <v>5.0</v>
      </c>
      <c r="O793" s="2" t="s">
        <v>4685</v>
      </c>
      <c r="P793" s="2" t="s">
        <v>32</v>
      </c>
      <c r="Q793" s="2" t="s">
        <v>414</v>
      </c>
      <c r="R793" s="2" t="s">
        <v>345</v>
      </c>
      <c r="S793" s="2" t="s">
        <v>133</v>
      </c>
    </row>
    <row r="794" ht="15.75" customHeight="1">
      <c r="A794" s="2" t="s">
        <v>4686</v>
      </c>
      <c r="B794" s="2" t="s">
        <v>4687</v>
      </c>
      <c r="C794" s="2" t="s">
        <v>900</v>
      </c>
      <c r="D794" s="2" t="s">
        <v>901</v>
      </c>
      <c r="F794" s="2" t="s">
        <v>902</v>
      </c>
      <c r="G794" s="2" t="s">
        <v>903</v>
      </c>
      <c r="H794" s="2" t="s">
        <v>26</v>
      </c>
      <c r="I794" s="2" t="s">
        <v>4688</v>
      </c>
      <c r="J794" s="2" t="s">
        <v>2605</v>
      </c>
      <c r="K794" s="2" t="s">
        <v>2606</v>
      </c>
      <c r="L794" s="2" t="s">
        <v>292</v>
      </c>
      <c r="N794" s="2">
        <v>3.0</v>
      </c>
      <c r="O794" s="2" t="s">
        <v>4689</v>
      </c>
      <c r="P794" s="2" t="s">
        <v>32</v>
      </c>
      <c r="Q794" s="2" t="s">
        <v>2581</v>
      </c>
      <c r="R794" s="2" t="s">
        <v>818</v>
      </c>
      <c r="S794" s="2" t="s">
        <v>133</v>
      </c>
    </row>
    <row r="795" ht="15.75" customHeight="1">
      <c r="A795" s="2" t="s">
        <v>4690</v>
      </c>
      <c r="B795" s="2" t="s">
        <v>4636</v>
      </c>
      <c r="C795" s="2" t="s">
        <v>4691</v>
      </c>
      <c r="D795" s="2" t="s">
        <v>4692</v>
      </c>
      <c r="E795" s="2" t="s">
        <v>4693</v>
      </c>
      <c r="F795" s="2" t="s">
        <v>4694</v>
      </c>
      <c r="G795" s="2" t="s">
        <v>564</v>
      </c>
      <c r="H795" s="2" t="s">
        <v>42</v>
      </c>
      <c r="I795" s="2" t="s">
        <v>75</v>
      </c>
      <c r="J795" s="2" t="s">
        <v>269</v>
      </c>
      <c r="K795" s="2" t="s">
        <v>270</v>
      </c>
      <c r="L795" s="2" t="s">
        <v>271</v>
      </c>
      <c r="M795" s="2">
        <v>937.99</v>
      </c>
      <c r="N795" s="2">
        <v>1.0</v>
      </c>
      <c r="O795" s="2" t="s">
        <v>4695</v>
      </c>
      <c r="P795" s="2" t="s">
        <v>95</v>
      </c>
      <c r="Q795" s="2" t="s">
        <v>3460</v>
      </c>
      <c r="R795" s="2" t="s">
        <v>192</v>
      </c>
    </row>
    <row r="796" ht="15.75" customHeight="1">
      <c r="A796" s="2" t="s">
        <v>4696</v>
      </c>
      <c r="B796" s="2" t="s">
        <v>4697</v>
      </c>
      <c r="C796" s="2" t="s">
        <v>830</v>
      </c>
      <c r="D796" s="2" t="s">
        <v>831</v>
      </c>
      <c r="E796" s="2" t="s">
        <v>832</v>
      </c>
      <c r="F796" s="2" t="s">
        <v>833</v>
      </c>
      <c r="G796" s="2" t="s">
        <v>834</v>
      </c>
      <c r="H796" s="2" t="s">
        <v>42</v>
      </c>
      <c r="I796" s="2" t="s">
        <v>522</v>
      </c>
      <c r="J796" s="2" t="s">
        <v>702</v>
      </c>
      <c r="K796" s="2" t="s">
        <v>524</v>
      </c>
      <c r="L796" s="2" t="s">
        <v>703</v>
      </c>
      <c r="M796" s="2">
        <v>1160.8</v>
      </c>
      <c r="N796" s="2">
        <v>3.0</v>
      </c>
      <c r="O796" s="2" t="s">
        <v>4698</v>
      </c>
      <c r="P796" s="2" t="s">
        <v>95</v>
      </c>
      <c r="Q796" s="2" t="s">
        <v>573</v>
      </c>
      <c r="R796" s="2" t="s">
        <v>169</v>
      </c>
    </row>
    <row r="797" ht="15.75" customHeight="1">
      <c r="A797" s="2" t="s">
        <v>4699</v>
      </c>
      <c r="B797" s="2" t="s">
        <v>4700</v>
      </c>
      <c r="C797" s="2" t="s">
        <v>476</v>
      </c>
      <c r="D797" s="2" t="s">
        <v>1764</v>
      </c>
      <c r="E797" s="2" t="s">
        <v>478</v>
      </c>
      <c r="G797" s="2" t="s">
        <v>25</v>
      </c>
      <c r="H797" s="2" t="s">
        <v>42</v>
      </c>
      <c r="I797" s="2" t="s">
        <v>401</v>
      </c>
      <c r="J797" s="2" t="s">
        <v>815</v>
      </c>
      <c r="K797" s="2" t="s">
        <v>816</v>
      </c>
      <c r="L797" s="2" t="s">
        <v>179</v>
      </c>
      <c r="M797" s="2">
        <v>896.81</v>
      </c>
      <c r="N797" s="2">
        <v>2.0</v>
      </c>
      <c r="O797" s="2" t="s">
        <v>4701</v>
      </c>
      <c r="P797" s="2" t="s">
        <v>32</v>
      </c>
      <c r="Q797" s="2" t="s">
        <v>96</v>
      </c>
      <c r="R797" s="2" t="s">
        <v>50</v>
      </c>
      <c r="S797" s="2" t="s">
        <v>67</v>
      </c>
    </row>
    <row r="798" ht="15.75" customHeight="1">
      <c r="A798" s="2" t="s">
        <v>4702</v>
      </c>
      <c r="B798" s="2" t="s">
        <v>4703</v>
      </c>
      <c r="C798" s="2" t="s">
        <v>2310</v>
      </c>
      <c r="D798" s="2" t="s">
        <v>2311</v>
      </c>
      <c r="E798" s="2" t="s">
        <v>2312</v>
      </c>
      <c r="F798" s="2" t="s">
        <v>2313</v>
      </c>
      <c r="G798" s="2" t="s">
        <v>58</v>
      </c>
      <c r="H798" s="2" t="s">
        <v>223</v>
      </c>
      <c r="I798" s="2" t="s">
        <v>27</v>
      </c>
      <c r="J798" s="2" t="s">
        <v>889</v>
      </c>
      <c r="K798" s="2" t="s">
        <v>804</v>
      </c>
      <c r="L798" s="2" t="s">
        <v>179</v>
      </c>
      <c r="M798" s="2">
        <v>1644.83</v>
      </c>
      <c r="N798" s="2">
        <v>2.0</v>
      </c>
      <c r="O798" s="2" t="s">
        <v>4704</v>
      </c>
      <c r="P798" s="2" t="s">
        <v>95</v>
      </c>
      <c r="Q798" s="2" t="s">
        <v>66</v>
      </c>
      <c r="R798" s="2" t="s">
        <v>192</v>
      </c>
    </row>
    <row r="799" ht="15.75" customHeight="1">
      <c r="A799" s="2" t="s">
        <v>4705</v>
      </c>
      <c r="B799" s="2" t="s">
        <v>4706</v>
      </c>
      <c r="C799" s="2" t="s">
        <v>4707</v>
      </c>
      <c r="D799" s="2" t="s">
        <v>3980</v>
      </c>
      <c r="E799" s="2" t="s">
        <v>4708</v>
      </c>
      <c r="F799" s="2" t="s">
        <v>4709</v>
      </c>
      <c r="G799" s="2" t="s">
        <v>564</v>
      </c>
      <c r="H799" s="2" t="s">
        <v>42</v>
      </c>
      <c r="I799" s="2" t="s">
        <v>333</v>
      </c>
      <c r="J799" s="2" t="s">
        <v>1783</v>
      </c>
      <c r="K799" s="2" t="s">
        <v>966</v>
      </c>
      <c r="L799" s="2" t="s">
        <v>514</v>
      </c>
      <c r="M799" s="2">
        <v>720.74</v>
      </c>
      <c r="N799" s="2">
        <v>2.0</v>
      </c>
      <c r="O799" s="2" t="s">
        <v>4710</v>
      </c>
      <c r="P799" s="2" t="s">
        <v>95</v>
      </c>
      <c r="Q799" s="2" t="s">
        <v>66</v>
      </c>
      <c r="R799" s="2" t="s">
        <v>432</v>
      </c>
    </row>
    <row r="800" ht="15.75" customHeight="1">
      <c r="A800" s="2" t="s">
        <v>4711</v>
      </c>
      <c r="B800" s="2" t="s">
        <v>4712</v>
      </c>
      <c r="C800" s="2" t="s">
        <v>4713</v>
      </c>
      <c r="D800" s="2" t="s">
        <v>4714</v>
      </c>
      <c r="E800" s="2" t="s">
        <v>4715</v>
      </c>
      <c r="F800" s="2" t="s">
        <v>4716</v>
      </c>
      <c r="G800" s="2" t="s">
        <v>3143</v>
      </c>
      <c r="H800" s="2" t="s">
        <v>59</v>
      </c>
      <c r="I800" s="2" t="s">
        <v>480</v>
      </c>
      <c r="J800" s="2" t="s">
        <v>2631</v>
      </c>
      <c r="K800" s="2" t="s">
        <v>905</v>
      </c>
      <c r="L800" s="2" t="s">
        <v>248</v>
      </c>
      <c r="M800" s="2">
        <v>382.76</v>
      </c>
      <c r="N800" s="2">
        <v>1.0</v>
      </c>
      <c r="O800" s="2" t="s">
        <v>4717</v>
      </c>
      <c r="P800" s="2" t="s">
        <v>65</v>
      </c>
      <c r="Q800" s="2" t="s">
        <v>238</v>
      </c>
      <c r="R800" s="2" t="s">
        <v>818</v>
      </c>
    </row>
    <row r="801" ht="15.75" customHeight="1">
      <c r="A801" s="2" t="s">
        <v>4718</v>
      </c>
      <c r="B801" s="2" t="s">
        <v>4719</v>
      </c>
      <c r="C801" s="2" t="s">
        <v>4720</v>
      </c>
      <c r="D801" s="2" t="s">
        <v>4721</v>
      </c>
      <c r="E801" s="2" t="s">
        <v>4722</v>
      </c>
      <c r="F801" s="2" t="s">
        <v>4723</v>
      </c>
      <c r="G801" s="2" t="s">
        <v>25</v>
      </c>
      <c r="H801" s="2" t="s">
        <v>223</v>
      </c>
      <c r="I801" s="2" t="s">
        <v>176</v>
      </c>
      <c r="J801" s="2" t="s">
        <v>513</v>
      </c>
      <c r="K801" s="2" t="s">
        <v>391</v>
      </c>
      <c r="L801" s="2" t="s">
        <v>514</v>
      </c>
      <c r="N801" s="2">
        <v>1.0</v>
      </c>
      <c r="O801" s="2" t="s">
        <v>4724</v>
      </c>
      <c r="P801" s="2" t="s">
        <v>48</v>
      </c>
      <c r="Q801" s="2" t="s">
        <v>66</v>
      </c>
      <c r="R801" s="2" t="s">
        <v>261</v>
      </c>
    </row>
    <row r="802" ht="15.75" customHeight="1">
      <c r="A802" s="2" t="s">
        <v>4725</v>
      </c>
      <c r="B802" s="2" t="s">
        <v>4726</v>
      </c>
      <c r="C802" s="2" t="s">
        <v>4727</v>
      </c>
      <c r="D802" s="2" t="s">
        <v>4728</v>
      </c>
      <c r="E802" s="2" t="s">
        <v>4729</v>
      </c>
      <c r="F802" s="2" t="s">
        <v>4730</v>
      </c>
      <c r="G802" s="2" t="s">
        <v>387</v>
      </c>
      <c r="H802" s="2" t="s">
        <v>234</v>
      </c>
      <c r="I802" s="2" t="s">
        <v>352</v>
      </c>
      <c r="J802" s="2" t="s">
        <v>1597</v>
      </c>
      <c r="K802" s="2" t="s">
        <v>502</v>
      </c>
      <c r="L802" s="2" t="s">
        <v>355</v>
      </c>
      <c r="M802" s="2">
        <v>746.28</v>
      </c>
      <c r="N802" s="2">
        <v>1.0</v>
      </c>
      <c r="O802" s="2" t="s">
        <v>4731</v>
      </c>
      <c r="P802" s="2" t="s">
        <v>48</v>
      </c>
      <c r="Q802" s="2" t="s">
        <v>66</v>
      </c>
      <c r="R802" s="2" t="s">
        <v>306</v>
      </c>
      <c r="S802" s="2" t="s">
        <v>67</v>
      </c>
    </row>
    <row r="803" ht="15.75" customHeight="1">
      <c r="A803" s="2" t="s">
        <v>4732</v>
      </c>
      <c r="B803" s="2" t="s">
        <v>4733</v>
      </c>
      <c r="C803" s="2" t="s">
        <v>4734</v>
      </c>
      <c r="D803" s="2" t="s">
        <v>4735</v>
      </c>
      <c r="E803" s="2" t="s">
        <v>4736</v>
      </c>
      <c r="F803" s="2" t="s">
        <v>4737</v>
      </c>
      <c r="G803" s="2" t="s">
        <v>114</v>
      </c>
      <c r="H803" s="2" t="s">
        <v>223</v>
      </c>
      <c r="I803" s="2" t="s">
        <v>365</v>
      </c>
      <c r="J803" s="2" t="s">
        <v>1063</v>
      </c>
      <c r="K803" s="2" t="s">
        <v>291</v>
      </c>
      <c r="L803" s="2" t="s">
        <v>167</v>
      </c>
      <c r="M803" s="2">
        <v>1000.01</v>
      </c>
      <c r="N803" s="2">
        <v>5.0</v>
      </c>
      <c r="O803" s="2" t="s">
        <v>4738</v>
      </c>
      <c r="P803" s="2" t="s">
        <v>95</v>
      </c>
      <c r="Q803" s="2" t="s">
        <v>143</v>
      </c>
      <c r="R803" s="2" t="s">
        <v>442</v>
      </c>
    </row>
    <row r="804" ht="15.75" customHeight="1">
      <c r="A804" s="2" t="s">
        <v>4739</v>
      </c>
      <c r="B804" s="2" t="s">
        <v>4740</v>
      </c>
      <c r="C804" s="2" t="s">
        <v>4741</v>
      </c>
      <c r="D804" s="2" t="s">
        <v>4742</v>
      </c>
      <c r="E804" s="2" t="s">
        <v>4743</v>
      </c>
      <c r="F804" s="2" t="s">
        <v>4744</v>
      </c>
      <c r="G804" s="2" t="s">
        <v>1177</v>
      </c>
      <c r="H804" s="2" t="s">
        <v>4745</v>
      </c>
      <c r="I804" s="2" t="s">
        <v>512</v>
      </c>
      <c r="J804" s="2" t="s">
        <v>325</v>
      </c>
      <c r="K804" s="2" t="s">
        <v>326</v>
      </c>
      <c r="L804" s="2" t="s">
        <v>315</v>
      </c>
      <c r="M804" s="2">
        <v>1373.92</v>
      </c>
      <c r="N804" s="2">
        <v>3.0</v>
      </c>
      <c r="O804" s="2" t="s">
        <v>4746</v>
      </c>
      <c r="P804" s="2" t="s">
        <v>95</v>
      </c>
      <c r="Q804" s="2" t="s">
        <v>143</v>
      </c>
      <c r="R804" s="2" t="s">
        <v>380</v>
      </c>
      <c r="S804" s="2" t="s">
        <v>133</v>
      </c>
    </row>
    <row r="805" ht="15.75" customHeight="1">
      <c r="A805" s="2" t="s">
        <v>4747</v>
      </c>
      <c r="B805" s="2" t="s">
        <v>4748</v>
      </c>
      <c r="C805" s="2" t="s">
        <v>3927</v>
      </c>
      <c r="D805" s="2" t="s">
        <v>3928</v>
      </c>
      <c r="E805" s="2" t="s">
        <v>1127</v>
      </c>
      <c r="F805" s="2" t="s">
        <v>3929</v>
      </c>
      <c r="G805" s="2" t="s">
        <v>58</v>
      </c>
      <c r="H805" s="2" t="s">
        <v>223</v>
      </c>
      <c r="I805" s="2" t="s">
        <v>480</v>
      </c>
      <c r="J805" s="2" t="s">
        <v>2631</v>
      </c>
      <c r="K805" s="2" t="s">
        <v>905</v>
      </c>
      <c r="L805" s="2" t="s">
        <v>248</v>
      </c>
      <c r="M805" s="2">
        <v>1140.34</v>
      </c>
      <c r="N805" s="2">
        <v>1.0</v>
      </c>
      <c r="O805" s="2" t="s">
        <v>4749</v>
      </c>
      <c r="P805" s="2" t="s">
        <v>65</v>
      </c>
      <c r="Q805" s="2" t="s">
        <v>305</v>
      </c>
      <c r="R805" s="2" t="s">
        <v>294</v>
      </c>
    </row>
    <row r="806" ht="15.75" customHeight="1">
      <c r="A806" s="2" t="s">
        <v>4750</v>
      </c>
      <c r="B806" s="2" t="s">
        <v>4751</v>
      </c>
      <c r="C806" s="2" t="s">
        <v>4752</v>
      </c>
      <c r="D806" s="2" t="s">
        <v>3869</v>
      </c>
      <c r="E806" s="2" t="s">
        <v>4753</v>
      </c>
      <c r="F806" s="2" t="s">
        <v>4754</v>
      </c>
      <c r="G806" s="2" t="s">
        <v>73</v>
      </c>
      <c r="H806" s="2" t="s">
        <v>59</v>
      </c>
      <c r="I806" s="2" t="s">
        <v>1219</v>
      </c>
      <c r="J806" s="2" t="s">
        <v>815</v>
      </c>
      <c r="K806" s="2" t="s">
        <v>816</v>
      </c>
      <c r="L806" s="2" t="s">
        <v>179</v>
      </c>
      <c r="M806" s="2">
        <v>511.93</v>
      </c>
      <c r="N806" s="2">
        <v>2.0</v>
      </c>
      <c r="O806" s="2" t="s">
        <v>4755</v>
      </c>
      <c r="P806" s="2" t="s">
        <v>65</v>
      </c>
      <c r="Q806" s="2" t="s">
        <v>96</v>
      </c>
      <c r="R806" s="2" t="s">
        <v>251</v>
      </c>
    </row>
    <row r="807" ht="15.75" customHeight="1">
      <c r="A807" s="2" t="s">
        <v>4756</v>
      </c>
      <c r="B807" s="2" t="s">
        <v>4757</v>
      </c>
      <c r="C807" s="2" t="s">
        <v>908</v>
      </c>
      <c r="D807" s="2" t="s">
        <v>909</v>
      </c>
      <c r="E807" s="2" t="s">
        <v>910</v>
      </c>
      <c r="F807" s="2" t="s">
        <v>911</v>
      </c>
      <c r="G807" s="2" t="s">
        <v>720</v>
      </c>
      <c r="H807" s="2" t="s">
        <v>301</v>
      </c>
      <c r="I807" s="2" t="s">
        <v>401</v>
      </c>
      <c r="J807" s="2" t="s">
        <v>439</v>
      </c>
      <c r="K807" s="2" t="s">
        <v>440</v>
      </c>
      <c r="L807" s="2" t="s">
        <v>63</v>
      </c>
      <c r="M807" s="2">
        <v>691.81</v>
      </c>
      <c r="N807" s="2">
        <v>2.0</v>
      </c>
      <c r="O807" s="2" t="s">
        <v>4758</v>
      </c>
      <c r="P807" s="2" t="s">
        <v>32</v>
      </c>
      <c r="Q807" s="2" t="s">
        <v>238</v>
      </c>
      <c r="R807" s="2" t="s">
        <v>452</v>
      </c>
      <c r="S807" s="2" t="s">
        <v>51</v>
      </c>
    </row>
    <row r="808" ht="15.75" customHeight="1">
      <c r="A808" s="2" t="s">
        <v>4759</v>
      </c>
      <c r="B808" s="2" t="s">
        <v>4760</v>
      </c>
      <c r="C808" s="2" t="s">
        <v>2431</v>
      </c>
      <c r="D808" s="2" t="s">
        <v>2432</v>
      </c>
      <c r="E808" s="2" t="s">
        <v>2433</v>
      </c>
      <c r="F808" s="2" t="s">
        <v>2434</v>
      </c>
      <c r="G808" s="2" t="s">
        <v>58</v>
      </c>
      <c r="H808" s="2" t="s">
        <v>223</v>
      </c>
      <c r="I808" s="2" t="s">
        <v>2226</v>
      </c>
      <c r="J808" s="2" t="s">
        <v>2688</v>
      </c>
      <c r="K808" s="2" t="s">
        <v>502</v>
      </c>
      <c r="L808" s="2" t="s">
        <v>179</v>
      </c>
      <c r="M808" s="2">
        <v>1347.26</v>
      </c>
      <c r="N808" s="2">
        <v>1.0</v>
      </c>
      <c r="O808" s="2" t="s">
        <v>4761</v>
      </c>
      <c r="P808" s="2" t="s">
        <v>48</v>
      </c>
      <c r="Q808" s="2" t="s">
        <v>505</v>
      </c>
      <c r="R808" s="2" t="s">
        <v>3718</v>
      </c>
      <c r="S808" s="2" t="s">
        <v>81</v>
      </c>
    </row>
    <row r="809" ht="15.75" customHeight="1">
      <c r="A809" s="2" t="s">
        <v>4762</v>
      </c>
      <c r="B809" s="2" t="s">
        <v>4763</v>
      </c>
      <c r="C809" s="2" t="s">
        <v>1472</v>
      </c>
      <c r="D809" s="2" t="s">
        <v>2438</v>
      </c>
      <c r="E809" s="2" t="s">
        <v>2439</v>
      </c>
      <c r="F809" s="2" t="s">
        <v>1474</v>
      </c>
      <c r="G809" s="2" t="s">
        <v>114</v>
      </c>
      <c r="H809" s="2" t="s">
        <v>301</v>
      </c>
      <c r="I809" s="2" t="s">
        <v>522</v>
      </c>
      <c r="J809" s="2" t="s">
        <v>2033</v>
      </c>
      <c r="K809" s="2" t="s">
        <v>2034</v>
      </c>
      <c r="L809" s="2" t="s">
        <v>1016</v>
      </c>
      <c r="M809" s="2">
        <v>408.38</v>
      </c>
      <c r="N809" s="2">
        <v>1.0</v>
      </c>
      <c r="O809" s="2" t="s">
        <v>4764</v>
      </c>
      <c r="P809" s="2" t="s">
        <v>65</v>
      </c>
      <c r="Q809" s="2" t="s">
        <v>49</v>
      </c>
      <c r="R809" s="2" t="s">
        <v>818</v>
      </c>
      <c r="S809" s="2" t="s">
        <v>51</v>
      </c>
    </row>
    <row r="810" ht="15.75" customHeight="1">
      <c r="A810" s="2" t="s">
        <v>4765</v>
      </c>
      <c r="B810" s="2" t="s">
        <v>347</v>
      </c>
      <c r="C810" s="2" t="s">
        <v>1938</v>
      </c>
      <c r="D810" s="2" t="s">
        <v>1939</v>
      </c>
      <c r="E810" s="2" t="s">
        <v>1940</v>
      </c>
      <c r="F810" s="2" t="s">
        <v>1941</v>
      </c>
      <c r="G810" s="2" t="s">
        <v>801</v>
      </c>
      <c r="H810" s="2" t="s">
        <v>683</v>
      </c>
      <c r="I810" s="2" t="s">
        <v>401</v>
      </c>
      <c r="J810" s="2" t="s">
        <v>212</v>
      </c>
      <c r="K810" s="2" t="s">
        <v>213</v>
      </c>
      <c r="L810" s="2" t="s">
        <v>214</v>
      </c>
      <c r="N810" s="2">
        <v>1.0</v>
      </c>
      <c r="O810" s="2" t="s">
        <v>4766</v>
      </c>
      <c r="P810" s="2" t="s">
        <v>95</v>
      </c>
      <c r="Q810" s="2" t="s">
        <v>4226</v>
      </c>
      <c r="R810" s="2" t="s">
        <v>294</v>
      </c>
      <c r="S810" s="2" t="s">
        <v>67</v>
      </c>
    </row>
    <row r="811" ht="15.75" customHeight="1">
      <c r="A811" s="2" t="s">
        <v>4767</v>
      </c>
      <c r="B811" s="2" t="s">
        <v>4768</v>
      </c>
      <c r="C811" s="2" t="s">
        <v>2352</v>
      </c>
      <c r="D811" s="2" t="s">
        <v>2353</v>
      </c>
      <c r="E811" s="2" t="s">
        <v>2354</v>
      </c>
      <c r="F811" s="2" t="s">
        <v>2355</v>
      </c>
      <c r="G811" s="2" t="s">
        <v>199</v>
      </c>
      <c r="H811" s="2" t="s">
        <v>301</v>
      </c>
      <c r="I811" s="2" t="s">
        <v>103</v>
      </c>
      <c r="J811" s="2" t="s">
        <v>746</v>
      </c>
      <c r="K811" s="2" t="s">
        <v>747</v>
      </c>
      <c r="L811" s="2" t="s">
        <v>748</v>
      </c>
      <c r="M811" s="2">
        <v>104.15</v>
      </c>
      <c r="N811" s="2">
        <v>1.0</v>
      </c>
      <c r="O811" s="2" t="s">
        <v>4769</v>
      </c>
      <c r="P811" s="2" t="s">
        <v>484</v>
      </c>
      <c r="Q811" s="2" t="s">
        <v>96</v>
      </c>
      <c r="R811" s="2" t="s">
        <v>192</v>
      </c>
      <c r="S811" s="2" t="s">
        <v>133</v>
      </c>
    </row>
    <row r="812" ht="15.75" customHeight="1">
      <c r="A812" s="2" t="s">
        <v>4770</v>
      </c>
      <c r="B812" s="2" t="s">
        <v>4771</v>
      </c>
      <c r="C812" s="2" t="s">
        <v>1986</v>
      </c>
      <c r="D812" s="2" t="s">
        <v>1987</v>
      </c>
      <c r="E812" s="2" t="s">
        <v>1988</v>
      </c>
      <c r="F812" s="2" t="s">
        <v>1989</v>
      </c>
      <c r="G812" s="2" t="s">
        <v>608</v>
      </c>
      <c r="H812" s="2" t="s">
        <v>778</v>
      </c>
      <c r="I812" s="2" t="s">
        <v>103</v>
      </c>
      <c r="J812" s="2" t="s">
        <v>1856</v>
      </c>
      <c r="K812" s="2" t="s">
        <v>118</v>
      </c>
      <c r="L812" s="2" t="s">
        <v>167</v>
      </c>
      <c r="M812" s="2">
        <v>1301.99</v>
      </c>
      <c r="N812" s="2">
        <v>1.0</v>
      </c>
      <c r="O812" s="2" t="s">
        <v>4772</v>
      </c>
      <c r="P812" s="2" t="s">
        <v>95</v>
      </c>
      <c r="Q812" s="2" t="s">
        <v>1708</v>
      </c>
      <c r="R812" s="2" t="s">
        <v>294</v>
      </c>
      <c r="S812" s="2" t="s">
        <v>81</v>
      </c>
    </row>
    <row r="813" ht="15.75" customHeight="1">
      <c r="A813" s="2" t="s">
        <v>4773</v>
      </c>
      <c r="B813" s="2" t="s">
        <v>4774</v>
      </c>
      <c r="C813" s="2" t="s">
        <v>4775</v>
      </c>
      <c r="D813" s="2" t="s">
        <v>3705</v>
      </c>
      <c r="E813" s="2" t="s">
        <v>4776</v>
      </c>
      <c r="F813" s="2" t="s">
        <v>4777</v>
      </c>
      <c r="G813" s="2" t="s">
        <v>448</v>
      </c>
      <c r="H813" s="2" t="s">
        <v>26</v>
      </c>
      <c r="I813" s="2" t="s">
        <v>352</v>
      </c>
      <c r="J813" s="2" t="s">
        <v>803</v>
      </c>
      <c r="K813" s="2" t="s">
        <v>804</v>
      </c>
      <c r="L813" s="2" t="s">
        <v>805</v>
      </c>
      <c r="M813" s="2">
        <v>1023.9</v>
      </c>
      <c r="N813" s="2">
        <v>1.0</v>
      </c>
      <c r="O813" s="2" t="s">
        <v>4778</v>
      </c>
      <c r="P813" s="2" t="s">
        <v>32</v>
      </c>
      <c r="Q813" s="2" t="s">
        <v>370</v>
      </c>
      <c r="R813" s="2" t="s">
        <v>158</v>
      </c>
      <c r="S813" s="2" t="s">
        <v>81</v>
      </c>
    </row>
    <row r="814" ht="15.75" customHeight="1">
      <c r="A814" s="2" t="s">
        <v>4779</v>
      </c>
      <c r="B814" s="2" t="s">
        <v>4780</v>
      </c>
      <c r="C814" s="2" t="s">
        <v>1703</v>
      </c>
      <c r="D814" s="2" t="s">
        <v>1704</v>
      </c>
      <c r="E814" s="2" t="s">
        <v>1705</v>
      </c>
      <c r="F814" s="2" t="s">
        <v>1706</v>
      </c>
      <c r="G814" s="2" t="s">
        <v>25</v>
      </c>
      <c r="H814" s="2" t="s">
        <v>59</v>
      </c>
      <c r="I814" s="2" t="s">
        <v>352</v>
      </c>
      <c r="J814" s="2" t="s">
        <v>2483</v>
      </c>
      <c r="K814" s="2" t="s">
        <v>1530</v>
      </c>
      <c r="L814" s="2" t="s">
        <v>503</v>
      </c>
      <c r="M814" s="2">
        <v>1785.79</v>
      </c>
      <c r="N814" s="2">
        <v>5.0</v>
      </c>
      <c r="O814" s="2" t="s">
        <v>4781</v>
      </c>
      <c r="P814" s="2" t="s">
        <v>32</v>
      </c>
      <c r="Q814" s="2" t="s">
        <v>49</v>
      </c>
      <c r="R814" s="2" t="s">
        <v>132</v>
      </c>
    </row>
    <row r="815" ht="15.75" customHeight="1">
      <c r="A815" s="2" t="s">
        <v>4782</v>
      </c>
      <c r="B815" s="2" t="s">
        <v>4783</v>
      </c>
      <c r="C815" s="2" t="s">
        <v>230</v>
      </c>
      <c r="D815" s="2" t="s">
        <v>231</v>
      </c>
      <c r="E815" s="2" t="s">
        <v>232</v>
      </c>
      <c r="F815" s="2" t="s">
        <v>233</v>
      </c>
      <c r="G815" s="2" t="s">
        <v>88</v>
      </c>
      <c r="H815" s="2" t="s">
        <v>223</v>
      </c>
      <c r="I815" s="2" t="s">
        <v>312</v>
      </c>
      <c r="J815" s="2" t="s">
        <v>4784</v>
      </c>
      <c r="K815" s="2" t="s">
        <v>2322</v>
      </c>
      <c r="L815" s="2" t="s">
        <v>167</v>
      </c>
      <c r="N815" s="2">
        <v>5.0</v>
      </c>
      <c r="O815" s="2" t="s">
        <v>4785</v>
      </c>
      <c r="P815" s="2" t="s">
        <v>484</v>
      </c>
      <c r="Q815" s="2" t="s">
        <v>143</v>
      </c>
      <c r="R815" s="2" t="s">
        <v>818</v>
      </c>
    </row>
    <row r="816" ht="15.75" customHeight="1">
      <c r="A816" s="2" t="s">
        <v>4786</v>
      </c>
      <c r="B816" s="2" t="s">
        <v>4787</v>
      </c>
      <c r="C816" s="2" t="s">
        <v>2850</v>
      </c>
      <c r="D816" s="2" t="s">
        <v>2851</v>
      </c>
      <c r="E816" s="2" t="s">
        <v>2852</v>
      </c>
      <c r="F816" s="2" t="s">
        <v>2853</v>
      </c>
      <c r="G816" s="2" t="s">
        <v>671</v>
      </c>
      <c r="H816" s="2" t="s">
        <v>778</v>
      </c>
      <c r="I816" s="2" t="s">
        <v>103</v>
      </c>
      <c r="J816" s="2" t="s">
        <v>1772</v>
      </c>
      <c r="K816" s="2" t="s">
        <v>712</v>
      </c>
      <c r="L816" s="2" t="s">
        <v>995</v>
      </c>
      <c r="N816" s="2">
        <v>1.0</v>
      </c>
      <c r="O816" s="2" t="s">
        <v>4788</v>
      </c>
      <c r="P816" s="2" t="s">
        <v>95</v>
      </c>
      <c r="Q816" s="2" t="s">
        <v>526</v>
      </c>
      <c r="R816" s="2" t="s">
        <v>306</v>
      </c>
    </row>
    <row r="817" ht="15.75" customHeight="1">
      <c r="A817" s="2" t="s">
        <v>4789</v>
      </c>
      <c r="B817" s="2" t="s">
        <v>4790</v>
      </c>
      <c r="C817" s="2" t="s">
        <v>496</v>
      </c>
      <c r="D817" s="2" t="s">
        <v>497</v>
      </c>
      <c r="E817" s="2" t="s">
        <v>498</v>
      </c>
      <c r="F817" s="2" t="s">
        <v>499</v>
      </c>
      <c r="G817" s="2" t="s">
        <v>139</v>
      </c>
      <c r="H817" s="2" t="s">
        <v>74</v>
      </c>
      <c r="I817" s="2" t="s">
        <v>4791</v>
      </c>
      <c r="J817" s="2" t="s">
        <v>2321</v>
      </c>
      <c r="K817" s="2" t="s">
        <v>2322</v>
      </c>
      <c r="L817" s="2" t="s">
        <v>368</v>
      </c>
      <c r="M817" s="2">
        <v>1264.28</v>
      </c>
      <c r="N817" s="2">
        <v>2.0</v>
      </c>
      <c r="O817" s="2" t="s">
        <v>4792</v>
      </c>
      <c r="P817" s="2" t="s">
        <v>95</v>
      </c>
      <c r="Q817" s="2" t="s">
        <v>96</v>
      </c>
      <c r="R817" s="2" t="s">
        <v>432</v>
      </c>
    </row>
    <row r="818" ht="15.75" customHeight="1">
      <c r="A818" s="2" t="s">
        <v>4793</v>
      </c>
      <c r="B818" s="2" t="s">
        <v>4794</v>
      </c>
      <c r="C818" s="2" t="s">
        <v>2259</v>
      </c>
      <c r="D818" s="2" t="s">
        <v>2260</v>
      </c>
      <c r="E818" s="2" t="s">
        <v>2261</v>
      </c>
      <c r="F818" s="2" t="s">
        <v>2262</v>
      </c>
      <c r="G818" s="2" t="s">
        <v>25</v>
      </c>
      <c r="H818" s="2" t="s">
        <v>59</v>
      </c>
      <c r="I818" s="2" t="s">
        <v>103</v>
      </c>
      <c r="J818" s="2" t="s">
        <v>661</v>
      </c>
      <c r="K818" s="2" t="s">
        <v>662</v>
      </c>
      <c r="L818" s="2" t="s">
        <v>368</v>
      </c>
      <c r="M818" s="2">
        <v>96.38</v>
      </c>
      <c r="N818" s="2">
        <v>3.0</v>
      </c>
      <c r="O818" s="2" t="s">
        <v>4795</v>
      </c>
      <c r="P818" s="2" t="s">
        <v>48</v>
      </c>
      <c r="Q818" s="2" t="s">
        <v>49</v>
      </c>
      <c r="R818" s="2" t="s">
        <v>527</v>
      </c>
      <c r="S818" s="2" t="s">
        <v>133</v>
      </c>
    </row>
    <row r="819" ht="15.75" customHeight="1">
      <c r="A819" s="2" t="s">
        <v>4796</v>
      </c>
      <c r="B819" s="2" t="s">
        <v>4797</v>
      </c>
      <c r="C819" s="2" t="s">
        <v>4798</v>
      </c>
      <c r="D819" s="2" t="s">
        <v>4799</v>
      </c>
      <c r="E819" s="2" t="s">
        <v>4800</v>
      </c>
      <c r="F819" s="2" t="s">
        <v>4801</v>
      </c>
      <c r="G819" s="2" t="s">
        <v>1177</v>
      </c>
      <c r="H819" s="2" t="s">
        <v>26</v>
      </c>
      <c r="I819" s="2" t="s">
        <v>43</v>
      </c>
      <c r="J819" s="2" t="s">
        <v>1085</v>
      </c>
      <c r="K819" s="2" t="s">
        <v>335</v>
      </c>
      <c r="L819" s="2" t="s">
        <v>368</v>
      </c>
      <c r="N819" s="2">
        <v>1.0</v>
      </c>
      <c r="O819" s="2" t="s">
        <v>4802</v>
      </c>
      <c r="P819" s="2" t="s">
        <v>95</v>
      </c>
      <c r="Q819" s="2" t="s">
        <v>573</v>
      </c>
      <c r="R819" s="2" t="s">
        <v>261</v>
      </c>
      <c r="S819" s="2" t="s">
        <v>67</v>
      </c>
    </row>
    <row r="820" ht="15.75" customHeight="1">
      <c r="A820" s="2" t="s">
        <v>4803</v>
      </c>
      <c r="B820" s="2" t="s">
        <v>4804</v>
      </c>
      <c r="C820" s="2" t="s">
        <v>2407</v>
      </c>
      <c r="D820" s="2" t="s">
        <v>2408</v>
      </c>
      <c r="E820" s="2" t="s">
        <v>2409</v>
      </c>
      <c r="F820" s="2" t="s">
        <v>2410</v>
      </c>
      <c r="G820" s="2" t="s">
        <v>1054</v>
      </c>
      <c r="H820" s="2" t="s">
        <v>152</v>
      </c>
      <c r="I820" s="2" t="s">
        <v>103</v>
      </c>
      <c r="J820" s="2" t="s">
        <v>390</v>
      </c>
      <c r="K820" s="2" t="s">
        <v>391</v>
      </c>
      <c r="L820" s="2" t="s">
        <v>248</v>
      </c>
      <c r="M820" s="2">
        <v>1469.9</v>
      </c>
      <c r="N820" s="2">
        <v>1.0</v>
      </c>
      <c r="P820" s="2" t="s">
        <v>65</v>
      </c>
      <c r="Q820" s="2" t="s">
        <v>49</v>
      </c>
      <c r="R820" s="2" t="s">
        <v>80</v>
      </c>
    </row>
    <row r="821" ht="15.75" customHeight="1">
      <c r="A821" s="2" t="s">
        <v>4805</v>
      </c>
      <c r="B821" s="2" t="s">
        <v>4806</v>
      </c>
      <c r="C821" s="2" t="s">
        <v>4162</v>
      </c>
      <c r="D821" s="2" t="s">
        <v>4163</v>
      </c>
      <c r="E821" s="2" t="s">
        <v>4164</v>
      </c>
      <c r="F821" s="2" t="s">
        <v>4165</v>
      </c>
      <c r="G821" s="2" t="s">
        <v>777</v>
      </c>
      <c r="H821" s="2" t="s">
        <v>59</v>
      </c>
      <c r="I821" s="2" t="s">
        <v>176</v>
      </c>
      <c r="J821" s="2" t="s">
        <v>746</v>
      </c>
      <c r="K821" s="2" t="s">
        <v>747</v>
      </c>
      <c r="L821" s="2" t="s">
        <v>748</v>
      </c>
      <c r="N821" s="2">
        <v>2.0</v>
      </c>
      <c r="O821" s="2" t="s">
        <v>4807</v>
      </c>
      <c r="P821" s="2" t="s">
        <v>48</v>
      </c>
      <c r="Q821" s="2" t="s">
        <v>505</v>
      </c>
      <c r="R821" s="2" t="s">
        <v>306</v>
      </c>
    </row>
    <row r="822" ht="15.75" customHeight="1">
      <c r="A822" s="2" t="s">
        <v>4808</v>
      </c>
      <c r="B822" s="2" t="s">
        <v>4809</v>
      </c>
      <c r="C822" s="2" t="s">
        <v>4810</v>
      </c>
      <c r="D822" s="2" t="s">
        <v>4811</v>
      </c>
      <c r="E822" s="2" t="s">
        <v>4812</v>
      </c>
      <c r="F822" s="2" t="s">
        <v>4813</v>
      </c>
      <c r="G822" s="2" t="s">
        <v>777</v>
      </c>
      <c r="H822" s="2" t="s">
        <v>223</v>
      </c>
      <c r="I822" s="2" t="s">
        <v>480</v>
      </c>
      <c r="J822" s="2" t="s">
        <v>1137</v>
      </c>
      <c r="K822" s="2" t="s">
        <v>1138</v>
      </c>
      <c r="L822" s="2" t="s">
        <v>30</v>
      </c>
      <c r="N822" s="2">
        <v>2.0</v>
      </c>
      <c r="O822" s="2" t="s">
        <v>4814</v>
      </c>
      <c r="P822" s="2" t="s">
        <v>95</v>
      </c>
      <c r="Q822" s="2" t="s">
        <v>4815</v>
      </c>
      <c r="R822" s="2" t="s">
        <v>80</v>
      </c>
      <c r="S822" s="2" t="s">
        <v>67</v>
      </c>
    </row>
    <row r="823" ht="15.75" customHeight="1">
      <c r="A823" s="2" t="s">
        <v>4816</v>
      </c>
      <c r="B823" s="2" t="s">
        <v>4817</v>
      </c>
      <c r="C823" s="2" t="s">
        <v>3554</v>
      </c>
      <c r="D823" s="2" t="s">
        <v>3555</v>
      </c>
      <c r="E823" s="2" t="s">
        <v>3556</v>
      </c>
      <c r="F823" s="2" t="s">
        <v>3557</v>
      </c>
      <c r="G823" s="2" t="s">
        <v>58</v>
      </c>
      <c r="H823" s="2" t="s">
        <v>802</v>
      </c>
      <c r="I823" s="2" t="s">
        <v>480</v>
      </c>
      <c r="J823" s="2" t="s">
        <v>1849</v>
      </c>
      <c r="K823" s="2" t="s">
        <v>403</v>
      </c>
      <c r="L823" s="2" t="s">
        <v>248</v>
      </c>
      <c r="N823" s="2">
        <v>1.0</v>
      </c>
      <c r="O823" s="2" t="s">
        <v>4818</v>
      </c>
      <c r="P823" s="2" t="s">
        <v>48</v>
      </c>
      <c r="Q823" s="2" t="s">
        <v>4683</v>
      </c>
      <c r="R823" s="2" t="s">
        <v>50</v>
      </c>
    </row>
    <row r="824" ht="15.75" customHeight="1">
      <c r="A824" s="2" t="s">
        <v>4819</v>
      </c>
      <c r="B824" s="2" t="s">
        <v>4820</v>
      </c>
      <c r="C824" s="2" t="s">
        <v>4549</v>
      </c>
      <c r="D824" s="2" t="s">
        <v>4514</v>
      </c>
      <c r="F824" s="2" t="s">
        <v>4550</v>
      </c>
      <c r="G824" s="2" t="s">
        <v>671</v>
      </c>
      <c r="H824" s="2" t="s">
        <v>223</v>
      </c>
      <c r="I824" s="2" t="s">
        <v>90</v>
      </c>
      <c r="J824" s="2" t="s">
        <v>1263</v>
      </c>
      <c r="K824" s="2" t="s">
        <v>741</v>
      </c>
      <c r="L824" s="2" t="s">
        <v>368</v>
      </c>
      <c r="M824" s="2">
        <v>1400.08</v>
      </c>
      <c r="N824" s="2">
        <v>3.0</v>
      </c>
      <c r="O824" s="2" t="s">
        <v>4821</v>
      </c>
      <c r="P824" s="2" t="s">
        <v>65</v>
      </c>
      <c r="Q824" s="2" t="s">
        <v>66</v>
      </c>
      <c r="R824" s="2" t="s">
        <v>452</v>
      </c>
    </row>
    <row r="825" ht="15.75" customHeight="1">
      <c r="A825" s="2" t="s">
        <v>4822</v>
      </c>
      <c r="B825" s="2" t="s">
        <v>4823</v>
      </c>
      <c r="C825" s="2" t="s">
        <v>4824</v>
      </c>
      <c r="D825" s="2" t="s">
        <v>4825</v>
      </c>
      <c r="E825" s="2" t="s">
        <v>4826</v>
      </c>
      <c r="F825" s="2" t="s">
        <v>4827</v>
      </c>
      <c r="G825" s="2" t="s">
        <v>1054</v>
      </c>
      <c r="H825" s="2" t="s">
        <v>223</v>
      </c>
      <c r="I825" s="2" t="s">
        <v>4828</v>
      </c>
      <c r="J825" s="2" t="s">
        <v>2483</v>
      </c>
      <c r="K825" s="2" t="s">
        <v>1530</v>
      </c>
      <c r="L825" s="2" t="s">
        <v>503</v>
      </c>
      <c r="N825" s="2">
        <v>2.0</v>
      </c>
      <c r="O825" s="2" t="s">
        <v>4829</v>
      </c>
      <c r="P825" s="2" t="s">
        <v>48</v>
      </c>
      <c r="Q825" s="2" t="s">
        <v>33</v>
      </c>
      <c r="R825" s="2" t="s">
        <v>393</v>
      </c>
      <c r="S825" s="2" t="s">
        <v>67</v>
      </c>
    </row>
    <row r="826" ht="15.75" customHeight="1">
      <c r="A826" s="2" t="s">
        <v>4830</v>
      </c>
      <c r="B826" s="2" t="s">
        <v>4831</v>
      </c>
      <c r="C826" s="2" t="s">
        <v>4832</v>
      </c>
      <c r="D826" s="2" t="s">
        <v>4833</v>
      </c>
      <c r="E826" s="2" t="s">
        <v>4834</v>
      </c>
      <c r="F826" s="2" t="s">
        <v>4835</v>
      </c>
      <c r="G826" s="2" t="s">
        <v>448</v>
      </c>
      <c r="H826" s="2" t="s">
        <v>223</v>
      </c>
      <c r="I826" s="2" t="s">
        <v>480</v>
      </c>
      <c r="J826" s="2" t="s">
        <v>1109</v>
      </c>
      <c r="K826" s="2" t="s">
        <v>1110</v>
      </c>
      <c r="L826" s="2" t="s">
        <v>826</v>
      </c>
      <c r="M826" s="2">
        <v>1523.98</v>
      </c>
      <c r="N826" s="2">
        <v>2.0</v>
      </c>
      <c r="O826" s="2" t="s">
        <v>4836</v>
      </c>
      <c r="P826" s="2" t="s">
        <v>48</v>
      </c>
      <c r="Q826" s="2" t="s">
        <v>3504</v>
      </c>
      <c r="R826" s="2" t="s">
        <v>192</v>
      </c>
      <c r="S826" s="2" t="s">
        <v>51</v>
      </c>
    </row>
    <row r="827" ht="15.75" customHeight="1">
      <c r="A827" s="2" t="s">
        <v>4837</v>
      </c>
      <c r="B827" s="2" t="s">
        <v>4838</v>
      </c>
      <c r="C827" s="2" t="s">
        <v>4734</v>
      </c>
      <c r="D827" s="2" t="s">
        <v>4735</v>
      </c>
      <c r="E827" s="2" t="s">
        <v>4736</v>
      </c>
      <c r="F827" s="2" t="s">
        <v>4737</v>
      </c>
      <c r="G827" s="2" t="s">
        <v>114</v>
      </c>
      <c r="H827" s="2" t="s">
        <v>152</v>
      </c>
      <c r="I827" s="2" t="s">
        <v>401</v>
      </c>
      <c r="J827" s="2" t="s">
        <v>2321</v>
      </c>
      <c r="K827" s="2" t="s">
        <v>2322</v>
      </c>
      <c r="L827" s="2" t="s">
        <v>368</v>
      </c>
      <c r="M827" s="2">
        <v>996.24</v>
      </c>
      <c r="N827" s="2">
        <v>1.0</v>
      </c>
      <c r="O827" s="2" t="s">
        <v>4839</v>
      </c>
      <c r="P827" s="2" t="s">
        <v>65</v>
      </c>
      <c r="Q827" s="2" t="s">
        <v>379</v>
      </c>
      <c r="R827" s="2" t="s">
        <v>169</v>
      </c>
      <c r="S827" s="2" t="s">
        <v>81</v>
      </c>
    </row>
    <row r="828" ht="15.75" customHeight="1">
      <c r="A828" s="2" t="s">
        <v>4840</v>
      </c>
      <c r="B828" s="2" t="s">
        <v>4841</v>
      </c>
      <c r="C828" s="2" t="s">
        <v>2648</v>
      </c>
      <c r="D828" s="2" t="s">
        <v>2649</v>
      </c>
      <c r="E828" s="2" t="s">
        <v>2650</v>
      </c>
      <c r="G828" s="2" t="s">
        <v>25</v>
      </c>
      <c r="H828" s="2" t="s">
        <v>460</v>
      </c>
      <c r="I828" s="2" t="s">
        <v>103</v>
      </c>
      <c r="J828" s="2" t="s">
        <v>3596</v>
      </c>
      <c r="K828" s="2" t="s">
        <v>3597</v>
      </c>
      <c r="L828" s="2" t="s">
        <v>63</v>
      </c>
      <c r="N828" s="2">
        <v>2.0</v>
      </c>
      <c r="O828" s="2" t="s">
        <v>4842</v>
      </c>
      <c r="P828" s="2" t="s">
        <v>32</v>
      </c>
      <c r="Q828" s="2" t="s">
        <v>143</v>
      </c>
      <c r="R828" s="2" t="s">
        <v>192</v>
      </c>
    </row>
    <row r="829" ht="15.75" customHeight="1">
      <c r="A829" s="2" t="s">
        <v>4843</v>
      </c>
      <c r="B829" s="2" t="s">
        <v>4844</v>
      </c>
      <c r="C829" s="2" t="s">
        <v>1711</v>
      </c>
      <c r="D829" s="2" t="s">
        <v>1712</v>
      </c>
      <c r="E829" s="2" t="s">
        <v>1713</v>
      </c>
      <c r="F829" s="2" t="s">
        <v>1714</v>
      </c>
      <c r="G829" s="2" t="s">
        <v>58</v>
      </c>
      <c r="H829" s="2" t="s">
        <v>59</v>
      </c>
      <c r="I829" s="2" t="s">
        <v>522</v>
      </c>
      <c r="J829" s="2" t="s">
        <v>1432</v>
      </c>
      <c r="K829" s="2" t="s">
        <v>994</v>
      </c>
      <c r="L829" s="2" t="s">
        <v>1328</v>
      </c>
      <c r="M829" s="2">
        <v>1538.03</v>
      </c>
      <c r="N829" s="2">
        <v>2.0</v>
      </c>
      <c r="O829" s="2" t="s">
        <v>4845</v>
      </c>
      <c r="P829" s="2" t="s">
        <v>32</v>
      </c>
      <c r="Q829" s="2" t="s">
        <v>204</v>
      </c>
      <c r="R829" s="2" t="s">
        <v>393</v>
      </c>
    </row>
    <row r="830" ht="15.75" customHeight="1">
      <c r="A830" s="2" t="s">
        <v>4846</v>
      </c>
      <c r="B830" s="2" t="s">
        <v>4847</v>
      </c>
      <c r="C830" s="2" t="s">
        <v>4848</v>
      </c>
      <c r="D830" s="2" t="s">
        <v>173</v>
      </c>
      <c r="E830" s="2" t="s">
        <v>4849</v>
      </c>
      <c r="F830" s="2" t="s">
        <v>4850</v>
      </c>
      <c r="G830" s="2" t="s">
        <v>801</v>
      </c>
      <c r="H830" s="2" t="s">
        <v>223</v>
      </c>
      <c r="I830" s="2" t="s">
        <v>333</v>
      </c>
      <c r="J830" s="2" t="s">
        <v>104</v>
      </c>
      <c r="K830" s="2" t="s">
        <v>105</v>
      </c>
      <c r="L830" s="2" t="s">
        <v>106</v>
      </c>
      <c r="N830" s="2">
        <v>1.0</v>
      </c>
      <c r="O830" s="2" t="s">
        <v>4851</v>
      </c>
      <c r="P830" s="2" t="s">
        <v>65</v>
      </c>
      <c r="Q830" s="2" t="s">
        <v>485</v>
      </c>
      <c r="R830" s="2" t="s">
        <v>169</v>
      </c>
      <c r="S830" s="2" t="s">
        <v>51</v>
      </c>
    </row>
    <row r="831" ht="15.75" customHeight="1">
      <c r="A831" s="2" t="s">
        <v>1289</v>
      </c>
      <c r="B831" s="2" t="s">
        <v>1290</v>
      </c>
      <c r="C831" s="2" t="s">
        <v>1291</v>
      </c>
      <c r="D831" s="2" t="s">
        <v>4852</v>
      </c>
      <c r="E831" s="2" t="s">
        <v>1293</v>
      </c>
      <c r="F831" s="2" t="s">
        <v>1294</v>
      </c>
      <c r="G831" s="2" t="s">
        <v>199</v>
      </c>
      <c r="H831" s="2" t="s">
        <v>59</v>
      </c>
      <c r="I831" s="2" t="s">
        <v>75</v>
      </c>
      <c r="J831" s="2" t="s">
        <v>556</v>
      </c>
      <c r="K831" s="2" t="s">
        <v>502</v>
      </c>
      <c r="L831" s="2" t="s">
        <v>355</v>
      </c>
      <c r="M831" s="2">
        <v>116.18</v>
      </c>
      <c r="N831" s="2">
        <v>5.0</v>
      </c>
      <c r="O831" s="2" t="s">
        <v>1295</v>
      </c>
      <c r="P831" s="2" t="s">
        <v>48</v>
      </c>
      <c r="Q831" s="2" t="s">
        <v>181</v>
      </c>
      <c r="R831" s="2" t="s">
        <v>169</v>
      </c>
      <c r="S831" s="2" t="s">
        <v>81</v>
      </c>
    </row>
    <row r="832" ht="15.75" customHeight="1">
      <c r="A832" s="2" t="s">
        <v>4853</v>
      </c>
      <c r="B832" s="2" t="s">
        <v>4854</v>
      </c>
      <c r="C832" s="2" t="s">
        <v>1975</v>
      </c>
      <c r="D832" s="2" t="s">
        <v>2541</v>
      </c>
      <c r="E832" s="2" t="s">
        <v>1977</v>
      </c>
      <c r="F832" s="2" t="s">
        <v>1978</v>
      </c>
      <c r="G832" s="2" t="s">
        <v>459</v>
      </c>
      <c r="H832" s="2" t="s">
        <v>26</v>
      </c>
      <c r="I832" s="2" t="s">
        <v>75</v>
      </c>
      <c r="J832" s="2" t="s">
        <v>481</v>
      </c>
      <c r="K832" s="2" t="s">
        <v>291</v>
      </c>
      <c r="L832" s="2" t="s">
        <v>482</v>
      </c>
      <c r="M832" s="2">
        <v>1760.16</v>
      </c>
      <c r="N832" s="2">
        <v>3.0</v>
      </c>
      <c r="O832" s="2" t="s">
        <v>4855</v>
      </c>
      <c r="P832" s="2" t="s">
        <v>65</v>
      </c>
      <c r="Q832" s="2" t="s">
        <v>4856</v>
      </c>
      <c r="R832" s="2" t="s">
        <v>158</v>
      </c>
      <c r="S832" s="2" t="s">
        <v>81</v>
      </c>
    </row>
    <row r="833" ht="15.75" customHeight="1">
      <c r="A833" s="2" t="s">
        <v>4857</v>
      </c>
      <c r="B833" s="2" t="s">
        <v>4858</v>
      </c>
      <c r="C833" s="2" t="s">
        <v>2061</v>
      </c>
      <c r="D833" s="2" t="s">
        <v>2062</v>
      </c>
      <c r="E833" s="2" t="s">
        <v>2063</v>
      </c>
      <c r="F833" s="2" t="s">
        <v>2064</v>
      </c>
      <c r="G833" s="2" t="s">
        <v>25</v>
      </c>
      <c r="H833" s="2" t="s">
        <v>1167</v>
      </c>
      <c r="I833" s="2" t="s">
        <v>401</v>
      </c>
      <c r="J833" s="2" t="s">
        <v>1146</v>
      </c>
      <c r="K833" s="2" t="s">
        <v>1147</v>
      </c>
      <c r="L833" s="2" t="s">
        <v>248</v>
      </c>
      <c r="N833" s="2">
        <v>1.0</v>
      </c>
      <c r="O833" s="2" t="s">
        <v>4859</v>
      </c>
      <c r="P833" s="2" t="s">
        <v>65</v>
      </c>
      <c r="Q833" s="2" t="s">
        <v>485</v>
      </c>
      <c r="R833" s="2" t="s">
        <v>294</v>
      </c>
      <c r="S833" s="2" t="s">
        <v>81</v>
      </c>
    </row>
    <row r="834" ht="15.75" customHeight="1">
      <c r="A834" s="2" t="s">
        <v>4860</v>
      </c>
      <c r="B834" s="2" t="s">
        <v>4861</v>
      </c>
      <c r="C834" s="2" t="s">
        <v>2431</v>
      </c>
      <c r="D834" s="2" t="s">
        <v>2432</v>
      </c>
      <c r="E834" s="2" t="s">
        <v>2433</v>
      </c>
      <c r="F834" s="2" t="s">
        <v>2434</v>
      </c>
      <c r="G834" s="2" t="s">
        <v>58</v>
      </c>
      <c r="H834" s="2" t="s">
        <v>802</v>
      </c>
      <c r="I834" s="2" t="s">
        <v>365</v>
      </c>
      <c r="J834" s="2" t="s">
        <v>76</v>
      </c>
      <c r="K834" s="2" t="s">
        <v>77</v>
      </c>
      <c r="L834" s="2" t="s">
        <v>78</v>
      </c>
      <c r="M834" s="2">
        <v>1575.88</v>
      </c>
      <c r="N834" s="2">
        <v>1.0</v>
      </c>
      <c r="O834" s="2" t="s">
        <v>4862</v>
      </c>
      <c r="P834" s="2" t="s">
        <v>2954</v>
      </c>
      <c r="Q834" s="2" t="s">
        <v>49</v>
      </c>
      <c r="R834" s="2" t="s">
        <v>132</v>
      </c>
      <c r="S834" s="2" t="s">
        <v>67</v>
      </c>
    </row>
    <row r="835" ht="15.75" customHeight="1">
      <c r="A835" s="2" t="s">
        <v>4863</v>
      </c>
      <c r="B835" s="2" t="s">
        <v>4864</v>
      </c>
      <c r="C835" s="2" t="s">
        <v>1188</v>
      </c>
      <c r="D835" s="2" t="s">
        <v>1189</v>
      </c>
      <c r="E835" s="2" t="s">
        <v>1190</v>
      </c>
      <c r="F835" s="2" t="s">
        <v>1191</v>
      </c>
      <c r="G835" s="2" t="s">
        <v>88</v>
      </c>
      <c r="H835" s="2" t="s">
        <v>223</v>
      </c>
      <c r="I835" s="2" t="s">
        <v>103</v>
      </c>
      <c r="J835" s="2" t="s">
        <v>91</v>
      </c>
      <c r="K835" s="2" t="s">
        <v>92</v>
      </c>
      <c r="L835" s="2" t="s">
        <v>93</v>
      </c>
      <c r="N835" s="2">
        <v>2.0</v>
      </c>
      <c r="O835" s="2" t="s">
        <v>4865</v>
      </c>
      <c r="P835" s="2" t="s">
        <v>95</v>
      </c>
      <c r="Q835" s="2" t="s">
        <v>143</v>
      </c>
      <c r="R835" s="2" t="s">
        <v>80</v>
      </c>
    </row>
    <row r="836" ht="15.75" customHeight="1">
      <c r="A836" s="2" t="s">
        <v>4866</v>
      </c>
      <c r="B836" s="2" t="s">
        <v>4867</v>
      </c>
      <c r="C836" s="2" t="s">
        <v>2676</v>
      </c>
      <c r="D836" s="2" t="s">
        <v>2677</v>
      </c>
      <c r="E836" s="2" t="s">
        <v>2678</v>
      </c>
      <c r="F836" s="2" t="s">
        <v>2679</v>
      </c>
      <c r="G836" s="2" t="s">
        <v>58</v>
      </c>
      <c r="H836" s="2" t="s">
        <v>1167</v>
      </c>
      <c r="I836" s="2" t="s">
        <v>43</v>
      </c>
      <c r="J836" s="2" t="s">
        <v>1432</v>
      </c>
      <c r="K836" s="2" t="s">
        <v>994</v>
      </c>
      <c r="L836" s="2" t="s">
        <v>1328</v>
      </c>
      <c r="M836" s="2">
        <v>1171.98</v>
      </c>
      <c r="N836" s="2">
        <v>3.0</v>
      </c>
      <c r="O836" s="2" t="s">
        <v>4868</v>
      </c>
      <c r="P836" s="2" t="s">
        <v>48</v>
      </c>
      <c r="Q836" s="2" t="s">
        <v>66</v>
      </c>
      <c r="R836" s="2" t="s">
        <v>4869</v>
      </c>
      <c r="S836" s="2" t="s">
        <v>81</v>
      </c>
    </row>
    <row r="837" ht="15.75" customHeight="1">
      <c r="A837" s="2" t="s">
        <v>4870</v>
      </c>
      <c r="B837" s="2" t="s">
        <v>4871</v>
      </c>
      <c r="C837" s="2" t="s">
        <v>886</v>
      </c>
      <c r="D837" s="2" t="s">
        <v>887</v>
      </c>
      <c r="E837" s="2" t="s">
        <v>888</v>
      </c>
      <c r="G837" s="2" t="s">
        <v>139</v>
      </c>
      <c r="H837" s="2" t="s">
        <v>1151</v>
      </c>
      <c r="I837" s="2" t="s">
        <v>512</v>
      </c>
      <c r="J837" s="2" t="s">
        <v>2425</v>
      </c>
      <c r="K837" s="2" t="s">
        <v>2426</v>
      </c>
      <c r="L837" s="2" t="s">
        <v>2427</v>
      </c>
      <c r="M837" s="2">
        <v>735.15</v>
      </c>
      <c r="N837" s="2">
        <v>1.0</v>
      </c>
      <c r="O837" s="2" t="s">
        <v>4872</v>
      </c>
      <c r="P837" s="2" t="s">
        <v>48</v>
      </c>
      <c r="Q837" s="2" t="s">
        <v>66</v>
      </c>
      <c r="R837" s="2" t="s">
        <v>80</v>
      </c>
      <c r="S837" s="2" t="s">
        <v>51</v>
      </c>
    </row>
    <row r="838" ht="15.75" customHeight="1">
      <c r="A838" s="2" t="s">
        <v>4873</v>
      </c>
      <c r="B838" s="2" t="s">
        <v>3950</v>
      </c>
      <c r="C838" s="2" t="s">
        <v>3755</v>
      </c>
      <c r="D838" s="2" t="s">
        <v>3756</v>
      </c>
      <c r="E838" s="2" t="s">
        <v>3757</v>
      </c>
      <c r="F838" s="2" t="s">
        <v>3758</v>
      </c>
      <c r="G838" s="2" t="s">
        <v>114</v>
      </c>
      <c r="H838" s="2" t="s">
        <v>115</v>
      </c>
      <c r="I838" s="2" t="s">
        <v>176</v>
      </c>
      <c r="J838" s="2" t="s">
        <v>1211</v>
      </c>
      <c r="K838" s="2" t="s">
        <v>1212</v>
      </c>
      <c r="L838" s="2" t="s">
        <v>63</v>
      </c>
      <c r="N838" s="2">
        <v>1.0</v>
      </c>
      <c r="O838" s="2" t="s">
        <v>4874</v>
      </c>
      <c r="P838" s="2" t="s">
        <v>65</v>
      </c>
      <c r="Q838" s="2" t="s">
        <v>204</v>
      </c>
      <c r="R838" s="2" t="s">
        <v>251</v>
      </c>
      <c r="S838" s="2" t="s">
        <v>51</v>
      </c>
    </row>
    <row r="839" ht="15.75" customHeight="1">
      <c r="A839" s="2" t="s">
        <v>4875</v>
      </c>
      <c r="B839" s="2" t="s">
        <v>4876</v>
      </c>
      <c r="C839" s="2" t="s">
        <v>893</v>
      </c>
      <c r="D839" s="2" t="s">
        <v>894</v>
      </c>
      <c r="E839" s="2" t="s">
        <v>895</v>
      </c>
      <c r="F839" s="2" t="s">
        <v>896</v>
      </c>
      <c r="G839" s="2" t="s">
        <v>114</v>
      </c>
      <c r="H839" s="2" t="s">
        <v>42</v>
      </c>
      <c r="I839" s="2" t="s">
        <v>835</v>
      </c>
      <c r="J839" s="2" t="s">
        <v>44</v>
      </c>
      <c r="K839" s="2" t="s">
        <v>45</v>
      </c>
      <c r="L839" s="2" t="s">
        <v>46</v>
      </c>
      <c r="N839" s="2">
        <v>1.0</v>
      </c>
      <c r="O839" s="2" t="s">
        <v>4877</v>
      </c>
      <c r="P839" s="2" t="s">
        <v>32</v>
      </c>
      <c r="Q839" s="2" t="s">
        <v>573</v>
      </c>
      <c r="R839" s="2" t="s">
        <v>192</v>
      </c>
    </row>
    <row r="840" ht="15.75" customHeight="1">
      <c r="A840" s="2" t="s">
        <v>4878</v>
      </c>
      <c r="B840" s="2" t="s">
        <v>4879</v>
      </c>
      <c r="C840" s="2" t="s">
        <v>3328</v>
      </c>
      <c r="D840" s="2" t="s">
        <v>4880</v>
      </c>
      <c r="E840" s="2" t="s">
        <v>4881</v>
      </c>
      <c r="F840" s="2" t="s">
        <v>3330</v>
      </c>
      <c r="G840" s="2" t="s">
        <v>3331</v>
      </c>
      <c r="H840" s="2" t="s">
        <v>223</v>
      </c>
      <c r="I840" s="2" t="s">
        <v>312</v>
      </c>
      <c r="J840" s="2" t="s">
        <v>313</v>
      </c>
      <c r="K840" s="2" t="s">
        <v>314</v>
      </c>
      <c r="L840" s="2" t="s">
        <v>315</v>
      </c>
      <c r="M840" s="2">
        <v>923.73</v>
      </c>
      <c r="N840" s="2">
        <v>2.0</v>
      </c>
      <c r="O840" s="2" t="s">
        <v>4882</v>
      </c>
      <c r="P840" s="2" t="s">
        <v>2954</v>
      </c>
      <c r="Q840" s="2" t="s">
        <v>204</v>
      </c>
      <c r="R840" s="2" t="s">
        <v>345</v>
      </c>
    </row>
    <row r="841" ht="15.75" customHeight="1">
      <c r="A841" s="2" t="s">
        <v>4883</v>
      </c>
      <c r="B841" s="2" t="s">
        <v>4884</v>
      </c>
      <c r="C841" s="2" t="s">
        <v>4570</v>
      </c>
      <c r="D841" s="2" t="s">
        <v>4571</v>
      </c>
      <c r="E841" s="2" t="s">
        <v>4572</v>
      </c>
      <c r="F841" s="2" t="s">
        <v>4573</v>
      </c>
      <c r="G841" s="2" t="s">
        <v>1336</v>
      </c>
      <c r="H841" s="2" t="s">
        <v>59</v>
      </c>
      <c r="I841" s="2" t="s">
        <v>43</v>
      </c>
      <c r="J841" s="2" t="s">
        <v>325</v>
      </c>
      <c r="K841" s="2" t="s">
        <v>326</v>
      </c>
      <c r="L841" s="2" t="s">
        <v>315</v>
      </c>
      <c r="N841" s="2">
        <v>3.0</v>
      </c>
      <c r="O841" s="2" t="s">
        <v>4885</v>
      </c>
      <c r="P841" s="2" t="s">
        <v>65</v>
      </c>
      <c r="Q841" s="2" t="s">
        <v>49</v>
      </c>
      <c r="R841" s="2" t="s">
        <v>380</v>
      </c>
    </row>
    <row r="842" ht="15.75" customHeight="1">
      <c r="A842" s="2" t="s">
        <v>4886</v>
      </c>
      <c r="B842" s="2" t="s">
        <v>4887</v>
      </c>
      <c r="C842" s="2" t="s">
        <v>4238</v>
      </c>
      <c r="D842" s="2" t="s">
        <v>4239</v>
      </c>
      <c r="E842" s="2" t="s">
        <v>4240</v>
      </c>
      <c r="F842" s="2" t="s">
        <v>4241</v>
      </c>
      <c r="G842" s="2" t="s">
        <v>608</v>
      </c>
      <c r="H842" s="2" t="s">
        <v>26</v>
      </c>
      <c r="I842" s="2" t="s">
        <v>571</v>
      </c>
      <c r="J842" s="2" t="s">
        <v>1679</v>
      </c>
      <c r="K842" s="2" t="s">
        <v>1530</v>
      </c>
      <c r="L842" s="2" t="s">
        <v>514</v>
      </c>
      <c r="M842" s="2">
        <v>964.97</v>
      </c>
      <c r="N842" s="2">
        <v>5.0</v>
      </c>
      <c r="O842" s="2" t="s">
        <v>4888</v>
      </c>
      <c r="P842" s="2" t="s">
        <v>95</v>
      </c>
      <c r="Q842" s="2" t="s">
        <v>414</v>
      </c>
      <c r="R842" s="2" t="s">
        <v>294</v>
      </c>
    </row>
    <row r="843" ht="15.75" customHeight="1">
      <c r="A843" s="2" t="s">
        <v>4889</v>
      </c>
      <c r="B843" s="2" t="s">
        <v>4890</v>
      </c>
      <c r="C843" s="2" t="s">
        <v>1638</v>
      </c>
      <c r="D843" s="2" t="s">
        <v>954</v>
      </c>
      <c r="E843" s="2" t="s">
        <v>1639</v>
      </c>
      <c r="F843" s="2" t="s">
        <v>1640</v>
      </c>
      <c r="G843" s="2" t="s">
        <v>151</v>
      </c>
      <c r="H843" s="2" t="s">
        <v>26</v>
      </c>
      <c r="I843" s="2" t="s">
        <v>116</v>
      </c>
      <c r="J843" s="2" t="s">
        <v>313</v>
      </c>
      <c r="K843" s="2" t="s">
        <v>314</v>
      </c>
      <c r="L843" s="2" t="s">
        <v>315</v>
      </c>
      <c r="M843" s="2">
        <v>545.54</v>
      </c>
      <c r="N843" s="2">
        <v>5.0</v>
      </c>
      <c r="O843" s="2" t="s">
        <v>4891</v>
      </c>
      <c r="P843" s="2" t="s">
        <v>65</v>
      </c>
      <c r="Q843" s="2" t="s">
        <v>573</v>
      </c>
      <c r="R843" s="2" t="s">
        <v>818</v>
      </c>
    </row>
    <row r="844" ht="15.75" customHeight="1">
      <c r="A844" s="2" t="s">
        <v>4892</v>
      </c>
      <c r="B844" s="2" t="s">
        <v>4893</v>
      </c>
      <c r="C844" s="2" t="s">
        <v>4894</v>
      </c>
      <c r="D844" s="2" t="s">
        <v>1987</v>
      </c>
      <c r="E844" s="2" t="s">
        <v>4895</v>
      </c>
      <c r="F844" s="2" t="s">
        <v>4896</v>
      </c>
      <c r="G844" s="2" t="s">
        <v>25</v>
      </c>
      <c r="H844" s="2" t="s">
        <v>59</v>
      </c>
      <c r="I844" s="2" t="s">
        <v>642</v>
      </c>
      <c r="J844" s="2" t="s">
        <v>2336</v>
      </c>
      <c r="K844" s="2" t="s">
        <v>1303</v>
      </c>
      <c r="L844" s="2" t="s">
        <v>179</v>
      </c>
      <c r="N844" s="2">
        <v>1.0</v>
      </c>
      <c r="O844" s="2" t="s">
        <v>4897</v>
      </c>
      <c r="P844" s="2" t="s">
        <v>32</v>
      </c>
      <c r="Q844" s="2" t="s">
        <v>370</v>
      </c>
      <c r="R844" s="2" t="s">
        <v>1312</v>
      </c>
    </row>
    <row r="845" ht="15.75" customHeight="1">
      <c r="A845" s="2" t="s">
        <v>4898</v>
      </c>
      <c r="B845" s="2" t="s">
        <v>4899</v>
      </c>
      <c r="C845" s="2" t="s">
        <v>752</v>
      </c>
      <c r="D845" s="2" t="s">
        <v>753</v>
      </c>
      <c r="E845" s="2" t="s">
        <v>754</v>
      </c>
      <c r="F845" s="2" t="s">
        <v>755</v>
      </c>
      <c r="G845" s="2" t="s">
        <v>58</v>
      </c>
      <c r="H845" s="2" t="s">
        <v>234</v>
      </c>
      <c r="I845" s="2" t="s">
        <v>103</v>
      </c>
      <c r="J845" s="2" t="s">
        <v>852</v>
      </c>
      <c r="K845" s="2" t="s">
        <v>450</v>
      </c>
      <c r="L845" s="2" t="s">
        <v>167</v>
      </c>
      <c r="N845" s="2">
        <v>1.0</v>
      </c>
      <c r="O845" s="2" t="s">
        <v>4900</v>
      </c>
      <c r="P845" s="2" t="s">
        <v>32</v>
      </c>
      <c r="Q845" s="2" t="s">
        <v>414</v>
      </c>
      <c r="R845" s="2" t="s">
        <v>120</v>
      </c>
      <c r="S845" s="2" t="s">
        <v>51</v>
      </c>
    </row>
    <row r="846" ht="15.75" customHeight="1">
      <c r="A846" s="2" t="s">
        <v>4901</v>
      </c>
      <c r="B846" s="2" t="s">
        <v>4902</v>
      </c>
      <c r="C846" s="2" t="s">
        <v>4903</v>
      </c>
      <c r="D846" s="2" t="s">
        <v>4904</v>
      </c>
      <c r="F846" s="2" t="s">
        <v>4905</v>
      </c>
      <c r="G846" s="2" t="s">
        <v>608</v>
      </c>
      <c r="H846" s="2" t="s">
        <v>400</v>
      </c>
      <c r="I846" s="2" t="s">
        <v>43</v>
      </c>
      <c r="J846" s="2" t="s">
        <v>1236</v>
      </c>
      <c r="K846" s="2" t="s">
        <v>1237</v>
      </c>
      <c r="L846" s="2" t="s">
        <v>637</v>
      </c>
      <c r="N846" s="2">
        <v>1.0</v>
      </c>
      <c r="O846" s="2" t="s">
        <v>4906</v>
      </c>
      <c r="P846" s="2" t="s">
        <v>65</v>
      </c>
      <c r="Q846" s="2" t="s">
        <v>131</v>
      </c>
      <c r="R846" s="2" t="s">
        <v>192</v>
      </c>
    </row>
    <row r="847" ht="15.75" customHeight="1">
      <c r="A847" s="2" t="s">
        <v>4907</v>
      </c>
      <c r="B847" s="2" t="s">
        <v>4908</v>
      </c>
      <c r="C847" s="2" t="s">
        <v>4909</v>
      </c>
      <c r="D847" s="2" t="s">
        <v>2374</v>
      </c>
      <c r="E847" s="2" t="s">
        <v>4910</v>
      </c>
      <c r="F847" s="2" t="s">
        <v>4911</v>
      </c>
      <c r="G847" s="2" t="s">
        <v>25</v>
      </c>
      <c r="H847" s="2" t="s">
        <v>802</v>
      </c>
      <c r="I847" s="2" t="s">
        <v>103</v>
      </c>
      <c r="J847" s="2" t="s">
        <v>117</v>
      </c>
      <c r="K847" s="2" t="s">
        <v>118</v>
      </c>
      <c r="L847" s="2" t="s">
        <v>63</v>
      </c>
      <c r="N847" s="2">
        <v>2.0</v>
      </c>
      <c r="O847" s="2" t="s">
        <v>4912</v>
      </c>
      <c r="P847" s="2" t="s">
        <v>65</v>
      </c>
      <c r="Q847" s="2" t="s">
        <v>664</v>
      </c>
      <c r="R847" s="2" t="s">
        <v>50</v>
      </c>
      <c r="S847" s="2" t="s">
        <v>133</v>
      </c>
    </row>
    <row r="848" ht="15.75" customHeight="1">
      <c r="A848" s="2" t="s">
        <v>4913</v>
      </c>
      <c r="B848" s="2" t="s">
        <v>4914</v>
      </c>
      <c r="C848" s="2" t="s">
        <v>1838</v>
      </c>
      <c r="D848" s="2" t="s">
        <v>1839</v>
      </c>
      <c r="E848" s="2" t="s">
        <v>1840</v>
      </c>
      <c r="F848" s="2" t="s">
        <v>1841</v>
      </c>
      <c r="G848" s="2" t="s">
        <v>1078</v>
      </c>
      <c r="H848" s="2" t="s">
        <v>234</v>
      </c>
      <c r="I848" s="2" t="s">
        <v>103</v>
      </c>
      <c r="J848" s="2" t="s">
        <v>501</v>
      </c>
      <c r="K848" s="2" t="s">
        <v>502</v>
      </c>
      <c r="L848" s="2" t="s">
        <v>503</v>
      </c>
      <c r="M848" s="2">
        <v>366.26</v>
      </c>
      <c r="N848" s="2">
        <v>2.0</v>
      </c>
      <c r="O848" s="2" t="s">
        <v>4915</v>
      </c>
      <c r="P848" s="2" t="s">
        <v>48</v>
      </c>
      <c r="Q848" s="2" t="s">
        <v>131</v>
      </c>
      <c r="R848" s="2" t="s">
        <v>818</v>
      </c>
    </row>
    <row r="849" ht="15.75" customHeight="1">
      <c r="A849" s="2" t="s">
        <v>4916</v>
      </c>
      <c r="B849" s="2" t="s">
        <v>4917</v>
      </c>
      <c r="C849" s="2" t="s">
        <v>4918</v>
      </c>
      <c r="D849" s="2" t="s">
        <v>4919</v>
      </c>
      <c r="E849" s="2" t="s">
        <v>4920</v>
      </c>
      <c r="F849" s="2" t="s">
        <v>4921</v>
      </c>
      <c r="G849" s="2" t="s">
        <v>608</v>
      </c>
      <c r="H849" s="2" t="s">
        <v>210</v>
      </c>
      <c r="I849" s="2" t="s">
        <v>4922</v>
      </c>
      <c r="J849" s="2" t="s">
        <v>2321</v>
      </c>
      <c r="K849" s="2" t="s">
        <v>2322</v>
      </c>
      <c r="L849" s="2" t="s">
        <v>368</v>
      </c>
      <c r="M849" s="2">
        <v>1201.48</v>
      </c>
      <c r="N849" s="2">
        <v>2.0</v>
      </c>
      <c r="O849" s="2" t="s">
        <v>4923</v>
      </c>
      <c r="P849" s="2" t="s">
        <v>32</v>
      </c>
      <c r="Q849" s="2" t="s">
        <v>414</v>
      </c>
      <c r="R849" s="2" t="s">
        <v>4924</v>
      </c>
    </row>
    <row r="850" ht="15.75" customHeight="1">
      <c r="A850" s="2" t="s">
        <v>4925</v>
      </c>
      <c r="B850" s="2" t="s">
        <v>4926</v>
      </c>
      <c r="C850" s="2" t="s">
        <v>4927</v>
      </c>
      <c r="D850" s="2" t="s">
        <v>4928</v>
      </c>
      <c r="F850" s="2" t="s">
        <v>4929</v>
      </c>
      <c r="G850" s="2" t="s">
        <v>1319</v>
      </c>
      <c r="H850" s="2" t="s">
        <v>152</v>
      </c>
      <c r="I850" s="2" t="s">
        <v>43</v>
      </c>
      <c r="J850" s="2" t="s">
        <v>948</v>
      </c>
      <c r="K850" s="2" t="s">
        <v>450</v>
      </c>
      <c r="L850" s="2" t="s">
        <v>129</v>
      </c>
      <c r="N850" s="2">
        <v>3.0</v>
      </c>
      <c r="O850" s="2" t="s">
        <v>4930</v>
      </c>
      <c r="P850" s="2" t="s">
        <v>32</v>
      </c>
      <c r="Q850" s="2" t="s">
        <v>33</v>
      </c>
      <c r="R850" s="2" t="s">
        <v>818</v>
      </c>
      <c r="S850" s="2" t="s">
        <v>51</v>
      </c>
    </row>
    <row r="851" ht="15.75" customHeight="1">
      <c r="A851" s="2" t="s">
        <v>4931</v>
      </c>
      <c r="B851" s="2" t="s">
        <v>4932</v>
      </c>
      <c r="C851" s="2" t="s">
        <v>4933</v>
      </c>
      <c r="D851" s="2" t="s">
        <v>4934</v>
      </c>
      <c r="E851" s="2" t="s">
        <v>4935</v>
      </c>
      <c r="F851" s="2" t="s">
        <v>4936</v>
      </c>
      <c r="G851" s="2" t="s">
        <v>88</v>
      </c>
      <c r="H851" s="2" t="s">
        <v>210</v>
      </c>
      <c r="I851" s="2" t="s">
        <v>176</v>
      </c>
      <c r="J851" s="2" t="s">
        <v>2425</v>
      </c>
      <c r="K851" s="2" t="s">
        <v>2426</v>
      </c>
      <c r="L851" s="2" t="s">
        <v>2427</v>
      </c>
      <c r="M851" s="2">
        <v>1652.95</v>
      </c>
      <c r="N851" s="2">
        <v>2.0</v>
      </c>
      <c r="O851" s="2" t="s">
        <v>4937</v>
      </c>
      <c r="P851" s="2" t="s">
        <v>65</v>
      </c>
      <c r="Q851" s="2" t="s">
        <v>131</v>
      </c>
      <c r="R851" s="2" t="s">
        <v>380</v>
      </c>
    </row>
    <row r="852" ht="15.75" customHeight="1">
      <c r="A852" s="2" t="s">
        <v>4938</v>
      </c>
      <c r="B852" s="2" t="s">
        <v>4939</v>
      </c>
      <c r="C852" s="2" t="s">
        <v>908</v>
      </c>
      <c r="D852" s="2" t="s">
        <v>909</v>
      </c>
      <c r="E852" s="2" t="s">
        <v>910</v>
      </c>
      <c r="F852" s="2" t="s">
        <v>911</v>
      </c>
      <c r="G852" s="2" t="s">
        <v>720</v>
      </c>
      <c r="H852" s="2" t="s">
        <v>42</v>
      </c>
      <c r="I852" s="2" t="s">
        <v>352</v>
      </c>
      <c r="J852" s="2" t="s">
        <v>746</v>
      </c>
      <c r="K852" s="2" t="s">
        <v>747</v>
      </c>
      <c r="L852" s="2" t="s">
        <v>748</v>
      </c>
      <c r="N852" s="2">
        <v>3.0</v>
      </c>
      <c r="O852" s="2" t="s">
        <v>4940</v>
      </c>
      <c r="P852" s="2" t="s">
        <v>95</v>
      </c>
      <c r="Q852" s="2" t="s">
        <v>143</v>
      </c>
      <c r="R852" s="2" t="s">
        <v>818</v>
      </c>
    </row>
    <row r="853" ht="15.75" customHeight="1">
      <c r="A853" s="2" t="s">
        <v>4941</v>
      </c>
      <c r="B853" s="2" t="s">
        <v>4942</v>
      </c>
      <c r="C853" s="2" t="s">
        <v>2911</v>
      </c>
      <c r="D853" s="2" t="s">
        <v>2912</v>
      </c>
      <c r="E853" s="2" t="s">
        <v>2913</v>
      </c>
      <c r="F853" s="2" t="s">
        <v>2914</v>
      </c>
      <c r="G853" s="2" t="s">
        <v>114</v>
      </c>
      <c r="H853" s="2" t="s">
        <v>223</v>
      </c>
      <c r="I853" s="2" t="s">
        <v>4943</v>
      </c>
      <c r="J853" s="2" t="s">
        <v>2012</v>
      </c>
      <c r="K853" s="2" t="s">
        <v>741</v>
      </c>
      <c r="L853" s="2" t="s">
        <v>514</v>
      </c>
      <c r="O853" s="2" t="s">
        <v>4944</v>
      </c>
      <c r="P853" s="2" t="s">
        <v>65</v>
      </c>
      <c r="Q853" s="2" t="s">
        <v>66</v>
      </c>
      <c r="R853" s="2" t="s">
        <v>80</v>
      </c>
      <c r="S853" s="2" t="s">
        <v>51</v>
      </c>
    </row>
    <row r="854" ht="15.75" customHeight="1">
      <c r="A854" s="2" t="s">
        <v>4945</v>
      </c>
      <c r="B854" s="2" t="s">
        <v>4946</v>
      </c>
      <c r="C854" s="2" t="s">
        <v>2738</v>
      </c>
      <c r="D854" s="2" t="s">
        <v>2739</v>
      </c>
      <c r="E854" s="2" t="s">
        <v>2740</v>
      </c>
      <c r="F854" s="2" t="s">
        <v>2741</v>
      </c>
      <c r="G854" s="2" t="s">
        <v>738</v>
      </c>
      <c r="H854" s="2" t="s">
        <v>152</v>
      </c>
      <c r="I854" s="2" t="s">
        <v>3833</v>
      </c>
      <c r="J854" s="2" t="s">
        <v>411</v>
      </c>
      <c r="K854" s="2" t="s">
        <v>412</v>
      </c>
      <c r="L854" s="2" t="s">
        <v>167</v>
      </c>
      <c r="M854" s="2">
        <v>1461.94</v>
      </c>
      <c r="N854" s="2">
        <v>3.0</v>
      </c>
      <c r="O854" s="2" t="s">
        <v>4947</v>
      </c>
      <c r="P854" s="2" t="s">
        <v>48</v>
      </c>
      <c r="Q854" s="2" t="s">
        <v>181</v>
      </c>
      <c r="R854" s="2" t="s">
        <v>80</v>
      </c>
      <c r="S854" s="2" t="s">
        <v>81</v>
      </c>
    </row>
    <row r="855" ht="15.75" customHeight="1">
      <c r="A855" s="2" t="s">
        <v>4948</v>
      </c>
      <c r="B855" s="2" t="s">
        <v>4949</v>
      </c>
      <c r="C855" s="2" t="s">
        <v>1825</v>
      </c>
      <c r="D855" s="2" t="s">
        <v>1826</v>
      </c>
      <c r="E855" s="2" t="s">
        <v>1827</v>
      </c>
      <c r="F855" s="2" t="s">
        <v>1828</v>
      </c>
      <c r="G855" s="2" t="s">
        <v>88</v>
      </c>
      <c r="H855" s="2" t="s">
        <v>223</v>
      </c>
      <c r="I855" s="2" t="s">
        <v>176</v>
      </c>
      <c r="J855" s="2" t="s">
        <v>1679</v>
      </c>
      <c r="K855" s="2" t="s">
        <v>1530</v>
      </c>
      <c r="L855" s="2" t="s">
        <v>514</v>
      </c>
      <c r="M855" s="2">
        <v>1018.21</v>
      </c>
      <c r="N855" s="2">
        <v>5.0</v>
      </c>
      <c r="O855" s="2" t="s">
        <v>4950</v>
      </c>
      <c r="P855" s="2" t="s">
        <v>95</v>
      </c>
      <c r="Q855" s="2" t="s">
        <v>204</v>
      </c>
      <c r="R855" s="2" t="s">
        <v>132</v>
      </c>
    </row>
    <row r="856" ht="15.75" customHeight="1">
      <c r="A856" s="2" t="s">
        <v>4951</v>
      </c>
      <c r="B856" s="2" t="s">
        <v>4952</v>
      </c>
      <c r="C856" s="2" t="s">
        <v>915</v>
      </c>
      <c r="D856" s="2" t="s">
        <v>916</v>
      </c>
      <c r="E856" s="2" t="s">
        <v>917</v>
      </c>
      <c r="F856" s="2" t="s">
        <v>918</v>
      </c>
      <c r="G856" s="2" t="s">
        <v>364</v>
      </c>
      <c r="H856" s="2" t="s">
        <v>42</v>
      </c>
      <c r="I856" s="2" t="s">
        <v>75</v>
      </c>
      <c r="J856" s="2" t="s">
        <v>792</v>
      </c>
      <c r="K856" s="2" t="s">
        <v>314</v>
      </c>
      <c r="L856" s="2" t="s">
        <v>742</v>
      </c>
      <c r="N856" s="2">
        <v>1.0</v>
      </c>
      <c r="O856" s="2" t="s">
        <v>4953</v>
      </c>
      <c r="P856" s="2" t="s">
        <v>65</v>
      </c>
      <c r="Q856" s="2" t="s">
        <v>414</v>
      </c>
      <c r="R856" s="2" t="s">
        <v>192</v>
      </c>
    </row>
    <row r="857" ht="15.75" customHeight="1">
      <c r="A857" s="2" t="s">
        <v>4954</v>
      </c>
      <c r="B857" s="2" t="s">
        <v>780</v>
      </c>
      <c r="C857" s="2" t="s">
        <v>3994</v>
      </c>
      <c r="D857" s="2" t="s">
        <v>3995</v>
      </c>
      <c r="E857" s="2" t="s">
        <v>3996</v>
      </c>
      <c r="F857" s="2" t="s">
        <v>3997</v>
      </c>
      <c r="G857" s="2" t="s">
        <v>3998</v>
      </c>
      <c r="H857" s="2" t="s">
        <v>26</v>
      </c>
      <c r="I857" s="2" t="s">
        <v>870</v>
      </c>
      <c r="J857" s="2" t="s">
        <v>2605</v>
      </c>
      <c r="K857" s="2" t="s">
        <v>2606</v>
      </c>
      <c r="L857" s="2" t="s">
        <v>292</v>
      </c>
      <c r="M857" s="2">
        <v>273.85</v>
      </c>
      <c r="N857" s="2">
        <v>1.0</v>
      </c>
      <c r="O857" s="2" t="s">
        <v>4955</v>
      </c>
      <c r="P857" s="2" t="s">
        <v>3269</v>
      </c>
      <c r="Q857" s="2" t="s">
        <v>204</v>
      </c>
      <c r="R857" s="2" t="s">
        <v>192</v>
      </c>
      <c r="S857" s="2" t="s">
        <v>133</v>
      </c>
    </row>
    <row r="858" ht="15.75" customHeight="1">
      <c r="A858" s="2" t="s">
        <v>4956</v>
      </c>
      <c r="B858" s="2" t="s">
        <v>4957</v>
      </c>
      <c r="C858" s="2" t="s">
        <v>1557</v>
      </c>
      <c r="D858" s="2" t="s">
        <v>1558</v>
      </c>
      <c r="E858" s="2" t="s">
        <v>1559</v>
      </c>
      <c r="F858" s="2" t="s">
        <v>1560</v>
      </c>
      <c r="G858" s="2" t="s">
        <v>114</v>
      </c>
      <c r="H858" s="2" t="s">
        <v>4958</v>
      </c>
      <c r="I858" s="2" t="s">
        <v>480</v>
      </c>
      <c r="J858" s="2" t="s">
        <v>534</v>
      </c>
      <c r="K858" s="2" t="s">
        <v>535</v>
      </c>
      <c r="L858" s="2" t="s">
        <v>30</v>
      </c>
      <c r="N858" s="2">
        <v>2.0</v>
      </c>
      <c r="P858" s="2" t="s">
        <v>65</v>
      </c>
      <c r="Q858" s="2" t="s">
        <v>305</v>
      </c>
      <c r="R858" s="2" t="s">
        <v>34</v>
      </c>
    </row>
    <row r="859" ht="15.75" customHeight="1">
      <c r="A859" s="2" t="s">
        <v>4959</v>
      </c>
      <c r="B859" s="2" t="s">
        <v>4960</v>
      </c>
      <c r="C859" s="2" t="s">
        <v>3392</v>
      </c>
      <c r="D859" s="2" t="s">
        <v>3393</v>
      </c>
      <c r="E859" s="2" t="s">
        <v>3394</v>
      </c>
      <c r="F859" s="2" t="s">
        <v>3395</v>
      </c>
      <c r="G859" s="2" t="s">
        <v>1177</v>
      </c>
      <c r="H859" s="2" t="s">
        <v>234</v>
      </c>
      <c r="I859" s="2" t="s">
        <v>60</v>
      </c>
      <c r="J859" s="2" t="s">
        <v>302</v>
      </c>
      <c r="K859" s="2" t="s">
        <v>303</v>
      </c>
      <c r="L859" s="2" t="s">
        <v>248</v>
      </c>
      <c r="M859" s="2">
        <v>1753.75</v>
      </c>
      <c r="N859" s="2">
        <v>1.0</v>
      </c>
      <c r="O859" s="2" t="s">
        <v>4961</v>
      </c>
      <c r="P859" s="2" t="s">
        <v>95</v>
      </c>
      <c r="Q859" s="2" t="s">
        <v>3460</v>
      </c>
      <c r="R859" s="2" t="s">
        <v>3223</v>
      </c>
      <c r="S859" s="2" t="s">
        <v>81</v>
      </c>
    </row>
    <row r="860" ht="15.75" customHeight="1">
      <c r="A860" s="2" t="s">
        <v>4962</v>
      </c>
      <c r="B860" s="2" t="s">
        <v>4963</v>
      </c>
      <c r="C860" s="2" t="s">
        <v>3903</v>
      </c>
      <c r="D860" s="2" t="s">
        <v>3904</v>
      </c>
      <c r="E860" s="2" t="s">
        <v>3905</v>
      </c>
      <c r="F860" s="2" t="s">
        <v>3906</v>
      </c>
      <c r="G860" s="2" t="s">
        <v>1078</v>
      </c>
      <c r="H860" s="2" t="s">
        <v>4964</v>
      </c>
      <c r="I860" s="2" t="s">
        <v>401</v>
      </c>
      <c r="J860" s="2" t="s">
        <v>212</v>
      </c>
      <c r="K860" s="2" t="s">
        <v>213</v>
      </c>
      <c r="L860" s="2" t="s">
        <v>214</v>
      </c>
      <c r="N860" s="2">
        <v>2.0</v>
      </c>
      <c r="O860" s="2" t="s">
        <v>4965</v>
      </c>
      <c r="P860" s="2" t="s">
        <v>32</v>
      </c>
      <c r="Q860" s="2" t="s">
        <v>181</v>
      </c>
      <c r="R860" s="2" t="s">
        <v>818</v>
      </c>
    </row>
    <row r="861" ht="15.75" customHeight="1">
      <c r="A861" s="2" t="s">
        <v>4966</v>
      </c>
      <c r="B861" s="2" t="s">
        <v>4967</v>
      </c>
      <c r="C861" s="2" t="s">
        <v>1472</v>
      </c>
      <c r="D861" s="2" t="s">
        <v>2438</v>
      </c>
      <c r="E861" s="2" t="s">
        <v>2439</v>
      </c>
      <c r="F861" s="2" t="s">
        <v>1474</v>
      </c>
      <c r="G861" s="2" t="s">
        <v>114</v>
      </c>
      <c r="H861" s="2" t="s">
        <v>223</v>
      </c>
      <c r="I861" s="2" t="s">
        <v>176</v>
      </c>
      <c r="J861" s="2" t="s">
        <v>815</v>
      </c>
      <c r="K861" s="2" t="s">
        <v>816</v>
      </c>
      <c r="L861" s="2" t="s">
        <v>179</v>
      </c>
      <c r="M861" s="2">
        <v>584.46</v>
      </c>
      <c r="N861" s="2">
        <v>3.0</v>
      </c>
      <c r="O861" s="2" t="s">
        <v>4968</v>
      </c>
      <c r="P861" s="2" t="s">
        <v>95</v>
      </c>
      <c r="Q861" s="2" t="s">
        <v>181</v>
      </c>
      <c r="R861" s="2" t="s">
        <v>393</v>
      </c>
      <c r="S861" s="2" t="s">
        <v>133</v>
      </c>
    </row>
    <row r="862" ht="15.75" customHeight="1">
      <c r="A862" s="2" t="s">
        <v>4969</v>
      </c>
      <c r="B862" s="2" t="s">
        <v>2277</v>
      </c>
      <c r="C862" s="2" t="s">
        <v>2230</v>
      </c>
      <c r="D862" s="2" t="s">
        <v>2231</v>
      </c>
      <c r="E862" s="2" t="s">
        <v>2232</v>
      </c>
      <c r="G862" s="2" t="s">
        <v>720</v>
      </c>
      <c r="H862" s="2" t="s">
        <v>115</v>
      </c>
      <c r="I862" s="2" t="s">
        <v>176</v>
      </c>
      <c r="J862" s="2" t="s">
        <v>939</v>
      </c>
      <c r="K862" s="2" t="s">
        <v>940</v>
      </c>
      <c r="L862" s="2" t="s">
        <v>941</v>
      </c>
      <c r="M862" s="2">
        <v>166.37</v>
      </c>
      <c r="N862" s="2">
        <v>2.0</v>
      </c>
      <c r="O862" s="2" t="s">
        <v>4970</v>
      </c>
      <c r="P862" s="2" t="s">
        <v>32</v>
      </c>
      <c r="Q862" s="2" t="s">
        <v>238</v>
      </c>
      <c r="R862" s="2" t="s">
        <v>818</v>
      </c>
      <c r="S862" s="2" t="s">
        <v>133</v>
      </c>
    </row>
    <row r="863" ht="15.75" customHeight="1">
      <c r="A863" s="2" t="s">
        <v>4971</v>
      </c>
      <c r="B863" s="2" t="s">
        <v>4972</v>
      </c>
      <c r="C863" s="2" t="s">
        <v>1726</v>
      </c>
      <c r="D863" s="2" t="s">
        <v>1727</v>
      </c>
      <c r="E863" s="2" t="s">
        <v>1728</v>
      </c>
      <c r="F863" s="2" t="s">
        <v>1729</v>
      </c>
      <c r="G863" s="2" t="s">
        <v>1177</v>
      </c>
      <c r="H863" s="2" t="s">
        <v>223</v>
      </c>
      <c r="I863" s="2" t="s">
        <v>176</v>
      </c>
      <c r="J863" s="2" t="s">
        <v>2033</v>
      </c>
      <c r="K863" s="2" t="s">
        <v>2034</v>
      </c>
      <c r="L863" s="2" t="s">
        <v>1016</v>
      </c>
      <c r="N863" s="2">
        <v>1.0</v>
      </c>
      <c r="O863" s="2" t="s">
        <v>4973</v>
      </c>
      <c r="P863" s="2" t="s">
        <v>32</v>
      </c>
      <c r="Q863" s="2" t="s">
        <v>66</v>
      </c>
      <c r="R863" s="2" t="s">
        <v>34</v>
      </c>
    </row>
    <row r="864" ht="15.75" customHeight="1">
      <c r="A864" s="2" t="s">
        <v>4974</v>
      </c>
      <c r="B864" s="2" t="s">
        <v>4975</v>
      </c>
      <c r="C864" s="2" t="s">
        <v>3348</v>
      </c>
      <c r="D864" s="2" t="s">
        <v>2108</v>
      </c>
      <c r="E864" s="2" t="s">
        <v>3349</v>
      </c>
      <c r="F864" s="2" t="s">
        <v>3350</v>
      </c>
      <c r="G864" s="2" t="s">
        <v>1336</v>
      </c>
      <c r="H864" s="2" t="s">
        <v>42</v>
      </c>
      <c r="I864" s="2" t="s">
        <v>43</v>
      </c>
      <c r="J864" s="2" t="s">
        <v>534</v>
      </c>
      <c r="K864" s="2" t="s">
        <v>535</v>
      </c>
      <c r="L864" s="2" t="s">
        <v>30</v>
      </c>
      <c r="M864" s="2">
        <v>321.85</v>
      </c>
      <c r="N864" s="2">
        <v>3.0</v>
      </c>
      <c r="O864" s="2" t="s">
        <v>4976</v>
      </c>
      <c r="P864" s="2" t="s">
        <v>95</v>
      </c>
      <c r="Q864" s="2" t="s">
        <v>664</v>
      </c>
      <c r="R864" s="2" t="s">
        <v>169</v>
      </c>
      <c r="S864" s="2" t="s">
        <v>67</v>
      </c>
    </row>
    <row r="865" ht="15.75" customHeight="1">
      <c r="A865" s="2" t="s">
        <v>4977</v>
      </c>
      <c r="B865" s="2" t="s">
        <v>4978</v>
      </c>
      <c r="C865" s="2" t="s">
        <v>3406</v>
      </c>
      <c r="D865" s="2" t="s">
        <v>3407</v>
      </c>
      <c r="F865" s="2" t="s">
        <v>3409</v>
      </c>
      <c r="G865" s="2" t="s">
        <v>3410</v>
      </c>
      <c r="H865" s="2" t="s">
        <v>2672</v>
      </c>
      <c r="I865" s="2" t="s">
        <v>103</v>
      </c>
      <c r="J865" s="2" t="s">
        <v>1849</v>
      </c>
      <c r="K865" s="2" t="s">
        <v>403</v>
      </c>
      <c r="L865" s="2" t="s">
        <v>248</v>
      </c>
      <c r="M865" s="2">
        <v>1161.32</v>
      </c>
      <c r="N865" s="2">
        <v>2.0</v>
      </c>
      <c r="O865" s="2" t="s">
        <v>4979</v>
      </c>
      <c r="P865" s="2" t="s">
        <v>48</v>
      </c>
      <c r="Q865" s="2" t="s">
        <v>1980</v>
      </c>
      <c r="R865" s="2" t="s">
        <v>192</v>
      </c>
      <c r="S865" s="2" t="s">
        <v>67</v>
      </c>
    </row>
    <row r="866" ht="15.75" customHeight="1">
      <c r="A866" s="2" t="s">
        <v>4980</v>
      </c>
      <c r="B866" s="2" t="s">
        <v>4981</v>
      </c>
      <c r="C866" s="2" t="s">
        <v>4982</v>
      </c>
      <c r="D866" s="2" t="s">
        <v>4983</v>
      </c>
      <c r="E866" s="2" t="s">
        <v>4984</v>
      </c>
      <c r="F866" s="2" t="s">
        <v>4985</v>
      </c>
      <c r="G866" s="2" t="s">
        <v>564</v>
      </c>
      <c r="H866" s="2" t="s">
        <v>683</v>
      </c>
      <c r="I866" s="2" t="s">
        <v>480</v>
      </c>
      <c r="J866" s="2" t="s">
        <v>76</v>
      </c>
      <c r="K866" s="2" t="s">
        <v>77</v>
      </c>
      <c r="L866" s="2" t="s">
        <v>78</v>
      </c>
      <c r="M866" s="2">
        <v>869.15</v>
      </c>
      <c r="N866" s="2">
        <v>1.0</v>
      </c>
      <c r="O866" s="2" t="s">
        <v>4986</v>
      </c>
      <c r="P866" s="2" t="s">
        <v>32</v>
      </c>
      <c r="Q866" s="2" t="s">
        <v>143</v>
      </c>
      <c r="R866" s="2" t="s">
        <v>192</v>
      </c>
    </row>
    <row r="867" ht="15.75" customHeight="1">
      <c r="A867" s="2" t="s">
        <v>4987</v>
      </c>
      <c r="B867" s="2" t="s">
        <v>4988</v>
      </c>
      <c r="C867" s="2" t="s">
        <v>4393</v>
      </c>
      <c r="D867" s="2" t="s">
        <v>4394</v>
      </c>
      <c r="E867" s="2" t="s">
        <v>4395</v>
      </c>
      <c r="G867" s="2" t="s">
        <v>548</v>
      </c>
      <c r="H867" s="2" t="s">
        <v>802</v>
      </c>
      <c r="I867" s="2" t="s">
        <v>480</v>
      </c>
      <c r="J867" s="2" t="s">
        <v>852</v>
      </c>
      <c r="K867" s="2" t="s">
        <v>450</v>
      </c>
      <c r="L867" s="2" t="s">
        <v>167</v>
      </c>
      <c r="M867" s="2">
        <v>1081.84</v>
      </c>
      <c r="N867" s="2">
        <v>2.0</v>
      </c>
      <c r="O867" s="2" t="s">
        <v>4989</v>
      </c>
      <c r="P867" s="2" t="s">
        <v>95</v>
      </c>
      <c r="Q867" s="2" t="s">
        <v>66</v>
      </c>
      <c r="R867" s="2" t="s">
        <v>169</v>
      </c>
    </row>
    <row r="868" ht="15.75" customHeight="1">
      <c r="A868" s="2" t="s">
        <v>4990</v>
      </c>
      <c r="B868" s="2" t="s">
        <v>4991</v>
      </c>
      <c r="C868" s="2" t="s">
        <v>3611</v>
      </c>
      <c r="D868" s="2" t="s">
        <v>3612</v>
      </c>
      <c r="E868" s="2" t="s">
        <v>3613</v>
      </c>
      <c r="F868" s="2" t="s">
        <v>3614</v>
      </c>
      <c r="G868" s="2" t="s">
        <v>25</v>
      </c>
      <c r="H868" s="2" t="s">
        <v>234</v>
      </c>
      <c r="I868" s="2" t="s">
        <v>176</v>
      </c>
      <c r="J868" s="2" t="s">
        <v>28</v>
      </c>
      <c r="K868" s="2" t="s">
        <v>29</v>
      </c>
      <c r="L868" s="2" t="s">
        <v>30</v>
      </c>
      <c r="M868" s="2">
        <v>400.88</v>
      </c>
      <c r="N868" s="2">
        <v>2.0</v>
      </c>
      <c r="O868" s="2" t="s">
        <v>4992</v>
      </c>
      <c r="P868" s="2" t="s">
        <v>32</v>
      </c>
      <c r="Q868" s="2" t="s">
        <v>49</v>
      </c>
      <c r="R868" s="2" t="s">
        <v>80</v>
      </c>
    </row>
    <row r="869" ht="15.75" customHeight="1">
      <c r="A869" s="2" t="s">
        <v>4993</v>
      </c>
      <c r="B869" s="2" t="s">
        <v>4994</v>
      </c>
      <c r="C869" s="2" t="s">
        <v>3994</v>
      </c>
      <c r="D869" s="2" t="s">
        <v>3995</v>
      </c>
      <c r="E869" s="2" t="s">
        <v>3996</v>
      </c>
      <c r="F869" s="2" t="s">
        <v>3997</v>
      </c>
      <c r="G869" s="2" t="s">
        <v>3998</v>
      </c>
      <c r="H869" s="2" t="s">
        <v>301</v>
      </c>
      <c r="I869" s="2" t="s">
        <v>1032</v>
      </c>
      <c r="J869" s="2" t="s">
        <v>3101</v>
      </c>
      <c r="K869" s="2" t="s">
        <v>1212</v>
      </c>
      <c r="L869" s="2" t="s">
        <v>248</v>
      </c>
      <c r="M869" s="2">
        <v>203.55</v>
      </c>
      <c r="N869" s="2">
        <v>2.0</v>
      </c>
      <c r="O869" s="2" t="s">
        <v>4995</v>
      </c>
      <c r="P869" s="2" t="s">
        <v>65</v>
      </c>
      <c r="Q869" s="2" t="s">
        <v>143</v>
      </c>
      <c r="R869" s="2" t="s">
        <v>393</v>
      </c>
    </row>
    <row r="870" ht="15.75" customHeight="1">
      <c r="A870" s="2" t="s">
        <v>4996</v>
      </c>
      <c r="B870" s="2" t="s">
        <v>4997</v>
      </c>
      <c r="C870" s="2" t="s">
        <v>4998</v>
      </c>
      <c r="D870" s="2" t="s">
        <v>2231</v>
      </c>
      <c r="E870" s="2" t="s">
        <v>4999</v>
      </c>
      <c r="F870" s="2" t="s">
        <v>5000</v>
      </c>
      <c r="G870" s="2" t="s">
        <v>114</v>
      </c>
      <c r="H870" s="2" t="s">
        <v>400</v>
      </c>
      <c r="I870" s="2" t="s">
        <v>43</v>
      </c>
      <c r="J870" s="2" t="s">
        <v>3172</v>
      </c>
      <c r="K870" s="2" t="s">
        <v>3173</v>
      </c>
      <c r="L870" s="2" t="s">
        <v>355</v>
      </c>
      <c r="M870" s="2">
        <v>1778.33</v>
      </c>
      <c r="N870" s="2">
        <v>1.0</v>
      </c>
      <c r="O870" s="2" t="s">
        <v>5001</v>
      </c>
      <c r="P870" s="2" t="s">
        <v>65</v>
      </c>
      <c r="Q870" s="2" t="s">
        <v>96</v>
      </c>
      <c r="R870" s="2" t="s">
        <v>527</v>
      </c>
      <c r="S870" s="2" t="s">
        <v>67</v>
      </c>
    </row>
    <row r="871" ht="15.75" customHeight="1">
      <c r="A871" s="2" t="s">
        <v>5002</v>
      </c>
      <c r="B871" s="2" t="s">
        <v>5003</v>
      </c>
      <c r="C871" s="2" t="s">
        <v>5004</v>
      </c>
      <c r="D871" s="2" t="s">
        <v>5005</v>
      </c>
      <c r="E871" s="2" t="s">
        <v>5006</v>
      </c>
      <c r="F871" s="2" t="s">
        <v>5007</v>
      </c>
      <c r="G871" s="2" t="s">
        <v>459</v>
      </c>
      <c r="H871" s="2" t="s">
        <v>26</v>
      </c>
      <c r="I871" s="2" t="s">
        <v>103</v>
      </c>
      <c r="J871" s="2" t="s">
        <v>461</v>
      </c>
      <c r="K871" s="2" t="s">
        <v>462</v>
      </c>
      <c r="L871" s="2" t="s">
        <v>463</v>
      </c>
      <c r="N871" s="2">
        <v>1.0</v>
      </c>
      <c r="O871" s="2" t="s">
        <v>5008</v>
      </c>
      <c r="P871" s="2" t="s">
        <v>32</v>
      </c>
      <c r="Q871" s="2" t="s">
        <v>157</v>
      </c>
      <c r="R871" s="2" t="s">
        <v>80</v>
      </c>
      <c r="S871" s="2" t="s">
        <v>67</v>
      </c>
    </row>
    <row r="872" ht="15.75" customHeight="1">
      <c r="A872" s="2" t="s">
        <v>5009</v>
      </c>
      <c r="B872" s="2" t="s">
        <v>3754</v>
      </c>
      <c r="C872" s="2" t="s">
        <v>3903</v>
      </c>
      <c r="D872" s="2" t="s">
        <v>3904</v>
      </c>
      <c r="E872" s="2" t="s">
        <v>3905</v>
      </c>
      <c r="F872" s="2" t="s">
        <v>3906</v>
      </c>
      <c r="G872" s="2" t="s">
        <v>1078</v>
      </c>
      <c r="H872" s="2" t="s">
        <v>26</v>
      </c>
      <c r="I872" s="2" t="s">
        <v>211</v>
      </c>
      <c r="J872" s="2" t="s">
        <v>177</v>
      </c>
      <c r="K872" s="2" t="s">
        <v>178</v>
      </c>
      <c r="L872" s="2" t="s">
        <v>179</v>
      </c>
      <c r="N872" s="2">
        <v>1.0</v>
      </c>
      <c r="O872" s="2" t="s">
        <v>5010</v>
      </c>
      <c r="P872" s="2" t="s">
        <v>48</v>
      </c>
      <c r="Q872" s="2" t="s">
        <v>181</v>
      </c>
      <c r="R872" s="2" t="s">
        <v>442</v>
      </c>
    </row>
    <row r="873" ht="15.75" customHeight="1">
      <c r="A873" s="2" t="s">
        <v>5011</v>
      </c>
      <c r="B873" s="2" t="s">
        <v>5012</v>
      </c>
      <c r="C873" s="2" t="s">
        <v>2300</v>
      </c>
      <c r="D873" s="2" t="s">
        <v>2301</v>
      </c>
      <c r="E873" s="2" t="s">
        <v>2302</v>
      </c>
      <c r="F873" s="2" t="s">
        <v>2303</v>
      </c>
      <c r="G873" s="2" t="s">
        <v>608</v>
      </c>
      <c r="H873" s="2" t="s">
        <v>26</v>
      </c>
      <c r="I873" s="2" t="s">
        <v>512</v>
      </c>
      <c r="J873" s="2" t="s">
        <v>302</v>
      </c>
      <c r="K873" s="2" t="s">
        <v>303</v>
      </c>
      <c r="L873" s="2" t="s">
        <v>248</v>
      </c>
      <c r="N873" s="2">
        <v>5.0</v>
      </c>
      <c r="O873" s="2" t="s">
        <v>5013</v>
      </c>
      <c r="P873" s="2" t="s">
        <v>65</v>
      </c>
      <c r="Q873" s="2" t="s">
        <v>583</v>
      </c>
      <c r="R873" s="2" t="s">
        <v>120</v>
      </c>
      <c r="S873" s="2" t="s">
        <v>81</v>
      </c>
    </row>
    <row r="874" ht="15.75" customHeight="1">
      <c r="A874" s="2" t="s">
        <v>5014</v>
      </c>
      <c r="B874" s="2" t="s">
        <v>5015</v>
      </c>
      <c r="C874" s="2" t="s">
        <v>2998</v>
      </c>
      <c r="D874" s="2" t="s">
        <v>428</v>
      </c>
      <c r="E874" s="2" t="s">
        <v>2999</v>
      </c>
      <c r="F874" s="2" t="s">
        <v>3000</v>
      </c>
      <c r="G874" s="2" t="s">
        <v>448</v>
      </c>
      <c r="H874" s="2" t="s">
        <v>59</v>
      </c>
      <c r="I874" s="2" t="s">
        <v>116</v>
      </c>
      <c r="J874" s="2" t="s">
        <v>1192</v>
      </c>
      <c r="K874" s="2" t="s">
        <v>1193</v>
      </c>
      <c r="L874" s="2" t="s">
        <v>179</v>
      </c>
      <c r="M874" s="2">
        <v>1724.71</v>
      </c>
      <c r="N874" s="2">
        <v>1.0</v>
      </c>
      <c r="O874" s="2" t="s">
        <v>5016</v>
      </c>
      <c r="P874" s="2" t="s">
        <v>65</v>
      </c>
      <c r="Q874" s="2" t="s">
        <v>49</v>
      </c>
      <c r="R874" s="2" t="s">
        <v>169</v>
      </c>
      <c r="S874" s="2" t="s">
        <v>67</v>
      </c>
    </row>
    <row r="875" ht="15.75" customHeight="1">
      <c r="A875" s="2" t="s">
        <v>5017</v>
      </c>
      <c r="B875" s="2" t="s">
        <v>5018</v>
      </c>
      <c r="C875" s="2" t="s">
        <v>2008</v>
      </c>
      <c r="D875" s="2" t="s">
        <v>2009</v>
      </c>
      <c r="E875" s="2" t="s">
        <v>2010</v>
      </c>
      <c r="F875" s="2" t="s">
        <v>2011</v>
      </c>
      <c r="G875" s="2" t="s">
        <v>114</v>
      </c>
      <c r="H875" s="2" t="s">
        <v>683</v>
      </c>
      <c r="I875" s="2" t="s">
        <v>60</v>
      </c>
      <c r="J875" s="2" t="s">
        <v>3053</v>
      </c>
      <c r="K875" s="2" t="s">
        <v>741</v>
      </c>
      <c r="L875" s="2" t="s">
        <v>63</v>
      </c>
      <c r="M875" s="2">
        <v>705.0</v>
      </c>
      <c r="N875" s="2">
        <v>2.0</v>
      </c>
      <c r="O875" s="2" t="s">
        <v>5019</v>
      </c>
      <c r="P875" s="2" t="s">
        <v>32</v>
      </c>
      <c r="Q875" s="2" t="s">
        <v>526</v>
      </c>
      <c r="R875" s="2" t="s">
        <v>80</v>
      </c>
    </row>
    <row r="876" ht="15.75" customHeight="1">
      <c r="A876" s="2" t="s">
        <v>5020</v>
      </c>
      <c r="B876" s="2" t="s">
        <v>5021</v>
      </c>
      <c r="C876" s="2" t="s">
        <v>5022</v>
      </c>
      <c r="D876" s="2" t="s">
        <v>726</v>
      </c>
      <c r="E876" s="2" t="s">
        <v>5023</v>
      </c>
      <c r="F876" s="2" t="s">
        <v>5024</v>
      </c>
      <c r="G876" s="2" t="s">
        <v>199</v>
      </c>
      <c r="H876" s="2" t="s">
        <v>683</v>
      </c>
      <c r="I876" s="2" t="s">
        <v>512</v>
      </c>
      <c r="J876" s="2" t="s">
        <v>1168</v>
      </c>
      <c r="K876" s="2" t="s">
        <v>1169</v>
      </c>
      <c r="L876" s="2" t="s">
        <v>63</v>
      </c>
      <c r="M876" s="2">
        <v>1668.04</v>
      </c>
      <c r="N876" s="2">
        <v>2.0</v>
      </c>
      <c r="O876" s="2" t="s">
        <v>5025</v>
      </c>
      <c r="P876" s="2" t="s">
        <v>65</v>
      </c>
      <c r="Q876" s="2" t="s">
        <v>143</v>
      </c>
      <c r="R876" s="2" t="s">
        <v>80</v>
      </c>
    </row>
    <row r="877" ht="15.75" customHeight="1">
      <c r="A877" s="2" t="s">
        <v>5026</v>
      </c>
      <c r="B877" s="2" t="s">
        <v>5027</v>
      </c>
      <c r="C877" s="2" t="s">
        <v>5028</v>
      </c>
      <c r="D877" s="2" t="s">
        <v>5029</v>
      </c>
      <c r="E877" s="2" t="s">
        <v>5030</v>
      </c>
      <c r="F877" s="2" t="s">
        <v>5031</v>
      </c>
      <c r="G877" s="2" t="s">
        <v>671</v>
      </c>
      <c r="H877" s="2" t="s">
        <v>59</v>
      </c>
      <c r="I877" s="2" t="s">
        <v>43</v>
      </c>
      <c r="J877" s="2" t="s">
        <v>513</v>
      </c>
      <c r="K877" s="2" t="s">
        <v>391</v>
      </c>
      <c r="L877" s="2" t="s">
        <v>514</v>
      </c>
      <c r="N877" s="2">
        <v>1.0</v>
      </c>
      <c r="O877" s="2" t="s">
        <v>5032</v>
      </c>
      <c r="P877" s="2" t="s">
        <v>48</v>
      </c>
      <c r="Q877" s="2" t="s">
        <v>485</v>
      </c>
      <c r="R877" s="2" t="s">
        <v>120</v>
      </c>
      <c r="S877" s="2" t="s">
        <v>81</v>
      </c>
    </row>
    <row r="878" ht="15.75" customHeight="1">
      <c r="A878" s="2" t="s">
        <v>5033</v>
      </c>
      <c r="B878" s="2" t="s">
        <v>5034</v>
      </c>
      <c r="C878" s="2" t="s">
        <v>3279</v>
      </c>
      <c r="D878" s="2" t="s">
        <v>3280</v>
      </c>
      <c r="E878" s="2" t="s">
        <v>3281</v>
      </c>
      <c r="F878" s="2" t="s">
        <v>3282</v>
      </c>
      <c r="G878" s="2" t="s">
        <v>58</v>
      </c>
      <c r="H878" s="2" t="s">
        <v>223</v>
      </c>
      <c r="I878" s="2" t="s">
        <v>401</v>
      </c>
      <c r="J878" s="2" t="s">
        <v>2680</v>
      </c>
      <c r="K878" s="2" t="s">
        <v>303</v>
      </c>
      <c r="L878" s="2" t="s">
        <v>2421</v>
      </c>
      <c r="M878" s="2">
        <v>812.15</v>
      </c>
      <c r="N878" s="2">
        <v>5.0</v>
      </c>
      <c r="O878" s="2" t="s">
        <v>5035</v>
      </c>
      <c r="P878" s="2" t="s">
        <v>95</v>
      </c>
      <c r="Q878" s="2" t="s">
        <v>49</v>
      </c>
      <c r="R878" s="2" t="s">
        <v>192</v>
      </c>
      <c r="S878" s="2" t="s">
        <v>81</v>
      </c>
    </row>
    <row r="879" ht="15.75" customHeight="1">
      <c r="A879" s="2" t="s">
        <v>5036</v>
      </c>
      <c r="B879" s="2" t="s">
        <v>5037</v>
      </c>
      <c r="C879" s="2" t="s">
        <v>2029</v>
      </c>
      <c r="D879" s="2" t="s">
        <v>2030</v>
      </c>
      <c r="E879" s="2" t="s">
        <v>2031</v>
      </c>
      <c r="F879" s="2" t="s">
        <v>2032</v>
      </c>
      <c r="G879" s="2" t="s">
        <v>564</v>
      </c>
      <c r="H879" s="2" t="s">
        <v>1167</v>
      </c>
      <c r="I879" s="2" t="s">
        <v>5038</v>
      </c>
      <c r="J879" s="2" t="s">
        <v>471</v>
      </c>
      <c r="K879" s="2" t="s">
        <v>472</v>
      </c>
      <c r="L879" s="2" t="s">
        <v>179</v>
      </c>
      <c r="N879" s="2">
        <v>2.0</v>
      </c>
      <c r="O879" s="2" t="s">
        <v>5039</v>
      </c>
      <c r="P879" s="2" t="s">
        <v>48</v>
      </c>
      <c r="Q879" s="2" t="s">
        <v>181</v>
      </c>
      <c r="R879" s="2" t="s">
        <v>5040</v>
      </c>
    </row>
    <row r="880" ht="15.75" customHeight="1">
      <c r="A880" s="2" t="s">
        <v>5041</v>
      </c>
      <c r="B880" s="2" t="s">
        <v>3305</v>
      </c>
      <c r="C880" s="2" t="s">
        <v>2794</v>
      </c>
      <c r="D880" s="2" t="s">
        <v>2180</v>
      </c>
      <c r="E880" s="2" t="s">
        <v>2795</v>
      </c>
      <c r="F880" s="2" t="s">
        <v>2796</v>
      </c>
      <c r="G880" s="2" t="s">
        <v>1177</v>
      </c>
      <c r="H880" s="2" t="s">
        <v>42</v>
      </c>
      <c r="I880" s="2" t="s">
        <v>103</v>
      </c>
      <c r="J880" s="2" t="s">
        <v>993</v>
      </c>
      <c r="K880" s="2" t="s">
        <v>994</v>
      </c>
      <c r="L880" s="2" t="s">
        <v>995</v>
      </c>
      <c r="M880" s="2">
        <v>1551.03</v>
      </c>
      <c r="N880" s="2">
        <v>2.0</v>
      </c>
      <c r="O880" s="2" t="s">
        <v>5042</v>
      </c>
      <c r="P880" s="2" t="s">
        <v>48</v>
      </c>
      <c r="Q880" s="2" t="s">
        <v>131</v>
      </c>
      <c r="R880" s="2" t="s">
        <v>432</v>
      </c>
    </row>
    <row r="881" ht="15.75" customHeight="1">
      <c r="A881" s="2" t="s">
        <v>5043</v>
      </c>
      <c r="B881" s="2" t="s">
        <v>5044</v>
      </c>
      <c r="C881" s="2" t="s">
        <v>1020</v>
      </c>
      <c r="D881" s="2" t="s">
        <v>1021</v>
      </c>
      <c r="E881" s="2" t="s">
        <v>1022</v>
      </c>
      <c r="F881" s="2" t="s">
        <v>1023</v>
      </c>
      <c r="G881" s="2" t="s">
        <v>88</v>
      </c>
      <c r="H881" s="2" t="s">
        <v>59</v>
      </c>
      <c r="I881" s="2" t="s">
        <v>289</v>
      </c>
      <c r="J881" s="2" t="s">
        <v>803</v>
      </c>
      <c r="K881" s="2" t="s">
        <v>804</v>
      </c>
      <c r="L881" s="2" t="s">
        <v>805</v>
      </c>
      <c r="M881" s="2">
        <v>1527.45</v>
      </c>
      <c r="N881" s="2">
        <v>1.0</v>
      </c>
      <c r="O881" s="2" t="s">
        <v>5045</v>
      </c>
      <c r="P881" s="2" t="s">
        <v>65</v>
      </c>
      <c r="Q881" s="2" t="s">
        <v>664</v>
      </c>
      <c r="R881" s="2" t="s">
        <v>4924</v>
      </c>
    </row>
    <row r="882" ht="15.75" customHeight="1">
      <c r="A882" s="2" t="s">
        <v>5046</v>
      </c>
      <c r="B882" s="2" t="s">
        <v>5047</v>
      </c>
      <c r="C882" s="2" t="s">
        <v>5048</v>
      </c>
      <c r="D882" s="2" t="s">
        <v>4358</v>
      </c>
      <c r="E882" s="2" t="s">
        <v>5049</v>
      </c>
      <c r="F882" s="2" t="s">
        <v>5050</v>
      </c>
      <c r="G882" s="2" t="s">
        <v>5051</v>
      </c>
      <c r="H882" s="2" t="s">
        <v>323</v>
      </c>
      <c r="I882" s="2" t="s">
        <v>1245</v>
      </c>
      <c r="J882" s="2" t="s">
        <v>3596</v>
      </c>
      <c r="K882" s="2" t="s">
        <v>3597</v>
      </c>
      <c r="L882" s="2" t="s">
        <v>63</v>
      </c>
      <c r="M882" s="2">
        <v>347.96</v>
      </c>
      <c r="N882" s="2">
        <v>5.0</v>
      </c>
      <c r="O882" s="2" t="s">
        <v>5052</v>
      </c>
      <c r="P882" s="2" t="s">
        <v>48</v>
      </c>
      <c r="Q882" s="2" t="s">
        <v>2521</v>
      </c>
      <c r="R882" s="2" t="s">
        <v>294</v>
      </c>
    </row>
    <row r="883" ht="15.75" customHeight="1">
      <c r="A883" s="2" t="s">
        <v>5053</v>
      </c>
      <c r="B883" s="2" t="s">
        <v>5054</v>
      </c>
      <c r="C883" s="2" t="s">
        <v>3882</v>
      </c>
      <c r="D883" s="2" t="s">
        <v>3883</v>
      </c>
      <c r="E883" s="2" t="s">
        <v>3884</v>
      </c>
      <c r="F883" s="2" t="s">
        <v>3885</v>
      </c>
      <c r="G883" s="2" t="s">
        <v>114</v>
      </c>
      <c r="H883" s="2" t="s">
        <v>74</v>
      </c>
      <c r="I883" s="2" t="s">
        <v>103</v>
      </c>
      <c r="J883" s="2" t="s">
        <v>4068</v>
      </c>
      <c r="K883" s="2" t="s">
        <v>4069</v>
      </c>
      <c r="L883" s="2" t="s">
        <v>1016</v>
      </c>
      <c r="M883" s="2">
        <v>362.95</v>
      </c>
      <c r="N883" s="2">
        <v>1.0</v>
      </c>
      <c r="O883" s="2" t="s">
        <v>5055</v>
      </c>
      <c r="P883" s="2" t="s">
        <v>32</v>
      </c>
      <c r="Q883" s="2" t="s">
        <v>664</v>
      </c>
      <c r="R883" s="2" t="s">
        <v>306</v>
      </c>
    </row>
    <row r="884" ht="15.75" customHeight="1">
      <c r="A884" s="2" t="s">
        <v>5056</v>
      </c>
      <c r="B884" s="2" t="s">
        <v>5057</v>
      </c>
      <c r="C884" s="2" t="s">
        <v>5058</v>
      </c>
      <c r="D884" s="2" t="s">
        <v>5059</v>
      </c>
      <c r="E884" s="2" t="s">
        <v>5060</v>
      </c>
      <c r="F884" s="2" t="s">
        <v>5061</v>
      </c>
      <c r="G884" s="2" t="s">
        <v>199</v>
      </c>
      <c r="H884" s="2" t="s">
        <v>115</v>
      </c>
      <c r="I884" s="2" t="s">
        <v>5062</v>
      </c>
      <c r="J884" s="2" t="s">
        <v>1137</v>
      </c>
      <c r="K884" s="2" t="s">
        <v>1138</v>
      </c>
      <c r="L884" s="2" t="s">
        <v>30</v>
      </c>
      <c r="N884" s="2">
        <v>2.0</v>
      </c>
      <c r="O884" s="2" t="s">
        <v>5063</v>
      </c>
      <c r="P884" s="2" t="s">
        <v>48</v>
      </c>
      <c r="Q884" s="2" t="s">
        <v>238</v>
      </c>
      <c r="R884" s="2" t="s">
        <v>432</v>
      </c>
    </row>
    <row r="885" ht="15.75" customHeight="1">
      <c r="A885" s="2" t="s">
        <v>5064</v>
      </c>
      <c r="B885" s="2" t="s">
        <v>5065</v>
      </c>
      <c r="C885" s="2" t="s">
        <v>1557</v>
      </c>
      <c r="D885" s="2" t="s">
        <v>1558</v>
      </c>
      <c r="E885" s="2" t="s">
        <v>1559</v>
      </c>
      <c r="F885" s="2" t="s">
        <v>1560</v>
      </c>
      <c r="G885" s="2" t="s">
        <v>114</v>
      </c>
      <c r="H885" s="2" t="s">
        <v>26</v>
      </c>
      <c r="I885" s="2" t="s">
        <v>103</v>
      </c>
      <c r="J885" s="2" t="s">
        <v>189</v>
      </c>
      <c r="K885" s="2" t="s">
        <v>190</v>
      </c>
      <c r="L885" s="2" t="s">
        <v>167</v>
      </c>
      <c r="M885" s="2">
        <v>446.69</v>
      </c>
      <c r="N885" s="2">
        <v>2.0</v>
      </c>
      <c r="O885" s="2" t="s">
        <v>5066</v>
      </c>
      <c r="P885" s="2" t="s">
        <v>65</v>
      </c>
      <c r="Q885" s="2" t="s">
        <v>143</v>
      </c>
      <c r="R885" s="2" t="s">
        <v>294</v>
      </c>
    </row>
    <row r="886" ht="15.75" customHeight="1">
      <c r="A886" s="2" t="s">
        <v>5067</v>
      </c>
      <c r="B886" s="2" t="s">
        <v>5068</v>
      </c>
      <c r="C886" s="2" t="s">
        <v>4418</v>
      </c>
      <c r="D886" s="2" t="s">
        <v>4419</v>
      </c>
      <c r="E886" s="2" t="s">
        <v>4420</v>
      </c>
      <c r="F886" s="2" t="s">
        <v>4421</v>
      </c>
      <c r="G886" s="2" t="s">
        <v>4422</v>
      </c>
      <c r="H886" s="2" t="s">
        <v>42</v>
      </c>
      <c r="I886" s="2" t="s">
        <v>4299</v>
      </c>
      <c r="J886" s="2" t="s">
        <v>643</v>
      </c>
      <c r="K886" s="2" t="s">
        <v>644</v>
      </c>
      <c r="L886" s="2" t="s">
        <v>368</v>
      </c>
      <c r="N886" s="2">
        <v>2.0</v>
      </c>
      <c r="O886" s="2" t="s">
        <v>5069</v>
      </c>
      <c r="P886" s="2" t="s">
        <v>32</v>
      </c>
      <c r="Q886" s="2" t="s">
        <v>305</v>
      </c>
      <c r="R886" s="2" t="s">
        <v>380</v>
      </c>
      <c r="S886" s="2" t="s">
        <v>67</v>
      </c>
    </row>
    <row r="887" ht="15.75" customHeight="1">
      <c r="A887" s="2" t="s">
        <v>5070</v>
      </c>
      <c r="B887" s="2" t="s">
        <v>5071</v>
      </c>
      <c r="C887" s="2" t="s">
        <v>4507</v>
      </c>
      <c r="D887" s="2" t="s">
        <v>2693</v>
      </c>
      <c r="E887" s="2" t="s">
        <v>4508</v>
      </c>
      <c r="F887" s="2" t="s">
        <v>4509</v>
      </c>
      <c r="G887" s="2" t="s">
        <v>421</v>
      </c>
      <c r="H887" s="2" t="s">
        <v>42</v>
      </c>
      <c r="I887" s="2" t="s">
        <v>90</v>
      </c>
      <c r="J887" s="2" t="s">
        <v>1597</v>
      </c>
      <c r="K887" s="2" t="s">
        <v>502</v>
      </c>
      <c r="L887" s="2" t="s">
        <v>355</v>
      </c>
      <c r="M887" s="2">
        <v>1778.12</v>
      </c>
      <c r="N887" s="2">
        <v>3.0</v>
      </c>
      <c r="O887" s="2" t="s">
        <v>5072</v>
      </c>
      <c r="P887" s="2" t="s">
        <v>65</v>
      </c>
      <c r="Q887" s="2" t="s">
        <v>664</v>
      </c>
      <c r="R887" s="2" t="s">
        <v>169</v>
      </c>
    </row>
    <row r="888" ht="15.75" customHeight="1">
      <c r="A888" s="2" t="s">
        <v>4197</v>
      </c>
      <c r="B888" s="2" t="s">
        <v>4198</v>
      </c>
      <c r="C888" s="2" t="s">
        <v>2029</v>
      </c>
      <c r="D888" s="2" t="s">
        <v>2030</v>
      </c>
      <c r="E888" s="2" t="s">
        <v>2031</v>
      </c>
      <c r="F888" s="2" t="s">
        <v>2032</v>
      </c>
      <c r="G888" s="2" t="s">
        <v>564</v>
      </c>
      <c r="H888" s="2" t="s">
        <v>152</v>
      </c>
      <c r="I888" s="2" t="s">
        <v>4199</v>
      </c>
      <c r="J888" s="2" t="s">
        <v>513</v>
      </c>
      <c r="K888" s="2" t="s">
        <v>391</v>
      </c>
      <c r="L888" s="2" t="s">
        <v>514</v>
      </c>
      <c r="N888" s="2">
        <v>2.0</v>
      </c>
      <c r="O888" s="2" t="s">
        <v>4200</v>
      </c>
      <c r="P888" s="2" t="s">
        <v>65</v>
      </c>
      <c r="Q888" s="2" t="s">
        <v>66</v>
      </c>
      <c r="R888" s="2" t="s">
        <v>432</v>
      </c>
    </row>
    <row r="889" ht="15.75" customHeight="1">
      <c r="A889" s="2" t="s">
        <v>5073</v>
      </c>
      <c r="B889" s="2" t="s">
        <v>5074</v>
      </c>
      <c r="C889" s="2" t="s">
        <v>3755</v>
      </c>
      <c r="D889" s="2" t="s">
        <v>3756</v>
      </c>
      <c r="E889" s="2" t="s">
        <v>3757</v>
      </c>
      <c r="F889" s="2" t="s">
        <v>3758</v>
      </c>
      <c r="G889" s="2" t="s">
        <v>114</v>
      </c>
      <c r="H889" s="2" t="s">
        <v>778</v>
      </c>
      <c r="I889" s="2" t="s">
        <v>90</v>
      </c>
      <c r="J889" s="2" t="s">
        <v>1302</v>
      </c>
      <c r="K889" s="2" t="s">
        <v>1303</v>
      </c>
      <c r="L889" s="2" t="s">
        <v>179</v>
      </c>
      <c r="N889" s="2">
        <v>1.0</v>
      </c>
      <c r="O889" s="2" t="s">
        <v>5075</v>
      </c>
      <c r="P889" s="2" t="s">
        <v>3438</v>
      </c>
      <c r="Q889" s="2" t="s">
        <v>305</v>
      </c>
      <c r="R889" s="2" t="s">
        <v>442</v>
      </c>
      <c r="S889" s="2" t="s">
        <v>51</v>
      </c>
    </row>
    <row r="890" ht="15.75" customHeight="1">
      <c r="A890" s="2" t="s">
        <v>5076</v>
      </c>
      <c r="B890" s="2" t="s">
        <v>5077</v>
      </c>
      <c r="C890" s="2" t="s">
        <v>5078</v>
      </c>
      <c r="D890" s="2" t="s">
        <v>5079</v>
      </c>
      <c r="F890" s="2" t="s">
        <v>5080</v>
      </c>
      <c r="G890" s="2" t="s">
        <v>114</v>
      </c>
      <c r="H890" s="2" t="s">
        <v>223</v>
      </c>
      <c r="I890" s="2" t="s">
        <v>5081</v>
      </c>
      <c r="J890" s="2" t="s">
        <v>1358</v>
      </c>
      <c r="K890" s="2" t="s">
        <v>1359</v>
      </c>
      <c r="L890" s="2" t="s">
        <v>941</v>
      </c>
      <c r="O890" s="2" t="s">
        <v>5082</v>
      </c>
      <c r="P890" s="2" t="s">
        <v>48</v>
      </c>
      <c r="Q890" s="2" t="s">
        <v>370</v>
      </c>
      <c r="R890" s="2" t="s">
        <v>251</v>
      </c>
    </row>
    <row r="891" ht="15.75" customHeight="1">
      <c r="A891" s="2" t="s">
        <v>5083</v>
      </c>
      <c r="B891" s="2" t="s">
        <v>5084</v>
      </c>
      <c r="C891" s="2" t="s">
        <v>5085</v>
      </c>
      <c r="D891" s="2" t="s">
        <v>5086</v>
      </c>
      <c r="F891" s="2" t="s">
        <v>5087</v>
      </c>
      <c r="G891" s="2" t="s">
        <v>114</v>
      </c>
      <c r="H891" s="2" t="s">
        <v>460</v>
      </c>
      <c r="I891" s="2" t="s">
        <v>401</v>
      </c>
      <c r="J891" s="2" t="s">
        <v>1085</v>
      </c>
      <c r="K891" s="2" t="s">
        <v>335</v>
      </c>
      <c r="L891" s="2" t="s">
        <v>368</v>
      </c>
      <c r="M891" s="2">
        <v>1619.03</v>
      </c>
      <c r="N891" s="2">
        <v>5.0</v>
      </c>
      <c r="O891" s="2" t="s">
        <v>5088</v>
      </c>
      <c r="P891" s="2" t="s">
        <v>32</v>
      </c>
      <c r="Q891" s="2" t="s">
        <v>204</v>
      </c>
      <c r="R891" s="2" t="s">
        <v>294</v>
      </c>
      <c r="S891" s="2" t="s">
        <v>67</v>
      </c>
    </row>
    <row r="892" ht="15.75" customHeight="1">
      <c r="A892" s="2" t="s">
        <v>5089</v>
      </c>
      <c r="B892" s="2" t="s">
        <v>5090</v>
      </c>
      <c r="C892" s="2" t="s">
        <v>518</v>
      </c>
      <c r="D892" s="2" t="s">
        <v>519</v>
      </c>
      <c r="E892" s="2" t="s">
        <v>520</v>
      </c>
      <c r="F892" s="2" t="s">
        <v>521</v>
      </c>
      <c r="G892" s="2" t="s">
        <v>88</v>
      </c>
      <c r="H892" s="2" t="s">
        <v>223</v>
      </c>
      <c r="I892" s="2" t="s">
        <v>103</v>
      </c>
      <c r="J892" s="2" t="s">
        <v>1632</v>
      </c>
      <c r="K892" s="2" t="s">
        <v>1633</v>
      </c>
      <c r="L892" s="2" t="s">
        <v>742</v>
      </c>
      <c r="N892" s="2">
        <v>1.0</v>
      </c>
      <c r="O892" s="2" t="s">
        <v>5091</v>
      </c>
      <c r="P892" s="2" t="s">
        <v>48</v>
      </c>
      <c r="Q892" s="2" t="s">
        <v>66</v>
      </c>
      <c r="R892" s="2" t="s">
        <v>50</v>
      </c>
    </row>
    <row r="893" ht="15.75" customHeight="1">
      <c r="A893" s="2" t="s">
        <v>5092</v>
      </c>
      <c r="B893" s="2" t="s">
        <v>5093</v>
      </c>
      <c r="C893" s="2" t="s">
        <v>4418</v>
      </c>
      <c r="D893" s="2" t="s">
        <v>4419</v>
      </c>
      <c r="E893" s="2" t="s">
        <v>4420</v>
      </c>
      <c r="F893" s="2" t="s">
        <v>4421</v>
      </c>
      <c r="G893" s="2" t="s">
        <v>4422</v>
      </c>
      <c r="H893" s="2" t="s">
        <v>4745</v>
      </c>
      <c r="I893" s="2" t="s">
        <v>103</v>
      </c>
      <c r="J893" s="2" t="s">
        <v>939</v>
      </c>
      <c r="K893" s="2" t="s">
        <v>940</v>
      </c>
      <c r="L893" s="2" t="s">
        <v>941</v>
      </c>
      <c r="M893" s="2">
        <v>1490.57</v>
      </c>
      <c r="N893" s="2">
        <v>3.0</v>
      </c>
      <c r="O893" s="2" t="s">
        <v>5094</v>
      </c>
      <c r="P893" s="2" t="s">
        <v>48</v>
      </c>
      <c r="Q893" s="2" t="s">
        <v>5095</v>
      </c>
      <c r="R893" s="2" t="s">
        <v>452</v>
      </c>
    </row>
    <row r="894" ht="15.75" customHeight="1">
      <c r="A894" s="2" t="s">
        <v>5096</v>
      </c>
      <c r="B894" s="2" t="s">
        <v>5097</v>
      </c>
      <c r="C894" s="2" t="s">
        <v>4115</v>
      </c>
      <c r="D894" s="2" t="s">
        <v>4116</v>
      </c>
      <c r="E894" s="2" t="s">
        <v>4117</v>
      </c>
      <c r="F894" s="2" t="s">
        <v>4118</v>
      </c>
      <c r="G894" s="2" t="s">
        <v>88</v>
      </c>
      <c r="H894" s="2" t="s">
        <v>115</v>
      </c>
      <c r="I894" s="2" t="s">
        <v>103</v>
      </c>
      <c r="J894" s="2" t="s">
        <v>1495</v>
      </c>
      <c r="K894" s="2" t="s">
        <v>1138</v>
      </c>
      <c r="L894" s="2" t="s">
        <v>248</v>
      </c>
      <c r="N894" s="2">
        <v>1.0</v>
      </c>
      <c r="O894" s="2" t="s">
        <v>5098</v>
      </c>
      <c r="P894" s="2" t="s">
        <v>48</v>
      </c>
      <c r="Q894" s="2" t="s">
        <v>5099</v>
      </c>
      <c r="R894" s="2" t="s">
        <v>251</v>
      </c>
    </row>
    <row r="895" ht="15.75" customHeight="1">
      <c r="A895" s="2" t="s">
        <v>5100</v>
      </c>
      <c r="B895" s="2" t="s">
        <v>5101</v>
      </c>
      <c r="C895" s="2" t="s">
        <v>5102</v>
      </c>
      <c r="D895" s="2" t="s">
        <v>5103</v>
      </c>
      <c r="E895" s="2" t="s">
        <v>5104</v>
      </c>
      <c r="F895" s="2" t="s">
        <v>5105</v>
      </c>
      <c r="G895" s="2" t="s">
        <v>1319</v>
      </c>
      <c r="H895" s="2" t="s">
        <v>152</v>
      </c>
      <c r="I895" s="2" t="s">
        <v>1207</v>
      </c>
      <c r="J895" s="2" t="s">
        <v>471</v>
      </c>
      <c r="K895" s="2" t="s">
        <v>472</v>
      </c>
      <c r="L895" s="2" t="s">
        <v>179</v>
      </c>
      <c r="M895" s="2">
        <v>422.09</v>
      </c>
      <c r="N895" s="2">
        <v>1.0</v>
      </c>
      <c r="O895" s="2" t="s">
        <v>5106</v>
      </c>
      <c r="P895" s="2" t="s">
        <v>95</v>
      </c>
      <c r="Q895" s="2" t="s">
        <v>204</v>
      </c>
      <c r="R895" s="2" t="s">
        <v>132</v>
      </c>
    </row>
    <row r="896" ht="15.75" customHeight="1">
      <c r="A896" s="2" t="s">
        <v>5107</v>
      </c>
      <c r="B896" s="2" t="s">
        <v>5108</v>
      </c>
      <c r="C896" s="2" t="s">
        <v>5109</v>
      </c>
      <c r="D896" s="2" t="s">
        <v>5110</v>
      </c>
      <c r="E896" s="2" t="s">
        <v>5111</v>
      </c>
      <c r="F896" s="2" t="s">
        <v>5112</v>
      </c>
      <c r="G896" s="2" t="s">
        <v>88</v>
      </c>
      <c r="H896" s="2" t="s">
        <v>26</v>
      </c>
      <c r="I896" s="2" t="s">
        <v>176</v>
      </c>
      <c r="J896" s="2" t="s">
        <v>993</v>
      </c>
      <c r="K896" s="2" t="s">
        <v>994</v>
      </c>
      <c r="L896" s="2" t="s">
        <v>995</v>
      </c>
      <c r="M896" s="2">
        <v>400.4</v>
      </c>
      <c r="N896" s="2">
        <v>2.0</v>
      </c>
      <c r="O896" s="2" t="s">
        <v>5113</v>
      </c>
      <c r="P896" s="2" t="s">
        <v>95</v>
      </c>
      <c r="Q896" s="2" t="s">
        <v>5114</v>
      </c>
      <c r="R896" s="2" t="s">
        <v>132</v>
      </c>
    </row>
    <row r="897" ht="15.75" customHeight="1">
      <c r="A897" s="2" t="s">
        <v>5115</v>
      </c>
      <c r="B897" s="2" t="s">
        <v>5116</v>
      </c>
      <c r="C897" s="2" t="s">
        <v>2414</v>
      </c>
      <c r="D897" s="2" t="s">
        <v>2415</v>
      </c>
      <c r="F897" s="2" t="s">
        <v>2416</v>
      </c>
      <c r="G897" s="2" t="s">
        <v>671</v>
      </c>
      <c r="H897" s="2" t="s">
        <v>115</v>
      </c>
      <c r="I897" s="2" t="s">
        <v>103</v>
      </c>
      <c r="J897" s="2" t="s">
        <v>1197</v>
      </c>
      <c r="K897" s="2" t="s">
        <v>1198</v>
      </c>
      <c r="L897" s="2" t="s">
        <v>1199</v>
      </c>
      <c r="M897" s="2">
        <v>382.57</v>
      </c>
      <c r="N897" s="2">
        <v>1.0</v>
      </c>
      <c r="O897" s="2" t="s">
        <v>5117</v>
      </c>
      <c r="P897" s="2" t="s">
        <v>48</v>
      </c>
      <c r="Q897" s="2" t="s">
        <v>66</v>
      </c>
      <c r="R897" s="2" t="s">
        <v>294</v>
      </c>
      <c r="S897" s="2" t="s">
        <v>133</v>
      </c>
    </row>
    <row r="898" ht="15.75" customHeight="1">
      <c r="A898" s="2" t="s">
        <v>5118</v>
      </c>
      <c r="B898" s="2" t="s">
        <v>5119</v>
      </c>
      <c r="C898" s="2" t="s">
        <v>4918</v>
      </c>
      <c r="D898" s="2" t="s">
        <v>4919</v>
      </c>
      <c r="E898" s="2" t="s">
        <v>4920</v>
      </c>
      <c r="F898" s="2" t="s">
        <v>4921</v>
      </c>
      <c r="G898" s="2" t="s">
        <v>608</v>
      </c>
      <c r="H898" s="2" t="s">
        <v>234</v>
      </c>
      <c r="I898" s="2" t="s">
        <v>43</v>
      </c>
      <c r="J898" s="2" t="s">
        <v>481</v>
      </c>
      <c r="K898" s="2" t="s">
        <v>291</v>
      </c>
      <c r="L898" s="2" t="s">
        <v>482</v>
      </c>
      <c r="N898" s="2">
        <v>1.0</v>
      </c>
      <c r="O898" s="2" t="s">
        <v>5120</v>
      </c>
      <c r="P898" s="2" t="s">
        <v>65</v>
      </c>
      <c r="Q898" s="2" t="s">
        <v>3358</v>
      </c>
      <c r="R898" s="2" t="s">
        <v>192</v>
      </c>
      <c r="S898" s="2" t="s">
        <v>51</v>
      </c>
    </row>
    <row r="899" ht="15.75" customHeight="1">
      <c r="A899" s="2" t="s">
        <v>5121</v>
      </c>
      <c r="B899" s="2" t="s">
        <v>5122</v>
      </c>
      <c r="C899" s="2" t="s">
        <v>4365</v>
      </c>
      <c r="D899" s="2" t="s">
        <v>4366</v>
      </c>
      <c r="E899" s="2" t="s">
        <v>4367</v>
      </c>
      <c r="F899" s="2" t="s">
        <v>4368</v>
      </c>
      <c r="G899" s="2" t="s">
        <v>3594</v>
      </c>
      <c r="H899" s="2" t="s">
        <v>223</v>
      </c>
      <c r="I899" s="2" t="s">
        <v>60</v>
      </c>
      <c r="J899" s="2" t="s">
        <v>1236</v>
      </c>
      <c r="K899" s="2" t="s">
        <v>1237</v>
      </c>
      <c r="L899" s="2" t="s">
        <v>637</v>
      </c>
      <c r="M899" s="2">
        <v>1432.43</v>
      </c>
      <c r="N899" s="2">
        <v>2.0</v>
      </c>
      <c r="O899" s="2" t="s">
        <v>5123</v>
      </c>
      <c r="P899" s="2" t="s">
        <v>65</v>
      </c>
      <c r="Q899" s="2" t="s">
        <v>131</v>
      </c>
      <c r="R899" s="2" t="s">
        <v>818</v>
      </c>
    </row>
    <row r="900" ht="15.75" customHeight="1">
      <c r="A900" s="2" t="s">
        <v>5124</v>
      </c>
      <c r="B900" s="2" t="s">
        <v>5125</v>
      </c>
      <c r="C900" s="2" t="s">
        <v>488</v>
      </c>
      <c r="D900" s="2" t="s">
        <v>489</v>
      </c>
      <c r="F900" s="2" t="s">
        <v>5126</v>
      </c>
      <c r="G900" s="2" t="s">
        <v>199</v>
      </c>
      <c r="H900" s="2" t="s">
        <v>683</v>
      </c>
      <c r="I900" s="2" t="s">
        <v>289</v>
      </c>
      <c r="J900" s="2" t="s">
        <v>1255</v>
      </c>
      <c r="K900" s="2" t="s">
        <v>29</v>
      </c>
      <c r="L900" s="2" t="s">
        <v>271</v>
      </c>
      <c r="M900" s="2">
        <v>871.3</v>
      </c>
      <c r="N900" s="2">
        <v>5.0</v>
      </c>
      <c r="O900" s="2" t="s">
        <v>5127</v>
      </c>
      <c r="P900" s="2" t="s">
        <v>95</v>
      </c>
      <c r="Q900" s="2" t="s">
        <v>664</v>
      </c>
      <c r="R900" s="2" t="s">
        <v>132</v>
      </c>
    </row>
    <row r="901" ht="15.75" customHeight="1">
      <c r="A901" s="2" t="s">
        <v>5128</v>
      </c>
      <c r="B901" s="2" t="s">
        <v>5129</v>
      </c>
      <c r="C901" s="2" t="s">
        <v>5130</v>
      </c>
      <c r="D901" s="2" t="s">
        <v>5131</v>
      </c>
      <c r="E901" s="2" t="s">
        <v>5132</v>
      </c>
      <c r="F901" s="2" t="s">
        <v>5133</v>
      </c>
      <c r="G901" s="2" t="s">
        <v>1336</v>
      </c>
      <c r="H901" s="2" t="s">
        <v>5134</v>
      </c>
      <c r="I901" s="2" t="s">
        <v>522</v>
      </c>
      <c r="J901" s="2" t="s">
        <v>565</v>
      </c>
      <c r="K901" s="2" t="s">
        <v>566</v>
      </c>
      <c r="L901" s="2" t="s">
        <v>167</v>
      </c>
      <c r="N901" s="2">
        <v>3.0</v>
      </c>
      <c r="O901" s="2" t="s">
        <v>5135</v>
      </c>
      <c r="P901" s="2" t="s">
        <v>95</v>
      </c>
      <c r="Q901" s="2" t="s">
        <v>66</v>
      </c>
      <c r="R901" s="2" t="s">
        <v>345</v>
      </c>
      <c r="S901" s="2" t="s">
        <v>133</v>
      </c>
    </row>
    <row r="902" ht="15.75" customHeight="1">
      <c r="A902" s="2" t="s">
        <v>5136</v>
      </c>
      <c r="B902" s="2" t="s">
        <v>5137</v>
      </c>
      <c r="C902" s="2" t="s">
        <v>2179</v>
      </c>
      <c r="D902" s="2" t="s">
        <v>2180</v>
      </c>
      <c r="G902" s="2" t="s">
        <v>1177</v>
      </c>
      <c r="H902" s="2" t="s">
        <v>323</v>
      </c>
      <c r="I902" s="2" t="s">
        <v>75</v>
      </c>
      <c r="J902" s="2" t="s">
        <v>919</v>
      </c>
      <c r="K902" s="2" t="s">
        <v>423</v>
      </c>
      <c r="L902" s="2" t="s">
        <v>179</v>
      </c>
      <c r="N902" s="2">
        <v>2.0</v>
      </c>
      <c r="O902" s="2" t="s">
        <v>5138</v>
      </c>
      <c r="P902" s="2" t="s">
        <v>32</v>
      </c>
      <c r="Q902" s="2" t="s">
        <v>370</v>
      </c>
      <c r="R902" s="2" t="s">
        <v>192</v>
      </c>
    </row>
    <row r="903" ht="15.75" customHeight="1">
      <c r="A903" s="2" t="s">
        <v>5139</v>
      </c>
      <c r="B903" s="2" t="s">
        <v>5140</v>
      </c>
      <c r="C903" s="2" t="s">
        <v>1845</v>
      </c>
      <c r="D903" s="2" t="s">
        <v>1846</v>
      </c>
      <c r="E903" s="2" t="s">
        <v>1847</v>
      </c>
      <c r="F903" s="2" t="s">
        <v>1848</v>
      </c>
      <c r="G903" s="2" t="s">
        <v>777</v>
      </c>
      <c r="H903" s="2" t="s">
        <v>683</v>
      </c>
      <c r="I903" s="2" t="s">
        <v>522</v>
      </c>
      <c r="J903" s="2" t="s">
        <v>461</v>
      </c>
      <c r="K903" s="2" t="s">
        <v>462</v>
      </c>
      <c r="L903" s="2" t="s">
        <v>463</v>
      </c>
      <c r="N903" s="2">
        <v>5.0</v>
      </c>
      <c r="O903" s="2" t="s">
        <v>5141</v>
      </c>
      <c r="P903" s="2" t="s">
        <v>32</v>
      </c>
      <c r="Q903" s="2" t="s">
        <v>414</v>
      </c>
      <c r="R903" s="2" t="s">
        <v>5142</v>
      </c>
      <c r="S903" s="2" t="s">
        <v>133</v>
      </c>
    </row>
    <row r="904" ht="15.75" customHeight="1">
      <c r="A904" s="2" t="s">
        <v>5143</v>
      </c>
      <c r="B904" s="2" t="s">
        <v>5144</v>
      </c>
      <c r="C904" s="2" t="s">
        <v>3591</v>
      </c>
      <c r="D904" s="2" t="s">
        <v>255</v>
      </c>
      <c r="E904" s="2" t="s">
        <v>3592</v>
      </c>
      <c r="F904" s="2" t="s">
        <v>3593</v>
      </c>
      <c r="G904" s="2" t="s">
        <v>3594</v>
      </c>
      <c r="H904" s="2" t="s">
        <v>683</v>
      </c>
      <c r="I904" s="2" t="s">
        <v>333</v>
      </c>
      <c r="J904" s="2" t="s">
        <v>852</v>
      </c>
      <c r="K904" s="2" t="s">
        <v>450</v>
      </c>
      <c r="L904" s="2" t="s">
        <v>167</v>
      </c>
      <c r="M904" s="2">
        <v>577.37</v>
      </c>
      <c r="N904" s="2">
        <v>5.0</v>
      </c>
      <c r="O904" s="2" t="s">
        <v>5145</v>
      </c>
      <c r="P904" s="2" t="s">
        <v>48</v>
      </c>
      <c r="Q904" s="2" t="s">
        <v>485</v>
      </c>
      <c r="R904" s="2" t="s">
        <v>34</v>
      </c>
      <c r="S904" s="2" t="s">
        <v>51</v>
      </c>
    </row>
    <row r="905" ht="15.75" customHeight="1">
      <c r="A905" s="2" t="s">
        <v>5146</v>
      </c>
      <c r="B905" s="2" t="s">
        <v>5147</v>
      </c>
      <c r="C905" s="2" t="s">
        <v>3625</v>
      </c>
      <c r="D905" s="2" t="s">
        <v>3626</v>
      </c>
      <c r="E905" s="2" t="s">
        <v>3627</v>
      </c>
      <c r="F905" s="2" t="s">
        <v>3628</v>
      </c>
      <c r="G905" s="2" t="s">
        <v>992</v>
      </c>
      <c r="H905" s="2" t="s">
        <v>301</v>
      </c>
      <c r="I905" s="2" t="s">
        <v>352</v>
      </c>
      <c r="J905" s="2" t="s">
        <v>2398</v>
      </c>
      <c r="K905" s="2" t="s">
        <v>225</v>
      </c>
      <c r="L905" s="2" t="s">
        <v>179</v>
      </c>
      <c r="N905" s="2">
        <v>5.0</v>
      </c>
      <c r="O905" s="2" t="s">
        <v>5148</v>
      </c>
      <c r="P905" s="2" t="s">
        <v>65</v>
      </c>
      <c r="Q905" s="2" t="s">
        <v>204</v>
      </c>
      <c r="R905" s="2" t="s">
        <v>818</v>
      </c>
      <c r="S905" s="2" t="s">
        <v>81</v>
      </c>
    </row>
    <row r="906" ht="15.75" customHeight="1">
      <c r="A906" s="2" t="s">
        <v>5149</v>
      </c>
      <c r="B906" s="2" t="s">
        <v>5150</v>
      </c>
      <c r="C906" s="2" t="s">
        <v>1472</v>
      </c>
      <c r="D906" s="2" t="s">
        <v>1473</v>
      </c>
      <c r="E906" s="2" t="s">
        <v>4155</v>
      </c>
      <c r="F906" s="2" t="s">
        <v>1474</v>
      </c>
      <c r="G906" s="2" t="s">
        <v>114</v>
      </c>
      <c r="H906" s="2" t="s">
        <v>223</v>
      </c>
      <c r="I906" s="2" t="s">
        <v>312</v>
      </c>
      <c r="J906" s="2" t="s">
        <v>2483</v>
      </c>
      <c r="K906" s="2" t="s">
        <v>1530</v>
      </c>
      <c r="L906" s="2" t="s">
        <v>503</v>
      </c>
      <c r="M906" s="2">
        <v>1440.26</v>
      </c>
      <c r="N906" s="2">
        <v>3.0</v>
      </c>
      <c r="O906" s="2" t="s">
        <v>5151</v>
      </c>
      <c r="P906" s="2" t="s">
        <v>95</v>
      </c>
      <c r="Q906" s="2" t="s">
        <v>33</v>
      </c>
      <c r="R906" s="2" t="s">
        <v>80</v>
      </c>
      <c r="S906" s="2" t="s">
        <v>51</v>
      </c>
    </row>
    <row r="907" ht="15.75" customHeight="1">
      <c r="A907" s="2" t="s">
        <v>5152</v>
      </c>
      <c r="B907" s="2" t="s">
        <v>5153</v>
      </c>
      <c r="C907" s="2" t="s">
        <v>2507</v>
      </c>
      <c r="D907" s="2" t="s">
        <v>2508</v>
      </c>
      <c r="E907" s="2" t="s">
        <v>2509</v>
      </c>
      <c r="F907" s="2" t="s">
        <v>2510</v>
      </c>
      <c r="G907" s="2" t="s">
        <v>564</v>
      </c>
      <c r="H907" s="2" t="s">
        <v>59</v>
      </c>
      <c r="I907" s="2" t="s">
        <v>43</v>
      </c>
      <c r="J907" s="2" t="s">
        <v>1597</v>
      </c>
      <c r="K907" s="2" t="s">
        <v>502</v>
      </c>
      <c r="L907" s="2" t="s">
        <v>355</v>
      </c>
      <c r="N907" s="2">
        <v>2.0</v>
      </c>
      <c r="O907" s="2" t="s">
        <v>5154</v>
      </c>
      <c r="P907" s="2" t="s">
        <v>95</v>
      </c>
      <c r="Q907" s="2" t="s">
        <v>573</v>
      </c>
      <c r="R907" s="2" t="s">
        <v>120</v>
      </c>
      <c r="S907" s="2" t="s">
        <v>81</v>
      </c>
    </row>
    <row r="908" ht="15.75" customHeight="1">
      <c r="A908" s="2" t="s">
        <v>5155</v>
      </c>
      <c r="B908" s="2" t="s">
        <v>5156</v>
      </c>
      <c r="C908" s="2" t="s">
        <v>5157</v>
      </c>
      <c r="D908" s="2" t="s">
        <v>5158</v>
      </c>
      <c r="E908" s="2" t="s">
        <v>5159</v>
      </c>
      <c r="F908" s="2" t="s">
        <v>5160</v>
      </c>
      <c r="G908" s="2" t="s">
        <v>608</v>
      </c>
      <c r="H908" s="2" t="s">
        <v>26</v>
      </c>
      <c r="I908" s="2" t="s">
        <v>103</v>
      </c>
      <c r="J908" s="2" t="s">
        <v>3596</v>
      </c>
      <c r="K908" s="2" t="s">
        <v>3597</v>
      </c>
      <c r="L908" s="2" t="s">
        <v>63</v>
      </c>
      <c r="M908" s="2">
        <v>1709.56</v>
      </c>
      <c r="N908" s="2">
        <v>3.0</v>
      </c>
      <c r="O908" s="2" t="s">
        <v>5161</v>
      </c>
      <c r="P908" s="2" t="s">
        <v>65</v>
      </c>
      <c r="Q908" s="2" t="s">
        <v>664</v>
      </c>
      <c r="R908" s="2" t="s">
        <v>442</v>
      </c>
      <c r="S908" s="2" t="s">
        <v>133</v>
      </c>
    </row>
    <row r="909" ht="15.75" customHeight="1">
      <c r="A909" s="2" t="s">
        <v>5162</v>
      </c>
      <c r="B909" s="2" t="s">
        <v>5163</v>
      </c>
      <c r="C909" s="2" t="s">
        <v>4752</v>
      </c>
      <c r="D909" s="2" t="s">
        <v>3869</v>
      </c>
      <c r="E909" s="2" t="s">
        <v>4753</v>
      </c>
      <c r="F909" s="2" t="s">
        <v>4754</v>
      </c>
      <c r="G909" s="2" t="s">
        <v>73</v>
      </c>
      <c r="H909" s="2" t="s">
        <v>26</v>
      </c>
      <c r="I909" s="2" t="s">
        <v>401</v>
      </c>
      <c r="J909" s="2" t="s">
        <v>258</v>
      </c>
      <c r="K909" s="2" t="s">
        <v>259</v>
      </c>
      <c r="L909" s="2" t="s">
        <v>214</v>
      </c>
      <c r="M909" s="2">
        <v>732.0</v>
      </c>
      <c r="N909" s="2">
        <v>2.0</v>
      </c>
      <c r="O909" s="2" t="s">
        <v>5164</v>
      </c>
      <c r="P909" s="2" t="s">
        <v>48</v>
      </c>
      <c r="Q909" s="2" t="s">
        <v>49</v>
      </c>
      <c r="R909" s="2" t="s">
        <v>818</v>
      </c>
      <c r="S909" s="2" t="s">
        <v>81</v>
      </c>
    </row>
    <row r="910" ht="15.75" customHeight="1">
      <c r="A910" s="2" t="s">
        <v>5165</v>
      </c>
      <c r="B910" s="2" t="s">
        <v>5166</v>
      </c>
      <c r="C910" s="2" t="s">
        <v>3986</v>
      </c>
      <c r="D910" s="2" t="s">
        <v>3987</v>
      </c>
      <c r="E910" s="2" t="s">
        <v>3988</v>
      </c>
      <c r="F910" s="2" t="s">
        <v>3989</v>
      </c>
      <c r="G910" s="2" t="s">
        <v>139</v>
      </c>
      <c r="H910" s="2" t="s">
        <v>323</v>
      </c>
      <c r="I910" s="2" t="s">
        <v>401</v>
      </c>
      <c r="J910" s="2" t="s">
        <v>740</v>
      </c>
      <c r="K910" s="2" t="s">
        <v>741</v>
      </c>
      <c r="L910" s="2" t="s">
        <v>742</v>
      </c>
      <c r="M910" s="2">
        <v>786.81</v>
      </c>
      <c r="N910" s="2">
        <v>2.0</v>
      </c>
      <c r="O910" s="2" t="s">
        <v>5167</v>
      </c>
      <c r="P910" s="2" t="s">
        <v>48</v>
      </c>
      <c r="Q910" s="2" t="s">
        <v>505</v>
      </c>
      <c r="R910" s="2" t="s">
        <v>192</v>
      </c>
      <c r="S910" s="2" t="s">
        <v>133</v>
      </c>
    </row>
    <row r="911" ht="15.75" customHeight="1">
      <c r="A911" s="2" t="s">
        <v>5168</v>
      </c>
      <c r="B911" s="2" t="s">
        <v>5169</v>
      </c>
      <c r="C911" s="2" t="s">
        <v>875</v>
      </c>
      <c r="D911" s="2" t="s">
        <v>876</v>
      </c>
      <c r="E911" s="2" t="s">
        <v>2706</v>
      </c>
      <c r="F911" s="2" t="s">
        <v>877</v>
      </c>
      <c r="G911" s="2" t="s">
        <v>114</v>
      </c>
      <c r="H911" s="2" t="s">
        <v>59</v>
      </c>
      <c r="I911" s="2" t="s">
        <v>522</v>
      </c>
      <c r="J911" s="2" t="s">
        <v>235</v>
      </c>
      <c r="K911" s="2" t="s">
        <v>236</v>
      </c>
      <c r="L911" s="2" t="s">
        <v>30</v>
      </c>
      <c r="M911" s="2">
        <v>449.32</v>
      </c>
      <c r="N911" s="2">
        <v>3.0</v>
      </c>
      <c r="O911" s="2" t="s">
        <v>5170</v>
      </c>
      <c r="P911" s="2" t="s">
        <v>95</v>
      </c>
      <c r="Q911" s="2" t="s">
        <v>573</v>
      </c>
      <c r="R911" s="2" t="s">
        <v>294</v>
      </c>
      <c r="S911" s="2" t="s">
        <v>51</v>
      </c>
    </row>
    <row r="912" ht="15.75" customHeight="1">
      <c r="A912" s="2" t="s">
        <v>5171</v>
      </c>
      <c r="B912" s="2" t="s">
        <v>5172</v>
      </c>
      <c r="C912" s="2" t="s">
        <v>1067</v>
      </c>
      <c r="D912" s="2" t="s">
        <v>1068</v>
      </c>
      <c r="E912" s="2" t="s">
        <v>1069</v>
      </c>
      <c r="F912" s="2" t="s">
        <v>1070</v>
      </c>
      <c r="G912" s="2" t="s">
        <v>165</v>
      </c>
      <c r="H912" s="2" t="s">
        <v>223</v>
      </c>
      <c r="I912" s="2" t="s">
        <v>352</v>
      </c>
      <c r="J912" s="2" t="s">
        <v>2605</v>
      </c>
      <c r="K912" s="2" t="s">
        <v>2606</v>
      </c>
      <c r="L912" s="2" t="s">
        <v>292</v>
      </c>
      <c r="M912" s="2">
        <v>540.02</v>
      </c>
      <c r="N912" s="2">
        <v>2.0</v>
      </c>
      <c r="O912" s="2" t="s">
        <v>5173</v>
      </c>
      <c r="P912" s="2" t="s">
        <v>65</v>
      </c>
      <c r="Q912" s="2" t="s">
        <v>49</v>
      </c>
      <c r="R912" s="2" t="s">
        <v>192</v>
      </c>
      <c r="S912" s="2" t="s">
        <v>133</v>
      </c>
    </row>
    <row r="913" ht="15.75" customHeight="1">
      <c r="A913" s="2" t="s">
        <v>5174</v>
      </c>
      <c r="B913" s="2" t="s">
        <v>5175</v>
      </c>
      <c r="C913" s="2" t="s">
        <v>5022</v>
      </c>
      <c r="D913" s="2" t="s">
        <v>726</v>
      </c>
      <c r="E913" s="2" t="s">
        <v>5023</v>
      </c>
      <c r="F913" s="2" t="s">
        <v>5024</v>
      </c>
      <c r="G913" s="2" t="s">
        <v>199</v>
      </c>
      <c r="H913" s="2" t="s">
        <v>210</v>
      </c>
      <c r="I913" s="2" t="s">
        <v>289</v>
      </c>
      <c r="J913" s="2" t="s">
        <v>1733</v>
      </c>
      <c r="K913" s="2" t="s">
        <v>440</v>
      </c>
      <c r="L913" s="2" t="s">
        <v>315</v>
      </c>
      <c r="M913" s="2">
        <v>1621.76</v>
      </c>
      <c r="N913" s="2">
        <v>5.0</v>
      </c>
      <c r="O913" s="2" t="s">
        <v>5176</v>
      </c>
      <c r="P913" s="2" t="s">
        <v>65</v>
      </c>
      <c r="Q913" s="2" t="s">
        <v>370</v>
      </c>
      <c r="R913" s="2" t="s">
        <v>158</v>
      </c>
    </row>
    <row r="914" ht="15.75" customHeight="1">
      <c r="A914" s="2" t="s">
        <v>5177</v>
      </c>
      <c r="B914" s="2" t="s">
        <v>5178</v>
      </c>
      <c r="C914" s="2" t="s">
        <v>545</v>
      </c>
      <c r="D914" s="2" t="s">
        <v>546</v>
      </c>
      <c r="E914" s="2" t="s">
        <v>547</v>
      </c>
      <c r="F914" s="2" t="s">
        <v>5179</v>
      </c>
      <c r="G914" s="2" t="s">
        <v>548</v>
      </c>
      <c r="H914" s="2" t="s">
        <v>2519</v>
      </c>
      <c r="I914" s="2" t="s">
        <v>289</v>
      </c>
      <c r="J914" s="2" t="s">
        <v>3582</v>
      </c>
      <c r="K914" s="2" t="s">
        <v>3583</v>
      </c>
      <c r="L914" s="2" t="s">
        <v>248</v>
      </c>
      <c r="M914" s="2">
        <v>1409.09</v>
      </c>
      <c r="N914" s="2">
        <v>2.0</v>
      </c>
      <c r="O914" s="2" t="s">
        <v>5180</v>
      </c>
      <c r="P914" s="2" t="s">
        <v>95</v>
      </c>
      <c r="Q914" s="2" t="s">
        <v>664</v>
      </c>
      <c r="R914" s="2" t="s">
        <v>158</v>
      </c>
    </row>
    <row r="915" ht="15.75" customHeight="1">
      <c r="A915" s="2" t="s">
        <v>5181</v>
      </c>
      <c r="B915" s="2" t="s">
        <v>5182</v>
      </c>
      <c r="C915" s="2" t="s">
        <v>781</v>
      </c>
      <c r="D915" s="2" t="s">
        <v>782</v>
      </c>
      <c r="E915" s="2" t="s">
        <v>783</v>
      </c>
      <c r="F915" s="2" t="s">
        <v>784</v>
      </c>
      <c r="G915" s="2" t="s">
        <v>785</v>
      </c>
      <c r="H915" s="2" t="s">
        <v>400</v>
      </c>
      <c r="I915" s="2" t="s">
        <v>401</v>
      </c>
      <c r="J915" s="2" t="s">
        <v>513</v>
      </c>
      <c r="K915" s="2" t="s">
        <v>391</v>
      </c>
      <c r="L915" s="2" t="s">
        <v>514</v>
      </c>
      <c r="N915" s="2">
        <v>2.0</v>
      </c>
      <c r="O915" s="2" t="s">
        <v>5183</v>
      </c>
      <c r="P915" s="2" t="s">
        <v>65</v>
      </c>
      <c r="Q915" s="2" t="s">
        <v>66</v>
      </c>
      <c r="R915" s="2" t="s">
        <v>380</v>
      </c>
      <c r="S915" s="2" t="s">
        <v>133</v>
      </c>
    </row>
    <row r="916" ht="15.75" customHeight="1">
      <c r="A916" s="2" t="s">
        <v>5184</v>
      </c>
      <c r="B916" s="2" t="s">
        <v>5185</v>
      </c>
      <c r="C916" s="2" t="s">
        <v>3625</v>
      </c>
      <c r="D916" s="2" t="s">
        <v>3626</v>
      </c>
      <c r="E916" s="2" t="s">
        <v>3627</v>
      </c>
      <c r="F916" s="2" t="s">
        <v>3628</v>
      </c>
      <c r="G916" s="2" t="s">
        <v>992</v>
      </c>
      <c r="H916" s="2" t="s">
        <v>400</v>
      </c>
      <c r="I916" s="2" t="s">
        <v>333</v>
      </c>
      <c r="J916" s="2" t="s">
        <v>2321</v>
      </c>
      <c r="K916" s="2" t="s">
        <v>2322</v>
      </c>
      <c r="L916" s="2" t="s">
        <v>368</v>
      </c>
      <c r="N916" s="2">
        <v>3.0</v>
      </c>
      <c r="O916" s="2" t="s">
        <v>5186</v>
      </c>
      <c r="P916" s="2" t="s">
        <v>65</v>
      </c>
      <c r="Q916" s="2" t="s">
        <v>526</v>
      </c>
      <c r="R916" s="2" t="s">
        <v>676</v>
      </c>
      <c r="S916" s="2" t="s">
        <v>133</v>
      </c>
    </row>
    <row r="917" ht="15.75" customHeight="1">
      <c r="A917" s="2" t="s">
        <v>5187</v>
      </c>
      <c r="B917" s="2" t="s">
        <v>5188</v>
      </c>
      <c r="C917" s="2" t="s">
        <v>4026</v>
      </c>
      <c r="D917" s="2" t="s">
        <v>4027</v>
      </c>
      <c r="E917" s="2" t="s">
        <v>4028</v>
      </c>
      <c r="F917" s="2" t="s">
        <v>4029</v>
      </c>
      <c r="G917" s="2" t="s">
        <v>720</v>
      </c>
      <c r="H917" s="2" t="s">
        <v>26</v>
      </c>
      <c r="I917" s="2" t="s">
        <v>43</v>
      </c>
      <c r="J917" s="2" t="s">
        <v>1772</v>
      </c>
      <c r="K917" s="2" t="s">
        <v>712</v>
      </c>
      <c r="L917" s="2" t="s">
        <v>995</v>
      </c>
      <c r="M917" s="2">
        <v>924.01</v>
      </c>
      <c r="N917" s="2">
        <v>2.0</v>
      </c>
      <c r="O917" s="2" t="s">
        <v>5189</v>
      </c>
      <c r="P917" s="2" t="s">
        <v>65</v>
      </c>
      <c r="Q917" s="2" t="s">
        <v>3072</v>
      </c>
      <c r="R917" s="2" t="s">
        <v>527</v>
      </c>
      <c r="S917" s="2" t="s">
        <v>51</v>
      </c>
    </row>
    <row r="918" ht="15.75" customHeight="1">
      <c r="A918" s="2" t="s">
        <v>5190</v>
      </c>
      <c r="B918" s="2" t="s">
        <v>3713</v>
      </c>
      <c r="C918" s="2" t="s">
        <v>2487</v>
      </c>
      <c r="D918" s="2" t="s">
        <v>2488</v>
      </c>
      <c r="E918" s="2" t="s">
        <v>2489</v>
      </c>
      <c r="F918" s="2" t="s">
        <v>2490</v>
      </c>
      <c r="G918" s="2" t="s">
        <v>2491</v>
      </c>
      <c r="H918" s="2" t="s">
        <v>74</v>
      </c>
      <c r="I918" s="2" t="s">
        <v>571</v>
      </c>
      <c r="J918" s="2" t="s">
        <v>1014</v>
      </c>
      <c r="K918" s="2" t="s">
        <v>1015</v>
      </c>
      <c r="L918" s="2" t="s">
        <v>1016</v>
      </c>
      <c r="M918" s="2">
        <v>1549.96</v>
      </c>
      <c r="N918" s="2">
        <v>2.0</v>
      </c>
      <c r="O918" s="2" t="s">
        <v>5191</v>
      </c>
      <c r="P918" s="2" t="s">
        <v>48</v>
      </c>
      <c r="Q918" s="2" t="s">
        <v>305</v>
      </c>
      <c r="R918" s="2" t="s">
        <v>144</v>
      </c>
      <c r="S918" s="2" t="s">
        <v>67</v>
      </c>
    </row>
    <row r="919" ht="15.75" customHeight="1">
      <c r="A919" s="2" t="s">
        <v>5192</v>
      </c>
      <c r="B919" s="2" t="s">
        <v>5193</v>
      </c>
      <c r="C919" s="2" t="s">
        <v>4998</v>
      </c>
      <c r="D919" s="2" t="s">
        <v>2231</v>
      </c>
      <c r="E919" s="2" t="s">
        <v>4999</v>
      </c>
      <c r="F919" s="2" t="s">
        <v>5000</v>
      </c>
      <c r="G919" s="2" t="s">
        <v>114</v>
      </c>
      <c r="H919" s="2" t="s">
        <v>115</v>
      </c>
      <c r="I919" s="2" t="s">
        <v>176</v>
      </c>
      <c r="J919" s="2" t="s">
        <v>471</v>
      </c>
      <c r="K919" s="2" t="s">
        <v>472</v>
      </c>
      <c r="L919" s="2" t="s">
        <v>179</v>
      </c>
      <c r="N919" s="2">
        <v>1.0</v>
      </c>
      <c r="O919" s="2" t="s">
        <v>5194</v>
      </c>
      <c r="P919" s="2" t="s">
        <v>95</v>
      </c>
      <c r="Q919" s="2" t="s">
        <v>49</v>
      </c>
      <c r="R919" s="2" t="s">
        <v>80</v>
      </c>
      <c r="S919" s="2" t="s">
        <v>81</v>
      </c>
    </row>
    <row r="920" ht="15.75" customHeight="1">
      <c r="A920" s="2" t="s">
        <v>5195</v>
      </c>
      <c r="B920" s="2" t="s">
        <v>5196</v>
      </c>
      <c r="C920" s="2" t="s">
        <v>5197</v>
      </c>
      <c r="D920" s="2" t="s">
        <v>5198</v>
      </c>
      <c r="E920" s="2" t="s">
        <v>5199</v>
      </c>
      <c r="F920" s="2" t="s">
        <v>5200</v>
      </c>
      <c r="G920" s="2" t="s">
        <v>88</v>
      </c>
      <c r="H920" s="2" t="s">
        <v>223</v>
      </c>
      <c r="I920" s="2" t="s">
        <v>103</v>
      </c>
      <c r="J920" s="2" t="s">
        <v>402</v>
      </c>
      <c r="K920" s="2" t="s">
        <v>403</v>
      </c>
      <c r="L920" s="2" t="s">
        <v>404</v>
      </c>
      <c r="M920" s="2">
        <v>1345.51</v>
      </c>
      <c r="N920" s="2">
        <v>1.0</v>
      </c>
      <c r="O920" s="2" t="s">
        <v>5201</v>
      </c>
      <c r="P920" s="2" t="s">
        <v>612</v>
      </c>
      <c r="Q920" s="2" t="s">
        <v>143</v>
      </c>
      <c r="R920" s="2" t="s">
        <v>192</v>
      </c>
      <c r="S920" s="2" t="s">
        <v>51</v>
      </c>
    </row>
    <row r="921" ht="15.75" customHeight="1">
      <c r="A921" s="2" t="s">
        <v>5202</v>
      </c>
      <c r="B921" s="2" t="s">
        <v>5203</v>
      </c>
      <c r="C921" s="2" t="s">
        <v>5204</v>
      </c>
      <c r="D921" s="2" t="s">
        <v>658</v>
      </c>
      <c r="E921" s="2" t="s">
        <v>5205</v>
      </c>
      <c r="F921" s="2" t="s">
        <v>5206</v>
      </c>
      <c r="G921" s="2" t="s">
        <v>459</v>
      </c>
      <c r="H921" s="2" t="s">
        <v>323</v>
      </c>
      <c r="I921" s="2" t="s">
        <v>480</v>
      </c>
      <c r="J921" s="2" t="s">
        <v>189</v>
      </c>
      <c r="K921" s="2" t="s">
        <v>190</v>
      </c>
      <c r="L921" s="2" t="s">
        <v>167</v>
      </c>
      <c r="M921" s="2">
        <v>1573.2</v>
      </c>
      <c r="N921" s="2">
        <v>5.0</v>
      </c>
      <c r="O921" s="2" t="s">
        <v>5207</v>
      </c>
      <c r="P921" s="2" t="s">
        <v>32</v>
      </c>
      <c r="Q921" s="2" t="s">
        <v>33</v>
      </c>
      <c r="R921" s="2" t="s">
        <v>345</v>
      </c>
      <c r="S921" s="2" t="s">
        <v>81</v>
      </c>
    </row>
    <row r="922" ht="15.75" customHeight="1">
      <c r="A922" s="2" t="s">
        <v>5208</v>
      </c>
      <c r="B922" s="2" t="s">
        <v>5209</v>
      </c>
      <c r="C922" s="2" t="s">
        <v>4393</v>
      </c>
      <c r="D922" s="2" t="s">
        <v>4394</v>
      </c>
      <c r="E922" s="2" t="s">
        <v>4395</v>
      </c>
      <c r="G922" s="2" t="s">
        <v>548</v>
      </c>
      <c r="H922" s="2" t="s">
        <v>5210</v>
      </c>
      <c r="I922" s="2" t="s">
        <v>480</v>
      </c>
      <c r="J922" s="2" t="s">
        <v>334</v>
      </c>
      <c r="K922" s="2" t="s">
        <v>335</v>
      </c>
      <c r="L922" s="2" t="s">
        <v>248</v>
      </c>
      <c r="M922" s="2">
        <v>1526.3</v>
      </c>
      <c r="N922" s="2">
        <v>1.0</v>
      </c>
      <c r="O922" s="2" t="s">
        <v>5211</v>
      </c>
      <c r="P922" s="2" t="s">
        <v>95</v>
      </c>
      <c r="Q922" s="2" t="s">
        <v>305</v>
      </c>
      <c r="R922" s="2" t="s">
        <v>50</v>
      </c>
      <c r="S922" s="2" t="s">
        <v>133</v>
      </c>
    </row>
    <row r="923" ht="15.75" customHeight="1">
      <c r="A923" s="2" t="s">
        <v>5212</v>
      </c>
      <c r="B923" s="2" t="s">
        <v>5213</v>
      </c>
      <c r="C923" s="2" t="s">
        <v>5214</v>
      </c>
      <c r="D923" s="2" t="s">
        <v>5215</v>
      </c>
      <c r="E923" s="2" t="s">
        <v>5216</v>
      </c>
      <c r="F923" s="2" t="s">
        <v>5217</v>
      </c>
      <c r="G923" s="2" t="s">
        <v>671</v>
      </c>
      <c r="H923" s="2" t="s">
        <v>5218</v>
      </c>
      <c r="I923" s="2" t="s">
        <v>480</v>
      </c>
      <c r="J923" s="2" t="s">
        <v>189</v>
      </c>
      <c r="K923" s="2" t="s">
        <v>190</v>
      </c>
      <c r="L923" s="2" t="s">
        <v>167</v>
      </c>
      <c r="N923" s="2">
        <v>5.0</v>
      </c>
      <c r="P923" s="2" t="s">
        <v>32</v>
      </c>
      <c r="Q923" s="2" t="s">
        <v>49</v>
      </c>
      <c r="R923" s="2" t="s">
        <v>50</v>
      </c>
      <c r="S923" s="2" t="s">
        <v>51</v>
      </c>
    </row>
    <row r="924" ht="15.75" customHeight="1">
      <c r="A924" s="2" t="s">
        <v>5219</v>
      </c>
      <c r="B924" s="2" t="s">
        <v>5220</v>
      </c>
      <c r="C924" s="2" t="s">
        <v>5221</v>
      </c>
      <c r="D924" s="2" t="s">
        <v>5222</v>
      </c>
      <c r="E924" s="2" t="s">
        <v>5223</v>
      </c>
      <c r="F924" s="2" t="s">
        <v>5224</v>
      </c>
      <c r="G924" s="2" t="s">
        <v>1177</v>
      </c>
      <c r="H924" s="2" t="s">
        <v>152</v>
      </c>
      <c r="I924" s="2" t="s">
        <v>401</v>
      </c>
      <c r="J924" s="2" t="s">
        <v>212</v>
      </c>
      <c r="K924" s="2" t="s">
        <v>213</v>
      </c>
      <c r="L924" s="2" t="s">
        <v>214</v>
      </c>
      <c r="N924" s="2">
        <v>2.0</v>
      </c>
      <c r="O924" s="2" t="s">
        <v>5225</v>
      </c>
      <c r="P924" s="2" t="s">
        <v>32</v>
      </c>
      <c r="Q924" s="2" t="s">
        <v>66</v>
      </c>
      <c r="R924" s="2" t="s">
        <v>80</v>
      </c>
    </row>
    <row r="925" ht="15.75" customHeight="1">
      <c r="A925" s="2" t="s">
        <v>5226</v>
      </c>
      <c r="B925" s="2" t="s">
        <v>5227</v>
      </c>
      <c r="C925" s="2" t="s">
        <v>286</v>
      </c>
      <c r="D925" s="2" t="s">
        <v>287</v>
      </c>
      <c r="F925" s="2" t="s">
        <v>288</v>
      </c>
      <c r="G925" s="2" t="s">
        <v>114</v>
      </c>
      <c r="H925" s="2" t="s">
        <v>301</v>
      </c>
      <c r="I925" s="2" t="s">
        <v>352</v>
      </c>
      <c r="J925" s="2" t="s">
        <v>269</v>
      </c>
      <c r="K925" s="2" t="s">
        <v>270</v>
      </c>
      <c r="L925" s="2" t="s">
        <v>271</v>
      </c>
      <c r="M925" s="2">
        <v>794.62</v>
      </c>
      <c r="N925" s="2">
        <v>2.0</v>
      </c>
      <c r="O925" s="2" t="s">
        <v>5228</v>
      </c>
      <c r="P925" s="2" t="s">
        <v>95</v>
      </c>
      <c r="Q925" s="2" t="s">
        <v>49</v>
      </c>
      <c r="R925" s="2" t="s">
        <v>192</v>
      </c>
    </row>
    <row r="926" ht="15.75" customHeight="1">
      <c r="A926" s="2" t="s">
        <v>5229</v>
      </c>
      <c r="B926" s="2" t="s">
        <v>5230</v>
      </c>
      <c r="C926" s="2" t="s">
        <v>2745</v>
      </c>
      <c r="D926" s="2" t="s">
        <v>1283</v>
      </c>
      <c r="E926" s="2" t="s">
        <v>2746</v>
      </c>
      <c r="G926" s="2" t="s">
        <v>564</v>
      </c>
      <c r="H926" s="2" t="s">
        <v>400</v>
      </c>
      <c r="I926" s="2" t="s">
        <v>103</v>
      </c>
      <c r="J926" s="2" t="s">
        <v>2321</v>
      </c>
      <c r="K926" s="2" t="s">
        <v>2322</v>
      </c>
      <c r="L926" s="2" t="s">
        <v>368</v>
      </c>
      <c r="M926" s="2">
        <v>475.65</v>
      </c>
      <c r="N926" s="2">
        <v>5.0</v>
      </c>
      <c r="O926" s="2" t="s">
        <v>5231</v>
      </c>
      <c r="P926" s="2" t="s">
        <v>48</v>
      </c>
      <c r="Q926" s="2" t="s">
        <v>96</v>
      </c>
      <c r="R926" s="2" t="s">
        <v>527</v>
      </c>
      <c r="S926" s="2" t="s">
        <v>51</v>
      </c>
    </row>
    <row r="927" ht="15.75" customHeight="1">
      <c r="A927" s="2" t="s">
        <v>5232</v>
      </c>
      <c r="B927" s="2" t="s">
        <v>5233</v>
      </c>
      <c r="C927" s="2" t="s">
        <v>455</v>
      </c>
      <c r="D927" s="2" t="s">
        <v>456</v>
      </c>
      <c r="E927" s="2" t="s">
        <v>457</v>
      </c>
      <c r="F927" s="2" t="s">
        <v>458</v>
      </c>
      <c r="G927" s="2" t="s">
        <v>459</v>
      </c>
      <c r="H927" s="2" t="s">
        <v>59</v>
      </c>
      <c r="I927" s="2" t="s">
        <v>43</v>
      </c>
      <c r="J927" s="2" t="s">
        <v>1109</v>
      </c>
      <c r="K927" s="2" t="s">
        <v>1110</v>
      </c>
      <c r="L927" s="2" t="s">
        <v>826</v>
      </c>
      <c r="M927" s="2">
        <v>625.26</v>
      </c>
      <c r="N927" s="2">
        <v>1.0</v>
      </c>
      <c r="O927" s="2" t="s">
        <v>5234</v>
      </c>
      <c r="P927" s="2" t="s">
        <v>95</v>
      </c>
      <c r="Q927" s="2" t="s">
        <v>664</v>
      </c>
      <c r="R927" s="2" t="s">
        <v>380</v>
      </c>
      <c r="S927" s="2" t="s">
        <v>51</v>
      </c>
    </row>
    <row r="928" ht="15.75" customHeight="1">
      <c r="A928" s="2" t="s">
        <v>5235</v>
      </c>
      <c r="B928" s="2" t="s">
        <v>5236</v>
      </c>
      <c r="C928" s="2" t="s">
        <v>5237</v>
      </c>
      <c r="D928" s="2" t="s">
        <v>5238</v>
      </c>
      <c r="E928" s="2" t="s">
        <v>5239</v>
      </c>
      <c r="F928" s="2" t="s">
        <v>5240</v>
      </c>
      <c r="G928" s="2" t="s">
        <v>785</v>
      </c>
      <c r="H928" s="2" t="s">
        <v>223</v>
      </c>
      <c r="I928" s="2" t="s">
        <v>5241</v>
      </c>
      <c r="J928" s="2" t="s">
        <v>1856</v>
      </c>
      <c r="K928" s="2" t="s">
        <v>118</v>
      </c>
      <c r="L928" s="2" t="s">
        <v>167</v>
      </c>
      <c r="M928" s="2">
        <v>149.52</v>
      </c>
      <c r="N928" s="2">
        <v>1.0</v>
      </c>
      <c r="O928" s="2" t="s">
        <v>5242</v>
      </c>
      <c r="P928" s="2" t="s">
        <v>32</v>
      </c>
      <c r="Q928" s="2" t="s">
        <v>49</v>
      </c>
      <c r="R928" s="2" t="s">
        <v>3718</v>
      </c>
    </row>
    <row r="929" ht="15.75" customHeight="1">
      <c r="A929" s="2" t="s">
        <v>5243</v>
      </c>
      <c r="B929" s="2" t="s">
        <v>5244</v>
      </c>
      <c r="C929" s="2" t="s">
        <v>4185</v>
      </c>
      <c r="D929" s="2" t="s">
        <v>4186</v>
      </c>
      <c r="E929" s="2" t="s">
        <v>4187</v>
      </c>
      <c r="F929" s="2" t="s">
        <v>4188</v>
      </c>
      <c r="G929" s="2" t="s">
        <v>114</v>
      </c>
      <c r="H929" s="2" t="s">
        <v>26</v>
      </c>
      <c r="I929" s="2" t="s">
        <v>268</v>
      </c>
      <c r="J929" s="2" t="s">
        <v>889</v>
      </c>
      <c r="K929" s="2" t="s">
        <v>804</v>
      </c>
      <c r="L929" s="2" t="s">
        <v>179</v>
      </c>
      <c r="N929" s="2">
        <v>2.0</v>
      </c>
      <c r="O929" s="2" t="s">
        <v>5245</v>
      </c>
      <c r="P929" s="2" t="s">
        <v>95</v>
      </c>
      <c r="Q929" s="2" t="s">
        <v>526</v>
      </c>
      <c r="R929" s="2" t="s">
        <v>1171</v>
      </c>
    </row>
    <row r="930" ht="15.75" customHeight="1">
      <c r="A930" s="2" t="s">
        <v>5246</v>
      </c>
      <c r="B930" s="2" t="s">
        <v>5247</v>
      </c>
      <c r="C930" s="2" t="s">
        <v>1697</v>
      </c>
      <c r="D930" s="2" t="s">
        <v>1698</v>
      </c>
      <c r="E930" s="2" t="s">
        <v>2518</v>
      </c>
      <c r="F930" s="2" t="s">
        <v>1699</v>
      </c>
      <c r="G930" s="2" t="s">
        <v>608</v>
      </c>
      <c r="H930" s="2" t="s">
        <v>26</v>
      </c>
      <c r="I930" s="2" t="s">
        <v>43</v>
      </c>
      <c r="J930" s="2" t="s">
        <v>402</v>
      </c>
      <c r="K930" s="2" t="s">
        <v>403</v>
      </c>
      <c r="L930" s="2" t="s">
        <v>404</v>
      </c>
      <c r="M930" s="2">
        <v>557.38</v>
      </c>
      <c r="N930" s="2">
        <v>1.0</v>
      </c>
      <c r="O930" s="2" t="s">
        <v>5248</v>
      </c>
      <c r="P930" s="2" t="s">
        <v>32</v>
      </c>
      <c r="Q930" s="2" t="s">
        <v>49</v>
      </c>
      <c r="R930" s="2" t="s">
        <v>80</v>
      </c>
      <c r="S930" s="2" t="s">
        <v>51</v>
      </c>
    </row>
    <row r="931" ht="15.75" customHeight="1">
      <c r="A931" s="2" t="s">
        <v>5249</v>
      </c>
      <c r="B931" s="2" t="s">
        <v>5250</v>
      </c>
      <c r="C931" s="2" t="s">
        <v>5251</v>
      </c>
      <c r="D931" s="2" t="s">
        <v>3904</v>
      </c>
      <c r="E931" s="2" t="s">
        <v>5252</v>
      </c>
      <c r="F931" s="2" t="s">
        <v>5253</v>
      </c>
      <c r="G931" s="2" t="s">
        <v>608</v>
      </c>
      <c r="H931" s="2" t="s">
        <v>42</v>
      </c>
      <c r="I931" s="2" t="s">
        <v>1032</v>
      </c>
      <c r="J931" s="2" t="s">
        <v>599</v>
      </c>
      <c r="K931" s="2" t="s">
        <v>600</v>
      </c>
      <c r="L931" s="2" t="s">
        <v>167</v>
      </c>
      <c r="N931" s="2">
        <v>2.0</v>
      </c>
      <c r="O931" s="2" t="s">
        <v>5254</v>
      </c>
      <c r="P931" s="2" t="s">
        <v>65</v>
      </c>
      <c r="Q931" s="2" t="s">
        <v>49</v>
      </c>
      <c r="R931" s="2" t="s">
        <v>169</v>
      </c>
      <c r="S931" s="2" t="s">
        <v>81</v>
      </c>
    </row>
    <row r="932" ht="15.75" customHeight="1">
      <c r="A932" s="2" t="s">
        <v>5255</v>
      </c>
      <c r="B932" s="2" t="s">
        <v>5256</v>
      </c>
      <c r="C932" s="2" t="s">
        <v>2266</v>
      </c>
      <c r="D932" s="2" t="s">
        <v>2267</v>
      </c>
      <c r="E932" s="2" t="s">
        <v>2268</v>
      </c>
      <c r="F932" s="2" t="s">
        <v>3453</v>
      </c>
      <c r="G932" s="2" t="s">
        <v>188</v>
      </c>
      <c r="H932" s="2" t="s">
        <v>223</v>
      </c>
      <c r="I932" s="2" t="s">
        <v>401</v>
      </c>
      <c r="J932" s="2" t="s">
        <v>422</v>
      </c>
      <c r="K932" s="2" t="s">
        <v>423</v>
      </c>
      <c r="L932" s="2" t="s">
        <v>292</v>
      </c>
      <c r="N932" s="2">
        <v>1.0</v>
      </c>
      <c r="O932" s="2" t="s">
        <v>5257</v>
      </c>
      <c r="P932" s="2" t="s">
        <v>32</v>
      </c>
      <c r="Q932" s="2" t="s">
        <v>505</v>
      </c>
      <c r="R932" s="2" t="s">
        <v>132</v>
      </c>
      <c r="S932" s="2" t="s">
        <v>67</v>
      </c>
    </row>
    <row r="933" ht="15.75" customHeight="1">
      <c r="A933" s="2" t="s">
        <v>5258</v>
      </c>
      <c r="B933" s="2" t="s">
        <v>5259</v>
      </c>
      <c r="C933" s="2" t="s">
        <v>3755</v>
      </c>
      <c r="D933" s="2" t="s">
        <v>3756</v>
      </c>
      <c r="E933" s="2" t="s">
        <v>3757</v>
      </c>
      <c r="F933" s="2" t="s">
        <v>3758</v>
      </c>
      <c r="G933" s="2" t="s">
        <v>114</v>
      </c>
      <c r="H933" s="2" t="s">
        <v>683</v>
      </c>
      <c r="I933" s="2" t="s">
        <v>60</v>
      </c>
      <c r="J933" s="2" t="s">
        <v>2680</v>
      </c>
      <c r="K933" s="2" t="s">
        <v>303</v>
      </c>
      <c r="L933" s="2" t="s">
        <v>2421</v>
      </c>
      <c r="N933" s="2">
        <v>1.0</v>
      </c>
      <c r="O933" s="2" t="s">
        <v>5260</v>
      </c>
      <c r="P933" s="2" t="s">
        <v>65</v>
      </c>
      <c r="Q933" s="2" t="s">
        <v>66</v>
      </c>
      <c r="R933" s="2" t="s">
        <v>80</v>
      </c>
    </row>
    <row r="934" ht="15.75" customHeight="1">
      <c r="A934" s="2" t="s">
        <v>5261</v>
      </c>
      <c r="B934" s="2" t="s">
        <v>5262</v>
      </c>
      <c r="C934" s="2" t="s">
        <v>4903</v>
      </c>
      <c r="D934" s="2" t="s">
        <v>4904</v>
      </c>
      <c r="F934" s="2" t="s">
        <v>4905</v>
      </c>
      <c r="G934" s="2" t="s">
        <v>608</v>
      </c>
      <c r="H934" s="2" t="s">
        <v>223</v>
      </c>
      <c r="I934" s="2" t="s">
        <v>480</v>
      </c>
      <c r="J934" s="2" t="s">
        <v>334</v>
      </c>
      <c r="K934" s="2" t="s">
        <v>335</v>
      </c>
      <c r="L934" s="2" t="s">
        <v>248</v>
      </c>
      <c r="M934" s="2">
        <v>1339.86</v>
      </c>
      <c r="N934" s="2">
        <v>2.0</v>
      </c>
      <c r="O934" s="2" t="s">
        <v>5263</v>
      </c>
      <c r="P934" s="2" t="s">
        <v>2954</v>
      </c>
      <c r="Q934" s="2" t="s">
        <v>181</v>
      </c>
      <c r="R934" s="2" t="s">
        <v>169</v>
      </c>
      <c r="S934" s="2" t="s">
        <v>67</v>
      </c>
    </row>
    <row r="935" ht="15.75" customHeight="1">
      <c r="A935" s="2" t="s">
        <v>5264</v>
      </c>
      <c r="B935" s="2" t="s">
        <v>5265</v>
      </c>
      <c r="C935" s="2" t="s">
        <v>2576</v>
      </c>
      <c r="D935" s="2" t="s">
        <v>2577</v>
      </c>
      <c r="E935" s="2" t="s">
        <v>2578</v>
      </c>
      <c r="F935" s="2" t="s">
        <v>2579</v>
      </c>
      <c r="G935" s="2" t="s">
        <v>1177</v>
      </c>
      <c r="H935" s="2" t="s">
        <v>59</v>
      </c>
      <c r="I935" s="2" t="s">
        <v>103</v>
      </c>
      <c r="J935" s="2" t="s">
        <v>1109</v>
      </c>
      <c r="K935" s="2" t="s">
        <v>1110</v>
      </c>
      <c r="L935" s="2" t="s">
        <v>826</v>
      </c>
      <c r="N935" s="2">
        <v>1.0</v>
      </c>
      <c r="O935" s="2" t="s">
        <v>5266</v>
      </c>
      <c r="P935" s="2" t="s">
        <v>95</v>
      </c>
      <c r="Q935" s="2" t="s">
        <v>664</v>
      </c>
      <c r="R935" s="2" t="s">
        <v>192</v>
      </c>
    </row>
    <row r="936" ht="15.75" customHeight="1">
      <c r="A936" s="2" t="s">
        <v>5267</v>
      </c>
      <c r="B936" s="2" t="s">
        <v>5268</v>
      </c>
      <c r="C936" s="2" t="s">
        <v>5269</v>
      </c>
      <c r="D936" s="2" t="s">
        <v>5270</v>
      </c>
      <c r="E936" s="2" t="s">
        <v>5271</v>
      </c>
      <c r="F936" s="2" t="s">
        <v>5272</v>
      </c>
      <c r="G936" s="2" t="s">
        <v>1177</v>
      </c>
      <c r="H936" s="2" t="s">
        <v>42</v>
      </c>
      <c r="I936" s="2" t="s">
        <v>480</v>
      </c>
      <c r="J936" s="2" t="s">
        <v>740</v>
      </c>
      <c r="K936" s="2" t="s">
        <v>741</v>
      </c>
      <c r="L936" s="2" t="s">
        <v>742</v>
      </c>
      <c r="M936" s="2">
        <v>149.83</v>
      </c>
      <c r="N936" s="2">
        <v>2.0</v>
      </c>
      <c r="O936" s="2" t="s">
        <v>5273</v>
      </c>
      <c r="P936" s="2" t="s">
        <v>48</v>
      </c>
      <c r="Q936" s="2" t="s">
        <v>573</v>
      </c>
      <c r="R936" s="2" t="s">
        <v>1670</v>
      </c>
    </row>
    <row r="937" ht="15.75" customHeight="1">
      <c r="A937" s="2" t="s">
        <v>5274</v>
      </c>
      <c r="B937" s="2" t="s">
        <v>5275</v>
      </c>
      <c r="C937" s="2" t="s">
        <v>5276</v>
      </c>
      <c r="D937" s="2" t="s">
        <v>5277</v>
      </c>
      <c r="E937" s="2" t="s">
        <v>5278</v>
      </c>
      <c r="F937" s="2" t="s">
        <v>5279</v>
      </c>
      <c r="G937" s="2" t="s">
        <v>777</v>
      </c>
      <c r="H937" s="2" t="s">
        <v>683</v>
      </c>
      <c r="I937" s="2" t="s">
        <v>90</v>
      </c>
      <c r="J937" s="2" t="s">
        <v>556</v>
      </c>
      <c r="K937" s="2" t="s">
        <v>502</v>
      </c>
      <c r="L937" s="2" t="s">
        <v>355</v>
      </c>
      <c r="M937" s="2">
        <v>783.7</v>
      </c>
      <c r="N937" s="2">
        <v>1.0</v>
      </c>
      <c r="O937" s="2" t="s">
        <v>5280</v>
      </c>
      <c r="P937" s="2" t="s">
        <v>32</v>
      </c>
      <c r="Q937" s="2" t="s">
        <v>33</v>
      </c>
      <c r="R937" s="2" t="s">
        <v>452</v>
      </c>
    </row>
    <row r="938" ht="15.75" customHeight="1">
      <c r="A938" s="2" t="s">
        <v>5281</v>
      </c>
      <c r="B938" s="2" t="s">
        <v>5282</v>
      </c>
      <c r="C938" s="2" t="s">
        <v>4848</v>
      </c>
      <c r="D938" s="2" t="s">
        <v>173</v>
      </c>
      <c r="E938" s="2" t="s">
        <v>4849</v>
      </c>
      <c r="F938" s="2" t="s">
        <v>4850</v>
      </c>
      <c r="G938" s="2" t="s">
        <v>801</v>
      </c>
      <c r="H938" s="2" t="s">
        <v>42</v>
      </c>
      <c r="I938" s="2" t="s">
        <v>116</v>
      </c>
      <c r="J938" s="2" t="s">
        <v>2417</v>
      </c>
      <c r="K938" s="2" t="s">
        <v>225</v>
      </c>
      <c r="L938" s="2" t="s">
        <v>503</v>
      </c>
      <c r="M938" s="2">
        <v>1111.51</v>
      </c>
      <c r="N938" s="2">
        <v>2.0</v>
      </c>
      <c r="O938" s="2" t="s">
        <v>5283</v>
      </c>
      <c r="P938" s="2" t="s">
        <v>48</v>
      </c>
      <c r="Q938" s="2" t="s">
        <v>5284</v>
      </c>
      <c r="R938" s="2" t="s">
        <v>306</v>
      </c>
    </row>
    <row r="939" ht="15.75" customHeight="1">
      <c r="A939" s="2" t="s">
        <v>5285</v>
      </c>
      <c r="B939" s="2" t="s">
        <v>5286</v>
      </c>
      <c r="C939" s="2" t="s">
        <v>5287</v>
      </c>
      <c r="D939" s="2" t="s">
        <v>1160</v>
      </c>
      <c r="E939" s="2" t="s">
        <v>5288</v>
      </c>
      <c r="F939" s="2" t="s">
        <v>5289</v>
      </c>
      <c r="G939" s="2" t="s">
        <v>114</v>
      </c>
      <c r="H939" s="2" t="s">
        <v>223</v>
      </c>
      <c r="I939" s="2" t="s">
        <v>75</v>
      </c>
      <c r="J939" s="2" t="s">
        <v>1722</v>
      </c>
      <c r="K939" s="2" t="s">
        <v>804</v>
      </c>
      <c r="L939" s="2" t="s">
        <v>368</v>
      </c>
      <c r="M939" s="2">
        <v>981.49</v>
      </c>
      <c r="N939" s="2">
        <v>2.0</v>
      </c>
      <c r="O939" s="2" t="s">
        <v>5290</v>
      </c>
      <c r="P939" s="2" t="s">
        <v>65</v>
      </c>
      <c r="Q939" s="2" t="s">
        <v>485</v>
      </c>
      <c r="R939" s="2" t="s">
        <v>192</v>
      </c>
      <c r="S939" s="2" t="s">
        <v>133</v>
      </c>
    </row>
    <row r="940" ht="15.75" customHeight="1">
      <c r="A940" s="2" t="s">
        <v>5291</v>
      </c>
      <c r="B940" s="2" t="s">
        <v>5292</v>
      </c>
      <c r="C940" s="2" t="s">
        <v>5293</v>
      </c>
      <c r="D940" s="2" t="s">
        <v>5294</v>
      </c>
      <c r="F940" s="2" t="s">
        <v>5295</v>
      </c>
      <c r="G940" s="2" t="s">
        <v>801</v>
      </c>
      <c r="H940" s="2" t="s">
        <v>5296</v>
      </c>
      <c r="I940" s="2" t="s">
        <v>522</v>
      </c>
      <c r="J940" s="2" t="s">
        <v>581</v>
      </c>
      <c r="K940" s="2" t="s">
        <v>326</v>
      </c>
      <c r="L940" s="2" t="s">
        <v>582</v>
      </c>
      <c r="M940" s="2">
        <v>1712.27</v>
      </c>
      <c r="N940" s="2">
        <v>1.0</v>
      </c>
      <c r="O940" s="2" t="s">
        <v>5297</v>
      </c>
      <c r="P940" s="2" t="s">
        <v>32</v>
      </c>
      <c r="Q940" s="2" t="s">
        <v>238</v>
      </c>
      <c r="R940" s="2" t="s">
        <v>169</v>
      </c>
      <c r="S940" s="2" t="s">
        <v>81</v>
      </c>
    </row>
    <row r="941" ht="15.75" customHeight="1">
      <c r="A941" s="2" t="s">
        <v>5298</v>
      </c>
      <c r="B941" s="2" t="s">
        <v>5299</v>
      </c>
      <c r="C941" s="2" t="s">
        <v>2808</v>
      </c>
      <c r="D941" s="2" t="s">
        <v>2809</v>
      </c>
      <c r="E941" s="2" t="s">
        <v>2810</v>
      </c>
      <c r="F941" s="2" t="s">
        <v>2811</v>
      </c>
      <c r="G941" s="2" t="s">
        <v>25</v>
      </c>
      <c r="H941" s="2" t="s">
        <v>26</v>
      </c>
      <c r="I941" s="2" t="s">
        <v>103</v>
      </c>
      <c r="J941" s="2" t="s">
        <v>269</v>
      </c>
      <c r="K941" s="2" t="s">
        <v>270</v>
      </c>
      <c r="L941" s="2" t="s">
        <v>271</v>
      </c>
      <c r="M941" s="2">
        <v>174.39</v>
      </c>
      <c r="N941" s="2">
        <v>2.0</v>
      </c>
      <c r="O941" s="2" t="s">
        <v>5300</v>
      </c>
      <c r="P941" s="2" t="s">
        <v>65</v>
      </c>
      <c r="Q941" s="2" t="s">
        <v>66</v>
      </c>
      <c r="R941" s="2" t="s">
        <v>380</v>
      </c>
      <c r="S941" s="2" t="s">
        <v>133</v>
      </c>
    </row>
    <row r="942" ht="15.75" customHeight="1">
      <c r="A942" s="2" t="s">
        <v>5301</v>
      </c>
      <c r="B942" s="2" t="s">
        <v>5302</v>
      </c>
      <c r="C942" s="2" t="s">
        <v>1119</v>
      </c>
      <c r="D942" s="2" t="s">
        <v>1120</v>
      </c>
      <c r="F942" s="2" t="s">
        <v>1121</v>
      </c>
      <c r="G942" s="2" t="s">
        <v>199</v>
      </c>
      <c r="H942" s="2" t="s">
        <v>59</v>
      </c>
      <c r="I942" s="2" t="s">
        <v>43</v>
      </c>
      <c r="J942" s="2" t="s">
        <v>2539</v>
      </c>
      <c r="K942" s="2" t="s">
        <v>403</v>
      </c>
      <c r="L942" s="2" t="s">
        <v>1328</v>
      </c>
      <c r="M942" s="2">
        <v>1414.8</v>
      </c>
      <c r="N942" s="2">
        <v>2.0</v>
      </c>
      <c r="O942" s="2" t="s">
        <v>5303</v>
      </c>
      <c r="P942" s="2" t="s">
        <v>48</v>
      </c>
      <c r="Q942" s="2" t="s">
        <v>181</v>
      </c>
      <c r="R942" s="2" t="s">
        <v>345</v>
      </c>
      <c r="S942" s="2" t="s">
        <v>51</v>
      </c>
    </row>
    <row r="943" ht="15.75" customHeight="1">
      <c r="A943" s="2" t="s">
        <v>5304</v>
      </c>
      <c r="B943" s="2" t="s">
        <v>5305</v>
      </c>
      <c r="C943" s="2" t="s">
        <v>309</v>
      </c>
      <c r="D943" s="2" t="s">
        <v>310</v>
      </c>
      <c r="E943" s="2" t="s">
        <v>5306</v>
      </c>
      <c r="F943" s="2" t="s">
        <v>311</v>
      </c>
      <c r="G943" s="2" t="s">
        <v>165</v>
      </c>
      <c r="H943" s="2" t="s">
        <v>802</v>
      </c>
      <c r="I943" s="2" t="s">
        <v>103</v>
      </c>
      <c r="J943" s="2" t="s">
        <v>212</v>
      </c>
      <c r="K943" s="2" t="s">
        <v>213</v>
      </c>
      <c r="L943" s="2" t="s">
        <v>214</v>
      </c>
      <c r="M943" s="2">
        <v>1009.61</v>
      </c>
      <c r="N943" s="2">
        <v>3.0</v>
      </c>
      <c r="O943" s="2" t="s">
        <v>5307</v>
      </c>
      <c r="P943" s="2" t="s">
        <v>65</v>
      </c>
      <c r="Q943" s="2" t="s">
        <v>143</v>
      </c>
      <c r="R943" s="2" t="s">
        <v>380</v>
      </c>
      <c r="S943" s="2" t="s">
        <v>133</v>
      </c>
    </row>
    <row r="944" ht="15.75" customHeight="1">
      <c r="A944" s="2" t="s">
        <v>1532</v>
      </c>
      <c r="B944" s="2" t="s">
        <v>1533</v>
      </c>
      <c r="C944" s="2" t="s">
        <v>1534</v>
      </c>
      <c r="D944" s="2" t="s">
        <v>4563</v>
      </c>
      <c r="E944" s="2" t="s">
        <v>1536</v>
      </c>
      <c r="F944" s="2" t="s">
        <v>1537</v>
      </c>
      <c r="G944" s="2" t="s">
        <v>671</v>
      </c>
      <c r="H944" s="2" t="s">
        <v>74</v>
      </c>
      <c r="I944" s="2" t="s">
        <v>176</v>
      </c>
      <c r="J944" s="2" t="s">
        <v>334</v>
      </c>
      <c r="K944" s="2" t="s">
        <v>335</v>
      </c>
      <c r="L944" s="2" t="s">
        <v>248</v>
      </c>
      <c r="M944" s="2">
        <v>204.31</v>
      </c>
      <c r="N944" s="2">
        <v>1.0</v>
      </c>
      <c r="O944" s="2" t="s">
        <v>1538</v>
      </c>
      <c r="P944" s="2" t="s">
        <v>32</v>
      </c>
      <c r="Q944" s="2" t="s">
        <v>1539</v>
      </c>
      <c r="R944" s="2" t="s">
        <v>158</v>
      </c>
      <c r="S944" s="2" t="s">
        <v>51</v>
      </c>
    </row>
    <row r="945" ht="15.75" customHeight="1">
      <c r="A945" s="2" t="s">
        <v>5308</v>
      </c>
      <c r="B945" s="2" t="s">
        <v>5309</v>
      </c>
      <c r="C945" s="2" t="s">
        <v>2648</v>
      </c>
      <c r="D945" s="2" t="s">
        <v>2649</v>
      </c>
      <c r="E945" s="2" t="s">
        <v>2650</v>
      </c>
      <c r="F945" s="2" t="s">
        <v>2651</v>
      </c>
      <c r="G945" s="2" t="s">
        <v>25</v>
      </c>
      <c r="H945" s="2" t="s">
        <v>210</v>
      </c>
      <c r="I945" s="2" t="s">
        <v>1032</v>
      </c>
      <c r="J945" s="2" t="s">
        <v>212</v>
      </c>
      <c r="K945" s="2" t="s">
        <v>213</v>
      </c>
      <c r="L945" s="2" t="s">
        <v>214</v>
      </c>
      <c r="M945" s="2">
        <v>653.56</v>
      </c>
      <c r="N945" s="2">
        <v>3.0</v>
      </c>
      <c r="O945" s="2" t="s">
        <v>5310</v>
      </c>
      <c r="P945" s="2" t="s">
        <v>95</v>
      </c>
      <c r="Q945" s="2" t="s">
        <v>131</v>
      </c>
      <c r="R945" s="2" t="s">
        <v>144</v>
      </c>
    </row>
    <row r="946" ht="15.75" customHeight="1">
      <c r="A946" s="2" t="s">
        <v>5311</v>
      </c>
      <c r="B946" s="2" t="s">
        <v>2630</v>
      </c>
      <c r="C946" s="2" t="s">
        <v>219</v>
      </c>
      <c r="D946" s="2" t="s">
        <v>220</v>
      </c>
      <c r="F946" s="2" t="s">
        <v>222</v>
      </c>
      <c r="G946" s="2" t="s">
        <v>114</v>
      </c>
      <c r="H946" s="2" t="s">
        <v>42</v>
      </c>
      <c r="I946" s="2" t="s">
        <v>401</v>
      </c>
      <c r="J946" s="2" t="s">
        <v>1146</v>
      </c>
      <c r="K946" s="2" t="s">
        <v>1147</v>
      </c>
      <c r="L946" s="2" t="s">
        <v>248</v>
      </c>
      <c r="M946" s="2">
        <v>371.74</v>
      </c>
      <c r="N946" s="2">
        <v>1.0</v>
      </c>
      <c r="O946" s="2" t="s">
        <v>5312</v>
      </c>
      <c r="P946" s="2" t="s">
        <v>32</v>
      </c>
      <c r="Q946" s="2" t="s">
        <v>238</v>
      </c>
      <c r="R946" s="2" t="s">
        <v>306</v>
      </c>
      <c r="S946" s="2" t="s">
        <v>133</v>
      </c>
    </row>
    <row r="947" ht="15.75" customHeight="1">
      <c r="A947" s="2" t="s">
        <v>5313</v>
      </c>
      <c r="B947" s="2" t="s">
        <v>5314</v>
      </c>
      <c r="C947" s="2" t="s">
        <v>3771</v>
      </c>
      <c r="D947" s="2" t="s">
        <v>3772</v>
      </c>
      <c r="E947" s="2" t="s">
        <v>3773</v>
      </c>
      <c r="F947" s="2" t="s">
        <v>3774</v>
      </c>
      <c r="G947" s="2" t="s">
        <v>459</v>
      </c>
      <c r="H947" s="2" t="s">
        <v>59</v>
      </c>
      <c r="I947" s="2" t="s">
        <v>522</v>
      </c>
      <c r="J947" s="2" t="s">
        <v>1327</v>
      </c>
      <c r="K947" s="2" t="s">
        <v>291</v>
      </c>
      <c r="L947" s="2" t="s">
        <v>1328</v>
      </c>
      <c r="M947" s="2">
        <v>548.58</v>
      </c>
      <c r="N947" s="2">
        <v>2.0</v>
      </c>
      <c r="O947" s="2" t="s">
        <v>5315</v>
      </c>
      <c r="P947" s="2" t="s">
        <v>2954</v>
      </c>
      <c r="Q947" s="2" t="s">
        <v>33</v>
      </c>
      <c r="R947" s="2" t="s">
        <v>818</v>
      </c>
    </row>
    <row r="948" ht="15.75" customHeight="1">
      <c r="A948" s="2" t="s">
        <v>5316</v>
      </c>
      <c r="B948" s="2" t="s">
        <v>5317</v>
      </c>
      <c r="C948" s="2" t="s">
        <v>4434</v>
      </c>
      <c r="D948" s="2" t="s">
        <v>4435</v>
      </c>
      <c r="E948" s="2" t="s">
        <v>5318</v>
      </c>
      <c r="F948" s="2" t="s">
        <v>4436</v>
      </c>
      <c r="G948" s="2" t="s">
        <v>188</v>
      </c>
      <c r="H948" s="2" t="s">
        <v>59</v>
      </c>
      <c r="I948" s="2" t="s">
        <v>116</v>
      </c>
      <c r="J948" s="2" t="s">
        <v>2012</v>
      </c>
      <c r="K948" s="2" t="s">
        <v>741</v>
      </c>
      <c r="L948" s="2" t="s">
        <v>514</v>
      </c>
      <c r="M948" s="2">
        <v>1446.81</v>
      </c>
      <c r="N948" s="2">
        <v>2.0</v>
      </c>
      <c r="O948" s="2" t="s">
        <v>5319</v>
      </c>
      <c r="P948" s="2" t="s">
        <v>65</v>
      </c>
      <c r="Q948" s="2" t="s">
        <v>181</v>
      </c>
      <c r="R948" s="2" t="s">
        <v>192</v>
      </c>
    </row>
    <row r="949" ht="15.75" customHeight="1">
      <c r="A949" s="2" t="s">
        <v>5320</v>
      </c>
      <c r="B949" s="2" t="s">
        <v>5321</v>
      </c>
      <c r="C949" s="2" t="s">
        <v>1718</v>
      </c>
      <c r="D949" s="2" t="s">
        <v>1719</v>
      </c>
      <c r="E949" s="2" t="s">
        <v>1720</v>
      </c>
      <c r="F949" s="2" t="s">
        <v>1721</v>
      </c>
      <c r="G949" s="2" t="s">
        <v>199</v>
      </c>
      <c r="H949" s="2" t="s">
        <v>59</v>
      </c>
      <c r="I949" s="2" t="s">
        <v>480</v>
      </c>
      <c r="J949" s="2" t="s">
        <v>3596</v>
      </c>
      <c r="K949" s="2" t="s">
        <v>3597</v>
      </c>
      <c r="L949" s="2" t="s">
        <v>63</v>
      </c>
      <c r="M949" s="2">
        <v>1262.83</v>
      </c>
      <c r="N949" s="2">
        <v>1.0</v>
      </c>
      <c r="O949" s="2" t="s">
        <v>5322</v>
      </c>
      <c r="P949" s="2" t="s">
        <v>48</v>
      </c>
      <c r="Q949" s="2" t="s">
        <v>370</v>
      </c>
      <c r="R949" s="2" t="s">
        <v>192</v>
      </c>
    </row>
    <row r="950" ht="15.75" customHeight="1">
      <c r="A950" s="2" t="s">
        <v>5323</v>
      </c>
      <c r="B950" s="2" t="s">
        <v>5324</v>
      </c>
      <c r="C950" s="2" t="s">
        <v>5325</v>
      </c>
      <c r="D950" s="2" t="s">
        <v>5326</v>
      </c>
      <c r="E950" s="2" t="s">
        <v>5327</v>
      </c>
      <c r="F950" s="2" t="s">
        <v>5328</v>
      </c>
      <c r="G950" s="2" t="s">
        <v>139</v>
      </c>
      <c r="H950" s="2" t="s">
        <v>59</v>
      </c>
      <c r="I950" s="2" t="s">
        <v>512</v>
      </c>
      <c r="J950" s="2" t="s">
        <v>1085</v>
      </c>
      <c r="K950" s="2" t="s">
        <v>335</v>
      </c>
      <c r="L950" s="2" t="s">
        <v>368</v>
      </c>
      <c r="M950" s="2">
        <v>64.83</v>
      </c>
      <c r="N950" s="2">
        <v>2.0</v>
      </c>
      <c r="O950" s="2" t="s">
        <v>5329</v>
      </c>
      <c r="P950" s="2" t="s">
        <v>32</v>
      </c>
      <c r="Q950" s="2" t="s">
        <v>131</v>
      </c>
      <c r="R950" s="2" t="s">
        <v>294</v>
      </c>
    </row>
    <row r="951" ht="15.75" customHeight="1">
      <c r="A951" s="2" t="s">
        <v>5330</v>
      </c>
      <c r="B951" s="2" t="s">
        <v>5331</v>
      </c>
      <c r="C951" s="2" t="s">
        <v>5332</v>
      </c>
      <c r="D951" s="2" t="s">
        <v>5333</v>
      </c>
      <c r="F951" s="2" t="s">
        <v>5334</v>
      </c>
      <c r="G951" s="2" t="s">
        <v>58</v>
      </c>
      <c r="H951" s="2" t="s">
        <v>42</v>
      </c>
      <c r="I951" s="2" t="s">
        <v>5335</v>
      </c>
      <c r="J951" s="2" t="s">
        <v>302</v>
      </c>
      <c r="K951" s="2" t="s">
        <v>303</v>
      </c>
      <c r="L951" s="2" t="s">
        <v>248</v>
      </c>
      <c r="M951" s="2">
        <v>1409.79</v>
      </c>
      <c r="N951" s="2">
        <v>1.0</v>
      </c>
      <c r="O951" s="2" t="s">
        <v>5336</v>
      </c>
      <c r="P951" s="2" t="s">
        <v>95</v>
      </c>
      <c r="Q951" s="2" t="s">
        <v>664</v>
      </c>
      <c r="R951" s="2" t="s">
        <v>80</v>
      </c>
      <c r="S951" s="2" t="s">
        <v>133</v>
      </c>
    </row>
    <row r="952" ht="15.75" customHeight="1">
      <c r="A952" s="2" t="s">
        <v>5337</v>
      </c>
      <c r="B952" s="2" t="s">
        <v>5338</v>
      </c>
      <c r="C952" s="2" t="s">
        <v>1067</v>
      </c>
      <c r="D952" s="2" t="s">
        <v>1068</v>
      </c>
      <c r="E952" s="2" t="s">
        <v>1069</v>
      </c>
      <c r="G952" s="2" t="s">
        <v>165</v>
      </c>
      <c r="H952" s="2" t="s">
        <v>42</v>
      </c>
      <c r="I952" s="2" t="s">
        <v>211</v>
      </c>
      <c r="J952" s="2" t="s">
        <v>3172</v>
      </c>
      <c r="K952" s="2" t="s">
        <v>3173</v>
      </c>
      <c r="L952" s="2" t="s">
        <v>355</v>
      </c>
      <c r="M952" s="2">
        <v>1066.71</v>
      </c>
      <c r="N952" s="2">
        <v>3.0</v>
      </c>
      <c r="O952" s="2" t="s">
        <v>5339</v>
      </c>
      <c r="P952" s="2" t="s">
        <v>32</v>
      </c>
      <c r="Q952" s="2" t="s">
        <v>49</v>
      </c>
      <c r="R952" s="2" t="s">
        <v>2855</v>
      </c>
    </row>
    <row r="953" ht="15.75" customHeight="1">
      <c r="A953" s="2" t="s">
        <v>5340</v>
      </c>
      <c r="B953" s="2" t="s">
        <v>5341</v>
      </c>
      <c r="C953" s="2" t="s">
        <v>5342</v>
      </c>
      <c r="D953" s="2" t="s">
        <v>1060</v>
      </c>
      <c r="E953" s="2" t="s">
        <v>5343</v>
      </c>
      <c r="F953" s="2" t="s">
        <v>5344</v>
      </c>
      <c r="G953" s="2" t="s">
        <v>785</v>
      </c>
      <c r="H953" s="2" t="s">
        <v>210</v>
      </c>
      <c r="I953" s="2" t="s">
        <v>176</v>
      </c>
      <c r="J953" s="2" t="s">
        <v>3596</v>
      </c>
      <c r="K953" s="2" t="s">
        <v>3597</v>
      </c>
      <c r="L953" s="2" t="s">
        <v>63</v>
      </c>
      <c r="M953" s="2">
        <v>44.68</v>
      </c>
      <c r="N953" s="2">
        <v>1.0</v>
      </c>
      <c r="O953" s="2" t="s">
        <v>5345</v>
      </c>
      <c r="P953" s="2" t="s">
        <v>48</v>
      </c>
      <c r="Q953" s="2" t="s">
        <v>49</v>
      </c>
      <c r="R953" s="2" t="s">
        <v>120</v>
      </c>
      <c r="S953" s="2" t="s">
        <v>81</v>
      </c>
    </row>
    <row r="954" ht="15.75" customHeight="1">
      <c r="A954" s="2" t="s">
        <v>5346</v>
      </c>
      <c r="B954" s="2" t="s">
        <v>5347</v>
      </c>
      <c r="C954" s="2" t="s">
        <v>5348</v>
      </c>
      <c r="D954" s="2" t="s">
        <v>5349</v>
      </c>
      <c r="E954" s="2" t="s">
        <v>5350</v>
      </c>
      <c r="F954" s="2" t="s">
        <v>5351</v>
      </c>
      <c r="G954" s="2" t="s">
        <v>399</v>
      </c>
      <c r="H954" s="2" t="s">
        <v>223</v>
      </c>
      <c r="I954" s="2" t="s">
        <v>103</v>
      </c>
      <c r="J954" s="2" t="s">
        <v>1495</v>
      </c>
      <c r="K954" s="2" t="s">
        <v>1138</v>
      </c>
      <c r="L954" s="2" t="s">
        <v>248</v>
      </c>
      <c r="M954" s="2">
        <v>1241.01</v>
      </c>
      <c r="N954" s="2">
        <v>2.0</v>
      </c>
      <c r="O954" s="2" t="s">
        <v>5352</v>
      </c>
      <c r="P954" s="2" t="s">
        <v>5353</v>
      </c>
      <c r="Q954" s="2" t="s">
        <v>131</v>
      </c>
      <c r="R954" s="2" t="s">
        <v>34</v>
      </c>
      <c r="S954" s="2" t="s">
        <v>133</v>
      </c>
    </row>
    <row r="955" ht="15.75" customHeight="1">
      <c r="A955" s="2" t="s">
        <v>5354</v>
      </c>
      <c r="B955" s="2" t="s">
        <v>5355</v>
      </c>
      <c r="C955" s="2" t="s">
        <v>1491</v>
      </c>
      <c r="D955" s="2" t="s">
        <v>1492</v>
      </c>
      <c r="E955" s="2" t="s">
        <v>1493</v>
      </c>
      <c r="F955" s="2" t="s">
        <v>1494</v>
      </c>
      <c r="G955" s="2" t="s">
        <v>399</v>
      </c>
      <c r="H955" s="2" t="s">
        <v>323</v>
      </c>
      <c r="I955" s="2" t="s">
        <v>116</v>
      </c>
      <c r="J955" s="2" t="s">
        <v>1733</v>
      </c>
      <c r="K955" s="2" t="s">
        <v>440</v>
      </c>
      <c r="L955" s="2" t="s">
        <v>315</v>
      </c>
      <c r="M955" s="2">
        <v>1369.87</v>
      </c>
      <c r="N955" s="2">
        <v>2.0</v>
      </c>
      <c r="O955" s="2" t="s">
        <v>5356</v>
      </c>
      <c r="P955" s="2" t="s">
        <v>95</v>
      </c>
      <c r="Q955" s="2" t="s">
        <v>66</v>
      </c>
      <c r="R955" s="2" t="s">
        <v>50</v>
      </c>
      <c r="S955" s="2" t="s">
        <v>67</v>
      </c>
    </row>
    <row r="956" ht="15.75" customHeight="1">
      <c r="A956" s="2" t="s">
        <v>5357</v>
      </c>
      <c r="B956" s="2" t="s">
        <v>1968</v>
      </c>
      <c r="C956" s="2" t="s">
        <v>2901</v>
      </c>
      <c r="D956" s="2" t="s">
        <v>2902</v>
      </c>
      <c r="F956" s="2" t="s">
        <v>2904</v>
      </c>
      <c r="G956" s="2" t="s">
        <v>903</v>
      </c>
      <c r="H956" s="2" t="s">
        <v>802</v>
      </c>
      <c r="I956" s="2" t="s">
        <v>289</v>
      </c>
      <c r="J956" s="2" t="s">
        <v>1063</v>
      </c>
      <c r="K956" s="2" t="s">
        <v>291</v>
      </c>
      <c r="L956" s="2" t="s">
        <v>167</v>
      </c>
      <c r="N956" s="2">
        <v>2.0</v>
      </c>
      <c r="O956" s="2" t="s">
        <v>5358</v>
      </c>
      <c r="P956" s="2" t="s">
        <v>32</v>
      </c>
      <c r="Q956" s="2" t="s">
        <v>66</v>
      </c>
      <c r="R956" s="2" t="s">
        <v>452</v>
      </c>
      <c r="S956" s="2" t="s">
        <v>81</v>
      </c>
    </row>
    <row r="957" ht="15.75" customHeight="1">
      <c r="A957" s="2" t="s">
        <v>5359</v>
      </c>
      <c r="B957" s="2" t="s">
        <v>5360</v>
      </c>
      <c r="C957" s="2" t="s">
        <v>2776</v>
      </c>
      <c r="D957" s="2" t="s">
        <v>2777</v>
      </c>
      <c r="F957" s="2" t="s">
        <v>2779</v>
      </c>
      <c r="G957" s="2" t="s">
        <v>2780</v>
      </c>
      <c r="H957" s="2" t="s">
        <v>59</v>
      </c>
      <c r="I957" s="2" t="s">
        <v>5361</v>
      </c>
      <c r="J957" s="2" t="s">
        <v>2033</v>
      </c>
      <c r="K957" s="2" t="s">
        <v>2034</v>
      </c>
      <c r="L957" s="2" t="s">
        <v>1016</v>
      </c>
      <c r="M957" s="2">
        <v>988.28</v>
      </c>
      <c r="N957" s="2">
        <v>1.0</v>
      </c>
      <c r="O957" s="2" t="s">
        <v>5362</v>
      </c>
      <c r="P957" s="2" t="s">
        <v>65</v>
      </c>
      <c r="Q957" s="2" t="s">
        <v>66</v>
      </c>
      <c r="R957" s="2" t="s">
        <v>818</v>
      </c>
      <c r="S957" s="2" t="s">
        <v>81</v>
      </c>
    </row>
    <row r="958" ht="15.75" customHeight="1">
      <c r="A958" s="2" t="s">
        <v>5363</v>
      </c>
      <c r="B958" s="2" t="s">
        <v>5364</v>
      </c>
      <c r="C958" s="2" t="s">
        <v>3618</v>
      </c>
      <c r="D958" s="2" t="s">
        <v>3619</v>
      </c>
      <c r="E958" s="2" t="s">
        <v>3620</v>
      </c>
      <c r="F958" s="2" t="s">
        <v>3621</v>
      </c>
      <c r="G958" s="2" t="s">
        <v>139</v>
      </c>
      <c r="H958" s="2" t="s">
        <v>323</v>
      </c>
      <c r="I958" s="2" t="s">
        <v>480</v>
      </c>
      <c r="J958" s="2" t="s">
        <v>702</v>
      </c>
      <c r="K958" s="2" t="s">
        <v>524</v>
      </c>
      <c r="L958" s="2" t="s">
        <v>703</v>
      </c>
      <c r="M958" s="2">
        <v>902.34</v>
      </c>
      <c r="N958" s="2">
        <v>2.0</v>
      </c>
      <c r="O958" s="2" t="s">
        <v>5365</v>
      </c>
      <c r="P958" s="2" t="s">
        <v>95</v>
      </c>
      <c r="Q958" s="2" t="s">
        <v>143</v>
      </c>
      <c r="R958" s="2" t="s">
        <v>169</v>
      </c>
      <c r="S958" s="2" t="s">
        <v>81</v>
      </c>
    </row>
    <row r="959" ht="15.75" customHeight="1">
      <c r="A959" s="2" t="s">
        <v>5366</v>
      </c>
      <c r="B959" s="2" t="s">
        <v>5367</v>
      </c>
      <c r="C959" s="2" t="s">
        <v>4357</v>
      </c>
      <c r="D959" s="2" t="s">
        <v>4358</v>
      </c>
      <c r="E959" s="2" t="s">
        <v>4359</v>
      </c>
      <c r="F959" s="2" t="s">
        <v>4360</v>
      </c>
      <c r="G959" s="2" t="s">
        <v>720</v>
      </c>
      <c r="H959" s="2" t="s">
        <v>460</v>
      </c>
      <c r="I959" s="2" t="s">
        <v>90</v>
      </c>
      <c r="J959" s="2" t="s">
        <v>852</v>
      </c>
      <c r="K959" s="2" t="s">
        <v>450</v>
      </c>
      <c r="L959" s="2" t="s">
        <v>167</v>
      </c>
      <c r="M959" s="2">
        <v>83.39</v>
      </c>
      <c r="N959" s="2">
        <v>3.0</v>
      </c>
      <c r="O959" s="2" t="s">
        <v>5368</v>
      </c>
      <c r="P959" s="2" t="s">
        <v>48</v>
      </c>
      <c r="Q959" s="2" t="s">
        <v>305</v>
      </c>
      <c r="R959" s="2" t="s">
        <v>169</v>
      </c>
      <c r="S959" s="2" t="s">
        <v>81</v>
      </c>
    </row>
    <row r="960" ht="15.75" customHeight="1">
      <c r="A960" s="2" t="s">
        <v>2516</v>
      </c>
      <c r="B960" s="2" t="s">
        <v>2517</v>
      </c>
      <c r="C960" s="2" t="s">
        <v>1697</v>
      </c>
      <c r="D960" s="2" t="s">
        <v>5369</v>
      </c>
      <c r="E960" s="2" t="s">
        <v>2518</v>
      </c>
      <c r="F960" s="2" t="s">
        <v>1699</v>
      </c>
      <c r="G960" s="2" t="s">
        <v>608</v>
      </c>
      <c r="H960" s="2" t="s">
        <v>2519</v>
      </c>
      <c r="I960" s="2" t="s">
        <v>90</v>
      </c>
      <c r="J960" s="2" t="s">
        <v>609</v>
      </c>
      <c r="K960" s="2" t="s">
        <v>259</v>
      </c>
      <c r="L960" s="2" t="s">
        <v>610</v>
      </c>
      <c r="N960" s="2">
        <v>2.0</v>
      </c>
      <c r="O960" s="2" t="s">
        <v>2520</v>
      </c>
      <c r="P960" s="2" t="s">
        <v>65</v>
      </c>
      <c r="Q960" s="2" t="s">
        <v>2521</v>
      </c>
      <c r="R960" s="2" t="s">
        <v>294</v>
      </c>
      <c r="S960" s="2" t="s">
        <v>81</v>
      </c>
    </row>
    <row r="961" ht="15.75" customHeight="1">
      <c r="A961" s="2" t="s">
        <v>5370</v>
      </c>
      <c r="B961" s="2" t="s">
        <v>4107</v>
      </c>
      <c r="C961" s="2" t="s">
        <v>1119</v>
      </c>
      <c r="D961" s="2" t="s">
        <v>1120</v>
      </c>
      <c r="F961" s="2" t="s">
        <v>1121</v>
      </c>
      <c r="G961" s="2" t="s">
        <v>199</v>
      </c>
      <c r="H961" s="2" t="s">
        <v>4664</v>
      </c>
      <c r="I961" s="2" t="s">
        <v>480</v>
      </c>
      <c r="J961" s="2" t="s">
        <v>1211</v>
      </c>
      <c r="K961" s="2" t="s">
        <v>1212</v>
      </c>
      <c r="L961" s="2" t="s">
        <v>63</v>
      </c>
      <c r="N961" s="2">
        <v>1.0</v>
      </c>
      <c r="O961" s="2" t="s">
        <v>5371</v>
      </c>
      <c r="P961" s="2" t="s">
        <v>32</v>
      </c>
      <c r="Q961" s="2" t="s">
        <v>49</v>
      </c>
      <c r="R961" s="2" t="s">
        <v>132</v>
      </c>
    </row>
    <row r="962" ht="15.75" customHeight="1">
      <c r="A962" s="2" t="s">
        <v>5372</v>
      </c>
      <c r="B962" s="2" t="s">
        <v>5373</v>
      </c>
      <c r="C962" s="2" t="s">
        <v>4115</v>
      </c>
      <c r="D962" s="2" t="s">
        <v>4116</v>
      </c>
      <c r="E962" s="2" t="s">
        <v>4117</v>
      </c>
      <c r="F962" s="2" t="s">
        <v>4118</v>
      </c>
      <c r="G962" s="2" t="s">
        <v>88</v>
      </c>
      <c r="H962" s="2" t="s">
        <v>59</v>
      </c>
      <c r="I962" s="2" t="s">
        <v>43</v>
      </c>
      <c r="J962" s="2" t="s">
        <v>871</v>
      </c>
      <c r="K962" s="2" t="s">
        <v>491</v>
      </c>
      <c r="L962" s="2" t="s">
        <v>292</v>
      </c>
      <c r="M962" s="2">
        <v>99.05</v>
      </c>
      <c r="N962" s="2">
        <v>1.0</v>
      </c>
      <c r="O962" s="2" t="s">
        <v>5374</v>
      </c>
      <c r="P962" s="2" t="s">
        <v>65</v>
      </c>
      <c r="Q962" s="2" t="s">
        <v>573</v>
      </c>
      <c r="R962" s="2" t="s">
        <v>192</v>
      </c>
    </row>
    <row r="963" ht="15.75" customHeight="1">
      <c r="A963" s="2" t="s">
        <v>5375</v>
      </c>
      <c r="B963" s="2" t="s">
        <v>5376</v>
      </c>
      <c r="C963" s="2" t="s">
        <v>2346</v>
      </c>
      <c r="D963" s="2" t="s">
        <v>2347</v>
      </c>
      <c r="F963" s="2" t="s">
        <v>5377</v>
      </c>
      <c r="G963" s="2" t="s">
        <v>25</v>
      </c>
      <c r="H963" s="2" t="s">
        <v>115</v>
      </c>
      <c r="I963" s="2" t="s">
        <v>90</v>
      </c>
      <c r="J963" s="2" t="s">
        <v>721</v>
      </c>
      <c r="K963" s="2" t="s">
        <v>259</v>
      </c>
      <c r="L963" s="2" t="s">
        <v>179</v>
      </c>
      <c r="N963" s="2">
        <v>3.0</v>
      </c>
      <c r="O963" s="2" t="s">
        <v>5378</v>
      </c>
      <c r="P963" s="2" t="s">
        <v>48</v>
      </c>
      <c r="Q963" s="2" t="s">
        <v>414</v>
      </c>
      <c r="R963" s="2" t="s">
        <v>818</v>
      </c>
    </row>
    <row r="964" ht="15.75" customHeight="1">
      <c r="A964" s="2" t="s">
        <v>5379</v>
      </c>
      <c r="B964" s="2" t="s">
        <v>2821</v>
      </c>
      <c r="C964" s="2" t="s">
        <v>1887</v>
      </c>
      <c r="D964" s="2" t="s">
        <v>1888</v>
      </c>
      <c r="E964" s="2" t="s">
        <v>1889</v>
      </c>
      <c r="F964" s="2" t="s">
        <v>1890</v>
      </c>
      <c r="G964" s="2" t="s">
        <v>199</v>
      </c>
      <c r="H964" s="2" t="s">
        <v>802</v>
      </c>
      <c r="I964" s="2" t="s">
        <v>43</v>
      </c>
      <c r="J964" s="2" t="s">
        <v>290</v>
      </c>
      <c r="K964" s="2" t="s">
        <v>291</v>
      </c>
      <c r="L964" s="2" t="s">
        <v>292</v>
      </c>
      <c r="M964" s="2">
        <v>110.42</v>
      </c>
      <c r="N964" s="2">
        <v>1.0</v>
      </c>
      <c r="O964" s="2" t="s">
        <v>5380</v>
      </c>
      <c r="P964" s="2" t="s">
        <v>32</v>
      </c>
      <c r="Q964" s="2" t="s">
        <v>33</v>
      </c>
      <c r="R964" s="2" t="s">
        <v>34</v>
      </c>
    </row>
    <row r="965" ht="15.75" customHeight="1">
      <c r="A965" s="2" t="s">
        <v>5381</v>
      </c>
      <c r="B965" s="2" t="s">
        <v>5382</v>
      </c>
      <c r="C965" s="2" t="s">
        <v>935</v>
      </c>
      <c r="D965" s="2" t="s">
        <v>936</v>
      </c>
      <c r="E965" s="2" t="s">
        <v>937</v>
      </c>
      <c r="F965" s="2" t="s">
        <v>938</v>
      </c>
      <c r="G965" s="2" t="s">
        <v>199</v>
      </c>
      <c r="H965" s="2" t="s">
        <v>42</v>
      </c>
      <c r="I965" s="2" t="s">
        <v>480</v>
      </c>
      <c r="J965" s="2" t="s">
        <v>4048</v>
      </c>
      <c r="K965" s="2" t="s">
        <v>4049</v>
      </c>
      <c r="L965" s="2" t="s">
        <v>214</v>
      </c>
      <c r="M965" s="2">
        <v>1446.79</v>
      </c>
      <c r="N965" s="2">
        <v>3.0</v>
      </c>
      <c r="O965" s="2" t="s">
        <v>5383</v>
      </c>
      <c r="P965" s="2" t="s">
        <v>65</v>
      </c>
      <c r="Q965" s="2" t="s">
        <v>526</v>
      </c>
      <c r="R965" s="2" t="s">
        <v>169</v>
      </c>
    </row>
    <row r="966" ht="15.75" customHeight="1">
      <c r="A966" s="2" t="s">
        <v>5384</v>
      </c>
      <c r="B966" s="2" t="s">
        <v>5385</v>
      </c>
      <c r="C966" s="2" t="s">
        <v>5386</v>
      </c>
      <c r="D966" s="2" t="s">
        <v>4419</v>
      </c>
      <c r="E966" s="2" t="s">
        <v>4420</v>
      </c>
      <c r="F966" s="2" t="s">
        <v>5387</v>
      </c>
      <c r="G966" s="2" t="s">
        <v>801</v>
      </c>
      <c r="H966" s="2" t="s">
        <v>42</v>
      </c>
      <c r="I966" s="2" t="s">
        <v>103</v>
      </c>
      <c r="J966" s="2" t="s">
        <v>3454</v>
      </c>
      <c r="K966" s="2" t="s">
        <v>270</v>
      </c>
      <c r="L966" s="2" t="s">
        <v>179</v>
      </c>
      <c r="M966" s="2">
        <v>928.04</v>
      </c>
      <c r="N966" s="2">
        <v>1.0</v>
      </c>
      <c r="O966" s="2" t="s">
        <v>5388</v>
      </c>
      <c r="P966" s="2" t="s">
        <v>95</v>
      </c>
      <c r="Q966" s="2" t="s">
        <v>66</v>
      </c>
      <c r="R966" s="2" t="s">
        <v>144</v>
      </c>
      <c r="S966" s="2" t="s">
        <v>81</v>
      </c>
    </row>
    <row r="967" ht="15.75" customHeight="1">
      <c r="A967" s="2" t="s">
        <v>5389</v>
      </c>
      <c r="B967" s="2" t="s">
        <v>5390</v>
      </c>
      <c r="C967" s="2" t="s">
        <v>5391</v>
      </c>
      <c r="D967" s="2" t="s">
        <v>5392</v>
      </c>
      <c r="E967" s="2" t="s">
        <v>5393</v>
      </c>
      <c r="F967" s="2" t="s">
        <v>5394</v>
      </c>
      <c r="G967" s="2" t="s">
        <v>608</v>
      </c>
      <c r="H967" s="2" t="s">
        <v>152</v>
      </c>
      <c r="I967" s="2" t="s">
        <v>103</v>
      </c>
      <c r="J967" s="2" t="s">
        <v>3810</v>
      </c>
      <c r="K967" s="2" t="s">
        <v>3811</v>
      </c>
      <c r="L967" s="2" t="s">
        <v>995</v>
      </c>
      <c r="M967" s="2">
        <v>14.26</v>
      </c>
      <c r="N967" s="2">
        <v>2.0</v>
      </c>
      <c r="O967" s="2" t="s">
        <v>5395</v>
      </c>
      <c r="P967" s="2" t="s">
        <v>48</v>
      </c>
      <c r="Q967" s="2" t="s">
        <v>49</v>
      </c>
      <c r="R967" s="2" t="s">
        <v>1884</v>
      </c>
      <c r="S967" s="2" t="s">
        <v>67</v>
      </c>
    </row>
    <row r="968" ht="15.75" customHeight="1">
      <c r="A968" s="2" t="s">
        <v>5396</v>
      </c>
      <c r="B968" s="2" t="s">
        <v>5397</v>
      </c>
      <c r="C968" s="2" t="s">
        <v>54</v>
      </c>
      <c r="D968" s="2" t="s">
        <v>55</v>
      </c>
      <c r="E968" s="2" t="s">
        <v>56</v>
      </c>
      <c r="F968" s="2" t="s">
        <v>57</v>
      </c>
      <c r="G968" s="2" t="s">
        <v>58</v>
      </c>
      <c r="H968" s="2" t="s">
        <v>26</v>
      </c>
      <c r="I968" s="2" t="s">
        <v>211</v>
      </c>
      <c r="J968" s="2" t="s">
        <v>4784</v>
      </c>
      <c r="K968" s="2" t="s">
        <v>2322</v>
      </c>
      <c r="L968" s="2" t="s">
        <v>167</v>
      </c>
      <c r="M968" s="2">
        <v>1317.06</v>
      </c>
      <c r="N968" s="2">
        <v>1.0</v>
      </c>
      <c r="O968" s="2" t="s">
        <v>5398</v>
      </c>
      <c r="P968" s="2" t="s">
        <v>32</v>
      </c>
      <c r="Q968" s="2" t="s">
        <v>485</v>
      </c>
      <c r="R968" s="2" t="s">
        <v>5399</v>
      </c>
    </row>
    <row r="969" ht="15.75" customHeight="1">
      <c r="A969" s="2" t="s">
        <v>5400</v>
      </c>
      <c r="B969" s="2" t="s">
        <v>5401</v>
      </c>
      <c r="C969" s="2" t="s">
        <v>396</v>
      </c>
      <c r="D969" s="2" t="s">
        <v>397</v>
      </c>
      <c r="E969" s="2" t="s">
        <v>398</v>
      </c>
      <c r="G969" s="2" t="s">
        <v>399</v>
      </c>
      <c r="H969" s="2" t="s">
        <v>26</v>
      </c>
      <c r="I969" s="2" t="s">
        <v>211</v>
      </c>
      <c r="J969" s="2" t="s">
        <v>28</v>
      </c>
      <c r="K969" s="2" t="s">
        <v>29</v>
      </c>
      <c r="L969" s="2" t="s">
        <v>30</v>
      </c>
      <c r="N969" s="2">
        <v>2.0</v>
      </c>
      <c r="O969" s="2" t="s">
        <v>5402</v>
      </c>
      <c r="P969" s="2" t="s">
        <v>65</v>
      </c>
      <c r="Q969" s="2" t="s">
        <v>66</v>
      </c>
      <c r="R969" s="2" t="s">
        <v>1171</v>
      </c>
      <c r="S969" s="2" t="s">
        <v>133</v>
      </c>
    </row>
    <row r="970" ht="15.75" customHeight="1">
      <c r="A970" s="2" t="s">
        <v>5403</v>
      </c>
      <c r="B970" s="2" t="s">
        <v>5404</v>
      </c>
      <c r="C970" s="2" t="s">
        <v>5405</v>
      </c>
      <c r="D970" s="2" t="s">
        <v>4044</v>
      </c>
      <c r="E970" s="2" t="s">
        <v>5406</v>
      </c>
      <c r="F970" s="2" t="s">
        <v>5407</v>
      </c>
      <c r="G970" s="2" t="s">
        <v>5408</v>
      </c>
      <c r="H970" s="2" t="s">
        <v>74</v>
      </c>
      <c r="I970" s="2" t="s">
        <v>176</v>
      </c>
      <c r="J970" s="2" t="s">
        <v>44</v>
      </c>
      <c r="K970" s="2" t="s">
        <v>45</v>
      </c>
      <c r="L970" s="2" t="s">
        <v>46</v>
      </c>
      <c r="M970" s="2">
        <v>266.11</v>
      </c>
      <c r="N970" s="2">
        <v>1.0</v>
      </c>
      <c r="O970" s="2" t="s">
        <v>5409</v>
      </c>
      <c r="P970" s="2" t="s">
        <v>32</v>
      </c>
      <c r="Q970" s="2" t="s">
        <v>5410</v>
      </c>
      <c r="R970" s="2" t="s">
        <v>192</v>
      </c>
      <c r="S970" s="2" t="s">
        <v>133</v>
      </c>
    </row>
    <row r="971" ht="15.75" customHeight="1">
      <c r="A971" s="2" t="s">
        <v>5411</v>
      </c>
      <c r="B971" s="2" t="s">
        <v>5412</v>
      </c>
      <c r="C971" s="2" t="s">
        <v>1074</v>
      </c>
      <c r="D971" s="2" t="s">
        <v>1075</v>
      </c>
      <c r="E971" s="2" t="s">
        <v>1076</v>
      </c>
      <c r="G971" s="2" t="s">
        <v>1078</v>
      </c>
      <c r="H971" s="2" t="s">
        <v>1585</v>
      </c>
      <c r="I971" s="2" t="s">
        <v>43</v>
      </c>
      <c r="J971" s="2" t="s">
        <v>1495</v>
      </c>
      <c r="K971" s="2" t="s">
        <v>1138</v>
      </c>
      <c r="L971" s="2" t="s">
        <v>248</v>
      </c>
      <c r="M971" s="2">
        <v>1498.84</v>
      </c>
      <c r="N971" s="2">
        <v>3.0</v>
      </c>
      <c r="O971" s="2" t="s">
        <v>5413</v>
      </c>
      <c r="P971" s="2" t="s">
        <v>48</v>
      </c>
      <c r="Q971" s="2" t="s">
        <v>573</v>
      </c>
      <c r="R971" s="2" t="s">
        <v>34</v>
      </c>
      <c r="S971" s="2" t="s">
        <v>133</v>
      </c>
    </row>
    <row r="972" ht="15.75" customHeight="1">
      <c r="A972" s="2" t="s">
        <v>5414</v>
      </c>
      <c r="B972" s="2" t="s">
        <v>5415</v>
      </c>
      <c r="C972" s="2" t="s">
        <v>5416</v>
      </c>
      <c r="D972" s="2" t="s">
        <v>1387</v>
      </c>
      <c r="E972" s="2" t="s">
        <v>5417</v>
      </c>
      <c r="G972" s="2" t="s">
        <v>1054</v>
      </c>
      <c r="H972" s="2" t="s">
        <v>59</v>
      </c>
      <c r="I972" s="2" t="s">
        <v>176</v>
      </c>
      <c r="J972" s="2" t="s">
        <v>803</v>
      </c>
      <c r="K972" s="2" t="s">
        <v>804</v>
      </c>
      <c r="L972" s="2" t="s">
        <v>805</v>
      </c>
      <c r="N972" s="2">
        <v>5.0</v>
      </c>
      <c r="O972" s="2" t="s">
        <v>5418</v>
      </c>
      <c r="P972" s="2" t="s">
        <v>95</v>
      </c>
      <c r="Q972" s="2" t="s">
        <v>49</v>
      </c>
      <c r="R972" s="2" t="s">
        <v>380</v>
      </c>
    </row>
    <row r="973" ht="15.75" customHeight="1">
      <c r="A973" s="2" t="s">
        <v>5419</v>
      </c>
      <c r="B973" s="2" t="s">
        <v>5420</v>
      </c>
      <c r="C973" s="2" t="s">
        <v>2843</v>
      </c>
      <c r="D973" s="2" t="s">
        <v>2844</v>
      </c>
      <c r="E973" s="2" t="s">
        <v>2845</v>
      </c>
      <c r="F973" s="2" t="s">
        <v>2846</v>
      </c>
      <c r="G973" s="2" t="s">
        <v>88</v>
      </c>
      <c r="H973" s="2" t="s">
        <v>234</v>
      </c>
      <c r="I973" s="2" t="s">
        <v>401</v>
      </c>
      <c r="J973" s="2" t="s">
        <v>490</v>
      </c>
      <c r="K973" s="2" t="s">
        <v>491</v>
      </c>
      <c r="L973" s="2" t="s">
        <v>492</v>
      </c>
      <c r="N973" s="2">
        <v>1.0</v>
      </c>
      <c r="O973" s="2" t="s">
        <v>5421</v>
      </c>
      <c r="P973" s="2" t="s">
        <v>32</v>
      </c>
      <c r="Q973" s="2" t="s">
        <v>568</v>
      </c>
      <c r="R973" s="2" t="s">
        <v>345</v>
      </c>
    </row>
    <row r="974" ht="15.75" customHeight="1">
      <c r="A974" s="2" t="s">
        <v>5422</v>
      </c>
      <c r="B974" s="2" t="s">
        <v>5423</v>
      </c>
      <c r="C974" s="2" t="s">
        <v>4192</v>
      </c>
      <c r="D974" s="2" t="s">
        <v>4193</v>
      </c>
      <c r="F974" s="2" t="s">
        <v>4195</v>
      </c>
      <c r="G974" s="2" t="s">
        <v>25</v>
      </c>
      <c r="H974" s="2" t="s">
        <v>210</v>
      </c>
      <c r="I974" s="2" t="s">
        <v>512</v>
      </c>
      <c r="J974" s="2" t="s">
        <v>154</v>
      </c>
      <c r="K974" s="2" t="s">
        <v>62</v>
      </c>
      <c r="L974" s="2" t="s">
        <v>155</v>
      </c>
      <c r="N974" s="2">
        <v>1.0</v>
      </c>
      <c r="O974" s="2" t="s">
        <v>5424</v>
      </c>
      <c r="P974" s="2" t="s">
        <v>95</v>
      </c>
      <c r="Q974" s="2" t="s">
        <v>49</v>
      </c>
      <c r="R974" s="2" t="s">
        <v>169</v>
      </c>
      <c r="S974" s="2" t="s">
        <v>51</v>
      </c>
    </row>
    <row r="975" ht="15.75" customHeight="1">
      <c r="A975" s="2" t="s">
        <v>1230</v>
      </c>
      <c r="B975" s="2" t="s">
        <v>1231</v>
      </c>
      <c r="C975" s="2" t="s">
        <v>1232</v>
      </c>
      <c r="D975" s="2" t="s">
        <v>5425</v>
      </c>
      <c r="E975" s="2" t="s">
        <v>1234</v>
      </c>
      <c r="F975" s="2" t="s">
        <v>1235</v>
      </c>
      <c r="G975" s="2" t="s">
        <v>448</v>
      </c>
      <c r="H975" s="2" t="s">
        <v>26</v>
      </c>
      <c r="I975" s="2" t="s">
        <v>176</v>
      </c>
      <c r="J975" s="2" t="s">
        <v>1236</v>
      </c>
      <c r="K975" s="2" t="s">
        <v>1237</v>
      </c>
      <c r="L975" s="2" t="s">
        <v>637</v>
      </c>
      <c r="N975" s="2">
        <v>1.0</v>
      </c>
      <c r="O975" s="2" t="s">
        <v>1238</v>
      </c>
      <c r="P975" s="2" t="s">
        <v>95</v>
      </c>
      <c r="Q975" s="2" t="s">
        <v>66</v>
      </c>
      <c r="R975" s="2" t="s">
        <v>294</v>
      </c>
    </row>
    <row r="976" ht="15.75" customHeight="1">
      <c r="A976" s="2" t="s">
        <v>5426</v>
      </c>
      <c r="B976" s="2" t="s">
        <v>5427</v>
      </c>
      <c r="C976" s="2" t="s">
        <v>427</v>
      </c>
      <c r="D976" s="2" t="s">
        <v>428</v>
      </c>
      <c r="E976" s="2" t="s">
        <v>429</v>
      </c>
      <c r="F976" s="2" t="s">
        <v>430</v>
      </c>
      <c r="G976" s="2" t="s">
        <v>151</v>
      </c>
      <c r="H976" s="2" t="s">
        <v>59</v>
      </c>
      <c r="I976" s="2" t="s">
        <v>870</v>
      </c>
      <c r="J976" s="2" t="s">
        <v>269</v>
      </c>
      <c r="K976" s="2" t="s">
        <v>270</v>
      </c>
      <c r="L976" s="2" t="s">
        <v>271</v>
      </c>
      <c r="N976" s="2">
        <v>2.0</v>
      </c>
      <c r="O976" s="2" t="s">
        <v>5428</v>
      </c>
      <c r="P976" s="2" t="s">
        <v>48</v>
      </c>
      <c r="Q976" s="2" t="s">
        <v>1287</v>
      </c>
      <c r="R976" s="2" t="s">
        <v>432</v>
      </c>
      <c r="S976" s="2" t="s">
        <v>133</v>
      </c>
    </row>
    <row r="977" ht="15.75" customHeight="1">
      <c r="A977" s="2" t="s">
        <v>3161</v>
      </c>
      <c r="B977" s="2" t="s">
        <v>3162</v>
      </c>
      <c r="C977" s="2" t="s">
        <v>3163</v>
      </c>
      <c r="D977" s="2" t="s">
        <v>3164</v>
      </c>
      <c r="E977" s="2" t="s">
        <v>3165</v>
      </c>
      <c r="F977" s="2" t="s">
        <v>3166</v>
      </c>
      <c r="G977" s="2" t="s">
        <v>25</v>
      </c>
      <c r="H977" s="2" t="s">
        <v>42</v>
      </c>
      <c r="I977" s="2" t="s">
        <v>352</v>
      </c>
      <c r="J977" s="2" t="s">
        <v>948</v>
      </c>
      <c r="K977" s="2" t="s">
        <v>450</v>
      </c>
      <c r="L977" s="2" t="s">
        <v>129</v>
      </c>
      <c r="N977" s="2">
        <v>1.0</v>
      </c>
      <c r="O977" s="2" t="s">
        <v>3167</v>
      </c>
      <c r="P977" s="2" t="s">
        <v>48</v>
      </c>
      <c r="Q977" s="2" t="s">
        <v>305</v>
      </c>
      <c r="R977" s="2" t="s">
        <v>192</v>
      </c>
      <c r="S977" s="2" t="s">
        <v>81</v>
      </c>
    </row>
    <row r="978" ht="15.75" customHeight="1">
      <c r="A978" s="2" t="s">
        <v>5429</v>
      </c>
      <c r="B978" s="2" t="s">
        <v>5430</v>
      </c>
      <c r="C978" s="2" t="s">
        <v>4903</v>
      </c>
      <c r="D978" s="2" t="s">
        <v>4904</v>
      </c>
      <c r="F978" s="2" t="s">
        <v>4905</v>
      </c>
      <c r="G978" s="2" t="s">
        <v>608</v>
      </c>
      <c r="H978" s="2" t="s">
        <v>26</v>
      </c>
      <c r="I978" s="2" t="s">
        <v>512</v>
      </c>
      <c r="J978" s="2" t="s">
        <v>1255</v>
      </c>
      <c r="K978" s="2" t="s">
        <v>29</v>
      </c>
      <c r="L978" s="2" t="s">
        <v>271</v>
      </c>
      <c r="M978" s="2">
        <v>1337.26</v>
      </c>
      <c r="N978" s="2">
        <v>1.0</v>
      </c>
      <c r="O978" s="2" t="s">
        <v>5431</v>
      </c>
      <c r="P978" s="2" t="s">
        <v>32</v>
      </c>
      <c r="Q978" s="2" t="s">
        <v>4441</v>
      </c>
      <c r="R978" s="2" t="s">
        <v>432</v>
      </c>
      <c r="S978" s="2" t="s">
        <v>133</v>
      </c>
    </row>
    <row r="979" ht="15.75" customHeight="1">
      <c r="A979" s="2" t="s">
        <v>5432</v>
      </c>
      <c r="B979" s="2" t="s">
        <v>5433</v>
      </c>
      <c r="C979" s="2" t="s">
        <v>5434</v>
      </c>
      <c r="D979" s="2" t="s">
        <v>5435</v>
      </c>
      <c r="E979" s="2" t="s">
        <v>5436</v>
      </c>
      <c r="F979" s="2" t="s">
        <v>5437</v>
      </c>
      <c r="G979" s="2" t="s">
        <v>114</v>
      </c>
      <c r="H979" s="2" t="s">
        <v>400</v>
      </c>
      <c r="I979" s="2" t="s">
        <v>500</v>
      </c>
      <c r="J979" s="2" t="s">
        <v>1733</v>
      </c>
      <c r="K979" s="2" t="s">
        <v>440</v>
      </c>
      <c r="L979" s="2" t="s">
        <v>315</v>
      </c>
      <c r="M979" s="2">
        <v>139.39</v>
      </c>
      <c r="N979" s="2">
        <v>1.0</v>
      </c>
      <c r="O979" s="2" t="s">
        <v>5438</v>
      </c>
      <c r="P979" s="2" t="s">
        <v>32</v>
      </c>
      <c r="Q979" s="2" t="s">
        <v>305</v>
      </c>
      <c r="R979" s="2" t="s">
        <v>169</v>
      </c>
      <c r="S979" s="2" t="s">
        <v>81</v>
      </c>
    </row>
    <row r="980" ht="15.75" customHeight="1">
      <c r="A980" s="2" t="s">
        <v>5439</v>
      </c>
      <c r="B980" s="2" t="s">
        <v>5440</v>
      </c>
      <c r="C980" s="2" t="s">
        <v>3656</v>
      </c>
      <c r="D980" s="2" t="s">
        <v>3657</v>
      </c>
      <c r="E980" s="2" t="s">
        <v>3658</v>
      </c>
      <c r="F980" s="2" t="s">
        <v>5441</v>
      </c>
      <c r="G980" s="2" t="s">
        <v>671</v>
      </c>
      <c r="H980" s="2" t="s">
        <v>59</v>
      </c>
      <c r="I980" s="2" t="s">
        <v>480</v>
      </c>
      <c r="J980" s="2" t="s">
        <v>1263</v>
      </c>
      <c r="K980" s="2" t="s">
        <v>741</v>
      </c>
      <c r="L980" s="2" t="s">
        <v>368</v>
      </c>
      <c r="M980" s="2">
        <v>51.6</v>
      </c>
      <c r="N980" s="2">
        <v>1.0</v>
      </c>
      <c r="O980" s="2" t="s">
        <v>5442</v>
      </c>
      <c r="P980" s="2" t="s">
        <v>283</v>
      </c>
      <c r="Q980" s="2" t="s">
        <v>664</v>
      </c>
      <c r="R980" s="2" t="s">
        <v>169</v>
      </c>
      <c r="S980" s="2" t="s">
        <v>133</v>
      </c>
    </row>
    <row r="981" ht="15.75" customHeight="1">
      <c r="A981" s="2" t="s">
        <v>5443</v>
      </c>
      <c r="B981" s="2" t="s">
        <v>5444</v>
      </c>
      <c r="C981" s="2" t="s">
        <v>667</v>
      </c>
      <c r="D981" s="2" t="s">
        <v>668</v>
      </c>
      <c r="E981" s="2" t="s">
        <v>669</v>
      </c>
      <c r="F981" s="2" t="s">
        <v>670</v>
      </c>
      <c r="G981" s="2" t="s">
        <v>671</v>
      </c>
      <c r="H981" s="2" t="s">
        <v>115</v>
      </c>
      <c r="I981" s="2" t="s">
        <v>43</v>
      </c>
      <c r="J981" s="2" t="s">
        <v>2273</v>
      </c>
      <c r="K981" s="2" t="s">
        <v>2274</v>
      </c>
      <c r="L981" s="2" t="s">
        <v>1328</v>
      </c>
      <c r="N981" s="2">
        <v>1.0</v>
      </c>
      <c r="O981" s="2" t="s">
        <v>5445</v>
      </c>
      <c r="P981" s="2" t="s">
        <v>65</v>
      </c>
      <c r="Q981" s="2" t="s">
        <v>181</v>
      </c>
      <c r="R981" s="2" t="s">
        <v>818</v>
      </c>
      <c r="S981" s="2" t="s">
        <v>133</v>
      </c>
    </row>
    <row r="982" ht="15.75" customHeight="1">
      <c r="A982" s="2" t="s">
        <v>5446</v>
      </c>
      <c r="B982" s="2" t="s">
        <v>5447</v>
      </c>
      <c r="C982" s="2" t="s">
        <v>1298</v>
      </c>
      <c r="D982" s="2" t="s">
        <v>1299</v>
      </c>
      <c r="E982" s="2" t="s">
        <v>1300</v>
      </c>
      <c r="F982" s="2" t="s">
        <v>1301</v>
      </c>
      <c r="G982" s="2" t="s">
        <v>608</v>
      </c>
      <c r="H982" s="2" t="s">
        <v>59</v>
      </c>
      <c r="I982" s="2" t="s">
        <v>870</v>
      </c>
      <c r="J982" s="2" t="s">
        <v>556</v>
      </c>
      <c r="K982" s="2" t="s">
        <v>502</v>
      </c>
      <c r="L982" s="2" t="s">
        <v>355</v>
      </c>
      <c r="N982" s="2">
        <v>1.0</v>
      </c>
      <c r="P982" s="2" t="s">
        <v>32</v>
      </c>
      <c r="Q982" s="2" t="s">
        <v>305</v>
      </c>
      <c r="R982" s="2" t="s">
        <v>345</v>
      </c>
      <c r="S982" s="2" t="s">
        <v>67</v>
      </c>
    </row>
    <row r="983" ht="15.75" customHeight="1">
      <c r="A983" s="2" t="s">
        <v>5448</v>
      </c>
      <c r="B983" s="2" t="s">
        <v>5449</v>
      </c>
      <c r="C983" s="2" t="s">
        <v>5450</v>
      </c>
      <c r="D983" s="2" t="s">
        <v>5451</v>
      </c>
      <c r="E983" s="2" t="s">
        <v>5452</v>
      </c>
      <c r="F983" s="2" t="s">
        <v>5453</v>
      </c>
      <c r="G983" s="2" t="s">
        <v>5454</v>
      </c>
      <c r="H983" s="2" t="s">
        <v>460</v>
      </c>
      <c r="I983" s="2" t="s">
        <v>43</v>
      </c>
      <c r="J983" s="2" t="s">
        <v>1400</v>
      </c>
      <c r="K983" s="2" t="s">
        <v>524</v>
      </c>
      <c r="L983" s="2" t="s">
        <v>1401</v>
      </c>
      <c r="N983" s="2">
        <v>2.0</v>
      </c>
      <c r="O983" s="2" t="s">
        <v>5455</v>
      </c>
      <c r="P983" s="2" t="s">
        <v>65</v>
      </c>
      <c r="Q983" s="2" t="s">
        <v>573</v>
      </c>
      <c r="R983" s="2" t="s">
        <v>5456</v>
      </c>
      <c r="S983" s="2" t="s">
        <v>67</v>
      </c>
    </row>
    <row r="984" ht="15.75" customHeight="1">
      <c r="A984" s="2" t="s">
        <v>5457</v>
      </c>
      <c r="B984" s="2" t="s">
        <v>5458</v>
      </c>
      <c r="C984" s="2" t="s">
        <v>4487</v>
      </c>
      <c r="D984" s="2" t="s">
        <v>894</v>
      </c>
      <c r="E984" s="2" t="s">
        <v>4488</v>
      </c>
      <c r="F984" s="2" t="s">
        <v>4489</v>
      </c>
      <c r="G984" s="2" t="s">
        <v>671</v>
      </c>
      <c r="H984" s="2" t="s">
        <v>323</v>
      </c>
      <c r="I984" s="2" t="s">
        <v>289</v>
      </c>
      <c r="J984" s="2" t="s">
        <v>140</v>
      </c>
      <c r="K984" s="2" t="s">
        <v>141</v>
      </c>
      <c r="L984" s="2" t="s">
        <v>63</v>
      </c>
      <c r="M984" s="2">
        <v>1643.83</v>
      </c>
      <c r="N984" s="2">
        <v>1.0</v>
      </c>
      <c r="O984" s="2" t="s">
        <v>5459</v>
      </c>
      <c r="P984" s="2" t="s">
        <v>32</v>
      </c>
      <c r="Q984" s="2" t="s">
        <v>204</v>
      </c>
      <c r="R984" s="2" t="s">
        <v>442</v>
      </c>
      <c r="S984" s="2" t="s">
        <v>133</v>
      </c>
    </row>
    <row r="985" ht="15.75" customHeight="1">
      <c r="A985" s="2" t="s">
        <v>5460</v>
      </c>
      <c r="B985" s="2" t="s">
        <v>5461</v>
      </c>
      <c r="C985" s="2" t="s">
        <v>3568</v>
      </c>
      <c r="D985" s="2" t="s">
        <v>3569</v>
      </c>
      <c r="E985" s="2" t="s">
        <v>3570</v>
      </c>
      <c r="G985" s="2" t="s">
        <v>188</v>
      </c>
      <c r="H985" s="2" t="s">
        <v>778</v>
      </c>
      <c r="I985" s="2" t="s">
        <v>43</v>
      </c>
      <c r="J985" s="2" t="s">
        <v>411</v>
      </c>
      <c r="K985" s="2" t="s">
        <v>412</v>
      </c>
      <c r="L985" s="2" t="s">
        <v>167</v>
      </c>
      <c r="N985" s="2">
        <v>1.0</v>
      </c>
      <c r="O985" s="2" t="s">
        <v>5462</v>
      </c>
      <c r="P985" s="2" t="s">
        <v>32</v>
      </c>
      <c r="Q985" s="2" t="s">
        <v>96</v>
      </c>
      <c r="R985" s="2" t="s">
        <v>169</v>
      </c>
    </row>
    <row r="986" ht="15.75" customHeight="1">
      <c r="A986" s="2" t="s">
        <v>5463</v>
      </c>
      <c r="B986" s="2" t="s">
        <v>5464</v>
      </c>
      <c r="C986" s="2" t="s">
        <v>577</v>
      </c>
      <c r="D986" s="2" t="s">
        <v>1101</v>
      </c>
      <c r="E986" s="2" t="s">
        <v>579</v>
      </c>
      <c r="F986" s="2" t="s">
        <v>580</v>
      </c>
      <c r="G986" s="2" t="s">
        <v>73</v>
      </c>
      <c r="H986" s="2" t="s">
        <v>152</v>
      </c>
      <c r="I986" s="2" t="s">
        <v>522</v>
      </c>
      <c r="J986" s="2" t="s">
        <v>1641</v>
      </c>
      <c r="K986" s="2" t="s">
        <v>825</v>
      </c>
      <c r="L986" s="2" t="s">
        <v>179</v>
      </c>
      <c r="M986" s="2">
        <v>928.77</v>
      </c>
      <c r="N986" s="2">
        <v>3.0</v>
      </c>
      <c r="O986" s="2" t="s">
        <v>5465</v>
      </c>
      <c r="P986" s="2" t="s">
        <v>48</v>
      </c>
      <c r="Q986" s="2" t="s">
        <v>143</v>
      </c>
      <c r="R986" s="2" t="s">
        <v>50</v>
      </c>
    </row>
    <row r="987" ht="15.75" customHeight="1">
      <c r="A987" s="2" t="s">
        <v>5466</v>
      </c>
      <c r="B987" s="2" t="s">
        <v>5467</v>
      </c>
      <c r="C987" s="2" t="s">
        <v>5468</v>
      </c>
      <c r="D987" s="2" t="s">
        <v>5469</v>
      </c>
      <c r="E987" s="2" t="s">
        <v>5470</v>
      </c>
      <c r="F987" s="2" t="s">
        <v>5471</v>
      </c>
      <c r="G987" s="2" t="s">
        <v>1336</v>
      </c>
      <c r="H987" s="2" t="s">
        <v>223</v>
      </c>
      <c r="I987" s="2" t="s">
        <v>401</v>
      </c>
      <c r="J987" s="2" t="s">
        <v>919</v>
      </c>
      <c r="K987" s="2" t="s">
        <v>423</v>
      </c>
      <c r="L987" s="2" t="s">
        <v>179</v>
      </c>
      <c r="M987" s="2">
        <v>62.0</v>
      </c>
      <c r="N987" s="2">
        <v>1.0</v>
      </c>
      <c r="O987" s="2" t="s">
        <v>5472</v>
      </c>
      <c r="P987" s="2" t="s">
        <v>95</v>
      </c>
      <c r="Q987" s="2" t="s">
        <v>573</v>
      </c>
      <c r="R987" s="2" t="s">
        <v>294</v>
      </c>
    </row>
    <row r="988" ht="15.75" customHeight="1">
      <c r="A988" s="2" t="s">
        <v>5473</v>
      </c>
      <c r="B988" s="2" t="s">
        <v>5474</v>
      </c>
      <c r="C988" s="2" t="s">
        <v>2669</v>
      </c>
      <c r="D988" s="2" t="s">
        <v>1260</v>
      </c>
      <c r="E988" s="2" t="s">
        <v>2670</v>
      </c>
      <c r="F988" s="2" t="s">
        <v>2671</v>
      </c>
      <c r="G988" s="2" t="s">
        <v>671</v>
      </c>
      <c r="H988" s="2" t="s">
        <v>223</v>
      </c>
      <c r="I988" s="2" t="s">
        <v>480</v>
      </c>
      <c r="J988" s="2" t="s">
        <v>565</v>
      </c>
      <c r="K988" s="2" t="s">
        <v>566</v>
      </c>
      <c r="L988" s="2" t="s">
        <v>167</v>
      </c>
      <c r="M988" s="2">
        <v>786.18</v>
      </c>
      <c r="O988" s="2" t="s">
        <v>5475</v>
      </c>
      <c r="P988" s="2" t="s">
        <v>32</v>
      </c>
      <c r="Q988" s="2" t="s">
        <v>143</v>
      </c>
      <c r="R988" s="2" t="s">
        <v>306</v>
      </c>
    </row>
    <row r="989" ht="15.75" customHeight="1">
      <c r="A989" s="2" t="s">
        <v>5476</v>
      </c>
      <c r="B989" s="2" t="s">
        <v>5477</v>
      </c>
      <c r="C989" s="2" t="s">
        <v>5478</v>
      </c>
      <c r="D989" s="2" t="s">
        <v>5479</v>
      </c>
      <c r="E989" s="2" t="s">
        <v>5480</v>
      </c>
      <c r="F989" s="2" t="s">
        <v>5481</v>
      </c>
      <c r="G989" s="2" t="s">
        <v>1319</v>
      </c>
      <c r="H989" s="2" t="s">
        <v>683</v>
      </c>
      <c r="I989" s="2" t="s">
        <v>176</v>
      </c>
      <c r="J989" s="2" t="s">
        <v>5482</v>
      </c>
      <c r="K989" s="2" t="s">
        <v>1359</v>
      </c>
      <c r="L989" s="2" t="s">
        <v>503</v>
      </c>
      <c r="N989" s="2">
        <v>1.0</v>
      </c>
      <c r="O989" s="2" t="s">
        <v>5483</v>
      </c>
      <c r="P989" s="2" t="s">
        <v>65</v>
      </c>
      <c r="Q989" s="2" t="s">
        <v>238</v>
      </c>
      <c r="R989" s="2" t="s">
        <v>144</v>
      </c>
    </row>
    <row r="990" ht="15.75" customHeight="1">
      <c r="A990" s="2" t="s">
        <v>5484</v>
      </c>
      <c r="B990" s="2" t="s">
        <v>5485</v>
      </c>
      <c r="C990" s="2" t="s">
        <v>5486</v>
      </c>
      <c r="D990" s="2" t="s">
        <v>5487</v>
      </c>
      <c r="E990" s="2" t="s">
        <v>5488</v>
      </c>
      <c r="F990" s="2" t="s">
        <v>5489</v>
      </c>
      <c r="G990" s="2" t="s">
        <v>448</v>
      </c>
      <c r="H990" s="2" t="s">
        <v>400</v>
      </c>
      <c r="I990" s="2" t="s">
        <v>176</v>
      </c>
      <c r="J990" s="2" t="s">
        <v>449</v>
      </c>
      <c r="K990" s="2" t="s">
        <v>450</v>
      </c>
      <c r="L990" s="2" t="s">
        <v>315</v>
      </c>
      <c r="M990" s="2">
        <v>1182.91</v>
      </c>
      <c r="N990" s="2">
        <v>1.0</v>
      </c>
      <c r="O990" s="2" t="s">
        <v>5490</v>
      </c>
      <c r="P990" s="2" t="s">
        <v>95</v>
      </c>
      <c r="Q990" s="2" t="s">
        <v>5491</v>
      </c>
      <c r="R990" s="2" t="s">
        <v>1171</v>
      </c>
      <c r="S990" s="2" t="s">
        <v>133</v>
      </c>
    </row>
    <row r="991" ht="15.75" customHeight="1">
      <c r="A991" s="2" t="s">
        <v>5492</v>
      </c>
      <c r="B991" s="2" t="s">
        <v>5493</v>
      </c>
      <c r="C991" s="2" t="s">
        <v>3406</v>
      </c>
      <c r="D991" s="2" t="s">
        <v>3407</v>
      </c>
      <c r="E991" s="2" t="s">
        <v>3408</v>
      </c>
      <c r="F991" s="2" t="s">
        <v>3409</v>
      </c>
      <c r="G991" s="2" t="s">
        <v>3410</v>
      </c>
      <c r="H991" s="2" t="s">
        <v>26</v>
      </c>
      <c r="I991" s="2" t="s">
        <v>103</v>
      </c>
      <c r="J991" s="2" t="s">
        <v>235</v>
      </c>
      <c r="K991" s="2" t="s">
        <v>236</v>
      </c>
      <c r="L991" s="2" t="s">
        <v>30</v>
      </c>
      <c r="M991" s="2">
        <v>1245.96</v>
      </c>
      <c r="N991" s="2">
        <v>2.0</v>
      </c>
      <c r="O991" s="2" t="s">
        <v>5494</v>
      </c>
      <c r="P991" s="2" t="s">
        <v>65</v>
      </c>
      <c r="Q991" s="2" t="s">
        <v>33</v>
      </c>
      <c r="R991" s="2" t="s">
        <v>432</v>
      </c>
    </row>
    <row r="992" ht="15.75" customHeight="1">
      <c r="A992" s="2" t="s">
        <v>5495</v>
      </c>
      <c r="B992" s="2" t="s">
        <v>5496</v>
      </c>
      <c r="C992" s="2" t="s">
        <v>5497</v>
      </c>
      <c r="D992" s="2" t="s">
        <v>5498</v>
      </c>
      <c r="E992" s="2" t="s">
        <v>5499</v>
      </c>
      <c r="F992" s="2" t="s">
        <v>5500</v>
      </c>
      <c r="G992" s="2" t="s">
        <v>199</v>
      </c>
      <c r="H992" s="2" t="s">
        <v>59</v>
      </c>
      <c r="I992" s="2" t="s">
        <v>289</v>
      </c>
      <c r="J992" s="2" t="s">
        <v>1632</v>
      </c>
      <c r="K992" s="2" t="s">
        <v>1633</v>
      </c>
      <c r="L992" s="2" t="s">
        <v>742</v>
      </c>
      <c r="M992" s="2">
        <v>1237.15</v>
      </c>
      <c r="N992" s="2">
        <v>1.0</v>
      </c>
      <c r="O992" s="2" t="s">
        <v>5501</v>
      </c>
      <c r="P992" s="2" t="s">
        <v>48</v>
      </c>
      <c r="Q992" s="2" t="s">
        <v>66</v>
      </c>
      <c r="R992" s="2" t="s">
        <v>1312</v>
      </c>
    </row>
    <row r="993" ht="15.75" customHeight="1">
      <c r="A993" s="2" t="s">
        <v>5502</v>
      </c>
      <c r="B993" s="2" t="s">
        <v>5503</v>
      </c>
      <c r="C993" s="2" t="s">
        <v>1518</v>
      </c>
      <c r="D993" s="2" t="s">
        <v>1519</v>
      </c>
      <c r="E993" s="2" t="s">
        <v>1520</v>
      </c>
      <c r="F993" s="2" t="s">
        <v>1521</v>
      </c>
      <c r="G993" s="2" t="s">
        <v>58</v>
      </c>
      <c r="H993" s="2" t="s">
        <v>1167</v>
      </c>
      <c r="I993" s="2" t="s">
        <v>401</v>
      </c>
      <c r="J993" s="2" t="s">
        <v>965</v>
      </c>
      <c r="K993" s="2" t="s">
        <v>966</v>
      </c>
      <c r="L993" s="2" t="s">
        <v>967</v>
      </c>
      <c r="M993" s="2">
        <v>696.66</v>
      </c>
      <c r="N993" s="2">
        <v>1.0</v>
      </c>
      <c r="O993" s="2" t="s">
        <v>5504</v>
      </c>
      <c r="P993" s="2" t="s">
        <v>65</v>
      </c>
      <c r="Q993" s="2" t="s">
        <v>238</v>
      </c>
      <c r="R993" s="2" t="s">
        <v>1463</v>
      </c>
    </row>
    <row r="994" ht="15.75" customHeight="1">
      <c r="A994" s="2" t="s">
        <v>5505</v>
      </c>
      <c r="B994" s="2" t="s">
        <v>5506</v>
      </c>
      <c r="C994" s="2" t="s">
        <v>5507</v>
      </c>
      <c r="D994" s="2" t="s">
        <v>5508</v>
      </c>
      <c r="E994" s="2" t="s">
        <v>5509</v>
      </c>
      <c r="F994" s="2" t="s">
        <v>5510</v>
      </c>
      <c r="G994" s="2" t="s">
        <v>364</v>
      </c>
      <c r="H994" s="2" t="s">
        <v>301</v>
      </c>
      <c r="I994" s="2" t="s">
        <v>333</v>
      </c>
      <c r="J994" s="2" t="s">
        <v>224</v>
      </c>
      <c r="K994" s="2" t="s">
        <v>225</v>
      </c>
      <c r="L994" s="2" t="s">
        <v>214</v>
      </c>
      <c r="M994" s="2">
        <v>24.84</v>
      </c>
      <c r="N994" s="2">
        <v>1.0</v>
      </c>
      <c r="O994" s="2" t="s">
        <v>5511</v>
      </c>
      <c r="P994" s="2" t="s">
        <v>65</v>
      </c>
      <c r="Q994" s="2" t="s">
        <v>143</v>
      </c>
      <c r="R994" s="2" t="s">
        <v>5512</v>
      </c>
      <c r="S994" s="2" t="s">
        <v>67</v>
      </c>
    </row>
    <row r="995" ht="15.75" customHeight="1">
      <c r="A995" s="2" t="s">
        <v>5513</v>
      </c>
      <c r="B995" s="2" t="s">
        <v>5514</v>
      </c>
      <c r="C995" s="2" t="s">
        <v>2352</v>
      </c>
      <c r="D995" s="2" t="s">
        <v>2353</v>
      </c>
      <c r="E995" s="2" t="s">
        <v>2354</v>
      </c>
      <c r="F995" s="2" t="s">
        <v>2355</v>
      </c>
      <c r="G995" s="2" t="s">
        <v>199</v>
      </c>
      <c r="H995" s="2" t="s">
        <v>115</v>
      </c>
      <c r="I995" s="2" t="s">
        <v>103</v>
      </c>
      <c r="J995" s="2" t="s">
        <v>3596</v>
      </c>
      <c r="K995" s="2" t="s">
        <v>3597</v>
      </c>
      <c r="L995" s="2" t="s">
        <v>63</v>
      </c>
      <c r="M995" s="2">
        <v>349.43</v>
      </c>
      <c r="N995" s="2">
        <v>1.0</v>
      </c>
      <c r="O995" s="2" t="s">
        <v>5515</v>
      </c>
      <c r="P995" s="2" t="s">
        <v>95</v>
      </c>
      <c r="Q995" s="2" t="s">
        <v>414</v>
      </c>
      <c r="R995" s="2" t="s">
        <v>34</v>
      </c>
    </row>
    <row r="996" ht="15.75" customHeight="1">
      <c r="A996" s="2" t="s">
        <v>5516</v>
      </c>
      <c r="B996" s="2" t="s">
        <v>5517</v>
      </c>
      <c r="C996" s="2" t="s">
        <v>5518</v>
      </c>
      <c r="D996" s="2" t="s">
        <v>1068</v>
      </c>
      <c r="F996" s="2" t="s">
        <v>5519</v>
      </c>
      <c r="G996" s="2" t="s">
        <v>738</v>
      </c>
      <c r="H996" s="2" t="s">
        <v>210</v>
      </c>
      <c r="I996" s="2" t="s">
        <v>176</v>
      </c>
      <c r="J996" s="2" t="s">
        <v>1168</v>
      </c>
      <c r="K996" s="2" t="s">
        <v>1169</v>
      </c>
      <c r="L996" s="2" t="s">
        <v>63</v>
      </c>
      <c r="N996" s="2">
        <v>3.0</v>
      </c>
      <c r="O996" s="2" t="s">
        <v>5520</v>
      </c>
      <c r="P996" s="2" t="s">
        <v>32</v>
      </c>
      <c r="Q996" s="2" t="s">
        <v>181</v>
      </c>
      <c r="R996" s="2" t="s">
        <v>1312</v>
      </c>
    </row>
    <row r="997" ht="15.75" customHeight="1">
      <c r="A997" s="2" t="s">
        <v>5521</v>
      </c>
      <c r="B997" s="2" t="s">
        <v>5522</v>
      </c>
      <c r="C997" s="2" t="s">
        <v>2787</v>
      </c>
      <c r="D997" s="2" t="s">
        <v>2788</v>
      </c>
      <c r="E997" s="2" t="s">
        <v>2789</v>
      </c>
      <c r="F997" s="2" t="s">
        <v>2790</v>
      </c>
      <c r="G997" s="2" t="s">
        <v>671</v>
      </c>
      <c r="H997" s="2" t="s">
        <v>3034</v>
      </c>
      <c r="I997" s="2" t="s">
        <v>43</v>
      </c>
      <c r="J997" s="2" t="s">
        <v>1192</v>
      </c>
      <c r="K997" s="2" t="s">
        <v>1193</v>
      </c>
      <c r="L997" s="2" t="s">
        <v>179</v>
      </c>
      <c r="M997" s="2">
        <v>997.84</v>
      </c>
      <c r="O997" s="2" t="s">
        <v>5523</v>
      </c>
      <c r="P997" s="2" t="s">
        <v>32</v>
      </c>
      <c r="Q997" s="2" t="s">
        <v>66</v>
      </c>
      <c r="R997" s="2" t="s">
        <v>5524</v>
      </c>
      <c r="S997" s="2" t="s">
        <v>133</v>
      </c>
    </row>
    <row r="998" ht="15.75" customHeight="1">
      <c r="A998" s="2" t="s">
        <v>5525</v>
      </c>
      <c r="B998" s="2" t="s">
        <v>5526</v>
      </c>
      <c r="C998" s="2" t="s">
        <v>5527</v>
      </c>
      <c r="D998" s="2" t="s">
        <v>5528</v>
      </c>
      <c r="E998" s="2" t="s">
        <v>1622</v>
      </c>
      <c r="F998" s="2" t="s">
        <v>5529</v>
      </c>
      <c r="G998" s="2" t="s">
        <v>801</v>
      </c>
      <c r="H998" s="2" t="s">
        <v>59</v>
      </c>
      <c r="I998" s="2" t="s">
        <v>401</v>
      </c>
      <c r="J998" s="2" t="s">
        <v>44</v>
      </c>
      <c r="K998" s="2" t="s">
        <v>45</v>
      </c>
      <c r="L998" s="2" t="s">
        <v>46</v>
      </c>
      <c r="M998" s="2">
        <v>722.22</v>
      </c>
      <c r="N998" s="2">
        <v>2.0</v>
      </c>
      <c r="O998" s="2" t="s">
        <v>5530</v>
      </c>
      <c r="P998" s="2" t="s">
        <v>32</v>
      </c>
      <c r="Q998" s="2" t="s">
        <v>96</v>
      </c>
      <c r="R998" s="2" t="s">
        <v>818</v>
      </c>
    </row>
    <row r="999" ht="15.75" customHeight="1">
      <c r="A999" s="2" t="s">
        <v>5531</v>
      </c>
      <c r="B999" s="2" t="s">
        <v>5532</v>
      </c>
      <c r="C999" s="2" t="s">
        <v>648</v>
      </c>
      <c r="D999" s="2" t="s">
        <v>649</v>
      </c>
      <c r="E999" s="2" t="s">
        <v>650</v>
      </c>
      <c r="F999" s="2" t="s">
        <v>651</v>
      </c>
      <c r="G999" s="2" t="s">
        <v>199</v>
      </c>
      <c r="H999" s="2" t="s">
        <v>223</v>
      </c>
      <c r="I999" s="2" t="s">
        <v>289</v>
      </c>
      <c r="J999" s="2" t="s">
        <v>3101</v>
      </c>
      <c r="K999" s="2" t="s">
        <v>1212</v>
      </c>
      <c r="L999" s="2" t="s">
        <v>248</v>
      </c>
      <c r="M999" s="2">
        <v>1227.05</v>
      </c>
      <c r="N999" s="2">
        <v>1.0</v>
      </c>
      <c r="O999" s="2" t="s">
        <v>5533</v>
      </c>
      <c r="P999" s="2" t="s">
        <v>48</v>
      </c>
      <c r="Q999" s="2" t="s">
        <v>204</v>
      </c>
      <c r="R999" s="2" t="s">
        <v>132</v>
      </c>
      <c r="S999" s="2" t="s">
        <v>67</v>
      </c>
    </row>
    <row r="1000" ht="15.75" customHeight="1">
      <c r="A1000" s="2" t="s">
        <v>5534</v>
      </c>
      <c r="B1000" s="2" t="s">
        <v>5535</v>
      </c>
      <c r="C1000" s="2" t="s">
        <v>2127</v>
      </c>
      <c r="D1000" s="2" t="s">
        <v>2128</v>
      </c>
      <c r="E1000" s="2" t="s">
        <v>2129</v>
      </c>
      <c r="F1000" s="2" t="s">
        <v>2130</v>
      </c>
      <c r="G1000" s="2" t="s">
        <v>608</v>
      </c>
      <c r="H1000" s="2" t="s">
        <v>59</v>
      </c>
      <c r="I1000" s="2" t="s">
        <v>43</v>
      </c>
      <c r="J1000" s="2" t="s">
        <v>471</v>
      </c>
      <c r="K1000" s="2" t="s">
        <v>472</v>
      </c>
      <c r="L1000" s="2" t="s">
        <v>179</v>
      </c>
      <c r="M1000" s="2">
        <v>839.15</v>
      </c>
      <c r="N1000" s="2">
        <v>2.0</v>
      </c>
      <c r="O1000" s="2" t="s">
        <v>5536</v>
      </c>
      <c r="P1000" s="2" t="s">
        <v>48</v>
      </c>
      <c r="Q1000" s="2" t="s">
        <v>66</v>
      </c>
      <c r="R1000" s="2" t="s">
        <v>80</v>
      </c>
    </row>
    <row r="1001" ht="15.75" customHeight="1">
      <c r="A1001" s="2" t="s">
        <v>5537</v>
      </c>
      <c r="B1001" s="2" t="s">
        <v>5538</v>
      </c>
      <c r="C1001" s="2" t="s">
        <v>3125</v>
      </c>
      <c r="D1001" s="2" t="s">
        <v>101</v>
      </c>
      <c r="E1001" s="2" t="s">
        <v>3126</v>
      </c>
      <c r="F1001" s="2" t="s">
        <v>3127</v>
      </c>
      <c r="G1001" s="2" t="s">
        <v>671</v>
      </c>
      <c r="H1001" s="2" t="s">
        <v>115</v>
      </c>
      <c r="I1001" s="2" t="s">
        <v>512</v>
      </c>
      <c r="J1001" s="2" t="s">
        <v>1271</v>
      </c>
      <c r="K1001" s="2" t="s">
        <v>1272</v>
      </c>
      <c r="L1001" s="2" t="s">
        <v>167</v>
      </c>
      <c r="N1001" s="2">
        <v>1.0</v>
      </c>
      <c r="O1001" s="2" t="s">
        <v>5539</v>
      </c>
      <c r="P1001" s="2" t="s">
        <v>95</v>
      </c>
      <c r="Q1001" s="2" t="s">
        <v>204</v>
      </c>
      <c r="R1001" s="2" t="s">
        <v>192</v>
      </c>
    </row>
    <row r="1002" ht="15.75" customHeight="1">
      <c r="A1002" s="2" t="s">
        <v>5540</v>
      </c>
      <c r="B1002" s="2" t="s">
        <v>5541</v>
      </c>
      <c r="C1002" s="2" t="s">
        <v>3688</v>
      </c>
      <c r="D1002" s="2" t="s">
        <v>361</v>
      </c>
      <c r="E1002" s="2" t="s">
        <v>3689</v>
      </c>
      <c r="F1002" s="2" t="s">
        <v>3690</v>
      </c>
      <c r="G1002" s="2" t="s">
        <v>3691</v>
      </c>
      <c r="H1002" s="2" t="s">
        <v>26</v>
      </c>
      <c r="I1002" s="2" t="s">
        <v>480</v>
      </c>
      <c r="J1002" s="2" t="s">
        <v>976</v>
      </c>
      <c r="K1002" s="2" t="s">
        <v>335</v>
      </c>
      <c r="L1002" s="2" t="s">
        <v>214</v>
      </c>
      <c r="M1002" s="2">
        <v>777.38</v>
      </c>
      <c r="N1002" s="2">
        <v>1.0</v>
      </c>
      <c r="O1002" s="2" t="s">
        <v>5542</v>
      </c>
      <c r="P1002" s="2" t="s">
        <v>48</v>
      </c>
      <c r="Q1002" s="2" t="s">
        <v>66</v>
      </c>
      <c r="R1002" s="2" t="s">
        <v>80</v>
      </c>
      <c r="S1002" s="2" t="s">
        <v>51</v>
      </c>
    </row>
    <row r="1003" ht="15.75" customHeight="1">
      <c r="A1003" s="2" t="s">
        <v>5543</v>
      </c>
      <c r="B1003" s="2" t="s">
        <v>5544</v>
      </c>
      <c r="C1003" s="2" t="s">
        <v>2611</v>
      </c>
      <c r="D1003" s="2" t="s">
        <v>2612</v>
      </c>
      <c r="E1003" s="2" t="s">
        <v>2613</v>
      </c>
      <c r="F1003" s="2" t="s">
        <v>2614</v>
      </c>
      <c r="G1003" s="2" t="s">
        <v>114</v>
      </c>
      <c r="H1003" s="2" t="s">
        <v>152</v>
      </c>
      <c r="I1003" s="2" t="s">
        <v>60</v>
      </c>
      <c r="J1003" s="2" t="s">
        <v>948</v>
      </c>
      <c r="K1003" s="2" t="s">
        <v>450</v>
      </c>
      <c r="L1003" s="2" t="s">
        <v>129</v>
      </c>
      <c r="N1003" s="2">
        <v>2.0</v>
      </c>
      <c r="O1003" s="2" t="s">
        <v>5545</v>
      </c>
      <c r="P1003" s="2" t="s">
        <v>95</v>
      </c>
      <c r="Q1003" s="2" t="s">
        <v>181</v>
      </c>
      <c r="R1003" s="2" t="s">
        <v>294</v>
      </c>
    </row>
    <row r="1004" ht="15.75" customHeight="1">
      <c r="A1004" s="2" t="s">
        <v>5546</v>
      </c>
      <c r="B1004" s="2" t="s">
        <v>5547</v>
      </c>
      <c r="C1004" s="2" t="s">
        <v>2894</v>
      </c>
      <c r="D1004" s="2" t="s">
        <v>2895</v>
      </c>
      <c r="E1004" s="2" t="s">
        <v>2896</v>
      </c>
      <c r="F1004" s="2" t="s">
        <v>2897</v>
      </c>
      <c r="G1004" s="2" t="s">
        <v>777</v>
      </c>
      <c r="H1004" s="2" t="s">
        <v>115</v>
      </c>
      <c r="I1004" s="2" t="s">
        <v>352</v>
      </c>
      <c r="J1004" s="2" t="s">
        <v>729</v>
      </c>
      <c r="K1004" s="2" t="s">
        <v>62</v>
      </c>
      <c r="L1004" s="2" t="s">
        <v>730</v>
      </c>
      <c r="M1004" s="2">
        <v>1456.4</v>
      </c>
      <c r="N1004" s="2">
        <v>1.0</v>
      </c>
      <c r="O1004" s="2" t="s">
        <v>5548</v>
      </c>
      <c r="P1004" s="2" t="s">
        <v>65</v>
      </c>
      <c r="Q1004" s="2" t="s">
        <v>96</v>
      </c>
      <c r="R1004" s="2" t="s">
        <v>442</v>
      </c>
      <c r="S1004" s="2" t="s">
        <v>67</v>
      </c>
    </row>
    <row r="1005" ht="15.75" customHeight="1">
      <c r="A1005" s="2" t="s">
        <v>5549</v>
      </c>
      <c r="B1005" s="2" t="s">
        <v>5550</v>
      </c>
      <c r="C1005" s="2" t="s">
        <v>2395</v>
      </c>
      <c r="D1005" s="2" t="s">
        <v>231</v>
      </c>
      <c r="F1005" s="2" t="s">
        <v>2397</v>
      </c>
      <c r="G1005" s="2" t="s">
        <v>41</v>
      </c>
      <c r="H1005" s="2" t="s">
        <v>301</v>
      </c>
      <c r="I1005" s="2" t="s">
        <v>60</v>
      </c>
      <c r="J1005" s="2" t="s">
        <v>1733</v>
      </c>
      <c r="K1005" s="2" t="s">
        <v>440</v>
      </c>
      <c r="L1005" s="2" t="s">
        <v>315</v>
      </c>
      <c r="M1005" s="2">
        <v>1185.09</v>
      </c>
      <c r="N1005" s="2">
        <v>3.0</v>
      </c>
      <c r="O1005" s="2" t="s">
        <v>5551</v>
      </c>
      <c r="P1005" s="2" t="s">
        <v>95</v>
      </c>
      <c r="Q1005" s="2" t="s">
        <v>414</v>
      </c>
      <c r="R1005" s="2" t="s">
        <v>306</v>
      </c>
      <c r="S1005" s="2" t="s">
        <v>67</v>
      </c>
    </row>
    <row r="1006" ht="15.75" customHeight="1">
      <c r="A1006" s="2" t="s">
        <v>5552</v>
      </c>
      <c r="B1006" s="2" t="s">
        <v>5553</v>
      </c>
      <c r="C1006" s="2" t="s">
        <v>2395</v>
      </c>
      <c r="D1006" s="2" t="s">
        <v>231</v>
      </c>
      <c r="E1006" s="2" t="s">
        <v>2396</v>
      </c>
      <c r="F1006" s="2" t="s">
        <v>2397</v>
      </c>
      <c r="G1006" s="2" t="s">
        <v>41</v>
      </c>
      <c r="H1006" s="2" t="s">
        <v>400</v>
      </c>
      <c r="I1006" s="2" t="s">
        <v>401</v>
      </c>
      <c r="J1006" s="2" t="s">
        <v>3810</v>
      </c>
      <c r="K1006" s="2" t="s">
        <v>3811</v>
      </c>
      <c r="L1006" s="2" t="s">
        <v>995</v>
      </c>
      <c r="M1006" s="2">
        <v>1702.66</v>
      </c>
      <c r="N1006" s="2">
        <v>1.0</v>
      </c>
      <c r="O1006" s="2" t="s">
        <v>5554</v>
      </c>
      <c r="P1006" s="2" t="s">
        <v>65</v>
      </c>
      <c r="Q1006" s="2" t="s">
        <v>414</v>
      </c>
      <c r="R1006" s="2" t="s">
        <v>80</v>
      </c>
      <c r="S1006" s="2" t="s">
        <v>133</v>
      </c>
    </row>
    <row r="1007" ht="15.75" customHeight="1">
      <c r="A1007" s="2" t="s">
        <v>5555</v>
      </c>
      <c r="B1007" s="2" t="s">
        <v>5556</v>
      </c>
      <c r="C1007" s="2" t="s">
        <v>3979</v>
      </c>
      <c r="D1007" s="2" t="s">
        <v>3980</v>
      </c>
      <c r="E1007" s="2" t="s">
        <v>3981</v>
      </c>
      <c r="F1007" s="2" t="s">
        <v>3982</v>
      </c>
      <c r="G1007" s="2" t="s">
        <v>399</v>
      </c>
      <c r="H1007" s="2" t="s">
        <v>210</v>
      </c>
      <c r="I1007" s="2" t="s">
        <v>333</v>
      </c>
      <c r="J1007" s="2" t="s">
        <v>1856</v>
      </c>
      <c r="K1007" s="2" t="s">
        <v>118</v>
      </c>
      <c r="L1007" s="2" t="s">
        <v>167</v>
      </c>
      <c r="M1007" s="2">
        <v>1658.51</v>
      </c>
      <c r="N1007" s="2">
        <v>5.0</v>
      </c>
      <c r="O1007" s="2" t="s">
        <v>5557</v>
      </c>
      <c r="P1007" s="2" t="s">
        <v>32</v>
      </c>
      <c r="Q1007" s="2" t="s">
        <v>143</v>
      </c>
      <c r="R1007" s="2" t="s">
        <v>818</v>
      </c>
    </row>
    <row r="1008" ht="15.75" customHeight="1">
      <c r="A1008" s="2" t="s">
        <v>5558</v>
      </c>
      <c r="B1008" s="2" t="s">
        <v>5559</v>
      </c>
      <c r="C1008" s="2" t="s">
        <v>2858</v>
      </c>
      <c r="D1008" s="2" t="s">
        <v>5560</v>
      </c>
      <c r="E1008" s="2" t="s">
        <v>5561</v>
      </c>
      <c r="F1008" s="2" t="s">
        <v>5562</v>
      </c>
      <c r="G1008" s="2" t="s">
        <v>58</v>
      </c>
      <c r="H1008" s="2" t="s">
        <v>4664</v>
      </c>
      <c r="I1008" s="2" t="s">
        <v>5563</v>
      </c>
      <c r="J1008" s="2" t="s">
        <v>353</v>
      </c>
      <c r="K1008" s="2" t="s">
        <v>354</v>
      </c>
      <c r="L1008" s="2" t="s">
        <v>355</v>
      </c>
      <c r="M1008" s="2">
        <v>771.8</v>
      </c>
      <c r="N1008" s="2">
        <v>3.0</v>
      </c>
      <c r="O1008" s="2" t="s">
        <v>5564</v>
      </c>
      <c r="P1008" s="2" t="s">
        <v>95</v>
      </c>
      <c r="Q1008" s="2" t="s">
        <v>181</v>
      </c>
      <c r="R1008" s="2" t="s">
        <v>818</v>
      </c>
      <c r="S1008" s="2" t="s">
        <v>133</v>
      </c>
    </row>
    <row r="1009" ht="15.75" customHeight="1">
      <c r="A1009" s="2" t="s">
        <v>5565</v>
      </c>
      <c r="B1009" s="2" t="s">
        <v>5566</v>
      </c>
      <c r="C1009" s="2" t="s">
        <v>4222</v>
      </c>
      <c r="D1009" s="2" t="s">
        <v>1646</v>
      </c>
      <c r="E1009" s="2" t="s">
        <v>4223</v>
      </c>
      <c r="G1009" s="2" t="s">
        <v>421</v>
      </c>
      <c r="H1009" s="2" t="s">
        <v>42</v>
      </c>
      <c r="I1009" s="2" t="s">
        <v>43</v>
      </c>
      <c r="J1009" s="2" t="s">
        <v>609</v>
      </c>
      <c r="K1009" s="2" t="s">
        <v>259</v>
      </c>
      <c r="L1009" s="2" t="s">
        <v>610</v>
      </c>
      <c r="M1009" s="2">
        <v>791.75</v>
      </c>
      <c r="N1009" s="2">
        <v>1.0</v>
      </c>
      <c r="O1009" s="2" t="s">
        <v>5567</v>
      </c>
      <c r="P1009" s="2" t="s">
        <v>65</v>
      </c>
      <c r="Q1009" s="2" t="s">
        <v>181</v>
      </c>
      <c r="R1009" s="2" t="s">
        <v>818</v>
      </c>
      <c r="S1009" s="2" t="s">
        <v>81</v>
      </c>
    </row>
    <row r="1010" ht="15.75" customHeight="1">
      <c r="A1010" s="2" t="s">
        <v>5568</v>
      </c>
      <c r="B1010" s="2" t="s">
        <v>5569</v>
      </c>
      <c r="C1010" s="2" t="s">
        <v>3781</v>
      </c>
      <c r="D1010" s="2" t="s">
        <v>3782</v>
      </c>
      <c r="E1010" s="2" t="s">
        <v>3783</v>
      </c>
      <c r="F1010" s="2" t="s">
        <v>3784</v>
      </c>
      <c r="G1010" s="2" t="s">
        <v>364</v>
      </c>
      <c r="H1010" s="2" t="s">
        <v>223</v>
      </c>
      <c r="I1010" s="2" t="s">
        <v>870</v>
      </c>
      <c r="J1010" s="2" t="s">
        <v>565</v>
      </c>
      <c r="K1010" s="2" t="s">
        <v>566</v>
      </c>
      <c r="L1010" s="2" t="s">
        <v>167</v>
      </c>
      <c r="N1010" s="2">
        <v>3.0</v>
      </c>
      <c r="O1010" s="2" t="s">
        <v>5570</v>
      </c>
      <c r="P1010" s="2" t="s">
        <v>95</v>
      </c>
      <c r="Q1010" s="2" t="s">
        <v>526</v>
      </c>
      <c r="R1010" s="2" t="s">
        <v>306</v>
      </c>
    </row>
    <row r="1011" ht="15.75" customHeight="1">
      <c r="A1011" s="2" t="s">
        <v>5571</v>
      </c>
      <c r="B1011" s="2" t="s">
        <v>5572</v>
      </c>
      <c r="C1011" s="2" t="s">
        <v>1945</v>
      </c>
      <c r="D1011" s="2" t="s">
        <v>1946</v>
      </c>
      <c r="E1011" s="2" t="s">
        <v>1947</v>
      </c>
      <c r="F1011" s="2" t="s">
        <v>1948</v>
      </c>
      <c r="G1011" s="2" t="s">
        <v>1054</v>
      </c>
      <c r="H1011" s="2" t="s">
        <v>89</v>
      </c>
      <c r="I1011" s="2" t="s">
        <v>401</v>
      </c>
      <c r="J1011" s="2" t="s">
        <v>1302</v>
      </c>
      <c r="K1011" s="2" t="s">
        <v>1303</v>
      </c>
      <c r="L1011" s="2" t="s">
        <v>179</v>
      </c>
      <c r="M1011" s="2">
        <v>1335.64</v>
      </c>
      <c r="N1011" s="2">
        <v>1.0</v>
      </c>
      <c r="O1011" s="2" t="s">
        <v>5573</v>
      </c>
      <c r="P1011" s="2" t="s">
        <v>32</v>
      </c>
      <c r="Q1011" s="2" t="s">
        <v>49</v>
      </c>
      <c r="R1011" s="2" t="s">
        <v>294</v>
      </c>
      <c r="S1011" s="2" t="s">
        <v>133</v>
      </c>
    </row>
    <row r="1012" ht="15.75" customHeight="1">
      <c r="A1012" s="2" t="s">
        <v>5574</v>
      </c>
      <c r="B1012" s="2" t="s">
        <v>5575</v>
      </c>
      <c r="C1012" s="2" t="s">
        <v>4713</v>
      </c>
      <c r="D1012" s="2" t="s">
        <v>4714</v>
      </c>
      <c r="E1012" s="2" t="s">
        <v>4715</v>
      </c>
      <c r="F1012" s="2" t="s">
        <v>4716</v>
      </c>
      <c r="G1012" s="2" t="s">
        <v>3143</v>
      </c>
      <c r="H1012" s="2" t="s">
        <v>223</v>
      </c>
      <c r="I1012" s="2" t="s">
        <v>512</v>
      </c>
      <c r="J1012" s="2" t="s">
        <v>523</v>
      </c>
      <c r="K1012" s="2" t="s">
        <v>524</v>
      </c>
      <c r="L1012" s="2" t="s">
        <v>368</v>
      </c>
      <c r="N1012" s="2">
        <v>2.0</v>
      </c>
      <c r="O1012" s="2" t="s">
        <v>5576</v>
      </c>
      <c r="P1012" s="2" t="s">
        <v>65</v>
      </c>
      <c r="Q1012" s="2" t="s">
        <v>573</v>
      </c>
      <c r="R1012" s="2" t="s">
        <v>132</v>
      </c>
      <c r="S1012" s="2" t="s">
        <v>51</v>
      </c>
    </row>
    <row r="1013" ht="15.75" customHeight="1">
      <c r="A1013" s="2" t="s">
        <v>4190</v>
      </c>
      <c r="B1013" s="2" t="s">
        <v>4191</v>
      </c>
      <c r="C1013" s="2" t="s">
        <v>4192</v>
      </c>
      <c r="D1013" s="2" t="s">
        <v>4193</v>
      </c>
      <c r="E1013" s="2" t="s">
        <v>4194</v>
      </c>
      <c r="F1013" s="2" t="s">
        <v>4195</v>
      </c>
      <c r="G1013" s="2" t="s">
        <v>25</v>
      </c>
      <c r="H1013" s="2" t="s">
        <v>59</v>
      </c>
      <c r="I1013" s="2" t="s">
        <v>103</v>
      </c>
      <c r="J1013" s="2" t="s">
        <v>1400</v>
      </c>
      <c r="K1013" s="2" t="s">
        <v>524</v>
      </c>
      <c r="L1013" s="2" t="s">
        <v>1401</v>
      </c>
      <c r="N1013" s="2">
        <v>5.0</v>
      </c>
      <c r="O1013" s="2" t="s">
        <v>4196</v>
      </c>
      <c r="P1013" s="2" t="s">
        <v>48</v>
      </c>
      <c r="Q1013" s="2" t="s">
        <v>143</v>
      </c>
      <c r="R1013" s="2" t="s">
        <v>380</v>
      </c>
    </row>
    <row r="1014" ht="15.75" customHeight="1">
      <c r="A1014" s="2" t="s">
        <v>5577</v>
      </c>
      <c r="B1014" s="2" t="s">
        <v>5578</v>
      </c>
      <c r="C1014" s="2" t="s">
        <v>2016</v>
      </c>
      <c r="D1014" s="2" t="s">
        <v>2017</v>
      </c>
      <c r="E1014" s="2" t="s">
        <v>2018</v>
      </c>
      <c r="F1014" s="2" t="s">
        <v>2019</v>
      </c>
      <c r="G1014" s="2" t="s">
        <v>564</v>
      </c>
      <c r="H1014" s="2" t="s">
        <v>74</v>
      </c>
      <c r="I1014" s="2" t="s">
        <v>480</v>
      </c>
      <c r="J1014" s="2" t="s">
        <v>5482</v>
      </c>
      <c r="K1014" s="2" t="s">
        <v>1359</v>
      </c>
      <c r="L1014" s="2" t="s">
        <v>503</v>
      </c>
      <c r="M1014" s="2">
        <v>268.45</v>
      </c>
      <c r="N1014" s="2">
        <v>3.0</v>
      </c>
      <c r="O1014" s="2" t="s">
        <v>5579</v>
      </c>
      <c r="P1014" s="2" t="s">
        <v>48</v>
      </c>
      <c r="Q1014" s="2" t="s">
        <v>370</v>
      </c>
      <c r="R1014" s="2" t="s">
        <v>158</v>
      </c>
      <c r="S1014" s="2" t="s">
        <v>81</v>
      </c>
    </row>
    <row r="1015" ht="15.75" customHeight="1">
      <c r="A1015" s="2" t="s">
        <v>5580</v>
      </c>
      <c r="B1015" s="2" t="s">
        <v>5581</v>
      </c>
      <c r="C1015" s="2" t="s">
        <v>3417</v>
      </c>
      <c r="D1015" s="2" t="s">
        <v>3418</v>
      </c>
      <c r="E1015" s="2" t="s">
        <v>3419</v>
      </c>
      <c r="F1015" s="2" t="s">
        <v>3420</v>
      </c>
      <c r="G1015" s="2" t="s">
        <v>785</v>
      </c>
      <c r="H1015" s="2" t="s">
        <v>210</v>
      </c>
      <c r="I1015" s="2" t="s">
        <v>176</v>
      </c>
      <c r="J1015" s="2" t="s">
        <v>556</v>
      </c>
      <c r="K1015" s="2" t="s">
        <v>502</v>
      </c>
      <c r="L1015" s="2" t="s">
        <v>355</v>
      </c>
      <c r="M1015" s="2">
        <v>27.94</v>
      </c>
      <c r="N1015" s="2">
        <v>3.0</v>
      </c>
      <c r="O1015" s="2" t="s">
        <v>5582</v>
      </c>
      <c r="P1015" s="2" t="s">
        <v>95</v>
      </c>
      <c r="Q1015" s="2" t="s">
        <v>143</v>
      </c>
      <c r="R1015" s="2" t="s">
        <v>818</v>
      </c>
      <c r="S1015" s="2" t="s">
        <v>133</v>
      </c>
    </row>
    <row r="1016" ht="15.75" customHeight="1">
      <c r="A1016" s="2" t="s">
        <v>5583</v>
      </c>
      <c r="B1016" s="2" t="s">
        <v>5584</v>
      </c>
      <c r="C1016" s="2" t="s">
        <v>2558</v>
      </c>
      <c r="D1016" s="2" t="s">
        <v>2559</v>
      </c>
      <c r="E1016" s="2" t="s">
        <v>2560</v>
      </c>
      <c r="F1016" s="2" t="s">
        <v>2561</v>
      </c>
      <c r="G1016" s="2" t="s">
        <v>2562</v>
      </c>
      <c r="H1016" s="2" t="s">
        <v>152</v>
      </c>
      <c r="I1016" s="2" t="s">
        <v>480</v>
      </c>
      <c r="J1016" s="2" t="s">
        <v>746</v>
      </c>
      <c r="K1016" s="2" t="s">
        <v>747</v>
      </c>
      <c r="L1016" s="2" t="s">
        <v>748</v>
      </c>
      <c r="M1016" s="2">
        <v>1055.04</v>
      </c>
      <c r="N1016" s="2">
        <v>3.0</v>
      </c>
      <c r="O1016" s="2" t="s">
        <v>5585</v>
      </c>
      <c r="P1016" s="2" t="s">
        <v>32</v>
      </c>
      <c r="Q1016" s="2" t="s">
        <v>49</v>
      </c>
      <c r="R1016" s="2" t="s">
        <v>251</v>
      </c>
    </row>
    <row r="1017" ht="15.75" customHeight="1">
      <c r="A1017" s="2" t="s">
        <v>5586</v>
      </c>
      <c r="B1017" s="2" t="s">
        <v>5587</v>
      </c>
      <c r="C1017" s="2" t="s">
        <v>1396</v>
      </c>
      <c r="D1017" s="2" t="s">
        <v>1397</v>
      </c>
      <c r="E1017" s="2" t="s">
        <v>1398</v>
      </c>
      <c r="F1017" s="2" t="s">
        <v>1399</v>
      </c>
      <c r="G1017" s="2" t="s">
        <v>139</v>
      </c>
      <c r="H1017" s="2" t="s">
        <v>26</v>
      </c>
      <c r="I1017" s="2" t="s">
        <v>43</v>
      </c>
      <c r="J1017" s="2" t="s">
        <v>756</v>
      </c>
      <c r="K1017" s="2" t="s">
        <v>757</v>
      </c>
      <c r="L1017" s="2" t="s">
        <v>30</v>
      </c>
      <c r="N1017" s="2">
        <v>2.0</v>
      </c>
      <c r="O1017" s="2" t="s">
        <v>5588</v>
      </c>
      <c r="P1017" s="2" t="s">
        <v>48</v>
      </c>
      <c r="Q1017" s="2" t="s">
        <v>66</v>
      </c>
      <c r="R1017" s="2" t="s">
        <v>294</v>
      </c>
    </row>
    <row r="1018" ht="15.75" customHeight="1">
      <c r="A1018" s="2" t="s">
        <v>5589</v>
      </c>
      <c r="B1018" s="2" t="s">
        <v>5590</v>
      </c>
      <c r="C1018" s="2" t="s">
        <v>761</v>
      </c>
      <c r="D1018" s="2" t="s">
        <v>762</v>
      </c>
      <c r="E1018" s="2" t="s">
        <v>763</v>
      </c>
      <c r="F1018" s="2" t="s">
        <v>764</v>
      </c>
      <c r="G1018" s="2" t="s">
        <v>765</v>
      </c>
      <c r="H1018" s="2" t="s">
        <v>42</v>
      </c>
      <c r="I1018" s="2" t="s">
        <v>75</v>
      </c>
      <c r="J1018" s="2" t="s">
        <v>2024</v>
      </c>
      <c r="K1018" s="2" t="s">
        <v>2025</v>
      </c>
      <c r="L1018" s="2" t="s">
        <v>63</v>
      </c>
      <c r="M1018" s="2">
        <v>238.27</v>
      </c>
      <c r="N1018" s="2">
        <v>1.0</v>
      </c>
      <c r="O1018" s="2" t="s">
        <v>5591</v>
      </c>
      <c r="P1018" s="2" t="s">
        <v>32</v>
      </c>
      <c r="Q1018" s="2" t="s">
        <v>526</v>
      </c>
      <c r="R1018" s="2" t="s">
        <v>144</v>
      </c>
      <c r="S1018" s="2" t="s">
        <v>67</v>
      </c>
    </row>
    <row r="1019" ht="15.75" customHeight="1">
      <c r="A1019" s="2" t="s">
        <v>5592</v>
      </c>
      <c r="B1019" s="2" t="s">
        <v>5593</v>
      </c>
      <c r="C1019" s="2" t="s">
        <v>5048</v>
      </c>
      <c r="D1019" s="2" t="s">
        <v>4358</v>
      </c>
      <c r="E1019" s="2" t="s">
        <v>5049</v>
      </c>
      <c r="F1019" s="2" t="s">
        <v>5050</v>
      </c>
      <c r="G1019" s="2" t="s">
        <v>5051</v>
      </c>
      <c r="H1019" s="2" t="s">
        <v>210</v>
      </c>
      <c r="I1019" s="2" t="s">
        <v>401</v>
      </c>
      <c r="J1019" s="2" t="s">
        <v>976</v>
      </c>
      <c r="K1019" s="2" t="s">
        <v>335</v>
      </c>
      <c r="L1019" s="2" t="s">
        <v>214</v>
      </c>
      <c r="M1019" s="2">
        <v>6.93</v>
      </c>
      <c r="N1019" s="2">
        <v>2.0</v>
      </c>
      <c r="O1019" s="2" t="s">
        <v>5594</v>
      </c>
      <c r="P1019" s="2" t="s">
        <v>95</v>
      </c>
      <c r="Q1019" s="2" t="s">
        <v>181</v>
      </c>
      <c r="R1019" s="2" t="s">
        <v>169</v>
      </c>
      <c r="S1019" s="2" t="s">
        <v>133</v>
      </c>
    </row>
    <row r="1020" ht="15.75" customHeight="1">
      <c r="A1020" s="2" t="s">
        <v>5595</v>
      </c>
      <c r="B1020" s="2" t="s">
        <v>5596</v>
      </c>
      <c r="C1020" s="2" t="s">
        <v>4741</v>
      </c>
      <c r="D1020" s="2" t="s">
        <v>4742</v>
      </c>
      <c r="E1020" s="2" t="s">
        <v>4743</v>
      </c>
      <c r="F1020" s="2" t="s">
        <v>4744</v>
      </c>
      <c r="G1020" s="2" t="s">
        <v>1177</v>
      </c>
      <c r="H1020" s="2" t="s">
        <v>42</v>
      </c>
      <c r="I1020" s="2" t="s">
        <v>75</v>
      </c>
      <c r="J1020" s="2" t="s">
        <v>2680</v>
      </c>
      <c r="K1020" s="2" t="s">
        <v>303</v>
      </c>
      <c r="L1020" s="2" t="s">
        <v>2421</v>
      </c>
      <c r="N1020" s="2">
        <v>2.0</v>
      </c>
      <c r="O1020" s="2" t="s">
        <v>5597</v>
      </c>
      <c r="P1020" s="2" t="s">
        <v>48</v>
      </c>
      <c r="Q1020" s="2" t="s">
        <v>143</v>
      </c>
      <c r="R1020" s="2" t="s">
        <v>192</v>
      </c>
    </row>
    <row r="1021" ht="15.75" customHeight="1">
      <c r="A1021" s="2" t="s">
        <v>5598</v>
      </c>
      <c r="B1021" s="2" t="s">
        <v>5599</v>
      </c>
      <c r="C1021" s="2" t="s">
        <v>1347</v>
      </c>
      <c r="D1021" s="2" t="s">
        <v>1500</v>
      </c>
      <c r="E1021" s="2" t="s">
        <v>1349</v>
      </c>
      <c r="F1021" s="2" t="s">
        <v>1350</v>
      </c>
      <c r="G1021" s="2" t="s">
        <v>671</v>
      </c>
      <c r="H1021" s="2" t="s">
        <v>323</v>
      </c>
      <c r="I1021" s="2" t="s">
        <v>211</v>
      </c>
      <c r="J1021" s="2" t="s">
        <v>948</v>
      </c>
      <c r="K1021" s="2" t="s">
        <v>450</v>
      </c>
      <c r="L1021" s="2" t="s">
        <v>129</v>
      </c>
      <c r="M1021" s="2">
        <v>1316.36</v>
      </c>
      <c r="N1021" s="2">
        <v>1.0</v>
      </c>
      <c r="O1021" s="2" t="s">
        <v>5600</v>
      </c>
      <c r="P1021" s="2" t="s">
        <v>1635</v>
      </c>
      <c r="Q1021" s="2" t="s">
        <v>526</v>
      </c>
      <c r="R1021" s="2" t="s">
        <v>5601</v>
      </c>
      <c r="S1021" s="2" t="s">
        <v>51</v>
      </c>
    </row>
    <row r="1022" ht="15.75" customHeight="1">
      <c r="A1022" s="2" t="s">
        <v>5602</v>
      </c>
      <c r="B1022" s="2" t="s">
        <v>5603</v>
      </c>
      <c r="C1022" s="2" t="s">
        <v>5604</v>
      </c>
      <c r="D1022" s="2" t="s">
        <v>5605</v>
      </c>
      <c r="E1022" s="2" t="s">
        <v>5606</v>
      </c>
      <c r="F1022" s="2" t="s">
        <v>5607</v>
      </c>
      <c r="G1022" s="2" t="s">
        <v>671</v>
      </c>
      <c r="H1022" s="2" t="s">
        <v>152</v>
      </c>
      <c r="I1022" s="2" t="s">
        <v>870</v>
      </c>
      <c r="J1022" s="2" t="s">
        <v>449</v>
      </c>
      <c r="K1022" s="2" t="s">
        <v>450</v>
      </c>
      <c r="L1022" s="2" t="s">
        <v>315</v>
      </c>
      <c r="M1022" s="2">
        <v>28.51</v>
      </c>
      <c r="N1022" s="2">
        <v>2.0</v>
      </c>
      <c r="O1022" s="2" t="s">
        <v>5608</v>
      </c>
      <c r="P1022" s="2" t="s">
        <v>32</v>
      </c>
      <c r="Q1022" s="2" t="s">
        <v>305</v>
      </c>
      <c r="R1022" s="2" t="s">
        <v>818</v>
      </c>
    </row>
    <row r="1023" ht="15.75" customHeight="1">
      <c r="A1023" s="2" t="s">
        <v>5609</v>
      </c>
      <c r="B1023" s="2" t="s">
        <v>5610</v>
      </c>
      <c r="C1023" s="2" t="s">
        <v>615</v>
      </c>
      <c r="D1023" s="2" t="s">
        <v>616</v>
      </c>
      <c r="E1023" s="2" t="s">
        <v>617</v>
      </c>
      <c r="F1023" s="2" t="s">
        <v>618</v>
      </c>
      <c r="G1023" s="2" t="s">
        <v>73</v>
      </c>
      <c r="H1023" s="2" t="s">
        <v>115</v>
      </c>
      <c r="I1023" s="2" t="s">
        <v>103</v>
      </c>
      <c r="J1023" s="2" t="s">
        <v>635</v>
      </c>
      <c r="K1023" s="2" t="s">
        <v>636</v>
      </c>
      <c r="L1023" s="2" t="s">
        <v>637</v>
      </c>
      <c r="M1023" s="2">
        <v>692.53</v>
      </c>
      <c r="N1023" s="2">
        <v>1.0</v>
      </c>
      <c r="O1023" s="2" t="s">
        <v>5611</v>
      </c>
      <c r="P1023" s="2" t="s">
        <v>95</v>
      </c>
      <c r="Q1023" s="2" t="s">
        <v>526</v>
      </c>
      <c r="R1023" s="2" t="s">
        <v>120</v>
      </c>
      <c r="S1023" s="2" t="s">
        <v>51</v>
      </c>
    </row>
    <row r="1024" ht="15.75" customHeight="1">
      <c r="A1024" s="2" t="s">
        <v>5612</v>
      </c>
      <c r="B1024" s="2" t="s">
        <v>5613</v>
      </c>
      <c r="C1024" s="2" t="s">
        <v>1020</v>
      </c>
      <c r="D1024" s="2" t="s">
        <v>1021</v>
      </c>
      <c r="E1024" s="2" t="s">
        <v>1022</v>
      </c>
      <c r="F1024" s="2" t="s">
        <v>1023</v>
      </c>
      <c r="G1024" s="2" t="s">
        <v>88</v>
      </c>
      <c r="H1024" s="2" t="s">
        <v>5614</v>
      </c>
      <c r="I1024" s="2" t="s">
        <v>176</v>
      </c>
      <c r="J1024" s="2" t="s">
        <v>599</v>
      </c>
      <c r="K1024" s="2" t="s">
        <v>600</v>
      </c>
      <c r="L1024" s="2" t="s">
        <v>167</v>
      </c>
      <c r="M1024" s="2">
        <v>1427.72</v>
      </c>
      <c r="N1024" s="2">
        <v>1.0</v>
      </c>
      <c r="O1024" s="2" t="s">
        <v>5615</v>
      </c>
      <c r="P1024" s="2" t="s">
        <v>95</v>
      </c>
      <c r="Q1024" s="2" t="s">
        <v>305</v>
      </c>
      <c r="R1024" s="2" t="s">
        <v>80</v>
      </c>
      <c r="S1024" s="2" t="s">
        <v>67</v>
      </c>
    </row>
    <row r="1025" ht="15.75" customHeight="1">
      <c r="A1025" s="2" t="s">
        <v>5616</v>
      </c>
      <c r="B1025" s="2" t="s">
        <v>5617</v>
      </c>
      <c r="C1025" s="2" t="s">
        <v>5618</v>
      </c>
      <c r="D1025" s="2" t="s">
        <v>2452</v>
      </c>
      <c r="E1025" s="2" t="s">
        <v>5619</v>
      </c>
      <c r="F1025" s="2" t="s">
        <v>5620</v>
      </c>
      <c r="G1025" s="2" t="s">
        <v>199</v>
      </c>
      <c r="H1025" s="2" t="s">
        <v>115</v>
      </c>
      <c r="I1025" s="2" t="s">
        <v>90</v>
      </c>
      <c r="J1025" s="2" t="s">
        <v>1849</v>
      </c>
      <c r="K1025" s="2" t="s">
        <v>403</v>
      </c>
      <c r="L1025" s="2" t="s">
        <v>248</v>
      </c>
      <c r="M1025" s="2">
        <v>170.29</v>
      </c>
      <c r="N1025" s="2">
        <v>2.0</v>
      </c>
      <c r="O1025" s="2" t="s">
        <v>5621</v>
      </c>
      <c r="P1025" s="2" t="s">
        <v>48</v>
      </c>
      <c r="Q1025" s="2" t="s">
        <v>573</v>
      </c>
      <c r="R1025" s="2" t="s">
        <v>1312</v>
      </c>
      <c r="S1025" s="2" t="s">
        <v>133</v>
      </c>
    </row>
    <row r="1026" ht="15.75" customHeight="1">
      <c r="A1026" s="2" t="s">
        <v>5622</v>
      </c>
      <c r="B1026" s="2" t="s">
        <v>5623</v>
      </c>
      <c r="C1026" s="2" t="s">
        <v>539</v>
      </c>
      <c r="D1026" s="2" t="s">
        <v>540</v>
      </c>
      <c r="E1026" s="2" t="s">
        <v>541</v>
      </c>
      <c r="F1026" s="2" t="s">
        <v>2069</v>
      </c>
      <c r="G1026" s="2" t="s">
        <v>41</v>
      </c>
      <c r="H1026" s="2" t="s">
        <v>400</v>
      </c>
      <c r="I1026" s="2" t="s">
        <v>103</v>
      </c>
      <c r="J1026" s="2" t="s">
        <v>166</v>
      </c>
      <c r="K1026" s="2" t="s">
        <v>118</v>
      </c>
      <c r="L1026" s="2" t="s">
        <v>167</v>
      </c>
      <c r="N1026" s="2">
        <v>3.0</v>
      </c>
      <c r="O1026" s="2" t="s">
        <v>5624</v>
      </c>
      <c r="P1026" s="2" t="s">
        <v>48</v>
      </c>
      <c r="Q1026" s="2" t="s">
        <v>181</v>
      </c>
      <c r="R1026" s="2" t="s">
        <v>294</v>
      </c>
    </row>
    <row r="1027" ht="15.75" customHeight="1">
      <c r="A1027" s="2" t="s">
        <v>5625</v>
      </c>
      <c r="B1027" s="2" t="s">
        <v>5626</v>
      </c>
      <c r="C1027" s="2" t="s">
        <v>5627</v>
      </c>
      <c r="D1027" s="2" t="s">
        <v>5628</v>
      </c>
      <c r="E1027" s="2" t="s">
        <v>5629</v>
      </c>
      <c r="F1027" s="2" t="s">
        <v>5630</v>
      </c>
      <c r="G1027" s="2" t="s">
        <v>801</v>
      </c>
      <c r="H1027" s="2" t="s">
        <v>5631</v>
      </c>
      <c r="I1027" s="2" t="s">
        <v>312</v>
      </c>
      <c r="J1027" s="2" t="s">
        <v>2605</v>
      </c>
      <c r="K1027" s="2" t="s">
        <v>2606</v>
      </c>
      <c r="L1027" s="2" t="s">
        <v>292</v>
      </c>
      <c r="N1027" s="2">
        <v>2.0</v>
      </c>
      <c r="O1027" s="2" t="s">
        <v>5632</v>
      </c>
      <c r="P1027" s="2" t="s">
        <v>65</v>
      </c>
      <c r="Q1027" s="2" t="s">
        <v>143</v>
      </c>
      <c r="R1027" s="2" t="s">
        <v>818</v>
      </c>
    </row>
    <row r="1028" ht="15.75" customHeight="1">
      <c r="A1028" s="2" t="s">
        <v>5633</v>
      </c>
      <c r="B1028" s="2" t="s">
        <v>5634</v>
      </c>
      <c r="C1028" s="2" t="s">
        <v>657</v>
      </c>
      <c r="D1028" s="2" t="s">
        <v>658</v>
      </c>
      <c r="E1028" s="2" t="s">
        <v>659</v>
      </c>
      <c r="F1028" s="2" t="s">
        <v>660</v>
      </c>
      <c r="G1028" s="2" t="s">
        <v>88</v>
      </c>
      <c r="H1028" s="2" t="s">
        <v>400</v>
      </c>
      <c r="I1028" s="2" t="s">
        <v>401</v>
      </c>
      <c r="J1028" s="2" t="s">
        <v>976</v>
      </c>
      <c r="K1028" s="2" t="s">
        <v>335</v>
      </c>
      <c r="L1028" s="2" t="s">
        <v>214</v>
      </c>
      <c r="M1028" s="2">
        <v>1485.12</v>
      </c>
      <c r="N1028" s="2">
        <v>1.0</v>
      </c>
      <c r="O1028" s="2" t="s">
        <v>5635</v>
      </c>
      <c r="P1028" s="2" t="s">
        <v>48</v>
      </c>
      <c r="Q1028" s="2" t="s">
        <v>181</v>
      </c>
      <c r="R1028" s="2" t="s">
        <v>818</v>
      </c>
      <c r="S1028" s="2" t="s">
        <v>67</v>
      </c>
    </row>
    <row r="1029" ht="15.75" customHeight="1">
      <c r="A1029" s="2" t="s">
        <v>5636</v>
      </c>
      <c r="B1029" s="2" t="s">
        <v>5637</v>
      </c>
      <c r="C1029" s="2" t="s">
        <v>5638</v>
      </c>
      <c r="D1029" s="2" t="s">
        <v>1324</v>
      </c>
      <c r="E1029" s="2" t="s">
        <v>5639</v>
      </c>
      <c r="G1029" s="2" t="s">
        <v>1078</v>
      </c>
      <c r="H1029" s="2" t="s">
        <v>223</v>
      </c>
      <c r="I1029" s="2" t="s">
        <v>43</v>
      </c>
      <c r="J1029" s="2" t="s">
        <v>1748</v>
      </c>
      <c r="K1029" s="2" t="s">
        <v>1110</v>
      </c>
      <c r="L1029" s="2" t="s">
        <v>315</v>
      </c>
      <c r="M1029" s="2">
        <v>799.08</v>
      </c>
      <c r="N1029" s="2">
        <v>5.0</v>
      </c>
      <c r="O1029" s="2" t="s">
        <v>5640</v>
      </c>
      <c r="P1029" s="2" t="s">
        <v>32</v>
      </c>
      <c r="Q1029" s="2" t="s">
        <v>664</v>
      </c>
      <c r="R1029" s="2" t="s">
        <v>306</v>
      </c>
      <c r="S1029" s="2" t="s">
        <v>67</v>
      </c>
    </row>
    <row r="1030" ht="15.75" customHeight="1">
      <c r="A1030" s="2" t="s">
        <v>5641</v>
      </c>
      <c r="B1030" s="2" t="s">
        <v>5642</v>
      </c>
      <c r="C1030" s="2" t="s">
        <v>2648</v>
      </c>
      <c r="D1030" s="2" t="s">
        <v>2649</v>
      </c>
      <c r="E1030" s="2" t="s">
        <v>2650</v>
      </c>
      <c r="F1030" s="2" t="s">
        <v>2651</v>
      </c>
      <c r="G1030" s="2" t="s">
        <v>25</v>
      </c>
      <c r="H1030" s="2" t="s">
        <v>26</v>
      </c>
      <c r="I1030" s="2" t="s">
        <v>176</v>
      </c>
      <c r="J1030" s="2" t="s">
        <v>4784</v>
      </c>
      <c r="K1030" s="2" t="s">
        <v>2322</v>
      </c>
      <c r="L1030" s="2" t="s">
        <v>167</v>
      </c>
      <c r="M1030" s="2">
        <v>928.39</v>
      </c>
      <c r="N1030" s="2">
        <v>1.0</v>
      </c>
      <c r="O1030" s="2" t="s">
        <v>5643</v>
      </c>
      <c r="P1030" s="2" t="s">
        <v>95</v>
      </c>
      <c r="Q1030" s="2" t="s">
        <v>49</v>
      </c>
      <c r="R1030" s="2" t="s">
        <v>345</v>
      </c>
    </row>
    <row r="1031" ht="15.75" customHeight="1">
      <c r="A1031" s="2" t="s">
        <v>5644</v>
      </c>
      <c r="B1031" s="2" t="s">
        <v>5645</v>
      </c>
      <c r="C1031" s="2" t="s">
        <v>5646</v>
      </c>
      <c r="D1031" s="2" t="s">
        <v>5647</v>
      </c>
      <c r="G1031" s="2" t="s">
        <v>801</v>
      </c>
      <c r="H1031" s="2" t="s">
        <v>234</v>
      </c>
      <c r="I1031" s="2" t="s">
        <v>103</v>
      </c>
      <c r="J1031" s="2" t="s">
        <v>28</v>
      </c>
      <c r="K1031" s="2" t="s">
        <v>29</v>
      </c>
      <c r="L1031" s="2" t="s">
        <v>30</v>
      </c>
      <c r="M1031" s="2">
        <v>1349.4</v>
      </c>
      <c r="N1031" s="2">
        <v>1.0</v>
      </c>
      <c r="O1031" s="2" t="s">
        <v>5648</v>
      </c>
      <c r="P1031" s="2" t="s">
        <v>95</v>
      </c>
      <c r="Q1031" s="2" t="s">
        <v>573</v>
      </c>
      <c r="R1031" s="2" t="s">
        <v>5649</v>
      </c>
      <c r="S1031" s="2" t="s">
        <v>81</v>
      </c>
    </row>
    <row r="1032" ht="15.75" customHeight="1">
      <c r="A1032" s="2" t="s">
        <v>5650</v>
      </c>
      <c r="B1032" s="2" t="s">
        <v>5651</v>
      </c>
      <c r="C1032" s="2" t="s">
        <v>5652</v>
      </c>
      <c r="D1032" s="2" t="s">
        <v>5653</v>
      </c>
      <c r="E1032" s="2" t="s">
        <v>5654</v>
      </c>
      <c r="F1032" s="2" t="s">
        <v>5655</v>
      </c>
      <c r="G1032" s="2" t="s">
        <v>671</v>
      </c>
      <c r="H1032" s="2" t="s">
        <v>74</v>
      </c>
      <c r="I1032" s="2" t="s">
        <v>1245</v>
      </c>
      <c r="J1032" s="2" t="s">
        <v>2483</v>
      </c>
      <c r="K1032" s="2" t="s">
        <v>1530</v>
      </c>
      <c r="L1032" s="2" t="s">
        <v>503</v>
      </c>
      <c r="M1032" s="2">
        <v>598.03</v>
      </c>
      <c r="N1032" s="2">
        <v>1.0</v>
      </c>
      <c r="O1032" s="2" t="s">
        <v>5656</v>
      </c>
      <c r="P1032" s="2" t="s">
        <v>48</v>
      </c>
      <c r="Q1032" s="2" t="s">
        <v>143</v>
      </c>
      <c r="R1032" s="2" t="s">
        <v>818</v>
      </c>
      <c r="S1032" s="2" t="s">
        <v>67</v>
      </c>
    </row>
    <row r="1033" ht="15.75" customHeight="1">
      <c r="A1033" s="2" t="s">
        <v>5657</v>
      </c>
      <c r="B1033" s="2" t="s">
        <v>5658</v>
      </c>
      <c r="C1033" s="2" t="s">
        <v>5659</v>
      </c>
      <c r="D1033" s="2" t="s">
        <v>5660</v>
      </c>
      <c r="E1033" s="2" t="s">
        <v>5661</v>
      </c>
      <c r="F1033" s="2" t="s">
        <v>5662</v>
      </c>
      <c r="G1033" s="2" t="s">
        <v>199</v>
      </c>
      <c r="H1033" s="2" t="s">
        <v>802</v>
      </c>
      <c r="I1033" s="2" t="s">
        <v>103</v>
      </c>
      <c r="J1033" s="2" t="s">
        <v>2240</v>
      </c>
      <c r="K1033" s="2" t="s">
        <v>712</v>
      </c>
      <c r="L1033" s="2" t="s">
        <v>742</v>
      </c>
      <c r="M1033" s="2">
        <v>1726.06</v>
      </c>
      <c r="N1033" s="2">
        <v>1.0</v>
      </c>
      <c r="O1033" s="2" t="s">
        <v>5663</v>
      </c>
      <c r="P1033" s="2" t="s">
        <v>95</v>
      </c>
      <c r="Q1033" s="2" t="s">
        <v>204</v>
      </c>
      <c r="R1033" s="2" t="s">
        <v>345</v>
      </c>
      <c r="S1033" s="2" t="s">
        <v>81</v>
      </c>
    </row>
    <row r="1034" ht="15.75" customHeight="1">
      <c r="A1034" s="2" t="s">
        <v>5664</v>
      </c>
      <c r="B1034" s="2" t="s">
        <v>5665</v>
      </c>
      <c r="C1034" s="2" t="s">
        <v>1557</v>
      </c>
      <c r="D1034" s="2" t="s">
        <v>1558</v>
      </c>
      <c r="E1034" s="2" t="s">
        <v>1559</v>
      </c>
      <c r="F1034" s="2" t="s">
        <v>1560</v>
      </c>
      <c r="G1034" s="2" t="s">
        <v>114</v>
      </c>
      <c r="H1034" s="2" t="s">
        <v>59</v>
      </c>
      <c r="I1034" s="2" t="s">
        <v>500</v>
      </c>
      <c r="J1034" s="2" t="s">
        <v>740</v>
      </c>
      <c r="K1034" s="2" t="s">
        <v>741</v>
      </c>
      <c r="L1034" s="2" t="s">
        <v>742</v>
      </c>
      <c r="M1034" s="2">
        <v>1496.42</v>
      </c>
      <c r="N1034" s="2">
        <v>1.0</v>
      </c>
      <c r="O1034" s="2" t="s">
        <v>5666</v>
      </c>
      <c r="P1034" s="2" t="s">
        <v>95</v>
      </c>
      <c r="Q1034" s="2" t="s">
        <v>414</v>
      </c>
      <c r="R1034" s="2" t="s">
        <v>80</v>
      </c>
      <c r="S1034" s="2" t="s">
        <v>67</v>
      </c>
    </row>
    <row r="1035" ht="15.75" customHeight="1">
      <c r="A1035" s="2" t="s">
        <v>5667</v>
      </c>
      <c r="B1035" s="2" t="s">
        <v>5668</v>
      </c>
      <c r="C1035" s="2" t="s">
        <v>4108</v>
      </c>
      <c r="D1035" s="2" t="s">
        <v>4109</v>
      </c>
      <c r="E1035" s="2" t="s">
        <v>4110</v>
      </c>
      <c r="F1035" s="2" t="s">
        <v>4111</v>
      </c>
      <c r="G1035" s="2" t="s">
        <v>151</v>
      </c>
      <c r="H1035" s="2" t="s">
        <v>460</v>
      </c>
      <c r="I1035" s="2" t="s">
        <v>75</v>
      </c>
      <c r="J1035" s="2" t="s">
        <v>490</v>
      </c>
      <c r="K1035" s="2" t="s">
        <v>491</v>
      </c>
      <c r="L1035" s="2" t="s">
        <v>492</v>
      </c>
      <c r="N1035" s="2">
        <v>1.0</v>
      </c>
      <c r="P1035" s="2" t="s">
        <v>65</v>
      </c>
      <c r="Q1035" s="2" t="s">
        <v>414</v>
      </c>
      <c r="R1035" s="2" t="s">
        <v>144</v>
      </c>
      <c r="S1035" s="2" t="s">
        <v>51</v>
      </c>
    </row>
    <row r="1036" ht="15.75" customHeight="1">
      <c r="A1036" s="2" t="s">
        <v>1823</v>
      </c>
      <c r="B1036" s="2" t="s">
        <v>1824</v>
      </c>
      <c r="C1036" s="2" t="s">
        <v>1825</v>
      </c>
      <c r="D1036" s="2" t="s">
        <v>1826</v>
      </c>
      <c r="E1036" s="2" t="s">
        <v>1827</v>
      </c>
      <c r="F1036" s="2" t="s">
        <v>1828</v>
      </c>
      <c r="G1036" s="2" t="s">
        <v>88</v>
      </c>
      <c r="H1036" s="2" t="s">
        <v>1167</v>
      </c>
      <c r="I1036" s="2" t="s">
        <v>60</v>
      </c>
      <c r="J1036" s="2" t="s">
        <v>91</v>
      </c>
      <c r="K1036" s="2" t="s">
        <v>92</v>
      </c>
      <c r="L1036" s="2" t="s">
        <v>93</v>
      </c>
      <c r="M1036" s="2">
        <v>1551.02</v>
      </c>
      <c r="N1036" s="2">
        <v>5.0</v>
      </c>
      <c r="O1036" s="2" t="s">
        <v>1829</v>
      </c>
      <c r="P1036" s="2" t="s">
        <v>95</v>
      </c>
      <c r="Q1036" s="2" t="s">
        <v>370</v>
      </c>
      <c r="R1036" s="2" t="s">
        <v>294</v>
      </c>
      <c r="S1036" s="2" t="s">
        <v>67</v>
      </c>
    </row>
    <row r="1037" ht="15.75" customHeight="1">
      <c r="A1037" s="2" t="s">
        <v>5669</v>
      </c>
      <c r="B1037" s="2" t="s">
        <v>5670</v>
      </c>
      <c r="C1037" s="2" t="s">
        <v>5671</v>
      </c>
      <c r="D1037" s="2" t="s">
        <v>5672</v>
      </c>
      <c r="E1037" s="2" t="s">
        <v>5673</v>
      </c>
      <c r="F1037" s="2" t="s">
        <v>5674</v>
      </c>
      <c r="G1037" s="2" t="s">
        <v>671</v>
      </c>
      <c r="H1037" s="2" t="s">
        <v>42</v>
      </c>
      <c r="I1037" s="2" t="s">
        <v>5675</v>
      </c>
      <c r="J1037" s="2" t="s">
        <v>4048</v>
      </c>
      <c r="K1037" s="2" t="s">
        <v>4049</v>
      </c>
      <c r="L1037" s="2" t="s">
        <v>214</v>
      </c>
      <c r="N1037" s="2">
        <v>5.0</v>
      </c>
      <c r="O1037" s="2" t="s">
        <v>5676</v>
      </c>
      <c r="P1037" s="2" t="s">
        <v>65</v>
      </c>
      <c r="Q1037" s="2" t="s">
        <v>305</v>
      </c>
      <c r="R1037" s="2" t="s">
        <v>192</v>
      </c>
      <c r="S1037" s="2" t="s">
        <v>67</v>
      </c>
    </row>
    <row r="1038" ht="15.75" customHeight="1">
      <c r="A1038" s="2" t="s">
        <v>5677</v>
      </c>
      <c r="B1038" s="2" t="s">
        <v>5678</v>
      </c>
      <c r="C1038" s="2" t="s">
        <v>2310</v>
      </c>
      <c r="D1038" s="2" t="s">
        <v>2311</v>
      </c>
      <c r="E1038" s="2" t="s">
        <v>2312</v>
      </c>
      <c r="F1038" s="2" t="s">
        <v>2313</v>
      </c>
      <c r="G1038" s="2" t="s">
        <v>58</v>
      </c>
      <c r="H1038" s="2" t="s">
        <v>5614</v>
      </c>
      <c r="I1038" s="2" t="s">
        <v>103</v>
      </c>
      <c r="J1038" s="2" t="s">
        <v>599</v>
      </c>
      <c r="K1038" s="2" t="s">
        <v>600</v>
      </c>
      <c r="L1038" s="2" t="s">
        <v>167</v>
      </c>
      <c r="N1038" s="2">
        <v>1.0</v>
      </c>
      <c r="O1038" s="2" t="s">
        <v>5679</v>
      </c>
      <c r="P1038" s="2" t="s">
        <v>32</v>
      </c>
      <c r="Q1038" s="2" t="s">
        <v>49</v>
      </c>
      <c r="R1038" s="2" t="s">
        <v>144</v>
      </c>
    </row>
    <row r="1039" ht="15.75" customHeight="1">
      <c r="A1039" s="2" t="s">
        <v>5680</v>
      </c>
      <c r="B1039" s="2" t="s">
        <v>5681</v>
      </c>
      <c r="C1039" s="2" t="s">
        <v>4824</v>
      </c>
      <c r="D1039" s="2" t="s">
        <v>4825</v>
      </c>
      <c r="E1039" s="2" t="s">
        <v>4826</v>
      </c>
      <c r="F1039" s="2" t="s">
        <v>4827</v>
      </c>
      <c r="G1039" s="2" t="s">
        <v>1054</v>
      </c>
      <c r="H1039" s="2" t="s">
        <v>301</v>
      </c>
      <c r="I1039" s="2" t="s">
        <v>116</v>
      </c>
      <c r="J1039" s="2" t="s">
        <v>1302</v>
      </c>
      <c r="K1039" s="2" t="s">
        <v>1303</v>
      </c>
      <c r="L1039" s="2" t="s">
        <v>179</v>
      </c>
      <c r="M1039" s="2">
        <v>1130.6</v>
      </c>
      <c r="N1039" s="2">
        <v>1.0</v>
      </c>
      <c r="O1039" s="2" t="s">
        <v>5682</v>
      </c>
      <c r="P1039" s="2" t="s">
        <v>95</v>
      </c>
      <c r="Q1039" s="2" t="s">
        <v>370</v>
      </c>
      <c r="R1039" s="2" t="s">
        <v>294</v>
      </c>
      <c r="S1039" s="2" t="s">
        <v>81</v>
      </c>
    </row>
    <row r="1040" ht="15.75" customHeight="1">
      <c r="A1040" s="2" t="s">
        <v>5683</v>
      </c>
      <c r="B1040" s="2" t="s">
        <v>4854</v>
      </c>
      <c r="C1040" s="2" t="s">
        <v>657</v>
      </c>
      <c r="D1040" s="2" t="s">
        <v>658</v>
      </c>
      <c r="F1040" s="2" t="s">
        <v>660</v>
      </c>
      <c r="G1040" s="2" t="s">
        <v>88</v>
      </c>
      <c r="H1040" s="2" t="s">
        <v>26</v>
      </c>
      <c r="I1040" s="2" t="s">
        <v>43</v>
      </c>
      <c r="J1040" s="2" t="s">
        <v>1926</v>
      </c>
      <c r="K1040" s="2" t="s">
        <v>1927</v>
      </c>
      <c r="L1040" s="2" t="s">
        <v>63</v>
      </c>
      <c r="M1040" s="2">
        <v>445.13</v>
      </c>
      <c r="N1040" s="2">
        <v>1.0</v>
      </c>
      <c r="O1040" s="2" t="s">
        <v>5684</v>
      </c>
      <c r="P1040" s="2" t="s">
        <v>95</v>
      </c>
      <c r="Q1040" s="2" t="s">
        <v>131</v>
      </c>
      <c r="R1040" s="2" t="s">
        <v>442</v>
      </c>
    </row>
    <row r="1041" ht="15.75" customHeight="1">
      <c r="A1041" s="2" t="s">
        <v>5685</v>
      </c>
      <c r="B1041" s="2" t="s">
        <v>5686</v>
      </c>
      <c r="C1041" s="2" t="s">
        <v>2145</v>
      </c>
      <c r="D1041" s="2" t="s">
        <v>2146</v>
      </c>
      <c r="E1041" s="2" t="s">
        <v>2147</v>
      </c>
      <c r="F1041" s="2" t="s">
        <v>2148</v>
      </c>
      <c r="G1041" s="2" t="s">
        <v>199</v>
      </c>
      <c r="H1041" s="2" t="s">
        <v>74</v>
      </c>
      <c r="I1041" s="2" t="s">
        <v>5687</v>
      </c>
      <c r="J1041" s="2" t="s">
        <v>2417</v>
      </c>
      <c r="K1041" s="2" t="s">
        <v>225</v>
      </c>
      <c r="L1041" s="2" t="s">
        <v>503</v>
      </c>
      <c r="M1041" s="2">
        <v>1492.56</v>
      </c>
      <c r="N1041" s="2">
        <v>1.0</v>
      </c>
      <c r="O1041" s="2" t="s">
        <v>5688</v>
      </c>
      <c r="P1041" s="2" t="s">
        <v>48</v>
      </c>
      <c r="Q1041" s="2" t="s">
        <v>33</v>
      </c>
      <c r="R1041" s="2" t="s">
        <v>345</v>
      </c>
    </row>
    <row r="1042" ht="15.75" customHeight="1">
      <c r="A1042" s="2" t="s">
        <v>5689</v>
      </c>
      <c r="B1042" s="2" t="s">
        <v>5690</v>
      </c>
      <c r="C1042" s="2" t="s">
        <v>5691</v>
      </c>
      <c r="D1042" s="2" t="s">
        <v>5692</v>
      </c>
      <c r="E1042" s="2" t="s">
        <v>5693</v>
      </c>
      <c r="F1042" s="2" t="s">
        <v>5694</v>
      </c>
      <c r="G1042" s="2" t="s">
        <v>387</v>
      </c>
      <c r="H1042" s="2" t="s">
        <v>42</v>
      </c>
      <c r="I1042" s="2" t="s">
        <v>352</v>
      </c>
      <c r="J1042" s="2" t="s">
        <v>2539</v>
      </c>
      <c r="K1042" s="2" t="s">
        <v>403</v>
      </c>
      <c r="L1042" s="2" t="s">
        <v>1328</v>
      </c>
      <c r="M1042" s="2">
        <v>250.2</v>
      </c>
      <c r="N1042" s="2">
        <v>3.0</v>
      </c>
      <c r="O1042" s="2" t="s">
        <v>5695</v>
      </c>
      <c r="P1042" s="2" t="s">
        <v>32</v>
      </c>
      <c r="Q1042" s="2" t="s">
        <v>305</v>
      </c>
      <c r="R1042" s="2" t="s">
        <v>294</v>
      </c>
      <c r="S1042" s="2" t="s">
        <v>51</v>
      </c>
    </row>
    <row r="1043" ht="15.75" customHeight="1">
      <c r="A1043" s="2" t="s">
        <v>5696</v>
      </c>
      <c r="B1043" s="2" t="s">
        <v>5697</v>
      </c>
      <c r="C1043" s="2" t="s">
        <v>4612</v>
      </c>
      <c r="D1043" s="2" t="s">
        <v>4613</v>
      </c>
      <c r="E1043" s="2" t="s">
        <v>4614</v>
      </c>
      <c r="F1043" s="2" t="s">
        <v>4615</v>
      </c>
      <c r="G1043" s="2" t="s">
        <v>25</v>
      </c>
      <c r="H1043" s="2" t="s">
        <v>42</v>
      </c>
      <c r="I1043" s="2" t="s">
        <v>116</v>
      </c>
      <c r="J1043" s="2" t="s">
        <v>871</v>
      </c>
      <c r="K1043" s="2" t="s">
        <v>491</v>
      </c>
      <c r="L1043" s="2" t="s">
        <v>292</v>
      </c>
      <c r="M1043" s="2">
        <v>1765.37</v>
      </c>
      <c r="N1043" s="2">
        <v>5.0</v>
      </c>
      <c r="O1043" s="2" t="s">
        <v>5698</v>
      </c>
      <c r="P1043" s="2" t="s">
        <v>95</v>
      </c>
      <c r="Q1043" s="2" t="s">
        <v>143</v>
      </c>
      <c r="R1043" s="2" t="s">
        <v>251</v>
      </c>
      <c r="S1043" s="2" t="s">
        <v>133</v>
      </c>
    </row>
    <row r="1044" ht="15.75" customHeight="1">
      <c r="A1044" s="2" t="s">
        <v>5699</v>
      </c>
      <c r="B1044" s="2" t="s">
        <v>5700</v>
      </c>
      <c r="C1044" s="2" t="s">
        <v>752</v>
      </c>
      <c r="D1044" s="2" t="s">
        <v>753</v>
      </c>
      <c r="E1044" s="2" t="s">
        <v>754</v>
      </c>
      <c r="F1044" s="2" t="s">
        <v>755</v>
      </c>
      <c r="G1044" s="2" t="s">
        <v>58</v>
      </c>
      <c r="H1044" s="2" t="s">
        <v>152</v>
      </c>
      <c r="I1044" s="2" t="s">
        <v>43</v>
      </c>
      <c r="J1044" s="2" t="s">
        <v>2181</v>
      </c>
      <c r="K1044" s="2" t="s">
        <v>2182</v>
      </c>
      <c r="L1044" s="2" t="s">
        <v>179</v>
      </c>
      <c r="M1044" s="2">
        <v>1328.77</v>
      </c>
      <c r="N1044" s="2">
        <v>2.0</v>
      </c>
      <c r="O1044" s="2" t="s">
        <v>5701</v>
      </c>
      <c r="P1044" s="2" t="s">
        <v>32</v>
      </c>
      <c r="Q1044" s="2" t="s">
        <v>66</v>
      </c>
      <c r="R1044" s="2" t="s">
        <v>818</v>
      </c>
      <c r="S1044" s="2" t="s">
        <v>133</v>
      </c>
    </row>
    <row r="1045" ht="15.75" customHeight="1">
      <c r="A1045" s="2" t="s">
        <v>5702</v>
      </c>
      <c r="B1045" s="2" t="s">
        <v>5703</v>
      </c>
      <c r="C1045" s="2" t="s">
        <v>5704</v>
      </c>
      <c r="D1045" s="2" t="s">
        <v>3500</v>
      </c>
      <c r="E1045" s="2" t="s">
        <v>5705</v>
      </c>
      <c r="F1045" s="2" t="s">
        <v>5706</v>
      </c>
      <c r="G1045" s="2" t="s">
        <v>777</v>
      </c>
      <c r="H1045" s="2" t="s">
        <v>323</v>
      </c>
      <c r="I1045" s="2" t="s">
        <v>43</v>
      </c>
      <c r="J1045" s="2" t="s">
        <v>302</v>
      </c>
      <c r="K1045" s="2" t="s">
        <v>303</v>
      </c>
      <c r="L1045" s="2" t="s">
        <v>248</v>
      </c>
      <c r="M1045" s="2">
        <v>937.02</v>
      </c>
      <c r="N1045" s="2">
        <v>5.0</v>
      </c>
      <c r="O1045" s="2" t="s">
        <v>5707</v>
      </c>
      <c r="P1045" s="2" t="s">
        <v>32</v>
      </c>
      <c r="Q1045" s="2" t="s">
        <v>505</v>
      </c>
      <c r="R1045" s="2" t="s">
        <v>169</v>
      </c>
      <c r="S1045" s="2" t="s">
        <v>67</v>
      </c>
    </row>
    <row r="1046" ht="15.75" customHeight="1">
      <c r="A1046" s="2" t="s">
        <v>5708</v>
      </c>
      <c r="B1046" s="2" t="s">
        <v>5709</v>
      </c>
      <c r="C1046" s="2" t="s">
        <v>5710</v>
      </c>
      <c r="D1046" s="2" t="s">
        <v>5711</v>
      </c>
      <c r="E1046" s="2" t="s">
        <v>5712</v>
      </c>
      <c r="F1046" s="2" t="s">
        <v>5713</v>
      </c>
      <c r="G1046" s="2" t="s">
        <v>114</v>
      </c>
      <c r="H1046" s="2" t="s">
        <v>323</v>
      </c>
      <c r="I1046" s="2" t="s">
        <v>60</v>
      </c>
      <c r="J1046" s="2" t="s">
        <v>2680</v>
      </c>
      <c r="K1046" s="2" t="s">
        <v>303</v>
      </c>
      <c r="L1046" s="2" t="s">
        <v>2421</v>
      </c>
      <c r="M1046" s="2">
        <v>706.21</v>
      </c>
      <c r="N1046" s="2">
        <v>5.0</v>
      </c>
      <c r="O1046" s="2" t="s">
        <v>5714</v>
      </c>
      <c r="P1046" s="2" t="s">
        <v>48</v>
      </c>
      <c r="Q1046" s="2" t="s">
        <v>66</v>
      </c>
      <c r="R1046" s="2" t="s">
        <v>5715</v>
      </c>
    </row>
    <row r="1047" ht="15.75" customHeight="1">
      <c r="A1047" s="2" t="s">
        <v>5716</v>
      </c>
      <c r="B1047" s="2" t="s">
        <v>5717</v>
      </c>
      <c r="C1047" s="2" t="s">
        <v>3328</v>
      </c>
      <c r="D1047" s="2" t="s">
        <v>4880</v>
      </c>
      <c r="E1047" s="2" t="s">
        <v>4881</v>
      </c>
      <c r="F1047" s="2" t="s">
        <v>3330</v>
      </c>
      <c r="G1047" s="2" t="s">
        <v>3331</v>
      </c>
      <c r="H1047" s="2" t="s">
        <v>778</v>
      </c>
      <c r="I1047" s="2" t="s">
        <v>60</v>
      </c>
      <c r="J1047" s="2" t="s">
        <v>729</v>
      </c>
      <c r="K1047" s="2" t="s">
        <v>62</v>
      </c>
      <c r="L1047" s="2" t="s">
        <v>730</v>
      </c>
      <c r="M1047" s="2">
        <v>500.14</v>
      </c>
      <c r="N1047" s="2">
        <v>1.0</v>
      </c>
      <c r="O1047" s="2" t="s">
        <v>5718</v>
      </c>
      <c r="P1047" s="2" t="s">
        <v>2954</v>
      </c>
      <c r="Q1047" s="2" t="s">
        <v>181</v>
      </c>
      <c r="R1047" s="2" t="s">
        <v>80</v>
      </c>
    </row>
    <row r="1048" ht="15.75" customHeight="1">
      <c r="A1048" s="2" t="s">
        <v>5719</v>
      </c>
      <c r="B1048" s="2" t="s">
        <v>5720</v>
      </c>
      <c r="C1048" s="2" t="s">
        <v>3424</v>
      </c>
      <c r="D1048" s="2" t="s">
        <v>3425</v>
      </c>
      <c r="E1048" s="2" t="s">
        <v>3426</v>
      </c>
      <c r="F1048" s="2" t="s">
        <v>3427</v>
      </c>
      <c r="G1048" s="2" t="s">
        <v>3428</v>
      </c>
      <c r="H1048" s="2" t="s">
        <v>400</v>
      </c>
      <c r="I1048" s="2" t="s">
        <v>352</v>
      </c>
      <c r="J1048" s="2" t="s">
        <v>904</v>
      </c>
      <c r="K1048" s="2" t="s">
        <v>905</v>
      </c>
      <c r="L1048" s="2" t="s">
        <v>167</v>
      </c>
      <c r="M1048" s="2">
        <v>1563.55</v>
      </c>
      <c r="N1048" s="2">
        <v>1.0</v>
      </c>
      <c r="O1048" s="2" t="s">
        <v>5721</v>
      </c>
      <c r="P1048" s="2" t="s">
        <v>95</v>
      </c>
      <c r="Q1048" s="2" t="s">
        <v>379</v>
      </c>
      <c r="R1048" s="2" t="s">
        <v>80</v>
      </c>
    </row>
    <row r="1049" ht="15.75" customHeight="1">
      <c r="A1049" s="2" t="s">
        <v>5722</v>
      </c>
      <c r="B1049" s="2" t="s">
        <v>5723</v>
      </c>
      <c r="C1049" s="2" t="s">
        <v>3443</v>
      </c>
      <c r="D1049" s="2" t="s">
        <v>3444</v>
      </c>
      <c r="E1049" s="2" t="s">
        <v>3445</v>
      </c>
      <c r="F1049" s="2" t="s">
        <v>3446</v>
      </c>
      <c r="G1049" s="2" t="s">
        <v>3447</v>
      </c>
      <c r="H1049" s="2" t="s">
        <v>42</v>
      </c>
      <c r="I1049" s="2" t="s">
        <v>176</v>
      </c>
      <c r="J1049" s="2" t="s">
        <v>3582</v>
      </c>
      <c r="K1049" s="2" t="s">
        <v>3583</v>
      </c>
      <c r="L1049" s="2" t="s">
        <v>248</v>
      </c>
      <c r="M1049" s="2">
        <v>12.66</v>
      </c>
      <c r="N1049" s="2">
        <v>1.0</v>
      </c>
      <c r="O1049" s="2" t="s">
        <v>5724</v>
      </c>
      <c r="P1049" s="2" t="s">
        <v>65</v>
      </c>
      <c r="Q1049" s="2" t="s">
        <v>5725</v>
      </c>
      <c r="R1049" s="2" t="s">
        <v>380</v>
      </c>
      <c r="S1049" s="2" t="s">
        <v>67</v>
      </c>
    </row>
    <row r="1050" ht="15.75" customHeight="1">
      <c r="A1050" s="2" t="s">
        <v>5726</v>
      </c>
      <c r="B1050" s="2" t="s">
        <v>5727</v>
      </c>
      <c r="C1050" s="2" t="s">
        <v>4501</v>
      </c>
      <c r="D1050" s="2" t="s">
        <v>4502</v>
      </c>
      <c r="E1050" s="2" t="s">
        <v>4503</v>
      </c>
      <c r="G1050" s="2" t="s">
        <v>114</v>
      </c>
      <c r="H1050" s="2" t="s">
        <v>26</v>
      </c>
      <c r="I1050" s="2" t="s">
        <v>176</v>
      </c>
      <c r="J1050" s="2" t="s">
        <v>1856</v>
      </c>
      <c r="K1050" s="2" t="s">
        <v>118</v>
      </c>
      <c r="L1050" s="2" t="s">
        <v>167</v>
      </c>
      <c r="M1050" s="2">
        <v>796.82</v>
      </c>
      <c r="N1050" s="2">
        <v>5.0</v>
      </c>
      <c r="O1050" s="2" t="s">
        <v>5728</v>
      </c>
      <c r="P1050" s="2" t="s">
        <v>48</v>
      </c>
      <c r="Q1050" s="2" t="s">
        <v>143</v>
      </c>
      <c r="R1050" s="2" t="s">
        <v>818</v>
      </c>
      <c r="S1050" s="2" t="s">
        <v>81</v>
      </c>
    </row>
    <row r="1051" ht="15.75" customHeight="1">
      <c r="A1051" s="2" t="s">
        <v>5729</v>
      </c>
      <c r="B1051" s="2" t="s">
        <v>5730</v>
      </c>
      <c r="C1051" s="2" t="s">
        <v>1096</v>
      </c>
      <c r="D1051" s="2" t="s">
        <v>1097</v>
      </c>
      <c r="E1051" s="2" t="s">
        <v>1098</v>
      </c>
      <c r="G1051" s="2" t="s">
        <v>199</v>
      </c>
      <c r="H1051" s="2" t="s">
        <v>152</v>
      </c>
      <c r="I1051" s="2" t="s">
        <v>43</v>
      </c>
      <c r="J1051" s="2" t="s">
        <v>2012</v>
      </c>
      <c r="K1051" s="2" t="s">
        <v>741</v>
      </c>
      <c r="L1051" s="2" t="s">
        <v>514</v>
      </c>
      <c r="M1051" s="2">
        <v>1295.35</v>
      </c>
      <c r="N1051" s="2">
        <v>3.0</v>
      </c>
      <c r="O1051" s="2" t="s">
        <v>5731</v>
      </c>
      <c r="P1051" s="2" t="s">
        <v>48</v>
      </c>
      <c r="Q1051" s="2" t="s">
        <v>5284</v>
      </c>
      <c r="R1051" s="2" t="s">
        <v>144</v>
      </c>
      <c r="S1051" s="2" t="s">
        <v>51</v>
      </c>
    </row>
    <row r="1052" ht="15.75" customHeight="1">
      <c r="A1052" s="2" t="s">
        <v>5732</v>
      </c>
      <c r="B1052" s="2" t="s">
        <v>5733</v>
      </c>
      <c r="C1052" s="2" t="s">
        <v>5734</v>
      </c>
      <c r="D1052" s="2" t="s">
        <v>4419</v>
      </c>
      <c r="E1052" s="2" t="s">
        <v>5735</v>
      </c>
      <c r="F1052" s="2" t="s">
        <v>5736</v>
      </c>
      <c r="G1052" s="2" t="s">
        <v>5737</v>
      </c>
      <c r="H1052" s="2" t="s">
        <v>59</v>
      </c>
      <c r="I1052" s="2" t="s">
        <v>211</v>
      </c>
      <c r="J1052" s="2" t="s">
        <v>1575</v>
      </c>
      <c r="K1052" s="2" t="s">
        <v>1576</v>
      </c>
      <c r="L1052" s="2" t="s">
        <v>1577</v>
      </c>
      <c r="M1052" s="2">
        <v>1591.65</v>
      </c>
      <c r="N1052" s="2">
        <v>2.0</v>
      </c>
      <c r="O1052" s="2" t="s">
        <v>5738</v>
      </c>
      <c r="P1052" s="2" t="s">
        <v>32</v>
      </c>
      <c r="Q1052" s="2" t="s">
        <v>33</v>
      </c>
      <c r="R1052" s="2" t="s">
        <v>345</v>
      </c>
    </row>
    <row r="1053" ht="15.75" customHeight="1">
      <c r="A1053" s="2" t="s">
        <v>5739</v>
      </c>
      <c r="B1053" s="2" t="s">
        <v>5740</v>
      </c>
      <c r="C1053" s="2" t="s">
        <v>1703</v>
      </c>
      <c r="D1053" s="2" t="s">
        <v>1704</v>
      </c>
      <c r="E1053" s="2" t="s">
        <v>1705</v>
      </c>
      <c r="F1053" s="2" t="s">
        <v>1706</v>
      </c>
      <c r="G1053" s="2" t="s">
        <v>25</v>
      </c>
      <c r="H1053" s="2" t="s">
        <v>74</v>
      </c>
      <c r="I1053" s="2" t="s">
        <v>43</v>
      </c>
      <c r="J1053" s="2" t="s">
        <v>2680</v>
      </c>
      <c r="K1053" s="2" t="s">
        <v>303</v>
      </c>
      <c r="L1053" s="2" t="s">
        <v>2421</v>
      </c>
      <c r="N1053" s="2">
        <v>1.0</v>
      </c>
      <c r="P1053" s="2" t="s">
        <v>65</v>
      </c>
      <c r="Q1053" s="2" t="s">
        <v>414</v>
      </c>
      <c r="R1053" s="2" t="s">
        <v>132</v>
      </c>
      <c r="S1053" s="2" t="s">
        <v>133</v>
      </c>
    </row>
    <row r="1054" ht="15.75" customHeight="1">
      <c r="A1054" s="2" t="s">
        <v>5741</v>
      </c>
      <c r="B1054" s="2" t="s">
        <v>5742</v>
      </c>
      <c r="C1054" s="2" t="s">
        <v>2230</v>
      </c>
      <c r="D1054" s="2" t="s">
        <v>2231</v>
      </c>
      <c r="E1054" s="2" t="s">
        <v>2232</v>
      </c>
      <c r="G1054" s="2" t="s">
        <v>720</v>
      </c>
      <c r="H1054" s="2" t="s">
        <v>683</v>
      </c>
      <c r="I1054" s="2" t="s">
        <v>512</v>
      </c>
      <c r="J1054" s="2" t="s">
        <v>939</v>
      </c>
      <c r="K1054" s="2" t="s">
        <v>940</v>
      </c>
      <c r="L1054" s="2" t="s">
        <v>941</v>
      </c>
      <c r="N1054" s="2">
        <v>2.0</v>
      </c>
      <c r="O1054" s="2" t="s">
        <v>5743</v>
      </c>
      <c r="P1054" s="2" t="s">
        <v>32</v>
      </c>
      <c r="Q1054" s="2" t="s">
        <v>66</v>
      </c>
      <c r="R1054" s="2" t="s">
        <v>294</v>
      </c>
    </row>
    <row r="1055" ht="15.75" customHeight="1">
      <c r="A1055" s="2" t="s">
        <v>5744</v>
      </c>
      <c r="B1055" s="2" t="s">
        <v>466</v>
      </c>
      <c r="C1055" s="2" t="s">
        <v>5745</v>
      </c>
      <c r="D1055" s="2" t="s">
        <v>5746</v>
      </c>
      <c r="E1055" s="2" t="s">
        <v>5747</v>
      </c>
      <c r="F1055" s="2" t="s">
        <v>5748</v>
      </c>
      <c r="G1055" s="2" t="s">
        <v>41</v>
      </c>
      <c r="H1055" s="2" t="s">
        <v>234</v>
      </c>
      <c r="I1055" s="2" t="s">
        <v>103</v>
      </c>
      <c r="J1055" s="2" t="s">
        <v>2420</v>
      </c>
      <c r="K1055" s="2" t="s">
        <v>462</v>
      </c>
      <c r="L1055" s="2" t="s">
        <v>2421</v>
      </c>
      <c r="N1055" s="2">
        <v>5.0</v>
      </c>
      <c r="O1055" s="2" t="s">
        <v>5749</v>
      </c>
      <c r="P1055" s="2" t="s">
        <v>95</v>
      </c>
      <c r="Q1055" s="2" t="s">
        <v>370</v>
      </c>
      <c r="R1055" s="2" t="s">
        <v>818</v>
      </c>
    </row>
    <row r="1056" ht="15.75" customHeight="1">
      <c r="A1056" s="2" t="s">
        <v>5750</v>
      </c>
      <c r="B1056" s="2" t="s">
        <v>5751</v>
      </c>
      <c r="C1056" s="2" t="s">
        <v>1104</v>
      </c>
      <c r="D1056" s="2" t="s">
        <v>1105</v>
      </c>
      <c r="E1056" s="2" t="s">
        <v>1106</v>
      </c>
      <c r="F1056" s="2" t="s">
        <v>1107</v>
      </c>
      <c r="G1056" s="2" t="s">
        <v>1078</v>
      </c>
      <c r="H1056" s="2" t="s">
        <v>152</v>
      </c>
      <c r="I1056" s="2" t="s">
        <v>176</v>
      </c>
      <c r="J1056" s="2" t="s">
        <v>1476</v>
      </c>
      <c r="K1056" s="2" t="s">
        <v>1147</v>
      </c>
      <c r="L1056" s="2" t="s">
        <v>1477</v>
      </c>
      <c r="M1056" s="2">
        <v>1175.36</v>
      </c>
      <c r="N1056" s="2">
        <v>5.0</v>
      </c>
      <c r="O1056" s="2" t="s">
        <v>5752</v>
      </c>
      <c r="P1056" s="2" t="s">
        <v>95</v>
      </c>
      <c r="Q1056" s="2" t="s">
        <v>238</v>
      </c>
      <c r="R1056" s="2" t="s">
        <v>432</v>
      </c>
      <c r="S1056" s="2" t="s">
        <v>51</v>
      </c>
    </row>
    <row r="1057" ht="15.75" customHeight="1">
      <c r="A1057" s="2" t="s">
        <v>5753</v>
      </c>
      <c r="B1057" s="2" t="s">
        <v>5754</v>
      </c>
      <c r="C1057" s="2" t="s">
        <v>3335</v>
      </c>
      <c r="D1057" s="2" t="s">
        <v>3336</v>
      </c>
      <c r="E1057" s="2" t="s">
        <v>3337</v>
      </c>
      <c r="F1057" s="2" t="s">
        <v>3338</v>
      </c>
      <c r="G1057" s="2" t="s">
        <v>548</v>
      </c>
      <c r="H1057" s="2" t="s">
        <v>778</v>
      </c>
      <c r="I1057" s="2" t="s">
        <v>352</v>
      </c>
      <c r="J1057" s="2" t="s">
        <v>3582</v>
      </c>
      <c r="K1057" s="2" t="s">
        <v>3583</v>
      </c>
      <c r="L1057" s="2" t="s">
        <v>248</v>
      </c>
      <c r="N1057" s="2">
        <v>5.0</v>
      </c>
      <c r="O1057" s="2" t="s">
        <v>5755</v>
      </c>
      <c r="P1057" s="2" t="s">
        <v>65</v>
      </c>
      <c r="Q1057" s="2" t="s">
        <v>181</v>
      </c>
      <c r="R1057" s="2" t="s">
        <v>132</v>
      </c>
    </row>
    <row r="1058" ht="15.75" customHeight="1">
      <c r="A1058" s="2" t="s">
        <v>5756</v>
      </c>
      <c r="B1058" s="2" t="s">
        <v>5757</v>
      </c>
      <c r="C1058" s="2" t="s">
        <v>5758</v>
      </c>
      <c r="D1058" s="2" t="s">
        <v>5759</v>
      </c>
      <c r="E1058" s="2" t="s">
        <v>5760</v>
      </c>
      <c r="F1058" s="2" t="s">
        <v>5761</v>
      </c>
      <c r="G1058" s="2" t="s">
        <v>58</v>
      </c>
      <c r="H1058" s="2" t="s">
        <v>301</v>
      </c>
      <c r="I1058" s="2" t="s">
        <v>312</v>
      </c>
      <c r="J1058" s="2" t="s">
        <v>2240</v>
      </c>
      <c r="K1058" s="2" t="s">
        <v>712</v>
      </c>
      <c r="L1058" s="2" t="s">
        <v>742</v>
      </c>
      <c r="M1058" s="2">
        <v>63.3</v>
      </c>
      <c r="N1058" s="2">
        <v>1.0</v>
      </c>
      <c r="O1058" s="2" t="s">
        <v>5762</v>
      </c>
      <c r="P1058" s="2" t="s">
        <v>32</v>
      </c>
      <c r="Q1058" s="2" t="s">
        <v>143</v>
      </c>
      <c r="R1058" s="2" t="s">
        <v>294</v>
      </c>
    </row>
    <row r="1059" ht="15.75" customHeight="1">
      <c r="A1059" s="2" t="s">
        <v>5763</v>
      </c>
      <c r="B1059" s="2" t="s">
        <v>5764</v>
      </c>
      <c r="C1059" s="2" t="s">
        <v>5765</v>
      </c>
      <c r="D1059" s="2" t="s">
        <v>5766</v>
      </c>
      <c r="E1059" s="2" t="s">
        <v>5767</v>
      </c>
      <c r="F1059" s="2" t="s">
        <v>5768</v>
      </c>
      <c r="G1059" s="2" t="s">
        <v>564</v>
      </c>
      <c r="H1059" s="2" t="s">
        <v>59</v>
      </c>
      <c r="I1059" s="2" t="s">
        <v>333</v>
      </c>
      <c r="J1059" s="2" t="s">
        <v>2273</v>
      </c>
      <c r="K1059" s="2" t="s">
        <v>2274</v>
      </c>
      <c r="L1059" s="2" t="s">
        <v>1328</v>
      </c>
      <c r="M1059" s="2">
        <v>90.12</v>
      </c>
      <c r="N1059" s="2">
        <v>2.0</v>
      </c>
      <c r="O1059" s="2" t="s">
        <v>5769</v>
      </c>
      <c r="P1059" s="2" t="s">
        <v>95</v>
      </c>
      <c r="Q1059" s="2" t="s">
        <v>143</v>
      </c>
      <c r="R1059" s="2" t="s">
        <v>5770</v>
      </c>
    </row>
    <row r="1060" ht="15.75" customHeight="1">
      <c r="A1060" s="2" t="s">
        <v>5771</v>
      </c>
      <c r="B1060" s="2" t="s">
        <v>5772</v>
      </c>
      <c r="C1060" s="2" t="s">
        <v>5773</v>
      </c>
      <c r="D1060" s="2" t="s">
        <v>5774</v>
      </c>
      <c r="E1060" s="2" t="s">
        <v>5775</v>
      </c>
      <c r="G1060" s="2" t="s">
        <v>387</v>
      </c>
      <c r="H1060" s="2" t="s">
        <v>59</v>
      </c>
      <c r="I1060" s="2" t="s">
        <v>401</v>
      </c>
      <c r="J1060" s="2" t="s">
        <v>2024</v>
      </c>
      <c r="K1060" s="2" t="s">
        <v>2025</v>
      </c>
      <c r="L1060" s="2" t="s">
        <v>63</v>
      </c>
      <c r="N1060" s="2">
        <v>1.0</v>
      </c>
      <c r="O1060" s="2" t="s">
        <v>5776</v>
      </c>
      <c r="P1060" s="2" t="s">
        <v>5777</v>
      </c>
      <c r="Q1060" s="2" t="s">
        <v>96</v>
      </c>
      <c r="R1060" s="2" t="s">
        <v>818</v>
      </c>
    </row>
    <row r="1061" ht="15.75" customHeight="1">
      <c r="A1061" s="2" t="s">
        <v>5778</v>
      </c>
      <c r="B1061" s="2" t="s">
        <v>5779</v>
      </c>
      <c r="C1061" s="2" t="s">
        <v>37</v>
      </c>
      <c r="D1061" s="2" t="s">
        <v>38</v>
      </c>
      <c r="E1061" s="2" t="s">
        <v>39</v>
      </c>
      <c r="F1061" s="2" t="s">
        <v>40</v>
      </c>
      <c r="G1061" s="2" t="s">
        <v>41</v>
      </c>
      <c r="H1061" s="2" t="s">
        <v>115</v>
      </c>
      <c r="I1061" s="2" t="s">
        <v>480</v>
      </c>
      <c r="J1061" s="2" t="s">
        <v>76</v>
      </c>
      <c r="K1061" s="2" t="s">
        <v>77</v>
      </c>
      <c r="L1061" s="2" t="s">
        <v>78</v>
      </c>
      <c r="M1061" s="2">
        <v>868.12</v>
      </c>
      <c r="N1061" s="2">
        <v>2.0</v>
      </c>
      <c r="O1061" s="2" t="s">
        <v>5780</v>
      </c>
      <c r="P1061" s="2" t="s">
        <v>1180</v>
      </c>
      <c r="Q1061" s="2" t="s">
        <v>414</v>
      </c>
      <c r="R1061" s="2" t="s">
        <v>432</v>
      </c>
      <c r="S1061" s="2" t="s">
        <v>67</v>
      </c>
    </row>
    <row r="1062" ht="15.75" customHeight="1">
      <c r="A1062" s="2" t="s">
        <v>5781</v>
      </c>
      <c r="B1062" s="2" t="s">
        <v>5782</v>
      </c>
      <c r="C1062" s="2" t="s">
        <v>5783</v>
      </c>
      <c r="D1062" s="2" t="s">
        <v>5784</v>
      </c>
      <c r="E1062" s="2" t="s">
        <v>5785</v>
      </c>
      <c r="F1062" s="2" t="s">
        <v>5786</v>
      </c>
      <c r="G1062" s="2" t="s">
        <v>88</v>
      </c>
      <c r="H1062" s="2" t="s">
        <v>59</v>
      </c>
      <c r="I1062" s="2" t="s">
        <v>401</v>
      </c>
      <c r="J1062" s="2" t="s">
        <v>302</v>
      </c>
      <c r="K1062" s="2" t="s">
        <v>303</v>
      </c>
      <c r="L1062" s="2" t="s">
        <v>248</v>
      </c>
      <c r="N1062" s="2">
        <v>2.0</v>
      </c>
      <c r="O1062" s="2" t="s">
        <v>5787</v>
      </c>
      <c r="P1062" s="2" t="s">
        <v>48</v>
      </c>
      <c r="Q1062" s="2" t="s">
        <v>5788</v>
      </c>
      <c r="R1062" s="2" t="s">
        <v>80</v>
      </c>
    </row>
    <row r="1063" ht="15.75" customHeight="1">
      <c r="A1063" s="2" t="s">
        <v>5789</v>
      </c>
      <c r="B1063" s="2" t="s">
        <v>5790</v>
      </c>
      <c r="C1063" s="2" t="s">
        <v>2152</v>
      </c>
      <c r="D1063" s="2" t="s">
        <v>2153</v>
      </c>
      <c r="E1063" s="2" t="s">
        <v>2154</v>
      </c>
      <c r="F1063" s="2" t="s">
        <v>2155</v>
      </c>
      <c r="G1063" s="2" t="s">
        <v>114</v>
      </c>
      <c r="H1063" s="2" t="s">
        <v>460</v>
      </c>
      <c r="I1063" s="2" t="s">
        <v>116</v>
      </c>
      <c r="J1063" s="2" t="s">
        <v>104</v>
      </c>
      <c r="K1063" s="2" t="s">
        <v>105</v>
      </c>
      <c r="L1063" s="2" t="s">
        <v>106</v>
      </c>
      <c r="M1063" s="2">
        <v>993.27</v>
      </c>
      <c r="N1063" s="2">
        <v>1.0</v>
      </c>
      <c r="O1063" s="2" t="s">
        <v>5791</v>
      </c>
      <c r="P1063" s="2" t="s">
        <v>32</v>
      </c>
      <c r="Q1063" s="2" t="s">
        <v>181</v>
      </c>
      <c r="R1063" s="2" t="s">
        <v>432</v>
      </c>
      <c r="S1063" s="2" t="s">
        <v>67</v>
      </c>
    </row>
    <row r="1064" ht="15.75" customHeight="1">
      <c r="A1064" s="2" t="s">
        <v>5792</v>
      </c>
      <c r="B1064" s="2" t="s">
        <v>5793</v>
      </c>
      <c r="C1064" s="2" t="s">
        <v>3299</v>
      </c>
      <c r="D1064" s="2" t="s">
        <v>3300</v>
      </c>
      <c r="E1064" s="2" t="s">
        <v>3301</v>
      </c>
      <c r="F1064" s="2" t="s">
        <v>3302</v>
      </c>
      <c r="G1064" s="2" t="s">
        <v>608</v>
      </c>
      <c r="H1064" s="2" t="s">
        <v>234</v>
      </c>
      <c r="I1064" s="2" t="s">
        <v>480</v>
      </c>
      <c r="J1064" s="2" t="s">
        <v>1211</v>
      </c>
      <c r="K1064" s="2" t="s">
        <v>1212</v>
      </c>
      <c r="L1064" s="2" t="s">
        <v>63</v>
      </c>
      <c r="N1064" s="2">
        <v>2.0</v>
      </c>
      <c r="O1064" s="2" t="s">
        <v>5794</v>
      </c>
      <c r="P1064" s="2" t="s">
        <v>65</v>
      </c>
      <c r="Q1064" s="2" t="s">
        <v>143</v>
      </c>
      <c r="R1064" s="2" t="s">
        <v>442</v>
      </c>
      <c r="S1064" s="2" t="s">
        <v>81</v>
      </c>
    </row>
    <row r="1065" ht="15.75" customHeight="1">
      <c r="A1065" s="2" t="s">
        <v>5795</v>
      </c>
      <c r="B1065" s="2" t="s">
        <v>5796</v>
      </c>
      <c r="C1065" s="2" t="s">
        <v>5797</v>
      </c>
      <c r="D1065" s="2" t="s">
        <v>5798</v>
      </c>
      <c r="E1065" s="2" t="s">
        <v>5799</v>
      </c>
      <c r="F1065" s="2" t="s">
        <v>5800</v>
      </c>
      <c r="G1065" s="2" t="s">
        <v>720</v>
      </c>
      <c r="H1065" s="2" t="s">
        <v>26</v>
      </c>
      <c r="I1065" s="2" t="s">
        <v>4199</v>
      </c>
      <c r="J1065" s="2" t="s">
        <v>127</v>
      </c>
      <c r="K1065" s="2" t="s">
        <v>128</v>
      </c>
      <c r="L1065" s="2" t="s">
        <v>129</v>
      </c>
      <c r="M1065" s="2">
        <v>457.59</v>
      </c>
      <c r="N1065" s="2">
        <v>3.0</v>
      </c>
      <c r="O1065" s="2" t="s">
        <v>5801</v>
      </c>
      <c r="P1065" s="2" t="s">
        <v>48</v>
      </c>
      <c r="Q1065" s="2" t="s">
        <v>526</v>
      </c>
      <c r="R1065" s="2" t="s">
        <v>132</v>
      </c>
      <c r="S1065" s="2" t="s">
        <v>51</v>
      </c>
    </row>
    <row r="1066" ht="15.75" customHeight="1">
      <c r="A1066" s="2" t="s">
        <v>5802</v>
      </c>
      <c r="B1066" s="2" t="s">
        <v>5803</v>
      </c>
      <c r="C1066" s="2" t="s">
        <v>3765</v>
      </c>
      <c r="D1066" s="2" t="s">
        <v>708</v>
      </c>
      <c r="F1066" s="2" t="s">
        <v>3767</v>
      </c>
      <c r="G1066" s="2" t="s">
        <v>2110</v>
      </c>
      <c r="H1066" s="2" t="s">
        <v>115</v>
      </c>
      <c r="I1066" s="2" t="s">
        <v>512</v>
      </c>
      <c r="J1066" s="2" t="s">
        <v>1327</v>
      </c>
      <c r="K1066" s="2" t="s">
        <v>291</v>
      </c>
      <c r="L1066" s="2" t="s">
        <v>1328</v>
      </c>
      <c r="N1066" s="2">
        <v>2.0</v>
      </c>
      <c r="O1066" s="2" t="s">
        <v>5804</v>
      </c>
      <c r="P1066" s="2" t="s">
        <v>32</v>
      </c>
      <c r="Q1066" s="2" t="s">
        <v>33</v>
      </c>
      <c r="R1066" s="2" t="s">
        <v>2400</v>
      </c>
      <c r="S1066" s="2" t="s">
        <v>51</v>
      </c>
    </row>
    <row r="1067" ht="15.75" customHeight="1">
      <c r="A1067" s="2" t="s">
        <v>5805</v>
      </c>
      <c r="B1067" s="2" t="s">
        <v>2821</v>
      </c>
      <c r="C1067" s="2" t="s">
        <v>348</v>
      </c>
      <c r="D1067" s="2" t="s">
        <v>349</v>
      </c>
      <c r="E1067" s="2" t="s">
        <v>350</v>
      </c>
      <c r="F1067" s="2" t="s">
        <v>351</v>
      </c>
      <c r="G1067" s="2" t="s">
        <v>25</v>
      </c>
      <c r="H1067" s="2" t="s">
        <v>223</v>
      </c>
      <c r="I1067" s="2" t="s">
        <v>60</v>
      </c>
      <c r="J1067" s="2" t="s">
        <v>2033</v>
      </c>
      <c r="K1067" s="2" t="s">
        <v>2034</v>
      </c>
      <c r="L1067" s="2" t="s">
        <v>1016</v>
      </c>
      <c r="N1067" s="2">
        <v>2.0</v>
      </c>
      <c r="O1067" s="2" t="s">
        <v>5806</v>
      </c>
      <c r="P1067" s="2" t="s">
        <v>48</v>
      </c>
      <c r="Q1067" s="2" t="s">
        <v>143</v>
      </c>
      <c r="R1067" s="2" t="s">
        <v>294</v>
      </c>
    </row>
    <row r="1068" ht="15.75" customHeight="1">
      <c r="A1068" s="2" t="s">
        <v>5807</v>
      </c>
      <c r="B1068" s="2" t="s">
        <v>5808</v>
      </c>
      <c r="C1068" s="2" t="s">
        <v>2998</v>
      </c>
      <c r="D1068" s="2" t="s">
        <v>428</v>
      </c>
      <c r="E1068" s="2" t="s">
        <v>2999</v>
      </c>
      <c r="F1068" s="2" t="s">
        <v>3000</v>
      </c>
      <c r="G1068" s="2" t="s">
        <v>448</v>
      </c>
      <c r="H1068" s="2" t="s">
        <v>223</v>
      </c>
      <c r="I1068" s="2" t="s">
        <v>103</v>
      </c>
      <c r="J1068" s="2" t="s">
        <v>3053</v>
      </c>
      <c r="K1068" s="2" t="s">
        <v>741</v>
      </c>
      <c r="L1068" s="2" t="s">
        <v>63</v>
      </c>
      <c r="M1068" s="2">
        <v>1671.76</v>
      </c>
      <c r="N1068" s="2">
        <v>1.0</v>
      </c>
      <c r="O1068" s="2" t="s">
        <v>5809</v>
      </c>
      <c r="P1068" s="2" t="s">
        <v>65</v>
      </c>
      <c r="Q1068" s="2" t="s">
        <v>143</v>
      </c>
      <c r="R1068" s="2" t="s">
        <v>380</v>
      </c>
      <c r="S1068" s="2" t="s">
        <v>81</v>
      </c>
    </row>
    <row r="1069" ht="15.75" customHeight="1">
      <c r="A1069" s="2" t="s">
        <v>5810</v>
      </c>
      <c r="B1069" s="2" t="s">
        <v>5811</v>
      </c>
      <c r="C1069" s="2" t="s">
        <v>1307</v>
      </c>
      <c r="D1069" s="2" t="s">
        <v>1308</v>
      </c>
      <c r="E1069" s="2" t="s">
        <v>1309</v>
      </c>
      <c r="F1069" s="2" t="s">
        <v>1310</v>
      </c>
      <c r="G1069" s="2" t="s">
        <v>1078</v>
      </c>
      <c r="H1069" s="2" t="s">
        <v>234</v>
      </c>
      <c r="I1069" s="2" t="s">
        <v>103</v>
      </c>
      <c r="J1069" s="2" t="s">
        <v>1748</v>
      </c>
      <c r="K1069" s="2" t="s">
        <v>1110</v>
      </c>
      <c r="L1069" s="2" t="s">
        <v>315</v>
      </c>
      <c r="M1069" s="2">
        <v>1176.09</v>
      </c>
      <c r="N1069" s="2">
        <v>2.0</v>
      </c>
      <c r="O1069" s="2" t="s">
        <v>5812</v>
      </c>
      <c r="P1069" s="2" t="s">
        <v>65</v>
      </c>
      <c r="Q1069" s="2" t="s">
        <v>66</v>
      </c>
      <c r="R1069" s="2" t="s">
        <v>432</v>
      </c>
    </row>
    <row r="1070" ht="15.75" customHeight="1">
      <c r="A1070" s="2" t="s">
        <v>5813</v>
      </c>
      <c r="B1070" s="2" t="s">
        <v>1619</v>
      </c>
      <c r="C1070" s="2" t="s">
        <v>2501</v>
      </c>
      <c r="D1070" s="2" t="s">
        <v>2502</v>
      </c>
      <c r="E1070" s="2" t="s">
        <v>2503</v>
      </c>
      <c r="F1070" s="2" t="s">
        <v>2504</v>
      </c>
      <c r="G1070" s="2" t="s">
        <v>151</v>
      </c>
      <c r="H1070" s="2" t="s">
        <v>5814</v>
      </c>
      <c r="I1070" s="2" t="s">
        <v>401</v>
      </c>
      <c r="J1070" s="2" t="s">
        <v>4497</v>
      </c>
      <c r="K1070" s="2" t="s">
        <v>403</v>
      </c>
      <c r="L1070" s="2" t="s">
        <v>995</v>
      </c>
      <c r="N1070" s="2">
        <v>3.0</v>
      </c>
      <c r="O1070" s="2" t="s">
        <v>5815</v>
      </c>
      <c r="P1070" s="2" t="s">
        <v>95</v>
      </c>
      <c r="Q1070" s="2" t="s">
        <v>238</v>
      </c>
      <c r="R1070" s="2" t="s">
        <v>3223</v>
      </c>
      <c r="S1070" s="2" t="s">
        <v>67</v>
      </c>
    </row>
    <row r="1071" ht="15.75" customHeight="1">
      <c r="A1071" s="2" t="s">
        <v>5816</v>
      </c>
      <c r="B1071" s="2" t="s">
        <v>5817</v>
      </c>
      <c r="C1071" s="2" t="s">
        <v>2373</v>
      </c>
      <c r="D1071" s="2" t="s">
        <v>2374</v>
      </c>
      <c r="E1071" s="2" t="s">
        <v>2375</v>
      </c>
      <c r="F1071" s="2" t="s">
        <v>2376</v>
      </c>
      <c r="G1071" s="2" t="s">
        <v>139</v>
      </c>
      <c r="H1071" s="2" t="s">
        <v>59</v>
      </c>
      <c r="I1071" s="2" t="s">
        <v>75</v>
      </c>
      <c r="J1071" s="2" t="s">
        <v>3454</v>
      </c>
      <c r="K1071" s="2" t="s">
        <v>270</v>
      </c>
      <c r="L1071" s="2" t="s">
        <v>179</v>
      </c>
      <c r="M1071" s="2">
        <v>441.61</v>
      </c>
      <c r="N1071" s="2">
        <v>1.0</v>
      </c>
      <c r="O1071" s="2" t="s">
        <v>5818</v>
      </c>
      <c r="P1071" s="2" t="s">
        <v>48</v>
      </c>
      <c r="Q1071" s="2" t="s">
        <v>505</v>
      </c>
      <c r="R1071" s="2" t="s">
        <v>294</v>
      </c>
      <c r="S1071" s="2" t="s">
        <v>81</v>
      </c>
    </row>
    <row r="1072" ht="15.75" customHeight="1">
      <c r="A1072" s="2" t="s">
        <v>5819</v>
      </c>
      <c r="B1072" s="2" t="s">
        <v>5820</v>
      </c>
      <c r="C1072" s="2" t="s">
        <v>5821</v>
      </c>
      <c r="D1072" s="2" t="s">
        <v>5822</v>
      </c>
      <c r="E1072" s="2" t="s">
        <v>5823</v>
      </c>
      <c r="F1072" s="2" t="s">
        <v>5824</v>
      </c>
      <c r="G1072" s="2" t="s">
        <v>459</v>
      </c>
      <c r="H1072" s="2" t="s">
        <v>223</v>
      </c>
      <c r="I1072" s="2" t="s">
        <v>176</v>
      </c>
      <c r="J1072" s="2" t="s">
        <v>1632</v>
      </c>
      <c r="K1072" s="2" t="s">
        <v>1633</v>
      </c>
      <c r="L1072" s="2" t="s">
        <v>742</v>
      </c>
      <c r="M1072" s="2">
        <v>960.2</v>
      </c>
      <c r="N1072" s="2">
        <v>3.0</v>
      </c>
      <c r="O1072" s="2" t="s">
        <v>5825</v>
      </c>
      <c r="P1072" s="2" t="s">
        <v>32</v>
      </c>
      <c r="Q1072" s="2" t="s">
        <v>143</v>
      </c>
      <c r="R1072" s="2" t="s">
        <v>676</v>
      </c>
    </row>
    <row r="1073" ht="15.75" customHeight="1">
      <c r="A1073" s="2" t="s">
        <v>5826</v>
      </c>
      <c r="B1073" s="2" t="s">
        <v>5827</v>
      </c>
      <c r="C1073" s="2" t="s">
        <v>2507</v>
      </c>
      <c r="D1073" s="2" t="s">
        <v>2508</v>
      </c>
      <c r="E1073" s="2" t="s">
        <v>2509</v>
      </c>
      <c r="F1073" s="2" t="s">
        <v>2510</v>
      </c>
      <c r="G1073" s="2" t="s">
        <v>564</v>
      </c>
      <c r="H1073" s="2" t="s">
        <v>223</v>
      </c>
      <c r="I1073" s="2" t="s">
        <v>43</v>
      </c>
      <c r="J1073" s="2" t="s">
        <v>2425</v>
      </c>
      <c r="K1073" s="2" t="s">
        <v>2426</v>
      </c>
      <c r="L1073" s="2" t="s">
        <v>2427</v>
      </c>
      <c r="M1073" s="2">
        <v>573.28</v>
      </c>
      <c r="N1073" s="2">
        <v>1.0</v>
      </c>
      <c r="O1073" s="2" t="s">
        <v>5828</v>
      </c>
      <c r="P1073" s="2" t="s">
        <v>32</v>
      </c>
      <c r="Q1073" s="2" t="s">
        <v>526</v>
      </c>
      <c r="R1073" s="2" t="s">
        <v>452</v>
      </c>
    </row>
    <row r="1074" ht="15.75" customHeight="1">
      <c r="A1074" s="2" t="s">
        <v>5829</v>
      </c>
      <c r="B1074" s="2" t="s">
        <v>5830</v>
      </c>
      <c r="C1074" s="2" t="s">
        <v>1472</v>
      </c>
      <c r="D1074" s="2" t="s">
        <v>2438</v>
      </c>
      <c r="E1074" s="2" t="s">
        <v>2439</v>
      </c>
      <c r="F1074" s="2" t="s">
        <v>1474</v>
      </c>
      <c r="G1074" s="2" t="s">
        <v>114</v>
      </c>
      <c r="H1074" s="2" t="s">
        <v>26</v>
      </c>
      <c r="I1074" s="2" t="s">
        <v>43</v>
      </c>
      <c r="J1074" s="2" t="s">
        <v>2420</v>
      </c>
      <c r="K1074" s="2" t="s">
        <v>462</v>
      </c>
      <c r="L1074" s="2" t="s">
        <v>2421</v>
      </c>
      <c r="M1074" s="2">
        <v>538.95</v>
      </c>
      <c r="N1074" s="2">
        <v>3.0</v>
      </c>
      <c r="O1074" s="2" t="s">
        <v>5831</v>
      </c>
      <c r="P1074" s="2" t="s">
        <v>32</v>
      </c>
      <c r="Q1074" s="2" t="s">
        <v>305</v>
      </c>
      <c r="R1074" s="2" t="s">
        <v>345</v>
      </c>
    </row>
    <row r="1075" ht="15.75" customHeight="1">
      <c r="A1075" s="2" t="s">
        <v>5832</v>
      </c>
      <c r="B1075" s="2" t="s">
        <v>5833</v>
      </c>
      <c r="C1075" s="2" t="s">
        <v>1673</v>
      </c>
      <c r="D1075" s="2" t="s">
        <v>1324</v>
      </c>
      <c r="E1075" s="2" t="s">
        <v>1674</v>
      </c>
      <c r="F1075" s="2" t="s">
        <v>1675</v>
      </c>
      <c r="G1075" s="2" t="s">
        <v>608</v>
      </c>
      <c r="H1075" s="2" t="s">
        <v>223</v>
      </c>
      <c r="I1075" s="2" t="s">
        <v>480</v>
      </c>
      <c r="J1075" s="2" t="s">
        <v>61</v>
      </c>
      <c r="K1075" s="2" t="s">
        <v>62</v>
      </c>
      <c r="L1075" s="2" t="s">
        <v>63</v>
      </c>
      <c r="M1075" s="2">
        <v>1721.7</v>
      </c>
      <c r="N1075" s="2">
        <v>1.0</v>
      </c>
      <c r="O1075" s="2" t="s">
        <v>5834</v>
      </c>
      <c r="P1075" s="2" t="s">
        <v>32</v>
      </c>
      <c r="Q1075" s="2" t="s">
        <v>370</v>
      </c>
      <c r="R1075" s="2" t="s">
        <v>306</v>
      </c>
      <c r="S1075" s="2" t="s">
        <v>81</v>
      </c>
    </row>
    <row r="1076" ht="15.75" customHeight="1">
      <c r="A1076" s="2" t="s">
        <v>5835</v>
      </c>
      <c r="B1076" s="2" t="s">
        <v>5836</v>
      </c>
      <c r="C1076" s="2" t="s">
        <v>4268</v>
      </c>
      <c r="D1076" s="2" t="s">
        <v>4269</v>
      </c>
      <c r="E1076" s="2" t="s">
        <v>4270</v>
      </c>
      <c r="F1076" s="2" t="s">
        <v>4271</v>
      </c>
      <c r="G1076" s="2" t="s">
        <v>41</v>
      </c>
      <c r="H1076" s="2" t="s">
        <v>26</v>
      </c>
      <c r="I1076" s="2" t="s">
        <v>103</v>
      </c>
      <c r="J1076" s="2" t="s">
        <v>2033</v>
      </c>
      <c r="K1076" s="2" t="s">
        <v>2034</v>
      </c>
      <c r="L1076" s="2" t="s">
        <v>1016</v>
      </c>
      <c r="M1076" s="2">
        <v>672.88</v>
      </c>
      <c r="N1076" s="2">
        <v>1.0</v>
      </c>
      <c r="O1076" s="2" t="s">
        <v>5837</v>
      </c>
      <c r="P1076" s="2" t="s">
        <v>32</v>
      </c>
      <c r="Q1076" s="2" t="s">
        <v>305</v>
      </c>
      <c r="R1076" s="2" t="s">
        <v>80</v>
      </c>
    </row>
    <row r="1077" ht="15.75" customHeight="1">
      <c r="A1077" s="2" t="s">
        <v>5838</v>
      </c>
      <c r="B1077" s="2" t="s">
        <v>5839</v>
      </c>
      <c r="C1077" s="2" t="s">
        <v>2776</v>
      </c>
      <c r="D1077" s="2" t="s">
        <v>2777</v>
      </c>
      <c r="E1077" s="2" t="s">
        <v>2778</v>
      </c>
      <c r="F1077" s="2" t="s">
        <v>2779</v>
      </c>
      <c r="G1077" s="2" t="s">
        <v>2780</v>
      </c>
      <c r="H1077" s="2" t="s">
        <v>683</v>
      </c>
      <c r="I1077" s="2" t="s">
        <v>289</v>
      </c>
      <c r="J1077" s="2" t="s">
        <v>729</v>
      </c>
      <c r="K1077" s="2" t="s">
        <v>62</v>
      </c>
      <c r="L1077" s="2" t="s">
        <v>730</v>
      </c>
      <c r="M1077" s="2">
        <v>1635.97</v>
      </c>
      <c r="N1077" s="2">
        <v>3.0</v>
      </c>
      <c r="O1077" s="2" t="s">
        <v>5840</v>
      </c>
      <c r="P1077" s="2" t="s">
        <v>48</v>
      </c>
      <c r="Q1077" s="2" t="s">
        <v>131</v>
      </c>
      <c r="R1077" s="2" t="s">
        <v>80</v>
      </c>
      <c r="S1077" s="2" t="s">
        <v>51</v>
      </c>
    </row>
    <row r="1078" ht="15.75" customHeight="1">
      <c r="A1078" s="2" t="s">
        <v>5841</v>
      </c>
      <c r="B1078" s="2" t="s">
        <v>4404</v>
      </c>
      <c r="C1078" s="2" t="s">
        <v>4549</v>
      </c>
      <c r="D1078" s="2" t="s">
        <v>4514</v>
      </c>
      <c r="F1078" s="2" t="s">
        <v>4550</v>
      </c>
      <c r="G1078" s="2" t="s">
        <v>671</v>
      </c>
      <c r="H1078" s="2" t="s">
        <v>42</v>
      </c>
      <c r="I1078" s="2" t="s">
        <v>75</v>
      </c>
      <c r="J1078" s="2" t="s">
        <v>1522</v>
      </c>
      <c r="K1078" s="2" t="s">
        <v>1272</v>
      </c>
      <c r="L1078" s="2" t="s">
        <v>995</v>
      </c>
      <c r="N1078" s="2">
        <v>2.0</v>
      </c>
      <c r="O1078" s="2" t="s">
        <v>5842</v>
      </c>
      <c r="P1078" s="2" t="s">
        <v>32</v>
      </c>
      <c r="Q1078" s="2" t="s">
        <v>143</v>
      </c>
      <c r="R1078" s="2" t="s">
        <v>818</v>
      </c>
      <c r="S1078" s="2" t="s">
        <v>133</v>
      </c>
    </row>
    <row r="1079" ht="15.75" customHeight="1">
      <c r="A1079" s="2" t="s">
        <v>5843</v>
      </c>
      <c r="B1079" s="2" t="s">
        <v>5844</v>
      </c>
      <c r="C1079" s="2" t="s">
        <v>3830</v>
      </c>
      <c r="D1079" s="2" t="s">
        <v>3831</v>
      </c>
      <c r="E1079" s="2" t="s">
        <v>3126</v>
      </c>
      <c r="F1079" s="2" t="s">
        <v>3832</v>
      </c>
      <c r="G1079" s="2" t="s">
        <v>139</v>
      </c>
      <c r="H1079" s="2" t="s">
        <v>1167</v>
      </c>
      <c r="I1079" s="2" t="s">
        <v>401</v>
      </c>
      <c r="J1079" s="2" t="s">
        <v>200</v>
      </c>
      <c r="K1079" s="2" t="s">
        <v>201</v>
      </c>
      <c r="L1079" s="2" t="s">
        <v>202</v>
      </c>
      <c r="M1079" s="2">
        <v>1083.33</v>
      </c>
      <c r="N1079" s="2">
        <v>2.0</v>
      </c>
      <c r="O1079" s="2" t="s">
        <v>5845</v>
      </c>
      <c r="P1079" s="2" t="s">
        <v>65</v>
      </c>
      <c r="Q1079" s="2" t="s">
        <v>573</v>
      </c>
      <c r="R1079" s="2" t="s">
        <v>80</v>
      </c>
    </row>
    <row r="1080" ht="15.75" customHeight="1">
      <c r="A1080" s="2" t="s">
        <v>5846</v>
      </c>
      <c r="B1080" s="2" t="s">
        <v>5847</v>
      </c>
      <c r="C1080" s="2" t="s">
        <v>604</v>
      </c>
      <c r="D1080" s="2" t="s">
        <v>605</v>
      </c>
      <c r="E1080" s="2" t="s">
        <v>606</v>
      </c>
      <c r="F1080" s="2" t="s">
        <v>607</v>
      </c>
      <c r="G1080" s="2" t="s">
        <v>608</v>
      </c>
      <c r="H1080" s="2" t="s">
        <v>223</v>
      </c>
      <c r="I1080" s="2" t="s">
        <v>401</v>
      </c>
      <c r="J1080" s="2" t="s">
        <v>1109</v>
      </c>
      <c r="K1080" s="2" t="s">
        <v>1110</v>
      </c>
      <c r="L1080" s="2" t="s">
        <v>826</v>
      </c>
      <c r="M1080" s="2">
        <v>549.21</v>
      </c>
      <c r="N1080" s="2">
        <v>3.0</v>
      </c>
      <c r="O1080" s="2" t="s">
        <v>5848</v>
      </c>
      <c r="P1080" s="2" t="s">
        <v>95</v>
      </c>
      <c r="Q1080" s="2" t="s">
        <v>66</v>
      </c>
      <c r="R1080" s="2" t="s">
        <v>158</v>
      </c>
      <c r="S1080" s="2" t="s">
        <v>67</v>
      </c>
    </row>
    <row r="1081" ht="15.75" customHeight="1">
      <c r="A1081" s="2" t="s">
        <v>5849</v>
      </c>
      <c r="B1081" s="2" t="s">
        <v>5850</v>
      </c>
      <c r="C1081" s="2" t="s">
        <v>2008</v>
      </c>
      <c r="D1081" s="2" t="s">
        <v>2009</v>
      </c>
      <c r="E1081" s="2" t="s">
        <v>2010</v>
      </c>
      <c r="F1081" s="2" t="s">
        <v>2011</v>
      </c>
      <c r="G1081" s="2" t="s">
        <v>114</v>
      </c>
      <c r="H1081" s="2" t="s">
        <v>223</v>
      </c>
      <c r="I1081" s="2" t="s">
        <v>176</v>
      </c>
      <c r="J1081" s="2" t="s">
        <v>2273</v>
      </c>
      <c r="K1081" s="2" t="s">
        <v>2274</v>
      </c>
      <c r="L1081" s="2" t="s">
        <v>1328</v>
      </c>
      <c r="N1081" s="2">
        <v>1.0</v>
      </c>
      <c r="O1081" s="2" t="s">
        <v>5851</v>
      </c>
      <c r="P1081" s="2" t="s">
        <v>65</v>
      </c>
      <c r="Q1081" s="2" t="s">
        <v>66</v>
      </c>
      <c r="R1081" s="2" t="s">
        <v>227</v>
      </c>
      <c r="S1081" s="2" t="s">
        <v>67</v>
      </c>
    </row>
    <row r="1082" ht="15.75" customHeight="1">
      <c r="A1082" s="2" t="s">
        <v>5852</v>
      </c>
      <c r="B1082" s="2" t="s">
        <v>4654</v>
      </c>
      <c r="C1082" s="2" t="s">
        <v>5853</v>
      </c>
      <c r="D1082" s="2" t="s">
        <v>561</v>
      </c>
      <c r="E1082" s="2" t="s">
        <v>5854</v>
      </c>
      <c r="F1082" s="2" t="s">
        <v>5855</v>
      </c>
      <c r="G1082" s="2" t="s">
        <v>608</v>
      </c>
      <c r="H1082" s="2" t="s">
        <v>4664</v>
      </c>
      <c r="I1082" s="2" t="s">
        <v>103</v>
      </c>
      <c r="J1082" s="2" t="s">
        <v>76</v>
      </c>
      <c r="K1082" s="2" t="s">
        <v>77</v>
      </c>
      <c r="L1082" s="2" t="s">
        <v>78</v>
      </c>
      <c r="N1082" s="2">
        <v>2.0</v>
      </c>
      <c r="O1082" s="2" t="s">
        <v>5856</v>
      </c>
      <c r="P1082" s="2" t="s">
        <v>65</v>
      </c>
      <c r="Q1082" s="2" t="s">
        <v>238</v>
      </c>
      <c r="R1082" s="2" t="s">
        <v>34</v>
      </c>
      <c r="S1082" s="2" t="s">
        <v>81</v>
      </c>
    </row>
    <row r="1083" ht="15.75" customHeight="1">
      <c r="A1083" s="2" t="s">
        <v>5857</v>
      </c>
      <c r="B1083" s="2" t="s">
        <v>5858</v>
      </c>
      <c r="C1083" s="2" t="s">
        <v>5859</v>
      </c>
      <c r="D1083" s="2" t="s">
        <v>5860</v>
      </c>
      <c r="E1083" s="2" t="s">
        <v>5861</v>
      </c>
      <c r="F1083" s="2" t="s">
        <v>5862</v>
      </c>
      <c r="G1083" s="2" t="s">
        <v>25</v>
      </c>
      <c r="H1083" s="2" t="s">
        <v>5863</v>
      </c>
      <c r="I1083" s="2" t="s">
        <v>176</v>
      </c>
      <c r="J1083" s="2" t="s">
        <v>3172</v>
      </c>
      <c r="K1083" s="2" t="s">
        <v>3173</v>
      </c>
      <c r="L1083" s="2" t="s">
        <v>355</v>
      </c>
      <c r="M1083" s="2">
        <v>550.24</v>
      </c>
      <c r="N1083" s="2">
        <v>5.0</v>
      </c>
      <c r="O1083" s="2" t="s">
        <v>5864</v>
      </c>
      <c r="P1083" s="2" t="s">
        <v>95</v>
      </c>
      <c r="Q1083" s="2" t="s">
        <v>49</v>
      </c>
      <c r="R1083" s="2" t="s">
        <v>158</v>
      </c>
    </row>
    <row r="1084" ht="15.75" customHeight="1">
      <c r="A1084" s="2" t="s">
        <v>5865</v>
      </c>
      <c r="B1084" s="2" t="s">
        <v>5866</v>
      </c>
      <c r="C1084" s="2" t="s">
        <v>4115</v>
      </c>
      <c r="D1084" s="2" t="s">
        <v>4116</v>
      </c>
      <c r="E1084" s="2" t="s">
        <v>4117</v>
      </c>
      <c r="F1084" s="2" t="s">
        <v>4118</v>
      </c>
      <c r="G1084" s="2" t="s">
        <v>88</v>
      </c>
      <c r="H1084" s="2" t="s">
        <v>400</v>
      </c>
      <c r="I1084" s="2" t="s">
        <v>43</v>
      </c>
      <c r="J1084" s="2" t="s">
        <v>692</v>
      </c>
      <c r="K1084" s="2" t="s">
        <v>693</v>
      </c>
      <c r="L1084" s="2" t="s">
        <v>368</v>
      </c>
      <c r="N1084" s="2">
        <v>1.0</v>
      </c>
      <c r="O1084" s="2" t="s">
        <v>5867</v>
      </c>
      <c r="P1084" s="2" t="s">
        <v>65</v>
      </c>
      <c r="Q1084" s="2" t="s">
        <v>505</v>
      </c>
      <c r="R1084" s="2" t="s">
        <v>452</v>
      </c>
      <c r="S1084" s="2" t="s">
        <v>67</v>
      </c>
    </row>
    <row r="1085" ht="15.75" customHeight="1">
      <c r="A1085" s="2" t="s">
        <v>5868</v>
      </c>
      <c r="B1085" s="2" t="s">
        <v>347</v>
      </c>
      <c r="C1085" s="2" t="s">
        <v>5869</v>
      </c>
      <c r="D1085" s="2" t="s">
        <v>5870</v>
      </c>
      <c r="E1085" s="2" t="s">
        <v>5871</v>
      </c>
      <c r="F1085" s="2" t="s">
        <v>5872</v>
      </c>
      <c r="G1085" s="2" t="s">
        <v>785</v>
      </c>
      <c r="H1085" s="2" t="s">
        <v>460</v>
      </c>
      <c r="I1085" s="2" t="s">
        <v>60</v>
      </c>
      <c r="J1085" s="2" t="s">
        <v>767</v>
      </c>
      <c r="K1085" s="2" t="s">
        <v>768</v>
      </c>
      <c r="L1085" s="2" t="s">
        <v>769</v>
      </c>
      <c r="N1085" s="2">
        <v>2.0</v>
      </c>
      <c r="O1085" s="2" t="s">
        <v>5873</v>
      </c>
      <c r="P1085" s="2" t="s">
        <v>65</v>
      </c>
      <c r="Q1085" s="2" t="s">
        <v>66</v>
      </c>
      <c r="R1085" s="2" t="s">
        <v>442</v>
      </c>
    </row>
    <row r="1086" ht="15.75" customHeight="1">
      <c r="A1086" s="2" t="s">
        <v>5874</v>
      </c>
      <c r="B1086" s="2" t="s">
        <v>5875</v>
      </c>
      <c r="C1086" s="2" t="s">
        <v>5876</v>
      </c>
      <c r="D1086" s="2" t="s">
        <v>5877</v>
      </c>
      <c r="E1086" s="2" t="s">
        <v>5878</v>
      </c>
      <c r="F1086" s="2" t="s">
        <v>5879</v>
      </c>
      <c r="G1086" s="2" t="s">
        <v>114</v>
      </c>
      <c r="H1086" s="2" t="s">
        <v>223</v>
      </c>
      <c r="I1086" s="2" t="s">
        <v>176</v>
      </c>
      <c r="J1086" s="2" t="s">
        <v>325</v>
      </c>
      <c r="K1086" s="2" t="s">
        <v>326</v>
      </c>
      <c r="L1086" s="2" t="s">
        <v>315</v>
      </c>
      <c r="M1086" s="2">
        <v>1761.52</v>
      </c>
      <c r="N1086" s="2">
        <v>2.0</v>
      </c>
      <c r="O1086" s="2" t="s">
        <v>5880</v>
      </c>
      <c r="P1086" s="2" t="s">
        <v>65</v>
      </c>
      <c r="Q1086" s="2" t="s">
        <v>664</v>
      </c>
      <c r="R1086" s="2" t="s">
        <v>80</v>
      </c>
      <c r="S1086" s="2" t="s">
        <v>51</v>
      </c>
    </row>
    <row r="1087" ht="15.75" customHeight="1">
      <c r="A1087" s="2" t="s">
        <v>5881</v>
      </c>
      <c r="B1087" s="2" t="s">
        <v>5882</v>
      </c>
      <c r="C1087" s="2" t="s">
        <v>5883</v>
      </c>
      <c r="D1087" s="2" t="s">
        <v>418</v>
      </c>
      <c r="E1087" s="2" t="s">
        <v>5884</v>
      </c>
      <c r="F1087" s="2" t="s">
        <v>5885</v>
      </c>
      <c r="G1087" s="2" t="s">
        <v>5886</v>
      </c>
      <c r="H1087" s="2" t="s">
        <v>42</v>
      </c>
      <c r="I1087" s="2" t="s">
        <v>116</v>
      </c>
      <c r="J1087" s="2" t="s">
        <v>1137</v>
      </c>
      <c r="K1087" s="2" t="s">
        <v>1138</v>
      </c>
      <c r="L1087" s="2" t="s">
        <v>30</v>
      </c>
      <c r="M1087" s="2">
        <v>538.23</v>
      </c>
      <c r="N1087" s="2">
        <v>5.0</v>
      </c>
      <c r="O1087" s="2" t="s">
        <v>5887</v>
      </c>
      <c r="P1087" s="2" t="s">
        <v>48</v>
      </c>
      <c r="Q1087" s="2" t="s">
        <v>305</v>
      </c>
      <c r="R1087" s="2" t="s">
        <v>432</v>
      </c>
    </row>
    <row r="1088" ht="15.75" customHeight="1">
      <c r="A1088" s="2" t="s">
        <v>5888</v>
      </c>
      <c r="B1088" s="2" t="s">
        <v>5889</v>
      </c>
      <c r="C1088" s="2" t="s">
        <v>2317</v>
      </c>
      <c r="D1088" s="2" t="s">
        <v>2318</v>
      </c>
      <c r="E1088" s="2" t="s">
        <v>2319</v>
      </c>
      <c r="F1088" s="2" t="s">
        <v>2320</v>
      </c>
      <c r="G1088" s="2" t="s">
        <v>151</v>
      </c>
      <c r="H1088" s="2" t="s">
        <v>59</v>
      </c>
      <c r="I1088" s="2" t="s">
        <v>512</v>
      </c>
      <c r="J1088" s="2" t="s">
        <v>490</v>
      </c>
      <c r="K1088" s="2" t="s">
        <v>491</v>
      </c>
      <c r="L1088" s="2" t="s">
        <v>492</v>
      </c>
      <c r="M1088" s="2">
        <v>967.01</v>
      </c>
      <c r="N1088" s="2">
        <v>2.0</v>
      </c>
      <c r="O1088" s="2" t="s">
        <v>5890</v>
      </c>
      <c r="P1088" s="2" t="s">
        <v>32</v>
      </c>
      <c r="Q1088" s="2" t="s">
        <v>238</v>
      </c>
      <c r="R1088" s="2" t="s">
        <v>380</v>
      </c>
      <c r="S1088" s="2" t="s">
        <v>67</v>
      </c>
    </row>
    <row r="1089" ht="15.75" customHeight="1">
      <c r="A1089" s="2" t="s">
        <v>5891</v>
      </c>
      <c r="B1089" s="2" t="s">
        <v>5892</v>
      </c>
      <c r="C1089" s="2" t="s">
        <v>5893</v>
      </c>
      <c r="D1089" s="2" t="s">
        <v>5894</v>
      </c>
      <c r="E1089" s="2" t="s">
        <v>5895</v>
      </c>
      <c r="F1089" s="2" t="s">
        <v>5896</v>
      </c>
      <c r="G1089" s="2" t="s">
        <v>801</v>
      </c>
      <c r="H1089" s="2" t="s">
        <v>460</v>
      </c>
      <c r="I1089" s="2" t="s">
        <v>75</v>
      </c>
      <c r="J1089" s="2" t="s">
        <v>2483</v>
      </c>
      <c r="K1089" s="2" t="s">
        <v>1530</v>
      </c>
      <c r="L1089" s="2" t="s">
        <v>503</v>
      </c>
      <c r="M1089" s="2">
        <v>609.35</v>
      </c>
      <c r="N1089" s="2">
        <v>5.0</v>
      </c>
      <c r="O1089" s="2" t="s">
        <v>5897</v>
      </c>
      <c r="P1089" s="2" t="s">
        <v>48</v>
      </c>
      <c r="Q1089" s="2" t="s">
        <v>143</v>
      </c>
      <c r="R1089" s="2" t="s">
        <v>306</v>
      </c>
      <c r="S1089" s="2" t="s">
        <v>51</v>
      </c>
    </row>
    <row r="1090" ht="15.75" customHeight="1">
      <c r="A1090" s="2" t="s">
        <v>5898</v>
      </c>
      <c r="B1090" s="2" t="s">
        <v>5899</v>
      </c>
      <c r="C1090" s="2" t="s">
        <v>5734</v>
      </c>
      <c r="D1090" s="2" t="s">
        <v>4419</v>
      </c>
      <c r="E1090" s="2" t="s">
        <v>5735</v>
      </c>
      <c r="F1090" s="2" t="s">
        <v>5736</v>
      </c>
      <c r="G1090" s="2" t="s">
        <v>5737</v>
      </c>
      <c r="H1090" s="2" t="s">
        <v>802</v>
      </c>
      <c r="I1090" s="2" t="s">
        <v>401</v>
      </c>
      <c r="J1090" s="2" t="s">
        <v>117</v>
      </c>
      <c r="K1090" s="2" t="s">
        <v>118</v>
      </c>
      <c r="L1090" s="2" t="s">
        <v>63</v>
      </c>
      <c r="M1090" s="2">
        <v>359.98</v>
      </c>
      <c r="N1090" s="2">
        <v>1.0</v>
      </c>
      <c r="O1090" s="2" t="s">
        <v>5900</v>
      </c>
      <c r="P1090" s="2" t="s">
        <v>65</v>
      </c>
      <c r="Q1090" s="2" t="s">
        <v>131</v>
      </c>
      <c r="R1090" s="2" t="s">
        <v>80</v>
      </c>
    </row>
    <row r="1091" ht="15.75" customHeight="1">
      <c r="A1091" s="2" t="s">
        <v>5901</v>
      </c>
      <c r="B1091" s="2" t="s">
        <v>5902</v>
      </c>
      <c r="C1091" s="2" t="s">
        <v>700</v>
      </c>
      <c r="D1091" s="2" t="s">
        <v>701</v>
      </c>
      <c r="G1091" s="2" t="s">
        <v>199</v>
      </c>
      <c r="H1091" s="2" t="s">
        <v>59</v>
      </c>
      <c r="I1091" s="2" t="s">
        <v>312</v>
      </c>
      <c r="J1091" s="2" t="s">
        <v>2033</v>
      </c>
      <c r="K1091" s="2" t="s">
        <v>2034</v>
      </c>
      <c r="L1091" s="2" t="s">
        <v>1016</v>
      </c>
      <c r="M1091" s="2">
        <v>413.25</v>
      </c>
      <c r="N1091" s="2">
        <v>1.0</v>
      </c>
      <c r="O1091" s="2" t="s">
        <v>5903</v>
      </c>
      <c r="P1091" s="2" t="s">
        <v>32</v>
      </c>
      <c r="Q1091" s="2" t="s">
        <v>526</v>
      </c>
      <c r="R1091" s="2" t="s">
        <v>120</v>
      </c>
    </row>
    <row r="1092" ht="15.75" customHeight="1">
      <c r="A1092" s="2" t="s">
        <v>5904</v>
      </c>
      <c r="B1092" s="2" t="s">
        <v>5905</v>
      </c>
      <c r="C1092" s="2" t="s">
        <v>5906</v>
      </c>
      <c r="D1092" s="2" t="s">
        <v>3657</v>
      </c>
      <c r="E1092" s="2" t="s">
        <v>5907</v>
      </c>
      <c r="F1092" s="2" t="s">
        <v>5908</v>
      </c>
      <c r="G1092" s="2" t="s">
        <v>165</v>
      </c>
      <c r="H1092" s="2" t="s">
        <v>42</v>
      </c>
      <c r="I1092" s="2" t="s">
        <v>116</v>
      </c>
      <c r="J1092" s="2" t="s">
        <v>61</v>
      </c>
      <c r="K1092" s="2" t="s">
        <v>62</v>
      </c>
      <c r="L1092" s="2" t="s">
        <v>63</v>
      </c>
      <c r="N1092" s="2">
        <v>2.0</v>
      </c>
      <c r="O1092" s="2" t="s">
        <v>5909</v>
      </c>
      <c r="P1092" s="2" t="s">
        <v>65</v>
      </c>
      <c r="Q1092" s="2" t="s">
        <v>505</v>
      </c>
      <c r="R1092" s="2" t="s">
        <v>380</v>
      </c>
      <c r="S1092" s="2" t="s">
        <v>81</v>
      </c>
    </row>
    <row r="1093" ht="15.75" customHeight="1">
      <c r="A1093" s="2" t="s">
        <v>5910</v>
      </c>
      <c r="B1093" s="2" t="s">
        <v>5911</v>
      </c>
      <c r="C1093" s="2" t="s">
        <v>3463</v>
      </c>
      <c r="D1093" s="2" t="s">
        <v>3464</v>
      </c>
      <c r="E1093" s="2" t="s">
        <v>5912</v>
      </c>
      <c r="F1093" s="2" t="s">
        <v>3465</v>
      </c>
      <c r="G1093" s="2" t="s">
        <v>1054</v>
      </c>
      <c r="H1093" s="2" t="s">
        <v>778</v>
      </c>
      <c r="I1093" s="2" t="s">
        <v>401</v>
      </c>
      <c r="J1093" s="2" t="s">
        <v>28</v>
      </c>
      <c r="K1093" s="2" t="s">
        <v>29</v>
      </c>
      <c r="L1093" s="2" t="s">
        <v>30</v>
      </c>
      <c r="M1093" s="2">
        <v>789.22</v>
      </c>
      <c r="N1093" s="2">
        <v>2.0</v>
      </c>
      <c r="O1093" s="2" t="s">
        <v>5913</v>
      </c>
      <c r="P1093" s="2" t="s">
        <v>95</v>
      </c>
      <c r="Q1093" s="2" t="s">
        <v>526</v>
      </c>
      <c r="R1093" s="2" t="s">
        <v>80</v>
      </c>
    </row>
    <row r="1094" ht="15.75" customHeight="1">
      <c r="A1094" s="2" t="s">
        <v>5914</v>
      </c>
      <c r="B1094" s="2" t="s">
        <v>5915</v>
      </c>
      <c r="C1094" s="2" t="s">
        <v>5773</v>
      </c>
      <c r="D1094" s="2" t="s">
        <v>5774</v>
      </c>
      <c r="E1094" s="2" t="s">
        <v>5775</v>
      </c>
      <c r="F1094" s="2" t="s">
        <v>5916</v>
      </c>
      <c r="G1094" s="2" t="s">
        <v>387</v>
      </c>
      <c r="H1094" s="2" t="s">
        <v>59</v>
      </c>
      <c r="I1094" s="2" t="s">
        <v>176</v>
      </c>
      <c r="J1094" s="2" t="s">
        <v>1211</v>
      </c>
      <c r="K1094" s="2" t="s">
        <v>1212</v>
      </c>
      <c r="L1094" s="2" t="s">
        <v>63</v>
      </c>
      <c r="N1094" s="2">
        <v>2.0</v>
      </c>
      <c r="O1094" s="2" t="s">
        <v>5917</v>
      </c>
      <c r="P1094" s="2" t="s">
        <v>95</v>
      </c>
      <c r="Q1094" s="2" t="s">
        <v>305</v>
      </c>
      <c r="R1094" s="2" t="s">
        <v>192</v>
      </c>
    </row>
    <row r="1095" ht="15.75" customHeight="1">
      <c r="A1095" s="2" t="s">
        <v>5918</v>
      </c>
      <c r="B1095" s="2" t="s">
        <v>5919</v>
      </c>
      <c r="C1095" s="2" t="s">
        <v>5920</v>
      </c>
      <c r="D1095" s="2" t="s">
        <v>5921</v>
      </c>
      <c r="E1095" s="2" t="s">
        <v>5922</v>
      </c>
      <c r="F1095" s="2" t="s">
        <v>5923</v>
      </c>
      <c r="G1095" s="2" t="s">
        <v>459</v>
      </c>
      <c r="H1095" s="2" t="s">
        <v>223</v>
      </c>
      <c r="I1095" s="2" t="s">
        <v>333</v>
      </c>
      <c r="J1095" s="2" t="s">
        <v>246</v>
      </c>
      <c r="K1095" s="2" t="s">
        <v>247</v>
      </c>
      <c r="L1095" s="2" t="s">
        <v>248</v>
      </c>
      <c r="M1095" s="2">
        <v>1753.28</v>
      </c>
      <c r="N1095" s="2">
        <v>1.0</v>
      </c>
      <c r="O1095" s="2" t="s">
        <v>5924</v>
      </c>
      <c r="P1095" s="2" t="s">
        <v>95</v>
      </c>
      <c r="Q1095" s="2" t="s">
        <v>66</v>
      </c>
      <c r="R1095" s="2" t="s">
        <v>80</v>
      </c>
      <c r="S1095" s="2" t="s">
        <v>67</v>
      </c>
    </row>
    <row r="1096" ht="15.75" customHeight="1">
      <c r="A1096" s="2" t="s">
        <v>5925</v>
      </c>
      <c r="B1096" s="2" t="s">
        <v>5926</v>
      </c>
      <c r="C1096" s="2" t="s">
        <v>2635</v>
      </c>
      <c r="D1096" s="2" t="s">
        <v>2636</v>
      </c>
      <c r="E1096" s="2" t="s">
        <v>2637</v>
      </c>
      <c r="F1096" s="2" t="s">
        <v>2638</v>
      </c>
      <c r="G1096" s="2" t="s">
        <v>1177</v>
      </c>
      <c r="H1096" s="2" t="s">
        <v>210</v>
      </c>
      <c r="I1096" s="2" t="s">
        <v>43</v>
      </c>
      <c r="J1096" s="2" t="s">
        <v>534</v>
      </c>
      <c r="K1096" s="2" t="s">
        <v>535</v>
      </c>
      <c r="L1096" s="2" t="s">
        <v>30</v>
      </c>
      <c r="O1096" s="2" t="s">
        <v>5927</v>
      </c>
      <c r="P1096" s="2" t="s">
        <v>95</v>
      </c>
      <c r="Q1096" s="2" t="s">
        <v>5928</v>
      </c>
      <c r="R1096" s="2" t="s">
        <v>294</v>
      </c>
    </row>
    <row r="1097" ht="15.75" customHeight="1">
      <c r="A1097" s="2" t="s">
        <v>5929</v>
      </c>
      <c r="B1097" s="2" t="s">
        <v>5930</v>
      </c>
      <c r="C1097" s="2" t="s">
        <v>5931</v>
      </c>
      <c r="D1097" s="2" t="s">
        <v>5932</v>
      </c>
      <c r="E1097" s="2" t="s">
        <v>5933</v>
      </c>
      <c r="F1097" s="2" t="s">
        <v>5934</v>
      </c>
      <c r="G1097" s="2" t="s">
        <v>58</v>
      </c>
      <c r="H1097" s="2" t="s">
        <v>234</v>
      </c>
      <c r="I1097" s="2" t="s">
        <v>480</v>
      </c>
      <c r="J1097" s="2" t="s">
        <v>2425</v>
      </c>
      <c r="K1097" s="2" t="s">
        <v>2426</v>
      </c>
      <c r="L1097" s="2" t="s">
        <v>2427</v>
      </c>
      <c r="M1097" s="2">
        <v>1255.94</v>
      </c>
      <c r="O1097" s="2" t="s">
        <v>5935</v>
      </c>
      <c r="P1097" s="2" t="s">
        <v>32</v>
      </c>
      <c r="Q1097" s="2" t="s">
        <v>143</v>
      </c>
      <c r="R1097" s="2" t="s">
        <v>120</v>
      </c>
      <c r="S1097" s="2" t="s">
        <v>67</v>
      </c>
    </row>
    <row r="1098" ht="15.75" customHeight="1">
      <c r="A1098" s="2" t="s">
        <v>5936</v>
      </c>
      <c r="B1098" s="2" t="s">
        <v>5937</v>
      </c>
      <c r="C1098" s="2" t="s">
        <v>3060</v>
      </c>
      <c r="D1098" s="2" t="s">
        <v>3061</v>
      </c>
      <c r="E1098" s="2" t="s">
        <v>3062</v>
      </c>
      <c r="F1098" s="2" t="s">
        <v>3063</v>
      </c>
      <c r="G1098" s="2" t="s">
        <v>364</v>
      </c>
      <c r="H1098" s="2" t="s">
        <v>1167</v>
      </c>
      <c r="I1098" s="2" t="s">
        <v>103</v>
      </c>
      <c r="J1098" s="2" t="s">
        <v>1783</v>
      </c>
      <c r="K1098" s="2" t="s">
        <v>966</v>
      </c>
      <c r="L1098" s="2" t="s">
        <v>514</v>
      </c>
      <c r="N1098" s="2">
        <v>2.0</v>
      </c>
      <c r="O1098" s="2" t="s">
        <v>5938</v>
      </c>
      <c r="P1098" s="2" t="s">
        <v>48</v>
      </c>
      <c r="Q1098" s="2" t="s">
        <v>204</v>
      </c>
      <c r="R1098" s="2" t="s">
        <v>169</v>
      </c>
      <c r="S1098" s="2" t="s">
        <v>51</v>
      </c>
    </row>
    <row r="1099" ht="15.75" customHeight="1">
      <c r="A1099" s="2" t="s">
        <v>5939</v>
      </c>
      <c r="B1099" s="2" t="s">
        <v>5940</v>
      </c>
      <c r="C1099" s="2" t="s">
        <v>2093</v>
      </c>
      <c r="D1099" s="2" t="s">
        <v>2094</v>
      </c>
      <c r="E1099" s="2" t="s">
        <v>2095</v>
      </c>
      <c r="F1099" s="2" t="s">
        <v>2096</v>
      </c>
      <c r="G1099" s="2" t="s">
        <v>199</v>
      </c>
      <c r="H1099" s="2" t="s">
        <v>778</v>
      </c>
      <c r="I1099" s="2" t="s">
        <v>401</v>
      </c>
      <c r="J1099" s="2" t="s">
        <v>1606</v>
      </c>
      <c r="K1099" s="2" t="s">
        <v>213</v>
      </c>
      <c r="L1099" s="2" t="s">
        <v>106</v>
      </c>
      <c r="M1099" s="2">
        <v>1347.6</v>
      </c>
      <c r="N1099" s="2">
        <v>3.0</v>
      </c>
      <c r="O1099" s="2" t="s">
        <v>5941</v>
      </c>
      <c r="P1099" s="2" t="s">
        <v>48</v>
      </c>
      <c r="Q1099" s="2" t="s">
        <v>143</v>
      </c>
      <c r="R1099" s="2" t="s">
        <v>294</v>
      </c>
      <c r="S1099" s="2" t="s">
        <v>81</v>
      </c>
    </row>
    <row r="1100" ht="15.75" customHeight="1">
      <c r="A1100" s="2" t="s">
        <v>5942</v>
      </c>
      <c r="B1100" s="2" t="s">
        <v>5943</v>
      </c>
      <c r="C1100" s="2" t="s">
        <v>5944</v>
      </c>
      <c r="D1100" s="2" t="s">
        <v>5945</v>
      </c>
      <c r="E1100" s="2" t="s">
        <v>5946</v>
      </c>
      <c r="F1100" s="2" t="s">
        <v>5947</v>
      </c>
      <c r="G1100" s="2" t="s">
        <v>199</v>
      </c>
      <c r="H1100" s="2" t="s">
        <v>59</v>
      </c>
      <c r="I1100" s="2" t="s">
        <v>401</v>
      </c>
      <c r="J1100" s="2" t="s">
        <v>3582</v>
      </c>
      <c r="K1100" s="2" t="s">
        <v>3583</v>
      </c>
      <c r="L1100" s="2" t="s">
        <v>248</v>
      </c>
      <c r="M1100" s="2">
        <v>1423.24</v>
      </c>
      <c r="N1100" s="2">
        <v>5.0</v>
      </c>
      <c r="O1100" s="2" t="s">
        <v>5948</v>
      </c>
      <c r="P1100" s="2" t="s">
        <v>65</v>
      </c>
      <c r="Q1100" s="2" t="s">
        <v>49</v>
      </c>
      <c r="R1100" s="2" t="s">
        <v>80</v>
      </c>
    </row>
    <row r="1101" ht="15.75" customHeight="1">
      <c r="A1101" s="2" t="s">
        <v>5949</v>
      </c>
      <c r="B1101" s="2" t="s">
        <v>5950</v>
      </c>
      <c r="C1101" s="2" t="s">
        <v>3910</v>
      </c>
      <c r="D1101" s="2" t="s">
        <v>3911</v>
      </c>
      <c r="E1101" s="2" t="s">
        <v>3912</v>
      </c>
      <c r="F1101" s="2" t="s">
        <v>3913</v>
      </c>
      <c r="G1101" s="2" t="s">
        <v>151</v>
      </c>
      <c r="H1101" s="2" t="s">
        <v>26</v>
      </c>
      <c r="I1101" s="2" t="s">
        <v>5361</v>
      </c>
      <c r="J1101" s="2" t="s">
        <v>1606</v>
      </c>
      <c r="K1101" s="2" t="s">
        <v>213</v>
      </c>
      <c r="L1101" s="2" t="s">
        <v>106</v>
      </c>
      <c r="M1101" s="2">
        <v>1026.19</v>
      </c>
      <c r="N1101" s="2">
        <v>2.0</v>
      </c>
      <c r="O1101" s="2" t="s">
        <v>5951</v>
      </c>
      <c r="P1101" s="2" t="s">
        <v>48</v>
      </c>
      <c r="Q1101" s="2" t="s">
        <v>49</v>
      </c>
      <c r="R1101" s="2" t="s">
        <v>345</v>
      </c>
      <c r="S1101" s="2" t="s">
        <v>67</v>
      </c>
    </row>
    <row r="1102" ht="15.75" customHeight="1">
      <c r="A1102" s="2" t="s">
        <v>5952</v>
      </c>
      <c r="B1102" s="2" t="s">
        <v>5953</v>
      </c>
      <c r="C1102" s="2" t="s">
        <v>4549</v>
      </c>
      <c r="D1102" s="2" t="s">
        <v>4514</v>
      </c>
      <c r="F1102" s="2" t="s">
        <v>4550</v>
      </c>
      <c r="G1102" s="2" t="s">
        <v>671</v>
      </c>
      <c r="H1102" s="2" t="s">
        <v>26</v>
      </c>
      <c r="I1102" s="2" t="s">
        <v>43</v>
      </c>
      <c r="J1102" s="2" t="s">
        <v>411</v>
      </c>
      <c r="K1102" s="2" t="s">
        <v>412</v>
      </c>
      <c r="L1102" s="2" t="s">
        <v>167</v>
      </c>
      <c r="M1102" s="2">
        <v>460.95</v>
      </c>
      <c r="N1102" s="2">
        <v>2.0</v>
      </c>
      <c r="O1102" s="2" t="s">
        <v>5954</v>
      </c>
      <c r="P1102" s="2" t="s">
        <v>48</v>
      </c>
      <c r="Q1102" s="2" t="s">
        <v>143</v>
      </c>
      <c r="R1102" s="2" t="s">
        <v>452</v>
      </c>
      <c r="S1102" s="2" t="s">
        <v>81</v>
      </c>
    </row>
    <row r="1103" ht="15.75" customHeight="1">
      <c r="A1103" s="2" t="s">
        <v>5955</v>
      </c>
      <c r="B1103" s="2" t="s">
        <v>5956</v>
      </c>
      <c r="C1103" s="2" t="s">
        <v>3830</v>
      </c>
      <c r="D1103" s="2" t="s">
        <v>3831</v>
      </c>
      <c r="E1103" s="2" t="s">
        <v>3126</v>
      </c>
      <c r="F1103" s="2" t="s">
        <v>3832</v>
      </c>
      <c r="G1103" s="2" t="s">
        <v>139</v>
      </c>
      <c r="H1103" s="2" t="s">
        <v>42</v>
      </c>
      <c r="I1103" s="2" t="s">
        <v>5957</v>
      </c>
      <c r="J1103" s="2" t="s">
        <v>166</v>
      </c>
      <c r="K1103" s="2" t="s">
        <v>118</v>
      </c>
      <c r="L1103" s="2" t="s">
        <v>167</v>
      </c>
      <c r="M1103" s="2">
        <v>967.04</v>
      </c>
      <c r="N1103" s="2">
        <v>2.0</v>
      </c>
      <c r="O1103" s="2" t="s">
        <v>5958</v>
      </c>
      <c r="P1103" s="2" t="s">
        <v>48</v>
      </c>
      <c r="Q1103" s="2" t="s">
        <v>370</v>
      </c>
      <c r="R1103" s="2" t="s">
        <v>50</v>
      </c>
      <c r="S1103" s="2" t="s">
        <v>51</v>
      </c>
    </row>
    <row r="1104" ht="15.75" customHeight="1">
      <c r="A1104" s="2" t="s">
        <v>5959</v>
      </c>
      <c r="B1104" s="2" t="s">
        <v>5506</v>
      </c>
      <c r="C1104" s="2" t="s">
        <v>3245</v>
      </c>
      <c r="D1104" s="2" t="s">
        <v>3246</v>
      </c>
      <c r="E1104" s="2" t="s">
        <v>3247</v>
      </c>
      <c r="F1104" s="2" t="s">
        <v>5960</v>
      </c>
      <c r="G1104" s="2" t="s">
        <v>1336</v>
      </c>
      <c r="H1104" s="2" t="s">
        <v>223</v>
      </c>
      <c r="I1104" s="2" t="s">
        <v>5961</v>
      </c>
      <c r="J1104" s="2" t="s">
        <v>3101</v>
      </c>
      <c r="K1104" s="2" t="s">
        <v>1212</v>
      </c>
      <c r="L1104" s="2" t="s">
        <v>248</v>
      </c>
      <c r="M1104" s="2">
        <v>676.21</v>
      </c>
      <c r="N1104" s="2">
        <v>5.0</v>
      </c>
      <c r="O1104" s="2" t="s">
        <v>5962</v>
      </c>
      <c r="P1104" s="2" t="s">
        <v>32</v>
      </c>
      <c r="Q1104" s="2" t="s">
        <v>238</v>
      </c>
      <c r="R1104" s="2" t="s">
        <v>452</v>
      </c>
    </row>
    <row r="1105" ht="15.75" customHeight="1">
      <c r="A1105" s="2" t="s">
        <v>5963</v>
      </c>
      <c r="B1105" s="2" t="s">
        <v>5964</v>
      </c>
      <c r="C1105" s="2" t="s">
        <v>5821</v>
      </c>
      <c r="D1105" s="2" t="s">
        <v>5822</v>
      </c>
      <c r="E1105" s="2" t="s">
        <v>5823</v>
      </c>
      <c r="F1105" s="2" t="s">
        <v>5824</v>
      </c>
      <c r="G1105" s="2" t="s">
        <v>459</v>
      </c>
      <c r="H1105" s="2" t="s">
        <v>323</v>
      </c>
      <c r="I1105" s="2" t="s">
        <v>289</v>
      </c>
      <c r="J1105" s="2" t="s">
        <v>3053</v>
      </c>
      <c r="K1105" s="2" t="s">
        <v>741</v>
      </c>
      <c r="L1105" s="2" t="s">
        <v>63</v>
      </c>
      <c r="M1105" s="2">
        <v>740.56</v>
      </c>
      <c r="N1105" s="2">
        <v>1.0</v>
      </c>
      <c r="O1105" s="2" t="s">
        <v>5965</v>
      </c>
      <c r="P1105" s="2" t="s">
        <v>65</v>
      </c>
      <c r="Q1105" s="2" t="s">
        <v>181</v>
      </c>
      <c r="R1105" s="2" t="s">
        <v>527</v>
      </c>
    </row>
    <row r="1106" ht="15.75" customHeight="1">
      <c r="A1106" s="2" t="s">
        <v>5966</v>
      </c>
      <c r="B1106" s="2" t="s">
        <v>5967</v>
      </c>
      <c r="C1106" s="2" t="s">
        <v>2159</v>
      </c>
      <c r="D1106" s="2" t="s">
        <v>2160</v>
      </c>
      <c r="E1106" s="2" t="s">
        <v>2161</v>
      </c>
      <c r="F1106" s="2" t="s">
        <v>2162</v>
      </c>
      <c r="G1106" s="2" t="s">
        <v>364</v>
      </c>
      <c r="H1106" s="2" t="s">
        <v>400</v>
      </c>
      <c r="I1106" s="2" t="s">
        <v>480</v>
      </c>
      <c r="J1106" s="2" t="s">
        <v>1085</v>
      </c>
      <c r="K1106" s="2" t="s">
        <v>335</v>
      </c>
      <c r="L1106" s="2" t="s">
        <v>368</v>
      </c>
      <c r="M1106" s="2">
        <v>645.44</v>
      </c>
      <c r="N1106" s="2">
        <v>1.0</v>
      </c>
      <c r="O1106" s="2" t="s">
        <v>5968</v>
      </c>
      <c r="P1106" s="2" t="s">
        <v>48</v>
      </c>
      <c r="Q1106" s="2" t="s">
        <v>143</v>
      </c>
      <c r="R1106" s="2" t="s">
        <v>80</v>
      </c>
      <c r="S1106" s="2" t="s">
        <v>51</v>
      </c>
    </row>
    <row r="1107" ht="15.75" customHeight="1">
      <c r="A1107" s="2" t="s">
        <v>5969</v>
      </c>
      <c r="B1107" s="2" t="s">
        <v>5970</v>
      </c>
      <c r="C1107" s="2" t="s">
        <v>4192</v>
      </c>
      <c r="D1107" s="2" t="s">
        <v>4193</v>
      </c>
      <c r="E1107" s="2" t="s">
        <v>4194</v>
      </c>
      <c r="F1107" s="2" t="s">
        <v>4195</v>
      </c>
      <c r="G1107" s="2" t="s">
        <v>25</v>
      </c>
      <c r="H1107" s="2" t="s">
        <v>59</v>
      </c>
      <c r="I1107" s="2" t="s">
        <v>480</v>
      </c>
      <c r="J1107" s="2" t="s">
        <v>609</v>
      </c>
      <c r="K1107" s="2" t="s">
        <v>259</v>
      </c>
      <c r="L1107" s="2" t="s">
        <v>610</v>
      </c>
      <c r="N1107" s="2">
        <v>5.0</v>
      </c>
      <c r="O1107" s="2" t="s">
        <v>5971</v>
      </c>
      <c r="P1107" s="2" t="s">
        <v>65</v>
      </c>
      <c r="Q1107" s="2" t="s">
        <v>305</v>
      </c>
      <c r="R1107" s="2" t="s">
        <v>80</v>
      </c>
      <c r="S1107" s="2" t="s">
        <v>51</v>
      </c>
    </row>
    <row r="1108" ht="15.75" customHeight="1">
      <c r="A1108" s="2" t="s">
        <v>5972</v>
      </c>
      <c r="B1108" s="2" t="s">
        <v>5973</v>
      </c>
      <c r="C1108" s="2" t="s">
        <v>5478</v>
      </c>
      <c r="D1108" s="2" t="s">
        <v>5479</v>
      </c>
      <c r="E1108" s="2" t="s">
        <v>5480</v>
      </c>
      <c r="F1108" s="2" t="s">
        <v>5481</v>
      </c>
      <c r="G1108" s="2" t="s">
        <v>1319</v>
      </c>
      <c r="H1108" s="2" t="s">
        <v>301</v>
      </c>
      <c r="I1108" s="2" t="s">
        <v>103</v>
      </c>
      <c r="J1108" s="2" t="s">
        <v>258</v>
      </c>
      <c r="K1108" s="2" t="s">
        <v>259</v>
      </c>
      <c r="L1108" s="2" t="s">
        <v>214</v>
      </c>
      <c r="M1108" s="2">
        <v>1361.89</v>
      </c>
      <c r="N1108" s="2">
        <v>5.0</v>
      </c>
      <c r="O1108" s="2" t="s">
        <v>5974</v>
      </c>
      <c r="P1108" s="2" t="s">
        <v>95</v>
      </c>
      <c r="Q1108" s="2" t="s">
        <v>66</v>
      </c>
      <c r="R1108" s="2" t="s">
        <v>169</v>
      </c>
      <c r="S1108" s="2" t="s">
        <v>51</v>
      </c>
    </row>
    <row r="1109" ht="15.75" customHeight="1">
      <c r="A1109" s="2" t="s">
        <v>5975</v>
      </c>
      <c r="B1109" s="2" t="s">
        <v>5976</v>
      </c>
      <c r="C1109" s="2" t="s">
        <v>5977</v>
      </c>
      <c r="D1109" s="2" t="s">
        <v>5978</v>
      </c>
      <c r="E1109" s="2" t="s">
        <v>5979</v>
      </c>
      <c r="F1109" s="2" t="s">
        <v>5980</v>
      </c>
      <c r="G1109" s="2" t="s">
        <v>777</v>
      </c>
      <c r="H1109" s="2" t="s">
        <v>223</v>
      </c>
      <c r="I1109" s="2" t="s">
        <v>1178</v>
      </c>
      <c r="J1109" s="2" t="s">
        <v>246</v>
      </c>
      <c r="K1109" s="2" t="s">
        <v>247</v>
      </c>
      <c r="L1109" s="2" t="s">
        <v>248</v>
      </c>
      <c r="N1109" s="2">
        <v>2.0</v>
      </c>
      <c r="O1109" s="2" t="s">
        <v>5981</v>
      </c>
      <c r="P1109" s="2" t="s">
        <v>48</v>
      </c>
      <c r="Q1109" s="2" t="s">
        <v>379</v>
      </c>
      <c r="R1109" s="2" t="s">
        <v>251</v>
      </c>
      <c r="S1109" s="2" t="s">
        <v>133</v>
      </c>
    </row>
    <row r="1110" ht="15.75" customHeight="1">
      <c r="A1110" s="2" t="s">
        <v>5982</v>
      </c>
      <c r="B1110" s="2" t="s">
        <v>5983</v>
      </c>
      <c r="C1110" s="2" t="s">
        <v>1557</v>
      </c>
      <c r="D1110" s="2" t="s">
        <v>1558</v>
      </c>
      <c r="E1110" s="2" t="s">
        <v>1559</v>
      </c>
      <c r="F1110" s="2" t="s">
        <v>1560</v>
      </c>
      <c r="G1110" s="2" t="s">
        <v>114</v>
      </c>
      <c r="H1110" s="2" t="s">
        <v>42</v>
      </c>
      <c r="I1110" s="2" t="s">
        <v>401</v>
      </c>
      <c r="J1110" s="2" t="s">
        <v>212</v>
      </c>
      <c r="K1110" s="2" t="s">
        <v>213</v>
      </c>
      <c r="L1110" s="2" t="s">
        <v>214</v>
      </c>
      <c r="M1110" s="2">
        <v>865.94</v>
      </c>
      <c r="N1110" s="2">
        <v>2.0</v>
      </c>
      <c r="O1110" s="2" t="s">
        <v>5984</v>
      </c>
      <c r="P1110" s="2" t="s">
        <v>48</v>
      </c>
      <c r="Q1110" s="2" t="s">
        <v>33</v>
      </c>
      <c r="R1110" s="2" t="s">
        <v>818</v>
      </c>
    </row>
    <row r="1111" ht="15.75" customHeight="1">
      <c r="A1111" s="2" t="s">
        <v>5985</v>
      </c>
      <c r="B1111" s="2" t="s">
        <v>5986</v>
      </c>
      <c r="C1111" s="2" t="s">
        <v>5325</v>
      </c>
      <c r="D1111" s="2" t="s">
        <v>5326</v>
      </c>
      <c r="E1111" s="2" t="s">
        <v>5327</v>
      </c>
      <c r="F1111" s="2" t="s">
        <v>5328</v>
      </c>
      <c r="G1111" s="2" t="s">
        <v>139</v>
      </c>
      <c r="H1111" s="2" t="s">
        <v>59</v>
      </c>
      <c r="I1111" s="2" t="s">
        <v>480</v>
      </c>
      <c r="J1111" s="2" t="s">
        <v>302</v>
      </c>
      <c r="K1111" s="2" t="s">
        <v>303</v>
      </c>
      <c r="L1111" s="2" t="s">
        <v>248</v>
      </c>
      <c r="M1111" s="2">
        <v>1784.96</v>
      </c>
      <c r="N1111" s="2">
        <v>1.0</v>
      </c>
      <c r="O1111" s="2" t="s">
        <v>5987</v>
      </c>
      <c r="P1111" s="2" t="s">
        <v>95</v>
      </c>
      <c r="Q1111" s="2" t="s">
        <v>143</v>
      </c>
      <c r="R1111" s="2" t="s">
        <v>120</v>
      </c>
      <c r="S1111" s="2" t="s">
        <v>51</v>
      </c>
    </row>
    <row r="1112" ht="15.75" customHeight="1">
      <c r="A1112" s="2" t="s">
        <v>5988</v>
      </c>
      <c r="B1112" s="2" t="s">
        <v>5989</v>
      </c>
      <c r="C1112" s="2" t="s">
        <v>4612</v>
      </c>
      <c r="D1112" s="2" t="s">
        <v>4613</v>
      </c>
      <c r="E1112" s="2" t="s">
        <v>4614</v>
      </c>
      <c r="F1112" s="2" t="s">
        <v>4615</v>
      </c>
      <c r="G1112" s="2" t="s">
        <v>25</v>
      </c>
      <c r="H1112" s="2" t="s">
        <v>778</v>
      </c>
      <c r="I1112" s="2" t="s">
        <v>4496</v>
      </c>
      <c r="J1112" s="2" t="s">
        <v>1495</v>
      </c>
      <c r="K1112" s="2" t="s">
        <v>1138</v>
      </c>
      <c r="L1112" s="2" t="s">
        <v>248</v>
      </c>
      <c r="M1112" s="2">
        <v>1447.34</v>
      </c>
      <c r="N1112" s="2">
        <v>5.0</v>
      </c>
      <c r="O1112" s="2" t="s">
        <v>5990</v>
      </c>
      <c r="P1112" s="2" t="s">
        <v>612</v>
      </c>
      <c r="Q1112" s="2" t="s">
        <v>66</v>
      </c>
      <c r="R1112" s="2" t="s">
        <v>345</v>
      </c>
    </row>
    <row r="1113" ht="15.75" customHeight="1">
      <c r="A1113" s="2" t="s">
        <v>5991</v>
      </c>
      <c r="B1113" s="2" t="s">
        <v>5992</v>
      </c>
      <c r="C1113" s="2" t="s">
        <v>3005</v>
      </c>
      <c r="D1113" s="2" t="s">
        <v>3006</v>
      </c>
      <c r="E1113" s="2" t="s">
        <v>3007</v>
      </c>
      <c r="F1113" s="2" t="s">
        <v>3008</v>
      </c>
      <c r="G1113" s="2" t="s">
        <v>671</v>
      </c>
      <c r="H1113" s="2" t="s">
        <v>223</v>
      </c>
      <c r="I1113" s="2" t="s">
        <v>500</v>
      </c>
      <c r="J1113" s="2" t="s">
        <v>1476</v>
      </c>
      <c r="K1113" s="2" t="s">
        <v>1147</v>
      </c>
      <c r="L1113" s="2" t="s">
        <v>1477</v>
      </c>
      <c r="M1113" s="2">
        <v>558.47</v>
      </c>
      <c r="N1113" s="2">
        <v>5.0</v>
      </c>
      <c r="O1113" s="2" t="s">
        <v>5993</v>
      </c>
      <c r="P1113" s="2" t="s">
        <v>48</v>
      </c>
      <c r="Q1113" s="2" t="s">
        <v>573</v>
      </c>
      <c r="R1113" s="2" t="s">
        <v>1221</v>
      </c>
      <c r="S1113" s="2" t="s">
        <v>67</v>
      </c>
    </row>
    <row r="1114" ht="15.75" customHeight="1">
      <c r="A1114" s="2" t="s">
        <v>5994</v>
      </c>
      <c r="B1114" s="2" t="s">
        <v>5995</v>
      </c>
      <c r="C1114" s="2" t="s">
        <v>3292</v>
      </c>
      <c r="D1114" s="2" t="s">
        <v>3293</v>
      </c>
      <c r="E1114" s="2" t="s">
        <v>3294</v>
      </c>
      <c r="F1114" s="2" t="s">
        <v>3295</v>
      </c>
      <c r="G1114" s="2" t="s">
        <v>25</v>
      </c>
      <c r="H1114" s="2" t="s">
        <v>210</v>
      </c>
      <c r="I1114" s="2" t="s">
        <v>480</v>
      </c>
      <c r="J1114" s="2" t="s">
        <v>3172</v>
      </c>
      <c r="K1114" s="2" t="s">
        <v>3173</v>
      </c>
      <c r="L1114" s="2" t="s">
        <v>355</v>
      </c>
      <c r="M1114" s="2">
        <v>987.05</v>
      </c>
      <c r="N1114" s="2">
        <v>3.0</v>
      </c>
      <c r="O1114" s="2" t="s">
        <v>5996</v>
      </c>
      <c r="P1114" s="2" t="s">
        <v>95</v>
      </c>
      <c r="Q1114" s="2" t="s">
        <v>66</v>
      </c>
      <c r="R1114" s="2" t="s">
        <v>192</v>
      </c>
      <c r="S1114" s="2" t="s">
        <v>51</v>
      </c>
    </row>
    <row r="1115" ht="15.75" customHeight="1">
      <c r="A1115" s="2" t="s">
        <v>5997</v>
      </c>
      <c r="B1115" s="2" t="s">
        <v>5998</v>
      </c>
      <c r="C1115" s="2" t="s">
        <v>788</v>
      </c>
      <c r="D1115" s="2" t="s">
        <v>789</v>
      </c>
      <c r="E1115" s="2" t="s">
        <v>790</v>
      </c>
      <c r="F1115" s="2" t="s">
        <v>791</v>
      </c>
      <c r="G1115" s="2" t="s">
        <v>199</v>
      </c>
      <c r="H1115" s="2" t="s">
        <v>802</v>
      </c>
      <c r="I1115" s="2" t="s">
        <v>480</v>
      </c>
      <c r="J1115" s="2" t="s">
        <v>481</v>
      </c>
      <c r="K1115" s="2" t="s">
        <v>291</v>
      </c>
      <c r="L1115" s="2" t="s">
        <v>482</v>
      </c>
      <c r="M1115" s="2">
        <v>365.17</v>
      </c>
      <c r="N1115" s="2">
        <v>5.0</v>
      </c>
      <c r="O1115" s="2" t="s">
        <v>5999</v>
      </c>
      <c r="P1115" s="2" t="s">
        <v>95</v>
      </c>
      <c r="Q1115" s="2" t="s">
        <v>49</v>
      </c>
      <c r="R1115" s="2" t="s">
        <v>442</v>
      </c>
      <c r="S1115" s="2" t="s">
        <v>51</v>
      </c>
    </row>
    <row r="1116" ht="15.75" customHeight="1">
      <c r="A1116" s="2" t="s">
        <v>6000</v>
      </c>
      <c r="B1116" s="2" t="s">
        <v>6001</v>
      </c>
      <c r="C1116" s="2" t="s">
        <v>4185</v>
      </c>
      <c r="D1116" s="2" t="s">
        <v>4186</v>
      </c>
      <c r="E1116" s="2" t="s">
        <v>4187</v>
      </c>
      <c r="F1116" s="2" t="s">
        <v>4188</v>
      </c>
      <c r="G1116" s="2" t="s">
        <v>114</v>
      </c>
      <c r="H1116" s="2" t="s">
        <v>115</v>
      </c>
      <c r="I1116" s="2" t="s">
        <v>512</v>
      </c>
      <c r="J1116" s="2" t="s">
        <v>4048</v>
      </c>
      <c r="K1116" s="2" t="s">
        <v>4049</v>
      </c>
      <c r="L1116" s="2" t="s">
        <v>214</v>
      </c>
      <c r="N1116" s="2">
        <v>1.0</v>
      </c>
      <c r="O1116" s="2" t="s">
        <v>6002</v>
      </c>
      <c r="P1116" s="2" t="s">
        <v>95</v>
      </c>
      <c r="Q1116" s="2" t="s">
        <v>143</v>
      </c>
      <c r="R1116" s="2" t="s">
        <v>452</v>
      </c>
      <c r="S1116" s="2" t="s">
        <v>51</v>
      </c>
    </row>
    <row r="1117" ht="15.75" customHeight="1">
      <c r="A1117" s="2" t="s">
        <v>6003</v>
      </c>
      <c r="B1117" s="2" t="s">
        <v>6004</v>
      </c>
      <c r="C1117" s="2" t="s">
        <v>6005</v>
      </c>
      <c r="D1117" s="2" t="s">
        <v>3109</v>
      </c>
      <c r="E1117" s="2" t="s">
        <v>6006</v>
      </c>
      <c r="F1117" s="2" t="s">
        <v>6007</v>
      </c>
      <c r="G1117" s="2" t="s">
        <v>738</v>
      </c>
      <c r="H1117" s="2" t="s">
        <v>42</v>
      </c>
      <c r="I1117" s="2" t="s">
        <v>289</v>
      </c>
      <c r="J1117" s="2" t="s">
        <v>904</v>
      </c>
      <c r="K1117" s="2" t="s">
        <v>905</v>
      </c>
      <c r="L1117" s="2" t="s">
        <v>167</v>
      </c>
      <c r="M1117" s="2">
        <v>1498.13</v>
      </c>
      <c r="N1117" s="2">
        <v>2.0</v>
      </c>
      <c r="O1117" s="2" t="s">
        <v>6008</v>
      </c>
      <c r="P1117" s="2" t="s">
        <v>95</v>
      </c>
      <c r="Q1117" s="2" t="s">
        <v>49</v>
      </c>
      <c r="R1117" s="2" t="s">
        <v>169</v>
      </c>
    </row>
    <row r="1118" ht="15.75" customHeight="1">
      <c r="A1118" s="2" t="s">
        <v>6009</v>
      </c>
      <c r="B1118" s="2" t="s">
        <v>5723</v>
      </c>
      <c r="C1118" s="2" t="s">
        <v>893</v>
      </c>
      <c r="D1118" s="2" t="s">
        <v>894</v>
      </c>
      <c r="E1118" s="2" t="s">
        <v>895</v>
      </c>
      <c r="F1118" s="2" t="s">
        <v>896</v>
      </c>
      <c r="G1118" s="2" t="s">
        <v>114</v>
      </c>
      <c r="H1118" s="2" t="s">
        <v>42</v>
      </c>
      <c r="I1118" s="2" t="s">
        <v>103</v>
      </c>
      <c r="J1118" s="2" t="s">
        <v>1014</v>
      </c>
      <c r="K1118" s="2" t="s">
        <v>1015</v>
      </c>
      <c r="L1118" s="2" t="s">
        <v>1016</v>
      </c>
      <c r="M1118" s="2">
        <v>954.48</v>
      </c>
      <c r="N1118" s="2">
        <v>2.0</v>
      </c>
      <c r="O1118" s="2" t="s">
        <v>6010</v>
      </c>
      <c r="P1118" s="2" t="s">
        <v>32</v>
      </c>
      <c r="Q1118" s="2" t="s">
        <v>49</v>
      </c>
      <c r="R1118" s="2" t="s">
        <v>80</v>
      </c>
    </row>
    <row r="1119" ht="15.75" customHeight="1">
      <c r="A1119" s="2" t="s">
        <v>6011</v>
      </c>
      <c r="B1119" s="2" t="s">
        <v>6012</v>
      </c>
      <c r="C1119" s="2" t="s">
        <v>6013</v>
      </c>
      <c r="D1119" s="2" t="s">
        <v>6014</v>
      </c>
      <c r="E1119" s="2" t="s">
        <v>6015</v>
      </c>
      <c r="F1119" s="2" t="s">
        <v>6016</v>
      </c>
      <c r="G1119" s="2" t="s">
        <v>1054</v>
      </c>
      <c r="H1119" s="2" t="s">
        <v>323</v>
      </c>
      <c r="I1119" s="2" t="s">
        <v>176</v>
      </c>
      <c r="J1119" s="2" t="s">
        <v>2680</v>
      </c>
      <c r="K1119" s="2" t="s">
        <v>303</v>
      </c>
      <c r="L1119" s="2" t="s">
        <v>2421</v>
      </c>
      <c r="N1119" s="2">
        <v>1.0</v>
      </c>
      <c r="O1119" s="2" t="s">
        <v>6017</v>
      </c>
      <c r="P1119" s="2" t="s">
        <v>48</v>
      </c>
      <c r="Q1119" s="2" t="s">
        <v>49</v>
      </c>
      <c r="R1119" s="2" t="s">
        <v>80</v>
      </c>
      <c r="S1119" s="2" t="s">
        <v>133</v>
      </c>
    </row>
    <row r="1120" ht="15.75" customHeight="1">
      <c r="A1120" s="2" t="s">
        <v>6018</v>
      </c>
      <c r="B1120" s="2" t="s">
        <v>5034</v>
      </c>
      <c r="C1120" s="2" t="s">
        <v>3470</v>
      </c>
      <c r="D1120" s="2" t="s">
        <v>867</v>
      </c>
      <c r="E1120" s="2" t="s">
        <v>3471</v>
      </c>
      <c r="F1120" s="2" t="s">
        <v>3472</v>
      </c>
      <c r="G1120" s="2" t="s">
        <v>1336</v>
      </c>
      <c r="H1120" s="2" t="s">
        <v>234</v>
      </c>
      <c r="I1120" s="2" t="s">
        <v>176</v>
      </c>
      <c r="J1120" s="2" t="s">
        <v>2688</v>
      </c>
      <c r="K1120" s="2" t="s">
        <v>502</v>
      </c>
      <c r="L1120" s="2" t="s">
        <v>179</v>
      </c>
      <c r="M1120" s="2">
        <v>749.13</v>
      </c>
      <c r="N1120" s="2">
        <v>1.0</v>
      </c>
      <c r="O1120" s="2" t="s">
        <v>6019</v>
      </c>
      <c r="P1120" s="2" t="s">
        <v>32</v>
      </c>
      <c r="Q1120" s="2" t="s">
        <v>143</v>
      </c>
      <c r="R1120" s="2" t="s">
        <v>306</v>
      </c>
      <c r="S1120" s="2" t="s">
        <v>133</v>
      </c>
    </row>
    <row r="1121" ht="15.75" customHeight="1">
      <c r="A1121" s="2" t="s">
        <v>6020</v>
      </c>
      <c r="B1121" s="2" t="s">
        <v>6021</v>
      </c>
      <c r="C1121" s="2" t="s">
        <v>4357</v>
      </c>
      <c r="D1121" s="2" t="s">
        <v>4358</v>
      </c>
      <c r="E1121" s="2" t="s">
        <v>4359</v>
      </c>
      <c r="F1121" s="2" t="s">
        <v>4360</v>
      </c>
      <c r="G1121" s="2" t="s">
        <v>720</v>
      </c>
      <c r="H1121" s="2" t="s">
        <v>210</v>
      </c>
      <c r="I1121" s="2" t="s">
        <v>480</v>
      </c>
      <c r="J1121" s="2" t="s">
        <v>803</v>
      </c>
      <c r="K1121" s="2" t="s">
        <v>804</v>
      </c>
      <c r="L1121" s="2" t="s">
        <v>805</v>
      </c>
      <c r="M1121" s="2">
        <v>595.41</v>
      </c>
      <c r="N1121" s="2">
        <v>2.0</v>
      </c>
      <c r="O1121" s="2" t="s">
        <v>6022</v>
      </c>
      <c r="P1121" s="2" t="s">
        <v>32</v>
      </c>
      <c r="Q1121" s="2" t="s">
        <v>664</v>
      </c>
      <c r="R1121" s="2" t="s">
        <v>432</v>
      </c>
    </row>
    <row r="1122" ht="15.75" customHeight="1">
      <c r="A1122" s="2" t="s">
        <v>6023</v>
      </c>
      <c r="B1122" s="2" t="s">
        <v>6024</v>
      </c>
      <c r="C1122" s="2" t="s">
        <v>631</v>
      </c>
      <c r="D1122" s="2" t="s">
        <v>632</v>
      </c>
      <c r="E1122" s="2" t="s">
        <v>633</v>
      </c>
      <c r="F1122" s="2" t="s">
        <v>634</v>
      </c>
      <c r="G1122" s="2" t="s">
        <v>459</v>
      </c>
      <c r="H1122" s="2" t="s">
        <v>42</v>
      </c>
      <c r="I1122" s="2" t="s">
        <v>60</v>
      </c>
      <c r="J1122" s="2" t="s">
        <v>2688</v>
      </c>
      <c r="K1122" s="2" t="s">
        <v>502</v>
      </c>
      <c r="L1122" s="2" t="s">
        <v>179</v>
      </c>
      <c r="N1122" s="2">
        <v>1.0</v>
      </c>
      <c r="O1122" s="2" t="s">
        <v>6025</v>
      </c>
      <c r="P1122" s="2" t="s">
        <v>32</v>
      </c>
      <c r="Q1122" s="2" t="s">
        <v>66</v>
      </c>
      <c r="R1122" s="2" t="s">
        <v>818</v>
      </c>
      <c r="S1122" s="2" t="s">
        <v>133</v>
      </c>
    </row>
    <row r="1123" ht="15.75" customHeight="1">
      <c r="A1123" s="2" t="s">
        <v>6026</v>
      </c>
      <c r="B1123" s="2" t="s">
        <v>6027</v>
      </c>
      <c r="C1123" s="2" t="s">
        <v>2635</v>
      </c>
      <c r="D1123" s="2" t="s">
        <v>2636</v>
      </c>
      <c r="E1123" s="2" t="s">
        <v>2637</v>
      </c>
      <c r="F1123" s="2" t="s">
        <v>2638</v>
      </c>
      <c r="G1123" s="2" t="s">
        <v>1177</v>
      </c>
      <c r="H1123" s="2" t="s">
        <v>42</v>
      </c>
      <c r="I1123" s="2" t="s">
        <v>289</v>
      </c>
      <c r="J1123" s="2" t="s">
        <v>4068</v>
      </c>
      <c r="K1123" s="2" t="s">
        <v>4069</v>
      </c>
      <c r="L1123" s="2" t="s">
        <v>1016</v>
      </c>
      <c r="M1123" s="2">
        <v>1287.4</v>
      </c>
      <c r="N1123" s="2">
        <v>1.0</v>
      </c>
      <c r="O1123" s="2" t="s">
        <v>6028</v>
      </c>
      <c r="P1123" s="2" t="s">
        <v>32</v>
      </c>
      <c r="Q1123" s="2" t="s">
        <v>49</v>
      </c>
      <c r="R1123" s="2" t="s">
        <v>345</v>
      </c>
    </row>
    <row r="1124" ht="15.75" customHeight="1">
      <c r="A1124" s="2" t="s">
        <v>6029</v>
      </c>
      <c r="B1124" s="2" t="s">
        <v>6030</v>
      </c>
      <c r="C1124" s="2" t="s">
        <v>972</v>
      </c>
      <c r="D1124" s="2" t="s">
        <v>3458</v>
      </c>
      <c r="E1124" s="2" t="s">
        <v>3459</v>
      </c>
      <c r="F1124" s="2" t="s">
        <v>975</v>
      </c>
      <c r="G1124" s="2" t="s">
        <v>608</v>
      </c>
      <c r="H1124" s="2" t="s">
        <v>74</v>
      </c>
      <c r="I1124" s="2" t="s">
        <v>103</v>
      </c>
      <c r="J1124" s="2" t="s">
        <v>1327</v>
      </c>
      <c r="K1124" s="2" t="s">
        <v>291</v>
      </c>
      <c r="L1124" s="2" t="s">
        <v>1328</v>
      </c>
      <c r="M1124" s="2">
        <v>976.69</v>
      </c>
      <c r="N1124" s="2">
        <v>3.0</v>
      </c>
      <c r="O1124" s="2" t="s">
        <v>6031</v>
      </c>
      <c r="P1124" s="2" t="s">
        <v>32</v>
      </c>
      <c r="Q1124" s="2" t="s">
        <v>143</v>
      </c>
      <c r="R1124" s="2" t="s">
        <v>3136</v>
      </c>
      <c r="S1124" s="2" t="s">
        <v>81</v>
      </c>
    </row>
    <row r="1125" ht="15.75" customHeight="1">
      <c r="A1125" s="2" t="s">
        <v>6032</v>
      </c>
      <c r="B1125" s="2" t="s">
        <v>6033</v>
      </c>
      <c r="C1125" s="2" t="s">
        <v>3139</v>
      </c>
      <c r="D1125" s="2" t="s">
        <v>3140</v>
      </c>
      <c r="E1125" s="2" t="s">
        <v>3141</v>
      </c>
      <c r="F1125" s="2" t="s">
        <v>3142</v>
      </c>
      <c r="G1125" s="2" t="s">
        <v>3143</v>
      </c>
      <c r="H1125" s="2" t="s">
        <v>26</v>
      </c>
      <c r="I1125" s="2" t="s">
        <v>2255</v>
      </c>
      <c r="J1125" s="2" t="s">
        <v>824</v>
      </c>
      <c r="K1125" s="2" t="s">
        <v>825</v>
      </c>
      <c r="L1125" s="2" t="s">
        <v>826</v>
      </c>
      <c r="M1125" s="2">
        <v>1733.08</v>
      </c>
      <c r="N1125" s="2">
        <v>2.0</v>
      </c>
      <c r="O1125" s="2" t="s">
        <v>6034</v>
      </c>
      <c r="P1125" s="2" t="s">
        <v>95</v>
      </c>
      <c r="Q1125" s="2" t="s">
        <v>143</v>
      </c>
      <c r="R1125" s="2" t="s">
        <v>294</v>
      </c>
      <c r="S1125" s="2" t="s">
        <v>81</v>
      </c>
    </row>
    <row r="1126" ht="15.75" customHeight="1">
      <c r="A1126" s="2" t="s">
        <v>6035</v>
      </c>
      <c r="B1126" s="2" t="s">
        <v>6036</v>
      </c>
      <c r="C1126" s="2" t="s">
        <v>6037</v>
      </c>
      <c r="D1126" s="2" t="s">
        <v>6038</v>
      </c>
      <c r="E1126" s="2" t="s">
        <v>6039</v>
      </c>
      <c r="F1126" s="2" t="s">
        <v>6040</v>
      </c>
      <c r="G1126" s="2" t="s">
        <v>548</v>
      </c>
      <c r="H1126" s="2" t="s">
        <v>400</v>
      </c>
      <c r="I1126" s="2" t="s">
        <v>90</v>
      </c>
      <c r="J1126" s="2" t="s">
        <v>246</v>
      </c>
      <c r="K1126" s="2" t="s">
        <v>247</v>
      </c>
      <c r="L1126" s="2" t="s">
        <v>248</v>
      </c>
      <c r="M1126" s="2">
        <v>1320.03</v>
      </c>
      <c r="N1126" s="2">
        <v>1.0</v>
      </c>
      <c r="O1126" s="2" t="s">
        <v>6041</v>
      </c>
      <c r="P1126" s="2" t="s">
        <v>32</v>
      </c>
      <c r="Q1126" s="2" t="s">
        <v>181</v>
      </c>
      <c r="R1126" s="2" t="s">
        <v>144</v>
      </c>
    </row>
    <row r="1127" ht="15.75" customHeight="1">
      <c r="A1127" s="2" t="s">
        <v>6042</v>
      </c>
      <c r="B1127" s="2" t="s">
        <v>6043</v>
      </c>
      <c r="C1127" s="2" t="s">
        <v>1456</v>
      </c>
      <c r="D1127" s="2" t="s">
        <v>1457</v>
      </c>
      <c r="E1127" s="2" t="s">
        <v>1458</v>
      </c>
      <c r="F1127" s="2" t="s">
        <v>1459</v>
      </c>
      <c r="G1127" s="2" t="s">
        <v>608</v>
      </c>
      <c r="H1127" s="2" t="s">
        <v>234</v>
      </c>
      <c r="I1127" s="2" t="s">
        <v>480</v>
      </c>
      <c r="J1127" s="2" t="s">
        <v>1432</v>
      </c>
      <c r="K1127" s="2" t="s">
        <v>994</v>
      </c>
      <c r="L1127" s="2" t="s">
        <v>1328</v>
      </c>
      <c r="M1127" s="2">
        <v>585.54</v>
      </c>
      <c r="N1127" s="2">
        <v>1.0</v>
      </c>
      <c r="O1127" s="2" t="s">
        <v>6044</v>
      </c>
      <c r="P1127" s="2" t="s">
        <v>95</v>
      </c>
      <c r="Q1127" s="2" t="s">
        <v>526</v>
      </c>
      <c r="R1127" s="2" t="s">
        <v>144</v>
      </c>
      <c r="S1127" s="2" t="s">
        <v>81</v>
      </c>
    </row>
    <row r="1128" ht="15.75" customHeight="1">
      <c r="A1128" s="2" t="s">
        <v>6045</v>
      </c>
      <c r="B1128" s="2" t="s">
        <v>6046</v>
      </c>
      <c r="C1128" s="2" t="s">
        <v>508</v>
      </c>
      <c r="D1128" s="2" t="s">
        <v>509</v>
      </c>
      <c r="E1128" s="2" t="s">
        <v>510</v>
      </c>
      <c r="F1128" s="2" t="s">
        <v>511</v>
      </c>
      <c r="G1128" s="2" t="s">
        <v>73</v>
      </c>
      <c r="H1128" s="2" t="s">
        <v>234</v>
      </c>
      <c r="I1128" s="2" t="s">
        <v>333</v>
      </c>
      <c r="J1128" s="2" t="s">
        <v>5482</v>
      </c>
      <c r="K1128" s="2" t="s">
        <v>1359</v>
      </c>
      <c r="L1128" s="2" t="s">
        <v>503</v>
      </c>
      <c r="M1128" s="2">
        <v>1536.07</v>
      </c>
      <c r="N1128" s="2">
        <v>3.0</v>
      </c>
      <c r="O1128" s="2" t="s">
        <v>6047</v>
      </c>
      <c r="P1128" s="2" t="s">
        <v>32</v>
      </c>
      <c r="Q1128" s="2" t="s">
        <v>131</v>
      </c>
      <c r="R1128" s="2" t="s">
        <v>50</v>
      </c>
    </row>
    <row r="1129" ht="15.75" customHeight="1">
      <c r="A1129" s="2" t="s">
        <v>6048</v>
      </c>
      <c r="B1129" s="2" t="s">
        <v>6049</v>
      </c>
      <c r="C1129" s="2" t="s">
        <v>4232</v>
      </c>
      <c r="D1129" s="2" t="s">
        <v>4233</v>
      </c>
      <c r="E1129" s="2" t="s">
        <v>6050</v>
      </c>
      <c r="F1129" s="2" t="s">
        <v>4234</v>
      </c>
      <c r="G1129" s="2" t="s">
        <v>58</v>
      </c>
      <c r="H1129" s="2" t="s">
        <v>323</v>
      </c>
      <c r="I1129" s="2" t="s">
        <v>401</v>
      </c>
      <c r="J1129" s="2" t="s">
        <v>279</v>
      </c>
      <c r="K1129" s="2" t="s">
        <v>280</v>
      </c>
      <c r="L1129" s="2" t="s">
        <v>281</v>
      </c>
      <c r="M1129" s="2">
        <v>287.29</v>
      </c>
      <c r="N1129" s="2">
        <v>1.0</v>
      </c>
      <c r="O1129" s="2" t="s">
        <v>6051</v>
      </c>
      <c r="P1129" s="2" t="s">
        <v>32</v>
      </c>
      <c r="Q1129" s="2" t="s">
        <v>181</v>
      </c>
      <c r="R1129" s="2" t="s">
        <v>3223</v>
      </c>
      <c r="S1129" s="2" t="s">
        <v>67</v>
      </c>
    </row>
    <row r="1130" ht="15.75" customHeight="1">
      <c r="A1130" s="2" t="s">
        <v>6052</v>
      </c>
      <c r="B1130" s="2" t="s">
        <v>6053</v>
      </c>
      <c r="C1130" s="2" t="s">
        <v>219</v>
      </c>
      <c r="D1130" s="2" t="s">
        <v>220</v>
      </c>
      <c r="E1130" s="2" t="s">
        <v>221</v>
      </c>
      <c r="F1130" s="2" t="s">
        <v>222</v>
      </c>
      <c r="G1130" s="2" t="s">
        <v>114</v>
      </c>
      <c r="H1130" s="2" t="s">
        <v>1167</v>
      </c>
      <c r="I1130" s="2" t="s">
        <v>512</v>
      </c>
      <c r="J1130" s="2" t="s">
        <v>711</v>
      </c>
      <c r="K1130" s="2" t="s">
        <v>712</v>
      </c>
      <c r="L1130" s="2" t="s">
        <v>637</v>
      </c>
      <c r="M1130" s="2">
        <v>1250.11</v>
      </c>
      <c r="N1130" s="2">
        <v>2.0</v>
      </c>
      <c r="O1130" s="2" t="s">
        <v>6054</v>
      </c>
      <c r="P1130" s="2" t="s">
        <v>95</v>
      </c>
      <c r="Q1130" s="2" t="s">
        <v>181</v>
      </c>
      <c r="R1130" s="2" t="s">
        <v>80</v>
      </c>
    </row>
    <row r="1131" ht="15.75" customHeight="1">
      <c r="A1131" s="2" t="s">
        <v>6055</v>
      </c>
      <c r="B1131" s="2" t="s">
        <v>6056</v>
      </c>
      <c r="C1131" s="2" t="s">
        <v>1557</v>
      </c>
      <c r="D1131" s="2" t="s">
        <v>1558</v>
      </c>
      <c r="E1131" s="2" t="s">
        <v>1559</v>
      </c>
      <c r="F1131" s="2" t="s">
        <v>1560</v>
      </c>
      <c r="G1131" s="2" t="s">
        <v>114</v>
      </c>
      <c r="H1131" s="2" t="s">
        <v>210</v>
      </c>
      <c r="I1131" s="2" t="s">
        <v>103</v>
      </c>
      <c r="J1131" s="2" t="s">
        <v>740</v>
      </c>
      <c r="K1131" s="2" t="s">
        <v>741</v>
      </c>
      <c r="L1131" s="2" t="s">
        <v>742</v>
      </c>
      <c r="M1131" s="2">
        <v>259.15</v>
      </c>
      <c r="N1131" s="2">
        <v>5.0</v>
      </c>
      <c r="O1131" s="2" t="s">
        <v>6057</v>
      </c>
      <c r="P1131" s="2" t="s">
        <v>32</v>
      </c>
      <c r="Q1131" s="2" t="s">
        <v>143</v>
      </c>
      <c r="R1131" s="2" t="s">
        <v>132</v>
      </c>
      <c r="S1131" s="2" t="s">
        <v>51</v>
      </c>
    </row>
    <row r="1132" ht="15.75" customHeight="1">
      <c r="A1132" s="2" t="s">
        <v>6058</v>
      </c>
      <c r="B1132" s="2" t="s">
        <v>6059</v>
      </c>
      <c r="C1132" s="2" t="s">
        <v>6060</v>
      </c>
      <c r="D1132" s="2" t="s">
        <v>6061</v>
      </c>
      <c r="E1132" s="2" t="s">
        <v>6062</v>
      </c>
      <c r="G1132" s="2" t="s">
        <v>25</v>
      </c>
      <c r="H1132" s="2" t="s">
        <v>223</v>
      </c>
      <c r="I1132" s="2" t="s">
        <v>480</v>
      </c>
      <c r="J1132" s="2" t="s">
        <v>439</v>
      </c>
      <c r="K1132" s="2" t="s">
        <v>440</v>
      </c>
      <c r="L1132" s="2" t="s">
        <v>63</v>
      </c>
      <c r="N1132" s="2">
        <v>5.0</v>
      </c>
      <c r="O1132" s="2" t="s">
        <v>6063</v>
      </c>
      <c r="P1132" s="2" t="s">
        <v>48</v>
      </c>
      <c r="Q1132" s="2" t="s">
        <v>49</v>
      </c>
      <c r="R1132" s="2" t="s">
        <v>294</v>
      </c>
      <c r="S1132" s="2" t="s">
        <v>133</v>
      </c>
    </row>
    <row r="1133" ht="15.75" customHeight="1">
      <c r="A1133" s="2" t="s">
        <v>6064</v>
      </c>
      <c r="B1133" s="2" t="s">
        <v>6065</v>
      </c>
      <c r="C1133" s="2" t="s">
        <v>195</v>
      </c>
      <c r="D1133" s="2" t="s">
        <v>196</v>
      </c>
      <c r="E1133" s="2" t="s">
        <v>197</v>
      </c>
      <c r="F1133" s="2" t="s">
        <v>198</v>
      </c>
      <c r="G1133" s="2" t="s">
        <v>199</v>
      </c>
      <c r="H1133" s="2" t="s">
        <v>223</v>
      </c>
      <c r="I1133" s="2" t="s">
        <v>176</v>
      </c>
      <c r="J1133" s="2" t="s">
        <v>1255</v>
      </c>
      <c r="K1133" s="2" t="s">
        <v>29</v>
      </c>
      <c r="L1133" s="2" t="s">
        <v>271</v>
      </c>
      <c r="N1133" s="2">
        <v>2.0</v>
      </c>
      <c r="O1133" s="2" t="s">
        <v>6066</v>
      </c>
      <c r="P1133" s="2" t="s">
        <v>48</v>
      </c>
      <c r="Q1133" s="2" t="s">
        <v>664</v>
      </c>
      <c r="R1133" s="2" t="s">
        <v>80</v>
      </c>
      <c r="S1133" s="2" t="s">
        <v>133</v>
      </c>
    </row>
    <row r="1134" ht="15.75" customHeight="1">
      <c r="A1134" s="2" t="s">
        <v>6067</v>
      </c>
      <c r="B1134" s="2" t="s">
        <v>6068</v>
      </c>
      <c r="C1134" s="2" t="s">
        <v>5853</v>
      </c>
      <c r="D1134" s="2" t="s">
        <v>561</v>
      </c>
      <c r="E1134" s="2" t="s">
        <v>5854</v>
      </c>
      <c r="G1134" s="2" t="s">
        <v>608</v>
      </c>
      <c r="H1134" s="2" t="s">
        <v>26</v>
      </c>
      <c r="I1134" s="2" t="s">
        <v>352</v>
      </c>
      <c r="J1134" s="2" t="s">
        <v>302</v>
      </c>
      <c r="K1134" s="2" t="s">
        <v>303</v>
      </c>
      <c r="L1134" s="2" t="s">
        <v>248</v>
      </c>
      <c r="M1134" s="2">
        <v>664.34</v>
      </c>
      <c r="N1134" s="2">
        <v>5.0</v>
      </c>
      <c r="O1134" s="2" t="s">
        <v>6069</v>
      </c>
      <c r="P1134" s="2" t="s">
        <v>48</v>
      </c>
      <c r="Q1134" s="2" t="s">
        <v>33</v>
      </c>
      <c r="R1134" s="2" t="s">
        <v>158</v>
      </c>
      <c r="S1134" s="2" t="s">
        <v>67</v>
      </c>
    </row>
    <row r="1135" ht="15.75" customHeight="1">
      <c r="A1135" s="2" t="s">
        <v>6070</v>
      </c>
      <c r="B1135" s="2" t="s">
        <v>6071</v>
      </c>
      <c r="C1135" s="2" t="s">
        <v>1659</v>
      </c>
      <c r="D1135" s="2" t="s">
        <v>1727</v>
      </c>
      <c r="E1135" s="2" t="s">
        <v>6072</v>
      </c>
      <c r="F1135" s="2" t="s">
        <v>1662</v>
      </c>
      <c r="G1135" s="2" t="s">
        <v>114</v>
      </c>
      <c r="H1135" s="2" t="s">
        <v>223</v>
      </c>
      <c r="I1135" s="2" t="s">
        <v>522</v>
      </c>
      <c r="J1135" s="2" t="s">
        <v>824</v>
      </c>
      <c r="K1135" s="2" t="s">
        <v>825</v>
      </c>
      <c r="L1135" s="2" t="s">
        <v>826</v>
      </c>
      <c r="N1135" s="2">
        <v>3.0</v>
      </c>
      <c r="O1135" s="2" t="s">
        <v>6073</v>
      </c>
      <c r="P1135" s="2" t="s">
        <v>95</v>
      </c>
      <c r="Q1135" s="2" t="s">
        <v>66</v>
      </c>
      <c r="R1135" s="2" t="s">
        <v>818</v>
      </c>
      <c r="S1135" s="2" t="s">
        <v>51</v>
      </c>
    </row>
    <row r="1136" ht="15.75" customHeight="1">
      <c r="A1136" s="2" t="s">
        <v>6074</v>
      </c>
      <c r="B1136" s="2" t="s">
        <v>6075</v>
      </c>
      <c r="C1136" s="2" t="s">
        <v>4630</v>
      </c>
      <c r="D1136" s="2" t="s">
        <v>4631</v>
      </c>
      <c r="E1136" s="2" t="s">
        <v>4632</v>
      </c>
      <c r="F1136" s="2" t="s">
        <v>4633</v>
      </c>
      <c r="G1136" s="2" t="s">
        <v>459</v>
      </c>
      <c r="H1136" s="2" t="s">
        <v>6076</v>
      </c>
      <c r="I1136" s="2" t="s">
        <v>365</v>
      </c>
      <c r="J1136" s="2" t="s">
        <v>2033</v>
      </c>
      <c r="K1136" s="2" t="s">
        <v>2034</v>
      </c>
      <c r="L1136" s="2" t="s">
        <v>1016</v>
      </c>
      <c r="M1136" s="2">
        <v>210.43</v>
      </c>
      <c r="N1136" s="2">
        <v>2.0</v>
      </c>
      <c r="O1136" s="2" t="s">
        <v>6077</v>
      </c>
      <c r="P1136" s="2" t="s">
        <v>48</v>
      </c>
      <c r="Q1136" s="2" t="s">
        <v>143</v>
      </c>
      <c r="R1136" s="2" t="s">
        <v>251</v>
      </c>
    </row>
    <row r="1137" ht="15.75" customHeight="1">
      <c r="A1137" s="2" t="s">
        <v>6078</v>
      </c>
      <c r="B1137" s="2" t="s">
        <v>6079</v>
      </c>
      <c r="C1137" s="2" t="s">
        <v>980</v>
      </c>
      <c r="D1137" s="2" t="s">
        <v>981</v>
      </c>
      <c r="F1137" s="2" t="s">
        <v>983</v>
      </c>
      <c r="G1137" s="2" t="s">
        <v>58</v>
      </c>
      <c r="H1137" s="2" t="s">
        <v>802</v>
      </c>
      <c r="I1137" s="2" t="s">
        <v>571</v>
      </c>
      <c r="J1137" s="2" t="s">
        <v>609</v>
      </c>
      <c r="K1137" s="2" t="s">
        <v>259</v>
      </c>
      <c r="L1137" s="2" t="s">
        <v>610</v>
      </c>
      <c r="N1137" s="2">
        <v>2.0</v>
      </c>
      <c r="O1137" s="2" t="s">
        <v>6080</v>
      </c>
      <c r="P1137" s="2" t="s">
        <v>32</v>
      </c>
      <c r="Q1137" s="2" t="s">
        <v>2456</v>
      </c>
      <c r="R1137" s="2" t="s">
        <v>169</v>
      </c>
    </row>
    <row r="1138" ht="15.75" customHeight="1">
      <c r="A1138" s="2" t="s">
        <v>6081</v>
      </c>
      <c r="B1138" s="2" t="s">
        <v>6082</v>
      </c>
      <c r="C1138" s="2" t="s">
        <v>6083</v>
      </c>
      <c r="D1138" s="2" t="s">
        <v>6084</v>
      </c>
      <c r="E1138" s="2" t="s">
        <v>6085</v>
      </c>
      <c r="F1138" s="2" t="s">
        <v>6086</v>
      </c>
      <c r="G1138" s="2" t="s">
        <v>6087</v>
      </c>
      <c r="H1138" s="2" t="s">
        <v>59</v>
      </c>
      <c r="I1138" s="2" t="s">
        <v>512</v>
      </c>
      <c r="J1138" s="2" t="s">
        <v>919</v>
      </c>
      <c r="K1138" s="2" t="s">
        <v>423</v>
      </c>
      <c r="L1138" s="2" t="s">
        <v>179</v>
      </c>
      <c r="N1138" s="2">
        <v>2.0</v>
      </c>
      <c r="O1138" s="2" t="s">
        <v>6088</v>
      </c>
      <c r="P1138" s="2" t="s">
        <v>32</v>
      </c>
      <c r="Q1138" s="2" t="s">
        <v>49</v>
      </c>
      <c r="R1138" s="2" t="s">
        <v>34</v>
      </c>
      <c r="S1138" s="2" t="s">
        <v>133</v>
      </c>
    </row>
    <row r="1139" ht="15.75" customHeight="1">
      <c r="A1139" s="2" t="s">
        <v>6089</v>
      </c>
      <c r="B1139" s="2" t="s">
        <v>6090</v>
      </c>
      <c r="C1139" s="2" t="s">
        <v>5627</v>
      </c>
      <c r="D1139" s="2" t="s">
        <v>5628</v>
      </c>
      <c r="E1139" s="2" t="s">
        <v>5629</v>
      </c>
      <c r="F1139" s="2" t="s">
        <v>5630</v>
      </c>
      <c r="G1139" s="2" t="s">
        <v>801</v>
      </c>
      <c r="H1139" s="2" t="s">
        <v>323</v>
      </c>
      <c r="I1139" s="2" t="s">
        <v>176</v>
      </c>
      <c r="J1139" s="2" t="s">
        <v>1529</v>
      </c>
      <c r="K1139" s="2" t="s">
        <v>1530</v>
      </c>
      <c r="L1139" s="2" t="s">
        <v>368</v>
      </c>
      <c r="M1139" s="2">
        <v>1535.75</v>
      </c>
      <c r="N1139" s="2">
        <v>2.0</v>
      </c>
      <c r="O1139" s="2" t="s">
        <v>6091</v>
      </c>
      <c r="P1139" s="2" t="s">
        <v>95</v>
      </c>
      <c r="Q1139" s="2" t="s">
        <v>414</v>
      </c>
      <c r="R1139" s="2" t="s">
        <v>432</v>
      </c>
      <c r="S1139" s="2" t="s">
        <v>133</v>
      </c>
    </row>
    <row r="1140" ht="15.75" customHeight="1">
      <c r="A1140" s="2" t="s">
        <v>1274</v>
      </c>
      <c r="B1140" s="2" t="s">
        <v>1275</v>
      </c>
      <c r="C1140" s="2" t="s">
        <v>1276</v>
      </c>
      <c r="D1140" s="2" t="s">
        <v>1277</v>
      </c>
      <c r="E1140" s="2" t="s">
        <v>1278</v>
      </c>
      <c r="G1140" s="2" t="s">
        <v>199</v>
      </c>
      <c r="H1140" s="2" t="s">
        <v>74</v>
      </c>
      <c r="I1140" s="2" t="s">
        <v>1032</v>
      </c>
      <c r="J1140" s="2" t="s">
        <v>422</v>
      </c>
      <c r="K1140" s="2" t="s">
        <v>423</v>
      </c>
      <c r="L1140" s="2" t="s">
        <v>292</v>
      </c>
      <c r="M1140" s="2">
        <v>1068.78</v>
      </c>
      <c r="N1140" s="2">
        <v>2.0</v>
      </c>
      <c r="O1140" s="2" t="s">
        <v>1279</v>
      </c>
      <c r="P1140" s="2" t="s">
        <v>48</v>
      </c>
      <c r="Q1140" s="2" t="s">
        <v>370</v>
      </c>
      <c r="R1140" s="2" t="s">
        <v>1221</v>
      </c>
      <c r="S1140" s="2" t="s">
        <v>67</v>
      </c>
    </row>
    <row r="1141" ht="15.75" customHeight="1">
      <c r="A1141" s="2" t="s">
        <v>6092</v>
      </c>
      <c r="B1141" s="2" t="s">
        <v>6093</v>
      </c>
      <c r="C1141" s="2" t="s">
        <v>6094</v>
      </c>
      <c r="D1141" s="2" t="s">
        <v>5333</v>
      </c>
      <c r="E1141" s="2" t="s">
        <v>6095</v>
      </c>
      <c r="F1141" s="2" t="s">
        <v>6096</v>
      </c>
      <c r="G1141" s="2" t="s">
        <v>199</v>
      </c>
      <c r="H1141" s="2" t="s">
        <v>26</v>
      </c>
      <c r="I1141" s="2" t="s">
        <v>401</v>
      </c>
      <c r="J1141" s="2" t="s">
        <v>1495</v>
      </c>
      <c r="K1141" s="2" t="s">
        <v>1138</v>
      </c>
      <c r="L1141" s="2" t="s">
        <v>248</v>
      </c>
      <c r="O1141" s="2" t="s">
        <v>6097</v>
      </c>
      <c r="P1141" s="2" t="s">
        <v>32</v>
      </c>
      <c r="Q1141" s="2" t="s">
        <v>49</v>
      </c>
      <c r="R1141" s="2" t="s">
        <v>345</v>
      </c>
    </row>
    <row r="1142" ht="15.75" customHeight="1">
      <c r="A1142" s="2" t="s">
        <v>6098</v>
      </c>
      <c r="B1142" s="2" t="s">
        <v>6099</v>
      </c>
      <c r="C1142" s="2" t="s">
        <v>3994</v>
      </c>
      <c r="D1142" s="2" t="s">
        <v>3995</v>
      </c>
      <c r="E1142" s="2" t="s">
        <v>3996</v>
      </c>
      <c r="F1142" s="2" t="s">
        <v>3997</v>
      </c>
      <c r="G1142" s="2" t="s">
        <v>3998</v>
      </c>
      <c r="H1142" s="2" t="s">
        <v>26</v>
      </c>
      <c r="I1142" s="2" t="s">
        <v>352</v>
      </c>
      <c r="J1142" s="2" t="s">
        <v>104</v>
      </c>
      <c r="K1142" s="2" t="s">
        <v>105</v>
      </c>
      <c r="L1142" s="2" t="s">
        <v>106</v>
      </c>
      <c r="N1142" s="2">
        <v>1.0</v>
      </c>
      <c r="O1142" s="2" t="s">
        <v>6100</v>
      </c>
      <c r="P1142" s="2" t="s">
        <v>65</v>
      </c>
      <c r="Q1142" s="2" t="s">
        <v>49</v>
      </c>
      <c r="R1142" s="2" t="s">
        <v>80</v>
      </c>
      <c r="S1142" s="2" t="s">
        <v>51</v>
      </c>
    </row>
    <row r="1143" ht="15.75" customHeight="1">
      <c r="A1143" s="2" t="s">
        <v>6101</v>
      </c>
      <c r="B1143" s="2" t="s">
        <v>6102</v>
      </c>
      <c r="C1143" s="2" t="s">
        <v>5197</v>
      </c>
      <c r="D1143" s="2" t="s">
        <v>5198</v>
      </c>
      <c r="E1143" s="2" t="s">
        <v>5199</v>
      </c>
      <c r="F1143" s="2" t="s">
        <v>5200</v>
      </c>
      <c r="G1143" s="2" t="s">
        <v>88</v>
      </c>
      <c r="H1143" s="2" t="s">
        <v>234</v>
      </c>
      <c r="I1143" s="2" t="s">
        <v>480</v>
      </c>
      <c r="J1143" s="2" t="s">
        <v>269</v>
      </c>
      <c r="K1143" s="2" t="s">
        <v>270</v>
      </c>
      <c r="L1143" s="2" t="s">
        <v>271</v>
      </c>
      <c r="N1143" s="2">
        <v>5.0</v>
      </c>
      <c r="O1143" s="2" t="s">
        <v>6103</v>
      </c>
      <c r="P1143" s="2" t="s">
        <v>65</v>
      </c>
      <c r="Q1143" s="2" t="s">
        <v>143</v>
      </c>
      <c r="R1143" s="2" t="s">
        <v>6104</v>
      </c>
    </row>
    <row r="1144" ht="15.75" customHeight="1">
      <c r="A1144" s="2" t="s">
        <v>6105</v>
      </c>
      <c r="B1144" s="2" t="s">
        <v>6106</v>
      </c>
      <c r="C1144" s="2" t="s">
        <v>3376</v>
      </c>
      <c r="D1144" s="2" t="s">
        <v>3068</v>
      </c>
      <c r="E1144" s="2" t="s">
        <v>3377</v>
      </c>
      <c r="F1144" s="2" t="s">
        <v>3378</v>
      </c>
      <c r="G1144" s="2" t="s">
        <v>1336</v>
      </c>
      <c r="H1144" s="2" t="s">
        <v>42</v>
      </c>
      <c r="I1144" s="2" t="s">
        <v>103</v>
      </c>
      <c r="J1144" s="2" t="s">
        <v>154</v>
      </c>
      <c r="K1144" s="2" t="s">
        <v>62</v>
      </c>
      <c r="L1144" s="2" t="s">
        <v>155</v>
      </c>
      <c r="M1144" s="2">
        <v>1273.96</v>
      </c>
      <c r="N1144" s="2">
        <v>5.0</v>
      </c>
      <c r="O1144" s="2" t="s">
        <v>6107</v>
      </c>
      <c r="P1144" s="2" t="s">
        <v>48</v>
      </c>
      <c r="Q1144" s="2" t="s">
        <v>664</v>
      </c>
      <c r="R1144" s="2" t="s">
        <v>294</v>
      </c>
    </row>
    <row r="1145" ht="15.75" customHeight="1">
      <c r="A1145" s="2" t="s">
        <v>6108</v>
      </c>
      <c r="B1145" s="2" t="s">
        <v>6109</v>
      </c>
      <c r="C1145" s="2" t="s">
        <v>961</v>
      </c>
      <c r="D1145" s="2" t="s">
        <v>962</v>
      </c>
      <c r="E1145" s="2" t="s">
        <v>963</v>
      </c>
      <c r="F1145" s="2" t="s">
        <v>964</v>
      </c>
      <c r="G1145" s="2" t="s">
        <v>139</v>
      </c>
      <c r="H1145" s="2" t="s">
        <v>26</v>
      </c>
      <c r="I1145" s="2" t="s">
        <v>365</v>
      </c>
      <c r="J1145" s="2" t="s">
        <v>28</v>
      </c>
      <c r="K1145" s="2" t="s">
        <v>29</v>
      </c>
      <c r="L1145" s="2" t="s">
        <v>30</v>
      </c>
      <c r="N1145" s="2">
        <v>1.0</v>
      </c>
      <c r="O1145" s="2" t="s">
        <v>6110</v>
      </c>
      <c r="P1145" s="2" t="s">
        <v>48</v>
      </c>
      <c r="Q1145" s="2" t="s">
        <v>6111</v>
      </c>
      <c r="R1145" s="2" t="s">
        <v>80</v>
      </c>
      <c r="S1145" s="2" t="s">
        <v>51</v>
      </c>
    </row>
    <row r="1146" ht="15.75" customHeight="1">
      <c r="A1146" s="2" t="s">
        <v>6112</v>
      </c>
      <c r="B1146" s="2" t="s">
        <v>4275</v>
      </c>
      <c r="C1146" s="2" t="s">
        <v>3406</v>
      </c>
      <c r="D1146" s="2" t="s">
        <v>3407</v>
      </c>
      <c r="E1146" s="2" t="s">
        <v>3408</v>
      </c>
      <c r="F1146" s="2" t="s">
        <v>3409</v>
      </c>
      <c r="G1146" s="2" t="s">
        <v>3410</v>
      </c>
      <c r="H1146" s="2" t="s">
        <v>26</v>
      </c>
      <c r="I1146" s="2" t="s">
        <v>75</v>
      </c>
      <c r="J1146" s="2" t="s">
        <v>246</v>
      </c>
      <c r="K1146" s="2" t="s">
        <v>247</v>
      </c>
      <c r="L1146" s="2" t="s">
        <v>248</v>
      </c>
      <c r="M1146" s="2">
        <v>941.27</v>
      </c>
      <c r="N1146" s="2">
        <v>1.0</v>
      </c>
      <c r="O1146" s="2" t="s">
        <v>6113</v>
      </c>
      <c r="P1146" s="2" t="s">
        <v>32</v>
      </c>
      <c r="Q1146" s="2" t="s">
        <v>526</v>
      </c>
      <c r="R1146" s="2" t="s">
        <v>294</v>
      </c>
      <c r="S1146" s="2" t="s">
        <v>51</v>
      </c>
    </row>
    <row r="1147" ht="15.75" customHeight="1">
      <c r="A1147" s="2" t="s">
        <v>6114</v>
      </c>
      <c r="B1147" s="2" t="s">
        <v>6115</v>
      </c>
      <c r="C1147" s="2" t="s">
        <v>6116</v>
      </c>
      <c r="D1147" s="2" t="s">
        <v>6117</v>
      </c>
      <c r="E1147" s="2" t="s">
        <v>6118</v>
      </c>
      <c r="F1147" s="2" t="s">
        <v>6119</v>
      </c>
      <c r="G1147" s="2" t="s">
        <v>25</v>
      </c>
      <c r="H1147" s="2" t="s">
        <v>42</v>
      </c>
      <c r="I1147" s="2" t="s">
        <v>512</v>
      </c>
      <c r="J1147" s="2" t="s">
        <v>1495</v>
      </c>
      <c r="K1147" s="2" t="s">
        <v>1138</v>
      </c>
      <c r="L1147" s="2" t="s">
        <v>248</v>
      </c>
      <c r="N1147" s="2">
        <v>2.0</v>
      </c>
      <c r="O1147" s="2" t="s">
        <v>6120</v>
      </c>
      <c r="P1147" s="2" t="s">
        <v>32</v>
      </c>
      <c r="Q1147" s="2" t="s">
        <v>370</v>
      </c>
      <c r="R1147" s="2" t="s">
        <v>144</v>
      </c>
    </row>
    <row r="1148" ht="15.75" customHeight="1">
      <c r="A1148" s="2" t="s">
        <v>6121</v>
      </c>
      <c r="B1148" s="2" t="s">
        <v>6122</v>
      </c>
      <c r="C1148" s="2" t="s">
        <v>6123</v>
      </c>
      <c r="D1148" s="2" t="s">
        <v>6124</v>
      </c>
      <c r="E1148" s="2" t="s">
        <v>6125</v>
      </c>
      <c r="F1148" s="2" t="s">
        <v>6126</v>
      </c>
      <c r="G1148" s="2" t="s">
        <v>151</v>
      </c>
      <c r="H1148" s="2" t="s">
        <v>323</v>
      </c>
      <c r="I1148" s="2" t="s">
        <v>176</v>
      </c>
      <c r="J1148" s="2" t="s">
        <v>2336</v>
      </c>
      <c r="K1148" s="2" t="s">
        <v>1303</v>
      </c>
      <c r="L1148" s="2" t="s">
        <v>179</v>
      </c>
      <c r="M1148" s="2">
        <v>1380.11</v>
      </c>
      <c r="N1148" s="2">
        <v>5.0</v>
      </c>
      <c r="O1148" s="2" t="s">
        <v>6127</v>
      </c>
      <c r="P1148" s="2" t="s">
        <v>32</v>
      </c>
      <c r="Q1148" s="2" t="s">
        <v>181</v>
      </c>
      <c r="R1148" s="2" t="s">
        <v>144</v>
      </c>
      <c r="S1148" s="2" t="s">
        <v>67</v>
      </c>
    </row>
    <row r="1149" ht="15.75" customHeight="1">
      <c r="A1149" s="2" t="s">
        <v>6128</v>
      </c>
      <c r="B1149" s="2" t="s">
        <v>6129</v>
      </c>
      <c r="C1149" s="2" t="s">
        <v>999</v>
      </c>
      <c r="D1149" s="2" t="s">
        <v>2827</v>
      </c>
      <c r="E1149" s="2" t="s">
        <v>1001</v>
      </c>
      <c r="F1149" s="2" t="s">
        <v>1002</v>
      </c>
      <c r="G1149" s="2" t="s">
        <v>608</v>
      </c>
      <c r="H1149" s="2" t="s">
        <v>42</v>
      </c>
      <c r="I1149" s="2" t="s">
        <v>176</v>
      </c>
      <c r="J1149" s="2" t="s">
        <v>702</v>
      </c>
      <c r="K1149" s="2" t="s">
        <v>524</v>
      </c>
      <c r="L1149" s="2" t="s">
        <v>703</v>
      </c>
      <c r="M1149" s="2">
        <v>1164.23</v>
      </c>
      <c r="O1149" s="2" t="s">
        <v>6130</v>
      </c>
      <c r="P1149" s="2" t="s">
        <v>65</v>
      </c>
      <c r="Q1149" s="2" t="s">
        <v>143</v>
      </c>
      <c r="R1149" s="2" t="s">
        <v>818</v>
      </c>
      <c r="S1149" s="2" t="s">
        <v>67</v>
      </c>
    </row>
    <row r="1150" ht="15.75" customHeight="1">
      <c r="A1150" s="2" t="s">
        <v>6131</v>
      </c>
      <c r="B1150" s="2" t="s">
        <v>6132</v>
      </c>
      <c r="C1150" s="2" t="s">
        <v>2259</v>
      </c>
      <c r="D1150" s="2" t="s">
        <v>2260</v>
      </c>
      <c r="E1150" s="2" t="s">
        <v>2261</v>
      </c>
      <c r="F1150" s="2" t="s">
        <v>2262</v>
      </c>
      <c r="G1150" s="2" t="s">
        <v>25</v>
      </c>
      <c r="H1150" s="2" t="s">
        <v>223</v>
      </c>
      <c r="I1150" s="2" t="s">
        <v>522</v>
      </c>
      <c r="J1150" s="2" t="s">
        <v>993</v>
      </c>
      <c r="K1150" s="2" t="s">
        <v>994</v>
      </c>
      <c r="L1150" s="2" t="s">
        <v>995</v>
      </c>
      <c r="N1150" s="2">
        <v>1.0</v>
      </c>
      <c r="O1150" s="2" t="s">
        <v>6133</v>
      </c>
      <c r="P1150" s="2" t="s">
        <v>48</v>
      </c>
      <c r="Q1150" s="2" t="s">
        <v>66</v>
      </c>
      <c r="R1150" s="2" t="s">
        <v>80</v>
      </c>
      <c r="S1150" s="2" t="s">
        <v>67</v>
      </c>
    </row>
    <row r="1151" ht="15.75" customHeight="1">
      <c r="A1151" s="2" t="s">
        <v>6134</v>
      </c>
      <c r="B1151" s="2" t="s">
        <v>6135</v>
      </c>
      <c r="C1151" s="2" t="s">
        <v>1793</v>
      </c>
      <c r="D1151" s="2" t="s">
        <v>1794</v>
      </c>
      <c r="E1151" s="2" t="s">
        <v>1795</v>
      </c>
      <c r="G1151" s="2" t="s">
        <v>139</v>
      </c>
      <c r="H1151" s="2" t="s">
        <v>42</v>
      </c>
      <c r="I1151" s="2" t="s">
        <v>60</v>
      </c>
      <c r="J1151" s="2" t="s">
        <v>1114</v>
      </c>
      <c r="K1151" s="2" t="s">
        <v>1115</v>
      </c>
      <c r="L1151" s="2" t="s">
        <v>248</v>
      </c>
      <c r="M1151" s="2">
        <v>126.64</v>
      </c>
      <c r="N1151" s="2">
        <v>2.0</v>
      </c>
      <c r="O1151" s="2" t="s">
        <v>6136</v>
      </c>
      <c r="P1151" s="2" t="s">
        <v>32</v>
      </c>
      <c r="Q1151" s="2" t="s">
        <v>204</v>
      </c>
      <c r="R1151" s="2" t="s">
        <v>432</v>
      </c>
    </row>
    <row r="1152" ht="15.75" customHeight="1">
      <c r="A1152" s="2" t="s">
        <v>6137</v>
      </c>
      <c r="B1152" s="2" t="s">
        <v>6138</v>
      </c>
      <c r="C1152" s="2" t="s">
        <v>6139</v>
      </c>
      <c r="D1152" s="2" t="s">
        <v>6140</v>
      </c>
      <c r="E1152" s="2" t="s">
        <v>6141</v>
      </c>
      <c r="F1152" s="2" t="s">
        <v>6142</v>
      </c>
      <c r="G1152" s="2" t="s">
        <v>139</v>
      </c>
      <c r="H1152" s="2" t="s">
        <v>2045</v>
      </c>
      <c r="I1152" s="2" t="s">
        <v>4601</v>
      </c>
      <c r="J1152" s="2" t="s">
        <v>1679</v>
      </c>
      <c r="K1152" s="2" t="s">
        <v>1530</v>
      </c>
      <c r="L1152" s="2" t="s">
        <v>514</v>
      </c>
      <c r="M1152" s="2">
        <v>1495.11</v>
      </c>
      <c r="N1152" s="2">
        <v>1.0</v>
      </c>
      <c r="O1152" s="2" t="s">
        <v>6143</v>
      </c>
      <c r="P1152" s="2" t="s">
        <v>65</v>
      </c>
      <c r="Q1152" s="2" t="s">
        <v>66</v>
      </c>
      <c r="R1152" s="2" t="s">
        <v>80</v>
      </c>
    </row>
    <row r="1153" ht="15.75" customHeight="1">
      <c r="A1153" s="2" t="s">
        <v>6144</v>
      </c>
      <c r="B1153" s="2" t="s">
        <v>6145</v>
      </c>
      <c r="C1153" s="2" t="s">
        <v>6146</v>
      </c>
      <c r="D1153" s="2" t="s">
        <v>409</v>
      </c>
      <c r="E1153" s="2" t="s">
        <v>6147</v>
      </c>
      <c r="F1153" s="2" t="s">
        <v>6148</v>
      </c>
      <c r="G1153" s="2" t="s">
        <v>188</v>
      </c>
      <c r="H1153" s="2" t="s">
        <v>74</v>
      </c>
      <c r="I1153" s="2" t="s">
        <v>401</v>
      </c>
      <c r="J1153" s="2" t="s">
        <v>919</v>
      </c>
      <c r="K1153" s="2" t="s">
        <v>423</v>
      </c>
      <c r="L1153" s="2" t="s">
        <v>179</v>
      </c>
      <c r="N1153" s="2">
        <v>1.0</v>
      </c>
      <c r="O1153" s="2" t="s">
        <v>6149</v>
      </c>
      <c r="P1153" s="2" t="s">
        <v>95</v>
      </c>
      <c r="Q1153" s="2" t="s">
        <v>505</v>
      </c>
      <c r="R1153" s="2" t="s">
        <v>6150</v>
      </c>
    </row>
    <row r="1154" ht="15.75" customHeight="1">
      <c r="A1154" s="2" t="s">
        <v>6151</v>
      </c>
      <c r="B1154" s="2" t="s">
        <v>6152</v>
      </c>
      <c r="C1154" s="2" t="s">
        <v>1332</v>
      </c>
      <c r="D1154" s="2" t="s">
        <v>1333</v>
      </c>
      <c r="E1154" s="2" t="s">
        <v>1334</v>
      </c>
      <c r="F1154" s="2" t="s">
        <v>1335</v>
      </c>
      <c r="G1154" s="2" t="s">
        <v>1336</v>
      </c>
      <c r="H1154" s="2" t="s">
        <v>210</v>
      </c>
      <c r="I1154" s="2" t="s">
        <v>480</v>
      </c>
      <c r="J1154" s="2" t="s">
        <v>523</v>
      </c>
      <c r="K1154" s="2" t="s">
        <v>524</v>
      </c>
      <c r="L1154" s="2" t="s">
        <v>368</v>
      </c>
      <c r="N1154" s="2">
        <v>3.0</v>
      </c>
      <c r="O1154" s="2" t="s">
        <v>6153</v>
      </c>
      <c r="P1154" s="2" t="s">
        <v>48</v>
      </c>
      <c r="Q1154" s="2" t="s">
        <v>143</v>
      </c>
      <c r="R1154" s="2" t="s">
        <v>158</v>
      </c>
      <c r="S1154" s="2" t="s">
        <v>67</v>
      </c>
    </row>
    <row r="1155" ht="15.75" customHeight="1">
      <c r="A1155" s="2" t="s">
        <v>6154</v>
      </c>
      <c r="B1155" s="2" t="s">
        <v>6155</v>
      </c>
      <c r="C1155" s="2" t="s">
        <v>6156</v>
      </c>
      <c r="D1155" s="2" t="s">
        <v>6157</v>
      </c>
      <c r="E1155" s="2" t="s">
        <v>6158</v>
      </c>
      <c r="F1155" s="2" t="s">
        <v>6159</v>
      </c>
      <c r="G1155" s="2" t="s">
        <v>25</v>
      </c>
      <c r="H1155" s="2" t="s">
        <v>74</v>
      </c>
      <c r="I1155" s="2" t="s">
        <v>116</v>
      </c>
      <c r="J1155" s="2" t="s">
        <v>652</v>
      </c>
      <c r="K1155" s="2" t="s">
        <v>653</v>
      </c>
      <c r="L1155" s="2" t="s">
        <v>179</v>
      </c>
      <c r="N1155" s="2">
        <v>5.0</v>
      </c>
      <c r="O1155" s="2" t="s">
        <v>6160</v>
      </c>
      <c r="P1155" s="2" t="s">
        <v>95</v>
      </c>
      <c r="Q1155" s="2" t="s">
        <v>181</v>
      </c>
      <c r="R1155" s="2" t="s">
        <v>306</v>
      </c>
      <c r="S1155" s="2" t="s">
        <v>133</v>
      </c>
    </row>
    <row r="1156" ht="15.75" customHeight="1">
      <c r="A1156" s="2" t="s">
        <v>6161</v>
      </c>
      <c r="B1156" s="2" t="s">
        <v>6162</v>
      </c>
      <c r="C1156" s="2" t="s">
        <v>6163</v>
      </c>
      <c r="D1156" s="2" t="s">
        <v>6164</v>
      </c>
      <c r="E1156" s="2" t="s">
        <v>6165</v>
      </c>
      <c r="F1156" s="2" t="s">
        <v>6166</v>
      </c>
      <c r="G1156" s="2" t="s">
        <v>2491</v>
      </c>
      <c r="H1156" s="2" t="s">
        <v>26</v>
      </c>
      <c r="I1156" s="2" t="s">
        <v>6167</v>
      </c>
      <c r="J1156" s="2" t="s">
        <v>976</v>
      </c>
      <c r="K1156" s="2" t="s">
        <v>335</v>
      </c>
      <c r="L1156" s="2" t="s">
        <v>214</v>
      </c>
      <c r="N1156" s="2">
        <v>1.0</v>
      </c>
      <c r="O1156" s="2" t="s">
        <v>6168</v>
      </c>
      <c r="P1156" s="2" t="s">
        <v>1180</v>
      </c>
      <c r="Q1156" s="2" t="s">
        <v>238</v>
      </c>
      <c r="R1156" s="2" t="s">
        <v>432</v>
      </c>
      <c r="S1156" s="2" t="s">
        <v>51</v>
      </c>
    </row>
    <row r="1157" ht="15.75" customHeight="1">
      <c r="A1157" s="2" t="s">
        <v>6169</v>
      </c>
      <c r="B1157" s="2" t="s">
        <v>6170</v>
      </c>
      <c r="C1157" s="2" t="s">
        <v>6171</v>
      </c>
      <c r="D1157" s="2" t="s">
        <v>6172</v>
      </c>
      <c r="E1157" s="2" t="s">
        <v>6173</v>
      </c>
      <c r="F1157" s="2" t="s">
        <v>6174</v>
      </c>
      <c r="G1157" s="2" t="s">
        <v>25</v>
      </c>
      <c r="H1157" s="2" t="s">
        <v>115</v>
      </c>
      <c r="I1157" s="2" t="s">
        <v>1245</v>
      </c>
      <c r="J1157" s="2" t="s">
        <v>390</v>
      </c>
      <c r="K1157" s="2" t="s">
        <v>391</v>
      </c>
      <c r="L1157" s="2" t="s">
        <v>248</v>
      </c>
      <c r="M1157" s="2">
        <v>476.53</v>
      </c>
      <c r="N1157" s="2">
        <v>3.0</v>
      </c>
      <c r="O1157" s="2" t="s">
        <v>6175</v>
      </c>
      <c r="P1157" s="2" t="s">
        <v>65</v>
      </c>
      <c r="Q1157" s="2" t="s">
        <v>143</v>
      </c>
      <c r="R1157" s="2" t="s">
        <v>294</v>
      </c>
      <c r="S1157" s="2" t="s">
        <v>51</v>
      </c>
    </row>
    <row r="1158" ht="15.75" customHeight="1">
      <c r="A1158" s="2" t="s">
        <v>6176</v>
      </c>
      <c r="B1158" s="2" t="s">
        <v>3074</v>
      </c>
      <c r="C1158" s="2" t="s">
        <v>340</v>
      </c>
      <c r="D1158" s="2" t="s">
        <v>341</v>
      </c>
      <c r="E1158" s="2" t="s">
        <v>342</v>
      </c>
      <c r="F1158" s="2" t="s">
        <v>343</v>
      </c>
      <c r="G1158" s="2" t="s">
        <v>25</v>
      </c>
      <c r="H1158" s="2" t="s">
        <v>223</v>
      </c>
      <c r="I1158" s="2" t="s">
        <v>43</v>
      </c>
      <c r="J1158" s="2" t="s">
        <v>439</v>
      </c>
      <c r="K1158" s="2" t="s">
        <v>440</v>
      </c>
      <c r="L1158" s="2" t="s">
        <v>63</v>
      </c>
      <c r="M1158" s="2">
        <v>292.18</v>
      </c>
      <c r="N1158" s="2">
        <v>1.0</v>
      </c>
      <c r="O1158" s="2" t="s">
        <v>6177</v>
      </c>
      <c r="P1158" s="2" t="s">
        <v>65</v>
      </c>
      <c r="Q1158" s="2" t="s">
        <v>526</v>
      </c>
      <c r="R1158" s="2" t="s">
        <v>818</v>
      </c>
    </row>
    <row r="1159" ht="15.75" customHeight="1">
      <c r="A1159" s="2" t="s">
        <v>6178</v>
      </c>
      <c r="B1159" s="2" t="s">
        <v>6179</v>
      </c>
      <c r="C1159" s="2" t="s">
        <v>2692</v>
      </c>
      <c r="D1159" s="2" t="s">
        <v>2693</v>
      </c>
      <c r="E1159" s="2" t="s">
        <v>2694</v>
      </c>
      <c r="F1159" s="2" t="s">
        <v>2695</v>
      </c>
      <c r="G1159" s="2" t="s">
        <v>1336</v>
      </c>
      <c r="H1159" s="2" t="s">
        <v>234</v>
      </c>
      <c r="I1159" s="2" t="s">
        <v>6180</v>
      </c>
      <c r="J1159" s="2" t="s">
        <v>871</v>
      </c>
      <c r="K1159" s="2" t="s">
        <v>491</v>
      </c>
      <c r="L1159" s="2" t="s">
        <v>292</v>
      </c>
      <c r="M1159" s="2">
        <v>1642.2</v>
      </c>
      <c r="N1159" s="2">
        <v>5.0</v>
      </c>
      <c r="O1159" s="2" t="s">
        <v>6181</v>
      </c>
      <c r="P1159" s="2" t="s">
        <v>32</v>
      </c>
      <c r="Q1159" s="2" t="s">
        <v>49</v>
      </c>
      <c r="R1159" s="2" t="s">
        <v>294</v>
      </c>
    </row>
    <row r="1160" ht="15.75" customHeight="1">
      <c r="A1160" s="2" t="s">
        <v>6182</v>
      </c>
      <c r="B1160" s="2" t="s">
        <v>6183</v>
      </c>
      <c r="C1160" s="2" t="s">
        <v>4365</v>
      </c>
      <c r="D1160" s="2" t="s">
        <v>4366</v>
      </c>
      <c r="E1160" s="2" t="s">
        <v>4367</v>
      </c>
      <c r="F1160" s="2" t="s">
        <v>4368</v>
      </c>
      <c r="G1160" s="2" t="s">
        <v>3594</v>
      </c>
      <c r="H1160" s="2" t="s">
        <v>301</v>
      </c>
      <c r="I1160" s="2" t="s">
        <v>176</v>
      </c>
      <c r="J1160" s="2" t="s">
        <v>993</v>
      </c>
      <c r="K1160" s="2" t="s">
        <v>994</v>
      </c>
      <c r="L1160" s="2" t="s">
        <v>995</v>
      </c>
      <c r="N1160" s="2">
        <v>1.0</v>
      </c>
      <c r="O1160" s="2" t="s">
        <v>6184</v>
      </c>
      <c r="P1160" s="2" t="s">
        <v>32</v>
      </c>
      <c r="Q1160" s="2" t="s">
        <v>66</v>
      </c>
      <c r="R1160" s="2" t="s">
        <v>294</v>
      </c>
      <c r="S1160" s="2" t="s">
        <v>51</v>
      </c>
    </row>
    <row r="1161" ht="15.75" customHeight="1">
      <c r="A1161" s="2" t="s">
        <v>6185</v>
      </c>
      <c r="B1161" s="2" t="s">
        <v>6186</v>
      </c>
      <c r="C1161" s="2" t="s">
        <v>5944</v>
      </c>
      <c r="D1161" s="2" t="s">
        <v>5945</v>
      </c>
      <c r="E1161" s="2" t="s">
        <v>5946</v>
      </c>
      <c r="F1161" s="2" t="s">
        <v>5947</v>
      </c>
      <c r="G1161" s="2" t="s">
        <v>199</v>
      </c>
      <c r="H1161" s="2" t="s">
        <v>42</v>
      </c>
      <c r="I1161" s="2" t="s">
        <v>1032</v>
      </c>
      <c r="J1161" s="2" t="s">
        <v>957</v>
      </c>
      <c r="K1161" s="2" t="s">
        <v>403</v>
      </c>
      <c r="L1161" s="2" t="s">
        <v>167</v>
      </c>
      <c r="M1161" s="2">
        <v>417.27</v>
      </c>
      <c r="N1161" s="2">
        <v>1.0</v>
      </c>
      <c r="O1161" s="2" t="s">
        <v>6187</v>
      </c>
      <c r="P1161" s="2" t="s">
        <v>32</v>
      </c>
      <c r="Q1161" s="2" t="s">
        <v>181</v>
      </c>
      <c r="R1161" s="2" t="s">
        <v>132</v>
      </c>
      <c r="S1161" s="2" t="s">
        <v>81</v>
      </c>
    </row>
    <row r="1162" ht="15.75" customHeight="1">
      <c r="A1162" s="2" t="s">
        <v>6188</v>
      </c>
      <c r="B1162" s="2" t="s">
        <v>6189</v>
      </c>
      <c r="C1162" s="2" t="s">
        <v>1437</v>
      </c>
      <c r="D1162" s="2" t="s">
        <v>1438</v>
      </c>
      <c r="E1162" s="2" t="s">
        <v>6190</v>
      </c>
      <c r="F1162" s="2" t="s">
        <v>1440</v>
      </c>
      <c r="G1162" s="2" t="s">
        <v>88</v>
      </c>
      <c r="H1162" s="2" t="s">
        <v>223</v>
      </c>
      <c r="I1162" s="2" t="s">
        <v>176</v>
      </c>
      <c r="J1162" s="2" t="s">
        <v>740</v>
      </c>
      <c r="K1162" s="2" t="s">
        <v>741</v>
      </c>
      <c r="L1162" s="2" t="s">
        <v>742</v>
      </c>
      <c r="N1162" s="2">
        <v>1.0</v>
      </c>
      <c r="O1162" s="2" t="s">
        <v>6191</v>
      </c>
      <c r="P1162" s="2" t="s">
        <v>32</v>
      </c>
      <c r="Q1162" s="2" t="s">
        <v>66</v>
      </c>
      <c r="R1162" s="2" t="s">
        <v>80</v>
      </c>
      <c r="S1162" s="2" t="s">
        <v>133</v>
      </c>
    </row>
    <row r="1163" ht="15.75" customHeight="1">
      <c r="A1163" s="2" t="s">
        <v>6192</v>
      </c>
      <c r="B1163" s="2" t="s">
        <v>6193</v>
      </c>
      <c r="C1163" s="2" t="s">
        <v>3399</v>
      </c>
      <c r="D1163" s="2" t="s">
        <v>3400</v>
      </c>
      <c r="E1163" s="2" t="s">
        <v>3401</v>
      </c>
      <c r="F1163" s="2" t="s">
        <v>3402</v>
      </c>
      <c r="G1163" s="2" t="s">
        <v>364</v>
      </c>
      <c r="H1163" s="2" t="s">
        <v>223</v>
      </c>
      <c r="I1163" s="2" t="s">
        <v>401</v>
      </c>
      <c r="J1163" s="2" t="s">
        <v>2425</v>
      </c>
      <c r="K1163" s="2" t="s">
        <v>2426</v>
      </c>
      <c r="L1163" s="2" t="s">
        <v>2427</v>
      </c>
      <c r="M1163" s="2">
        <v>922.17</v>
      </c>
      <c r="N1163" s="2">
        <v>1.0</v>
      </c>
      <c r="O1163" s="2" t="s">
        <v>6194</v>
      </c>
      <c r="P1163" s="2" t="s">
        <v>32</v>
      </c>
      <c r="Q1163" s="2" t="s">
        <v>181</v>
      </c>
      <c r="R1163" s="2" t="s">
        <v>3136</v>
      </c>
      <c r="S1163" s="2" t="s">
        <v>133</v>
      </c>
    </row>
    <row r="1164" ht="15.75" customHeight="1">
      <c r="A1164" s="2" t="s">
        <v>6195</v>
      </c>
      <c r="B1164" s="2" t="s">
        <v>6196</v>
      </c>
      <c r="C1164" s="2" t="s">
        <v>2300</v>
      </c>
      <c r="D1164" s="2" t="s">
        <v>2301</v>
      </c>
      <c r="E1164" s="2" t="s">
        <v>2302</v>
      </c>
      <c r="F1164" s="2" t="s">
        <v>2303</v>
      </c>
      <c r="G1164" s="2" t="s">
        <v>608</v>
      </c>
      <c r="H1164" s="2" t="s">
        <v>152</v>
      </c>
      <c r="I1164" s="2" t="s">
        <v>1245</v>
      </c>
      <c r="J1164" s="2" t="s">
        <v>1400</v>
      </c>
      <c r="K1164" s="2" t="s">
        <v>524</v>
      </c>
      <c r="L1164" s="2" t="s">
        <v>1401</v>
      </c>
      <c r="M1164" s="2">
        <v>1471.49</v>
      </c>
      <c r="N1164" s="2">
        <v>2.0</v>
      </c>
      <c r="O1164" s="2" t="s">
        <v>6197</v>
      </c>
      <c r="P1164" s="2" t="s">
        <v>48</v>
      </c>
      <c r="Q1164" s="2" t="s">
        <v>238</v>
      </c>
      <c r="R1164" s="2" t="s">
        <v>452</v>
      </c>
    </row>
    <row r="1165" ht="15.75" customHeight="1">
      <c r="A1165" s="2" t="s">
        <v>6198</v>
      </c>
      <c r="B1165" s="2" t="s">
        <v>6199</v>
      </c>
      <c r="C1165" s="2" t="s">
        <v>6083</v>
      </c>
      <c r="D1165" s="2" t="s">
        <v>6084</v>
      </c>
      <c r="E1165" s="2" t="s">
        <v>6085</v>
      </c>
      <c r="F1165" s="2" t="s">
        <v>6086</v>
      </c>
      <c r="G1165" s="2" t="s">
        <v>6087</v>
      </c>
      <c r="H1165" s="2" t="s">
        <v>59</v>
      </c>
      <c r="I1165" s="2" t="s">
        <v>211</v>
      </c>
      <c r="J1165" s="2" t="s">
        <v>3101</v>
      </c>
      <c r="K1165" s="2" t="s">
        <v>1212</v>
      </c>
      <c r="L1165" s="2" t="s">
        <v>248</v>
      </c>
      <c r="M1165" s="2">
        <v>1532.61</v>
      </c>
      <c r="N1165" s="2">
        <v>3.0</v>
      </c>
      <c r="O1165" s="2" t="s">
        <v>6200</v>
      </c>
      <c r="P1165" s="2" t="s">
        <v>65</v>
      </c>
      <c r="Q1165" s="2" t="s">
        <v>181</v>
      </c>
      <c r="R1165" s="2" t="s">
        <v>169</v>
      </c>
    </row>
    <row r="1166" ht="15.75" customHeight="1">
      <c r="A1166" s="2" t="s">
        <v>6201</v>
      </c>
      <c r="B1166" s="2" t="s">
        <v>6202</v>
      </c>
      <c r="C1166" s="2" t="s">
        <v>467</v>
      </c>
      <c r="D1166" s="2" t="s">
        <v>468</v>
      </c>
      <c r="E1166" s="2" t="s">
        <v>469</v>
      </c>
      <c r="F1166" s="2" t="s">
        <v>470</v>
      </c>
      <c r="G1166" s="2" t="s">
        <v>199</v>
      </c>
      <c r="H1166" s="2" t="s">
        <v>26</v>
      </c>
      <c r="I1166" s="2" t="s">
        <v>289</v>
      </c>
      <c r="J1166" s="2" t="s">
        <v>976</v>
      </c>
      <c r="K1166" s="2" t="s">
        <v>335</v>
      </c>
      <c r="L1166" s="2" t="s">
        <v>214</v>
      </c>
      <c r="N1166" s="2">
        <v>2.0</v>
      </c>
      <c r="O1166" s="2" t="s">
        <v>6203</v>
      </c>
      <c r="P1166" s="2" t="s">
        <v>95</v>
      </c>
      <c r="Q1166" s="2" t="s">
        <v>370</v>
      </c>
      <c r="R1166" s="2" t="s">
        <v>818</v>
      </c>
    </row>
    <row r="1167" ht="15.75" customHeight="1">
      <c r="A1167" s="2" t="s">
        <v>6204</v>
      </c>
      <c r="B1167" s="2" t="s">
        <v>6205</v>
      </c>
      <c r="C1167" s="2" t="s">
        <v>3903</v>
      </c>
      <c r="D1167" s="2" t="s">
        <v>3904</v>
      </c>
      <c r="E1167" s="2" t="s">
        <v>3905</v>
      </c>
      <c r="F1167" s="2" t="s">
        <v>3906</v>
      </c>
      <c r="G1167" s="2" t="s">
        <v>1078</v>
      </c>
      <c r="H1167" s="2" t="s">
        <v>223</v>
      </c>
      <c r="I1167" s="2" t="s">
        <v>116</v>
      </c>
      <c r="J1167" s="2" t="s">
        <v>599</v>
      </c>
      <c r="K1167" s="2" t="s">
        <v>600</v>
      </c>
      <c r="L1167" s="2" t="s">
        <v>167</v>
      </c>
      <c r="M1167" s="2">
        <v>261.73</v>
      </c>
      <c r="N1167" s="2">
        <v>1.0</v>
      </c>
      <c r="O1167" s="2" t="s">
        <v>6206</v>
      </c>
      <c r="P1167" s="2" t="s">
        <v>65</v>
      </c>
      <c r="Q1167" s="2" t="s">
        <v>573</v>
      </c>
      <c r="R1167" s="2" t="s">
        <v>80</v>
      </c>
    </row>
    <row r="1168" ht="15.75" customHeight="1">
      <c r="A1168" s="2" t="s">
        <v>6207</v>
      </c>
      <c r="B1168" s="2" t="s">
        <v>6208</v>
      </c>
      <c r="C1168" s="2" t="s">
        <v>4033</v>
      </c>
      <c r="D1168" s="2" t="s">
        <v>4034</v>
      </c>
      <c r="E1168" s="2" t="s">
        <v>4035</v>
      </c>
      <c r="F1168" s="2" t="s">
        <v>4036</v>
      </c>
      <c r="G1168" s="2" t="s">
        <v>165</v>
      </c>
      <c r="H1168" s="2" t="s">
        <v>26</v>
      </c>
      <c r="I1168" s="2" t="s">
        <v>401</v>
      </c>
      <c r="J1168" s="2" t="s">
        <v>767</v>
      </c>
      <c r="K1168" s="2" t="s">
        <v>768</v>
      </c>
      <c r="L1168" s="2" t="s">
        <v>769</v>
      </c>
      <c r="M1168" s="2">
        <v>145.05</v>
      </c>
      <c r="O1168" s="2" t="s">
        <v>6209</v>
      </c>
      <c r="P1168" s="2" t="s">
        <v>32</v>
      </c>
      <c r="Q1168" s="2" t="s">
        <v>143</v>
      </c>
      <c r="R1168" s="2" t="s">
        <v>132</v>
      </c>
    </row>
    <row r="1169" ht="15.75" customHeight="1">
      <c r="A1169" s="2" t="s">
        <v>6210</v>
      </c>
      <c r="B1169" s="2" t="s">
        <v>6211</v>
      </c>
      <c r="C1169" s="2" t="s">
        <v>2601</v>
      </c>
      <c r="D1169" s="2" t="s">
        <v>2602</v>
      </c>
      <c r="E1169" s="2" t="s">
        <v>2603</v>
      </c>
      <c r="F1169" s="2" t="s">
        <v>2604</v>
      </c>
      <c r="G1169" s="2" t="s">
        <v>58</v>
      </c>
      <c r="H1169" s="2" t="s">
        <v>223</v>
      </c>
      <c r="I1169" s="2" t="s">
        <v>312</v>
      </c>
      <c r="J1169" s="2" t="s">
        <v>792</v>
      </c>
      <c r="K1169" s="2" t="s">
        <v>314</v>
      </c>
      <c r="L1169" s="2" t="s">
        <v>742</v>
      </c>
      <c r="N1169" s="2">
        <v>2.0</v>
      </c>
      <c r="O1169" s="2" t="s">
        <v>6212</v>
      </c>
      <c r="P1169" s="2" t="s">
        <v>32</v>
      </c>
      <c r="Q1169" s="2" t="s">
        <v>66</v>
      </c>
      <c r="R1169" s="2" t="s">
        <v>380</v>
      </c>
    </row>
    <row r="1170" ht="15.75" customHeight="1">
      <c r="A1170" s="2" t="s">
        <v>6213</v>
      </c>
      <c r="B1170" s="2" t="s">
        <v>6214</v>
      </c>
      <c r="C1170" s="2" t="s">
        <v>4933</v>
      </c>
      <c r="D1170" s="2" t="s">
        <v>4934</v>
      </c>
      <c r="E1170" s="2" t="s">
        <v>4935</v>
      </c>
      <c r="F1170" s="2" t="s">
        <v>4936</v>
      </c>
      <c r="G1170" s="2" t="s">
        <v>88</v>
      </c>
      <c r="H1170" s="2" t="s">
        <v>460</v>
      </c>
      <c r="I1170" s="2" t="s">
        <v>103</v>
      </c>
      <c r="J1170" s="2" t="s">
        <v>889</v>
      </c>
      <c r="K1170" s="2" t="s">
        <v>804</v>
      </c>
      <c r="L1170" s="2" t="s">
        <v>179</v>
      </c>
      <c r="M1170" s="2">
        <v>272.15</v>
      </c>
      <c r="N1170" s="2">
        <v>2.0</v>
      </c>
      <c r="O1170" s="2" t="s">
        <v>6215</v>
      </c>
      <c r="P1170" s="2" t="s">
        <v>612</v>
      </c>
      <c r="Q1170" s="2" t="s">
        <v>238</v>
      </c>
      <c r="R1170" s="2" t="s">
        <v>144</v>
      </c>
      <c r="S1170" s="2" t="s">
        <v>81</v>
      </c>
    </row>
    <row r="1171" ht="15.75" customHeight="1">
      <c r="A1171" s="2" t="s">
        <v>6216</v>
      </c>
      <c r="B1171" s="2" t="s">
        <v>6217</v>
      </c>
      <c r="C1171" s="2" t="s">
        <v>6218</v>
      </c>
      <c r="D1171" s="2" t="s">
        <v>6219</v>
      </c>
      <c r="E1171" s="2" t="s">
        <v>6220</v>
      </c>
      <c r="F1171" s="2" t="s">
        <v>6221</v>
      </c>
      <c r="G1171" s="2" t="s">
        <v>608</v>
      </c>
      <c r="H1171" s="2" t="s">
        <v>42</v>
      </c>
      <c r="I1171" s="2" t="s">
        <v>480</v>
      </c>
      <c r="J1171" s="2" t="s">
        <v>581</v>
      </c>
      <c r="K1171" s="2" t="s">
        <v>326</v>
      </c>
      <c r="L1171" s="2" t="s">
        <v>582</v>
      </c>
      <c r="M1171" s="2">
        <v>1725.87</v>
      </c>
      <c r="N1171" s="2">
        <v>1.0</v>
      </c>
      <c r="O1171" s="2" t="s">
        <v>6222</v>
      </c>
      <c r="P1171" s="2" t="s">
        <v>32</v>
      </c>
      <c r="Q1171" s="2" t="s">
        <v>66</v>
      </c>
      <c r="R1171" s="2" t="s">
        <v>818</v>
      </c>
    </row>
    <row r="1172" ht="15.75" customHeight="1">
      <c r="A1172" s="2" t="s">
        <v>6223</v>
      </c>
      <c r="B1172" s="2" t="s">
        <v>6224</v>
      </c>
      <c r="C1172" s="2" t="s">
        <v>2061</v>
      </c>
      <c r="D1172" s="2" t="s">
        <v>2062</v>
      </c>
      <c r="E1172" s="2" t="s">
        <v>2063</v>
      </c>
      <c r="F1172" s="2" t="s">
        <v>2064</v>
      </c>
      <c r="G1172" s="2" t="s">
        <v>25</v>
      </c>
      <c r="H1172" s="2" t="s">
        <v>400</v>
      </c>
      <c r="I1172" s="2" t="s">
        <v>401</v>
      </c>
      <c r="J1172" s="2" t="s">
        <v>1327</v>
      </c>
      <c r="K1172" s="2" t="s">
        <v>291</v>
      </c>
      <c r="L1172" s="2" t="s">
        <v>1328</v>
      </c>
      <c r="M1172" s="2">
        <v>15.06</v>
      </c>
      <c r="N1172" s="2">
        <v>2.0</v>
      </c>
      <c r="O1172" s="2" t="s">
        <v>6225</v>
      </c>
      <c r="P1172" s="2" t="s">
        <v>65</v>
      </c>
      <c r="Q1172" s="2" t="s">
        <v>49</v>
      </c>
      <c r="R1172" s="2" t="s">
        <v>80</v>
      </c>
    </row>
    <row r="1173" ht="15.75" customHeight="1">
      <c r="A1173" s="2" t="s">
        <v>6226</v>
      </c>
      <c r="B1173" s="2" t="s">
        <v>6227</v>
      </c>
      <c r="C1173" s="2" t="s">
        <v>6228</v>
      </c>
      <c r="D1173" s="2" t="s">
        <v>6229</v>
      </c>
      <c r="E1173" s="2" t="s">
        <v>6230</v>
      </c>
      <c r="F1173" s="2" t="s">
        <v>6231</v>
      </c>
      <c r="G1173" s="2" t="s">
        <v>58</v>
      </c>
      <c r="H1173" s="2" t="s">
        <v>2004</v>
      </c>
      <c r="I1173" s="2" t="s">
        <v>365</v>
      </c>
      <c r="J1173" s="2" t="s">
        <v>402</v>
      </c>
      <c r="K1173" s="2" t="s">
        <v>403</v>
      </c>
      <c r="L1173" s="2" t="s">
        <v>404</v>
      </c>
      <c r="N1173" s="2">
        <v>1.0</v>
      </c>
      <c r="O1173" s="2" t="s">
        <v>6232</v>
      </c>
      <c r="P1173" s="2" t="s">
        <v>32</v>
      </c>
      <c r="Q1173" s="2" t="s">
        <v>96</v>
      </c>
      <c r="R1173" s="2" t="s">
        <v>345</v>
      </c>
      <c r="S1173" s="2" t="s">
        <v>51</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9.0"/>
    <col customWidth="1" min="3" max="3" width="33.71"/>
    <col customWidth="1" min="4" max="4" width="17.71"/>
    <col customWidth="1" min="5" max="5" width="10.0"/>
    <col customWidth="1" min="6" max="6" width="18.0"/>
    <col customWidth="1" min="7" max="7" width="16.71"/>
    <col customWidth="1" min="8" max="26" width="8.71"/>
  </cols>
  <sheetData>
    <row r="1">
      <c r="A1" s="1" t="s">
        <v>2</v>
      </c>
      <c r="B1" s="1" t="s">
        <v>6233</v>
      </c>
      <c r="C1" s="1" t="s">
        <v>4</v>
      </c>
      <c r="D1" s="1" t="s">
        <v>5</v>
      </c>
      <c r="E1" s="1" t="s">
        <v>6</v>
      </c>
      <c r="F1" s="1" t="s">
        <v>6234</v>
      </c>
      <c r="G1" s="1" t="s">
        <v>6235</v>
      </c>
    </row>
    <row r="2">
      <c r="A2" s="2" t="s">
        <v>2528</v>
      </c>
      <c r="B2" s="2" t="s">
        <v>2529</v>
      </c>
      <c r="C2" s="2" t="s">
        <v>2530</v>
      </c>
      <c r="D2" s="2" t="s">
        <v>2531</v>
      </c>
      <c r="E2" s="2" t="s">
        <v>671</v>
      </c>
      <c r="F2" s="2" t="s">
        <v>6236</v>
      </c>
      <c r="G2" s="2" t="s">
        <v>6237</v>
      </c>
    </row>
    <row r="3">
      <c r="A3" s="2" t="s">
        <v>3264</v>
      </c>
      <c r="B3" s="2" t="s">
        <v>3265</v>
      </c>
      <c r="C3" s="2" t="s">
        <v>3266</v>
      </c>
      <c r="D3" s="2" t="s">
        <v>3267</v>
      </c>
      <c r="E3" s="2" t="s">
        <v>421</v>
      </c>
      <c r="F3" s="2" t="s">
        <v>6238</v>
      </c>
      <c r="G3" s="2" t="s">
        <v>6239</v>
      </c>
    </row>
    <row r="4">
      <c r="A4" s="2" t="s">
        <v>6240</v>
      </c>
      <c r="B4" s="2" t="s">
        <v>6241</v>
      </c>
      <c r="C4" s="2" t="s">
        <v>6242</v>
      </c>
      <c r="D4" s="2" t="s">
        <v>6243</v>
      </c>
      <c r="E4" s="2" t="s">
        <v>25</v>
      </c>
      <c r="F4" s="2" t="s">
        <v>6244</v>
      </c>
      <c r="G4" s="2" t="s">
        <v>6245</v>
      </c>
    </row>
    <row r="5">
      <c r="A5" s="2" t="s">
        <v>1638</v>
      </c>
      <c r="B5" s="2" t="s">
        <v>954</v>
      </c>
      <c r="C5" s="2" t="s">
        <v>1639</v>
      </c>
      <c r="D5" s="2" t="s">
        <v>1640</v>
      </c>
      <c r="E5" s="2" t="s">
        <v>151</v>
      </c>
      <c r="F5" s="2" t="s">
        <v>6246</v>
      </c>
      <c r="G5" s="2" t="s">
        <v>6237</v>
      </c>
    </row>
    <row r="6">
      <c r="A6" s="2" t="s">
        <v>1845</v>
      </c>
      <c r="B6" s="2" t="s">
        <v>1846</v>
      </c>
      <c r="C6" s="2" t="s">
        <v>1847</v>
      </c>
      <c r="D6" s="2" t="s">
        <v>1848</v>
      </c>
      <c r="E6" s="2" t="s">
        <v>777</v>
      </c>
      <c r="F6" s="2" t="s">
        <v>6247</v>
      </c>
      <c r="G6" s="2" t="s">
        <v>6248</v>
      </c>
    </row>
    <row r="7">
      <c r="A7" s="2" t="s">
        <v>2029</v>
      </c>
      <c r="B7" s="2" t="s">
        <v>2030</v>
      </c>
      <c r="C7" s="2" t="s">
        <v>2031</v>
      </c>
      <c r="D7" s="2" t="s">
        <v>2032</v>
      </c>
      <c r="E7" s="2" t="s">
        <v>564</v>
      </c>
      <c r="F7" s="2" t="s">
        <v>6249</v>
      </c>
      <c r="G7" s="2" t="s">
        <v>6237</v>
      </c>
    </row>
    <row r="8">
      <c r="A8" s="2" t="s">
        <v>3245</v>
      </c>
      <c r="B8" s="2" t="s">
        <v>3246</v>
      </c>
      <c r="C8" s="2" t="s">
        <v>3247</v>
      </c>
      <c r="D8" s="2" t="s">
        <v>5960</v>
      </c>
      <c r="E8" s="2" t="s">
        <v>1336</v>
      </c>
      <c r="F8" s="2" t="s">
        <v>6250</v>
      </c>
    </row>
    <row r="9">
      <c r="A9" s="2" t="s">
        <v>6251</v>
      </c>
      <c r="B9" s="2" t="s">
        <v>668</v>
      </c>
      <c r="C9" s="2" t="s">
        <v>6252</v>
      </c>
      <c r="D9" s="2" t="s">
        <v>6253</v>
      </c>
      <c r="E9" s="2" t="s">
        <v>399</v>
      </c>
      <c r="F9" s="2" t="s">
        <v>6254</v>
      </c>
      <c r="G9" s="2" t="s">
        <v>6245</v>
      </c>
    </row>
    <row r="10">
      <c r="A10" s="2" t="s">
        <v>3725</v>
      </c>
      <c r="B10" s="2" t="s">
        <v>3726</v>
      </c>
      <c r="C10" s="2" t="s">
        <v>3727</v>
      </c>
      <c r="D10" s="2" t="s">
        <v>3728</v>
      </c>
      <c r="E10" s="2" t="s">
        <v>3729</v>
      </c>
      <c r="F10" s="2" t="s">
        <v>6255</v>
      </c>
      <c r="G10" s="2" t="s">
        <v>6237</v>
      </c>
    </row>
    <row r="11">
      <c r="A11" s="2" t="s">
        <v>3818</v>
      </c>
      <c r="B11" s="2" t="s">
        <v>3819</v>
      </c>
      <c r="C11" s="2" t="s">
        <v>6256</v>
      </c>
      <c r="D11" s="2" t="s">
        <v>3820</v>
      </c>
      <c r="E11" s="2" t="s">
        <v>1177</v>
      </c>
      <c r="F11" s="2" t="s">
        <v>6257</v>
      </c>
      <c r="G11" s="2" t="s">
        <v>6239</v>
      </c>
    </row>
    <row r="12">
      <c r="A12" s="2" t="s">
        <v>1159</v>
      </c>
      <c r="B12" s="2" t="s">
        <v>1160</v>
      </c>
      <c r="C12" s="2" t="s">
        <v>1161</v>
      </c>
      <c r="D12" s="2" t="s">
        <v>1162</v>
      </c>
      <c r="E12" s="2" t="s">
        <v>88</v>
      </c>
      <c r="F12" s="2" t="s">
        <v>6258</v>
      </c>
    </row>
    <row r="13">
      <c r="A13" s="2" t="s">
        <v>1472</v>
      </c>
      <c r="B13" s="2" t="s">
        <v>2438</v>
      </c>
      <c r="C13" s="2" t="s">
        <v>2439</v>
      </c>
      <c r="D13" s="2" t="s">
        <v>1474</v>
      </c>
      <c r="E13" s="2" t="s">
        <v>114</v>
      </c>
      <c r="F13" s="2" t="s">
        <v>6259</v>
      </c>
      <c r="G13" s="2" t="s">
        <v>6260</v>
      </c>
    </row>
    <row r="14">
      <c r="A14" s="2" t="s">
        <v>3903</v>
      </c>
      <c r="B14" s="2" t="s">
        <v>3904</v>
      </c>
      <c r="C14" s="2" t="s">
        <v>3905</v>
      </c>
      <c r="D14" s="2" t="s">
        <v>3906</v>
      </c>
      <c r="E14" s="2" t="s">
        <v>1078</v>
      </c>
      <c r="F14" s="2" t="s">
        <v>6261</v>
      </c>
      <c r="G14" s="2" t="s">
        <v>6262</v>
      </c>
    </row>
    <row r="15">
      <c r="A15" s="2" t="s">
        <v>184</v>
      </c>
      <c r="B15" s="2" t="s">
        <v>185</v>
      </c>
      <c r="C15" s="2" t="s">
        <v>186</v>
      </c>
      <c r="D15" s="2" t="s">
        <v>187</v>
      </c>
      <c r="E15" s="2" t="s">
        <v>188</v>
      </c>
      <c r="F15" s="2" t="s">
        <v>6263</v>
      </c>
      <c r="G15" s="2" t="s">
        <v>6248</v>
      </c>
    </row>
    <row r="16">
      <c r="A16" s="2" t="s">
        <v>6264</v>
      </c>
      <c r="B16" s="2" t="s">
        <v>6265</v>
      </c>
      <c r="C16" s="2" t="s">
        <v>6266</v>
      </c>
      <c r="D16" s="2" t="s">
        <v>6267</v>
      </c>
      <c r="E16" s="2" t="s">
        <v>399</v>
      </c>
      <c r="F16" s="2" t="s">
        <v>6268</v>
      </c>
    </row>
    <row r="17">
      <c r="A17" s="2" t="s">
        <v>2495</v>
      </c>
      <c r="B17" s="2" t="s">
        <v>2496</v>
      </c>
      <c r="C17" s="2" t="s">
        <v>2497</v>
      </c>
      <c r="E17" s="2" t="s">
        <v>25</v>
      </c>
      <c r="F17" s="2" t="s">
        <v>6269</v>
      </c>
    </row>
    <row r="18">
      <c r="A18" s="2" t="s">
        <v>5691</v>
      </c>
      <c r="B18" s="2" t="s">
        <v>5692</v>
      </c>
      <c r="C18" s="2" t="s">
        <v>5693</v>
      </c>
      <c r="D18" s="2" t="s">
        <v>5694</v>
      </c>
      <c r="E18" s="2" t="s">
        <v>387</v>
      </c>
      <c r="F18" s="2" t="s">
        <v>6270</v>
      </c>
    </row>
    <row r="19">
      <c r="A19" s="2" t="s">
        <v>4095</v>
      </c>
      <c r="B19" s="2" t="s">
        <v>4096</v>
      </c>
      <c r="C19" s="2" t="s">
        <v>4097</v>
      </c>
      <c r="D19" s="2" t="s">
        <v>4098</v>
      </c>
      <c r="E19" s="2" t="s">
        <v>88</v>
      </c>
      <c r="F19" s="2" t="s">
        <v>6271</v>
      </c>
    </row>
    <row r="20">
      <c r="A20" s="2" t="s">
        <v>1838</v>
      </c>
      <c r="B20" s="2" t="s">
        <v>1839</v>
      </c>
      <c r="C20" s="2" t="s">
        <v>1840</v>
      </c>
      <c r="D20" s="2" t="s">
        <v>1841</v>
      </c>
      <c r="E20" s="2" t="s">
        <v>1078</v>
      </c>
      <c r="F20" s="2" t="s">
        <v>6272</v>
      </c>
      <c r="G20" s="2" t="s">
        <v>6273</v>
      </c>
    </row>
    <row r="21" ht="15.75" customHeight="1">
      <c r="A21" s="2" t="s">
        <v>2535</v>
      </c>
      <c r="B21" s="2" t="s">
        <v>2536</v>
      </c>
      <c r="C21" s="2" t="s">
        <v>2537</v>
      </c>
      <c r="D21" s="2" t="s">
        <v>2538</v>
      </c>
      <c r="E21" s="2" t="s">
        <v>88</v>
      </c>
      <c r="F21" s="2" t="s">
        <v>6274</v>
      </c>
      <c r="G21" s="2" t="s">
        <v>6262</v>
      </c>
    </row>
    <row r="22" ht="15.75" customHeight="1">
      <c r="A22" s="2" t="s">
        <v>1793</v>
      </c>
      <c r="B22" s="2" t="s">
        <v>1794</v>
      </c>
      <c r="C22" s="2" t="s">
        <v>1795</v>
      </c>
      <c r="E22" s="2" t="s">
        <v>139</v>
      </c>
      <c r="F22" s="2" t="s">
        <v>6275</v>
      </c>
      <c r="G22" s="2" t="s">
        <v>6248</v>
      </c>
    </row>
    <row r="23" ht="15.75" customHeight="1">
      <c r="A23" s="2" t="s">
        <v>6276</v>
      </c>
      <c r="B23" s="2" t="s">
        <v>6277</v>
      </c>
      <c r="C23" s="2" t="s">
        <v>6278</v>
      </c>
      <c r="D23" s="2" t="s">
        <v>6279</v>
      </c>
      <c r="E23" s="2" t="s">
        <v>3331</v>
      </c>
      <c r="F23" s="2" t="s">
        <v>6280</v>
      </c>
    </row>
    <row r="24" ht="15.75" customHeight="1">
      <c r="A24" s="2" t="s">
        <v>1610</v>
      </c>
      <c r="B24" s="2" t="s">
        <v>1611</v>
      </c>
      <c r="C24" s="2" t="s">
        <v>1612</v>
      </c>
      <c r="D24" s="2" t="s">
        <v>1613</v>
      </c>
      <c r="E24" s="2" t="s">
        <v>139</v>
      </c>
      <c r="F24" s="2" t="s">
        <v>6281</v>
      </c>
      <c r="G24" s="2" t="s">
        <v>6237</v>
      </c>
    </row>
    <row r="25" ht="15.75" customHeight="1">
      <c r="A25" s="2" t="s">
        <v>2594</v>
      </c>
      <c r="B25" s="2" t="s">
        <v>2595</v>
      </c>
      <c r="C25" s="2" t="s">
        <v>2596</v>
      </c>
      <c r="D25" s="2" t="s">
        <v>2597</v>
      </c>
      <c r="E25" s="2" t="s">
        <v>2110</v>
      </c>
      <c r="F25" s="2" t="s">
        <v>6282</v>
      </c>
      <c r="G25" s="2" t="s">
        <v>6237</v>
      </c>
    </row>
    <row r="26" ht="15.75" customHeight="1">
      <c r="A26" s="2" t="s">
        <v>6283</v>
      </c>
      <c r="B26" s="2" t="s">
        <v>173</v>
      </c>
      <c r="C26" s="2" t="s">
        <v>6284</v>
      </c>
      <c r="D26" s="2" t="s">
        <v>6285</v>
      </c>
      <c r="E26" s="2" t="s">
        <v>608</v>
      </c>
      <c r="F26" s="2" t="s">
        <v>4154</v>
      </c>
      <c r="G26" s="2" t="s">
        <v>6248</v>
      </c>
    </row>
    <row r="27" ht="15.75" customHeight="1">
      <c r="A27" s="2" t="s">
        <v>927</v>
      </c>
      <c r="B27" s="2" t="s">
        <v>928</v>
      </c>
      <c r="C27" s="2" t="s">
        <v>929</v>
      </c>
      <c r="D27" s="2" t="s">
        <v>930</v>
      </c>
      <c r="E27" s="2" t="s">
        <v>151</v>
      </c>
      <c r="F27" s="2" t="s">
        <v>6286</v>
      </c>
      <c r="G27" s="2" t="s">
        <v>6248</v>
      </c>
    </row>
    <row r="28" ht="15.75" customHeight="1">
      <c r="A28" s="2" t="s">
        <v>3443</v>
      </c>
      <c r="B28" s="2" t="s">
        <v>3444</v>
      </c>
      <c r="C28" s="2" t="s">
        <v>3445</v>
      </c>
      <c r="D28" s="2" t="s">
        <v>3446</v>
      </c>
      <c r="E28" s="2" t="s">
        <v>3447</v>
      </c>
      <c r="F28" s="2" t="s">
        <v>6287</v>
      </c>
      <c r="G28" s="2" t="s">
        <v>6248</v>
      </c>
    </row>
    <row r="29" ht="15.75" customHeight="1">
      <c r="A29" s="2" t="s">
        <v>1768</v>
      </c>
      <c r="B29" s="2" t="s">
        <v>1769</v>
      </c>
      <c r="C29" s="2" t="s">
        <v>1770</v>
      </c>
      <c r="D29" s="2" t="s">
        <v>1771</v>
      </c>
      <c r="E29" s="2" t="s">
        <v>58</v>
      </c>
      <c r="F29" s="2" t="s">
        <v>6288</v>
      </c>
      <c r="G29" s="2" t="s">
        <v>6262</v>
      </c>
    </row>
    <row r="30" ht="15.75" customHeight="1">
      <c r="A30" s="2" t="s">
        <v>5022</v>
      </c>
      <c r="B30" s="2" t="s">
        <v>726</v>
      </c>
      <c r="C30" s="2" t="s">
        <v>5023</v>
      </c>
      <c r="D30" s="2" t="s">
        <v>5024</v>
      </c>
      <c r="E30" s="2" t="s">
        <v>199</v>
      </c>
      <c r="F30" s="2" t="s">
        <v>6289</v>
      </c>
      <c r="G30" s="2" t="s">
        <v>6239</v>
      </c>
    </row>
    <row r="31" ht="15.75" customHeight="1">
      <c r="A31" s="2" t="s">
        <v>6290</v>
      </c>
      <c r="B31" s="2" t="s">
        <v>6291</v>
      </c>
      <c r="C31" s="2" t="s">
        <v>6292</v>
      </c>
      <c r="D31" s="2" t="s">
        <v>6293</v>
      </c>
      <c r="E31" s="2" t="s">
        <v>608</v>
      </c>
      <c r="F31" s="2" t="s">
        <v>6294</v>
      </c>
      <c r="G31" s="2" t="s">
        <v>6245</v>
      </c>
    </row>
    <row r="32" ht="15.75" customHeight="1">
      <c r="A32" s="2" t="s">
        <v>6295</v>
      </c>
      <c r="B32" s="2" t="s">
        <v>6296</v>
      </c>
      <c r="C32" s="2" t="s">
        <v>6297</v>
      </c>
      <c r="D32" s="2" t="s">
        <v>6298</v>
      </c>
      <c r="E32" s="2" t="s">
        <v>139</v>
      </c>
      <c r="F32" s="2" t="s">
        <v>6299</v>
      </c>
      <c r="G32" s="2" t="s">
        <v>6245</v>
      </c>
    </row>
    <row r="33" ht="15.75" customHeight="1">
      <c r="A33" s="2" t="s">
        <v>4741</v>
      </c>
      <c r="B33" s="2" t="s">
        <v>4742</v>
      </c>
      <c r="C33" s="2" t="s">
        <v>4743</v>
      </c>
      <c r="D33" s="2" t="s">
        <v>4744</v>
      </c>
      <c r="E33" s="2" t="s">
        <v>1177</v>
      </c>
      <c r="F33" s="2" t="s">
        <v>6300</v>
      </c>
      <c r="G33" s="2" t="s">
        <v>6239</v>
      </c>
    </row>
    <row r="34" ht="15.75" customHeight="1">
      <c r="A34" s="2" t="s">
        <v>1565</v>
      </c>
      <c r="B34" s="2" t="s">
        <v>1029</v>
      </c>
      <c r="C34" s="2" t="s">
        <v>1566</v>
      </c>
      <c r="D34" s="2" t="s">
        <v>1567</v>
      </c>
      <c r="E34" s="2" t="s">
        <v>139</v>
      </c>
      <c r="F34" s="2" t="s">
        <v>6301</v>
      </c>
      <c r="G34" s="2" t="s">
        <v>6248</v>
      </c>
    </row>
    <row r="35" ht="15.75" customHeight="1">
      <c r="A35" s="2" t="s">
        <v>1726</v>
      </c>
      <c r="B35" s="2" t="s">
        <v>1727</v>
      </c>
      <c r="C35" s="2" t="s">
        <v>1728</v>
      </c>
      <c r="D35" s="2" t="s">
        <v>1729</v>
      </c>
      <c r="E35" s="2" t="s">
        <v>1177</v>
      </c>
      <c r="F35" s="2" t="s">
        <v>6302</v>
      </c>
    </row>
    <row r="36" ht="15.75" customHeight="1">
      <c r="A36" s="2" t="s">
        <v>6303</v>
      </c>
      <c r="B36" s="2" t="s">
        <v>6304</v>
      </c>
      <c r="C36" s="2" t="s">
        <v>6305</v>
      </c>
      <c r="D36" s="2" t="s">
        <v>6306</v>
      </c>
      <c r="E36" s="2" t="s">
        <v>448</v>
      </c>
      <c r="F36" s="2" t="s">
        <v>6307</v>
      </c>
      <c r="G36" s="2" t="s">
        <v>6262</v>
      </c>
    </row>
    <row r="37" ht="15.75" customHeight="1">
      <c r="A37" s="2" t="s">
        <v>3075</v>
      </c>
      <c r="B37" s="2" t="s">
        <v>1126</v>
      </c>
      <c r="C37" s="2" t="s">
        <v>3076</v>
      </c>
      <c r="D37" s="2" t="s">
        <v>3077</v>
      </c>
      <c r="E37" s="2" t="s">
        <v>1336</v>
      </c>
      <c r="F37" s="2" t="s">
        <v>6308</v>
      </c>
      <c r="G37" s="2" t="s">
        <v>6309</v>
      </c>
    </row>
    <row r="38" ht="15.75" customHeight="1">
      <c r="A38" s="2" t="s">
        <v>797</v>
      </c>
      <c r="B38" s="2" t="s">
        <v>798</v>
      </c>
      <c r="C38" s="2" t="s">
        <v>799</v>
      </c>
      <c r="D38" s="2" t="s">
        <v>800</v>
      </c>
      <c r="E38" s="2" t="s">
        <v>801</v>
      </c>
      <c r="F38" s="2" t="s">
        <v>6310</v>
      </c>
      <c r="G38" s="2" t="s">
        <v>6248</v>
      </c>
    </row>
    <row r="39" ht="15.75" customHeight="1">
      <c r="A39" s="2" t="s">
        <v>6156</v>
      </c>
      <c r="B39" s="2" t="s">
        <v>6157</v>
      </c>
      <c r="C39" s="2" t="s">
        <v>6158</v>
      </c>
      <c r="D39" s="2" t="s">
        <v>6159</v>
      </c>
      <c r="E39" s="2" t="s">
        <v>25</v>
      </c>
      <c r="F39" s="2" t="s">
        <v>6311</v>
      </c>
      <c r="G39" s="2" t="s">
        <v>6237</v>
      </c>
    </row>
    <row r="40" ht="15.75" customHeight="1">
      <c r="A40" s="2" t="s">
        <v>4612</v>
      </c>
      <c r="B40" s="2" t="s">
        <v>4613</v>
      </c>
      <c r="C40" s="2" t="s">
        <v>4614</v>
      </c>
      <c r="D40" s="2" t="s">
        <v>4615</v>
      </c>
      <c r="E40" s="2" t="s">
        <v>25</v>
      </c>
      <c r="F40" s="2" t="s">
        <v>6312</v>
      </c>
      <c r="G40" s="2" t="s">
        <v>6245</v>
      </c>
    </row>
    <row r="41" ht="15.75" customHeight="1">
      <c r="A41" s="2" t="s">
        <v>6313</v>
      </c>
      <c r="B41" s="2" t="s">
        <v>879</v>
      </c>
      <c r="C41" s="2" t="s">
        <v>6314</v>
      </c>
      <c r="E41" s="2" t="s">
        <v>671</v>
      </c>
      <c r="F41" s="2" t="s">
        <v>6315</v>
      </c>
      <c r="G41" s="2" t="s">
        <v>6239</v>
      </c>
    </row>
    <row r="42" ht="15.75" customHeight="1">
      <c r="A42" s="2" t="s">
        <v>6316</v>
      </c>
      <c r="B42" s="2" t="s">
        <v>6317</v>
      </c>
      <c r="C42" s="2" t="s">
        <v>6318</v>
      </c>
      <c r="D42" s="2" t="s">
        <v>6319</v>
      </c>
      <c r="E42" s="2" t="s">
        <v>459</v>
      </c>
      <c r="F42" s="2" t="s">
        <v>6320</v>
      </c>
      <c r="G42" s="2" t="s">
        <v>6273</v>
      </c>
    </row>
    <row r="43" ht="15.75" customHeight="1">
      <c r="A43" s="2" t="s">
        <v>4248</v>
      </c>
      <c r="B43" s="2" t="s">
        <v>4249</v>
      </c>
      <c r="D43" s="2" t="s">
        <v>4250</v>
      </c>
      <c r="E43" s="2" t="s">
        <v>25</v>
      </c>
      <c r="F43" s="2" t="s">
        <v>6321</v>
      </c>
      <c r="G43" s="2" t="s">
        <v>6237</v>
      </c>
    </row>
    <row r="44" ht="15.75" customHeight="1">
      <c r="A44" s="2" t="s">
        <v>1557</v>
      </c>
      <c r="B44" s="2" t="s">
        <v>1558</v>
      </c>
      <c r="C44" s="2" t="s">
        <v>1559</v>
      </c>
      <c r="D44" s="2" t="s">
        <v>1560</v>
      </c>
      <c r="E44" s="2" t="s">
        <v>114</v>
      </c>
      <c r="F44" s="2" t="s">
        <v>6322</v>
      </c>
      <c r="G44" s="2" t="s">
        <v>6309</v>
      </c>
    </row>
    <row r="45" ht="15.75" customHeight="1">
      <c r="A45" s="2" t="s">
        <v>5931</v>
      </c>
      <c r="B45" s="2" t="s">
        <v>5932</v>
      </c>
      <c r="C45" s="2" t="s">
        <v>5933</v>
      </c>
      <c r="D45" s="2" t="s">
        <v>5934</v>
      </c>
      <c r="E45" s="2" t="s">
        <v>58</v>
      </c>
      <c r="F45" s="2" t="s">
        <v>6323</v>
      </c>
      <c r="G45" s="2" t="s">
        <v>6239</v>
      </c>
    </row>
    <row r="46" ht="15.75" customHeight="1">
      <c r="A46" s="2" t="s">
        <v>6324</v>
      </c>
      <c r="B46" s="2" t="s">
        <v>6325</v>
      </c>
      <c r="C46" s="2" t="s">
        <v>6326</v>
      </c>
      <c r="D46" s="2" t="s">
        <v>6327</v>
      </c>
      <c r="E46" s="2" t="s">
        <v>25</v>
      </c>
      <c r="F46" s="2" t="s">
        <v>6328</v>
      </c>
      <c r="G46" s="2" t="s">
        <v>6309</v>
      </c>
    </row>
    <row r="47" ht="15.75" customHeight="1">
      <c r="A47" s="2" t="s">
        <v>2929</v>
      </c>
      <c r="B47" s="2" t="s">
        <v>2930</v>
      </c>
      <c r="C47" s="2" t="s">
        <v>2931</v>
      </c>
      <c r="D47" s="2" t="s">
        <v>2932</v>
      </c>
      <c r="E47" s="2" t="s">
        <v>608</v>
      </c>
      <c r="F47" s="2" t="s">
        <v>6329</v>
      </c>
      <c r="G47" s="2" t="s">
        <v>6260</v>
      </c>
    </row>
    <row r="48" ht="15.75" customHeight="1">
      <c r="A48" s="2" t="s">
        <v>1291</v>
      </c>
      <c r="B48" s="2" t="s">
        <v>1292</v>
      </c>
      <c r="C48" s="2" t="s">
        <v>1293</v>
      </c>
      <c r="D48" s="2" t="s">
        <v>1294</v>
      </c>
      <c r="E48" s="2" t="s">
        <v>199</v>
      </c>
      <c r="F48" s="2" t="s">
        <v>6330</v>
      </c>
      <c r="G48" s="2" t="s">
        <v>6239</v>
      </c>
    </row>
    <row r="49" ht="15.75" customHeight="1">
      <c r="A49" s="2" t="s">
        <v>3642</v>
      </c>
      <c r="B49" s="2" t="s">
        <v>3643</v>
      </c>
      <c r="C49" s="2" t="s">
        <v>3644</v>
      </c>
      <c r="D49" s="2" t="s">
        <v>3645</v>
      </c>
      <c r="E49" s="2" t="s">
        <v>564</v>
      </c>
      <c r="F49" s="2" t="s">
        <v>6331</v>
      </c>
      <c r="G49" s="2" t="s">
        <v>6262</v>
      </c>
    </row>
    <row r="50" ht="15.75" customHeight="1">
      <c r="A50" s="2" t="s">
        <v>2983</v>
      </c>
      <c r="B50" s="2" t="s">
        <v>2984</v>
      </c>
      <c r="C50" s="2" t="s">
        <v>2985</v>
      </c>
      <c r="D50" s="2" t="s">
        <v>2986</v>
      </c>
      <c r="E50" s="2" t="s">
        <v>199</v>
      </c>
      <c r="F50" s="2" t="s">
        <v>6332</v>
      </c>
      <c r="G50" s="2" t="s">
        <v>6262</v>
      </c>
    </row>
    <row r="51" ht="15.75" customHeight="1">
      <c r="A51" s="2" t="s">
        <v>1542</v>
      </c>
      <c r="B51" s="2" t="s">
        <v>1543</v>
      </c>
      <c r="C51" s="2" t="s">
        <v>1544</v>
      </c>
      <c r="D51" s="2" t="s">
        <v>1545</v>
      </c>
      <c r="E51" s="2" t="s">
        <v>671</v>
      </c>
      <c r="F51" s="2" t="s">
        <v>6333</v>
      </c>
      <c r="G51" s="2" t="s">
        <v>6237</v>
      </c>
    </row>
    <row r="52" ht="15.75" customHeight="1">
      <c r="A52" s="2" t="s">
        <v>4408</v>
      </c>
      <c r="B52" s="2" t="s">
        <v>4409</v>
      </c>
      <c r="C52" s="2" t="s">
        <v>4410</v>
      </c>
      <c r="D52" s="2" t="s">
        <v>4411</v>
      </c>
      <c r="E52" s="2" t="s">
        <v>785</v>
      </c>
      <c r="F52" s="2" t="s">
        <v>6334</v>
      </c>
      <c r="G52" s="2" t="s">
        <v>6262</v>
      </c>
    </row>
    <row r="53" ht="15.75" customHeight="1">
      <c r="A53" s="2" t="s">
        <v>5859</v>
      </c>
      <c r="B53" s="2" t="s">
        <v>5860</v>
      </c>
      <c r="C53" s="2" t="s">
        <v>5861</v>
      </c>
      <c r="D53" s="2" t="s">
        <v>5862</v>
      </c>
      <c r="E53" s="2" t="s">
        <v>25</v>
      </c>
      <c r="F53" s="2" t="s">
        <v>6335</v>
      </c>
      <c r="G53" s="2" t="s">
        <v>6239</v>
      </c>
    </row>
    <row r="54" ht="15.75" customHeight="1">
      <c r="A54" s="2" t="s">
        <v>560</v>
      </c>
      <c r="B54" s="2" t="s">
        <v>561</v>
      </c>
      <c r="C54" s="2" t="s">
        <v>562</v>
      </c>
      <c r="D54" s="2" t="s">
        <v>563</v>
      </c>
      <c r="E54" s="2" t="s">
        <v>564</v>
      </c>
      <c r="F54" s="2" t="s">
        <v>6336</v>
      </c>
    </row>
    <row r="55" ht="15.75" customHeight="1">
      <c r="A55" s="2" t="s">
        <v>1096</v>
      </c>
      <c r="B55" s="2" t="s">
        <v>1097</v>
      </c>
      <c r="C55" s="2" t="s">
        <v>1098</v>
      </c>
      <c r="E55" s="2" t="s">
        <v>199</v>
      </c>
      <c r="F55" s="2" t="s">
        <v>6337</v>
      </c>
      <c r="G55" s="2" t="s">
        <v>6273</v>
      </c>
    </row>
    <row r="56" ht="15.75" customHeight="1">
      <c r="A56" s="2" t="s">
        <v>2946</v>
      </c>
      <c r="B56" s="2" t="s">
        <v>148</v>
      </c>
      <c r="C56" s="2" t="s">
        <v>2947</v>
      </c>
      <c r="D56" s="2" t="s">
        <v>2948</v>
      </c>
      <c r="E56" s="2" t="s">
        <v>139</v>
      </c>
      <c r="F56" s="2" t="s">
        <v>6338</v>
      </c>
      <c r="G56" s="2" t="s">
        <v>6248</v>
      </c>
    </row>
    <row r="57" ht="15.75" customHeight="1">
      <c r="A57" s="2" t="s">
        <v>4752</v>
      </c>
      <c r="B57" s="2" t="s">
        <v>3869</v>
      </c>
      <c r="C57" s="2" t="s">
        <v>4753</v>
      </c>
      <c r="D57" s="2" t="s">
        <v>4754</v>
      </c>
      <c r="E57" s="2" t="s">
        <v>73</v>
      </c>
      <c r="F57" s="2" t="s">
        <v>6339</v>
      </c>
      <c r="G57" s="2" t="s">
        <v>6239</v>
      </c>
    </row>
    <row r="58" ht="15.75" customHeight="1">
      <c r="A58" s="2" t="s">
        <v>6340</v>
      </c>
      <c r="B58" s="2" t="s">
        <v>6341</v>
      </c>
      <c r="C58" s="2" t="s">
        <v>6342</v>
      </c>
      <c r="D58" s="2" t="s">
        <v>6343</v>
      </c>
      <c r="E58" s="2" t="s">
        <v>199</v>
      </c>
      <c r="F58" s="2" t="s">
        <v>6344</v>
      </c>
      <c r="G58" s="2" t="s">
        <v>6262</v>
      </c>
    </row>
    <row r="59" ht="15.75" customHeight="1">
      <c r="A59" s="2" t="s">
        <v>4138</v>
      </c>
      <c r="B59" s="2" t="s">
        <v>1451</v>
      </c>
      <c r="D59" s="2" t="s">
        <v>4139</v>
      </c>
      <c r="E59" s="2" t="s">
        <v>165</v>
      </c>
      <c r="F59" s="2" t="s">
        <v>6345</v>
      </c>
      <c r="G59" s="2" t="s">
        <v>6260</v>
      </c>
    </row>
    <row r="60" ht="15.75" customHeight="1">
      <c r="A60" s="2" t="s">
        <v>5204</v>
      </c>
      <c r="B60" s="2" t="s">
        <v>658</v>
      </c>
      <c r="C60" s="2" t="s">
        <v>5205</v>
      </c>
      <c r="D60" s="2" t="s">
        <v>5206</v>
      </c>
      <c r="E60" s="2" t="s">
        <v>459</v>
      </c>
      <c r="F60" s="2" t="s">
        <v>6346</v>
      </c>
      <c r="G60" s="2" t="s">
        <v>6309</v>
      </c>
    </row>
    <row r="61" ht="15.75" customHeight="1">
      <c r="A61" s="2" t="s">
        <v>6123</v>
      </c>
      <c r="B61" s="2" t="s">
        <v>6124</v>
      </c>
      <c r="C61" s="2" t="s">
        <v>6125</v>
      </c>
      <c r="D61" s="2" t="s">
        <v>6126</v>
      </c>
      <c r="E61" s="2" t="s">
        <v>151</v>
      </c>
      <c r="F61" s="2" t="s">
        <v>6347</v>
      </c>
    </row>
    <row r="62" ht="15.75" customHeight="1">
      <c r="A62" s="2" t="s">
        <v>3376</v>
      </c>
      <c r="B62" s="2" t="s">
        <v>3068</v>
      </c>
      <c r="C62" s="2" t="s">
        <v>3377</v>
      </c>
      <c r="D62" s="2" t="s">
        <v>3378</v>
      </c>
      <c r="E62" s="2" t="s">
        <v>1336</v>
      </c>
      <c r="F62" s="2" t="s">
        <v>3169</v>
      </c>
      <c r="G62" s="2" t="s">
        <v>6248</v>
      </c>
    </row>
    <row r="63" ht="15.75" customHeight="1">
      <c r="A63" s="2" t="s">
        <v>3529</v>
      </c>
      <c r="B63" s="2" t="s">
        <v>3530</v>
      </c>
      <c r="C63" s="2" t="s">
        <v>3531</v>
      </c>
      <c r="D63" s="2" t="s">
        <v>6348</v>
      </c>
      <c r="E63" s="2" t="s">
        <v>199</v>
      </c>
      <c r="F63" s="2" t="s">
        <v>6349</v>
      </c>
      <c r="G63" s="2" t="s">
        <v>6309</v>
      </c>
    </row>
    <row r="64" ht="15.75" customHeight="1">
      <c r="A64" s="2" t="s">
        <v>6350</v>
      </c>
      <c r="B64" s="2" t="s">
        <v>6351</v>
      </c>
      <c r="C64" s="2" t="s">
        <v>6352</v>
      </c>
      <c r="D64" s="2" t="s">
        <v>6353</v>
      </c>
      <c r="E64" s="2" t="s">
        <v>801</v>
      </c>
      <c r="F64" s="2" t="s">
        <v>6354</v>
      </c>
      <c r="G64" s="2" t="s">
        <v>6237</v>
      </c>
    </row>
    <row r="65" ht="15.75" customHeight="1">
      <c r="A65" s="2" t="s">
        <v>5638</v>
      </c>
      <c r="B65" s="2" t="s">
        <v>1324</v>
      </c>
      <c r="C65" s="2" t="s">
        <v>5639</v>
      </c>
      <c r="E65" s="2" t="s">
        <v>1078</v>
      </c>
      <c r="F65" s="2" t="s">
        <v>6355</v>
      </c>
    </row>
    <row r="66" ht="15.75" customHeight="1">
      <c r="A66" s="2" t="s">
        <v>6139</v>
      </c>
      <c r="B66" s="2" t="s">
        <v>6140</v>
      </c>
      <c r="C66" s="2" t="s">
        <v>6141</v>
      </c>
      <c r="D66" s="2" t="s">
        <v>6142</v>
      </c>
      <c r="E66" s="2" t="s">
        <v>139</v>
      </c>
      <c r="F66" s="2" t="s">
        <v>6356</v>
      </c>
      <c r="G66" s="2" t="s">
        <v>6262</v>
      </c>
    </row>
    <row r="67" ht="15.75" customHeight="1">
      <c r="A67" s="2" t="s">
        <v>6357</v>
      </c>
      <c r="B67" s="2" t="s">
        <v>6358</v>
      </c>
      <c r="C67" s="2" t="s">
        <v>6359</v>
      </c>
      <c r="D67" s="2" t="s">
        <v>6360</v>
      </c>
      <c r="E67" s="2" t="s">
        <v>1336</v>
      </c>
      <c r="F67" s="2" t="s">
        <v>6361</v>
      </c>
      <c r="G67" s="2" t="s">
        <v>6239</v>
      </c>
    </row>
    <row r="68" ht="15.75" customHeight="1">
      <c r="A68" s="2" t="s">
        <v>5221</v>
      </c>
      <c r="B68" s="2" t="s">
        <v>5222</v>
      </c>
      <c r="C68" s="2" t="s">
        <v>5223</v>
      </c>
      <c r="D68" s="2" t="s">
        <v>5224</v>
      </c>
      <c r="E68" s="2" t="s">
        <v>1177</v>
      </c>
      <c r="F68" s="2" t="s">
        <v>6362</v>
      </c>
      <c r="G68" s="2" t="s">
        <v>6248</v>
      </c>
    </row>
    <row r="69" ht="15.75" customHeight="1">
      <c r="A69" s="2" t="s">
        <v>6363</v>
      </c>
      <c r="B69" s="2" t="s">
        <v>5198</v>
      </c>
      <c r="C69" s="2" t="s">
        <v>6364</v>
      </c>
      <c r="D69" s="2" t="s">
        <v>6365</v>
      </c>
      <c r="E69" s="2" t="s">
        <v>548</v>
      </c>
      <c r="F69" s="2" t="s">
        <v>6366</v>
      </c>
      <c r="G69" s="2" t="s">
        <v>6245</v>
      </c>
    </row>
    <row r="70" ht="15.75" customHeight="1">
      <c r="A70" s="2" t="s">
        <v>2754</v>
      </c>
      <c r="B70" s="2" t="s">
        <v>2755</v>
      </c>
      <c r="C70" s="2" t="s">
        <v>2756</v>
      </c>
      <c r="D70" s="2" t="s">
        <v>2757</v>
      </c>
      <c r="E70" s="2" t="s">
        <v>25</v>
      </c>
      <c r="F70" s="2" t="s">
        <v>6367</v>
      </c>
      <c r="G70" s="2" t="s">
        <v>6237</v>
      </c>
    </row>
    <row r="71" ht="15.75" customHeight="1">
      <c r="A71" s="2" t="s">
        <v>6368</v>
      </c>
      <c r="B71" s="2" t="s">
        <v>287</v>
      </c>
      <c r="C71" s="2" t="s">
        <v>6369</v>
      </c>
      <c r="D71" s="2" t="s">
        <v>6370</v>
      </c>
      <c r="E71" s="2" t="s">
        <v>114</v>
      </c>
      <c r="F71" s="2" t="s">
        <v>6371</v>
      </c>
      <c r="G71" s="2" t="s">
        <v>6262</v>
      </c>
    </row>
    <row r="72" ht="15.75" customHeight="1">
      <c r="A72" s="2" t="s">
        <v>6372</v>
      </c>
      <c r="B72" s="2" t="s">
        <v>6373</v>
      </c>
      <c r="C72" s="2" t="s">
        <v>6374</v>
      </c>
      <c r="D72" s="2" t="s">
        <v>6375</v>
      </c>
      <c r="E72" s="2" t="s">
        <v>608</v>
      </c>
      <c r="F72" s="2" t="s">
        <v>6376</v>
      </c>
      <c r="G72" s="2" t="s">
        <v>6260</v>
      </c>
    </row>
    <row r="73" ht="15.75" customHeight="1">
      <c r="A73" s="2" t="s">
        <v>6005</v>
      </c>
      <c r="B73" s="2" t="s">
        <v>3109</v>
      </c>
      <c r="C73" s="2" t="s">
        <v>6006</v>
      </c>
      <c r="D73" s="2" t="s">
        <v>6007</v>
      </c>
      <c r="E73" s="2" t="s">
        <v>738</v>
      </c>
      <c r="F73" s="2" t="s">
        <v>6377</v>
      </c>
      <c r="G73" s="2" t="s">
        <v>6309</v>
      </c>
    </row>
    <row r="74" ht="15.75" customHeight="1">
      <c r="A74" s="2" t="s">
        <v>2808</v>
      </c>
      <c r="B74" s="2" t="s">
        <v>2809</v>
      </c>
      <c r="C74" s="2" t="s">
        <v>2810</v>
      </c>
      <c r="D74" s="2" t="s">
        <v>2811</v>
      </c>
      <c r="E74" s="2" t="s">
        <v>25</v>
      </c>
      <c r="F74" s="2" t="s">
        <v>6378</v>
      </c>
      <c r="G74" s="2" t="s">
        <v>6239</v>
      </c>
    </row>
    <row r="75" ht="15.75" customHeight="1">
      <c r="A75" s="2" t="s">
        <v>4434</v>
      </c>
      <c r="B75" s="2" t="s">
        <v>4435</v>
      </c>
      <c r="C75" s="2" t="s">
        <v>5318</v>
      </c>
      <c r="D75" s="2" t="s">
        <v>4436</v>
      </c>
      <c r="E75" s="2" t="s">
        <v>188</v>
      </c>
      <c r="F75" s="2" t="s">
        <v>6379</v>
      </c>
      <c r="G75" s="2" t="s">
        <v>6245</v>
      </c>
    </row>
    <row r="76" ht="15.75" customHeight="1">
      <c r="A76" s="2" t="s">
        <v>1307</v>
      </c>
      <c r="B76" s="2" t="s">
        <v>1308</v>
      </c>
      <c r="C76" s="2" t="s">
        <v>1309</v>
      </c>
      <c r="D76" s="2" t="s">
        <v>1310</v>
      </c>
      <c r="E76" s="2" t="s">
        <v>1078</v>
      </c>
      <c r="F76" s="2" t="s">
        <v>6380</v>
      </c>
    </row>
    <row r="77" ht="15.75" customHeight="1">
      <c r="A77" s="2" t="s">
        <v>1472</v>
      </c>
      <c r="B77" s="2" t="s">
        <v>1473</v>
      </c>
      <c r="C77" s="2" t="s">
        <v>4155</v>
      </c>
      <c r="D77" s="2" t="s">
        <v>1474</v>
      </c>
      <c r="E77" s="2" t="s">
        <v>114</v>
      </c>
      <c r="F77" s="2" t="s">
        <v>6259</v>
      </c>
      <c r="G77" s="2" t="s">
        <v>6260</v>
      </c>
    </row>
    <row r="78" ht="15.75" customHeight="1">
      <c r="A78" s="2" t="s">
        <v>5048</v>
      </c>
      <c r="B78" s="2" t="s">
        <v>4358</v>
      </c>
      <c r="C78" s="2" t="s">
        <v>5049</v>
      </c>
      <c r="D78" s="2" t="s">
        <v>5050</v>
      </c>
      <c r="E78" s="2" t="s">
        <v>5051</v>
      </c>
      <c r="F78" s="2" t="s">
        <v>6381</v>
      </c>
      <c r="G78" s="2" t="s">
        <v>6273</v>
      </c>
    </row>
    <row r="79" ht="15.75" customHeight="1">
      <c r="A79" s="2" t="s">
        <v>1203</v>
      </c>
      <c r="B79" s="2" t="s">
        <v>1204</v>
      </c>
      <c r="C79" s="2" t="s">
        <v>1205</v>
      </c>
      <c r="D79" s="2" t="s">
        <v>1206</v>
      </c>
      <c r="E79" s="2" t="s">
        <v>671</v>
      </c>
      <c r="F79" s="2" t="s">
        <v>6382</v>
      </c>
      <c r="G79" s="2" t="s">
        <v>6260</v>
      </c>
    </row>
    <row r="80" ht="15.75" customHeight="1">
      <c r="A80" s="2" t="s">
        <v>4260</v>
      </c>
      <c r="B80" s="2" t="s">
        <v>4261</v>
      </c>
      <c r="C80" s="2" t="s">
        <v>4262</v>
      </c>
      <c r="D80" s="2" t="s">
        <v>6383</v>
      </c>
      <c r="E80" s="2" t="s">
        <v>199</v>
      </c>
      <c r="F80" s="2" t="s">
        <v>6384</v>
      </c>
      <c r="G80" s="2" t="s">
        <v>6309</v>
      </c>
    </row>
    <row r="81" ht="15.75" customHeight="1">
      <c r="A81" s="2" t="s">
        <v>2236</v>
      </c>
      <c r="B81" s="2" t="s">
        <v>2237</v>
      </c>
      <c r="C81" s="2" t="s">
        <v>2238</v>
      </c>
      <c r="D81" s="2" t="s">
        <v>2239</v>
      </c>
      <c r="E81" s="2" t="s">
        <v>785</v>
      </c>
      <c r="F81" s="2" t="s">
        <v>5970</v>
      </c>
      <c r="G81" s="2" t="s">
        <v>6248</v>
      </c>
    </row>
    <row r="82" ht="15.75" customHeight="1">
      <c r="A82" s="2" t="s">
        <v>4033</v>
      </c>
      <c r="B82" s="2" t="s">
        <v>4034</v>
      </c>
      <c r="C82" s="2" t="s">
        <v>4035</v>
      </c>
      <c r="D82" s="2" t="s">
        <v>4036</v>
      </c>
      <c r="E82" s="2" t="s">
        <v>165</v>
      </c>
      <c r="F82" s="2" t="s">
        <v>6385</v>
      </c>
      <c r="G82" s="2" t="s">
        <v>6262</v>
      </c>
    </row>
    <row r="83" ht="15.75" customHeight="1">
      <c r="A83" s="2" t="s">
        <v>6386</v>
      </c>
      <c r="B83" s="2" t="s">
        <v>3619</v>
      </c>
      <c r="D83" s="2" t="s">
        <v>6387</v>
      </c>
      <c r="E83" s="2" t="s">
        <v>88</v>
      </c>
      <c r="F83" s="2" t="s">
        <v>6388</v>
      </c>
    </row>
    <row r="84" ht="15.75" customHeight="1">
      <c r="A84" s="2" t="s">
        <v>2850</v>
      </c>
      <c r="B84" s="2" t="s">
        <v>2851</v>
      </c>
      <c r="C84" s="2" t="s">
        <v>2852</v>
      </c>
      <c r="D84" s="2" t="s">
        <v>2853</v>
      </c>
      <c r="E84" s="2" t="s">
        <v>671</v>
      </c>
      <c r="F84" s="2" t="s">
        <v>6389</v>
      </c>
      <c r="G84" s="2" t="s">
        <v>6262</v>
      </c>
    </row>
    <row r="85" ht="15.75" customHeight="1">
      <c r="A85" s="2" t="s">
        <v>2193</v>
      </c>
      <c r="B85" s="2" t="s">
        <v>2194</v>
      </c>
      <c r="C85" s="2" t="s">
        <v>2195</v>
      </c>
      <c r="D85" s="2" t="s">
        <v>2196</v>
      </c>
      <c r="E85" s="2" t="s">
        <v>199</v>
      </c>
      <c r="F85" s="2" t="s">
        <v>6390</v>
      </c>
      <c r="G85" s="2" t="s">
        <v>6248</v>
      </c>
    </row>
    <row r="86" ht="15.75" customHeight="1">
      <c r="A86" s="2" t="s">
        <v>4108</v>
      </c>
      <c r="B86" s="2" t="s">
        <v>4109</v>
      </c>
      <c r="C86" s="2" t="s">
        <v>4110</v>
      </c>
      <c r="D86" s="2" t="s">
        <v>4111</v>
      </c>
      <c r="E86" s="2" t="s">
        <v>151</v>
      </c>
      <c r="F86" s="2" t="s">
        <v>6391</v>
      </c>
      <c r="G86" s="2" t="s">
        <v>6239</v>
      </c>
    </row>
    <row r="87" ht="15.75" customHeight="1">
      <c r="A87" s="2" t="s">
        <v>6392</v>
      </c>
      <c r="B87" s="2" t="s">
        <v>876</v>
      </c>
      <c r="C87" s="2" t="s">
        <v>6393</v>
      </c>
      <c r="D87" s="2" t="s">
        <v>6394</v>
      </c>
      <c r="E87" s="2" t="s">
        <v>785</v>
      </c>
      <c r="F87" s="2" t="s">
        <v>6395</v>
      </c>
      <c r="G87" s="2" t="s">
        <v>6245</v>
      </c>
    </row>
    <row r="88" ht="15.75" customHeight="1">
      <c r="A88" s="2" t="s">
        <v>972</v>
      </c>
      <c r="B88" s="2" t="s">
        <v>973</v>
      </c>
      <c r="C88" s="2" t="s">
        <v>974</v>
      </c>
      <c r="D88" s="2" t="s">
        <v>975</v>
      </c>
      <c r="E88" s="2" t="s">
        <v>608</v>
      </c>
      <c r="F88" s="2" t="s">
        <v>6396</v>
      </c>
      <c r="G88" s="2" t="s">
        <v>6273</v>
      </c>
    </row>
    <row r="89" ht="15.75" customHeight="1">
      <c r="A89" s="2" t="s">
        <v>4513</v>
      </c>
      <c r="B89" s="2" t="s">
        <v>4514</v>
      </c>
      <c r="C89" s="2" t="s">
        <v>4515</v>
      </c>
      <c r="D89" s="2" t="s">
        <v>4516</v>
      </c>
      <c r="E89" s="2" t="s">
        <v>801</v>
      </c>
      <c r="F89" s="2" t="s">
        <v>6397</v>
      </c>
      <c r="G89" s="2" t="s">
        <v>6262</v>
      </c>
    </row>
    <row r="90" ht="15.75" customHeight="1">
      <c r="A90" s="2" t="s">
        <v>6060</v>
      </c>
      <c r="B90" s="2" t="s">
        <v>6061</v>
      </c>
      <c r="C90" s="2" t="s">
        <v>6062</v>
      </c>
      <c r="E90" s="2" t="s">
        <v>25</v>
      </c>
      <c r="F90" s="2" t="s">
        <v>2039</v>
      </c>
      <c r="G90" s="2" t="s">
        <v>6245</v>
      </c>
    </row>
    <row r="91" ht="15.75" customHeight="1">
      <c r="A91" s="2" t="s">
        <v>2407</v>
      </c>
      <c r="B91" s="2" t="s">
        <v>6398</v>
      </c>
      <c r="C91" s="2" t="s">
        <v>6399</v>
      </c>
      <c r="D91" s="2" t="s">
        <v>2410</v>
      </c>
      <c r="E91" s="2" t="s">
        <v>1054</v>
      </c>
      <c r="F91" s="2" t="s">
        <v>6400</v>
      </c>
    </row>
    <row r="92" ht="15.75" customHeight="1">
      <c r="A92" s="2" t="s">
        <v>1787</v>
      </c>
      <c r="B92" s="2" t="s">
        <v>1788</v>
      </c>
      <c r="D92" s="2" t="s">
        <v>1789</v>
      </c>
      <c r="E92" s="2" t="s">
        <v>1319</v>
      </c>
      <c r="F92" s="2" t="s">
        <v>6401</v>
      </c>
    </row>
    <row r="93" ht="15.75" customHeight="1">
      <c r="A93" s="2" t="s">
        <v>1354</v>
      </c>
      <c r="B93" s="2" t="s">
        <v>4600</v>
      </c>
      <c r="C93" s="2" t="s">
        <v>1356</v>
      </c>
      <c r="D93" s="2" t="s">
        <v>1357</v>
      </c>
      <c r="E93" s="2" t="s">
        <v>199</v>
      </c>
      <c r="F93" s="2" t="s">
        <v>6402</v>
      </c>
      <c r="G93" s="2" t="s">
        <v>6309</v>
      </c>
    </row>
    <row r="94" ht="15.75" customHeight="1">
      <c r="A94" s="2" t="s">
        <v>3081</v>
      </c>
      <c r="B94" s="2" t="s">
        <v>1126</v>
      </c>
      <c r="C94" s="2" t="s">
        <v>3082</v>
      </c>
      <c r="D94" s="2" t="s">
        <v>3083</v>
      </c>
      <c r="E94" s="2" t="s">
        <v>139</v>
      </c>
      <c r="F94" s="2" t="s">
        <v>6403</v>
      </c>
      <c r="G94" s="2" t="s">
        <v>6245</v>
      </c>
    </row>
    <row r="95" ht="15.75" customHeight="1">
      <c r="A95" s="2" t="s">
        <v>886</v>
      </c>
      <c r="B95" s="2" t="s">
        <v>887</v>
      </c>
      <c r="C95" s="2" t="s">
        <v>888</v>
      </c>
      <c r="E95" s="2" t="s">
        <v>139</v>
      </c>
      <c r="F95" s="2" t="s">
        <v>6404</v>
      </c>
      <c r="G95" s="2" t="s">
        <v>6309</v>
      </c>
    </row>
    <row r="96" ht="15.75" customHeight="1">
      <c r="A96" s="2" t="s">
        <v>3119</v>
      </c>
      <c r="B96" s="2" t="s">
        <v>2081</v>
      </c>
      <c r="C96" s="2" t="s">
        <v>3120</v>
      </c>
      <c r="D96" s="2" t="s">
        <v>3121</v>
      </c>
      <c r="E96" s="2" t="s">
        <v>58</v>
      </c>
      <c r="F96" s="2" t="s">
        <v>6405</v>
      </c>
      <c r="G96" s="2" t="s">
        <v>6248</v>
      </c>
    </row>
    <row r="97" ht="15.75" customHeight="1">
      <c r="A97" s="2" t="s">
        <v>6406</v>
      </c>
      <c r="B97" s="2" t="s">
        <v>6407</v>
      </c>
      <c r="C97" s="2" t="s">
        <v>6408</v>
      </c>
      <c r="D97" s="2" t="s">
        <v>6409</v>
      </c>
      <c r="E97" s="2" t="s">
        <v>564</v>
      </c>
      <c r="F97" s="2" t="s">
        <v>6410</v>
      </c>
      <c r="G97" s="2" t="s">
        <v>6309</v>
      </c>
    </row>
    <row r="98" ht="15.75" customHeight="1">
      <c r="A98" s="2" t="s">
        <v>2359</v>
      </c>
      <c r="B98" s="2" t="s">
        <v>2360</v>
      </c>
      <c r="C98" s="2" t="s">
        <v>2361</v>
      </c>
      <c r="D98" s="2" t="s">
        <v>2362</v>
      </c>
      <c r="E98" s="2" t="s">
        <v>88</v>
      </c>
      <c r="F98" s="2" t="s">
        <v>6411</v>
      </c>
      <c r="G98" s="2" t="s">
        <v>6237</v>
      </c>
    </row>
    <row r="99" ht="15.75" customHeight="1">
      <c r="A99" s="2" t="s">
        <v>5977</v>
      </c>
      <c r="B99" s="2" t="s">
        <v>5978</v>
      </c>
      <c r="C99" s="2" t="s">
        <v>5979</v>
      </c>
      <c r="D99" s="2" t="s">
        <v>5980</v>
      </c>
      <c r="E99" s="2" t="s">
        <v>777</v>
      </c>
      <c r="F99" s="2" t="s">
        <v>6412</v>
      </c>
      <c r="G99" s="2" t="s">
        <v>6239</v>
      </c>
    </row>
    <row r="100" ht="15.75" customHeight="1">
      <c r="A100" s="2" t="s">
        <v>6413</v>
      </c>
      <c r="B100" s="2" t="s">
        <v>6414</v>
      </c>
      <c r="C100" s="2" t="s">
        <v>6415</v>
      </c>
      <c r="E100" s="2" t="s">
        <v>3143</v>
      </c>
      <c r="F100" s="2" t="s">
        <v>6416</v>
      </c>
      <c r="G100" s="2" t="s">
        <v>6273</v>
      </c>
    </row>
    <row r="101" ht="15.75" customHeight="1">
      <c r="A101" s="2" t="s">
        <v>3804</v>
      </c>
      <c r="B101" s="2" t="s">
        <v>3151</v>
      </c>
      <c r="C101" s="2" t="s">
        <v>3805</v>
      </c>
      <c r="D101" s="2" t="s">
        <v>3806</v>
      </c>
      <c r="E101" s="2" t="s">
        <v>421</v>
      </c>
      <c r="F101" s="2" t="s">
        <v>6417</v>
      </c>
    </row>
    <row r="102" ht="15.75" customHeight="1">
      <c r="A102" s="2" t="s">
        <v>6418</v>
      </c>
      <c r="B102" s="2" t="s">
        <v>6419</v>
      </c>
      <c r="C102" s="2" t="s">
        <v>6420</v>
      </c>
      <c r="D102" s="2" t="s">
        <v>6421</v>
      </c>
      <c r="E102" s="2" t="s">
        <v>720</v>
      </c>
      <c r="F102" s="2" t="s">
        <v>3115</v>
      </c>
      <c r="G102" s="2" t="s">
        <v>6260</v>
      </c>
    </row>
    <row r="103" ht="15.75" customHeight="1">
      <c r="A103" s="2" t="s">
        <v>330</v>
      </c>
      <c r="B103" s="2" t="s">
        <v>331</v>
      </c>
      <c r="C103" s="2" t="s">
        <v>332</v>
      </c>
      <c r="D103" s="2" t="s">
        <v>1013</v>
      </c>
      <c r="E103" s="2" t="s">
        <v>188</v>
      </c>
      <c r="F103" s="2" t="s">
        <v>6422</v>
      </c>
      <c r="G103" s="2" t="s">
        <v>6260</v>
      </c>
    </row>
    <row r="104" ht="15.75" customHeight="1">
      <c r="A104" s="2" t="s">
        <v>4630</v>
      </c>
      <c r="B104" s="2" t="s">
        <v>4631</v>
      </c>
      <c r="C104" s="2" t="s">
        <v>4632</v>
      </c>
      <c r="D104" s="2" t="s">
        <v>4633</v>
      </c>
      <c r="E104" s="2" t="s">
        <v>459</v>
      </c>
      <c r="F104" s="2" t="s">
        <v>6423</v>
      </c>
      <c r="G104" s="2" t="s">
        <v>6260</v>
      </c>
    </row>
    <row r="105" ht="15.75" customHeight="1">
      <c r="A105" s="2" t="s">
        <v>1241</v>
      </c>
      <c r="B105" s="2" t="s">
        <v>1242</v>
      </c>
      <c r="C105" s="2" t="s">
        <v>1243</v>
      </c>
      <c r="D105" s="2" t="s">
        <v>1244</v>
      </c>
      <c r="E105" s="2" t="s">
        <v>608</v>
      </c>
      <c r="F105" s="2" t="s">
        <v>6424</v>
      </c>
      <c r="G105" s="2" t="s">
        <v>6239</v>
      </c>
    </row>
    <row r="106" ht="15.75" customHeight="1">
      <c r="A106" s="2" t="s">
        <v>2858</v>
      </c>
      <c r="B106" s="2" t="s">
        <v>2859</v>
      </c>
      <c r="C106" s="2" t="s">
        <v>2860</v>
      </c>
      <c r="D106" s="2" t="s">
        <v>5562</v>
      </c>
      <c r="E106" s="2" t="s">
        <v>58</v>
      </c>
      <c r="F106" s="2" t="s">
        <v>6425</v>
      </c>
      <c r="G106" s="2" t="s">
        <v>6260</v>
      </c>
    </row>
    <row r="107" ht="15.75" customHeight="1">
      <c r="A107" s="2" t="s">
        <v>319</v>
      </c>
      <c r="B107" s="2" t="s">
        <v>320</v>
      </c>
      <c r="C107" s="2" t="s">
        <v>321</v>
      </c>
      <c r="D107" s="2" t="s">
        <v>322</v>
      </c>
      <c r="E107" s="2" t="s">
        <v>58</v>
      </c>
      <c r="F107" s="2" t="s">
        <v>6426</v>
      </c>
      <c r="G107" s="2" t="s">
        <v>6248</v>
      </c>
    </row>
    <row r="108" ht="15.75" customHeight="1">
      <c r="A108" s="2" t="s">
        <v>6427</v>
      </c>
      <c r="B108" s="2" t="s">
        <v>6428</v>
      </c>
      <c r="C108" s="2" t="s">
        <v>6429</v>
      </c>
      <c r="D108" s="2" t="s">
        <v>6430</v>
      </c>
      <c r="E108" s="2" t="s">
        <v>25</v>
      </c>
      <c r="F108" s="2" t="s">
        <v>6431</v>
      </c>
      <c r="G108" s="2" t="s">
        <v>6273</v>
      </c>
    </row>
    <row r="109" ht="15.75" customHeight="1">
      <c r="A109" s="2" t="s">
        <v>847</v>
      </c>
      <c r="B109" s="2" t="s">
        <v>848</v>
      </c>
      <c r="C109" s="2" t="s">
        <v>849</v>
      </c>
      <c r="D109" s="2" t="s">
        <v>850</v>
      </c>
      <c r="E109" s="2" t="s">
        <v>608</v>
      </c>
      <c r="F109" s="2" t="s">
        <v>6432</v>
      </c>
      <c r="G109" s="2" t="s">
        <v>6245</v>
      </c>
    </row>
    <row r="110" ht="15.75" customHeight="1">
      <c r="A110" s="2" t="s">
        <v>3156</v>
      </c>
      <c r="B110" s="2" t="s">
        <v>3157</v>
      </c>
      <c r="C110" s="2" t="s">
        <v>3158</v>
      </c>
      <c r="D110" s="2" t="s">
        <v>3159</v>
      </c>
      <c r="E110" s="2" t="s">
        <v>1078</v>
      </c>
      <c r="F110" s="2" t="s">
        <v>6433</v>
      </c>
      <c r="G110" s="2" t="s">
        <v>6239</v>
      </c>
    </row>
    <row r="111" ht="15.75" customHeight="1">
      <c r="A111" s="2" t="s">
        <v>4373</v>
      </c>
      <c r="B111" s="2" t="s">
        <v>4374</v>
      </c>
      <c r="C111" s="2" t="s">
        <v>4375</v>
      </c>
      <c r="D111" s="2" t="s">
        <v>4376</v>
      </c>
      <c r="E111" s="2" t="s">
        <v>188</v>
      </c>
      <c r="F111" s="2" t="s">
        <v>6434</v>
      </c>
      <c r="G111" s="2" t="s">
        <v>6273</v>
      </c>
    </row>
    <row r="112" ht="15.75" customHeight="1">
      <c r="A112" s="2" t="s">
        <v>230</v>
      </c>
      <c r="B112" s="2" t="s">
        <v>231</v>
      </c>
      <c r="C112" s="2" t="s">
        <v>232</v>
      </c>
      <c r="D112" s="2" t="s">
        <v>233</v>
      </c>
      <c r="E112" s="2" t="s">
        <v>88</v>
      </c>
      <c r="F112" s="2" t="s">
        <v>6435</v>
      </c>
      <c r="G112" s="2" t="s">
        <v>6262</v>
      </c>
    </row>
    <row r="113" ht="15.75" customHeight="1">
      <c r="A113" s="2" t="s">
        <v>1042</v>
      </c>
      <c r="B113" s="2" t="s">
        <v>1043</v>
      </c>
      <c r="C113" s="2" t="s">
        <v>1044</v>
      </c>
      <c r="D113" s="2" t="s">
        <v>1045</v>
      </c>
      <c r="E113" s="2" t="s">
        <v>114</v>
      </c>
      <c r="F113" s="2" t="s">
        <v>6436</v>
      </c>
      <c r="G113" s="2" t="s">
        <v>6239</v>
      </c>
    </row>
    <row r="114" ht="15.75" customHeight="1">
      <c r="A114" s="2" t="s">
        <v>5704</v>
      </c>
      <c r="B114" s="2" t="s">
        <v>3500</v>
      </c>
      <c r="C114" s="2" t="s">
        <v>5705</v>
      </c>
      <c r="D114" s="2" t="s">
        <v>5706</v>
      </c>
      <c r="E114" s="2" t="s">
        <v>777</v>
      </c>
      <c r="F114" s="2" t="s">
        <v>6437</v>
      </c>
      <c r="G114" s="2" t="s">
        <v>6239</v>
      </c>
    </row>
    <row r="115" ht="15.75" customHeight="1">
      <c r="A115" s="2" t="s">
        <v>2858</v>
      </c>
      <c r="B115" s="2" t="s">
        <v>5560</v>
      </c>
      <c r="C115" s="2" t="s">
        <v>5561</v>
      </c>
      <c r="D115" s="2" t="s">
        <v>5562</v>
      </c>
      <c r="E115" s="2" t="s">
        <v>58</v>
      </c>
      <c r="F115" s="2" t="s">
        <v>6425</v>
      </c>
      <c r="G115" s="2" t="s">
        <v>6260</v>
      </c>
    </row>
    <row r="116" ht="15.75" customHeight="1">
      <c r="A116" s="2" t="s">
        <v>1450</v>
      </c>
      <c r="B116" s="2" t="s">
        <v>1451</v>
      </c>
      <c r="C116" s="2" t="s">
        <v>1452</v>
      </c>
      <c r="E116" s="2" t="s">
        <v>399</v>
      </c>
      <c r="F116" s="2" t="s">
        <v>6438</v>
      </c>
      <c r="G116" s="2" t="s">
        <v>6260</v>
      </c>
    </row>
    <row r="117" ht="15.75" customHeight="1">
      <c r="A117" s="2" t="s">
        <v>5197</v>
      </c>
      <c r="B117" s="2" t="s">
        <v>5198</v>
      </c>
      <c r="C117" s="2" t="s">
        <v>5199</v>
      </c>
      <c r="D117" s="2" t="s">
        <v>5200</v>
      </c>
      <c r="E117" s="2" t="s">
        <v>88</v>
      </c>
      <c r="F117" s="2" t="s">
        <v>6439</v>
      </c>
      <c r="G117" s="2" t="s">
        <v>6309</v>
      </c>
    </row>
    <row r="118" ht="15.75" customHeight="1">
      <c r="A118" s="2" t="s">
        <v>6440</v>
      </c>
      <c r="B118" s="2" t="s">
        <v>6441</v>
      </c>
      <c r="C118" s="2" t="s">
        <v>6442</v>
      </c>
      <c r="D118" s="2" t="s">
        <v>6443</v>
      </c>
      <c r="E118" s="2" t="s">
        <v>608</v>
      </c>
      <c r="F118" s="2" t="s">
        <v>6444</v>
      </c>
      <c r="G118" s="2" t="s">
        <v>6260</v>
      </c>
    </row>
    <row r="119" ht="15.75" customHeight="1">
      <c r="A119" s="2" t="s">
        <v>1437</v>
      </c>
      <c r="B119" s="2" t="s">
        <v>1438</v>
      </c>
      <c r="C119" s="2" t="s">
        <v>6190</v>
      </c>
      <c r="D119" s="2" t="s">
        <v>1440</v>
      </c>
      <c r="E119" s="2" t="s">
        <v>88</v>
      </c>
      <c r="F119" s="2" t="s">
        <v>6445</v>
      </c>
      <c r="G119" s="2" t="s">
        <v>6245</v>
      </c>
    </row>
    <row r="120" ht="15.75" customHeight="1">
      <c r="A120" s="2" t="s">
        <v>4238</v>
      </c>
      <c r="B120" s="2" t="s">
        <v>4239</v>
      </c>
      <c r="C120" s="2" t="s">
        <v>4240</v>
      </c>
      <c r="D120" s="2" t="s">
        <v>4241</v>
      </c>
      <c r="E120" s="2" t="s">
        <v>608</v>
      </c>
      <c r="F120" s="2" t="s">
        <v>6446</v>
      </c>
    </row>
    <row r="121" ht="15.75" customHeight="1">
      <c r="A121" s="2" t="s">
        <v>1232</v>
      </c>
      <c r="B121" s="2" t="s">
        <v>1233</v>
      </c>
      <c r="C121" s="2" t="s">
        <v>1234</v>
      </c>
      <c r="D121" s="2" t="s">
        <v>1235</v>
      </c>
      <c r="E121" s="2" t="s">
        <v>448</v>
      </c>
      <c r="F121" s="2" t="s">
        <v>6447</v>
      </c>
      <c r="G121" s="2" t="s">
        <v>6239</v>
      </c>
    </row>
    <row r="122" ht="15.75" customHeight="1">
      <c r="A122" s="2" t="s">
        <v>6448</v>
      </c>
      <c r="B122" s="2" t="s">
        <v>6449</v>
      </c>
      <c r="C122" s="2" t="s">
        <v>6450</v>
      </c>
      <c r="D122" s="2" t="s">
        <v>6451</v>
      </c>
      <c r="E122" s="2" t="s">
        <v>785</v>
      </c>
      <c r="F122" s="2" t="s">
        <v>6452</v>
      </c>
      <c r="G122" s="2" t="s">
        <v>6273</v>
      </c>
    </row>
    <row r="123" ht="15.75" customHeight="1">
      <c r="A123" s="2" t="s">
        <v>4026</v>
      </c>
      <c r="B123" s="2" t="s">
        <v>4027</v>
      </c>
      <c r="C123" s="2" t="s">
        <v>4028</v>
      </c>
      <c r="D123" s="2" t="s">
        <v>4029</v>
      </c>
      <c r="E123" s="2" t="s">
        <v>720</v>
      </c>
      <c r="F123" s="2" t="s">
        <v>6453</v>
      </c>
      <c r="G123" s="2" t="s">
        <v>6260</v>
      </c>
    </row>
    <row r="124" ht="15.75" customHeight="1">
      <c r="A124" s="2" t="s">
        <v>4222</v>
      </c>
      <c r="B124" s="2" t="s">
        <v>1646</v>
      </c>
      <c r="C124" s="2" t="s">
        <v>4223</v>
      </c>
      <c r="D124" s="2" t="s">
        <v>4224</v>
      </c>
      <c r="E124" s="2" t="s">
        <v>421</v>
      </c>
      <c r="F124" s="2" t="s">
        <v>6454</v>
      </c>
      <c r="G124" s="2" t="s">
        <v>6237</v>
      </c>
    </row>
    <row r="125" ht="15.75" customHeight="1">
      <c r="A125" s="2" t="s">
        <v>5518</v>
      </c>
      <c r="B125" s="2" t="s">
        <v>1068</v>
      </c>
      <c r="D125" s="2" t="s">
        <v>5519</v>
      </c>
      <c r="E125" s="2" t="s">
        <v>738</v>
      </c>
      <c r="F125" s="2" t="s">
        <v>6455</v>
      </c>
    </row>
    <row r="126" ht="15.75" customHeight="1">
      <c r="A126" s="2" t="s">
        <v>6456</v>
      </c>
      <c r="B126" s="2" t="s">
        <v>6457</v>
      </c>
      <c r="C126" s="2" t="s">
        <v>6458</v>
      </c>
      <c r="D126" s="2" t="s">
        <v>6459</v>
      </c>
      <c r="E126" s="2" t="s">
        <v>114</v>
      </c>
      <c r="F126" s="2" t="s">
        <v>6460</v>
      </c>
      <c r="G126" s="2" t="s">
        <v>6239</v>
      </c>
    </row>
    <row r="127" ht="15.75" customHeight="1">
      <c r="A127" s="2" t="s">
        <v>1860</v>
      </c>
      <c r="B127" s="2" t="s">
        <v>1861</v>
      </c>
      <c r="C127" s="2" t="s">
        <v>1862</v>
      </c>
      <c r="D127" s="2" t="s">
        <v>1863</v>
      </c>
      <c r="E127" s="2" t="s">
        <v>114</v>
      </c>
      <c r="F127" s="2" t="s">
        <v>6461</v>
      </c>
      <c r="G127" s="2" t="s">
        <v>6237</v>
      </c>
    </row>
    <row r="128" ht="15.75" customHeight="1">
      <c r="A128" s="2" t="s">
        <v>6462</v>
      </c>
      <c r="B128" s="2" t="s">
        <v>6463</v>
      </c>
      <c r="D128" s="2" t="s">
        <v>6464</v>
      </c>
      <c r="E128" s="2" t="s">
        <v>608</v>
      </c>
      <c r="F128" s="2" t="s">
        <v>6465</v>
      </c>
      <c r="G128" s="2" t="s">
        <v>6245</v>
      </c>
    </row>
    <row r="129" ht="15.75" customHeight="1">
      <c r="A129" s="2" t="s">
        <v>5659</v>
      </c>
      <c r="B129" s="2" t="s">
        <v>5660</v>
      </c>
      <c r="C129" s="2" t="s">
        <v>5661</v>
      </c>
      <c r="D129" s="2" t="s">
        <v>5662</v>
      </c>
      <c r="E129" s="2" t="s">
        <v>199</v>
      </c>
      <c r="F129" s="2" t="s">
        <v>6466</v>
      </c>
      <c r="G129" s="2" t="s">
        <v>6239</v>
      </c>
    </row>
    <row r="130" ht="15.75" customHeight="1">
      <c r="A130" s="2" t="s">
        <v>6467</v>
      </c>
      <c r="B130" s="2" t="s">
        <v>6468</v>
      </c>
      <c r="C130" s="2" t="s">
        <v>6469</v>
      </c>
      <c r="D130" s="2" t="s">
        <v>6470</v>
      </c>
      <c r="E130" s="2" t="s">
        <v>139</v>
      </c>
      <c r="F130" s="2" t="s">
        <v>6471</v>
      </c>
    </row>
    <row r="131" ht="15.75" customHeight="1">
      <c r="A131" s="2" t="s">
        <v>488</v>
      </c>
      <c r="B131" s="2" t="s">
        <v>489</v>
      </c>
      <c r="D131" s="2" t="s">
        <v>5126</v>
      </c>
      <c r="E131" s="2" t="s">
        <v>199</v>
      </c>
      <c r="F131" s="2" t="s">
        <v>6472</v>
      </c>
      <c r="G131" s="2" t="s">
        <v>6248</v>
      </c>
    </row>
    <row r="132" ht="15.75" customHeight="1">
      <c r="A132" s="2" t="s">
        <v>3292</v>
      </c>
      <c r="B132" s="2" t="s">
        <v>3293</v>
      </c>
      <c r="C132" s="2" t="s">
        <v>3294</v>
      </c>
      <c r="D132" s="2" t="s">
        <v>3295</v>
      </c>
      <c r="E132" s="2" t="s">
        <v>25</v>
      </c>
      <c r="F132" s="2" t="s">
        <v>6473</v>
      </c>
      <c r="G132" s="2" t="s">
        <v>6237</v>
      </c>
    </row>
    <row r="133" ht="15.75" customHeight="1">
      <c r="A133" s="2" t="s">
        <v>1354</v>
      </c>
      <c r="B133" s="2" t="s">
        <v>1355</v>
      </c>
      <c r="C133" s="2" t="s">
        <v>1356</v>
      </c>
      <c r="D133" s="2" t="s">
        <v>1357</v>
      </c>
      <c r="E133" s="2" t="s">
        <v>199</v>
      </c>
      <c r="F133" s="2" t="s">
        <v>6402</v>
      </c>
      <c r="G133" s="2" t="s">
        <v>6309</v>
      </c>
    </row>
    <row r="134" ht="15.75" customHeight="1">
      <c r="A134" s="2" t="s">
        <v>3328</v>
      </c>
      <c r="B134" s="2" t="s">
        <v>2128</v>
      </c>
      <c r="C134" s="2" t="s">
        <v>3329</v>
      </c>
      <c r="D134" s="2" t="s">
        <v>3330</v>
      </c>
      <c r="E134" s="2" t="s">
        <v>3331</v>
      </c>
      <c r="F134" s="2" t="s">
        <v>6474</v>
      </c>
      <c r="G134" s="2" t="s">
        <v>6309</v>
      </c>
    </row>
    <row r="135" ht="15.75" customHeight="1">
      <c r="A135" s="2" t="s">
        <v>6475</v>
      </c>
      <c r="B135" s="2" t="s">
        <v>6476</v>
      </c>
      <c r="C135" s="2" t="s">
        <v>6477</v>
      </c>
      <c r="D135" s="2" t="s">
        <v>6478</v>
      </c>
      <c r="E135" s="2" t="s">
        <v>139</v>
      </c>
      <c r="F135" s="2" t="s">
        <v>6479</v>
      </c>
      <c r="G135" s="2" t="s">
        <v>6309</v>
      </c>
    </row>
    <row r="136" ht="15.75" customHeight="1">
      <c r="A136" s="2" t="s">
        <v>1507</v>
      </c>
      <c r="B136" s="2" t="s">
        <v>1508</v>
      </c>
      <c r="C136" s="2" t="s">
        <v>1509</v>
      </c>
      <c r="D136" s="2" t="s">
        <v>1510</v>
      </c>
      <c r="E136" s="2" t="s">
        <v>58</v>
      </c>
      <c r="F136" s="2" t="s">
        <v>6480</v>
      </c>
      <c r="G136" s="2" t="s">
        <v>6248</v>
      </c>
    </row>
    <row r="137" ht="15.75" customHeight="1">
      <c r="A137" s="2" t="s">
        <v>6481</v>
      </c>
      <c r="B137" s="2" t="s">
        <v>6482</v>
      </c>
      <c r="D137" s="2" t="s">
        <v>6483</v>
      </c>
      <c r="E137" s="2" t="s">
        <v>364</v>
      </c>
      <c r="F137" s="2" t="s">
        <v>6484</v>
      </c>
      <c r="G137" s="2" t="s">
        <v>6248</v>
      </c>
    </row>
    <row r="138" ht="15.75" customHeight="1">
      <c r="A138" s="2" t="s">
        <v>1396</v>
      </c>
      <c r="B138" s="2" t="s">
        <v>1397</v>
      </c>
      <c r="C138" s="2" t="s">
        <v>1398</v>
      </c>
      <c r="D138" s="2" t="s">
        <v>1399</v>
      </c>
      <c r="E138" s="2" t="s">
        <v>139</v>
      </c>
      <c r="F138" s="2" t="s">
        <v>6485</v>
      </c>
      <c r="G138" s="2" t="s">
        <v>6237</v>
      </c>
    </row>
    <row r="139" ht="15.75" customHeight="1">
      <c r="A139" s="2" t="s">
        <v>2901</v>
      </c>
      <c r="B139" s="2" t="s">
        <v>2902</v>
      </c>
      <c r="C139" s="2" t="s">
        <v>2903</v>
      </c>
      <c r="D139" s="2" t="s">
        <v>2904</v>
      </c>
      <c r="E139" s="2" t="s">
        <v>903</v>
      </c>
      <c r="F139" s="2" t="s">
        <v>6486</v>
      </c>
      <c r="G139" s="2" t="s">
        <v>6248</v>
      </c>
    </row>
    <row r="140" ht="15.75" customHeight="1">
      <c r="A140" s="2" t="s">
        <v>6487</v>
      </c>
      <c r="B140" s="2" t="s">
        <v>6488</v>
      </c>
      <c r="C140" s="2" t="s">
        <v>6489</v>
      </c>
      <c r="D140" s="2" t="s">
        <v>6490</v>
      </c>
      <c r="E140" s="2" t="s">
        <v>765</v>
      </c>
      <c r="F140" s="2" t="s">
        <v>6491</v>
      </c>
      <c r="G140" s="2" t="s">
        <v>6309</v>
      </c>
    </row>
    <row r="141" ht="15.75" customHeight="1">
      <c r="A141" s="2" t="s">
        <v>2407</v>
      </c>
      <c r="B141" s="2" t="s">
        <v>2408</v>
      </c>
      <c r="C141" s="2" t="s">
        <v>2409</v>
      </c>
      <c r="D141" s="2" t="s">
        <v>2410</v>
      </c>
      <c r="E141" s="2" t="s">
        <v>1054</v>
      </c>
      <c r="F141" s="2" t="s">
        <v>6400</v>
      </c>
    </row>
    <row r="142" ht="15.75" customHeight="1">
      <c r="A142" s="2" t="s">
        <v>5765</v>
      </c>
      <c r="B142" s="2" t="s">
        <v>5766</v>
      </c>
      <c r="C142" s="2" t="s">
        <v>5767</v>
      </c>
      <c r="D142" s="2" t="s">
        <v>5768</v>
      </c>
      <c r="E142" s="2" t="s">
        <v>564</v>
      </c>
      <c r="F142" s="2" t="s">
        <v>6492</v>
      </c>
      <c r="G142" s="2" t="s">
        <v>6309</v>
      </c>
    </row>
    <row r="143" ht="15.75" customHeight="1">
      <c r="A143" s="2" t="s">
        <v>1174</v>
      </c>
      <c r="B143" s="2" t="s">
        <v>1175</v>
      </c>
      <c r="C143" s="2" t="s">
        <v>1176</v>
      </c>
      <c r="D143" s="2" t="s">
        <v>4626</v>
      </c>
      <c r="E143" s="2" t="s">
        <v>1177</v>
      </c>
      <c r="F143" s="2" t="s">
        <v>6493</v>
      </c>
      <c r="G143" s="2" t="s">
        <v>6239</v>
      </c>
    </row>
    <row r="144" ht="15.75" customHeight="1">
      <c r="A144" s="2" t="s">
        <v>6494</v>
      </c>
      <c r="B144" s="2" t="s">
        <v>6495</v>
      </c>
      <c r="C144" s="2" t="s">
        <v>6496</v>
      </c>
      <c r="D144" s="2" t="s">
        <v>6497</v>
      </c>
      <c r="E144" s="2" t="s">
        <v>114</v>
      </c>
      <c r="F144" s="2" t="s">
        <v>6498</v>
      </c>
      <c r="G144" s="2" t="s">
        <v>6239</v>
      </c>
    </row>
    <row r="145" ht="15.75" customHeight="1">
      <c r="A145" s="2" t="s">
        <v>1986</v>
      </c>
      <c r="B145" s="2" t="s">
        <v>1987</v>
      </c>
      <c r="C145" s="2" t="s">
        <v>1988</v>
      </c>
      <c r="D145" s="2" t="s">
        <v>1989</v>
      </c>
      <c r="E145" s="2" t="s">
        <v>608</v>
      </c>
      <c r="F145" s="2" t="s">
        <v>6499</v>
      </c>
      <c r="G145" s="2" t="s">
        <v>6309</v>
      </c>
    </row>
    <row r="146" ht="15.75" customHeight="1">
      <c r="A146" s="2" t="s">
        <v>6500</v>
      </c>
      <c r="B146" s="2" t="s">
        <v>6501</v>
      </c>
      <c r="C146" s="2" t="s">
        <v>6502</v>
      </c>
      <c r="D146" s="2" t="s">
        <v>6503</v>
      </c>
      <c r="E146" s="2" t="s">
        <v>25</v>
      </c>
      <c r="F146" s="2" t="s">
        <v>6504</v>
      </c>
      <c r="G146" s="2" t="s">
        <v>6260</v>
      </c>
    </row>
    <row r="147" ht="15.75" customHeight="1">
      <c r="A147" s="2" t="s">
        <v>552</v>
      </c>
      <c r="B147" s="2" t="s">
        <v>553</v>
      </c>
      <c r="C147" s="2" t="s">
        <v>554</v>
      </c>
      <c r="D147" s="2" t="s">
        <v>555</v>
      </c>
      <c r="E147" s="2" t="s">
        <v>364</v>
      </c>
      <c r="F147" s="2" t="s">
        <v>6505</v>
      </c>
      <c r="G147" s="2" t="s">
        <v>6245</v>
      </c>
    </row>
    <row r="148" ht="15.75" customHeight="1">
      <c r="A148" s="2" t="s">
        <v>6506</v>
      </c>
      <c r="B148" s="2" t="s">
        <v>6507</v>
      </c>
      <c r="D148" s="2" t="s">
        <v>6508</v>
      </c>
      <c r="E148" s="2" t="s">
        <v>188</v>
      </c>
      <c r="F148" s="2" t="s">
        <v>6509</v>
      </c>
      <c r="G148" s="2" t="s">
        <v>6245</v>
      </c>
    </row>
    <row r="149" ht="15.75" customHeight="1">
      <c r="A149" s="2" t="s">
        <v>6510</v>
      </c>
      <c r="B149" s="2" t="s">
        <v>6511</v>
      </c>
      <c r="C149" s="2" t="s">
        <v>6512</v>
      </c>
      <c r="D149" s="2" t="s">
        <v>6513</v>
      </c>
      <c r="E149" s="2" t="s">
        <v>671</v>
      </c>
      <c r="F149" s="2" t="s">
        <v>6514</v>
      </c>
      <c r="G149" s="2" t="s">
        <v>6248</v>
      </c>
    </row>
    <row r="150" ht="15.75" customHeight="1">
      <c r="A150" s="2" t="s">
        <v>3226</v>
      </c>
      <c r="B150" s="2" t="s">
        <v>3227</v>
      </c>
      <c r="C150" s="2" t="s">
        <v>3228</v>
      </c>
      <c r="D150" s="2" t="s">
        <v>3388</v>
      </c>
      <c r="E150" s="2" t="s">
        <v>671</v>
      </c>
      <c r="F150" s="2" t="s">
        <v>6515</v>
      </c>
      <c r="G150" s="2" t="s">
        <v>6309</v>
      </c>
    </row>
    <row r="151" ht="15.75" customHeight="1">
      <c r="A151" s="2" t="s">
        <v>6516</v>
      </c>
      <c r="B151" s="2" t="s">
        <v>6517</v>
      </c>
      <c r="C151" s="2" t="s">
        <v>6518</v>
      </c>
      <c r="D151" s="2" t="s">
        <v>6519</v>
      </c>
      <c r="E151" s="2" t="s">
        <v>387</v>
      </c>
      <c r="F151" s="2" t="s">
        <v>6520</v>
      </c>
      <c r="G151" s="2" t="s">
        <v>6237</v>
      </c>
    </row>
    <row r="152" ht="15.75" customHeight="1">
      <c r="A152" s="2" t="s">
        <v>4982</v>
      </c>
      <c r="B152" s="2" t="s">
        <v>4983</v>
      </c>
      <c r="C152" s="2" t="s">
        <v>4984</v>
      </c>
      <c r="D152" s="2" t="s">
        <v>4985</v>
      </c>
      <c r="E152" s="2" t="s">
        <v>564</v>
      </c>
      <c r="F152" s="2" t="s">
        <v>6521</v>
      </c>
    </row>
    <row r="153" ht="15.75" customHeight="1">
      <c r="A153" s="2" t="s">
        <v>1282</v>
      </c>
      <c r="B153" s="2" t="s">
        <v>1283</v>
      </c>
      <c r="C153" s="2" t="s">
        <v>1284</v>
      </c>
      <c r="D153" s="2" t="s">
        <v>1285</v>
      </c>
      <c r="E153" s="2" t="s">
        <v>25</v>
      </c>
      <c r="F153" s="2" t="s">
        <v>6522</v>
      </c>
      <c r="G153" s="2" t="s">
        <v>6273</v>
      </c>
    </row>
    <row r="154" ht="15.75" customHeight="1">
      <c r="A154" s="2" t="s">
        <v>3994</v>
      </c>
      <c r="B154" s="2" t="s">
        <v>3995</v>
      </c>
      <c r="C154" s="2" t="s">
        <v>3996</v>
      </c>
      <c r="D154" s="2" t="s">
        <v>3997</v>
      </c>
      <c r="E154" s="2" t="s">
        <v>3998</v>
      </c>
      <c r="F154" s="2" t="s">
        <v>6523</v>
      </c>
      <c r="G154" s="2" t="s">
        <v>6245</v>
      </c>
    </row>
    <row r="155" ht="15.75" customHeight="1">
      <c r="A155" s="2" t="s">
        <v>1142</v>
      </c>
      <c r="B155" s="2" t="s">
        <v>1143</v>
      </c>
      <c r="C155" s="2" t="s">
        <v>1144</v>
      </c>
      <c r="D155" s="2" t="s">
        <v>1145</v>
      </c>
      <c r="E155" s="2" t="s">
        <v>58</v>
      </c>
      <c r="F155" s="2" t="s">
        <v>6524</v>
      </c>
      <c r="G155" s="2" t="s">
        <v>6262</v>
      </c>
    </row>
    <row r="156" ht="15.75" customHeight="1">
      <c r="A156" s="2" t="s">
        <v>1969</v>
      </c>
      <c r="B156" s="2" t="s">
        <v>489</v>
      </c>
      <c r="C156" s="2" t="s">
        <v>1970</v>
      </c>
      <c r="D156" s="2" t="s">
        <v>1971</v>
      </c>
      <c r="E156" s="2" t="s">
        <v>564</v>
      </c>
      <c r="F156" s="2" t="s">
        <v>6525</v>
      </c>
      <c r="G156" s="2" t="s">
        <v>6273</v>
      </c>
    </row>
    <row r="157" ht="15.75" customHeight="1">
      <c r="A157" s="2" t="s">
        <v>6013</v>
      </c>
      <c r="B157" s="2" t="s">
        <v>6014</v>
      </c>
      <c r="C157" s="2" t="s">
        <v>6015</v>
      </c>
      <c r="D157" s="2" t="s">
        <v>6016</v>
      </c>
      <c r="E157" s="2" t="s">
        <v>1054</v>
      </c>
      <c r="F157" s="2" t="s">
        <v>6526</v>
      </c>
      <c r="G157" s="2" t="s">
        <v>6248</v>
      </c>
    </row>
    <row r="158" ht="15.75" customHeight="1">
      <c r="A158" s="2" t="s">
        <v>1922</v>
      </c>
      <c r="B158" s="2" t="s">
        <v>1923</v>
      </c>
      <c r="C158" s="2" t="s">
        <v>1924</v>
      </c>
      <c r="D158" s="2" t="s">
        <v>1925</v>
      </c>
      <c r="E158" s="2" t="s">
        <v>1177</v>
      </c>
      <c r="F158" s="2" t="s">
        <v>6527</v>
      </c>
    </row>
    <row r="159" ht="15.75" customHeight="1">
      <c r="A159" s="2" t="s">
        <v>6528</v>
      </c>
      <c r="B159" s="2" t="s">
        <v>6529</v>
      </c>
      <c r="C159" s="2" t="s">
        <v>6530</v>
      </c>
      <c r="D159" s="2" t="s">
        <v>6531</v>
      </c>
      <c r="E159" s="2" t="s">
        <v>6532</v>
      </c>
      <c r="F159" s="2" t="s">
        <v>6533</v>
      </c>
      <c r="G159" s="2" t="s">
        <v>6237</v>
      </c>
    </row>
    <row r="160" ht="15.75" customHeight="1">
      <c r="A160" s="2" t="s">
        <v>3139</v>
      </c>
      <c r="B160" s="2" t="s">
        <v>3140</v>
      </c>
      <c r="C160" s="2" t="s">
        <v>3141</v>
      </c>
      <c r="D160" s="2" t="s">
        <v>3142</v>
      </c>
      <c r="E160" s="2" t="s">
        <v>3143</v>
      </c>
      <c r="F160" s="2" t="s">
        <v>6534</v>
      </c>
      <c r="G160" s="2" t="s">
        <v>6248</v>
      </c>
    </row>
    <row r="161" ht="15.75" customHeight="1">
      <c r="A161" s="2" t="s">
        <v>219</v>
      </c>
      <c r="B161" s="2" t="s">
        <v>220</v>
      </c>
      <c r="C161" s="2" t="s">
        <v>221</v>
      </c>
      <c r="D161" s="2" t="s">
        <v>222</v>
      </c>
      <c r="E161" s="2" t="s">
        <v>114</v>
      </c>
      <c r="F161" s="2" t="s">
        <v>3909</v>
      </c>
      <c r="G161" s="2" t="s">
        <v>6273</v>
      </c>
    </row>
    <row r="162" ht="15.75" customHeight="1">
      <c r="A162" s="2" t="s">
        <v>6535</v>
      </c>
      <c r="B162" s="2" t="s">
        <v>6536</v>
      </c>
      <c r="C162" s="2" t="s">
        <v>6537</v>
      </c>
      <c r="E162" s="2" t="s">
        <v>6538</v>
      </c>
      <c r="F162" s="2" t="s">
        <v>6539</v>
      </c>
      <c r="G162" s="2" t="s">
        <v>6239</v>
      </c>
    </row>
    <row r="163" ht="15.75" customHeight="1">
      <c r="A163" s="2" t="s">
        <v>1645</v>
      </c>
      <c r="B163" s="2" t="s">
        <v>1646</v>
      </c>
      <c r="C163" s="2" t="s">
        <v>1647</v>
      </c>
      <c r="D163" s="2" t="s">
        <v>1648</v>
      </c>
      <c r="E163" s="2" t="s">
        <v>73</v>
      </c>
      <c r="F163" s="2" t="s">
        <v>6540</v>
      </c>
      <c r="G163" s="2" t="s">
        <v>6262</v>
      </c>
    </row>
    <row r="164" ht="15.75" customHeight="1">
      <c r="A164" s="2" t="s">
        <v>4998</v>
      </c>
      <c r="B164" s="2" t="s">
        <v>2231</v>
      </c>
      <c r="C164" s="2" t="s">
        <v>4999</v>
      </c>
      <c r="D164" s="2" t="s">
        <v>5000</v>
      </c>
      <c r="E164" s="2" t="s">
        <v>114</v>
      </c>
      <c r="F164" s="2" t="s">
        <v>6541</v>
      </c>
      <c r="G164" s="2" t="s">
        <v>6309</v>
      </c>
    </row>
    <row r="165" ht="15.75" customHeight="1">
      <c r="A165" s="2" t="s">
        <v>1347</v>
      </c>
      <c r="B165" s="2" t="s">
        <v>1348</v>
      </c>
      <c r="C165" s="2" t="s">
        <v>1349</v>
      </c>
      <c r="D165" s="2" t="s">
        <v>1350</v>
      </c>
      <c r="E165" s="2" t="s">
        <v>671</v>
      </c>
      <c r="F165" s="2" t="s">
        <v>6542</v>
      </c>
      <c r="G165" s="2" t="s">
        <v>6237</v>
      </c>
    </row>
    <row r="166" ht="15.75" customHeight="1">
      <c r="A166" s="2" t="s">
        <v>1867</v>
      </c>
      <c r="B166" s="2" t="s">
        <v>1868</v>
      </c>
      <c r="D166" s="2" t="s">
        <v>1869</v>
      </c>
      <c r="E166" s="2" t="s">
        <v>114</v>
      </c>
      <c r="F166" s="2" t="s">
        <v>6543</v>
      </c>
      <c r="G166" s="2" t="s">
        <v>6237</v>
      </c>
    </row>
    <row r="167" ht="15.75" customHeight="1">
      <c r="A167" s="2" t="s">
        <v>1913</v>
      </c>
      <c r="B167" s="2" t="s">
        <v>1914</v>
      </c>
      <c r="D167" s="2" t="s">
        <v>1915</v>
      </c>
      <c r="E167" s="2" t="s">
        <v>785</v>
      </c>
      <c r="F167" s="2" t="s">
        <v>6544</v>
      </c>
      <c r="G167" s="2" t="s">
        <v>6245</v>
      </c>
    </row>
    <row r="168" ht="15.75" customHeight="1">
      <c r="A168" s="2" t="s">
        <v>2443</v>
      </c>
      <c r="B168" s="2" t="s">
        <v>2444</v>
      </c>
      <c r="C168" s="2" t="s">
        <v>2445</v>
      </c>
      <c r="D168" s="2" t="s">
        <v>2446</v>
      </c>
      <c r="E168" s="2" t="s">
        <v>671</v>
      </c>
      <c r="F168" s="2" t="s">
        <v>6545</v>
      </c>
    </row>
    <row r="169" ht="15.75" customHeight="1">
      <c r="A169" s="2" t="s">
        <v>6146</v>
      </c>
      <c r="B169" s="2" t="s">
        <v>409</v>
      </c>
      <c r="C169" s="2" t="s">
        <v>6147</v>
      </c>
      <c r="D169" s="2" t="s">
        <v>6148</v>
      </c>
      <c r="E169" s="2" t="s">
        <v>188</v>
      </c>
      <c r="F169" s="2" t="s">
        <v>6546</v>
      </c>
      <c r="G169" s="2" t="s">
        <v>6239</v>
      </c>
    </row>
    <row r="170" ht="15.75" customHeight="1">
      <c r="A170" s="2" t="s">
        <v>4933</v>
      </c>
      <c r="B170" s="2" t="s">
        <v>4934</v>
      </c>
      <c r="C170" s="2" t="s">
        <v>4935</v>
      </c>
      <c r="D170" s="2" t="s">
        <v>4936</v>
      </c>
      <c r="E170" s="2" t="s">
        <v>88</v>
      </c>
      <c r="F170" s="2" t="s">
        <v>6547</v>
      </c>
      <c r="G170" s="2" t="s">
        <v>6262</v>
      </c>
    </row>
    <row r="171" ht="15.75" customHeight="1">
      <c r="A171" s="2" t="s">
        <v>435</v>
      </c>
      <c r="B171" s="2" t="s">
        <v>436</v>
      </c>
      <c r="C171" s="2" t="s">
        <v>437</v>
      </c>
      <c r="D171" s="2" t="s">
        <v>438</v>
      </c>
      <c r="E171" s="2" t="s">
        <v>188</v>
      </c>
      <c r="F171" s="2" t="s">
        <v>6548</v>
      </c>
      <c r="G171" s="2" t="s">
        <v>6237</v>
      </c>
    </row>
    <row r="172" ht="15.75" customHeight="1">
      <c r="A172" s="2" t="s">
        <v>5130</v>
      </c>
      <c r="B172" s="2" t="s">
        <v>5131</v>
      </c>
      <c r="C172" s="2" t="s">
        <v>5132</v>
      </c>
      <c r="D172" s="2" t="s">
        <v>5133</v>
      </c>
      <c r="E172" s="2" t="s">
        <v>1336</v>
      </c>
      <c r="F172" s="2" t="s">
        <v>6549</v>
      </c>
      <c r="G172" s="2" t="s">
        <v>6248</v>
      </c>
    </row>
    <row r="173" ht="15.75" customHeight="1">
      <c r="A173" s="2" t="s">
        <v>3554</v>
      </c>
      <c r="B173" s="2" t="s">
        <v>3555</v>
      </c>
      <c r="C173" s="2" t="s">
        <v>3556</v>
      </c>
      <c r="D173" s="2" t="s">
        <v>3557</v>
      </c>
      <c r="E173" s="2" t="s">
        <v>58</v>
      </c>
      <c r="F173" s="2" t="s">
        <v>6550</v>
      </c>
      <c r="G173" s="2" t="s">
        <v>6309</v>
      </c>
    </row>
    <row r="174" ht="15.75" customHeight="1">
      <c r="A174" s="2" t="s">
        <v>6551</v>
      </c>
      <c r="B174" s="2" t="s">
        <v>1820</v>
      </c>
      <c r="C174" s="2" t="s">
        <v>6552</v>
      </c>
      <c r="D174" s="2" t="s">
        <v>6553</v>
      </c>
      <c r="E174" s="2" t="s">
        <v>25</v>
      </c>
      <c r="F174" s="2" t="s">
        <v>6554</v>
      </c>
      <c r="G174" s="2" t="s">
        <v>6248</v>
      </c>
    </row>
    <row r="175" ht="15.75" customHeight="1">
      <c r="A175" s="2" t="s">
        <v>615</v>
      </c>
      <c r="B175" s="2" t="s">
        <v>616</v>
      </c>
      <c r="C175" s="2" t="s">
        <v>617</v>
      </c>
      <c r="D175" s="2" t="s">
        <v>618</v>
      </c>
      <c r="E175" s="2" t="s">
        <v>73</v>
      </c>
      <c r="F175" s="2" t="s">
        <v>6555</v>
      </c>
      <c r="G175" s="2" t="s">
        <v>6262</v>
      </c>
    </row>
    <row r="176" ht="15.75" customHeight="1">
      <c r="A176" s="2" t="s">
        <v>1466</v>
      </c>
      <c r="B176" s="2" t="s">
        <v>1068</v>
      </c>
      <c r="C176" s="2" t="s">
        <v>1467</v>
      </c>
      <c r="D176" s="2" t="s">
        <v>1468</v>
      </c>
      <c r="E176" s="2" t="s">
        <v>139</v>
      </c>
      <c r="F176" s="2" t="s">
        <v>6556</v>
      </c>
    </row>
    <row r="177" ht="15.75" customHeight="1">
      <c r="A177" s="2" t="s">
        <v>1683</v>
      </c>
      <c r="B177" s="2" t="s">
        <v>1684</v>
      </c>
      <c r="C177" s="2" t="s">
        <v>1685</v>
      </c>
      <c r="D177" s="2" t="s">
        <v>1686</v>
      </c>
      <c r="E177" s="2" t="s">
        <v>564</v>
      </c>
      <c r="F177" s="2" t="s">
        <v>6557</v>
      </c>
      <c r="G177" s="2" t="s">
        <v>6239</v>
      </c>
    </row>
    <row r="178" ht="15.75" customHeight="1">
      <c r="A178" s="2" t="s">
        <v>6558</v>
      </c>
      <c r="B178" s="2" t="s">
        <v>5877</v>
      </c>
      <c r="C178" s="2" t="s">
        <v>6559</v>
      </c>
      <c r="D178" s="2" t="s">
        <v>6560</v>
      </c>
      <c r="E178" s="2" t="s">
        <v>1078</v>
      </c>
      <c r="F178" s="2" t="s">
        <v>6561</v>
      </c>
      <c r="G178" s="2" t="s">
        <v>6245</v>
      </c>
    </row>
    <row r="179" ht="15.75" customHeight="1">
      <c r="A179" s="2" t="s">
        <v>5237</v>
      </c>
      <c r="B179" s="2" t="s">
        <v>5238</v>
      </c>
      <c r="C179" s="2" t="s">
        <v>5239</v>
      </c>
      <c r="D179" s="2" t="s">
        <v>5240</v>
      </c>
      <c r="E179" s="2" t="s">
        <v>785</v>
      </c>
      <c r="F179" s="2" t="s">
        <v>6562</v>
      </c>
      <c r="G179" s="2" t="s">
        <v>6262</v>
      </c>
    </row>
    <row r="180" ht="15.75" customHeight="1">
      <c r="A180" s="2" t="s">
        <v>3257</v>
      </c>
      <c r="B180" s="2" t="s">
        <v>3258</v>
      </c>
      <c r="C180" s="2" t="s">
        <v>3259</v>
      </c>
      <c r="D180" s="2" t="s">
        <v>3260</v>
      </c>
      <c r="E180" s="2" t="s">
        <v>73</v>
      </c>
      <c r="F180" s="2" t="s">
        <v>6563</v>
      </c>
    </row>
    <row r="181" ht="15.75" customHeight="1">
      <c r="A181" s="2" t="s">
        <v>136</v>
      </c>
      <c r="B181" s="2" t="s">
        <v>137</v>
      </c>
      <c r="C181" s="2" t="s">
        <v>138</v>
      </c>
      <c r="D181" s="2" t="s">
        <v>6564</v>
      </c>
      <c r="E181" s="2" t="s">
        <v>139</v>
      </c>
      <c r="F181" s="2" t="s">
        <v>4492</v>
      </c>
      <c r="G181" s="2" t="s">
        <v>6262</v>
      </c>
    </row>
    <row r="182" ht="15.75" customHeight="1">
      <c r="A182" s="2" t="s">
        <v>3163</v>
      </c>
      <c r="B182" s="2" t="s">
        <v>3164</v>
      </c>
      <c r="C182" s="2" t="s">
        <v>3165</v>
      </c>
      <c r="D182" s="2" t="s">
        <v>3166</v>
      </c>
      <c r="E182" s="2" t="s">
        <v>25</v>
      </c>
      <c r="F182" s="2" t="s">
        <v>6565</v>
      </c>
      <c r="G182" s="2" t="s">
        <v>6248</v>
      </c>
    </row>
    <row r="183" ht="15.75" customHeight="1">
      <c r="A183" s="2" t="s">
        <v>427</v>
      </c>
      <c r="B183" s="2" t="s">
        <v>428</v>
      </c>
      <c r="C183" s="2" t="s">
        <v>429</v>
      </c>
      <c r="D183" s="2" t="s">
        <v>430</v>
      </c>
      <c r="E183" s="2" t="s">
        <v>151</v>
      </c>
      <c r="F183" s="2" t="s">
        <v>6566</v>
      </c>
      <c r="G183" s="2" t="s">
        <v>6245</v>
      </c>
    </row>
    <row r="184" ht="15.75" customHeight="1">
      <c r="A184" s="2" t="s">
        <v>577</v>
      </c>
      <c r="B184" s="2" t="s">
        <v>1101</v>
      </c>
      <c r="C184" s="2" t="s">
        <v>579</v>
      </c>
      <c r="D184" s="2" t="s">
        <v>580</v>
      </c>
      <c r="E184" s="2" t="s">
        <v>73</v>
      </c>
      <c r="F184" s="2" t="s">
        <v>6567</v>
      </c>
    </row>
    <row r="185" ht="15.75" customHeight="1">
      <c r="A185" s="2" t="s">
        <v>1534</v>
      </c>
      <c r="B185" s="2" t="s">
        <v>4563</v>
      </c>
      <c r="C185" s="2" t="s">
        <v>1536</v>
      </c>
      <c r="D185" s="2" t="s">
        <v>1537</v>
      </c>
      <c r="E185" s="2" t="s">
        <v>671</v>
      </c>
      <c r="F185" s="2" t="s">
        <v>6568</v>
      </c>
      <c r="G185" s="2" t="s">
        <v>6248</v>
      </c>
    </row>
    <row r="186" ht="15.75" customHeight="1">
      <c r="A186" s="2" t="s">
        <v>2576</v>
      </c>
      <c r="B186" s="2" t="s">
        <v>2577</v>
      </c>
      <c r="C186" s="2" t="s">
        <v>2578</v>
      </c>
      <c r="D186" s="2" t="s">
        <v>2579</v>
      </c>
      <c r="E186" s="2" t="s">
        <v>1177</v>
      </c>
      <c r="F186" s="2" t="s">
        <v>6569</v>
      </c>
      <c r="G186" s="2" t="s">
        <v>6262</v>
      </c>
    </row>
    <row r="187" ht="15.75" customHeight="1">
      <c r="A187" s="2" t="s">
        <v>1550</v>
      </c>
      <c r="B187" s="2" t="s">
        <v>1551</v>
      </c>
      <c r="C187" s="2" t="s">
        <v>1552</v>
      </c>
      <c r="D187" s="2" t="s">
        <v>1553</v>
      </c>
      <c r="E187" s="2" t="s">
        <v>1078</v>
      </c>
      <c r="F187" s="2" t="s">
        <v>6570</v>
      </c>
      <c r="G187" s="2" t="s">
        <v>6245</v>
      </c>
    </row>
    <row r="188" ht="15.75" customHeight="1">
      <c r="A188" s="2" t="s">
        <v>2794</v>
      </c>
      <c r="B188" s="2" t="s">
        <v>2180</v>
      </c>
      <c r="C188" s="2" t="s">
        <v>2795</v>
      </c>
      <c r="D188" s="2" t="s">
        <v>2796</v>
      </c>
      <c r="E188" s="2" t="s">
        <v>1177</v>
      </c>
      <c r="F188" s="2" t="s">
        <v>6571</v>
      </c>
      <c r="G188" s="2" t="s">
        <v>6245</v>
      </c>
    </row>
    <row r="189" ht="15.75" customHeight="1">
      <c r="A189" s="2" t="s">
        <v>5078</v>
      </c>
      <c r="B189" s="2" t="s">
        <v>5079</v>
      </c>
      <c r="C189" s="2" t="s">
        <v>6572</v>
      </c>
      <c r="D189" s="2" t="s">
        <v>5080</v>
      </c>
      <c r="E189" s="2" t="s">
        <v>114</v>
      </c>
      <c r="F189" s="2" t="s">
        <v>6573</v>
      </c>
      <c r="G189" s="2" t="s">
        <v>6260</v>
      </c>
    </row>
    <row r="190" ht="15.75" customHeight="1">
      <c r="A190" s="2" t="s">
        <v>2093</v>
      </c>
      <c r="B190" s="2" t="s">
        <v>2094</v>
      </c>
      <c r="C190" s="2" t="s">
        <v>2095</v>
      </c>
      <c r="D190" s="2" t="s">
        <v>2096</v>
      </c>
      <c r="E190" s="2" t="s">
        <v>199</v>
      </c>
      <c r="F190" s="2" t="s">
        <v>6574</v>
      </c>
      <c r="G190" s="2" t="s">
        <v>6262</v>
      </c>
    </row>
    <row r="191" ht="15.75" customHeight="1">
      <c r="A191" s="2" t="s">
        <v>856</v>
      </c>
      <c r="B191" s="2" t="s">
        <v>857</v>
      </c>
      <c r="C191" s="2" t="s">
        <v>858</v>
      </c>
      <c r="D191" s="2" t="s">
        <v>859</v>
      </c>
      <c r="E191" s="2" t="s">
        <v>564</v>
      </c>
      <c r="F191" s="2" t="s">
        <v>2394</v>
      </c>
      <c r="G191" s="2" t="s">
        <v>6260</v>
      </c>
    </row>
    <row r="192" ht="15.75" customHeight="1">
      <c r="A192" s="2" t="s">
        <v>2548</v>
      </c>
      <c r="B192" s="2" t="s">
        <v>2549</v>
      </c>
      <c r="C192" s="2" t="s">
        <v>2550</v>
      </c>
      <c r="D192" s="2" t="s">
        <v>2551</v>
      </c>
      <c r="E192" s="2" t="s">
        <v>1177</v>
      </c>
      <c r="F192" s="2" t="s">
        <v>6575</v>
      </c>
      <c r="G192" s="2" t="s">
        <v>6248</v>
      </c>
    </row>
    <row r="193" ht="15.75" customHeight="1">
      <c r="A193" s="2" t="s">
        <v>6218</v>
      </c>
      <c r="B193" s="2" t="s">
        <v>6219</v>
      </c>
      <c r="C193" s="2" t="s">
        <v>6220</v>
      </c>
      <c r="D193" s="2" t="s">
        <v>6221</v>
      </c>
      <c r="E193" s="2" t="s">
        <v>608</v>
      </c>
      <c r="F193" s="2" t="s">
        <v>6576</v>
      </c>
      <c r="G193" s="2" t="s">
        <v>6248</v>
      </c>
    </row>
    <row r="194" ht="15.75" customHeight="1">
      <c r="A194" s="2" t="s">
        <v>4570</v>
      </c>
      <c r="B194" s="2" t="s">
        <v>4571</v>
      </c>
      <c r="C194" s="2" t="s">
        <v>4572</v>
      </c>
      <c r="D194" s="2" t="s">
        <v>4573</v>
      </c>
      <c r="E194" s="2" t="s">
        <v>1336</v>
      </c>
      <c r="F194" s="2" t="s">
        <v>6577</v>
      </c>
      <c r="G194" s="2" t="s">
        <v>6260</v>
      </c>
    </row>
    <row r="195" ht="15.75" customHeight="1">
      <c r="A195" s="2" t="s">
        <v>6578</v>
      </c>
      <c r="B195" s="2" t="s">
        <v>6579</v>
      </c>
      <c r="C195" s="2" t="s">
        <v>6580</v>
      </c>
      <c r="D195" s="2" t="s">
        <v>6581</v>
      </c>
      <c r="E195" s="2" t="s">
        <v>151</v>
      </c>
      <c r="F195" s="2" t="s">
        <v>6582</v>
      </c>
      <c r="G195" s="2" t="s">
        <v>6260</v>
      </c>
    </row>
    <row r="196" ht="15.75" customHeight="1">
      <c r="A196" s="2" t="s">
        <v>1659</v>
      </c>
      <c r="B196" s="2" t="s">
        <v>1660</v>
      </c>
      <c r="C196" s="2" t="s">
        <v>1661</v>
      </c>
      <c r="D196" s="2" t="s">
        <v>1662</v>
      </c>
      <c r="E196" s="2" t="s">
        <v>114</v>
      </c>
      <c r="F196" s="2" t="s">
        <v>6583</v>
      </c>
      <c r="G196" s="2" t="s">
        <v>6245</v>
      </c>
    </row>
    <row r="197" ht="15.75" customHeight="1">
      <c r="A197" s="2" t="s">
        <v>2252</v>
      </c>
      <c r="B197" s="2" t="s">
        <v>2253</v>
      </c>
      <c r="D197" s="2" t="s">
        <v>2254</v>
      </c>
      <c r="E197" s="2" t="s">
        <v>801</v>
      </c>
      <c r="F197" s="2" t="s">
        <v>6584</v>
      </c>
      <c r="G197" s="2" t="s">
        <v>6273</v>
      </c>
    </row>
    <row r="198" ht="15.75" customHeight="1">
      <c r="A198" s="2" t="s">
        <v>6123</v>
      </c>
      <c r="B198" s="2" t="s">
        <v>6585</v>
      </c>
      <c r="C198" s="2" t="s">
        <v>6586</v>
      </c>
      <c r="D198" s="2" t="s">
        <v>6126</v>
      </c>
      <c r="E198" s="2" t="s">
        <v>151</v>
      </c>
      <c r="F198" s="2" t="s">
        <v>6347</v>
      </c>
    </row>
    <row r="199" ht="15.75" customHeight="1">
      <c r="A199" s="2" t="s">
        <v>2692</v>
      </c>
      <c r="B199" s="2" t="s">
        <v>2693</v>
      </c>
      <c r="C199" s="2" t="s">
        <v>2694</v>
      </c>
      <c r="D199" s="2" t="s">
        <v>2695</v>
      </c>
      <c r="E199" s="2" t="s">
        <v>1336</v>
      </c>
      <c r="F199" s="2" t="s">
        <v>6587</v>
      </c>
      <c r="G199" s="2" t="s">
        <v>6239</v>
      </c>
    </row>
    <row r="200" ht="15.75" customHeight="1">
      <c r="A200" s="2" t="s">
        <v>6588</v>
      </c>
      <c r="B200" s="2" t="s">
        <v>6589</v>
      </c>
      <c r="E200" s="2" t="s">
        <v>387</v>
      </c>
      <c r="F200" s="2" t="s">
        <v>6590</v>
      </c>
      <c r="G200" s="2" t="s">
        <v>6262</v>
      </c>
    </row>
    <row r="201" ht="15.75" customHeight="1">
      <c r="A201" s="2" t="s">
        <v>4115</v>
      </c>
      <c r="B201" s="2" t="s">
        <v>4116</v>
      </c>
      <c r="C201" s="2" t="s">
        <v>4117</v>
      </c>
      <c r="D201" s="2" t="s">
        <v>4118</v>
      </c>
      <c r="E201" s="2" t="s">
        <v>88</v>
      </c>
      <c r="F201" s="2" t="s">
        <v>6591</v>
      </c>
      <c r="G201" s="2" t="s">
        <v>6260</v>
      </c>
    </row>
    <row r="202" ht="15.75" customHeight="1">
      <c r="A202" s="2" t="s">
        <v>1887</v>
      </c>
      <c r="B202" s="2" t="s">
        <v>1888</v>
      </c>
      <c r="C202" s="2" t="s">
        <v>1889</v>
      </c>
      <c r="D202" s="2" t="s">
        <v>1890</v>
      </c>
      <c r="E202" s="2" t="s">
        <v>199</v>
      </c>
      <c r="F202" s="2" t="s">
        <v>6592</v>
      </c>
      <c r="G202" s="2" t="s">
        <v>6239</v>
      </c>
    </row>
    <row r="203" ht="15.75" customHeight="1">
      <c r="A203" s="2" t="s">
        <v>1872</v>
      </c>
      <c r="B203" s="2" t="s">
        <v>1873</v>
      </c>
      <c r="C203" s="2" t="s">
        <v>1874</v>
      </c>
      <c r="D203" s="2" t="s">
        <v>1875</v>
      </c>
      <c r="E203" s="2" t="s">
        <v>1078</v>
      </c>
      <c r="F203" s="2" t="s">
        <v>6593</v>
      </c>
      <c r="G203" s="2" t="s">
        <v>6260</v>
      </c>
    </row>
    <row r="204" ht="15.75" customHeight="1">
      <c r="A204" s="2" t="s">
        <v>1620</v>
      </c>
      <c r="B204" s="2" t="s">
        <v>1621</v>
      </c>
      <c r="C204" s="2" t="s">
        <v>1622</v>
      </c>
      <c r="D204" s="2" t="s">
        <v>1623</v>
      </c>
      <c r="E204" s="2" t="s">
        <v>151</v>
      </c>
      <c r="F204" s="2" t="s">
        <v>6594</v>
      </c>
      <c r="G204" s="2" t="s">
        <v>6309</v>
      </c>
    </row>
    <row r="205" ht="15.75" customHeight="1">
      <c r="A205" s="2" t="s">
        <v>5102</v>
      </c>
      <c r="B205" s="2" t="s">
        <v>5103</v>
      </c>
      <c r="C205" s="2" t="s">
        <v>5104</v>
      </c>
      <c r="D205" s="2" t="s">
        <v>5105</v>
      </c>
      <c r="E205" s="2" t="s">
        <v>1319</v>
      </c>
      <c r="F205" s="2" t="s">
        <v>6595</v>
      </c>
      <c r="G205" s="2" t="s">
        <v>6239</v>
      </c>
    </row>
    <row r="206" ht="15.75" customHeight="1">
      <c r="A206" s="2" t="s">
        <v>5876</v>
      </c>
      <c r="B206" s="2" t="s">
        <v>5877</v>
      </c>
      <c r="C206" s="2" t="s">
        <v>5878</v>
      </c>
      <c r="D206" s="2" t="s">
        <v>5879</v>
      </c>
      <c r="E206" s="2" t="s">
        <v>114</v>
      </c>
      <c r="F206" s="2" t="s">
        <v>5021</v>
      </c>
      <c r="G206" s="2" t="s">
        <v>6248</v>
      </c>
    </row>
    <row r="207" ht="15.75" customHeight="1">
      <c r="A207" s="2" t="s">
        <v>5906</v>
      </c>
      <c r="B207" s="2" t="s">
        <v>3657</v>
      </c>
      <c r="C207" s="2" t="s">
        <v>5907</v>
      </c>
      <c r="D207" s="2" t="s">
        <v>5908</v>
      </c>
      <c r="E207" s="2" t="s">
        <v>165</v>
      </c>
      <c r="F207" s="2" t="s">
        <v>6596</v>
      </c>
      <c r="G207" s="2" t="s">
        <v>6239</v>
      </c>
    </row>
    <row r="208" ht="15.75" customHeight="1">
      <c r="A208" s="2" t="s">
        <v>2203</v>
      </c>
      <c r="B208" s="2" t="s">
        <v>2204</v>
      </c>
      <c r="C208" s="2" t="s">
        <v>2205</v>
      </c>
      <c r="D208" s="2" t="s">
        <v>2206</v>
      </c>
      <c r="E208" s="2" t="s">
        <v>88</v>
      </c>
      <c r="F208" s="2" t="s">
        <v>6597</v>
      </c>
      <c r="G208" s="2" t="s">
        <v>6262</v>
      </c>
    </row>
    <row r="209" ht="15.75" customHeight="1">
      <c r="A209" s="2" t="s">
        <v>5332</v>
      </c>
      <c r="B209" s="2" t="s">
        <v>5333</v>
      </c>
      <c r="C209" s="2" t="s">
        <v>6598</v>
      </c>
      <c r="D209" s="2" t="s">
        <v>5334</v>
      </c>
      <c r="E209" s="2" t="s">
        <v>58</v>
      </c>
      <c r="F209" s="2" t="s">
        <v>6599</v>
      </c>
    </row>
    <row r="210" ht="15.75" customHeight="1">
      <c r="A210" s="2" t="s">
        <v>6600</v>
      </c>
      <c r="B210" s="2" t="s">
        <v>6601</v>
      </c>
      <c r="C210" s="2" t="s">
        <v>6602</v>
      </c>
      <c r="D210" s="2" t="s">
        <v>6603</v>
      </c>
      <c r="E210" s="2" t="s">
        <v>25</v>
      </c>
      <c r="F210" s="2" t="s">
        <v>6604</v>
      </c>
      <c r="G210" s="2" t="s">
        <v>6260</v>
      </c>
    </row>
    <row r="211" ht="15.75" customHeight="1">
      <c r="A211" s="2" t="s">
        <v>788</v>
      </c>
      <c r="B211" s="2" t="s">
        <v>789</v>
      </c>
      <c r="C211" s="2" t="s">
        <v>790</v>
      </c>
      <c r="D211" s="2" t="s">
        <v>791</v>
      </c>
      <c r="E211" s="2" t="s">
        <v>199</v>
      </c>
      <c r="F211" s="2" t="s">
        <v>6605</v>
      </c>
      <c r="G211" s="2" t="s">
        <v>6248</v>
      </c>
    </row>
    <row r="212" ht="15.75" customHeight="1">
      <c r="A212" s="2" t="s">
        <v>417</v>
      </c>
      <c r="B212" s="2" t="s">
        <v>418</v>
      </c>
      <c r="C212" s="2" t="s">
        <v>419</v>
      </c>
      <c r="D212" s="2" t="s">
        <v>420</v>
      </c>
      <c r="E212" s="2" t="s">
        <v>421</v>
      </c>
      <c r="F212" s="2" t="s">
        <v>6606</v>
      </c>
      <c r="G212" s="2" t="s">
        <v>6273</v>
      </c>
    </row>
    <row r="213" ht="15.75" customHeight="1">
      <c r="A213" s="2" t="s">
        <v>5497</v>
      </c>
      <c r="B213" s="2" t="s">
        <v>5498</v>
      </c>
      <c r="C213" s="2" t="s">
        <v>5499</v>
      </c>
      <c r="D213" s="2" t="s">
        <v>5500</v>
      </c>
      <c r="E213" s="2" t="s">
        <v>199</v>
      </c>
      <c r="F213" s="2" t="s">
        <v>6607</v>
      </c>
      <c r="G213" s="2" t="s">
        <v>6237</v>
      </c>
    </row>
    <row r="214" ht="15.75" customHeight="1">
      <c r="A214" s="2" t="s">
        <v>5004</v>
      </c>
      <c r="B214" s="2" t="s">
        <v>5005</v>
      </c>
      <c r="C214" s="2" t="s">
        <v>5006</v>
      </c>
      <c r="D214" s="2" t="s">
        <v>5007</v>
      </c>
      <c r="E214" s="2" t="s">
        <v>459</v>
      </c>
      <c r="F214" s="2" t="s">
        <v>6608</v>
      </c>
      <c r="G214" s="2" t="s">
        <v>6273</v>
      </c>
    </row>
    <row r="215" ht="15.75" customHeight="1">
      <c r="A215" s="2" t="s">
        <v>207</v>
      </c>
      <c r="B215" s="2" t="s">
        <v>208</v>
      </c>
      <c r="C215" s="2" t="s">
        <v>209</v>
      </c>
      <c r="E215" s="2" t="s">
        <v>188</v>
      </c>
      <c r="F215" s="2" t="s">
        <v>6609</v>
      </c>
      <c r="G215" s="2" t="s">
        <v>6239</v>
      </c>
    </row>
    <row r="216" ht="15.75" customHeight="1">
      <c r="A216" s="2" t="s">
        <v>2373</v>
      </c>
      <c r="B216" s="2" t="s">
        <v>2374</v>
      </c>
      <c r="C216" s="2" t="s">
        <v>2375</v>
      </c>
      <c r="D216" s="2" t="s">
        <v>2376</v>
      </c>
      <c r="E216" s="2" t="s">
        <v>139</v>
      </c>
      <c r="F216" s="2" t="s">
        <v>6610</v>
      </c>
      <c r="G216" s="2" t="s">
        <v>6237</v>
      </c>
    </row>
    <row r="217" ht="15.75" customHeight="1">
      <c r="A217" s="2" t="s">
        <v>980</v>
      </c>
      <c r="B217" s="2" t="s">
        <v>6611</v>
      </c>
      <c r="C217" s="2" t="s">
        <v>6612</v>
      </c>
      <c r="D217" s="2" t="s">
        <v>983</v>
      </c>
      <c r="E217" s="2" t="s">
        <v>58</v>
      </c>
      <c r="F217" s="2" t="s">
        <v>1231</v>
      </c>
      <c r="G217" s="2" t="s">
        <v>6245</v>
      </c>
    </row>
    <row r="218" ht="15.75" customHeight="1">
      <c r="A218" s="2" t="s">
        <v>6613</v>
      </c>
      <c r="B218" s="2" t="s">
        <v>6614</v>
      </c>
      <c r="C218" s="2" t="s">
        <v>6615</v>
      </c>
      <c r="D218" s="2" t="s">
        <v>6616</v>
      </c>
      <c r="E218" s="2" t="s">
        <v>608</v>
      </c>
      <c r="F218" s="2" t="s">
        <v>6617</v>
      </c>
      <c r="G218" s="2" t="s">
        <v>6239</v>
      </c>
    </row>
    <row r="219" ht="15.75" customHeight="1">
      <c r="A219" s="2" t="s">
        <v>1347</v>
      </c>
      <c r="B219" s="2" t="s">
        <v>1500</v>
      </c>
      <c r="C219" s="2" t="s">
        <v>1349</v>
      </c>
      <c r="D219" s="2" t="s">
        <v>1350</v>
      </c>
      <c r="E219" s="2" t="s">
        <v>671</v>
      </c>
      <c r="F219" s="2" t="s">
        <v>6542</v>
      </c>
      <c r="G219" s="2" t="s">
        <v>6237</v>
      </c>
    </row>
    <row r="220" ht="15.75" customHeight="1">
      <c r="A220" s="2" t="s">
        <v>2684</v>
      </c>
      <c r="B220" s="2" t="s">
        <v>2685</v>
      </c>
      <c r="C220" s="2" t="s">
        <v>2686</v>
      </c>
      <c r="D220" s="2" t="s">
        <v>2687</v>
      </c>
      <c r="E220" s="2" t="s">
        <v>608</v>
      </c>
      <c r="F220" s="2" t="s">
        <v>6618</v>
      </c>
      <c r="G220" s="2" t="s">
        <v>6309</v>
      </c>
    </row>
    <row r="221" ht="15.75" customHeight="1">
      <c r="A221" s="2" t="s">
        <v>1690</v>
      </c>
      <c r="B221" s="2" t="s">
        <v>1691</v>
      </c>
      <c r="C221" s="2" t="s">
        <v>1692</v>
      </c>
      <c r="D221" s="2" t="s">
        <v>1693</v>
      </c>
      <c r="E221" s="2" t="s">
        <v>25</v>
      </c>
      <c r="F221" s="2" t="s">
        <v>6619</v>
      </c>
      <c r="G221" s="2" t="s">
        <v>6237</v>
      </c>
    </row>
    <row r="222" ht="15.75" customHeight="1">
      <c r="A222" s="2" t="s">
        <v>3744</v>
      </c>
      <c r="B222" s="2" t="s">
        <v>3745</v>
      </c>
      <c r="C222" s="2" t="s">
        <v>3746</v>
      </c>
      <c r="D222" s="2" t="s">
        <v>3747</v>
      </c>
      <c r="E222" s="2" t="s">
        <v>671</v>
      </c>
      <c r="F222" s="2" t="s">
        <v>6620</v>
      </c>
    </row>
    <row r="223" ht="15.75" customHeight="1">
      <c r="A223" s="2" t="s">
        <v>1104</v>
      </c>
      <c r="B223" s="2" t="s">
        <v>1105</v>
      </c>
      <c r="C223" s="2" t="s">
        <v>1106</v>
      </c>
      <c r="D223" s="2" t="s">
        <v>1107</v>
      </c>
      <c r="E223" s="2" t="s">
        <v>1078</v>
      </c>
      <c r="F223" s="2" t="s">
        <v>6621</v>
      </c>
      <c r="G223" s="2" t="s">
        <v>6237</v>
      </c>
    </row>
    <row r="224" ht="15.75" customHeight="1">
      <c r="A224" s="2" t="s">
        <v>6622</v>
      </c>
      <c r="B224" s="2" t="s">
        <v>2301</v>
      </c>
      <c r="C224" s="2" t="s">
        <v>6623</v>
      </c>
      <c r="D224" s="2" t="s">
        <v>6624</v>
      </c>
      <c r="E224" s="2" t="s">
        <v>88</v>
      </c>
      <c r="F224" s="2" t="s">
        <v>6625</v>
      </c>
      <c r="G224" s="2" t="s">
        <v>6262</v>
      </c>
    </row>
    <row r="225" ht="15.75" customHeight="1">
      <c r="A225" s="2" t="s">
        <v>1340</v>
      </c>
      <c r="B225" s="2" t="s">
        <v>1341</v>
      </c>
      <c r="C225" s="2" t="s">
        <v>1342</v>
      </c>
      <c r="D225" s="2" t="s">
        <v>1343</v>
      </c>
      <c r="E225" s="2" t="s">
        <v>1177</v>
      </c>
      <c r="F225" s="2" t="s">
        <v>6626</v>
      </c>
    </row>
    <row r="226" ht="15.75" customHeight="1">
      <c r="A226" s="2" t="s">
        <v>2127</v>
      </c>
      <c r="B226" s="2" t="s">
        <v>2128</v>
      </c>
      <c r="C226" s="2" t="s">
        <v>2129</v>
      </c>
      <c r="D226" s="2" t="s">
        <v>2130</v>
      </c>
      <c r="E226" s="2" t="s">
        <v>608</v>
      </c>
      <c r="F226" s="2" t="s">
        <v>6627</v>
      </c>
      <c r="G226" s="2" t="s">
        <v>6262</v>
      </c>
    </row>
    <row r="227" ht="15.75" customHeight="1">
      <c r="A227" s="2" t="s">
        <v>275</v>
      </c>
      <c r="B227" s="2" t="s">
        <v>276</v>
      </c>
      <c r="C227" s="2" t="s">
        <v>277</v>
      </c>
      <c r="D227" s="2" t="s">
        <v>278</v>
      </c>
      <c r="E227" s="2" t="s">
        <v>25</v>
      </c>
      <c r="F227" s="2" t="s">
        <v>6628</v>
      </c>
      <c r="G227" s="2" t="s">
        <v>6262</v>
      </c>
    </row>
    <row r="228" ht="15.75" customHeight="1">
      <c r="A228" s="2" t="s">
        <v>2395</v>
      </c>
      <c r="B228" s="2" t="s">
        <v>231</v>
      </c>
      <c r="C228" s="2" t="s">
        <v>2396</v>
      </c>
      <c r="D228" s="2" t="s">
        <v>2397</v>
      </c>
      <c r="E228" s="2" t="s">
        <v>41</v>
      </c>
      <c r="F228" s="2" t="s">
        <v>6629</v>
      </c>
      <c r="G228" s="2" t="s">
        <v>6260</v>
      </c>
    </row>
    <row r="229" ht="15.75" customHeight="1">
      <c r="A229" s="2" t="s">
        <v>5618</v>
      </c>
      <c r="B229" s="2" t="s">
        <v>2452</v>
      </c>
      <c r="C229" s="2" t="s">
        <v>5619</v>
      </c>
      <c r="D229" s="2" t="s">
        <v>5620</v>
      </c>
      <c r="E229" s="2" t="s">
        <v>199</v>
      </c>
      <c r="F229" s="2" t="s">
        <v>6630</v>
      </c>
      <c r="G229" s="2" t="s">
        <v>6309</v>
      </c>
    </row>
    <row r="230" ht="15.75" customHeight="1">
      <c r="A230" s="2" t="s">
        <v>4172</v>
      </c>
      <c r="B230" s="2" t="s">
        <v>4173</v>
      </c>
      <c r="C230" s="2" t="s">
        <v>4174</v>
      </c>
      <c r="D230" s="2" t="s">
        <v>4175</v>
      </c>
      <c r="E230" s="2" t="s">
        <v>671</v>
      </c>
      <c r="F230" s="2" t="s">
        <v>6631</v>
      </c>
    </row>
    <row r="231" ht="15.75" customHeight="1">
      <c r="A231" s="2" t="s">
        <v>1751</v>
      </c>
      <c r="B231" s="2" t="s">
        <v>1752</v>
      </c>
      <c r="C231" s="2" t="s">
        <v>1753</v>
      </c>
      <c r="D231" s="2" t="s">
        <v>1754</v>
      </c>
      <c r="E231" s="2" t="s">
        <v>139</v>
      </c>
      <c r="F231" s="2" t="s">
        <v>6632</v>
      </c>
    </row>
    <row r="232" ht="15.75" customHeight="1">
      <c r="A232" s="2" t="s">
        <v>3656</v>
      </c>
      <c r="B232" s="2" t="s">
        <v>3657</v>
      </c>
      <c r="C232" s="2" t="s">
        <v>3658</v>
      </c>
      <c r="D232" s="2" t="s">
        <v>5441</v>
      </c>
      <c r="E232" s="2" t="s">
        <v>671</v>
      </c>
      <c r="F232" s="2" t="s">
        <v>6633</v>
      </c>
      <c r="G232" s="2" t="s">
        <v>6262</v>
      </c>
    </row>
    <row r="233" ht="15.75" customHeight="1">
      <c r="A233" s="2" t="s">
        <v>6634</v>
      </c>
      <c r="B233" s="2" t="s">
        <v>2030</v>
      </c>
      <c r="C233" s="2" t="s">
        <v>6635</v>
      </c>
      <c r="D233" s="2" t="s">
        <v>6636</v>
      </c>
      <c r="E233" s="2" t="s">
        <v>199</v>
      </c>
      <c r="F233" s="2" t="s">
        <v>6637</v>
      </c>
      <c r="G233" s="2" t="s">
        <v>6273</v>
      </c>
    </row>
    <row r="234" ht="15.75" customHeight="1">
      <c r="A234" s="2" t="s">
        <v>4232</v>
      </c>
      <c r="B234" s="2" t="s">
        <v>4233</v>
      </c>
      <c r="C234" s="2" t="s">
        <v>6050</v>
      </c>
      <c r="D234" s="2" t="s">
        <v>4234</v>
      </c>
      <c r="E234" s="2" t="s">
        <v>58</v>
      </c>
      <c r="F234" s="2" t="s">
        <v>6638</v>
      </c>
      <c r="G234" s="2" t="s">
        <v>6239</v>
      </c>
    </row>
    <row r="235" ht="15.75" customHeight="1">
      <c r="A235" s="2" t="s">
        <v>3548</v>
      </c>
      <c r="B235" s="2" t="s">
        <v>3549</v>
      </c>
      <c r="C235" s="2" t="s">
        <v>3550</v>
      </c>
      <c r="E235" s="2" t="s">
        <v>151</v>
      </c>
      <c r="F235" s="2" t="s">
        <v>6639</v>
      </c>
      <c r="G235" s="2" t="s">
        <v>6248</v>
      </c>
    </row>
    <row r="236" ht="15.75" customHeight="1">
      <c r="A236" s="2" t="s">
        <v>6171</v>
      </c>
      <c r="B236" s="2" t="s">
        <v>6172</v>
      </c>
      <c r="C236" s="2" t="s">
        <v>6173</v>
      </c>
      <c r="D236" s="2" t="s">
        <v>6174</v>
      </c>
      <c r="E236" s="2" t="s">
        <v>25</v>
      </c>
      <c r="F236" s="2" t="s">
        <v>2211</v>
      </c>
      <c r="G236" s="2" t="s">
        <v>6245</v>
      </c>
    </row>
    <row r="237" ht="15.75" customHeight="1">
      <c r="A237" s="2" t="s">
        <v>4282</v>
      </c>
      <c r="B237" s="2" t="s">
        <v>4283</v>
      </c>
      <c r="C237" s="2" t="s">
        <v>6640</v>
      </c>
      <c r="D237" s="2" t="s">
        <v>4284</v>
      </c>
      <c r="E237" s="2" t="s">
        <v>41</v>
      </c>
      <c r="F237" s="2" t="s">
        <v>6641</v>
      </c>
      <c r="G237" s="2" t="s">
        <v>6239</v>
      </c>
    </row>
    <row r="238" ht="15.75" customHeight="1">
      <c r="A238" s="2" t="s">
        <v>1860</v>
      </c>
      <c r="B238" s="2" t="s">
        <v>1861</v>
      </c>
      <c r="C238" s="2" t="s">
        <v>3045</v>
      </c>
      <c r="D238" s="2" t="s">
        <v>1863</v>
      </c>
      <c r="E238" s="2" t="s">
        <v>114</v>
      </c>
      <c r="F238" s="2" t="s">
        <v>6461</v>
      </c>
      <c r="G238" s="2" t="s">
        <v>6237</v>
      </c>
    </row>
    <row r="239" ht="15.75" customHeight="1">
      <c r="A239" s="2" t="s">
        <v>6642</v>
      </c>
      <c r="B239" s="2" t="s">
        <v>6643</v>
      </c>
      <c r="C239" s="2" t="s">
        <v>6644</v>
      </c>
      <c r="D239" s="2" t="s">
        <v>6645</v>
      </c>
      <c r="E239" s="2" t="s">
        <v>88</v>
      </c>
      <c r="F239" s="2" t="s">
        <v>6646</v>
      </c>
      <c r="G239" s="2" t="s">
        <v>6239</v>
      </c>
    </row>
    <row r="240" ht="15.75" customHeight="1">
      <c r="A240" s="2" t="s">
        <v>3094</v>
      </c>
      <c r="B240" s="2" t="s">
        <v>3095</v>
      </c>
      <c r="C240" s="2" t="s">
        <v>3096</v>
      </c>
      <c r="D240" s="2" t="s">
        <v>3097</v>
      </c>
      <c r="E240" s="2" t="s">
        <v>58</v>
      </c>
      <c r="F240" s="2" t="s">
        <v>6647</v>
      </c>
      <c r="G240" s="2" t="s">
        <v>6239</v>
      </c>
    </row>
    <row r="241" ht="15.75" customHeight="1">
      <c r="A241" s="2" t="s">
        <v>6648</v>
      </c>
      <c r="B241" s="2" t="s">
        <v>6649</v>
      </c>
      <c r="C241" s="2" t="s">
        <v>6650</v>
      </c>
      <c r="D241" s="2" t="s">
        <v>6651</v>
      </c>
      <c r="E241" s="2" t="s">
        <v>188</v>
      </c>
      <c r="F241" s="2" t="s">
        <v>6652</v>
      </c>
      <c r="G241" s="2" t="s">
        <v>6273</v>
      </c>
    </row>
    <row r="242" ht="15.75" customHeight="1">
      <c r="A242" s="2" t="s">
        <v>1050</v>
      </c>
      <c r="B242" s="2" t="s">
        <v>2311</v>
      </c>
      <c r="C242" s="2" t="s">
        <v>6653</v>
      </c>
      <c r="D242" s="2" t="s">
        <v>1053</v>
      </c>
      <c r="E242" s="2" t="s">
        <v>1054</v>
      </c>
      <c r="F242" s="2" t="s">
        <v>6654</v>
      </c>
      <c r="G242" s="2" t="s">
        <v>6248</v>
      </c>
    </row>
    <row r="243" ht="15.75" customHeight="1">
      <c r="A243" s="2" t="s">
        <v>4295</v>
      </c>
      <c r="B243" s="2" t="s">
        <v>4296</v>
      </c>
      <c r="C243" s="2" t="s">
        <v>4297</v>
      </c>
      <c r="D243" s="2" t="s">
        <v>4298</v>
      </c>
      <c r="E243" s="2" t="s">
        <v>114</v>
      </c>
      <c r="F243" s="2" t="s">
        <v>6655</v>
      </c>
    </row>
    <row r="244" ht="15.75" customHeight="1">
      <c r="A244" s="2" t="s">
        <v>3910</v>
      </c>
      <c r="B244" s="2" t="s">
        <v>3911</v>
      </c>
      <c r="C244" s="2" t="s">
        <v>3912</v>
      </c>
      <c r="D244" s="2" t="s">
        <v>3913</v>
      </c>
      <c r="E244" s="2" t="s">
        <v>151</v>
      </c>
      <c r="F244" s="2" t="s">
        <v>6656</v>
      </c>
      <c r="G244" s="2" t="s">
        <v>6237</v>
      </c>
    </row>
    <row r="245" ht="15.75" customHeight="1">
      <c r="A245" s="2" t="s">
        <v>1581</v>
      </c>
      <c r="B245" s="2" t="s">
        <v>1582</v>
      </c>
      <c r="C245" s="2" t="s">
        <v>1583</v>
      </c>
      <c r="D245" s="2" t="s">
        <v>1584</v>
      </c>
      <c r="E245" s="2" t="s">
        <v>992</v>
      </c>
      <c r="F245" s="2" t="s">
        <v>6657</v>
      </c>
      <c r="G245" s="2" t="s">
        <v>6309</v>
      </c>
    </row>
    <row r="246" ht="15.75" customHeight="1">
      <c r="A246" s="2" t="s">
        <v>6658</v>
      </c>
      <c r="B246" s="2" t="s">
        <v>6659</v>
      </c>
      <c r="C246" s="2" t="s">
        <v>6660</v>
      </c>
      <c r="D246" s="2" t="s">
        <v>6661</v>
      </c>
      <c r="E246" s="2" t="s">
        <v>25</v>
      </c>
      <c r="F246" s="2" t="s">
        <v>6662</v>
      </c>
      <c r="G246" s="2" t="s">
        <v>6248</v>
      </c>
    </row>
    <row r="247" ht="15.75" customHeight="1">
      <c r="A247" s="2" t="s">
        <v>1267</v>
      </c>
      <c r="B247" s="2" t="s">
        <v>1268</v>
      </c>
      <c r="C247" s="2" t="s">
        <v>1269</v>
      </c>
      <c r="D247" s="2" t="s">
        <v>1270</v>
      </c>
      <c r="E247" s="2" t="s">
        <v>139</v>
      </c>
      <c r="F247" s="2" t="s">
        <v>6663</v>
      </c>
      <c r="G247" s="2" t="s">
        <v>6237</v>
      </c>
    </row>
    <row r="248" ht="15.75" customHeight="1">
      <c r="A248" s="2" t="s">
        <v>3986</v>
      </c>
      <c r="B248" s="2" t="s">
        <v>3987</v>
      </c>
      <c r="C248" s="2" t="s">
        <v>3988</v>
      </c>
      <c r="D248" s="2" t="s">
        <v>3989</v>
      </c>
      <c r="E248" s="2" t="s">
        <v>139</v>
      </c>
      <c r="F248" s="2" t="s">
        <v>6664</v>
      </c>
      <c r="G248" s="2" t="s">
        <v>6239</v>
      </c>
    </row>
    <row r="249" ht="15.75" customHeight="1">
      <c r="A249" s="2" t="s">
        <v>2008</v>
      </c>
      <c r="B249" s="2" t="s">
        <v>2009</v>
      </c>
      <c r="C249" s="2" t="s">
        <v>2010</v>
      </c>
      <c r="D249" s="2" t="s">
        <v>2011</v>
      </c>
      <c r="E249" s="2" t="s">
        <v>114</v>
      </c>
      <c r="F249" s="2" t="s">
        <v>6665</v>
      </c>
      <c r="G249" s="2" t="s">
        <v>6237</v>
      </c>
    </row>
    <row r="250" ht="15.75" customHeight="1">
      <c r="A250" s="2" t="s">
        <v>4276</v>
      </c>
      <c r="B250" s="2" t="s">
        <v>954</v>
      </c>
      <c r="C250" s="2" t="s">
        <v>4277</v>
      </c>
      <c r="D250" s="2" t="s">
        <v>4278</v>
      </c>
      <c r="E250" s="2" t="s">
        <v>777</v>
      </c>
      <c r="F250" s="2" t="s">
        <v>6666</v>
      </c>
      <c r="G250" s="2" t="s">
        <v>6245</v>
      </c>
    </row>
    <row r="251" ht="15.75" customHeight="1">
      <c r="A251" s="2" t="s">
        <v>2340</v>
      </c>
      <c r="B251" s="2" t="s">
        <v>1759</v>
      </c>
      <c r="C251" s="2" t="s">
        <v>2341</v>
      </c>
      <c r="D251" s="2" t="s">
        <v>2342</v>
      </c>
      <c r="E251" s="2" t="s">
        <v>671</v>
      </c>
      <c r="F251" s="2" t="s">
        <v>6667</v>
      </c>
      <c r="G251" s="2" t="s">
        <v>6239</v>
      </c>
    </row>
    <row r="252" ht="15.75" customHeight="1">
      <c r="A252" s="2" t="s">
        <v>3963</v>
      </c>
      <c r="B252" s="2" t="s">
        <v>1987</v>
      </c>
      <c r="C252" s="2" t="s">
        <v>3964</v>
      </c>
      <c r="D252" s="2" t="s">
        <v>3965</v>
      </c>
      <c r="E252" s="2" t="s">
        <v>88</v>
      </c>
      <c r="F252" s="2" t="s">
        <v>6668</v>
      </c>
      <c r="G252" s="2" t="s">
        <v>6273</v>
      </c>
    </row>
    <row r="253" ht="15.75" customHeight="1">
      <c r="A253" s="2" t="s">
        <v>84</v>
      </c>
      <c r="B253" s="2" t="s">
        <v>85</v>
      </c>
      <c r="C253" s="2" t="s">
        <v>86</v>
      </c>
      <c r="D253" s="2" t="s">
        <v>87</v>
      </c>
      <c r="E253" s="2" t="s">
        <v>88</v>
      </c>
      <c r="F253" s="2" t="s">
        <v>6669</v>
      </c>
      <c r="G253" s="2" t="s">
        <v>6245</v>
      </c>
    </row>
    <row r="254" ht="15.75" customHeight="1">
      <c r="A254" s="2" t="s">
        <v>1993</v>
      </c>
      <c r="B254" s="2" t="s">
        <v>1994</v>
      </c>
      <c r="C254" s="2" t="s">
        <v>1995</v>
      </c>
      <c r="D254" s="2" t="s">
        <v>1996</v>
      </c>
      <c r="E254" s="2" t="s">
        <v>139</v>
      </c>
      <c r="F254" s="2" t="s">
        <v>6670</v>
      </c>
      <c r="G254" s="2" t="s">
        <v>6237</v>
      </c>
    </row>
    <row r="255" ht="15.75" customHeight="1">
      <c r="A255" s="2" t="s">
        <v>6671</v>
      </c>
      <c r="B255" s="2" t="s">
        <v>6672</v>
      </c>
      <c r="C255" s="2" t="s">
        <v>6673</v>
      </c>
      <c r="D255" s="2" t="s">
        <v>6674</v>
      </c>
      <c r="E255" s="2" t="s">
        <v>421</v>
      </c>
      <c r="F255" s="2" t="s">
        <v>6675</v>
      </c>
    </row>
    <row r="256" ht="15.75" customHeight="1">
      <c r="A256" s="2" t="s">
        <v>3119</v>
      </c>
      <c r="B256" s="2" t="s">
        <v>2081</v>
      </c>
      <c r="C256" s="2" t="s">
        <v>6676</v>
      </c>
      <c r="D256" s="2" t="s">
        <v>3121</v>
      </c>
      <c r="E256" s="2" t="s">
        <v>58</v>
      </c>
      <c r="F256" s="2" t="s">
        <v>6405</v>
      </c>
      <c r="G256" s="2" t="s">
        <v>6248</v>
      </c>
    </row>
    <row r="257" ht="15.75" customHeight="1">
      <c r="A257" s="2" t="s">
        <v>3632</v>
      </c>
      <c r="B257" s="2" t="s">
        <v>3633</v>
      </c>
      <c r="C257" s="2" t="s">
        <v>3634</v>
      </c>
      <c r="D257" s="2" t="s">
        <v>3635</v>
      </c>
      <c r="E257" s="2" t="s">
        <v>199</v>
      </c>
      <c r="F257" s="2" t="s">
        <v>6677</v>
      </c>
      <c r="G257" s="2" t="s">
        <v>6239</v>
      </c>
    </row>
    <row r="258" ht="15.75" customHeight="1">
      <c r="A258" s="2" t="s">
        <v>37</v>
      </c>
      <c r="B258" s="2" t="s">
        <v>38</v>
      </c>
      <c r="C258" s="2" t="s">
        <v>39</v>
      </c>
      <c r="D258" s="2" t="s">
        <v>40</v>
      </c>
      <c r="E258" s="2" t="s">
        <v>41</v>
      </c>
      <c r="F258" s="2" t="s">
        <v>6678</v>
      </c>
      <c r="G258" s="2" t="s">
        <v>6260</v>
      </c>
    </row>
    <row r="259" ht="15.75" customHeight="1">
      <c r="A259" s="2" t="s">
        <v>3568</v>
      </c>
      <c r="B259" s="2" t="s">
        <v>3569</v>
      </c>
      <c r="C259" s="2" t="s">
        <v>3570</v>
      </c>
      <c r="E259" s="2" t="s">
        <v>188</v>
      </c>
      <c r="F259" s="2" t="s">
        <v>6679</v>
      </c>
      <c r="G259" s="2" t="s">
        <v>6260</v>
      </c>
    </row>
    <row r="260" ht="15.75" customHeight="1">
      <c r="A260" s="2" t="s">
        <v>6680</v>
      </c>
      <c r="B260" s="2" t="s">
        <v>6681</v>
      </c>
      <c r="C260" s="2" t="s">
        <v>6682</v>
      </c>
      <c r="D260" s="2" t="s">
        <v>6683</v>
      </c>
      <c r="E260" s="2" t="s">
        <v>608</v>
      </c>
      <c r="F260" s="2" t="s">
        <v>6684</v>
      </c>
      <c r="G260" s="2" t="s">
        <v>6237</v>
      </c>
    </row>
    <row r="261" ht="15.75" customHeight="1">
      <c r="A261" s="2" t="s">
        <v>147</v>
      </c>
      <c r="B261" s="2" t="s">
        <v>148</v>
      </c>
      <c r="C261" s="2" t="s">
        <v>149</v>
      </c>
      <c r="D261" s="2" t="s">
        <v>150</v>
      </c>
      <c r="E261" s="2" t="s">
        <v>151</v>
      </c>
      <c r="F261" s="2" t="s">
        <v>6685</v>
      </c>
      <c r="G261" s="2" t="s">
        <v>6248</v>
      </c>
    </row>
    <row r="262" ht="15.75" customHeight="1">
      <c r="A262" s="2" t="s">
        <v>1224</v>
      </c>
      <c r="B262" s="2" t="s">
        <v>1225</v>
      </c>
      <c r="C262" s="2" t="s">
        <v>1226</v>
      </c>
      <c r="D262" s="2" t="s">
        <v>1227</v>
      </c>
      <c r="E262" s="2" t="s">
        <v>1228</v>
      </c>
      <c r="F262" s="2" t="s">
        <v>6686</v>
      </c>
      <c r="G262" s="2" t="s">
        <v>6245</v>
      </c>
    </row>
    <row r="263" ht="15.75" customHeight="1">
      <c r="A263" s="2" t="s">
        <v>4734</v>
      </c>
      <c r="B263" s="2" t="s">
        <v>4735</v>
      </c>
      <c r="C263" s="2" t="s">
        <v>4736</v>
      </c>
      <c r="D263" s="2" t="s">
        <v>4737</v>
      </c>
      <c r="E263" s="2" t="s">
        <v>114</v>
      </c>
      <c r="F263" s="2" t="s">
        <v>6687</v>
      </c>
      <c r="G263" s="2" t="s">
        <v>6262</v>
      </c>
    </row>
    <row r="264" ht="15.75" customHeight="1">
      <c r="A264" s="2" t="s">
        <v>604</v>
      </c>
      <c r="B264" s="2" t="s">
        <v>605</v>
      </c>
      <c r="C264" s="2" t="s">
        <v>606</v>
      </c>
      <c r="D264" s="2" t="s">
        <v>607</v>
      </c>
      <c r="E264" s="2" t="s">
        <v>608</v>
      </c>
      <c r="F264" s="2" t="s">
        <v>2945</v>
      </c>
      <c r="G264" s="2" t="s">
        <v>6309</v>
      </c>
    </row>
    <row r="265" ht="15.75" customHeight="1">
      <c r="A265" s="2" t="s">
        <v>631</v>
      </c>
      <c r="B265" s="2" t="s">
        <v>632</v>
      </c>
      <c r="C265" s="2" t="s">
        <v>633</v>
      </c>
      <c r="D265" s="2" t="s">
        <v>634</v>
      </c>
      <c r="E265" s="2" t="s">
        <v>459</v>
      </c>
      <c r="F265" s="2" t="s">
        <v>6688</v>
      </c>
    </row>
    <row r="266" ht="15.75" customHeight="1">
      <c r="A266" s="2" t="s">
        <v>6689</v>
      </c>
      <c r="B266" s="2" t="s">
        <v>6690</v>
      </c>
      <c r="C266" s="2" t="s">
        <v>6691</v>
      </c>
      <c r="D266" s="2" t="s">
        <v>6692</v>
      </c>
      <c r="E266" s="2" t="s">
        <v>6693</v>
      </c>
      <c r="F266" s="2" t="s">
        <v>6694</v>
      </c>
      <c r="G266" s="2" t="s">
        <v>6309</v>
      </c>
    </row>
    <row r="267" ht="15.75" customHeight="1">
      <c r="A267" s="2" t="s">
        <v>1491</v>
      </c>
      <c r="B267" s="2" t="s">
        <v>1492</v>
      </c>
      <c r="C267" s="2" t="s">
        <v>1493</v>
      </c>
      <c r="D267" s="2" t="s">
        <v>1494</v>
      </c>
      <c r="E267" s="2" t="s">
        <v>399</v>
      </c>
      <c r="F267" s="2" t="s">
        <v>6695</v>
      </c>
      <c r="G267" s="2" t="s">
        <v>6239</v>
      </c>
    </row>
    <row r="268" ht="15.75" customHeight="1">
      <c r="A268" s="2" t="s">
        <v>4675</v>
      </c>
      <c r="B268" s="2" t="s">
        <v>4676</v>
      </c>
      <c r="C268" s="2" t="s">
        <v>4677</v>
      </c>
      <c r="D268" s="2" t="s">
        <v>4678</v>
      </c>
      <c r="E268" s="2" t="s">
        <v>671</v>
      </c>
      <c r="F268" s="2" t="s">
        <v>6696</v>
      </c>
      <c r="G268" s="2" t="s">
        <v>6248</v>
      </c>
    </row>
    <row r="269" ht="15.75" customHeight="1">
      <c r="A269" s="2" t="s">
        <v>5342</v>
      </c>
      <c r="B269" s="2" t="s">
        <v>1060</v>
      </c>
      <c r="C269" s="2" t="s">
        <v>5343</v>
      </c>
      <c r="D269" s="2" t="s">
        <v>5344</v>
      </c>
      <c r="E269" s="2" t="s">
        <v>785</v>
      </c>
      <c r="F269" s="2" t="s">
        <v>6697</v>
      </c>
      <c r="G269" s="2" t="s">
        <v>6248</v>
      </c>
    </row>
    <row r="270" ht="15.75" customHeight="1">
      <c r="A270" s="2" t="s">
        <v>5773</v>
      </c>
      <c r="B270" s="2" t="s">
        <v>5774</v>
      </c>
      <c r="C270" s="2" t="s">
        <v>5775</v>
      </c>
      <c r="D270" s="2" t="s">
        <v>5916</v>
      </c>
      <c r="E270" s="2" t="s">
        <v>387</v>
      </c>
      <c r="F270" s="2" t="s">
        <v>6698</v>
      </c>
      <c r="G270" s="2" t="s">
        <v>6237</v>
      </c>
    </row>
    <row r="271" ht="15.75" customHeight="1">
      <c r="A271" s="2" t="s">
        <v>5276</v>
      </c>
      <c r="B271" s="2" t="s">
        <v>5277</v>
      </c>
      <c r="C271" s="2" t="s">
        <v>5278</v>
      </c>
      <c r="D271" s="2" t="s">
        <v>5279</v>
      </c>
      <c r="E271" s="2" t="s">
        <v>777</v>
      </c>
      <c r="F271" s="2" t="s">
        <v>6699</v>
      </c>
      <c r="G271" s="2" t="s">
        <v>6248</v>
      </c>
    </row>
    <row r="272" ht="15.75" customHeight="1">
      <c r="A272" s="2" t="s">
        <v>4918</v>
      </c>
      <c r="B272" s="2" t="s">
        <v>4919</v>
      </c>
      <c r="C272" s="2" t="s">
        <v>4920</v>
      </c>
      <c r="D272" s="2" t="s">
        <v>4921</v>
      </c>
      <c r="E272" s="2" t="s">
        <v>608</v>
      </c>
      <c r="F272" s="2" t="s">
        <v>6700</v>
      </c>
      <c r="G272" s="2" t="s">
        <v>6260</v>
      </c>
    </row>
    <row r="273" ht="15.75" customHeight="1">
      <c r="A273" s="2" t="s">
        <v>594</v>
      </c>
      <c r="B273" s="2" t="s">
        <v>595</v>
      </c>
      <c r="C273" s="2" t="s">
        <v>596</v>
      </c>
      <c r="D273" s="2" t="s">
        <v>597</v>
      </c>
      <c r="E273" s="2" t="s">
        <v>139</v>
      </c>
      <c r="F273" s="2" t="s">
        <v>6701</v>
      </c>
      <c r="G273" s="2" t="s">
        <v>6237</v>
      </c>
    </row>
    <row r="274" ht="15.75" customHeight="1">
      <c r="A274" s="2" t="s">
        <v>6702</v>
      </c>
      <c r="B274" s="2" t="s">
        <v>6703</v>
      </c>
      <c r="C274" s="2" t="s">
        <v>6704</v>
      </c>
      <c r="D274" s="2" t="s">
        <v>6705</v>
      </c>
      <c r="E274" s="2" t="s">
        <v>6706</v>
      </c>
      <c r="F274" s="2" t="s">
        <v>6707</v>
      </c>
    </row>
    <row r="275" ht="15.75" customHeight="1">
      <c r="A275" s="2" t="s">
        <v>3618</v>
      </c>
      <c r="B275" s="2" t="s">
        <v>3619</v>
      </c>
      <c r="C275" s="2" t="s">
        <v>3620</v>
      </c>
      <c r="D275" s="2" t="s">
        <v>3621</v>
      </c>
      <c r="E275" s="2" t="s">
        <v>139</v>
      </c>
      <c r="F275" s="2" t="s">
        <v>6708</v>
      </c>
    </row>
    <row r="276" ht="15.75" customHeight="1">
      <c r="A276" s="2" t="s">
        <v>6709</v>
      </c>
      <c r="B276" s="2" t="s">
        <v>6710</v>
      </c>
      <c r="C276" s="2" t="s">
        <v>6711</v>
      </c>
      <c r="D276" s="2" t="s">
        <v>6712</v>
      </c>
      <c r="E276" s="2" t="s">
        <v>801</v>
      </c>
      <c r="F276" s="2" t="s">
        <v>6713</v>
      </c>
    </row>
    <row r="277" ht="15.75" customHeight="1">
      <c r="A277" s="2" t="s">
        <v>6714</v>
      </c>
      <c r="B277" s="2" t="s">
        <v>6715</v>
      </c>
      <c r="C277" s="2" t="s">
        <v>6716</v>
      </c>
      <c r="D277" s="2" t="s">
        <v>6717</v>
      </c>
      <c r="E277" s="2" t="s">
        <v>25</v>
      </c>
      <c r="F277" s="2" t="s">
        <v>6718</v>
      </c>
      <c r="G277" s="2" t="s">
        <v>6309</v>
      </c>
    </row>
    <row r="278" ht="15.75" customHeight="1">
      <c r="A278" s="2" t="s">
        <v>4179</v>
      </c>
      <c r="B278" s="2" t="s">
        <v>4180</v>
      </c>
      <c r="C278" s="2" t="s">
        <v>4181</v>
      </c>
      <c r="D278" s="2" t="s">
        <v>6719</v>
      </c>
      <c r="E278" s="2" t="s">
        <v>58</v>
      </c>
      <c r="F278" s="2" t="s">
        <v>6720</v>
      </c>
      <c r="G278" s="2" t="s">
        <v>6248</v>
      </c>
    </row>
    <row r="279" ht="15.75" customHeight="1">
      <c r="A279" s="2" t="s">
        <v>373</v>
      </c>
      <c r="B279" s="2" t="s">
        <v>374</v>
      </c>
      <c r="C279" s="2" t="s">
        <v>375</v>
      </c>
      <c r="D279" s="2" t="s">
        <v>376</v>
      </c>
      <c r="E279" s="2" t="s">
        <v>377</v>
      </c>
      <c r="F279" s="2" t="s">
        <v>6721</v>
      </c>
      <c r="G279" s="2" t="s">
        <v>6273</v>
      </c>
    </row>
    <row r="280" ht="15.75" customHeight="1">
      <c r="A280" s="2" t="s">
        <v>3591</v>
      </c>
      <c r="B280" s="2" t="s">
        <v>255</v>
      </c>
      <c r="C280" s="2" t="s">
        <v>3592</v>
      </c>
      <c r="D280" s="2" t="s">
        <v>3593</v>
      </c>
      <c r="E280" s="2" t="s">
        <v>3594</v>
      </c>
      <c r="F280" s="2" t="s">
        <v>122</v>
      </c>
      <c r="G280" s="2" t="s">
        <v>6262</v>
      </c>
    </row>
    <row r="281" ht="15.75" customHeight="1">
      <c r="A281" s="2" t="s">
        <v>2230</v>
      </c>
      <c r="B281" s="2" t="s">
        <v>2231</v>
      </c>
      <c r="C281" s="2" t="s">
        <v>2232</v>
      </c>
      <c r="E281" s="2" t="s">
        <v>720</v>
      </c>
      <c r="F281" s="2" t="s">
        <v>6722</v>
      </c>
      <c r="G281" s="2" t="s">
        <v>6273</v>
      </c>
    </row>
    <row r="282" ht="15.75" customHeight="1">
      <c r="A282" s="2" t="s">
        <v>781</v>
      </c>
      <c r="B282" s="2" t="s">
        <v>782</v>
      </c>
      <c r="C282" s="2" t="s">
        <v>783</v>
      </c>
      <c r="D282" s="2" t="s">
        <v>784</v>
      </c>
      <c r="E282" s="2" t="s">
        <v>785</v>
      </c>
      <c r="F282" s="2" t="s">
        <v>6723</v>
      </c>
      <c r="G282" s="2" t="s">
        <v>6245</v>
      </c>
    </row>
    <row r="283" ht="15.75" customHeight="1">
      <c r="A283" s="2" t="s">
        <v>1020</v>
      </c>
      <c r="B283" s="2" t="s">
        <v>1021</v>
      </c>
      <c r="C283" s="2" t="s">
        <v>1022</v>
      </c>
      <c r="D283" s="2" t="s">
        <v>1023</v>
      </c>
      <c r="E283" s="2" t="s">
        <v>88</v>
      </c>
      <c r="F283" s="2" t="s">
        <v>3375</v>
      </c>
      <c r="G283" s="2" t="s">
        <v>6245</v>
      </c>
    </row>
    <row r="284" ht="15.75" customHeight="1">
      <c r="A284" s="2" t="s">
        <v>545</v>
      </c>
      <c r="B284" s="2" t="s">
        <v>546</v>
      </c>
      <c r="C284" s="2" t="s">
        <v>547</v>
      </c>
      <c r="D284" s="2" t="s">
        <v>5179</v>
      </c>
      <c r="E284" s="2" t="s">
        <v>548</v>
      </c>
      <c r="F284" s="2" t="s">
        <v>6724</v>
      </c>
      <c r="G284" s="2" t="s">
        <v>6239</v>
      </c>
    </row>
    <row r="285" ht="15.75" customHeight="1">
      <c r="A285" s="2" t="s">
        <v>6725</v>
      </c>
      <c r="B285" s="2" t="s">
        <v>6726</v>
      </c>
      <c r="C285" s="2" t="s">
        <v>6727</v>
      </c>
      <c r="D285" s="2" t="s">
        <v>6728</v>
      </c>
      <c r="E285" s="2" t="s">
        <v>114</v>
      </c>
      <c r="F285" s="2" t="s">
        <v>6729</v>
      </c>
      <c r="G285" s="2" t="s">
        <v>6309</v>
      </c>
    </row>
    <row r="286" ht="15.75" customHeight="1">
      <c r="A286" s="2" t="s">
        <v>6730</v>
      </c>
      <c r="B286" s="2" t="s">
        <v>6731</v>
      </c>
      <c r="C286" s="2" t="s">
        <v>6732</v>
      </c>
      <c r="D286" s="2" t="s">
        <v>6733</v>
      </c>
      <c r="E286" s="2" t="s">
        <v>801</v>
      </c>
      <c r="F286" s="2" t="s">
        <v>6734</v>
      </c>
      <c r="G286" s="2" t="s">
        <v>6273</v>
      </c>
    </row>
    <row r="287" ht="15.75" customHeight="1">
      <c r="A287" s="2" t="s">
        <v>4185</v>
      </c>
      <c r="B287" s="2" t="s">
        <v>4186</v>
      </c>
      <c r="C287" s="2" t="s">
        <v>4187</v>
      </c>
      <c r="D287" s="2" t="s">
        <v>4188</v>
      </c>
      <c r="E287" s="2" t="s">
        <v>114</v>
      </c>
      <c r="F287" s="2" t="s">
        <v>6735</v>
      </c>
      <c r="G287" s="2" t="s">
        <v>6245</v>
      </c>
    </row>
    <row r="288" ht="15.75" customHeight="1">
      <c r="A288" s="2" t="s">
        <v>3309</v>
      </c>
      <c r="B288" s="2" t="s">
        <v>497</v>
      </c>
      <c r="C288" s="2" t="s">
        <v>3310</v>
      </c>
      <c r="D288" s="2" t="s">
        <v>3311</v>
      </c>
      <c r="E288" s="2" t="s">
        <v>41</v>
      </c>
      <c r="F288" s="2" t="s">
        <v>6736</v>
      </c>
      <c r="G288" s="2" t="s">
        <v>6309</v>
      </c>
    </row>
    <row r="289" ht="15.75" customHeight="1">
      <c r="A289" s="2" t="s">
        <v>5348</v>
      </c>
      <c r="B289" s="2" t="s">
        <v>5349</v>
      </c>
      <c r="C289" s="2" t="s">
        <v>5350</v>
      </c>
      <c r="D289" s="2" t="s">
        <v>5351</v>
      </c>
      <c r="E289" s="2" t="s">
        <v>399</v>
      </c>
      <c r="F289" s="2" t="s">
        <v>6737</v>
      </c>
      <c r="G289" s="2" t="s">
        <v>6245</v>
      </c>
    </row>
    <row r="290" ht="15.75" customHeight="1">
      <c r="A290" s="2" t="s">
        <v>2507</v>
      </c>
      <c r="B290" s="2" t="s">
        <v>2508</v>
      </c>
      <c r="C290" s="2" t="s">
        <v>2509</v>
      </c>
      <c r="D290" s="2" t="s">
        <v>2510</v>
      </c>
      <c r="E290" s="2" t="s">
        <v>564</v>
      </c>
      <c r="F290" s="2" t="s">
        <v>6738</v>
      </c>
      <c r="G290" s="2" t="s">
        <v>6248</v>
      </c>
    </row>
    <row r="291" ht="15.75" customHeight="1">
      <c r="A291" s="2" t="s">
        <v>195</v>
      </c>
      <c r="B291" s="2" t="s">
        <v>196</v>
      </c>
      <c r="C291" s="2" t="s">
        <v>197</v>
      </c>
      <c r="D291" s="2" t="s">
        <v>198</v>
      </c>
      <c r="E291" s="2" t="s">
        <v>199</v>
      </c>
      <c r="F291" s="2" t="s">
        <v>6739</v>
      </c>
      <c r="G291" s="2" t="s">
        <v>6262</v>
      </c>
    </row>
    <row r="292" ht="15.75" customHeight="1">
      <c r="A292" s="2" t="s">
        <v>5507</v>
      </c>
      <c r="B292" s="2" t="s">
        <v>5508</v>
      </c>
      <c r="C292" s="2" t="s">
        <v>5509</v>
      </c>
      <c r="D292" s="2" t="s">
        <v>5510</v>
      </c>
      <c r="E292" s="2" t="s">
        <v>364</v>
      </c>
      <c r="F292" s="2" t="s">
        <v>6740</v>
      </c>
      <c r="G292" s="2" t="s">
        <v>6239</v>
      </c>
    </row>
    <row r="293" ht="15.75" customHeight="1">
      <c r="A293" s="2" t="s">
        <v>2414</v>
      </c>
      <c r="B293" s="2" t="s">
        <v>2415</v>
      </c>
      <c r="D293" s="2" t="s">
        <v>2416</v>
      </c>
      <c r="E293" s="2" t="s">
        <v>671</v>
      </c>
      <c r="F293" s="2" t="s">
        <v>6741</v>
      </c>
      <c r="G293" s="2" t="s">
        <v>6262</v>
      </c>
    </row>
    <row r="294" ht="15.75" customHeight="1">
      <c r="A294" s="2" t="s">
        <v>1437</v>
      </c>
      <c r="B294" s="2" t="s">
        <v>1438</v>
      </c>
      <c r="C294" s="2" t="s">
        <v>1439</v>
      </c>
      <c r="D294" s="2" t="s">
        <v>1440</v>
      </c>
      <c r="E294" s="2" t="s">
        <v>88</v>
      </c>
      <c r="F294" s="2" t="s">
        <v>6445</v>
      </c>
      <c r="G294" s="2" t="s">
        <v>6245</v>
      </c>
    </row>
    <row r="295" ht="15.75" customHeight="1">
      <c r="A295" s="2" t="s">
        <v>6742</v>
      </c>
      <c r="B295" s="2" t="s">
        <v>6743</v>
      </c>
      <c r="C295" s="2" t="s">
        <v>6744</v>
      </c>
      <c r="D295" s="2" t="s">
        <v>6745</v>
      </c>
      <c r="E295" s="2" t="s">
        <v>777</v>
      </c>
      <c r="F295" s="2" t="s">
        <v>6746</v>
      </c>
      <c r="G295" s="2" t="s">
        <v>6262</v>
      </c>
    </row>
    <row r="296" ht="15.75" customHeight="1">
      <c r="A296" s="2" t="s">
        <v>5391</v>
      </c>
      <c r="B296" s="2" t="s">
        <v>5392</v>
      </c>
      <c r="C296" s="2" t="s">
        <v>5393</v>
      </c>
      <c r="D296" s="2" t="s">
        <v>5394</v>
      </c>
      <c r="E296" s="2" t="s">
        <v>608</v>
      </c>
      <c r="F296" s="2" t="s">
        <v>6747</v>
      </c>
    </row>
    <row r="297" ht="15.75" customHeight="1">
      <c r="A297" s="2" t="s">
        <v>2080</v>
      </c>
      <c r="B297" s="2" t="s">
        <v>2081</v>
      </c>
      <c r="C297" s="2" t="s">
        <v>2082</v>
      </c>
      <c r="D297" s="2" t="s">
        <v>2083</v>
      </c>
      <c r="E297" s="2" t="s">
        <v>421</v>
      </c>
      <c r="F297" s="2" t="s">
        <v>6669</v>
      </c>
      <c r="G297" s="2" t="s">
        <v>6245</v>
      </c>
    </row>
    <row r="298" ht="15.75" customHeight="1">
      <c r="A298" s="2" t="s">
        <v>4727</v>
      </c>
      <c r="B298" s="2" t="s">
        <v>4728</v>
      </c>
      <c r="C298" s="2" t="s">
        <v>4729</v>
      </c>
      <c r="D298" s="2" t="s">
        <v>4730</v>
      </c>
      <c r="E298" s="2" t="s">
        <v>387</v>
      </c>
      <c r="F298" s="2" t="s">
        <v>6748</v>
      </c>
      <c r="G298" s="2" t="s">
        <v>6262</v>
      </c>
    </row>
    <row r="299" ht="15.75" customHeight="1">
      <c r="A299" s="2" t="s">
        <v>1323</v>
      </c>
      <c r="B299" s="2" t="s">
        <v>1324</v>
      </c>
      <c r="C299" s="2" t="s">
        <v>1325</v>
      </c>
      <c r="D299" s="2" t="s">
        <v>1326</v>
      </c>
      <c r="E299" s="2" t="s">
        <v>421</v>
      </c>
      <c r="F299" s="2" t="s">
        <v>6749</v>
      </c>
    </row>
    <row r="300" ht="15.75" customHeight="1">
      <c r="A300" s="2" t="s">
        <v>4043</v>
      </c>
      <c r="B300" s="2" t="s">
        <v>4044</v>
      </c>
      <c r="C300" s="2" t="s">
        <v>4045</v>
      </c>
      <c r="D300" s="2" t="s">
        <v>4046</v>
      </c>
      <c r="E300" s="2" t="s">
        <v>1054</v>
      </c>
      <c r="F300" s="2" t="s">
        <v>6750</v>
      </c>
      <c r="G300" s="2" t="s">
        <v>6262</v>
      </c>
    </row>
    <row r="301" ht="15.75" customHeight="1">
      <c r="A301" s="2" t="s">
        <v>988</v>
      </c>
      <c r="B301" s="2" t="s">
        <v>989</v>
      </c>
      <c r="C301" s="2" t="s">
        <v>990</v>
      </c>
      <c r="D301" s="2" t="s">
        <v>991</v>
      </c>
      <c r="E301" s="2" t="s">
        <v>992</v>
      </c>
      <c r="F301" s="2" t="s">
        <v>6751</v>
      </c>
      <c r="G301" s="2" t="s">
        <v>6260</v>
      </c>
    </row>
    <row r="302" ht="15.75" customHeight="1">
      <c r="A302" s="2" t="s">
        <v>4082</v>
      </c>
      <c r="B302" s="2" t="s">
        <v>4083</v>
      </c>
      <c r="C302" s="2" t="s">
        <v>4084</v>
      </c>
      <c r="D302" s="2" t="s">
        <v>4085</v>
      </c>
      <c r="E302" s="2" t="s">
        <v>564</v>
      </c>
      <c r="F302" s="2" t="s">
        <v>6752</v>
      </c>
      <c r="G302" s="2" t="s">
        <v>6248</v>
      </c>
    </row>
    <row r="303" ht="15.75" customHeight="1">
      <c r="A303" s="2" t="s">
        <v>1589</v>
      </c>
      <c r="B303" s="2" t="s">
        <v>1590</v>
      </c>
      <c r="C303" s="2" t="s">
        <v>1591</v>
      </c>
      <c r="D303" s="2" t="s">
        <v>1592</v>
      </c>
      <c r="E303" s="2" t="s">
        <v>58</v>
      </c>
      <c r="F303" s="2" t="s">
        <v>6753</v>
      </c>
      <c r="G303" s="2" t="s">
        <v>6239</v>
      </c>
    </row>
    <row r="304" ht="15.75" customHeight="1">
      <c r="A304" s="2" t="s">
        <v>4130</v>
      </c>
      <c r="B304" s="2" t="s">
        <v>1283</v>
      </c>
      <c r="C304" s="2" t="s">
        <v>4131</v>
      </c>
      <c r="D304" s="2" t="s">
        <v>4132</v>
      </c>
      <c r="E304" s="2" t="s">
        <v>41</v>
      </c>
      <c r="F304" s="2" t="s">
        <v>6754</v>
      </c>
      <c r="G304" s="2" t="s">
        <v>6262</v>
      </c>
    </row>
    <row r="305" ht="15.75" customHeight="1">
      <c r="A305" s="2" t="s">
        <v>4668</v>
      </c>
      <c r="B305" s="2" t="s">
        <v>4669</v>
      </c>
      <c r="C305" s="2" t="s">
        <v>4670</v>
      </c>
      <c r="D305" s="2" t="s">
        <v>4671</v>
      </c>
      <c r="E305" s="2" t="s">
        <v>1336</v>
      </c>
      <c r="F305" s="2" t="s">
        <v>6755</v>
      </c>
    </row>
    <row r="306" ht="15.75" customHeight="1">
      <c r="A306" s="2" t="s">
        <v>4393</v>
      </c>
      <c r="B306" s="2" t="s">
        <v>4394</v>
      </c>
      <c r="C306" s="2" t="s">
        <v>4395</v>
      </c>
      <c r="E306" s="2" t="s">
        <v>548</v>
      </c>
      <c r="F306" s="2" t="s">
        <v>6756</v>
      </c>
      <c r="G306" s="2" t="s">
        <v>6260</v>
      </c>
    </row>
    <row r="307" ht="15.75" customHeight="1">
      <c r="A307" s="2" t="s">
        <v>3830</v>
      </c>
      <c r="B307" s="2" t="s">
        <v>3831</v>
      </c>
      <c r="C307" s="2" t="s">
        <v>3126</v>
      </c>
      <c r="D307" s="2" t="s">
        <v>3832</v>
      </c>
      <c r="E307" s="2" t="s">
        <v>139</v>
      </c>
      <c r="F307" s="2" t="s">
        <v>6757</v>
      </c>
      <c r="G307" s="2" t="s">
        <v>6309</v>
      </c>
    </row>
    <row r="308" ht="15.75" customHeight="1">
      <c r="A308" s="2" t="s">
        <v>254</v>
      </c>
      <c r="B308" s="2" t="s">
        <v>255</v>
      </c>
      <c r="C308" s="2" t="s">
        <v>256</v>
      </c>
      <c r="D308" s="2" t="s">
        <v>257</v>
      </c>
      <c r="E308" s="2" t="s">
        <v>88</v>
      </c>
      <c r="F308" s="2" t="s">
        <v>6758</v>
      </c>
      <c r="G308" s="2" t="s">
        <v>6239</v>
      </c>
    </row>
    <row r="309" ht="15.75" customHeight="1">
      <c r="A309" s="2" t="s">
        <v>396</v>
      </c>
      <c r="B309" s="2" t="s">
        <v>397</v>
      </c>
      <c r="C309" s="2" t="s">
        <v>398</v>
      </c>
      <c r="D309" s="2" t="s">
        <v>6759</v>
      </c>
      <c r="E309" s="2" t="s">
        <v>399</v>
      </c>
      <c r="F309" s="2" t="s">
        <v>6760</v>
      </c>
      <c r="G309" s="2" t="s">
        <v>6245</v>
      </c>
    </row>
    <row r="310" ht="15.75" customHeight="1">
      <c r="A310" s="2" t="s">
        <v>4501</v>
      </c>
      <c r="B310" s="2" t="s">
        <v>4502</v>
      </c>
      <c r="C310" s="2" t="s">
        <v>4503</v>
      </c>
      <c r="E310" s="2" t="s">
        <v>114</v>
      </c>
      <c r="F310" s="2" t="s">
        <v>6761</v>
      </c>
      <c r="G310" s="2" t="s">
        <v>6245</v>
      </c>
    </row>
    <row r="311" ht="15.75" customHeight="1">
      <c r="A311" s="2" t="s">
        <v>1711</v>
      </c>
      <c r="B311" s="2" t="s">
        <v>1712</v>
      </c>
      <c r="C311" s="2" t="s">
        <v>1713</v>
      </c>
      <c r="D311" s="2" t="s">
        <v>1714</v>
      </c>
      <c r="E311" s="2" t="s">
        <v>58</v>
      </c>
      <c r="F311" s="2" t="s">
        <v>6762</v>
      </c>
      <c r="G311" s="2" t="s">
        <v>6237</v>
      </c>
    </row>
    <row r="312" ht="15.75" customHeight="1">
      <c r="A312" s="2" t="s">
        <v>1673</v>
      </c>
      <c r="B312" s="2" t="s">
        <v>1324</v>
      </c>
      <c r="C312" s="2" t="s">
        <v>1674</v>
      </c>
      <c r="D312" s="2" t="s">
        <v>1675</v>
      </c>
      <c r="E312" s="2" t="s">
        <v>608</v>
      </c>
      <c r="F312" s="2" t="s">
        <v>6763</v>
      </c>
      <c r="G312" s="2" t="s">
        <v>6239</v>
      </c>
    </row>
    <row r="313" ht="15.75" customHeight="1">
      <c r="A313" s="2" t="s">
        <v>2745</v>
      </c>
      <c r="B313" s="2" t="s">
        <v>1283</v>
      </c>
      <c r="C313" s="2" t="s">
        <v>2746</v>
      </c>
      <c r="D313" s="2" t="s">
        <v>2747</v>
      </c>
      <c r="E313" s="2" t="s">
        <v>564</v>
      </c>
      <c r="F313" s="2" t="s">
        <v>6764</v>
      </c>
      <c r="G313" s="2" t="s">
        <v>6239</v>
      </c>
    </row>
    <row r="314" ht="15.75" customHeight="1">
      <c r="A314" s="2" t="s">
        <v>2911</v>
      </c>
      <c r="B314" s="2" t="s">
        <v>2912</v>
      </c>
      <c r="C314" s="2" t="s">
        <v>2913</v>
      </c>
      <c r="D314" s="2" t="s">
        <v>2914</v>
      </c>
      <c r="E314" s="2" t="s">
        <v>114</v>
      </c>
      <c r="F314" s="2" t="s">
        <v>6765</v>
      </c>
      <c r="G314" s="2" t="s">
        <v>6248</v>
      </c>
    </row>
    <row r="315" ht="15.75" customHeight="1">
      <c r="A315" s="2" t="s">
        <v>4521</v>
      </c>
      <c r="B315" s="2" t="s">
        <v>4522</v>
      </c>
      <c r="C315" s="2" t="s">
        <v>4523</v>
      </c>
      <c r="D315" s="2" t="s">
        <v>4524</v>
      </c>
      <c r="E315" s="2" t="s">
        <v>114</v>
      </c>
      <c r="F315" s="2" t="s">
        <v>6766</v>
      </c>
      <c r="G315" s="2" t="s">
        <v>6237</v>
      </c>
    </row>
    <row r="316" ht="15.75" customHeight="1">
      <c r="A316" s="2" t="s">
        <v>2558</v>
      </c>
      <c r="B316" s="2" t="s">
        <v>2559</v>
      </c>
      <c r="C316" s="2" t="s">
        <v>2560</v>
      </c>
      <c r="D316" s="2" t="s">
        <v>2561</v>
      </c>
      <c r="E316" s="2" t="s">
        <v>2562</v>
      </c>
      <c r="F316" s="2" t="s">
        <v>6767</v>
      </c>
      <c r="G316" s="2" t="s">
        <v>6237</v>
      </c>
    </row>
    <row r="317" ht="15.75" customHeight="1">
      <c r="A317" s="2" t="s">
        <v>1332</v>
      </c>
      <c r="B317" s="2" t="s">
        <v>1333</v>
      </c>
      <c r="C317" s="2" t="s">
        <v>1334</v>
      </c>
      <c r="D317" s="2" t="s">
        <v>1335</v>
      </c>
      <c r="E317" s="2" t="s">
        <v>1336</v>
      </c>
      <c r="F317" s="2" t="s">
        <v>6768</v>
      </c>
      <c r="G317" s="2" t="s">
        <v>6237</v>
      </c>
    </row>
    <row r="318" ht="15.75" customHeight="1">
      <c r="A318" s="2" t="s">
        <v>624</v>
      </c>
      <c r="B318" s="2" t="s">
        <v>625</v>
      </c>
      <c r="C318" s="2" t="s">
        <v>626</v>
      </c>
      <c r="D318" s="2" t="s">
        <v>627</v>
      </c>
      <c r="E318" s="2" t="s">
        <v>421</v>
      </c>
      <c r="F318" s="2" t="s">
        <v>6769</v>
      </c>
      <c r="G318" s="2" t="s">
        <v>6262</v>
      </c>
    </row>
    <row r="319" ht="15.75" customHeight="1">
      <c r="A319" s="2" t="s">
        <v>4481</v>
      </c>
      <c r="B319" s="2" t="s">
        <v>4482</v>
      </c>
      <c r="C319" s="2" t="s">
        <v>4483</v>
      </c>
      <c r="E319" s="2" t="s">
        <v>58</v>
      </c>
      <c r="F319" s="2" t="s">
        <v>6770</v>
      </c>
      <c r="G319" s="2" t="s">
        <v>6237</v>
      </c>
    </row>
    <row r="320" ht="15.75" customHeight="1">
      <c r="A320" s="2" t="s">
        <v>6094</v>
      </c>
      <c r="B320" s="2" t="s">
        <v>5333</v>
      </c>
      <c r="C320" s="2" t="s">
        <v>6095</v>
      </c>
      <c r="D320" s="2" t="s">
        <v>6096</v>
      </c>
      <c r="E320" s="2" t="s">
        <v>199</v>
      </c>
      <c r="F320" s="2" t="s">
        <v>6771</v>
      </c>
      <c r="G320" s="2" t="s">
        <v>6237</v>
      </c>
    </row>
    <row r="321" ht="15.75" customHeight="1">
      <c r="A321" s="2" t="s">
        <v>5627</v>
      </c>
      <c r="B321" s="2" t="s">
        <v>5628</v>
      </c>
      <c r="C321" s="2" t="s">
        <v>5629</v>
      </c>
      <c r="D321" s="2" t="s">
        <v>5630</v>
      </c>
      <c r="E321" s="2" t="s">
        <v>801</v>
      </c>
      <c r="F321" s="2" t="s">
        <v>6772</v>
      </c>
      <c r="G321" s="2" t="s">
        <v>6309</v>
      </c>
    </row>
    <row r="322" ht="15.75" customHeight="1">
      <c r="A322" s="2" t="s">
        <v>688</v>
      </c>
      <c r="B322" s="2" t="s">
        <v>689</v>
      </c>
      <c r="C322" s="2" t="s">
        <v>690</v>
      </c>
      <c r="D322" s="2" t="s">
        <v>691</v>
      </c>
      <c r="E322" s="2" t="s">
        <v>58</v>
      </c>
      <c r="F322" s="2" t="s">
        <v>6773</v>
      </c>
      <c r="G322" s="2" t="s">
        <v>6262</v>
      </c>
    </row>
    <row r="323" ht="15.75" customHeight="1">
      <c r="A323" s="2" t="s">
        <v>6774</v>
      </c>
      <c r="B323" s="2" t="s">
        <v>6775</v>
      </c>
      <c r="C323" s="2" t="s">
        <v>6776</v>
      </c>
      <c r="D323" s="2" t="s">
        <v>6777</v>
      </c>
      <c r="E323" s="2" t="s">
        <v>1177</v>
      </c>
      <c r="F323" s="2" t="s">
        <v>6778</v>
      </c>
      <c r="G323" s="2" t="s">
        <v>6260</v>
      </c>
    </row>
    <row r="324" ht="15.75" customHeight="1">
      <c r="A324" s="2" t="s">
        <v>2714</v>
      </c>
      <c r="B324" s="2" t="s">
        <v>2715</v>
      </c>
      <c r="C324" s="2" t="s">
        <v>2716</v>
      </c>
      <c r="D324" s="2" t="s">
        <v>2717</v>
      </c>
      <c r="E324" s="2" t="s">
        <v>114</v>
      </c>
      <c r="F324" s="2" t="s">
        <v>6594</v>
      </c>
      <c r="G324" s="2" t="s">
        <v>6262</v>
      </c>
    </row>
    <row r="325" ht="15.75" customHeight="1">
      <c r="A325" s="2" t="s">
        <v>6779</v>
      </c>
      <c r="B325" s="2" t="s">
        <v>6780</v>
      </c>
      <c r="C325" s="2" t="s">
        <v>6781</v>
      </c>
      <c r="D325" s="2" t="s">
        <v>6782</v>
      </c>
      <c r="E325" s="2" t="s">
        <v>199</v>
      </c>
      <c r="F325" s="2" t="s">
        <v>6783</v>
      </c>
      <c r="G325" s="2" t="s">
        <v>6248</v>
      </c>
    </row>
    <row r="326" ht="15.75" customHeight="1">
      <c r="A326" s="2" t="s">
        <v>1718</v>
      </c>
      <c r="B326" s="2" t="s">
        <v>1719</v>
      </c>
      <c r="C326" s="2" t="s">
        <v>1720</v>
      </c>
      <c r="D326" s="2" t="s">
        <v>1721</v>
      </c>
      <c r="E326" s="2" t="s">
        <v>199</v>
      </c>
      <c r="F326" s="2" t="s">
        <v>6784</v>
      </c>
      <c r="G326" s="2" t="s">
        <v>6248</v>
      </c>
    </row>
    <row r="327" ht="15.75" customHeight="1">
      <c r="A327" s="2" t="s">
        <v>286</v>
      </c>
      <c r="B327" s="2" t="s">
        <v>287</v>
      </c>
      <c r="D327" s="2" t="s">
        <v>288</v>
      </c>
      <c r="E327" s="2" t="s">
        <v>114</v>
      </c>
      <c r="F327" s="2" t="s">
        <v>6785</v>
      </c>
      <c r="G327" s="2" t="s">
        <v>6248</v>
      </c>
    </row>
    <row r="328" ht="15.75" customHeight="1">
      <c r="A328" s="2" t="s">
        <v>5434</v>
      </c>
      <c r="B328" s="2" t="s">
        <v>5435</v>
      </c>
      <c r="C328" s="2" t="s">
        <v>5436</v>
      </c>
      <c r="D328" s="2" t="s">
        <v>5437</v>
      </c>
      <c r="E328" s="2" t="s">
        <v>114</v>
      </c>
      <c r="F328" s="2" t="s">
        <v>6786</v>
      </c>
      <c r="G328" s="2" t="s">
        <v>6248</v>
      </c>
    </row>
    <row r="329" ht="15.75" customHeight="1">
      <c r="A329" s="2" t="s">
        <v>2588</v>
      </c>
      <c r="B329" s="2" t="s">
        <v>2589</v>
      </c>
      <c r="C329" s="2" t="s">
        <v>2590</v>
      </c>
      <c r="E329" s="2" t="s">
        <v>1054</v>
      </c>
      <c r="F329" s="2" t="s">
        <v>6787</v>
      </c>
      <c r="G329" s="2" t="s">
        <v>6260</v>
      </c>
    </row>
    <row r="330" ht="15.75" customHeight="1">
      <c r="A330" s="2" t="s">
        <v>6788</v>
      </c>
      <c r="B330" s="2" t="s">
        <v>6789</v>
      </c>
      <c r="C330" s="2" t="s">
        <v>6790</v>
      </c>
      <c r="D330" s="2" t="s">
        <v>6791</v>
      </c>
      <c r="E330" s="2" t="s">
        <v>459</v>
      </c>
      <c r="F330" s="2" t="s">
        <v>6792</v>
      </c>
      <c r="G330" s="2" t="s">
        <v>6273</v>
      </c>
    </row>
    <row r="331" ht="15.75" customHeight="1">
      <c r="A331" s="2" t="s">
        <v>4848</v>
      </c>
      <c r="B331" s="2" t="s">
        <v>173</v>
      </c>
      <c r="C331" s="2" t="s">
        <v>4849</v>
      </c>
      <c r="D331" s="2" t="s">
        <v>4850</v>
      </c>
      <c r="E331" s="2" t="s">
        <v>801</v>
      </c>
      <c r="F331" s="2" t="s">
        <v>6544</v>
      </c>
      <c r="G331" s="2" t="s">
        <v>6273</v>
      </c>
    </row>
    <row r="332" ht="15.75" customHeight="1">
      <c r="A332" s="2" t="s">
        <v>4016</v>
      </c>
      <c r="B332" s="2" t="s">
        <v>4017</v>
      </c>
      <c r="C332" s="2" t="s">
        <v>4018</v>
      </c>
      <c r="E332" s="2" t="s">
        <v>88</v>
      </c>
      <c r="F332" s="2" t="s">
        <v>6793</v>
      </c>
    </row>
    <row r="333" ht="15.75" customHeight="1">
      <c r="A333" s="2" t="s">
        <v>6794</v>
      </c>
      <c r="B333" s="2" t="s">
        <v>6795</v>
      </c>
      <c r="C333" s="2" t="s">
        <v>6796</v>
      </c>
      <c r="D333" s="2" t="s">
        <v>6797</v>
      </c>
      <c r="E333" s="2" t="s">
        <v>801</v>
      </c>
      <c r="F333" s="2" t="s">
        <v>4611</v>
      </c>
      <c r="G333" s="2" t="s">
        <v>6260</v>
      </c>
    </row>
    <row r="334" ht="15.75" customHeight="1">
      <c r="A334" s="2" t="s">
        <v>5486</v>
      </c>
      <c r="B334" s="2" t="s">
        <v>5487</v>
      </c>
      <c r="C334" s="2" t="s">
        <v>5488</v>
      </c>
      <c r="D334" s="2" t="s">
        <v>5489</v>
      </c>
      <c r="E334" s="2" t="s">
        <v>448</v>
      </c>
      <c r="F334" s="2" t="s">
        <v>6798</v>
      </c>
      <c r="G334" s="2" t="s">
        <v>6309</v>
      </c>
    </row>
    <row r="335" ht="15.75" customHeight="1">
      <c r="A335" s="2" t="s">
        <v>6799</v>
      </c>
      <c r="B335" s="2" t="s">
        <v>6800</v>
      </c>
      <c r="C335" s="2" t="s">
        <v>6801</v>
      </c>
      <c r="D335" s="2" t="s">
        <v>6802</v>
      </c>
      <c r="E335" s="2" t="s">
        <v>73</v>
      </c>
      <c r="F335" s="2" t="s">
        <v>6803</v>
      </c>
      <c r="G335" s="2" t="s">
        <v>6260</v>
      </c>
    </row>
    <row r="336" ht="15.75" customHeight="1">
      <c r="A336" s="2" t="s">
        <v>3535</v>
      </c>
      <c r="B336" s="2" t="s">
        <v>3536</v>
      </c>
      <c r="C336" s="2" t="s">
        <v>3537</v>
      </c>
      <c r="D336" s="2" t="s">
        <v>3538</v>
      </c>
      <c r="E336" s="2" t="s">
        <v>459</v>
      </c>
      <c r="F336" s="2" t="s">
        <v>6804</v>
      </c>
      <c r="G336" s="2" t="s">
        <v>6262</v>
      </c>
    </row>
    <row r="337" ht="15.75" customHeight="1">
      <c r="A337" s="2" t="s">
        <v>5293</v>
      </c>
      <c r="B337" s="2" t="s">
        <v>5294</v>
      </c>
      <c r="D337" s="2" t="s">
        <v>5295</v>
      </c>
      <c r="E337" s="2" t="s">
        <v>801</v>
      </c>
      <c r="F337" s="2" t="s">
        <v>6805</v>
      </c>
      <c r="G337" s="2" t="s">
        <v>6245</v>
      </c>
    </row>
    <row r="338" ht="15.75" customHeight="1">
      <c r="A338" s="2" t="s">
        <v>5893</v>
      </c>
      <c r="B338" s="2" t="s">
        <v>5894</v>
      </c>
      <c r="C338" s="2" t="s">
        <v>5895</v>
      </c>
      <c r="D338" s="2" t="s">
        <v>5896</v>
      </c>
      <c r="E338" s="2" t="s">
        <v>801</v>
      </c>
      <c r="F338" s="2" t="s">
        <v>6806</v>
      </c>
      <c r="G338" s="2" t="s">
        <v>6239</v>
      </c>
    </row>
    <row r="339" ht="15.75" customHeight="1">
      <c r="A339" s="2" t="s">
        <v>2381</v>
      </c>
      <c r="B339" s="2" t="s">
        <v>2382</v>
      </c>
      <c r="C339" s="2" t="s">
        <v>2383</v>
      </c>
      <c r="D339" s="2" t="s">
        <v>2384</v>
      </c>
      <c r="E339" s="2" t="s">
        <v>671</v>
      </c>
      <c r="F339" s="2" t="s">
        <v>6807</v>
      </c>
    </row>
    <row r="340" ht="15.75" customHeight="1">
      <c r="A340" s="2" t="s">
        <v>915</v>
      </c>
      <c r="B340" s="2" t="s">
        <v>916</v>
      </c>
      <c r="C340" s="2" t="s">
        <v>917</v>
      </c>
      <c r="D340" s="2" t="s">
        <v>918</v>
      </c>
      <c r="E340" s="2" t="s">
        <v>364</v>
      </c>
      <c r="F340" s="2" t="s">
        <v>6808</v>
      </c>
      <c r="G340" s="2" t="s">
        <v>6237</v>
      </c>
    </row>
    <row r="341" ht="15.75" customHeight="1">
      <c r="A341" s="2" t="s">
        <v>3060</v>
      </c>
      <c r="B341" s="2" t="s">
        <v>3061</v>
      </c>
      <c r="C341" s="2" t="s">
        <v>3062</v>
      </c>
      <c r="D341" s="2" t="s">
        <v>3063</v>
      </c>
      <c r="E341" s="2" t="s">
        <v>364</v>
      </c>
      <c r="F341" s="2" t="s">
        <v>6809</v>
      </c>
      <c r="G341" s="2" t="s">
        <v>6239</v>
      </c>
    </row>
    <row r="342" ht="15.75" customHeight="1">
      <c r="A342" s="2" t="s">
        <v>3882</v>
      </c>
      <c r="B342" s="2" t="s">
        <v>3883</v>
      </c>
      <c r="C342" s="2" t="s">
        <v>3884</v>
      </c>
      <c r="D342" s="2" t="s">
        <v>3885</v>
      </c>
      <c r="E342" s="2" t="s">
        <v>114</v>
      </c>
      <c r="F342" s="2" t="s">
        <v>6810</v>
      </c>
      <c r="G342" s="2" t="s">
        <v>6262</v>
      </c>
    </row>
    <row r="343" ht="15.75" customHeight="1">
      <c r="A343" s="2" t="s">
        <v>5944</v>
      </c>
      <c r="B343" s="2" t="s">
        <v>5945</v>
      </c>
      <c r="C343" s="2" t="s">
        <v>5946</v>
      </c>
      <c r="D343" s="2" t="s">
        <v>5947</v>
      </c>
      <c r="E343" s="2" t="s">
        <v>199</v>
      </c>
      <c r="F343" s="2" t="s">
        <v>6811</v>
      </c>
      <c r="G343" s="2" t="s">
        <v>6245</v>
      </c>
    </row>
    <row r="344" ht="15.75" customHeight="1">
      <c r="A344" s="2" t="s">
        <v>2300</v>
      </c>
      <c r="B344" s="2" t="s">
        <v>2301</v>
      </c>
      <c r="C344" s="2" t="s">
        <v>2302</v>
      </c>
      <c r="D344" s="2" t="s">
        <v>2303</v>
      </c>
      <c r="E344" s="2" t="s">
        <v>608</v>
      </c>
      <c r="F344" s="2" t="s">
        <v>6812</v>
      </c>
      <c r="G344" s="2" t="s">
        <v>6245</v>
      </c>
    </row>
    <row r="345" ht="15.75" customHeight="1">
      <c r="A345" s="2" t="s">
        <v>1036</v>
      </c>
      <c r="B345" s="2" t="s">
        <v>1037</v>
      </c>
      <c r="C345" s="2" t="s">
        <v>1038</v>
      </c>
      <c r="D345" s="2" t="s">
        <v>2710</v>
      </c>
      <c r="E345" s="2" t="s">
        <v>58</v>
      </c>
      <c r="F345" s="2" t="s">
        <v>3209</v>
      </c>
      <c r="G345" s="2" t="s">
        <v>6248</v>
      </c>
    </row>
    <row r="346" ht="15.75" customHeight="1">
      <c r="A346" s="2" t="s">
        <v>4810</v>
      </c>
      <c r="B346" s="2" t="s">
        <v>4811</v>
      </c>
      <c r="C346" s="2" t="s">
        <v>4812</v>
      </c>
      <c r="D346" s="2" t="s">
        <v>4813</v>
      </c>
      <c r="E346" s="2" t="s">
        <v>777</v>
      </c>
      <c r="F346" s="2" t="s">
        <v>6813</v>
      </c>
      <c r="G346" s="2" t="s">
        <v>6309</v>
      </c>
    </row>
    <row r="347" ht="15.75" customHeight="1">
      <c r="A347" s="2" t="s">
        <v>6814</v>
      </c>
      <c r="B347" s="2" t="s">
        <v>6815</v>
      </c>
      <c r="C347" s="2" t="s">
        <v>6816</v>
      </c>
      <c r="D347" s="2" t="s">
        <v>6817</v>
      </c>
      <c r="E347" s="2" t="s">
        <v>6818</v>
      </c>
      <c r="F347" s="2" t="s">
        <v>5596</v>
      </c>
      <c r="G347" s="2" t="s">
        <v>6260</v>
      </c>
    </row>
    <row r="348" ht="15.75" customHeight="1">
      <c r="A348" s="2" t="s">
        <v>3513</v>
      </c>
      <c r="B348" s="2" t="s">
        <v>1794</v>
      </c>
      <c r="C348" s="2" t="s">
        <v>3514</v>
      </c>
      <c r="D348" s="2" t="s">
        <v>3515</v>
      </c>
      <c r="E348" s="2" t="s">
        <v>777</v>
      </c>
      <c r="F348" s="2" t="s">
        <v>6819</v>
      </c>
      <c r="G348" s="2" t="s">
        <v>6245</v>
      </c>
    </row>
    <row r="349" ht="15.75" customHeight="1">
      <c r="A349" s="2" t="s">
        <v>2100</v>
      </c>
      <c r="B349" s="2" t="s">
        <v>2101</v>
      </c>
      <c r="C349" s="2" t="s">
        <v>2102</v>
      </c>
      <c r="D349" s="2" t="s">
        <v>2103</v>
      </c>
      <c r="E349" s="2" t="s">
        <v>608</v>
      </c>
      <c r="F349" s="2" t="s">
        <v>6820</v>
      </c>
      <c r="G349" s="2" t="s">
        <v>6245</v>
      </c>
    </row>
    <row r="350" ht="15.75" customHeight="1">
      <c r="A350" s="2" t="s">
        <v>110</v>
      </c>
      <c r="B350" s="2" t="s">
        <v>111</v>
      </c>
      <c r="C350" s="2" t="s">
        <v>112</v>
      </c>
      <c r="D350" s="2" t="s">
        <v>113</v>
      </c>
      <c r="E350" s="2" t="s">
        <v>114</v>
      </c>
      <c r="F350" s="2" t="s">
        <v>6821</v>
      </c>
      <c r="G350" s="2" t="s">
        <v>6273</v>
      </c>
    </row>
    <row r="351" ht="15.75" customHeight="1">
      <c r="A351" s="2" t="s">
        <v>3944</v>
      </c>
      <c r="B351" s="2" t="s">
        <v>3945</v>
      </c>
      <c r="C351" s="2" t="s">
        <v>3946</v>
      </c>
      <c r="D351" s="2" t="s">
        <v>3947</v>
      </c>
      <c r="E351" s="2" t="s">
        <v>114</v>
      </c>
      <c r="F351" s="2" t="s">
        <v>5596</v>
      </c>
      <c r="G351" s="2" t="s">
        <v>6309</v>
      </c>
    </row>
    <row r="352" ht="15.75" customHeight="1">
      <c r="A352" s="2" t="s">
        <v>445</v>
      </c>
      <c r="B352" s="2" t="s">
        <v>446</v>
      </c>
      <c r="C352" s="2" t="s">
        <v>447</v>
      </c>
      <c r="E352" s="2" t="s">
        <v>448</v>
      </c>
      <c r="F352" s="2" t="s">
        <v>6822</v>
      </c>
      <c r="G352" s="2" t="s">
        <v>6248</v>
      </c>
    </row>
    <row r="353" ht="15.75" customHeight="1">
      <c r="A353" s="2" t="s">
        <v>4215</v>
      </c>
      <c r="B353" s="2" t="s">
        <v>4216</v>
      </c>
      <c r="C353" s="2" t="s">
        <v>4217</v>
      </c>
      <c r="D353" s="2" t="s">
        <v>4218</v>
      </c>
      <c r="E353" s="2" t="s">
        <v>139</v>
      </c>
      <c r="F353" s="2" t="s">
        <v>6823</v>
      </c>
      <c r="G353" s="2" t="s">
        <v>6262</v>
      </c>
    </row>
    <row r="354" ht="15.75" customHeight="1">
      <c r="A354" s="2" t="s">
        <v>6824</v>
      </c>
      <c r="B354" s="2" t="s">
        <v>6825</v>
      </c>
      <c r="C354" s="2" t="s">
        <v>6826</v>
      </c>
      <c r="D354" s="2" t="s">
        <v>6827</v>
      </c>
      <c r="E354" s="2" t="s">
        <v>114</v>
      </c>
      <c r="F354" s="2" t="s">
        <v>6828</v>
      </c>
      <c r="G354" s="2" t="s">
        <v>6260</v>
      </c>
    </row>
    <row r="355" ht="15.75" customHeight="1">
      <c r="A355" s="2" t="s">
        <v>5883</v>
      </c>
      <c r="B355" s="2" t="s">
        <v>418</v>
      </c>
      <c r="C355" s="2" t="s">
        <v>5884</v>
      </c>
      <c r="D355" s="2" t="s">
        <v>5885</v>
      </c>
      <c r="E355" s="2" t="s">
        <v>5886</v>
      </c>
      <c r="F355" s="2" t="s">
        <v>6829</v>
      </c>
      <c r="G355" s="2" t="s">
        <v>6260</v>
      </c>
    </row>
    <row r="356" ht="15.75" customHeight="1">
      <c r="A356" s="2" t="s">
        <v>3392</v>
      </c>
      <c r="B356" s="2" t="s">
        <v>3393</v>
      </c>
      <c r="C356" s="2" t="s">
        <v>3394</v>
      </c>
      <c r="D356" s="2" t="s">
        <v>3395</v>
      </c>
      <c r="E356" s="2" t="s">
        <v>1177</v>
      </c>
      <c r="F356" s="2" t="s">
        <v>5808</v>
      </c>
    </row>
    <row r="357" ht="15.75" customHeight="1">
      <c r="A357" s="2" t="s">
        <v>2000</v>
      </c>
      <c r="B357" s="2" t="s">
        <v>2001</v>
      </c>
      <c r="C357" s="2" t="s">
        <v>2002</v>
      </c>
      <c r="D357" s="2" t="s">
        <v>2003</v>
      </c>
      <c r="E357" s="2" t="s">
        <v>165</v>
      </c>
      <c r="F357" s="2" t="s">
        <v>6830</v>
      </c>
      <c r="G357" s="2" t="s">
        <v>6309</v>
      </c>
    </row>
    <row r="358" ht="15.75" customHeight="1">
      <c r="A358" s="2" t="s">
        <v>5783</v>
      </c>
      <c r="B358" s="2" t="s">
        <v>5784</v>
      </c>
      <c r="C358" s="2" t="s">
        <v>5785</v>
      </c>
      <c r="D358" s="2" t="s">
        <v>5786</v>
      </c>
      <c r="E358" s="2" t="s">
        <v>88</v>
      </c>
      <c r="F358" s="2" t="s">
        <v>6831</v>
      </c>
      <c r="G358" s="2" t="s">
        <v>6245</v>
      </c>
    </row>
    <row r="359" ht="15.75" customHeight="1">
      <c r="A359" s="2" t="s">
        <v>3578</v>
      </c>
      <c r="B359" s="2" t="s">
        <v>3579</v>
      </c>
      <c r="C359" s="2" t="s">
        <v>3580</v>
      </c>
      <c r="D359" s="2" t="s">
        <v>3581</v>
      </c>
      <c r="E359" s="2" t="s">
        <v>25</v>
      </c>
      <c r="F359" s="2" t="s">
        <v>6832</v>
      </c>
      <c r="G359" s="2" t="s">
        <v>6260</v>
      </c>
    </row>
    <row r="360" ht="15.75" customHeight="1">
      <c r="A360" s="2" t="s">
        <v>3204</v>
      </c>
      <c r="B360" s="2" t="s">
        <v>3205</v>
      </c>
      <c r="C360" s="2" t="s">
        <v>3206</v>
      </c>
      <c r="E360" s="2" t="s">
        <v>777</v>
      </c>
      <c r="F360" s="2" t="s">
        <v>6833</v>
      </c>
      <c r="G360" s="2" t="s">
        <v>6273</v>
      </c>
    </row>
    <row r="361" ht="15.75" customHeight="1">
      <c r="A361" s="2" t="s">
        <v>893</v>
      </c>
      <c r="B361" s="2" t="s">
        <v>894</v>
      </c>
      <c r="C361" s="2" t="s">
        <v>895</v>
      </c>
      <c r="D361" s="2" t="s">
        <v>896</v>
      </c>
      <c r="E361" s="2" t="s">
        <v>114</v>
      </c>
      <c r="F361" s="2" t="s">
        <v>6834</v>
      </c>
      <c r="G361" s="2" t="s">
        <v>6273</v>
      </c>
    </row>
    <row r="362" ht="15.75" customHeight="1">
      <c r="A362" s="2" t="s">
        <v>2738</v>
      </c>
      <c r="B362" s="2" t="s">
        <v>2739</v>
      </c>
      <c r="C362" s="2" t="s">
        <v>2740</v>
      </c>
      <c r="D362" s="2" t="s">
        <v>2741</v>
      </c>
      <c r="E362" s="2" t="s">
        <v>738</v>
      </c>
      <c r="F362" s="2" t="s">
        <v>6835</v>
      </c>
      <c r="G362" s="2" t="s">
        <v>6309</v>
      </c>
    </row>
    <row r="363" ht="15.75" customHeight="1">
      <c r="A363" s="2" t="s">
        <v>1938</v>
      </c>
      <c r="B363" s="2" t="s">
        <v>1939</v>
      </c>
      <c r="C363" s="2" t="s">
        <v>1940</v>
      </c>
      <c r="D363" s="2" t="s">
        <v>1941</v>
      </c>
      <c r="E363" s="2" t="s">
        <v>801</v>
      </c>
      <c r="F363" s="2" t="s">
        <v>3624</v>
      </c>
      <c r="G363" s="2" t="s">
        <v>6245</v>
      </c>
    </row>
    <row r="364" ht="15.75" customHeight="1">
      <c r="A364" s="2" t="s">
        <v>4798</v>
      </c>
      <c r="B364" s="2" t="s">
        <v>4799</v>
      </c>
      <c r="C364" s="2" t="s">
        <v>4800</v>
      </c>
      <c r="D364" s="2" t="s">
        <v>4801</v>
      </c>
      <c r="E364" s="2" t="s">
        <v>1177</v>
      </c>
      <c r="F364" s="2" t="s">
        <v>6836</v>
      </c>
      <c r="G364" s="2" t="s">
        <v>6262</v>
      </c>
    </row>
    <row r="365" ht="15.75" customHeight="1">
      <c r="A365" s="2" t="s">
        <v>761</v>
      </c>
      <c r="B365" s="2" t="s">
        <v>762</v>
      </c>
      <c r="C365" s="2" t="s">
        <v>763</v>
      </c>
      <c r="D365" s="2" t="s">
        <v>764</v>
      </c>
      <c r="E365" s="2" t="s">
        <v>765</v>
      </c>
      <c r="F365" s="2" t="s">
        <v>6837</v>
      </c>
      <c r="G365" s="2" t="s">
        <v>6248</v>
      </c>
    </row>
    <row r="366" ht="15.75" customHeight="1">
      <c r="A366" s="2" t="s">
        <v>1738</v>
      </c>
      <c r="B366" s="2" t="s">
        <v>1457</v>
      </c>
      <c r="C366" s="2" t="s">
        <v>1739</v>
      </c>
      <c r="E366" s="2" t="s">
        <v>1054</v>
      </c>
      <c r="F366" s="2" t="s">
        <v>6838</v>
      </c>
      <c r="G366" s="2" t="s">
        <v>6239</v>
      </c>
    </row>
    <row r="367" ht="15.75" customHeight="1">
      <c r="A367" s="2" t="s">
        <v>3125</v>
      </c>
      <c r="B367" s="2" t="s">
        <v>101</v>
      </c>
      <c r="C367" s="2" t="s">
        <v>3126</v>
      </c>
      <c r="D367" s="2" t="s">
        <v>3127</v>
      </c>
      <c r="E367" s="2" t="s">
        <v>671</v>
      </c>
      <c r="F367" s="2" t="s">
        <v>6839</v>
      </c>
      <c r="G367" s="2" t="s">
        <v>6260</v>
      </c>
    </row>
    <row r="368" ht="15.75" customHeight="1">
      <c r="A368" s="2" t="s">
        <v>6037</v>
      </c>
      <c r="B368" s="2" t="s">
        <v>6038</v>
      </c>
      <c r="C368" s="2" t="s">
        <v>6039</v>
      </c>
      <c r="D368" s="2" t="s">
        <v>6040</v>
      </c>
      <c r="E368" s="2" t="s">
        <v>548</v>
      </c>
      <c r="F368" s="2" t="s">
        <v>6840</v>
      </c>
      <c r="G368" s="2" t="s">
        <v>6262</v>
      </c>
    </row>
    <row r="369" ht="15.75" customHeight="1">
      <c r="A369" s="2" t="s">
        <v>4927</v>
      </c>
      <c r="B369" s="2" t="s">
        <v>4928</v>
      </c>
      <c r="D369" s="2" t="s">
        <v>4929</v>
      </c>
      <c r="E369" s="2" t="s">
        <v>1319</v>
      </c>
      <c r="F369" s="2" t="s">
        <v>6841</v>
      </c>
      <c r="G369" s="2" t="s">
        <v>6262</v>
      </c>
    </row>
    <row r="370" ht="15.75" customHeight="1">
      <c r="A370" s="2" t="s">
        <v>3499</v>
      </c>
      <c r="B370" s="2" t="s">
        <v>3500</v>
      </c>
      <c r="C370" s="2" t="s">
        <v>3501</v>
      </c>
      <c r="D370" s="2" t="s">
        <v>3502</v>
      </c>
      <c r="E370" s="2" t="s">
        <v>671</v>
      </c>
      <c r="F370" s="2" t="s">
        <v>6842</v>
      </c>
      <c r="G370" s="2" t="s">
        <v>6260</v>
      </c>
    </row>
    <row r="371" ht="15.75" customHeight="1">
      <c r="A371" s="2" t="s">
        <v>2648</v>
      </c>
      <c r="B371" s="2" t="s">
        <v>2649</v>
      </c>
      <c r="C371" s="2" t="s">
        <v>2650</v>
      </c>
      <c r="D371" s="2" t="s">
        <v>2651</v>
      </c>
      <c r="E371" s="2" t="s">
        <v>25</v>
      </c>
      <c r="F371" s="2" t="s">
        <v>6843</v>
      </c>
      <c r="G371" s="2" t="s">
        <v>6273</v>
      </c>
    </row>
    <row r="372" ht="15.75" customHeight="1">
      <c r="A372" s="2" t="s">
        <v>4549</v>
      </c>
      <c r="B372" s="2" t="s">
        <v>4514</v>
      </c>
      <c r="D372" s="2" t="s">
        <v>4550</v>
      </c>
      <c r="E372" s="2" t="s">
        <v>671</v>
      </c>
      <c r="F372" s="2" t="s">
        <v>6844</v>
      </c>
      <c r="G372" s="2" t="s">
        <v>6239</v>
      </c>
    </row>
    <row r="373" ht="15.75" customHeight="1">
      <c r="A373" s="2" t="s">
        <v>6845</v>
      </c>
      <c r="B373" s="2" t="s">
        <v>6846</v>
      </c>
      <c r="C373" s="2" t="s">
        <v>6847</v>
      </c>
      <c r="D373" s="2" t="s">
        <v>6848</v>
      </c>
      <c r="E373" s="2" t="s">
        <v>720</v>
      </c>
      <c r="F373" s="2" t="s">
        <v>6724</v>
      </c>
    </row>
    <row r="374" ht="15.75" customHeight="1">
      <c r="A374" s="2" t="s">
        <v>3463</v>
      </c>
      <c r="B374" s="2" t="s">
        <v>3464</v>
      </c>
      <c r="C374" s="2" t="s">
        <v>5912</v>
      </c>
      <c r="D374" s="2" t="s">
        <v>3465</v>
      </c>
      <c r="E374" s="2" t="s">
        <v>1054</v>
      </c>
      <c r="F374" s="2" t="s">
        <v>6849</v>
      </c>
      <c r="G374" s="2" t="s">
        <v>6239</v>
      </c>
    </row>
    <row r="375" ht="15.75" customHeight="1">
      <c r="A375" s="2" t="s">
        <v>1819</v>
      </c>
      <c r="B375" s="2" t="s">
        <v>1820</v>
      </c>
      <c r="D375" s="2" t="s">
        <v>1821</v>
      </c>
      <c r="E375" s="2" t="s">
        <v>58</v>
      </c>
      <c r="F375" s="2" t="s">
        <v>6850</v>
      </c>
      <c r="G375" s="2" t="s">
        <v>6248</v>
      </c>
    </row>
    <row r="376" ht="15.75" customHeight="1">
      <c r="A376" s="2" t="s">
        <v>4691</v>
      </c>
      <c r="B376" s="2" t="s">
        <v>4692</v>
      </c>
      <c r="C376" s="2" t="s">
        <v>4693</v>
      </c>
      <c r="D376" s="2" t="s">
        <v>4694</v>
      </c>
      <c r="E376" s="2" t="s">
        <v>564</v>
      </c>
      <c r="F376" s="2" t="s">
        <v>6851</v>
      </c>
      <c r="G376" s="2" t="s">
        <v>6273</v>
      </c>
    </row>
    <row r="377" ht="15.75" customHeight="1">
      <c r="A377" s="2" t="s">
        <v>3279</v>
      </c>
      <c r="B377" s="2" t="s">
        <v>3280</v>
      </c>
      <c r="C377" s="2" t="s">
        <v>3281</v>
      </c>
      <c r="D377" s="2" t="s">
        <v>3282</v>
      </c>
      <c r="E377" s="2" t="s">
        <v>58</v>
      </c>
      <c r="F377" s="2" t="s">
        <v>6852</v>
      </c>
      <c r="G377" s="2" t="s">
        <v>6239</v>
      </c>
    </row>
    <row r="378" ht="15.75" customHeight="1">
      <c r="A378" s="2" t="s">
        <v>2215</v>
      </c>
      <c r="B378" s="2" t="s">
        <v>2216</v>
      </c>
      <c r="C378" s="2" t="s">
        <v>2217</v>
      </c>
      <c r="D378" s="2" t="s">
        <v>2218</v>
      </c>
      <c r="E378" s="2" t="s">
        <v>364</v>
      </c>
      <c r="F378" s="2" t="s">
        <v>6853</v>
      </c>
      <c r="G378" s="2" t="s">
        <v>6262</v>
      </c>
    </row>
    <row r="379" ht="15.75" customHeight="1">
      <c r="A379" s="2" t="s">
        <v>383</v>
      </c>
      <c r="B379" s="2" t="s">
        <v>384</v>
      </c>
      <c r="C379" s="2" t="s">
        <v>385</v>
      </c>
      <c r="D379" s="2" t="s">
        <v>386</v>
      </c>
      <c r="E379" s="2" t="s">
        <v>387</v>
      </c>
      <c r="F379" s="2" t="s">
        <v>6854</v>
      </c>
      <c r="G379" s="2" t="s">
        <v>6309</v>
      </c>
    </row>
    <row r="380" ht="15.75" customHeight="1">
      <c r="A380" s="2" t="s">
        <v>6855</v>
      </c>
      <c r="B380" s="2" t="s">
        <v>6856</v>
      </c>
      <c r="C380" s="2" t="s">
        <v>6857</v>
      </c>
      <c r="D380" s="2" t="s">
        <v>6858</v>
      </c>
      <c r="E380" s="2" t="s">
        <v>608</v>
      </c>
      <c r="F380" s="2" t="s">
        <v>6859</v>
      </c>
      <c r="G380" s="2" t="s">
        <v>6239</v>
      </c>
    </row>
    <row r="381" ht="15.75" customHeight="1">
      <c r="A381" s="2" t="s">
        <v>6860</v>
      </c>
      <c r="B381" s="2" t="s">
        <v>6861</v>
      </c>
      <c r="C381" s="2" t="s">
        <v>6862</v>
      </c>
      <c r="D381" s="2" t="s">
        <v>6863</v>
      </c>
      <c r="E381" s="2" t="s">
        <v>608</v>
      </c>
      <c r="F381" s="2" t="s">
        <v>5382</v>
      </c>
      <c r="G381" s="2" t="s">
        <v>6260</v>
      </c>
    </row>
    <row r="382" ht="15.75" customHeight="1">
      <c r="A382" s="2" t="s">
        <v>6864</v>
      </c>
      <c r="B382" s="2" t="s">
        <v>6743</v>
      </c>
      <c r="D382" s="2" t="s">
        <v>6865</v>
      </c>
      <c r="E382" s="2" t="s">
        <v>777</v>
      </c>
      <c r="F382" s="2" t="s">
        <v>6866</v>
      </c>
      <c r="G382" s="2" t="s">
        <v>6248</v>
      </c>
    </row>
    <row r="383" ht="15.75" customHeight="1">
      <c r="A383" s="2" t="s">
        <v>360</v>
      </c>
      <c r="B383" s="2" t="s">
        <v>361</v>
      </c>
      <c r="C383" s="2" t="s">
        <v>362</v>
      </c>
      <c r="D383" s="2" t="s">
        <v>363</v>
      </c>
      <c r="E383" s="2" t="s">
        <v>364</v>
      </c>
      <c r="F383" s="2" t="s">
        <v>6867</v>
      </c>
      <c r="G383" s="2" t="s">
        <v>6273</v>
      </c>
    </row>
    <row r="384" ht="15.75" customHeight="1">
      <c r="A384" s="2" t="s">
        <v>70</v>
      </c>
      <c r="B384" s="2" t="s">
        <v>71</v>
      </c>
      <c r="C384" s="2" t="s">
        <v>72</v>
      </c>
      <c r="E384" s="2" t="s">
        <v>73</v>
      </c>
      <c r="F384" s="2" t="s">
        <v>4687</v>
      </c>
      <c r="G384" s="2" t="s">
        <v>6309</v>
      </c>
    </row>
    <row r="385" ht="15.75" customHeight="1">
      <c r="A385" s="2" t="s">
        <v>6868</v>
      </c>
      <c r="B385" s="2" t="s">
        <v>6869</v>
      </c>
      <c r="C385" s="2" t="s">
        <v>6870</v>
      </c>
      <c r="D385" s="2" t="s">
        <v>6871</v>
      </c>
      <c r="E385" s="2" t="s">
        <v>738</v>
      </c>
      <c r="F385" s="2" t="s">
        <v>6872</v>
      </c>
      <c r="G385" s="2" t="s">
        <v>6273</v>
      </c>
    </row>
    <row r="386" ht="15.75" customHeight="1">
      <c r="A386" s="2" t="s">
        <v>2172</v>
      </c>
      <c r="B386" s="2" t="s">
        <v>2173</v>
      </c>
      <c r="C386" s="2" t="s">
        <v>2174</v>
      </c>
      <c r="D386" s="2" t="s">
        <v>2175</v>
      </c>
      <c r="E386" s="2" t="s">
        <v>199</v>
      </c>
      <c r="F386" s="2" t="s">
        <v>6873</v>
      </c>
      <c r="G386" s="2" t="s">
        <v>6245</v>
      </c>
    </row>
    <row r="387" ht="15.75" customHeight="1">
      <c r="A387" s="2" t="s">
        <v>6874</v>
      </c>
      <c r="B387" s="2" t="s">
        <v>6875</v>
      </c>
      <c r="C387" s="2" t="s">
        <v>6876</v>
      </c>
      <c r="D387" s="2" t="s">
        <v>6877</v>
      </c>
      <c r="E387" s="2" t="s">
        <v>720</v>
      </c>
      <c r="F387" s="2" t="s">
        <v>6878</v>
      </c>
      <c r="G387" s="2" t="s">
        <v>6245</v>
      </c>
    </row>
    <row r="388" ht="15.75" customHeight="1">
      <c r="A388" s="2" t="s">
        <v>6879</v>
      </c>
      <c r="B388" s="2" t="s">
        <v>6880</v>
      </c>
      <c r="C388" s="2" t="s">
        <v>6881</v>
      </c>
      <c r="D388" s="2" t="s">
        <v>6882</v>
      </c>
      <c r="E388" s="2" t="s">
        <v>459</v>
      </c>
      <c r="F388" s="2" t="s">
        <v>6883</v>
      </c>
      <c r="G388" s="2" t="s">
        <v>6237</v>
      </c>
    </row>
    <row r="389" ht="15.75" customHeight="1">
      <c r="A389" s="2" t="s">
        <v>5450</v>
      </c>
      <c r="B389" s="2" t="s">
        <v>5451</v>
      </c>
      <c r="C389" s="2" t="s">
        <v>5452</v>
      </c>
      <c r="D389" s="2" t="s">
        <v>5453</v>
      </c>
      <c r="E389" s="2" t="s">
        <v>5454</v>
      </c>
      <c r="F389" s="2" t="s">
        <v>6638</v>
      </c>
      <c r="G389" s="2" t="s">
        <v>6248</v>
      </c>
    </row>
    <row r="390" ht="15.75" customHeight="1">
      <c r="A390" s="2" t="s">
        <v>3406</v>
      </c>
      <c r="B390" s="2" t="s">
        <v>3407</v>
      </c>
      <c r="C390" s="2" t="s">
        <v>3408</v>
      </c>
      <c r="D390" s="2" t="s">
        <v>3409</v>
      </c>
      <c r="E390" s="2" t="s">
        <v>3410</v>
      </c>
      <c r="F390" s="2" t="s">
        <v>6884</v>
      </c>
      <c r="G390" s="2" t="s">
        <v>6237</v>
      </c>
    </row>
    <row r="391" ht="15.75" customHeight="1">
      <c r="A391" s="2" t="s">
        <v>1028</v>
      </c>
      <c r="B391" s="2" t="s">
        <v>1029</v>
      </c>
      <c r="C391" s="2" t="s">
        <v>1030</v>
      </c>
      <c r="D391" s="2" t="s">
        <v>1031</v>
      </c>
      <c r="E391" s="2" t="s">
        <v>777</v>
      </c>
      <c r="F391" s="2" t="s">
        <v>6885</v>
      </c>
      <c r="G391" s="2" t="s">
        <v>6248</v>
      </c>
    </row>
    <row r="392" ht="15.75" customHeight="1">
      <c r="A392" s="2" t="s">
        <v>5745</v>
      </c>
      <c r="B392" s="2" t="s">
        <v>5746</v>
      </c>
      <c r="C392" s="2" t="s">
        <v>5747</v>
      </c>
      <c r="D392" s="2" t="s">
        <v>5748</v>
      </c>
      <c r="E392" s="2" t="s">
        <v>41</v>
      </c>
      <c r="F392" s="2" t="s">
        <v>6886</v>
      </c>
      <c r="G392" s="2" t="s">
        <v>6245</v>
      </c>
    </row>
    <row r="393" ht="15.75" customHeight="1">
      <c r="A393" s="2" t="s">
        <v>2352</v>
      </c>
      <c r="B393" s="2" t="s">
        <v>2353</v>
      </c>
      <c r="C393" s="2" t="s">
        <v>2354</v>
      </c>
      <c r="D393" s="2" t="s">
        <v>2355</v>
      </c>
      <c r="E393" s="2" t="s">
        <v>199</v>
      </c>
      <c r="F393" s="2" t="s">
        <v>6887</v>
      </c>
      <c r="G393" s="2" t="s">
        <v>6245</v>
      </c>
    </row>
    <row r="394" ht="15.75" customHeight="1">
      <c r="A394" s="2" t="s">
        <v>6888</v>
      </c>
      <c r="B394" s="2" t="s">
        <v>6889</v>
      </c>
      <c r="C394" s="2" t="s">
        <v>6890</v>
      </c>
      <c r="D394" s="2" t="s">
        <v>6891</v>
      </c>
      <c r="E394" s="2" t="s">
        <v>25</v>
      </c>
      <c r="F394" s="2" t="s">
        <v>6892</v>
      </c>
      <c r="G394" s="2" t="s">
        <v>6237</v>
      </c>
    </row>
    <row r="395" ht="15.75" customHeight="1">
      <c r="A395" s="2" t="s">
        <v>242</v>
      </c>
      <c r="B395" s="2" t="s">
        <v>243</v>
      </c>
      <c r="C395" s="2" t="s">
        <v>244</v>
      </c>
      <c r="D395" s="2" t="s">
        <v>245</v>
      </c>
      <c r="E395" s="2" t="s">
        <v>58</v>
      </c>
      <c r="F395" s="2" t="s">
        <v>6893</v>
      </c>
      <c r="G395" s="2" t="s">
        <v>6273</v>
      </c>
    </row>
    <row r="396" ht="15.75" customHeight="1">
      <c r="A396" s="2" t="s">
        <v>3399</v>
      </c>
      <c r="B396" s="2" t="s">
        <v>3400</v>
      </c>
      <c r="C396" s="2" t="s">
        <v>3401</v>
      </c>
      <c r="D396" s="2" t="s">
        <v>3402</v>
      </c>
      <c r="E396" s="2" t="s">
        <v>364</v>
      </c>
      <c r="F396" s="2" t="s">
        <v>6894</v>
      </c>
      <c r="G396" s="2" t="s">
        <v>6273</v>
      </c>
    </row>
    <row r="397" ht="15.75" customHeight="1">
      <c r="A397" s="2" t="s">
        <v>5468</v>
      </c>
      <c r="B397" s="2" t="s">
        <v>5469</v>
      </c>
      <c r="C397" s="2" t="s">
        <v>5470</v>
      </c>
      <c r="D397" s="2" t="s">
        <v>5471</v>
      </c>
      <c r="E397" s="2" t="s">
        <v>1336</v>
      </c>
      <c r="F397" s="2" t="s">
        <v>6895</v>
      </c>
      <c r="G397" s="2" t="s">
        <v>6239</v>
      </c>
    </row>
    <row r="398" ht="15.75" customHeight="1">
      <c r="A398" s="2" t="s">
        <v>1810</v>
      </c>
      <c r="B398" s="2" t="s">
        <v>1811</v>
      </c>
      <c r="C398" s="2" t="s">
        <v>1812</v>
      </c>
      <c r="D398" s="2" t="s">
        <v>1813</v>
      </c>
      <c r="E398" s="2" t="s">
        <v>1814</v>
      </c>
      <c r="F398" s="2" t="s">
        <v>6896</v>
      </c>
      <c r="G398" s="2" t="s">
        <v>6309</v>
      </c>
    </row>
    <row r="399" ht="15.75" customHeight="1">
      <c r="A399" s="2" t="s">
        <v>830</v>
      </c>
      <c r="B399" s="2" t="s">
        <v>831</v>
      </c>
      <c r="C399" s="2" t="s">
        <v>832</v>
      </c>
      <c r="D399" s="2" t="s">
        <v>833</v>
      </c>
      <c r="E399" s="2" t="s">
        <v>834</v>
      </c>
      <c r="F399" s="2" t="s">
        <v>6897</v>
      </c>
      <c r="G399" s="2" t="s">
        <v>6273</v>
      </c>
    </row>
    <row r="400" ht="15.75" customHeight="1">
      <c r="A400" s="2" t="s">
        <v>6898</v>
      </c>
      <c r="B400" s="2" t="s">
        <v>6899</v>
      </c>
      <c r="C400" s="2" t="s">
        <v>6900</v>
      </c>
      <c r="D400" s="2" t="s">
        <v>6901</v>
      </c>
      <c r="E400" s="2" t="s">
        <v>364</v>
      </c>
      <c r="F400" s="2" t="s">
        <v>6902</v>
      </c>
      <c r="G400" s="2" t="s">
        <v>6309</v>
      </c>
    </row>
    <row r="401" ht="15.75" customHeight="1">
      <c r="A401" s="2" t="s">
        <v>2134</v>
      </c>
      <c r="B401" s="2" t="s">
        <v>2135</v>
      </c>
      <c r="C401" s="2" t="s">
        <v>2136</v>
      </c>
      <c r="D401" s="2" t="s">
        <v>2137</v>
      </c>
      <c r="E401" s="2" t="s">
        <v>188</v>
      </c>
      <c r="F401" s="2" t="s">
        <v>6903</v>
      </c>
      <c r="G401" s="2" t="s">
        <v>6237</v>
      </c>
    </row>
    <row r="402" ht="15.75" customHeight="1">
      <c r="A402" s="2" t="s">
        <v>1362</v>
      </c>
      <c r="B402" s="2" t="s">
        <v>101</v>
      </c>
      <c r="C402" s="2" t="s">
        <v>1363</v>
      </c>
      <c r="D402" s="2" t="s">
        <v>1364</v>
      </c>
      <c r="E402" s="2" t="s">
        <v>1054</v>
      </c>
      <c r="F402" s="2" t="s">
        <v>6904</v>
      </c>
      <c r="G402" s="2" t="s">
        <v>6237</v>
      </c>
    </row>
    <row r="403" ht="15.75" customHeight="1">
      <c r="A403" s="2" t="s">
        <v>4894</v>
      </c>
      <c r="B403" s="2" t="s">
        <v>1987</v>
      </c>
      <c r="C403" s="2" t="s">
        <v>4895</v>
      </c>
      <c r="D403" s="2" t="s">
        <v>4896</v>
      </c>
      <c r="E403" s="2" t="s">
        <v>25</v>
      </c>
      <c r="F403" s="2" t="s">
        <v>6905</v>
      </c>
      <c r="G403" s="2" t="s">
        <v>6262</v>
      </c>
    </row>
    <row r="404" ht="15.75" customHeight="1">
      <c r="A404" s="2" t="s">
        <v>3087</v>
      </c>
      <c r="B404" s="2" t="s">
        <v>3088</v>
      </c>
      <c r="C404" s="2" t="s">
        <v>3089</v>
      </c>
      <c r="D404" s="2" t="s">
        <v>3090</v>
      </c>
      <c r="E404" s="2" t="s">
        <v>1336</v>
      </c>
      <c r="F404" s="2" t="s">
        <v>6906</v>
      </c>
    </row>
    <row r="405" ht="15.75" customHeight="1">
      <c r="A405" s="2" t="s">
        <v>309</v>
      </c>
      <c r="B405" s="2" t="s">
        <v>310</v>
      </c>
      <c r="C405" s="2" t="s">
        <v>5306</v>
      </c>
      <c r="D405" s="2" t="s">
        <v>311</v>
      </c>
      <c r="E405" s="2" t="s">
        <v>165</v>
      </c>
      <c r="F405" s="2" t="s">
        <v>6907</v>
      </c>
      <c r="G405" s="2" t="s">
        <v>6248</v>
      </c>
    </row>
    <row r="406" ht="15.75" customHeight="1">
      <c r="A406" s="2" t="s">
        <v>1975</v>
      </c>
      <c r="B406" s="2" t="s">
        <v>2541</v>
      </c>
      <c r="C406" s="2" t="s">
        <v>1977</v>
      </c>
      <c r="D406" s="2" t="s">
        <v>1978</v>
      </c>
      <c r="E406" s="2" t="s">
        <v>459</v>
      </c>
      <c r="F406" s="2" t="s">
        <v>1596</v>
      </c>
      <c r="G406" s="2" t="s">
        <v>6262</v>
      </c>
    </row>
    <row r="407" ht="15.75" customHeight="1">
      <c r="A407" s="2" t="s">
        <v>2676</v>
      </c>
      <c r="B407" s="2" t="s">
        <v>2677</v>
      </c>
      <c r="C407" s="2" t="s">
        <v>2678</v>
      </c>
      <c r="D407" s="2" t="s">
        <v>2679</v>
      </c>
      <c r="E407" s="2" t="s">
        <v>58</v>
      </c>
      <c r="F407" s="2" t="s">
        <v>6908</v>
      </c>
      <c r="G407" s="2" t="s">
        <v>6237</v>
      </c>
    </row>
    <row r="408" ht="15.75" customHeight="1">
      <c r="A408" s="2" t="s">
        <v>2601</v>
      </c>
      <c r="B408" s="2" t="s">
        <v>2602</v>
      </c>
      <c r="C408" s="2" t="s">
        <v>2603</v>
      </c>
      <c r="D408" s="2" t="s">
        <v>2604</v>
      </c>
      <c r="E408" s="2" t="s">
        <v>58</v>
      </c>
      <c r="F408" s="2" t="s">
        <v>6909</v>
      </c>
      <c r="G408" s="2" t="s">
        <v>6273</v>
      </c>
    </row>
    <row r="409" ht="15.75" customHeight="1">
      <c r="A409" s="2" t="s">
        <v>2040</v>
      </c>
      <c r="B409" s="2" t="s">
        <v>2041</v>
      </c>
      <c r="C409" s="2" t="s">
        <v>2042</v>
      </c>
      <c r="D409" s="2" t="s">
        <v>2043</v>
      </c>
      <c r="E409" s="2" t="s">
        <v>2044</v>
      </c>
      <c r="F409" s="2" t="s">
        <v>6910</v>
      </c>
      <c r="G409" s="2" t="s">
        <v>6273</v>
      </c>
    </row>
    <row r="410" ht="15.75" customHeight="1">
      <c r="A410" s="2" t="s">
        <v>6911</v>
      </c>
      <c r="B410" s="2" t="s">
        <v>4983</v>
      </c>
      <c r="C410" s="2" t="s">
        <v>6912</v>
      </c>
      <c r="D410" s="2" t="s">
        <v>6913</v>
      </c>
      <c r="E410" s="2" t="s">
        <v>785</v>
      </c>
      <c r="F410" s="2" t="s">
        <v>6914</v>
      </c>
      <c r="G410" s="2" t="s">
        <v>6262</v>
      </c>
    </row>
    <row r="411" ht="15.75" customHeight="1">
      <c r="A411" s="2" t="s">
        <v>2310</v>
      </c>
      <c r="B411" s="2" t="s">
        <v>2311</v>
      </c>
      <c r="C411" s="2" t="s">
        <v>2312</v>
      </c>
      <c r="D411" s="2" t="s">
        <v>2313</v>
      </c>
      <c r="E411" s="2" t="s">
        <v>58</v>
      </c>
      <c r="F411" s="2" t="s">
        <v>6915</v>
      </c>
      <c r="G411" s="2" t="s">
        <v>6309</v>
      </c>
    </row>
    <row r="412" ht="15.75" customHeight="1">
      <c r="A412" s="2" t="s">
        <v>5058</v>
      </c>
      <c r="B412" s="2" t="s">
        <v>5059</v>
      </c>
      <c r="C412" s="2" t="s">
        <v>5060</v>
      </c>
      <c r="D412" s="2" t="s">
        <v>5061</v>
      </c>
      <c r="E412" s="2" t="s">
        <v>199</v>
      </c>
      <c r="F412" s="2" t="s">
        <v>6916</v>
      </c>
      <c r="G412" s="2" t="s">
        <v>6245</v>
      </c>
    </row>
    <row r="413" ht="15.75" customHeight="1">
      <c r="A413" s="2" t="s">
        <v>476</v>
      </c>
      <c r="B413" s="2" t="s">
        <v>1764</v>
      </c>
      <c r="C413" s="2" t="s">
        <v>478</v>
      </c>
      <c r="E413" s="2" t="s">
        <v>25</v>
      </c>
      <c r="F413" s="2" t="s">
        <v>6917</v>
      </c>
      <c r="G413" s="2" t="s">
        <v>6245</v>
      </c>
    </row>
    <row r="414" ht="15.75" customHeight="1">
      <c r="A414" s="2" t="s">
        <v>496</v>
      </c>
      <c r="B414" s="2" t="s">
        <v>497</v>
      </c>
      <c r="C414" s="2" t="s">
        <v>498</v>
      </c>
      <c r="D414" s="2" t="s">
        <v>499</v>
      </c>
      <c r="E414" s="2" t="s">
        <v>139</v>
      </c>
      <c r="F414" s="2" t="s">
        <v>6918</v>
      </c>
      <c r="G414" s="2" t="s">
        <v>6245</v>
      </c>
    </row>
    <row r="415" ht="15.75" customHeight="1">
      <c r="A415" s="2" t="s">
        <v>6919</v>
      </c>
      <c r="B415" s="2" t="s">
        <v>6920</v>
      </c>
      <c r="C415" s="2" t="s">
        <v>6921</v>
      </c>
      <c r="D415" s="2" t="s">
        <v>6922</v>
      </c>
      <c r="E415" s="2" t="s">
        <v>399</v>
      </c>
      <c r="F415" s="2" t="s">
        <v>6923</v>
      </c>
    </row>
    <row r="416" ht="15.75" customHeight="1">
      <c r="A416" s="2" t="s">
        <v>6924</v>
      </c>
      <c r="B416" s="2" t="s">
        <v>6463</v>
      </c>
      <c r="C416" s="2" t="s">
        <v>6925</v>
      </c>
      <c r="D416" s="2" t="s">
        <v>6926</v>
      </c>
      <c r="E416" s="2" t="s">
        <v>608</v>
      </c>
      <c r="F416" s="2" t="s">
        <v>6927</v>
      </c>
      <c r="G416" s="2" t="s">
        <v>6273</v>
      </c>
    </row>
    <row r="417" ht="15.75" customHeight="1">
      <c r="A417" s="2" t="s">
        <v>5109</v>
      </c>
      <c r="B417" s="2" t="s">
        <v>5110</v>
      </c>
      <c r="C417" s="2" t="s">
        <v>5111</v>
      </c>
      <c r="D417" s="2" t="s">
        <v>5112</v>
      </c>
      <c r="E417" s="2" t="s">
        <v>88</v>
      </c>
      <c r="F417" s="2" t="s">
        <v>6928</v>
      </c>
    </row>
    <row r="418" ht="15.75" customHeight="1">
      <c r="A418" s="2" t="s">
        <v>1666</v>
      </c>
      <c r="B418" s="2" t="s">
        <v>1667</v>
      </c>
      <c r="C418" s="2" t="s">
        <v>1668</v>
      </c>
      <c r="E418" s="2" t="s">
        <v>114</v>
      </c>
      <c r="F418" s="2" t="s">
        <v>6929</v>
      </c>
      <c r="G418" s="2" t="s">
        <v>6239</v>
      </c>
    </row>
    <row r="419" ht="15.75" customHeight="1">
      <c r="A419" s="2" t="s">
        <v>2830</v>
      </c>
      <c r="B419" s="2" t="s">
        <v>2831</v>
      </c>
      <c r="C419" s="2" t="s">
        <v>2832</v>
      </c>
      <c r="D419" s="2" t="s">
        <v>2833</v>
      </c>
      <c r="E419" s="2" t="s">
        <v>720</v>
      </c>
      <c r="F419" s="2" t="s">
        <v>6930</v>
      </c>
      <c r="G419" s="2" t="s">
        <v>6248</v>
      </c>
    </row>
    <row r="420" ht="15.75" customHeight="1">
      <c r="A420" s="2" t="s">
        <v>2088</v>
      </c>
      <c r="B420" s="2" t="s">
        <v>2089</v>
      </c>
      <c r="D420" s="2" t="s">
        <v>2090</v>
      </c>
      <c r="E420" s="2" t="s">
        <v>73</v>
      </c>
      <c r="F420" s="2" t="s">
        <v>6931</v>
      </c>
    </row>
    <row r="421" ht="15.75" customHeight="1">
      <c r="A421" s="2" t="s">
        <v>2278</v>
      </c>
      <c r="B421" s="2" t="s">
        <v>2279</v>
      </c>
      <c r="C421" s="2" t="s">
        <v>2280</v>
      </c>
      <c r="D421" s="2" t="s">
        <v>2281</v>
      </c>
      <c r="E421" s="2" t="s">
        <v>139</v>
      </c>
      <c r="F421" s="2" t="s">
        <v>6932</v>
      </c>
      <c r="G421" s="2" t="s">
        <v>6237</v>
      </c>
    </row>
    <row r="422" ht="15.75" customHeight="1">
      <c r="A422" s="2" t="s">
        <v>6933</v>
      </c>
      <c r="B422" s="2" t="s">
        <v>6934</v>
      </c>
      <c r="C422" s="2" t="s">
        <v>6935</v>
      </c>
      <c r="D422" s="2" t="s">
        <v>6936</v>
      </c>
      <c r="E422" s="2" t="s">
        <v>25</v>
      </c>
      <c r="F422" s="2" t="s">
        <v>6937</v>
      </c>
      <c r="G422" s="2" t="s">
        <v>6309</v>
      </c>
    </row>
    <row r="423" ht="15.75" customHeight="1">
      <c r="A423" s="2" t="s">
        <v>6938</v>
      </c>
      <c r="B423" s="2" t="s">
        <v>5326</v>
      </c>
      <c r="C423" s="2" t="s">
        <v>6939</v>
      </c>
      <c r="D423" s="2" t="s">
        <v>6940</v>
      </c>
      <c r="E423" s="2" t="s">
        <v>114</v>
      </c>
      <c r="F423" s="2" t="s">
        <v>6941</v>
      </c>
      <c r="G423" s="2" t="s">
        <v>6262</v>
      </c>
    </row>
    <row r="424" ht="15.75" customHeight="1">
      <c r="A424" s="2" t="s">
        <v>1386</v>
      </c>
      <c r="B424" s="2" t="s">
        <v>1387</v>
      </c>
      <c r="C424" s="2" t="s">
        <v>1388</v>
      </c>
      <c r="D424" s="2" t="s">
        <v>1389</v>
      </c>
      <c r="E424" s="2" t="s">
        <v>608</v>
      </c>
      <c r="F424" s="2" t="s">
        <v>6942</v>
      </c>
      <c r="G424" s="2" t="s">
        <v>6273</v>
      </c>
    </row>
    <row r="425" ht="15.75" customHeight="1">
      <c r="A425" s="2" t="s">
        <v>2873</v>
      </c>
      <c r="B425" s="2" t="s">
        <v>2874</v>
      </c>
      <c r="C425" s="2" t="s">
        <v>2875</v>
      </c>
      <c r="D425" s="2" t="s">
        <v>2876</v>
      </c>
      <c r="E425" s="2" t="s">
        <v>199</v>
      </c>
      <c r="F425" s="2" t="s">
        <v>6943</v>
      </c>
      <c r="G425" s="2" t="s">
        <v>6309</v>
      </c>
    </row>
    <row r="426" ht="15.75" customHeight="1">
      <c r="A426" s="2" t="s">
        <v>6944</v>
      </c>
      <c r="B426" s="2" t="s">
        <v>2755</v>
      </c>
      <c r="C426" s="2" t="s">
        <v>6945</v>
      </c>
      <c r="D426" s="2" t="s">
        <v>6946</v>
      </c>
      <c r="E426" s="2" t="s">
        <v>777</v>
      </c>
      <c r="F426" s="2" t="s">
        <v>6947</v>
      </c>
      <c r="G426" s="2" t="s">
        <v>6248</v>
      </c>
    </row>
    <row r="427" ht="15.75" customHeight="1">
      <c r="A427" s="2" t="s">
        <v>1518</v>
      </c>
      <c r="B427" s="2" t="s">
        <v>1519</v>
      </c>
      <c r="C427" s="2" t="s">
        <v>1520</v>
      </c>
      <c r="D427" s="2" t="s">
        <v>1521</v>
      </c>
      <c r="E427" s="2" t="s">
        <v>58</v>
      </c>
      <c r="F427" s="2" t="s">
        <v>6948</v>
      </c>
      <c r="G427" s="2" t="s">
        <v>6245</v>
      </c>
    </row>
    <row r="428" ht="15.75" customHeight="1">
      <c r="A428" s="2" t="s">
        <v>4053</v>
      </c>
      <c r="B428" s="2" t="s">
        <v>4054</v>
      </c>
      <c r="C428" s="2" t="s">
        <v>4055</v>
      </c>
      <c r="E428" s="2" t="s">
        <v>114</v>
      </c>
      <c r="F428" s="2" t="s">
        <v>6949</v>
      </c>
      <c r="G428" s="2" t="s">
        <v>6260</v>
      </c>
    </row>
    <row r="429" ht="15.75" customHeight="1">
      <c r="A429" s="2" t="s">
        <v>725</v>
      </c>
      <c r="B429" s="2" t="s">
        <v>726</v>
      </c>
      <c r="C429" s="2" t="s">
        <v>727</v>
      </c>
      <c r="D429" s="2" t="s">
        <v>728</v>
      </c>
      <c r="E429" s="2" t="s">
        <v>25</v>
      </c>
      <c r="F429" s="2" t="s">
        <v>6950</v>
      </c>
      <c r="G429" s="2" t="s">
        <v>6309</v>
      </c>
    </row>
    <row r="430" ht="15.75" customHeight="1">
      <c r="A430" s="2" t="s">
        <v>586</v>
      </c>
      <c r="B430" s="2" t="s">
        <v>587</v>
      </c>
      <c r="C430" s="2" t="s">
        <v>588</v>
      </c>
      <c r="D430" s="2" t="s">
        <v>589</v>
      </c>
      <c r="E430" s="2" t="s">
        <v>199</v>
      </c>
      <c r="F430" s="2" t="s">
        <v>6951</v>
      </c>
      <c r="G430" s="2" t="s">
        <v>6309</v>
      </c>
    </row>
    <row r="431" ht="15.75" customHeight="1">
      <c r="A431" s="2" t="s">
        <v>2145</v>
      </c>
      <c r="B431" s="2" t="s">
        <v>2146</v>
      </c>
      <c r="C431" s="2" t="s">
        <v>2147</v>
      </c>
      <c r="D431" s="2" t="s">
        <v>2148</v>
      </c>
      <c r="E431" s="2" t="s">
        <v>199</v>
      </c>
      <c r="F431" s="2" t="s">
        <v>6952</v>
      </c>
      <c r="G431" s="2" t="s">
        <v>6273</v>
      </c>
    </row>
    <row r="432" ht="15.75" customHeight="1">
      <c r="A432" s="2" t="s">
        <v>2451</v>
      </c>
      <c r="B432" s="2" t="s">
        <v>2452</v>
      </c>
      <c r="C432" s="2" t="s">
        <v>2453</v>
      </c>
      <c r="D432" s="2" t="s">
        <v>2454</v>
      </c>
      <c r="E432" s="2" t="s">
        <v>564</v>
      </c>
      <c r="F432" s="2" t="s">
        <v>6953</v>
      </c>
    </row>
    <row r="433" ht="15.75" customHeight="1">
      <c r="A433" s="2" t="s">
        <v>6954</v>
      </c>
      <c r="B433" s="2" t="s">
        <v>6955</v>
      </c>
      <c r="C433" s="2" t="s">
        <v>6956</v>
      </c>
      <c r="D433" s="2" t="s">
        <v>6957</v>
      </c>
      <c r="E433" s="2" t="s">
        <v>199</v>
      </c>
      <c r="F433" s="2" t="s">
        <v>6958</v>
      </c>
    </row>
    <row r="434" ht="15.75" customHeight="1">
      <c r="A434" s="2" t="s">
        <v>6959</v>
      </c>
      <c r="B434" s="2" t="s">
        <v>6960</v>
      </c>
      <c r="C434" s="2" t="s">
        <v>6961</v>
      </c>
      <c r="D434" s="2" t="s">
        <v>6962</v>
      </c>
      <c r="E434" s="2" t="s">
        <v>73</v>
      </c>
      <c r="F434" s="2" t="s">
        <v>6963</v>
      </c>
      <c r="G434" s="2" t="s">
        <v>6237</v>
      </c>
    </row>
    <row r="435" ht="15.75" customHeight="1">
      <c r="A435" s="2" t="s">
        <v>6964</v>
      </c>
      <c r="B435" s="2" t="s">
        <v>6965</v>
      </c>
      <c r="C435" s="2" t="s">
        <v>6966</v>
      </c>
      <c r="D435" s="2" t="s">
        <v>6967</v>
      </c>
      <c r="E435" s="2" t="s">
        <v>720</v>
      </c>
      <c r="F435" s="2" t="s">
        <v>6968</v>
      </c>
      <c r="G435" s="2" t="s">
        <v>6309</v>
      </c>
    </row>
    <row r="436" ht="15.75" customHeight="1">
      <c r="A436" s="2" t="s">
        <v>1802</v>
      </c>
      <c r="B436" s="2" t="s">
        <v>1803</v>
      </c>
      <c r="C436" s="2" t="s">
        <v>1804</v>
      </c>
      <c r="D436" s="2" t="s">
        <v>1805</v>
      </c>
      <c r="E436" s="2" t="s">
        <v>399</v>
      </c>
      <c r="F436" s="2" t="s">
        <v>6969</v>
      </c>
      <c r="G436" s="2" t="s">
        <v>6260</v>
      </c>
    </row>
    <row r="437" ht="15.75" customHeight="1">
      <c r="A437" s="2" t="s">
        <v>1378</v>
      </c>
      <c r="B437" s="2" t="s">
        <v>1379</v>
      </c>
      <c r="C437" s="2" t="s">
        <v>1380</v>
      </c>
      <c r="D437" s="2" t="s">
        <v>1381</v>
      </c>
      <c r="E437" s="2" t="s">
        <v>801</v>
      </c>
      <c r="F437" s="2" t="s">
        <v>6970</v>
      </c>
      <c r="G437" s="2" t="s">
        <v>6237</v>
      </c>
    </row>
    <row r="438" ht="15.75" customHeight="1">
      <c r="A438" s="2" t="s">
        <v>1125</v>
      </c>
      <c r="B438" s="2" t="s">
        <v>1126</v>
      </c>
      <c r="C438" s="2" t="s">
        <v>1127</v>
      </c>
      <c r="D438" s="2" t="s">
        <v>1128</v>
      </c>
      <c r="E438" s="2" t="s">
        <v>25</v>
      </c>
      <c r="F438" s="2" t="s">
        <v>6971</v>
      </c>
      <c r="G438" s="2" t="s">
        <v>6237</v>
      </c>
    </row>
    <row r="439" ht="15.75" customHeight="1">
      <c r="A439" s="2" t="s">
        <v>6972</v>
      </c>
      <c r="B439" s="2" t="s">
        <v>6973</v>
      </c>
      <c r="C439" s="2" t="s">
        <v>6974</v>
      </c>
      <c r="D439" s="2" t="s">
        <v>6975</v>
      </c>
      <c r="E439" s="2" t="s">
        <v>88</v>
      </c>
      <c r="F439" s="2" t="s">
        <v>6976</v>
      </c>
      <c r="G439" s="2" t="s">
        <v>6309</v>
      </c>
    </row>
    <row r="440" ht="15.75" customHeight="1">
      <c r="A440" s="2" t="s">
        <v>3611</v>
      </c>
      <c r="B440" s="2" t="s">
        <v>3612</v>
      </c>
      <c r="C440" s="2" t="s">
        <v>3613</v>
      </c>
      <c r="D440" s="2" t="s">
        <v>3614</v>
      </c>
      <c r="E440" s="2" t="s">
        <v>25</v>
      </c>
      <c r="F440" s="2" t="s">
        <v>6977</v>
      </c>
      <c r="G440" s="2" t="s">
        <v>6248</v>
      </c>
    </row>
    <row r="441" ht="15.75" customHeight="1">
      <c r="A441" s="2" t="s">
        <v>4707</v>
      </c>
      <c r="B441" s="2" t="s">
        <v>3980</v>
      </c>
      <c r="C441" s="2" t="s">
        <v>4708</v>
      </c>
      <c r="D441" s="2" t="s">
        <v>4709</v>
      </c>
      <c r="E441" s="2" t="s">
        <v>564</v>
      </c>
      <c r="F441" s="2" t="s">
        <v>6978</v>
      </c>
      <c r="G441" s="2" t="s">
        <v>6239</v>
      </c>
    </row>
    <row r="442" ht="15.75" customHeight="1">
      <c r="A442" s="2" t="s">
        <v>5325</v>
      </c>
      <c r="B442" s="2" t="s">
        <v>5326</v>
      </c>
      <c r="C442" s="2" t="s">
        <v>5327</v>
      </c>
      <c r="D442" s="2" t="s">
        <v>5328</v>
      </c>
      <c r="E442" s="2" t="s">
        <v>139</v>
      </c>
      <c r="F442" s="2" t="s">
        <v>6979</v>
      </c>
      <c r="G442" s="2" t="s">
        <v>6262</v>
      </c>
    </row>
    <row r="443" ht="15.75" customHeight="1">
      <c r="A443" s="2" t="s">
        <v>2266</v>
      </c>
      <c r="B443" s="2" t="s">
        <v>2267</v>
      </c>
      <c r="C443" s="2" t="s">
        <v>2268</v>
      </c>
      <c r="D443" s="2" t="s">
        <v>3453</v>
      </c>
      <c r="E443" s="2" t="s">
        <v>188</v>
      </c>
      <c r="F443" s="2" t="s">
        <v>6980</v>
      </c>
      <c r="G443" s="2" t="s">
        <v>6237</v>
      </c>
    </row>
    <row r="444" ht="15.75" customHeight="1">
      <c r="A444" s="2" t="s">
        <v>2329</v>
      </c>
      <c r="B444" s="2" t="s">
        <v>2330</v>
      </c>
      <c r="C444" s="2" t="s">
        <v>2331</v>
      </c>
      <c r="D444" s="2" t="s">
        <v>2332</v>
      </c>
      <c r="E444" s="2" t="s">
        <v>139</v>
      </c>
      <c r="F444" s="2" t="s">
        <v>4214</v>
      </c>
      <c r="G444" s="2" t="s">
        <v>6309</v>
      </c>
    </row>
    <row r="445" ht="15.75" customHeight="1">
      <c r="A445" s="2" t="s">
        <v>6981</v>
      </c>
      <c r="B445" s="2" t="s">
        <v>6982</v>
      </c>
      <c r="C445" s="2" t="s">
        <v>6983</v>
      </c>
      <c r="D445" s="2" t="s">
        <v>6984</v>
      </c>
      <c r="E445" s="2" t="s">
        <v>114</v>
      </c>
      <c r="F445" s="2" t="s">
        <v>6985</v>
      </c>
      <c r="G445" s="2" t="s">
        <v>6262</v>
      </c>
    </row>
    <row r="446" ht="15.75" customHeight="1">
      <c r="A446" s="2" t="s">
        <v>1298</v>
      </c>
      <c r="B446" s="2" t="s">
        <v>1299</v>
      </c>
      <c r="C446" s="2" t="s">
        <v>1300</v>
      </c>
      <c r="D446" s="2" t="s">
        <v>1301</v>
      </c>
      <c r="E446" s="2" t="s">
        <v>608</v>
      </c>
      <c r="F446" s="2" t="s">
        <v>6986</v>
      </c>
      <c r="G446" s="2" t="s">
        <v>6248</v>
      </c>
    </row>
    <row r="447" ht="15.75" customHeight="1">
      <c r="A447" s="2" t="s">
        <v>999</v>
      </c>
      <c r="B447" s="2" t="s">
        <v>2827</v>
      </c>
      <c r="C447" s="2" t="s">
        <v>1001</v>
      </c>
      <c r="D447" s="2" t="s">
        <v>1002</v>
      </c>
      <c r="E447" s="2" t="s">
        <v>608</v>
      </c>
      <c r="F447" s="2" t="s">
        <v>6987</v>
      </c>
      <c r="G447" s="2" t="s">
        <v>6237</v>
      </c>
    </row>
    <row r="448" ht="15.75" customHeight="1">
      <c r="A448" s="2" t="s">
        <v>264</v>
      </c>
      <c r="B448" s="2" t="s">
        <v>265</v>
      </c>
      <c r="C448" s="2" t="s">
        <v>266</v>
      </c>
      <c r="D448" s="2" t="s">
        <v>267</v>
      </c>
      <c r="E448" s="2" t="s">
        <v>73</v>
      </c>
      <c r="F448" s="2" t="s">
        <v>6988</v>
      </c>
      <c r="G448" s="2" t="s">
        <v>6239</v>
      </c>
    </row>
    <row r="449" ht="15.75" customHeight="1">
      <c r="A449" s="2" t="s">
        <v>3771</v>
      </c>
      <c r="B449" s="2" t="s">
        <v>3772</v>
      </c>
      <c r="C449" s="2" t="s">
        <v>3773</v>
      </c>
      <c r="D449" s="2" t="s">
        <v>3774</v>
      </c>
      <c r="E449" s="2" t="s">
        <v>459</v>
      </c>
      <c r="F449" s="2" t="s">
        <v>6989</v>
      </c>
      <c r="G449" s="2" t="s">
        <v>6309</v>
      </c>
    </row>
    <row r="450" ht="15.75" customHeight="1">
      <c r="A450" s="2" t="s">
        <v>6990</v>
      </c>
      <c r="B450" s="2" t="s">
        <v>6991</v>
      </c>
      <c r="C450" s="2" t="s">
        <v>6992</v>
      </c>
      <c r="D450" s="2" t="s">
        <v>6993</v>
      </c>
      <c r="E450" s="2" t="s">
        <v>608</v>
      </c>
      <c r="F450" s="2" t="s">
        <v>6994</v>
      </c>
      <c r="G450" s="2" t="s">
        <v>6248</v>
      </c>
    </row>
    <row r="451" ht="15.75" customHeight="1">
      <c r="A451" s="2" t="s">
        <v>3335</v>
      </c>
      <c r="B451" s="2" t="s">
        <v>3336</v>
      </c>
      <c r="C451" s="2" t="s">
        <v>3337</v>
      </c>
      <c r="D451" s="2" t="s">
        <v>3338</v>
      </c>
      <c r="E451" s="2" t="s">
        <v>548</v>
      </c>
      <c r="F451" s="2" t="s">
        <v>6995</v>
      </c>
      <c r="G451" s="2" t="s">
        <v>6239</v>
      </c>
    </row>
    <row r="452" ht="15.75" customHeight="1">
      <c r="A452" s="2" t="s">
        <v>1931</v>
      </c>
      <c r="B452" s="2" t="s">
        <v>1932</v>
      </c>
      <c r="C452" s="2" t="s">
        <v>1933</v>
      </c>
      <c r="D452" s="2" t="s">
        <v>1934</v>
      </c>
      <c r="E452" s="2" t="s">
        <v>114</v>
      </c>
      <c r="F452" s="2" t="s">
        <v>6996</v>
      </c>
      <c r="G452" s="2" t="s">
        <v>6273</v>
      </c>
    </row>
    <row r="453" ht="15.75" customHeight="1">
      <c r="A453" s="2" t="s">
        <v>6116</v>
      </c>
      <c r="B453" s="2" t="s">
        <v>6117</v>
      </c>
      <c r="C453" s="2" t="s">
        <v>6118</v>
      </c>
      <c r="D453" s="2" t="s">
        <v>6119</v>
      </c>
      <c r="E453" s="2" t="s">
        <v>25</v>
      </c>
      <c r="F453" s="2" t="s">
        <v>6997</v>
      </c>
      <c r="G453" s="2" t="s">
        <v>6248</v>
      </c>
    </row>
    <row r="454" ht="15.75" customHeight="1">
      <c r="A454" s="2" t="s">
        <v>4713</v>
      </c>
      <c r="B454" s="2" t="s">
        <v>4714</v>
      </c>
      <c r="C454" s="2" t="s">
        <v>4715</v>
      </c>
      <c r="D454" s="2" t="s">
        <v>4716</v>
      </c>
      <c r="E454" s="2" t="s">
        <v>3143</v>
      </c>
      <c r="F454" s="2" t="s">
        <v>6998</v>
      </c>
      <c r="G454" s="2" t="s">
        <v>6273</v>
      </c>
    </row>
    <row r="455" ht="15.75" customHeight="1">
      <c r="A455" s="2" t="s">
        <v>4146</v>
      </c>
      <c r="B455" s="2" t="s">
        <v>4147</v>
      </c>
      <c r="C455" s="2" t="s">
        <v>6999</v>
      </c>
      <c r="D455" s="2" t="s">
        <v>4148</v>
      </c>
      <c r="E455" s="2" t="s">
        <v>199</v>
      </c>
      <c r="F455" s="2" t="s">
        <v>7000</v>
      </c>
      <c r="G455" s="2" t="s">
        <v>6262</v>
      </c>
    </row>
    <row r="456" ht="15.75" customHeight="1">
      <c r="A456" s="2" t="s">
        <v>3131</v>
      </c>
      <c r="B456" s="2" t="s">
        <v>3132</v>
      </c>
      <c r="C456" s="2" t="s">
        <v>3133</v>
      </c>
      <c r="D456" s="2" t="s">
        <v>3134</v>
      </c>
      <c r="E456" s="2" t="s">
        <v>114</v>
      </c>
      <c r="F456" s="2" t="s">
        <v>7001</v>
      </c>
      <c r="G456" s="2" t="s">
        <v>6239</v>
      </c>
    </row>
    <row r="457" ht="15.75" customHeight="1">
      <c r="A457" s="2" t="s">
        <v>4192</v>
      </c>
      <c r="B457" s="2" t="s">
        <v>4193</v>
      </c>
      <c r="C457" s="2" t="s">
        <v>4194</v>
      </c>
      <c r="D457" s="2" t="s">
        <v>4195</v>
      </c>
      <c r="E457" s="2" t="s">
        <v>25</v>
      </c>
      <c r="F457" s="2" t="s">
        <v>7002</v>
      </c>
      <c r="G457" s="2" t="s">
        <v>6248</v>
      </c>
    </row>
    <row r="458" ht="15.75" customHeight="1">
      <c r="A458" s="2" t="s">
        <v>1133</v>
      </c>
      <c r="B458" s="2" t="s">
        <v>1134</v>
      </c>
      <c r="C458" s="2" t="s">
        <v>1135</v>
      </c>
      <c r="D458" s="2" t="s">
        <v>1136</v>
      </c>
      <c r="E458" s="2" t="s">
        <v>765</v>
      </c>
      <c r="F458" s="2" t="s">
        <v>7003</v>
      </c>
      <c r="G458" s="2" t="s">
        <v>6245</v>
      </c>
    </row>
    <row r="459" ht="15.75" customHeight="1">
      <c r="A459" s="2" t="s">
        <v>1879</v>
      </c>
      <c r="B459" s="2" t="s">
        <v>1880</v>
      </c>
      <c r="C459" s="2" t="s">
        <v>1881</v>
      </c>
      <c r="D459" s="2" t="s">
        <v>1882</v>
      </c>
      <c r="E459" s="2" t="s">
        <v>139</v>
      </c>
      <c r="F459" s="2" t="s">
        <v>7004</v>
      </c>
      <c r="G459" s="2" t="s">
        <v>6273</v>
      </c>
    </row>
    <row r="460" ht="15.75" customHeight="1">
      <c r="A460" s="2" t="s">
        <v>3522</v>
      </c>
      <c r="B460" s="2" t="s">
        <v>3523</v>
      </c>
      <c r="C460" s="2" t="s">
        <v>3524</v>
      </c>
      <c r="D460" s="2" t="s">
        <v>3525</v>
      </c>
      <c r="E460" s="2" t="s">
        <v>364</v>
      </c>
      <c r="F460" s="2" t="s">
        <v>7005</v>
      </c>
      <c r="G460" s="2" t="s">
        <v>6309</v>
      </c>
    </row>
    <row r="461" ht="15.75" customHeight="1">
      <c r="A461" s="2" t="s">
        <v>2822</v>
      </c>
      <c r="B461" s="2" t="s">
        <v>2823</v>
      </c>
      <c r="C461" s="2" t="s">
        <v>2824</v>
      </c>
      <c r="D461" s="2" t="s">
        <v>2825</v>
      </c>
      <c r="E461" s="2" t="s">
        <v>1054</v>
      </c>
      <c r="F461" s="2" t="s">
        <v>7006</v>
      </c>
      <c r="G461" s="2" t="s">
        <v>6262</v>
      </c>
    </row>
    <row r="462" ht="15.75" customHeight="1">
      <c r="A462" s="2" t="s">
        <v>5758</v>
      </c>
      <c r="B462" s="2" t="s">
        <v>5759</v>
      </c>
      <c r="C462" s="2" t="s">
        <v>5760</v>
      </c>
      <c r="D462" s="2" t="s">
        <v>5761</v>
      </c>
      <c r="E462" s="2" t="s">
        <v>58</v>
      </c>
      <c r="F462" s="2" t="s">
        <v>7007</v>
      </c>
      <c r="G462" s="2" t="s">
        <v>6245</v>
      </c>
    </row>
    <row r="463" ht="15.75" customHeight="1">
      <c r="A463" s="2" t="s">
        <v>3765</v>
      </c>
      <c r="B463" s="2" t="s">
        <v>708</v>
      </c>
      <c r="C463" s="2" t="s">
        <v>3766</v>
      </c>
      <c r="D463" s="2" t="s">
        <v>3767</v>
      </c>
      <c r="E463" s="2" t="s">
        <v>2110</v>
      </c>
      <c r="F463" s="2" t="s">
        <v>7008</v>
      </c>
      <c r="G463" s="2" t="s">
        <v>6309</v>
      </c>
    </row>
    <row r="464" ht="15.75" customHeight="1">
      <c r="A464" s="2" t="s">
        <v>2487</v>
      </c>
      <c r="B464" s="2" t="s">
        <v>2488</v>
      </c>
      <c r="C464" s="2" t="s">
        <v>2489</v>
      </c>
      <c r="D464" s="2" t="s">
        <v>2490</v>
      </c>
      <c r="E464" s="2" t="s">
        <v>2491</v>
      </c>
      <c r="F464" s="2" t="s">
        <v>7009</v>
      </c>
      <c r="G464" s="2" t="s">
        <v>6309</v>
      </c>
    </row>
    <row r="465" ht="15.75" customHeight="1">
      <c r="A465" s="2" t="s">
        <v>953</v>
      </c>
      <c r="B465" s="2" t="s">
        <v>954</v>
      </c>
      <c r="C465" s="2" t="s">
        <v>955</v>
      </c>
      <c r="D465" s="2" t="s">
        <v>956</v>
      </c>
      <c r="E465" s="2" t="s">
        <v>399</v>
      </c>
      <c r="F465" s="2" t="s">
        <v>7010</v>
      </c>
      <c r="G465" s="2" t="s">
        <v>6248</v>
      </c>
    </row>
    <row r="466" ht="15.75" customHeight="1">
      <c r="A466" s="2" t="s">
        <v>3371</v>
      </c>
      <c r="B466" s="2" t="s">
        <v>1406</v>
      </c>
      <c r="D466" s="2" t="s">
        <v>3372</v>
      </c>
      <c r="E466" s="2" t="s">
        <v>720</v>
      </c>
      <c r="F466" s="2" t="s">
        <v>7011</v>
      </c>
      <c r="G466" s="2" t="s">
        <v>6239</v>
      </c>
    </row>
    <row r="467" ht="15.75" customHeight="1">
      <c r="A467" s="2" t="s">
        <v>5214</v>
      </c>
      <c r="B467" s="2" t="s">
        <v>5215</v>
      </c>
      <c r="C467" s="2" t="s">
        <v>5216</v>
      </c>
      <c r="D467" s="2" t="s">
        <v>5217</v>
      </c>
      <c r="E467" s="2" t="s">
        <v>671</v>
      </c>
      <c r="F467" s="2" t="s">
        <v>7012</v>
      </c>
      <c r="G467" s="2" t="s">
        <v>6237</v>
      </c>
    </row>
    <row r="468" ht="15.75" customHeight="1">
      <c r="A468" s="2" t="s">
        <v>518</v>
      </c>
      <c r="B468" s="2" t="s">
        <v>519</v>
      </c>
      <c r="C468" s="2" t="s">
        <v>520</v>
      </c>
      <c r="D468" s="2" t="s">
        <v>521</v>
      </c>
      <c r="E468" s="2" t="s">
        <v>88</v>
      </c>
      <c r="F468" s="2" t="s">
        <v>7013</v>
      </c>
      <c r="G468" s="2" t="s">
        <v>6262</v>
      </c>
    </row>
    <row r="469" ht="15.75" customHeight="1">
      <c r="A469" s="2" t="s">
        <v>900</v>
      </c>
      <c r="B469" s="2" t="s">
        <v>901</v>
      </c>
      <c r="D469" s="2" t="s">
        <v>902</v>
      </c>
      <c r="E469" s="2" t="s">
        <v>903</v>
      </c>
      <c r="F469" s="2" t="s">
        <v>7014</v>
      </c>
      <c r="G469" s="2" t="s">
        <v>6248</v>
      </c>
    </row>
    <row r="470" ht="15.75" customHeight="1">
      <c r="A470" s="2" t="s">
        <v>408</v>
      </c>
      <c r="B470" s="2" t="s">
        <v>409</v>
      </c>
      <c r="C470" s="2" t="s">
        <v>410</v>
      </c>
      <c r="E470" s="2" t="s">
        <v>58</v>
      </c>
      <c r="F470" s="2" t="s">
        <v>7015</v>
      </c>
      <c r="G470" s="2" t="s">
        <v>6239</v>
      </c>
    </row>
    <row r="471" ht="15.75" customHeight="1">
      <c r="A471" s="2" t="s">
        <v>1082</v>
      </c>
      <c r="B471" s="2" t="s">
        <v>867</v>
      </c>
      <c r="C471" s="2" t="s">
        <v>1083</v>
      </c>
      <c r="D471" s="2" t="s">
        <v>1084</v>
      </c>
      <c r="E471" s="2" t="s">
        <v>364</v>
      </c>
      <c r="F471" s="2" t="s">
        <v>7016</v>
      </c>
      <c r="G471" s="2" t="s">
        <v>6262</v>
      </c>
    </row>
    <row r="472" ht="15.75" customHeight="1">
      <c r="A472" s="2" t="s">
        <v>2186</v>
      </c>
      <c r="B472" s="2" t="s">
        <v>2187</v>
      </c>
      <c r="C472" s="2" t="s">
        <v>2188</v>
      </c>
      <c r="D472" s="2" t="s">
        <v>2189</v>
      </c>
      <c r="E472" s="2" t="s">
        <v>58</v>
      </c>
      <c r="F472" s="2" t="s">
        <v>4604</v>
      </c>
      <c r="G472" s="2" t="s">
        <v>6260</v>
      </c>
    </row>
    <row r="473" ht="15.75" customHeight="1">
      <c r="A473" s="2" t="s">
        <v>3861</v>
      </c>
      <c r="B473" s="2" t="s">
        <v>3862</v>
      </c>
      <c r="C473" s="2" t="s">
        <v>3863</v>
      </c>
      <c r="D473" s="2" t="s">
        <v>3864</v>
      </c>
      <c r="E473" s="2" t="s">
        <v>777</v>
      </c>
      <c r="F473" s="2" t="s">
        <v>7017</v>
      </c>
      <c r="G473" s="2" t="s">
        <v>6237</v>
      </c>
    </row>
    <row r="474" ht="15.75" customHeight="1">
      <c r="A474" s="2" t="s">
        <v>2179</v>
      </c>
      <c r="B474" s="2" t="s">
        <v>2180</v>
      </c>
      <c r="E474" s="2" t="s">
        <v>1177</v>
      </c>
      <c r="F474" s="2" t="s">
        <v>7018</v>
      </c>
    </row>
    <row r="475" ht="15.75" customHeight="1">
      <c r="A475" s="2" t="s">
        <v>7019</v>
      </c>
      <c r="B475" s="2" t="s">
        <v>7020</v>
      </c>
      <c r="C475" s="2" t="s">
        <v>7021</v>
      </c>
      <c r="D475" s="2" t="s">
        <v>7022</v>
      </c>
      <c r="E475" s="2" t="s">
        <v>114</v>
      </c>
      <c r="F475" s="2" t="s">
        <v>7023</v>
      </c>
    </row>
    <row r="476" ht="15.75" customHeight="1">
      <c r="A476" s="2" t="s">
        <v>467</v>
      </c>
      <c r="B476" s="2" t="s">
        <v>468</v>
      </c>
      <c r="C476" s="2" t="s">
        <v>469</v>
      </c>
      <c r="D476" s="2" t="s">
        <v>470</v>
      </c>
      <c r="E476" s="2" t="s">
        <v>199</v>
      </c>
      <c r="F476" s="2" t="s">
        <v>7024</v>
      </c>
      <c r="G476" s="2" t="s">
        <v>6245</v>
      </c>
    </row>
    <row r="477" ht="15.75" customHeight="1">
      <c r="A477" s="2" t="s">
        <v>7025</v>
      </c>
      <c r="B477" s="2" t="s">
        <v>7026</v>
      </c>
      <c r="C477" s="2" t="s">
        <v>7027</v>
      </c>
      <c r="D477" s="2" t="s">
        <v>7028</v>
      </c>
      <c r="E477" s="2" t="s">
        <v>25</v>
      </c>
      <c r="F477" s="2" t="s">
        <v>7029</v>
      </c>
    </row>
    <row r="478" ht="15.75" customHeight="1">
      <c r="A478" s="2" t="s">
        <v>5527</v>
      </c>
      <c r="B478" s="2" t="s">
        <v>5528</v>
      </c>
      <c r="C478" s="2" t="s">
        <v>1622</v>
      </c>
      <c r="D478" s="2" t="s">
        <v>5529</v>
      </c>
      <c r="E478" s="2" t="s">
        <v>801</v>
      </c>
      <c r="F478" s="2" t="s">
        <v>7030</v>
      </c>
      <c r="G478" s="2" t="s">
        <v>6309</v>
      </c>
    </row>
    <row r="479" ht="15.75" customHeight="1">
      <c r="A479" s="2" t="s">
        <v>476</v>
      </c>
      <c r="B479" s="2" t="s">
        <v>1764</v>
      </c>
      <c r="C479" s="2" t="s">
        <v>7031</v>
      </c>
      <c r="E479" s="2" t="s">
        <v>25</v>
      </c>
      <c r="F479" s="2" t="s">
        <v>6917</v>
      </c>
      <c r="G479" s="2" t="s">
        <v>6245</v>
      </c>
    </row>
    <row r="480" ht="15.75" customHeight="1">
      <c r="A480" s="2" t="s">
        <v>7032</v>
      </c>
      <c r="B480" s="2" t="s">
        <v>7033</v>
      </c>
      <c r="C480" s="2" t="s">
        <v>7034</v>
      </c>
      <c r="E480" s="2" t="s">
        <v>608</v>
      </c>
      <c r="F480" s="2" t="s">
        <v>7035</v>
      </c>
      <c r="G480" s="2" t="s">
        <v>6239</v>
      </c>
    </row>
    <row r="481" ht="15.75" customHeight="1">
      <c r="A481" s="2" t="s">
        <v>3755</v>
      </c>
      <c r="B481" s="2" t="s">
        <v>3756</v>
      </c>
      <c r="C481" s="2" t="s">
        <v>3757</v>
      </c>
      <c r="D481" s="2" t="s">
        <v>3758</v>
      </c>
      <c r="E481" s="2" t="s">
        <v>114</v>
      </c>
      <c r="F481" s="2" t="s">
        <v>7036</v>
      </c>
      <c r="G481" s="2" t="s">
        <v>6273</v>
      </c>
    </row>
    <row r="482" ht="15.75" customHeight="1">
      <c r="A482" s="2" t="s">
        <v>2346</v>
      </c>
      <c r="B482" s="2" t="s">
        <v>2347</v>
      </c>
      <c r="C482" s="2" t="s">
        <v>2348</v>
      </c>
      <c r="D482" s="2" t="s">
        <v>5377</v>
      </c>
      <c r="E482" s="2" t="s">
        <v>25</v>
      </c>
      <c r="F482" s="2" t="s">
        <v>7037</v>
      </c>
      <c r="G482" s="2" t="s">
        <v>6273</v>
      </c>
    </row>
    <row r="483" ht="15.75" customHeight="1">
      <c r="A483" s="2" t="s">
        <v>2152</v>
      </c>
      <c r="B483" s="2" t="s">
        <v>2153</v>
      </c>
      <c r="C483" s="2" t="s">
        <v>2154</v>
      </c>
      <c r="D483" s="2" t="s">
        <v>2155</v>
      </c>
      <c r="E483" s="2" t="s">
        <v>114</v>
      </c>
      <c r="F483" s="2" t="s">
        <v>7038</v>
      </c>
      <c r="G483" s="2" t="s">
        <v>6245</v>
      </c>
    </row>
    <row r="484" ht="15.75" customHeight="1">
      <c r="A484" s="2" t="s">
        <v>7039</v>
      </c>
      <c r="B484" s="2" t="s">
        <v>7040</v>
      </c>
      <c r="C484" s="2" t="s">
        <v>7041</v>
      </c>
      <c r="D484" s="2" t="s">
        <v>7042</v>
      </c>
      <c r="E484" s="2" t="s">
        <v>608</v>
      </c>
      <c r="F484" s="2" t="s">
        <v>7043</v>
      </c>
      <c r="G484" s="2" t="s">
        <v>6248</v>
      </c>
    </row>
    <row r="485" ht="15.75" customHeight="1">
      <c r="A485" s="2" t="s">
        <v>2843</v>
      </c>
      <c r="B485" s="2" t="s">
        <v>2844</v>
      </c>
      <c r="C485" s="2" t="s">
        <v>2845</v>
      </c>
      <c r="D485" s="2" t="s">
        <v>2846</v>
      </c>
      <c r="E485" s="2" t="s">
        <v>88</v>
      </c>
      <c r="F485" s="2" t="s">
        <v>7044</v>
      </c>
      <c r="G485" s="2" t="s">
        <v>6260</v>
      </c>
    </row>
    <row r="486" ht="15.75" customHeight="1">
      <c r="A486" s="2" t="s">
        <v>2998</v>
      </c>
      <c r="B486" s="2" t="s">
        <v>428</v>
      </c>
      <c r="C486" s="2" t="s">
        <v>2999</v>
      </c>
      <c r="D486" s="2" t="s">
        <v>3000</v>
      </c>
      <c r="E486" s="2" t="s">
        <v>448</v>
      </c>
      <c r="F486" s="2" t="s">
        <v>7045</v>
      </c>
      <c r="G486" s="2" t="s">
        <v>6273</v>
      </c>
    </row>
    <row r="487" ht="15.75" customHeight="1">
      <c r="A487" s="2" t="s">
        <v>5287</v>
      </c>
      <c r="B487" s="2" t="s">
        <v>1160</v>
      </c>
      <c r="C487" s="2" t="s">
        <v>5288</v>
      </c>
      <c r="D487" s="2" t="s">
        <v>5289</v>
      </c>
      <c r="E487" s="2" t="s">
        <v>114</v>
      </c>
      <c r="F487" s="2" t="s">
        <v>7046</v>
      </c>
      <c r="G487" s="2" t="s">
        <v>6239</v>
      </c>
    </row>
    <row r="488" ht="15.75" customHeight="1">
      <c r="A488" s="2" t="s">
        <v>7047</v>
      </c>
      <c r="B488" s="2" t="s">
        <v>7048</v>
      </c>
      <c r="C488" s="2" t="s">
        <v>7049</v>
      </c>
      <c r="D488" s="2" t="s">
        <v>7050</v>
      </c>
      <c r="E488" s="2" t="s">
        <v>139</v>
      </c>
      <c r="F488" s="2" t="s">
        <v>7051</v>
      </c>
      <c r="G488" s="2" t="s">
        <v>6260</v>
      </c>
    </row>
    <row r="489" ht="15.75" customHeight="1">
      <c r="A489" s="2" t="s">
        <v>7052</v>
      </c>
      <c r="B489" s="2" t="s">
        <v>7053</v>
      </c>
      <c r="C489" s="2" t="s">
        <v>7054</v>
      </c>
      <c r="D489" s="2" t="s">
        <v>7055</v>
      </c>
      <c r="E489" s="2" t="s">
        <v>777</v>
      </c>
      <c r="F489" s="2" t="s">
        <v>7056</v>
      </c>
      <c r="G489" s="2" t="s">
        <v>6262</v>
      </c>
    </row>
    <row r="490" ht="15.75" customHeight="1">
      <c r="A490" s="2" t="s">
        <v>3417</v>
      </c>
      <c r="B490" s="2" t="s">
        <v>3418</v>
      </c>
      <c r="C490" s="2" t="s">
        <v>3419</v>
      </c>
      <c r="D490" s="2" t="s">
        <v>3420</v>
      </c>
      <c r="E490" s="2" t="s">
        <v>785</v>
      </c>
      <c r="F490" s="2" t="s">
        <v>7057</v>
      </c>
      <c r="G490" s="2" t="s">
        <v>6309</v>
      </c>
    </row>
    <row r="491" ht="15.75" customHeight="1">
      <c r="A491" s="2" t="s">
        <v>7058</v>
      </c>
      <c r="B491" s="2" t="s">
        <v>7059</v>
      </c>
      <c r="C491" s="2" t="s">
        <v>7060</v>
      </c>
      <c r="D491" s="2" t="s">
        <v>7061</v>
      </c>
      <c r="E491" s="2" t="s">
        <v>421</v>
      </c>
      <c r="F491" s="2" t="s">
        <v>7062</v>
      </c>
      <c r="G491" s="2" t="s">
        <v>6239</v>
      </c>
    </row>
    <row r="492" ht="15.75" customHeight="1">
      <c r="A492" s="2" t="s">
        <v>5853</v>
      </c>
      <c r="B492" s="2" t="s">
        <v>561</v>
      </c>
      <c r="C492" s="2" t="s">
        <v>5854</v>
      </c>
      <c r="D492" s="2" t="s">
        <v>5855</v>
      </c>
      <c r="E492" s="2" t="s">
        <v>608</v>
      </c>
      <c r="F492" s="2" t="s">
        <v>7063</v>
      </c>
      <c r="G492" s="2" t="s">
        <v>6309</v>
      </c>
    </row>
    <row r="493" ht="15.75" customHeight="1">
      <c r="A493" s="2" t="s">
        <v>7064</v>
      </c>
      <c r="B493" s="2" t="s">
        <v>887</v>
      </c>
      <c r="C493" s="2" t="s">
        <v>7065</v>
      </c>
      <c r="D493" s="2" t="s">
        <v>7066</v>
      </c>
      <c r="E493" s="2" t="s">
        <v>777</v>
      </c>
      <c r="F493" s="2" t="s">
        <v>7067</v>
      </c>
      <c r="G493" s="2" t="s">
        <v>6237</v>
      </c>
    </row>
    <row r="494" ht="15.75" customHeight="1">
      <c r="A494" s="2" t="s">
        <v>3649</v>
      </c>
      <c r="B494" s="2" t="s">
        <v>3650</v>
      </c>
      <c r="C494" s="2" t="s">
        <v>3651</v>
      </c>
      <c r="D494" s="2" t="s">
        <v>3652</v>
      </c>
      <c r="E494" s="2" t="s">
        <v>387</v>
      </c>
      <c r="F494" s="2" t="s">
        <v>6071</v>
      </c>
      <c r="G494" s="2" t="s">
        <v>6309</v>
      </c>
    </row>
    <row r="495" ht="15.75" customHeight="1">
      <c r="A495" s="2" t="s">
        <v>1427</v>
      </c>
      <c r="B495" s="2" t="s">
        <v>1428</v>
      </c>
      <c r="C495" s="2" t="s">
        <v>1429</v>
      </c>
      <c r="D495" s="2" t="s">
        <v>1430</v>
      </c>
      <c r="E495" s="2" t="s">
        <v>399</v>
      </c>
      <c r="F495" s="2" t="s">
        <v>7068</v>
      </c>
      <c r="G495" s="2" t="s">
        <v>6248</v>
      </c>
    </row>
    <row r="496" ht="15.75" customHeight="1">
      <c r="A496" s="2" t="s">
        <v>2054</v>
      </c>
      <c r="B496" s="2" t="s">
        <v>2055</v>
      </c>
      <c r="C496" s="2" t="s">
        <v>2056</v>
      </c>
      <c r="D496" s="2" t="s">
        <v>2057</v>
      </c>
      <c r="E496" s="2" t="s">
        <v>88</v>
      </c>
      <c r="F496" s="2" t="s">
        <v>7069</v>
      </c>
      <c r="G496" s="2" t="s">
        <v>6239</v>
      </c>
    </row>
    <row r="497" ht="15.75" customHeight="1">
      <c r="A497" s="2" t="s">
        <v>4720</v>
      </c>
      <c r="B497" s="2" t="s">
        <v>4721</v>
      </c>
      <c r="C497" s="2" t="s">
        <v>4722</v>
      </c>
      <c r="D497" s="2" t="s">
        <v>4723</v>
      </c>
      <c r="E497" s="2" t="s">
        <v>25</v>
      </c>
      <c r="F497" s="2" t="s">
        <v>3661</v>
      </c>
    </row>
    <row r="498" ht="15.75" customHeight="1">
      <c r="A498" s="2" t="s">
        <v>7070</v>
      </c>
      <c r="B498" s="2" t="s">
        <v>7071</v>
      </c>
      <c r="C498" s="2" t="s">
        <v>7072</v>
      </c>
      <c r="D498" s="2" t="s">
        <v>7073</v>
      </c>
      <c r="E498" s="2" t="s">
        <v>7074</v>
      </c>
      <c r="F498" s="2" t="s">
        <v>7075</v>
      </c>
      <c r="G498" s="2" t="s">
        <v>6309</v>
      </c>
    </row>
    <row r="499" ht="15.75" customHeight="1">
      <c r="A499" s="2" t="s">
        <v>752</v>
      </c>
      <c r="B499" s="2" t="s">
        <v>753</v>
      </c>
      <c r="C499" s="2" t="s">
        <v>754</v>
      </c>
      <c r="D499" s="2" t="s">
        <v>755</v>
      </c>
      <c r="E499" s="2" t="s">
        <v>58</v>
      </c>
      <c r="F499" s="2" t="s">
        <v>7076</v>
      </c>
      <c r="G499" s="2" t="s">
        <v>6260</v>
      </c>
    </row>
    <row r="500" ht="15.75" customHeight="1">
      <c r="A500" s="2" t="s">
        <v>3315</v>
      </c>
      <c r="B500" s="2" t="s">
        <v>3316</v>
      </c>
      <c r="C500" s="2" t="s">
        <v>3317</v>
      </c>
      <c r="D500" s="2" t="s">
        <v>3318</v>
      </c>
      <c r="E500" s="2" t="s">
        <v>88</v>
      </c>
      <c r="F500" s="2" t="s">
        <v>7077</v>
      </c>
      <c r="G500" s="2" t="s">
        <v>6260</v>
      </c>
    </row>
    <row r="501" ht="15.75" customHeight="1">
      <c r="A501" s="2" t="s">
        <v>3781</v>
      </c>
      <c r="B501" s="2" t="s">
        <v>3782</v>
      </c>
      <c r="C501" s="2" t="s">
        <v>3783</v>
      </c>
      <c r="D501" s="2" t="s">
        <v>3784</v>
      </c>
      <c r="E501" s="2" t="s">
        <v>364</v>
      </c>
      <c r="F501" s="2" t="s">
        <v>7078</v>
      </c>
      <c r="G501" s="2" t="s">
        <v>6239</v>
      </c>
    </row>
    <row r="502" ht="15.75" customHeight="1">
      <c r="A502" s="2" t="s">
        <v>3361</v>
      </c>
      <c r="B502" s="2" t="s">
        <v>3362</v>
      </c>
      <c r="C502" s="2" t="s">
        <v>3363</v>
      </c>
      <c r="E502" s="2" t="s">
        <v>608</v>
      </c>
      <c r="F502" s="2" t="s">
        <v>7079</v>
      </c>
      <c r="G502" s="2" t="s">
        <v>6245</v>
      </c>
    </row>
    <row r="503" ht="15.75" customHeight="1">
      <c r="A503" s="2" t="s">
        <v>2317</v>
      </c>
      <c r="B503" s="2" t="s">
        <v>2318</v>
      </c>
      <c r="C503" s="2" t="s">
        <v>2319</v>
      </c>
      <c r="D503" s="2" t="s">
        <v>2320</v>
      </c>
      <c r="E503" s="2" t="s">
        <v>151</v>
      </c>
      <c r="F503" s="2" t="s">
        <v>7080</v>
      </c>
      <c r="G503" s="2" t="s">
        <v>6273</v>
      </c>
    </row>
    <row r="504" ht="15.75" customHeight="1">
      <c r="A504" s="2" t="s">
        <v>7081</v>
      </c>
      <c r="B504" s="2" t="s">
        <v>7082</v>
      </c>
      <c r="C504" s="2" t="s">
        <v>7083</v>
      </c>
      <c r="E504" s="2" t="s">
        <v>364</v>
      </c>
      <c r="F504" s="2" t="s">
        <v>6771</v>
      </c>
      <c r="G504" s="2" t="s">
        <v>6239</v>
      </c>
    </row>
    <row r="505" ht="15.75" customHeight="1">
      <c r="A505" s="2" t="s">
        <v>734</v>
      </c>
      <c r="B505" s="2" t="s">
        <v>735</v>
      </c>
      <c r="C505" s="2" t="s">
        <v>736</v>
      </c>
      <c r="D505" s="2" t="s">
        <v>737</v>
      </c>
      <c r="E505" s="2" t="s">
        <v>738</v>
      </c>
      <c r="F505" s="2" t="s">
        <v>7084</v>
      </c>
      <c r="G505" s="2" t="s">
        <v>6239</v>
      </c>
    </row>
    <row r="506" ht="15.75" customHeight="1">
      <c r="A506" s="2" t="s">
        <v>7085</v>
      </c>
      <c r="B506" s="2" t="s">
        <v>7086</v>
      </c>
      <c r="C506" s="2" t="s">
        <v>7087</v>
      </c>
      <c r="D506" s="2" t="s">
        <v>7088</v>
      </c>
      <c r="E506" s="2" t="s">
        <v>777</v>
      </c>
      <c r="F506" s="2" t="s">
        <v>7089</v>
      </c>
      <c r="G506" s="2" t="s">
        <v>6273</v>
      </c>
    </row>
    <row r="507" ht="15.75" customHeight="1">
      <c r="A507" s="2" t="s">
        <v>5251</v>
      </c>
      <c r="B507" s="2" t="s">
        <v>3904</v>
      </c>
      <c r="C507" s="2" t="s">
        <v>5252</v>
      </c>
      <c r="D507" s="2" t="s">
        <v>5253</v>
      </c>
      <c r="E507" s="2" t="s">
        <v>608</v>
      </c>
      <c r="F507" s="2" t="s">
        <v>7090</v>
      </c>
      <c r="G507" s="2" t="s">
        <v>6237</v>
      </c>
    </row>
    <row r="508" ht="15.75" customHeight="1">
      <c r="A508" s="2" t="s">
        <v>4162</v>
      </c>
      <c r="B508" s="2" t="s">
        <v>4163</v>
      </c>
      <c r="C508" s="2" t="s">
        <v>4164</v>
      </c>
      <c r="D508" s="2" t="s">
        <v>4165</v>
      </c>
      <c r="E508" s="2" t="s">
        <v>777</v>
      </c>
      <c r="F508" s="2" t="s">
        <v>7091</v>
      </c>
      <c r="G508" s="2" t="s">
        <v>6237</v>
      </c>
    </row>
    <row r="509" ht="15.75" customHeight="1">
      <c r="A509" s="2" t="s">
        <v>5797</v>
      </c>
      <c r="B509" s="2" t="s">
        <v>5798</v>
      </c>
      <c r="C509" s="2" t="s">
        <v>5799</v>
      </c>
      <c r="D509" s="2" t="s">
        <v>5800</v>
      </c>
      <c r="E509" s="2" t="s">
        <v>720</v>
      </c>
      <c r="F509" s="2" t="s">
        <v>4346</v>
      </c>
      <c r="G509" s="2" t="s">
        <v>6260</v>
      </c>
    </row>
    <row r="510" ht="15.75" customHeight="1">
      <c r="A510" s="2" t="s">
        <v>7092</v>
      </c>
      <c r="B510" s="2" t="s">
        <v>7093</v>
      </c>
      <c r="C510" s="2" t="s">
        <v>7094</v>
      </c>
      <c r="D510" s="2" t="s">
        <v>7095</v>
      </c>
      <c r="E510" s="2" t="s">
        <v>25</v>
      </c>
      <c r="F510" s="2" t="s">
        <v>7096</v>
      </c>
    </row>
    <row r="511" ht="15.75" customHeight="1">
      <c r="A511" s="2" t="s">
        <v>7097</v>
      </c>
      <c r="B511" s="2" t="s">
        <v>7098</v>
      </c>
      <c r="C511" s="2" t="s">
        <v>7099</v>
      </c>
      <c r="D511" s="2" t="s">
        <v>7100</v>
      </c>
      <c r="E511" s="2" t="s">
        <v>88</v>
      </c>
      <c r="F511" s="2" t="s">
        <v>7101</v>
      </c>
      <c r="G511" s="2" t="s">
        <v>6262</v>
      </c>
    </row>
    <row r="512" ht="15.75" customHeight="1">
      <c r="A512" s="2" t="s">
        <v>7102</v>
      </c>
      <c r="B512" s="2" t="s">
        <v>7103</v>
      </c>
      <c r="C512" s="2" t="s">
        <v>7104</v>
      </c>
      <c r="D512" s="2" t="s">
        <v>7105</v>
      </c>
      <c r="E512" s="2" t="s">
        <v>188</v>
      </c>
      <c r="F512" s="2" t="s">
        <v>7106</v>
      </c>
      <c r="G512" s="2" t="s">
        <v>6260</v>
      </c>
    </row>
    <row r="513" ht="15.75" customHeight="1">
      <c r="A513" s="2" t="s">
        <v>4824</v>
      </c>
      <c r="B513" s="2" t="s">
        <v>4825</v>
      </c>
      <c r="C513" s="2" t="s">
        <v>4826</v>
      </c>
      <c r="D513" s="2" t="s">
        <v>4827</v>
      </c>
      <c r="E513" s="2" t="s">
        <v>1054</v>
      </c>
      <c r="F513" s="2" t="s">
        <v>7107</v>
      </c>
      <c r="G513" s="2" t="s">
        <v>6309</v>
      </c>
    </row>
    <row r="514" ht="15.75" customHeight="1">
      <c r="A514" s="2" t="s">
        <v>2669</v>
      </c>
      <c r="B514" s="2" t="s">
        <v>7108</v>
      </c>
      <c r="C514" s="2" t="s">
        <v>7109</v>
      </c>
      <c r="D514" s="2" t="s">
        <v>2671</v>
      </c>
      <c r="E514" s="2" t="s">
        <v>671</v>
      </c>
      <c r="F514" s="2" t="s">
        <v>7110</v>
      </c>
      <c r="G514" s="2" t="s">
        <v>6248</v>
      </c>
    </row>
    <row r="515" ht="15.75" customHeight="1">
      <c r="A515" s="2" t="s">
        <v>3688</v>
      </c>
      <c r="B515" s="2" t="s">
        <v>361</v>
      </c>
      <c r="C515" s="2" t="s">
        <v>3689</v>
      </c>
      <c r="D515" s="2" t="s">
        <v>3690</v>
      </c>
      <c r="E515" s="2" t="s">
        <v>3691</v>
      </c>
      <c r="F515" s="2" t="s">
        <v>7111</v>
      </c>
      <c r="G515" s="2" t="s">
        <v>6239</v>
      </c>
    </row>
    <row r="516" ht="15.75" customHeight="1">
      <c r="A516" s="2" t="s">
        <v>348</v>
      </c>
      <c r="B516" s="2" t="s">
        <v>349</v>
      </c>
      <c r="C516" s="2" t="s">
        <v>350</v>
      </c>
      <c r="D516" s="2" t="s">
        <v>351</v>
      </c>
      <c r="E516" s="2" t="s">
        <v>25</v>
      </c>
      <c r="F516" s="2" t="s">
        <v>7112</v>
      </c>
      <c r="G516" s="2" t="s">
        <v>6237</v>
      </c>
    </row>
    <row r="517" ht="15.75" customHeight="1">
      <c r="A517" s="2" t="s">
        <v>3328</v>
      </c>
      <c r="B517" s="2" t="s">
        <v>4880</v>
      </c>
      <c r="C517" s="2" t="s">
        <v>4881</v>
      </c>
      <c r="D517" s="2" t="s">
        <v>3330</v>
      </c>
      <c r="E517" s="2" t="s">
        <v>3331</v>
      </c>
      <c r="F517" s="2" t="s">
        <v>6474</v>
      </c>
      <c r="G517" s="2" t="s">
        <v>6309</v>
      </c>
    </row>
    <row r="518" ht="15.75" customHeight="1">
      <c r="A518" s="2" t="s">
        <v>7113</v>
      </c>
      <c r="B518" s="2" t="s">
        <v>7114</v>
      </c>
      <c r="C518" s="2" t="s">
        <v>7115</v>
      </c>
      <c r="D518" s="2" t="s">
        <v>7116</v>
      </c>
      <c r="E518" s="2" t="s">
        <v>114</v>
      </c>
      <c r="F518" s="2" t="s">
        <v>7117</v>
      </c>
      <c r="G518" s="2" t="s">
        <v>6245</v>
      </c>
    </row>
    <row r="519" ht="15.75" customHeight="1">
      <c r="A519" s="2" t="s">
        <v>3932</v>
      </c>
      <c r="B519" s="2" t="s">
        <v>1994</v>
      </c>
      <c r="C519" s="2" t="s">
        <v>3933</v>
      </c>
      <c r="D519" s="2" t="s">
        <v>3934</v>
      </c>
      <c r="E519" s="2" t="s">
        <v>114</v>
      </c>
      <c r="F519" s="2" t="s">
        <v>7118</v>
      </c>
      <c r="G519" s="2" t="s">
        <v>6245</v>
      </c>
    </row>
    <row r="520" ht="15.75" customHeight="1">
      <c r="A520" s="2" t="s">
        <v>2366</v>
      </c>
      <c r="B520" s="2" t="s">
        <v>2367</v>
      </c>
      <c r="C520" s="2" t="s">
        <v>2368</v>
      </c>
      <c r="D520" s="2" t="s">
        <v>2369</v>
      </c>
      <c r="E520" s="2" t="s">
        <v>421</v>
      </c>
      <c r="F520" s="2" t="s">
        <v>7119</v>
      </c>
      <c r="G520" s="2" t="s">
        <v>6237</v>
      </c>
    </row>
    <row r="521" ht="15.75" customHeight="1">
      <c r="A521" s="2" t="s">
        <v>1825</v>
      </c>
      <c r="B521" s="2" t="s">
        <v>1826</v>
      </c>
      <c r="C521" s="2" t="s">
        <v>1827</v>
      </c>
      <c r="D521" s="2" t="s">
        <v>1828</v>
      </c>
      <c r="E521" s="2" t="s">
        <v>88</v>
      </c>
      <c r="F521" s="2" t="s">
        <v>7120</v>
      </c>
      <c r="G521" s="2" t="s">
        <v>6245</v>
      </c>
    </row>
    <row r="522" ht="15.75" customHeight="1">
      <c r="A522" s="2" t="s">
        <v>7121</v>
      </c>
      <c r="B522" s="2" t="s">
        <v>7122</v>
      </c>
      <c r="C522" s="2" t="s">
        <v>7123</v>
      </c>
      <c r="D522" s="2" t="s">
        <v>7124</v>
      </c>
      <c r="E522" s="2" t="s">
        <v>25</v>
      </c>
      <c r="F522" s="2" t="s">
        <v>7125</v>
      </c>
      <c r="G522" s="2" t="s">
        <v>6309</v>
      </c>
    </row>
    <row r="523" ht="15.75" customHeight="1">
      <c r="A523" s="2" t="s">
        <v>123</v>
      </c>
      <c r="B523" s="2" t="s">
        <v>124</v>
      </c>
      <c r="C523" s="2" t="s">
        <v>125</v>
      </c>
      <c r="D523" s="2" t="s">
        <v>126</v>
      </c>
      <c r="E523" s="2" t="s">
        <v>88</v>
      </c>
      <c r="F523" s="2" t="s">
        <v>7126</v>
      </c>
      <c r="G523" s="2" t="s">
        <v>6262</v>
      </c>
    </row>
    <row r="524" ht="15.75" customHeight="1">
      <c r="A524" s="2" t="s">
        <v>2663</v>
      </c>
      <c r="B524" s="2" t="s">
        <v>2664</v>
      </c>
      <c r="C524" s="2" t="s">
        <v>2665</v>
      </c>
      <c r="D524" s="2" t="s">
        <v>7127</v>
      </c>
      <c r="E524" s="2" t="s">
        <v>801</v>
      </c>
      <c r="F524" s="2" t="s">
        <v>7128</v>
      </c>
    </row>
    <row r="525" ht="15.75" customHeight="1">
      <c r="A525" s="2" t="s">
        <v>972</v>
      </c>
      <c r="B525" s="2" t="s">
        <v>3458</v>
      </c>
      <c r="C525" s="2" t="s">
        <v>3459</v>
      </c>
      <c r="D525" s="2" t="s">
        <v>975</v>
      </c>
      <c r="E525" s="2" t="s">
        <v>608</v>
      </c>
      <c r="F525" s="2" t="s">
        <v>6396</v>
      </c>
      <c r="G525" s="2" t="s">
        <v>6273</v>
      </c>
    </row>
    <row r="526" ht="15.75" customHeight="1">
      <c r="A526" s="2" t="s">
        <v>3005</v>
      </c>
      <c r="B526" s="2" t="s">
        <v>3006</v>
      </c>
      <c r="C526" s="2" t="s">
        <v>3007</v>
      </c>
      <c r="D526" s="2" t="s">
        <v>3008</v>
      </c>
      <c r="E526" s="2" t="s">
        <v>671</v>
      </c>
      <c r="F526" s="2" t="s">
        <v>7129</v>
      </c>
      <c r="G526" s="2" t="s">
        <v>6262</v>
      </c>
    </row>
    <row r="527" ht="15.75" customHeight="1">
      <c r="A527" s="2" t="s">
        <v>3108</v>
      </c>
      <c r="B527" s="2" t="s">
        <v>3109</v>
      </c>
      <c r="C527" s="2" t="s">
        <v>7130</v>
      </c>
      <c r="D527" s="2" t="s">
        <v>3110</v>
      </c>
      <c r="E527" s="2" t="s">
        <v>3111</v>
      </c>
      <c r="F527" s="2" t="s">
        <v>7131</v>
      </c>
      <c r="G527" s="2" t="s">
        <v>6262</v>
      </c>
    </row>
    <row r="528" ht="15.75" customHeight="1">
      <c r="A528" s="2" t="s">
        <v>4268</v>
      </c>
      <c r="B528" s="2" t="s">
        <v>4269</v>
      </c>
      <c r="C528" s="2" t="s">
        <v>4270</v>
      </c>
      <c r="D528" s="2" t="s">
        <v>4271</v>
      </c>
      <c r="E528" s="2" t="s">
        <v>41</v>
      </c>
      <c r="F528" s="2" t="s">
        <v>7132</v>
      </c>
      <c r="G528" s="2" t="s">
        <v>6260</v>
      </c>
    </row>
    <row r="529" ht="15.75" customHeight="1">
      <c r="A529" s="2" t="s">
        <v>4580</v>
      </c>
      <c r="B529" s="2" t="s">
        <v>4581</v>
      </c>
      <c r="C529" s="2" t="s">
        <v>7133</v>
      </c>
      <c r="D529" s="2" t="s">
        <v>4582</v>
      </c>
      <c r="E529" s="2" t="s">
        <v>25</v>
      </c>
      <c r="F529" s="2" t="s">
        <v>7134</v>
      </c>
      <c r="G529" s="2" t="s">
        <v>6245</v>
      </c>
    </row>
    <row r="530" ht="15.75" customHeight="1">
      <c r="A530" s="2" t="s">
        <v>1259</v>
      </c>
      <c r="B530" s="2" t="s">
        <v>1260</v>
      </c>
      <c r="C530" s="2" t="s">
        <v>1261</v>
      </c>
      <c r="D530" s="2" t="s">
        <v>1262</v>
      </c>
      <c r="E530" s="2" t="s">
        <v>58</v>
      </c>
      <c r="F530" s="2" t="s">
        <v>7135</v>
      </c>
      <c r="G530" s="2" t="s">
        <v>6239</v>
      </c>
    </row>
    <row r="531" ht="15.75" customHeight="1">
      <c r="A531" s="2" t="s">
        <v>1793</v>
      </c>
      <c r="B531" s="2" t="s">
        <v>1794</v>
      </c>
      <c r="C531" s="2" t="s">
        <v>1795</v>
      </c>
      <c r="E531" s="2" t="s">
        <v>139</v>
      </c>
      <c r="F531" s="2" t="s">
        <v>6275</v>
      </c>
      <c r="G531" s="2" t="s">
        <v>6248</v>
      </c>
    </row>
    <row r="532" ht="15.75" customHeight="1">
      <c r="A532" s="2" t="s">
        <v>2476</v>
      </c>
      <c r="B532" s="2" t="s">
        <v>2477</v>
      </c>
      <c r="C532" s="2" t="s">
        <v>2478</v>
      </c>
      <c r="D532" s="2" t="s">
        <v>2479</v>
      </c>
      <c r="E532" s="2" t="s">
        <v>564</v>
      </c>
      <c r="F532" s="2" t="s">
        <v>7136</v>
      </c>
      <c r="G532" s="2" t="s">
        <v>6239</v>
      </c>
    </row>
    <row r="533" ht="15.75" customHeight="1">
      <c r="A533" s="2" t="s">
        <v>3625</v>
      </c>
      <c r="B533" s="2" t="s">
        <v>3626</v>
      </c>
      <c r="C533" s="2" t="s">
        <v>3627</v>
      </c>
      <c r="D533" s="2" t="s">
        <v>3628</v>
      </c>
      <c r="E533" s="2" t="s">
        <v>992</v>
      </c>
      <c r="F533" s="2" t="s">
        <v>7137</v>
      </c>
      <c r="G533" s="2" t="s">
        <v>6260</v>
      </c>
    </row>
    <row r="534" ht="15.75" customHeight="1">
      <c r="A534" s="2" t="s">
        <v>1456</v>
      </c>
      <c r="B534" s="2" t="s">
        <v>1457</v>
      </c>
      <c r="C534" s="2" t="s">
        <v>1458</v>
      </c>
      <c r="D534" s="2" t="s">
        <v>1459</v>
      </c>
      <c r="E534" s="2" t="s">
        <v>608</v>
      </c>
      <c r="F534" s="2" t="s">
        <v>7138</v>
      </c>
      <c r="G534" s="2" t="s">
        <v>6309</v>
      </c>
    </row>
    <row r="535" ht="15.75" customHeight="1">
      <c r="A535" s="2" t="s">
        <v>1188</v>
      </c>
      <c r="B535" s="2" t="s">
        <v>1189</v>
      </c>
      <c r="C535" s="2" t="s">
        <v>1190</v>
      </c>
      <c r="D535" s="2" t="s">
        <v>1191</v>
      </c>
      <c r="E535" s="2" t="s">
        <v>88</v>
      </c>
      <c r="F535" s="2" t="s">
        <v>7139</v>
      </c>
      <c r="G535" s="2" t="s">
        <v>6239</v>
      </c>
    </row>
    <row r="536" ht="15.75" customHeight="1">
      <c r="A536" s="2" t="s">
        <v>3671</v>
      </c>
      <c r="B536" s="2" t="s">
        <v>3672</v>
      </c>
      <c r="C536" s="2" t="s">
        <v>3673</v>
      </c>
      <c r="D536" s="2" t="s">
        <v>3674</v>
      </c>
      <c r="E536" s="2" t="s">
        <v>58</v>
      </c>
      <c r="F536" s="2" t="s">
        <v>7140</v>
      </c>
      <c r="G536" s="2" t="s">
        <v>6248</v>
      </c>
    </row>
    <row r="537" ht="15.75" customHeight="1">
      <c r="A537" s="2" t="s">
        <v>5710</v>
      </c>
      <c r="B537" s="2" t="s">
        <v>5711</v>
      </c>
      <c r="C537" s="2" t="s">
        <v>5712</v>
      </c>
      <c r="D537" s="2" t="s">
        <v>5713</v>
      </c>
      <c r="E537" s="2" t="s">
        <v>114</v>
      </c>
      <c r="F537" s="2" t="s">
        <v>6977</v>
      </c>
      <c r="G537" s="2" t="s">
        <v>6245</v>
      </c>
    </row>
    <row r="538" ht="15.75" customHeight="1">
      <c r="A538" s="2" t="s">
        <v>4487</v>
      </c>
      <c r="B538" s="2" t="s">
        <v>894</v>
      </c>
      <c r="C538" s="2" t="s">
        <v>4488</v>
      </c>
      <c r="D538" s="2" t="s">
        <v>4489</v>
      </c>
      <c r="E538" s="2" t="s">
        <v>671</v>
      </c>
      <c r="F538" s="2" t="s">
        <v>7141</v>
      </c>
      <c r="G538" s="2" t="s">
        <v>6239</v>
      </c>
    </row>
    <row r="539" ht="15.75" customHeight="1">
      <c r="A539" s="2" t="s">
        <v>1250</v>
      </c>
      <c r="B539" s="2" t="s">
        <v>1251</v>
      </c>
      <c r="C539" s="2" t="s">
        <v>1252</v>
      </c>
      <c r="D539" s="2" t="s">
        <v>1253</v>
      </c>
      <c r="E539" s="2" t="s">
        <v>88</v>
      </c>
      <c r="F539" s="2" t="s">
        <v>7142</v>
      </c>
      <c r="G539" s="2" t="s">
        <v>6260</v>
      </c>
    </row>
    <row r="540" ht="15.75" customHeight="1">
      <c r="A540" s="2" t="s">
        <v>2073</v>
      </c>
      <c r="B540" s="2" t="s">
        <v>2074</v>
      </c>
      <c r="C540" s="2" t="s">
        <v>2075</v>
      </c>
      <c r="D540" s="2" t="s">
        <v>2076</v>
      </c>
      <c r="E540" s="2" t="s">
        <v>459</v>
      </c>
      <c r="F540" s="2" t="s">
        <v>7143</v>
      </c>
      <c r="G540" s="2" t="s">
        <v>6237</v>
      </c>
    </row>
    <row r="541" ht="15.75" customHeight="1">
      <c r="A541" s="2" t="s">
        <v>3788</v>
      </c>
      <c r="B541" s="2" t="s">
        <v>3789</v>
      </c>
      <c r="C541" s="2" t="s">
        <v>3790</v>
      </c>
      <c r="D541" s="2" t="s">
        <v>3791</v>
      </c>
      <c r="E541" s="2" t="s">
        <v>139</v>
      </c>
      <c r="F541" s="2" t="s">
        <v>7144</v>
      </c>
      <c r="G541" s="2" t="s">
        <v>6260</v>
      </c>
    </row>
    <row r="542" ht="15.75" customHeight="1">
      <c r="A542" s="2" t="s">
        <v>7145</v>
      </c>
      <c r="B542" s="2" t="s">
        <v>7146</v>
      </c>
      <c r="C542" s="2" t="s">
        <v>7147</v>
      </c>
      <c r="D542" s="2" t="s">
        <v>7148</v>
      </c>
      <c r="E542" s="2" t="s">
        <v>671</v>
      </c>
      <c r="F542" s="2" t="s">
        <v>7149</v>
      </c>
      <c r="G542" s="2" t="s">
        <v>6309</v>
      </c>
    </row>
    <row r="543" ht="15.75" customHeight="1">
      <c r="A543" s="2" t="s">
        <v>100</v>
      </c>
      <c r="B543" s="2" t="s">
        <v>101</v>
      </c>
      <c r="C543" s="2" t="s">
        <v>102</v>
      </c>
      <c r="E543" s="2" t="s">
        <v>88</v>
      </c>
      <c r="F543" s="2" t="s">
        <v>7150</v>
      </c>
      <c r="G543" s="2" t="s">
        <v>6248</v>
      </c>
    </row>
    <row r="544" ht="15.75" customHeight="1">
      <c r="A544" s="2" t="s">
        <v>1371</v>
      </c>
      <c r="B544" s="2" t="s">
        <v>1372</v>
      </c>
      <c r="C544" s="2" t="s">
        <v>1373</v>
      </c>
      <c r="D544" s="2" t="s">
        <v>1374</v>
      </c>
      <c r="E544" s="2" t="s">
        <v>199</v>
      </c>
      <c r="F544" s="2" t="s">
        <v>7151</v>
      </c>
    </row>
    <row r="545" ht="15.75" customHeight="1">
      <c r="A545" s="2" t="s">
        <v>3177</v>
      </c>
      <c r="B545" s="2" t="s">
        <v>3178</v>
      </c>
      <c r="C545" s="2" t="s">
        <v>3179</v>
      </c>
      <c r="D545" s="2" t="s">
        <v>3180</v>
      </c>
      <c r="E545" s="2" t="s">
        <v>671</v>
      </c>
      <c r="F545" s="2" t="s">
        <v>7152</v>
      </c>
      <c r="G545" s="2" t="s">
        <v>6260</v>
      </c>
    </row>
    <row r="546" ht="15.75" customHeight="1">
      <c r="A546" s="2" t="s">
        <v>5157</v>
      </c>
      <c r="B546" s="2" t="s">
        <v>5158</v>
      </c>
      <c r="C546" s="2" t="s">
        <v>5159</v>
      </c>
      <c r="D546" s="2" t="s">
        <v>5160</v>
      </c>
      <c r="E546" s="2" t="s">
        <v>608</v>
      </c>
      <c r="F546" s="2" t="s">
        <v>7153</v>
      </c>
      <c r="G546" s="2" t="s">
        <v>6239</v>
      </c>
    </row>
    <row r="547" ht="15.75" customHeight="1">
      <c r="A547" s="2" t="s">
        <v>7154</v>
      </c>
      <c r="B547" s="2" t="s">
        <v>7155</v>
      </c>
      <c r="C547" s="2" t="s">
        <v>7156</v>
      </c>
      <c r="D547" s="2" t="s">
        <v>7157</v>
      </c>
      <c r="E547" s="2" t="s">
        <v>165</v>
      </c>
      <c r="F547" s="2" t="s">
        <v>7158</v>
      </c>
      <c r="G547" s="2" t="s">
        <v>6273</v>
      </c>
    </row>
    <row r="548" ht="15.75" customHeight="1">
      <c r="A548" s="2" t="s">
        <v>2864</v>
      </c>
      <c r="B548" s="2" t="s">
        <v>2865</v>
      </c>
      <c r="C548" s="2" t="s">
        <v>2866</v>
      </c>
      <c r="E548" s="2" t="s">
        <v>25</v>
      </c>
      <c r="F548" s="2" t="s">
        <v>7159</v>
      </c>
      <c r="G548" s="2" t="s">
        <v>6262</v>
      </c>
    </row>
    <row r="549" ht="15.75" customHeight="1">
      <c r="A549" s="2" t="s">
        <v>1659</v>
      </c>
      <c r="B549" s="2" t="s">
        <v>1727</v>
      </c>
      <c r="C549" s="2" t="s">
        <v>6072</v>
      </c>
      <c r="D549" s="2" t="s">
        <v>1662</v>
      </c>
      <c r="E549" s="2" t="s">
        <v>114</v>
      </c>
      <c r="F549" s="2" t="s">
        <v>6583</v>
      </c>
      <c r="G549" s="2" t="s">
        <v>6245</v>
      </c>
    </row>
    <row r="550" ht="15.75" customHeight="1">
      <c r="A550" s="2" t="s">
        <v>7160</v>
      </c>
      <c r="B550" s="2" t="s">
        <v>7161</v>
      </c>
      <c r="C550" s="2" t="s">
        <v>7162</v>
      </c>
      <c r="D550" s="2" t="s">
        <v>7163</v>
      </c>
      <c r="E550" s="2" t="s">
        <v>58</v>
      </c>
      <c r="F550" s="2" t="s">
        <v>7164</v>
      </c>
      <c r="G550" s="2" t="s">
        <v>6245</v>
      </c>
    </row>
    <row r="551" ht="15.75" customHeight="1">
      <c r="A551" s="2" t="s">
        <v>2294</v>
      </c>
      <c r="B551" s="2" t="s">
        <v>2295</v>
      </c>
      <c r="C551" s="2" t="s">
        <v>775</v>
      </c>
      <c r="D551" s="2" t="s">
        <v>2296</v>
      </c>
      <c r="E551" s="2" t="s">
        <v>58</v>
      </c>
      <c r="F551" s="2" t="s">
        <v>7165</v>
      </c>
      <c r="G551" s="2" t="s">
        <v>6248</v>
      </c>
    </row>
    <row r="552" ht="15.75" customHeight="1">
      <c r="A552" s="2" t="s">
        <v>6083</v>
      </c>
      <c r="B552" s="2" t="s">
        <v>6084</v>
      </c>
      <c r="C552" s="2" t="s">
        <v>6085</v>
      </c>
      <c r="D552" s="2" t="s">
        <v>6086</v>
      </c>
      <c r="E552" s="2" t="s">
        <v>6087</v>
      </c>
      <c r="F552" s="2" t="s">
        <v>7166</v>
      </c>
      <c r="G552" s="2" t="s">
        <v>6262</v>
      </c>
    </row>
    <row r="553" ht="15.75" customHeight="1">
      <c r="A553" s="2" t="s">
        <v>5386</v>
      </c>
      <c r="B553" s="2" t="s">
        <v>4419</v>
      </c>
      <c r="C553" s="2" t="s">
        <v>4420</v>
      </c>
      <c r="D553" s="2" t="s">
        <v>5387</v>
      </c>
      <c r="E553" s="2" t="s">
        <v>801</v>
      </c>
      <c r="F553" s="2" t="s">
        <v>7167</v>
      </c>
      <c r="G553" s="2" t="s">
        <v>6273</v>
      </c>
    </row>
    <row r="554" ht="15.75" customHeight="1">
      <c r="A554" s="2" t="s">
        <v>3485</v>
      </c>
      <c r="B554" s="2" t="s">
        <v>2733</v>
      </c>
      <c r="C554" s="2" t="s">
        <v>3486</v>
      </c>
      <c r="E554" s="2" t="s">
        <v>58</v>
      </c>
      <c r="F554" s="2" t="s">
        <v>7168</v>
      </c>
      <c r="G554" s="2" t="s">
        <v>6309</v>
      </c>
    </row>
    <row r="555" ht="15.75" customHeight="1">
      <c r="A555" s="2" t="s">
        <v>716</v>
      </c>
      <c r="B555" s="2" t="s">
        <v>717</v>
      </c>
      <c r="C555" s="2" t="s">
        <v>718</v>
      </c>
      <c r="D555" s="2" t="s">
        <v>719</v>
      </c>
      <c r="E555" s="2" t="s">
        <v>720</v>
      </c>
      <c r="F555" s="2" t="s">
        <v>7169</v>
      </c>
      <c r="G555" s="2" t="s">
        <v>6260</v>
      </c>
    </row>
    <row r="556" ht="15.75" customHeight="1">
      <c r="A556" s="2" t="s">
        <v>539</v>
      </c>
      <c r="B556" s="2" t="s">
        <v>540</v>
      </c>
      <c r="C556" s="2" t="s">
        <v>541</v>
      </c>
      <c r="D556" s="2" t="s">
        <v>2069</v>
      </c>
      <c r="E556" s="2" t="s">
        <v>41</v>
      </c>
      <c r="F556" s="2" t="s">
        <v>7170</v>
      </c>
      <c r="G556" s="2" t="s">
        <v>6239</v>
      </c>
    </row>
    <row r="557" ht="15.75" customHeight="1">
      <c r="A557" s="2" t="s">
        <v>2159</v>
      </c>
      <c r="B557" s="2" t="s">
        <v>2160</v>
      </c>
      <c r="C557" s="2" t="s">
        <v>2161</v>
      </c>
      <c r="D557" s="2" t="s">
        <v>2162</v>
      </c>
      <c r="E557" s="2" t="s">
        <v>364</v>
      </c>
      <c r="F557" s="2" t="s">
        <v>7171</v>
      </c>
      <c r="G557" s="2" t="s">
        <v>6260</v>
      </c>
    </row>
    <row r="558" ht="15.75" customHeight="1">
      <c r="A558" s="2" t="s">
        <v>5734</v>
      </c>
      <c r="B558" s="2" t="s">
        <v>4419</v>
      </c>
      <c r="C558" s="2" t="s">
        <v>5735</v>
      </c>
      <c r="D558" s="2" t="s">
        <v>5736</v>
      </c>
      <c r="E558" s="2" t="s">
        <v>5737</v>
      </c>
      <c r="F558" s="2" t="s">
        <v>7172</v>
      </c>
      <c r="G558" s="2" t="s">
        <v>6237</v>
      </c>
    </row>
    <row r="559" ht="15.75" customHeight="1">
      <c r="A559" s="2" t="s">
        <v>1743</v>
      </c>
      <c r="B559" s="2" t="s">
        <v>1744</v>
      </c>
      <c r="C559" s="2" t="s">
        <v>1745</v>
      </c>
      <c r="D559" s="2" t="s">
        <v>1746</v>
      </c>
      <c r="E559" s="2" t="s">
        <v>564</v>
      </c>
      <c r="F559" s="2" t="s">
        <v>7173</v>
      </c>
      <c r="G559" s="2" t="s">
        <v>6248</v>
      </c>
    </row>
    <row r="560" ht="15.75" customHeight="1">
      <c r="A560" s="2" t="s">
        <v>7174</v>
      </c>
      <c r="B560" s="2" t="s">
        <v>7175</v>
      </c>
      <c r="C560" s="2" t="s">
        <v>7176</v>
      </c>
      <c r="E560" s="2" t="s">
        <v>114</v>
      </c>
      <c r="F560" s="2" t="s">
        <v>7177</v>
      </c>
      <c r="G560" s="2" t="s">
        <v>6273</v>
      </c>
    </row>
    <row r="561" ht="15.75" customHeight="1">
      <c r="A561" s="2" t="s">
        <v>7178</v>
      </c>
      <c r="B561" s="2" t="s">
        <v>7179</v>
      </c>
      <c r="C561" s="2" t="s">
        <v>7180</v>
      </c>
      <c r="D561" s="2" t="s">
        <v>7181</v>
      </c>
      <c r="E561" s="2" t="s">
        <v>25</v>
      </c>
      <c r="F561" s="2" t="s">
        <v>4790</v>
      </c>
      <c r="G561" s="2" t="s">
        <v>6273</v>
      </c>
    </row>
    <row r="562" ht="15.75" customHeight="1">
      <c r="A562" s="2" t="s">
        <v>2669</v>
      </c>
      <c r="B562" s="2" t="s">
        <v>1260</v>
      </c>
      <c r="C562" s="2" t="s">
        <v>2670</v>
      </c>
      <c r="D562" s="2" t="s">
        <v>2671</v>
      </c>
      <c r="E562" s="2" t="s">
        <v>671</v>
      </c>
      <c r="F562" s="2" t="s">
        <v>7110</v>
      </c>
      <c r="G562" s="2" t="s">
        <v>6248</v>
      </c>
    </row>
    <row r="563" ht="15.75" customHeight="1">
      <c r="A563" s="2" t="s">
        <v>1758</v>
      </c>
      <c r="B563" s="2" t="s">
        <v>1759</v>
      </c>
      <c r="C563" s="2" t="s">
        <v>1760</v>
      </c>
      <c r="E563" s="2" t="s">
        <v>608</v>
      </c>
      <c r="F563" s="2" t="s">
        <v>7182</v>
      </c>
      <c r="G563" s="2" t="s">
        <v>6248</v>
      </c>
    </row>
    <row r="564" ht="15.75" customHeight="1">
      <c r="A564" s="2" t="s">
        <v>2762</v>
      </c>
      <c r="B564" s="2" t="s">
        <v>2477</v>
      </c>
      <c r="C564" s="2" t="s">
        <v>2478</v>
      </c>
      <c r="D564" s="2" t="s">
        <v>2763</v>
      </c>
      <c r="E564" s="2" t="s">
        <v>199</v>
      </c>
      <c r="F564" s="2" t="s">
        <v>7183</v>
      </c>
      <c r="G564" s="2" t="s">
        <v>6273</v>
      </c>
    </row>
    <row r="565" ht="15.75" customHeight="1">
      <c r="A565" s="2" t="s">
        <v>3038</v>
      </c>
      <c r="B565" s="2" t="s">
        <v>3039</v>
      </c>
      <c r="C565" s="2" t="s">
        <v>3040</v>
      </c>
      <c r="D565" s="2" t="s">
        <v>3041</v>
      </c>
      <c r="E565" s="2" t="s">
        <v>25</v>
      </c>
      <c r="F565" s="2" t="s">
        <v>6323</v>
      </c>
      <c r="G565" s="2" t="s">
        <v>6309</v>
      </c>
    </row>
    <row r="566" ht="15.75" customHeight="1">
      <c r="A566" s="2" t="s">
        <v>340</v>
      </c>
      <c r="B566" s="2" t="s">
        <v>341</v>
      </c>
      <c r="C566" s="2" t="s">
        <v>342</v>
      </c>
      <c r="D566" s="2" t="s">
        <v>343</v>
      </c>
      <c r="E566" s="2" t="s">
        <v>25</v>
      </c>
      <c r="F566" s="2" t="s">
        <v>7184</v>
      </c>
    </row>
    <row r="567" ht="15.75" customHeight="1">
      <c r="A567" s="2" t="s">
        <v>2501</v>
      </c>
      <c r="B567" s="2" t="s">
        <v>2502</v>
      </c>
      <c r="C567" s="2" t="s">
        <v>2503</v>
      </c>
      <c r="D567" s="2" t="s">
        <v>2504</v>
      </c>
      <c r="E567" s="2" t="s">
        <v>151</v>
      </c>
      <c r="F567" s="2" t="s">
        <v>7185</v>
      </c>
      <c r="G567" s="2" t="s">
        <v>6239</v>
      </c>
    </row>
    <row r="568" ht="15.75" customHeight="1">
      <c r="A568" s="2" t="s">
        <v>5085</v>
      </c>
      <c r="B568" s="2" t="s">
        <v>5086</v>
      </c>
      <c r="C568" s="2" t="s">
        <v>7186</v>
      </c>
      <c r="D568" s="2" t="s">
        <v>5087</v>
      </c>
      <c r="E568" s="2" t="s">
        <v>114</v>
      </c>
      <c r="F568" s="2" t="s">
        <v>7187</v>
      </c>
      <c r="G568" s="2" t="s">
        <v>6309</v>
      </c>
    </row>
    <row r="569" ht="15.75" customHeight="1">
      <c r="A569" s="2" t="s">
        <v>4909</v>
      </c>
      <c r="B569" s="2" t="s">
        <v>2374</v>
      </c>
      <c r="C569" s="2" t="s">
        <v>4910</v>
      </c>
      <c r="D569" s="2" t="s">
        <v>4911</v>
      </c>
      <c r="E569" s="2" t="s">
        <v>25</v>
      </c>
      <c r="F569" s="2" t="s">
        <v>7188</v>
      </c>
      <c r="G569" s="2" t="s">
        <v>6248</v>
      </c>
    </row>
    <row r="570" ht="15.75" customHeight="1">
      <c r="A570" s="2" t="s">
        <v>7189</v>
      </c>
      <c r="B570" s="2" t="s">
        <v>7190</v>
      </c>
      <c r="C570" s="2" t="s">
        <v>7191</v>
      </c>
      <c r="D570" s="2" t="s">
        <v>7192</v>
      </c>
      <c r="E570" s="2" t="s">
        <v>608</v>
      </c>
      <c r="F570" s="2" t="s">
        <v>7193</v>
      </c>
      <c r="G570" s="2" t="s">
        <v>6239</v>
      </c>
    </row>
    <row r="571" ht="15.75" customHeight="1">
      <c r="A571" s="2" t="s">
        <v>980</v>
      </c>
      <c r="B571" s="2" t="s">
        <v>981</v>
      </c>
      <c r="C571" s="2" t="s">
        <v>982</v>
      </c>
      <c r="D571" s="2" t="s">
        <v>983</v>
      </c>
      <c r="E571" s="2" t="s">
        <v>58</v>
      </c>
      <c r="F571" s="2" t="s">
        <v>1231</v>
      </c>
      <c r="G571" s="2" t="s">
        <v>6245</v>
      </c>
    </row>
    <row r="572" ht="15.75" customHeight="1">
      <c r="A572" s="2" t="s">
        <v>5920</v>
      </c>
      <c r="B572" s="2" t="s">
        <v>5921</v>
      </c>
      <c r="C572" s="2" t="s">
        <v>5922</v>
      </c>
      <c r="D572" s="2" t="s">
        <v>5923</v>
      </c>
      <c r="E572" s="2" t="s">
        <v>459</v>
      </c>
      <c r="F572" s="2" t="s">
        <v>7194</v>
      </c>
      <c r="G572" s="2" t="s">
        <v>6273</v>
      </c>
    </row>
    <row r="573" ht="15.75" customHeight="1">
      <c r="A573" s="2" t="s">
        <v>2732</v>
      </c>
      <c r="B573" s="2" t="s">
        <v>2733</v>
      </c>
      <c r="D573" s="2" t="s">
        <v>2734</v>
      </c>
      <c r="E573" s="2" t="s">
        <v>738</v>
      </c>
      <c r="F573" s="2" t="s">
        <v>7195</v>
      </c>
      <c r="G573" s="2" t="s">
        <v>6248</v>
      </c>
    </row>
    <row r="574" ht="15.75" customHeight="1">
      <c r="A574" s="2" t="s">
        <v>2618</v>
      </c>
      <c r="B574" s="2" t="s">
        <v>2619</v>
      </c>
      <c r="C574" s="2" t="s">
        <v>2620</v>
      </c>
      <c r="D574" s="2" t="s">
        <v>2621</v>
      </c>
      <c r="E574" s="2" t="s">
        <v>608</v>
      </c>
      <c r="F574" s="2" t="s">
        <v>7196</v>
      </c>
      <c r="G574" s="2" t="s">
        <v>6237</v>
      </c>
    </row>
    <row r="575" ht="15.75" customHeight="1">
      <c r="A575" s="2" t="s">
        <v>3348</v>
      </c>
      <c r="B575" s="2" t="s">
        <v>2108</v>
      </c>
      <c r="C575" s="2" t="s">
        <v>3349</v>
      </c>
      <c r="D575" s="2" t="s">
        <v>3350</v>
      </c>
      <c r="E575" s="2" t="s">
        <v>1336</v>
      </c>
      <c r="F575" s="2" t="s">
        <v>7197</v>
      </c>
      <c r="G575" s="2" t="s">
        <v>6262</v>
      </c>
    </row>
    <row r="576" ht="15.75" customHeight="1">
      <c r="A576" s="2" t="s">
        <v>1059</v>
      </c>
      <c r="B576" s="2" t="s">
        <v>1060</v>
      </c>
      <c r="C576" s="2" t="s">
        <v>1061</v>
      </c>
      <c r="D576" s="2" t="s">
        <v>1062</v>
      </c>
      <c r="E576" s="2" t="s">
        <v>199</v>
      </c>
      <c r="F576" s="2" t="s">
        <v>7198</v>
      </c>
      <c r="G576" s="2" t="s">
        <v>6309</v>
      </c>
    </row>
    <row r="577" ht="15.75" customHeight="1">
      <c r="A577" s="2" t="s">
        <v>1267</v>
      </c>
      <c r="B577" s="2" t="s">
        <v>3170</v>
      </c>
      <c r="C577" s="2" t="s">
        <v>3171</v>
      </c>
      <c r="D577" s="2" t="s">
        <v>1270</v>
      </c>
      <c r="E577" s="2" t="s">
        <v>139</v>
      </c>
      <c r="F577" s="2" t="s">
        <v>6663</v>
      </c>
      <c r="G577" s="2" t="s">
        <v>6237</v>
      </c>
    </row>
    <row r="578" ht="15.75" customHeight="1">
      <c r="A578" s="2" t="s">
        <v>3542</v>
      </c>
      <c r="B578" s="2" t="s">
        <v>2260</v>
      </c>
      <c r="C578" s="2" t="s">
        <v>3543</v>
      </c>
      <c r="D578" s="2" t="s">
        <v>3544</v>
      </c>
      <c r="E578" s="2" t="s">
        <v>58</v>
      </c>
      <c r="F578" s="2" t="s">
        <v>7199</v>
      </c>
      <c r="G578" s="2" t="s">
        <v>6273</v>
      </c>
    </row>
    <row r="579" ht="15.75" customHeight="1">
      <c r="A579" s="2" t="s">
        <v>4534</v>
      </c>
      <c r="B579" s="2" t="s">
        <v>561</v>
      </c>
      <c r="C579" s="2" t="s">
        <v>4535</v>
      </c>
      <c r="D579" s="2" t="s">
        <v>4536</v>
      </c>
      <c r="E579" s="2" t="s">
        <v>1319</v>
      </c>
      <c r="F579" s="2" t="s">
        <v>7200</v>
      </c>
      <c r="G579" s="2" t="s">
        <v>6237</v>
      </c>
    </row>
    <row r="580" ht="15.75" customHeight="1">
      <c r="A580" s="2" t="s">
        <v>2887</v>
      </c>
      <c r="B580" s="2" t="s">
        <v>2888</v>
      </c>
      <c r="D580" s="2" t="s">
        <v>2889</v>
      </c>
      <c r="E580" s="2" t="s">
        <v>165</v>
      </c>
      <c r="F580" s="2" t="s">
        <v>7201</v>
      </c>
    </row>
    <row r="581" ht="15.75" customHeight="1">
      <c r="A581" s="2" t="s">
        <v>161</v>
      </c>
      <c r="B581" s="2" t="s">
        <v>879</v>
      </c>
      <c r="C581" s="2" t="s">
        <v>163</v>
      </c>
      <c r="D581" s="2" t="s">
        <v>164</v>
      </c>
      <c r="E581" s="2" t="s">
        <v>165</v>
      </c>
      <c r="F581" s="2" t="s">
        <v>7202</v>
      </c>
      <c r="G581" s="2" t="s">
        <v>6273</v>
      </c>
    </row>
    <row r="582" ht="15.75" customHeight="1">
      <c r="A582" s="2" t="s">
        <v>2894</v>
      </c>
      <c r="B582" s="2" t="s">
        <v>2895</v>
      </c>
      <c r="C582" s="2" t="s">
        <v>2896</v>
      </c>
      <c r="D582" s="2" t="s">
        <v>2897</v>
      </c>
      <c r="E582" s="2" t="s">
        <v>777</v>
      </c>
      <c r="F582" s="2" t="s">
        <v>7203</v>
      </c>
    </row>
    <row r="583" ht="15.75" customHeight="1">
      <c r="A583" s="2" t="s">
        <v>7204</v>
      </c>
      <c r="B583" s="2" t="s">
        <v>7205</v>
      </c>
      <c r="C583" s="2" t="s">
        <v>7206</v>
      </c>
      <c r="D583" s="2" t="s">
        <v>7207</v>
      </c>
      <c r="E583" s="2" t="s">
        <v>7208</v>
      </c>
      <c r="F583" s="2" t="s">
        <v>3564</v>
      </c>
    </row>
    <row r="584" ht="15.75" customHeight="1">
      <c r="A584" s="2" t="s">
        <v>7209</v>
      </c>
      <c r="B584" s="2" t="s">
        <v>7210</v>
      </c>
      <c r="C584" s="2" t="s">
        <v>7211</v>
      </c>
      <c r="D584" s="2" t="s">
        <v>7212</v>
      </c>
      <c r="E584" s="2" t="s">
        <v>7213</v>
      </c>
      <c r="F584" s="2" t="s">
        <v>7214</v>
      </c>
    </row>
    <row r="585" ht="15.75" customHeight="1">
      <c r="A585" s="2" t="s">
        <v>3322</v>
      </c>
      <c r="B585" s="2" t="s">
        <v>3323</v>
      </c>
      <c r="C585" s="2" t="s">
        <v>7215</v>
      </c>
      <c r="D585" s="2" t="s">
        <v>3324</v>
      </c>
      <c r="E585" s="2" t="s">
        <v>671</v>
      </c>
      <c r="F585" s="2" t="s">
        <v>7216</v>
      </c>
      <c r="G585" s="2" t="s">
        <v>6260</v>
      </c>
    </row>
    <row r="586" ht="15.75" customHeight="1">
      <c r="A586" s="2" t="s">
        <v>2459</v>
      </c>
      <c r="B586" s="2" t="s">
        <v>2460</v>
      </c>
      <c r="C586" s="2" t="s">
        <v>2461</v>
      </c>
      <c r="D586" s="2" t="s">
        <v>2462</v>
      </c>
      <c r="E586" s="2" t="s">
        <v>165</v>
      </c>
      <c r="F586" s="2" t="s">
        <v>7217</v>
      </c>
      <c r="G586" s="2" t="s">
        <v>6239</v>
      </c>
    </row>
    <row r="587" ht="15.75" customHeight="1">
      <c r="A587" s="2" t="s">
        <v>2107</v>
      </c>
      <c r="B587" s="2" t="s">
        <v>2108</v>
      </c>
      <c r="C587" s="2" t="s">
        <v>7218</v>
      </c>
      <c r="D587" s="2" t="s">
        <v>2109</v>
      </c>
      <c r="E587" s="2" t="s">
        <v>2110</v>
      </c>
      <c r="F587" s="2" t="s">
        <v>4817</v>
      </c>
      <c r="G587" s="2" t="s">
        <v>6260</v>
      </c>
    </row>
    <row r="588" ht="15.75" customHeight="1">
      <c r="A588" s="2" t="s">
        <v>2722</v>
      </c>
      <c r="B588" s="2" t="s">
        <v>717</v>
      </c>
      <c r="C588" s="2" t="s">
        <v>2723</v>
      </c>
      <c r="D588" s="2" t="s">
        <v>2724</v>
      </c>
      <c r="E588" s="2" t="s">
        <v>114</v>
      </c>
      <c r="F588" s="2" t="s">
        <v>7219</v>
      </c>
    </row>
    <row r="589" ht="15.75" customHeight="1">
      <c r="A589" s="2" t="s">
        <v>945</v>
      </c>
      <c r="B589" s="2" t="s">
        <v>946</v>
      </c>
      <c r="C589" s="2" t="s">
        <v>947</v>
      </c>
      <c r="D589" s="2" t="s">
        <v>7220</v>
      </c>
      <c r="E589" s="2" t="s">
        <v>459</v>
      </c>
      <c r="F589" s="2" t="s">
        <v>7221</v>
      </c>
      <c r="G589" s="2" t="s">
        <v>6262</v>
      </c>
    </row>
    <row r="590" ht="15.75" customHeight="1">
      <c r="A590" s="2" t="s">
        <v>7222</v>
      </c>
      <c r="B590" s="2" t="s">
        <v>6061</v>
      </c>
      <c r="C590" s="2" t="s">
        <v>7223</v>
      </c>
      <c r="D590" s="2" t="s">
        <v>7224</v>
      </c>
      <c r="E590" s="2" t="s">
        <v>199</v>
      </c>
      <c r="F590" s="2" t="s">
        <v>7225</v>
      </c>
      <c r="G590" s="2" t="s">
        <v>6309</v>
      </c>
    </row>
    <row r="591" ht="15.75" customHeight="1">
      <c r="A591" s="2" t="s">
        <v>866</v>
      </c>
      <c r="B591" s="2" t="s">
        <v>867</v>
      </c>
      <c r="C591" s="2" t="s">
        <v>868</v>
      </c>
      <c r="D591" s="2" t="s">
        <v>869</v>
      </c>
      <c r="E591" s="2" t="s">
        <v>738</v>
      </c>
      <c r="F591" s="2" t="s">
        <v>7226</v>
      </c>
      <c r="G591" s="2" t="s">
        <v>6245</v>
      </c>
    </row>
    <row r="592" ht="15.75" customHeight="1">
      <c r="A592" s="2" t="s">
        <v>455</v>
      </c>
      <c r="B592" s="2" t="s">
        <v>456</v>
      </c>
      <c r="C592" s="2" t="s">
        <v>457</v>
      </c>
      <c r="D592" s="2" t="s">
        <v>458</v>
      </c>
      <c r="E592" s="2" t="s">
        <v>459</v>
      </c>
      <c r="F592" s="2" t="s">
        <v>7227</v>
      </c>
      <c r="G592" s="2" t="s">
        <v>6309</v>
      </c>
    </row>
    <row r="593" ht="15.75" customHeight="1">
      <c r="A593" s="2" t="s">
        <v>1074</v>
      </c>
      <c r="B593" s="2" t="s">
        <v>1075</v>
      </c>
      <c r="C593" s="2" t="s">
        <v>1076</v>
      </c>
      <c r="D593" s="2" t="s">
        <v>1077</v>
      </c>
      <c r="E593" s="2" t="s">
        <v>1078</v>
      </c>
      <c r="F593" s="2" t="s">
        <v>7228</v>
      </c>
      <c r="G593" s="2" t="s">
        <v>6237</v>
      </c>
    </row>
    <row r="594" ht="15.75" customHeight="1">
      <c r="A594" s="2" t="s">
        <v>3150</v>
      </c>
      <c r="B594" s="2" t="s">
        <v>3151</v>
      </c>
      <c r="D594" s="2" t="s">
        <v>3152</v>
      </c>
      <c r="E594" s="2" t="s">
        <v>671</v>
      </c>
      <c r="F594" s="2" t="s">
        <v>7229</v>
      </c>
      <c r="G594" s="2" t="s">
        <v>6273</v>
      </c>
    </row>
    <row r="595" ht="15.75" customHeight="1">
      <c r="A595" s="2" t="s">
        <v>5028</v>
      </c>
      <c r="B595" s="2" t="s">
        <v>5029</v>
      </c>
      <c r="C595" s="2" t="s">
        <v>5030</v>
      </c>
      <c r="D595" s="2" t="s">
        <v>5031</v>
      </c>
      <c r="E595" s="2" t="s">
        <v>671</v>
      </c>
      <c r="F595" s="2" t="s">
        <v>7230</v>
      </c>
      <c r="G595" s="2" t="s">
        <v>6273</v>
      </c>
    </row>
    <row r="596" ht="15.75" customHeight="1">
      <c r="A596" s="2" t="s">
        <v>7231</v>
      </c>
      <c r="B596" s="2" t="s">
        <v>7232</v>
      </c>
      <c r="C596" s="2" t="s">
        <v>7233</v>
      </c>
      <c r="D596" s="2" t="s">
        <v>7234</v>
      </c>
      <c r="E596" s="2" t="s">
        <v>364</v>
      </c>
      <c r="F596" s="2" t="s">
        <v>7235</v>
      </c>
      <c r="G596" s="2" t="s">
        <v>6239</v>
      </c>
    </row>
    <row r="597" ht="15.75" customHeight="1">
      <c r="A597" s="2" t="s">
        <v>508</v>
      </c>
      <c r="B597" s="2" t="s">
        <v>509</v>
      </c>
      <c r="C597" s="2" t="s">
        <v>510</v>
      </c>
      <c r="D597" s="2" t="s">
        <v>511</v>
      </c>
      <c r="E597" s="2" t="s">
        <v>73</v>
      </c>
      <c r="F597" s="2" t="s">
        <v>7236</v>
      </c>
    </row>
    <row r="598" ht="15.75" customHeight="1">
      <c r="A598" s="2" t="s">
        <v>1444</v>
      </c>
      <c r="B598" s="2" t="s">
        <v>1445</v>
      </c>
      <c r="C598" s="2" t="s">
        <v>2141</v>
      </c>
      <c r="E598" s="2" t="s">
        <v>1446</v>
      </c>
      <c r="F598" s="2" t="s">
        <v>7237</v>
      </c>
      <c r="G598" s="2" t="s">
        <v>6273</v>
      </c>
    </row>
    <row r="599" ht="15.75" customHeight="1">
      <c r="A599" s="2" t="s">
        <v>3470</v>
      </c>
      <c r="B599" s="2" t="s">
        <v>867</v>
      </c>
      <c r="C599" s="2" t="s">
        <v>3471</v>
      </c>
      <c r="D599" s="2" t="s">
        <v>3472</v>
      </c>
      <c r="E599" s="2" t="s">
        <v>1336</v>
      </c>
      <c r="F599" s="2" t="s">
        <v>2402</v>
      </c>
      <c r="G599" s="2" t="s">
        <v>6245</v>
      </c>
    </row>
    <row r="600" ht="15.75" customHeight="1">
      <c r="A600" s="2" t="s">
        <v>2787</v>
      </c>
      <c r="B600" s="2" t="s">
        <v>2788</v>
      </c>
      <c r="C600" s="2" t="s">
        <v>2789</v>
      </c>
      <c r="D600" s="2" t="s">
        <v>2790</v>
      </c>
      <c r="E600" s="2" t="s">
        <v>671</v>
      </c>
      <c r="F600" s="2" t="s">
        <v>7238</v>
      </c>
      <c r="G600" s="2" t="s">
        <v>6273</v>
      </c>
    </row>
    <row r="601" ht="15.75" customHeight="1">
      <c r="A601" s="2" t="s">
        <v>1601</v>
      </c>
      <c r="B601" s="2" t="s">
        <v>1602</v>
      </c>
      <c r="C601" s="2" t="s">
        <v>1603</v>
      </c>
      <c r="D601" s="2" t="s">
        <v>1604</v>
      </c>
      <c r="E601" s="2" t="s">
        <v>1605</v>
      </c>
      <c r="F601" s="2" t="s">
        <v>1275</v>
      </c>
      <c r="G601" s="2" t="s">
        <v>6245</v>
      </c>
    </row>
    <row r="602" ht="15.75" customHeight="1">
      <c r="A602" s="2" t="s">
        <v>2120</v>
      </c>
      <c r="B602" s="2" t="s">
        <v>2121</v>
      </c>
      <c r="C602" s="2" t="s">
        <v>2122</v>
      </c>
      <c r="D602" s="2" t="s">
        <v>2123</v>
      </c>
      <c r="E602" s="2" t="s">
        <v>58</v>
      </c>
      <c r="F602" s="2" t="s">
        <v>7239</v>
      </c>
      <c r="G602" s="2" t="s">
        <v>6245</v>
      </c>
    </row>
    <row r="603" ht="15.75" customHeight="1">
      <c r="A603" s="2" t="s">
        <v>4462</v>
      </c>
      <c r="B603" s="2" t="s">
        <v>4463</v>
      </c>
      <c r="C603" s="2" t="s">
        <v>7240</v>
      </c>
      <c r="D603" s="2" t="s">
        <v>4464</v>
      </c>
      <c r="E603" s="2" t="s">
        <v>4465</v>
      </c>
      <c r="F603" s="2" t="s">
        <v>7241</v>
      </c>
      <c r="G603" s="2" t="s">
        <v>6237</v>
      </c>
    </row>
    <row r="604" ht="15.75" customHeight="1">
      <c r="A604" s="2" t="s">
        <v>1481</v>
      </c>
      <c r="B604" s="2" t="s">
        <v>1482</v>
      </c>
      <c r="C604" s="2" t="s">
        <v>1483</v>
      </c>
      <c r="D604" s="2" t="s">
        <v>1484</v>
      </c>
      <c r="E604" s="2" t="s">
        <v>1177</v>
      </c>
      <c r="F604" s="2" t="s">
        <v>7242</v>
      </c>
      <c r="G604" s="2" t="s">
        <v>6237</v>
      </c>
    </row>
    <row r="605" ht="15.75" customHeight="1">
      <c r="A605" s="2" t="s">
        <v>1777</v>
      </c>
      <c r="B605" s="2" t="s">
        <v>1778</v>
      </c>
      <c r="C605" s="2" t="s">
        <v>1779</v>
      </c>
      <c r="D605" s="2" t="s">
        <v>1780</v>
      </c>
      <c r="E605" s="2" t="s">
        <v>1781</v>
      </c>
      <c r="F605" s="2" t="s">
        <v>7243</v>
      </c>
    </row>
    <row r="606" ht="15.75" customHeight="1">
      <c r="A606" s="2" t="s">
        <v>4903</v>
      </c>
      <c r="B606" s="2" t="s">
        <v>4904</v>
      </c>
      <c r="D606" s="2" t="s">
        <v>4905</v>
      </c>
      <c r="E606" s="2" t="s">
        <v>608</v>
      </c>
      <c r="F606" s="2" t="s">
        <v>7244</v>
      </c>
      <c r="G606" s="2" t="s">
        <v>6239</v>
      </c>
    </row>
    <row r="607" ht="15.75" customHeight="1">
      <c r="A607" s="2" t="s">
        <v>657</v>
      </c>
      <c r="B607" s="2" t="s">
        <v>658</v>
      </c>
      <c r="C607" s="2" t="s">
        <v>659</v>
      </c>
      <c r="D607" s="2" t="s">
        <v>660</v>
      </c>
      <c r="E607" s="2" t="s">
        <v>88</v>
      </c>
      <c r="F607" s="2" t="s">
        <v>7245</v>
      </c>
      <c r="G607" s="2" t="s">
        <v>6262</v>
      </c>
    </row>
    <row r="608" ht="15.75" customHeight="1">
      <c r="A608" s="2" t="s">
        <v>2465</v>
      </c>
      <c r="B608" s="2" t="s">
        <v>2466</v>
      </c>
      <c r="C608" s="2" t="s">
        <v>2467</v>
      </c>
      <c r="D608" s="2" t="s">
        <v>2468</v>
      </c>
      <c r="E608" s="2" t="s">
        <v>25</v>
      </c>
      <c r="F608" s="2" t="s">
        <v>4364</v>
      </c>
      <c r="G608" s="2" t="s">
        <v>6309</v>
      </c>
    </row>
    <row r="609" ht="15.75" customHeight="1">
      <c r="A609" s="2" t="s">
        <v>2635</v>
      </c>
      <c r="B609" s="2" t="s">
        <v>2636</v>
      </c>
      <c r="C609" s="2" t="s">
        <v>2637</v>
      </c>
      <c r="D609" s="2" t="s">
        <v>2638</v>
      </c>
      <c r="E609" s="2" t="s">
        <v>1177</v>
      </c>
      <c r="F609" s="2" t="s">
        <v>7246</v>
      </c>
    </row>
    <row r="610" ht="15.75" customHeight="1">
      <c r="A610" s="2" t="s">
        <v>1419</v>
      </c>
      <c r="B610" s="2" t="s">
        <v>1420</v>
      </c>
      <c r="C610" s="2" t="s">
        <v>1421</v>
      </c>
      <c r="D610" s="2" t="s">
        <v>1422</v>
      </c>
      <c r="E610" s="2" t="s">
        <v>671</v>
      </c>
      <c r="F610" s="2" t="s">
        <v>7247</v>
      </c>
    </row>
    <row r="611" ht="15.75" customHeight="1">
      <c r="A611" s="2" t="s">
        <v>773</v>
      </c>
      <c r="B611" s="2" t="s">
        <v>774</v>
      </c>
      <c r="C611" s="2" t="s">
        <v>775</v>
      </c>
      <c r="D611" s="2" t="s">
        <v>776</v>
      </c>
      <c r="E611" s="2" t="s">
        <v>777</v>
      </c>
      <c r="F611" s="2" t="s">
        <v>5382</v>
      </c>
      <c r="G611" s="2" t="s">
        <v>6262</v>
      </c>
    </row>
    <row r="612" ht="15.75" customHeight="1">
      <c r="A612" s="2" t="s">
        <v>707</v>
      </c>
      <c r="B612" s="2" t="s">
        <v>708</v>
      </c>
      <c r="C612" s="2" t="s">
        <v>709</v>
      </c>
      <c r="D612" s="2" t="s">
        <v>710</v>
      </c>
      <c r="E612" s="2" t="s">
        <v>459</v>
      </c>
      <c r="F612" s="2" t="s">
        <v>7248</v>
      </c>
      <c r="G612" s="2" t="s">
        <v>6309</v>
      </c>
    </row>
    <row r="613" ht="15.75" customHeight="1">
      <c r="A613" s="2" t="s">
        <v>6228</v>
      </c>
      <c r="B613" s="2" t="s">
        <v>6229</v>
      </c>
      <c r="C613" s="2" t="s">
        <v>6230</v>
      </c>
      <c r="D613" s="2" t="s">
        <v>6231</v>
      </c>
      <c r="E613" s="2" t="s">
        <v>58</v>
      </c>
      <c r="F613" s="2" t="s">
        <v>7249</v>
      </c>
      <c r="G613" s="2" t="s">
        <v>6260</v>
      </c>
    </row>
    <row r="614" ht="15.75" customHeight="1">
      <c r="A614" s="2" t="s">
        <v>679</v>
      </c>
      <c r="B614" s="2" t="s">
        <v>680</v>
      </c>
      <c r="C614" s="2" t="s">
        <v>681</v>
      </c>
      <c r="D614" s="2" t="s">
        <v>682</v>
      </c>
      <c r="E614" s="2" t="s">
        <v>199</v>
      </c>
      <c r="F614" s="2" t="s">
        <v>7250</v>
      </c>
      <c r="G614" s="2" t="s">
        <v>6273</v>
      </c>
    </row>
    <row r="615" ht="15.75" customHeight="1">
      <c r="A615" s="2" t="s">
        <v>840</v>
      </c>
      <c r="B615" s="2" t="s">
        <v>841</v>
      </c>
      <c r="C615" s="2" t="s">
        <v>842</v>
      </c>
      <c r="D615" s="2" t="s">
        <v>843</v>
      </c>
      <c r="E615" s="2" t="s">
        <v>25</v>
      </c>
      <c r="F615" s="2" t="s">
        <v>7251</v>
      </c>
      <c r="G615" s="2" t="s">
        <v>6309</v>
      </c>
    </row>
    <row r="616" ht="15.75" customHeight="1">
      <c r="A616" s="2" t="s">
        <v>1962</v>
      </c>
      <c r="B616" s="2" t="s">
        <v>1963</v>
      </c>
      <c r="C616" s="2" t="s">
        <v>1964</v>
      </c>
      <c r="D616" s="2" t="s">
        <v>1965</v>
      </c>
      <c r="E616" s="2" t="s">
        <v>1177</v>
      </c>
      <c r="F616" s="2" t="s">
        <v>7252</v>
      </c>
      <c r="G616" s="2" t="s">
        <v>6273</v>
      </c>
    </row>
    <row r="617" ht="15.75" customHeight="1">
      <c r="A617" s="2" t="s">
        <v>2388</v>
      </c>
      <c r="B617" s="2" t="s">
        <v>2389</v>
      </c>
      <c r="C617" s="2" t="s">
        <v>2390</v>
      </c>
      <c r="D617" s="2" t="s">
        <v>2391</v>
      </c>
      <c r="E617" s="2" t="s">
        <v>448</v>
      </c>
      <c r="F617" s="2" t="s">
        <v>7253</v>
      </c>
      <c r="G617" s="2" t="s">
        <v>6309</v>
      </c>
    </row>
    <row r="618" ht="15.75" customHeight="1">
      <c r="A618" s="2" t="s">
        <v>7254</v>
      </c>
      <c r="B618" s="2" t="s">
        <v>4269</v>
      </c>
      <c r="C618" s="2" t="s">
        <v>7255</v>
      </c>
      <c r="D618" s="2" t="s">
        <v>7256</v>
      </c>
      <c r="E618" s="2" t="s">
        <v>608</v>
      </c>
      <c r="F618" s="2" t="s">
        <v>7257</v>
      </c>
      <c r="G618" s="2" t="s">
        <v>6273</v>
      </c>
    </row>
    <row r="619" ht="15.75" customHeight="1">
      <c r="A619" s="2" t="s">
        <v>2431</v>
      </c>
      <c r="B619" s="2" t="s">
        <v>2432</v>
      </c>
      <c r="C619" s="2" t="s">
        <v>2433</v>
      </c>
      <c r="D619" s="2" t="s">
        <v>2434</v>
      </c>
      <c r="E619" s="2" t="s">
        <v>58</v>
      </c>
      <c r="F619" s="2" t="s">
        <v>7258</v>
      </c>
      <c r="G619" s="2" t="s">
        <v>6237</v>
      </c>
    </row>
    <row r="620" ht="15.75" customHeight="1">
      <c r="A620" s="2" t="s">
        <v>7259</v>
      </c>
      <c r="B620" s="2" t="s">
        <v>3756</v>
      </c>
      <c r="C620" s="2" t="s">
        <v>7260</v>
      </c>
      <c r="D620" s="2" t="s">
        <v>7261</v>
      </c>
      <c r="E620" s="2" t="s">
        <v>7262</v>
      </c>
      <c r="F620" s="2" t="s">
        <v>7263</v>
      </c>
      <c r="G620" s="2" t="s">
        <v>6245</v>
      </c>
    </row>
    <row r="621" ht="15.75" customHeight="1">
      <c r="A621" s="2" t="s">
        <v>7264</v>
      </c>
      <c r="B621" s="2" t="s">
        <v>1242</v>
      </c>
      <c r="C621" s="2" t="s">
        <v>7265</v>
      </c>
      <c r="D621" s="2" t="s">
        <v>7266</v>
      </c>
      <c r="E621" s="2" t="s">
        <v>1319</v>
      </c>
      <c r="F621" s="2" t="s">
        <v>7267</v>
      </c>
      <c r="G621" s="2" t="s">
        <v>6248</v>
      </c>
    </row>
    <row r="622" ht="15.75" customHeight="1">
      <c r="A622" s="2" t="s">
        <v>7268</v>
      </c>
      <c r="B622" s="2" t="s">
        <v>5877</v>
      </c>
      <c r="C622" s="2" t="s">
        <v>7269</v>
      </c>
      <c r="D622" s="2" t="s">
        <v>7270</v>
      </c>
      <c r="E622" s="2" t="s">
        <v>777</v>
      </c>
      <c r="F622" s="2" t="s">
        <v>7271</v>
      </c>
      <c r="G622" s="2" t="s">
        <v>6309</v>
      </c>
    </row>
    <row r="623" ht="15.75" customHeight="1">
      <c r="A623" s="2" t="s">
        <v>3024</v>
      </c>
      <c r="B623" s="2" t="s">
        <v>1794</v>
      </c>
      <c r="C623" s="2" t="s">
        <v>3025</v>
      </c>
      <c r="D623" s="2" t="s">
        <v>3026</v>
      </c>
      <c r="E623" s="2" t="s">
        <v>720</v>
      </c>
      <c r="F623" s="2" t="s">
        <v>7272</v>
      </c>
    </row>
    <row r="624" ht="15.75" customHeight="1">
      <c r="A624" s="2" t="s">
        <v>3299</v>
      </c>
      <c r="B624" s="2" t="s">
        <v>3300</v>
      </c>
      <c r="C624" s="2" t="s">
        <v>3301</v>
      </c>
      <c r="D624" s="2" t="s">
        <v>3302</v>
      </c>
      <c r="E624" s="2" t="s">
        <v>608</v>
      </c>
      <c r="F624" s="2" t="s">
        <v>6514</v>
      </c>
      <c r="G624" s="2" t="s">
        <v>6273</v>
      </c>
    </row>
    <row r="625" ht="15.75" customHeight="1">
      <c r="A625" s="2" t="s">
        <v>2259</v>
      </c>
      <c r="B625" s="2" t="s">
        <v>2260</v>
      </c>
      <c r="C625" s="2" t="s">
        <v>2261</v>
      </c>
      <c r="D625" s="2" t="s">
        <v>2262</v>
      </c>
      <c r="E625" s="2" t="s">
        <v>25</v>
      </c>
      <c r="F625" s="2" t="s">
        <v>7273</v>
      </c>
      <c r="G625" s="2" t="s">
        <v>6309</v>
      </c>
    </row>
    <row r="626" ht="15.75" customHeight="1">
      <c r="A626" s="2" t="s">
        <v>1405</v>
      </c>
      <c r="B626" s="2" t="s">
        <v>1406</v>
      </c>
      <c r="C626" s="2" t="s">
        <v>1407</v>
      </c>
      <c r="D626" s="2" t="s">
        <v>1408</v>
      </c>
      <c r="E626" s="2" t="s">
        <v>364</v>
      </c>
      <c r="F626" s="2" t="s">
        <v>7274</v>
      </c>
    </row>
    <row r="627" ht="15.75" customHeight="1">
      <c r="A627" s="2" t="s">
        <v>2625</v>
      </c>
      <c r="B627" s="2" t="s">
        <v>2626</v>
      </c>
      <c r="C627" s="2" t="s">
        <v>2627</v>
      </c>
      <c r="E627" s="2" t="s">
        <v>421</v>
      </c>
      <c r="F627" s="2" t="s">
        <v>6765</v>
      </c>
      <c r="G627" s="2" t="s">
        <v>6237</v>
      </c>
    </row>
    <row r="628" ht="15.75" customHeight="1">
      <c r="A628" s="2" t="s">
        <v>3847</v>
      </c>
      <c r="B628" s="2" t="s">
        <v>3848</v>
      </c>
      <c r="D628" s="2" t="s">
        <v>3849</v>
      </c>
      <c r="E628" s="2" t="s">
        <v>114</v>
      </c>
      <c r="F628" s="2" t="s">
        <v>7275</v>
      </c>
      <c r="G628" s="2" t="s">
        <v>6262</v>
      </c>
    </row>
    <row r="629" ht="15.75" customHeight="1">
      <c r="A629" s="2" t="s">
        <v>530</v>
      </c>
      <c r="B629" s="2" t="s">
        <v>531</v>
      </c>
      <c r="C629" s="2" t="s">
        <v>532</v>
      </c>
      <c r="D629" s="2" t="s">
        <v>533</v>
      </c>
      <c r="E629" s="2" t="s">
        <v>151</v>
      </c>
      <c r="F629" s="2" t="s">
        <v>7276</v>
      </c>
      <c r="G629" s="2" t="s">
        <v>6239</v>
      </c>
    </row>
    <row r="630" ht="15.75" customHeight="1">
      <c r="A630" s="2" t="s">
        <v>7277</v>
      </c>
      <c r="B630" s="2" t="s">
        <v>7278</v>
      </c>
      <c r="E630" s="2" t="s">
        <v>88</v>
      </c>
      <c r="F630" s="2" t="s">
        <v>7279</v>
      </c>
      <c r="G630" s="2" t="s">
        <v>6262</v>
      </c>
    </row>
    <row r="631" ht="15.75" customHeight="1">
      <c r="A631" s="2" t="s">
        <v>5646</v>
      </c>
      <c r="B631" s="2" t="s">
        <v>5647</v>
      </c>
      <c r="E631" s="2" t="s">
        <v>801</v>
      </c>
      <c r="F631" s="2" t="s">
        <v>7280</v>
      </c>
    </row>
    <row r="632" ht="15.75" customHeight="1">
      <c r="A632" s="2" t="s">
        <v>700</v>
      </c>
      <c r="B632" s="2" t="s">
        <v>701</v>
      </c>
      <c r="E632" s="2" t="s">
        <v>199</v>
      </c>
      <c r="F632" s="2" t="s">
        <v>7281</v>
      </c>
      <c r="G632" s="2" t="s">
        <v>6245</v>
      </c>
    </row>
    <row r="633" ht="15.75" customHeight="1">
      <c r="A633" s="2" t="s">
        <v>7282</v>
      </c>
      <c r="B633" s="2" t="s">
        <v>7283</v>
      </c>
      <c r="D633" s="2" t="s">
        <v>7284</v>
      </c>
      <c r="E633" s="2" t="s">
        <v>421</v>
      </c>
      <c r="F633" s="2" t="s">
        <v>7285</v>
      </c>
      <c r="G633" s="2" t="s">
        <v>6248</v>
      </c>
    </row>
    <row r="634" ht="15.75" customHeight="1">
      <c r="A634" s="2" t="s">
        <v>3030</v>
      </c>
      <c r="B634" s="2" t="s">
        <v>3031</v>
      </c>
      <c r="C634" s="2" t="s">
        <v>3032</v>
      </c>
      <c r="D634" s="2" t="s">
        <v>3033</v>
      </c>
      <c r="E634" s="2" t="s">
        <v>114</v>
      </c>
      <c r="F634" s="2" t="s">
        <v>7286</v>
      </c>
      <c r="G634" s="2" t="s">
        <v>6273</v>
      </c>
    </row>
    <row r="635" ht="15.75" customHeight="1">
      <c r="A635" s="2" t="s">
        <v>1276</v>
      </c>
      <c r="B635" s="2" t="s">
        <v>1277</v>
      </c>
      <c r="C635" s="2" t="s">
        <v>1278</v>
      </c>
      <c r="E635" s="2" t="s">
        <v>199</v>
      </c>
      <c r="F635" s="2" t="s">
        <v>7287</v>
      </c>
      <c r="G635" s="2" t="s">
        <v>6309</v>
      </c>
    </row>
    <row r="636" ht="15.75" customHeight="1">
      <c r="A636" s="2" t="s">
        <v>1653</v>
      </c>
      <c r="B636" s="2" t="s">
        <v>625</v>
      </c>
      <c r="C636" s="2" t="s">
        <v>1654</v>
      </c>
      <c r="D636" s="2" t="s">
        <v>1655</v>
      </c>
      <c r="E636" s="2" t="s">
        <v>801</v>
      </c>
      <c r="F636" s="2" t="s">
        <v>7288</v>
      </c>
      <c r="G636" s="2" t="s">
        <v>6239</v>
      </c>
    </row>
    <row r="637" ht="15.75" customHeight="1">
      <c r="A637" s="2" t="s">
        <v>7289</v>
      </c>
      <c r="B637" s="2" t="s">
        <v>1445</v>
      </c>
      <c r="C637" s="2" t="s">
        <v>7290</v>
      </c>
      <c r="E637" s="2" t="s">
        <v>421</v>
      </c>
      <c r="F637" s="2" t="s">
        <v>7291</v>
      </c>
      <c r="G637" s="2" t="s">
        <v>6245</v>
      </c>
    </row>
    <row r="638" ht="15.75" customHeight="1">
      <c r="A638" s="2" t="s">
        <v>3956</v>
      </c>
      <c r="B638" s="2" t="s">
        <v>3957</v>
      </c>
      <c r="C638" s="2" t="s">
        <v>3958</v>
      </c>
      <c r="D638" s="2" t="s">
        <v>3959</v>
      </c>
      <c r="E638" s="2" t="s">
        <v>188</v>
      </c>
      <c r="F638" s="2" t="s">
        <v>7292</v>
      </c>
      <c r="G638" s="2" t="s">
        <v>6248</v>
      </c>
    </row>
    <row r="639" ht="15.75" customHeight="1">
      <c r="A639" s="2" t="s">
        <v>2655</v>
      </c>
      <c r="B639" s="2" t="s">
        <v>2656</v>
      </c>
      <c r="C639" s="2" t="s">
        <v>2657</v>
      </c>
      <c r="D639" s="2" t="s">
        <v>2658</v>
      </c>
      <c r="E639" s="2" t="s">
        <v>73</v>
      </c>
      <c r="F639" s="2" t="s">
        <v>7293</v>
      </c>
      <c r="G639" s="2" t="s">
        <v>6245</v>
      </c>
    </row>
    <row r="640" ht="15.75" customHeight="1">
      <c r="A640" s="2" t="s">
        <v>5478</v>
      </c>
      <c r="B640" s="2" t="s">
        <v>5479</v>
      </c>
      <c r="C640" s="2" t="s">
        <v>5480</v>
      </c>
      <c r="D640" s="2" t="s">
        <v>5481</v>
      </c>
      <c r="E640" s="2" t="s">
        <v>1319</v>
      </c>
      <c r="F640" s="2" t="s">
        <v>7294</v>
      </c>
      <c r="G640" s="2" t="s">
        <v>6245</v>
      </c>
    </row>
    <row r="641" ht="15.75" customHeight="1">
      <c r="A641" s="2" t="s">
        <v>5604</v>
      </c>
      <c r="B641" s="2" t="s">
        <v>5605</v>
      </c>
      <c r="C641" s="2" t="s">
        <v>5606</v>
      </c>
      <c r="D641" s="2" t="s">
        <v>5607</v>
      </c>
      <c r="E641" s="2" t="s">
        <v>671</v>
      </c>
      <c r="F641" s="2" t="s">
        <v>7295</v>
      </c>
      <c r="G641" s="2" t="s">
        <v>6237</v>
      </c>
    </row>
    <row r="642" ht="15.75" customHeight="1">
      <c r="A642" s="2" t="s">
        <v>4775</v>
      </c>
      <c r="B642" s="2" t="s">
        <v>3705</v>
      </c>
      <c r="C642" s="2" t="s">
        <v>4776</v>
      </c>
      <c r="D642" s="2" t="s">
        <v>4777</v>
      </c>
      <c r="E642" s="2" t="s">
        <v>448</v>
      </c>
      <c r="F642" s="2" t="s">
        <v>7296</v>
      </c>
      <c r="G642" s="2" t="s">
        <v>6273</v>
      </c>
    </row>
    <row r="643" ht="15.75" customHeight="1">
      <c r="A643" s="2" t="s">
        <v>7297</v>
      </c>
      <c r="B643" s="2" t="s">
        <v>7298</v>
      </c>
      <c r="C643" s="2" t="s">
        <v>7299</v>
      </c>
      <c r="D643" s="2" t="s">
        <v>7300</v>
      </c>
      <c r="E643" s="2" t="s">
        <v>41</v>
      </c>
      <c r="F643" s="2" t="s">
        <v>6227</v>
      </c>
      <c r="G643" s="2" t="s">
        <v>6262</v>
      </c>
    </row>
    <row r="644" ht="15.75" customHeight="1">
      <c r="A644" s="2" t="s">
        <v>7301</v>
      </c>
      <c r="B644" s="2" t="s">
        <v>7302</v>
      </c>
      <c r="C644" s="2" t="s">
        <v>7303</v>
      </c>
      <c r="D644" s="2" t="s">
        <v>7304</v>
      </c>
      <c r="E644" s="2" t="s">
        <v>88</v>
      </c>
      <c r="F644" s="2" t="s">
        <v>7305</v>
      </c>
      <c r="G644" s="2" t="s">
        <v>6245</v>
      </c>
    </row>
    <row r="645" ht="15.75" customHeight="1">
      <c r="A645" s="2" t="s">
        <v>21</v>
      </c>
      <c r="B645" s="2" t="s">
        <v>22</v>
      </c>
      <c r="C645" s="2" t="s">
        <v>23</v>
      </c>
      <c r="D645" s="2" t="s">
        <v>24</v>
      </c>
      <c r="E645" s="2" t="s">
        <v>25</v>
      </c>
      <c r="F645" s="2" t="s">
        <v>7306</v>
      </c>
      <c r="G645" s="2" t="s">
        <v>6260</v>
      </c>
    </row>
    <row r="646" ht="15.75" customHeight="1">
      <c r="A646" s="2" t="s">
        <v>7307</v>
      </c>
      <c r="B646" s="2" t="s">
        <v>6304</v>
      </c>
      <c r="C646" s="2" t="s">
        <v>7308</v>
      </c>
      <c r="D646" s="2" t="s">
        <v>7309</v>
      </c>
      <c r="E646" s="2" t="s">
        <v>25</v>
      </c>
      <c r="F646" s="2" t="s">
        <v>7310</v>
      </c>
      <c r="G646" s="2" t="s">
        <v>6237</v>
      </c>
    </row>
    <row r="647" ht="15.75" customHeight="1">
      <c r="A647" s="2" t="s">
        <v>1067</v>
      </c>
      <c r="B647" s="2" t="s">
        <v>1068</v>
      </c>
      <c r="C647" s="2" t="s">
        <v>1069</v>
      </c>
      <c r="D647" s="2" t="s">
        <v>1070</v>
      </c>
      <c r="E647" s="2" t="s">
        <v>165</v>
      </c>
      <c r="F647" s="2" t="s">
        <v>7311</v>
      </c>
      <c r="G647" s="2" t="s">
        <v>6239</v>
      </c>
    </row>
    <row r="648" ht="15.75" customHeight="1">
      <c r="A648" s="2" t="s">
        <v>3232</v>
      </c>
      <c r="B648" s="2" t="s">
        <v>3233</v>
      </c>
      <c r="C648" s="2" t="s">
        <v>3234</v>
      </c>
      <c r="D648" s="2" t="s">
        <v>3235</v>
      </c>
      <c r="E648" s="2" t="s">
        <v>188</v>
      </c>
      <c r="F648" s="2" t="s">
        <v>7312</v>
      </c>
      <c r="G648" s="2" t="s">
        <v>6239</v>
      </c>
    </row>
    <row r="649" ht="15.75" customHeight="1">
      <c r="A649" s="2" t="s">
        <v>6163</v>
      </c>
      <c r="B649" s="2" t="s">
        <v>6164</v>
      </c>
      <c r="C649" s="2" t="s">
        <v>6165</v>
      </c>
      <c r="D649" s="2" t="s">
        <v>6166</v>
      </c>
      <c r="E649" s="2" t="s">
        <v>2491</v>
      </c>
      <c r="F649" s="2" t="s">
        <v>7313</v>
      </c>
      <c r="G649" s="2" t="s">
        <v>6245</v>
      </c>
    </row>
    <row r="650" ht="15.75" customHeight="1">
      <c r="A650" s="2" t="s">
        <v>7314</v>
      </c>
      <c r="B650" s="2" t="s">
        <v>7315</v>
      </c>
      <c r="C650" s="2" t="s">
        <v>7316</v>
      </c>
      <c r="D650" s="2" t="s">
        <v>7317</v>
      </c>
      <c r="E650" s="2" t="s">
        <v>785</v>
      </c>
      <c r="F650" s="2" t="s">
        <v>7318</v>
      </c>
      <c r="G650" s="2" t="s">
        <v>6260</v>
      </c>
    </row>
    <row r="651" ht="15.75" customHeight="1">
      <c r="A651" s="2" t="s">
        <v>7319</v>
      </c>
      <c r="B651" s="2" t="s">
        <v>7320</v>
      </c>
      <c r="C651" s="2" t="s">
        <v>7321</v>
      </c>
      <c r="D651" s="2" t="s">
        <v>7322</v>
      </c>
      <c r="E651" s="2" t="s">
        <v>608</v>
      </c>
      <c r="F651" s="2" t="s">
        <v>7323</v>
      </c>
      <c r="G651" s="2" t="s">
        <v>6245</v>
      </c>
    </row>
    <row r="652" ht="15.75" customHeight="1">
      <c r="A652" s="2" t="s">
        <v>4206</v>
      </c>
      <c r="B652" s="2" t="s">
        <v>1445</v>
      </c>
      <c r="C652" s="2" t="s">
        <v>2141</v>
      </c>
      <c r="D652" s="2" t="s">
        <v>4207</v>
      </c>
      <c r="E652" s="2" t="s">
        <v>608</v>
      </c>
      <c r="F652" s="2" t="s">
        <v>7324</v>
      </c>
      <c r="G652" s="2" t="s">
        <v>6245</v>
      </c>
    </row>
    <row r="653" ht="15.75" customHeight="1">
      <c r="A653" s="2" t="s">
        <v>3714</v>
      </c>
      <c r="B653" s="2" t="s">
        <v>3715</v>
      </c>
      <c r="D653" s="2" t="s">
        <v>3716</v>
      </c>
      <c r="E653" s="2" t="s">
        <v>88</v>
      </c>
      <c r="F653" s="2" t="s">
        <v>7325</v>
      </c>
      <c r="G653" s="2" t="s">
        <v>6245</v>
      </c>
    </row>
    <row r="654" ht="15.75" customHeight="1">
      <c r="A654" s="2" t="s">
        <v>7326</v>
      </c>
      <c r="B654" s="2" t="s">
        <v>7327</v>
      </c>
      <c r="C654" s="2" t="s">
        <v>7328</v>
      </c>
      <c r="D654" s="2" t="s">
        <v>7329</v>
      </c>
      <c r="E654" s="2" t="s">
        <v>88</v>
      </c>
      <c r="F654" s="2" t="s">
        <v>7330</v>
      </c>
      <c r="G654" s="2" t="s">
        <v>6237</v>
      </c>
    </row>
    <row r="655" ht="15.75" customHeight="1">
      <c r="A655" s="2" t="s">
        <v>4365</v>
      </c>
      <c r="B655" s="2" t="s">
        <v>4366</v>
      </c>
      <c r="C655" s="2" t="s">
        <v>4367</v>
      </c>
      <c r="D655" s="2" t="s">
        <v>4368</v>
      </c>
      <c r="E655" s="2" t="s">
        <v>3594</v>
      </c>
      <c r="F655" s="2" t="s">
        <v>7008</v>
      </c>
      <c r="G655" s="2" t="s">
        <v>6248</v>
      </c>
    </row>
    <row r="656" ht="15.75" customHeight="1">
      <c r="A656" s="2" t="s">
        <v>2611</v>
      </c>
      <c r="B656" s="2" t="s">
        <v>2612</v>
      </c>
      <c r="C656" s="2" t="s">
        <v>2613</v>
      </c>
      <c r="D656" s="2" t="s">
        <v>2614</v>
      </c>
      <c r="E656" s="2" t="s">
        <v>114</v>
      </c>
      <c r="F656" s="2" t="s">
        <v>4674</v>
      </c>
      <c r="G656" s="2" t="s">
        <v>6245</v>
      </c>
    </row>
    <row r="657" ht="15.75" customHeight="1">
      <c r="A657" s="2" t="s">
        <v>1411</v>
      </c>
      <c r="B657" s="2" t="s">
        <v>1412</v>
      </c>
      <c r="C657" s="2" t="s">
        <v>1413</v>
      </c>
      <c r="D657" s="2" t="s">
        <v>1414</v>
      </c>
      <c r="E657" s="2" t="s">
        <v>58</v>
      </c>
      <c r="F657" s="2" t="s">
        <v>7331</v>
      </c>
      <c r="G657" s="2" t="s">
        <v>6237</v>
      </c>
    </row>
    <row r="658" ht="15.75" customHeight="1">
      <c r="A658" s="2" t="s">
        <v>7332</v>
      </c>
      <c r="B658" s="2" t="s">
        <v>7333</v>
      </c>
      <c r="C658" s="2" t="s">
        <v>7334</v>
      </c>
      <c r="D658" s="2" t="s">
        <v>7335</v>
      </c>
      <c r="E658" s="2" t="s">
        <v>114</v>
      </c>
      <c r="F658" s="2" t="s">
        <v>7336</v>
      </c>
    </row>
    <row r="659" ht="15.75" customHeight="1">
      <c r="A659" s="2" t="s">
        <v>2969</v>
      </c>
      <c r="B659" s="2" t="s">
        <v>2970</v>
      </c>
      <c r="C659" s="2" t="s">
        <v>2971</v>
      </c>
      <c r="D659" s="2" t="s">
        <v>2972</v>
      </c>
      <c r="E659" s="2" t="s">
        <v>608</v>
      </c>
      <c r="F659" s="2" t="s">
        <v>7337</v>
      </c>
      <c r="G659" s="2" t="s">
        <v>6245</v>
      </c>
    </row>
    <row r="660" ht="15.75" customHeight="1">
      <c r="A660" s="2" t="s">
        <v>875</v>
      </c>
      <c r="B660" s="2" t="s">
        <v>876</v>
      </c>
      <c r="C660" s="2" t="s">
        <v>2706</v>
      </c>
      <c r="D660" s="2" t="s">
        <v>877</v>
      </c>
      <c r="E660" s="2" t="s">
        <v>114</v>
      </c>
      <c r="F660" s="2" t="s">
        <v>7338</v>
      </c>
      <c r="G660" s="2" t="s">
        <v>6309</v>
      </c>
    </row>
    <row r="661" ht="15.75" customHeight="1">
      <c r="A661" s="2" t="s">
        <v>1703</v>
      </c>
      <c r="B661" s="2" t="s">
        <v>1704</v>
      </c>
      <c r="C661" s="2" t="s">
        <v>1705</v>
      </c>
      <c r="D661" s="2" t="s">
        <v>1706</v>
      </c>
      <c r="E661" s="2" t="s">
        <v>25</v>
      </c>
      <c r="F661" s="2" t="s">
        <v>7339</v>
      </c>
      <c r="G661" s="2" t="s">
        <v>6262</v>
      </c>
    </row>
    <row r="662" ht="15.75" customHeight="1">
      <c r="A662" s="2" t="s">
        <v>1050</v>
      </c>
      <c r="B662" s="2" t="s">
        <v>1051</v>
      </c>
      <c r="C662" s="2" t="s">
        <v>1052</v>
      </c>
      <c r="D662" s="2" t="s">
        <v>1053</v>
      </c>
      <c r="E662" s="2" t="s">
        <v>1054</v>
      </c>
      <c r="F662" s="2" t="s">
        <v>6654</v>
      </c>
      <c r="G662" s="2" t="s">
        <v>6248</v>
      </c>
    </row>
    <row r="663" ht="15.75" customHeight="1">
      <c r="A663" s="2" t="s">
        <v>648</v>
      </c>
      <c r="B663" s="2" t="s">
        <v>649</v>
      </c>
      <c r="C663" s="2" t="s">
        <v>650</v>
      </c>
      <c r="D663" s="2" t="s">
        <v>651</v>
      </c>
      <c r="E663" s="2" t="s">
        <v>199</v>
      </c>
      <c r="F663" s="2" t="s">
        <v>7340</v>
      </c>
      <c r="G663" s="2" t="s">
        <v>6245</v>
      </c>
    </row>
    <row r="664" ht="15.75" customHeight="1">
      <c r="A664" s="2" t="s">
        <v>908</v>
      </c>
      <c r="B664" s="2" t="s">
        <v>909</v>
      </c>
      <c r="C664" s="2" t="s">
        <v>910</v>
      </c>
      <c r="D664" s="2" t="s">
        <v>911</v>
      </c>
      <c r="E664" s="2" t="s">
        <v>720</v>
      </c>
      <c r="F664" s="2" t="s">
        <v>7341</v>
      </c>
    </row>
    <row r="665" ht="15.75" customHeight="1">
      <c r="A665" s="2" t="s">
        <v>1089</v>
      </c>
      <c r="B665" s="2" t="s">
        <v>1090</v>
      </c>
      <c r="C665" s="2" t="s">
        <v>1091</v>
      </c>
      <c r="D665" s="2" t="s">
        <v>1092</v>
      </c>
      <c r="E665" s="2" t="s">
        <v>364</v>
      </c>
      <c r="F665" s="2" t="s">
        <v>7342</v>
      </c>
      <c r="G665" s="2" t="s">
        <v>6248</v>
      </c>
    </row>
    <row r="666" ht="15.75" customHeight="1">
      <c r="A666" s="2" t="s">
        <v>7343</v>
      </c>
      <c r="B666" s="2" t="s">
        <v>7344</v>
      </c>
      <c r="C666" s="2" t="s">
        <v>7345</v>
      </c>
      <c r="D666" s="2" t="s">
        <v>7346</v>
      </c>
      <c r="E666" s="2" t="s">
        <v>199</v>
      </c>
      <c r="F666" s="2" t="s">
        <v>7347</v>
      </c>
      <c r="G666" s="2" t="s">
        <v>6309</v>
      </c>
    </row>
    <row r="667" ht="15.75" customHeight="1">
      <c r="A667" s="2" t="s">
        <v>7348</v>
      </c>
      <c r="B667" s="2" t="s">
        <v>7349</v>
      </c>
      <c r="C667" s="2" t="s">
        <v>7350</v>
      </c>
      <c r="D667" s="2" t="s">
        <v>7351</v>
      </c>
      <c r="E667" s="2" t="s">
        <v>671</v>
      </c>
      <c r="F667" s="2" t="s">
        <v>7352</v>
      </c>
      <c r="G667" s="2" t="s">
        <v>6273</v>
      </c>
    </row>
    <row r="668" ht="15.75" customHeight="1">
      <c r="A668" s="2" t="s">
        <v>961</v>
      </c>
      <c r="B668" s="2" t="s">
        <v>962</v>
      </c>
      <c r="C668" s="2" t="s">
        <v>963</v>
      </c>
      <c r="D668" s="2" t="s">
        <v>964</v>
      </c>
      <c r="E668" s="2" t="s">
        <v>139</v>
      </c>
      <c r="F668" s="2" t="s">
        <v>1066</v>
      </c>
      <c r="G668" s="2" t="s">
        <v>6237</v>
      </c>
    </row>
    <row r="669" ht="15.75" customHeight="1">
      <c r="A669" s="2" t="s">
        <v>4357</v>
      </c>
      <c r="B669" s="2" t="s">
        <v>4358</v>
      </c>
      <c r="C669" s="2" t="s">
        <v>4359</v>
      </c>
      <c r="D669" s="2" t="s">
        <v>4360</v>
      </c>
      <c r="E669" s="2" t="s">
        <v>720</v>
      </c>
      <c r="F669" s="2" t="s">
        <v>7353</v>
      </c>
      <c r="G669" s="2" t="s">
        <v>6239</v>
      </c>
    </row>
    <row r="670" ht="15.75" customHeight="1">
      <c r="A670" s="2" t="s">
        <v>821</v>
      </c>
      <c r="B670" s="2" t="s">
        <v>822</v>
      </c>
      <c r="C670" s="2" t="s">
        <v>823</v>
      </c>
      <c r="D670" s="2" t="s">
        <v>3878</v>
      </c>
      <c r="E670" s="2" t="s">
        <v>199</v>
      </c>
      <c r="F670" s="2" t="s">
        <v>3253</v>
      </c>
      <c r="G670" s="2" t="s">
        <v>6248</v>
      </c>
    </row>
    <row r="671" ht="15.75" customHeight="1">
      <c r="A671" s="2" t="s">
        <v>2569</v>
      </c>
      <c r="B671" s="2" t="s">
        <v>2570</v>
      </c>
      <c r="C671" s="2" t="s">
        <v>2571</v>
      </c>
      <c r="D671" s="2" t="s">
        <v>2572</v>
      </c>
      <c r="E671" s="2" t="s">
        <v>25</v>
      </c>
      <c r="F671" s="2" t="s">
        <v>7354</v>
      </c>
      <c r="G671" s="2" t="s">
        <v>6237</v>
      </c>
    </row>
    <row r="672" ht="15.75" customHeight="1">
      <c r="A672" s="2" t="s">
        <v>2061</v>
      </c>
      <c r="B672" s="2" t="s">
        <v>2062</v>
      </c>
      <c r="C672" s="2" t="s">
        <v>2063</v>
      </c>
      <c r="D672" s="2" t="s">
        <v>2064</v>
      </c>
      <c r="E672" s="2" t="s">
        <v>25</v>
      </c>
      <c r="F672" s="2" t="s">
        <v>7355</v>
      </c>
    </row>
    <row r="673" ht="15.75" customHeight="1">
      <c r="A673" s="2" t="s">
        <v>3927</v>
      </c>
      <c r="B673" s="2" t="s">
        <v>3928</v>
      </c>
      <c r="C673" s="2" t="s">
        <v>1127</v>
      </c>
      <c r="D673" s="2" t="s">
        <v>3929</v>
      </c>
      <c r="E673" s="2" t="s">
        <v>58</v>
      </c>
      <c r="F673" s="2" t="s">
        <v>7356</v>
      </c>
    </row>
    <row r="674" ht="15.75" customHeight="1">
      <c r="A674" s="2" t="s">
        <v>3424</v>
      </c>
      <c r="B674" s="2" t="s">
        <v>3425</v>
      </c>
      <c r="C674" s="2" t="s">
        <v>3426</v>
      </c>
      <c r="D674" s="2" t="s">
        <v>3427</v>
      </c>
      <c r="E674" s="2" t="s">
        <v>3428</v>
      </c>
      <c r="F674" s="2" t="s">
        <v>7357</v>
      </c>
      <c r="G674" s="2" t="s">
        <v>6239</v>
      </c>
    </row>
    <row r="675" ht="15.75" customHeight="1">
      <c r="A675" s="2" t="s">
        <v>1315</v>
      </c>
      <c r="B675" s="2" t="s">
        <v>1316</v>
      </c>
      <c r="C675" s="2" t="s">
        <v>1317</v>
      </c>
      <c r="D675" s="2" t="s">
        <v>1318</v>
      </c>
      <c r="E675" s="2" t="s">
        <v>1319</v>
      </c>
      <c r="F675" s="2" t="s">
        <v>7358</v>
      </c>
      <c r="G675" s="2" t="s">
        <v>6237</v>
      </c>
    </row>
    <row r="676" ht="15.75" customHeight="1">
      <c r="A676" s="2" t="s">
        <v>7359</v>
      </c>
      <c r="B676" s="2" t="s">
        <v>7360</v>
      </c>
      <c r="E676" s="2" t="s">
        <v>3594</v>
      </c>
      <c r="F676" s="2" t="s">
        <v>7361</v>
      </c>
      <c r="G676" s="2" t="s">
        <v>6237</v>
      </c>
    </row>
    <row r="677" ht="15.75" customHeight="1">
      <c r="A677" s="2" t="s">
        <v>5269</v>
      </c>
      <c r="B677" s="2" t="s">
        <v>5270</v>
      </c>
      <c r="C677" s="2" t="s">
        <v>5271</v>
      </c>
      <c r="D677" s="2" t="s">
        <v>5272</v>
      </c>
      <c r="E677" s="2" t="s">
        <v>1177</v>
      </c>
      <c r="F677" s="2" t="s">
        <v>7362</v>
      </c>
      <c r="G677" s="2" t="s">
        <v>6245</v>
      </c>
    </row>
    <row r="678" ht="15.75" customHeight="1">
      <c r="A678" s="2" t="s">
        <v>7363</v>
      </c>
      <c r="B678" s="2" t="s">
        <v>7364</v>
      </c>
      <c r="C678" s="2" t="s">
        <v>7365</v>
      </c>
      <c r="D678" s="2" t="s">
        <v>7366</v>
      </c>
      <c r="E678" s="2" t="s">
        <v>7367</v>
      </c>
      <c r="F678" s="2" t="s">
        <v>1831</v>
      </c>
      <c r="G678" s="2" t="s">
        <v>6245</v>
      </c>
    </row>
    <row r="679" ht="15.75" customHeight="1">
      <c r="A679" s="2" t="s">
        <v>1571</v>
      </c>
      <c r="B679" s="2" t="s">
        <v>1572</v>
      </c>
      <c r="C679" s="2" t="s">
        <v>1573</v>
      </c>
      <c r="D679" s="2" t="s">
        <v>1574</v>
      </c>
      <c r="E679" s="2" t="s">
        <v>114</v>
      </c>
      <c r="F679" s="2" t="s">
        <v>2475</v>
      </c>
      <c r="G679" s="2" t="s">
        <v>6309</v>
      </c>
    </row>
    <row r="680" ht="15.75" customHeight="1">
      <c r="A680" s="2" t="s">
        <v>172</v>
      </c>
      <c r="B680" s="2" t="s">
        <v>173</v>
      </c>
      <c r="C680" s="2" t="s">
        <v>174</v>
      </c>
      <c r="D680" s="2" t="s">
        <v>175</v>
      </c>
      <c r="E680" s="2" t="s">
        <v>58</v>
      </c>
      <c r="F680" s="2" t="s">
        <v>7368</v>
      </c>
      <c r="G680" s="2" t="s">
        <v>6260</v>
      </c>
    </row>
    <row r="681" ht="15.75" customHeight="1">
      <c r="A681" s="2" t="s">
        <v>7369</v>
      </c>
      <c r="B681" s="2" t="s">
        <v>2649</v>
      </c>
      <c r="C681" s="2" t="s">
        <v>7370</v>
      </c>
      <c r="D681" s="2" t="s">
        <v>7371</v>
      </c>
      <c r="E681" s="2" t="s">
        <v>188</v>
      </c>
      <c r="F681" s="2" t="s">
        <v>7372</v>
      </c>
      <c r="G681" s="2" t="s">
        <v>6248</v>
      </c>
    </row>
    <row r="682" ht="15.75" customHeight="1">
      <c r="A682" s="2" t="s">
        <v>812</v>
      </c>
      <c r="B682" s="2" t="s">
        <v>813</v>
      </c>
      <c r="D682" s="2" t="s">
        <v>814</v>
      </c>
      <c r="E682" s="2" t="s">
        <v>114</v>
      </c>
      <c r="F682" s="2" t="s">
        <v>7373</v>
      </c>
      <c r="G682" s="2" t="s">
        <v>6237</v>
      </c>
    </row>
    <row r="683" ht="15.75" customHeight="1">
      <c r="A683" s="2" t="s">
        <v>1119</v>
      </c>
      <c r="B683" s="2" t="s">
        <v>1120</v>
      </c>
      <c r="D683" s="2" t="s">
        <v>1121</v>
      </c>
      <c r="E683" s="2" t="s">
        <v>199</v>
      </c>
      <c r="F683" s="2" t="s">
        <v>7374</v>
      </c>
      <c r="G683" s="2" t="s">
        <v>6239</v>
      </c>
    </row>
    <row r="684" ht="15.75" customHeight="1">
      <c r="A684" s="2" t="s">
        <v>7375</v>
      </c>
      <c r="B684" s="2" t="s">
        <v>7376</v>
      </c>
      <c r="C684" s="2" t="s">
        <v>6801</v>
      </c>
      <c r="D684" s="2" t="s">
        <v>7377</v>
      </c>
      <c r="E684" s="2" t="s">
        <v>1319</v>
      </c>
      <c r="F684" s="2" t="s">
        <v>7378</v>
      </c>
      <c r="G684" s="2" t="s">
        <v>6260</v>
      </c>
    </row>
    <row r="685" ht="15.75" customHeight="1">
      <c r="A685" s="2" t="s">
        <v>5869</v>
      </c>
      <c r="B685" s="2" t="s">
        <v>5870</v>
      </c>
      <c r="C685" s="2" t="s">
        <v>5871</v>
      </c>
      <c r="D685" s="2" t="s">
        <v>5872</v>
      </c>
      <c r="E685" s="2" t="s">
        <v>785</v>
      </c>
      <c r="F685" s="2" t="s">
        <v>7379</v>
      </c>
      <c r="G685" s="2" t="s">
        <v>6273</v>
      </c>
    </row>
    <row r="686" ht="15.75" customHeight="1">
      <c r="A686" s="2" t="s">
        <v>4658</v>
      </c>
      <c r="B686" s="2" t="s">
        <v>4659</v>
      </c>
      <c r="D686" s="2" t="s">
        <v>4660</v>
      </c>
      <c r="E686" s="2" t="s">
        <v>671</v>
      </c>
      <c r="F686" s="2" t="s">
        <v>7380</v>
      </c>
    </row>
    <row r="687" ht="15.75" customHeight="1">
      <c r="A687" s="2" t="s">
        <v>5652</v>
      </c>
      <c r="B687" s="2" t="s">
        <v>5653</v>
      </c>
      <c r="C687" s="2" t="s">
        <v>5654</v>
      </c>
      <c r="D687" s="2" t="s">
        <v>5655</v>
      </c>
      <c r="E687" s="2" t="s">
        <v>671</v>
      </c>
      <c r="F687" s="2" t="s">
        <v>7381</v>
      </c>
      <c r="G687" s="2" t="s">
        <v>6262</v>
      </c>
    </row>
    <row r="688" ht="15.75" customHeight="1">
      <c r="A688" s="2" t="s">
        <v>1945</v>
      </c>
      <c r="B688" s="2" t="s">
        <v>1946</v>
      </c>
      <c r="C688" s="2" t="s">
        <v>1947</v>
      </c>
      <c r="D688" s="2" t="s">
        <v>1948</v>
      </c>
      <c r="E688" s="2" t="s">
        <v>1054</v>
      </c>
      <c r="F688" s="2" t="s">
        <v>7382</v>
      </c>
      <c r="G688" s="2" t="s">
        <v>6245</v>
      </c>
    </row>
    <row r="689" ht="15.75" customHeight="1">
      <c r="A689" s="2" t="s">
        <v>3917</v>
      </c>
      <c r="B689" s="2" t="s">
        <v>2452</v>
      </c>
      <c r="C689" s="2" t="s">
        <v>3918</v>
      </c>
      <c r="D689" s="2" t="s">
        <v>3919</v>
      </c>
      <c r="E689" s="2" t="s">
        <v>608</v>
      </c>
      <c r="F689" s="2" t="s">
        <v>7383</v>
      </c>
      <c r="G689" s="2" t="s">
        <v>6245</v>
      </c>
    </row>
    <row r="690" ht="15.75" customHeight="1">
      <c r="A690" s="2" t="s">
        <v>3979</v>
      </c>
      <c r="B690" s="2" t="s">
        <v>3980</v>
      </c>
      <c r="C690" s="2" t="s">
        <v>3981</v>
      </c>
      <c r="D690" s="2" t="s">
        <v>3982</v>
      </c>
      <c r="E690" s="2" t="s">
        <v>399</v>
      </c>
      <c r="F690" s="2" t="s">
        <v>7384</v>
      </c>
      <c r="G690" s="2" t="s">
        <v>6237</v>
      </c>
    </row>
    <row r="691" ht="15.75" customHeight="1">
      <c r="A691" s="2" t="s">
        <v>7385</v>
      </c>
      <c r="B691" s="2" t="s">
        <v>7386</v>
      </c>
      <c r="C691" s="2" t="s">
        <v>7387</v>
      </c>
      <c r="D691" s="2" t="s">
        <v>7388</v>
      </c>
      <c r="E691" s="2" t="s">
        <v>199</v>
      </c>
      <c r="F691" s="2" t="s">
        <v>7389</v>
      </c>
      <c r="G691" s="2" t="s">
        <v>6245</v>
      </c>
    </row>
    <row r="692" ht="15.75" customHeight="1">
      <c r="A692" s="2" t="s">
        <v>4832</v>
      </c>
      <c r="B692" s="2" t="s">
        <v>4833</v>
      </c>
      <c r="C692" s="2" t="s">
        <v>4834</v>
      </c>
      <c r="D692" s="2" t="s">
        <v>4835</v>
      </c>
      <c r="E692" s="2" t="s">
        <v>448</v>
      </c>
      <c r="F692" s="2" t="s">
        <v>7390</v>
      </c>
      <c r="G692" s="2" t="s">
        <v>6237</v>
      </c>
    </row>
    <row r="693" ht="15.75" customHeight="1">
      <c r="A693" s="2" t="s">
        <v>2016</v>
      </c>
      <c r="B693" s="2" t="s">
        <v>2017</v>
      </c>
      <c r="C693" s="2" t="s">
        <v>2018</v>
      </c>
      <c r="D693" s="2" t="s">
        <v>2019</v>
      </c>
      <c r="E693" s="2" t="s">
        <v>564</v>
      </c>
      <c r="F693" s="2" t="s">
        <v>7391</v>
      </c>
      <c r="G693" s="2" t="s">
        <v>6262</v>
      </c>
    </row>
    <row r="694" ht="15.75" customHeight="1">
      <c r="A694" s="2" t="s">
        <v>3067</v>
      </c>
      <c r="B694" s="2" t="s">
        <v>3068</v>
      </c>
      <c r="C694" s="2" t="s">
        <v>3069</v>
      </c>
      <c r="D694" s="2" t="s">
        <v>3070</v>
      </c>
      <c r="E694" s="2" t="s">
        <v>785</v>
      </c>
      <c r="F694" s="2" t="s">
        <v>6583</v>
      </c>
      <c r="G694" s="2" t="s">
        <v>6248</v>
      </c>
    </row>
    <row r="695" ht="15.75" customHeight="1">
      <c r="A695" s="2" t="s">
        <v>3704</v>
      </c>
      <c r="B695" s="2" t="s">
        <v>3705</v>
      </c>
      <c r="C695" s="2" t="s">
        <v>3706</v>
      </c>
      <c r="D695" s="2" t="s">
        <v>3707</v>
      </c>
      <c r="E695" s="2" t="s">
        <v>459</v>
      </c>
      <c r="F695" s="2" t="s">
        <v>7392</v>
      </c>
      <c r="G695" s="2" t="s">
        <v>6260</v>
      </c>
    </row>
    <row r="696" ht="15.75" customHeight="1">
      <c r="A696" s="2" t="s">
        <v>4418</v>
      </c>
      <c r="B696" s="2" t="s">
        <v>4419</v>
      </c>
      <c r="C696" s="2" t="s">
        <v>4420</v>
      </c>
      <c r="D696" s="2" t="s">
        <v>4421</v>
      </c>
      <c r="E696" s="2" t="s">
        <v>4422</v>
      </c>
      <c r="F696" s="2" t="s">
        <v>5404</v>
      </c>
      <c r="G696" s="2" t="s">
        <v>6245</v>
      </c>
    </row>
    <row r="697" ht="15.75" customHeight="1">
      <c r="A697" s="2" t="s">
        <v>7393</v>
      </c>
      <c r="B697" s="2" t="s">
        <v>7394</v>
      </c>
      <c r="C697" s="2" t="s">
        <v>7395</v>
      </c>
      <c r="D697" s="2" t="s">
        <v>7396</v>
      </c>
      <c r="E697" s="2" t="s">
        <v>58</v>
      </c>
      <c r="F697" s="2" t="s">
        <v>7397</v>
      </c>
      <c r="G697" s="2" t="s">
        <v>6239</v>
      </c>
    </row>
    <row r="698" ht="15.75" customHeight="1">
      <c r="A698" s="2" t="s">
        <v>4507</v>
      </c>
      <c r="B698" s="2" t="s">
        <v>2693</v>
      </c>
      <c r="C698" s="2" t="s">
        <v>4508</v>
      </c>
      <c r="D698" s="2" t="s">
        <v>4509</v>
      </c>
      <c r="E698" s="2" t="s">
        <v>421</v>
      </c>
      <c r="F698" s="2" t="s">
        <v>7398</v>
      </c>
      <c r="G698" s="2" t="s">
        <v>6260</v>
      </c>
    </row>
    <row r="699" ht="15.75" customHeight="1">
      <c r="A699" s="2" t="s">
        <v>7399</v>
      </c>
      <c r="B699" s="2" t="s">
        <v>7400</v>
      </c>
      <c r="C699" s="2" t="s">
        <v>7401</v>
      </c>
      <c r="D699" s="2" t="s">
        <v>7402</v>
      </c>
      <c r="E699" s="2" t="s">
        <v>58</v>
      </c>
      <c r="F699" s="2" t="s">
        <v>7403</v>
      </c>
    </row>
    <row r="700" ht="15.75" customHeight="1">
      <c r="A700" s="2" t="s">
        <v>5821</v>
      </c>
      <c r="B700" s="2" t="s">
        <v>5822</v>
      </c>
      <c r="C700" s="2" t="s">
        <v>5823</v>
      </c>
      <c r="D700" s="2" t="s">
        <v>5824</v>
      </c>
      <c r="E700" s="2" t="s">
        <v>459</v>
      </c>
      <c r="F700" s="2" t="s">
        <v>7404</v>
      </c>
      <c r="G700" s="2" t="s">
        <v>6245</v>
      </c>
    </row>
    <row r="701" ht="15.75" customHeight="1">
      <c r="A701" s="2" t="s">
        <v>3895</v>
      </c>
      <c r="B701" s="2" t="s">
        <v>3896</v>
      </c>
      <c r="C701" s="2" t="s">
        <v>3897</v>
      </c>
      <c r="D701" s="2" t="s">
        <v>3898</v>
      </c>
      <c r="E701" s="2" t="s">
        <v>25</v>
      </c>
      <c r="F701" s="2" t="s">
        <v>7405</v>
      </c>
      <c r="G701" s="2" t="s">
        <v>6237</v>
      </c>
    </row>
    <row r="702" ht="15.75" customHeight="1">
      <c r="A702" s="2" t="s">
        <v>667</v>
      </c>
      <c r="B702" s="2" t="s">
        <v>668</v>
      </c>
      <c r="C702" s="2" t="s">
        <v>669</v>
      </c>
      <c r="D702" s="2" t="s">
        <v>670</v>
      </c>
      <c r="E702" s="2" t="s">
        <v>671</v>
      </c>
      <c r="F702" s="2" t="s">
        <v>7406</v>
      </c>
      <c r="G702" s="2" t="s">
        <v>6248</v>
      </c>
    </row>
    <row r="703" ht="15.75" customHeight="1">
      <c r="A703" s="2" t="s">
        <v>5405</v>
      </c>
      <c r="B703" s="2" t="s">
        <v>4044</v>
      </c>
      <c r="C703" s="2" t="s">
        <v>5406</v>
      </c>
      <c r="D703" s="2" t="s">
        <v>5407</v>
      </c>
      <c r="E703" s="2" t="s">
        <v>5408</v>
      </c>
      <c r="F703" s="2" t="s">
        <v>7407</v>
      </c>
      <c r="G703" s="2" t="s">
        <v>6245</v>
      </c>
    </row>
    <row r="704" ht="15.75" customHeight="1">
      <c r="A704" s="2" t="s">
        <v>2776</v>
      </c>
      <c r="B704" s="2" t="s">
        <v>2777</v>
      </c>
      <c r="C704" s="2" t="s">
        <v>2778</v>
      </c>
      <c r="D704" s="2" t="s">
        <v>2779</v>
      </c>
      <c r="E704" s="2" t="s">
        <v>2780</v>
      </c>
      <c r="F704" s="2" t="s">
        <v>7408</v>
      </c>
      <c r="G704" s="2" t="s">
        <v>6237</v>
      </c>
    </row>
    <row r="705" ht="15.75" customHeight="1">
      <c r="A705" s="2" t="s">
        <v>54</v>
      </c>
      <c r="B705" s="2" t="s">
        <v>55</v>
      </c>
      <c r="C705" s="2" t="s">
        <v>56</v>
      </c>
      <c r="D705" s="2" t="s">
        <v>57</v>
      </c>
      <c r="E705" s="2" t="s">
        <v>58</v>
      </c>
      <c r="F705" s="2" t="s">
        <v>7409</v>
      </c>
    </row>
    <row r="706" ht="15.75" customHeight="1">
      <c r="A706" s="2" t="s">
        <v>5671</v>
      </c>
      <c r="B706" s="2" t="s">
        <v>5672</v>
      </c>
      <c r="C706" s="2" t="s">
        <v>5673</v>
      </c>
      <c r="D706" s="2" t="s">
        <v>5674</v>
      </c>
      <c r="E706" s="2" t="s">
        <v>671</v>
      </c>
      <c r="F706" s="2" t="s">
        <v>7410</v>
      </c>
      <c r="G706" s="2" t="s">
        <v>6248</v>
      </c>
    </row>
    <row r="707" ht="15.75" customHeight="1">
      <c r="A707" s="2" t="s">
        <v>297</v>
      </c>
      <c r="B707" s="2" t="s">
        <v>298</v>
      </c>
      <c r="C707" s="2" t="s">
        <v>299</v>
      </c>
      <c r="D707" s="2" t="s">
        <v>300</v>
      </c>
      <c r="E707" s="2" t="s">
        <v>139</v>
      </c>
      <c r="F707" s="2" t="s">
        <v>7411</v>
      </c>
      <c r="G707" s="2" t="s">
        <v>6260</v>
      </c>
    </row>
    <row r="708" ht="15.75" customHeight="1">
      <c r="A708" s="2" t="s">
        <v>935</v>
      </c>
      <c r="B708" s="2" t="s">
        <v>936</v>
      </c>
      <c r="C708" s="2" t="s">
        <v>937</v>
      </c>
      <c r="D708" s="2" t="s">
        <v>938</v>
      </c>
      <c r="E708" s="2" t="s">
        <v>199</v>
      </c>
      <c r="F708" s="2" t="s">
        <v>7412</v>
      </c>
      <c r="G708" s="2" t="s">
        <v>6239</v>
      </c>
    </row>
    <row r="709" ht="15.75" customHeight="1">
      <c r="A709" s="2" t="s">
        <v>1697</v>
      </c>
      <c r="B709" s="2" t="s">
        <v>1698</v>
      </c>
      <c r="C709" s="2" t="s">
        <v>2518</v>
      </c>
      <c r="D709" s="2" t="s">
        <v>1699</v>
      </c>
      <c r="E709" s="2" t="s">
        <v>608</v>
      </c>
      <c r="F709" s="2" t="s">
        <v>7413</v>
      </c>
      <c r="G709" s="2" t="s">
        <v>6239</v>
      </c>
    </row>
    <row r="710" ht="15.75" customHeight="1">
      <c r="A710" s="2" t="s">
        <v>2222</v>
      </c>
      <c r="B710" s="2" t="s">
        <v>2223</v>
      </c>
      <c r="C710" s="2" t="s">
        <v>2224</v>
      </c>
      <c r="D710" s="2" t="s">
        <v>2225</v>
      </c>
      <c r="E710" s="2" t="s">
        <v>1078</v>
      </c>
      <c r="F710" s="2" t="s">
        <v>7414</v>
      </c>
      <c r="G710" s="2" t="s">
        <v>6260</v>
      </c>
    </row>
    <row r="711" ht="15.75" customHeight="1">
      <c r="A711" s="2" t="s">
        <v>5416</v>
      </c>
      <c r="B711" s="2" t="s">
        <v>1387</v>
      </c>
      <c r="C711" s="2" t="s">
        <v>5417</v>
      </c>
      <c r="E711" s="2" t="s">
        <v>1054</v>
      </c>
      <c r="F711" s="2" t="s">
        <v>7415</v>
      </c>
      <c r="G711" s="2" t="s">
        <v>6273</v>
      </c>
    </row>
    <row r="712" ht="15.75" customHeight="1">
      <c r="A712" s="2" t="s">
        <v>1898</v>
      </c>
      <c r="B712" s="2" t="s">
        <v>887</v>
      </c>
      <c r="C712" s="2" t="s">
        <v>1899</v>
      </c>
      <c r="D712" s="2" t="s">
        <v>1900</v>
      </c>
      <c r="E712" s="2" t="s">
        <v>459</v>
      </c>
      <c r="F712" s="2" t="s">
        <v>7416</v>
      </c>
      <c r="G712" s="2" t="s">
        <v>6248</v>
      </c>
    </row>
    <row r="713" ht="15.75" customHeight="1">
      <c r="A713" s="2" t="s">
        <v>7417</v>
      </c>
      <c r="B713" s="2" t="s">
        <v>7418</v>
      </c>
      <c r="C713" s="2" t="s">
        <v>7419</v>
      </c>
      <c r="D713" s="2" t="s">
        <v>7420</v>
      </c>
      <c r="E713" s="2" t="s">
        <v>5408</v>
      </c>
      <c r="F713" s="2" t="s">
        <v>7421</v>
      </c>
      <c r="G713" s="2" t="s">
        <v>6309</v>
      </c>
    </row>
    <row r="714" ht="15.75" customHeight="1">
      <c r="A714" s="2" t="s">
        <v>1904</v>
      </c>
      <c r="B714" s="2" t="s">
        <v>1905</v>
      </c>
      <c r="C714" s="2" t="s">
        <v>1906</v>
      </c>
      <c r="D714" s="2" t="s">
        <v>1907</v>
      </c>
      <c r="E714" s="2" t="s">
        <v>188</v>
      </c>
      <c r="F714" s="2" t="s">
        <v>7422</v>
      </c>
      <c r="G714" s="2" t="s">
        <v>6260</v>
      </c>
    </row>
    <row r="715" ht="15.75" customHeight="1">
      <c r="A715" s="2" t="s">
        <v>3736</v>
      </c>
      <c r="B715" s="2" t="s">
        <v>3737</v>
      </c>
      <c r="C715" s="2" t="s">
        <v>3738</v>
      </c>
      <c r="D715" s="2" t="s">
        <v>3739</v>
      </c>
      <c r="E715" s="2" t="s">
        <v>421</v>
      </c>
      <c r="F715" s="2" t="s">
        <v>7423</v>
      </c>
      <c r="G715" s="2" t="s">
        <v>6309</v>
      </c>
    </row>
    <row r="716" ht="15.75" customHeight="1">
      <c r="A716" s="2" t="s">
        <v>7424</v>
      </c>
      <c r="B716" s="2" t="s">
        <v>7425</v>
      </c>
      <c r="C716" s="2" t="s">
        <v>7426</v>
      </c>
      <c r="D716" s="2" t="s">
        <v>7427</v>
      </c>
      <c r="E716" s="2" t="s">
        <v>7428</v>
      </c>
      <c r="F716" s="2" t="s">
        <v>7429</v>
      </c>
      <c r="G716" s="2" t="s">
        <v>6245</v>
      </c>
    </row>
    <row r="717" ht="15.75" customHeight="1">
      <c r="A717" s="2" t="s">
        <v>3868</v>
      </c>
      <c r="B717" s="2" t="s">
        <v>3869</v>
      </c>
      <c r="C717" s="2" t="s">
        <v>3870</v>
      </c>
      <c r="D717" s="2" t="s">
        <v>3871</v>
      </c>
      <c r="E717" s="2" t="s">
        <v>387</v>
      </c>
      <c r="F717" s="2" t="s">
        <v>7430</v>
      </c>
      <c r="G717" s="2" t="s">
        <v>6273</v>
      </c>
    </row>
    <row r="718" ht="15.75" customHeight="1">
      <c r="A718" s="2" t="s">
        <v>3215</v>
      </c>
      <c r="B718" s="2" t="s">
        <v>3216</v>
      </c>
      <c r="C718" s="2" t="s">
        <v>3217</v>
      </c>
      <c r="D718" s="2" t="s">
        <v>3218</v>
      </c>
      <c r="E718" s="2" t="s">
        <v>671</v>
      </c>
      <c r="F718" s="2" t="s">
        <v>7431</v>
      </c>
      <c r="G718" s="2" t="s">
        <v>6248</v>
      </c>
    </row>
    <row r="719" ht="15.75" customHeight="1">
      <c r="A719" s="2" t="s">
        <v>1006</v>
      </c>
      <c r="B719" s="2" t="s">
        <v>1007</v>
      </c>
      <c r="C719" s="2" t="s">
        <v>1008</v>
      </c>
      <c r="D719" s="2" t="s">
        <v>1009</v>
      </c>
      <c r="E719" s="2" t="s">
        <v>199</v>
      </c>
      <c r="F719" s="2" t="s">
        <v>3678</v>
      </c>
    </row>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30.0"/>
    <col customWidth="1" min="3" max="3" width="13.29"/>
    <col customWidth="1" min="4" max="4" width="12.57"/>
    <col customWidth="1" min="5" max="5" width="6.29"/>
    <col customWidth="1" min="6" max="26" width="8.71"/>
  </cols>
  <sheetData>
    <row r="1">
      <c r="A1" s="1" t="s">
        <v>9</v>
      </c>
      <c r="B1" s="1" t="s">
        <v>10</v>
      </c>
      <c r="C1" s="1" t="s">
        <v>11</v>
      </c>
      <c r="D1" s="1" t="s">
        <v>7432</v>
      </c>
      <c r="E1" s="1" t="s">
        <v>7433</v>
      </c>
    </row>
    <row r="2">
      <c r="A2" s="2" t="s">
        <v>104</v>
      </c>
      <c r="B2" s="2" t="s">
        <v>105</v>
      </c>
      <c r="C2" s="2" t="s">
        <v>106</v>
      </c>
      <c r="D2" s="2" t="s">
        <v>7434</v>
      </c>
      <c r="E2" s="2" t="s">
        <v>6239</v>
      </c>
    </row>
    <row r="3">
      <c r="A3" s="2" t="s">
        <v>1926</v>
      </c>
      <c r="B3" s="2" t="s">
        <v>1927</v>
      </c>
      <c r="C3" s="2" t="s">
        <v>63</v>
      </c>
      <c r="D3" s="2" t="s">
        <v>7435</v>
      </c>
      <c r="E3" s="2" t="s">
        <v>7436</v>
      </c>
    </row>
    <row r="4">
      <c r="A4" s="2" t="s">
        <v>2631</v>
      </c>
      <c r="B4" s="2" t="s">
        <v>905</v>
      </c>
      <c r="C4" s="2" t="s">
        <v>248</v>
      </c>
      <c r="D4" s="2" t="s">
        <v>7437</v>
      </c>
      <c r="E4" s="2" t="s">
        <v>6248</v>
      </c>
    </row>
    <row r="5">
      <c r="A5" s="2" t="s">
        <v>957</v>
      </c>
      <c r="B5" s="2" t="s">
        <v>403</v>
      </c>
      <c r="C5" s="2" t="s">
        <v>167</v>
      </c>
      <c r="D5" s="2" t="s">
        <v>7438</v>
      </c>
      <c r="E5" s="2" t="s">
        <v>6237</v>
      </c>
    </row>
    <row r="6">
      <c r="A6" s="2" t="s">
        <v>449</v>
      </c>
      <c r="B6" s="2" t="s">
        <v>450</v>
      </c>
      <c r="C6" s="2" t="s">
        <v>315</v>
      </c>
      <c r="D6" s="2" t="s">
        <v>7439</v>
      </c>
      <c r="E6" s="2" t="s">
        <v>6237</v>
      </c>
    </row>
    <row r="7">
      <c r="A7" s="2" t="s">
        <v>290</v>
      </c>
      <c r="B7" s="2" t="s">
        <v>291</v>
      </c>
      <c r="C7" s="2" t="s">
        <v>292</v>
      </c>
      <c r="D7" s="2" t="s">
        <v>7440</v>
      </c>
      <c r="E7" s="2" t="s">
        <v>6309</v>
      </c>
    </row>
    <row r="8">
      <c r="A8" s="2" t="s">
        <v>4068</v>
      </c>
      <c r="B8" s="2" t="s">
        <v>4069</v>
      </c>
      <c r="C8" s="2" t="s">
        <v>1016</v>
      </c>
      <c r="D8" s="2" t="s">
        <v>7441</v>
      </c>
      <c r="E8" s="2" t="s">
        <v>6262</v>
      </c>
    </row>
    <row r="9">
      <c r="A9" s="2" t="s">
        <v>635</v>
      </c>
      <c r="B9" s="2" t="s">
        <v>636</v>
      </c>
      <c r="C9" s="2" t="s">
        <v>637</v>
      </c>
      <c r="D9" s="2" t="s">
        <v>7442</v>
      </c>
      <c r="E9" s="2" t="s">
        <v>7436</v>
      </c>
    </row>
    <row r="10">
      <c r="A10" s="2" t="s">
        <v>1327</v>
      </c>
      <c r="B10" s="2" t="s">
        <v>291</v>
      </c>
      <c r="C10" s="2" t="s">
        <v>1328</v>
      </c>
      <c r="D10" s="2" t="s">
        <v>7443</v>
      </c>
      <c r="E10" s="2" t="s">
        <v>6309</v>
      </c>
    </row>
    <row r="11">
      <c r="A11" s="2" t="s">
        <v>1606</v>
      </c>
      <c r="B11" s="2" t="s">
        <v>213</v>
      </c>
      <c r="C11" s="2" t="s">
        <v>106</v>
      </c>
      <c r="D11" s="2" t="s">
        <v>7444</v>
      </c>
    </row>
    <row r="12">
      <c r="A12" s="2" t="s">
        <v>1495</v>
      </c>
      <c r="B12" s="2" t="s">
        <v>1138</v>
      </c>
      <c r="C12" s="2" t="s">
        <v>248</v>
      </c>
      <c r="D12" s="2" t="s">
        <v>7445</v>
      </c>
      <c r="E12" s="2" t="s">
        <v>6309</v>
      </c>
    </row>
    <row r="13">
      <c r="A13" s="2" t="s">
        <v>1192</v>
      </c>
      <c r="B13" s="2" t="s">
        <v>1193</v>
      </c>
      <c r="C13" s="2" t="s">
        <v>179</v>
      </c>
      <c r="D13" s="2" t="s">
        <v>7446</v>
      </c>
    </row>
    <row r="14">
      <c r="A14" s="2" t="s">
        <v>313</v>
      </c>
      <c r="B14" s="2" t="s">
        <v>314</v>
      </c>
      <c r="C14" s="2" t="s">
        <v>315</v>
      </c>
      <c r="D14" s="2" t="s">
        <v>7447</v>
      </c>
      <c r="E14" s="2" t="s">
        <v>6309</v>
      </c>
    </row>
    <row r="15">
      <c r="A15" s="2" t="s">
        <v>1575</v>
      </c>
      <c r="B15" s="2" t="s">
        <v>1576</v>
      </c>
      <c r="C15" s="2" t="s">
        <v>1577</v>
      </c>
      <c r="D15" s="2" t="s">
        <v>7448</v>
      </c>
      <c r="E15" s="2" t="s">
        <v>6248</v>
      </c>
    </row>
    <row r="16">
      <c r="A16" s="2" t="s">
        <v>815</v>
      </c>
      <c r="B16" s="2" t="s">
        <v>816</v>
      </c>
      <c r="C16" s="2" t="s">
        <v>179</v>
      </c>
      <c r="D16" s="2" t="s">
        <v>7449</v>
      </c>
    </row>
    <row r="17">
      <c r="A17" s="2" t="s">
        <v>993</v>
      </c>
      <c r="B17" s="2" t="s">
        <v>994</v>
      </c>
      <c r="C17" s="2" t="s">
        <v>995</v>
      </c>
      <c r="D17" s="2" t="s">
        <v>7450</v>
      </c>
      <c r="E17" s="2" t="s">
        <v>6237</v>
      </c>
    </row>
    <row r="18">
      <c r="A18" s="2" t="s">
        <v>871</v>
      </c>
      <c r="B18" s="2" t="s">
        <v>491</v>
      </c>
      <c r="C18" s="2" t="s">
        <v>292</v>
      </c>
      <c r="D18" s="2" t="s">
        <v>7451</v>
      </c>
      <c r="E18" s="2" t="s">
        <v>6248</v>
      </c>
    </row>
    <row r="19">
      <c r="A19" s="2" t="s">
        <v>3582</v>
      </c>
      <c r="B19" s="2" t="s">
        <v>3583</v>
      </c>
      <c r="C19" s="2" t="s">
        <v>248</v>
      </c>
      <c r="D19" s="2" t="s">
        <v>7452</v>
      </c>
      <c r="E19" s="2" t="s">
        <v>6248</v>
      </c>
    </row>
    <row r="20">
      <c r="A20" s="2" t="s">
        <v>740</v>
      </c>
      <c r="B20" s="2" t="s">
        <v>741</v>
      </c>
      <c r="C20" s="2" t="s">
        <v>742</v>
      </c>
      <c r="D20" s="2" t="s">
        <v>7453</v>
      </c>
      <c r="E20" s="2" t="s">
        <v>7436</v>
      </c>
    </row>
    <row r="21" ht="15.75" customHeight="1">
      <c r="A21" s="2" t="s">
        <v>117</v>
      </c>
      <c r="B21" s="2" t="s">
        <v>118</v>
      </c>
      <c r="C21" s="2" t="s">
        <v>63</v>
      </c>
      <c r="D21" s="2" t="s">
        <v>7454</v>
      </c>
      <c r="E21" s="2" t="s">
        <v>7436</v>
      </c>
    </row>
    <row r="22" ht="15.75" customHeight="1">
      <c r="A22" s="2" t="s">
        <v>1211</v>
      </c>
      <c r="B22" s="2" t="s">
        <v>1212</v>
      </c>
      <c r="C22" s="2" t="s">
        <v>63</v>
      </c>
      <c r="D22" s="2" t="s">
        <v>7455</v>
      </c>
      <c r="E22" s="2" t="s">
        <v>6237</v>
      </c>
    </row>
    <row r="23" ht="15.75" customHeight="1">
      <c r="A23" s="2" t="s">
        <v>1522</v>
      </c>
      <c r="B23" s="2" t="s">
        <v>1272</v>
      </c>
      <c r="C23" s="2" t="s">
        <v>995</v>
      </c>
      <c r="D23" s="2" t="s">
        <v>7456</v>
      </c>
      <c r="E23" s="2" t="s">
        <v>6239</v>
      </c>
    </row>
    <row r="24" ht="15.75" customHeight="1">
      <c r="A24" s="2" t="s">
        <v>140</v>
      </c>
      <c r="B24" s="2" t="s">
        <v>141</v>
      </c>
      <c r="C24" s="2" t="s">
        <v>63</v>
      </c>
      <c r="D24" s="2" t="s">
        <v>7457</v>
      </c>
    </row>
    <row r="25" ht="15.75" customHeight="1">
      <c r="A25" s="2" t="s">
        <v>3172</v>
      </c>
      <c r="B25" s="2" t="s">
        <v>3173</v>
      </c>
      <c r="C25" s="2" t="s">
        <v>355</v>
      </c>
      <c r="D25" s="2" t="s">
        <v>7458</v>
      </c>
      <c r="E25" s="2" t="s">
        <v>6239</v>
      </c>
    </row>
    <row r="26" ht="15.75" customHeight="1">
      <c r="A26" s="2" t="s">
        <v>177</v>
      </c>
      <c r="B26" s="2" t="s">
        <v>178</v>
      </c>
      <c r="C26" s="2" t="s">
        <v>179</v>
      </c>
      <c r="D26" s="2" t="s">
        <v>7459</v>
      </c>
    </row>
    <row r="27" ht="15.75" customHeight="1">
      <c r="A27" s="2" t="s">
        <v>1783</v>
      </c>
      <c r="B27" s="2" t="s">
        <v>966</v>
      </c>
      <c r="C27" s="2" t="s">
        <v>514</v>
      </c>
      <c r="D27" s="2" t="s">
        <v>7460</v>
      </c>
      <c r="E27" s="2" t="s">
        <v>6237</v>
      </c>
    </row>
    <row r="28" ht="15.75" customHeight="1">
      <c r="A28" s="2" t="s">
        <v>692</v>
      </c>
      <c r="B28" s="2" t="s">
        <v>693</v>
      </c>
      <c r="C28" s="2" t="s">
        <v>368</v>
      </c>
      <c r="D28" s="2" t="s">
        <v>7461</v>
      </c>
      <c r="E28" s="2" t="s">
        <v>6248</v>
      </c>
    </row>
    <row r="29" ht="15.75" customHeight="1">
      <c r="A29" s="2" t="s">
        <v>1263</v>
      </c>
      <c r="B29" s="2" t="s">
        <v>741</v>
      </c>
      <c r="C29" s="2" t="s">
        <v>368</v>
      </c>
      <c r="D29" s="2" t="s">
        <v>7462</v>
      </c>
      <c r="E29" s="2" t="s">
        <v>6237</v>
      </c>
    </row>
    <row r="30" ht="15.75" customHeight="1">
      <c r="A30" s="2" t="s">
        <v>565</v>
      </c>
      <c r="B30" s="2" t="s">
        <v>566</v>
      </c>
      <c r="C30" s="2" t="s">
        <v>167</v>
      </c>
      <c r="D30" s="2" t="s">
        <v>7463</v>
      </c>
    </row>
    <row r="31" ht="15.75" customHeight="1">
      <c r="A31" s="2" t="s">
        <v>2420</v>
      </c>
      <c r="B31" s="2" t="s">
        <v>462</v>
      </c>
      <c r="C31" s="2" t="s">
        <v>2421</v>
      </c>
      <c r="D31" s="2" t="s">
        <v>7464</v>
      </c>
      <c r="E31" s="2" t="s">
        <v>6237</v>
      </c>
    </row>
    <row r="32" ht="15.75" customHeight="1">
      <c r="A32" s="2" t="s">
        <v>556</v>
      </c>
      <c r="B32" s="2" t="s">
        <v>502</v>
      </c>
      <c r="C32" s="2" t="s">
        <v>355</v>
      </c>
      <c r="D32" s="2" t="s">
        <v>7465</v>
      </c>
      <c r="E32" s="2" t="s">
        <v>6262</v>
      </c>
    </row>
    <row r="33" ht="15.75" customHeight="1">
      <c r="A33" s="2" t="s">
        <v>402</v>
      </c>
      <c r="B33" s="2" t="s">
        <v>403</v>
      </c>
      <c r="C33" s="2" t="s">
        <v>404</v>
      </c>
      <c r="D33" s="2" t="s">
        <v>7466</v>
      </c>
      <c r="E33" s="2" t="s">
        <v>7436</v>
      </c>
    </row>
    <row r="34" ht="15.75" customHeight="1">
      <c r="A34" s="2" t="s">
        <v>581</v>
      </c>
      <c r="B34" s="2" t="s">
        <v>326</v>
      </c>
      <c r="C34" s="2" t="s">
        <v>582</v>
      </c>
      <c r="D34" s="2" t="s">
        <v>7467</v>
      </c>
      <c r="E34" s="2" t="s">
        <v>6239</v>
      </c>
    </row>
    <row r="35" ht="15.75" customHeight="1">
      <c r="A35" s="2" t="s">
        <v>4048</v>
      </c>
      <c r="B35" s="2" t="s">
        <v>4049</v>
      </c>
      <c r="C35" s="2" t="s">
        <v>214</v>
      </c>
      <c r="D35" s="2" t="s">
        <v>7468</v>
      </c>
      <c r="E35" s="2" t="s">
        <v>6239</v>
      </c>
    </row>
    <row r="36" ht="15.75" customHeight="1">
      <c r="A36" s="2" t="s">
        <v>235</v>
      </c>
      <c r="B36" s="2" t="s">
        <v>236</v>
      </c>
      <c r="C36" s="2" t="s">
        <v>30</v>
      </c>
      <c r="D36" s="2" t="s">
        <v>7469</v>
      </c>
      <c r="E36" s="2" t="s">
        <v>6309</v>
      </c>
    </row>
    <row r="37" ht="15.75" customHeight="1">
      <c r="A37" s="2" t="s">
        <v>302</v>
      </c>
      <c r="B37" s="2" t="s">
        <v>303</v>
      </c>
      <c r="C37" s="2" t="s">
        <v>248</v>
      </c>
      <c r="D37" s="2" t="s">
        <v>7470</v>
      </c>
      <c r="E37" s="2" t="s">
        <v>6237</v>
      </c>
    </row>
    <row r="38" ht="15.75" customHeight="1">
      <c r="A38" s="2" t="s">
        <v>1641</v>
      </c>
      <c r="B38" s="2" t="s">
        <v>825</v>
      </c>
      <c r="C38" s="2" t="s">
        <v>179</v>
      </c>
      <c r="D38" s="2" t="s">
        <v>7471</v>
      </c>
      <c r="E38" s="2" t="s">
        <v>6248</v>
      </c>
    </row>
    <row r="39" ht="15.75" customHeight="1">
      <c r="A39" s="2" t="s">
        <v>652</v>
      </c>
      <c r="B39" s="2" t="s">
        <v>653</v>
      </c>
      <c r="C39" s="2" t="s">
        <v>179</v>
      </c>
      <c r="D39" s="2" t="s">
        <v>7472</v>
      </c>
      <c r="E39" s="2" t="s">
        <v>6262</v>
      </c>
    </row>
    <row r="40" ht="15.75" customHeight="1">
      <c r="A40" s="2" t="s">
        <v>965</v>
      </c>
      <c r="B40" s="2" t="s">
        <v>966</v>
      </c>
      <c r="C40" s="2" t="s">
        <v>967</v>
      </c>
      <c r="D40" s="2" t="s">
        <v>7473</v>
      </c>
      <c r="E40" s="2" t="s">
        <v>6237</v>
      </c>
    </row>
    <row r="41" ht="15.75" customHeight="1">
      <c r="A41" s="2" t="s">
        <v>166</v>
      </c>
      <c r="B41" s="2" t="s">
        <v>118</v>
      </c>
      <c r="C41" s="2" t="s">
        <v>167</v>
      </c>
      <c r="D41" s="2" t="s">
        <v>7474</v>
      </c>
      <c r="E41" s="2" t="s">
        <v>7436</v>
      </c>
    </row>
    <row r="42" ht="15.75" customHeight="1">
      <c r="A42" s="2" t="s">
        <v>619</v>
      </c>
      <c r="B42" s="2" t="s">
        <v>620</v>
      </c>
      <c r="C42" s="2" t="s">
        <v>292</v>
      </c>
      <c r="D42" s="2" t="s">
        <v>7475</v>
      </c>
      <c r="E42" s="2" t="s">
        <v>6248</v>
      </c>
    </row>
    <row r="43" ht="15.75" customHeight="1">
      <c r="A43" s="2" t="s">
        <v>1255</v>
      </c>
      <c r="B43" s="2" t="s">
        <v>29</v>
      </c>
      <c r="C43" s="2" t="s">
        <v>271</v>
      </c>
      <c r="D43" s="2" t="s">
        <v>7476</v>
      </c>
      <c r="E43" s="2" t="s">
        <v>6237</v>
      </c>
    </row>
    <row r="44" ht="15.75" customHeight="1">
      <c r="A44" s="2" t="s">
        <v>2398</v>
      </c>
      <c r="B44" s="2" t="s">
        <v>225</v>
      </c>
      <c r="C44" s="2" t="s">
        <v>179</v>
      </c>
      <c r="D44" s="2" t="s">
        <v>7477</v>
      </c>
    </row>
    <row r="45" ht="15.75" customHeight="1">
      <c r="A45" s="2" t="s">
        <v>1432</v>
      </c>
      <c r="B45" s="2" t="s">
        <v>994</v>
      </c>
      <c r="C45" s="2" t="s">
        <v>1328</v>
      </c>
      <c r="D45" s="2" t="s">
        <v>7478</v>
      </c>
      <c r="E45" s="2" t="s">
        <v>6248</v>
      </c>
    </row>
    <row r="46" ht="15.75" customHeight="1">
      <c r="A46" s="2" t="s">
        <v>729</v>
      </c>
      <c r="B46" s="2" t="s">
        <v>62</v>
      </c>
      <c r="C46" s="2" t="s">
        <v>730</v>
      </c>
      <c r="D46" s="2" t="s">
        <v>7479</v>
      </c>
      <c r="E46" s="2" t="s">
        <v>6248</v>
      </c>
    </row>
    <row r="47" ht="15.75" customHeight="1">
      <c r="A47" s="2" t="s">
        <v>939</v>
      </c>
      <c r="B47" s="2" t="s">
        <v>940</v>
      </c>
      <c r="C47" s="2" t="s">
        <v>941</v>
      </c>
      <c r="D47" s="2" t="s">
        <v>7480</v>
      </c>
      <c r="E47" s="2" t="s">
        <v>6309</v>
      </c>
    </row>
    <row r="48" ht="15.75" customHeight="1">
      <c r="A48" s="2" t="s">
        <v>1109</v>
      </c>
      <c r="B48" s="2" t="s">
        <v>1110</v>
      </c>
      <c r="C48" s="2" t="s">
        <v>826</v>
      </c>
      <c r="D48" s="2" t="s">
        <v>7481</v>
      </c>
      <c r="E48" s="2" t="s">
        <v>6262</v>
      </c>
    </row>
    <row r="49" ht="15.75" customHeight="1">
      <c r="A49" s="2" t="s">
        <v>258</v>
      </c>
      <c r="B49" s="2" t="s">
        <v>259</v>
      </c>
      <c r="C49" s="2" t="s">
        <v>214</v>
      </c>
      <c r="D49" s="2" t="s">
        <v>7482</v>
      </c>
      <c r="E49" s="2" t="s">
        <v>6262</v>
      </c>
    </row>
    <row r="50" ht="15.75" customHeight="1">
      <c r="A50" s="2" t="s">
        <v>127</v>
      </c>
      <c r="B50" s="2" t="s">
        <v>128</v>
      </c>
      <c r="C50" s="2" t="s">
        <v>129</v>
      </c>
      <c r="D50" s="2" t="s">
        <v>7483</v>
      </c>
      <c r="E50" s="2" t="s">
        <v>6309</v>
      </c>
    </row>
    <row r="51" ht="15.75" customHeight="1">
      <c r="A51" s="2" t="s">
        <v>3053</v>
      </c>
      <c r="B51" s="2" t="s">
        <v>741</v>
      </c>
      <c r="C51" s="2" t="s">
        <v>63</v>
      </c>
      <c r="D51" s="2" t="s">
        <v>7484</v>
      </c>
      <c r="E51" s="2" t="s">
        <v>6262</v>
      </c>
    </row>
    <row r="52" ht="15.75" customHeight="1">
      <c r="A52" s="2" t="s">
        <v>44</v>
      </c>
      <c r="B52" s="2" t="s">
        <v>45</v>
      </c>
      <c r="C52" s="2" t="s">
        <v>46</v>
      </c>
      <c r="D52" s="2" t="s">
        <v>7485</v>
      </c>
      <c r="E52" s="2" t="s">
        <v>6248</v>
      </c>
    </row>
    <row r="53" ht="15.75" customHeight="1">
      <c r="A53" s="2" t="s">
        <v>513</v>
      </c>
      <c r="B53" s="2" t="s">
        <v>391</v>
      </c>
      <c r="C53" s="2" t="s">
        <v>514</v>
      </c>
      <c r="E53" s="2" t="s">
        <v>7436</v>
      </c>
    </row>
    <row r="54" ht="15.75" customHeight="1">
      <c r="A54" s="2" t="s">
        <v>1358</v>
      </c>
      <c r="B54" s="2" t="s">
        <v>1359</v>
      </c>
      <c r="C54" s="2" t="s">
        <v>941</v>
      </c>
      <c r="D54" s="2" t="s">
        <v>7486</v>
      </c>
    </row>
    <row r="55" ht="15.75" customHeight="1">
      <c r="A55" s="2" t="s">
        <v>523</v>
      </c>
      <c r="B55" s="2" t="s">
        <v>524</v>
      </c>
      <c r="C55" s="2" t="s">
        <v>368</v>
      </c>
      <c r="D55" s="2" t="s">
        <v>7487</v>
      </c>
      <c r="E55" s="2" t="s">
        <v>6248</v>
      </c>
    </row>
    <row r="56" ht="15.75" customHeight="1">
      <c r="A56" s="2" t="s">
        <v>721</v>
      </c>
      <c r="B56" s="2" t="s">
        <v>259</v>
      </c>
      <c r="C56" s="2" t="s">
        <v>179</v>
      </c>
      <c r="D56" s="2" t="s">
        <v>7488</v>
      </c>
      <c r="E56" s="2" t="s">
        <v>6309</v>
      </c>
    </row>
    <row r="57" ht="15.75" customHeight="1">
      <c r="A57" s="2" t="s">
        <v>599</v>
      </c>
      <c r="B57" s="2" t="s">
        <v>600</v>
      </c>
      <c r="C57" s="2" t="s">
        <v>167</v>
      </c>
      <c r="E57" s="2" t="s">
        <v>7436</v>
      </c>
    </row>
    <row r="58" ht="15.75" customHeight="1">
      <c r="A58" s="2" t="s">
        <v>1168</v>
      </c>
      <c r="B58" s="2" t="s">
        <v>1169</v>
      </c>
      <c r="C58" s="2" t="s">
        <v>63</v>
      </c>
      <c r="D58" s="2" t="s">
        <v>7489</v>
      </c>
      <c r="E58" s="2" t="s">
        <v>6248</v>
      </c>
    </row>
    <row r="59" ht="15.75" customHeight="1">
      <c r="A59" s="2" t="s">
        <v>2336</v>
      </c>
      <c r="B59" s="2" t="s">
        <v>1303</v>
      </c>
      <c r="C59" s="2" t="s">
        <v>179</v>
      </c>
      <c r="D59" s="2" t="s">
        <v>7490</v>
      </c>
      <c r="E59" s="2" t="s">
        <v>6309</v>
      </c>
    </row>
    <row r="60" ht="15.75" customHeight="1">
      <c r="A60" s="2" t="s">
        <v>1063</v>
      </c>
      <c r="B60" s="2" t="s">
        <v>291</v>
      </c>
      <c r="C60" s="2" t="s">
        <v>167</v>
      </c>
      <c r="D60" s="2" t="s">
        <v>7491</v>
      </c>
      <c r="E60" s="2" t="s">
        <v>6237</v>
      </c>
    </row>
    <row r="61" ht="15.75" customHeight="1">
      <c r="A61" s="2" t="s">
        <v>904</v>
      </c>
      <c r="B61" s="2" t="s">
        <v>905</v>
      </c>
      <c r="C61" s="2" t="s">
        <v>167</v>
      </c>
      <c r="D61" s="2" t="s">
        <v>7492</v>
      </c>
      <c r="E61" s="2" t="s">
        <v>7436</v>
      </c>
    </row>
    <row r="62" ht="15.75" customHeight="1">
      <c r="A62" s="2" t="s">
        <v>269</v>
      </c>
      <c r="B62" s="2" t="s">
        <v>270</v>
      </c>
      <c r="C62" s="2" t="s">
        <v>271</v>
      </c>
      <c r="D62" s="2" t="s">
        <v>7493</v>
      </c>
      <c r="E62" s="2" t="s">
        <v>6239</v>
      </c>
    </row>
    <row r="63" ht="15.75" customHeight="1">
      <c r="A63" s="2" t="s">
        <v>411</v>
      </c>
      <c r="B63" s="2" t="s">
        <v>412</v>
      </c>
      <c r="C63" s="2" t="s">
        <v>167</v>
      </c>
      <c r="D63" s="2" t="s">
        <v>7494</v>
      </c>
      <c r="E63" s="2" t="s">
        <v>7436</v>
      </c>
    </row>
    <row r="64" ht="15.75" customHeight="1">
      <c r="A64" s="2" t="s">
        <v>2024</v>
      </c>
      <c r="B64" s="2" t="s">
        <v>2025</v>
      </c>
      <c r="C64" s="2" t="s">
        <v>63</v>
      </c>
      <c r="D64" s="2" t="s">
        <v>7495</v>
      </c>
      <c r="E64" s="2" t="s">
        <v>6262</v>
      </c>
    </row>
    <row r="65" ht="15.75" customHeight="1">
      <c r="A65" s="2" t="s">
        <v>948</v>
      </c>
      <c r="B65" s="2" t="s">
        <v>450</v>
      </c>
      <c r="C65" s="2" t="s">
        <v>129</v>
      </c>
      <c r="D65" s="2" t="s">
        <v>7496</v>
      </c>
      <c r="E65" s="2" t="s">
        <v>6248</v>
      </c>
    </row>
    <row r="66" ht="15.75" customHeight="1">
      <c r="A66" s="2" t="s">
        <v>471</v>
      </c>
      <c r="B66" s="2" t="s">
        <v>472</v>
      </c>
      <c r="C66" s="2" t="s">
        <v>179</v>
      </c>
      <c r="D66" s="2" t="s">
        <v>7497</v>
      </c>
      <c r="E66" s="2" t="s">
        <v>6309</v>
      </c>
    </row>
    <row r="67" ht="15.75" customHeight="1">
      <c r="A67" s="2" t="s">
        <v>1722</v>
      </c>
      <c r="B67" s="2" t="s">
        <v>804</v>
      </c>
      <c r="C67" s="2" t="s">
        <v>368</v>
      </c>
      <c r="D67" s="2" t="s">
        <v>7498</v>
      </c>
      <c r="E67" s="2" t="s">
        <v>6237</v>
      </c>
    </row>
    <row r="68" ht="15.75" customHeight="1">
      <c r="A68" s="2" t="s">
        <v>919</v>
      </c>
      <c r="B68" s="2" t="s">
        <v>423</v>
      </c>
      <c r="C68" s="2" t="s">
        <v>179</v>
      </c>
      <c r="D68" s="2" t="s">
        <v>7499</v>
      </c>
      <c r="E68" s="2" t="s">
        <v>6237</v>
      </c>
    </row>
    <row r="69" ht="15.75" customHeight="1">
      <c r="A69" s="2" t="s">
        <v>490</v>
      </c>
      <c r="B69" s="2" t="s">
        <v>491</v>
      </c>
      <c r="C69" s="2" t="s">
        <v>492</v>
      </c>
      <c r="D69" s="2" t="s">
        <v>7500</v>
      </c>
      <c r="E69" s="2" t="s">
        <v>6309</v>
      </c>
    </row>
    <row r="70" ht="15.75" customHeight="1">
      <c r="A70" s="2" t="s">
        <v>2483</v>
      </c>
      <c r="B70" s="2" t="s">
        <v>1530</v>
      </c>
      <c r="C70" s="2" t="s">
        <v>503</v>
      </c>
      <c r="D70" s="2" t="s">
        <v>7501</v>
      </c>
    </row>
    <row r="71" ht="15.75" customHeight="1">
      <c r="A71" s="2" t="s">
        <v>154</v>
      </c>
      <c r="B71" s="2" t="s">
        <v>62</v>
      </c>
      <c r="C71" s="2" t="s">
        <v>155</v>
      </c>
      <c r="D71" s="2" t="s">
        <v>7502</v>
      </c>
      <c r="E71" s="2" t="s">
        <v>6239</v>
      </c>
    </row>
    <row r="72" ht="15.75" customHeight="1">
      <c r="A72" s="2" t="s">
        <v>366</v>
      </c>
      <c r="B72" s="2" t="s">
        <v>367</v>
      </c>
      <c r="C72" s="2" t="s">
        <v>368</v>
      </c>
      <c r="D72" s="2" t="s">
        <v>7503</v>
      </c>
    </row>
    <row r="73" ht="15.75" customHeight="1">
      <c r="A73" s="2" t="s">
        <v>2539</v>
      </c>
      <c r="B73" s="2" t="s">
        <v>403</v>
      </c>
      <c r="C73" s="2" t="s">
        <v>1328</v>
      </c>
      <c r="D73" s="2" t="s">
        <v>7504</v>
      </c>
      <c r="E73" s="2" t="s">
        <v>6309</v>
      </c>
    </row>
    <row r="74" ht="15.75" customHeight="1">
      <c r="A74" s="2" t="s">
        <v>2273</v>
      </c>
      <c r="B74" s="2" t="s">
        <v>2274</v>
      </c>
      <c r="C74" s="2" t="s">
        <v>1328</v>
      </c>
      <c r="D74" s="2" t="s">
        <v>7505</v>
      </c>
      <c r="E74" s="2" t="s">
        <v>6239</v>
      </c>
    </row>
    <row r="75" ht="15.75" customHeight="1">
      <c r="A75" s="2" t="s">
        <v>976</v>
      </c>
      <c r="B75" s="2" t="s">
        <v>335</v>
      </c>
      <c r="C75" s="2" t="s">
        <v>214</v>
      </c>
      <c r="D75" s="2" t="s">
        <v>7506</v>
      </c>
      <c r="E75" s="2" t="s">
        <v>6239</v>
      </c>
    </row>
    <row r="76" ht="15.75" customHeight="1">
      <c r="A76" s="2" t="s">
        <v>501</v>
      </c>
      <c r="B76" s="2" t="s">
        <v>502</v>
      </c>
      <c r="C76" s="2" t="s">
        <v>503</v>
      </c>
      <c r="D76" s="2" t="s">
        <v>7507</v>
      </c>
      <c r="E76" s="2" t="s">
        <v>6237</v>
      </c>
    </row>
    <row r="77" ht="15.75" customHeight="1">
      <c r="A77" s="2" t="s">
        <v>3810</v>
      </c>
      <c r="B77" s="2" t="s">
        <v>3811</v>
      </c>
      <c r="C77" s="2" t="s">
        <v>995</v>
      </c>
      <c r="D77" s="2" t="s">
        <v>7508</v>
      </c>
      <c r="E77" s="2" t="s">
        <v>6237</v>
      </c>
    </row>
    <row r="78" ht="15.75" customHeight="1">
      <c r="A78" s="2" t="s">
        <v>212</v>
      </c>
      <c r="B78" s="2" t="s">
        <v>213</v>
      </c>
      <c r="C78" s="2" t="s">
        <v>214</v>
      </c>
      <c r="D78" s="2" t="s">
        <v>7509</v>
      </c>
      <c r="E78" s="2" t="s">
        <v>6239</v>
      </c>
    </row>
    <row r="79" ht="15.75" customHeight="1">
      <c r="A79" s="2" t="s">
        <v>325</v>
      </c>
      <c r="B79" s="2" t="s">
        <v>326</v>
      </c>
      <c r="C79" s="2" t="s">
        <v>315</v>
      </c>
      <c r="D79" s="2" t="s">
        <v>7510</v>
      </c>
    </row>
    <row r="80" ht="15.75" customHeight="1">
      <c r="A80" s="2" t="s">
        <v>1733</v>
      </c>
      <c r="B80" s="2" t="s">
        <v>440</v>
      </c>
      <c r="C80" s="2" t="s">
        <v>315</v>
      </c>
      <c r="D80" s="2" t="s">
        <v>7511</v>
      </c>
      <c r="E80" s="2" t="s">
        <v>6237</v>
      </c>
    </row>
    <row r="81" ht="15.75" customHeight="1">
      <c r="A81" s="2" t="s">
        <v>1476</v>
      </c>
      <c r="B81" s="2" t="s">
        <v>1147</v>
      </c>
      <c r="C81" s="2" t="s">
        <v>1477</v>
      </c>
      <c r="D81" s="2" t="s">
        <v>7512</v>
      </c>
      <c r="E81" s="2" t="s">
        <v>6262</v>
      </c>
    </row>
    <row r="82" ht="15.75" customHeight="1">
      <c r="A82" s="2" t="s">
        <v>189</v>
      </c>
      <c r="B82" s="2" t="s">
        <v>190</v>
      </c>
      <c r="C82" s="2" t="s">
        <v>167</v>
      </c>
      <c r="D82" s="2" t="s">
        <v>7513</v>
      </c>
    </row>
    <row r="83" ht="15.75" customHeight="1">
      <c r="A83" s="2" t="s">
        <v>711</v>
      </c>
      <c r="B83" s="2" t="s">
        <v>712</v>
      </c>
      <c r="C83" s="2" t="s">
        <v>637</v>
      </c>
      <c r="D83" s="2" t="s">
        <v>7514</v>
      </c>
      <c r="E83" s="2" t="s">
        <v>6309</v>
      </c>
    </row>
    <row r="84" ht="15.75" customHeight="1">
      <c r="A84" s="2" t="s">
        <v>2219</v>
      </c>
      <c r="B84" s="2" t="s">
        <v>236</v>
      </c>
      <c r="C84" s="2" t="s">
        <v>805</v>
      </c>
      <c r="D84" s="2" t="s">
        <v>7515</v>
      </c>
      <c r="E84" s="2" t="s">
        <v>6239</v>
      </c>
    </row>
    <row r="85" ht="15.75" customHeight="1">
      <c r="A85" s="2" t="s">
        <v>1856</v>
      </c>
      <c r="B85" s="2" t="s">
        <v>118</v>
      </c>
      <c r="C85" s="2" t="s">
        <v>167</v>
      </c>
      <c r="D85" s="2" t="s">
        <v>7516</v>
      </c>
      <c r="E85" s="2" t="s">
        <v>6262</v>
      </c>
    </row>
    <row r="86" ht="15.75" customHeight="1">
      <c r="A86" s="2" t="s">
        <v>1085</v>
      </c>
      <c r="B86" s="2" t="s">
        <v>335</v>
      </c>
      <c r="C86" s="2" t="s">
        <v>368</v>
      </c>
      <c r="D86" s="2" t="s">
        <v>7517</v>
      </c>
      <c r="E86" s="2" t="s">
        <v>6262</v>
      </c>
    </row>
    <row r="87" ht="15.75" customHeight="1">
      <c r="A87" s="2" t="s">
        <v>1014</v>
      </c>
      <c r="B87" s="2" t="s">
        <v>1015</v>
      </c>
      <c r="C87" s="2" t="s">
        <v>1016</v>
      </c>
      <c r="D87" s="2" t="s">
        <v>7518</v>
      </c>
      <c r="E87" s="2" t="s">
        <v>7436</v>
      </c>
    </row>
    <row r="88" ht="15.75" customHeight="1">
      <c r="A88" s="2" t="s">
        <v>852</v>
      </c>
      <c r="B88" s="2" t="s">
        <v>450</v>
      </c>
      <c r="C88" s="2" t="s">
        <v>167</v>
      </c>
      <c r="D88" s="2" t="s">
        <v>7519</v>
      </c>
      <c r="E88" s="2" t="s">
        <v>6237</v>
      </c>
    </row>
    <row r="89" ht="15.75" customHeight="1">
      <c r="A89" s="2" t="s">
        <v>1302</v>
      </c>
      <c r="B89" s="2" t="s">
        <v>1303</v>
      </c>
      <c r="C89" s="2" t="s">
        <v>179</v>
      </c>
      <c r="D89" s="2" t="s">
        <v>7520</v>
      </c>
      <c r="E89" s="2" t="s">
        <v>6262</v>
      </c>
    </row>
    <row r="90" ht="15.75" customHeight="1">
      <c r="A90" s="2" t="s">
        <v>1460</v>
      </c>
      <c r="B90" s="2" t="s">
        <v>1461</v>
      </c>
      <c r="C90" s="2" t="s">
        <v>368</v>
      </c>
      <c r="D90" s="2" t="s">
        <v>7521</v>
      </c>
      <c r="E90" s="2" t="s">
        <v>7436</v>
      </c>
    </row>
    <row r="91" ht="15.75" customHeight="1">
      <c r="A91" s="2" t="s">
        <v>353</v>
      </c>
      <c r="B91" s="2" t="s">
        <v>354</v>
      </c>
      <c r="C91" s="2" t="s">
        <v>355</v>
      </c>
      <c r="D91" s="2" t="s">
        <v>7522</v>
      </c>
      <c r="E91" s="2" t="s">
        <v>6239</v>
      </c>
    </row>
    <row r="92" ht="15.75" customHeight="1">
      <c r="A92" s="2" t="s">
        <v>3454</v>
      </c>
      <c r="B92" s="2" t="s">
        <v>270</v>
      </c>
      <c r="C92" s="2" t="s">
        <v>179</v>
      </c>
      <c r="D92" s="2" t="s">
        <v>7523</v>
      </c>
      <c r="E92" s="2" t="s">
        <v>7436</v>
      </c>
    </row>
    <row r="93" ht="15.75" customHeight="1">
      <c r="A93" s="2" t="s">
        <v>4784</v>
      </c>
      <c r="B93" s="2" t="s">
        <v>2322</v>
      </c>
      <c r="C93" s="2" t="s">
        <v>167</v>
      </c>
      <c r="D93" s="2" t="s">
        <v>7524</v>
      </c>
      <c r="E93" s="2" t="s">
        <v>6237</v>
      </c>
    </row>
    <row r="94" ht="15.75" customHeight="1">
      <c r="A94" s="2" t="s">
        <v>2240</v>
      </c>
      <c r="B94" s="2" t="s">
        <v>712</v>
      </c>
      <c r="C94" s="2" t="s">
        <v>742</v>
      </c>
      <c r="D94" s="2" t="s">
        <v>7525</v>
      </c>
      <c r="E94" s="2" t="s">
        <v>6237</v>
      </c>
    </row>
    <row r="95" ht="15.75" customHeight="1">
      <c r="A95" s="2" t="s">
        <v>246</v>
      </c>
      <c r="B95" s="2" t="s">
        <v>247</v>
      </c>
      <c r="C95" s="2" t="s">
        <v>248</v>
      </c>
      <c r="D95" s="2" t="s">
        <v>7526</v>
      </c>
      <c r="E95" s="2" t="s">
        <v>6237</v>
      </c>
    </row>
    <row r="96" ht="15.75" customHeight="1">
      <c r="A96" s="2" t="s">
        <v>2688</v>
      </c>
      <c r="B96" s="2" t="s">
        <v>502</v>
      </c>
      <c r="C96" s="2" t="s">
        <v>179</v>
      </c>
      <c r="D96" s="2" t="s">
        <v>7527</v>
      </c>
    </row>
    <row r="97" ht="15.75" customHeight="1">
      <c r="A97" s="2" t="s">
        <v>673</v>
      </c>
      <c r="B97" s="2" t="s">
        <v>118</v>
      </c>
      <c r="C97" s="2" t="s">
        <v>674</v>
      </c>
      <c r="D97" s="2" t="s">
        <v>7528</v>
      </c>
      <c r="E97" s="2" t="s">
        <v>6239</v>
      </c>
    </row>
    <row r="98" ht="15.75" customHeight="1">
      <c r="A98" s="2" t="s">
        <v>746</v>
      </c>
      <c r="B98" s="2" t="s">
        <v>747</v>
      </c>
      <c r="C98" s="2" t="s">
        <v>748</v>
      </c>
      <c r="D98" s="2" t="s">
        <v>7529</v>
      </c>
      <c r="E98" s="2" t="s">
        <v>6262</v>
      </c>
    </row>
    <row r="99" ht="15.75" customHeight="1">
      <c r="A99" s="2" t="s">
        <v>461</v>
      </c>
      <c r="B99" s="2" t="s">
        <v>462</v>
      </c>
      <c r="C99" s="2" t="s">
        <v>463</v>
      </c>
      <c r="D99" s="2" t="s">
        <v>7530</v>
      </c>
    </row>
    <row r="100" ht="15.75" customHeight="1">
      <c r="A100" s="2" t="s">
        <v>2417</v>
      </c>
      <c r="B100" s="2" t="s">
        <v>225</v>
      </c>
      <c r="C100" s="2" t="s">
        <v>503</v>
      </c>
      <c r="D100" s="2" t="s">
        <v>7531</v>
      </c>
      <c r="E100" s="2" t="s">
        <v>6237</v>
      </c>
    </row>
    <row r="101" ht="15.75" customHeight="1">
      <c r="A101" s="2" t="s">
        <v>1748</v>
      </c>
      <c r="B101" s="2" t="s">
        <v>1110</v>
      </c>
      <c r="C101" s="2" t="s">
        <v>315</v>
      </c>
      <c r="D101" s="2" t="s">
        <v>7532</v>
      </c>
      <c r="E101" s="2" t="s">
        <v>6262</v>
      </c>
    </row>
    <row r="102" ht="15.75" customHeight="1">
      <c r="A102" s="2" t="s">
        <v>1246</v>
      </c>
      <c r="B102" s="2" t="s">
        <v>1212</v>
      </c>
      <c r="C102" s="2" t="s">
        <v>514</v>
      </c>
      <c r="D102" s="2" t="s">
        <v>7533</v>
      </c>
      <c r="E102" s="2" t="s">
        <v>7436</v>
      </c>
    </row>
    <row r="103" ht="15.75" customHeight="1">
      <c r="A103" s="2" t="s">
        <v>534</v>
      </c>
      <c r="B103" s="2" t="s">
        <v>535</v>
      </c>
      <c r="C103" s="2" t="s">
        <v>30</v>
      </c>
      <c r="D103" s="2" t="s">
        <v>7534</v>
      </c>
      <c r="E103" s="2" t="s">
        <v>6262</v>
      </c>
    </row>
    <row r="104" ht="15.75" customHeight="1">
      <c r="A104" s="2" t="s">
        <v>1849</v>
      </c>
      <c r="B104" s="2" t="s">
        <v>403</v>
      </c>
      <c r="C104" s="2" t="s">
        <v>248</v>
      </c>
      <c r="D104" s="2" t="s">
        <v>7535</v>
      </c>
      <c r="E104" s="2" t="s">
        <v>6237</v>
      </c>
    </row>
    <row r="105" ht="15.75" customHeight="1">
      <c r="A105" s="2" t="s">
        <v>279</v>
      </c>
      <c r="B105" s="2" t="s">
        <v>280</v>
      </c>
      <c r="C105" s="2" t="s">
        <v>281</v>
      </c>
      <c r="D105" s="2" t="s">
        <v>7536</v>
      </c>
      <c r="E105" s="2" t="s">
        <v>6309</v>
      </c>
    </row>
    <row r="106" ht="15.75" customHeight="1">
      <c r="A106" s="2" t="s">
        <v>334</v>
      </c>
      <c r="B106" s="2" t="s">
        <v>335</v>
      </c>
      <c r="C106" s="2" t="s">
        <v>248</v>
      </c>
      <c r="D106" s="2" t="s">
        <v>7537</v>
      </c>
      <c r="E106" s="2" t="s">
        <v>6262</v>
      </c>
    </row>
    <row r="107" ht="15.75" customHeight="1">
      <c r="A107" s="2" t="s">
        <v>439</v>
      </c>
      <c r="B107" s="2" t="s">
        <v>440</v>
      </c>
      <c r="C107" s="2" t="s">
        <v>63</v>
      </c>
      <c r="D107" s="2" t="s">
        <v>7538</v>
      </c>
    </row>
    <row r="108" ht="15.75" customHeight="1">
      <c r="A108" s="2" t="s">
        <v>792</v>
      </c>
      <c r="B108" s="2" t="s">
        <v>314</v>
      </c>
      <c r="C108" s="2" t="s">
        <v>742</v>
      </c>
      <c r="D108" s="2" t="s">
        <v>7539</v>
      </c>
      <c r="E108" s="2" t="s">
        <v>6239</v>
      </c>
    </row>
    <row r="109" ht="15.75" customHeight="1">
      <c r="A109" s="2" t="s">
        <v>756</v>
      </c>
      <c r="B109" s="2" t="s">
        <v>757</v>
      </c>
      <c r="C109" s="2" t="s">
        <v>30</v>
      </c>
      <c r="D109" s="2" t="s">
        <v>7540</v>
      </c>
    </row>
    <row r="110" ht="15.75" customHeight="1">
      <c r="A110" s="2" t="s">
        <v>224</v>
      </c>
      <c r="B110" s="2" t="s">
        <v>225</v>
      </c>
      <c r="C110" s="2" t="s">
        <v>214</v>
      </c>
      <c r="D110" s="2" t="s">
        <v>7541</v>
      </c>
      <c r="E110" s="2" t="s">
        <v>7436</v>
      </c>
    </row>
    <row r="111" ht="15.75" customHeight="1">
      <c r="A111" s="2" t="s">
        <v>4497</v>
      </c>
      <c r="B111" s="2" t="s">
        <v>403</v>
      </c>
      <c r="C111" s="2" t="s">
        <v>995</v>
      </c>
      <c r="D111" s="2" t="s">
        <v>7542</v>
      </c>
      <c r="E111" s="2" t="s">
        <v>6262</v>
      </c>
    </row>
    <row r="112" ht="15.75" customHeight="1">
      <c r="A112" s="2" t="s">
        <v>2425</v>
      </c>
      <c r="B112" s="2" t="s">
        <v>2426</v>
      </c>
      <c r="C112" s="2" t="s">
        <v>2427</v>
      </c>
      <c r="D112" s="2" t="s">
        <v>7543</v>
      </c>
      <c r="E112" s="2" t="s">
        <v>6239</v>
      </c>
    </row>
    <row r="113" ht="15.75" customHeight="1">
      <c r="A113" s="2" t="s">
        <v>1271</v>
      </c>
      <c r="B113" s="2" t="s">
        <v>1272</v>
      </c>
      <c r="C113" s="2" t="s">
        <v>167</v>
      </c>
      <c r="D113" s="2" t="s">
        <v>7544</v>
      </c>
      <c r="E113" s="2" t="s">
        <v>6309</v>
      </c>
    </row>
    <row r="114" ht="15.75" customHeight="1">
      <c r="A114" s="2" t="s">
        <v>767</v>
      </c>
      <c r="B114" s="2" t="s">
        <v>768</v>
      </c>
      <c r="C114" s="2" t="s">
        <v>769</v>
      </c>
      <c r="D114" s="2" t="s">
        <v>7545</v>
      </c>
      <c r="E114" s="2" t="s">
        <v>7436</v>
      </c>
    </row>
    <row r="115" ht="15.75" customHeight="1">
      <c r="A115" s="2" t="s">
        <v>2680</v>
      </c>
      <c r="B115" s="2" t="s">
        <v>303</v>
      </c>
      <c r="C115" s="2" t="s">
        <v>2421</v>
      </c>
      <c r="D115" s="2" t="s">
        <v>7546</v>
      </c>
      <c r="E115" s="2" t="s">
        <v>7436</v>
      </c>
    </row>
    <row r="116" ht="15.75" customHeight="1">
      <c r="A116" s="2" t="s">
        <v>1632</v>
      </c>
      <c r="B116" s="2" t="s">
        <v>1633</v>
      </c>
      <c r="C116" s="2" t="s">
        <v>742</v>
      </c>
      <c r="E116" s="2" t="s">
        <v>6237</v>
      </c>
    </row>
    <row r="117" ht="15.75" customHeight="1">
      <c r="A117" s="2" t="s">
        <v>390</v>
      </c>
      <c r="B117" s="2" t="s">
        <v>391</v>
      </c>
      <c r="C117" s="2" t="s">
        <v>248</v>
      </c>
      <c r="D117" s="2" t="s">
        <v>7547</v>
      </c>
      <c r="E117" s="2" t="s">
        <v>6248</v>
      </c>
    </row>
    <row r="118" ht="15.75" customHeight="1">
      <c r="A118" s="2" t="s">
        <v>1146</v>
      </c>
      <c r="B118" s="2" t="s">
        <v>1147</v>
      </c>
      <c r="C118" s="2" t="s">
        <v>248</v>
      </c>
      <c r="D118" s="2" t="s">
        <v>7548</v>
      </c>
      <c r="E118" s="2" t="s">
        <v>6237</v>
      </c>
    </row>
    <row r="119" ht="15.75" customHeight="1">
      <c r="A119" s="2" t="s">
        <v>702</v>
      </c>
      <c r="B119" s="2" t="s">
        <v>524</v>
      </c>
      <c r="C119" s="2" t="s">
        <v>703</v>
      </c>
      <c r="D119" s="2" t="s">
        <v>7549</v>
      </c>
      <c r="E119" s="2" t="s">
        <v>6248</v>
      </c>
    </row>
    <row r="120" ht="15.75" customHeight="1">
      <c r="A120" s="2" t="s">
        <v>3210</v>
      </c>
      <c r="B120" s="2" t="s">
        <v>3211</v>
      </c>
      <c r="C120" s="2" t="s">
        <v>167</v>
      </c>
      <c r="D120" s="2" t="s">
        <v>7550</v>
      </c>
      <c r="E120" s="2" t="s">
        <v>6237</v>
      </c>
    </row>
    <row r="121" ht="15.75" customHeight="1">
      <c r="A121" s="2" t="s">
        <v>91</v>
      </c>
      <c r="B121" s="2" t="s">
        <v>92</v>
      </c>
      <c r="C121" s="2" t="s">
        <v>93</v>
      </c>
      <c r="D121" s="2" t="s">
        <v>7551</v>
      </c>
      <c r="E121" s="2" t="s">
        <v>6239</v>
      </c>
    </row>
    <row r="122" ht="15.75" customHeight="1">
      <c r="A122" s="2" t="s">
        <v>824</v>
      </c>
      <c r="B122" s="2" t="s">
        <v>825</v>
      </c>
      <c r="C122" s="2" t="s">
        <v>826</v>
      </c>
      <c r="D122" s="2" t="s">
        <v>7552</v>
      </c>
      <c r="E122" s="2" t="s">
        <v>6248</v>
      </c>
    </row>
    <row r="123" ht="15.75" customHeight="1">
      <c r="A123" s="2" t="s">
        <v>2033</v>
      </c>
      <c r="B123" s="2" t="s">
        <v>2034</v>
      </c>
      <c r="C123" s="2" t="s">
        <v>1016</v>
      </c>
      <c r="D123" s="2" t="s">
        <v>7553</v>
      </c>
      <c r="E123" s="2" t="s">
        <v>6237</v>
      </c>
    </row>
    <row r="124" ht="15.75" customHeight="1">
      <c r="A124" s="2" t="s">
        <v>2605</v>
      </c>
      <c r="B124" s="2" t="s">
        <v>2606</v>
      </c>
      <c r="C124" s="2" t="s">
        <v>292</v>
      </c>
      <c r="D124" s="2" t="s">
        <v>7554</v>
      </c>
      <c r="E124" s="2" t="s">
        <v>6309</v>
      </c>
    </row>
    <row r="125" ht="15.75" customHeight="1">
      <c r="A125" s="2" t="s">
        <v>481</v>
      </c>
      <c r="B125" s="2" t="s">
        <v>291</v>
      </c>
      <c r="C125" s="2" t="s">
        <v>482</v>
      </c>
      <c r="D125" s="2" t="s">
        <v>7555</v>
      </c>
      <c r="E125" s="2" t="s">
        <v>6239</v>
      </c>
    </row>
    <row r="126" ht="15.75" customHeight="1">
      <c r="A126" s="2" t="s">
        <v>1114</v>
      </c>
      <c r="B126" s="2" t="s">
        <v>1115</v>
      </c>
      <c r="C126" s="2" t="s">
        <v>248</v>
      </c>
      <c r="D126" s="2" t="s">
        <v>7556</v>
      </c>
      <c r="E126" s="2" t="s">
        <v>6309</v>
      </c>
    </row>
    <row r="127" ht="15.75" customHeight="1">
      <c r="A127" s="2" t="s">
        <v>28</v>
      </c>
      <c r="B127" s="2" t="s">
        <v>29</v>
      </c>
      <c r="C127" s="2" t="s">
        <v>30</v>
      </c>
      <c r="D127" s="2" t="s">
        <v>7557</v>
      </c>
      <c r="E127" s="2" t="s">
        <v>6239</v>
      </c>
    </row>
    <row r="128" ht="15.75" customHeight="1">
      <c r="A128" s="2" t="s">
        <v>3101</v>
      </c>
      <c r="B128" s="2" t="s">
        <v>1212</v>
      </c>
      <c r="C128" s="2" t="s">
        <v>248</v>
      </c>
      <c r="D128" s="2" t="s">
        <v>7558</v>
      </c>
      <c r="E128" s="2" t="s">
        <v>6262</v>
      </c>
    </row>
    <row r="129" ht="15.75" customHeight="1">
      <c r="A129" s="2" t="s">
        <v>1529</v>
      </c>
      <c r="B129" s="2" t="s">
        <v>1530</v>
      </c>
      <c r="C129" s="2" t="s">
        <v>368</v>
      </c>
      <c r="D129" s="2" t="s">
        <v>7559</v>
      </c>
      <c r="E129" s="2" t="s">
        <v>7436</v>
      </c>
    </row>
    <row r="130" ht="15.75" customHeight="1">
      <c r="A130" s="2" t="s">
        <v>1772</v>
      </c>
      <c r="B130" s="2" t="s">
        <v>712</v>
      </c>
      <c r="C130" s="2" t="s">
        <v>995</v>
      </c>
      <c r="D130" s="2" t="s">
        <v>7560</v>
      </c>
      <c r="E130" s="2" t="s">
        <v>7436</v>
      </c>
    </row>
    <row r="131" ht="15.75" customHeight="1">
      <c r="A131" s="2" t="s">
        <v>422</v>
      </c>
      <c r="B131" s="2" t="s">
        <v>423</v>
      </c>
      <c r="C131" s="2" t="s">
        <v>292</v>
      </c>
      <c r="D131" s="2" t="s">
        <v>7561</v>
      </c>
      <c r="E131" s="2" t="s">
        <v>6248</v>
      </c>
    </row>
    <row r="132" ht="15.75" customHeight="1">
      <c r="A132" s="2" t="s">
        <v>200</v>
      </c>
      <c r="B132" s="2" t="s">
        <v>201</v>
      </c>
      <c r="C132" s="2" t="s">
        <v>202</v>
      </c>
      <c r="D132" s="2" t="s">
        <v>7562</v>
      </c>
      <c r="E132" s="2" t="s">
        <v>6262</v>
      </c>
    </row>
    <row r="133" ht="15.75" customHeight="1">
      <c r="A133" s="2" t="s">
        <v>609</v>
      </c>
      <c r="B133" s="2" t="s">
        <v>259</v>
      </c>
      <c r="C133" s="2" t="s">
        <v>610</v>
      </c>
      <c r="D133" s="2" t="s">
        <v>7563</v>
      </c>
      <c r="E133" s="2" t="s">
        <v>6262</v>
      </c>
    </row>
    <row r="134" ht="15.75" customHeight="1">
      <c r="A134" s="2" t="s">
        <v>889</v>
      </c>
      <c r="B134" s="2" t="s">
        <v>804</v>
      </c>
      <c r="C134" s="2" t="s">
        <v>179</v>
      </c>
      <c r="D134" s="2" t="s">
        <v>7564</v>
      </c>
      <c r="E134" s="2" t="s">
        <v>6248</v>
      </c>
    </row>
    <row r="135" ht="15.75" customHeight="1">
      <c r="A135" s="2" t="s">
        <v>803</v>
      </c>
      <c r="B135" s="2" t="s">
        <v>804</v>
      </c>
      <c r="C135" s="2" t="s">
        <v>805</v>
      </c>
      <c r="D135" s="2" t="s">
        <v>7565</v>
      </c>
      <c r="E135" s="2" t="s">
        <v>6262</v>
      </c>
    </row>
    <row r="136" ht="15.75" customHeight="1">
      <c r="A136" s="2" t="s">
        <v>661</v>
      </c>
      <c r="B136" s="2" t="s">
        <v>662</v>
      </c>
      <c r="C136" s="2" t="s">
        <v>368</v>
      </c>
      <c r="D136" s="2" t="s">
        <v>7566</v>
      </c>
      <c r="E136" s="2" t="s">
        <v>7436</v>
      </c>
    </row>
    <row r="137" ht="15.75" customHeight="1">
      <c r="A137" s="2" t="s">
        <v>1815</v>
      </c>
      <c r="B137" s="2" t="s">
        <v>314</v>
      </c>
      <c r="C137" s="2" t="s">
        <v>368</v>
      </c>
      <c r="D137" s="2" t="s">
        <v>7567</v>
      </c>
      <c r="E137" s="2" t="s">
        <v>6237</v>
      </c>
    </row>
    <row r="138" ht="15.75" customHeight="1">
      <c r="A138" s="2" t="s">
        <v>2012</v>
      </c>
      <c r="B138" s="2" t="s">
        <v>741</v>
      </c>
      <c r="C138" s="2" t="s">
        <v>514</v>
      </c>
      <c r="D138" s="2" t="s">
        <v>7568</v>
      </c>
      <c r="E138" s="2" t="s">
        <v>6237</v>
      </c>
    </row>
    <row r="139" ht="15.75" customHeight="1">
      <c r="A139" s="2" t="s">
        <v>643</v>
      </c>
      <c r="B139" s="2" t="s">
        <v>644</v>
      </c>
      <c r="C139" s="2" t="s">
        <v>368</v>
      </c>
      <c r="D139" s="2" t="s">
        <v>7569</v>
      </c>
      <c r="E139" s="2" t="s">
        <v>6309</v>
      </c>
    </row>
    <row r="140" ht="15.75" customHeight="1">
      <c r="A140" s="2" t="s">
        <v>3596</v>
      </c>
      <c r="B140" s="2" t="s">
        <v>3597</v>
      </c>
      <c r="C140" s="2" t="s">
        <v>63</v>
      </c>
      <c r="D140" s="2" t="s">
        <v>7570</v>
      </c>
      <c r="E140" s="2" t="s">
        <v>6237</v>
      </c>
    </row>
    <row r="141" ht="15.75" customHeight="1">
      <c r="A141" s="2" t="s">
        <v>76</v>
      </c>
      <c r="B141" s="2" t="s">
        <v>77</v>
      </c>
      <c r="C141" s="2" t="s">
        <v>78</v>
      </c>
      <c r="D141" s="2" t="s">
        <v>7571</v>
      </c>
    </row>
    <row r="142" ht="15.75" customHeight="1">
      <c r="A142" s="2" t="s">
        <v>1137</v>
      </c>
      <c r="B142" s="2" t="s">
        <v>1138</v>
      </c>
      <c r="C142" s="2" t="s">
        <v>30</v>
      </c>
      <c r="D142" s="2" t="s">
        <v>7572</v>
      </c>
    </row>
    <row r="143" ht="15.75" customHeight="1">
      <c r="A143" s="2" t="s">
        <v>5482</v>
      </c>
      <c r="B143" s="2" t="s">
        <v>1359</v>
      </c>
      <c r="C143" s="2" t="s">
        <v>503</v>
      </c>
      <c r="D143" s="2" t="s">
        <v>7573</v>
      </c>
      <c r="E143" s="2" t="s">
        <v>7436</v>
      </c>
    </row>
    <row r="144" ht="15.75" customHeight="1">
      <c r="A144" s="2" t="s">
        <v>1679</v>
      </c>
      <c r="B144" s="2" t="s">
        <v>1530</v>
      </c>
      <c r="C144" s="2" t="s">
        <v>514</v>
      </c>
      <c r="D144" s="2" t="s">
        <v>7574</v>
      </c>
      <c r="E144" s="2" t="s">
        <v>6248</v>
      </c>
    </row>
    <row r="145" ht="15.75" customHeight="1">
      <c r="A145" s="2" t="s">
        <v>1197</v>
      </c>
      <c r="B145" s="2" t="s">
        <v>1198</v>
      </c>
      <c r="C145" s="2" t="s">
        <v>1199</v>
      </c>
      <c r="D145" s="2" t="s">
        <v>7575</v>
      </c>
      <c r="E145" s="2" t="s">
        <v>6248</v>
      </c>
    </row>
    <row r="146" ht="15.75" customHeight="1">
      <c r="A146" s="2" t="s">
        <v>1400</v>
      </c>
      <c r="B146" s="2" t="s">
        <v>524</v>
      </c>
      <c r="C146" s="2" t="s">
        <v>1401</v>
      </c>
      <c r="D146" s="2" t="s">
        <v>7576</v>
      </c>
      <c r="E146" s="2" t="s">
        <v>7436</v>
      </c>
    </row>
    <row r="147" ht="15.75" customHeight="1">
      <c r="A147" s="2" t="s">
        <v>2321</v>
      </c>
      <c r="B147" s="2" t="s">
        <v>2322</v>
      </c>
      <c r="C147" s="2" t="s">
        <v>368</v>
      </c>
      <c r="D147" s="2" t="s">
        <v>7577</v>
      </c>
      <c r="E147" s="2" t="s">
        <v>6248</v>
      </c>
    </row>
    <row r="148" ht="15.75" customHeight="1">
      <c r="A148" s="2" t="s">
        <v>1236</v>
      </c>
      <c r="B148" s="2" t="s">
        <v>1237</v>
      </c>
      <c r="C148" s="2" t="s">
        <v>637</v>
      </c>
      <c r="D148" s="2" t="s">
        <v>7578</v>
      </c>
      <c r="E148" s="2" t="s">
        <v>6239</v>
      </c>
    </row>
    <row r="149" ht="15.75" customHeight="1">
      <c r="A149" s="2" t="s">
        <v>2181</v>
      </c>
      <c r="B149" s="2" t="s">
        <v>2182</v>
      </c>
      <c r="C149" s="2" t="s">
        <v>179</v>
      </c>
      <c r="D149" s="2" t="s">
        <v>7579</v>
      </c>
    </row>
    <row r="150" ht="15.75" customHeight="1">
      <c r="A150" s="2" t="s">
        <v>61</v>
      </c>
      <c r="B150" s="2" t="s">
        <v>62</v>
      </c>
      <c r="C150" s="2" t="s">
        <v>63</v>
      </c>
      <c r="D150" s="2" t="s">
        <v>7580</v>
      </c>
      <c r="E150" s="2" t="s">
        <v>6309</v>
      </c>
    </row>
    <row r="151" ht="15.75" customHeight="1">
      <c r="A151" s="2" t="s">
        <v>1597</v>
      </c>
      <c r="B151" s="2" t="s">
        <v>502</v>
      </c>
      <c r="C151" s="2" t="s">
        <v>355</v>
      </c>
      <c r="D151" s="2" t="s">
        <v>7581</v>
      </c>
      <c r="E151" s="2" t="s">
        <v>6239</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86"/>
    <col customWidth="1" min="2" max="2" width="19.0"/>
    <col customWidth="1" hidden="1" min="3" max="3" width="19.0"/>
    <col customWidth="1" min="4" max="4" width="19.0"/>
    <col customWidth="1" hidden="1" min="5" max="5" width="20.86"/>
    <col customWidth="1" min="6" max="6" width="20.86"/>
    <col customWidth="1" min="7" max="8" width="33.71"/>
    <col customWidth="1" hidden="1" min="9" max="9" width="33.71"/>
    <col customWidth="1" min="10" max="10" width="13.0"/>
    <col customWidth="1" min="11" max="11" width="28.86"/>
    <col customWidth="1" min="12" max="12" width="25.29"/>
    <col customWidth="1" min="13" max="17" width="22.86"/>
    <col customWidth="1" min="18" max="18" width="10.0"/>
    <col customWidth="1" hidden="1" min="19" max="24" width="18.0"/>
    <col customWidth="1" min="25" max="25" width="18.0"/>
    <col customWidth="1" min="26" max="27" width="8.71"/>
    <col customWidth="1" min="28" max="28" width="11.14"/>
    <col customWidth="1" min="29" max="44" width="8.71"/>
  </cols>
  <sheetData>
    <row r="1">
      <c r="A1" s="1" t="s">
        <v>2</v>
      </c>
      <c r="B1" s="3" t="s">
        <v>7582</v>
      </c>
      <c r="C1" s="1" t="s">
        <v>6233</v>
      </c>
      <c r="D1" s="4" t="s">
        <v>7583</v>
      </c>
      <c r="E1" s="5" t="s">
        <v>7584</v>
      </c>
      <c r="F1" s="3" t="s">
        <v>7585</v>
      </c>
      <c r="G1" s="5" t="s">
        <v>7586</v>
      </c>
      <c r="H1" s="4" t="s">
        <v>7587</v>
      </c>
      <c r="I1" s="1" t="s">
        <v>4</v>
      </c>
      <c r="J1" s="3" t="s">
        <v>7588</v>
      </c>
      <c r="K1" s="6" t="s">
        <v>5</v>
      </c>
      <c r="L1" s="1"/>
      <c r="M1" s="1"/>
      <c r="N1" s="1"/>
      <c r="O1" s="1"/>
      <c r="P1" s="1"/>
      <c r="Q1" s="3" t="s">
        <v>7589</v>
      </c>
      <c r="R1" s="7" t="s">
        <v>6</v>
      </c>
      <c r="S1" s="8" t="s">
        <v>6234</v>
      </c>
      <c r="T1" s="5" t="s">
        <v>7590</v>
      </c>
      <c r="U1" s="5" t="s">
        <v>7591</v>
      </c>
      <c r="V1" s="5" t="s">
        <v>7592</v>
      </c>
      <c r="W1" s="5" t="s">
        <v>7593</v>
      </c>
      <c r="X1" s="5" t="s">
        <v>7594</v>
      </c>
      <c r="Y1" s="4" t="s">
        <v>7595</v>
      </c>
    </row>
    <row r="2">
      <c r="A2" s="2" t="s">
        <v>1718</v>
      </c>
      <c r="B2" s="9" t="str">
        <f t="array" ref="B2:B701">IF(COUNTIF(A:A,A2:A701)=1, "✅ Unique", "❌ Duplicate")</f>
        <v>✅ Unique</v>
      </c>
      <c r="C2" s="2" t="s">
        <v>1719</v>
      </c>
      <c r="D2" s="10" t="str">
        <f>IFERROR(__xludf.DUMMYFUNCTION("PROPER(REGEXREPLACE(TRIM(C2),""\s+"","" ""))"),"Ethan King")</f>
        <v>Ethan King</v>
      </c>
      <c r="E2" s="2">
        <f>IFERROR(__xludf.DUMMYFUNCTION("IF(LEN(D2:D701),
  COUNTA(SPLIT(D2:D701,"" "")),
 """")"),2.0)</f>
        <v>2</v>
      </c>
      <c r="F2" s="9" t="str">
        <f t="shared" ref="F2:F23" si="1">IF(D2=G2,"✅","❌")</f>
        <v>✅</v>
      </c>
      <c r="G2" s="2" t="str">
        <f>IFERROR(__xludf.DUMMYFUNCTION("REGEXEXTRACT(PROPER(SUBSTITUTE(TRIM(I2),""."","" "")),""^[^@]+"")"),"Ethan King")</f>
        <v>Ethan King</v>
      </c>
      <c r="H2" s="10" t="str">
        <f t="shared" ref="H2:H23" si="2">LOWER(TRIM(I2))</f>
        <v>ethan.king@shop.i o</v>
      </c>
      <c r="I2" s="2" t="s">
        <v>1720</v>
      </c>
      <c r="J2" s="9" t="str">
        <f>IFERROR(__xludf.DUMMYFUNCTION("IF(REGEXMATCH(TRIM(I2),""^[A-Za-z0-9._%+-]+@[A-Za-z0-9.-]+\.[A-Za-z]{2,}$""),""✅ Valid"",""❌ Invalid"")"),"❌ Invalid")</f>
        <v>❌ Invalid</v>
      </c>
      <c r="K2" s="11">
        <v>1.8912177948E10</v>
      </c>
      <c r="L2" s="2" t="str">
        <f>IFERROR(__xludf.DUMMYFUNCTION("IF(OR(K2=""N/A"", K2=""missing"", K2=""none""), """",
 REGEXREPLACE(
  SUBSTITUTE(SUBSTITUTE(SUBSTITUTE(TO_TEXT(K2), CHAR(160),""""), UNICHAR(8239),""""), UNICHAR(8201),""""),""[+\-/(): )]"", """"))"),"18912177948")</f>
        <v>18912177948</v>
      </c>
      <c r="M2" s="2" t="str">
        <f>IFERROR(__xludf.DUMMYFUNCTION("IF(L2="""","""", REGEXEXTRACT(REGEXREPLACE(L2,""x"", """"), ""[0-9]+""))"),"18912177948")</f>
        <v>18912177948</v>
      </c>
      <c r="N2" s="2" t="str">
        <f t="shared" ref="N2:N3" si="3">IF(LEFT(M2,1)="1", RIGHT(M2,LEN(M2)-1),M2)</f>
        <v>8912177948</v>
      </c>
      <c r="O2" s="2" t="b">
        <f>IFERROR(__xludf.DUMMYFUNCTION("REGEXMATCH(TO_TEXT(N2), ""^[2-9][0-9]{9}$"")"),TRUE)</f>
        <v>1</v>
      </c>
      <c r="P2" s="2">
        <f t="shared" ref="P2:P19" si="4">LEN(N2)</f>
        <v>10</v>
      </c>
      <c r="Q2" s="9" t="str">
        <f t="shared" ref="Q2:Q3" si="5">IF(AND(O2=TRUE, P2=10), "✅ VALID", "❌ INVALID")</f>
        <v>✅ VALID</v>
      </c>
      <c r="R2" s="10" t="s">
        <v>199</v>
      </c>
      <c r="S2" s="12" t="s">
        <v>6784</v>
      </c>
      <c r="T2" s="2" t="str">
        <f>IFERROR(__xludf.DUMMYFUNCTION("IF(ISNUMBER(S2),TEXT(S2,""yyyy-MM-dd""),REGEXREPLACE(REGEXREPLACE(TO_TEXT(S2),""[^0-9a-zA-Z]+"",""-""),""[^0-9]*$"",""""))"),"04-22-2025")</f>
        <v>04-22-2025</v>
      </c>
      <c r="U2" s="2" t="str">
        <f>TEXT(T2,"yyyy-MM-dd")</f>
        <v>04-22-2025</v>
      </c>
      <c r="V2" s="2" t="s">
        <v>7596</v>
      </c>
      <c r="Y2" s="10" t="s">
        <v>7596</v>
      </c>
    </row>
    <row r="3">
      <c r="A3" s="2" t="s">
        <v>2501</v>
      </c>
      <c r="B3" s="9" t="s">
        <v>7597</v>
      </c>
      <c r="C3" s="2" t="s">
        <v>2502</v>
      </c>
      <c r="D3" s="10" t="str">
        <f>IFERROR(__xludf.DUMMYFUNCTION("PROPER(REGEXREPLACE(TRIM(C3),""\s+"","" ""))"),"Wiktor Muller")</f>
        <v>Wiktor Muller</v>
      </c>
      <c r="E3" s="2">
        <f>IFERROR(__xludf.DUMMYFUNCTION("IF(LEN(D3:D701),
  COUNTA(SPLIT(D3:D701,"" "")),
 """")"),2.0)</f>
        <v>2</v>
      </c>
      <c r="F3" s="9" t="str">
        <f t="shared" si="1"/>
        <v>✅</v>
      </c>
      <c r="G3" s="2" t="str">
        <f>IFERROR(__xludf.DUMMYFUNCTION("REGEXEXTRACT(PROPER(SUBSTITUTE(TRIM(I3),""."","" "")),""^[^@]+"")"),"Wiktor Muller")</f>
        <v>Wiktor Muller</v>
      </c>
      <c r="H3" s="10" t="str">
        <f t="shared" si="2"/>
        <v>wiktor.muller@shop.io</v>
      </c>
      <c r="I3" s="2" t="s">
        <v>2503</v>
      </c>
      <c r="J3" s="9" t="str">
        <f>IFERROR(__xludf.DUMMYFUNCTION("IF(REGEXMATCH(TRIM(I3),""^[A-Za-z0-9._%+-]+@[A-Za-z0-9.-]+\.[A-Za-z]{2,}$""),""✅ Valid"",""❌ Invalid"")"),"✅ Valid")</f>
        <v>✅ Valid</v>
      </c>
      <c r="K3" s="13"/>
      <c r="L3" s="2" t="str">
        <f>IFERROR(__xludf.DUMMYFUNCTION("IF(OR(K3=""N/A"", K3=""missing"", K3=""none""), """",
 REGEXREPLACE(
  SUBSTITUTE(SUBSTITUTE(SUBSTITUTE(TO_TEXT(K3), CHAR(160),""""), UNICHAR(8239),""""), UNICHAR(8201),""""),""[+\-/(): )]"", """"))"),"")</f>
        <v/>
      </c>
      <c r="M3" s="2" t="str">
        <f>IFERROR(__xludf.DUMMYFUNCTION("IF(L3="""","""", REGEXEXTRACT(REGEXREPLACE(L3,""x"", """"), ""[0-9]+""))"),"")</f>
        <v/>
      </c>
      <c r="N3" s="2" t="str">
        <f t="shared" si="3"/>
        <v/>
      </c>
      <c r="O3" s="2" t="b">
        <f>IFERROR(__xludf.DUMMYFUNCTION("REGEXMATCH(TO_TEXT(N3), ""^[2-9][0-9]{9}$"")"),FALSE)</f>
        <v>0</v>
      </c>
      <c r="P3" s="2">
        <f t="shared" si="4"/>
        <v>0</v>
      </c>
      <c r="Q3" s="9" t="str">
        <f t="shared" si="5"/>
        <v>❌ INVALID</v>
      </c>
      <c r="R3" s="10" t="s">
        <v>199</v>
      </c>
      <c r="S3" s="12">
        <v>45813.0</v>
      </c>
      <c r="T3" s="2" t="str">
        <f>IFERROR(__xludf.DUMMYFUNCTION("IF(ISNUMBER(S3),TEXT(S3,""yyyy-MM-dd""),REGEXREPLACE(REGEXREPLACE(TO_TEXT(S3),""[^0-9a-zA-Z]+"",""-""),""[^0-9]*$"",""""))"),"2025-06-05")</f>
        <v>2025-06-05</v>
      </c>
      <c r="U3" s="2" t="s">
        <v>7598</v>
      </c>
      <c r="Y3" s="10" t="s">
        <v>7598</v>
      </c>
    </row>
    <row r="4">
      <c r="A4" s="2" t="s">
        <v>2008</v>
      </c>
      <c r="B4" s="9" t="s">
        <v>7597</v>
      </c>
      <c r="C4" s="2" t="s">
        <v>2009</v>
      </c>
      <c r="D4" s="10" t="str">
        <f>IFERROR(__xludf.DUMMYFUNCTION("PROPER(REGEXREPLACE(TRIM(C4),""\s+"","" ""))"),"Lia Novak")</f>
        <v>Lia Novak</v>
      </c>
      <c r="E4" s="2">
        <f>IFERROR(__xludf.DUMMYFUNCTION("IF(LEN(D4:D701),
  COUNTA(SPLIT(D4:D701,"" "")),
 """")"),2.0)</f>
        <v>2</v>
      </c>
      <c r="F4" s="9" t="str">
        <f t="shared" si="1"/>
        <v>✅</v>
      </c>
      <c r="G4" s="2" t="str">
        <f>IFERROR(__xludf.DUMMYFUNCTION("REGEXEXTRACT(PROPER(SUBSTITUTE(TRIM(I4),""."","" "")),""^[^@]+"")"),"Lia Novak")</f>
        <v>Lia Novak</v>
      </c>
      <c r="H4" s="10" t="str">
        <f t="shared" si="2"/>
        <v>lia.novak@gmail.com</v>
      </c>
      <c r="I4" s="2" t="s">
        <v>2010</v>
      </c>
      <c r="J4" s="9" t="str">
        <f>IFERROR(__xludf.DUMMYFUNCTION("IF(REGEXMATCH(TRIM(I4),""^[A-Za-z0-9._%+-]+@[A-Za-z0-9.-]+\.[A-Za-z]{2,}$""),""✅ Valid"",""❌ Invalid"")"),"✅ Valid")</f>
        <v>✅ Valid</v>
      </c>
      <c r="K4" s="13" t="s">
        <v>7599</v>
      </c>
      <c r="L4" s="2" t="str">
        <f>IFERROR(__xludf.DUMMYFUNCTION("IF(OR(K4=""N/A"", K4=""missing"", K4=""none""), """",
 REGEXREPLACE(
  SUBSTITUTE(SUBSTITUTE(SUBSTITUTE(TO_TEXT(K4), CHAR(160),""""), UNICHAR(8239),""""), UNICHAR(8201),""""),""[+\-/(): )]"", """"))"),"441895238062ext644")</f>
        <v>441895238062ext644</v>
      </c>
      <c r="M4" s="2" t="str">
        <f>IFERROR(__xludf.DUMMYFUNCTION("IF(L4="""","""", REGEXEXTRACT(REGEXREPLACE(L4,""x"", """"), ""[0-9]+""))"),"441895238062")</f>
        <v>441895238062</v>
      </c>
      <c r="N4" s="2" t="str">
        <f>IF(LEFT(M4,2)="44", RIGHT(M4,LEN(M4)-2),M4)</f>
        <v>1895238062</v>
      </c>
      <c r="O4" s="2" t="b">
        <f>IFERROR(__xludf.DUMMYFUNCTION("REGEXMATCH(TO_TEXT(N4), ""^07[1-57-9]"")"),FALSE)</f>
        <v>0</v>
      </c>
      <c r="P4" s="2">
        <f t="shared" si="4"/>
        <v>10</v>
      </c>
      <c r="Q4" s="9" t="str">
        <f>IF(AND(O4=TRUE, P4=11), "✅ VALID", "❌ INVALID")</f>
        <v>❌ INVALID</v>
      </c>
      <c r="R4" s="10" t="s">
        <v>114</v>
      </c>
      <c r="S4" s="12" t="s">
        <v>6665</v>
      </c>
      <c r="T4" s="2" t="str">
        <f>IFERROR(__xludf.DUMMYFUNCTION("IF(ISNUMBER(S4),TEXT(S4,""yyyy-MM-dd""),REGEXREPLACE(REGEXREPLACE(TO_TEXT(S4),""[^0-9a-zA-Z]+"",""-""),""[^0-9]*$"",""""))"),"02-24-2022")</f>
        <v>02-24-2022</v>
      </c>
      <c r="U4" s="2" t="str">
        <f>TEXT(T4,"yyyy-MM-dd")</f>
        <v>02-24-2022</v>
      </c>
      <c r="V4" s="2" t="s">
        <v>7600</v>
      </c>
      <c r="Y4" s="10" t="s">
        <v>7600</v>
      </c>
    </row>
    <row r="5">
      <c r="A5" s="2" t="s">
        <v>5237</v>
      </c>
      <c r="B5" s="9" t="s">
        <v>7597</v>
      </c>
      <c r="C5" s="2" t="s">
        <v>5238</v>
      </c>
      <c r="D5" s="10" t="str">
        <f>IFERROR(__xludf.DUMMYFUNCTION("PROPER(REGEXREPLACE(TRIM(C5),""\s+"","" ""))"),"Vlad Lee")</f>
        <v>Vlad Lee</v>
      </c>
      <c r="E5" s="2">
        <f>IFERROR(__xludf.DUMMYFUNCTION("IF(LEN(D5:D701),
  COUNTA(SPLIT(D5:D701,"" "")),
 """")"),2.0)</f>
        <v>2</v>
      </c>
      <c r="F5" s="9" t="str">
        <f t="shared" si="1"/>
        <v>✅</v>
      </c>
      <c r="G5" s="2" t="str">
        <f>IFERROR(__xludf.DUMMYFUNCTION("REGEXEXTRACT(PROPER(SUBSTITUTE(TRIM(I5),""."","" "")),""^[^@]+"")"),"Vlad Lee")</f>
        <v>Vlad Lee</v>
      </c>
      <c r="H5" s="10" t="str">
        <f t="shared" si="2"/>
        <v>vlad.lee@outlook.com</v>
      </c>
      <c r="I5" s="2" t="s">
        <v>5239</v>
      </c>
      <c r="J5" s="9" t="str">
        <f>IFERROR(__xludf.DUMMYFUNCTION("IF(REGEXMATCH(TRIM(I5),""^[A-Za-z0-9._%+-]+@[A-Za-z0-9.-]+\.[A-Za-z]{2,}$""),""✅ Valid"",""❌ Invalid"")"),"✅ Valid")</f>
        <v>✅ Valid</v>
      </c>
      <c r="K5" s="13" t="s">
        <v>7601</v>
      </c>
      <c r="L5" s="2" t="str">
        <f>IFERROR(__xludf.DUMMYFUNCTION("IF(OR(K5=""N/A"", K5=""missing"", K5=""none""), """",
 REGEXREPLACE(
  SUBSTITUTE(SUBSTITUTE(SUBSTITUTE(TO_TEXT(K5), CHAR(160),""""), UNICHAR(8239),""""), UNICHAR(8201),""""),""[+\-/(): )]"", """"))"),"228667113")</f>
        <v>228667113</v>
      </c>
      <c r="M5" s="2" t="str">
        <f>IFERROR(__xludf.DUMMYFUNCTION("IF(L5="""","""", REGEXEXTRACT(REGEXREPLACE(L5,""x"", """"), ""[0-9]+""))"),"228667113")</f>
        <v>228667113</v>
      </c>
      <c r="N5" s="2" t="str">
        <f>IF(LEFT(M5,2)="39", RIGHT(M5,LEN(M5)-2),M5)</f>
        <v>228667113</v>
      </c>
      <c r="O5" s="2" t="b">
        <f>IFERROR(__xludf.DUMMYFUNCTION("REGEXMATCH(TO_TEXT(N5), ""^3"")"),FALSE)</f>
        <v>0</v>
      </c>
      <c r="P5" s="2">
        <f t="shared" si="4"/>
        <v>9</v>
      </c>
      <c r="Q5" s="9" t="str">
        <f>IF(AND(O5=TRUE,OR(P5=9, P5=10 )), "✅ VALID", "❌ INVALID")</f>
        <v>❌ INVALID</v>
      </c>
      <c r="R5" s="10" t="s">
        <v>785</v>
      </c>
      <c r="S5" s="12" t="s">
        <v>6562</v>
      </c>
      <c r="T5" s="2" t="str">
        <f>IFERROR(__xludf.DUMMYFUNCTION("IF(ISNUMBER(S5),TEXT(S5,""yyyy-MM-dd""),REGEXREPLACE(REGEXREPLACE(TO_TEXT(S5),""[^0-9a-zA-Z]+"",""-""),""[^0-9]*$"",""""))"),"08-03-2025")</f>
        <v>08-03-2025</v>
      </c>
      <c r="U5" s="2" t="s">
        <v>7602</v>
      </c>
      <c r="Y5" s="10" t="s">
        <v>7602</v>
      </c>
    </row>
    <row r="6">
      <c r="A6" s="2" t="s">
        <v>3535</v>
      </c>
      <c r="B6" s="9" t="s">
        <v>7597</v>
      </c>
      <c r="C6" s="2" t="s">
        <v>3536</v>
      </c>
      <c r="D6" s="10" t="str">
        <f>IFERROR(__xludf.DUMMYFUNCTION("PROPER(REGEXREPLACE(TRIM(C6),""\s+"","" ""))"),"Zack Smith")</f>
        <v>Zack Smith</v>
      </c>
      <c r="E6" s="2">
        <f>IFERROR(__xludf.DUMMYFUNCTION("IF(LEN(D6:D701),
  COUNTA(SPLIT(D6:D701,"" "")),
 """")"),2.0)</f>
        <v>2</v>
      </c>
      <c r="F6" s="9" t="str">
        <f t="shared" si="1"/>
        <v>✅</v>
      </c>
      <c r="G6" s="2" t="str">
        <f>IFERROR(__xludf.DUMMYFUNCTION("REGEXEXTRACT(PROPER(SUBSTITUTE(TRIM(I6),""."","" "")),""^[^@]+"")"),"Zack Smith")</f>
        <v>Zack Smith</v>
      </c>
      <c r="H6" s="10" t="str">
        <f t="shared" si="2"/>
        <v>zack.smith@outlookc.om</v>
      </c>
      <c r="I6" s="2" t="s">
        <v>3537</v>
      </c>
      <c r="J6" s="9" t="str">
        <f>IFERROR(__xludf.DUMMYFUNCTION("IF(REGEXMATCH(TRIM(I6),""^[A-Za-z0-9._%+-]+@[A-Za-z0-9.-]+\.[A-Za-z]{2,}$""),""✅ Valid"",""❌ Invalid"")"),"✅ Valid")</f>
        <v>✅ Valid</v>
      </c>
      <c r="K6" s="13" t="s">
        <v>7603</v>
      </c>
      <c r="L6" s="2" t="str">
        <f>IFERROR(__xludf.DUMMYFUNCTION("IF(OR(K6=""N/A"", K6=""missing"", K6=""none""), """",
 REGEXREPLACE(
  SUBSTITUTE(SUBSTITUTE(SUBSTITUTE(TO_TEXT(K6), CHAR(160),""""), UNICHAR(8239),""""), UNICHAR(8201),""""),""[+\-/(): )]"", """"))"),"tel497822452005")</f>
        <v>tel497822452005</v>
      </c>
      <c r="M6" s="2" t="str">
        <f>IFERROR(__xludf.DUMMYFUNCTION("IF(L6="""","""", REGEXEXTRACT(REGEXREPLACE(L6,""x"", """"), ""[0-9]+""))"),"497822452005")</f>
        <v>497822452005</v>
      </c>
      <c r="N6" s="2" t="str">
        <f>IF(LEFT(M6,2)="49", RIGHT(M6,LEN(M6)-2),M6)</f>
        <v>7822452005</v>
      </c>
      <c r="O6" s="2" t="b">
        <f>IFERROR(__xludf.DUMMYFUNCTION("REGEXMATCH(TO_TEXT(N6), ""^0(15|16|17)"")"),FALSE)</f>
        <v>0</v>
      </c>
      <c r="P6" s="2">
        <f t="shared" si="4"/>
        <v>10</v>
      </c>
      <c r="Q6" s="9" t="str">
        <f>IF(AND(O6=TRUE,OR(P6=10, P6=11)), "✅ VALID", "❌ INVALID")</f>
        <v>❌ INVALID</v>
      </c>
      <c r="R6" s="10" t="s">
        <v>459</v>
      </c>
      <c r="S6" s="12">
        <v>44786.0</v>
      </c>
      <c r="T6" s="2" t="str">
        <f>IFERROR(__xludf.DUMMYFUNCTION("IF(ISNUMBER(S6),TEXT(S6,""yyyy-MM-dd""),REGEXREPLACE(REGEXREPLACE(TO_TEXT(S6),""[^0-9a-zA-Z]+"",""-""),""[^0-9]*$"",""""))"),"2022-08-13")</f>
        <v>2022-08-13</v>
      </c>
      <c r="U6" s="2" t="s">
        <v>6607</v>
      </c>
      <c r="Y6" s="10" t="s">
        <v>6607</v>
      </c>
    </row>
    <row r="7">
      <c r="A7" s="2" t="s">
        <v>1777</v>
      </c>
      <c r="B7" s="9" t="s">
        <v>7597</v>
      </c>
      <c r="C7" s="2" t="s">
        <v>1778</v>
      </c>
      <c r="D7" s="10" t="str">
        <f>IFERROR(__xludf.DUMMYFUNCTION("PROPER(REGEXREPLACE(TRIM(C7),""\s+"","" ""))"),"Rita Rodriguez")</f>
        <v>Rita Rodriguez</v>
      </c>
      <c r="E7" s="2">
        <f>IFERROR(__xludf.DUMMYFUNCTION("IF(LEN(D7:D701),
  COUNTA(SPLIT(D7:D701,"" "")),
 """")"),2.0)</f>
        <v>2</v>
      </c>
      <c r="F7" s="9" t="str">
        <f t="shared" si="1"/>
        <v>✅</v>
      </c>
      <c r="G7" s="2" t="str">
        <f>IFERROR(__xludf.DUMMYFUNCTION("REGEXEXTRACT(PROPER(SUBSTITUTE(TRIM(I7),""."","" "")),""^[^@]+"")"),"Rita Rodriguez")</f>
        <v>Rita Rodriguez</v>
      </c>
      <c r="H7" s="10" t="str">
        <f t="shared" si="2"/>
        <v>rita.rodriguez@gmail.com</v>
      </c>
      <c r="I7" s="2" t="s">
        <v>1779</v>
      </c>
      <c r="J7" s="9" t="str">
        <f>IFERROR(__xludf.DUMMYFUNCTION("IF(REGEXMATCH(TRIM(I7),""^[A-Za-z0-9._%+-]+@[A-Za-z0-9.-]+\.[A-Za-z]{2,}$""),""✅ Valid"",""❌ Invalid"")"),"✅ Valid")</f>
        <v>✅ Valid</v>
      </c>
      <c r="K7" s="11">
        <v>9.808647248E9</v>
      </c>
      <c r="L7" s="2" t="str">
        <f>IFERROR(__xludf.DUMMYFUNCTION("IF(OR(K7=""N/A"", K7=""missing"", K7=""none""), """",
 REGEXREPLACE(
  SUBSTITUTE(SUBSTITUTE(SUBSTITUTE(TO_TEXT(K7), CHAR(160),""""), UNICHAR(8239),""""), UNICHAR(8201),""""),""[+\-/(): )]"", """"))"),"9808647248")</f>
        <v>9808647248</v>
      </c>
      <c r="M7" s="2" t="str">
        <f>IFERROR(__xludf.DUMMYFUNCTION("IF(L7="""","""", REGEXEXTRACT(REGEXREPLACE(L7,""x"", """"), ""[0-9]+""))"),"9808647248")</f>
        <v>9808647248</v>
      </c>
      <c r="N7" s="2" t="str">
        <f>IF(LEFT(M7,1)="1", RIGHT(M7,LEN(M7)-1),M7)</f>
        <v>9808647248</v>
      </c>
      <c r="O7" s="2" t="b">
        <f>IFERROR(__xludf.DUMMYFUNCTION("REGEXMATCH(TO_TEXT(N7), ""^[2-9][0-9]{9}$"")"),TRUE)</f>
        <v>1</v>
      </c>
      <c r="P7" s="2">
        <f t="shared" si="4"/>
        <v>10</v>
      </c>
      <c r="Q7" s="9" t="str">
        <f>IF(AND(O7=TRUE, P7=10), "✅ VALID", "❌ INVALID")</f>
        <v>✅ VALID</v>
      </c>
      <c r="R7" s="10" t="s">
        <v>199</v>
      </c>
      <c r="S7" s="12">
        <v>45006.0</v>
      </c>
      <c r="T7" s="2" t="str">
        <f>IFERROR(__xludf.DUMMYFUNCTION("IF(ISNUMBER(S7),TEXT(S7,""yyyy-MM-dd""),REGEXREPLACE(REGEXREPLACE(TO_TEXT(S7),""[^0-9a-zA-Z]+"",""-""),""[^0-9]*$"",""""))"),"2023-03-21")</f>
        <v>2023-03-21</v>
      </c>
      <c r="U7" s="2" t="s">
        <v>7404</v>
      </c>
      <c r="Y7" s="10" t="s">
        <v>7404</v>
      </c>
    </row>
    <row r="8">
      <c r="A8" s="2" t="s">
        <v>7393</v>
      </c>
      <c r="B8" s="9" t="s">
        <v>7597</v>
      </c>
      <c r="C8" s="2" t="s">
        <v>7394</v>
      </c>
      <c r="D8" s="10" t="s">
        <v>6441</v>
      </c>
      <c r="E8" s="2">
        <f>IFERROR(__xludf.DUMMYFUNCTION("IF(LEN(D8:D701),
  COUNTA(SPLIT(D8:D701,"" "")),
 """")"),2.0)</f>
        <v>2</v>
      </c>
      <c r="F8" s="9" t="str">
        <f t="shared" si="1"/>
        <v>✅</v>
      </c>
      <c r="G8" s="2" t="s">
        <v>6441</v>
      </c>
      <c r="H8" s="10" t="str">
        <f t="shared" si="2"/>
        <v>gabe.lopez@shop.io</v>
      </c>
      <c r="I8" s="2" t="s">
        <v>7395</v>
      </c>
      <c r="J8" s="9" t="str">
        <f>IFERROR(__xludf.DUMMYFUNCTION("IF(REGEXMATCH(TRIM(I8),""^[A-Za-z0-9._%+-]+@[A-Za-z0-9.-]+\.[A-Za-z]{2,}$""),""✅ Valid"",""❌ Invalid"")"),"✅ Valid")</f>
        <v>✅ Valid</v>
      </c>
      <c r="K8" s="13" t="s">
        <v>7604</v>
      </c>
      <c r="L8" s="2" t="str">
        <f>IFERROR(__xludf.DUMMYFUNCTION("IF(OR(K8=""N/A"", K8=""missing"", K8=""none""), """",
 REGEXREPLACE(
  SUBSTITUTE(SUBSTITUTE(SUBSTITUTE(TO_TEXT(K8), CHAR(160),""""), UNICHAR(8239),""""), UNICHAR(8201),""""),""[+\-/(): )]"", """"))"),"330453496251")</f>
        <v>330453496251</v>
      </c>
      <c r="M8" s="2" t="str">
        <f>IFERROR(__xludf.DUMMYFUNCTION("IF(L8="""","""", REGEXEXTRACT(REGEXREPLACE(L8,""x"", """"), ""[0-9]+""))"),"330453496251")</f>
        <v>330453496251</v>
      </c>
      <c r="N8" s="2" t="str">
        <f>IF(LEFT(M8,2)="33", RIGHT(M8,LEN(M8)-2),M8)</f>
        <v>0453496251</v>
      </c>
      <c r="O8" s="2" t="b">
        <f>IFERROR(__xludf.DUMMYFUNCTION("REGEXMATCH(TO_TEXT(N8), ""^0[67]"")"),FALSE)</f>
        <v>0</v>
      </c>
      <c r="P8" s="2">
        <f t="shared" si="4"/>
        <v>10</v>
      </c>
      <c r="Q8" s="9" t="str">
        <f>IF(AND(O8=TRUE, P8=9), "✅ VALID", "❌ INVALID")</f>
        <v>❌ INVALID</v>
      </c>
      <c r="R8" s="10" t="s">
        <v>58</v>
      </c>
      <c r="S8" s="12">
        <v>45652.0</v>
      </c>
      <c r="T8" s="2" t="str">
        <f>IFERROR(__xludf.DUMMYFUNCTION("IF(ISNUMBER(S8),TEXT(S8,""yyyy-MM-dd""),REGEXREPLACE(REGEXREPLACE(TO_TEXT(S8),""[^0-9a-zA-Z]+"",""-""),""[^0-9]*$"",""""))"),"2024-12-26")</f>
        <v>2024-12-26</v>
      </c>
      <c r="U8" s="2" t="s">
        <v>7605</v>
      </c>
      <c r="Y8" s="10" t="s">
        <v>7605</v>
      </c>
    </row>
    <row r="9">
      <c r="A9" s="2" t="s">
        <v>6709</v>
      </c>
      <c r="B9" s="9" t="s">
        <v>7597</v>
      </c>
      <c r="C9" s="2" t="s">
        <v>6710</v>
      </c>
      <c r="D9" s="10" t="str">
        <f>IFERROR(__xludf.DUMMYFUNCTION("PROPER(REGEXREPLACE(TRIM(C9),""\s+"","" ""))"),"Jade Brown")</f>
        <v>Jade Brown</v>
      </c>
      <c r="E9" s="2">
        <f>IFERROR(__xludf.DUMMYFUNCTION("IF(LEN(D9:D701),
  COUNTA(SPLIT(D9:D701,"" "")),
 """")"),2.0)</f>
        <v>2</v>
      </c>
      <c r="F9" s="9" t="str">
        <f t="shared" si="1"/>
        <v>❌</v>
      </c>
      <c r="G9" s="2" t="s">
        <v>7606</v>
      </c>
      <c r="H9" s="10" t="str">
        <f t="shared" si="2"/>
        <v>jad.ebrown@company.co.uk</v>
      </c>
      <c r="I9" s="2" t="s">
        <v>6711</v>
      </c>
      <c r="J9" s="9" t="str">
        <f>IFERROR(__xludf.DUMMYFUNCTION("IF(REGEXMATCH(TRIM(I9),""^[A-Za-z0-9._%+-]+@[A-Za-z0-9.-]+\.[A-Za-z]{2,}$""),""✅ Valid"",""❌ Invalid"")"),"✅ Valid")</f>
        <v>✅ Valid</v>
      </c>
      <c r="K9" s="13" t="s">
        <v>7607</v>
      </c>
      <c r="L9" s="2" t="str">
        <f>IFERROR(__xludf.DUMMYFUNCTION("IF(OR(K9=""N/A"", K9=""missing"", K9=""none""), """",
 REGEXREPLACE(
  SUBSTITUTE(SUBSTITUTE(SUBSTITUTE(TO_TEXT(K9), CHAR(160),""""), UNICHAR(8239),""""), UNICHAR(8201),""""),""[+\-/(): )]"", """"))"),"35397911194")</f>
        <v>35397911194</v>
      </c>
      <c r="M9" s="2" t="str">
        <f>IFERROR(__xludf.DUMMYFUNCTION("IF(L9="""","""", REGEXEXTRACT(REGEXREPLACE(L9,""x"", """"), ""[0-9]+""))"),"35397911194")</f>
        <v>35397911194</v>
      </c>
      <c r="N9" s="2" t="str">
        <f t="shared" ref="N9:N10" si="6">IF(LEFT(M9,3)="353", RIGHT(M9,LEN(M9)-3),M9)</f>
        <v>97911194</v>
      </c>
      <c r="O9" s="2" t="b">
        <f>IFERROR(__xludf.DUMMYFUNCTION("REGEXMATCH(TO_TEXT(N9), ""^0(83|85|86|87|89)"")"),FALSE)</f>
        <v>0</v>
      </c>
      <c r="P9" s="2">
        <f t="shared" si="4"/>
        <v>8</v>
      </c>
      <c r="Q9" s="9" t="str">
        <f t="shared" ref="Q9:Q10" si="7">IF(AND(O9=TRUE, P6=10), "✅ VALID", "❌ INVALID")</f>
        <v>❌ INVALID</v>
      </c>
      <c r="R9" s="10" t="s">
        <v>1177</v>
      </c>
      <c r="S9" s="12">
        <v>44932.0</v>
      </c>
      <c r="T9" s="2" t="str">
        <f>IFERROR(__xludf.DUMMYFUNCTION("IF(ISNUMBER(S9),TEXT(S9,""yyyy-MM-dd""),REGEXREPLACE(REGEXREPLACE(TO_TEXT(S9),""[^0-9a-zA-Z]+"",""-""),""[^0-9]*$"",""""))"),"2023-01-06")</f>
        <v>2023-01-06</v>
      </c>
      <c r="U9" s="2" t="s">
        <v>7608</v>
      </c>
      <c r="Y9" s="10" t="s">
        <v>7608</v>
      </c>
    </row>
    <row r="10">
      <c r="A10" s="2" t="s">
        <v>5386</v>
      </c>
      <c r="B10" s="9" t="s">
        <v>7597</v>
      </c>
      <c r="C10" s="2" t="s">
        <v>4419</v>
      </c>
      <c r="D10" s="10" t="str">
        <f>IFERROR(__xludf.DUMMYFUNCTION("PROPER(REGEXREPLACE(TRIM(C10),""\s+"","" ""))"),"Vlad Young")</f>
        <v>Vlad Young</v>
      </c>
      <c r="E10" s="2">
        <f>IFERROR(__xludf.DUMMYFUNCTION("IF(LEN(D10:D701),
  COUNTA(SPLIT(D10:D701,"" "")),
 """")"),2.0)</f>
        <v>2</v>
      </c>
      <c r="F10" s="9" t="str">
        <f t="shared" si="1"/>
        <v>✅</v>
      </c>
      <c r="G10" s="2" t="str">
        <f>IFERROR(__xludf.DUMMYFUNCTION("REGEXEXTRACT(PROPER(SUBSTITUTE(TRIM(I10),""."","" "")),""^[^@]+"")"),"Vlad Young")</f>
        <v>Vlad Young</v>
      </c>
      <c r="H10" s="10" t="str">
        <f t="shared" si="2"/>
        <v>vlad.young@example.com</v>
      </c>
      <c r="I10" s="2" t="s">
        <v>4420</v>
      </c>
      <c r="J10" s="9" t="str">
        <f>IFERROR(__xludf.DUMMYFUNCTION("IF(REGEXMATCH(TRIM(I10),""^[A-Za-z0-9._%+-]+@[A-Za-z0-9.-]+\.[A-Za-z]{2,}$""),""✅ Valid"",""❌ Invalid"")"),"✅ Valid")</f>
        <v>✅ Valid</v>
      </c>
      <c r="K10" s="13" t="s">
        <v>7609</v>
      </c>
      <c r="L10" s="2" t="str">
        <f>IFERROR(__xludf.DUMMYFUNCTION("IF(OR(K10=""N/A"", K10=""missing"", K10=""none""), """",
 REGEXREPLACE(
  SUBSTITUTE(SUBSTITUTE(SUBSTITUTE(TO_TEXT(K10), CHAR(160),""""), UNICHAR(8239),""""), UNICHAR(8201),""""),""[+\-/(): )]"", """"))"),"713490434")</f>
        <v>713490434</v>
      </c>
      <c r="M10" s="2" t="str">
        <f>IFERROR(__xludf.DUMMYFUNCTION("IF(L10="""","""", REGEXEXTRACT(REGEXREPLACE(L10,""x"", """"), ""[0-9]+""))"),"713490434")</f>
        <v>713490434</v>
      </c>
      <c r="N10" s="2" t="str">
        <f t="shared" si="6"/>
        <v>713490434</v>
      </c>
      <c r="O10" s="2" t="b">
        <f>IFERROR(__xludf.DUMMYFUNCTION("REGEXMATCH(TO_TEXT(N10), ""^0(83|85|86|87|89)"")"),FALSE)</f>
        <v>0</v>
      </c>
      <c r="P10" s="2">
        <f t="shared" si="4"/>
        <v>9</v>
      </c>
      <c r="Q10" s="9" t="str">
        <f t="shared" si="7"/>
        <v>❌ INVALID</v>
      </c>
      <c r="R10" s="10" t="s">
        <v>1177</v>
      </c>
      <c r="S10" s="12">
        <v>44789.779861111114</v>
      </c>
      <c r="T10" s="2" t="str">
        <f>IFERROR(__xludf.DUMMYFUNCTION("IF(ISNUMBER(S10),TEXT(S10,""yyyy-MM-dd""),REGEXREPLACE(REGEXREPLACE(TO_TEXT(S10),""[^0-9a-zA-Z]+"",""-""),""[^0-9]*$"",""""))"),"2022-08-16")</f>
        <v>2022-08-16</v>
      </c>
      <c r="U10" s="2" t="s">
        <v>7610</v>
      </c>
      <c r="Y10" s="10" t="s">
        <v>7610</v>
      </c>
    </row>
    <row r="11">
      <c r="A11" s="2" t="s">
        <v>3075</v>
      </c>
      <c r="B11" s="9" t="s">
        <v>7597</v>
      </c>
      <c r="C11" s="2" t="s">
        <v>1126</v>
      </c>
      <c r="D11" s="10" t="str">
        <f>IFERROR(__xludf.DUMMYFUNCTION("PROPER(REGEXREPLACE(TRIM(C11),""\s+"","" ""))"),"Marek Davis")</f>
        <v>Marek Davis</v>
      </c>
      <c r="E11" s="2">
        <f>IFERROR(__xludf.DUMMYFUNCTION("IF(LEN(D11:D701),
  COUNTA(SPLIT(D11:D701,"" "")),
 """")"),2.0)</f>
        <v>2</v>
      </c>
      <c r="F11" s="9" t="str">
        <f t="shared" si="1"/>
        <v>✅</v>
      </c>
      <c r="G11" s="2" t="str">
        <f>IFERROR(__xludf.DUMMYFUNCTION("REGEXEXTRACT(PROPER(SUBSTITUTE(TRIM(I11),""."","" "")),""^[^@]+"")"),"Marek Davis")</f>
        <v>Marek Davis</v>
      </c>
      <c r="H11" s="10" t="str">
        <f t="shared" si="2"/>
        <v>marek.davis@gmail.com</v>
      </c>
      <c r="I11" s="2" t="s">
        <v>3076</v>
      </c>
      <c r="J11" s="9" t="str">
        <f>IFERROR(__xludf.DUMMYFUNCTION("IF(REGEXMATCH(TRIM(I11),""^[A-Za-z0-9._%+-]+@[A-Za-z0-9.-]+\.[A-Za-z]{2,}$""),""✅ Valid"",""❌ Invalid"")"),"✅ Valid")</f>
        <v>✅ Valid</v>
      </c>
      <c r="K11" s="13" t="s">
        <v>7611</v>
      </c>
      <c r="L11" s="2" t="str">
        <f>IFERROR(__xludf.DUMMYFUNCTION("IF(OR(K11=""N/A"", K11=""missing"", K11=""none""), """",
 REGEXREPLACE(
  SUBSTITUTE(SUBSTITUTE(SUBSTITUTE(TO_TEXT(K11), CHAR(160),""""), UNICHAR(8239),""""), UNICHAR(8201),""""),""[+\-/(): )]"", """"))"),"4449857112876")</f>
        <v>4449857112876</v>
      </c>
      <c r="M11" s="2" t="str">
        <f>IFERROR(__xludf.DUMMYFUNCTION("IF(L11="""","""", REGEXEXTRACT(REGEXREPLACE(L11,""x"", """"), ""[0-9]+""))"),"4449857112876")</f>
        <v>4449857112876</v>
      </c>
      <c r="N11" s="2" t="str">
        <f>IF(LEFT(M11,2)="44", RIGHT(M11,LEN(M11)-2),M11)</f>
        <v>49857112876</v>
      </c>
      <c r="O11" s="2" t="b">
        <f>IFERROR(__xludf.DUMMYFUNCTION("REGEXMATCH(TO_TEXT(N11), ""^07[1-57-9]"")"),FALSE)</f>
        <v>0</v>
      </c>
      <c r="P11" s="2">
        <f t="shared" si="4"/>
        <v>11</v>
      </c>
      <c r="Q11" s="9" t="str">
        <f>IF(AND(O11=TRUE, P11=11), "✅ VALID", "❌ INVALID")</f>
        <v>❌ INVALID</v>
      </c>
      <c r="R11" s="10" t="s">
        <v>114</v>
      </c>
      <c r="S11" s="12">
        <v>45633.0</v>
      </c>
      <c r="T11" s="2" t="str">
        <f>IFERROR(__xludf.DUMMYFUNCTION("IF(ISNUMBER(S11),TEXT(S11,""yyyy-MM-dd""),REGEXREPLACE(REGEXREPLACE(TO_TEXT(S11),""[^0-9a-zA-Z]+"",""-""),""[^0-9]*$"",""""))"),"2024-12-07")</f>
        <v>2024-12-07</v>
      </c>
      <c r="U11" s="2" t="s">
        <v>2910</v>
      </c>
      <c r="Y11" s="10" t="s">
        <v>2910</v>
      </c>
    </row>
    <row r="12">
      <c r="A12" s="2" t="s">
        <v>147</v>
      </c>
      <c r="B12" s="9" t="s">
        <v>7597</v>
      </c>
      <c r="C12" s="2" t="s">
        <v>148</v>
      </c>
      <c r="D12" s="10" t="str">
        <f>IFERROR(__xludf.DUMMYFUNCTION("PROPER(REGEXREPLACE(TRIM(C12),""\s+"","" ""))"),"Hanna Kowalski")</f>
        <v>Hanna Kowalski</v>
      </c>
      <c r="E12" s="2">
        <f>IFERROR(__xludf.DUMMYFUNCTION("IF(LEN(D12:D701),
  COUNTA(SPLIT(D12:D701,"" "")),
 """")"),2.0)</f>
        <v>2</v>
      </c>
      <c r="F12" s="9" t="str">
        <f t="shared" si="1"/>
        <v>✅</v>
      </c>
      <c r="G12" s="2" t="str">
        <f>IFERROR(__xludf.DUMMYFUNCTION("REGEXEXTRACT(PROPER(SUBSTITUTE(TRIM(I12),""."","" "")),""^[^@]+"")"),"Hanna Kowalski")</f>
        <v>Hanna Kowalski</v>
      </c>
      <c r="H12" s="10" t="str">
        <f t="shared" si="2"/>
        <v>hanna.kowalski@company.co.uk</v>
      </c>
      <c r="I12" s="2" t="s">
        <v>149</v>
      </c>
      <c r="J12" s="9" t="str">
        <f>IFERROR(__xludf.DUMMYFUNCTION("IF(REGEXMATCH(TRIM(I12),""^[A-Za-z0-9._%+-]+@[A-Za-z0-9.-]+\.[A-Za-z]{2,}$""),""✅ Valid"",""❌ Invalid"")"),"✅ Valid")</f>
        <v>✅ Valid</v>
      </c>
      <c r="K12" s="13" t="s">
        <v>7612</v>
      </c>
      <c r="L12" s="2" t="str">
        <f>IFERROR(__xludf.DUMMYFUNCTION("IF(OR(K12=""N/A"", K12=""missing"", K12=""none""), """",
 REGEXREPLACE(
  SUBSTITUTE(SUBSTITUTE(SUBSTITUTE(TO_TEXT(K12), CHAR(160),""""), UNICHAR(8239),""""), UNICHAR(8201),""""),""[+\-/(): )]"", """"))"),"5x243474533")</f>
        <v>5x243474533</v>
      </c>
      <c r="M12" s="2" t="str">
        <f>IFERROR(__xludf.DUMMYFUNCTION("IF(L12="""","""", REGEXEXTRACT(REGEXREPLACE(L12,""x"", """"), ""[0-9]+""))"),"5243474533")</f>
        <v>5243474533</v>
      </c>
      <c r="N12" s="2" t="str">
        <f>IF(LEFT(M12,1)="1", RIGHT(M12,LEN(M12)-1),M12)</f>
        <v>5243474533</v>
      </c>
      <c r="O12" s="2" t="b">
        <f>IFERROR(__xludf.DUMMYFUNCTION("REGEXMATCH(TO_TEXT(N12), ""^[2-9][0-9]{9}$"")"),TRUE)</f>
        <v>1</v>
      </c>
      <c r="P12" s="2">
        <f t="shared" si="4"/>
        <v>10</v>
      </c>
      <c r="Q12" s="9" t="str">
        <f>IF(AND(O12=TRUE, P12=10), "✅ VALID", "❌ INVALID")</f>
        <v>✅ VALID</v>
      </c>
      <c r="R12" s="10" t="s">
        <v>199</v>
      </c>
      <c r="S12" s="12">
        <v>45109.0</v>
      </c>
      <c r="T12" s="2" t="str">
        <f>IFERROR(__xludf.DUMMYFUNCTION("IF(ISNUMBER(S12),TEXT(S12,""yyyy-MM-dd""),REGEXREPLACE(REGEXREPLACE(TO_TEXT(S12),""[^0-9a-zA-Z]+"",""-""),""[^0-9]*$"",""""))"),"2023-07-02")</f>
        <v>2023-07-02</v>
      </c>
      <c r="U12" s="2" t="s">
        <v>7613</v>
      </c>
      <c r="Y12" s="10" t="s">
        <v>7613</v>
      </c>
    </row>
    <row r="13">
      <c r="A13" s="2" t="s">
        <v>3671</v>
      </c>
      <c r="B13" s="9" t="s">
        <v>7597</v>
      </c>
      <c r="C13" s="2" t="s">
        <v>3672</v>
      </c>
      <c r="D13" s="10" t="str">
        <f>IFERROR(__xludf.DUMMYFUNCTION("PROPER(REGEXREPLACE(TRIM(C13),""\s+"","" ""))"),"Lia Brown")</f>
        <v>Lia Brown</v>
      </c>
      <c r="E13" s="2">
        <f>IFERROR(__xludf.DUMMYFUNCTION("IF(LEN(D13:D701),
  COUNTA(SPLIT(D13:D701,"" "")),
 """")"),2.0)</f>
        <v>2</v>
      </c>
      <c r="F13" s="9" t="str">
        <f t="shared" si="1"/>
        <v>✅</v>
      </c>
      <c r="G13" s="2" t="str">
        <f>IFERROR(__xludf.DUMMYFUNCTION("REGEXEXTRACT(PROPER(SUBSTITUTE(TRIM(I13),""."","" "")),""^[^@]+"")"),"Lia Brown")</f>
        <v>Lia Brown</v>
      </c>
      <c r="H13" s="10" t="str">
        <f t="shared" si="2"/>
        <v>lia.brown@example.com</v>
      </c>
      <c r="I13" s="2" t="s">
        <v>3673</v>
      </c>
      <c r="J13" s="9" t="str">
        <f>IFERROR(__xludf.DUMMYFUNCTION("IF(REGEXMATCH(TRIM(I13),""^[A-Za-z0-9._%+-]+@[A-Za-z0-9.-]+\.[A-Za-z]{2,}$""),""✅ Valid"",""❌ Invalid"")"),"✅ Valid")</f>
        <v>✅ Valid</v>
      </c>
      <c r="K13" s="13" t="s">
        <v>7614</v>
      </c>
      <c r="L13" s="2" t="str">
        <f>IFERROR(__xludf.DUMMYFUNCTION("IF(OR(K13=""N/A"", K13=""missing"", K13=""none""), """",
 REGEXREPLACE(
  SUBSTITUTE(SUBSTITUTE(SUBSTITUTE(TO_TEXT(K13), CHAR(160),""""), UNICHAR(8239),""""), UNICHAR(8201),""""),""[+\-/(): )]"", """"))"),"")</f>
        <v/>
      </c>
      <c r="M13" s="2" t="str">
        <f>IFERROR(__xludf.DUMMYFUNCTION("IF(L13="""","""", REGEXEXTRACT(REGEXREPLACE(L13,""x"", """"), ""[0-9]+""))"),"")</f>
        <v/>
      </c>
      <c r="N13" s="2" t="str">
        <f>IF(LEFT(M13,2)="33", RIGHT(M13,LEN(M13)-2),M13)</f>
        <v/>
      </c>
      <c r="O13" s="2" t="b">
        <f>IFERROR(__xludf.DUMMYFUNCTION("REGEXMATCH(TO_TEXT(N13), ""^0[67]"")"),FALSE)</f>
        <v>0</v>
      </c>
      <c r="P13" s="2">
        <f t="shared" si="4"/>
        <v>0</v>
      </c>
      <c r="Q13" s="9" t="str">
        <f>IF(AND(O13=TRUE, P13=9), "✅ VALID", "❌ INVALID")</f>
        <v>❌ INVALID</v>
      </c>
      <c r="R13" s="10" t="s">
        <v>58</v>
      </c>
      <c r="S13" s="12">
        <v>44794.44652777778</v>
      </c>
      <c r="T13" s="2" t="str">
        <f>IFERROR(__xludf.DUMMYFUNCTION("IF(ISNUMBER(S13),TEXT(S13,""yyyy-MM-dd""),REGEXREPLACE(REGEXREPLACE(TO_TEXT(S13),""[^0-9a-zA-Z]+"",""-""),""[^0-9]*$"",""""))"),"2022-08-21")</f>
        <v>2022-08-21</v>
      </c>
      <c r="U13" s="2" t="s">
        <v>7615</v>
      </c>
      <c r="Y13" s="10" t="s">
        <v>7615</v>
      </c>
    </row>
    <row r="14">
      <c r="A14" s="2" t="s">
        <v>679</v>
      </c>
      <c r="B14" s="9" t="s">
        <v>7597</v>
      </c>
      <c r="C14" s="2" t="s">
        <v>680</v>
      </c>
      <c r="D14" s="10" t="str">
        <f>IFERROR(__xludf.DUMMYFUNCTION("PROPER(REGEXREPLACE(TRIM(C14),""\s+"","" ""))"),"Marek Davis")</f>
        <v>Marek Davis</v>
      </c>
      <c r="E14" s="2">
        <f>IFERROR(__xludf.DUMMYFUNCTION("IF(LEN(D14:D701),
  COUNTA(SPLIT(D14:D701,"" "")),
 """")"),2.0)</f>
        <v>2</v>
      </c>
      <c r="F14" s="9" t="str">
        <f t="shared" si="1"/>
        <v>✅</v>
      </c>
      <c r="G14" s="2" t="str">
        <f>IFERROR(__xludf.DUMMYFUNCTION("REGEXEXTRACT(PROPER(SUBSTITUTE(TRIM(I14),""."","" "")),""^[^@]+"")"),"Marek Davis")</f>
        <v>Marek Davis</v>
      </c>
      <c r="H14" s="10" t="str">
        <f t="shared" si="2"/>
        <v>marek.davis@outlook.com</v>
      </c>
      <c r="I14" s="2" t="s">
        <v>681</v>
      </c>
      <c r="J14" s="9" t="str">
        <f>IFERROR(__xludf.DUMMYFUNCTION("IF(REGEXMATCH(TRIM(I14),""^[A-Za-z0-9._%+-]+@[A-Za-z0-9.-]+\.[A-Za-z]{2,}$""),""✅ Valid"",""❌ Invalid"")"),"✅ Valid")</f>
        <v>✅ Valid</v>
      </c>
      <c r="K14" s="13" t="s">
        <v>7616</v>
      </c>
      <c r="L14" s="2" t="str">
        <f>IFERROR(__xludf.DUMMYFUNCTION("IF(OR(K14=""N/A"", K14=""missing"", K14=""none""), """",
 REGEXREPLACE(
  SUBSTITUTE(SUBSTITUTE(SUBSTITUTE(TO_TEXT(K14), CHAR(160),""""), UNICHAR(8239),""""), UNICHAR(8201),""""),""[+\-/(): )]"", """"))"),"1899081892")</f>
        <v>1899081892</v>
      </c>
      <c r="M14" s="2" t="str">
        <f>IFERROR(__xludf.DUMMYFUNCTION("IF(L14="""","""", REGEXEXTRACT(REGEXREPLACE(L14,""x"", """"), ""[0-9]+""))"),"1899081892")</f>
        <v>1899081892</v>
      </c>
      <c r="N14" s="2" t="str">
        <f>IF(LEFT(M14,1)="1", RIGHT(M14,LEN(M14)-1),M14)</f>
        <v>899081892</v>
      </c>
      <c r="O14" s="2" t="b">
        <f>IFERROR(__xludf.DUMMYFUNCTION("REGEXMATCH(TO_TEXT(N14), ""^[2-9][0-9]{9}$"")"),FALSE)</f>
        <v>0</v>
      </c>
      <c r="P14" s="2">
        <f t="shared" si="4"/>
        <v>9</v>
      </c>
      <c r="Q14" s="9" t="str">
        <f>IF(AND(O14=TRUE, P14=10), "✅ VALID", "❌ INVALID")</f>
        <v>❌ INVALID</v>
      </c>
      <c r="R14" s="10" t="s">
        <v>199</v>
      </c>
      <c r="S14" s="12" t="s">
        <v>7250</v>
      </c>
      <c r="T14" s="2" t="str">
        <f>IFERROR(__xludf.DUMMYFUNCTION("IF(ISNUMBER(S14),TEXT(S14,""yyyy-MM-dd""),REGEXREPLACE(REGEXREPLACE(TO_TEXT(S14),""[^0-9a-zA-Z]+"",""-""),""[^0-9]*$"",""""))"),"45763-13-29")</f>
        <v>45763-13-29</v>
      </c>
      <c r="U14" s="2" t="str">
        <f>TEXT(T14,"yyyy-MM-dd")</f>
        <v>45763-13-29</v>
      </c>
      <c r="V14" s="2" t="str">
        <f>CONCATENATE(LEFT(U14,5))</f>
        <v>45763</v>
      </c>
      <c r="W14" s="14">
        <f>DATE(1900,1,1) + V14 - 1</f>
        <v>45764</v>
      </c>
      <c r="X14" s="2" t="s">
        <v>7617</v>
      </c>
      <c r="Y14" s="10" t="s">
        <v>7617</v>
      </c>
    </row>
    <row r="15">
      <c r="A15" s="2" t="s">
        <v>1542</v>
      </c>
      <c r="B15" s="9" t="s">
        <v>7597</v>
      </c>
      <c r="C15" s="2" t="s">
        <v>1543</v>
      </c>
      <c r="D15" s="10" t="str">
        <f>IFERROR(__xludf.DUMMYFUNCTION("PROPER(REGEXREPLACE(TRIM(C15),""\s+"","" ""))"),"Lia Lee")</f>
        <v>Lia Lee</v>
      </c>
      <c r="E15" s="2">
        <f>IFERROR(__xludf.DUMMYFUNCTION("IF(LEN(D15:D701),
  COUNTA(SPLIT(D15:D701,"" "")),
 """")"),2.0)</f>
        <v>2</v>
      </c>
      <c r="F15" s="9" t="str">
        <f t="shared" si="1"/>
        <v>✅</v>
      </c>
      <c r="G15" s="2" t="str">
        <f>IFERROR(__xludf.DUMMYFUNCTION("REGEXEXTRACT(PROPER(SUBSTITUTE(TRIM(I15),""."","" "")),""^[^@]+"")"),"Lia Lee")</f>
        <v>Lia Lee</v>
      </c>
      <c r="H15" s="10" t="str">
        <f t="shared" si="2"/>
        <v>lia.lee@example.com</v>
      </c>
      <c r="I15" s="2" t="s">
        <v>1544</v>
      </c>
      <c r="J15" s="9" t="str">
        <f>IFERROR(__xludf.DUMMYFUNCTION("IF(REGEXMATCH(TRIM(I15),""^[A-Za-z0-9._%+-]+@[A-Za-z0-9.-]+\.[A-Za-z]{2,}$""),""✅ Valid"",""❌ Invalid"")"),"✅ Valid")</f>
        <v>✅ Valid</v>
      </c>
      <c r="K15" s="11">
        <v>7.34961588E8</v>
      </c>
      <c r="L15" s="2" t="str">
        <f>IFERROR(__xludf.DUMMYFUNCTION("IF(OR(K15=""N/A"", K15=""missing"", K15=""none""), """",
 REGEXREPLACE(
  SUBSTITUTE(SUBSTITUTE(SUBSTITUTE(TO_TEXT(K15), CHAR(160),""""), UNICHAR(8239),""""), UNICHAR(8201),""""),""[+\-/(): )]"", """"))"),"734961588")</f>
        <v>734961588</v>
      </c>
      <c r="M15" s="2" t="str">
        <f>IFERROR(__xludf.DUMMYFUNCTION("IF(L15="""","""", REGEXEXTRACT(REGEXREPLACE(L15,""x"", """"), ""[0-9]+""))"),"734961588")</f>
        <v>734961588</v>
      </c>
      <c r="N15" s="2" t="str">
        <f>IF(LEFT(M15,2)="39", RIGHT(M15,LEN(M15)-2),M15)</f>
        <v>734961588</v>
      </c>
      <c r="O15" s="2" t="b">
        <f>IFERROR(__xludf.DUMMYFUNCTION("REGEXMATCH(TO_TEXT(N15), ""^3"")"),FALSE)</f>
        <v>0</v>
      </c>
      <c r="P15" s="2">
        <f t="shared" si="4"/>
        <v>9</v>
      </c>
      <c r="Q15" s="9" t="str">
        <f>IF(AND(O15=TRUE,OR(P15=9, P15=10 )), "✅ VALID", "❌ INVALID")</f>
        <v>❌ INVALID</v>
      </c>
      <c r="R15" s="10" t="s">
        <v>785</v>
      </c>
      <c r="S15" s="12">
        <v>45095.0</v>
      </c>
      <c r="T15" s="2" t="str">
        <f>IFERROR(__xludf.DUMMYFUNCTION("IF(ISNUMBER(S15),TEXT(S15,""yyyy-MM-dd""),REGEXREPLACE(REGEXREPLACE(TO_TEXT(S15),""[^0-9a-zA-Z]+"",""-""),""[^0-9]*$"",""""))"),"2023-06-18")</f>
        <v>2023-06-18</v>
      </c>
      <c r="U15" s="2" t="s">
        <v>7618</v>
      </c>
      <c r="Y15" s="10" t="s">
        <v>7618</v>
      </c>
    </row>
    <row r="16">
      <c r="A16" s="2" t="s">
        <v>6824</v>
      </c>
      <c r="B16" s="9" t="s">
        <v>7597</v>
      </c>
      <c r="C16" s="2" t="s">
        <v>6825</v>
      </c>
      <c r="D16" s="10" t="str">
        <f>IFERROR(__xludf.DUMMYFUNCTION("PROPER(REGEXREPLACE(TRIM(C16),""\s+"","" ""))"),"Lia Young")</f>
        <v>Lia Young</v>
      </c>
      <c r="E16" s="2">
        <f>IFERROR(__xludf.DUMMYFUNCTION("IF(LEN(D16:D701),
  COUNTA(SPLIT(D16:D701,"" "")),
 """")"),2.0)</f>
        <v>2</v>
      </c>
      <c r="F16" s="9" t="str">
        <f t="shared" si="1"/>
        <v>✅</v>
      </c>
      <c r="G16" s="2" t="str">
        <f>IFERROR(__xludf.DUMMYFUNCTION("REGEXEXTRACT(PROPER(SUBSTITUTE(TRIM(I16),""."","" "")),""^[^@]+"")"),"Lia Young")</f>
        <v>Lia Young</v>
      </c>
      <c r="H16" s="10" t="str">
        <f t="shared" si="2"/>
        <v>lia.young@example.com</v>
      </c>
      <c r="I16" s="2" t="s">
        <v>6826</v>
      </c>
      <c r="J16" s="9" t="str">
        <f>IFERROR(__xludf.DUMMYFUNCTION("IF(REGEXMATCH(TRIM(I16),""^[A-Za-z0-9._%+-]+@[A-Za-z0-9.-]+\.[A-Za-z]{2,}$""),""✅ Valid"",""❌ Invalid"")"),"✅ Valid")</f>
        <v>✅ Valid</v>
      </c>
      <c r="K16" s="13" t="s">
        <v>7619</v>
      </c>
      <c r="L16" s="2" t="str">
        <f>IFERROR(__xludf.DUMMYFUNCTION("IF(OR(K16=""N/A"", K16=""missing"", K16=""none""), """",
 REGEXREPLACE(
  SUBSTITUTE(SUBSTITUTE(SUBSTITUTE(TO_TEXT(K16), CHAR(160),""""), UNICHAR(8239),""""), UNICHAR(8201),""""),""[+\-/(): )]"", """"))"),"5519x4599619")</f>
        <v>5519x4599619</v>
      </c>
      <c r="M16" s="2" t="str">
        <f>IFERROR(__xludf.DUMMYFUNCTION("IF(L16="""","""", REGEXEXTRACT(REGEXREPLACE(L16,""x"", """"), ""[0-9]+""))"),"55194599619")</f>
        <v>55194599619</v>
      </c>
      <c r="N16" s="2" t="str">
        <f>IF(LEFT(M16,2)="44", RIGHT(M16,LEN(M16)-2),M16)</f>
        <v>55194599619</v>
      </c>
      <c r="O16" s="2" t="b">
        <f>IFERROR(__xludf.DUMMYFUNCTION("REGEXMATCH(TO_TEXT(N16), ""^07[1-57-9]"")"),FALSE)</f>
        <v>0</v>
      </c>
      <c r="P16" s="2">
        <f t="shared" si="4"/>
        <v>11</v>
      </c>
      <c r="Q16" s="9" t="str">
        <f>IF(AND(O16=TRUE, P16=11), "✅ VALID", "❌ INVALID")</f>
        <v>❌ INVALID</v>
      </c>
      <c r="R16" s="10" t="s">
        <v>114</v>
      </c>
      <c r="S16" s="12">
        <v>45496.0</v>
      </c>
      <c r="T16" s="2" t="str">
        <f>IFERROR(__xludf.DUMMYFUNCTION("IF(ISNUMBER(S16),TEXT(S16,""yyyy-MM-dd""),REGEXREPLACE(REGEXREPLACE(TO_TEXT(S16),""[^0-9a-zA-Z]+"",""-""),""[^0-9]*$"",""""))"),"2024-07-23")</f>
        <v>2024-07-23</v>
      </c>
      <c r="U16" s="2" t="s">
        <v>6828</v>
      </c>
      <c r="Y16" s="10" t="s">
        <v>6828</v>
      </c>
    </row>
    <row r="17">
      <c r="A17" s="2" t="s">
        <v>5325</v>
      </c>
      <c r="B17" s="9" t="s">
        <v>7597</v>
      </c>
      <c r="C17" s="2" t="s">
        <v>5326</v>
      </c>
      <c r="D17" s="10" t="str">
        <f>IFERROR(__xludf.DUMMYFUNCTION("PROPER(REGEXREPLACE(TRIM(C17),""\s+"","" ""))"),"Ethan Dubois")</f>
        <v>Ethan Dubois</v>
      </c>
      <c r="E17" s="2">
        <f>IFERROR(__xludf.DUMMYFUNCTION("IF(LEN(D17:D701),
  COUNTA(SPLIT(D17:D701,"" "")),
 """")"),2.0)</f>
        <v>2</v>
      </c>
      <c r="F17" s="9" t="str">
        <f t="shared" si="1"/>
        <v>✅</v>
      </c>
      <c r="G17" s="2" t="str">
        <f>IFERROR(__xludf.DUMMYFUNCTION("REGEXEXTRACT(PROPER(SUBSTITUTE(TRIM(I17),""."","" "")),""^[^@]+"")"),"Ethan Dubois")</f>
        <v>Ethan Dubois</v>
      </c>
      <c r="H17" s="10" t="str">
        <f t="shared" si="2"/>
        <v>ethan.dubois@yahoo.com</v>
      </c>
      <c r="I17" s="2" t="s">
        <v>5327</v>
      </c>
      <c r="J17" s="9" t="str">
        <f>IFERROR(__xludf.DUMMYFUNCTION("IF(REGEXMATCH(TRIM(I17),""^[A-Za-z0-9._%+-]+@[A-Za-z0-9.-]+\.[A-Za-z]{2,}$""),""✅ Valid"",""❌ Invalid"")"),"✅ Valid")</f>
        <v>✅ Valid</v>
      </c>
      <c r="K17" s="13" t="s">
        <v>7620</v>
      </c>
      <c r="L17" s="2" t="str">
        <f>IFERROR(__xludf.DUMMYFUNCTION("IF(OR(K17=""N/A"", K17=""missing"", K17=""none""), """",
 REGEXREPLACE(
  SUBSTITUTE(SUBSTITUTE(SUBSTITUTE(TO_TEXT(K17), CHAR(160),""""), UNICHAR(8239),""""), UNICHAR(8201),""""),""[+\-/(): )]"", """"))"),"349487174624")</f>
        <v>349487174624</v>
      </c>
      <c r="M17" s="2" t="str">
        <f>IFERROR(__xludf.DUMMYFUNCTION("IF(L17="""","""", REGEXEXTRACT(REGEXREPLACE(L17,""x"", """"), ""[0-9]+""))"),"349487174624")</f>
        <v>349487174624</v>
      </c>
      <c r="N17" s="2" t="str">
        <f>IF(LEFT(M17,2)="34", RIGHT(M17,LEN(M17)-2),M17)</f>
        <v>9487174624</v>
      </c>
      <c r="O17" s="2" t="b">
        <f>IFERROR(__xludf.DUMMYFUNCTION("REGEXMATCH(TO_TEXT(N17), ""^[67]"")"),FALSE)</f>
        <v>0</v>
      </c>
      <c r="P17" s="2">
        <f t="shared" si="4"/>
        <v>10</v>
      </c>
      <c r="Q17" s="9" t="str">
        <f>IF(AND(O17=TRUE, P17=9), "✅ VALID", "❌ INVALID")</f>
        <v>❌ INVALID</v>
      </c>
      <c r="R17" s="10" t="s">
        <v>139</v>
      </c>
      <c r="S17" s="12">
        <v>44809.0</v>
      </c>
      <c r="T17" s="2" t="str">
        <f>IFERROR(__xludf.DUMMYFUNCTION("IF(ISNUMBER(S17),TEXT(S17,""yyyy-MM-dd""),REGEXREPLACE(REGEXREPLACE(TO_TEXT(S17),""[^0-9a-zA-Z]+"",""-""),""[^0-9]*$"",""""))"),"2022-09-05")</f>
        <v>2022-09-05</v>
      </c>
      <c r="U17" s="2" t="s">
        <v>6979</v>
      </c>
      <c r="Y17" s="10" t="s">
        <v>6979</v>
      </c>
    </row>
    <row r="18">
      <c r="A18" s="2" t="s">
        <v>3522</v>
      </c>
      <c r="B18" s="9" t="s">
        <v>7597</v>
      </c>
      <c r="C18" s="2" t="s">
        <v>3523</v>
      </c>
      <c r="D18" s="10" t="str">
        <f>IFERROR(__xludf.DUMMYFUNCTION("PROPER(REGEXREPLACE(TRIM(C18),""\s+"","" ""))"),"Nina Khan")</f>
        <v>Nina Khan</v>
      </c>
      <c r="E18" s="2">
        <f>IFERROR(__xludf.DUMMYFUNCTION("IF(LEN(D18:D701),
  COUNTA(SPLIT(D18:D701,"" "")),
 """")"),2.0)</f>
        <v>2</v>
      </c>
      <c r="F18" s="9" t="str">
        <f t="shared" si="1"/>
        <v>✅</v>
      </c>
      <c r="G18" s="2" t="str">
        <f>IFERROR(__xludf.DUMMYFUNCTION("REGEXEXTRACT(PROPER(SUBSTITUTE(TRIM(I18),""."","" "")),""^[^@]+"")"),"Nina Khan")</f>
        <v>Nina Khan</v>
      </c>
      <c r="H18" s="10" t="str">
        <f t="shared" si="2"/>
        <v>nina.khan@example.com</v>
      </c>
      <c r="I18" s="2" t="s">
        <v>3524</v>
      </c>
      <c r="J18" s="9" t="str">
        <f>IFERROR(__xludf.DUMMYFUNCTION("IF(REGEXMATCH(TRIM(I18),""^[A-Za-z0-9._%+-]+@[A-Za-z0-9.-]+\.[A-Za-z]{2,}$""),""✅ Valid"",""❌ Invalid"")"),"✅ Valid")</f>
        <v>✅ Valid</v>
      </c>
      <c r="K18" s="13" t="s">
        <v>7621</v>
      </c>
      <c r="L18" s="2" t="str">
        <f>IFERROR(__xludf.DUMMYFUNCTION("IF(OR(K18=""N/A"", K18=""missing"", K18=""none""), """",
 REGEXREPLACE(
  SUBSTITUTE(SUBSTITUTE(SUBSTITUTE(TO_TEXT(K18), CHAR(160),""""), UNICHAR(8239),""""), UNICHAR(8201),""""),""[+\-/(): )]"", """"))"),"3920245354")</f>
        <v>3920245354</v>
      </c>
      <c r="M18" s="2" t="str">
        <f>IFERROR(__xludf.DUMMYFUNCTION("IF(L18="""","""", REGEXEXTRACT(REGEXREPLACE(L18,""x"", """"), ""[0-9]+""))"),"3920245354")</f>
        <v>3920245354</v>
      </c>
      <c r="N18" s="2" t="str">
        <f>IF(LEFT(M18,2)="39", RIGHT(M18,LEN(M18)-2),M18)</f>
        <v>20245354</v>
      </c>
      <c r="O18" s="2" t="b">
        <f>IFERROR(__xludf.DUMMYFUNCTION("REGEXMATCH(TO_TEXT(N18), ""^3"")"),FALSE)</f>
        <v>0</v>
      </c>
      <c r="P18" s="2">
        <f t="shared" si="4"/>
        <v>8</v>
      </c>
      <c r="Q18" s="9" t="str">
        <f>IF(AND(O18=TRUE,OR(P18=9, P18=10 )), "✅ VALID", "❌ INVALID")</f>
        <v>❌ INVALID</v>
      </c>
      <c r="R18" s="10" t="s">
        <v>785</v>
      </c>
      <c r="S18" s="12">
        <v>45844.87430555555</v>
      </c>
      <c r="T18" s="2" t="str">
        <f>IFERROR(__xludf.DUMMYFUNCTION("IF(ISNUMBER(S18),TEXT(S18,""yyyy-MM-dd""),REGEXREPLACE(REGEXREPLACE(TO_TEXT(S18),""[^0-9a-zA-Z]+"",""-""),""[^0-9]*$"",""""))"),"2025-07-06")</f>
        <v>2025-07-06</v>
      </c>
      <c r="U18" s="2" t="s">
        <v>7622</v>
      </c>
      <c r="Y18" s="10" t="s">
        <v>7622</v>
      </c>
    </row>
    <row r="19">
      <c r="A19" s="2" t="s">
        <v>2576</v>
      </c>
      <c r="B19" s="9" t="s">
        <v>7597</v>
      </c>
      <c r="C19" s="2" t="s">
        <v>2577</v>
      </c>
      <c r="D19" s="10" t="str">
        <f>IFERROR(__xludf.DUMMYFUNCTION("PROPER(REGEXREPLACE(TRIM(C19),""\s+"","" ""))"),"Rita Lopez")</f>
        <v>Rita Lopez</v>
      </c>
      <c r="E19" s="2">
        <f>IFERROR(__xludf.DUMMYFUNCTION("IF(LEN(D19:D701),
  COUNTA(SPLIT(D19:D701,"" "")),
 """")"),2.0)</f>
        <v>2</v>
      </c>
      <c r="F19" s="9" t="str">
        <f t="shared" si="1"/>
        <v>❌</v>
      </c>
      <c r="G19" s="2" t="s">
        <v>7623</v>
      </c>
      <c r="H19" s="10" t="str">
        <f t="shared" si="2"/>
        <v>rita.lopze@company.co.uk</v>
      </c>
      <c r="I19" s="2" t="s">
        <v>2578</v>
      </c>
      <c r="J19" s="9" t="str">
        <f>IFERROR(__xludf.DUMMYFUNCTION("IF(REGEXMATCH(TRIM(I19),""^[A-Za-z0-9._%+-]+@[A-Za-z0-9.-]+\.[A-Za-z]{2,}$""),""✅ Valid"",""❌ Invalid"")"),"✅ Valid")</f>
        <v>✅ Valid</v>
      </c>
      <c r="K19" s="13" t="s">
        <v>7624</v>
      </c>
      <c r="L19" s="2" t="str">
        <f>IFERROR(__xludf.DUMMYFUNCTION("IF(OR(K19=""N/A"", K19=""missing"", K19=""none""), """",
 REGEXREPLACE(
  SUBSTITUTE(SUBSTITUTE(SUBSTITUTE(TO_TEXT(K19), CHAR(160),""""), UNICHAR(8239),""""), UNICHAR(8201),""""),""[+\-/(): )]"", """"))"),"35355796762")</f>
        <v>35355796762</v>
      </c>
      <c r="M19" s="2" t="str">
        <f>IFERROR(__xludf.DUMMYFUNCTION("IF(L19="""","""", REGEXEXTRACT(REGEXREPLACE(L19,""x"", """"), ""[0-9]+""))"),"35355796762")</f>
        <v>35355796762</v>
      </c>
      <c r="N19" s="2" t="str">
        <f>IF(LEFT(M19,3)="353", RIGHT(M19,LEN(M19)-3),M19)</f>
        <v>55796762</v>
      </c>
      <c r="O19" s="2" t="b">
        <f>IFERROR(__xludf.DUMMYFUNCTION("REGEXMATCH(TO_TEXT(N19), ""^0(83|85|86|87|89)"")"),FALSE)</f>
        <v>0</v>
      </c>
      <c r="P19" s="2">
        <f t="shared" si="4"/>
        <v>8</v>
      </c>
      <c r="Q19" s="9" t="str">
        <f>IF(AND(O19=TRUE, P16=10), "✅ VALID", "❌ INVALID")</f>
        <v>❌ INVALID</v>
      </c>
      <c r="R19" s="10" t="s">
        <v>1177</v>
      </c>
      <c r="S19" s="12">
        <v>45506.0</v>
      </c>
      <c r="T19" s="2" t="str">
        <f>IFERROR(__xludf.DUMMYFUNCTION("IF(ISNUMBER(S19),TEXT(S19,""yyyy-MM-dd""),REGEXREPLACE(REGEXREPLACE(TO_TEXT(S19),""[^0-9a-zA-Z]+"",""-""),""[^0-9]*$"",""""))"),"2024-08-02")</f>
        <v>2024-08-02</v>
      </c>
      <c r="U19" s="2" t="s">
        <v>6569</v>
      </c>
      <c r="Y19" s="10" t="s">
        <v>6569</v>
      </c>
    </row>
    <row r="20">
      <c r="A20" s="2" t="s">
        <v>2346</v>
      </c>
      <c r="B20" s="9" t="s">
        <v>7597</v>
      </c>
      <c r="C20" s="2" t="s">
        <v>2347</v>
      </c>
      <c r="D20" s="10" t="str">
        <f>IFERROR(__xludf.DUMMYFUNCTION("PROPER(REGEXREPLACE(TRIM(C20),""\s+"","" ""))"),"Ken Muller")</f>
        <v>Ken Muller</v>
      </c>
      <c r="E20" s="2">
        <f>IFERROR(__xludf.DUMMYFUNCTION("IF(LEN(D20:D701),
  COUNTA(SPLIT(D20:D701,"" "")),
 """")"),2.0)</f>
        <v>2</v>
      </c>
      <c r="F20" s="9" t="str">
        <f t="shared" si="1"/>
        <v>✅</v>
      </c>
      <c r="G20" s="2" t="str">
        <f>IFERROR(__xludf.DUMMYFUNCTION("REGEXEXTRACT(PROPER(SUBSTITUTE(TRIM(I20),""."","" "")),""^[^@]+"")"),"Ken Muller")</f>
        <v>Ken Muller</v>
      </c>
      <c r="H20" s="10" t="str">
        <f t="shared" si="2"/>
        <v>ken.muller@gmail.com</v>
      </c>
      <c r="I20" s="2" t="s">
        <v>2348</v>
      </c>
      <c r="J20" s="9" t="str">
        <f>IFERROR(__xludf.DUMMYFUNCTION("IF(REGEXMATCH(TRIM(I20),""^[A-Za-z0-9._%+-]+@[A-Za-z0-9.-]+\.[A-Za-z]{2,}$""),""✅ Valid"",""❌ Invalid"")"),"✅ Valid")</f>
        <v>✅ Valid</v>
      </c>
      <c r="K20" s="15" t="s">
        <v>7625</v>
      </c>
      <c r="L20" s="2" t="str">
        <f>IFERROR(__xludf.DUMMYFUNCTION("IF(K20=""N/A"", """",
 REGEXREPLACE(
  SUBSTITUTE(SUBSTITUTE(SUBSTITUTE(TO_TEXT(K20), CHAR(160),""""), UNICHAR(8239),""""), UNICHAR(8201),""""),""[+\-/(): )]"", """"))"),"48286084601")</f>
        <v>48286084601</v>
      </c>
      <c r="M20" s="2" t="str">
        <f>IFERROR(__xludf.DUMMYFUNCTION("IF(L20="""","""", REGEXEXTRACT(REGEXREPLACE(L20,""x"", """"), ""[0-9]+""))"),"48286084601")</f>
        <v>48286084601</v>
      </c>
      <c r="N20" s="2" t="str">
        <f>IF(LEFT(M20,2)="48", RIGHT(M20,LEN(M20)-2),M20)</f>
        <v>286084601</v>
      </c>
      <c r="O20" s="2" t="b">
        <f>IFERROR(__xludf.DUMMYFUNCTION("REGEXMATCH(TO_TEXT(N20), ""^(5[013679]|6[069]|7[2-9]|88)"")"),FALSE)</f>
        <v>0</v>
      </c>
      <c r="Q20" s="9" t="str">
        <f>IF(AND(O20=TRUE, P20=9), "✅ VALID", "❌ INVALID")</f>
        <v>❌ INVALID</v>
      </c>
      <c r="R20" s="10" t="s">
        <v>25</v>
      </c>
      <c r="S20" s="12">
        <v>44601.0</v>
      </c>
      <c r="T20" s="2" t="str">
        <f>IFERROR(__xludf.DUMMYFUNCTION("IF(ISNUMBER(S20),TEXT(S20,""yyyy-MM-dd""),REGEXREPLACE(REGEXREPLACE(TO_TEXT(S20),""[^0-9a-zA-Z]+"",""-""),""[^0-9]*$"",""""))"),"2022-02-09")</f>
        <v>2022-02-09</v>
      </c>
      <c r="U20" s="2" t="s">
        <v>7037</v>
      </c>
      <c r="Y20" s="10" t="s">
        <v>7037</v>
      </c>
    </row>
    <row r="21" ht="15.75" customHeight="1">
      <c r="A21" s="2" t="s">
        <v>2969</v>
      </c>
      <c r="B21" s="9" t="s">
        <v>7597</v>
      </c>
      <c r="C21" s="2" t="s">
        <v>2970</v>
      </c>
      <c r="D21" s="10" t="str">
        <f>IFERROR(__xludf.DUMMYFUNCTION("PROPER(REGEXREPLACE(TRIM(C21),""\s+"","" ""))"),"Gabe Khan")</f>
        <v>Gabe Khan</v>
      </c>
      <c r="E21" s="2">
        <f>IFERROR(__xludf.DUMMYFUNCTION("IF(LEN(D21:D701),
  COUNTA(SPLIT(D21:D701,"" "")),
 """")"),2.0)</f>
        <v>2</v>
      </c>
      <c r="F21" s="9" t="str">
        <f t="shared" si="1"/>
        <v>✅</v>
      </c>
      <c r="G21" s="2" t="str">
        <f>IFERROR(__xludf.DUMMYFUNCTION("REGEXEXTRACT(PROPER(SUBSTITUTE(TRIM(I21),""."","" "")),""^[^@]+"")"),"Gabe Khan")</f>
        <v>Gabe Khan</v>
      </c>
      <c r="H21" s="10" t="str">
        <f t="shared" si="2"/>
        <v>gabe.khan@company.co.uk</v>
      </c>
      <c r="I21" s="2" t="s">
        <v>2971</v>
      </c>
      <c r="J21" s="9" t="str">
        <f>IFERROR(__xludf.DUMMYFUNCTION("IF(REGEXMATCH(TRIM(I21),""^[A-Za-z0-9._%+-]+@[A-Za-z0-9.-]+\.[A-Za-z]{2,}$""),""✅ Valid"",""❌ Invalid"")"),"✅ Valid")</f>
        <v>✅ Valid</v>
      </c>
      <c r="K21" s="11">
        <v>7.59927642E8</v>
      </c>
      <c r="L21" s="2" t="str">
        <f>IFERROR(__xludf.DUMMYFUNCTION("IF(OR(K21=""N/A"", K21=""missing"", K21=""none""), """",
 REGEXREPLACE(
  SUBSTITUTE(SUBSTITUTE(SUBSTITUTE(TO_TEXT(K21), CHAR(160),""""), UNICHAR(8239),""""), UNICHAR(8201),""""),""[+\-/(): )]"", """"))"),"759927642")</f>
        <v>759927642</v>
      </c>
      <c r="M21" s="2" t="str">
        <f>IFERROR(__xludf.DUMMYFUNCTION("IF(L21="""","""", REGEXEXTRACT(REGEXREPLACE(L21,""x"", """"), ""[0-9]+""))"),"759927642")</f>
        <v>759927642</v>
      </c>
      <c r="N21" s="2" t="str">
        <f>IF(LEFT(M21,2)="49", RIGHT(M21,LEN(M21)-2),M21)</f>
        <v>759927642</v>
      </c>
      <c r="O21" s="2" t="b">
        <f>IFERROR(__xludf.DUMMYFUNCTION("REGEXMATCH(TO_TEXT(N21), ""^0(15|16|17)"")"),FALSE)</f>
        <v>0</v>
      </c>
      <c r="P21" s="2">
        <f t="shared" ref="P21:P23" si="8">LEN(N21)</f>
        <v>9</v>
      </c>
      <c r="Q21" s="9" t="str">
        <f>IF(AND(O21=TRUE,OR(P21=10, P21=11)), "✅ VALID", "❌ INVALID")</f>
        <v>❌ INVALID</v>
      </c>
      <c r="R21" s="10" t="s">
        <v>459</v>
      </c>
      <c r="S21" s="12">
        <v>45791.0</v>
      </c>
      <c r="T21" s="2" t="str">
        <f>IFERROR(__xludf.DUMMYFUNCTION("IF(ISNUMBER(S21),TEXT(S21,""yyyy-MM-dd""),REGEXREPLACE(REGEXREPLACE(TO_TEXT(S21),""[^0-9a-zA-Z]+"",""-""),""[^0-9]*$"",""""))"),"2025-05-14")</f>
        <v>2025-05-14</v>
      </c>
      <c r="U21" s="2" t="s">
        <v>7626</v>
      </c>
      <c r="Y21" s="10" t="s">
        <v>7626</v>
      </c>
    </row>
    <row r="22" ht="15.75" customHeight="1">
      <c r="A22" s="2" t="s">
        <v>6774</v>
      </c>
      <c r="B22" s="9" t="s">
        <v>7597</v>
      </c>
      <c r="C22" s="2" t="s">
        <v>6775</v>
      </c>
      <c r="D22" s="10" t="str">
        <f>IFERROR(__xludf.DUMMYFUNCTION("PROPER(REGEXREPLACE(TRIM(C22),""\s+"","" ""))"),"Xenia Rossi")</f>
        <v>Xenia Rossi</v>
      </c>
      <c r="E22" s="2">
        <f>IFERROR(__xludf.DUMMYFUNCTION("IF(LEN(D22:D701),
  COUNTA(SPLIT(D22:D701,"" "")),
 """")"),2.0)</f>
        <v>2</v>
      </c>
      <c r="F22" s="9" t="str">
        <f t="shared" si="1"/>
        <v>✅</v>
      </c>
      <c r="G22" s="2" t="str">
        <f>IFERROR(__xludf.DUMMYFUNCTION("REGEXEXTRACT(PROPER(SUBSTITUTE(TRIM(I22),""."","" "")),""^[^@]+"")"),"Xenia Rossi")</f>
        <v>Xenia Rossi</v>
      </c>
      <c r="H22" s="10" t="str">
        <f t="shared" si="2"/>
        <v>xenia.rossi@shop.io</v>
      </c>
      <c r="I22" s="2" t="s">
        <v>6776</v>
      </c>
      <c r="J22" s="9" t="str">
        <f>IFERROR(__xludf.DUMMYFUNCTION("IF(REGEXMATCH(TRIM(I22),""^[A-Za-z0-9._%+-]+@[A-Za-z0-9.-]+\.[A-Za-z]{2,}$""),""✅ Valid"",""❌ Invalid"")"),"✅ Valid")</f>
        <v>✅ Valid</v>
      </c>
      <c r="K22" s="11">
        <v>2.96645265E8</v>
      </c>
      <c r="L22" s="2" t="str">
        <f>IFERROR(__xludf.DUMMYFUNCTION("IF(OR(K22=""N/A"", K22=""missing"", K22=""none""), """",
 REGEXREPLACE(
  SUBSTITUTE(SUBSTITUTE(SUBSTITUTE(TO_TEXT(K22), CHAR(160),""""), UNICHAR(8239),""""), UNICHAR(8201),""""),""[+\-/(): )]"", """"))"),"296645265")</f>
        <v>296645265</v>
      </c>
      <c r="M22" s="2" t="str">
        <f>IFERROR(__xludf.DUMMYFUNCTION("IF(L22="""","""", REGEXEXTRACT(REGEXREPLACE(L22,""x"", """"), ""[0-9]+""))"),"296645265")</f>
        <v>296645265</v>
      </c>
      <c r="N22" s="2" t="str">
        <f>IF(LEFT(M22,3)="353", RIGHT(M22,LEN(M22)-3),M22)</f>
        <v>296645265</v>
      </c>
      <c r="O22" s="2" t="b">
        <f>IFERROR(__xludf.DUMMYFUNCTION("REGEXMATCH(TO_TEXT(N22), ""^0(83|85|86|87|89)"")"),FALSE)</f>
        <v>0</v>
      </c>
      <c r="P22" s="2">
        <f t="shared" si="8"/>
        <v>9</v>
      </c>
      <c r="Q22" s="9" t="str">
        <f>IF(AND(O22=TRUE, P19=10), "✅ VALID", "❌ INVALID")</f>
        <v>❌ INVALID</v>
      </c>
      <c r="R22" s="10" t="s">
        <v>1177</v>
      </c>
      <c r="S22" s="12">
        <v>45550.0</v>
      </c>
      <c r="T22" s="2" t="str">
        <f>IFERROR(__xludf.DUMMYFUNCTION("IF(ISNUMBER(S22),TEXT(S22,""yyyy-MM-dd""),REGEXREPLACE(REGEXREPLACE(TO_TEXT(S22),""[^0-9a-zA-Z]+"",""-""),""[^0-9]*$"",""""))"),"2024-09-15")</f>
        <v>2024-09-15</v>
      </c>
      <c r="U22" s="2" t="s">
        <v>7627</v>
      </c>
      <c r="Y22" s="10" t="s">
        <v>7627</v>
      </c>
    </row>
    <row r="23" ht="15.75" customHeight="1">
      <c r="A23" s="2" t="s">
        <v>7314</v>
      </c>
      <c r="B23" s="9" t="s">
        <v>7597</v>
      </c>
      <c r="C23" s="16" t="s">
        <v>7628</v>
      </c>
      <c r="D23" s="10" t="str">
        <f>IFERROR(__xludf.DUMMYFUNCTION("PROPER(REGEXREPLACE(TRIM(C23),""\s+"","" ""))"),"Uma Brown")</f>
        <v>Uma Brown</v>
      </c>
      <c r="E23" s="2">
        <f>IFERROR(__xludf.DUMMYFUNCTION("IF(LEN(D23:D701),
  COUNTA(SPLIT(D23:D701,"" "")),
 """")"),2.0)</f>
        <v>2</v>
      </c>
      <c r="F23" s="9" t="str">
        <f t="shared" si="1"/>
        <v>✅</v>
      </c>
      <c r="G23" s="2" t="str">
        <f>IFERROR(__xludf.DUMMYFUNCTION("REGEXEXTRACT(PROPER(SUBSTITUTE(TRIM(I23),""."","" "")),""^[^@]+"")"),"Uma Brown")</f>
        <v>Uma Brown</v>
      </c>
      <c r="H23" s="10" t="str">
        <f t="shared" si="2"/>
        <v>uma.brown@outlook.com</v>
      </c>
      <c r="I23" s="2" t="s">
        <v>7316</v>
      </c>
      <c r="J23" s="9" t="str">
        <f>IFERROR(__xludf.DUMMYFUNCTION("IF(REGEXMATCH(TRIM(I23),""^[A-Za-z0-9._%+-]+@[A-Za-z0-9.-]+\.[A-Za-z]{2,}$""),""✅ Valid"",""❌ Invalid"")"),"✅ Valid")</f>
        <v>✅ Valid</v>
      </c>
      <c r="K23" s="13" t="s">
        <v>7629</v>
      </c>
      <c r="L23" s="2" t="str">
        <f>IFERROR(__xludf.DUMMYFUNCTION("IF(OR(K23=""N/A"", K23=""missing"", K23=""none""), """",
 REGEXREPLACE(
  SUBSTITUTE(SUBSTITUTE(SUBSTITUTE(TO_TEXT(K23), CHAR(160),""""), UNICHAR(8239),""""), UNICHAR(8201),""""),""[+\-/(): )]"", """"))"),"")</f>
        <v/>
      </c>
      <c r="M23" s="2" t="str">
        <f>IFERROR(__xludf.DUMMYFUNCTION("IF(L23="""","""", REGEXEXTRACT(REGEXREPLACE(L23,""x"", """"), ""[0-9]+""))"),"")</f>
        <v/>
      </c>
      <c r="N23" s="2" t="str">
        <f>IF(LEFT(M23,2)="39", RIGHT(M23,LEN(M23)-2),M23)</f>
        <v/>
      </c>
      <c r="O23" s="2" t="b">
        <f>IFERROR(__xludf.DUMMYFUNCTION("REGEXMATCH(TO_TEXT(N23), ""^3"")"),FALSE)</f>
        <v>0</v>
      </c>
      <c r="P23" s="2">
        <f t="shared" si="8"/>
        <v>0</v>
      </c>
      <c r="Q23" s="9" t="str">
        <f>IF(AND(O23=TRUE,OR(P23=9, P23=10 )), "✅ VALID", "❌ INVALID")</f>
        <v>❌ INVALID</v>
      </c>
      <c r="R23" s="10" t="s">
        <v>785</v>
      </c>
      <c r="S23" s="12">
        <v>45446.0</v>
      </c>
      <c r="T23" s="2" t="str">
        <f>IFERROR(__xludf.DUMMYFUNCTION("IF(ISNUMBER(S23),TEXT(S23,""yyyy-MM-dd""),REGEXREPLACE(REGEXREPLACE(TO_TEXT(S23),""[^0-9a-zA-Z]+"",""-""),""[^0-9]*$"",""""))"),"2024-06-03")</f>
        <v>2024-06-03</v>
      </c>
      <c r="U23" s="2" t="s">
        <v>7630</v>
      </c>
      <c r="Y23" s="10" t="s">
        <v>7630</v>
      </c>
    </row>
    <row r="24" ht="15.75" hidden="1" customHeight="1">
      <c r="A24" s="2" t="s">
        <v>5518</v>
      </c>
      <c r="B24" s="9" t="s">
        <v>7597</v>
      </c>
      <c r="C24" s="2" t="s">
        <v>1068</v>
      </c>
      <c r="D24" s="2" t="str">
        <f>IFERROR(__xludf.DUMMYFUNCTION("PROPER(REGEXREPLACE(TRIM(C24),""\s+"","" ""))"),"Adam Johnson")</f>
        <v>Adam Johnson</v>
      </c>
      <c r="E24" s="2">
        <f>IFERROR(__xludf.DUMMYFUNCTION("IF(LEN(D24:D701),
  COUNTA(SPLIT(D24:D701,"" "")),
 """")"),2.0)</f>
        <v>2</v>
      </c>
      <c r="K24" s="2" t="s">
        <v>5519</v>
      </c>
      <c r="R24" s="10" t="s">
        <v>25</v>
      </c>
      <c r="S24" s="2" t="s">
        <v>6455</v>
      </c>
    </row>
    <row r="25" ht="15.75" customHeight="1">
      <c r="A25" s="2" t="s">
        <v>6171</v>
      </c>
      <c r="B25" s="9" t="s">
        <v>7597</v>
      </c>
      <c r="C25" s="2" t="s">
        <v>6172</v>
      </c>
      <c r="D25" s="10" t="str">
        <f>IFERROR(__xludf.DUMMYFUNCTION("PROPER(REGEXREPLACE(TRIM(C25),""\s+"","" ""))"),"Jade King")</f>
        <v>Jade King</v>
      </c>
      <c r="E25" s="2">
        <f>IFERROR(__xludf.DUMMYFUNCTION("IF(LEN(D25:D701),
  COUNTA(SPLIT(D25:D701,"" "")),
 """")"),2.0)</f>
        <v>2</v>
      </c>
      <c r="F25" s="9" t="str">
        <f t="shared" ref="F25:F56" si="9">IF(D25=G25,"✅","❌")</f>
        <v>❌</v>
      </c>
      <c r="G25" s="2" t="s">
        <v>7631</v>
      </c>
      <c r="H25" s="10" t="str">
        <f t="shared" ref="H25:H56" si="10">LOWER(TRIM(I25))</f>
        <v>jadek.ing@outlook.com</v>
      </c>
      <c r="I25" s="2" t="s">
        <v>6173</v>
      </c>
      <c r="J25" s="9" t="str">
        <f>IFERROR(__xludf.DUMMYFUNCTION("IF(REGEXMATCH(TRIM(I25),""^[A-Za-z0-9._%+-]+@[A-Za-z0-9.-]+\.[A-Za-z]{2,}$""),""✅ Valid"",""❌ Invalid"")"),"✅ Valid")</f>
        <v>✅ Valid</v>
      </c>
      <c r="K25" s="15" t="s">
        <v>7632</v>
      </c>
      <c r="L25" s="2" t="str">
        <f>IFERROR(__xludf.DUMMYFUNCTION("IF(K25=""N/A"", """",
 REGEXREPLACE(
  SUBSTITUTE(SUBSTITUTE(SUBSTITUTE(TO_TEXT(K25), CHAR(160),""""), UNICHAR(8239),""""), UNICHAR(8201),""""),""[+\-/(): )]"", """"))"),"48946661012")</f>
        <v>48946661012</v>
      </c>
      <c r="M25" s="2" t="str">
        <f>IFERROR(__xludf.DUMMYFUNCTION("IF(L25="""","""", REGEXEXTRACT(REGEXREPLACE(L25,""x"", """"), ""[0-9]+""))"),"48946661012")</f>
        <v>48946661012</v>
      </c>
      <c r="N25" s="2" t="str">
        <f>IF(LEFT(M25,2)="48", RIGHT(M25,LEN(M25)-2),M25)</f>
        <v>946661012</v>
      </c>
      <c r="O25" s="2" t="b">
        <f>IFERROR(__xludf.DUMMYFUNCTION("REGEXMATCH(TO_TEXT(N25), ""^(5[013679]|6[069]|7[2-9]|88)"")"),FALSE)</f>
        <v>0</v>
      </c>
      <c r="Q25" s="9" t="str">
        <f>IF(AND(O25=TRUE, P25=9), "✅ VALID", "❌ INVALID")</f>
        <v>❌ INVALID</v>
      </c>
      <c r="R25" s="10" t="s">
        <v>25</v>
      </c>
      <c r="S25" s="12">
        <v>45216.0</v>
      </c>
      <c r="T25" s="2" t="str">
        <f>IFERROR(__xludf.DUMMYFUNCTION("IF(ISNUMBER(S25),TEXT(S25,""yyyy-MM-dd""),REGEXREPLACE(REGEXREPLACE(TO_TEXT(S25),""[^0-9a-zA-Z]+"",""-""),""[^0-9]*$"",""""))"),"2023-10-17")</f>
        <v>2023-10-17</v>
      </c>
      <c r="U25" s="2" t="s">
        <v>7633</v>
      </c>
      <c r="Y25" s="10" t="s">
        <v>7633</v>
      </c>
    </row>
    <row r="26" ht="15.75" customHeight="1">
      <c r="A26" s="2" t="s">
        <v>2127</v>
      </c>
      <c r="B26" s="9" t="s">
        <v>7597</v>
      </c>
      <c r="C26" s="2" t="s">
        <v>2128</v>
      </c>
      <c r="D26" s="10" t="str">
        <f>IFERROR(__xludf.DUMMYFUNCTION("PROPER(REGEXREPLACE(TRIM(C26),""\s+"","" ""))"),"Omar Martinez")</f>
        <v>Omar Martinez</v>
      </c>
      <c r="E26" s="2">
        <f>IFERROR(__xludf.DUMMYFUNCTION("IF(LEN(D26:D701),
  COUNTA(SPLIT(D26:D701,"" "")),
 """")"),2.0)</f>
        <v>2</v>
      </c>
      <c r="F26" s="9" t="str">
        <f t="shared" si="9"/>
        <v>✅</v>
      </c>
      <c r="G26" s="2" t="str">
        <f>IFERROR(__xludf.DUMMYFUNCTION("REGEXEXTRACT(PROPER(SUBSTITUTE(TRIM(I26),""."","" "")),""^[^@]+"")"),"Omar Martinez")</f>
        <v>Omar Martinez</v>
      </c>
      <c r="H26" s="10" t="str">
        <f t="shared" si="10"/>
        <v>omar.martinez@company.co.uk</v>
      </c>
      <c r="I26" s="2" t="s">
        <v>2129</v>
      </c>
      <c r="J26" s="9" t="str">
        <f>IFERROR(__xludf.DUMMYFUNCTION("IF(REGEXMATCH(TRIM(I26),""^[A-Za-z0-9._%+-]+@[A-Za-z0-9.-]+\.[A-Za-z]{2,}$""),""✅ Valid"",""❌ Invalid"")"),"✅ Valid")</f>
        <v>✅ Valid</v>
      </c>
      <c r="K26" s="13" t="s">
        <v>7634</v>
      </c>
      <c r="L26" s="2" t="str">
        <f>IFERROR(__xludf.DUMMYFUNCTION("IF(OR(K26=""N/A"", K26=""missing"", K26=""none""), """",
 REGEXREPLACE(
  SUBSTITUTE(SUBSTITUTE(SUBSTITUTE(TO_TEXT(K26), CHAR(160),""""), UNICHAR(8239),""""), UNICHAR(8201),""""),""[+\-/(): )]"", """"))"),"4975301379")</f>
        <v>4975301379</v>
      </c>
      <c r="M26" s="2" t="str">
        <f>IFERROR(__xludf.DUMMYFUNCTION("IF(L26="""","""", REGEXEXTRACT(REGEXREPLACE(L26,""x"", """"), ""[0-9]+""))"),"4975301379")</f>
        <v>4975301379</v>
      </c>
      <c r="N26" s="2" t="str">
        <f>IF(LEFT(M26,2)="49", RIGHT(M26,LEN(M26)-2),M26)</f>
        <v>75301379</v>
      </c>
      <c r="O26" s="2" t="b">
        <f>IFERROR(__xludf.DUMMYFUNCTION("REGEXMATCH(TO_TEXT(N26), ""^0(15|16|17)"")"),FALSE)</f>
        <v>0</v>
      </c>
      <c r="P26" s="2">
        <f t="shared" ref="P26:P47" si="11">LEN(N26)</f>
        <v>8</v>
      </c>
      <c r="Q26" s="9" t="str">
        <f>IF(AND(O26=TRUE,OR(P26=10, P26=11)), "✅ VALID", "❌ INVALID")</f>
        <v>❌ INVALID</v>
      </c>
      <c r="R26" s="10" t="s">
        <v>459</v>
      </c>
      <c r="S26" s="12">
        <v>45461.0</v>
      </c>
      <c r="T26" s="2" t="str">
        <f>IFERROR(__xludf.DUMMYFUNCTION("IF(ISNUMBER(S26),TEXT(S26,""yyyy-MM-dd""),REGEXREPLACE(REGEXREPLACE(TO_TEXT(S26),""[^0-9a-zA-Z]+"",""-""),""[^0-9]*$"",""""))"),"2024-06-18")</f>
        <v>2024-06-18</v>
      </c>
      <c r="U26" s="2" t="s">
        <v>7635</v>
      </c>
      <c r="Y26" s="10" t="s">
        <v>7635</v>
      </c>
    </row>
    <row r="27" ht="15.75" customHeight="1">
      <c r="A27" s="2" t="s">
        <v>1887</v>
      </c>
      <c r="B27" s="9" t="s">
        <v>7597</v>
      </c>
      <c r="C27" s="2" t="s">
        <v>1888</v>
      </c>
      <c r="D27" s="10" t="str">
        <f>IFERROR(__xludf.DUMMYFUNCTION("PROPER(REGEXREPLACE(TRIM(C27),""\s+"","" ""))"),"Qi Kowalczyk")</f>
        <v>Qi Kowalczyk</v>
      </c>
      <c r="E27" s="2">
        <f>IFERROR(__xludf.DUMMYFUNCTION("IF(LEN(D27:D701),
  COUNTA(SPLIT(D27:D701,"" "")),
 """")"),2.0)</f>
        <v>2</v>
      </c>
      <c r="F27" s="9" t="str">
        <f t="shared" si="9"/>
        <v>✅</v>
      </c>
      <c r="G27" s="2" t="str">
        <f>IFERROR(__xludf.DUMMYFUNCTION("REGEXEXTRACT(PROPER(SUBSTITUTE(TRIM(I27),""."","" "")),""^[^@]+"")"),"Qi Kowalczyk")</f>
        <v>Qi Kowalczyk</v>
      </c>
      <c r="H27" s="10" t="str">
        <f t="shared" si="10"/>
        <v>qi.kowalczyk@example.com</v>
      </c>
      <c r="I27" s="2" t="s">
        <v>1889</v>
      </c>
      <c r="J27" s="9" t="str">
        <f>IFERROR(__xludf.DUMMYFUNCTION("IF(REGEXMATCH(TRIM(I27),""^[A-Za-z0-9._%+-]+@[A-Za-z0-9.-]+\.[A-Za-z]{2,}$""),""✅ Valid"",""❌ Invalid"")"),"✅ Valid")</f>
        <v>✅ Valid</v>
      </c>
      <c r="K27" s="13" t="s">
        <v>7636</v>
      </c>
      <c r="L27" s="2" t="str">
        <f>IFERROR(__xludf.DUMMYFUNCTION("IF(OR(K27=""N/A"", K27=""missing"", K27=""none""), """",
 REGEXREPLACE(
  SUBSTITUTE(SUBSTITUTE(SUBSTITUTE(TO_TEXT(K27), CHAR(160),""""), UNICHAR(8239),""""), UNICHAR(8201),""""),""[+\-/(): )]"", """"))"),"tel1769121343")</f>
        <v>tel1769121343</v>
      </c>
      <c r="M27" s="2" t="str">
        <f>IFERROR(__xludf.DUMMYFUNCTION("IF(L27="""","""", REGEXEXTRACT(REGEXREPLACE(L27,""x"", """"), ""[0-9]+""))"),"1769121343")</f>
        <v>1769121343</v>
      </c>
      <c r="N27" s="2" t="str">
        <f>IF(LEFT(M27,1)="1", RIGHT(M27,LEN(M27)-1),M27)</f>
        <v>769121343</v>
      </c>
      <c r="O27" s="2" t="b">
        <f>IFERROR(__xludf.DUMMYFUNCTION("REGEXMATCH(TO_TEXT(N27), ""^[2-9][0-9]{9}$"")"),FALSE)</f>
        <v>0</v>
      </c>
      <c r="P27" s="2">
        <f t="shared" si="11"/>
        <v>9</v>
      </c>
      <c r="Q27" s="9" t="str">
        <f>IF(AND(O27=TRUE, P27=10), "✅ VALID", "❌ INVALID")</f>
        <v>❌ INVALID</v>
      </c>
      <c r="R27" s="10" t="s">
        <v>199</v>
      </c>
      <c r="S27" s="12">
        <v>45276.56527777778</v>
      </c>
      <c r="T27" s="2" t="str">
        <f>IFERROR(__xludf.DUMMYFUNCTION("IF(ISNUMBER(S27),TEXT(S27,""yyyy-MM-dd""),REGEXREPLACE(REGEXREPLACE(TO_TEXT(S27),""[^0-9a-zA-Z]+"",""-""),""[^0-9]*$"",""""))"),"2023-12-16")</f>
        <v>2023-12-16</v>
      </c>
      <c r="U27" s="2" t="s">
        <v>7637</v>
      </c>
      <c r="Y27" s="10" t="s">
        <v>7637</v>
      </c>
    </row>
    <row r="28" ht="15.75" customHeight="1">
      <c r="A28" s="2" t="s">
        <v>1036</v>
      </c>
      <c r="B28" s="9" t="s">
        <v>7597</v>
      </c>
      <c r="C28" s="2" t="s">
        <v>1037</v>
      </c>
      <c r="D28" s="10" t="str">
        <f>IFERROR(__xludf.DUMMYFUNCTION("PROPER(REGEXREPLACE(TRIM(C28),""\s+"","" ""))"),"Adam King")</f>
        <v>Adam King</v>
      </c>
      <c r="E28" s="2">
        <f>IFERROR(__xludf.DUMMYFUNCTION("IF(LEN(D28:D701),
  COUNTA(SPLIT(D28:D701,"" "")),
 """")"),2.0)</f>
        <v>2</v>
      </c>
      <c r="F28" s="9" t="str">
        <f t="shared" si="9"/>
        <v>✅</v>
      </c>
      <c r="G28" s="2" t="str">
        <f>IFERROR(__xludf.DUMMYFUNCTION("REGEXEXTRACT(PROPER(SUBSTITUTE(TRIM(I28),""."","" "")),""^[^@]+"")"),"Adam King")</f>
        <v>Adam King</v>
      </c>
      <c r="H28" s="10" t="str">
        <f t="shared" si="10"/>
        <v>adam.king@company.co.uk</v>
      </c>
      <c r="I28" s="2" t="s">
        <v>1038</v>
      </c>
      <c r="J28" s="9" t="str">
        <f>IFERROR(__xludf.DUMMYFUNCTION("IF(REGEXMATCH(TRIM(I28),""^[A-Za-z0-9._%+-]+@[A-Za-z0-9.-]+\.[A-Za-z]{2,}$""),""✅ Valid"",""❌ Invalid"")"),"✅ Valid")</f>
        <v>✅ Valid</v>
      </c>
      <c r="K28" s="13" t="s">
        <v>7638</v>
      </c>
      <c r="L28" s="2" t="str">
        <f>IFERROR(__xludf.DUMMYFUNCTION("IF(OR(K28=""N/A"", K28=""missing"", K28=""none""), """",
 REGEXREPLACE(
  SUBSTITUTE(SUBSTITUTE(SUBSTITUTE(TO_TEXT(K28), CHAR(160),""""), UNICHAR(8239),""""), UNICHAR(8201),""""),""[+\-/(): )]"", """"))"),"46192x638")</f>
        <v>46192x638</v>
      </c>
      <c r="M28" s="2" t="str">
        <f>IFERROR(__xludf.DUMMYFUNCTION("IF(L28="""","""", REGEXEXTRACT(REGEXREPLACE(L28,""x"", """"), ""[0-9]+""))"),"46192638")</f>
        <v>46192638</v>
      </c>
      <c r="N28" s="2" t="str">
        <f>IF(LEFT(M28,2)="33", RIGHT(M28,LEN(M28)-2),M28)</f>
        <v>46192638</v>
      </c>
      <c r="O28" s="2" t="b">
        <f>IFERROR(__xludf.DUMMYFUNCTION("REGEXMATCH(TO_TEXT(N28), ""^0[67]"")"),FALSE)</f>
        <v>0</v>
      </c>
      <c r="P28" s="2">
        <f t="shared" si="11"/>
        <v>8</v>
      </c>
      <c r="Q28" s="9" t="str">
        <f>IF(AND(O28=TRUE, P28=9), "✅ VALID", "❌ INVALID")</f>
        <v>❌ INVALID</v>
      </c>
      <c r="R28" s="10" t="s">
        <v>58</v>
      </c>
      <c r="S28" s="12">
        <v>45830.0</v>
      </c>
      <c r="T28" s="2" t="str">
        <f>IFERROR(__xludf.DUMMYFUNCTION("IF(ISNUMBER(S28),TEXT(S28,""yyyy-MM-dd""),REGEXREPLACE(REGEXREPLACE(TO_TEXT(S28),""[^0-9a-zA-Z]+"",""-""),""[^0-9]*$"",""""))"),"2025-06-22")</f>
        <v>2025-06-22</v>
      </c>
      <c r="U28" s="2" t="s">
        <v>7639</v>
      </c>
      <c r="Y28" s="10" t="s">
        <v>7639</v>
      </c>
    </row>
    <row r="29" ht="15.75" customHeight="1">
      <c r="A29" s="2" t="s">
        <v>788</v>
      </c>
      <c r="B29" s="9" t="s">
        <v>7597</v>
      </c>
      <c r="C29" s="2" t="s">
        <v>789</v>
      </c>
      <c r="D29" s="10" t="str">
        <f>IFERROR(__xludf.DUMMYFUNCTION("PROPER(REGEXREPLACE(TRIM(C29),""\s+"","" ""))"),"Daria Kowalski")</f>
        <v>Daria Kowalski</v>
      </c>
      <c r="E29" s="2">
        <f>IFERROR(__xludf.DUMMYFUNCTION("IF(LEN(D29:D701),
  COUNTA(SPLIT(D29:D701,"" "")),
 """")"),2.0)</f>
        <v>2</v>
      </c>
      <c r="F29" s="9" t="str">
        <f t="shared" si="9"/>
        <v>✅</v>
      </c>
      <c r="G29" s="2" t="str">
        <f>IFERROR(__xludf.DUMMYFUNCTION("REGEXEXTRACT(PROPER(SUBSTITUTE(TRIM(I29),""."","" "")),""^[^@]+"")"),"Daria Kowalski")</f>
        <v>Daria Kowalski</v>
      </c>
      <c r="H29" s="10" t="str">
        <f t="shared" si="10"/>
        <v>daria.kowalski@outlook.com</v>
      </c>
      <c r="I29" s="2" t="s">
        <v>790</v>
      </c>
      <c r="J29" s="9" t="str">
        <f>IFERROR(__xludf.DUMMYFUNCTION("IF(REGEXMATCH(TRIM(I29),""^[A-Za-z0-9._%+-]+@[A-Za-z0-9.-]+\.[A-Za-z]{2,}$""),""✅ Valid"",""❌ Invalid"")"),"✅ Valid")</f>
        <v>✅ Valid</v>
      </c>
      <c r="K29" s="13" t="s">
        <v>7640</v>
      </c>
      <c r="L29" s="2" t="str">
        <f>IFERROR(__xludf.DUMMYFUNCTION("IF(OR(K29=""N/A"", K29=""missing"", K29=""none""), """",
 REGEXREPLACE(
  SUBSTITUTE(SUBSTITUTE(SUBSTITUTE(TO_TEXT(K29), CHAR(160),""""), UNICHAR(8239),""""), UNICHAR(8201),""""),""[+\-/(): )]"", """"))"),"168262568391")</f>
        <v>168262568391</v>
      </c>
      <c r="M29" s="2" t="str">
        <f>IFERROR(__xludf.DUMMYFUNCTION("IF(L29="""","""", REGEXEXTRACT(REGEXREPLACE(L29,""x"", """"), ""[0-9]+""))"),"168262568391")</f>
        <v>168262568391</v>
      </c>
      <c r="N29" s="2" t="str">
        <f>IF(LEFT(M29,1)="1", RIGHT(M29,LEN(M29)-1),M29)</f>
        <v>68262568391</v>
      </c>
      <c r="O29" s="2" t="b">
        <f>IFERROR(__xludf.DUMMYFUNCTION("REGEXMATCH(TO_TEXT(N29), ""^[2-9][0-9]{9}$"")"),FALSE)</f>
        <v>0</v>
      </c>
      <c r="P29" s="2">
        <f t="shared" si="11"/>
        <v>11</v>
      </c>
      <c r="Q29" s="9" t="str">
        <f>IF(AND(O29=TRUE, P29=10), "✅ VALID", "❌ INVALID")</f>
        <v>❌ INVALID</v>
      </c>
      <c r="R29" s="10" t="s">
        <v>199</v>
      </c>
      <c r="S29" s="12">
        <v>44807.0</v>
      </c>
      <c r="T29" s="2" t="str">
        <f>IFERROR(__xludf.DUMMYFUNCTION("IF(ISNUMBER(S29),TEXT(S29,""yyyy-MM-dd""),REGEXREPLACE(REGEXREPLACE(TO_TEXT(S29),""[^0-9a-zA-Z]+"",""-""),""[^0-9]*$"",""""))"),"2022-09-03")</f>
        <v>2022-09-03</v>
      </c>
      <c r="U29" s="2" t="s">
        <v>7641</v>
      </c>
      <c r="Y29" s="10" t="s">
        <v>7641</v>
      </c>
    </row>
    <row r="30" ht="15.75" customHeight="1">
      <c r="A30" s="2" t="s">
        <v>6845</v>
      </c>
      <c r="B30" s="9" t="s">
        <v>7597</v>
      </c>
      <c r="C30" s="2" t="s">
        <v>6846</v>
      </c>
      <c r="D30" s="10" t="str">
        <f>IFERROR(__xludf.DUMMYFUNCTION("PROPER(REGEXREPLACE(TRIM(C30),""\s+"","" ""))"),"Ken Young")</f>
        <v>Ken Young</v>
      </c>
      <c r="E30" s="2">
        <f>IFERROR(__xludf.DUMMYFUNCTION("IF(LEN(D30:D701),
  COUNTA(SPLIT(D30:D701,"" "")),
 """")"),2.0)</f>
        <v>2</v>
      </c>
      <c r="F30" s="9" t="str">
        <f t="shared" si="9"/>
        <v>✅</v>
      </c>
      <c r="G30" s="2" t="str">
        <f>IFERROR(__xludf.DUMMYFUNCTION("REGEXEXTRACT(PROPER(SUBSTITUTE(TRIM(I30),""."","" "")),""^[^@]+"")"),"Ken Young")</f>
        <v>Ken Young</v>
      </c>
      <c r="H30" s="10" t="str">
        <f t="shared" si="10"/>
        <v>ken.young@company.co.uk</v>
      </c>
      <c r="I30" s="2" t="s">
        <v>6847</v>
      </c>
      <c r="J30" s="9" t="str">
        <f>IFERROR(__xludf.DUMMYFUNCTION("IF(REGEXMATCH(TRIM(I30),""^[A-Za-z0-9._%+-]+@[A-Za-z0-9.-]+\.[A-Za-z]{2,}$""),""✅ Valid"",""❌ Invalid"")"),"✅ Valid")</f>
        <v>✅ Valid</v>
      </c>
      <c r="K30" s="13" t="s">
        <v>7642</v>
      </c>
      <c r="L30" s="2" t="str">
        <f>IFERROR(__xludf.DUMMYFUNCTION("IF(OR(K30=""N/A"", K30=""missing"", K30=""none""), """",
 REGEXREPLACE(
  SUBSTITUTE(SUBSTITUTE(SUBSTITUTE(TO_TEXT(K30), CHAR(160),""""), UNICHAR(8239),""""), UNICHAR(8201),""""),""[+\-/(): )]"", """"))"),"353399989702")</f>
        <v>353399989702</v>
      </c>
      <c r="M30" s="2" t="str">
        <f>IFERROR(__xludf.DUMMYFUNCTION("IF(L30="""","""", REGEXEXTRACT(REGEXREPLACE(L30,""x"", """"), ""[0-9]+""))"),"353399989702")</f>
        <v>353399989702</v>
      </c>
      <c r="N30" s="2" t="str">
        <f>IF(LEFT(M30,3)="353", RIGHT(M30,LEN(M30)-3),M30)</f>
        <v>399989702</v>
      </c>
      <c r="O30" s="2" t="b">
        <f>IFERROR(__xludf.DUMMYFUNCTION("REGEXMATCH(TO_TEXT(N30), ""^0(83|85|86|87|89)"")"),FALSE)</f>
        <v>0</v>
      </c>
      <c r="P30" s="2">
        <f t="shared" si="11"/>
        <v>9</v>
      </c>
      <c r="Q30" s="9" t="str">
        <f>IF(AND(O30=TRUE, P27=10), "✅ VALID", "❌ INVALID")</f>
        <v>❌ INVALID</v>
      </c>
      <c r="R30" s="10" t="s">
        <v>1177</v>
      </c>
      <c r="S30" s="12">
        <v>44689.0</v>
      </c>
      <c r="T30" s="2" t="str">
        <f>IFERROR(__xludf.DUMMYFUNCTION("IF(ISNUMBER(S30),TEXT(S30,""yyyy-MM-dd""),REGEXREPLACE(REGEXREPLACE(TO_TEXT(S30),""[^0-9a-zA-Z]+"",""-""),""[^0-9]*$"",""""))"),"2022-05-08")</f>
        <v>2022-05-08</v>
      </c>
      <c r="U30" s="2" t="s">
        <v>7643</v>
      </c>
      <c r="Y30" s="10" t="s">
        <v>7643</v>
      </c>
    </row>
    <row r="31" ht="15.75" customHeight="1">
      <c r="A31" s="2" t="s">
        <v>2388</v>
      </c>
      <c r="B31" s="9" t="s">
        <v>7597</v>
      </c>
      <c r="C31" s="2" t="s">
        <v>2389</v>
      </c>
      <c r="D31" s="10" t="str">
        <f>IFERROR(__xludf.DUMMYFUNCTION("PROPER(REGEXREPLACE(TRIM(C31),""\s+"","" ""))"),"Vlad Kowalski")</f>
        <v>Vlad Kowalski</v>
      </c>
      <c r="E31" s="2">
        <f>IFERROR(__xludf.DUMMYFUNCTION("IF(LEN(D31:D701),
  COUNTA(SPLIT(D31:D701,"" "")),
 """")"),2.0)</f>
        <v>2</v>
      </c>
      <c r="F31" s="9" t="str">
        <f t="shared" si="9"/>
        <v>✅</v>
      </c>
      <c r="G31" s="2" t="str">
        <f>IFERROR(__xludf.DUMMYFUNCTION("REGEXEXTRACT(PROPER(SUBSTITUTE(TRIM(I31),""."","" "")),""^[^@]+"")"),"Vlad Kowalski")</f>
        <v>Vlad Kowalski</v>
      </c>
      <c r="H31" s="10" t="str">
        <f t="shared" si="10"/>
        <v>vlad.kowalski@yahoo.com</v>
      </c>
      <c r="I31" s="2" t="s">
        <v>2390</v>
      </c>
      <c r="J31" s="9" t="str">
        <f>IFERROR(__xludf.DUMMYFUNCTION("IF(REGEXMATCH(TRIM(I31),""^[A-Za-z0-9._%+-]+@[A-Za-z0-9.-]+\.[A-Za-z]{2,}$""),""✅ Valid"",""❌ Invalid"")"),"✅ Valid")</f>
        <v>✅ Valid</v>
      </c>
      <c r="K31" s="13" t="s">
        <v>7644</v>
      </c>
      <c r="L31" s="2" t="str">
        <f>IFERROR(__xludf.DUMMYFUNCTION("IF(OR(K31=""N/A"", K31=""missing"", K31=""none""), """",
 REGEXREPLACE(
  SUBSTITUTE(SUBSTITUTE(SUBSTITUTE(TO_TEXT(K31), CHAR(160),""""), UNICHAR(8239),""""), UNICHAR(8201),""""),""[+\-/(): )]"", """"))"),"19432396635")</f>
        <v>19432396635</v>
      </c>
      <c r="M31" s="2" t="str">
        <f>IFERROR(__xludf.DUMMYFUNCTION("IF(L31="""","""", REGEXEXTRACT(REGEXREPLACE(L31,""x"", """"), ""[0-9]+""))"),"19432396635")</f>
        <v>19432396635</v>
      </c>
      <c r="N31" s="2" t="str">
        <f>IF(LEFT(M31,1)="1", RIGHT(M31,LEN(M31)-1),M31)</f>
        <v>9432396635</v>
      </c>
      <c r="O31" s="2" t="b">
        <f>IFERROR(__xludf.DUMMYFUNCTION("REGEXMATCH(TO_TEXT(N31), ""^[2-9][0-9]{9}$"")"),TRUE)</f>
        <v>1</v>
      </c>
      <c r="P31" s="2">
        <f t="shared" si="11"/>
        <v>10</v>
      </c>
      <c r="Q31" s="9" t="str">
        <f>IF(AND(O31=TRUE, P31=10), "✅ VALID", "❌ INVALID")</f>
        <v>✅ VALID</v>
      </c>
      <c r="R31" s="10" t="s">
        <v>199</v>
      </c>
      <c r="S31" s="12">
        <v>45177.0</v>
      </c>
      <c r="T31" s="2" t="str">
        <f>IFERROR(__xludf.DUMMYFUNCTION("IF(ISNUMBER(S31),TEXT(S31,""yyyy-MM-dd""),REGEXREPLACE(REGEXREPLACE(TO_TEXT(S31),""[^0-9a-zA-Z]+"",""-""),""[^0-9]*$"",""""))"),"2023-09-08")</f>
        <v>2023-09-08</v>
      </c>
      <c r="U31" s="2" t="s">
        <v>7645</v>
      </c>
      <c r="Y31" s="10" t="s">
        <v>7645</v>
      </c>
    </row>
    <row r="32" ht="15.75" customHeight="1">
      <c r="A32" s="2" t="s">
        <v>4115</v>
      </c>
      <c r="B32" s="9" t="s">
        <v>7597</v>
      </c>
      <c r="C32" s="2" t="s">
        <v>4116</v>
      </c>
      <c r="D32" s="10" t="str">
        <f>IFERROR(__xludf.DUMMYFUNCTION("PROPER(REGEXREPLACE(TRIM(C32),""\s+"","" ""))"),"Sam Johnson")</f>
        <v>Sam Johnson</v>
      </c>
      <c r="E32" s="2">
        <f>IFERROR(__xludf.DUMMYFUNCTION("IF(LEN(D32:D701),
  COUNTA(SPLIT(D32:D701,"" "")),
 """")"),2.0)</f>
        <v>2</v>
      </c>
      <c r="F32" s="9" t="str">
        <f t="shared" si="9"/>
        <v>✅</v>
      </c>
      <c r="G32" s="2" t="str">
        <f>IFERROR(__xludf.DUMMYFUNCTION("REGEXEXTRACT(PROPER(SUBSTITUTE(TRIM(I32),""."","" "")),""^[^@]+"")"),"Sam Johnson")</f>
        <v>Sam Johnson</v>
      </c>
      <c r="H32" s="10" t="str">
        <f t="shared" si="10"/>
        <v>sam.johnson@yahoo.com</v>
      </c>
      <c r="I32" s="2" t="s">
        <v>4117</v>
      </c>
      <c r="J32" s="9" t="str">
        <f>IFERROR(__xludf.DUMMYFUNCTION("IF(REGEXMATCH(TRIM(I32),""^[A-Za-z0-9._%+-]+@[A-Za-z0-9.-]+\.[A-Za-z]{2,}$""),""✅ Valid"",""❌ Invalid"")"),"✅ Valid")</f>
        <v>✅ Valid</v>
      </c>
      <c r="K32" s="13" t="s">
        <v>7646</v>
      </c>
      <c r="L32" s="2" t="str">
        <f>IFERROR(__xludf.DUMMYFUNCTION("IF(OR(K32=""N/A"", K32=""missing"", K32=""none""), """",
 REGEXREPLACE(
  SUBSTITUTE(SUBSTITUTE(SUBSTITUTE(TO_TEXT(K32), CHAR(160),""""), UNICHAR(8239),""""), UNICHAR(8201),""""),""[+\-/(): )]"", """"))"),"40487661")</f>
        <v>40487661</v>
      </c>
      <c r="M32" s="2" t="str">
        <f>IFERROR(__xludf.DUMMYFUNCTION("IF(L32="""","""", REGEXEXTRACT(REGEXREPLACE(L32,""x"", """"), ""[0-9]+""))"),"40487661")</f>
        <v>40487661</v>
      </c>
      <c r="N32" s="2" t="str">
        <f t="shared" ref="N32:N33" si="12">IF(LEFT(M32,3)="353", RIGHT(M32,LEN(M32)-3),M32)</f>
        <v>40487661</v>
      </c>
      <c r="O32" s="2" t="b">
        <f>IFERROR(__xludf.DUMMYFUNCTION("REGEXMATCH(TO_TEXT(N32), ""^0(83|85|86|87|89)"")"),FALSE)</f>
        <v>0</v>
      </c>
      <c r="P32" s="2">
        <f t="shared" si="11"/>
        <v>8</v>
      </c>
      <c r="Q32" s="9" t="str">
        <f t="shared" ref="Q32:Q33" si="13">IF(AND(O32=TRUE, P29=10), "✅ VALID", "❌ INVALID")</f>
        <v>❌ INVALID</v>
      </c>
      <c r="R32" s="10" t="s">
        <v>1177</v>
      </c>
      <c r="S32" s="12" t="s">
        <v>6591</v>
      </c>
      <c r="T32" s="2" t="str">
        <f>IFERROR(__xludf.DUMMYFUNCTION("IF(ISNUMBER(S32),TEXT(S32,""yyyy-MM-dd""),REGEXREPLACE(REGEXREPLACE(TO_TEXT(S32),""[^0-9a-zA-Z]+"",""-""),""[^0-9]*$"",""""))"),"11-01-2023-12-33")</f>
        <v>11-01-2023-12-33</v>
      </c>
      <c r="U32" s="2" t="str">
        <f>TEXT(T32,"yyyy-MM-dd")</f>
        <v>11-01-2023-12-33</v>
      </c>
      <c r="V32" s="2" t="str">
        <f>IFERROR(__xludf.DUMMYFUNCTION("REGEXEXTRACT(U32,""^\d{2}-\d{2}-\d{4}"")"),"11-01-2023")</f>
        <v>11-01-2023</v>
      </c>
      <c r="W32" s="2" t="s">
        <v>7647</v>
      </c>
      <c r="Y32" s="10" t="s">
        <v>7647</v>
      </c>
    </row>
    <row r="33" ht="15.75" customHeight="1">
      <c r="A33" s="2" t="s">
        <v>5627</v>
      </c>
      <c r="B33" s="9" t="s">
        <v>7597</v>
      </c>
      <c r="C33" s="2" t="s">
        <v>5628</v>
      </c>
      <c r="D33" s="10" t="str">
        <f>IFERROR(__xludf.DUMMYFUNCTION("PROPER(REGEXREPLACE(TRIM(C33),""\s+"","" ""))"),"Ken Nowak")</f>
        <v>Ken Nowak</v>
      </c>
      <c r="E33" s="2">
        <f>IFERROR(__xludf.DUMMYFUNCTION("IF(LEN(D33:D701),
  COUNTA(SPLIT(D33:D701,"" "")),
 """")"),2.0)</f>
        <v>2</v>
      </c>
      <c r="F33" s="9" t="str">
        <f t="shared" si="9"/>
        <v>✅</v>
      </c>
      <c r="G33" s="2" t="str">
        <f>IFERROR(__xludf.DUMMYFUNCTION("REGEXEXTRACT(PROPER(SUBSTITUTE(TRIM(I33),""."","" "")),""^[^@]+"")"),"Ken Nowak")</f>
        <v>Ken Nowak</v>
      </c>
      <c r="H33" s="10" t="str">
        <f t="shared" si="10"/>
        <v>ken.nowak@company.co.uk</v>
      </c>
      <c r="I33" s="2" t="s">
        <v>5629</v>
      </c>
      <c r="J33" s="9" t="str">
        <f>IFERROR(__xludf.DUMMYFUNCTION("IF(REGEXMATCH(TRIM(I33),""^[A-Za-z0-9._%+-]+@[A-Za-z0-9.-]+\.[A-Za-z]{2,}$""),""✅ Valid"",""❌ Invalid"")"),"✅ Valid")</f>
        <v>✅ Valid</v>
      </c>
      <c r="K33" s="13" t="s">
        <v>7648</v>
      </c>
      <c r="L33" s="2" t="str">
        <f>IFERROR(__xludf.DUMMYFUNCTION("IF(OR(K33=""N/A"", K33=""missing"", K33=""none""), """",
 REGEXREPLACE(
  SUBSTITUTE(SUBSTITUTE(SUBSTITUTE(TO_TEXT(K33), CHAR(160),""""), UNICHAR(8239),""""), UNICHAR(8201),""""),""[+\-/(): )]"", """"))"),"858835x482")</f>
        <v>858835x482</v>
      </c>
      <c r="M33" s="2" t="str">
        <f>IFERROR(__xludf.DUMMYFUNCTION("IF(L33="""","""", REGEXEXTRACT(REGEXREPLACE(L33,""x"", """"), ""[0-9]+""))"),"858835482")</f>
        <v>858835482</v>
      </c>
      <c r="N33" s="2" t="str">
        <f t="shared" si="12"/>
        <v>858835482</v>
      </c>
      <c r="O33" s="2" t="b">
        <f>IFERROR(__xludf.DUMMYFUNCTION("REGEXMATCH(TO_TEXT(N33), ""^0(83|85|86|87|89)"")"),FALSE)</f>
        <v>0</v>
      </c>
      <c r="P33" s="2">
        <f t="shared" si="11"/>
        <v>9</v>
      </c>
      <c r="Q33" s="9" t="str">
        <f t="shared" si="13"/>
        <v>❌ INVALID</v>
      </c>
      <c r="R33" s="10" t="s">
        <v>1177</v>
      </c>
      <c r="S33" s="12">
        <v>44707.0</v>
      </c>
      <c r="T33" s="2" t="str">
        <f>IFERROR(__xludf.DUMMYFUNCTION("IF(ISNUMBER(S33),TEXT(S33,""yyyy-MM-dd""),REGEXREPLACE(REGEXREPLACE(TO_TEXT(S33),""[^0-9a-zA-Z]+"",""-""),""[^0-9]*$"",""""))"),"2022-05-26")</f>
        <v>2022-05-26</v>
      </c>
      <c r="U33" s="2" t="s">
        <v>7649</v>
      </c>
      <c r="Y33" s="10" t="s">
        <v>7649</v>
      </c>
    </row>
    <row r="34" ht="15.75" customHeight="1">
      <c r="A34" s="2" t="s">
        <v>4734</v>
      </c>
      <c r="B34" s="9" t="s">
        <v>7597</v>
      </c>
      <c r="C34" s="2" t="s">
        <v>4735</v>
      </c>
      <c r="D34" s="10" t="str">
        <f>IFERROR(__xludf.DUMMYFUNCTION("PROPER(REGEXREPLACE(TRIM(C34),""\s+"","" ""))"),"Wiktor Rodriguez")</f>
        <v>Wiktor Rodriguez</v>
      </c>
      <c r="E34" s="2">
        <f>IFERROR(__xludf.DUMMYFUNCTION("IF(LEN(D34:D701),
  COUNTA(SPLIT(D34:D701,"" "")),
 """")"),2.0)</f>
        <v>2</v>
      </c>
      <c r="F34" s="9" t="str">
        <f t="shared" si="9"/>
        <v>✅</v>
      </c>
      <c r="G34" s="2" t="str">
        <f>IFERROR(__xludf.DUMMYFUNCTION("REGEXEXTRACT(PROPER(SUBSTITUTE(TRIM(I34),""."","" "")),""^[^@]+"")"),"Wiktor Rodriguez")</f>
        <v>Wiktor Rodriguez</v>
      </c>
      <c r="H34" s="10" t="str">
        <f t="shared" si="10"/>
        <v>wiktor.rodriguez@example.com</v>
      </c>
      <c r="I34" s="2" t="s">
        <v>4736</v>
      </c>
      <c r="J34" s="9" t="str">
        <f>IFERROR(__xludf.DUMMYFUNCTION("IF(REGEXMATCH(TRIM(I34),""^[A-Za-z0-9._%+-]+@[A-Za-z0-9.-]+\.[A-Za-z]{2,}$""),""✅ Valid"",""❌ Invalid"")"),"✅ Valid")</f>
        <v>✅ Valid</v>
      </c>
      <c r="K34" s="13" t="s">
        <v>7650</v>
      </c>
      <c r="L34" s="2" t="str">
        <f>IFERROR(__xludf.DUMMYFUNCTION("IF(OR(K34=""N/A"", K34=""missing"", K34=""none""), """",
 REGEXREPLACE(
  SUBSTITUTE(SUBSTITUTE(SUBSTITUTE(TO_TEXT(K34), CHAR(160),""""), UNICHAR(8239),""""), UNICHAR(8201),""""),""[+\-/(): )]"", """"))"),"443098554497")</f>
        <v>443098554497</v>
      </c>
      <c r="M34" s="2" t="str">
        <f>IFERROR(__xludf.DUMMYFUNCTION("IF(L34="""","""", REGEXEXTRACT(REGEXREPLACE(L34,""x"", """"), ""[0-9]+""))"),"443098554497")</f>
        <v>443098554497</v>
      </c>
      <c r="N34" s="2" t="str">
        <f>IF(LEFT(M34,2)="44", RIGHT(M34,LEN(M34)-2),M34)</f>
        <v>3098554497</v>
      </c>
      <c r="O34" s="2" t="b">
        <f>IFERROR(__xludf.DUMMYFUNCTION("REGEXMATCH(TO_TEXT(N34), ""^07[1-57-9]"")"),FALSE)</f>
        <v>0</v>
      </c>
      <c r="P34" s="2">
        <f t="shared" si="11"/>
        <v>10</v>
      </c>
      <c r="Q34" s="9" t="str">
        <f>IF(AND(O34=TRUE, P34=11), "✅ VALID", "❌ INVALID")</f>
        <v>❌ INVALID</v>
      </c>
      <c r="R34" s="10" t="s">
        <v>114</v>
      </c>
      <c r="S34" s="12">
        <v>44655.0</v>
      </c>
      <c r="T34" s="2" t="str">
        <f>IFERROR(__xludf.DUMMYFUNCTION("IF(ISNUMBER(S34),TEXT(S34,""yyyy-MM-dd""),REGEXREPLACE(REGEXREPLACE(TO_TEXT(S34),""[^0-9a-zA-Z]+"",""-""),""[^0-9]*$"",""""))"),"2022-04-04")</f>
        <v>2022-04-04</v>
      </c>
      <c r="U34" s="2" t="s">
        <v>7651</v>
      </c>
      <c r="Y34" s="10" t="s">
        <v>7651</v>
      </c>
    </row>
    <row r="35" ht="15.75" customHeight="1">
      <c r="A35" s="2" t="s">
        <v>1411</v>
      </c>
      <c r="B35" s="9" t="s">
        <v>7597</v>
      </c>
      <c r="C35" s="2" t="s">
        <v>1412</v>
      </c>
      <c r="D35" s="10" t="str">
        <f>IFERROR(__xludf.DUMMYFUNCTION("PROPER(REGEXREPLACE(TRIM(C35),""\s+"","" ""))"),"Omar Rodriguez")</f>
        <v>Omar Rodriguez</v>
      </c>
      <c r="E35" s="2">
        <f>IFERROR(__xludf.DUMMYFUNCTION("IF(LEN(D35:D701),
  COUNTA(SPLIT(D35:D701,"" "")),
 """")"),2.0)</f>
        <v>2</v>
      </c>
      <c r="F35" s="9" t="str">
        <f t="shared" si="9"/>
        <v>✅</v>
      </c>
      <c r="G35" s="2" t="str">
        <f>IFERROR(__xludf.DUMMYFUNCTION("REGEXEXTRACT(PROPER(SUBSTITUTE(TRIM(I35),""."","" "")),""^[^@]+"")"),"Omar Rodriguez")</f>
        <v>Omar Rodriguez</v>
      </c>
      <c r="H35" s="10" t="str">
        <f t="shared" si="10"/>
        <v>omar.rodriguez@example.com</v>
      </c>
      <c r="I35" s="2" t="s">
        <v>1413</v>
      </c>
      <c r="J35" s="9" t="str">
        <f>IFERROR(__xludf.DUMMYFUNCTION("IF(REGEXMATCH(TRIM(I35),""^[A-Za-z0-9._%+-]+@[A-Za-z0-9.-]+\.[A-Za-z]{2,}$""),""✅ Valid"",""❌ Invalid"")"),"✅ Valid")</f>
        <v>✅ Valid</v>
      </c>
      <c r="K35" s="13" t="s">
        <v>7652</v>
      </c>
      <c r="L35" s="2" t="str">
        <f>IFERROR(__xludf.DUMMYFUNCTION("IF(OR(K35=""N/A"", K35=""missing"", K35=""none""), """",
 REGEXREPLACE(
  SUBSTITUTE(SUBSTITUTE(SUBSTITUTE(TO_TEXT(K35), CHAR(160),""""), UNICHAR(8239),""""), UNICHAR(8201),""""),""[+\-/(): )]"", """"))"),"496820240")</f>
        <v>496820240</v>
      </c>
      <c r="M35" s="2" t="str">
        <f>IFERROR(__xludf.DUMMYFUNCTION("IF(L35="""","""", REGEXEXTRACT(REGEXREPLACE(L35,""x"", """"), ""[0-9]+""))"),"496820240")</f>
        <v>496820240</v>
      </c>
      <c r="N35" s="2" t="str">
        <f>IF(LEFT(M35,2)="33", RIGHT(M35,LEN(M35)-2),M35)</f>
        <v>496820240</v>
      </c>
      <c r="O35" s="2" t="b">
        <f>IFERROR(__xludf.DUMMYFUNCTION("REGEXMATCH(TO_TEXT(N35), ""^0[67]"")"),FALSE)</f>
        <v>0</v>
      </c>
      <c r="P35" s="2">
        <f t="shared" si="11"/>
        <v>9</v>
      </c>
      <c r="Q35" s="9" t="str">
        <f>IF(AND(O35=TRUE, P35=9), "✅ VALID", "❌ INVALID")</f>
        <v>❌ INVALID</v>
      </c>
      <c r="R35" s="10" t="s">
        <v>58</v>
      </c>
      <c r="S35" s="12">
        <v>44921.0</v>
      </c>
      <c r="T35" s="2" t="str">
        <f>IFERROR(__xludf.DUMMYFUNCTION("IF(ISNUMBER(S35),TEXT(S35,""yyyy-MM-dd""),REGEXREPLACE(REGEXREPLACE(TO_TEXT(S35),""[^0-9a-zA-Z]+"",""-""),""[^0-9]*$"",""""))"),"2022-12-26")</f>
        <v>2022-12-26</v>
      </c>
      <c r="U35" s="2" t="s">
        <v>7653</v>
      </c>
      <c r="Y35" s="10" t="s">
        <v>7653</v>
      </c>
    </row>
    <row r="36" ht="15.75" customHeight="1">
      <c r="A36" s="2" t="s">
        <v>2054</v>
      </c>
      <c r="B36" s="9" t="s">
        <v>7597</v>
      </c>
      <c r="C36" s="2" t="s">
        <v>2055</v>
      </c>
      <c r="D36" s="10" t="str">
        <f>IFERROR(__xludf.DUMMYFUNCTION("PROPER(REGEXREPLACE(TRIM(C36),""\s+"","" ""))"),"Ken Nowak")</f>
        <v>Ken Nowak</v>
      </c>
      <c r="E36" s="2">
        <f>IFERROR(__xludf.DUMMYFUNCTION("IF(LEN(D36:D701),
  COUNTA(SPLIT(D36:D701,"" "")),
 """")"),2.0)</f>
        <v>2</v>
      </c>
      <c r="F36" s="9" t="str">
        <f t="shared" si="9"/>
        <v>✅</v>
      </c>
      <c r="G36" s="2" t="str">
        <f>IFERROR(__xludf.DUMMYFUNCTION("REGEXEXTRACT(PROPER(SUBSTITUTE(TRIM(I36),""."","" "")),""^[^@]+"")"),"Ken Nowak")</f>
        <v>Ken Nowak</v>
      </c>
      <c r="H36" s="10" t="str">
        <f t="shared" si="10"/>
        <v>ken.nowak@outlook.com</v>
      </c>
      <c r="I36" s="2" t="s">
        <v>2056</v>
      </c>
      <c r="J36" s="9" t="str">
        <f>IFERROR(__xludf.DUMMYFUNCTION("IF(REGEXMATCH(TRIM(I36),""^[A-Za-z0-9._%+-]+@[A-Za-z0-9.-]+\.[A-Za-z]{2,}$""),""✅ Valid"",""❌ Invalid"")"),"✅ Valid")</f>
        <v>✅ Valid</v>
      </c>
      <c r="K36" s="13" t="s">
        <v>7654</v>
      </c>
      <c r="L36" s="2" t="str">
        <f>IFERROR(__xludf.DUMMYFUNCTION("IF(OR(K36=""N/A"", K36=""missing"", K36=""none""), """",
 REGEXREPLACE(
  SUBSTITUTE(SUBSTITUTE(SUBSTITUTE(TO_TEXT(K36), CHAR(160),""""), UNICHAR(8239),""""), UNICHAR(8201),""""),""[+\-/(): )]"", """"))"),"353876052466")</f>
        <v>353876052466</v>
      </c>
      <c r="M36" s="2" t="str">
        <f>IFERROR(__xludf.DUMMYFUNCTION("IF(L36="""","""", REGEXEXTRACT(REGEXREPLACE(L36,""x"", """"), ""[0-9]+""))"),"353876052466")</f>
        <v>353876052466</v>
      </c>
      <c r="N36" s="2" t="str">
        <f>IF(LEFT(M36,3)="353", RIGHT(M36,LEN(M36)-3),M36)</f>
        <v>876052466</v>
      </c>
      <c r="O36" s="2" t="b">
        <f>IFERROR(__xludf.DUMMYFUNCTION("REGEXMATCH(TO_TEXT(N36), ""^0(83|85|86|87|89)"")"),FALSE)</f>
        <v>0</v>
      </c>
      <c r="P36" s="2">
        <f t="shared" si="11"/>
        <v>9</v>
      </c>
      <c r="Q36" s="9" t="str">
        <f>IF(AND(O36=TRUE, P33=10), "✅ VALID", "❌ INVALID")</f>
        <v>❌ INVALID</v>
      </c>
      <c r="R36" s="10" t="s">
        <v>1177</v>
      </c>
      <c r="S36" s="12">
        <v>45705.0</v>
      </c>
      <c r="T36" s="2" t="str">
        <f>IFERROR(__xludf.DUMMYFUNCTION("IF(ISNUMBER(S36),TEXT(S36,""yyyy-MM-dd""),REGEXREPLACE(REGEXREPLACE(TO_TEXT(S36),""[^0-9a-zA-Z]+"",""-""),""[^0-9]*$"",""""))"),"2025-02-17")</f>
        <v>2025-02-17</v>
      </c>
      <c r="U36" s="2" t="s">
        <v>7655</v>
      </c>
      <c r="Y36" s="10" t="s">
        <v>7655</v>
      </c>
    </row>
    <row r="37" ht="15.75" customHeight="1">
      <c r="A37" s="2" t="s">
        <v>7289</v>
      </c>
      <c r="B37" s="9" t="s">
        <v>7597</v>
      </c>
      <c r="C37" s="2" t="s">
        <v>1445</v>
      </c>
      <c r="D37" s="10" t="str">
        <f>IFERROR(__xludf.DUMMYFUNCTION("PROPER(REGEXREPLACE(TRIM(C37),""\s+"","" ""))"),"Ethan Lee")</f>
        <v>Ethan Lee</v>
      </c>
      <c r="E37" s="2">
        <f>IFERROR(__xludf.DUMMYFUNCTION("IF(LEN(D37:D701),
  COUNTA(SPLIT(D37:D701,"" "")),
 """")"),2.0)</f>
        <v>2</v>
      </c>
      <c r="F37" s="9" t="str">
        <f t="shared" si="9"/>
        <v>✅</v>
      </c>
      <c r="G37" s="2" t="str">
        <f>IFERROR(__xludf.DUMMYFUNCTION("REGEXEXTRACT(PROPER(SUBSTITUTE(TRIM(I37),""."","" "")),""^[^@]+"")"),"Ethan Lee")</f>
        <v>Ethan Lee</v>
      </c>
      <c r="H37" s="10" t="str">
        <f t="shared" si="10"/>
        <v>ethan.lee@shop.io</v>
      </c>
      <c r="I37" s="2" t="s">
        <v>7290</v>
      </c>
      <c r="J37" s="9" t="str">
        <f>IFERROR(__xludf.DUMMYFUNCTION("IF(REGEXMATCH(TRIM(I37),""^[A-Za-z0-9._%+-]+@[A-Za-z0-9.-]+\.[A-Za-z]{2,}$""),""✅ Valid"",""❌ Invalid"")"),"✅ Valid")</f>
        <v>✅ Valid</v>
      </c>
      <c r="K37" s="13" t="s">
        <v>7656</v>
      </c>
      <c r="L37" s="2" t="str">
        <f>IFERROR(__xludf.DUMMYFUNCTION("IF(OR(K37=""N/A"", K37=""missing"", K37=""none""), """",
 REGEXREPLACE(
  SUBSTITUTE(SUBSTITUTE(SUBSTITUTE(TO_TEXT(K37), CHAR(160),""""), UNICHAR(8239),""""), UNICHAR(8201),""""),""[+\-/(): )]"", """"))"),"1620538179")</f>
        <v>1620538179</v>
      </c>
      <c r="M37" s="2" t="str">
        <f>IFERROR(__xludf.DUMMYFUNCTION("IF(L37="""","""", REGEXEXTRACT(REGEXREPLACE(L37,""x"", """"), ""[0-9]+""))"),"1620538179")</f>
        <v>1620538179</v>
      </c>
      <c r="N37" s="2" t="str">
        <f>IF(LEFT(M37,2)="33", RIGHT(M37,LEN(M37)-2),M37)</f>
        <v>1620538179</v>
      </c>
      <c r="O37" s="2" t="b">
        <f>IFERROR(__xludf.DUMMYFUNCTION("REGEXMATCH(TO_TEXT(N37), ""^0[67]"")"),FALSE)</f>
        <v>0</v>
      </c>
      <c r="P37" s="2">
        <f t="shared" si="11"/>
        <v>10</v>
      </c>
      <c r="Q37" s="9" t="str">
        <f>IF(AND(O37=TRUE, P37=9), "✅ VALID", "❌ INVALID")</f>
        <v>❌ INVALID</v>
      </c>
      <c r="R37" s="10" t="s">
        <v>58</v>
      </c>
      <c r="S37" s="12">
        <v>45104.0</v>
      </c>
      <c r="T37" s="2" t="str">
        <f>IFERROR(__xludf.DUMMYFUNCTION("IF(ISNUMBER(S37),TEXT(S37,""yyyy-MM-dd""),REGEXREPLACE(REGEXREPLACE(TO_TEXT(S37),""[^0-9a-zA-Z]+"",""-""),""[^0-9]*$"",""""))"),"2023-06-27")</f>
        <v>2023-06-27</v>
      </c>
      <c r="U37" s="2" t="s">
        <v>5723</v>
      </c>
      <c r="Y37" s="10" t="s">
        <v>5723</v>
      </c>
    </row>
    <row r="38" ht="15.75" customHeight="1">
      <c r="A38" s="2" t="s">
        <v>4053</v>
      </c>
      <c r="B38" s="9" t="s">
        <v>7597</v>
      </c>
      <c r="C38" s="2" t="s">
        <v>4054</v>
      </c>
      <c r="D38" s="10" t="str">
        <f>IFERROR(__xludf.DUMMYFUNCTION("PROPER(REGEXREPLACE(TRIM(C38),""\s+"","" ""))"),"Lia Novak")</f>
        <v>Lia Novak</v>
      </c>
      <c r="E38" s="2">
        <f>IFERROR(__xludf.DUMMYFUNCTION("IF(LEN(D38:D701),
  COUNTA(SPLIT(D38:D701,"" "")),
 """")"),2.0)</f>
        <v>2</v>
      </c>
      <c r="F38" s="9" t="str">
        <f t="shared" si="9"/>
        <v>✅</v>
      </c>
      <c r="G38" s="2" t="str">
        <f>IFERROR(__xludf.DUMMYFUNCTION("REGEXEXTRACT(PROPER(SUBSTITUTE(TRIM(I38),""."","" "")),""^[^@]+"")"),"Lia Novak")</f>
        <v>Lia Novak</v>
      </c>
      <c r="H38" s="10" t="str">
        <f t="shared" si="10"/>
        <v>lia.novak@yahoo.com</v>
      </c>
      <c r="I38" s="2" t="s">
        <v>4055</v>
      </c>
      <c r="J38" s="9" t="str">
        <f>IFERROR(__xludf.DUMMYFUNCTION("IF(REGEXMATCH(TRIM(I38),""^[A-Za-z0-9._%+-]+@[A-Za-z0-9.-]+\.[A-Za-z]{2,}$""),""✅ Valid"",""❌ Invalid"")"),"✅ Valid")</f>
        <v>✅ Valid</v>
      </c>
      <c r="K38" s="13" t="s">
        <v>7657</v>
      </c>
      <c r="L38" s="2" t="str">
        <f>IFERROR(__xludf.DUMMYFUNCTION("IF(OR(K38=""N/A"", K38=""missing"", K38=""none""), """",
 REGEXREPLACE(
  SUBSTITUTE(SUBSTITUTE(SUBSTITUTE(TO_TEXT(K38), CHAR(160),""""), UNICHAR(8239),""""), UNICHAR(8201),""""),""[+\-/(): )]"", """"))"),"60936723")</f>
        <v>60936723</v>
      </c>
      <c r="M38" s="2" t="str">
        <f>IFERROR(__xludf.DUMMYFUNCTION("IF(L38="""","""", REGEXEXTRACT(REGEXREPLACE(L38,""x"", """"), ""[0-9]+""))"),"60936723")</f>
        <v>60936723</v>
      </c>
      <c r="N38" s="2" t="str">
        <f t="shared" ref="N38:N39" si="14">IF(LEFT(M38,2)="44", RIGHT(M38,LEN(M38)-2),M38)</f>
        <v>60936723</v>
      </c>
      <c r="O38" s="2" t="b">
        <f>IFERROR(__xludf.DUMMYFUNCTION("REGEXMATCH(TO_TEXT(N38), ""^07[1-57-9]"")"),FALSE)</f>
        <v>0</v>
      </c>
      <c r="P38" s="2">
        <f t="shared" si="11"/>
        <v>8</v>
      </c>
      <c r="Q38" s="9" t="str">
        <f t="shared" ref="Q38:Q39" si="15">IF(AND(O38=TRUE, P38=11), "✅ VALID", "❌ INVALID")</f>
        <v>❌ INVALID</v>
      </c>
      <c r="R38" s="10" t="s">
        <v>114</v>
      </c>
      <c r="S38" s="12" t="s">
        <v>6949</v>
      </c>
      <c r="T38" s="2" t="str">
        <f>IFERROR(__xludf.DUMMYFUNCTION("IF(ISNUMBER(S38),TEXT(S38,""yyyy-MM-dd""),REGEXREPLACE(REGEXREPLACE(TO_TEXT(S38),""[^0-9a-zA-Z]+"",""-""),""[^0-9]*$"",""""))"),"12-13-2024")</f>
        <v>12-13-2024</v>
      </c>
      <c r="U38" s="2" t="str">
        <f>TEXT(T38,"yyyy-MM-dd")</f>
        <v>12-13-2024</v>
      </c>
      <c r="V38" s="2" t="s">
        <v>7658</v>
      </c>
      <c r="Y38" s="10" t="s">
        <v>7658</v>
      </c>
    </row>
    <row r="39" ht="15.75" customHeight="1">
      <c r="A39" s="2" t="s">
        <v>264</v>
      </c>
      <c r="B39" s="9" t="s">
        <v>7597</v>
      </c>
      <c r="C39" s="2" t="s">
        <v>265</v>
      </c>
      <c r="D39" s="10" t="str">
        <f>IFERROR(__xludf.DUMMYFUNCTION("PROPER(REGEXREPLACE(TRIM(C39),""\s+"","" ""))"),"Omar Young")</f>
        <v>Omar Young</v>
      </c>
      <c r="E39" s="2">
        <f>IFERROR(__xludf.DUMMYFUNCTION("IF(LEN(D39:D701),
  COUNTA(SPLIT(D39:D701,"" "")),
 """")"),2.0)</f>
        <v>2</v>
      </c>
      <c r="F39" s="9" t="str">
        <f t="shared" si="9"/>
        <v>✅</v>
      </c>
      <c r="G39" s="2" t="str">
        <f>IFERROR(__xludf.DUMMYFUNCTION("REGEXEXTRACT(PROPER(SUBSTITUTE(TRIM(I39),""."","" "")),""^[^@]+"")"),"Omar Young")</f>
        <v>Omar Young</v>
      </c>
      <c r="H39" s="10" t="str">
        <f t="shared" si="10"/>
        <v>omar.young@company.co.uk</v>
      </c>
      <c r="I39" s="2" t="s">
        <v>266</v>
      </c>
      <c r="J39" s="9" t="str">
        <f>IFERROR(__xludf.DUMMYFUNCTION("IF(REGEXMATCH(TRIM(I39),""^[A-Za-z0-9._%+-]+@[A-Za-z0-9.-]+\.[A-Za-z]{2,}$""),""✅ Valid"",""❌ Invalid"")"),"✅ Valid")</f>
        <v>✅ Valid</v>
      </c>
      <c r="K39" s="13" t="s">
        <v>7659</v>
      </c>
      <c r="L39" s="2" t="str">
        <f>IFERROR(__xludf.DUMMYFUNCTION("IF(OR(K39=""N/A"", K39=""missing"", K39=""none""), """",
 REGEXREPLACE(
  SUBSTITUTE(SUBSTITUTE(SUBSTITUTE(TO_TEXT(K39), CHAR(160),""""), UNICHAR(8239),""""), UNICHAR(8201),""""),""[+\-/(): )]"", """"))"),"444128260468")</f>
        <v>444128260468</v>
      </c>
      <c r="M39" s="2" t="str">
        <f>IFERROR(__xludf.DUMMYFUNCTION("IF(L39="""","""", REGEXEXTRACT(REGEXREPLACE(L39,""x"", """"), ""[0-9]+""))"),"444128260468")</f>
        <v>444128260468</v>
      </c>
      <c r="N39" s="2" t="str">
        <f t="shared" si="14"/>
        <v>4128260468</v>
      </c>
      <c r="O39" s="2" t="b">
        <f>IFERROR(__xludf.DUMMYFUNCTION("REGEXMATCH(TO_TEXT(N39), ""^07[1-57-9]"")"),FALSE)</f>
        <v>0</v>
      </c>
      <c r="P39" s="2">
        <f t="shared" si="11"/>
        <v>10</v>
      </c>
      <c r="Q39" s="9" t="str">
        <f t="shared" si="15"/>
        <v>❌ INVALID</v>
      </c>
      <c r="R39" s="10" t="s">
        <v>114</v>
      </c>
      <c r="S39" s="12">
        <v>45477.74236111111</v>
      </c>
      <c r="T39" s="2" t="str">
        <f>IFERROR(__xludf.DUMMYFUNCTION("IF(ISNUMBER(S39),TEXT(S39,""yyyy-MM-dd""),REGEXREPLACE(REGEXREPLACE(TO_TEXT(S39),""[^0-9a-zA-Z]+"",""-""),""[^0-9]*$"",""""))"),"2024-07-04")</f>
        <v>2024-07-04</v>
      </c>
      <c r="U39" s="2" t="s">
        <v>7660</v>
      </c>
      <c r="Y39" s="10" t="s">
        <v>7660</v>
      </c>
    </row>
    <row r="40" ht="15.75" customHeight="1">
      <c r="A40" s="2" t="s">
        <v>3568</v>
      </c>
      <c r="B40" s="9" t="s">
        <v>7597</v>
      </c>
      <c r="C40" s="2" t="s">
        <v>3569</v>
      </c>
      <c r="D40" s="10" t="str">
        <f>IFERROR(__xludf.DUMMYFUNCTION("PROPER(REGEXREPLACE(TRIM(C40),""\s+"","" ""))"),"Ken Williams")</f>
        <v>Ken Williams</v>
      </c>
      <c r="E40" s="2">
        <f>IFERROR(__xludf.DUMMYFUNCTION("IF(LEN(D40:D701),
  COUNTA(SPLIT(D40:D701,"" "")),
 """")"),2.0)</f>
        <v>2</v>
      </c>
      <c r="F40" s="9" t="str">
        <f t="shared" si="9"/>
        <v>✅</v>
      </c>
      <c r="G40" s="2" t="str">
        <f>IFERROR(__xludf.DUMMYFUNCTION("REGEXEXTRACT(PROPER(SUBSTITUTE(TRIM(I40),""."","" "")),""^[^@]+"")"),"Ken Williams")</f>
        <v>Ken Williams</v>
      </c>
      <c r="H40" s="10" t="str">
        <f t="shared" si="10"/>
        <v>ken.williams@company.co.uk</v>
      </c>
      <c r="I40" s="2" t="s">
        <v>3570</v>
      </c>
      <c r="J40" s="9" t="str">
        <f>IFERROR(__xludf.DUMMYFUNCTION("IF(REGEXMATCH(TRIM(I40),""^[A-Za-z0-9._%+-]+@[A-Za-z0-9.-]+\.[A-Za-z]{2,}$""),""✅ Valid"",""❌ Invalid"")"),"✅ Valid")</f>
        <v>✅ Valid</v>
      </c>
      <c r="K40" s="13" t="s">
        <v>7661</v>
      </c>
      <c r="L40" s="2" t="str">
        <f>IFERROR(__xludf.DUMMYFUNCTION("IF(OR(K40=""N/A"", K40=""missing"", K40=""none""), """",
 REGEXREPLACE(
  SUBSTITUTE(SUBSTITUTE(SUBSTITUTE(TO_TEXT(K40), CHAR(160),""""), UNICHAR(8239),""""), UNICHAR(8201),""""),""[+\-/(): )]"", """"))"),"23x012131")</f>
        <v>23x012131</v>
      </c>
      <c r="M40" s="2" t="str">
        <f>IFERROR(__xludf.DUMMYFUNCTION("IF(L40="""","""", REGEXEXTRACT(REGEXREPLACE(L40,""x"", """"), ""[0-9]+""))"),"23012131")</f>
        <v>23012131</v>
      </c>
      <c r="N40" s="2" t="str">
        <f>IF(LEFT(M40,2)="34", RIGHT(M40,LEN(M40)-2),M40)</f>
        <v>23012131</v>
      </c>
      <c r="O40" s="2" t="b">
        <f>IFERROR(__xludf.DUMMYFUNCTION("REGEXMATCH(TO_TEXT(N40), ""^[67]"")"),FALSE)</f>
        <v>0</v>
      </c>
      <c r="P40" s="2">
        <f t="shared" si="11"/>
        <v>8</v>
      </c>
      <c r="Q40" s="9" t="str">
        <f>IF(AND(O40=TRUE, P40=9), "✅ VALID", "❌ INVALID")</f>
        <v>❌ INVALID</v>
      </c>
      <c r="R40" s="10" t="s">
        <v>139</v>
      </c>
      <c r="S40" s="12">
        <v>44835.0</v>
      </c>
      <c r="T40" s="2" t="str">
        <f>IFERROR(__xludf.DUMMYFUNCTION("IF(ISNUMBER(S40),TEXT(S40,""yyyy-MM-dd""),REGEXREPLACE(REGEXREPLACE(TO_TEXT(S40),""[^0-9a-zA-Z]+"",""-""),""[^0-9]*$"",""""))"),"2022-10-01")</f>
        <v>2022-10-01</v>
      </c>
      <c r="U40" s="2" t="s">
        <v>7662</v>
      </c>
      <c r="Y40" s="10" t="s">
        <v>7662</v>
      </c>
    </row>
    <row r="41" ht="15.75" customHeight="1">
      <c r="A41" s="2" t="s">
        <v>530</v>
      </c>
      <c r="B41" s="9" t="s">
        <v>7597</v>
      </c>
      <c r="C41" s="2" t="s">
        <v>531</v>
      </c>
      <c r="D41" s="10" t="str">
        <f>IFERROR(__xludf.DUMMYFUNCTION("PROPER(REGEXREPLACE(TRIM(C41),""\s+"","" ""))"),"Igor Dubois")</f>
        <v>Igor Dubois</v>
      </c>
      <c r="E41" s="2">
        <f>IFERROR(__xludf.DUMMYFUNCTION("IF(LEN(D41:D701),
  COUNTA(SPLIT(D41:D701,"" "")),
 """")"),2.0)</f>
        <v>2</v>
      </c>
      <c r="F41" s="9" t="str">
        <f t="shared" si="9"/>
        <v>✅</v>
      </c>
      <c r="G41" s="2" t="str">
        <f>IFERROR(__xludf.DUMMYFUNCTION("REGEXEXTRACT(PROPER(SUBSTITUTE(TRIM(I41),""."","" "")),""^[^@]+"")"),"Igor Dubois")</f>
        <v>Igor Dubois</v>
      </c>
      <c r="H41" s="10" t="str">
        <f t="shared" si="10"/>
        <v>igor.dubois@company.co.uk</v>
      </c>
      <c r="I41" s="2" t="s">
        <v>532</v>
      </c>
      <c r="J41" s="9" t="str">
        <f>IFERROR(__xludf.DUMMYFUNCTION("IF(REGEXMATCH(TRIM(I41),""^[A-Za-z0-9._%+-]+@[A-Za-z0-9.-]+\.[A-Za-z]{2,}$""),""✅ Valid"",""❌ Invalid"")"),"✅ Valid")</f>
        <v>✅ Valid</v>
      </c>
      <c r="K41" s="13" t="s">
        <v>7663</v>
      </c>
      <c r="L41" s="2" t="str">
        <f>IFERROR(__xludf.DUMMYFUNCTION("IF(OR(K41=""N/A"", K41=""missing"", K41=""none""), """",
 REGEXREPLACE(
  SUBSTITUTE(SUBSTITUTE(SUBSTITUTE(TO_TEXT(K41), CHAR(160),""""), UNICHAR(8239),""""), UNICHAR(8201),""""),""[+\-/(): )]"", """"))"),"tel1333089616")</f>
        <v>tel1333089616</v>
      </c>
      <c r="M41" s="2" t="str">
        <f>IFERROR(__xludf.DUMMYFUNCTION("IF(L41="""","""", REGEXEXTRACT(REGEXREPLACE(L41,""x"", """"), ""[0-9]+""))"),"1333089616")</f>
        <v>1333089616</v>
      </c>
      <c r="N41" s="2" t="str">
        <f>IF(LEFT(M41,1)="1", RIGHT(M41,LEN(M41)-1),M41)</f>
        <v>333089616</v>
      </c>
      <c r="O41" s="2" t="b">
        <f>IFERROR(__xludf.DUMMYFUNCTION("REGEXMATCH(TO_TEXT(N41), ""^[2-9][0-9]{9}$"")"),FALSE)</f>
        <v>0</v>
      </c>
      <c r="P41" s="2">
        <f t="shared" si="11"/>
        <v>9</v>
      </c>
      <c r="Q41" s="9" t="str">
        <f>IF(AND(O41=TRUE, P41=10), "✅ VALID", "❌ INVALID")</f>
        <v>❌ INVALID</v>
      </c>
      <c r="R41" s="10" t="s">
        <v>199</v>
      </c>
      <c r="S41" s="12">
        <v>44763.0</v>
      </c>
      <c r="T41" s="2" t="str">
        <f>IFERROR(__xludf.DUMMYFUNCTION("IF(ISNUMBER(S41),TEXT(S41,""yyyy-MM-dd""),REGEXREPLACE(REGEXREPLACE(TO_TEXT(S41),""[^0-9a-zA-Z]+"",""-""),""[^0-9]*$"",""""))"),"2022-07-21")</f>
        <v>2022-07-21</v>
      </c>
      <c r="U41" s="2" t="s">
        <v>7664</v>
      </c>
      <c r="Y41" s="10" t="s">
        <v>7664</v>
      </c>
    </row>
    <row r="42" ht="15.75" customHeight="1">
      <c r="A42" s="2" t="s">
        <v>2230</v>
      </c>
      <c r="B42" s="9" t="s">
        <v>7597</v>
      </c>
      <c r="C42" s="2" t="s">
        <v>2231</v>
      </c>
      <c r="D42" s="10" t="str">
        <f>IFERROR(__xludf.DUMMYFUNCTION("PROPER(REGEXREPLACE(TRIM(C42),""\s+"","" ""))"),"Daria Young")</f>
        <v>Daria Young</v>
      </c>
      <c r="E42" s="2">
        <f>IFERROR(__xludf.DUMMYFUNCTION("IF(LEN(D42:D701),
  COUNTA(SPLIT(D42:D701,"" "")),
 """")"),2.0)</f>
        <v>2</v>
      </c>
      <c r="F42" s="9" t="str">
        <f t="shared" si="9"/>
        <v>✅</v>
      </c>
      <c r="G42" s="2" t="str">
        <f>IFERROR(__xludf.DUMMYFUNCTION("REGEXEXTRACT(PROPER(SUBSTITUTE(TRIM(I42),""."","" "")),""^[^@]+"")"),"Daria Young")</f>
        <v>Daria Young</v>
      </c>
      <c r="H42" s="10" t="str">
        <f t="shared" si="10"/>
        <v>daria.young@comapny.co.uk</v>
      </c>
      <c r="I42" s="2" t="s">
        <v>2232</v>
      </c>
      <c r="J42" s="9" t="str">
        <f>IFERROR(__xludf.DUMMYFUNCTION("IF(REGEXMATCH(TRIM(I42),""^[A-Za-z0-9._%+-]+@[A-Za-z0-9.-]+\.[A-Za-z]{2,}$""),""✅ Valid"",""❌ Invalid"")"),"✅ Valid")</f>
        <v>✅ Valid</v>
      </c>
      <c r="K42" s="13" t="s">
        <v>7665</v>
      </c>
      <c r="L42" s="2" t="str">
        <f>IFERROR(__xludf.DUMMYFUNCTION("IF(OR(K42=""N/A"", K42=""missing"", K42=""none""), """",
 REGEXREPLACE(
  SUBSTITUTE(SUBSTITUTE(SUBSTITUTE(TO_TEXT(K42), CHAR(160),""""), UNICHAR(8239),""""), UNICHAR(8201),""""),""[+\-/(): )]"", """"))"),"0910636077")</f>
        <v>0910636077</v>
      </c>
      <c r="M42" s="2" t="str">
        <f>IFERROR(__xludf.DUMMYFUNCTION("IF(L42="""","""", REGEXEXTRACT(REGEXREPLACE(L42,""x"", """"), ""[0-9]+""))"),"0910636077")</f>
        <v>0910636077</v>
      </c>
      <c r="N42" s="2" t="str">
        <f>IF(LEFT(M42,3)="353", RIGHT(M42,LEN(M42)-3),M42)</f>
        <v>0910636077</v>
      </c>
      <c r="O42" s="2" t="b">
        <f>IFERROR(__xludf.DUMMYFUNCTION("REGEXMATCH(TO_TEXT(N42), ""^0(83|85|86|87|89)"")"),FALSE)</f>
        <v>0</v>
      </c>
      <c r="P42" s="2">
        <f t="shared" si="11"/>
        <v>10</v>
      </c>
      <c r="Q42" s="9" t="str">
        <f>IF(AND(O42=TRUE, P39=10), "✅ VALID", "❌ INVALID")</f>
        <v>❌ INVALID</v>
      </c>
      <c r="R42" s="10" t="s">
        <v>1177</v>
      </c>
      <c r="S42" s="12">
        <v>44904.0</v>
      </c>
      <c r="T42" s="2" t="str">
        <f>IFERROR(__xludf.DUMMYFUNCTION("IF(ISNUMBER(S42),TEXT(S42,""yyyy-MM-dd""),REGEXREPLACE(REGEXREPLACE(TO_TEXT(S42),""[^0-9a-zA-Z]+"",""-""),""[^0-9]*$"",""""))"),"2022-12-09")</f>
        <v>2022-12-09</v>
      </c>
      <c r="U42" s="2" t="s">
        <v>7666</v>
      </c>
      <c r="Y42" s="10" t="s">
        <v>7666</v>
      </c>
    </row>
    <row r="43" ht="15.75" customHeight="1">
      <c r="A43" s="2" t="s">
        <v>3125</v>
      </c>
      <c r="B43" s="9" t="s">
        <v>7597</v>
      </c>
      <c r="C43" s="2" t="s">
        <v>101</v>
      </c>
      <c r="D43" s="10" t="str">
        <f>IFERROR(__xludf.DUMMYFUNCTION("PROPER(REGEXREPLACE(TRIM(C43),""\s+"","" ""))"),"Sam Lopez")</f>
        <v>Sam Lopez</v>
      </c>
      <c r="E43" s="2">
        <f>IFERROR(__xludf.DUMMYFUNCTION("IF(LEN(D43:D701),
  COUNTA(SPLIT(D43:D701,"" "")),
 """")"),2.0)</f>
        <v>2</v>
      </c>
      <c r="F43" s="9" t="str">
        <f t="shared" si="9"/>
        <v>✅</v>
      </c>
      <c r="G43" s="2" t="str">
        <f>IFERROR(__xludf.DUMMYFUNCTION("REGEXEXTRACT(PROPER(SUBSTITUTE(TRIM(I43),""."","" "")),""^[^@]+"")"),"Sam Lopez")</f>
        <v>Sam Lopez</v>
      </c>
      <c r="H43" s="10" t="str">
        <f t="shared" si="10"/>
        <v>sam.lopez@gmail.com</v>
      </c>
      <c r="I43" s="2" t="s">
        <v>3126</v>
      </c>
      <c r="J43" s="9" t="str">
        <f>IFERROR(__xludf.DUMMYFUNCTION("IF(REGEXMATCH(TRIM(I43),""^[A-Za-z0-9._%+-]+@[A-Za-z0-9.-]+\.[A-Za-z]{2,}$""),""✅ Valid"",""❌ Invalid"")"),"✅ Valid")</f>
        <v>✅ Valid</v>
      </c>
      <c r="K43" s="13" t="s">
        <v>7667</v>
      </c>
      <c r="L43" s="2" t="str">
        <f>IFERROR(__xludf.DUMMYFUNCTION("IF(OR(K43=""N/A"", K43=""missing"", K43=""none""), """",
 REGEXREPLACE(
  SUBSTITUTE(SUBSTITUTE(SUBSTITUTE(TO_TEXT(K43), CHAR(160),""""), UNICHAR(8239),""""), UNICHAR(8201),""""),""[+\-/(): )]"", """"))"),"517931223")</f>
        <v>517931223</v>
      </c>
      <c r="M43" s="2" t="str">
        <f>IFERROR(__xludf.DUMMYFUNCTION("IF(L43="""","""", REGEXEXTRACT(REGEXREPLACE(L43,""x"", """"), ""[0-9]+""))"),"517931223")</f>
        <v>517931223</v>
      </c>
      <c r="N43" s="2" t="str">
        <f>IF(LEFT(M43,2)="39", RIGHT(M43,LEN(M43)-2),M43)</f>
        <v>517931223</v>
      </c>
      <c r="O43" s="2" t="b">
        <f>IFERROR(__xludf.DUMMYFUNCTION("REGEXMATCH(TO_TEXT(N43), ""^3"")"),FALSE)</f>
        <v>0</v>
      </c>
      <c r="P43" s="2">
        <f t="shared" si="11"/>
        <v>9</v>
      </c>
      <c r="Q43" s="9" t="str">
        <f>IF(AND(O43=TRUE,OR(P43=9, P43=10 )), "✅ VALID", "❌ INVALID")</f>
        <v>❌ INVALID</v>
      </c>
      <c r="R43" s="10" t="s">
        <v>785</v>
      </c>
      <c r="S43" s="12" t="s">
        <v>6839</v>
      </c>
      <c r="T43" s="2" t="str">
        <f>IFERROR(__xludf.DUMMYFUNCTION("IF(ISNUMBER(S43),TEXT(S43,""yyyy-MM-dd""),REGEXREPLACE(REGEXREPLACE(TO_TEXT(S43),""[^0-9a-zA-Z]+"",""-""),""[^0-9]*$"",""""))"),"22-01-2023")</f>
        <v>22-01-2023</v>
      </c>
      <c r="U43" s="2" t="s">
        <v>7668</v>
      </c>
      <c r="Y43" s="10" t="s">
        <v>7668</v>
      </c>
    </row>
    <row r="44" ht="15.75" customHeight="1">
      <c r="A44" s="2" t="s">
        <v>3348</v>
      </c>
      <c r="B44" s="9" t="s">
        <v>7597</v>
      </c>
      <c r="C44" s="2" t="s">
        <v>2108</v>
      </c>
      <c r="D44" s="10" t="str">
        <f>IFERROR(__xludf.DUMMYFUNCTION("PROPER(REGEXREPLACE(TRIM(C44),""\s+"","" ""))"),"Gabe Davis")</f>
        <v>Gabe Davis</v>
      </c>
      <c r="E44" s="2">
        <f>IFERROR(__xludf.DUMMYFUNCTION("IF(LEN(D44:D701),
  COUNTA(SPLIT(D44:D701,"" "")),
 """")"),2.0)</f>
        <v>2</v>
      </c>
      <c r="F44" s="9" t="str">
        <f t="shared" si="9"/>
        <v>✅</v>
      </c>
      <c r="G44" s="2" t="str">
        <f>IFERROR(__xludf.DUMMYFUNCTION("REGEXEXTRACT(PROPER(SUBSTITUTE(TRIM(I44),""."","" "")),""^[^@]+"")"),"Gabe Davis")</f>
        <v>Gabe Davis</v>
      </c>
      <c r="H44" s="10" t="str">
        <f t="shared" si="10"/>
        <v>gabe.davis@example.com</v>
      </c>
      <c r="I44" s="2" t="s">
        <v>3349</v>
      </c>
      <c r="J44" s="9" t="str">
        <f>IFERROR(__xludf.DUMMYFUNCTION("IF(REGEXMATCH(TRIM(I44),""^[A-Za-z0-9._%+-]+@[A-Za-z0-9.-]+\.[A-Za-z]{2,}$""),""✅ Valid"",""❌ Invalid"")"),"✅ Valid")</f>
        <v>✅ Valid</v>
      </c>
      <c r="K44" s="13" t="s">
        <v>7669</v>
      </c>
      <c r="L44" s="2" t="str">
        <f>IFERROR(__xludf.DUMMYFUNCTION("IF(OR(K44=""N/A"", K44=""missing"", K44=""none""), """",
 REGEXREPLACE(
  SUBSTITUTE(SUBSTITUTE(SUBSTITUTE(TO_TEXT(K44), CHAR(160),""""), UNICHAR(8239),""""), UNICHAR(8201),""""),""[+\-/(): )]"", """"))"),"440412651844")</f>
        <v>440412651844</v>
      </c>
      <c r="M44" s="2" t="str">
        <f>IFERROR(__xludf.DUMMYFUNCTION("IF(L44="""","""", REGEXEXTRACT(REGEXREPLACE(L44,""x"", """"), ""[0-9]+""))"),"440412651844")</f>
        <v>440412651844</v>
      </c>
      <c r="N44" s="2" t="str">
        <f>IF(LEFT(M44,2)="44", RIGHT(M44,LEN(M44)-2),M44)</f>
        <v>0412651844</v>
      </c>
      <c r="O44" s="2" t="b">
        <f>IFERROR(__xludf.DUMMYFUNCTION("REGEXMATCH(TO_TEXT(N44), ""^07[1-57-9]"")"),FALSE)</f>
        <v>0</v>
      </c>
      <c r="P44" s="2">
        <f t="shared" si="11"/>
        <v>10</v>
      </c>
      <c r="Q44" s="9" t="str">
        <f>IF(AND(O44=TRUE, P44=11), "✅ VALID", "❌ INVALID")</f>
        <v>❌ INVALID</v>
      </c>
      <c r="R44" s="10" t="s">
        <v>114</v>
      </c>
      <c r="S44" s="12" t="s">
        <v>7197</v>
      </c>
      <c r="T44" s="2" t="str">
        <f>IFERROR(__xludf.DUMMYFUNCTION("IF(ISNUMBER(S44),TEXT(S44,""yyyy-MM-dd""),REGEXREPLACE(REGEXREPLACE(TO_TEXT(S44),""[^0-9a-zA-Z]+"",""-""),""[^0-9]*$"",""""))"),"26-08-2025")</f>
        <v>26-08-2025</v>
      </c>
      <c r="U44" s="2" t="s">
        <v>7670</v>
      </c>
      <c r="Y44" s="10" t="s">
        <v>7670</v>
      </c>
    </row>
    <row r="45" ht="15.75" customHeight="1">
      <c r="A45" s="2" t="s">
        <v>6879</v>
      </c>
      <c r="B45" s="9" t="s">
        <v>7597</v>
      </c>
      <c r="C45" s="2" t="s">
        <v>6880</v>
      </c>
      <c r="D45" s="10" t="str">
        <f>IFERROR(__xludf.DUMMYFUNCTION("PROPER(REGEXREPLACE(TRIM(C45),""\s+"","" ""))"),"Rita Garcia")</f>
        <v>Rita Garcia</v>
      </c>
      <c r="E45" s="2">
        <f>IFERROR(__xludf.DUMMYFUNCTION("IF(LEN(D45:D701),
  COUNTA(SPLIT(D45:D701,"" "")),
 """")"),2.0)</f>
        <v>2</v>
      </c>
      <c r="F45" s="9" t="str">
        <f t="shared" si="9"/>
        <v>✅</v>
      </c>
      <c r="G45" s="2" t="str">
        <f>IFERROR(__xludf.DUMMYFUNCTION("REGEXEXTRACT(PROPER(SUBSTITUTE(TRIM(I45),""."","" "")),""^[^@]+"")"),"Rita Garcia")</f>
        <v>Rita Garcia</v>
      </c>
      <c r="H45" s="10" t="str">
        <f t="shared" si="10"/>
        <v>rita.garcia@example.com</v>
      </c>
      <c r="I45" s="2" t="s">
        <v>6881</v>
      </c>
      <c r="J45" s="9" t="str">
        <f>IFERROR(__xludf.DUMMYFUNCTION("IF(REGEXMATCH(TRIM(I45),""^[A-Za-z0-9._%+-]+@[A-Za-z0-9.-]+\.[A-Za-z]{2,}$""),""✅ Valid"",""❌ Invalid"")"),"✅ Valid")</f>
        <v>✅ Valid</v>
      </c>
      <c r="K45" s="11">
        <v>7.2548960491E10</v>
      </c>
      <c r="L45" s="2" t="str">
        <f>IFERROR(__xludf.DUMMYFUNCTION("IF(OR(K45=""N/A"", K45=""missing"", K45=""none""), """",
 REGEXREPLACE(
  SUBSTITUTE(SUBSTITUTE(SUBSTITUTE(TO_TEXT(K45), CHAR(160),""""), UNICHAR(8239),""""), UNICHAR(8201),""""),""[+\-/(): )]"", """"))"),"72548960491")</f>
        <v>72548960491</v>
      </c>
      <c r="M45" s="2" t="str">
        <f>IFERROR(__xludf.DUMMYFUNCTION("IF(L45="""","""", REGEXEXTRACT(REGEXREPLACE(L45,""x"", """"), ""[0-9]+""))"),"72548960491")</f>
        <v>72548960491</v>
      </c>
      <c r="N45" s="2" t="str">
        <f t="shared" ref="N45:N46" si="16">IF(LEFT(M45,2)="49", RIGHT(M45,LEN(M45)-2),M45)</f>
        <v>72548960491</v>
      </c>
      <c r="O45" s="2" t="b">
        <f>IFERROR(__xludf.DUMMYFUNCTION("REGEXMATCH(TO_TEXT(N45), ""^0(15|16|17)"")"),FALSE)</f>
        <v>0</v>
      </c>
      <c r="P45" s="2">
        <f t="shared" si="11"/>
        <v>11</v>
      </c>
      <c r="Q45" s="9" t="str">
        <f t="shared" ref="Q45:Q46" si="17">IF(AND(O45=TRUE,OR(P45=10, P45=11)), "✅ VALID", "❌ INVALID")</f>
        <v>❌ INVALID</v>
      </c>
      <c r="R45" s="10" t="s">
        <v>459</v>
      </c>
      <c r="S45" s="12" t="s">
        <v>6883</v>
      </c>
      <c r="T45" s="2" t="str">
        <f>IFERROR(__xludf.DUMMYFUNCTION("IF(ISNUMBER(S45),TEXT(S45,""yyyy-MM-dd""),REGEXREPLACE(REGEXREPLACE(TO_TEXT(S45),""[^0-9a-zA-Z]+"",""-""),""[^0-9]*$"",""""))"),"05-20-2024")</f>
        <v>05-20-2024</v>
      </c>
      <c r="U45" s="2" t="str">
        <f t="shared" ref="U45:U46" si="18">TEXT(T45,"yyyy-MM-dd")</f>
        <v>05-20-2024</v>
      </c>
      <c r="V45" s="2" t="s">
        <v>7671</v>
      </c>
      <c r="Y45" s="10" t="s">
        <v>7671</v>
      </c>
    </row>
    <row r="46" ht="15.75" customHeight="1">
      <c r="A46" s="2" t="s">
        <v>3704</v>
      </c>
      <c r="B46" s="9" t="s">
        <v>7597</v>
      </c>
      <c r="C46" s="2" t="s">
        <v>3705</v>
      </c>
      <c r="D46" s="10" t="str">
        <f>IFERROR(__xludf.DUMMYFUNCTION("PROPER(REGEXREPLACE(TRIM(C46),""\s+"","" ""))"),"Gabe Davis")</f>
        <v>Gabe Davis</v>
      </c>
      <c r="E46" s="2">
        <f>IFERROR(__xludf.DUMMYFUNCTION("IF(LEN(D46:D701),
  COUNTA(SPLIT(D46:D701,"" "")),
 """")"),2.0)</f>
        <v>2</v>
      </c>
      <c r="F46" s="9" t="str">
        <f t="shared" si="9"/>
        <v>✅</v>
      </c>
      <c r="G46" s="2" t="str">
        <f>IFERROR(__xludf.DUMMYFUNCTION("REGEXEXTRACT(PROPER(SUBSTITUTE(TRIM(I46),""."","" "")),""^[^@]+"")"),"Gabe Davis")</f>
        <v>Gabe Davis</v>
      </c>
      <c r="H46" s="10" t="str">
        <f t="shared" si="10"/>
        <v>gabe.davis@example.com</v>
      </c>
      <c r="I46" s="2" t="s">
        <v>3706</v>
      </c>
      <c r="J46" s="9" t="str">
        <f>IFERROR(__xludf.DUMMYFUNCTION("IF(REGEXMATCH(TRIM(I46),""^[A-Za-z0-9._%+-]+@[A-Za-z0-9.-]+\.[A-Za-z]{2,}$""),""✅ Valid"",""❌ Invalid"")"),"✅ Valid")</f>
        <v>✅ Valid</v>
      </c>
      <c r="K46" s="13" t="s">
        <v>7629</v>
      </c>
      <c r="L46" s="2" t="str">
        <f>IFERROR(__xludf.DUMMYFUNCTION("IF(OR(K46=""N/A"", K46=""missing"", K46=""none""), """",
 REGEXREPLACE(
  SUBSTITUTE(SUBSTITUTE(SUBSTITUTE(TO_TEXT(K46), CHAR(160),""""), UNICHAR(8239),""""), UNICHAR(8201),""""),""[+\-/(): )]"", """"))"),"")</f>
        <v/>
      </c>
      <c r="M46" s="2" t="str">
        <f>IFERROR(__xludf.DUMMYFUNCTION("IF(L46="""","""", REGEXEXTRACT(REGEXREPLACE(L46,""x"", """"), ""[0-9]+""))"),"")</f>
        <v/>
      </c>
      <c r="N46" s="2" t="str">
        <f t="shared" si="16"/>
        <v/>
      </c>
      <c r="O46" s="2" t="b">
        <f>IFERROR(__xludf.DUMMYFUNCTION("REGEXMATCH(TO_TEXT(N46), ""^0(15|16|17)"")"),FALSE)</f>
        <v>0</v>
      </c>
      <c r="P46" s="2">
        <f t="shared" si="11"/>
        <v>0</v>
      </c>
      <c r="Q46" s="9" t="str">
        <f t="shared" si="17"/>
        <v>❌ INVALID</v>
      </c>
      <c r="R46" s="10" t="s">
        <v>459</v>
      </c>
      <c r="S46" s="12" t="s">
        <v>7392</v>
      </c>
      <c r="T46" s="2" t="str">
        <f>IFERROR(__xludf.DUMMYFUNCTION("IF(ISNUMBER(S46),TEXT(S46,""yyyy-MM-dd""),REGEXREPLACE(REGEXREPLACE(TO_TEXT(S46),""[^0-9a-zA-Z]+"",""-""),""[^0-9]*$"",""""))"),"09-11-2022-17-56")</f>
        <v>09-11-2022-17-56</v>
      </c>
      <c r="U46" s="2" t="str">
        <f t="shared" si="18"/>
        <v>09-11-2022-17-56</v>
      </c>
      <c r="V46" s="2" t="str">
        <f>IFERROR(__xludf.DUMMYFUNCTION("REGEXEXTRACT(U46,""^\d{2}-\d{2}-\d{4}"")"),"09-11-2022")</f>
        <v>09-11-2022</v>
      </c>
      <c r="W46" s="2" t="s">
        <v>7672</v>
      </c>
      <c r="Y46" s="10" t="s">
        <v>7672</v>
      </c>
    </row>
    <row r="47" ht="15.75" customHeight="1">
      <c r="A47" s="2" t="s">
        <v>4534</v>
      </c>
      <c r="B47" s="9" t="s">
        <v>7597</v>
      </c>
      <c r="C47" s="2" t="s">
        <v>561</v>
      </c>
      <c r="D47" s="10" t="str">
        <f>IFERROR(__xludf.DUMMYFUNCTION("PROPER(REGEXREPLACE(TRIM(C47),""\s+"","" ""))"),"Omar Rodriguez")</f>
        <v>Omar Rodriguez</v>
      </c>
      <c r="E47" s="2">
        <f>IFERROR(__xludf.DUMMYFUNCTION("IF(LEN(D47:D701),
  COUNTA(SPLIT(D47:D701,"" "")),
 """")"),2.0)</f>
        <v>2</v>
      </c>
      <c r="F47" s="9" t="str">
        <f t="shared" si="9"/>
        <v>✅</v>
      </c>
      <c r="G47" s="2" t="str">
        <f>IFERROR(__xludf.DUMMYFUNCTION("REGEXEXTRACT(PROPER(SUBSTITUTE(TRIM(I47),""."","" "")),""^[^@]+"")"),"Omar Rodriguez")</f>
        <v>Omar Rodriguez</v>
      </c>
      <c r="H47" s="10" t="str">
        <f t="shared" si="10"/>
        <v>omar.rodriguez@yahoo.com</v>
      </c>
      <c r="I47" s="2" t="s">
        <v>4535</v>
      </c>
      <c r="J47" s="9" t="str">
        <f>IFERROR(__xludf.DUMMYFUNCTION("IF(REGEXMATCH(TRIM(I47),""^[A-Za-z0-9._%+-]+@[A-Za-z0-9.-]+\.[A-Za-z]{2,}$""),""✅ Valid"",""❌ Invalid"")"),"✅ Valid")</f>
        <v>✅ Valid</v>
      </c>
      <c r="K47" s="13"/>
      <c r="L47" s="2" t="str">
        <f>IFERROR(__xludf.DUMMYFUNCTION("IF(OR(K47=""N/A"", K47=""missing"", K47=""none""), """",
 REGEXREPLACE(
  SUBSTITUTE(SUBSTITUTE(SUBSTITUTE(TO_TEXT(K47), CHAR(160),""""), UNICHAR(8239),""""), UNICHAR(8201),""""),""[+\-/(): )]"", """"))"),"")</f>
        <v/>
      </c>
      <c r="M47" s="2" t="str">
        <f>IFERROR(__xludf.DUMMYFUNCTION("IF(L47="""","""", REGEXEXTRACT(REGEXREPLACE(L47,""x"", """"), ""[0-9]+""))"),"")</f>
        <v/>
      </c>
      <c r="N47" s="2" t="str">
        <f>IF(LEFT(M47,2)="33", RIGHT(M47,LEN(M47)-2),M47)</f>
        <v/>
      </c>
      <c r="O47" s="2" t="b">
        <f>IFERROR(__xludf.DUMMYFUNCTION("REGEXMATCH(TO_TEXT(N47), ""^0[67]"")"),FALSE)</f>
        <v>0</v>
      </c>
      <c r="P47" s="2">
        <f t="shared" si="11"/>
        <v>0</v>
      </c>
      <c r="Q47" s="9" t="str">
        <f t="shared" ref="Q47:Q49" si="19">IF(AND(O47=TRUE, P47=9), "✅ VALID", "❌ INVALID")</f>
        <v>❌ INVALID</v>
      </c>
      <c r="R47" s="10" t="s">
        <v>58</v>
      </c>
      <c r="S47" s="12">
        <v>45459.876388888886</v>
      </c>
      <c r="T47" s="2" t="str">
        <f>IFERROR(__xludf.DUMMYFUNCTION("IF(ISNUMBER(S47),TEXT(S47,""yyyy-MM-dd""),REGEXREPLACE(REGEXREPLACE(TO_TEXT(S47),""[^0-9a-zA-Z]+"",""-""),""[^0-9]*$"",""""))"),"2024-06-16")</f>
        <v>2024-06-16</v>
      </c>
      <c r="U47" s="2" t="s">
        <v>7673</v>
      </c>
      <c r="Y47" s="10" t="s">
        <v>7673</v>
      </c>
    </row>
    <row r="48" ht="15.75" customHeight="1">
      <c r="A48" s="2" t="s">
        <v>1969</v>
      </c>
      <c r="B48" s="9" t="s">
        <v>7597</v>
      </c>
      <c r="C48" s="2" t="s">
        <v>489</v>
      </c>
      <c r="D48" s="10" t="str">
        <f>IFERROR(__xludf.DUMMYFUNCTION("PROPER(REGEXREPLACE(TRIM(C48),""\s+"","" ""))"),"Daria Dubois")</f>
        <v>Daria Dubois</v>
      </c>
      <c r="E48" s="2">
        <f>IFERROR(__xludf.DUMMYFUNCTION("IF(LEN(D48:D701),
  COUNTA(SPLIT(D48:D701,"" "")),
 """")"),2.0)</f>
        <v>2</v>
      </c>
      <c r="F48" s="9" t="str">
        <f t="shared" si="9"/>
        <v>✅</v>
      </c>
      <c r="G48" s="2" t="str">
        <f>IFERROR(__xludf.DUMMYFUNCTION("REGEXEXTRACT(PROPER(SUBSTITUTE(TRIM(I48),""."","" "")),""^[^@]+"")"),"Daria Dubois")</f>
        <v>Daria Dubois</v>
      </c>
      <c r="H48" s="10" t="str">
        <f t="shared" si="10"/>
        <v>daria.dubois@outlook.com</v>
      </c>
      <c r="I48" s="2" t="s">
        <v>1970</v>
      </c>
      <c r="J48" s="9" t="str">
        <f>IFERROR(__xludf.DUMMYFUNCTION("IF(REGEXMATCH(TRIM(I48),""^[A-Za-z0-9._%+-]+@[A-Za-z0-9.-]+\.[A-Za-z]{2,}$""),""✅ Valid"",""❌ Invalid"")"),"✅ Valid")</f>
        <v>✅ Valid</v>
      </c>
      <c r="K48" s="15" t="s">
        <v>7674</v>
      </c>
      <c r="L48" s="2" t="str">
        <f>IFERROR(__xludf.DUMMYFUNCTION("IF(K48=""N/A"", """",
 REGEXREPLACE(
  SUBSTITUTE(SUBSTITUTE(SUBSTITUTE(TO_TEXT(K48), CHAR(160),""""), UNICHAR(8239),""""), UNICHAR(8201),""""),""[+\-/(): )]"", """"))"),"4800345674")</f>
        <v>4800345674</v>
      </c>
      <c r="M48" s="2" t="str">
        <f>IFERROR(__xludf.DUMMYFUNCTION("IF(L48="""","""", REGEXEXTRACT(REGEXREPLACE(L48,""x"", """"), ""[0-9]+""))"),"4800345674")</f>
        <v>4800345674</v>
      </c>
      <c r="N48" s="2" t="str">
        <f t="shared" ref="N48:N49" si="20">IF(LEFT(M48,2)="48", RIGHT(M48,LEN(M48)-2),M48)</f>
        <v>00345674</v>
      </c>
      <c r="O48" s="2" t="b">
        <f>IFERROR(__xludf.DUMMYFUNCTION("REGEXMATCH(TO_TEXT(N48), ""^(5[013679]|6[069]|7[2-9]|88)"")"),FALSE)</f>
        <v>0</v>
      </c>
      <c r="Q48" s="9" t="str">
        <f t="shared" si="19"/>
        <v>❌ INVALID</v>
      </c>
      <c r="R48" s="10" t="s">
        <v>25</v>
      </c>
      <c r="S48" s="12">
        <v>44934.0</v>
      </c>
      <c r="T48" s="2" t="str">
        <f>IFERROR(__xludf.DUMMYFUNCTION("IF(ISNUMBER(S48),TEXT(S48,""yyyy-MM-dd""),REGEXREPLACE(REGEXREPLACE(TO_TEXT(S48),""[^0-9a-zA-Z]+"",""-""),""[^0-9]*$"",""""))"),"2023-01-08")</f>
        <v>2023-01-08</v>
      </c>
      <c r="U48" s="2" t="s">
        <v>7675</v>
      </c>
      <c r="Y48" s="10" t="s">
        <v>7675</v>
      </c>
    </row>
    <row r="49" ht="15.75" customHeight="1">
      <c r="A49" s="2" t="s">
        <v>7307</v>
      </c>
      <c r="B49" s="9" t="s">
        <v>7597</v>
      </c>
      <c r="C49" s="2" t="s">
        <v>6304</v>
      </c>
      <c r="D49" s="10" t="str">
        <f>IFERROR(__xludf.DUMMYFUNCTION("PROPER(REGEXREPLACE(TRIM(C49),""\s+"","" ""))"),"Marek King")</f>
        <v>Marek King</v>
      </c>
      <c r="E49" s="2">
        <f>IFERROR(__xludf.DUMMYFUNCTION("IF(LEN(D49:D701),
  COUNTA(SPLIT(D49:D701,"" "")),
 """")"),2.0)</f>
        <v>2</v>
      </c>
      <c r="F49" s="9" t="str">
        <f t="shared" si="9"/>
        <v>❌</v>
      </c>
      <c r="G49" s="2" t="s">
        <v>7676</v>
      </c>
      <c r="H49" s="10" t="str">
        <f t="shared" si="10"/>
        <v>marek.knig@yahoo.com</v>
      </c>
      <c r="I49" s="2" t="s">
        <v>7308</v>
      </c>
      <c r="J49" s="9" t="str">
        <f>IFERROR(__xludf.DUMMYFUNCTION("IF(REGEXMATCH(TRIM(I49),""^[A-Za-z0-9._%+-]+@[A-Za-z0-9.-]+\.[A-Za-z]{2,}$""),""✅ Valid"",""❌ Invalid"")"),"✅ Valid")</f>
        <v>✅ Valid</v>
      </c>
      <c r="K49" s="15" t="s">
        <v>7677</v>
      </c>
      <c r="L49" s="2" t="str">
        <f>IFERROR(__xludf.DUMMYFUNCTION("IF(K49=""N/A"", """",
 REGEXREPLACE(
  SUBSTITUTE(SUBSTITUTE(SUBSTITUTE(TO_TEXT(K49), CHAR(160),""""), UNICHAR(8239),""""), UNICHAR(8201),""""),""[+\-/(): )]"", """"))"),"48536804542")</f>
        <v>48536804542</v>
      </c>
      <c r="M49" s="2" t="str">
        <f>IFERROR(__xludf.DUMMYFUNCTION("IF(L49="""","""", REGEXEXTRACT(REGEXREPLACE(L49,""x"", """"), ""[0-9]+""))"),"48536804542")</f>
        <v>48536804542</v>
      </c>
      <c r="N49" s="2" t="str">
        <f t="shared" si="20"/>
        <v>536804542</v>
      </c>
      <c r="O49" s="2" t="b">
        <f>IFERROR(__xludf.DUMMYFUNCTION("REGEXMATCH(TO_TEXT(N49), ""^(5[013679]|6[069]|7[2-9]|88)"")"),TRUE)</f>
        <v>1</v>
      </c>
      <c r="P49" s="2">
        <f t="shared" ref="P49:P55" si="21">LEN(N49)</f>
        <v>9</v>
      </c>
      <c r="Q49" s="9" t="str">
        <f t="shared" si="19"/>
        <v>✅ VALID</v>
      </c>
      <c r="R49" s="10" t="s">
        <v>25</v>
      </c>
      <c r="S49" s="12">
        <v>44845.0</v>
      </c>
      <c r="T49" s="2" t="str">
        <f>IFERROR(__xludf.DUMMYFUNCTION("IF(ISNUMBER(S49),TEXT(S49,""yyyy-MM-dd""),REGEXREPLACE(REGEXREPLACE(TO_TEXT(S49),""[^0-9a-zA-Z]+"",""-""),""[^0-9]*$"",""""))"),"2022-10-11")</f>
        <v>2022-10-11</v>
      </c>
      <c r="U49" s="2" t="s">
        <v>7678</v>
      </c>
      <c r="Y49" s="10" t="s">
        <v>7678</v>
      </c>
    </row>
    <row r="50" ht="15.75" customHeight="1">
      <c r="A50" s="2" t="s">
        <v>1645</v>
      </c>
      <c r="B50" s="9" t="s">
        <v>7597</v>
      </c>
      <c r="C50" s="2" t="s">
        <v>1646</v>
      </c>
      <c r="D50" s="10" t="str">
        <f>IFERROR(__xludf.DUMMYFUNCTION("PROPER(REGEXREPLACE(TRIM(C50),""\s+"","" ""))"),"Adam Rodriguez")</f>
        <v>Adam Rodriguez</v>
      </c>
      <c r="E50" s="2">
        <f>IFERROR(__xludf.DUMMYFUNCTION("IF(LEN(D50:D701),
  COUNTA(SPLIT(D50:D701,"" "")),
 """")"),2.0)</f>
        <v>2</v>
      </c>
      <c r="F50" s="9" t="str">
        <f t="shared" si="9"/>
        <v>✅</v>
      </c>
      <c r="G50" s="2" t="str">
        <f>IFERROR(__xludf.DUMMYFUNCTION("REGEXEXTRACT(PROPER(SUBSTITUTE(TRIM(I50),""."","" "")),""^[^@]+"")"),"Adam Rodriguez")</f>
        <v>Adam Rodriguez</v>
      </c>
      <c r="H50" s="10" t="str">
        <f t="shared" si="10"/>
        <v>adam.rodriguez@company.co.uk</v>
      </c>
      <c r="I50" s="2" t="s">
        <v>1647</v>
      </c>
      <c r="J50" s="9" t="str">
        <f>IFERROR(__xludf.DUMMYFUNCTION("IF(REGEXMATCH(TRIM(I50),""^[A-Za-z0-9._%+-]+@[A-Za-z0-9.-]+\.[A-Za-z]{2,}$""),""✅ Valid"",""❌ Invalid"")"),"✅ Valid")</f>
        <v>✅ Valid</v>
      </c>
      <c r="K50" s="13" t="s">
        <v>7679</v>
      </c>
      <c r="L50" s="2" t="str">
        <f>IFERROR(__xludf.DUMMYFUNCTION("IF(OR(K50=""N/A"", K50=""missing"", K50=""none""), """",
 REGEXREPLACE(
  SUBSTITUTE(SUBSTITUTE(SUBSTITUTE(TO_TEXT(K50), CHAR(160),""""), UNICHAR(8239),""""), UNICHAR(8201),""""),""[+\-/(): )]"", """"))"),"4431999489823")</f>
        <v>4431999489823</v>
      </c>
      <c r="M50" s="2" t="str">
        <f>IFERROR(__xludf.DUMMYFUNCTION("IF(L50="""","""", REGEXEXTRACT(REGEXREPLACE(L50,""x"", """"), ""[0-9]+""))"),"4431999489823")</f>
        <v>4431999489823</v>
      </c>
      <c r="N50" s="2" t="str">
        <f>IF(LEFT(M50,2)="44", RIGHT(M50,LEN(M50)-2),M50)</f>
        <v>31999489823</v>
      </c>
      <c r="O50" s="2" t="b">
        <f>IFERROR(__xludf.DUMMYFUNCTION("REGEXMATCH(TO_TEXT(N50), ""^07[1-57-9]"")"),FALSE)</f>
        <v>0</v>
      </c>
      <c r="P50" s="2">
        <f t="shared" si="21"/>
        <v>11</v>
      </c>
      <c r="Q50" s="9" t="str">
        <f>IF(AND(O50=TRUE, P50=11), "✅ VALID", "❌ INVALID")</f>
        <v>❌ INVALID</v>
      </c>
      <c r="R50" s="10" t="s">
        <v>114</v>
      </c>
      <c r="S50" s="12">
        <v>45161.0</v>
      </c>
      <c r="T50" s="2" t="str">
        <f>IFERROR(__xludf.DUMMYFUNCTION("IF(ISNUMBER(S50),TEXT(S50,""yyyy-MM-dd""),REGEXREPLACE(REGEXREPLACE(TO_TEXT(S50),""[^0-9a-zA-Z]+"",""-""),""[^0-9]*$"",""""))"),"2023-08-23")</f>
        <v>2023-08-23</v>
      </c>
      <c r="U50" s="2" t="s">
        <v>7680</v>
      </c>
      <c r="Y50" s="10" t="s">
        <v>7680</v>
      </c>
    </row>
    <row r="51" ht="15.75" customHeight="1">
      <c r="A51" s="2" t="s">
        <v>1481</v>
      </c>
      <c r="B51" s="9" t="s">
        <v>7597</v>
      </c>
      <c r="C51" s="2" t="s">
        <v>1482</v>
      </c>
      <c r="D51" s="10" t="str">
        <f>IFERROR(__xludf.DUMMYFUNCTION("PROPER(REGEXREPLACE(TRIM(C51),""\s+"","" ""))"),"Hanna Muller")</f>
        <v>Hanna Muller</v>
      </c>
      <c r="E51" s="2">
        <f>IFERROR(__xludf.DUMMYFUNCTION("IF(LEN(D51:D701),
  COUNTA(SPLIT(D51:D701,"" "")),
 """")"),2.0)</f>
        <v>2</v>
      </c>
      <c r="F51" s="9" t="str">
        <f t="shared" si="9"/>
        <v>✅</v>
      </c>
      <c r="G51" s="2" t="str">
        <f>IFERROR(__xludf.DUMMYFUNCTION("REGEXEXTRACT(PROPER(SUBSTITUTE(TRIM(I51),""."","" "")),""^[^@]+"")"),"Hanna Muller")</f>
        <v>Hanna Muller</v>
      </c>
      <c r="H51" s="10" t="str">
        <f t="shared" si="10"/>
        <v>hanna.muller@shop.io</v>
      </c>
      <c r="I51" s="2" t="s">
        <v>1483</v>
      </c>
      <c r="J51" s="9" t="str">
        <f>IFERROR(__xludf.DUMMYFUNCTION("IF(REGEXMATCH(TRIM(I51),""^[A-Za-z0-9._%+-]+@[A-Za-z0-9.-]+\.[A-Za-z]{2,}$""),""✅ Valid"",""❌ Invalid"")"),"✅ Valid")</f>
        <v>✅ Valid</v>
      </c>
      <c r="K51" s="13" t="s">
        <v>7681</v>
      </c>
      <c r="L51" s="2" t="str">
        <f>IFERROR(__xludf.DUMMYFUNCTION("IF(OR(K51=""N/A"", K51=""missing"", K51=""none""), """",
 REGEXREPLACE(
  SUBSTITUTE(SUBSTITUTE(SUBSTITUTE(TO_TEXT(K51), CHAR(160),""""), UNICHAR(8239),""""), UNICHAR(8201),""""),""[+\-/(): )]"", """"))"),"3534154199207")</f>
        <v>3534154199207</v>
      </c>
      <c r="M51" s="2" t="str">
        <f>IFERROR(__xludf.DUMMYFUNCTION("IF(L51="""","""", REGEXEXTRACT(REGEXREPLACE(L51,""x"", """"), ""[0-9]+""))"),"3534154199207")</f>
        <v>3534154199207</v>
      </c>
      <c r="N51" s="2" t="str">
        <f>IF(LEFT(M51,3)="353", RIGHT(M51,LEN(M51)-3),M51)</f>
        <v>4154199207</v>
      </c>
      <c r="O51" s="2" t="b">
        <f>IFERROR(__xludf.DUMMYFUNCTION("REGEXMATCH(TO_TEXT(N51), ""^0(83|85|86|87|89)"")"),FALSE)</f>
        <v>0</v>
      </c>
      <c r="P51" s="2">
        <f t="shared" si="21"/>
        <v>10</v>
      </c>
      <c r="Q51" s="9" t="str">
        <f>IF(AND(O51=TRUE, P48=10), "✅ VALID", "❌ INVALID")</f>
        <v>❌ INVALID</v>
      </c>
      <c r="R51" s="10" t="s">
        <v>1177</v>
      </c>
      <c r="S51" s="12">
        <v>45501.0</v>
      </c>
      <c r="T51" s="2" t="str">
        <f>IFERROR(__xludf.DUMMYFUNCTION("IF(ISNUMBER(S51),TEXT(S51,""yyyy-MM-dd""),REGEXREPLACE(REGEXREPLACE(TO_TEXT(S51),""[^0-9a-zA-Z]+"",""-""),""[^0-9]*$"",""""))"),"2024-07-28")</f>
        <v>2024-07-28</v>
      </c>
      <c r="U51" s="2" t="s">
        <v>7682</v>
      </c>
      <c r="Y51" s="10" t="s">
        <v>7682</v>
      </c>
    </row>
    <row r="52" ht="15.75" customHeight="1">
      <c r="A52" s="2" t="s">
        <v>5078</v>
      </c>
      <c r="B52" s="9" t="s">
        <v>7597</v>
      </c>
      <c r="C52" s="2" t="s">
        <v>5079</v>
      </c>
      <c r="D52" s="10" t="str">
        <f>IFERROR(__xludf.DUMMYFUNCTION("PROPER(REGEXREPLACE(TRIM(C52),""\s+"","" ""))"),"Gabe Kowalczyk")</f>
        <v>Gabe Kowalczyk</v>
      </c>
      <c r="E52" s="2">
        <f>IFERROR(__xludf.DUMMYFUNCTION("IF(LEN(D52:D701),
  COUNTA(SPLIT(D52:D701,"" "")),
 """")"),2.0)</f>
        <v>2</v>
      </c>
      <c r="F52" s="9" t="str">
        <f t="shared" si="9"/>
        <v>✅</v>
      </c>
      <c r="G52" s="2" t="str">
        <f>IFERROR(__xludf.DUMMYFUNCTION("REGEXEXTRACT(PROPER(SUBSTITUTE(TRIM(I52),""."","" "")),""^[^@]+"")"),"Gabe Kowalczyk")</f>
        <v>Gabe Kowalczyk</v>
      </c>
      <c r="H52" s="10" t="str">
        <f t="shared" si="10"/>
        <v>gabe.kowalczyk@company.co.uk</v>
      </c>
      <c r="I52" s="2" t="s">
        <v>6572</v>
      </c>
      <c r="J52" s="9" t="str">
        <f>IFERROR(__xludf.DUMMYFUNCTION("IF(REGEXMATCH(TRIM(I52),""^[A-Za-z0-9._%+-]+@[A-Za-z0-9.-]+\.[A-Za-z]{2,}$""),""✅ Valid"",""❌ Invalid"")"),"✅ Valid")</f>
        <v>✅ Valid</v>
      </c>
      <c r="K52" s="13" t="s">
        <v>7683</v>
      </c>
      <c r="L52" s="2" t="str">
        <f>IFERROR(__xludf.DUMMYFUNCTION("IF(OR(K52=""N/A"", K52=""missing"", K52=""none""), """",
 REGEXREPLACE(
  SUBSTITUTE(SUBSTITUTE(SUBSTITUTE(TO_TEXT(K52), CHAR(160),""""), UNICHAR(8239),""""), UNICHAR(8201),""""),""[+\-/(): )]"", """"))"),"44022681094")</f>
        <v>44022681094</v>
      </c>
      <c r="M52" s="2" t="str">
        <f>IFERROR(__xludf.DUMMYFUNCTION("IF(L52="""","""", REGEXEXTRACT(REGEXREPLACE(L52,""x"", """"), ""[0-9]+""))"),"44022681094")</f>
        <v>44022681094</v>
      </c>
      <c r="N52" s="2" t="str">
        <f>IF(LEFT(M52,2)="44", RIGHT(M52,LEN(M52)-2),M52)</f>
        <v>022681094</v>
      </c>
      <c r="O52" s="2" t="b">
        <f>IFERROR(__xludf.DUMMYFUNCTION("REGEXMATCH(TO_TEXT(N52), ""^07[1-57-9]"")"),FALSE)</f>
        <v>0</v>
      </c>
      <c r="P52" s="2">
        <f t="shared" si="21"/>
        <v>9</v>
      </c>
      <c r="Q52" s="9" t="str">
        <f>IF(AND(O52=TRUE, P52=11), "✅ VALID", "❌ INVALID")</f>
        <v>❌ INVALID</v>
      </c>
      <c r="R52" s="10" t="s">
        <v>114</v>
      </c>
      <c r="S52" s="12" t="s">
        <v>6573</v>
      </c>
      <c r="T52" s="2" t="str">
        <f>IFERROR(__xludf.DUMMYFUNCTION("IF(ISNUMBER(S52),TEXT(S52,""yyyy-MM-dd""),REGEXREPLACE(REGEXREPLACE(TO_TEXT(S52),""[^0-9a-zA-Z]+"",""-""),""[^0-9]*$"",""""))"),"01-17-2023-22-49")</f>
        <v>01-17-2023-22-49</v>
      </c>
      <c r="U52" s="2" t="str">
        <f>TEXT(T52,"yyyy-MM-dd")</f>
        <v>01-17-2023-22-49</v>
      </c>
      <c r="V52" s="2" t="str">
        <f>IFERROR(__xludf.DUMMYFUNCTION("REGEXEXTRACT(U52,""^\d{2}-\d{2}-\d{4}"")"),"01-17-2023")</f>
        <v>01-17-2023</v>
      </c>
      <c r="W52" s="2" t="str">
        <f>TEXT(V52,"yyyy-MM-dd")</f>
        <v>01-17-2023</v>
      </c>
      <c r="X52" s="2" t="s">
        <v>6621</v>
      </c>
      <c r="Y52" s="10" t="s">
        <v>6621</v>
      </c>
    </row>
    <row r="53" ht="15.75" customHeight="1">
      <c r="A53" s="2" t="s">
        <v>5497</v>
      </c>
      <c r="B53" s="9" t="s">
        <v>7597</v>
      </c>
      <c r="C53" s="2" t="s">
        <v>5498</v>
      </c>
      <c r="D53" s="10" t="str">
        <f>IFERROR(__xludf.DUMMYFUNCTION("PROPER(REGEXREPLACE(TRIM(C53),""\s+"","" ""))"),"Omar Novak")</f>
        <v>Omar Novak</v>
      </c>
      <c r="E53" s="2">
        <f>IFERROR(__xludf.DUMMYFUNCTION("IF(LEN(D53:D701),
  COUNTA(SPLIT(D53:D701,"" "")),
 """")"),2.0)</f>
        <v>2</v>
      </c>
      <c r="F53" s="9" t="str">
        <f t="shared" si="9"/>
        <v>✅</v>
      </c>
      <c r="G53" s="2" t="str">
        <f>IFERROR(__xludf.DUMMYFUNCTION("REGEXEXTRACT(PROPER(SUBSTITUTE(TRIM(I53),""."","" "")),""^[^@]+"")"),"Omar Novak")</f>
        <v>Omar Novak</v>
      </c>
      <c r="H53" s="10" t="str">
        <f t="shared" si="10"/>
        <v>omar.novak@yahoo.com</v>
      </c>
      <c r="I53" s="2" t="s">
        <v>5499</v>
      </c>
      <c r="J53" s="9" t="str">
        <f>IFERROR(__xludf.DUMMYFUNCTION("IF(REGEXMATCH(TRIM(I53),""^[A-Za-z0-9._%+-]+@[A-Za-z0-9.-]+\.[A-Za-z]{2,}$""),""✅ Valid"",""❌ Invalid"")"),"✅ Valid")</f>
        <v>✅ Valid</v>
      </c>
      <c r="K53" s="13" t="s">
        <v>7684</v>
      </c>
      <c r="L53" s="2" t="str">
        <f>IFERROR(__xludf.DUMMYFUNCTION("IF(OR(K53=""N/A"", K53=""missing"", K53=""none""), """",
 REGEXREPLACE(
  SUBSTITUTE(SUBSTITUTE(SUBSTITUTE(TO_TEXT(K53), CHAR(160),""""), UNICHAR(8239),""""), UNICHAR(8201),""""),""[+\-/(): )]"", """"))"),"175558712905")</f>
        <v>175558712905</v>
      </c>
      <c r="M53" s="2" t="str">
        <f>IFERROR(__xludf.DUMMYFUNCTION("IF(L53="""","""", REGEXEXTRACT(REGEXREPLACE(L53,""x"", """"), ""[0-9]+""))"),"175558712905")</f>
        <v>175558712905</v>
      </c>
      <c r="N53" s="2" t="str">
        <f>IF(LEFT(M53,1)="1", RIGHT(M53,LEN(M53)-1),M53)</f>
        <v>75558712905</v>
      </c>
      <c r="O53" s="2" t="b">
        <f>IFERROR(__xludf.DUMMYFUNCTION("REGEXMATCH(TO_TEXT(N53), ""^[2-9][0-9]{9}$"")"),FALSE)</f>
        <v>0</v>
      </c>
      <c r="P53" s="2">
        <f t="shared" si="21"/>
        <v>11</v>
      </c>
      <c r="Q53" s="9" t="str">
        <f>IF(AND(O53=TRUE, P53=10), "✅ VALID", "❌ INVALID")</f>
        <v>❌ INVALID</v>
      </c>
      <c r="R53" s="10" t="s">
        <v>199</v>
      </c>
      <c r="S53" s="12">
        <v>44786.0</v>
      </c>
      <c r="T53" s="2" t="str">
        <f>IFERROR(__xludf.DUMMYFUNCTION("IF(ISNUMBER(S53),TEXT(S53,""yyyy-MM-dd""),REGEXREPLACE(REGEXREPLACE(TO_TEXT(S53),""[^0-9a-zA-Z]+"",""-""),""[^0-9]*$"",""""))"),"2022-08-13")</f>
        <v>2022-08-13</v>
      </c>
      <c r="U53" s="2" t="s">
        <v>6607</v>
      </c>
      <c r="Y53" s="10" t="s">
        <v>6607</v>
      </c>
    </row>
    <row r="54" ht="15.75" customHeight="1">
      <c r="A54" s="2" t="s">
        <v>1534</v>
      </c>
      <c r="B54" s="9" t="s">
        <v>7597</v>
      </c>
      <c r="C54" s="2" t="s">
        <v>4563</v>
      </c>
      <c r="D54" s="10" t="str">
        <f>IFERROR(__xludf.DUMMYFUNCTION("PROPER(REGEXREPLACE(TRIM(C54),""\s+"","" ""))"),"Zack Kowalczyk")</f>
        <v>Zack Kowalczyk</v>
      </c>
      <c r="E54" s="2">
        <f>IFERROR(__xludf.DUMMYFUNCTION("IF(LEN(D54:D701),
  COUNTA(SPLIT(D54:D701,"" "")),
 """")"),2.0)</f>
        <v>2</v>
      </c>
      <c r="F54" s="9" t="str">
        <f t="shared" si="9"/>
        <v>✅</v>
      </c>
      <c r="G54" s="2" t="str">
        <f>IFERROR(__xludf.DUMMYFUNCTION("REGEXEXTRACT(PROPER(SUBSTITUTE(TRIM(I54),""."","" "")),""^[^@]+"")"),"Zack Kowalczyk")</f>
        <v>Zack Kowalczyk</v>
      </c>
      <c r="H54" s="10" t="str">
        <f t="shared" si="10"/>
        <v>zack.kowalczyk@company.co.uk</v>
      </c>
      <c r="I54" s="2" t="s">
        <v>1536</v>
      </c>
      <c r="J54" s="9" t="str">
        <f>IFERROR(__xludf.DUMMYFUNCTION("IF(REGEXMATCH(TRIM(I54),""^[A-Za-z0-9._%+-]+@[A-Za-z0-9.-]+\.[A-Za-z]{2,}$""),""✅ Valid"",""❌ Invalid"")"),"✅ Valid")</f>
        <v>✅ Valid</v>
      </c>
      <c r="K54" s="13" t="s">
        <v>7685</v>
      </c>
      <c r="L54" s="2" t="str">
        <f>IFERROR(__xludf.DUMMYFUNCTION("IF(OR(K54=""N/A"", K54=""missing"", K54=""none""), """",
 REGEXREPLACE(
  SUBSTITUTE(SUBSTITUTE(SUBSTITUTE(TO_TEXT(K54), CHAR(160),""""), UNICHAR(8239),""""), UNICHAR(8201),""""),""[+\-/(): )]"", """"))"),"tel39442504542")</f>
        <v>tel39442504542</v>
      </c>
      <c r="M54" s="2" t="str">
        <f>IFERROR(__xludf.DUMMYFUNCTION("IF(L54="""","""", REGEXEXTRACT(REGEXREPLACE(L54,""x"", """"), ""[0-9]+""))"),"39442504542")</f>
        <v>39442504542</v>
      </c>
      <c r="N54" s="2" t="str">
        <f>IF(LEFT(M54,2)="39", RIGHT(M54,LEN(M54)-2),M54)</f>
        <v>442504542</v>
      </c>
      <c r="O54" s="2" t="b">
        <f>IFERROR(__xludf.DUMMYFUNCTION("REGEXMATCH(TO_TEXT(N54), ""^3"")"),FALSE)</f>
        <v>0</v>
      </c>
      <c r="P54" s="2">
        <f t="shared" si="21"/>
        <v>9</v>
      </c>
      <c r="Q54" s="9" t="str">
        <f>IF(AND(O54=TRUE,OR(P54=9, P54=10 )), "✅ VALID", "❌ INVALID")</f>
        <v>❌ INVALID</v>
      </c>
      <c r="R54" s="10" t="s">
        <v>785</v>
      </c>
      <c r="S54" s="12">
        <v>44852.0</v>
      </c>
      <c r="T54" s="2" t="str">
        <f>IFERROR(__xludf.DUMMYFUNCTION("IF(ISNUMBER(S54),TEXT(S54,""yyyy-MM-dd""),REGEXREPLACE(REGEXREPLACE(TO_TEXT(S54),""[^0-9a-zA-Z]+"",""-""),""[^0-9]*$"",""""))"),"2022-10-18")</f>
        <v>2022-10-18</v>
      </c>
      <c r="U54" s="2" t="s">
        <v>6568</v>
      </c>
      <c r="Y54" s="10" t="s">
        <v>6568</v>
      </c>
    </row>
    <row r="55" ht="15.75" customHeight="1">
      <c r="A55" s="2" t="s">
        <v>4238</v>
      </c>
      <c r="B55" s="9" t="s">
        <v>7597</v>
      </c>
      <c r="C55" s="2" t="s">
        <v>4239</v>
      </c>
      <c r="D55" s="10" t="str">
        <f>IFERROR(__xludf.DUMMYFUNCTION("PROPER(REGEXREPLACE(TRIM(C55),""\s+"","" ""))"),"Qi Martinez")</f>
        <v>Qi Martinez</v>
      </c>
      <c r="E55" s="2">
        <f>IFERROR(__xludf.DUMMYFUNCTION("IF(LEN(D55:D701),
  COUNTA(SPLIT(D55:D701,"" "")),
 """")"),2.0)</f>
        <v>2</v>
      </c>
      <c r="F55" s="9" t="str">
        <f t="shared" si="9"/>
        <v>✅</v>
      </c>
      <c r="G55" s="2" t="str">
        <f>IFERROR(__xludf.DUMMYFUNCTION("REGEXEXTRACT(PROPER(SUBSTITUTE(TRIM(I55),""."","" "")),""^[^@]+"")"),"Qi Martinez")</f>
        <v>Qi Martinez</v>
      </c>
      <c r="H55" s="10" t="str">
        <f t="shared" si="10"/>
        <v>qi.martinez@yahoo.com</v>
      </c>
      <c r="I55" s="2" t="s">
        <v>4240</v>
      </c>
      <c r="J55" s="9" t="str">
        <f>IFERROR(__xludf.DUMMYFUNCTION("IF(REGEXMATCH(TRIM(I55),""^[A-Za-z0-9._%+-]+@[A-Za-z0-9.-]+\.[A-Za-z]{2,}$""),""✅ Valid"",""❌ Invalid"")"),"✅ Valid")</f>
        <v>✅ Valid</v>
      </c>
      <c r="K55" s="13" t="s">
        <v>7686</v>
      </c>
      <c r="L55" s="2" t="str">
        <f>IFERROR(__xludf.DUMMYFUNCTION("IF(OR(K55=""N/A"", K55=""missing"", K55=""none""), """",
 REGEXREPLACE(
  SUBSTITUTE(SUBSTITUTE(SUBSTITUTE(TO_TEXT(K55), CHAR(160),""""), UNICHAR(8239),""""), UNICHAR(8201),""""),""[+\-/(): )]"", """"))"),"49176536364")</f>
        <v>49176536364</v>
      </c>
      <c r="M55" s="2" t="str">
        <f>IFERROR(__xludf.DUMMYFUNCTION("IF(L55="""","""", REGEXEXTRACT(REGEXREPLACE(L55,""x"", """"), ""[0-9]+""))"),"49176536364")</f>
        <v>49176536364</v>
      </c>
      <c r="N55" s="2" t="str">
        <f>IF(LEFT(M55,2)="49", RIGHT(M55,LEN(M55)-2),M55)</f>
        <v>176536364</v>
      </c>
      <c r="O55" s="2" t="b">
        <f>IFERROR(__xludf.DUMMYFUNCTION("REGEXMATCH(TO_TEXT(N55), ""^0(15|16|17)"")"),FALSE)</f>
        <v>0</v>
      </c>
      <c r="P55" s="2">
        <f t="shared" si="21"/>
        <v>9</v>
      </c>
      <c r="Q55" s="9" t="str">
        <f>IF(AND(O55=TRUE,OR(P55=10, P55=11)), "✅ VALID", "❌ INVALID")</f>
        <v>❌ INVALID</v>
      </c>
      <c r="R55" s="10" t="s">
        <v>459</v>
      </c>
      <c r="S55" s="12">
        <v>45497.40069444444</v>
      </c>
      <c r="T55" s="2" t="str">
        <f>IFERROR(__xludf.DUMMYFUNCTION("IF(ISNUMBER(S55),TEXT(S55,""yyyy-MM-dd""),REGEXREPLACE(REGEXREPLACE(TO_TEXT(S55),""[^0-9a-zA-Z]+"",""-""),""[^0-9]*$"",""""))"),"2024-07-24")</f>
        <v>2024-07-24</v>
      </c>
      <c r="U55" s="2" t="s">
        <v>7687</v>
      </c>
      <c r="Y55" s="10" t="s">
        <v>7687</v>
      </c>
    </row>
    <row r="56" ht="15.75" customHeight="1">
      <c r="A56" s="2" t="s">
        <v>1282</v>
      </c>
      <c r="B56" s="9" t="s">
        <v>7597</v>
      </c>
      <c r="C56" s="2" t="s">
        <v>1283</v>
      </c>
      <c r="D56" s="10" t="str">
        <f>IFERROR(__xludf.DUMMYFUNCTION("PROPER(REGEXREPLACE(TRIM(C56),""\s+"","" ""))"),"Xenia Rossi")</f>
        <v>Xenia Rossi</v>
      </c>
      <c r="E56" s="2">
        <f>IFERROR(__xludf.DUMMYFUNCTION("IF(LEN(D56:D701),
  COUNTA(SPLIT(D56:D701,"" "")),
 """")"),2.0)</f>
        <v>2</v>
      </c>
      <c r="F56" s="9" t="str">
        <f t="shared" si="9"/>
        <v>✅</v>
      </c>
      <c r="G56" s="2" t="str">
        <f>IFERROR(__xludf.DUMMYFUNCTION("REGEXEXTRACT(PROPER(SUBSTITUTE(TRIM(I56),""."","" "")),""^[^@]+"")"),"Xenia Rossi")</f>
        <v>Xenia Rossi</v>
      </c>
      <c r="H56" s="10" t="str">
        <f t="shared" si="10"/>
        <v>xenia.rossi@company.co.uk</v>
      </c>
      <c r="I56" s="2" t="s">
        <v>1284</v>
      </c>
      <c r="J56" s="9" t="str">
        <f>IFERROR(__xludf.DUMMYFUNCTION("IF(REGEXMATCH(TRIM(I56),""^[A-Za-z0-9._%+-]+@[A-Za-z0-9.-]+\.[A-Za-z]{2,}$""),""✅ Valid"",""❌ Invalid"")"),"✅ Valid")</f>
        <v>✅ Valid</v>
      </c>
      <c r="K56" s="15" t="s">
        <v>7688</v>
      </c>
      <c r="L56" s="2" t="str">
        <f>IFERROR(__xludf.DUMMYFUNCTION("IF(K56=""N/A"", """",
 REGEXREPLACE(
  SUBSTITUTE(SUBSTITUTE(SUBSTITUTE(TO_TEXT(K56), CHAR(160),""""), UNICHAR(8239),""""), UNICHAR(8201),""""),""[+\-/(): )]"", """"))"),"48196677212")</f>
        <v>48196677212</v>
      </c>
      <c r="M56" s="2" t="str">
        <f>IFERROR(__xludf.DUMMYFUNCTION("IF(L56="""","""", REGEXEXTRACT(REGEXREPLACE(L56,""x"", """"), ""[0-9]+""))"),"48196677212")</f>
        <v>48196677212</v>
      </c>
      <c r="N56" s="2" t="str">
        <f>IF(LEFT(M56,2)="48", RIGHT(M56,LEN(M56)-2),M56)</f>
        <v>196677212</v>
      </c>
      <c r="O56" s="2" t="b">
        <f>IFERROR(__xludf.DUMMYFUNCTION("REGEXMATCH(TO_TEXT(N56), ""^(5[013679]|6[069]|7[2-9]|88)"")"),FALSE)</f>
        <v>0</v>
      </c>
      <c r="Q56" s="9" t="str">
        <f>IF(AND(O56=TRUE, P56=9), "✅ VALID", "❌ INVALID")</f>
        <v>❌ INVALID</v>
      </c>
      <c r="R56" s="10" t="s">
        <v>25</v>
      </c>
      <c r="S56" s="12">
        <v>45233.0</v>
      </c>
      <c r="T56" s="2" t="str">
        <f>IFERROR(__xludf.DUMMYFUNCTION("IF(ISNUMBER(S56),TEXT(S56,""yyyy-MM-dd""),REGEXREPLACE(REGEXREPLACE(TO_TEXT(S56),""[^0-9a-zA-Z]+"",""-""),""[^0-9]*$"",""""))"),"2023-11-03")</f>
        <v>2023-11-03</v>
      </c>
      <c r="U56" s="2" t="s">
        <v>6522</v>
      </c>
      <c r="Y56" s="10" t="s">
        <v>6522</v>
      </c>
    </row>
    <row r="57" ht="15.75" hidden="1" customHeight="1">
      <c r="A57" s="2" t="s">
        <v>1913</v>
      </c>
      <c r="B57" s="9" t="s">
        <v>7597</v>
      </c>
      <c r="C57" s="2" t="s">
        <v>1914</v>
      </c>
      <c r="D57" s="2" t="str">
        <f>IFERROR(__xludf.DUMMYFUNCTION("PROPER(REGEXREPLACE(TRIM(C57),""\s+"","" ""))"),"Jade Loepz")</f>
        <v>Jade Loepz</v>
      </c>
      <c r="E57" s="2">
        <f>IFERROR(__xludf.DUMMYFUNCTION("IF(LEN(D57:D701),
  COUNTA(SPLIT(D57:D701,"" "")),
 """")"),2.0)</f>
        <v>2</v>
      </c>
      <c r="K57" s="2" t="s">
        <v>1915</v>
      </c>
      <c r="R57" s="10" t="s">
        <v>785</v>
      </c>
      <c r="S57" s="2" t="s">
        <v>6544</v>
      </c>
    </row>
    <row r="58" ht="15.75" customHeight="1">
      <c r="A58" s="2" t="s">
        <v>195</v>
      </c>
      <c r="B58" s="9" t="s">
        <v>7597</v>
      </c>
      <c r="C58" s="2" t="s">
        <v>196</v>
      </c>
      <c r="D58" s="10" t="str">
        <f>IFERROR(__xludf.DUMMYFUNCTION("PROPER(REGEXREPLACE(TRIM(C58),""\s+"","" ""))"),"Zack Muller")</f>
        <v>Zack Muller</v>
      </c>
      <c r="E58" s="2">
        <f>IFERROR(__xludf.DUMMYFUNCTION("IF(LEN(D58:D701),
  COUNTA(SPLIT(D58:D701,"" "")),
 """")"),2.0)</f>
        <v>2</v>
      </c>
      <c r="F58" s="9" t="str">
        <f t="shared" ref="F58:F73" si="22">IF(D58=G58,"✅","❌")</f>
        <v>✅</v>
      </c>
      <c r="G58" s="2" t="str">
        <f>IFERROR(__xludf.DUMMYFUNCTION("REGEXEXTRACT(PROPER(SUBSTITUTE(TRIM(I58),""."","" "")),""^[^@]+"")"),"Zack Muller")</f>
        <v>Zack Muller</v>
      </c>
      <c r="H58" s="10" t="str">
        <f t="shared" ref="H58:H73" si="23">LOWER(TRIM(I58))</f>
        <v>zack.muller@shop.io</v>
      </c>
      <c r="I58" s="2" t="s">
        <v>197</v>
      </c>
      <c r="J58" s="9" t="str">
        <f>IFERROR(__xludf.DUMMYFUNCTION("IF(REGEXMATCH(TRIM(I58),""^[A-Za-z0-9._%+-]+@[A-Za-z0-9.-]+\.[A-Za-z]{2,}$""),""✅ Valid"",""❌ Invalid"")"),"✅ Valid")</f>
        <v>✅ Valid</v>
      </c>
      <c r="K58" s="13" t="s">
        <v>7689</v>
      </c>
      <c r="L58" s="2" t="str">
        <f>IFERROR(__xludf.DUMMYFUNCTION("IF(OR(K58=""N/A"", K58=""missing"", K58=""none""), """",
 REGEXREPLACE(
  SUBSTITUTE(SUBSTITUTE(SUBSTITUTE(TO_TEXT(K58), CHAR(160),""""), UNICHAR(8239),""""), UNICHAR(8201),""""),""[+\-/(): )]"", """"))"),"155446009220")</f>
        <v>155446009220</v>
      </c>
      <c r="M58" s="2" t="str">
        <f>IFERROR(__xludf.DUMMYFUNCTION("IF(L58="""","""", REGEXEXTRACT(REGEXREPLACE(L58,""x"", """"), ""[0-9]+""))"),"155446009220")</f>
        <v>155446009220</v>
      </c>
      <c r="N58" s="2" t="str">
        <f>IF(LEFT(M58,1)="1", RIGHT(M58,LEN(M58)-1),M58)</f>
        <v>55446009220</v>
      </c>
      <c r="O58" s="2" t="b">
        <f>IFERROR(__xludf.DUMMYFUNCTION("REGEXMATCH(TO_TEXT(N58), ""^[2-9][0-9]{9}$"")"),FALSE)</f>
        <v>0</v>
      </c>
      <c r="P58" s="2">
        <f t="shared" ref="P58:P61" si="24">LEN(N58)</f>
        <v>11</v>
      </c>
      <c r="Q58" s="9" t="str">
        <f>IF(AND(O58=TRUE, P58=10), "✅ VALID", "❌ INVALID")</f>
        <v>❌ INVALID</v>
      </c>
      <c r="R58" s="10" t="s">
        <v>199</v>
      </c>
      <c r="S58" s="12">
        <v>45073.0</v>
      </c>
      <c r="T58" s="2" t="str">
        <f>IFERROR(__xludf.DUMMYFUNCTION("IF(ISNUMBER(S58),TEXT(S58,""yyyy-MM-dd""),REGEXREPLACE(REGEXREPLACE(TO_TEXT(S58),""[^0-9a-zA-Z]+"",""-""),""[^0-9]*$"",""""))"),"2023-05-27")</f>
        <v>2023-05-27</v>
      </c>
      <c r="U58" s="2" t="s">
        <v>6739</v>
      </c>
      <c r="Y58" s="10" t="s">
        <v>6739</v>
      </c>
    </row>
    <row r="59" ht="15.75" customHeight="1">
      <c r="A59" s="2" t="s">
        <v>1472</v>
      </c>
      <c r="B59" s="9" t="s">
        <v>7597</v>
      </c>
      <c r="C59" s="2" t="s">
        <v>2438</v>
      </c>
      <c r="D59" s="10" t="str">
        <f>IFERROR(__xludf.DUMMYFUNCTION("PROPER(REGEXREPLACE(TRIM(C59),""\s+"","" ""))"),"Carlos Lee")</f>
        <v>Carlos Lee</v>
      </c>
      <c r="E59" s="2">
        <f>IFERROR(__xludf.DUMMYFUNCTION("IF(LEN(D59:D701),
  COUNTA(SPLIT(D59:D701,"" "")),
 """")"),2.0)</f>
        <v>2</v>
      </c>
      <c r="F59" s="9" t="str">
        <f t="shared" si="22"/>
        <v>✅</v>
      </c>
      <c r="G59" s="2" t="str">
        <f>IFERROR(__xludf.DUMMYFUNCTION("REGEXEXTRACT(PROPER(SUBSTITUTE(TRIM(I59),""."","" "")),""^[^@]+"")"),"Carlos Lee")</f>
        <v>Carlos Lee</v>
      </c>
      <c r="H59" s="10" t="str">
        <f t="shared" si="23"/>
        <v>carlos.lee@company.co.uk</v>
      </c>
      <c r="I59" s="2" t="s">
        <v>2439</v>
      </c>
      <c r="J59" s="9" t="str">
        <f>IFERROR(__xludf.DUMMYFUNCTION("IF(REGEXMATCH(TRIM(I59),""^[A-Za-z0-9._%+-]+@[A-Za-z0-9.-]+\.[A-Za-z]{2,}$""),""✅ Valid"",""❌ Invalid"")"),"✅ Valid")</f>
        <v>✅ Valid</v>
      </c>
      <c r="K59" s="11">
        <v>4.443668488407E12</v>
      </c>
      <c r="L59" s="2" t="str">
        <f>IFERROR(__xludf.DUMMYFUNCTION("IF(OR(K59=""N/A"", K59=""missing"", K59=""none""), """",
 REGEXREPLACE(
  SUBSTITUTE(SUBSTITUTE(SUBSTITUTE(TO_TEXT(K59), CHAR(160),""""), UNICHAR(8239),""""), UNICHAR(8201),""""),""[+\-/(): )]"", """"))"),"4443668488407")</f>
        <v>4443668488407</v>
      </c>
      <c r="M59" s="2" t="str">
        <f>IFERROR(__xludf.DUMMYFUNCTION("IF(L59="""","""", REGEXEXTRACT(REGEXREPLACE(L59,""x"", """"), ""[0-9]+""))"),"4443668488407")</f>
        <v>4443668488407</v>
      </c>
      <c r="N59" s="2" t="str">
        <f t="shared" ref="N59:N60" si="25">IF(LEFT(M59,2)="44", RIGHT(M59,LEN(M59)-2),M59)</f>
        <v>43668488407</v>
      </c>
      <c r="O59" s="2" t="b">
        <f>IFERROR(__xludf.DUMMYFUNCTION("REGEXMATCH(TO_TEXT(N59), ""^07[1-57-9]"")"),FALSE)</f>
        <v>0</v>
      </c>
      <c r="P59" s="2">
        <f t="shared" si="24"/>
        <v>11</v>
      </c>
      <c r="Q59" s="9" t="str">
        <f t="shared" ref="Q59:Q60" si="26">IF(AND(O59=TRUE, P59=11), "✅ VALID", "❌ INVALID")</f>
        <v>❌ INVALID</v>
      </c>
      <c r="R59" s="10" t="s">
        <v>114</v>
      </c>
      <c r="S59" s="12">
        <v>44725.51597222222</v>
      </c>
      <c r="T59" s="2" t="str">
        <f>IFERROR(__xludf.DUMMYFUNCTION("IF(ISNUMBER(S59),TEXT(S59,""yyyy-MM-dd""),REGEXREPLACE(REGEXREPLACE(TO_TEXT(S59),""[^0-9a-zA-Z]+"",""-""),""[^0-9]*$"",""""))"),"2022-06-13")</f>
        <v>2022-06-13</v>
      </c>
      <c r="U59" s="2" t="s">
        <v>7690</v>
      </c>
      <c r="Y59" s="10" t="s">
        <v>7690</v>
      </c>
    </row>
    <row r="60" ht="15.75" customHeight="1">
      <c r="A60" s="2" t="s">
        <v>6622</v>
      </c>
      <c r="B60" s="9" t="s">
        <v>7597</v>
      </c>
      <c r="C60" s="2" t="s">
        <v>1473</v>
      </c>
      <c r="D60" s="10" t="str">
        <f>IFERROR(__xludf.DUMMYFUNCTION("PROPER(REGEXREPLACE(TRIM(C60),""\s+"","" ""))"),"Carlos Lee")</f>
        <v>Carlos Lee</v>
      </c>
      <c r="E60" s="2">
        <f>IFERROR(__xludf.DUMMYFUNCTION("IF(LEN(D60:D701),
  COUNTA(SPLIT(D60:D701,"" "")),
 """")"),2.0)</f>
        <v>2</v>
      </c>
      <c r="F60" s="9" t="str">
        <f t="shared" si="22"/>
        <v>✅</v>
      </c>
      <c r="G60" s="2" t="str">
        <f>IFERROR(__xludf.DUMMYFUNCTION("REGEXEXTRACT(PROPER(SUBSTITUTE(TRIM(I60),""."","" "")),""^[^@]+"")"),"Carlos Lee")</f>
        <v>Carlos Lee</v>
      </c>
      <c r="H60" s="10" t="str">
        <f t="shared" si="23"/>
        <v>carlos.lee@company.co.uk</v>
      </c>
      <c r="I60" s="2" t="s">
        <v>4155</v>
      </c>
      <c r="J60" s="9" t="str">
        <f>IFERROR(__xludf.DUMMYFUNCTION("IF(REGEXMATCH(TRIM(I60),""^[A-Za-z0-9._%+-]+@[A-Za-z0-9.-]+\.[A-Za-z]{2,}$""),""✅ Valid"",""❌ Invalid"")"),"✅ Valid")</f>
        <v>✅ Valid</v>
      </c>
      <c r="K60" s="13" t="s">
        <v>7691</v>
      </c>
      <c r="L60" s="2" t="str">
        <f>IFERROR(__xludf.DUMMYFUNCTION("IF(OR(K60=""N/A"", K60=""missing"", K60=""none""), """",
 REGEXREPLACE(
  SUBSTITUTE(SUBSTITUTE(SUBSTITUTE(TO_TEXT(K60), CHAR(160),""""), UNICHAR(8239),""""), UNICHAR(8201),""""),""[+\-/(): )]"", """"))"),"447536233404")</f>
        <v>447536233404</v>
      </c>
      <c r="M60" s="2" t="str">
        <f>IFERROR(__xludf.DUMMYFUNCTION("IF(L60="""","""", REGEXEXTRACT(REGEXREPLACE(L60,""x"", """"), ""[0-9]+""))"),"447536233404")</f>
        <v>447536233404</v>
      </c>
      <c r="N60" s="2" t="str">
        <f t="shared" si="25"/>
        <v>7536233404</v>
      </c>
      <c r="O60" s="2" t="b">
        <f>IFERROR(__xludf.DUMMYFUNCTION("REGEXMATCH(TO_TEXT(N60), ""^07[1-57-9]"")"),FALSE)</f>
        <v>0</v>
      </c>
      <c r="P60" s="2">
        <f t="shared" si="24"/>
        <v>10</v>
      </c>
      <c r="Q60" s="9" t="str">
        <f t="shared" si="26"/>
        <v>❌ INVALID</v>
      </c>
      <c r="R60" s="10" t="s">
        <v>114</v>
      </c>
      <c r="S60" s="12">
        <v>44725.51597222222</v>
      </c>
      <c r="T60" s="2" t="str">
        <f>IFERROR(__xludf.DUMMYFUNCTION("IF(ISNUMBER(S60),TEXT(S60,""yyyy-MM-dd""),REGEXREPLACE(REGEXREPLACE(TO_TEXT(S60),""[^0-9a-zA-Z]+"",""-""),""[^0-9]*$"",""""))"),"2022-06-13")</f>
        <v>2022-06-13</v>
      </c>
      <c r="U60" s="2" t="s">
        <v>7690</v>
      </c>
      <c r="Y60" s="10" t="s">
        <v>7690</v>
      </c>
    </row>
    <row r="61" ht="15.75" customHeight="1">
      <c r="A61" s="2" t="s">
        <v>3204</v>
      </c>
      <c r="B61" s="9" t="s">
        <v>7597</v>
      </c>
      <c r="C61" s="2" t="s">
        <v>2301</v>
      </c>
      <c r="D61" s="10" t="str">
        <f>IFERROR(__xludf.DUMMYFUNCTION("PROPER(REGEXREPLACE(TRIM(C61),""\s+"","" ""))"),"Zack Taylor")</f>
        <v>Zack Taylor</v>
      </c>
      <c r="E61" s="2">
        <f>IFERROR(__xludf.DUMMYFUNCTION("IF(LEN(D61:D701),
  COUNTA(SPLIT(D61:D701,"" "")),
 """")"),2.0)</f>
        <v>2</v>
      </c>
      <c r="F61" s="9" t="str">
        <f t="shared" si="22"/>
        <v>✅</v>
      </c>
      <c r="G61" s="2" t="str">
        <f>IFERROR(__xludf.DUMMYFUNCTION("REGEXEXTRACT(PROPER(SUBSTITUTE(TRIM(I61),""."","" "")),""^[^@]+"")"),"Zack Taylor")</f>
        <v>Zack Taylor</v>
      </c>
      <c r="H61" s="10" t="str">
        <f t="shared" si="23"/>
        <v>zack.taylor@outloo.kcom</v>
      </c>
      <c r="I61" s="2" t="s">
        <v>6623</v>
      </c>
      <c r="J61" s="9" t="str">
        <f>IFERROR(__xludf.DUMMYFUNCTION("IF(REGEXMATCH(TRIM(I61),""^[A-Za-z0-9._%+-]+@[A-Za-z0-9.-]+\.[A-Za-z]{2,}$""),""✅ Valid"",""❌ Invalid"")"),"✅ Valid")</f>
        <v>✅ Valid</v>
      </c>
      <c r="K61" s="13" t="s">
        <v>7692</v>
      </c>
      <c r="L61" s="2" t="str">
        <f>IFERROR(__xludf.DUMMYFUNCTION("IF(OR(K61=""N/A"", K61=""missing"", K61=""none""), """",
 REGEXREPLACE(
  SUBSTITUTE(SUBSTITUTE(SUBSTITUTE(TO_TEXT(K61), CHAR(160),""""), UNICHAR(8239),""""), UNICHAR(8201),""""),""[+\-/(): )]"", """"))"),"35359277378")</f>
        <v>35359277378</v>
      </c>
      <c r="M61" s="2" t="str">
        <f>IFERROR(__xludf.DUMMYFUNCTION("IF(L61="""","""", REGEXEXTRACT(REGEXREPLACE(L61,""x"", """"), ""[0-9]+""))"),"35359277378")</f>
        <v>35359277378</v>
      </c>
      <c r="N61" s="2" t="str">
        <f>IF(LEFT(M61,3)="353", RIGHT(M61,LEN(M61)-3),M61)</f>
        <v>59277378</v>
      </c>
      <c r="O61" s="2" t="b">
        <f>IFERROR(__xludf.DUMMYFUNCTION("REGEXMATCH(TO_TEXT(N61), ""^0(83|85|86|87|89)"")"),FALSE)</f>
        <v>0</v>
      </c>
      <c r="P61" s="2">
        <f t="shared" si="24"/>
        <v>8</v>
      </c>
      <c r="Q61" s="9" t="str">
        <f>IF(AND(O61=TRUE, P58=10), "✅ VALID", "❌ INVALID")</f>
        <v>❌ INVALID</v>
      </c>
      <c r="R61" s="10" t="s">
        <v>1177</v>
      </c>
      <c r="S61" s="12" t="s">
        <v>6625</v>
      </c>
      <c r="T61" s="2" t="str">
        <f>IFERROR(__xludf.DUMMYFUNCTION("IF(ISNUMBER(S61),TEXT(S61,""yyyy-MM-dd""),REGEXREPLACE(REGEXREPLACE(TO_TEXT(S61),""[^0-9a-zA-Z]+"",""-""),""[^0-9]*$"",""""))"),"12-02-2022-21-07")</f>
        <v>12-02-2022-21-07</v>
      </c>
      <c r="U61" s="2" t="str">
        <f>TEXT(T61,"yyyy-MM-dd")</f>
        <v>12-02-2022-21-07</v>
      </c>
      <c r="V61" s="2" t="str">
        <f>IFERROR(__xludf.DUMMYFUNCTION("REGEXEXTRACT(U61,""^\d{2}-\d{2}-\d{4}"")"),"12-02-2022")</f>
        <v>12-02-2022</v>
      </c>
      <c r="W61" s="2" t="s">
        <v>7693</v>
      </c>
      <c r="Y61" s="10" t="s">
        <v>7693</v>
      </c>
    </row>
    <row r="62" ht="15.75" customHeight="1">
      <c r="A62" s="2" t="s">
        <v>6368</v>
      </c>
      <c r="B62" s="9" t="s">
        <v>7597</v>
      </c>
      <c r="C62" s="2" t="s">
        <v>3205</v>
      </c>
      <c r="D62" s="10" t="str">
        <f>IFERROR(__xludf.DUMMYFUNCTION("PROPER(REGEXREPLACE(TRIM(C62),""\s+"","" ""))"),"Lia Williams")</f>
        <v>Lia Williams</v>
      </c>
      <c r="E62" s="2">
        <f>IFERROR(__xludf.DUMMYFUNCTION("IF(LEN(D62:D701),
  COUNTA(SPLIT(D62:D701,"" "")),
 """")"),2.0)</f>
        <v>2</v>
      </c>
      <c r="F62" s="9" t="str">
        <f t="shared" si="22"/>
        <v>✅</v>
      </c>
      <c r="G62" s="2" t="str">
        <f>IFERROR(__xludf.DUMMYFUNCTION("REGEXEXTRACT(PROPER(SUBSTITUTE(TRIM(I62),""."","" "")),""^[^@]+"")"),"Lia Williams")</f>
        <v>Lia Williams</v>
      </c>
      <c r="H62" s="10" t="str">
        <f t="shared" si="23"/>
        <v>lia.williams@gmail.com</v>
      </c>
      <c r="I62" s="2" t="s">
        <v>3206</v>
      </c>
      <c r="J62" s="9" t="str">
        <f>IFERROR(__xludf.DUMMYFUNCTION("IF(REGEXMATCH(TRIM(I62),""^[A-Za-z0-9._%+-]+@[A-Za-z0-9.-]+\.[A-Za-z]{2,}$""),""✅ Valid"",""❌ Invalid"")"),"✅ Valid")</f>
        <v>✅ Valid</v>
      </c>
      <c r="K62" s="15" t="s">
        <v>7694</v>
      </c>
      <c r="L62" s="2" t="str">
        <f>IFERROR(__xludf.DUMMYFUNCTION("IF(K62=""N/A"", """",
 REGEXREPLACE(
  SUBSTITUTE(SUBSTITUTE(SUBSTITUTE(TO_TEXT(K62), CHAR(160),""""), UNICHAR(8239),""""), UNICHAR(8201),""""),""[+\-/(): )]"", """"))"),"484482770584")</f>
        <v>484482770584</v>
      </c>
      <c r="M62" s="2" t="str">
        <f>IFERROR(__xludf.DUMMYFUNCTION("IF(L62="""","""", REGEXEXTRACT(REGEXREPLACE(L62,""x"", """"), ""[0-9]+""))"),"484482770584")</f>
        <v>484482770584</v>
      </c>
      <c r="N62" s="2" t="str">
        <f>IF(LEFT(M62,2)="48", RIGHT(M62,LEN(M62)-2),M62)</f>
        <v>4482770584</v>
      </c>
      <c r="O62" s="2" t="b">
        <f>IFERROR(__xludf.DUMMYFUNCTION("REGEXMATCH(TO_TEXT(N62), ""^(5[013679]|6[069]|7[2-9]|88)"")"),FALSE)</f>
        <v>0</v>
      </c>
      <c r="Q62" s="9" t="str">
        <f>IF(AND(O62=TRUE, P62=9), "✅ VALID", "❌ INVALID")</f>
        <v>❌ INVALID</v>
      </c>
      <c r="R62" s="10" t="s">
        <v>25</v>
      </c>
      <c r="S62" s="12">
        <v>45649.0</v>
      </c>
      <c r="T62" s="2" t="str">
        <f>IFERROR(__xludf.DUMMYFUNCTION("IF(ISNUMBER(S62),TEXT(S62,""yyyy-MM-dd""),REGEXREPLACE(REGEXREPLACE(TO_TEXT(S62),""[^0-9a-zA-Z]+"",""-""),""[^0-9]*$"",""""))"),"2024-12-23")</f>
        <v>2024-12-23</v>
      </c>
      <c r="U62" s="2" t="s">
        <v>7695</v>
      </c>
      <c r="Y62" s="10" t="s">
        <v>7695</v>
      </c>
    </row>
    <row r="63" ht="15.75" customHeight="1">
      <c r="A63" s="2" t="s">
        <v>4741</v>
      </c>
      <c r="B63" s="9" t="s">
        <v>7597</v>
      </c>
      <c r="C63" s="2" t="s">
        <v>287</v>
      </c>
      <c r="D63" s="10" t="str">
        <f>IFERROR(__xludf.DUMMYFUNCTION("PROPER(REGEXREPLACE(TRIM(C63),""\s+"","" ""))"),"Hanna Dubois")</f>
        <v>Hanna Dubois</v>
      </c>
      <c r="E63" s="2">
        <f>IFERROR(__xludf.DUMMYFUNCTION("IF(LEN(D63:D701),
  COUNTA(SPLIT(D63:D701,"" "")),
 """")"),2.0)</f>
        <v>2</v>
      </c>
      <c r="F63" s="9" t="str">
        <f t="shared" si="22"/>
        <v>✅</v>
      </c>
      <c r="G63" s="2" t="str">
        <f>IFERROR(__xludf.DUMMYFUNCTION("REGEXEXTRACT(PROPER(SUBSTITUTE(TRIM(I63),""."","" "")),""^[^@]+"")"),"Hanna Dubois")</f>
        <v>Hanna Dubois</v>
      </c>
      <c r="H63" s="10" t="str">
        <f t="shared" si="23"/>
        <v>hanna.dubois@shop.io</v>
      </c>
      <c r="I63" s="2" t="s">
        <v>6369</v>
      </c>
      <c r="J63" s="9" t="str">
        <f>IFERROR(__xludf.DUMMYFUNCTION("IF(REGEXMATCH(TRIM(I63),""^[A-Za-z0-9._%+-]+@[A-Za-z0-9.-]+\.[A-Za-z]{2,}$""),""✅ Valid"",""❌ Invalid"")"),"✅ Valid")</f>
        <v>✅ Valid</v>
      </c>
      <c r="K63" s="13" t="s">
        <v>7696</v>
      </c>
      <c r="L63" s="2" t="str">
        <f>IFERROR(__xludf.DUMMYFUNCTION("IF(OR(K63=""N/A"", K63=""missing"", K63=""none""), """",
 REGEXREPLACE(
  SUBSTITUTE(SUBSTITUTE(SUBSTITUTE(TO_TEXT(K63), CHAR(160),""""), UNICHAR(8239),""""), UNICHAR(8201),""""),""[+\-/(): )]"", """"))"),"4407459439187")</f>
        <v>4407459439187</v>
      </c>
      <c r="M63" s="2" t="str">
        <f>IFERROR(__xludf.DUMMYFUNCTION("IF(L63="""","""", REGEXEXTRACT(REGEXREPLACE(L63,""x"", """"), ""[0-9]+""))"),"4407459439187")</f>
        <v>4407459439187</v>
      </c>
      <c r="N63" s="2" t="str">
        <f>IF(LEFT(M63,2)="44", RIGHT(M63,LEN(M63)-2),M63)</f>
        <v>07459439187</v>
      </c>
      <c r="O63" s="2" t="b">
        <f>IFERROR(__xludf.DUMMYFUNCTION("REGEXMATCH(TO_TEXT(N63), ""^07[1-57-9]"")"),TRUE)</f>
        <v>1</v>
      </c>
      <c r="P63" s="2">
        <f t="shared" ref="P63:P65" si="27">LEN(N63)</f>
        <v>11</v>
      </c>
      <c r="Q63" s="9" t="str">
        <f>IF(AND(O63=TRUE, P63=11), "✅ VALID", "❌ INVALID")</f>
        <v>✅ VALID</v>
      </c>
      <c r="R63" s="10" t="s">
        <v>114</v>
      </c>
      <c r="S63" s="12">
        <v>45569.02916666667</v>
      </c>
      <c r="T63" s="2" t="str">
        <f>IFERROR(__xludf.DUMMYFUNCTION("IF(ISNUMBER(S63),TEXT(S63,""yyyy-MM-dd""),REGEXREPLACE(REGEXREPLACE(TO_TEXT(S63),""[^0-9a-zA-Z]+"",""-""),""[^0-9]*$"",""""))"),"2024-10-04")</f>
        <v>2024-10-04</v>
      </c>
      <c r="U63" s="2" t="s">
        <v>7697</v>
      </c>
      <c r="Y63" s="10" t="s">
        <v>7697</v>
      </c>
    </row>
    <row r="64" ht="15.75" customHeight="1">
      <c r="A64" s="2" t="s">
        <v>6860</v>
      </c>
      <c r="B64" s="9" t="s">
        <v>7597</v>
      </c>
      <c r="C64" s="2" t="s">
        <v>4742</v>
      </c>
      <c r="D64" s="10" t="str">
        <f>IFERROR(__xludf.DUMMYFUNCTION("PROPER(REGEXREPLACE(TRIM(C64),""\s+"","" ""))"),"Adam Garcia")</f>
        <v>Adam Garcia</v>
      </c>
      <c r="E64" s="2">
        <f>IFERROR(__xludf.DUMMYFUNCTION("IF(LEN(D64:D701),
  COUNTA(SPLIT(D64:D701,"" "")),
 """")"),2.0)</f>
        <v>2</v>
      </c>
      <c r="F64" s="9" t="str">
        <f t="shared" si="22"/>
        <v>✅</v>
      </c>
      <c r="G64" s="2" t="str">
        <f>IFERROR(__xludf.DUMMYFUNCTION("REGEXEXTRACT(PROPER(SUBSTITUTE(TRIM(I64),""."","" "")),""^[^@]+"")"),"Adam Garcia")</f>
        <v>Adam Garcia</v>
      </c>
      <c r="H64" s="10" t="str">
        <f t="shared" si="23"/>
        <v>adam.garcia@outlook.com</v>
      </c>
      <c r="I64" s="2" t="s">
        <v>4743</v>
      </c>
      <c r="J64" s="9" t="str">
        <f>IFERROR(__xludf.DUMMYFUNCTION("IF(REGEXMATCH(TRIM(I64),""^[A-Za-z0-9._%+-]+@[A-Za-z0-9.-]+\.[A-Za-z]{2,}$""),""✅ Valid"",""❌ Invalid"")"),"✅ Valid")</f>
        <v>✅ Valid</v>
      </c>
      <c r="K64" s="13" t="s">
        <v>7698</v>
      </c>
      <c r="L64" s="2" t="str">
        <f>IFERROR(__xludf.DUMMYFUNCTION("IF(OR(K64=""N/A"", K64=""missing"", K64=""none""), """",
 REGEXREPLACE(
  SUBSTITUTE(SUBSTITUTE(SUBSTITUTE(TO_TEXT(K64), CHAR(160),""""), UNICHAR(8239),""""), UNICHAR(8201),""""),""[+\-/(): )]"", """"))"),"35381990402")</f>
        <v>35381990402</v>
      </c>
      <c r="M64" s="2" t="str">
        <f>IFERROR(__xludf.DUMMYFUNCTION("IF(L64="""","""", REGEXEXTRACT(REGEXREPLACE(L64,""x"", """"), ""[0-9]+""))"),"35381990402")</f>
        <v>35381990402</v>
      </c>
      <c r="N64" s="2" t="str">
        <f>IF(LEFT(M64,3)="353", RIGHT(M64,LEN(M64)-3),M64)</f>
        <v>81990402</v>
      </c>
      <c r="O64" s="2" t="b">
        <f>IFERROR(__xludf.DUMMYFUNCTION("REGEXMATCH(TO_TEXT(N64), ""^0(83|85|86|87|89)"")"),FALSE)</f>
        <v>0</v>
      </c>
      <c r="P64" s="2">
        <f t="shared" si="27"/>
        <v>8</v>
      </c>
      <c r="Q64" s="9" t="str">
        <f>IF(AND(O64=TRUE, P61=10), "✅ VALID", "❌ INVALID")</f>
        <v>❌ INVALID</v>
      </c>
      <c r="R64" s="10" t="s">
        <v>1177</v>
      </c>
      <c r="S64" s="12">
        <v>44572.0</v>
      </c>
      <c r="T64" s="2" t="str">
        <f>IFERROR(__xludf.DUMMYFUNCTION("IF(ISNUMBER(S64),TEXT(S64,""yyyy-MM-dd""),REGEXREPLACE(REGEXREPLACE(TO_TEXT(S64),""[^0-9a-zA-Z]+"",""-""),""[^0-9]*$"",""""))"),"2022-01-11")</f>
        <v>2022-01-11</v>
      </c>
      <c r="U64" s="2" t="s">
        <v>7699</v>
      </c>
      <c r="Y64" s="10" t="s">
        <v>7699</v>
      </c>
    </row>
    <row r="65" ht="15.75" customHeight="1">
      <c r="A65" s="2" t="s">
        <v>5977</v>
      </c>
      <c r="B65" s="9" t="s">
        <v>7597</v>
      </c>
      <c r="C65" s="2" t="s">
        <v>6861</v>
      </c>
      <c r="D65" s="10" t="str">
        <f>IFERROR(__xludf.DUMMYFUNCTION("PROPER(REGEXREPLACE(TRIM(C65),""\s+"","" ""))"),"Wiktor Nowak")</f>
        <v>Wiktor Nowak</v>
      </c>
      <c r="E65" s="2">
        <f>IFERROR(__xludf.DUMMYFUNCTION("IF(LEN(D65:D701),
  COUNTA(SPLIT(D65:D701,"" "")),
 """")"),2.0)</f>
        <v>2</v>
      </c>
      <c r="F65" s="9" t="str">
        <f t="shared" si="22"/>
        <v>✅</v>
      </c>
      <c r="G65" s="2" t="str">
        <f>IFERROR(__xludf.DUMMYFUNCTION("REGEXEXTRACT(PROPER(SUBSTITUTE(TRIM(I65),""."","" "")),""^[^@]+"")"),"Wiktor Nowak")</f>
        <v>Wiktor Nowak</v>
      </c>
      <c r="H65" s="10" t="str">
        <f t="shared" si="23"/>
        <v>wiktor.nowak@company.co.uk</v>
      </c>
      <c r="I65" s="2" t="s">
        <v>6862</v>
      </c>
      <c r="J65" s="9" t="str">
        <f>IFERROR(__xludf.DUMMYFUNCTION("IF(REGEXMATCH(TRIM(I65),""^[A-Za-z0-9._%+-]+@[A-Za-z0-9.-]+\.[A-Za-z]{2,}$""),""✅ Valid"",""❌ Invalid"")"),"✅ Valid")</f>
        <v>✅ Valid</v>
      </c>
      <c r="K65" s="13" t="s">
        <v>7700</v>
      </c>
      <c r="L65" s="2" t="str">
        <f>IFERROR(__xludf.DUMMYFUNCTION("IF(OR(K65=""N/A"", K65=""missing"", K65=""none""), """",
 REGEXREPLACE(
  SUBSTITUTE(SUBSTITUTE(SUBSTITUTE(TO_TEXT(K65), CHAR(160),""""), UNICHAR(8239),""""), UNICHAR(8201),""""),""[+\-/(): )]"", """"))"),"49056219148")</f>
        <v>49056219148</v>
      </c>
      <c r="M65" s="2" t="str">
        <f>IFERROR(__xludf.DUMMYFUNCTION("IF(L65="""","""", REGEXEXTRACT(REGEXREPLACE(L65,""x"", """"), ""[0-9]+""))"),"49056219148")</f>
        <v>49056219148</v>
      </c>
      <c r="N65" s="2" t="str">
        <f>IF(LEFT(M65,2)="49", RIGHT(M65,LEN(M65)-2),M65)</f>
        <v>056219148</v>
      </c>
      <c r="O65" s="2" t="b">
        <f>IFERROR(__xludf.DUMMYFUNCTION("REGEXMATCH(TO_TEXT(N65), ""^0(15|16|17)"")"),FALSE)</f>
        <v>0</v>
      </c>
      <c r="P65" s="2">
        <f t="shared" si="27"/>
        <v>9</v>
      </c>
      <c r="Q65" s="9" t="str">
        <f>IF(AND(O65=TRUE,OR(P65=10, P65=11)), "✅ VALID", "❌ INVALID")</f>
        <v>❌ INVALID</v>
      </c>
      <c r="R65" s="10" t="s">
        <v>459</v>
      </c>
      <c r="S65" s="12">
        <v>45397.0</v>
      </c>
      <c r="T65" s="2" t="str">
        <f>IFERROR(__xludf.DUMMYFUNCTION("IF(ISNUMBER(S65),TEXT(S65,""yyyy-MM-dd""),REGEXREPLACE(REGEXREPLACE(TO_TEXT(S65),""[^0-9a-zA-Z]+"",""-""),""[^0-9]*$"",""""))"),"2024-04-15")</f>
        <v>2024-04-15</v>
      </c>
      <c r="U65" s="2" t="s">
        <v>7701</v>
      </c>
      <c r="Y65" s="10" t="s">
        <v>7701</v>
      </c>
    </row>
    <row r="66" ht="15.75" customHeight="1">
      <c r="A66" s="2" t="s">
        <v>6406</v>
      </c>
      <c r="B66" s="9" t="s">
        <v>7597</v>
      </c>
      <c r="C66" s="2" t="s">
        <v>5978</v>
      </c>
      <c r="D66" s="10" t="s">
        <v>7702</v>
      </c>
      <c r="E66" s="2">
        <f>IFERROR(__xludf.DUMMYFUNCTION("IF(LEN(D66:D701),
  COUNTA(SPLIT(D66:D701,"" "")),
 """")"),2.0)</f>
        <v>2</v>
      </c>
      <c r="F66" s="9" t="str">
        <f t="shared" si="22"/>
        <v>✅</v>
      </c>
      <c r="G66" s="2" t="s">
        <v>7702</v>
      </c>
      <c r="H66" s="10" t="str">
        <f t="shared" si="23"/>
        <v>lia.kowalski@company.co.uk</v>
      </c>
      <c r="I66" s="2" t="s">
        <v>5979</v>
      </c>
      <c r="J66" s="9" t="str">
        <f>IFERROR(__xludf.DUMMYFUNCTION("IF(REGEXMATCH(TRIM(I66),""^[A-Za-z0-9._%+-]+@[A-Za-z0-9.-]+\.[A-Za-z]{2,}$""),""✅ Valid"",""❌ Invalid"")"),"✅ Valid")</f>
        <v>✅ Valid</v>
      </c>
      <c r="K66" s="17" t="s">
        <v>7703</v>
      </c>
      <c r="L66" s="2" t="str">
        <f>IFERROR(__xludf.DUMMYFUNCTION("IF(K66=""N/A"", """",
 REGEXREPLACE(
  SUBSTITUTE(SUBSTITUTE(SUBSTITUTE(TO_TEXT(K66), CHAR(160),""""), UNICHAR(8239),""""), UNICHAR(8201),""""),""[+\-/(): )]"", """"))"),"48124487")</f>
        <v>48124487</v>
      </c>
      <c r="M66" s="2" t="str">
        <f>IFERROR(__xludf.DUMMYFUNCTION("IF(L66="""","""", REGEXEXTRACT(REGEXREPLACE(L66,""x"", """"), ""[0-9]+""))"),"48124487")</f>
        <v>48124487</v>
      </c>
      <c r="N66" s="2" t="str">
        <f t="shared" ref="N66:N67" si="28">IF(LEFT(M66,2)="48", RIGHT(M66,LEN(M66)-2),M66)</f>
        <v>124487</v>
      </c>
      <c r="O66" s="2" t="b">
        <f>IFERROR(__xludf.DUMMYFUNCTION("REGEXMATCH(TO_TEXT(N66), ""^(5[013679]|6[069]|7[2-9]|88)"")"),FALSE)</f>
        <v>0</v>
      </c>
      <c r="Q66" s="9" t="str">
        <f t="shared" ref="Q66:Q71" si="29">IF(AND(O66=TRUE, P66=9), "✅ VALID", "❌ INVALID")</f>
        <v>❌ INVALID</v>
      </c>
      <c r="R66" s="10" t="s">
        <v>25</v>
      </c>
      <c r="S66" s="12" t="s">
        <v>6412</v>
      </c>
      <c r="T66" s="2" t="str">
        <f>IFERROR(__xludf.DUMMYFUNCTION("IF(ISNUMBER(S66),TEXT(S66,""yyyy-MM-dd""),REGEXREPLACE(REGEXREPLACE(TO_TEXT(S66),""[^0-9a-zA-Z]+"",""-""),""[^0-9]*$"",""""))"),"44948-00-22")</f>
        <v>44948-00-22</v>
      </c>
      <c r="U66" s="2" t="str">
        <f>TEXT(T66,"yyyy-MM-dd")</f>
        <v>44948-00-22</v>
      </c>
      <c r="V66" s="2" t="str">
        <f>CONCATENATE(LEFT(U66,5))</f>
        <v>44948</v>
      </c>
      <c r="W66" s="14">
        <f>DATE(1900,1,1) + V66 - 1</f>
        <v>44949</v>
      </c>
      <c r="X66" s="2" t="s">
        <v>7704</v>
      </c>
      <c r="Y66" s="10" t="s">
        <v>7704</v>
      </c>
    </row>
    <row r="67" ht="15.75" customHeight="1">
      <c r="A67" s="2" t="s">
        <v>1507</v>
      </c>
      <c r="B67" s="9" t="s">
        <v>7597</v>
      </c>
      <c r="C67" s="2" t="s">
        <v>6407</v>
      </c>
      <c r="D67" s="10" t="str">
        <f>IFERROR(__xludf.DUMMYFUNCTION("PROPER(REGEXREPLACE(TRIM(C67),""\s+"","" ""))"),"Carlos Johnson")</f>
        <v>Carlos Johnson</v>
      </c>
      <c r="E67" s="2">
        <f>IFERROR(__xludf.DUMMYFUNCTION("IF(LEN(D67:D701),
  COUNTA(SPLIT(D67:D701,"" "")),
 """")"),2.0)</f>
        <v>2</v>
      </c>
      <c r="F67" s="9" t="str">
        <f t="shared" si="22"/>
        <v>❌</v>
      </c>
      <c r="G67" s="2" t="s">
        <v>7705</v>
      </c>
      <c r="H67" s="10" t="str">
        <f t="shared" si="23"/>
        <v>calros.johnson@outlook.com</v>
      </c>
      <c r="I67" s="2" t="s">
        <v>6408</v>
      </c>
      <c r="J67" s="9" t="str">
        <f>IFERROR(__xludf.DUMMYFUNCTION("IF(REGEXMATCH(TRIM(I67),""^[A-Za-z0-9._%+-]+@[A-Za-z0-9.-]+\.[A-Za-z]{2,}$""),""✅ Valid"",""❌ Invalid"")"),"✅ Valid")</f>
        <v>✅ Valid</v>
      </c>
      <c r="K67" s="15" t="s">
        <v>7706</v>
      </c>
      <c r="L67" s="2" t="str">
        <f>IFERROR(__xludf.DUMMYFUNCTION("IF(K67=""N/A"", """",
 REGEXREPLACE(
  SUBSTITUTE(SUBSTITUTE(SUBSTITUTE(TO_TEXT(K67), CHAR(160),""""), UNICHAR(8239),""""), UNICHAR(8201),""""),""[+\-/(): )]"", """"))"),"4867854897")</f>
        <v>4867854897</v>
      </c>
      <c r="M67" s="2" t="str">
        <f>IFERROR(__xludf.DUMMYFUNCTION("IF(L67="""","""", REGEXEXTRACT(REGEXREPLACE(L67,""x"", """"), ""[0-9]+""))"),"4867854897")</f>
        <v>4867854897</v>
      </c>
      <c r="N67" s="2" t="str">
        <f t="shared" si="28"/>
        <v>67854897</v>
      </c>
      <c r="O67" s="2" t="b">
        <f>IFERROR(__xludf.DUMMYFUNCTION("REGEXMATCH(TO_TEXT(N67), ""^(5[013679]|6[069]|7[2-9]|88)"")"),FALSE)</f>
        <v>0</v>
      </c>
      <c r="Q67" s="9" t="str">
        <f t="shared" si="29"/>
        <v>❌ INVALID</v>
      </c>
      <c r="R67" s="10" t="s">
        <v>25</v>
      </c>
      <c r="S67" s="12">
        <v>45809.217361111114</v>
      </c>
      <c r="T67" s="2" t="str">
        <f>IFERROR(__xludf.DUMMYFUNCTION("IF(ISNUMBER(S67),TEXT(S67,""yyyy-MM-dd""),REGEXREPLACE(REGEXREPLACE(TO_TEXT(S67),""[^0-9a-zA-Z]+"",""-""),""[^0-9]*$"",""""))"),"2025-06-01")</f>
        <v>2025-06-01</v>
      </c>
      <c r="U67" s="2" t="s">
        <v>7707</v>
      </c>
      <c r="Y67" s="10" t="s">
        <v>7707</v>
      </c>
    </row>
    <row r="68" ht="15.75" customHeight="1">
      <c r="A68" s="2" t="s">
        <v>6658</v>
      </c>
      <c r="B68" s="9" t="s">
        <v>7597</v>
      </c>
      <c r="C68" s="2" t="s">
        <v>1508</v>
      </c>
      <c r="D68" s="10" t="str">
        <f>IFERROR(__xludf.DUMMYFUNCTION("PROPER(REGEXREPLACE(TRIM(C68),""\s+"","" ""))"),"Uma Kowalski")</f>
        <v>Uma Kowalski</v>
      </c>
      <c r="E68" s="2">
        <f>IFERROR(__xludf.DUMMYFUNCTION("IF(LEN(D68:D701),
  COUNTA(SPLIT(D68:D701,"" "")),
 """")"),2.0)</f>
        <v>2</v>
      </c>
      <c r="F68" s="9" t="str">
        <f t="shared" si="22"/>
        <v>✅</v>
      </c>
      <c r="G68" s="2" t="str">
        <f>IFERROR(__xludf.DUMMYFUNCTION("REGEXEXTRACT(PROPER(SUBSTITUTE(TRIM(I68),""."","" "")),""^[^@]+"")"),"Uma Kowalski")</f>
        <v>Uma Kowalski</v>
      </c>
      <c r="H68" s="10" t="str">
        <f t="shared" si="23"/>
        <v>uma.kowalski@gmail.com</v>
      </c>
      <c r="I68" s="2" t="s">
        <v>1509</v>
      </c>
      <c r="J68" s="9" t="str">
        <f>IFERROR(__xludf.DUMMYFUNCTION("IF(REGEXMATCH(TRIM(I68),""^[A-Za-z0-9._%+-]+@[A-Za-z0-9.-]+\.[A-Za-z]{2,}$""),""✅ Valid"",""❌ Invalid"")"),"✅ Valid")</f>
        <v>✅ Valid</v>
      </c>
      <c r="K68" s="13" t="s">
        <v>7708</v>
      </c>
      <c r="L68" s="2" t="str">
        <f>IFERROR(__xludf.DUMMYFUNCTION("IF(OR(K68=""N/A"", K68=""missing"", K68=""none""), """",
 REGEXREPLACE(
  SUBSTITUTE(SUBSTITUTE(SUBSTITUTE(TO_TEXT(K68), CHAR(160),""""), UNICHAR(8239),""""), UNICHAR(8201),""""),""[+\-/(): )]"", """"))"),"33914861762")</f>
        <v>33914861762</v>
      </c>
      <c r="M68" s="2" t="str">
        <f>IFERROR(__xludf.DUMMYFUNCTION("IF(L68="""","""", REGEXEXTRACT(REGEXREPLACE(L68,""x"", """"), ""[0-9]+""))"),"33914861762")</f>
        <v>33914861762</v>
      </c>
      <c r="N68" s="2" t="str">
        <f>IF(LEFT(M68,2)="33", RIGHT(M68,LEN(M68)-2),M68)</f>
        <v>914861762</v>
      </c>
      <c r="O68" s="2" t="b">
        <f>IFERROR(__xludf.DUMMYFUNCTION("REGEXMATCH(TO_TEXT(N68), ""^0[67]"")"),FALSE)</f>
        <v>0</v>
      </c>
      <c r="P68" s="2">
        <f>LEN(N68)</f>
        <v>9</v>
      </c>
      <c r="Q68" s="9" t="str">
        <f t="shared" si="29"/>
        <v>❌ INVALID</v>
      </c>
      <c r="R68" s="10" t="s">
        <v>58</v>
      </c>
      <c r="S68" s="12">
        <v>45569.58472222222</v>
      </c>
      <c r="T68" s="2" t="str">
        <f>IFERROR(__xludf.DUMMYFUNCTION("IF(ISNUMBER(S68),TEXT(S68,""yyyy-MM-dd""),REGEXREPLACE(REGEXREPLACE(TO_TEXT(S68),""[^0-9a-zA-Z]+"",""-""),""[^0-9]*$"",""""))"),"2024-10-04")</f>
        <v>2024-10-04</v>
      </c>
      <c r="U68" s="2" t="s">
        <v>7697</v>
      </c>
      <c r="Y68" s="10" t="s">
        <v>7697</v>
      </c>
    </row>
    <row r="69" ht="15.75" customHeight="1">
      <c r="A69" s="2" t="s">
        <v>7121</v>
      </c>
      <c r="B69" s="9" t="s">
        <v>7597</v>
      </c>
      <c r="C69" s="2" t="s">
        <v>6659</v>
      </c>
      <c r="D69" s="10" t="str">
        <f>IFERROR(__xludf.DUMMYFUNCTION("PROPER(REGEXREPLACE(TRIM(C69),""\s+"","" ""))"),"Rita Rodriguez")</f>
        <v>Rita Rodriguez</v>
      </c>
      <c r="E69" s="2">
        <f>IFERROR(__xludf.DUMMYFUNCTION("IF(LEN(D69:D701),
  COUNTA(SPLIT(D69:D701,"" "")),
 """")"),2.0)</f>
        <v>2</v>
      </c>
      <c r="F69" s="9" t="str">
        <f t="shared" si="22"/>
        <v>✅</v>
      </c>
      <c r="G69" s="2" t="str">
        <f>IFERROR(__xludf.DUMMYFUNCTION("REGEXEXTRACT(PROPER(SUBSTITUTE(TRIM(I69),""."","" "")),""^[^@]+"")"),"Rita Rodriguez")</f>
        <v>Rita Rodriguez</v>
      </c>
      <c r="H69" s="10" t="str">
        <f t="shared" si="23"/>
        <v>rita.rodriguez@company.co.uk</v>
      </c>
      <c r="I69" s="2" t="s">
        <v>6660</v>
      </c>
      <c r="J69" s="9" t="str">
        <f>IFERROR(__xludf.DUMMYFUNCTION("IF(REGEXMATCH(TRIM(I69),""^[A-Za-z0-9._%+-]+@[A-Za-z0-9.-]+\.[A-Za-z]{2,}$""),""✅ Valid"",""❌ Invalid"")"),"✅ Valid")</f>
        <v>✅ Valid</v>
      </c>
      <c r="K69" s="15" t="s">
        <v>7709</v>
      </c>
      <c r="L69" s="2" t="str">
        <f>IFERROR(__xludf.DUMMYFUNCTION("IF(K69=""N/A"", """",
 REGEXREPLACE(
  SUBSTITUTE(SUBSTITUTE(SUBSTITUTE(TO_TEXT(K69), CHAR(160),""""), UNICHAR(8239),""""), UNICHAR(8201),""""),""[+\-/(): )]"", """"))"),"48195449215")</f>
        <v>48195449215</v>
      </c>
      <c r="M69" s="2" t="str">
        <f>IFERROR(__xludf.DUMMYFUNCTION("IF(L69="""","""", REGEXEXTRACT(REGEXREPLACE(L69,""x"", """"), ""[0-9]+""))"),"48195449215")</f>
        <v>48195449215</v>
      </c>
      <c r="N69" s="2" t="str">
        <f t="shared" ref="N69:N70" si="30">IF(LEFT(M69,2)="48", RIGHT(M69,LEN(M69)-2),M69)</f>
        <v>195449215</v>
      </c>
      <c r="O69" s="2" t="b">
        <f>IFERROR(__xludf.DUMMYFUNCTION("REGEXMATCH(TO_TEXT(N69), ""^(5[013679]|6[069]|7[2-9]|88)"")"),FALSE)</f>
        <v>0</v>
      </c>
      <c r="Q69" s="9" t="str">
        <f t="shared" si="29"/>
        <v>❌ INVALID</v>
      </c>
      <c r="R69" s="10" t="s">
        <v>25</v>
      </c>
      <c r="S69" s="12">
        <v>44897.0</v>
      </c>
      <c r="T69" s="2" t="str">
        <f>IFERROR(__xludf.DUMMYFUNCTION("IF(ISNUMBER(S69),TEXT(S69,""yyyy-MM-dd""),REGEXREPLACE(REGEXREPLACE(TO_TEXT(S69),""[^0-9a-zA-Z]+"",""-""),""[^0-9]*$"",""""))"),"2022-12-02")</f>
        <v>2022-12-02</v>
      </c>
      <c r="U69" s="2" t="s">
        <v>6662</v>
      </c>
      <c r="Y69" s="10" t="s">
        <v>6662</v>
      </c>
    </row>
    <row r="70" ht="15.75" customHeight="1">
      <c r="A70" s="2" t="s">
        <v>5405</v>
      </c>
      <c r="B70" s="9" t="s">
        <v>7597</v>
      </c>
      <c r="C70" s="2" t="s">
        <v>7122</v>
      </c>
      <c r="D70" s="10" t="str">
        <f>IFERROR(__xludf.DUMMYFUNCTION("PROPER(REGEXREPLACE(TRIM(C70),""\s+"","" ""))"),"Zack Lopez")</f>
        <v>Zack Lopez</v>
      </c>
      <c r="E70" s="2">
        <f>IFERROR(__xludf.DUMMYFUNCTION("IF(LEN(D70:D701),
  COUNTA(SPLIT(D70:D701,"" "")),
 """")"),2.0)</f>
        <v>2</v>
      </c>
      <c r="F70" s="9" t="str">
        <f t="shared" si="22"/>
        <v>✅</v>
      </c>
      <c r="G70" s="2" t="str">
        <f>IFERROR(__xludf.DUMMYFUNCTION("REGEXEXTRACT(PROPER(SUBSTITUTE(TRIM(I70),""."","" "")),""^[^@]+"")"),"Zack Lopez")</f>
        <v>Zack Lopez</v>
      </c>
      <c r="H70" s="10" t="str">
        <f t="shared" si="23"/>
        <v>zack.lopez@company.co.uk</v>
      </c>
      <c r="I70" s="2" t="s">
        <v>7123</v>
      </c>
      <c r="J70" s="9" t="str">
        <f>IFERROR(__xludf.DUMMYFUNCTION("IF(REGEXMATCH(TRIM(I70),""^[A-Za-z0-9._%+-]+@[A-Za-z0-9.-]+\.[A-Za-z]{2,}$""),""✅ Valid"",""❌ Invalid"")"),"✅ Valid")</f>
        <v>✅ Valid</v>
      </c>
      <c r="K70" s="17" t="s">
        <v>7710</v>
      </c>
      <c r="L70" s="2" t="str">
        <f>IFERROR(__xludf.DUMMYFUNCTION("IF(K70=""N/A"", """",
 REGEXREPLACE(
  SUBSTITUTE(SUBSTITUTE(SUBSTITUTE(TO_TEXT(K70), CHAR(160),""""), UNICHAR(8239),""""), UNICHAR(8201),""""),""[+\-/(): )]"", """"))"),"23866267")</f>
        <v>23866267</v>
      </c>
      <c r="M70" s="2" t="str">
        <f>IFERROR(__xludf.DUMMYFUNCTION("IF(L70="""","""", REGEXEXTRACT(REGEXREPLACE(L70,""x"", """"), ""[0-9]+""))"),"23866267")</f>
        <v>23866267</v>
      </c>
      <c r="N70" s="2" t="str">
        <f t="shared" si="30"/>
        <v>23866267</v>
      </c>
      <c r="O70" s="2" t="b">
        <f>IFERROR(__xludf.DUMMYFUNCTION("REGEXMATCH(TO_TEXT(N70), ""^(5[013679]|6[069]|7[2-9]|88)"")"),FALSE)</f>
        <v>0</v>
      </c>
      <c r="Q70" s="9" t="str">
        <f t="shared" si="29"/>
        <v>❌ INVALID</v>
      </c>
      <c r="R70" s="10" t="s">
        <v>25</v>
      </c>
      <c r="S70" s="12">
        <v>45128.0</v>
      </c>
      <c r="T70" s="2" t="str">
        <f>IFERROR(__xludf.DUMMYFUNCTION("IF(ISNUMBER(S70),TEXT(S70,""yyyy-MM-dd""),REGEXREPLACE(REGEXREPLACE(TO_TEXT(S70),""[^0-9a-zA-Z]+"",""-""),""[^0-9]*$"",""""))"),"2023-07-21")</f>
        <v>2023-07-21</v>
      </c>
      <c r="U70" s="2" t="s">
        <v>7125</v>
      </c>
      <c r="Y70" s="10" t="s">
        <v>7125</v>
      </c>
    </row>
    <row r="71" ht="15.75" customHeight="1">
      <c r="A71" s="2" t="s">
        <v>1456</v>
      </c>
      <c r="B71" s="9" t="s">
        <v>7597</v>
      </c>
      <c r="C71" s="2" t="s">
        <v>4044</v>
      </c>
      <c r="D71" s="10" t="str">
        <f>IFERROR(__xludf.DUMMYFUNCTION("PROPER(REGEXREPLACE(TRIM(C71),""\s+"","" ""))"),"Omar Lopez")</f>
        <v>Omar Lopez</v>
      </c>
      <c r="E71" s="2">
        <f>IFERROR(__xludf.DUMMYFUNCTION("IF(LEN(D71:D701),
  COUNTA(SPLIT(D71:D701,"" "")),
 """")"),2.0)</f>
        <v>2</v>
      </c>
      <c r="F71" s="9" t="str">
        <f t="shared" si="22"/>
        <v>✅</v>
      </c>
      <c r="G71" s="2" t="str">
        <f>IFERROR(__xludf.DUMMYFUNCTION("REGEXEXTRACT(PROPER(SUBSTITUTE(TRIM(I71),""."","" "")),""^[^@]+"")"),"Omar Lopez")</f>
        <v>Omar Lopez</v>
      </c>
      <c r="H71" s="10" t="str">
        <f t="shared" si="23"/>
        <v>omar.lopez@yahoo.com</v>
      </c>
      <c r="I71" s="2" t="s">
        <v>5406</v>
      </c>
      <c r="J71" s="9" t="str">
        <f>IFERROR(__xludf.DUMMYFUNCTION("IF(REGEXMATCH(TRIM(I71),""^[A-Za-z0-9._%+-]+@[A-Za-z0-9.-]+\.[A-Za-z]{2,}$""),""✅ Valid"",""❌ Invalid"")"),"✅ Valid")</f>
        <v>✅ Valid</v>
      </c>
      <c r="K71" s="11">
        <v>6.86511739E8</v>
      </c>
      <c r="L71" s="2" t="str">
        <f>IFERROR(__xludf.DUMMYFUNCTION("IF(OR(K71=""N/A"", K71=""missing"", K71=""none""), """",
 REGEXREPLACE(
  SUBSTITUTE(SUBSTITUTE(SUBSTITUTE(TO_TEXT(K71), CHAR(160),""""), UNICHAR(8239),""""), UNICHAR(8201),""""),""[+\-/(): )]"", """"))"),"686511739")</f>
        <v>686511739</v>
      </c>
      <c r="M71" s="2" t="str">
        <f>IFERROR(__xludf.DUMMYFUNCTION("IF(L71="""","""", REGEXEXTRACT(REGEXREPLACE(L71,""x"", """"), ""[0-9]+""))"),"686511739")</f>
        <v>686511739</v>
      </c>
      <c r="N71" s="2" t="str">
        <f>IF(LEFT(M71,2)="33", RIGHT(M71,LEN(M71)-2),M71)</f>
        <v>686511739</v>
      </c>
      <c r="O71" s="2" t="b">
        <f>IFERROR(__xludf.DUMMYFUNCTION("REGEXMATCH(TO_TEXT(N71), ""^0[67]"")"),FALSE)</f>
        <v>0</v>
      </c>
      <c r="P71" s="2">
        <f t="shared" ref="P71:P72" si="31">LEN(N71)</f>
        <v>9</v>
      </c>
      <c r="Q71" s="9" t="str">
        <f t="shared" si="29"/>
        <v>❌ INVALID</v>
      </c>
      <c r="R71" s="10" t="s">
        <v>58</v>
      </c>
      <c r="S71" s="12">
        <v>44982.0</v>
      </c>
      <c r="T71" s="2" t="str">
        <f>IFERROR(__xludf.DUMMYFUNCTION("IF(ISNUMBER(S71),TEXT(S71,""yyyy-MM-dd""),REGEXREPLACE(REGEXREPLACE(TO_TEXT(S71),""[^0-9a-zA-Z]+"",""-""),""[^0-9]*$"",""""))"),"2023-02-25")</f>
        <v>2023-02-25</v>
      </c>
      <c r="U71" s="2" t="s">
        <v>7711</v>
      </c>
      <c r="Y71" s="10" t="s">
        <v>7711</v>
      </c>
    </row>
    <row r="72" ht="15.75" customHeight="1">
      <c r="A72" s="2" t="s">
        <v>6427</v>
      </c>
      <c r="B72" s="9" t="s">
        <v>7597</v>
      </c>
      <c r="C72" s="2" t="s">
        <v>1457</v>
      </c>
      <c r="D72" s="10" t="str">
        <f>IFERROR(__xludf.DUMMYFUNCTION("PROPER(REGEXREPLACE(TRIM(C72),""\s+"","" ""))"),"Rita Williams")</f>
        <v>Rita Williams</v>
      </c>
      <c r="E72" s="2">
        <f>IFERROR(__xludf.DUMMYFUNCTION("IF(LEN(D72:D701),
  COUNTA(SPLIT(D72:D701,"" "")),
 """")"),2.0)</f>
        <v>2</v>
      </c>
      <c r="F72" s="9" t="str">
        <f t="shared" si="22"/>
        <v>✅</v>
      </c>
      <c r="G72" s="2" t="str">
        <f>IFERROR(__xludf.DUMMYFUNCTION("REGEXEXTRACT(PROPER(SUBSTITUTE(TRIM(I72),""."","" "")),""^[^@]+"")"),"Rita Williams")</f>
        <v>Rita Williams</v>
      </c>
      <c r="H72" s="10" t="str">
        <f t="shared" si="23"/>
        <v>rita.williams@yahoo.com</v>
      </c>
      <c r="I72" s="2" t="s">
        <v>1458</v>
      </c>
      <c r="J72" s="9" t="str">
        <f>IFERROR(__xludf.DUMMYFUNCTION("IF(REGEXMATCH(TRIM(I72),""^[A-Za-z0-9._%+-]+@[A-Za-z0-9.-]+\.[A-Za-z]{2,}$""),""✅ Valid"",""❌ Invalid"")"),"✅ Valid")</f>
        <v>✅ Valid</v>
      </c>
      <c r="K72" s="11">
        <v>9.8062194381E10</v>
      </c>
      <c r="L72" s="2" t="str">
        <f>IFERROR(__xludf.DUMMYFUNCTION("IF(OR(K72=""N/A"", K72=""missing"", K72=""none""), """",
 REGEXREPLACE(
  SUBSTITUTE(SUBSTITUTE(SUBSTITUTE(TO_TEXT(K72), CHAR(160),""""), UNICHAR(8239),""""), UNICHAR(8201),""""),""[+\-/(): )]"", """"))"),"98062194381")</f>
        <v>98062194381</v>
      </c>
      <c r="M72" s="2" t="str">
        <f>IFERROR(__xludf.DUMMYFUNCTION("IF(L72="""","""", REGEXEXTRACT(REGEXREPLACE(L72,""x"", """"), ""[0-9]+""))"),"98062194381")</f>
        <v>98062194381</v>
      </c>
      <c r="N72" s="2" t="str">
        <f>IF(LEFT(M72,2)="49", RIGHT(M72,LEN(M72)-2),M72)</f>
        <v>98062194381</v>
      </c>
      <c r="O72" s="2" t="b">
        <f>IFERROR(__xludf.DUMMYFUNCTION("REGEXMATCH(TO_TEXT(N72), ""^0(15|16|17)"")"),FALSE)</f>
        <v>0</v>
      </c>
      <c r="P72" s="2">
        <f t="shared" si="31"/>
        <v>11</v>
      </c>
      <c r="Q72" s="9" t="str">
        <f>IF(AND(O72=TRUE,OR(P72=10, P72=11)), "✅ VALID", "❌ INVALID")</f>
        <v>❌ INVALID</v>
      </c>
      <c r="R72" s="10" t="s">
        <v>459</v>
      </c>
      <c r="S72" s="12">
        <v>45718.0</v>
      </c>
      <c r="T72" s="2" t="str">
        <f>IFERROR(__xludf.DUMMYFUNCTION("IF(ISNUMBER(S72),TEXT(S72,""yyyy-MM-dd""),REGEXREPLACE(REGEXREPLACE(TO_TEXT(S72),""[^0-9a-zA-Z]+"",""-""),""[^0-9]*$"",""""))"),"2025-03-02")</f>
        <v>2025-03-02</v>
      </c>
      <c r="U72" s="2" t="s">
        <v>7712</v>
      </c>
      <c r="Y72" s="10" t="s">
        <v>7712</v>
      </c>
    </row>
    <row r="73" ht="15.75" customHeight="1">
      <c r="A73" s="2" t="s">
        <v>2414</v>
      </c>
      <c r="B73" s="9" t="s">
        <v>7597</v>
      </c>
      <c r="C73" s="2" t="s">
        <v>6428</v>
      </c>
      <c r="D73" s="10" t="str">
        <f>IFERROR(__xludf.DUMMYFUNCTION("PROPER(REGEXREPLACE(TRIM(C73),""\s+"","" ""))"),"Zack Kowalczyk")</f>
        <v>Zack Kowalczyk</v>
      </c>
      <c r="E73" s="2">
        <f>IFERROR(__xludf.DUMMYFUNCTION("IF(LEN(D73:D701),
  COUNTA(SPLIT(D73:D701,"" "")),
 """")"),2.0)</f>
        <v>2</v>
      </c>
      <c r="F73" s="9" t="str">
        <f t="shared" si="22"/>
        <v>✅</v>
      </c>
      <c r="G73" s="2" t="str">
        <f>IFERROR(__xludf.DUMMYFUNCTION("REGEXEXTRACT(PROPER(SUBSTITUTE(TRIM(I73),""."","" "")),""^[^@]+"")"),"Zack Kowalczyk")</f>
        <v>Zack Kowalczyk</v>
      </c>
      <c r="H73" s="10" t="str">
        <f t="shared" si="23"/>
        <v>zack.kowalczyk@company.co.uk</v>
      </c>
      <c r="I73" s="2" t="s">
        <v>6429</v>
      </c>
      <c r="J73" s="9" t="str">
        <f>IFERROR(__xludf.DUMMYFUNCTION("IF(REGEXMATCH(TRIM(I73),""^[A-Za-z0-9._%+-]+@[A-Za-z0-9.-]+\.[A-Za-z]{2,}$""),""✅ Valid"",""❌ Invalid"")"),"✅ Valid")</f>
        <v>✅ Valid</v>
      </c>
      <c r="K73" s="17" t="s">
        <v>7713</v>
      </c>
      <c r="L73" s="2" t="str">
        <f>IFERROR(__xludf.DUMMYFUNCTION("IF(K73=""N/A"", """",
 REGEXREPLACE(
  SUBSTITUTE(SUBSTITUTE(SUBSTITUTE(TO_TEXT(K73), CHAR(160),""""), UNICHAR(8239),""""), UNICHAR(8201),""""),""[+\-/(): )]"", """"))"),"4831399994")</f>
        <v>4831399994</v>
      </c>
      <c r="M73" s="2" t="str">
        <f>IFERROR(__xludf.DUMMYFUNCTION("IF(L73="""","""", REGEXEXTRACT(REGEXREPLACE(L73,""x"", """"), ""[0-9]+""))"),"4831399994")</f>
        <v>4831399994</v>
      </c>
      <c r="N73" s="2" t="str">
        <f>IF(LEFT(M73,2)="48", RIGHT(M73,LEN(M73)-2),M73)</f>
        <v>31399994</v>
      </c>
      <c r="O73" s="2" t="b">
        <f>IFERROR(__xludf.DUMMYFUNCTION("REGEXMATCH(TO_TEXT(N73), ""^(5[013679]|6[069]|7[2-9]|88)"")"),FALSE)</f>
        <v>0</v>
      </c>
      <c r="Q73" s="9" t="str">
        <f>IF(AND(O73=TRUE, P73=9), "✅ VALID", "❌ INVALID")</f>
        <v>❌ INVALID</v>
      </c>
      <c r="R73" s="10" t="s">
        <v>25</v>
      </c>
      <c r="S73" s="12" t="s">
        <v>6431</v>
      </c>
      <c r="T73" s="2" t="str">
        <f>IFERROR(__xludf.DUMMYFUNCTION("IF(ISNUMBER(S73),TEXT(S73,""yyyy-MM-dd""),REGEXREPLACE(REGEXREPLACE(TO_TEXT(S73),""[^0-9a-zA-Z]+"",""-""),""[^0-9]*$"",""""))"),"02-25-2025")</f>
        <v>02-25-2025</v>
      </c>
      <c r="U73" s="2" t="str">
        <f>TEXT(T73,"yyyy-MM-dd")</f>
        <v>02-25-2025</v>
      </c>
      <c r="V73" s="2" t="s">
        <v>7714</v>
      </c>
      <c r="Y73" s="10" t="s">
        <v>7714</v>
      </c>
    </row>
    <row r="74" ht="15.75" hidden="1" customHeight="1">
      <c r="A74" s="2" t="s">
        <v>172</v>
      </c>
      <c r="B74" s="9" t="s">
        <v>7597</v>
      </c>
      <c r="C74" s="2" t="s">
        <v>2415</v>
      </c>
      <c r="D74" s="2" t="str">
        <f>IFERROR(__xludf.DUMMYFUNCTION("PROPER(REGEXREPLACE(TRIM(C74),""\s+"","" ""))"),"Carlos Muller")</f>
        <v>Carlos Muller</v>
      </c>
      <c r="E74" s="2">
        <f>IFERROR(__xludf.DUMMYFUNCTION("IF(LEN(D74:D701),
  COUNTA(SPLIT(D74:D701,"" "")),
 """")"),2.0)</f>
        <v>2</v>
      </c>
      <c r="K74" s="2" t="s">
        <v>2416</v>
      </c>
      <c r="R74" s="10" t="s">
        <v>785</v>
      </c>
      <c r="S74" s="2" t="s">
        <v>6741</v>
      </c>
    </row>
    <row r="75" ht="15.75" customHeight="1">
      <c r="A75" s="2" t="s">
        <v>4146</v>
      </c>
      <c r="B75" s="9" t="s">
        <v>7597</v>
      </c>
      <c r="C75" s="2" t="s">
        <v>173</v>
      </c>
      <c r="D75" s="10" t="str">
        <f>IFERROR(__xludf.DUMMYFUNCTION("PROPER(REGEXREPLACE(TRIM(C75),""\s+"","" ""))"),"Wiktor Young")</f>
        <v>Wiktor Young</v>
      </c>
      <c r="E75" s="2">
        <f>IFERROR(__xludf.DUMMYFUNCTION("IF(LEN(D75:D701),
  COUNTA(SPLIT(D75:D701,"" "")),
 """")"),2.0)</f>
        <v>2</v>
      </c>
      <c r="F75" s="9" t="str">
        <f t="shared" ref="F75:F97" si="32">IF(D75=G75,"✅","❌")</f>
        <v>❌</v>
      </c>
      <c r="G75" s="2" t="s">
        <v>7715</v>
      </c>
      <c r="H75" s="10" t="str">
        <f t="shared" ref="H75:H97" si="33">LOWER(TRIM(I75))</f>
        <v>witkor.young@yahoo.com</v>
      </c>
      <c r="I75" s="2" t="s">
        <v>174</v>
      </c>
      <c r="J75" s="9" t="str">
        <f>IFERROR(__xludf.DUMMYFUNCTION("IF(REGEXMATCH(TRIM(I75),""^[A-Za-z0-9._%+-]+@[A-Za-z0-9.-]+\.[A-Za-z]{2,}$""),""✅ Valid"",""❌ Invalid"")"),"✅ Valid")</f>
        <v>✅ Valid</v>
      </c>
      <c r="K75" s="11">
        <v>3.346058891E9</v>
      </c>
      <c r="L75" s="2" t="str">
        <f>IFERROR(__xludf.DUMMYFUNCTION("IF(OR(K75=""N/A"", K75=""missing"", K75=""none""), """",
 REGEXREPLACE(
  SUBSTITUTE(SUBSTITUTE(SUBSTITUTE(TO_TEXT(K75), CHAR(160),""""), UNICHAR(8239),""""), UNICHAR(8201),""""),""[+\-/(): )]"", """"))"),"3346058891")</f>
        <v>3346058891</v>
      </c>
      <c r="M75" s="2" t="str">
        <f>IFERROR(__xludf.DUMMYFUNCTION("IF(L75="""","""", REGEXEXTRACT(REGEXREPLACE(L75,""x"", """"), ""[0-9]+""))"),"3346058891")</f>
        <v>3346058891</v>
      </c>
      <c r="N75" s="2" t="str">
        <f>IF(LEFT(M75,2)="33", RIGHT(M75,LEN(M75)-2),M75)</f>
        <v>46058891</v>
      </c>
      <c r="O75" s="2" t="b">
        <f>IFERROR(__xludf.DUMMYFUNCTION("REGEXMATCH(TO_TEXT(N75), ""^0[67]"")"),FALSE)</f>
        <v>0</v>
      </c>
      <c r="P75" s="2">
        <f t="shared" ref="P75:P97" si="34">LEN(N75)</f>
        <v>8</v>
      </c>
      <c r="Q75" s="9" t="str">
        <f>IF(AND(O75=TRUE, P75=9), "✅ VALID", "❌ INVALID")</f>
        <v>❌ INVALID</v>
      </c>
      <c r="R75" s="10" t="s">
        <v>58</v>
      </c>
      <c r="S75" s="12">
        <v>44919.0</v>
      </c>
      <c r="T75" s="2" t="str">
        <f>IFERROR(__xludf.DUMMYFUNCTION("IF(ISNUMBER(S75),TEXT(S75,""yyyy-MM-dd""),REGEXREPLACE(REGEXREPLACE(TO_TEXT(S75),""[^0-9a-zA-Z]+"",""-""),""[^0-9]*$"",""""))"),"2022-12-24")</f>
        <v>2022-12-24</v>
      </c>
      <c r="U75" s="2" t="s">
        <v>7716</v>
      </c>
      <c r="Y75" s="10" t="s">
        <v>7716</v>
      </c>
    </row>
    <row r="76" ht="15.75" customHeight="1">
      <c r="A76" s="2" t="s">
        <v>4513</v>
      </c>
      <c r="B76" s="9" t="s">
        <v>7597</v>
      </c>
      <c r="C76" s="2" t="s">
        <v>4147</v>
      </c>
      <c r="D76" s="10" t="str">
        <f>IFERROR(__xludf.DUMMYFUNCTION("PROPER(REGEXREPLACE(TRIM(C76),""\s+"","" ""))"),"Bella Kowalski")</f>
        <v>Bella Kowalski</v>
      </c>
      <c r="E76" s="2">
        <f>IFERROR(__xludf.DUMMYFUNCTION("IF(LEN(D76:D701),
  COUNTA(SPLIT(D76:D701,"" "")),
 """")"),2.0)</f>
        <v>2</v>
      </c>
      <c r="F76" s="9" t="str">
        <f t="shared" si="32"/>
        <v>✅</v>
      </c>
      <c r="G76" s="2" t="str">
        <f>IFERROR(__xludf.DUMMYFUNCTION("REGEXEXTRACT(PROPER(SUBSTITUTE(TRIM(I76),""."","" "")),""^[^@]+"")"),"Bella Kowalski")</f>
        <v>Bella Kowalski</v>
      </c>
      <c r="H76" s="10" t="str">
        <f t="shared" si="33"/>
        <v>bella.kowalski@outlook.com</v>
      </c>
      <c r="I76" s="2" t="s">
        <v>6999</v>
      </c>
      <c r="J76" s="9" t="str">
        <f>IFERROR(__xludf.DUMMYFUNCTION("IF(REGEXMATCH(TRIM(I76),""^[A-Za-z0-9._%+-]+@[A-Za-z0-9.-]+\.[A-Za-z]{2,}$""),""✅ Valid"",""❌ Invalid"")"),"✅ Valid")</f>
        <v>✅ Valid</v>
      </c>
      <c r="K76" s="13" t="s">
        <v>7717</v>
      </c>
      <c r="L76" s="2" t="str">
        <f>IFERROR(__xludf.DUMMYFUNCTION("IF(OR(K76=""N/A"", K76=""missing"", K76=""none""), """",
 REGEXREPLACE(
  SUBSTITUTE(SUBSTITUTE(SUBSTITUTE(TO_TEXT(K76), CHAR(160),""""), UNICHAR(8239),""""), UNICHAR(8201),""""),""[+\-/(): )]"", """"))"),"341x2756733")</f>
        <v>341x2756733</v>
      </c>
      <c r="M76" s="2" t="str">
        <f>IFERROR(__xludf.DUMMYFUNCTION("IF(L76="""","""", REGEXEXTRACT(REGEXREPLACE(L76,""x"", """"), ""[0-9]+""))"),"3412756733")</f>
        <v>3412756733</v>
      </c>
      <c r="N76" s="2" t="str">
        <f>IF(LEFT(M76,1)="1", RIGHT(M76,LEN(M76)-1),M76)</f>
        <v>3412756733</v>
      </c>
      <c r="O76" s="2" t="b">
        <f>IFERROR(__xludf.DUMMYFUNCTION("REGEXMATCH(TO_TEXT(N76), ""^[2-9][0-9]{9}$"")"),TRUE)</f>
        <v>1</v>
      </c>
      <c r="P76" s="2">
        <f t="shared" si="34"/>
        <v>10</v>
      </c>
      <c r="Q76" s="9" t="str">
        <f>IF(AND(O76=TRUE, P76=10), "✅ VALID", "❌ INVALID")</f>
        <v>✅ VALID</v>
      </c>
      <c r="R76" s="10" t="s">
        <v>199</v>
      </c>
      <c r="S76" s="12">
        <v>45800.33194444444</v>
      </c>
      <c r="T76" s="2" t="str">
        <f>IFERROR(__xludf.DUMMYFUNCTION("IF(ISNUMBER(S76),TEXT(S76,""yyyy-MM-dd""),REGEXREPLACE(REGEXREPLACE(TO_TEXT(S76),""[^0-9a-zA-Z]+"",""-""),""[^0-9]*$"",""""))"),"2025-05-23")</f>
        <v>2025-05-23</v>
      </c>
      <c r="U76" s="2" t="s">
        <v>7718</v>
      </c>
      <c r="Y76" s="10" t="s">
        <v>7718</v>
      </c>
    </row>
    <row r="77" ht="15.75" customHeight="1">
      <c r="A77" s="2" t="s">
        <v>7399</v>
      </c>
      <c r="B77" s="9" t="s">
        <v>7597</v>
      </c>
      <c r="C77" s="2" t="s">
        <v>4514</v>
      </c>
      <c r="D77" s="10" t="str">
        <f>IFERROR(__xludf.DUMMYFUNCTION("PROPER(REGEXREPLACE(TRIM(C77),""\s+"","" ""))"),"Daria Rossi")</f>
        <v>Daria Rossi</v>
      </c>
      <c r="E77" s="2">
        <f>IFERROR(__xludf.DUMMYFUNCTION("IF(LEN(D77:D701),
  COUNTA(SPLIT(D77:D701,"" "")),
 """")"),2.0)</f>
        <v>2</v>
      </c>
      <c r="F77" s="9" t="str">
        <f t="shared" si="32"/>
        <v>✅</v>
      </c>
      <c r="G77" s="2" t="str">
        <f>IFERROR(__xludf.DUMMYFUNCTION("REGEXEXTRACT(PROPER(SUBSTITUTE(TRIM(I77),""."","" "")),""^[^@]+"")"),"Daria Rossi")</f>
        <v>Daria Rossi</v>
      </c>
      <c r="H77" s="10" t="str">
        <f t="shared" si="33"/>
        <v>daria.rossi@outlook.com</v>
      </c>
      <c r="I77" s="2" t="s">
        <v>4515</v>
      </c>
      <c r="J77" s="9" t="str">
        <f>IFERROR(__xludf.DUMMYFUNCTION("IF(REGEXMATCH(TRIM(I77),""^[A-Za-z0-9._%+-]+@[A-Za-z0-9.-]+\.[A-Za-z]{2,}$""),""✅ Valid"",""❌ Invalid"")"),"✅ Valid")</f>
        <v>✅ Valid</v>
      </c>
      <c r="K77" s="13" t="s">
        <v>7719</v>
      </c>
      <c r="L77" s="2" t="str">
        <f>IFERROR(__xludf.DUMMYFUNCTION("IF(OR(K77=""N/A"", K77=""missing"", K77=""none""), """",
 REGEXREPLACE(
  SUBSTITUTE(SUBSTITUTE(SUBSTITUTE(TO_TEXT(K77), CHAR(160),""""), UNICHAR(8239),""""), UNICHAR(8201),""""),""[+\-/(): )]"", """"))"),"55264364")</f>
        <v>55264364</v>
      </c>
      <c r="M77" s="2" t="str">
        <f>IFERROR(__xludf.DUMMYFUNCTION("IF(L77="""","""", REGEXEXTRACT(REGEXREPLACE(L77,""x"", """"), ""[0-9]+""))"),"55264364")</f>
        <v>55264364</v>
      </c>
      <c r="N77" s="2" t="str">
        <f>IF(LEFT(M77,3)="353", RIGHT(M77,LEN(M77)-3),M77)</f>
        <v>55264364</v>
      </c>
      <c r="O77" s="2" t="b">
        <f>IFERROR(__xludf.DUMMYFUNCTION("REGEXMATCH(TO_TEXT(N77), ""^0(83|85|86|87|89)"")"),FALSE)</f>
        <v>0</v>
      </c>
      <c r="P77" s="2">
        <f t="shared" si="34"/>
        <v>8</v>
      </c>
      <c r="Q77" s="9" t="str">
        <f>IF(AND(O77=TRUE, P74=10), "✅ VALID", "❌ INVALID")</f>
        <v>❌ INVALID</v>
      </c>
      <c r="R77" s="10" t="s">
        <v>1177</v>
      </c>
      <c r="S77" s="12">
        <v>44658.0</v>
      </c>
      <c r="T77" s="2" t="str">
        <f>IFERROR(__xludf.DUMMYFUNCTION("IF(ISNUMBER(S77),TEXT(S77,""yyyy-MM-dd""),REGEXREPLACE(REGEXREPLACE(TO_TEXT(S77),""[^0-9a-zA-Z]+"",""-""),""[^0-9]*$"",""""))"),"2022-04-07")</f>
        <v>2022-04-07</v>
      </c>
      <c r="U77" s="2" t="s">
        <v>6397</v>
      </c>
      <c r="Y77" s="10" t="s">
        <v>6397</v>
      </c>
    </row>
    <row r="78" ht="15.75" customHeight="1">
      <c r="A78" s="2" t="s">
        <v>2722</v>
      </c>
      <c r="B78" s="9" t="s">
        <v>7597</v>
      </c>
      <c r="C78" s="2" t="s">
        <v>7400</v>
      </c>
      <c r="D78" s="10" t="str">
        <f>IFERROR(__xludf.DUMMYFUNCTION("PROPER(REGEXREPLACE(TRIM(C78),""\s+"","" ""))"),"Ethan Garcia")</f>
        <v>Ethan Garcia</v>
      </c>
      <c r="E78" s="2">
        <f>IFERROR(__xludf.DUMMYFUNCTION("IF(LEN(D78:D701),
  COUNTA(SPLIT(D78:D701,"" "")),
 """")"),2.0)</f>
        <v>2</v>
      </c>
      <c r="F78" s="9" t="str">
        <f t="shared" si="32"/>
        <v>✅</v>
      </c>
      <c r="G78" s="2" t="str">
        <f>IFERROR(__xludf.DUMMYFUNCTION("REGEXEXTRACT(PROPER(SUBSTITUTE(TRIM(I78),""."","" "")),""^[^@]+"")"),"Ethan Garcia")</f>
        <v>Ethan Garcia</v>
      </c>
      <c r="H78" s="10" t="str">
        <f t="shared" si="33"/>
        <v>ethan.garcia@company.co.uk</v>
      </c>
      <c r="I78" s="2" t="s">
        <v>7401</v>
      </c>
      <c r="J78" s="9" t="str">
        <f>IFERROR(__xludf.DUMMYFUNCTION("IF(REGEXMATCH(TRIM(I78),""^[A-Za-z0-9._%+-]+@[A-Za-z0-9.-]+\.[A-Za-z]{2,}$""),""✅ Valid"",""❌ Invalid"")"),"✅ Valid")</f>
        <v>✅ Valid</v>
      </c>
      <c r="K78" s="13" t="s">
        <v>7720</v>
      </c>
      <c r="L78" s="2" t="str">
        <f>IFERROR(__xludf.DUMMYFUNCTION("IF(OR(K78=""N/A"", K78=""missing"", K78=""none""), """",
 REGEXREPLACE(
  SUBSTITUTE(SUBSTITUTE(SUBSTITUTE(TO_TEXT(K78), CHAR(160),""""), UNICHAR(8239),""""), UNICHAR(8201),""""),""[+\-/(): )]"", """"))"),"33647944770")</f>
        <v>33647944770</v>
      </c>
      <c r="M78" s="2" t="str">
        <f>IFERROR(__xludf.DUMMYFUNCTION("IF(L78="""","""", REGEXEXTRACT(REGEXREPLACE(L78,""x"", """"), ""[0-9]+""))"),"33647944770")</f>
        <v>33647944770</v>
      </c>
      <c r="N78" s="2" t="str">
        <f>IF(LEFT(M78,2)="33", RIGHT(M78,LEN(M78)-2),M78)</f>
        <v>647944770</v>
      </c>
      <c r="O78" s="2" t="b">
        <f>IFERROR(__xludf.DUMMYFUNCTION("REGEXMATCH(TO_TEXT(N78), ""^0[67]"")"),FALSE)</f>
        <v>0</v>
      </c>
      <c r="P78" s="2">
        <f t="shared" si="34"/>
        <v>9</v>
      </c>
      <c r="Q78" s="9" t="str">
        <f>IF(AND(O78=TRUE, P78=9), "✅ VALID", "❌ INVALID")</f>
        <v>❌ INVALID</v>
      </c>
      <c r="R78" s="10" t="s">
        <v>58</v>
      </c>
      <c r="S78" s="12">
        <v>45668.0</v>
      </c>
      <c r="T78" s="2" t="str">
        <f>IFERROR(__xludf.DUMMYFUNCTION("IF(ISNUMBER(S78),TEXT(S78,""yyyy-MM-dd""),REGEXREPLACE(REGEXREPLACE(TO_TEXT(S78),""[^0-9a-zA-Z]+"",""-""),""[^0-9]*$"",""""))"),"2025-01-11")</f>
        <v>2025-01-11</v>
      </c>
      <c r="U78" s="2" t="s">
        <v>4008</v>
      </c>
      <c r="Y78" s="10" t="s">
        <v>4008</v>
      </c>
    </row>
    <row r="79" ht="15.75" customHeight="1">
      <c r="A79" s="2" t="s">
        <v>123</v>
      </c>
      <c r="B79" s="9" t="s">
        <v>7597</v>
      </c>
      <c r="C79" s="2" t="s">
        <v>717</v>
      </c>
      <c r="D79" s="10" t="str">
        <f>IFERROR(__xludf.DUMMYFUNCTION("PROPER(REGEXREPLACE(TRIM(C79),""\s+"","" ""))"),"Carlos Davis")</f>
        <v>Carlos Davis</v>
      </c>
      <c r="E79" s="2">
        <f>IFERROR(__xludf.DUMMYFUNCTION("IF(LEN(D79:D701),
  COUNTA(SPLIT(D79:D701,"" "")),
 """")"),2.0)</f>
        <v>2</v>
      </c>
      <c r="F79" s="9" t="str">
        <f t="shared" si="32"/>
        <v>✅</v>
      </c>
      <c r="G79" s="2" t="str">
        <f>IFERROR(__xludf.DUMMYFUNCTION("REGEXEXTRACT(PROPER(SUBSTITUTE(TRIM(I79),""."","" "")),""^[^@]+"")"),"Carlos Davis")</f>
        <v>Carlos Davis</v>
      </c>
      <c r="H79" s="10" t="str">
        <f t="shared" si="33"/>
        <v>carlos.davis@yahoo.com</v>
      </c>
      <c r="I79" s="2" t="s">
        <v>2723</v>
      </c>
      <c r="J79" s="9" t="str">
        <f>IFERROR(__xludf.DUMMYFUNCTION("IF(REGEXMATCH(TRIM(I79),""^[A-Za-z0-9._%+-]+@[A-Za-z0-9.-]+\.[A-Za-z]{2,}$""),""✅ Valid"",""❌ Invalid"")"),"✅ Valid")</f>
        <v>✅ Valid</v>
      </c>
      <c r="K79" s="13" t="s">
        <v>7629</v>
      </c>
      <c r="L79" s="2" t="str">
        <f>IFERROR(__xludf.DUMMYFUNCTION("IF(OR(K79=""N/A"", K79=""missing"", K79=""none""), """",
 REGEXREPLACE(
  SUBSTITUTE(SUBSTITUTE(SUBSTITUTE(TO_TEXT(K79), CHAR(160),""""), UNICHAR(8239),""""), UNICHAR(8201),""""),""[+\-/(): )]"", """"))"),"")</f>
        <v/>
      </c>
      <c r="M79" s="2" t="str">
        <f>IFERROR(__xludf.DUMMYFUNCTION("IF(L79="""","""", REGEXEXTRACT(REGEXREPLACE(L79,""x"", """"), ""[0-9]+""))"),"")</f>
        <v/>
      </c>
      <c r="N79" s="2" t="str">
        <f>IF(LEFT(M79,2)="44", RIGHT(M79,LEN(M79)-2),M79)</f>
        <v/>
      </c>
      <c r="O79" s="2" t="b">
        <f>IFERROR(__xludf.DUMMYFUNCTION("REGEXMATCH(TO_TEXT(N79), ""^07[1-57-9]"")"),FALSE)</f>
        <v>0</v>
      </c>
      <c r="P79" s="2">
        <f t="shared" si="34"/>
        <v>0</v>
      </c>
      <c r="Q79" s="9" t="str">
        <f>IF(AND(O79=TRUE, P79=11), "✅ VALID", "❌ INVALID")</f>
        <v>❌ INVALID</v>
      </c>
      <c r="R79" s="10" t="s">
        <v>114</v>
      </c>
      <c r="S79" s="12" t="s">
        <v>7219</v>
      </c>
      <c r="T79" s="2" t="str">
        <f>IFERROR(__xludf.DUMMYFUNCTION("IF(ISNUMBER(S79),TEXT(S79,""yyyy-MM-dd""),REGEXREPLACE(REGEXREPLACE(TO_TEXT(S79),""[^0-9a-zA-Z]+"",""-""),""[^0-9]*$"",""""))"),"03-04-2025")</f>
        <v>03-04-2025</v>
      </c>
      <c r="U79" s="2" t="s">
        <v>7721</v>
      </c>
      <c r="Y79" s="10" t="s">
        <v>7721</v>
      </c>
    </row>
    <row r="80" ht="15.75" customHeight="1">
      <c r="A80" s="2" t="s">
        <v>3688</v>
      </c>
      <c r="B80" s="9" t="s">
        <v>7597</v>
      </c>
      <c r="C80" s="2" t="s">
        <v>124</v>
      </c>
      <c r="D80" s="10" t="str">
        <f>IFERROR(__xludf.DUMMYFUNCTION("PROPER(REGEXREPLACE(TRIM(C80),""\s+"","" ""))"),"Tara Khan")</f>
        <v>Tara Khan</v>
      </c>
      <c r="E80" s="2">
        <f>IFERROR(__xludf.DUMMYFUNCTION("IF(LEN(D80:D701),
  COUNTA(SPLIT(D80:D701,"" "")),
 """")"),2.0)</f>
        <v>2</v>
      </c>
      <c r="F80" s="9" t="str">
        <f t="shared" si="32"/>
        <v>✅</v>
      </c>
      <c r="G80" s="2" t="str">
        <f>IFERROR(__xludf.DUMMYFUNCTION("REGEXEXTRACT(PROPER(SUBSTITUTE(TRIM(I80),""."","" "")),""^[^@]+"")"),"Tara Khan")</f>
        <v>Tara Khan</v>
      </c>
      <c r="H80" s="10" t="str">
        <f t="shared" si="33"/>
        <v>tara.khan@company.co.uk</v>
      </c>
      <c r="I80" s="2" t="s">
        <v>125</v>
      </c>
      <c r="J80" s="9" t="str">
        <f>IFERROR(__xludf.DUMMYFUNCTION("IF(REGEXMATCH(TRIM(I80),""^[A-Za-z0-9._%+-]+@[A-Za-z0-9.-]+\.[A-Za-z]{2,}$""),""✅ Valid"",""❌ Invalid"")"),"✅ Valid")</f>
        <v>✅ Valid</v>
      </c>
      <c r="K80" s="13" t="s">
        <v>7722</v>
      </c>
      <c r="L80" s="2" t="str">
        <f>IFERROR(__xludf.DUMMYFUNCTION("IF(OR(K80=""N/A"", K80=""missing"", K80=""none""), """",
 REGEXREPLACE(
  SUBSTITUTE(SUBSTITUTE(SUBSTITUTE(TO_TEXT(K80), CHAR(160),""""), UNICHAR(8239),""""), UNICHAR(8201),""""),""[+\-/(): )]"", """"))"),"3538375201287")</f>
        <v>3538375201287</v>
      </c>
      <c r="M80" s="2" t="str">
        <f>IFERROR(__xludf.DUMMYFUNCTION("IF(L80="""","""", REGEXEXTRACT(REGEXREPLACE(L80,""x"", """"), ""[0-9]+""))"),"3538375201287")</f>
        <v>3538375201287</v>
      </c>
      <c r="N80" s="2" t="str">
        <f>IF(LEFT(M80,3)="353", RIGHT(M80,LEN(M80)-3),M80)</f>
        <v>8375201287</v>
      </c>
      <c r="O80" s="2" t="b">
        <f>IFERROR(__xludf.DUMMYFUNCTION("REGEXMATCH(TO_TEXT(N80), ""^0(83|85|86|87|89)"")"),FALSE)</f>
        <v>0</v>
      </c>
      <c r="P80" s="2">
        <f t="shared" si="34"/>
        <v>10</v>
      </c>
      <c r="Q80" s="9" t="str">
        <f>IF(AND(O80=TRUE, P77=10), "✅ VALID", "❌ INVALID")</f>
        <v>❌ INVALID</v>
      </c>
      <c r="R80" s="10" t="s">
        <v>1177</v>
      </c>
      <c r="S80" s="12" t="s">
        <v>7126</v>
      </c>
      <c r="T80" s="2" t="str">
        <f>IFERROR(__xludf.DUMMYFUNCTION("IF(ISNUMBER(S80),TEXT(S80,""yyyy-MM-dd""),REGEXREPLACE(REGEXREPLACE(TO_TEXT(S80),""[^0-9a-zA-Z]+"",""-""),""[^0-9]*$"",""""))"),"06-19-2023")</f>
        <v>06-19-2023</v>
      </c>
      <c r="U80" s="2" t="str">
        <f t="shared" ref="U80:U81" si="35">TEXT(T80,"yyyy-MM-dd")</f>
        <v>06-19-2023</v>
      </c>
      <c r="V80" s="2" t="s">
        <v>7723</v>
      </c>
      <c r="Y80" s="10" t="s">
        <v>7723</v>
      </c>
    </row>
    <row r="81" ht="15.75" customHeight="1">
      <c r="A81" s="2" t="s">
        <v>2648</v>
      </c>
      <c r="B81" s="9" t="s">
        <v>7597</v>
      </c>
      <c r="C81" s="2" t="s">
        <v>361</v>
      </c>
      <c r="D81" s="10" t="str">
        <f>IFERROR(__xludf.DUMMYFUNCTION("PROPER(REGEXREPLACE(TRIM(C81),""\s+"","" ""))"),"Adam Kowalczyk")</f>
        <v>Adam Kowalczyk</v>
      </c>
      <c r="E81" s="2">
        <f>IFERROR(__xludf.DUMMYFUNCTION("IF(LEN(D81:D701),
  COUNTA(SPLIT(D81:D701,"" "")),
 """")"),2.0)</f>
        <v>2</v>
      </c>
      <c r="F81" s="9" t="str">
        <f t="shared" si="32"/>
        <v>✅</v>
      </c>
      <c r="G81" s="2" t="str">
        <f>IFERROR(__xludf.DUMMYFUNCTION("REGEXEXTRACT(PROPER(SUBSTITUTE(TRIM(I81),""."","" "")),""^[^@]+"")"),"Adam Kowalczyk")</f>
        <v>Adam Kowalczyk</v>
      </c>
      <c r="H81" s="10" t="str">
        <f t="shared" si="33"/>
        <v>adam.kowalczyk@example.com</v>
      </c>
      <c r="I81" s="2" t="s">
        <v>3689</v>
      </c>
      <c r="J81" s="9" t="str">
        <f>IFERROR(__xludf.DUMMYFUNCTION("IF(REGEXMATCH(TRIM(I81),""^[A-Za-z0-9._%+-]+@[A-Za-z0-9.-]+\.[A-Za-z]{2,}$""),""✅ Valid"",""❌ Invalid"")"),"✅ Valid")</f>
        <v>✅ Valid</v>
      </c>
      <c r="K81" s="13" t="s">
        <v>7724</v>
      </c>
      <c r="L81" s="2" t="str">
        <f>IFERROR(__xludf.DUMMYFUNCTION("IF(OR(K81=""N/A"", K81=""missing"", K81=""none""), """",
 REGEXREPLACE(
  SUBSTITUTE(SUBSTITUTE(SUBSTITUTE(TO_TEXT(K81), CHAR(160),""""), UNICHAR(8239),""""), UNICHAR(8201),""""),""[+\-/(): )]"", """"))"),"350382681")</f>
        <v>350382681</v>
      </c>
      <c r="M81" s="2" t="str">
        <f>IFERROR(__xludf.DUMMYFUNCTION("IF(L81="""","""", REGEXEXTRACT(REGEXREPLACE(L81,""x"", """"), ""[0-9]+""))"),"350382681")</f>
        <v>350382681</v>
      </c>
      <c r="N81" s="2" t="str">
        <f>IF(LEFT(M81,2)="39", RIGHT(M81,LEN(M81)-2),M81)</f>
        <v>350382681</v>
      </c>
      <c r="O81" s="2" t="b">
        <f>IFERROR(__xludf.DUMMYFUNCTION("REGEXMATCH(TO_TEXT(N81), ""^3"")"),TRUE)</f>
        <v>1</v>
      </c>
      <c r="P81" s="2">
        <f t="shared" si="34"/>
        <v>9</v>
      </c>
      <c r="Q81" s="9" t="str">
        <f>IF(AND(O81=TRUE,OR(P81=9, P81=10 )), "✅ VALID", "❌ INVALID")</f>
        <v>✅ VALID</v>
      </c>
      <c r="R81" s="10" t="s">
        <v>785</v>
      </c>
      <c r="S81" s="12" t="s">
        <v>7111</v>
      </c>
      <c r="T81" s="2" t="str">
        <f>IFERROR(__xludf.DUMMYFUNCTION("IF(ISNUMBER(S81),TEXT(S81,""yyyy-MM-dd""),REGEXREPLACE(REGEXREPLACE(TO_TEXT(S81),""[^0-9a-zA-Z]+"",""-""),""[^0-9]*$"",""""))"),"03-16-2022")</f>
        <v>03-16-2022</v>
      </c>
      <c r="U81" s="2" t="str">
        <f t="shared" si="35"/>
        <v>03-16-2022</v>
      </c>
      <c r="V81" s="2" t="s">
        <v>7725</v>
      </c>
      <c r="Y81" s="10" t="s">
        <v>7725</v>
      </c>
    </row>
    <row r="82" ht="15.75" customHeight="1">
      <c r="A82" s="2" t="s">
        <v>5944</v>
      </c>
      <c r="B82" s="9" t="s">
        <v>7597</v>
      </c>
      <c r="C82" s="2" t="s">
        <v>2649</v>
      </c>
      <c r="D82" s="10" t="str">
        <f>IFERROR(__xludf.DUMMYFUNCTION("PROPER(REGEXREPLACE(TRIM(C82),""\s+"","" ""))"),"Hanna Johnson")</f>
        <v>Hanna Johnson</v>
      </c>
      <c r="E82" s="2">
        <f>IFERROR(__xludf.DUMMYFUNCTION("IF(LEN(D82:D701),
  COUNTA(SPLIT(D82:D701,"" "")),
 """")"),2.0)</f>
        <v>2</v>
      </c>
      <c r="F82" s="9" t="str">
        <f t="shared" si="32"/>
        <v>✅</v>
      </c>
      <c r="G82" s="2" t="str">
        <f>IFERROR(__xludf.DUMMYFUNCTION("REGEXEXTRACT(PROPER(SUBSTITUTE(TRIM(I82),""."","" "")),""^[^@]+"")"),"Hanna Johnson")</f>
        <v>Hanna Johnson</v>
      </c>
      <c r="H82" s="10" t="str">
        <f t="shared" si="33"/>
        <v>hanna.johnson@shop.io</v>
      </c>
      <c r="I82" s="2" t="s">
        <v>2650</v>
      </c>
      <c r="J82" s="9" t="str">
        <f>IFERROR(__xludf.DUMMYFUNCTION("IF(REGEXMATCH(TRIM(I82),""^[A-Za-z0-9._%+-]+@[A-Za-z0-9.-]+\.[A-Za-z]{2,}$""),""✅ Valid"",""❌ Invalid"")"),"✅ Valid")</f>
        <v>✅ Valid</v>
      </c>
      <c r="K82" s="15" t="s">
        <v>7726</v>
      </c>
      <c r="L82" s="2" t="str">
        <f>IFERROR(__xludf.DUMMYFUNCTION("IF(K82=""N/A"", """",
 REGEXREPLACE(
  SUBSTITUTE(SUBSTITUTE(SUBSTITUTE(TO_TEXT(K82), CHAR(160),""""), UNICHAR(8239),""""), UNICHAR(8201),""""),""[+\-/(): )]"", """"))"),"4859490742")</f>
        <v>4859490742</v>
      </c>
      <c r="M82" s="2" t="str">
        <f>IFERROR(__xludf.DUMMYFUNCTION("IF(L82="""","""", REGEXEXTRACT(REGEXREPLACE(L82,""x"", """"), ""[0-9]+""))"),"4859490742")</f>
        <v>4859490742</v>
      </c>
      <c r="N82" s="2" t="str">
        <f>IF(LEFT(M82,2)="48", RIGHT(M82,LEN(M82)-2),M82)</f>
        <v>59490742</v>
      </c>
      <c r="O82" s="2" t="b">
        <f>IFERROR(__xludf.DUMMYFUNCTION("REGEXMATCH(TO_TEXT(N82), ""^(5[013679]|6[069]|7[2-9]|88)"")"),TRUE)</f>
        <v>1</v>
      </c>
      <c r="P82" s="2">
        <f t="shared" si="34"/>
        <v>8</v>
      </c>
      <c r="Q82" s="9" t="str">
        <f>IF(AND(O82=TRUE, P82=9), "✅ VALID", "❌ INVALID")</f>
        <v>❌ INVALID</v>
      </c>
      <c r="R82" s="10" t="s">
        <v>25</v>
      </c>
      <c r="S82" s="12">
        <v>45208.0</v>
      </c>
      <c r="T82" s="2" t="str">
        <f>IFERROR(__xludf.DUMMYFUNCTION("IF(ISNUMBER(S82),TEXT(S82,""yyyy-MM-dd""),REGEXREPLACE(REGEXREPLACE(TO_TEXT(S82),""[^0-9a-zA-Z]+"",""-""),""[^0-9]*$"",""""))"),"2023-10-09")</f>
        <v>2023-10-09</v>
      </c>
      <c r="U82" s="2" t="s">
        <v>1710</v>
      </c>
      <c r="Y82" s="10" t="s">
        <v>1710</v>
      </c>
    </row>
    <row r="83" ht="15.75" customHeight="1">
      <c r="A83" s="2" t="s">
        <v>2601</v>
      </c>
      <c r="B83" s="9" t="s">
        <v>7597</v>
      </c>
      <c r="C83" s="2" t="s">
        <v>5945</v>
      </c>
      <c r="D83" s="10" t="str">
        <f>IFERROR(__xludf.DUMMYFUNCTION("PROPER(REGEXREPLACE(TRIM(C83),""\s+"","" ""))"),"Carlos Garcia")</f>
        <v>Carlos Garcia</v>
      </c>
      <c r="E83" s="2">
        <f>IFERROR(__xludf.DUMMYFUNCTION("IF(LEN(D83:D701),
  COUNTA(SPLIT(D83:D701,"" "")),
 """")"),2.0)</f>
        <v>2</v>
      </c>
      <c r="F83" s="9" t="str">
        <f t="shared" si="32"/>
        <v>✅</v>
      </c>
      <c r="G83" s="2" t="str">
        <f>IFERROR(__xludf.DUMMYFUNCTION("REGEXEXTRACT(PROPER(SUBSTITUTE(TRIM(I83),""."","" "")),""^[^@]+"")"),"Carlos Garcia")</f>
        <v>Carlos Garcia</v>
      </c>
      <c r="H83" s="10" t="str">
        <f t="shared" si="33"/>
        <v>carlos.garcia@shop.io</v>
      </c>
      <c r="I83" s="2" t="s">
        <v>5946</v>
      </c>
      <c r="J83" s="9" t="str">
        <f>IFERROR(__xludf.DUMMYFUNCTION("IF(REGEXMATCH(TRIM(I83),""^[A-Za-z0-9._%+-]+@[A-Za-z0-9.-]+\.[A-Za-z]{2,}$""),""✅ Valid"",""❌ Invalid"")"),"✅ Valid")</f>
        <v>✅ Valid</v>
      </c>
      <c r="K83" s="13" t="s">
        <v>7727</v>
      </c>
      <c r="L83" s="2" t="str">
        <f>IFERROR(__xludf.DUMMYFUNCTION("IF(OR(K83=""N/A"", K83=""missing"", K83=""none""), """",
 REGEXREPLACE(
  SUBSTITUTE(SUBSTITUTE(SUBSTITUTE(TO_TEXT(K83), CHAR(160),""""), UNICHAR(8239),""""), UNICHAR(8201),""""),""[+\-/(): )]"", """"))"),"198555230927")</f>
        <v>198555230927</v>
      </c>
      <c r="M83" s="2" t="str">
        <f>IFERROR(__xludf.DUMMYFUNCTION("IF(L83="""","""", REGEXEXTRACT(REGEXREPLACE(L83,""x"", """"), ""[0-9]+""))"),"198555230927")</f>
        <v>198555230927</v>
      </c>
      <c r="N83" s="2" t="str">
        <f>IF(LEFT(M83,1)="1", RIGHT(M83,LEN(M83)-1),M83)</f>
        <v>98555230927</v>
      </c>
      <c r="O83" s="2" t="b">
        <f>IFERROR(__xludf.DUMMYFUNCTION("REGEXMATCH(TO_TEXT(N83), ""^[2-9][0-9]{9}$"")"),FALSE)</f>
        <v>0</v>
      </c>
      <c r="P83" s="2">
        <f t="shared" si="34"/>
        <v>11</v>
      </c>
      <c r="Q83" s="9" t="str">
        <f>IF(AND(O83=TRUE, P83=10), "✅ VALID", "❌ INVALID")</f>
        <v>❌ INVALID</v>
      </c>
      <c r="R83" s="10" t="s">
        <v>199</v>
      </c>
      <c r="S83" s="12" t="s">
        <v>6811</v>
      </c>
      <c r="T83" s="2" t="str">
        <f>IFERROR(__xludf.DUMMYFUNCTION("IF(ISNUMBER(S83),TEXT(S83,""yyyy-MM-dd""),REGEXREPLACE(REGEXREPLACE(TO_TEXT(S83),""[^0-9a-zA-Z]+"",""-""),""[^0-9]*$"",""""))"),"45915-11-21")</f>
        <v>45915-11-21</v>
      </c>
      <c r="U83" s="2" t="str">
        <f t="shared" ref="U83:U84" si="36">TEXT(T83,"yyyy-MM-dd")</f>
        <v>45915-11-21</v>
      </c>
      <c r="V83" s="2" t="str">
        <f>CONCATENATE(LEFT(U83,5))</f>
        <v>45915</v>
      </c>
      <c r="W83" s="14">
        <f>DATE(1900,1,1) + V83 - 1</f>
        <v>45916</v>
      </c>
      <c r="X83" s="2" t="s">
        <v>7728</v>
      </c>
      <c r="Y83" s="10" t="s">
        <v>7728</v>
      </c>
    </row>
    <row r="84" ht="15.75" customHeight="1">
      <c r="A84" s="2" t="s">
        <v>84</v>
      </c>
      <c r="B84" s="9" t="s">
        <v>7597</v>
      </c>
      <c r="C84" s="2" t="s">
        <v>2602</v>
      </c>
      <c r="D84" s="10" t="str">
        <f>IFERROR(__xludf.DUMMYFUNCTION("PROPER(REGEXREPLACE(TRIM(C84),""\s+"","" ""))"),"Adam Lee")</f>
        <v>Adam Lee</v>
      </c>
      <c r="E84" s="2">
        <f>IFERROR(__xludf.DUMMYFUNCTION("IF(LEN(D84:D701),
  COUNTA(SPLIT(D84:D701,"" "")),
 """")"),2.0)</f>
        <v>2</v>
      </c>
      <c r="F84" s="9" t="str">
        <f t="shared" si="32"/>
        <v>✅</v>
      </c>
      <c r="G84" s="2" t="str">
        <f>IFERROR(__xludf.DUMMYFUNCTION("REGEXEXTRACT(PROPER(SUBSTITUTE(TRIM(I84),""."","" "")),""^[^@]+"")"),"Adam Lee")</f>
        <v>Adam Lee</v>
      </c>
      <c r="H84" s="10" t="str">
        <f t="shared" si="33"/>
        <v>adam.lee@shop.io</v>
      </c>
      <c r="I84" s="2" t="s">
        <v>2603</v>
      </c>
      <c r="J84" s="9" t="str">
        <f>IFERROR(__xludf.DUMMYFUNCTION("IF(REGEXMATCH(TRIM(I84),""^[A-Za-z0-9._%+-]+@[A-Za-z0-9.-]+\.[A-Za-z]{2,}$""),""✅ Valid"",""❌ Invalid"")"),"✅ Valid")</f>
        <v>✅ Valid</v>
      </c>
      <c r="K84" s="13" t="s">
        <v>7729</v>
      </c>
      <c r="L84" s="2" t="str">
        <f>IFERROR(__xludf.DUMMYFUNCTION("IF(OR(K84=""N/A"", K84=""missing"", K84=""none""), """",
 REGEXREPLACE(
  SUBSTITUTE(SUBSTITUTE(SUBSTITUTE(TO_TEXT(K84), CHAR(160),""""), UNICHAR(8239),""""), UNICHAR(8201),""""),""[+\-/(): )]"", """"))"),"tel3301936724")</f>
        <v>tel3301936724</v>
      </c>
      <c r="M84" s="2" t="str">
        <f>IFERROR(__xludf.DUMMYFUNCTION("IF(L84="""","""", REGEXEXTRACT(REGEXREPLACE(L84,""x"", """"), ""[0-9]+""))"),"3301936724")</f>
        <v>3301936724</v>
      </c>
      <c r="N84" s="2" t="str">
        <f>IF(LEFT(M84,2)="33", RIGHT(M84,LEN(M84)-2),M84)</f>
        <v>01936724</v>
      </c>
      <c r="O84" s="2" t="b">
        <f>IFERROR(__xludf.DUMMYFUNCTION("REGEXMATCH(TO_TEXT(N84), ""^0[67]"")"),FALSE)</f>
        <v>0</v>
      </c>
      <c r="P84" s="2">
        <f t="shared" si="34"/>
        <v>8</v>
      </c>
      <c r="Q84" s="9" t="str">
        <f>IF(AND(O84=TRUE, P84=9), "✅ VALID", "❌ INVALID")</f>
        <v>❌ INVALID</v>
      </c>
      <c r="R84" s="10" t="s">
        <v>58</v>
      </c>
      <c r="S84" s="12" t="s">
        <v>6909</v>
      </c>
      <c r="T84" s="2" t="str">
        <f>IFERROR(__xludf.DUMMYFUNCTION("IF(ISNUMBER(S84),TEXT(S84,""yyyy-MM-dd""),REGEXREPLACE(REGEXREPLACE(TO_TEXT(S84),""[^0-9a-zA-Z]+"",""-""),""[^0-9]*$"",""""))"),"14-09-2022-23-38")</f>
        <v>14-09-2022-23-38</v>
      </c>
      <c r="U84" s="2" t="str">
        <f t="shared" si="36"/>
        <v>14-09-2022-23-38</v>
      </c>
      <c r="V84" s="2" t="str">
        <f>IFERROR(__xludf.DUMMYFUNCTION("REGEXEXTRACT(U84,""^\d{2}-\d{2}-\d{4}"")"),"14-09-2022")</f>
        <v>14-09-2022</v>
      </c>
      <c r="W84" s="2" t="s">
        <v>7730</v>
      </c>
      <c r="Y84" s="10" t="s">
        <v>7730</v>
      </c>
    </row>
    <row r="85" ht="15.75" customHeight="1">
      <c r="A85" s="2" t="s">
        <v>4206</v>
      </c>
      <c r="B85" s="9" t="s">
        <v>7597</v>
      </c>
      <c r="C85" s="2" t="s">
        <v>85</v>
      </c>
      <c r="D85" s="10" t="str">
        <f>IFERROR(__xludf.DUMMYFUNCTION("PROPER(REGEXREPLACE(TRIM(C85),""\s+"","" ""))"),"Qi Smith")</f>
        <v>Qi Smith</v>
      </c>
      <c r="E85" s="2">
        <f>IFERROR(__xludf.DUMMYFUNCTION("IF(LEN(D85:D701),
  COUNTA(SPLIT(D85:D701,"" "")),
 """")"),2.0)</f>
        <v>2</v>
      </c>
      <c r="F85" s="9" t="str">
        <f t="shared" si="32"/>
        <v>✅</v>
      </c>
      <c r="G85" s="2" t="str">
        <f>IFERROR(__xludf.DUMMYFUNCTION("REGEXEXTRACT(PROPER(SUBSTITUTE(TRIM(I85),""."","" "")),""^[^@]+"")"),"Qi Smith")</f>
        <v>Qi Smith</v>
      </c>
      <c r="H85" s="10" t="str">
        <f t="shared" si="33"/>
        <v>qi.smith@gmail.com</v>
      </c>
      <c r="I85" s="2" t="s">
        <v>86</v>
      </c>
      <c r="J85" s="9" t="str">
        <f>IFERROR(__xludf.DUMMYFUNCTION("IF(REGEXMATCH(TRIM(I85),""^[A-Za-z0-9._%+-]+@[A-Za-z0-9.-]+\.[A-Za-z]{2,}$""),""✅ Valid"",""❌ Invalid"")"),"✅ Valid")</f>
        <v>✅ Valid</v>
      </c>
      <c r="K85" s="13" t="s">
        <v>7731</v>
      </c>
      <c r="L85" s="2" t="str">
        <f>IFERROR(__xludf.DUMMYFUNCTION("IF(OR(K85=""N/A"", K85=""missing"", K85=""none""), """",
 REGEXREPLACE(
  SUBSTITUTE(SUBSTITUTE(SUBSTITUTE(TO_TEXT(K85), CHAR(160),""""), UNICHAR(8239),""""), UNICHAR(8201),""""),""[+\-/(): )]"", """"))"),"160970247")</f>
        <v>160970247</v>
      </c>
      <c r="M85" s="2" t="str">
        <f>IFERROR(__xludf.DUMMYFUNCTION("IF(L85="""","""", REGEXEXTRACT(REGEXREPLACE(L85,""x"", """"), ""[0-9]+""))"),"160970247")</f>
        <v>160970247</v>
      </c>
      <c r="N85" s="2" t="str">
        <f>IF(LEFT(M85,3)="353", RIGHT(M85,LEN(M85)-3),M85)</f>
        <v>160970247</v>
      </c>
      <c r="O85" s="2" t="b">
        <f>IFERROR(__xludf.DUMMYFUNCTION("REGEXMATCH(TO_TEXT(N85), ""^0(83|85|86|87|89)"")"),FALSE)</f>
        <v>0</v>
      </c>
      <c r="P85" s="2">
        <f t="shared" si="34"/>
        <v>9</v>
      </c>
      <c r="Q85" s="9" t="str">
        <f>IF(AND(O85=TRUE, P82=10), "✅ VALID", "❌ INVALID")</f>
        <v>❌ INVALID</v>
      </c>
      <c r="R85" s="10" t="s">
        <v>1177</v>
      </c>
      <c r="S85" s="12">
        <v>45548.0</v>
      </c>
      <c r="T85" s="2" t="str">
        <f>IFERROR(__xludf.DUMMYFUNCTION("IF(ISNUMBER(S85),TEXT(S85,""yyyy-MM-dd""),REGEXREPLACE(REGEXREPLACE(TO_TEXT(S85),""[^0-9a-zA-Z]+"",""-""),""[^0-9]*$"",""""))"),"2024-09-13")</f>
        <v>2024-09-13</v>
      </c>
      <c r="U85" s="2" t="s">
        <v>7732</v>
      </c>
      <c r="Y85" s="10" t="s">
        <v>7732</v>
      </c>
    </row>
    <row r="86" ht="15.75" customHeight="1">
      <c r="A86" s="2" t="s">
        <v>6855</v>
      </c>
      <c r="B86" s="9" t="s">
        <v>7597</v>
      </c>
      <c r="C86" s="2" t="s">
        <v>1445</v>
      </c>
      <c r="D86" s="10" t="str">
        <f>IFERROR(__xludf.DUMMYFUNCTION("PROPER(REGEXREPLACE(TRIM(C86),""\s+"","" ""))"),"Ethan Lee")</f>
        <v>Ethan Lee</v>
      </c>
      <c r="E86" s="2">
        <f>IFERROR(__xludf.DUMMYFUNCTION("IF(LEN(D86:D701),
  COUNTA(SPLIT(D86:D701,"" "")),
 """")"),2.0)</f>
        <v>2</v>
      </c>
      <c r="F86" s="9" t="str">
        <f t="shared" si="32"/>
        <v>✅</v>
      </c>
      <c r="G86" s="2" t="str">
        <f>IFERROR(__xludf.DUMMYFUNCTION("REGEXEXTRACT(PROPER(SUBSTITUTE(TRIM(I86),""."","" "")),""^[^@]+"")"),"Ethan Lee")</f>
        <v>Ethan Lee</v>
      </c>
      <c r="H86" s="10" t="str">
        <f t="shared" si="33"/>
        <v>ethan.lee@outlook.com</v>
      </c>
      <c r="I86" s="2" t="s">
        <v>2141</v>
      </c>
      <c r="J86" s="9" t="str">
        <f>IFERROR(__xludf.DUMMYFUNCTION("IF(REGEXMATCH(TRIM(I86),""^[A-Za-z0-9._%+-]+@[A-Za-z0-9.-]+\.[A-Za-z]{2,}$""),""✅ Valid"",""❌ Invalid"")"),"✅ Valid")</f>
        <v>✅ Valid</v>
      </c>
      <c r="K86" s="13" t="s">
        <v>7733</v>
      </c>
      <c r="L86" s="2" t="str">
        <f>IFERROR(__xludf.DUMMYFUNCTION("IF(OR(K86=""N/A"", K86=""missing"", K86=""none""), """",
 REGEXREPLACE(
  SUBSTITUTE(SUBSTITUTE(SUBSTITUTE(TO_TEXT(K86), CHAR(160),""""), UNICHAR(8239),""""), UNICHAR(8201),""""),""[+\-/(): )]"", """"))"),"491630739937ext55")</f>
        <v>491630739937ext55</v>
      </c>
      <c r="M86" s="2" t="str">
        <f>IFERROR(__xludf.DUMMYFUNCTION("IF(L86="""","""", REGEXEXTRACT(REGEXREPLACE(L86,""x"", """"), ""[0-9]+""))"),"491630739937")</f>
        <v>491630739937</v>
      </c>
      <c r="N86" s="2" t="str">
        <f t="shared" ref="N86:N88" si="37">IF(LEFT(M86,2)="49", RIGHT(M86,LEN(M86)-2),M86)</f>
        <v>1630739937</v>
      </c>
      <c r="O86" s="2" t="b">
        <f>IFERROR(__xludf.DUMMYFUNCTION("REGEXMATCH(TO_TEXT(N86), ""^0(15|16|17)"")"),FALSE)</f>
        <v>0</v>
      </c>
      <c r="P86" s="2">
        <f t="shared" si="34"/>
        <v>10</v>
      </c>
      <c r="Q86" s="9" t="str">
        <f t="shared" ref="Q86:Q88" si="38">IF(AND(O86=TRUE,OR(P86=10, P86=11)), "✅ VALID", "❌ INVALID")</f>
        <v>❌ INVALID</v>
      </c>
      <c r="R86" s="10" t="s">
        <v>459</v>
      </c>
      <c r="S86" s="12" t="s">
        <v>7324</v>
      </c>
      <c r="T86" s="2" t="str">
        <f>IFERROR(__xludf.DUMMYFUNCTION("IF(ISNUMBER(S86),TEXT(S86,""yyyy-MM-dd""),REGEXREPLACE(REGEXREPLACE(TO_TEXT(S86),""[^0-9a-zA-Z]+"",""-""),""[^0-9]*$"",""""))"),"08-20-2024-18-04")</f>
        <v>08-20-2024-18-04</v>
      </c>
      <c r="U86" s="2" t="str">
        <f t="shared" ref="U86:U87" si="39">TEXT(T86,"yyyy-MM-dd")</f>
        <v>08-20-2024-18-04</v>
      </c>
      <c r="V86" s="2" t="str">
        <f>IFERROR(__xludf.DUMMYFUNCTION("REGEXEXTRACT(U86,""^\d{2}-\d{2}-\d{4}"")"),"08-20-2024")</f>
        <v>08-20-2024</v>
      </c>
      <c r="W86" s="2" t="str">
        <f>TEXT(V86,"yyyy-MM-dd")</f>
        <v>08-20-2024</v>
      </c>
      <c r="X86" s="2" t="s">
        <v>7734</v>
      </c>
      <c r="Y86" s="10" t="s">
        <v>7734</v>
      </c>
    </row>
    <row r="87" ht="15.75" customHeight="1">
      <c r="A87" s="2" t="s">
        <v>455</v>
      </c>
      <c r="B87" s="9" t="s">
        <v>7597</v>
      </c>
      <c r="C87" s="2" t="s">
        <v>6856</v>
      </c>
      <c r="D87" s="10" t="str">
        <f>IFERROR(__xludf.DUMMYFUNCTION("PROPER(REGEXREPLACE(TRIM(C87),""\s+"","" ""))"),"Marek Rossi")</f>
        <v>Marek Rossi</v>
      </c>
      <c r="E87" s="2">
        <f>IFERROR(__xludf.DUMMYFUNCTION("IF(LEN(D87:D701),
  COUNTA(SPLIT(D87:D701,"" "")),
 """")"),2.0)</f>
        <v>2</v>
      </c>
      <c r="F87" s="9" t="str">
        <f t="shared" si="32"/>
        <v>✅</v>
      </c>
      <c r="G87" s="2" t="str">
        <f>IFERROR(__xludf.DUMMYFUNCTION("REGEXEXTRACT(PROPER(SUBSTITUTE(TRIM(I87),""."","" "")),""^[^@]+"")"),"Marek Rossi")</f>
        <v>Marek Rossi</v>
      </c>
      <c r="H87" s="10" t="str">
        <f t="shared" si="33"/>
        <v>marek.rossi@yahoo.com</v>
      </c>
      <c r="I87" s="2" t="s">
        <v>6857</v>
      </c>
      <c r="J87" s="9" t="str">
        <f>IFERROR(__xludf.DUMMYFUNCTION("IF(REGEXMATCH(TRIM(I87),""^[A-Za-z0-9._%+-]+@[A-Za-z0-9.-]+\.[A-Za-z]{2,}$""),""✅ Valid"",""❌ Invalid"")"),"✅ Valid")</f>
        <v>✅ Valid</v>
      </c>
      <c r="K87" s="13" t="s">
        <v>7735</v>
      </c>
      <c r="L87" s="2" t="str">
        <f>IFERROR(__xludf.DUMMYFUNCTION("IF(OR(K87=""N/A"", K87=""missing"", K87=""none""), """",
 REGEXREPLACE(
  SUBSTITUTE(SUBSTITUTE(SUBSTITUTE(TO_TEXT(K87), CHAR(160),""""), UNICHAR(8239),""""), UNICHAR(8201),""""),""[+\-/(): )]"", """"))"),"492549422094")</f>
        <v>492549422094</v>
      </c>
      <c r="M87" s="2" t="str">
        <f>IFERROR(__xludf.DUMMYFUNCTION("IF(L87="""","""", REGEXEXTRACT(REGEXREPLACE(L87,""x"", """"), ""[0-9]+""))"),"492549422094")</f>
        <v>492549422094</v>
      </c>
      <c r="N87" s="2" t="str">
        <f t="shared" si="37"/>
        <v>2549422094</v>
      </c>
      <c r="O87" s="2" t="b">
        <f>IFERROR(__xludf.DUMMYFUNCTION("REGEXMATCH(TO_TEXT(N87), ""^0(15|16|17)"")"),FALSE)</f>
        <v>0</v>
      </c>
      <c r="P87" s="2">
        <f t="shared" si="34"/>
        <v>10</v>
      </c>
      <c r="Q87" s="9" t="str">
        <f t="shared" si="38"/>
        <v>❌ INVALID</v>
      </c>
      <c r="R87" s="10" t="s">
        <v>459</v>
      </c>
      <c r="S87" s="12" t="s">
        <v>6859</v>
      </c>
      <c r="T87" s="2" t="str">
        <f>IFERROR(__xludf.DUMMYFUNCTION("IF(ISNUMBER(S87),TEXT(S87,""yyyy-MM-dd""),REGEXREPLACE(REGEXREPLACE(TO_TEXT(S87),""[^0-9a-zA-Z]+"",""-""),""[^0-9]*$"",""""))"),"45137-12-40")</f>
        <v>45137-12-40</v>
      </c>
      <c r="U87" s="2" t="str">
        <f t="shared" si="39"/>
        <v>45137-12-40</v>
      </c>
      <c r="V87" s="2" t="str">
        <f>CONCATENATE(LEFT(U87,5))</f>
        <v>45137</v>
      </c>
      <c r="W87" s="14">
        <f>DATE(1900,1,1) + V87 - 1</f>
        <v>45138</v>
      </c>
      <c r="X87" s="2" t="s">
        <v>7736</v>
      </c>
      <c r="Y87" s="10" t="s">
        <v>7736</v>
      </c>
    </row>
    <row r="88" ht="15.75" customHeight="1">
      <c r="A88" s="2" t="s">
        <v>3392</v>
      </c>
      <c r="B88" s="9" t="s">
        <v>7597</v>
      </c>
      <c r="C88" s="2" t="s">
        <v>456</v>
      </c>
      <c r="D88" s="10" t="s">
        <v>7737</v>
      </c>
      <c r="E88" s="2">
        <f>IFERROR(__xludf.DUMMYFUNCTION("IF(LEN(D88:D701),
  COUNTA(SPLIT(D88:D701,"" "")),
 """")"),2.0)</f>
        <v>2</v>
      </c>
      <c r="F88" s="9" t="str">
        <f t="shared" si="32"/>
        <v>✅</v>
      </c>
      <c r="G88" s="2" t="s">
        <v>7737</v>
      </c>
      <c r="H88" s="10" t="str">
        <f t="shared" si="33"/>
        <v>xenia.lopez@yahoo.com</v>
      </c>
      <c r="I88" s="2" t="s">
        <v>457</v>
      </c>
      <c r="J88" s="9" t="str">
        <f>IFERROR(__xludf.DUMMYFUNCTION("IF(REGEXMATCH(TRIM(I88),""^[A-Za-z0-9._%+-]+@[A-Za-z0-9.-]+\.[A-Za-z]{2,}$""),""✅ Valid"",""❌ Invalid"")"),"✅ Valid")</f>
        <v>✅ Valid</v>
      </c>
      <c r="K88" s="13" t="s">
        <v>7738</v>
      </c>
      <c r="L88" s="2" t="str">
        <f>IFERROR(__xludf.DUMMYFUNCTION("IF(OR(K88=""N/A"", K88=""missing"", K88=""none""), """",
 REGEXREPLACE(
  SUBSTITUTE(SUBSTITUTE(SUBSTITUTE(TO_TEXT(K88), CHAR(160),""""), UNICHAR(8239),""""), UNICHAR(8201),""""),""[+\-/(): )]"", """"))"),"492195087085")</f>
        <v>492195087085</v>
      </c>
      <c r="M88" s="2" t="str">
        <f>IFERROR(__xludf.DUMMYFUNCTION("IF(L88="""","""", REGEXEXTRACT(REGEXREPLACE(L88,""x"", """"), ""[0-9]+""))"),"492195087085")</f>
        <v>492195087085</v>
      </c>
      <c r="N88" s="2" t="str">
        <f t="shared" si="37"/>
        <v>2195087085</v>
      </c>
      <c r="O88" s="2" t="b">
        <f>IFERROR(__xludf.DUMMYFUNCTION("REGEXMATCH(TO_TEXT(N88), ""^0(15|16|17)"")"),FALSE)</f>
        <v>0</v>
      </c>
      <c r="P88" s="2">
        <f t="shared" si="34"/>
        <v>10</v>
      </c>
      <c r="Q88" s="9" t="str">
        <f t="shared" si="38"/>
        <v>❌ INVALID</v>
      </c>
      <c r="R88" s="10" t="s">
        <v>459</v>
      </c>
      <c r="S88" s="12">
        <v>44692.0</v>
      </c>
      <c r="T88" s="2" t="str">
        <f>IFERROR(__xludf.DUMMYFUNCTION("IF(ISNUMBER(S88),TEXT(S88,""yyyy-MM-dd""),REGEXREPLACE(REGEXREPLACE(TO_TEXT(S88),""[^0-9a-zA-Z]+"",""-""),""[^0-9]*$"",""""))"),"2022-05-11")</f>
        <v>2022-05-11</v>
      </c>
      <c r="U88" s="2" t="s">
        <v>7739</v>
      </c>
      <c r="Y88" s="10" t="s">
        <v>7739</v>
      </c>
    </row>
    <row r="89" ht="15.75" customHeight="1">
      <c r="A89" s="2" t="s">
        <v>1589</v>
      </c>
      <c r="B89" s="9" t="s">
        <v>7597</v>
      </c>
      <c r="C89" s="2" t="s">
        <v>3393</v>
      </c>
      <c r="D89" s="10" t="str">
        <f>IFERROR(__xludf.DUMMYFUNCTION("PROPER(REGEXREPLACE(TRIM(C89),""\s+"","" ""))"),"Omar Dubois")</f>
        <v>Omar Dubois</v>
      </c>
      <c r="E89" s="2">
        <f>IFERROR(__xludf.DUMMYFUNCTION("IF(LEN(D89:D701),
  COUNTA(SPLIT(D89:D701,"" "")),
 """")"),2.0)</f>
        <v>2</v>
      </c>
      <c r="F89" s="9" t="str">
        <f t="shared" si="32"/>
        <v>✅</v>
      </c>
      <c r="G89" s="2" t="str">
        <f>IFERROR(__xludf.DUMMYFUNCTION("REGEXEXTRACT(PROPER(SUBSTITUTE(TRIM(I89),""."","" "")),""^[^@]+"")"),"Omar Dubois")</f>
        <v>Omar Dubois</v>
      </c>
      <c r="H89" s="10" t="str">
        <f t="shared" si="33"/>
        <v>omar.dubois@gmai.lcom</v>
      </c>
      <c r="I89" s="2" t="s">
        <v>3394</v>
      </c>
      <c r="J89" s="9" t="str">
        <f>IFERROR(__xludf.DUMMYFUNCTION("IF(REGEXMATCH(TRIM(I89),""^[A-Za-z0-9._%+-]+@[A-Za-z0-9.-]+\.[A-Za-z]{2,}$""),""✅ Valid"",""❌ Invalid"")"),"✅ Valid")</f>
        <v>✅ Valid</v>
      </c>
      <c r="K89" s="13" t="s">
        <v>7740</v>
      </c>
      <c r="L89" s="2" t="str">
        <f>IFERROR(__xludf.DUMMYFUNCTION("IF(OR(K89=""N/A"", K89=""missing"", K89=""none""), """",
 REGEXREPLACE(
  SUBSTITUTE(SUBSTITUTE(SUBSTITUTE(TO_TEXT(K89), CHAR(160),""""), UNICHAR(8239),""""), UNICHAR(8201),""""),""[+\-/(): )]"", """"))"),"69991x79")</f>
        <v>69991x79</v>
      </c>
      <c r="M89" s="2" t="str">
        <f>IFERROR(__xludf.DUMMYFUNCTION("IF(L89="""","""", REGEXEXTRACT(REGEXREPLACE(L89,""x"", """"), ""[0-9]+""))"),"6999179")</f>
        <v>6999179</v>
      </c>
      <c r="N89" s="2" t="str">
        <f>IF(LEFT(M89,3)="353", RIGHT(M89,LEN(M89)-3),M89)</f>
        <v>6999179</v>
      </c>
      <c r="O89" s="2" t="b">
        <f>IFERROR(__xludf.DUMMYFUNCTION("REGEXMATCH(TO_TEXT(N89), ""^0(83|85|86|87|89)"")"),FALSE)</f>
        <v>0</v>
      </c>
      <c r="P89" s="2">
        <f t="shared" si="34"/>
        <v>7</v>
      </c>
      <c r="Q89" s="9" t="str">
        <f>IF(AND(O89=TRUE, P86=10), "✅ VALID", "❌ INVALID")</f>
        <v>❌ INVALID</v>
      </c>
      <c r="R89" s="10" t="s">
        <v>1177</v>
      </c>
      <c r="S89" s="12" t="s">
        <v>5808</v>
      </c>
      <c r="T89" s="2" t="str">
        <f>IFERROR(__xludf.DUMMYFUNCTION("IF(ISNUMBER(S89),TEXT(S89,""yyyy-MM-dd""),REGEXREPLACE(REGEXREPLACE(TO_TEXT(S89),""[^0-9a-zA-Z]+"",""-""),""[^0-9]*$"",""""))"),"13-03-2024")</f>
        <v>13-03-2024</v>
      </c>
      <c r="U89" s="2" t="s">
        <v>7362</v>
      </c>
      <c r="Y89" s="10" t="s">
        <v>7362</v>
      </c>
    </row>
    <row r="90" ht="15.75" customHeight="1">
      <c r="A90" s="2" t="s">
        <v>3765</v>
      </c>
      <c r="B90" s="9" t="s">
        <v>7597</v>
      </c>
      <c r="C90" s="2" t="s">
        <v>1590</v>
      </c>
      <c r="D90" s="10" t="s">
        <v>1029</v>
      </c>
      <c r="E90" s="2">
        <f>IFERROR(__xludf.DUMMYFUNCTION("IF(LEN(D90:D701),
  COUNTA(SPLIT(D90:D701,"" "")),
 """")"),2.0)</f>
        <v>2</v>
      </c>
      <c r="F90" s="9" t="str">
        <f t="shared" si="32"/>
        <v>✅</v>
      </c>
      <c r="G90" s="2" t="s">
        <v>1029</v>
      </c>
      <c r="H90" s="10" t="str">
        <f t="shared" si="33"/>
        <v>ken.williams@yahoo.com</v>
      </c>
      <c r="I90" s="2" t="s">
        <v>1591</v>
      </c>
      <c r="J90" s="9" t="str">
        <f>IFERROR(__xludf.DUMMYFUNCTION("IF(REGEXMATCH(TRIM(I90),""^[A-Za-z0-9._%+-]+@[A-Za-z0-9.-]+\.[A-Za-z]{2,}$""),""✅ Valid"",""❌ Invalid"")"),"✅ Valid")</f>
        <v>✅ Valid</v>
      </c>
      <c r="K90" s="11">
        <v>3.363212435E9</v>
      </c>
      <c r="L90" s="2" t="str">
        <f>IFERROR(__xludf.DUMMYFUNCTION("IF(OR(K90=""N/A"", K90=""missing"", K90=""none""), """",
 REGEXREPLACE(
  SUBSTITUTE(SUBSTITUTE(SUBSTITUTE(TO_TEXT(K90), CHAR(160),""""), UNICHAR(8239),""""), UNICHAR(8201),""""),""[+\-/(): )]"", """"))"),"3363212435")</f>
        <v>3363212435</v>
      </c>
      <c r="M90" s="2" t="str">
        <f>IFERROR(__xludf.DUMMYFUNCTION("IF(L90="""","""", REGEXEXTRACT(REGEXREPLACE(L90,""x"", """"), ""[0-9]+""))"),"3363212435")</f>
        <v>3363212435</v>
      </c>
      <c r="N90" s="2" t="str">
        <f t="shared" ref="N90:N91" si="40">IF(LEFT(M90,2)="33", RIGHT(M90,LEN(M90)-2),M90)</f>
        <v>63212435</v>
      </c>
      <c r="O90" s="2" t="b">
        <f>IFERROR(__xludf.DUMMYFUNCTION("REGEXMATCH(TO_TEXT(N90), ""^0[67]"")"),FALSE)</f>
        <v>0</v>
      </c>
      <c r="P90" s="2">
        <f t="shared" si="34"/>
        <v>8</v>
      </c>
      <c r="Q90" s="9" t="str">
        <f t="shared" ref="Q90:Q91" si="41">IF(AND(O90=TRUE, P90=9), "✅ VALID", "❌ INVALID")</f>
        <v>❌ INVALID</v>
      </c>
      <c r="R90" s="10" t="s">
        <v>58</v>
      </c>
      <c r="S90" s="12" t="s">
        <v>6753</v>
      </c>
      <c r="T90" s="2" t="str">
        <f>IFERROR(__xludf.DUMMYFUNCTION("IF(ISNUMBER(S90),TEXT(S90,""yyyy-MM-dd""),REGEXREPLACE(REGEXREPLACE(TO_TEXT(S90),""[^0-9a-zA-Z]+"",""-""),""[^0-9]*$"",""""))"),"30-06-2024")</f>
        <v>30-06-2024</v>
      </c>
      <c r="U90" s="2" t="s">
        <v>7741</v>
      </c>
      <c r="Y90" s="10" t="s">
        <v>7741</v>
      </c>
    </row>
    <row r="91" ht="15.75" customHeight="1">
      <c r="A91" s="2" t="s">
        <v>4918</v>
      </c>
      <c r="B91" s="9" t="s">
        <v>7597</v>
      </c>
      <c r="C91" s="2" t="s">
        <v>708</v>
      </c>
      <c r="D91" s="10" t="str">
        <f>IFERROR(__xludf.DUMMYFUNCTION("PROPER(REGEXREPLACE(TRIM(C91),""\s+"","" ""))"),"Paula Khan")</f>
        <v>Paula Khan</v>
      </c>
      <c r="E91" s="2">
        <f>IFERROR(__xludf.DUMMYFUNCTION("IF(LEN(D91:D701),
  COUNTA(SPLIT(D91:D701,"" "")),
 """")"),2.0)</f>
        <v>2</v>
      </c>
      <c r="F91" s="9" t="str">
        <f t="shared" si="32"/>
        <v>✅</v>
      </c>
      <c r="G91" s="2" t="str">
        <f>IFERROR(__xludf.DUMMYFUNCTION("REGEXEXTRACT(PROPER(SUBSTITUTE(TRIM(I91),""."","" "")),""^[^@]+"")"),"Paula Khan")</f>
        <v>Paula Khan</v>
      </c>
      <c r="H91" s="10" t="str">
        <f t="shared" si="33"/>
        <v>paula.khan@gmail.com</v>
      </c>
      <c r="I91" s="2" t="s">
        <v>3766</v>
      </c>
      <c r="J91" s="9" t="str">
        <f>IFERROR(__xludf.DUMMYFUNCTION("IF(REGEXMATCH(TRIM(I91),""^[A-Za-z0-9._%+-]+@[A-Za-z0-9.-]+\.[A-Za-z]{2,}$""),""✅ Valid"",""❌ Invalid"")"),"✅ Valid")</f>
        <v>✅ Valid</v>
      </c>
      <c r="K91" s="13" t="s">
        <v>7742</v>
      </c>
      <c r="L91" s="2" t="str">
        <f>IFERROR(__xludf.DUMMYFUNCTION("IF(OR(K91=""N/A"", K91=""missing"", K91=""none""), """",
 REGEXREPLACE(
  SUBSTITUTE(SUBSTITUTE(SUBSTITUTE(TO_TEXT(K91), CHAR(160),""""), UNICHAR(8239),""""), UNICHAR(8201),""""),""[+\-/(): )]"", """"))"),"tel33031729349")</f>
        <v>tel33031729349</v>
      </c>
      <c r="M91" s="2" t="str">
        <f>IFERROR(__xludf.DUMMYFUNCTION("IF(L91="""","""", REGEXEXTRACT(REGEXREPLACE(L91,""x"", """"), ""[0-9]+""))"),"33031729349")</f>
        <v>33031729349</v>
      </c>
      <c r="N91" s="2" t="str">
        <f t="shared" si="40"/>
        <v>031729349</v>
      </c>
      <c r="O91" s="2" t="b">
        <f>IFERROR(__xludf.DUMMYFUNCTION("REGEXMATCH(TO_TEXT(N91), ""^0[67]"")"),FALSE)</f>
        <v>0</v>
      </c>
      <c r="P91" s="2">
        <f t="shared" si="34"/>
        <v>9</v>
      </c>
      <c r="Q91" s="9" t="str">
        <f t="shared" si="41"/>
        <v>❌ INVALID</v>
      </c>
      <c r="R91" s="10" t="s">
        <v>58</v>
      </c>
      <c r="S91" s="12">
        <v>45551.0</v>
      </c>
      <c r="T91" s="2" t="str">
        <f>IFERROR(__xludf.DUMMYFUNCTION("IF(ISNUMBER(S91),TEXT(S91,""yyyy-MM-dd""),REGEXREPLACE(REGEXREPLACE(TO_TEXT(S91),""[^0-9a-zA-Z]+"",""-""),""[^0-9]*$"",""""))"),"2024-09-16")</f>
        <v>2024-09-16</v>
      </c>
      <c r="U91" s="2" t="s">
        <v>7743</v>
      </c>
      <c r="Y91" s="10" t="s">
        <v>7743</v>
      </c>
    </row>
    <row r="92" ht="15.75" customHeight="1">
      <c r="A92" s="2" t="s">
        <v>5391</v>
      </c>
      <c r="B92" s="9" t="s">
        <v>7597</v>
      </c>
      <c r="C92" s="2" t="s">
        <v>4919</v>
      </c>
      <c r="D92" s="10" t="str">
        <f>IFERROR(__xludf.DUMMYFUNCTION("PROPER(REGEXREPLACE(TRIM(C92),""\s+"","" ""))"),"Ken King")</f>
        <v>Ken King</v>
      </c>
      <c r="E92" s="2">
        <f>IFERROR(__xludf.DUMMYFUNCTION("IF(LEN(D92:D701),
  COUNTA(SPLIT(D92:D701,"" "")),
 """")"),2.0)</f>
        <v>2</v>
      </c>
      <c r="F92" s="9" t="str">
        <f t="shared" si="32"/>
        <v>✅</v>
      </c>
      <c r="G92" s="2" t="str">
        <f>IFERROR(__xludf.DUMMYFUNCTION("REGEXEXTRACT(PROPER(SUBSTITUTE(TRIM(I92),""."","" "")),""^[^@]+"")"),"Ken King")</f>
        <v>Ken King</v>
      </c>
      <c r="H92" s="10" t="str">
        <f t="shared" si="33"/>
        <v>ken.king@outlook.com</v>
      </c>
      <c r="I92" s="2" t="s">
        <v>4920</v>
      </c>
      <c r="J92" s="9" t="str">
        <f>IFERROR(__xludf.DUMMYFUNCTION("IF(REGEXMATCH(TRIM(I92),""^[A-Za-z0-9._%+-]+@[A-Za-z0-9.-]+\.[A-Za-z]{2,}$""),""✅ Valid"",""❌ Invalid"")"),"✅ Valid")</f>
        <v>✅ Valid</v>
      </c>
      <c r="K92" s="13" t="s">
        <v>7744</v>
      </c>
      <c r="L92" s="2" t="str">
        <f>IFERROR(__xludf.DUMMYFUNCTION("IF(OR(K92=""N/A"", K92=""missing"", K92=""none""), """",
 REGEXREPLACE(
  SUBSTITUTE(SUBSTITUTE(SUBSTITUTE(TO_TEXT(K92), CHAR(160),""""), UNICHAR(8239),""""), UNICHAR(8201),""""),""[+\-/(): )]"", """"))"),"70137x7540")</f>
        <v>70137x7540</v>
      </c>
      <c r="M92" s="2" t="str">
        <f>IFERROR(__xludf.DUMMYFUNCTION("IF(L92="""","""", REGEXEXTRACT(REGEXREPLACE(L92,""x"", """"), ""[0-9]+""))"),"701377540")</f>
        <v>701377540</v>
      </c>
      <c r="N92" s="2" t="str">
        <f t="shared" ref="N92:N93" si="42">IF(LEFT(M92,2)="49", RIGHT(M92,LEN(M92)-2),M92)</f>
        <v>701377540</v>
      </c>
      <c r="O92" s="2" t="b">
        <f>IFERROR(__xludf.DUMMYFUNCTION("REGEXMATCH(TO_TEXT(N92), ""^0(15|16|17)"")"),FALSE)</f>
        <v>0</v>
      </c>
      <c r="P92" s="2">
        <f t="shared" si="34"/>
        <v>9</v>
      </c>
      <c r="Q92" s="9" t="str">
        <f t="shared" ref="Q92:Q93" si="43">IF(AND(O92=TRUE,OR(P92=10, P92=11)), "✅ VALID", "❌ INVALID")</f>
        <v>❌ INVALID</v>
      </c>
      <c r="R92" s="10" t="s">
        <v>459</v>
      </c>
      <c r="S92" s="12">
        <v>45208.740277777775</v>
      </c>
      <c r="T92" s="2" t="str">
        <f>IFERROR(__xludf.DUMMYFUNCTION("IF(ISNUMBER(S92),TEXT(S92,""yyyy-MM-dd""),REGEXREPLACE(REGEXREPLACE(TO_TEXT(S92),""[^0-9a-zA-Z]+"",""-""),""[^0-9]*$"",""""))"),"2023-10-09")</f>
        <v>2023-10-09</v>
      </c>
      <c r="U92" s="2" t="s">
        <v>1710</v>
      </c>
      <c r="Y92" s="10" t="s">
        <v>1710</v>
      </c>
    </row>
    <row r="93" ht="15.75" customHeight="1">
      <c r="A93" s="2" t="s">
        <v>5758</v>
      </c>
      <c r="B93" s="9" t="s">
        <v>7597</v>
      </c>
      <c r="C93" s="2" t="s">
        <v>5392</v>
      </c>
      <c r="D93" s="10" t="str">
        <f>IFERROR(__xludf.DUMMYFUNCTION("PROPER(REGEXREPLACE(TRIM(C93),""\s+"","" ""))"),"Marek Garcia")</f>
        <v>Marek Garcia</v>
      </c>
      <c r="E93" s="2">
        <f>IFERROR(__xludf.DUMMYFUNCTION("IF(LEN(D93:D701),
  COUNTA(SPLIT(D93:D701,"" "")),
 """")"),2.0)</f>
        <v>2</v>
      </c>
      <c r="F93" s="9" t="str">
        <f t="shared" si="32"/>
        <v>✅</v>
      </c>
      <c r="G93" s="2" t="str">
        <f>IFERROR(__xludf.DUMMYFUNCTION("REGEXEXTRACT(PROPER(SUBSTITUTE(TRIM(I93),""."","" "")),""^[^@]+"")"),"Marek Garcia")</f>
        <v>Marek Garcia</v>
      </c>
      <c r="H93" s="10" t="str">
        <f t="shared" si="33"/>
        <v>marek.garcia@company.co.uk</v>
      </c>
      <c r="I93" s="2" t="s">
        <v>5393</v>
      </c>
      <c r="J93" s="9" t="str">
        <f>IFERROR(__xludf.DUMMYFUNCTION("IF(REGEXMATCH(TRIM(I93),""^[A-Za-z0-9._%+-]+@[A-Za-z0-9.-]+\.[A-Za-z]{2,}$""),""✅ Valid"",""❌ Invalid"")"),"✅ Valid")</f>
        <v>✅ Valid</v>
      </c>
      <c r="K93" s="13" t="s">
        <v>7745</v>
      </c>
      <c r="L93" s="2" t="str">
        <f>IFERROR(__xludf.DUMMYFUNCTION("IF(OR(K93=""N/A"", K93=""missing"", K93=""none""), """",
 REGEXREPLACE(
  SUBSTITUTE(SUBSTITUTE(SUBSTITUTE(TO_TEXT(K93), CHAR(160),""""), UNICHAR(8239),""""), UNICHAR(8201),""""),""[+\-/(): )]"", """"))"),"493759898347")</f>
        <v>493759898347</v>
      </c>
      <c r="M93" s="2" t="str">
        <f>IFERROR(__xludf.DUMMYFUNCTION("IF(L93="""","""", REGEXEXTRACT(REGEXREPLACE(L93,""x"", """"), ""[0-9]+""))"),"493759898347")</f>
        <v>493759898347</v>
      </c>
      <c r="N93" s="2" t="str">
        <f t="shared" si="42"/>
        <v>3759898347</v>
      </c>
      <c r="O93" s="2" t="b">
        <f>IFERROR(__xludf.DUMMYFUNCTION("REGEXMATCH(TO_TEXT(N93), ""^0(15|16|17)"")"),FALSE)</f>
        <v>0</v>
      </c>
      <c r="P93" s="2">
        <f t="shared" si="34"/>
        <v>10</v>
      </c>
      <c r="Q93" s="9" t="str">
        <f t="shared" si="43"/>
        <v>❌ INVALID</v>
      </c>
      <c r="R93" s="10" t="s">
        <v>459</v>
      </c>
      <c r="S93" s="12">
        <v>45049.0</v>
      </c>
      <c r="T93" s="2" t="str">
        <f>IFERROR(__xludf.DUMMYFUNCTION("IF(ISNUMBER(S93),TEXT(S93,""yyyy-MM-dd""),REGEXREPLACE(REGEXREPLACE(TO_TEXT(S93),""[^0-9a-zA-Z]+"",""-""),""[^0-9]*$"",""""))"),"2023-05-03")</f>
        <v>2023-05-03</v>
      </c>
      <c r="U93" s="2" t="s">
        <v>7746</v>
      </c>
      <c r="Y93" s="10" t="s">
        <v>7746</v>
      </c>
    </row>
    <row r="94" ht="15.75" customHeight="1">
      <c r="A94" s="2" t="s">
        <v>7348</v>
      </c>
      <c r="B94" s="9" t="s">
        <v>7597</v>
      </c>
      <c r="C94" s="2" t="s">
        <v>5759</v>
      </c>
      <c r="D94" s="10" t="str">
        <f>IFERROR(__xludf.DUMMYFUNCTION("PROPER(REGEXREPLACE(TRIM(C94),""\s+"","" ""))"),"Lia Muller")</f>
        <v>Lia Muller</v>
      </c>
      <c r="E94" s="2">
        <f>IFERROR(__xludf.DUMMYFUNCTION("IF(LEN(D94:D701),
  COUNTA(SPLIT(D94:D701,"" "")),
 """")"),2.0)</f>
        <v>2</v>
      </c>
      <c r="F94" s="9" t="str">
        <f t="shared" si="32"/>
        <v>✅</v>
      </c>
      <c r="G94" s="2" t="str">
        <f>IFERROR(__xludf.DUMMYFUNCTION("REGEXEXTRACT(PROPER(SUBSTITUTE(TRIM(I94),""."","" "")),""^[^@]+"")"),"Lia Muller")</f>
        <v>Lia Muller</v>
      </c>
      <c r="H94" s="10" t="str">
        <f t="shared" si="33"/>
        <v>lia.muller@yahoo.com</v>
      </c>
      <c r="I94" s="2" t="s">
        <v>5760</v>
      </c>
      <c r="J94" s="9" t="str">
        <f>IFERROR(__xludf.DUMMYFUNCTION("IF(REGEXMATCH(TRIM(I94),""^[A-Za-z0-9._%+-]+@[A-Za-z0-9.-]+\.[A-Za-z]{2,}$""),""✅ Valid"",""❌ Invalid"")"),"✅ Valid")</f>
        <v>✅ Valid</v>
      </c>
      <c r="K94" s="13" t="s">
        <v>7747</v>
      </c>
      <c r="L94" s="2" t="str">
        <f>IFERROR(__xludf.DUMMYFUNCTION("IF(OR(K94=""N/A"", K94=""missing"", K94=""none""), """",
 REGEXREPLACE(
  SUBSTITUTE(SUBSTITUTE(SUBSTITUTE(TO_TEXT(K94), CHAR(160),""""), UNICHAR(8239),""""), UNICHAR(8201),""""),""[+\-/(): )]"", """"))"),"8082985927")</f>
        <v>8082985927</v>
      </c>
      <c r="M94" s="2" t="str">
        <f>IFERROR(__xludf.DUMMYFUNCTION("IF(L94="""","""", REGEXEXTRACT(REGEXREPLACE(L94,""x"", """"), ""[0-9]+""))"),"8082985927")</f>
        <v>8082985927</v>
      </c>
      <c r="N94" s="2" t="str">
        <f>IF(LEFT(M94,2)="33", RIGHT(M94,LEN(M94)-2),M94)</f>
        <v>8082985927</v>
      </c>
      <c r="O94" s="2" t="b">
        <f>IFERROR(__xludf.DUMMYFUNCTION("REGEXMATCH(TO_TEXT(N94), ""^0[67]"")"),FALSE)</f>
        <v>0</v>
      </c>
      <c r="P94" s="2">
        <f t="shared" si="34"/>
        <v>10</v>
      </c>
      <c r="Q94" s="9" t="str">
        <f>IF(AND(O94=TRUE, P94=9), "✅ VALID", "❌ INVALID")</f>
        <v>❌ INVALID</v>
      </c>
      <c r="R94" s="10" t="s">
        <v>58</v>
      </c>
      <c r="S94" s="12">
        <v>44997.0</v>
      </c>
      <c r="T94" s="2" t="str">
        <f>IFERROR(__xludf.DUMMYFUNCTION("IF(ISNUMBER(S94),TEXT(S94,""yyyy-MM-dd""),REGEXREPLACE(REGEXREPLACE(TO_TEXT(S94),""[^0-9a-zA-Z]+"",""-""),""[^0-9]*$"",""""))"),"2023-03-12")</f>
        <v>2023-03-12</v>
      </c>
      <c r="U94" s="2" t="s">
        <v>7748</v>
      </c>
      <c r="Y94" s="10" t="s">
        <v>7748</v>
      </c>
    </row>
    <row r="95" ht="15.75" customHeight="1">
      <c r="A95" s="2" t="s">
        <v>3131</v>
      </c>
      <c r="B95" s="9" t="s">
        <v>7597</v>
      </c>
      <c r="C95" s="2" t="s">
        <v>7349</v>
      </c>
      <c r="D95" s="10" t="str">
        <f>IFERROR(__xludf.DUMMYFUNCTION("PROPER(REGEXREPLACE(TRIM(C95),""\s+"","" ""))"),"Ken Kowalczyk")</f>
        <v>Ken Kowalczyk</v>
      </c>
      <c r="E95" s="2">
        <f>IFERROR(__xludf.DUMMYFUNCTION("IF(LEN(D95:D701),
  COUNTA(SPLIT(D95:D701,"" "")),
 """")"),2.0)</f>
        <v>2</v>
      </c>
      <c r="F95" s="9" t="str">
        <f t="shared" si="32"/>
        <v>✅</v>
      </c>
      <c r="G95" s="2" t="str">
        <f>IFERROR(__xludf.DUMMYFUNCTION("REGEXEXTRACT(PROPER(SUBSTITUTE(TRIM(I95),""."","" "")),""^[^@]+"")"),"Ken Kowalczyk")</f>
        <v>Ken Kowalczyk</v>
      </c>
      <c r="H95" s="10" t="str">
        <f t="shared" si="33"/>
        <v>ken.kowalczyk@company.co.uk</v>
      </c>
      <c r="I95" s="2" t="s">
        <v>7350</v>
      </c>
      <c r="J95" s="9" t="str">
        <f>IFERROR(__xludf.DUMMYFUNCTION("IF(REGEXMATCH(TRIM(I95),""^[A-Za-z0-9._%+-]+@[A-Za-z0-9.-]+\.[A-Za-z]{2,}$""),""✅ Valid"",""❌ Invalid"")"),"✅ Valid")</f>
        <v>✅ Valid</v>
      </c>
      <c r="K95" s="11">
        <v>3.9337318601E10</v>
      </c>
      <c r="L95" s="2" t="str">
        <f>IFERROR(__xludf.DUMMYFUNCTION("IF(OR(K95=""N/A"", K95=""missing"", K95=""none""), """",
 REGEXREPLACE(
  SUBSTITUTE(SUBSTITUTE(SUBSTITUTE(TO_TEXT(K95), CHAR(160),""""), UNICHAR(8239),""""), UNICHAR(8201),""""),""[+\-/(): )]"", """"))"),"39337318601")</f>
        <v>39337318601</v>
      </c>
      <c r="M95" s="2" t="str">
        <f>IFERROR(__xludf.DUMMYFUNCTION("IF(L95="""","""", REGEXEXTRACT(REGEXREPLACE(L95,""x"", """"), ""[0-9]+""))"),"39337318601")</f>
        <v>39337318601</v>
      </c>
      <c r="N95" s="2" t="str">
        <f>IF(LEFT(M95,2)="39", RIGHT(M95,LEN(M95)-2),M95)</f>
        <v>337318601</v>
      </c>
      <c r="O95" s="2" t="b">
        <f>IFERROR(__xludf.DUMMYFUNCTION("REGEXMATCH(TO_TEXT(N95), ""^3"")"),TRUE)</f>
        <v>1</v>
      </c>
      <c r="P95" s="2">
        <f t="shared" si="34"/>
        <v>9</v>
      </c>
      <c r="Q95" s="9" t="str">
        <f>IF(AND(O95=TRUE,OR(P95=9, P95=10 )), "✅ VALID", "❌ INVALID")</f>
        <v>✅ VALID</v>
      </c>
      <c r="R95" s="10" t="s">
        <v>785</v>
      </c>
      <c r="S95" s="12" t="s">
        <v>7352</v>
      </c>
      <c r="T95" s="2" t="str">
        <f>IFERROR(__xludf.DUMMYFUNCTION("IF(ISNUMBER(S95),TEXT(S95,""yyyy-MM-dd""),REGEXREPLACE(REGEXREPLACE(TO_TEXT(S95),""[^0-9a-zA-Z]+"",""-""),""[^0-9]*$"",""""))"),"44958-05-40")</f>
        <v>44958-05-40</v>
      </c>
      <c r="U95" s="2" t="str">
        <f>TEXT(T95,"yyyy-MM-dd")</f>
        <v>44958-05-40</v>
      </c>
      <c r="V95" s="2" t="str">
        <f>CONCATENATE(LEFT(U95,5))</f>
        <v>44958</v>
      </c>
      <c r="W95" s="14">
        <f>DATE(1900,1,1) + V95 - 1</f>
        <v>44959</v>
      </c>
      <c r="X95" s="2" t="s">
        <v>7749</v>
      </c>
      <c r="Y95" s="10" t="s">
        <v>7749</v>
      </c>
    </row>
    <row r="96" ht="15.75" customHeight="1">
      <c r="A96" s="2" t="s">
        <v>3361</v>
      </c>
      <c r="B96" s="9" t="s">
        <v>7597</v>
      </c>
      <c r="C96" s="2" t="s">
        <v>3132</v>
      </c>
      <c r="D96" s="10" t="str">
        <f>IFERROR(__xludf.DUMMYFUNCTION("PROPER(REGEXREPLACE(TRIM(C96),""\s+"","" ""))"),"Ethan Dubois")</f>
        <v>Ethan Dubois</v>
      </c>
      <c r="E96" s="2">
        <f>IFERROR(__xludf.DUMMYFUNCTION("IF(LEN(D96:D701),
  COUNTA(SPLIT(D96:D701,"" "")),
 """")"),2.0)</f>
        <v>2</v>
      </c>
      <c r="F96" s="9" t="str">
        <f t="shared" si="32"/>
        <v>✅</v>
      </c>
      <c r="G96" s="2" t="str">
        <f>IFERROR(__xludf.DUMMYFUNCTION("REGEXEXTRACT(PROPER(SUBSTITUTE(TRIM(I96),""."","" "")),""^[^@]+"")"),"Ethan Dubois")</f>
        <v>Ethan Dubois</v>
      </c>
      <c r="H96" s="10" t="str">
        <f t="shared" si="33"/>
        <v>ethan.dubois@outlook.com</v>
      </c>
      <c r="I96" s="2" t="s">
        <v>3133</v>
      </c>
      <c r="J96" s="9" t="str">
        <f>IFERROR(__xludf.DUMMYFUNCTION("IF(REGEXMATCH(TRIM(I96),""^[A-Za-z0-9._%+-]+@[A-Za-z0-9.-]+\.[A-Za-z]{2,}$""),""✅ Valid"",""❌ Invalid"")"),"✅ Valid")</f>
        <v>✅ Valid</v>
      </c>
      <c r="K96" s="13" t="s">
        <v>7750</v>
      </c>
      <c r="L96" s="2" t="str">
        <f>IFERROR(__xludf.DUMMYFUNCTION("IF(OR(K96=""N/A"", K96=""missing"", K96=""none""), """",
 REGEXREPLACE(
  SUBSTITUTE(SUBSTITUTE(SUBSTITUTE(TO_TEXT(K96), CHAR(160),""""), UNICHAR(8239),""""), UNICHAR(8201),""""),""[+\-/(): )]"", """"))"),"441887328198")</f>
        <v>441887328198</v>
      </c>
      <c r="M96" s="2" t="str">
        <f>IFERROR(__xludf.DUMMYFUNCTION("IF(L96="""","""", REGEXEXTRACT(REGEXREPLACE(L96,""x"", """"), ""[0-9]+""))"),"441887328198")</f>
        <v>441887328198</v>
      </c>
      <c r="N96" s="2" t="str">
        <f>IF(LEFT(M96,2)="44", RIGHT(M96,LEN(M96)-2),M96)</f>
        <v>1887328198</v>
      </c>
      <c r="O96" s="2" t="b">
        <f>IFERROR(__xludf.DUMMYFUNCTION("REGEXMATCH(TO_TEXT(N96), ""^07[1-57-9]"")"),FALSE)</f>
        <v>0</v>
      </c>
      <c r="P96" s="2">
        <f t="shared" si="34"/>
        <v>10</v>
      </c>
      <c r="Q96" s="9" t="str">
        <f>IF(AND(O96=TRUE, P96=11), "✅ VALID", "❌ INVALID")</f>
        <v>❌ INVALID</v>
      </c>
      <c r="R96" s="10" t="s">
        <v>114</v>
      </c>
      <c r="S96" s="12" t="s">
        <v>7001</v>
      </c>
      <c r="T96" s="2" t="str">
        <f>IFERROR(__xludf.DUMMYFUNCTION("IF(ISNUMBER(S96),TEXT(S96,""yyyy-MM-dd""),REGEXREPLACE(REGEXREPLACE(TO_TEXT(S96),""[^0-9a-zA-Z]+"",""-""),""[^0-9]*$"",""""))"),"11-06-2023")</f>
        <v>11-06-2023</v>
      </c>
      <c r="U96" s="2" t="s">
        <v>7751</v>
      </c>
      <c r="Y96" s="10" t="s">
        <v>7751</v>
      </c>
    </row>
    <row r="97" ht="15.75" customHeight="1">
      <c r="A97" s="2" t="s">
        <v>2732</v>
      </c>
      <c r="B97" s="9" t="s">
        <v>7597</v>
      </c>
      <c r="C97" s="2" t="s">
        <v>3362</v>
      </c>
      <c r="D97" s="10" t="str">
        <f>IFERROR(__xludf.DUMMYFUNCTION("PROPER(REGEXREPLACE(TRIM(C97),""\s+"","" ""))"),"Paula Brown")</f>
        <v>Paula Brown</v>
      </c>
      <c r="E97" s="2">
        <f>IFERROR(__xludf.DUMMYFUNCTION("IF(LEN(D97:D701),
  COUNTA(SPLIT(D97:D701,"" "")),
 """")"),2.0)</f>
        <v>2</v>
      </c>
      <c r="F97" s="9" t="str">
        <f t="shared" si="32"/>
        <v>✅</v>
      </c>
      <c r="G97" s="2" t="str">
        <f>IFERROR(__xludf.DUMMYFUNCTION("REGEXEXTRACT(PROPER(SUBSTITUTE(TRIM(I97),""."","" "")),""^[^@]+"")"),"Paula Brown")</f>
        <v>Paula Brown</v>
      </c>
      <c r="H97" s="10" t="str">
        <f t="shared" si="33"/>
        <v>paula.brown@example.com</v>
      </c>
      <c r="I97" s="2" t="s">
        <v>3363</v>
      </c>
      <c r="J97" s="9" t="str">
        <f>IFERROR(__xludf.DUMMYFUNCTION("IF(REGEXMATCH(TRIM(I97),""^[A-Za-z0-9._%+-]+@[A-Za-z0-9.-]+\.[A-Za-z]{2,}$""),""✅ Valid"",""❌ Invalid"")"),"✅ Valid")</f>
        <v>✅ Valid</v>
      </c>
      <c r="K97" s="13" t="s">
        <v>7752</v>
      </c>
      <c r="L97" s="2" t="str">
        <f>IFERROR(__xludf.DUMMYFUNCTION("IF(OR(K97=""N/A"", K97=""missing"", K97=""none""), """",
 REGEXREPLACE(
  SUBSTITUTE(SUBSTITUTE(SUBSTITUTE(TO_TEXT(K97), CHAR(160),""""), UNICHAR(8239),""""), UNICHAR(8201),""""),""[+\-/(): )]"", """"))"),"495485874659ext869")</f>
        <v>495485874659ext869</v>
      </c>
      <c r="M97" s="2" t="str">
        <f>IFERROR(__xludf.DUMMYFUNCTION("IF(L97="""","""", REGEXEXTRACT(REGEXREPLACE(L97,""x"", """"), ""[0-9]+""))"),"495485874659")</f>
        <v>495485874659</v>
      </c>
      <c r="N97" s="2" t="str">
        <f>IF(LEFT(M97,2)="49", RIGHT(M97,LEN(M97)-2),M97)</f>
        <v>5485874659</v>
      </c>
      <c r="O97" s="2" t="b">
        <f>IFERROR(__xludf.DUMMYFUNCTION("REGEXMATCH(TO_TEXT(N97), ""^0(15|16|17)"")"),FALSE)</f>
        <v>0</v>
      </c>
      <c r="P97" s="2">
        <f t="shared" si="34"/>
        <v>10</v>
      </c>
      <c r="Q97" s="9" t="str">
        <f>IF(AND(O97=TRUE,OR(P97=10, P97=11)), "✅ VALID", "❌ INVALID")</f>
        <v>❌ INVALID</v>
      </c>
      <c r="R97" s="10" t="s">
        <v>459</v>
      </c>
      <c r="S97" s="12" t="s">
        <v>7079</v>
      </c>
      <c r="T97" s="2" t="str">
        <f>IFERROR(__xludf.DUMMYFUNCTION("IF(ISNUMBER(S97),TEXT(S97,""yyyy-MM-dd""),REGEXREPLACE(REGEXREPLACE(TO_TEXT(S97),""[^0-9a-zA-Z]+"",""-""),""[^0-9]*$"",""""))"),"45180-20-23")</f>
        <v>45180-20-23</v>
      </c>
      <c r="U97" s="2" t="str">
        <f>TEXT(T97,"yyyy-MM-dd")</f>
        <v>45180-20-23</v>
      </c>
      <c r="V97" s="2" t="str">
        <f>CONCATENATE(LEFT(U97,5))</f>
        <v>45180</v>
      </c>
      <c r="W97" s="14">
        <f>DATE(1900,1,1) + V97 - 1</f>
        <v>45181</v>
      </c>
      <c r="X97" s="2" t="s">
        <v>7753</v>
      </c>
      <c r="Y97" s="10" t="s">
        <v>7753</v>
      </c>
    </row>
    <row r="98" ht="15.75" hidden="1" customHeight="1">
      <c r="A98" s="2" t="s">
        <v>5468</v>
      </c>
      <c r="B98" s="9" t="s">
        <v>7597</v>
      </c>
      <c r="C98" s="2" t="s">
        <v>2733</v>
      </c>
      <c r="D98" s="2" t="str">
        <f>IFERROR(__xludf.DUMMYFUNCTION("PROPER(REGEXREPLACE(TRIM(C98),""\s+"","" ""))"),"Gabe Novak")</f>
        <v>Gabe Novak</v>
      </c>
      <c r="E98" s="2">
        <f>IFERROR(__xludf.DUMMYFUNCTION("IF(LEN(D98:D701),
  COUNTA(SPLIT(D98:D701,"" "")),
 """")"),2.0)</f>
        <v>2</v>
      </c>
      <c r="K98" s="2" t="s">
        <v>2734</v>
      </c>
      <c r="R98" s="10" t="s">
        <v>25</v>
      </c>
      <c r="S98" s="2" t="s">
        <v>7195</v>
      </c>
    </row>
    <row r="99" ht="15.75" customHeight="1">
      <c r="A99" s="2" t="s">
        <v>5618</v>
      </c>
      <c r="B99" s="9" t="s">
        <v>7597</v>
      </c>
      <c r="C99" s="2" t="s">
        <v>5469</v>
      </c>
      <c r="D99" s="10" t="str">
        <f>IFERROR(__xludf.DUMMYFUNCTION("PROPER(REGEXREPLACE(TRIM(C99),""\s+"","" ""))"),"Omar Garcia")</f>
        <v>Omar Garcia</v>
      </c>
      <c r="E99" s="2">
        <f>IFERROR(__xludf.DUMMYFUNCTION("IF(LEN(D99:D701),
  COUNTA(SPLIT(D99:D701,"" "")),
 """")"),2.0)</f>
        <v>2</v>
      </c>
      <c r="F99" s="9" t="str">
        <f t="shared" ref="F99:F112" si="44">IF(D99=G99,"✅","❌")</f>
        <v>✅</v>
      </c>
      <c r="G99" s="2" t="str">
        <f>IFERROR(__xludf.DUMMYFUNCTION("REGEXEXTRACT(PROPER(SUBSTITUTE(TRIM(I99),""."","" "")),""^[^@]+"")"),"Omar Garcia")</f>
        <v>Omar Garcia</v>
      </c>
      <c r="H99" s="10" t="str">
        <f t="shared" ref="H99:H112" si="45">LOWER(TRIM(I99))</f>
        <v>omar.garcia@outlook.com</v>
      </c>
      <c r="I99" s="2" t="s">
        <v>5470</v>
      </c>
      <c r="J99" s="9" t="str">
        <f>IFERROR(__xludf.DUMMYFUNCTION("IF(REGEXMATCH(TRIM(I99),""^[A-Za-z0-9._%+-]+@[A-Za-z0-9.-]+\.[A-Za-z]{2,}$""),""✅ Valid"",""❌ Invalid"")"),"✅ Valid")</f>
        <v>✅ Valid</v>
      </c>
      <c r="K99" s="13" t="s">
        <v>7754</v>
      </c>
      <c r="L99" s="2" t="str">
        <f>IFERROR(__xludf.DUMMYFUNCTION("IF(OR(K99=""N/A"", K99=""missing"", K99=""none""), """",
 REGEXREPLACE(
  SUBSTITUTE(SUBSTITUTE(SUBSTITUTE(TO_TEXT(K99), CHAR(160),""""), UNICHAR(8239),""""), UNICHAR(8201),""""),""[+\-/(): )]"", """"))"),"tel4491900279850")</f>
        <v>tel4491900279850</v>
      </c>
      <c r="M99" s="2" t="str">
        <f>IFERROR(__xludf.DUMMYFUNCTION("IF(L99="""","""", REGEXEXTRACT(REGEXREPLACE(L99,""x"", """"), ""[0-9]+""))"),"4491900279850")</f>
        <v>4491900279850</v>
      </c>
      <c r="N99" s="2" t="str">
        <f>IF(LEFT(M99,2)="44", RIGHT(M99,LEN(M99)-2),M99)</f>
        <v>91900279850</v>
      </c>
      <c r="O99" s="2" t="b">
        <f>IFERROR(__xludf.DUMMYFUNCTION("REGEXMATCH(TO_TEXT(N99), ""^07[1-57-9]"")"),FALSE)</f>
        <v>0</v>
      </c>
      <c r="P99" s="2">
        <f t="shared" ref="P99:P106" si="46">LEN(N99)</f>
        <v>11</v>
      </c>
      <c r="Q99" s="9" t="str">
        <f>IF(AND(O99=TRUE, P99=11), "✅ VALID", "❌ INVALID")</f>
        <v>❌ INVALID</v>
      </c>
      <c r="R99" s="10" t="s">
        <v>114</v>
      </c>
      <c r="S99" s="12">
        <v>45045.0</v>
      </c>
      <c r="T99" s="2" t="str">
        <f>IFERROR(__xludf.DUMMYFUNCTION("IF(ISNUMBER(S99),TEXT(S99,""yyyy-MM-dd""),REGEXREPLACE(REGEXREPLACE(TO_TEXT(S99),""[^0-9a-zA-Z]+"",""-""),""[^0-9]*$"",""""))"),"2023-04-29")</f>
        <v>2023-04-29</v>
      </c>
      <c r="U99" s="2" t="s">
        <v>5637</v>
      </c>
      <c r="Y99" s="10" t="s">
        <v>5637</v>
      </c>
    </row>
    <row r="100" ht="15.75" customHeight="1">
      <c r="A100" s="2" t="s">
        <v>6295</v>
      </c>
      <c r="B100" s="9" t="s">
        <v>7597</v>
      </c>
      <c r="C100" s="2" t="s">
        <v>2452</v>
      </c>
      <c r="D100" s="10" t="str">
        <f>IFERROR(__xludf.DUMMYFUNCTION("PROPER(REGEXREPLACE(TRIM(C100),""\s+"","" ""))"),"Rita Khan")</f>
        <v>Rita Khan</v>
      </c>
      <c r="E100" s="2">
        <f>IFERROR(__xludf.DUMMYFUNCTION("IF(LEN(D100:D701),
  COUNTA(SPLIT(D100:D701,"" "")),
 """")"),2.0)</f>
        <v>2</v>
      </c>
      <c r="F100" s="9" t="str">
        <f t="shared" si="44"/>
        <v>✅</v>
      </c>
      <c r="G100" s="2" t="str">
        <f>IFERROR(__xludf.DUMMYFUNCTION("REGEXEXTRACT(PROPER(SUBSTITUTE(TRIM(I100),""."","" "")),""^[^@]+"")"),"Rita Khan")</f>
        <v>Rita Khan</v>
      </c>
      <c r="H100" s="10" t="str">
        <f t="shared" si="45"/>
        <v>rita.khan@gmail.com</v>
      </c>
      <c r="I100" s="2" t="s">
        <v>5619</v>
      </c>
      <c r="J100" s="9" t="str">
        <f>IFERROR(__xludf.DUMMYFUNCTION("IF(REGEXMATCH(TRIM(I100),""^[A-Za-z0-9._%+-]+@[A-Za-z0-9.-]+\.[A-Za-z]{2,}$""),""✅ Valid"",""❌ Invalid"")"),"✅ Valid")</f>
        <v>✅ Valid</v>
      </c>
      <c r="K100" s="13" t="s">
        <v>7755</v>
      </c>
      <c r="L100" s="2" t="str">
        <f>IFERROR(__xludf.DUMMYFUNCTION("IF(OR(K100=""N/A"", K100=""missing"", K100=""none""), """",
 REGEXREPLACE(
  SUBSTITUTE(SUBSTITUTE(SUBSTITUTE(TO_TEXT(K100), CHAR(160),""""), UNICHAR(8239),""""), UNICHAR(8201),""""),""[+\-/(): )]"", """"))"),"18098522426")</f>
        <v>18098522426</v>
      </c>
      <c r="M100" s="2" t="str">
        <f>IFERROR(__xludf.DUMMYFUNCTION("IF(L100="""","""", REGEXEXTRACT(REGEXREPLACE(L100,""x"", """"), ""[0-9]+""))"),"18098522426")</f>
        <v>18098522426</v>
      </c>
      <c r="N100" s="2" t="str">
        <f>IF(LEFT(M100,1)="1", RIGHT(M100,LEN(M100)-1),M100)</f>
        <v>8098522426</v>
      </c>
      <c r="O100" s="2" t="b">
        <f>IFERROR(__xludf.DUMMYFUNCTION("REGEXMATCH(TO_TEXT(N100), ""^[2-9][0-9]{9}$"")"),TRUE)</f>
        <v>1</v>
      </c>
      <c r="P100" s="2">
        <f t="shared" si="46"/>
        <v>10</v>
      </c>
      <c r="Q100" s="9" t="str">
        <f>IF(AND(O100=TRUE, P100=10), "✅ VALID", "❌ INVALID")</f>
        <v>✅ VALID</v>
      </c>
      <c r="R100" s="10" t="s">
        <v>199</v>
      </c>
      <c r="S100" s="12">
        <v>45701.0</v>
      </c>
      <c r="T100" s="2" t="str">
        <f>IFERROR(__xludf.DUMMYFUNCTION("IF(ISNUMBER(S100),TEXT(S100,""yyyy-MM-dd""),REGEXREPLACE(REGEXREPLACE(TO_TEXT(S100),""[^0-9a-zA-Z]+"",""-""),""[^0-9]*$"",""""))"),"2025-02-13")</f>
        <v>2025-02-13</v>
      </c>
      <c r="U100" s="2" t="s">
        <v>6630</v>
      </c>
      <c r="Y100" s="10" t="s">
        <v>6630</v>
      </c>
    </row>
    <row r="101" ht="15.75" customHeight="1">
      <c r="A101" s="2" t="s">
        <v>6303</v>
      </c>
      <c r="B101" s="9" t="s">
        <v>7597</v>
      </c>
      <c r="C101" s="2" t="s">
        <v>6296</v>
      </c>
      <c r="D101" s="10" t="str">
        <f>IFERROR(__xludf.DUMMYFUNCTION("PROPER(REGEXREPLACE(TRIM(C101),""\s+"","" ""))"),"Zack Dubois")</f>
        <v>Zack Dubois</v>
      </c>
      <c r="E101" s="2">
        <f>IFERROR(__xludf.DUMMYFUNCTION("IF(LEN(D101:D701),
  COUNTA(SPLIT(D101:D701,"" "")),
 """")"),2.0)</f>
        <v>2</v>
      </c>
      <c r="F101" s="9" t="str">
        <f t="shared" si="44"/>
        <v>✅</v>
      </c>
      <c r="G101" s="2" t="str">
        <f>IFERROR(__xludf.DUMMYFUNCTION("REGEXEXTRACT(PROPER(SUBSTITUTE(TRIM(I101),""."","" "")),""^[^@]+"")"),"Zack Dubois")</f>
        <v>Zack Dubois</v>
      </c>
      <c r="H101" s="10" t="str">
        <f t="shared" si="45"/>
        <v>zack.dubois@yahoo.com</v>
      </c>
      <c r="I101" s="2" t="s">
        <v>6297</v>
      </c>
      <c r="J101" s="9" t="str">
        <f>IFERROR(__xludf.DUMMYFUNCTION("IF(REGEXMATCH(TRIM(I101),""^[A-Za-z0-9._%+-]+@[A-Za-z0-9.-]+\.[A-Za-z]{2,}$""),""✅ Valid"",""❌ Invalid"")"),"✅ Valid")</f>
        <v>✅ Valid</v>
      </c>
      <c r="K101" s="13" t="s">
        <v>7756</v>
      </c>
      <c r="L101" s="2" t="str">
        <f>IFERROR(__xludf.DUMMYFUNCTION("IF(OR(K101=""N/A"", K101=""missing"", K101=""none""), """",
 REGEXREPLACE(
  SUBSTITUTE(SUBSTITUTE(SUBSTITUTE(TO_TEXT(K101), CHAR(160),""""), UNICHAR(8239),""""), UNICHAR(8201),""""),""[+\-/(): )]"", """"))"),"34597788655")</f>
        <v>34597788655</v>
      </c>
      <c r="M101" s="2" t="str">
        <f>IFERROR(__xludf.DUMMYFUNCTION("IF(L101="""","""", REGEXEXTRACT(REGEXREPLACE(L101,""x"", """"), ""[0-9]+""))"),"34597788655")</f>
        <v>34597788655</v>
      </c>
      <c r="N101" s="2" t="str">
        <f>IF(LEFT(M101,2)="34", RIGHT(M101,LEN(M101)-2),M101)</f>
        <v>597788655</v>
      </c>
      <c r="O101" s="2" t="b">
        <f>IFERROR(__xludf.DUMMYFUNCTION("REGEXMATCH(TO_TEXT(N101), ""^[67]"")"),FALSE)</f>
        <v>0</v>
      </c>
      <c r="P101" s="2">
        <f t="shared" si="46"/>
        <v>9</v>
      </c>
      <c r="Q101" s="9" t="str">
        <f>IF(AND(O101=TRUE, P101=9), "✅ VALID", "❌ INVALID")</f>
        <v>❌ INVALID</v>
      </c>
      <c r="R101" s="10" t="s">
        <v>139</v>
      </c>
      <c r="S101" s="12">
        <v>44656.0</v>
      </c>
      <c r="T101" s="2" t="str">
        <f>IFERROR(__xludf.DUMMYFUNCTION("IF(ISNUMBER(S101),TEXT(S101,""yyyy-MM-dd""),REGEXREPLACE(REGEXREPLACE(TO_TEXT(S101),""[^0-9a-zA-Z]+"",""-""),""[^0-9]*$"",""""))"),"2022-04-05")</f>
        <v>2022-04-05</v>
      </c>
      <c r="U101" s="2" t="s">
        <v>7757</v>
      </c>
      <c r="Y101" s="10" t="s">
        <v>7757</v>
      </c>
    </row>
    <row r="102" ht="15.75" customHeight="1">
      <c r="A102" s="2" t="s">
        <v>7259</v>
      </c>
      <c r="B102" s="9" t="s">
        <v>7597</v>
      </c>
      <c r="C102" s="2" t="s">
        <v>6304</v>
      </c>
      <c r="D102" s="10" t="str">
        <f>IFERROR(__xludf.DUMMYFUNCTION("PROPER(REGEXREPLACE(TRIM(C102),""\s+"","" ""))"),"Marek King")</f>
        <v>Marek King</v>
      </c>
      <c r="E102" s="2">
        <f>IFERROR(__xludf.DUMMYFUNCTION("IF(LEN(D102:D701),
  COUNTA(SPLIT(D102:D701,"" "")),
 """")"),2.0)</f>
        <v>2</v>
      </c>
      <c r="F102" s="9" t="str">
        <f t="shared" si="44"/>
        <v>✅</v>
      </c>
      <c r="G102" s="2" t="str">
        <f>IFERROR(__xludf.DUMMYFUNCTION("REGEXEXTRACT(PROPER(SUBSTITUTE(TRIM(I102),""."","" "")),""^[^@]+"")"),"Marek King")</f>
        <v>Marek King</v>
      </c>
      <c r="H102" s="10" t="str">
        <f t="shared" si="45"/>
        <v>marek.king@gmail.com</v>
      </c>
      <c r="I102" s="2" t="s">
        <v>6305</v>
      </c>
      <c r="J102" s="9" t="str">
        <f>IFERROR(__xludf.DUMMYFUNCTION("IF(REGEXMATCH(TRIM(I102),""^[A-Za-z0-9._%+-]+@[A-Za-z0-9.-]+\.[A-Za-z]{2,}$""),""✅ Valid"",""❌ Invalid"")"),"✅ Valid")</f>
        <v>✅ Valid</v>
      </c>
      <c r="K102" s="13" t="s">
        <v>7758</v>
      </c>
      <c r="L102" s="2" t="str">
        <f>IFERROR(__xludf.DUMMYFUNCTION("IF(OR(K102=""N/A"", K102=""missing"", K102=""none""), """",
 REGEXREPLACE(
  SUBSTITUTE(SUBSTITUTE(SUBSTITUTE(TO_TEXT(K102), CHAR(160),""""), UNICHAR(8239),""""), UNICHAR(8201),""""),""[+\-/(): )]"", """"))"),"tel15204496552")</f>
        <v>tel15204496552</v>
      </c>
      <c r="M102" s="2" t="str">
        <f>IFERROR(__xludf.DUMMYFUNCTION("IF(L102="""","""", REGEXEXTRACT(REGEXREPLACE(L102,""x"", """"), ""[0-9]+""))"),"15204496552")</f>
        <v>15204496552</v>
      </c>
      <c r="N102" s="2" t="str">
        <f>IF(LEFT(M102,1)="1", RIGHT(M102,LEN(M102)-1),M102)</f>
        <v>5204496552</v>
      </c>
      <c r="O102" s="2" t="b">
        <f>IFERROR(__xludf.DUMMYFUNCTION("REGEXMATCH(TO_TEXT(N102), ""^[2-9][0-9]{9}$"")"),TRUE)</f>
        <v>1</v>
      </c>
      <c r="P102" s="2">
        <f t="shared" si="46"/>
        <v>10</v>
      </c>
      <c r="Q102" s="9" t="str">
        <f>IF(AND(O102=TRUE, P102=10), "✅ VALID", "❌ INVALID")</f>
        <v>✅ VALID</v>
      </c>
      <c r="R102" s="10" t="s">
        <v>199</v>
      </c>
      <c r="S102" s="12">
        <v>45294.12291666667</v>
      </c>
      <c r="T102" s="2" t="str">
        <f>IFERROR(__xludf.DUMMYFUNCTION("IF(ISNUMBER(S102),TEXT(S102,""yyyy-MM-dd""),REGEXREPLACE(REGEXREPLACE(TO_TEXT(S102),""[^0-9a-zA-Z]+"",""-""),""[^0-9]*$"",""""))"),"2024-01-03")</f>
        <v>2024-01-03</v>
      </c>
      <c r="U102" s="2" t="s">
        <v>7759</v>
      </c>
      <c r="Y102" s="10" t="s">
        <v>7759</v>
      </c>
    </row>
    <row r="103" ht="15.75" customHeight="1">
      <c r="A103" s="2" t="s">
        <v>136</v>
      </c>
      <c r="B103" s="9" t="s">
        <v>7597</v>
      </c>
      <c r="C103" s="2" t="s">
        <v>3756</v>
      </c>
      <c r="D103" s="10" t="str">
        <f>IFERROR(__xludf.DUMMYFUNCTION("PROPER(REGEXREPLACE(TRIM(C103),""\s+"","" ""))"),"Daria Taylor")</f>
        <v>Daria Taylor</v>
      </c>
      <c r="E103" s="2">
        <f>IFERROR(__xludf.DUMMYFUNCTION("IF(LEN(D103:D701),
  COUNTA(SPLIT(D103:D701,"" "")),
 """")"),2.0)</f>
        <v>2</v>
      </c>
      <c r="F103" s="9" t="str">
        <f t="shared" si="44"/>
        <v>✅</v>
      </c>
      <c r="G103" s="2" t="str">
        <f>IFERROR(__xludf.DUMMYFUNCTION("REGEXEXTRACT(PROPER(SUBSTITUTE(TRIM(I103),""."","" "")),""^[^@]+"")"),"Daria Taylor")</f>
        <v>Daria Taylor</v>
      </c>
      <c r="H103" s="10" t="str">
        <f t="shared" si="45"/>
        <v>daria.taylor@outlook.com</v>
      </c>
      <c r="I103" s="2" t="s">
        <v>7260</v>
      </c>
      <c r="J103" s="9" t="str">
        <f>IFERROR(__xludf.DUMMYFUNCTION("IF(REGEXMATCH(TRIM(I103),""^[A-Za-z0-9._%+-]+@[A-Za-z0-9.-]+\.[A-Za-z]{2,}$""),""✅ Valid"",""❌ Invalid"")"),"✅ Valid")</f>
        <v>✅ Valid</v>
      </c>
      <c r="K103" s="13" t="s">
        <v>7760</v>
      </c>
      <c r="L103" s="2" t="str">
        <f>IFERROR(__xludf.DUMMYFUNCTION("IF(OR(K103=""N/A"", K103=""missing"", K103=""none""), """",
 REGEXREPLACE(
  SUBSTITUTE(SUBSTITUTE(SUBSTITUTE(TO_TEXT(K103), CHAR(160),""""), UNICHAR(8239),""""), UNICHAR(8201),""""),""[+\-/(): )]"", """"))"),"3927447919")</f>
        <v>3927447919</v>
      </c>
      <c r="M103" s="2" t="str">
        <f>IFERROR(__xludf.DUMMYFUNCTION("IF(L103="""","""", REGEXEXTRACT(REGEXREPLACE(L103,""x"", """"), ""[0-9]+""))"),"3927447919")</f>
        <v>3927447919</v>
      </c>
      <c r="N103" s="2" t="str">
        <f>IF(LEFT(M103,2)="39", RIGHT(M103,LEN(M103)-2),M103)</f>
        <v>27447919</v>
      </c>
      <c r="O103" s="2" t="b">
        <f>IFERROR(__xludf.DUMMYFUNCTION("REGEXMATCH(TO_TEXT(N103), ""^3"")"),FALSE)</f>
        <v>0</v>
      </c>
      <c r="P103" s="2">
        <f t="shared" si="46"/>
        <v>8</v>
      </c>
      <c r="Q103" s="9" t="str">
        <f>IF(AND(O103=TRUE,OR(P103=9, P103=10 )), "✅ VALID", "❌ INVALID")</f>
        <v>❌ INVALID</v>
      </c>
      <c r="R103" s="10" t="s">
        <v>785</v>
      </c>
      <c r="S103" s="12">
        <v>45163.0</v>
      </c>
      <c r="T103" s="2" t="str">
        <f>IFERROR(__xludf.DUMMYFUNCTION("IF(ISNUMBER(S103),TEXT(S103,""yyyy-MM-dd""),REGEXREPLACE(REGEXREPLACE(TO_TEXT(S103),""[^0-9a-zA-Z]+"",""-""),""[^0-9]*$"",""""))"),"2023-08-25")</f>
        <v>2023-08-25</v>
      </c>
      <c r="U103" s="2" t="s">
        <v>7761</v>
      </c>
      <c r="Y103" s="10" t="s">
        <v>7761</v>
      </c>
    </row>
    <row r="104" ht="15.75" customHeight="1">
      <c r="A104" s="2" t="s">
        <v>518</v>
      </c>
      <c r="B104" s="9" t="s">
        <v>7597</v>
      </c>
      <c r="C104" s="2" t="s">
        <v>137</v>
      </c>
      <c r="D104" s="10" t="str">
        <f>IFERROR(__xludf.DUMMYFUNCTION("PROPER(REGEXREPLACE(TRIM(C104),""\s+"","" ""))"),"Omar Khan")</f>
        <v>Omar Khan</v>
      </c>
      <c r="E104" s="2">
        <f>IFERROR(__xludf.DUMMYFUNCTION("IF(LEN(D104:D701),
  COUNTA(SPLIT(D104:D701,"" "")),
 """")"),2.0)</f>
        <v>2</v>
      </c>
      <c r="F104" s="9" t="str">
        <f t="shared" si="44"/>
        <v>✅</v>
      </c>
      <c r="G104" s="2" t="str">
        <f>IFERROR(__xludf.DUMMYFUNCTION("REGEXEXTRACT(PROPER(SUBSTITUTE(TRIM(I104),""."","" "")),""^[^@]+"")"),"Omar Khan")</f>
        <v>Omar Khan</v>
      </c>
      <c r="H104" s="10" t="str">
        <f t="shared" si="45"/>
        <v>omar.khan@shop.io</v>
      </c>
      <c r="I104" s="2" t="s">
        <v>138</v>
      </c>
      <c r="J104" s="9" t="str">
        <f>IFERROR(__xludf.DUMMYFUNCTION("IF(REGEXMATCH(TRIM(I104),""^[A-Za-z0-9._%+-]+@[A-Za-z0-9.-]+\.[A-Za-z]{2,}$""),""✅ Valid"",""❌ Invalid"")"),"✅ Valid")</f>
        <v>✅ Valid</v>
      </c>
      <c r="K104" s="13" t="s">
        <v>7762</v>
      </c>
      <c r="L104" s="2" t="str">
        <f>IFERROR(__xludf.DUMMYFUNCTION("IF(OR(K104=""N/A"", K104=""missing"", K104=""none""), """",
 REGEXREPLACE(
  SUBSTITUTE(SUBSTITUTE(SUBSTITUTE(TO_TEXT(K104), CHAR(160),""""), UNICHAR(8239),""""), UNICHAR(8201),""""),""[+\-/(): )]"", """"))"),"3497515796")</f>
        <v>3497515796</v>
      </c>
      <c r="M104" s="2" t="str">
        <f>IFERROR(__xludf.DUMMYFUNCTION("IF(L104="""","""", REGEXEXTRACT(REGEXREPLACE(L104,""x"", """"), ""[0-9]+""))"),"3497515796")</f>
        <v>3497515796</v>
      </c>
      <c r="N104" s="2" t="str">
        <f>IF(LEFT(M104,2)="34", RIGHT(M104,LEN(M104)-2),M104)</f>
        <v>97515796</v>
      </c>
      <c r="O104" s="2" t="b">
        <f>IFERROR(__xludf.DUMMYFUNCTION("REGEXMATCH(TO_TEXT(N104), ""^[67]"")"),FALSE)</f>
        <v>0</v>
      </c>
      <c r="P104" s="2">
        <f t="shared" si="46"/>
        <v>8</v>
      </c>
      <c r="Q104" s="9" t="str">
        <f>IF(AND(O104=TRUE, P104=9), "✅ VALID", "❌ INVALID")</f>
        <v>❌ INVALID</v>
      </c>
      <c r="R104" s="10" t="s">
        <v>139</v>
      </c>
      <c r="S104" s="12">
        <v>45675.0</v>
      </c>
      <c r="T104" s="2" t="str">
        <f>IFERROR(__xludf.DUMMYFUNCTION("IF(ISNUMBER(S104),TEXT(S104,""yyyy-MM-dd""),REGEXREPLACE(REGEXREPLACE(TO_TEXT(S104),""[^0-9a-zA-Z]+"",""-""),""[^0-9]*$"",""""))"),"2025-01-18")</f>
        <v>2025-01-18</v>
      </c>
      <c r="U104" s="2" t="s">
        <v>7763</v>
      </c>
      <c r="Y104" s="10" t="s">
        <v>7763</v>
      </c>
    </row>
    <row r="105" ht="15.75" customHeight="1">
      <c r="A105" s="2" t="s">
        <v>2676</v>
      </c>
      <c r="B105" s="9" t="s">
        <v>7597</v>
      </c>
      <c r="C105" s="2" t="s">
        <v>519</v>
      </c>
      <c r="D105" s="10" t="str">
        <f>IFERROR(__xludf.DUMMYFUNCTION("PROPER(REGEXREPLACE(TRIM(C105),""\s+"","" ""))"),"Vlad Walker")</f>
        <v>Vlad Walker</v>
      </c>
      <c r="E105" s="2">
        <f>IFERROR(__xludf.DUMMYFUNCTION("IF(LEN(D105:D701),
  COUNTA(SPLIT(D105:D701,"" "")),
 """")"),2.0)</f>
        <v>2</v>
      </c>
      <c r="F105" s="9" t="str">
        <f t="shared" si="44"/>
        <v>✅</v>
      </c>
      <c r="G105" s="2" t="str">
        <f>IFERROR(__xludf.DUMMYFUNCTION("REGEXEXTRACT(PROPER(SUBSTITUTE(TRIM(I105),""."","" "")),""^[^@]+"")"),"Vlad Walker")</f>
        <v>Vlad Walker</v>
      </c>
      <c r="H105" s="10" t="str">
        <f t="shared" si="45"/>
        <v>vlad.walker@yahoo.com</v>
      </c>
      <c r="I105" s="2" t="s">
        <v>520</v>
      </c>
      <c r="J105" s="9" t="str">
        <f>IFERROR(__xludf.DUMMYFUNCTION("IF(REGEXMATCH(TRIM(I105),""^[A-Za-z0-9._%+-]+@[A-Za-z0-9.-]+\.[A-Za-z]{2,}$""),""✅ Valid"",""❌ Invalid"")"),"✅ Valid")</f>
        <v>✅ Valid</v>
      </c>
      <c r="K105" s="11">
        <v>3.5335874267E10</v>
      </c>
      <c r="L105" s="2" t="str">
        <f>IFERROR(__xludf.DUMMYFUNCTION("IF(OR(K105=""N/A"", K105=""missing"", K105=""none""), """",
 REGEXREPLACE(
  SUBSTITUTE(SUBSTITUTE(SUBSTITUTE(TO_TEXT(K105), CHAR(160),""""), UNICHAR(8239),""""), UNICHAR(8201),""""),""[+\-/(): )]"", """"))"),"35335874267")</f>
        <v>35335874267</v>
      </c>
      <c r="M105" s="2" t="str">
        <f>IFERROR(__xludf.DUMMYFUNCTION("IF(L105="""","""", REGEXEXTRACT(REGEXREPLACE(L105,""x"", """"), ""[0-9]+""))"),"35335874267")</f>
        <v>35335874267</v>
      </c>
      <c r="N105" s="2" t="str">
        <f>IF(LEFT(M105,3)="353", RIGHT(M105,LEN(M105)-3),M105)</f>
        <v>35874267</v>
      </c>
      <c r="O105" s="2" t="b">
        <f>IFERROR(__xludf.DUMMYFUNCTION("REGEXMATCH(TO_TEXT(N105), ""^0(83|85|86|87|89)"")"),FALSE)</f>
        <v>0</v>
      </c>
      <c r="P105" s="2">
        <f t="shared" si="46"/>
        <v>8</v>
      </c>
      <c r="Q105" s="9" t="str">
        <f>IF(AND(O105=TRUE, P102=10), "✅ VALID", "❌ INVALID")</f>
        <v>❌ INVALID</v>
      </c>
      <c r="R105" s="10" t="s">
        <v>1177</v>
      </c>
      <c r="S105" s="12">
        <v>44851.0</v>
      </c>
      <c r="T105" s="2" t="str">
        <f>IFERROR(__xludf.DUMMYFUNCTION("IF(ISNUMBER(S105),TEXT(S105,""yyyy-MM-dd""),REGEXREPLACE(REGEXREPLACE(TO_TEXT(S105),""[^0-9a-zA-Z]+"",""-""),""[^0-9]*$"",""""))"),"2022-10-17")</f>
        <v>2022-10-17</v>
      </c>
      <c r="U105" s="2" t="s">
        <v>7764</v>
      </c>
      <c r="Y105" s="10" t="s">
        <v>7764</v>
      </c>
    </row>
    <row r="106" ht="15.75" customHeight="1">
      <c r="A106" s="2" t="s">
        <v>4192</v>
      </c>
      <c r="B106" s="9" t="s">
        <v>7597</v>
      </c>
      <c r="C106" s="2" t="s">
        <v>2677</v>
      </c>
      <c r="D106" s="10" t="str">
        <f>IFERROR(__xludf.DUMMYFUNCTION("PROPER(REGEXREPLACE(TRIM(C106),""\s+"","" ""))"),"Rita King")</f>
        <v>Rita King</v>
      </c>
      <c r="E106" s="2">
        <f>IFERROR(__xludf.DUMMYFUNCTION("IF(LEN(D106:D701),
  COUNTA(SPLIT(D106:D701,"" "")),
 """")"),2.0)</f>
        <v>2</v>
      </c>
      <c r="F106" s="9" t="str">
        <f t="shared" si="44"/>
        <v>✅</v>
      </c>
      <c r="G106" s="2" t="str">
        <f>IFERROR(__xludf.DUMMYFUNCTION("REGEXEXTRACT(PROPER(SUBSTITUTE(TRIM(I106),""."","" "")),""^[^@]+"")"),"Rita King")</f>
        <v>Rita King</v>
      </c>
      <c r="H106" s="10" t="str">
        <f t="shared" si="45"/>
        <v>rita.king@example.com</v>
      </c>
      <c r="I106" s="2" t="s">
        <v>2678</v>
      </c>
      <c r="J106" s="9" t="str">
        <f>IFERROR(__xludf.DUMMYFUNCTION("IF(REGEXMATCH(TRIM(I106),""^[A-Za-z0-9._%+-]+@[A-Za-z0-9.-]+\.[A-Za-z]{2,}$""),""✅ Valid"",""❌ Invalid"")"),"✅ Valid")</f>
        <v>✅ Valid</v>
      </c>
      <c r="K106" s="13" t="s">
        <v>7765</v>
      </c>
      <c r="L106" s="2" t="str">
        <f>IFERROR(__xludf.DUMMYFUNCTION("IF(OR(K106=""N/A"", K106=""missing"", K106=""none""), """",
 REGEXREPLACE(
  SUBSTITUTE(SUBSTITUTE(SUBSTITUTE(TO_TEXT(K106), CHAR(160),""""), UNICHAR(8239),""""), UNICHAR(8201),""""),""[+\-/(): )]"", """"))"),"337705564ext398")</f>
        <v>337705564ext398</v>
      </c>
      <c r="M106" s="2" t="str">
        <f>IFERROR(__xludf.DUMMYFUNCTION("IF(L106="""","""", REGEXEXTRACT(REGEXREPLACE(L106,""x"", """"), ""[0-9]+""))"),"337705564")</f>
        <v>337705564</v>
      </c>
      <c r="N106" s="2" t="str">
        <f>IF(LEFT(M106,2)="33", RIGHT(M106,LEN(M106)-2),M106)</f>
        <v>7705564</v>
      </c>
      <c r="O106" s="2" t="b">
        <f>IFERROR(__xludf.DUMMYFUNCTION("REGEXMATCH(TO_TEXT(N106), ""^0[67]"")"),FALSE)</f>
        <v>0</v>
      </c>
      <c r="P106" s="2">
        <f t="shared" si="46"/>
        <v>7</v>
      </c>
      <c r="Q106" s="9" t="str">
        <f t="shared" ref="Q106:Q107" si="47">IF(AND(O106=TRUE, P106=9), "✅ VALID", "❌ INVALID")</f>
        <v>❌ INVALID</v>
      </c>
      <c r="R106" s="10" t="s">
        <v>58</v>
      </c>
      <c r="S106" s="12">
        <v>45522.0</v>
      </c>
      <c r="T106" s="2" t="str">
        <f>IFERROR(__xludf.DUMMYFUNCTION("IF(ISNUMBER(S106),TEXT(S106,""yyyy-MM-dd""),REGEXREPLACE(REGEXREPLACE(TO_TEXT(S106),""[^0-9a-zA-Z]+"",""-""),""[^0-9]*$"",""""))"),"2024-08-18")</f>
        <v>2024-08-18</v>
      </c>
      <c r="U106" s="2" t="s">
        <v>4458</v>
      </c>
      <c r="Y106" s="10" t="s">
        <v>4458</v>
      </c>
    </row>
    <row r="107" ht="15.75" customHeight="1">
      <c r="A107" s="2" t="s">
        <v>2663</v>
      </c>
      <c r="B107" s="9" t="s">
        <v>7597</v>
      </c>
      <c r="C107" s="2" t="s">
        <v>4193</v>
      </c>
      <c r="D107" s="10" t="str">
        <f>IFERROR(__xludf.DUMMYFUNCTION("PROPER(REGEXREPLACE(TRIM(C107),""\s+"","" ""))"),"Adam King")</f>
        <v>Adam King</v>
      </c>
      <c r="E107" s="2">
        <f>IFERROR(__xludf.DUMMYFUNCTION("IF(LEN(D107:D701),
  COUNTA(SPLIT(D107:D701,"" "")),
 """")"),2.0)</f>
        <v>2</v>
      </c>
      <c r="F107" s="9" t="str">
        <f t="shared" si="44"/>
        <v>✅</v>
      </c>
      <c r="G107" s="2" t="str">
        <f>IFERROR(__xludf.DUMMYFUNCTION("REGEXEXTRACT(PROPER(SUBSTITUTE(TRIM(I107),""."","" "")),""^[^@]+"")"),"Adam King")</f>
        <v>Adam King</v>
      </c>
      <c r="H107" s="10" t="str">
        <f t="shared" si="45"/>
        <v>adam.king@gmail.com</v>
      </c>
      <c r="I107" s="2" t="s">
        <v>4194</v>
      </c>
      <c r="J107" s="9" t="str">
        <f>IFERROR(__xludf.DUMMYFUNCTION("IF(REGEXMATCH(TRIM(I107),""^[A-Za-z0-9._%+-]+@[A-Za-z0-9.-]+\.[A-Za-z]{2,}$""),""✅ Valid"",""❌ Invalid"")"),"✅ Valid")</f>
        <v>✅ Valid</v>
      </c>
      <c r="K107" s="15" t="s">
        <v>7766</v>
      </c>
      <c r="L107" s="2" t="str">
        <f>IFERROR(__xludf.DUMMYFUNCTION("IF(K107=""N/A"", """",
 REGEXREPLACE(
  SUBSTITUTE(SUBSTITUTE(SUBSTITUTE(TO_TEXT(K107), CHAR(160),""""), UNICHAR(8239),""""), UNICHAR(8201),""""),""[+\-/(): )]"", """"))"),"48359024987")</f>
        <v>48359024987</v>
      </c>
      <c r="M107" s="2" t="str">
        <f>IFERROR(__xludf.DUMMYFUNCTION("IF(L107="""","""", REGEXEXTRACT(REGEXREPLACE(L107,""x"", """"), ""[0-9]+""))"),"48359024987")</f>
        <v>48359024987</v>
      </c>
      <c r="N107" s="2" t="str">
        <f>IF(LEFT(M107,2)="48", RIGHT(M107,LEN(M107)-2),M107)</f>
        <v>359024987</v>
      </c>
      <c r="O107" s="2" t="b">
        <f>IFERROR(__xludf.DUMMYFUNCTION("REGEXMATCH(TO_TEXT(N107), ""^(5[013679]|6[069]|7[2-9]|88)"")"),FALSE)</f>
        <v>0</v>
      </c>
      <c r="Q107" s="9" t="str">
        <f t="shared" si="47"/>
        <v>❌ INVALID</v>
      </c>
      <c r="R107" s="10" t="s">
        <v>25</v>
      </c>
      <c r="S107" s="12">
        <v>45147.0</v>
      </c>
      <c r="T107" s="2" t="str">
        <f>IFERROR(__xludf.DUMMYFUNCTION("IF(ISNUMBER(S107),TEXT(S107,""yyyy-MM-dd""),REGEXREPLACE(REGEXREPLACE(TO_TEXT(S107),""[^0-9a-zA-Z]+"",""-""),""[^0-9]*$"",""""))"),"2023-08-09")</f>
        <v>2023-08-09</v>
      </c>
      <c r="U107" s="2" t="s">
        <v>7767</v>
      </c>
      <c r="Y107" s="10" t="s">
        <v>7767</v>
      </c>
    </row>
    <row r="108" ht="15.75" customHeight="1">
      <c r="A108" s="2" t="s">
        <v>773</v>
      </c>
      <c r="B108" s="9" t="s">
        <v>7597</v>
      </c>
      <c r="C108" s="2" t="s">
        <v>2664</v>
      </c>
      <c r="D108" s="10" t="str">
        <f>IFERROR(__xludf.DUMMYFUNCTION("PROPER(REGEXREPLACE(TRIM(C108),""\s+"","" ""))"),"Qi Johnson")</f>
        <v>Qi Johnson</v>
      </c>
      <c r="E108" s="2">
        <f>IFERROR(__xludf.DUMMYFUNCTION("IF(LEN(D108:D701),
  COUNTA(SPLIT(D108:D701,"" "")),
 """")"),2.0)</f>
        <v>2</v>
      </c>
      <c r="F108" s="9" t="str">
        <f t="shared" si="44"/>
        <v>✅</v>
      </c>
      <c r="G108" s="2" t="str">
        <f>IFERROR(__xludf.DUMMYFUNCTION("REGEXEXTRACT(PROPER(SUBSTITUTE(TRIM(I108),""."","" "")),""^[^@]+"")"),"Qi Johnson")</f>
        <v>Qi Johnson</v>
      </c>
      <c r="H108" s="10" t="str">
        <f t="shared" si="45"/>
        <v>qi.johnson@gmail.com</v>
      </c>
      <c r="I108" s="2" t="s">
        <v>2665</v>
      </c>
      <c r="J108" s="9" t="str">
        <f>IFERROR(__xludf.DUMMYFUNCTION("IF(REGEXMATCH(TRIM(I108),""^[A-Za-z0-9._%+-]+@[A-Za-z0-9.-]+\.[A-Za-z]{2,}$""),""✅ Valid"",""❌ Invalid"")"),"✅ Valid")</f>
        <v>✅ Valid</v>
      </c>
      <c r="K108" s="13" t="s">
        <v>7768</v>
      </c>
      <c r="L108" s="2" t="str">
        <f>IFERROR(__xludf.DUMMYFUNCTION("IF(OR(K108=""N/A"", K108=""missing"", K108=""none""), """",
 REGEXREPLACE(
  SUBSTITUTE(SUBSTITUTE(SUBSTITUTE(TO_TEXT(K108), CHAR(160),""""), UNICHAR(8239),""""), UNICHAR(8201),""""),""[+\-/(): )]"", """"))"),"353452445942")</f>
        <v>353452445942</v>
      </c>
      <c r="M108" s="2" t="str">
        <f>IFERROR(__xludf.DUMMYFUNCTION("IF(L108="""","""", REGEXEXTRACT(REGEXREPLACE(L108,""x"", """"), ""[0-9]+""))"),"353452445942")</f>
        <v>353452445942</v>
      </c>
      <c r="N108" s="2" t="str">
        <f>IF(LEFT(M108,3)="353", RIGHT(M108,LEN(M108)-3),M108)</f>
        <v>452445942</v>
      </c>
      <c r="O108" s="2" t="b">
        <f>IFERROR(__xludf.DUMMYFUNCTION("REGEXMATCH(TO_TEXT(N108), ""^0(83|85|86|87|89)"")"),FALSE)</f>
        <v>0</v>
      </c>
      <c r="P108" s="2">
        <f>LEN(N108)</f>
        <v>9</v>
      </c>
      <c r="Q108" s="9" t="str">
        <f>IF(AND(O108=TRUE, P105=10), "✅ VALID", "❌ INVALID")</f>
        <v>❌ INVALID</v>
      </c>
      <c r="R108" s="10" t="s">
        <v>1177</v>
      </c>
      <c r="S108" s="12">
        <v>45549.385416666664</v>
      </c>
      <c r="T108" s="2" t="str">
        <f>IFERROR(__xludf.DUMMYFUNCTION("IF(ISNUMBER(S108),TEXT(S108,""yyyy-MM-dd""),REGEXREPLACE(REGEXREPLACE(TO_TEXT(S108),""[^0-9a-zA-Z]+"",""-""),""[^0-9]*$"",""""))"),"2024-09-14")</f>
        <v>2024-09-14</v>
      </c>
      <c r="U108" s="2" t="s">
        <v>7769</v>
      </c>
      <c r="Y108" s="10" t="s">
        <v>7769</v>
      </c>
    </row>
    <row r="109" ht="15.75" customHeight="1">
      <c r="A109" s="2" t="s">
        <v>7297</v>
      </c>
      <c r="B109" s="9" t="s">
        <v>7597</v>
      </c>
      <c r="C109" s="2" t="s">
        <v>774</v>
      </c>
      <c r="D109" s="10" t="str">
        <f>IFERROR(__xludf.DUMMYFUNCTION("PROPER(REGEXREPLACE(TRIM(C109),""\s+"","" ""))"),"Jade Kowalczyk")</f>
        <v>Jade Kowalczyk</v>
      </c>
      <c r="E109" s="2">
        <f>IFERROR(__xludf.DUMMYFUNCTION("IF(LEN(D109:D701),
  COUNTA(SPLIT(D109:D701,"" "")),
 """")"),2.0)</f>
        <v>2</v>
      </c>
      <c r="F109" s="9" t="str">
        <f t="shared" si="44"/>
        <v>✅</v>
      </c>
      <c r="G109" s="2" t="str">
        <f>IFERROR(__xludf.DUMMYFUNCTION("REGEXEXTRACT(PROPER(SUBSTITUTE(TRIM(I109),""."","" "")),""^[^@]+"")"),"Jade Kowalczyk")</f>
        <v>Jade Kowalczyk</v>
      </c>
      <c r="H109" s="10" t="str">
        <f t="shared" si="45"/>
        <v>jade.kowalczyk@example.com</v>
      </c>
      <c r="I109" s="2" t="s">
        <v>775</v>
      </c>
      <c r="J109" s="9" t="str">
        <f>IFERROR(__xludf.DUMMYFUNCTION("IF(REGEXMATCH(TRIM(I109),""^[A-Za-z0-9._%+-]+@[A-Za-z0-9.-]+\.[A-Za-z]{2,}$""),""✅ Valid"",""❌ Invalid"")"),"✅ Valid")</f>
        <v>✅ Valid</v>
      </c>
      <c r="K109" s="15" t="s">
        <v>7770</v>
      </c>
      <c r="L109" s="2" t="str">
        <f>IFERROR(__xludf.DUMMYFUNCTION("IF(K109=""N/A"", """",
 REGEXREPLACE(
  SUBSTITUTE(SUBSTITUTE(SUBSTITUTE(TO_TEXT(K109), CHAR(160),""""), UNICHAR(8239),""""), UNICHAR(8201),""""),""[+\-/(): )]"", """"))"),"4802514782ext916")</f>
        <v>4802514782ext916</v>
      </c>
      <c r="M109" s="2" t="str">
        <f>IFERROR(__xludf.DUMMYFUNCTION("IF(L109="""","""", REGEXEXTRACT(REGEXREPLACE(L109,""x"", """"), ""[0-9]+""))"),"4802514782")</f>
        <v>4802514782</v>
      </c>
      <c r="N109" s="2" t="str">
        <f>IF(LEFT(M109,2)="48", RIGHT(M109,LEN(M109)-2),M109)</f>
        <v>02514782</v>
      </c>
      <c r="O109" s="2" t="b">
        <f>IFERROR(__xludf.DUMMYFUNCTION("REGEXMATCH(TO_TEXT(N109), ""^(5[013679]|6[069]|7[2-9]|88)"")"),FALSE)</f>
        <v>0</v>
      </c>
      <c r="Q109" s="9" t="str">
        <f t="shared" ref="Q109:Q110" si="48">IF(AND(O109=TRUE, P109=9), "✅ VALID", "❌ INVALID")</f>
        <v>❌ INVALID</v>
      </c>
      <c r="R109" s="10" t="s">
        <v>25</v>
      </c>
      <c r="S109" s="12">
        <v>45397.0</v>
      </c>
      <c r="T109" s="2" t="str">
        <f>IFERROR(__xludf.DUMMYFUNCTION("IF(ISNUMBER(S109),TEXT(S109,""yyyy-MM-dd""),REGEXREPLACE(REGEXREPLACE(TO_TEXT(S109),""[^0-9a-zA-Z]+"",""-""),""[^0-9]*$"",""""))"),"2024-04-15")</f>
        <v>2024-04-15</v>
      </c>
      <c r="U109" s="2" t="s">
        <v>7701</v>
      </c>
      <c r="Y109" s="10" t="s">
        <v>7701</v>
      </c>
    </row>
    <row r="110" ht="15.75" customHeight="1">
      <c r="A110" s="2" t="s">
        <v>615</v>
      </c>
      <c r="B110" s="9" t="s">
        <v>7597</v>
      </c>
      <c r="C110" s="2" t="s">
        <v>7298</v>
      </c>
      <c r="D110" s="10" t="str">
        <f>IFERROR(__xludf.DUMMYFUNCTION("PROPER(REGEXREPLACE(TRIM(C110),""\s+"","" ""))"),"Sam Garcia")</f>
        <v>Sam Garcia</v>
      </c>
      <c r="E110" s="2">
        <f>IFERROR(__xludf.DUMMYFUNCTION("IF(LEN(D110:D701),
  COUNTA(SPLIT(D110:D701,"" "")),
 """")"),2.0)</f>
        <v>2</v>
      </c>
      <c r="F110" s="9" t="str">
        <f t="shared" si="44"/>
        <v>✅</v>
      </c>
      <c r="G110" s="2" t="str">
        <f>IFERROR(__xludf.DUMMYFUNCTION("REGEXEXTRACT(PROPER(SUBSTITUTE(TRIM(I110),""."","" "")),""^[^@]+"")"),"Sam Garcia")</f>
        <v>Sam Garcia</v>
      </c>
      <c r="H110" s="10" t="str">
        <f t="shared" si="45"/>
        <v>sam.garcia@yahoo.com</v>
      </c>
      <c r="I110" s="2" t="s">
        <v>7299</v>
      </c>
      <c r="J110" s="9" t="str">
        <f>IFERROR(__xludf.DUMMYFUNCTION("IF(REGEXMATCH(TRIM(I110),""^[A-Za-z0-9._%+-]+@[A-Za-z0-9.-]+\.[A-Za-z]{2,}$""),""✅ Valid"",""❌ Invalid"")"),"✅ Valid")</f>
        <v>✅ Valid</v>
      </c>
      <c r="K110" s="13" t="s">
        <v>7771</v>
      </c>
      <c r="L110" s="2" t="str">
        <f>IFERROR(__xludf.DUMMYFUNCTION("IF(OR(K110=""N/A"", K110=""missing"", K110=""none""), """",
 REGEXREPLACE(
  SUBSTITUTE(SUBSTITUTE(SUBSTITUTE(TO_TEXT(K110), CHAR(160),""""), UNICHAR(8239),""""), UNICHAR(8201),""""),""[+\-/(): )]"", """"))"),"3458968577")</f>
        <v>3458968577</v>
      </c>
      <c r="M110" s="2" t="str">
        <f>IFERROR(__xludf.DUMMYFUNCTION("IF(L110="""","""", REGEXEXTRACT(REGEXREPLACE(L110,""x"", """"), ""[0-9]+""))"),"3458968577")</f>
        <v>3458968577</v>
      </c>
      <c r="N110" s="2" t="str">
        <f>IF(LEFT(M110,2)="34", RIGHT(M110,LEN(M110)-2),M110)</f>
        <v>58968577</v>
      </c>
      <c r="O110" s="2" t="b">
        <f>IFERROR(__xludf.DUMMYFUNCTION("REGEXMATCH(TO_TEXT(N110), ""^[67]"")"),FALSE)</f>
        <v>0</v>
      </c>
      <c r="P110" s="2">
        <f t="shared" ref="P110:P112" si="49">LEN(N110)</f>
        <v>8</v>
      </c>
      <c r="Q110" s="9" t="str">
        <f t="shared" si="48"/>
        <v>❌ INVALID</v>
      </c>
      <c r="R110" s="10" t="s">
        <v>139</v>
      </c>
      <c r="S110" s="12">
        <v>45028.0</v>
      </c>
      <c r="T110" s="2" t="str">
        <f>IFERROR(__xludf.DUMMYFUNCTION("IF(ISNUMBER(S110),TEXT(S110,""yyyy-MM-dd""),REGEXREPLACE(REGEXREPLACE(TO_TEXT(S110),""[^0-9a-zA-Z]+"",""-""),""[^0-9]*$"",""""))"),"2023-04-12")</f>
        <v>2023-04-12</v>
      </c>
      <c r="U110" s="2" t="s">
        <v>7772</v>
      </c>
      <c r="Y110" s="10" t="s">
        <v>7772</v>
      </c>
    </row>
    <row r="111" ht="15.75" customHeight="1">
      <c r="A111" s="2" t="s">
        <v>2193</v>
      </c>
      <c r="B111" s="9" t="s">
        <v>7597</v>
      </c>
      <c r="C111" s="2" t="s">
        <v>616</v>
      </c>
      <c r="D111" s="10" t="str">
        <f>IFERROR(__xludf.DUMMYFUNCTION("PROPER(REGEXREPLACE(TRIM(C111),""\s+"","" ""))"),"Gabe Johnson")</f>
        <v>Gabe Johnson</v>
      </c>
      <c r="E111" s="2">
        <f>IFERROR(__xludf.DUMMYFUNCTION("IF(LEN(D111:D701),
  COUNTA(SPLIT(D111:D701,"" "")),
 """")"),2.0)</f>
        <v>2</v>
      </c>
      <c r="F111" s="9" t="str">
        <f t="shared" si="44"/>
        <v>✅</v>
      </c>
      <c r="G111" s="2" t="str">
        <f>IFERROR(__xludf.DUMMYFUNCTION("REGEXEXTRACT(PROPER(SUBSTITUTE(TRIM(I111),""."","" "")),""^[^@]+"")"),"Gabe Johnson")</f>
        <v>Gabe Johnson</v>
      </c>
      <c r="H111" s="10" t="str">
        <f t="shared" si="45"/>
        <v>gabe.johnson@yahoo.com</v>
      </c>
      <c r="I111" s="2" t="s">
        <v>617</v>
      </c>
      <c r="J111" s="9" t="str">
        <f>IFERROR(__xludf.DUMMYFUNCTION("IF(REGEXMATCH(TRIM(I111),""^[A-Za-z0-9._%+-]+@[A-Za-z0-9.-]+\.[A-Za-z]{2,}$""),""✅ Valid"",""❌ Invalid"")"),"✅ Valid")</f>
        <v>✅ Valid</v>
      </c>
      <c r="K111" s="13" t="s">
        <v>7773</v>
      </c>
      <c r="L111" s="2" t="str">
        <f>IFERROR(__xludf.DUMMYFUNCTION("IF(OR(K111=""N/A"", K111=""missing"", K111=""none""), """",
 REGEXREPLACE(
  SUBSTITUTE(SUBSTITUTE(SUBSTITUTE(TO_TEXT(K111), CHAR(160),""""), UNICHAR(8239),""""), UNICHAR(8201),""""),""[+\-/(): )]"", """"))"),"442119953363")</f>
        <v>442119953363</v>
      </c>
      <c r="M111" s="2" t="str">
        <f>IFERROR(__xludf.DUMMYFUNCTION("IF(L111="""","""", REGEXEXTRACT(REGEXREPLACE(L111,""x"", """"), ""[0-9]+""))"),"442119953363")</f>
        <v>442119953363</v>
      </c>
      <c r="N111" s="2" t="str">
        <f>IF(LEFT(M111,2)="44", RIGHT(M111,LEN(M111)-2),M111)</f>
        <v>2119953363</v>
      </c>
      <c r="O111" s="2" t="b">
        <f>IFERROR(__xludf.DUMMYFUNCTION("REGEXMATCH(TO_TEXT(N111), ""^07[1-57-9]"")"),FALSE)</f>
        <v>0</v>
      </c>
      <c r="P111" s="2">
        <f t="shared" si="49"/>
        <v>10</v>
      </c>
      <c r="Q111" s="9" t="str">
        <f>IF(AND(O111=TRUE, P111=11), "✅ VALID", "❌ INVALID")</f>
        <v>❌ INVALID</v>
      </c>
      <c r="R111" s="10" t="s">
        <v>114</v>
      </c>
      <c r="S111" s="12">
        <v>45602.0</v>
      </c>
      <c r="T111" s="2" t="str">
        <f>IFERROR(__xludf.DUMMYFUNCTION("IF(ISNUMBER(S111),TEXT(S111,""yyyy-MM-dd""),REGEXREPLACE(REGEXREPLACE(TO_TEXT(S111),""[^0-9a-zA-Z]+"",""-""),""[^0-9]*$"",""""))"),"2024-11-06")</f>
        <v>2024-11-06</v>
      </c>
      <c r="U111" s="2" t="s">
        <v>7774</v>
      </c>
      <c r="Y111" s="10" t="s">
        <v>7774</v>
      </c>
    </row>
    <row r="112" ht="15.75" customHeight="1">
      <c r="A112" s="2" t="s">
        <v>4248</v>
      </c>
      <c r="B112" s="9" t="s">
        <v>7597</v>
      </c>
      <c r="C112" s="2" t="s">
        <v>2194</v>
      </c>
      <c r="D112" s="10" t="str">
        <f>IFERROR(__xludf.DUMMYFUNCTION("PROPER(REGEXREPLACE(TRIM(C112),""\s+"","" ""))"),"Paula Lopez")</f>
        <v>Paula Lopez</v>
      </c>
      <c r="E112" s="2">
        <f>IFERROR(__xludf.DUMMYFUNCTION("IF(LEN(D112:D701),
  COUNTA(SPLIT(D112:D701,"" "")),
 """")"),2.0)</f>
        <v>2</v>
      </c>
      <c r="F112" s="9" t="str">
        <f t="shared" si="44"/>
        <v>✅</v>
      </c>
      <c r="G112" s="2" t="str">
        <f>IFERROR(__xludf.DUMMYFUNCTION("REGEXEXTRACT(PROPER(SUBSTITUTE(TRIM(I112),""."","" "")),""^[^@]+"")"),"Paula Lopez")</f>
        <v>Paula Lopez</v>
      </c>
      <c r="H112" s="10" t="str">
        <f t="shared" si="45"/>
        <v>paula.lopez@company.co.uk</v>
      </c>
      <c r="I112" s="2" t="s">
        <v>2195</v>
      </c>
      <c r="J112" s="9" t="str">
        <f>IFERROR(__xludf.DUMMYFUNCTION("IF(REGEXMATCH(TRIM(I112),""^[A-Za-z0-9._%+-]+@[A-Za-z0-9.-]+\.[A-Za-z]{2,}$""),""✅ Valid"",""❌ Invalid"")"),"✅ Valid")</f>
        <v>✅ Valid</v>
      </c>
      <c r="K112" s="13" t="s">
        <v>7775</v>
      </c>
      <c r="L112" s="2" t="str">
        <f>IFERROR(__xludf.DUMMYFUNCTION("IF(OR(K112=""N/A"", K112=""missing"", K112=""none""), """",
 REGEXREPLACE(
  SUBSTITUTE(SUBSTITUTE(SUBSTITUTE(TO_TEXT(K112), CHAR(160),""""), UNICHAR(8239),""""), UNICHAR(8201),""""),""[+\-/(): )]"", """"))"),"1034161742")</f>
        <v>1034161742</v>
      </c>
      <c r="M112" s="2" t="str">
        <f>IFERROR(__xludf.DUMMYFUNCTION("IF(L112="""","""", REGEXEXTRACT(REGEXREPLACE(L112,""x"", """"), ""[0-9]+""))"),"1034161742")</f>
        <v>1034161742</v>
      </c>
      <c r="N112" s="2" t="str">
        <f>IF(LEFT(M112,1)="1", RIGHT(M112,LEN(M112)-1),M112)</f>
        <v>034161742</v>
      </c>
      <c r="O112" s="2" t="b">
        <f>IFERROR(__xludf.DUMMYFUNCTION("REGEXMATCH(TO_TEXT(N112), ""^[2-9][0-9]{9}$"")"),FALSE)</f>
        <v>0</v>
      </c>
      <c r="P112" s="2">
        <f t="shared" si="49"/>
        <v>9</v>
      </c>
      <c r="Q112" s="9" t="str">
        <f>IF(AND(O112=TRUE, P112=10), "✅ VALID", "❌ INVALID")</f>
        <v>❌ INVALID</v>
      </c>
      <c r="R112" s="10" t="s">
        <v>199</v>
      </c>
      <c r="S112" s="12">
        <v>44704.0</v>
      </c>
      <c r="T112" s="2" t="str">
        <f>IFERROR(__xludf.DUMMYFUNCTION("IF(ISNUMBER(S112),TEXT(S112,""yyyy-MM-dd""),REGEXREPLACE(REGEXREPLACE(TO_TEXT(S112),""[^0-9a-zA-Z]+"",""-""),""[^0-9]*$"",""""))"),"2022-05-23")</f>
        <v>2022-05-23</v>
      </c>
      <c r="U112" s="2" t="s">
        <v>7776</v>
      </c>
      <c r="Y112" s="10" t="s">
        <v>7776</v>
      </c>
    </row>
    <row r="113" ht="15.75" hidden="1" customHeight="1">
      <c r="A113" s="2" t="s">
        <v>70</v>
      </c>
      <c r="B113" s="9" t="s">
        <v>7597</v>
      </c>
      <c r="C113" s="2" t="s">
        <v>4249</v>
      </c>
      <c r="D113" s="2" t="str">
        <f>IFERROR(__xludf.DUMMYFUNCTION("PROPER(REGEXREPLACE(TRIM(C113),""\s+"","" ""))"),"Omar Williams")</f>
        <v>Omar Williams</v>
      </c>
      <c r="E113" s="2">
        <f>IFERROR(__xludf.DUMMYFUNCTION("IF(LEN(D113:D701),
  COUNTA(SPLIT(D113:D701,"" "")),
 """")"),2.0)</f>
        <v>2</v>
      </c>
      <c r="K113" s="2" t="s">
        <v>4250</v>
      </c>
      <c r="R113" s="10" t="s">
        <v>25</v>
      </c>
      <c r="S113" s="2" t="s">
        <v>6321</v>
      </c>
    </row>
    <row r="114" ht="15.75" customHeight="1">
      <c r="A114" s="2" t="s">
        <v>7385</v>
      </c>
      <c r="B114" s="9" t="s">
        <v>7597</v>
      </c>
      <c r="C114" s="2" t="s">
        <v>71</v>
      </c>
      <c r="D114" s="10" t="str">
        <f>IFERROR(__xludf.DUMMYFUNCTION("PROPER(REGEXREPLACE(TRIM(C114),""\s+"","" ""))"),"Marek Khan")</f>
        <v>Marek Khan</v>
      </c>
      <c r="E114" s="2">
        <f>IFERROR(__xludf.DUMMYFUNCTION("IF(LEN(D114:D701),
  COUNTA(SPLIT(D114:D701,"" "")),
 """")"),2.0)</f>
        <v>2</v>
      </c>
      <c r="F114" s="9" t="str">
        <f t="shared" ref="F114:F129" si="50">IF(D114=G114,"✅","❌")</f>
        <v>✅</v>
      </c>
      <c r="G114" s="2" t="str">
        <f>IFERROR(__xludf.DUMMYFUNCTION("REGEXEXTRACT(PROPER(SUBSTITUTE(TRIM(I114),""."","" "")),""^[^@]+"")"),"Marek Khan")</f>
        <v>Marek Khan</v>
      </c>
      <c r="H114" s="10" t="str">
        <f t="shared" ref="H114:H129" si="51">LOWER(TRIM(I114))</f>
        <v>marek.khan@company.co.uk</v>
      </c>
      <c r="I114" s="2" t="s">
        <v>72</v>
      </c>
      <c r="J114" s="9" t="str">
        <f>IFERROR(__xludf.DUMMYFUNCTION("IF(REGEXMATCH(TRIM(I114),""^[A-Za-z0-9._%+-]+@[A-Za-z0-9.-]+\.[A-Za-z]{2,}$""),""✅ Valid"",""❌ Invalid"")"),"✅ Valid")</f>
        <v>✅ Valid</v>
      </c>
      <c r="K114" s="13" t="s">
        <v>7777</v>
      </c>
      <c r="L114" s="2" t="str">
        <f>IFERROR(__xludf.DUMMYFUNCTION("IF(OR(K114=""N/A"", K114=""missing"", K114=""none""), """",
 REGEXREPLACE(
  SUBSTITUTE(SUBSTITUTE(SUBSTITUTE(TO_TEXT(K114), CHAR(160),""""), UNICHAR(8239),""""), UNICHAR(8201),""""),""[+\-/(): )]"", """"))"),"4136459576")</f>
        <v>4136459576</v>
      </c>
      <c r="M114" s="2" t="str">
        <f>IFERROR(__xludf.DUMMYFUNCTION("IF(L114="""","""", REGEXEXTRACT(REGEXREPLACE(L114,""x"", """"), ""[0-9]+""))"),"4136459576")</f>
        <v>4136459576</v>
      </c>
      <c r="N114" s="2" t="str">
        <f>IF(LEFT(M114,2)="44", RIGHT(M114,LEN(M114)-2),M114)</f>
        <v>4136459576</v>
      </c>
      <c r="O114" s="2" t="b">
        <f>IFERROR(__xludf.DUMMYFUNCTION("REGEXMATCH(TO_TEXT(N114), ""^07[1-57-9]"")"),FALSE)</f>
        <v>0</v>
      </c>
      <c r="P114" s="2">
        <f t="shared" ref="P114:P117" si="52">LEN(N114)</f>
        <v>10</v>
      </c>
      <c r="Q114" s="9" t="str">
        <f>IF(AND(O114=TRUE, P114=11), "✅ VALID", "❌ INVALID")</f>
        <v>❌ INVALID</v>
      </c>
      <c r="R114" s="10" t="s">
        <v>114</v>
      </c>
      <c r="S114" s="12">
        <v>45866.0</v>
      </c>
      <c r="T114" s="2" t="str">
        <f>IFERROR(__xludf.DUMMYFUNCTION("IF(ISNUMBER(S114),TEXT(S114,""yyyy-MM-dd""),REGEXREPLACE(REGEXREPLACE(TO_TEXT(S114),""[^0-9a-zA-Z]+"",""-""),""[^0-9]*$"",""""))"),"2025-07-28")</f>
        <v>2025-07-28</v>
      </c>
      <c r="U114" s="2" t="s">
        <v>6027</v>
      </c>
      <c r="Y114" s="10" t="s">
        <v>6027</v>
      </c>
    </row>
    <row r="115" ht="15.75" customHeight="1">
      <c r="A115" s="2" t="s">
        <v>2714</v>
      </c>
      <c r="B115" s="9" t="s">
        <v>7597</v>
      </c>
      <c r="C115" s="2" t="s">
        <v>7386</v>
      </c>
      <c r="D115" s="10" t="str">
        <f>IFERROR(__xludf.DUMMYFUNCTION("PROPER(REGEXREPLACE(TRIM(C115),""\s+"","" ""))"),"Vlad Rodriguez")</f>
        <v>Vlad Rodriguez</v>
      </c>
      <c r="E115" s="2">
        <f>IFERROR(__xludf.DUMMYFUNCTION("IF(LEN(D115:D701),
  COUNTA(SPLIT(D115:D701,"" "")),
 """")"),2.0)</f>
        <v>2</v>
      </c>
      <c r="F115" s="9" t="str">
        <f t="shared" si="50"/>
        <v>✅</v>
      </c>
      <c r="G115" s="2" t="str">
        <f>IFERROR(__xludf.DUMMYFUNCTION("REGEXEXTRACT(PROPER(SUBSTITUTE(TRIM(I115),""."","" "")),""^[^@]+"")"),"Vlad Rodriguez")</f>
        <v>Vlad Rodriguez</v>
      </c>
      <c r="H115" s="10" t="str">
        <f t="shared" si="51"/>
        <v>vlad.rodriguez@outlook.com</v>
      </c>
      <c r="I115" s="2" t="s">
        <v>7387</v>
      </c>
      <c r="J115" s="9" t="str">
        <f>IFERROR(__xludf.DUMMYFUNCTION("IF(REGEXMATCH(TRIM(I115),""^[A-Za-z0-9._%+-]+@[A-Za-z0-9.-]+\.[A-Za-z]{2,}$""),""✅ Valid"",""❌ Invalid"")"),"✅ Valid")</f>
        <v>✅ Valid</v>
      </c>
      <c r="K115" s="13" t="s">
        <v>7778</v>
      </c>
      <c r="L115" s="2" t="str">
        <f>IFERROR(__xludf.DUMMYFUNCTION("IF(OR(K115=""N/A"", K115=""missing"", K115=""none""), """",
 REGEXREPLACE(
  SUBSTITUTE(SUBSTITUTE(SUBSTITUTE(TO_TEXT(K115), CHAR(160),""""), UNICHAR(8239),""""), UNICHAR(8201),""""),""[+\-/(): )]"", """"))"),"el17568546766")</f>
        <v>el17568546766</v>
      </c>
      <c r="M115" s="2" t="str">
        <f>IFERROR(__xludf.DUMMYFUNCTION("IF(L115="""","""", REGEXEXTRACT(REGEXREPLACE(L115,""x"", """"), ""[0-9]+""))"),"17568546766")</f>
        <v>17568546766</v>
      </c>
      <c r="N115" s="2" t="str">
        <f>IF(LEFT(M115,1)="1", RIGHT(M115,LEN(M115)-1),M115)</f>
        <v>7568546766</v>
      </c>
      <c r="O115" s="2" t="b">
        <f>IFERROR(__xludf.DUMMYFUNCTION("REGEXMATCH(TO_TEXT(N115), ""^[2-9][0-9]{9}$"")"),TRUE)</f>
        <v>1</v>
      </c>
      <c r="P115" s="2">
        <f t="shared" si="52"/>
        <v>10</v>
      </c>
      <c r="Q115" s="9" t="str">
        <f>IF(AND(O115=TRUE, P115=10), "✅ VALID", "❌ INVALID")</f>
        <v>✅ VALID</v>
      </c>
      <c r="R115" s="10" t="s">
        <v>199</v>
      </c>
      <c r="S115" s="12">
        <v>45040.563888888886</v>
      </c>
      <c r="T115" s="2" t="str">
        <f>IFERROR(__xludf.DUMMYFUNCTION("IF(ISNUMBER(S115),TEXT(S115,""yyyy-MM-dd""),REGEXREPLACE(REGEXREPLACE(TO_TEXT(S115),""[^0-9a-zA-Z]+"",""-""),""[^0-9]*$"",""""))"),"2023-04-24")</f>
        <v>2023-04-24</v>
      </c>
      <c r="U115" s="2" t="s">
        <v>7779</v>
      </c>
      <c r="Y115" s="10" t="s">
        <v>7779</v>
      </c>
    </row>
    <row r="116" ht="15.75" customHeight="1">
      <c r="A116" s="2" t="s">
        <v>2558</v>
      </c>
      <c r="B116" s="9" t="s">
        <v>7597</v>
      </c>
      <c r="C116" s="2" t="s">
        <v>2715</v>
      </c>
      <c r="D116" s="10" t="str">
        <f>IFERROR(__xludf.DUMMYFUNCTION("PROPER(REGEXREPLACE(TRIM(C116),""\s+"","" ""))"),"Uma Lopez")</f>
        <v>Uma Lopez</v>
      </c>
      <c r="E116" s="2">
        <f>IFERROR(__xludf.DUMMYFUNCTION("IF(LEN(D116:D701),
  COUNTA(SPLIT(D116:D701,"" "")),
 """")"),2.0)</f>
        <v>2</v>
      </c>
      <c r="F116" s="9" t="str">
        <f t="shared" si="50"/>
        <v>✅</v>
      </c>
      <c r="G116" s="2" t="str">
        <f>IFERROR(__xludf.DUMMYFUNCTION("REGEXEXTRACT(PROPER(SUBSTITUTE(TRIM(I116),""."","" "")),""^[^@]+"")"),"Uma Lopez")</f>
        <v>Uma Lopez</v>
      </c>
      <c r="H116" s="10" t="str">
        <f t="shared" si="51"/>
        <v>uma.lopez@gmail.com</v>
      </c>
      <c r="I116" s="2" t="s">
        <v>2716</v>
      </c>
      <c r="J116" s="9" t="str">
        <f>IFERROR(__xludf.DUMMYFUNCTION("IF(REGEXMATCH(TRIM(I116),""^[A-Za-z0-9._%+-]+@[A-Za-z0-9.-]+\.[A-Za-z]{2,}$""),""✅ Valid"",""❌ Invalid"")"),"✅ Valid")</f>
        <v>✅ Valid</v>
      </c>
      <c r="K116" s="13" t="s">
        <v>7780</v>
      </c>
      <c r="L116" s="2" t="str">
        <f>IFERROR(__xludf.DUMMYFUNCTION("IF(OR(K116=""N/A"", K116=""missing"", K116=""none""), """",
 REGEXREPLACE(
  SUBSTITUTE(SUBSTITUTE(SUBSTITUTE(TO_TEXT(K116), CHAR(160),""""), UNICHAR(8239),""""), UNICHAR(8201),""""),""[+\-/(): )]"", """"))"),"44671230271")</f>
        <v>44671230271</v>
      </c>
      <c r="M116" s="2" t="str">
        <f>IFERROR(__xludf.DUMMYFUNCTION("IF(L116="""","""", REGEXEXTRACT(REGEXREPLACE(L116,""x"", """"), ""[0-9]+""))"),"44671230271")</f>
        <v>44671230271</v>
      </c>
      <c r="N116" s="2" t="str">
        <f>IF(LEFT(M116,2)="44", RIGHT(M116,LEN(M116)-2),M116)</f>
        <v>671230271</v>
      </c>
      <c r="O116" s="2" t="b">
        <f>IFERROR(__xludf.DUMMYFUNCTION("REGEXMATCH(TO_TEXT(N116), ""^07[1-57-9]"")"),FALSE)</f>
        <v>0</v>
      </c>
      <c r="P116" s="2">
        <f t="shared" si="52"/>
        <v>9</v>
      </c>
      <c r="Q116" s="9" t="str">
        <f>IF(AND(O116=TRUE, P116=11), "✅ VALID", "❌ INVALID")</f>
        <v>❌ INVALID</v>
      </c>
      <c r="R116" s="10" t="s">
        <v>114</v>
      </c>
      <c r="S116" s="12">
        <v>45597.0</v>
      </c>
      <c r="T116" s="2" t="str">
        <f>IFERROR(__xludf.DUMMYFUNCTION("IF(ISNUMBER(S116),TEXT(S116,""yyyy-MM-dd""),REGEXREPLACE(REGEXREPLACE(TO_TEXT(S116),""[^0-9a-zA-Z]+"",""-""),""[^0-9]*$"",""""))"),"2024-11-01")</f>
        <v>2024-11-01</v>
      </c>
      <c r="U116" s="2" t="s">
        <v>7781</v>
      </c>
      <c r="Y116" s="10" t="s">
        <v>7781</v>
      </c>
    </row>
    <row r="117" ht="15.75" customHeight="1">
      <c r="A117" s="2" t="s">
        <v>3328</v>
      </c>
      <c r="B117" s="9" t="s">
        <v>7597</v>
      </c>
      <c r="C117" s="2" t="s">
        <v>2559</v>
      </c>
      <c r="D117" s="10" t="str">
        <f>IFERROR(__xludf.DUMMYFUNCTION("PROPER(REGEXREPLACE(TRIM(C117),""\s+"","" ""))"),"Vlad Kowalski")</f>
        <v>Vlad Kowalski</v>
      </c>
      <c r="E117" s="2">
        <f>IFERROR(__xludf.DUMMYFUNCTION("IF(LEN(D117:D701),
  COUNTA(SPLIT(D117:D701,"" "")),
 """")"),2.0)</f>
        <v>2</v>
      </c>
      <c r="F117" s="9" t="str">
        <f t="shared" si="50"/>
        <v>✅</v>
      </c>
      <c r="G117" s="2" t="str">
        <f>IFERROR(__xludf.DUMMYFUNCTION("REGEXEXTRACT(PROPER(SUBSTITUTE(TRIM(I117),""."","" "")),""^[^@]+"")"),"Vlad Kowalski")</f>
        <v>Vlad Kowalski</v>
      </c>
      <c r="H117" s="10" t="str">
        <f t="shared" si="51"/>
        <v>vlad.kowalski@yahoo.com</v>
      </c>
      <c r="I117" s="2" t="s">
        <v>2560</v>
      </c>
      <c r="J117" s="9" t="str">
        <f>IFERROR(__xludf.DUMMYFUNCTION("IF(REGEXMATCH(TRIM(I117),""^[A-Za-z0-9._%+-]+@[A-Za-z0-9.-]+\.[A-Za-z]{2,}$""),""✅ Valid"",""❌ Invalid"")"),"✅ Valid")</f>
        <v>✅ Valid</v>
      </c>
      <c r="K117" s="11">
        <v>4.93384712663E11</v>
      </c>
      <c r="L117" s="2" t="str">
        <f>IFERROR(__xludf.DUMMYFUNCTION("IF(OR(K117=""N/A"", K117=""missing"", K117=""none""), """",
 REGEXREPLACE(
  SUBSTITUTE(SUBSTITUTE(SUBSTITUTE(TO_TEXT(K117), CHAR(160),""""), UNICHAR(8239),""""), UNICHAR(8201),""""),""[+\-/(): )]"", """"))"),"493384712663")</f>
        <v>493384712663</v>
      </c>
      <c r="M117" s="2" t="str">
        <f>IFERROR(__xludf.DUMMYFUNCTION("IF(L117="""","""", REGEXEXTRACT(REGEXREPLACE(L117,""x"", """"), ""[0-9]+""))"),"493384712663")</f>
        <v>493384712663</v>
      </c>
      <c r="N117" s="2" t="str">
        <f>IF(LEFT(M117,2)="49", RIGHT(M117,LEN(M117)-2),M117)</f>
        <v>3384712663</v>
      </c>
      <c r="O117" s="2" t="b">
        <f>IFERROR(__xludf.DUMMYFUNCTION("REGEXMATCH(TO_TEXT(N117), ""^0(15|16|17)"")"),FALSE)</f>
        <v>0</v>
      </c>
      <c r="P117" s="2">
        <f t="shared" si="52"/>
        <v>10</v>
      </c>
      <c r="Q117" s="9" t="str">
        <f>IF(AND(O117=TRUE,OR(P117=10, P117=11)), "✅ VALID", "❌ INVALID")</f>
        <v>❌ INVALID</v>
      </c>
      <c r="R117" s="10" t="s">
        <v>459</v>
      </c>
      <c r="S117" s="12">
        <v>45880.631944444445</v>
      </c>
      <c r="T117" s="2" t="str">
        <f>IFERROR(__xludf.DUMMYFUNCTION("IF(ISNUMBER(S117),TEXT(S117,""yyyy-MM-dd""),REGEXREPLACE(REGEXREPLACE(TO_TEXT(S117),""[^0-9a-zA-Z]+"",""-""),""[^0-9]*$"",""""))"),"2025-08-11")</f>
        <v>2025-08-11</v>
      </c>
      <c r="U117" s="2" t="s">
        <v>7782</v>
      </c>
      <c r="Y117" s="10" t="s">
        <v>7782</v>
      </c>
    </row>
    <row r="118" ht="15.75" customHeight="1">
      <c r="A118" s="2" t="s">
        <v>5906</v>
      </c>
      <c r="B118" s="9" t="s">
        <v>7597</v>
      </c>
      <c r="C118" s="2" t="s">
        <v>2128</v>
      </c>
      <c r="D118" s="10" t="str">
        <f>IFERROR(__xludf.DUMMYFUNCTION("PROPER(REGEXREPLACE(TRIM(C118),""\s+"","" ""))"),"Omar Martinez")</f>
        <v>Omar Martinez</v>
      </c>
      <c r="E118" s="2">
        <f>IFERROR(__xludf.DUMMYFUNCTION("IF(LEN(D118:D701),
  COUNTA(SPLIT(D118:D701,"" "")),
 """")"),2.0)</f>
        <v>2</v>
      </c>
      <c r="F118" s="9" t="str">
        <f t="shared" si="50"/>
        <v>✅</v>
      </c>
      <c r="G118" s="2" t="str">
        <f>IFERROR(__xludf.DUMMYFUNCTION("REGEXEXTRACT(PROPER(SUBSTITUTE(TRIM(I118),""."","" "")),""^[^@]+"")"),"Omar Martinez")</f>
        <v>Omar Martinez</v>
      </c>
      <c r="H118" s="10" t="str">
        <f t="shared" si="51"/>
        <v>omar.martinez@outlook.com</v>
      </c>
      <c r="I118" s="2" t="s">
        <v>3329</v>
      </c>
      <c r="J118" s="9" t="str">
        <f>IFERROR(__xludf.DUMMYFUNCTION("IF(REGEXMATCH(TRIM(I118),""^[A-Za-z0-9._%+-]+@[A-Za-z0-9.-]+\.[A-Za-z]{2,}$""),""✅ Valid"",""❌ Invalid"")"),"✅ Valid")</f>
        <v>✅ Valid</v>
      </c>
      <c r="K118" s="15" t="s">
        <v>7783</v>
      </c>
      <c r="L118" s="2" t="str">
        <f>IFERROR(__xludf.DUMMYFUNCTION("IF(K118=""N/A"", """",
 REGEXREPLACE(
  SUBSTITUTE(SUBSTITUTE(SUBSTITUTE(TO_TEXT(K118), CHAR(160),""""), UNICHAR(8239),""""), UNICHAR(8201),""""),""[+\-/(): )]"", """"))"),"48326934474")</f>
        <v>48326934474</v>
      </c>
      <c r="M118" s="2" t="str">
        <f>IFERROR(__xludf.DUMMYFUNCTION("IF(L118="""","""", REGEXEXTRACT(REGEXREPLACE(L118,""x"", """"), ""[0-9]+""))"),"48326934474")</f>
        <v>48326934474</v>
      </c>
      <c r="N118" s="2" t="str">
        <f t="shared" ref="N118:N119" si="53">IF(LEFT(M118,2)="48", RIGHT(M118,LEN(M118)-2),M118)</f>
        <v>326934474</v>
      </c>
      <c r="O118" s="2" t="b">
        <f>IFERROR(__xludf.DUMMYFUNCTION("REGEXMATCH(TO_TEXT(N118), ""^(5[013679]|6[069]|7[2-9]|88)"")"),FALSE)</f>
        <v>0</v>
      </c>
      <c r="Q118" s="9" t="str">
        <f t="shared" ref="Q118:Q119" si="54">IF(AND(O118=TRUE, P118=9), "✅ VALID", "❌ INVALID")</f>
        <v>❌ INVALID</v>
      </c>
      <c r="R118" s="10" t="s">
        <v>25</v>
      </c>
      <c r="S118" s="12">
        <v>45778.30625</v>
      </c>
      <c r="T118" s="2" t="str">
        <f>IFERROR(__xludf.DUMMYFUNCTION("IF(ISNUMBER(S118),TEXT(S118,""yyyy-MM-dd""),REGEXREPLACE(REGEXREPLACE(TO_TEXT(S118),""[^0-9a-zA-Z]+"",""-""),""[^0-9]*$"",""""))"),"2025-05-01")</f>
        <v>2025-05-01</v>
      </c>
      <c r="U118" s="2" t="s">
        <v>7784</v>
      </c>
      <c r="Y118" s="10" t="s">
        <v>7784</v>
      </c>
    </row>
    <row r="119" ht="15.75" customHeight="1">
      <c r="A119" s="2" t="s">
        <v>5102</v>
      </c>
      <c r="B119" s="9" t="s">
        <v>7597</v>
      </c>
      <c r="C119" s="2" t="s">
        <v>4880</v>
      </c>
      <c r="D119" s="10" t="str">
        <f>IFERROR(__xludf.DUMMYFUNCTION("PROPER(REGEXREPLACE(TRIM(C119),""\s+"","" ""))"),"Omar Martinez")</f>
        <v>Omar Martinez</v>
      </c>
      <c r="E119" s="2">
        <f>IFERROR(__xludf.DUMMYFUNCTION("IF(LEN(D119:D701),
  COUNTA(SPLIT(D119:D701,"" "")),
 """")"),2.0)</f>
        <v>2</v>
      </c>
      <c r="F119" s="9" t="str">
        <f t="shared" si="50"/>
        <v>✅</v>
      </c>
      <c r="G119" s="2" t="str">
        <f>IFERROR(__xludf.DUMMYFUNCTION("REGEXEXTRACT(PROPER(SUBSTITUTE(TRIM(I119),""."","" "")),""^[^@]+"")"),"Omar Martinez")</f>
        <v>Omar Martinez</v>
      </c>
      <c r="H119" s="10" t="str">
        <f t="shared" si="51"/>
        <v>omar.martinez@outlook.com</v>
      </c>
      <c r="I119" s="2" t="s">
        <v>4881</v>
      </c>
      <c r="J119" s="9" t="str">
        <f>IFERROR(__xludf.DUMMYFUNCTION("IF(REGEXMATCH(TRIM(I119),""^[A-Za-z0-9._%+-]+@[A-Za-z0-9.-]+\.[A-Za-z]{2,}$""),""✅ Valid"",""❌ Invalid"")"),"✅ Valid")</f>
        <v>✅ Valid</v>
      </c>
      <c r="K119" s="15" t="s">
        <v>7785</v>
      </c>
      <c r="L119" s="2" t="str">
        <f>IFERROR(__xludf.DUMMYFUNCTION("IF(K119=""N/A"", """",
 REGEXREPLACE(
  SUBSTITUTE(SUBSTITUTE(SUBSTITUTE(TO_TEXT(K119), CHAR(160),""""), UNICHAR(8239),""""), UNICHAR(8201),""""),""[+\-/(): )]"", """"))"),"tel4872663031")</f>
        <v>tel4872663031</v>
      </c>
      <c r="M119" s="2" t="str">
        <f>IFERROR(__xludf.DUMMYFUNCTION("IF(L119="""","""", REGEXEXTRACT(REGEXREPLACE(L119,""x"", """"), ""[0-9]+""))"),"4872663031")</f>
        <v>4872663031</v>
      </c>
      <c r="N119" s="2" t="str">
        <f t="shared" si="53"/>
        <v>72663031</v>
      </c>
      <c r="O119" s="2" t="b">
        <f>IFERROR(__xludf.DUMMYFUNCTION("REGEXMATCH(TO_TEXT(N119), ""^(5[013679]|6[069]|7[2-9]|88)"")"),TRUE)</f>
        <v>1</v>
      </c>
      <c r="P119" s="2">
        <f t="shared" ref="P119:P123" si="55">LEN(N119)</f>
        <v>8</v>
      </c>
      <c r="Q119" s="9" t="str">
        <f t="shared" si="54"/>
        <v>❌ INVALID</v>
      </c>
      <c r="R119" s="10" t="s">
        <v>25</v>
      </c>
      <c r="S119" s="12">
        <v>45778.30625</v>
      </c>
      <c r="T119" s="2" t="str">
        <f>IFERROR(__xludf.DUMMYFUNCTION("IF(ISNUMBER(S119),TEXT(S119,""yyyy-MM-dd""),REGEXREPLACE(REGEXREPLACE(TO_TEXT(S119),""[^0-9a-zA-Z]+"",""-""),""[^0-9]*$"",""""))"),"2025-05-01")</f>
        <v>2025-05-01</v>
      </c>
      <c r="U119" s="2" t="s">
        <v>7784</v>
      </c>
      <c r="Y119" s="10" t="s">
        <v>7784</v>
      </c>
    </row>
    <row r="120" ht="15.75" customHeight="1">
      <c r="A120" s="2" t="s">
        <v>254</v>
      </c>
      <c r="B120" s="9" t="s">
        <v>7597</v>
      </c>
      <c r="C120" s="2" t="s">
        <v>3657</v>
      </c>
      <c r="D120" s="10" t="str">
        <f>IFERROR(__xludf.DUMMYFUNCTION("PROPER(REGEXREPLACE(TRIM(C120),""\s+"","" ""))"),"Wiktor Rossi")</f>
        <v>Wiktor Rossi</v>
      </c>
      <c r="E120" s="2">
        <f>IFERROR(__xludf.DUMMYFUNCTION("IF(LEN(D120:D701),
  COUNTA(SPLIT(D120:D701,"" "")),
 """")"),2.0)</f>
        <v>2</v>
      </c>
      <c r="F120" s="9" t="str">
        <f t="shared" si="50"/>
        <v>✅</v>
      </c>
      <c r="G120" s="2" t="str">
        <f>IFERROR(__xludf.DUMMYFUNCTION("REGEXEXTRACT(PROPER(SUBSTITUTE(TRIM(I120),""."","" "")),""^[^@]+"")"),"Wiktor Rossi")</f>
        <v>Wiktor Rossi</v>
      </c>
      <c r="H120" s="10" t="str">
        <f t="shared" si="51"/>
        <v>wiktor.rossi@example.com</v>
      </c>
      <c r="I120" s="2" t="s">
        <v>5907</v>
      </c>
      <c r="J120" s="9" t="str">
        <f>IFERROR(__xludf.DUMMYFUNCTION("IF(REGEXMATCH(TRIM(I120),""^[A-Za-z0-9._%+-]+@[A-Za-z0-9.-]+\.[A-Za-z]{2,}$""),""✅ Valid"",""❌ Invalid"")"),"✅ Valid")</f>
        <v>✅ Valid</v>
      </c>
      <c r="K120" s="13" t="s">
        <v>7786</v>
      </c>
      <c r="L120" s="2" t="str">
        <f>IFERROR(__xludf.DUMMYFUNCTION("IF(OR(K120=""N/A"", K120=""missing"", K120=""none""), """",
 REGEXREPLACE(
  SUBSTITUTE(SUBSTITUTE(SUBSTITUTE(TO_TEXT(K120), CHAR(160),""""), UNICHAR(8239),""""), UNICHAR(8201),""""),""[+\-/(): )]"", """"))"),"8806174178")</f>
        <v>8806174178</v>
      </c>
      <c r="M120" s="2" t="str">
        <f>IFERROR(__xludf.DUMMYFUNCTION("IF(L120="""","""", REGEXEXTRACT(REGEXREPLACE(L120,""x"", """"), ""[0-9]+""))"),"8806174178")</f>
        <v>8806174178</v>
      </c>
      <c r="N120" s="2" t="str">
        <f>IF(LEFT(M120,1)="1", RIGHT(M120,LEN(M120)-1),M120)</f>
        <v>8806174178</v>
      </c>
      <c r="O120" s="2" t="b">
        <f>IFERROR(__xludf.DUMMYFUNCTION("REGEXMATCH(TO_TEXT(N120), ""^[2-9][0-9]{9}$"")"),TRUE)</f>
        <v>1</v>
      </c>
      <c r="P120" s="2">
        <f t="shared" si="55"/>
        <v>10</v>
      </c>
      <c r="Q120" s="9" t="str">
        <f>IF(AND(O120=TRUE, P120=10), "✅ VALID", "❌ INVALID")</f>
        <v>✅ VALID</v>
      </c>
      <c r="R120" s="10" t="s">
        <v>199</v>
      </c>
      <c r="S120" s="12">
        <v>45794.0</v>
      </c>
      <c r="T120" s="2" t="str">
        <f>IFERROR(__xludf.DUMMYFUNCTION("IF(ISNUMBER(S120),TEXT(S120,""yyyy-MM-dd""),REGEXREPLACE(REGEXREPLACE(TO_TEXT(S120),""[^0-9a-zA-Z]+"",""-""),""[^0-9]*$"",""""))"),"2025-05-17")</f>
        <v>2025-05-17</v>
      </c>
      <c r="U120" s="2" t="s">
        <v>6596</v>
      </c>
      <c r="Y120" s="10" t="s">
        <v>6596</v>
      </c>
    </row>
    <row r="121" ht="15.75" customHeight="1">
      <c r="A121" s="2" t="s">
        <v>396</v>
      </c>
      <c r="B121" s="9" t="s">
        <v>7597</v>
      </c>
      <c r="C121" s="2" t="s">
        <v>5103</v>
      </c>
      <c r="D121" s="10" t="str">
        <f>IFERROR(__xludf.DUMMYFUNCTION("PROPER(REGEXREPLACE(TRIM(C121),""\s+"","" ""))"),"Sam Martinez")</f>
        <v>Sam Martinez</v>
      </c>
      <c r="E121" s="2">
        <f>IFERROR(__xludf.DUMMYFUNCTION("IF(LEN(D121:D701),
  COUNTA(SPLIT(D121:D701,"" "")),
 """")"),2.0)</f>
        <v>2</v>
      </c>
      <c r="F121" s="9" t="str">
        <f t="shared" si="50"/>
        <v>✅</v>
      </c>
      <c r="G121" s="2" t="str">
        <f>IFERROR(__xludf.DUMMYFUNCTION("REGEXEXTRACT(PROPER(SUBSTITUTE(TRIM(I121),""."","" "")),""^[^@]+"")"),"Sam Martinez")</f>
        <v>Sam Martinez</v>
      </c>
      <c r="H121" s="10" t="str">
        <f t="shared" si="51"/>
        <v>sam.martinez@yahoo.com</v>
      </c>
      <c r="I121" s="2" t="s">
        <v>5104</v>
      </c>
      <c r="J121" s="9" t="str">
        <f>IFERROR(__xludf.DUMMYFUNCTION("IF(REGEXMATCH(TRIM(I121),""^[A-Za-z0-9._%+-]+@[A-Za-z0-9.-]+\.[A-Za-z]{2,}$""),""✅ Valid"",""❌ Invalid"")"),"✅ Valid")</f>
        <v>✅ Valid</v>
      </c>
      <c r="K121" s="13" t="s">
        <v>7787</v>
      </c>
      <c r="L121" s="2" t="str">
        <f>IFERROR(__xludf.DUMMYFUNCTION("IF(OR(K121=""N/A"", K121=""missing"", K121=""none""), """",
 REGEXREPLACE(
  SUBSTITUTE(SUBSTITUTE(SUBSTITUTE(TO_TEXT(K121), CHAR(160),""""), UNICHAR(8239),""""), UNICHAR(8201),""""),""[+\-/(): )]"", """"))"),"3304381777")</f>
        <v>3304381777</v>
      </c>
      <c r="M121" s="2" t="str">
        <f>IFERROR(__xludf.DUMMYFUNCTION("IF(L121="""","""", REGEXEXTRACT(REGEXREPLACE(L121,""x"", """"), ""[0-9]+""))"),"3304381777")</f>
        <v>3304381777</v>
      </c>
      <c r="N121" s="2" t="str">
        <f>IF(LEFT(M121,2)="33", RIGHT(M121,LEN(M121)-2),M121)</f>
        <v>04381777</v>
      </c>
      <c r="O121" s="2" t="b">
        <f>IFERROR(__xludf.DUMMYFUNCTION("REGEXMATCH(TO_TEXT(N121), ""^0[67]"")"),FALSE)</f>
        <v>0</v>
      </c>
      <c r="P121" s="2">
        <f t="shared" si="55"/>
        <v>8</v>
      </c>
      <c r="Q121" s="9" t="str">
        <f>IF(AND(O121=TRUE, P121=9), "✅ VALID", "❌ INVALID")</f>
        <v>❌ INVALID</v>
      </c>
      <c r="R121" s="10" t="s">
        <v>58</v>
      </c>
      <c r="S121" s="12">
        <v>45472.0</v>
      </c>
      <c r="T121" s="2" t="str">
        <f>IFERROR(__xludf.DUMMYFUNCTION("IF(ISNUMBER(S121),TEXT(S121,""yyyy-MM-dd""),REGEXREPLACE(REGEXREPLACE(TO_TEXT(S121),""[^0-9a-zA-Z]+"",""-""),""[^0-9]*$"",""""))"),"2024-06-29")</f>
        <v>2024-06-29</v>
      </c>
      <c r="U121" s="2" t="s">
        <v>7788</v>
      </c>
      <c r="Y121" s="10" t="s">
        <v>7788</v>
      </c>
    </row>
    <row r="122" ht="15.75" customHeight="1">
      <c r="A122" s="2" t="s">
        <v>6551</v>
      </c>
      <c r="B122" s="9" t="s">
        <v>7597</v>
      </c>
      <c r="C122" s="2" t="s">
        <v>255</v>
      </c>
      <c r="D122" s="10" t="str">
        <f>IFERROR(__xludf.DUMMYFUNCTION("PROPER(REGEXREPLACE(TRIM(C122),""\s+"","" ""))"),"Daria King")</f>
        <v>Daria King</v>
      </c>
      <c r="E122" s="2">
        <f>IFERROR(__xludf.DUMMYFUNCTION("IF(LEN(D122:D701),
  COUNTA(SPLIT(D122:D701,"" "")),
 """")"),2.0)</f>
        <v>2</v>
      </c>
      <c r="F122" s="9" t="str">
        <f t="shared" si="50"/>
        <v>✅</v>
      </c>
      <c r="G122" s="2" t="str">
        <f>IFERROR(__xludf.DUMMYFUNCTION("REGEXEXTRACT(PROPER(SUBSTITUTE(TRIM(I122),""."","" "")),""^[^@]+"")"),"Daria King")</f>
        <v>Daria King</v>
      </c>
      <c r="H122" s="10" t="str">
        <f t="shared" si="51"/>
        <v>daria.king@yahoo.com</v>
      </c>
      <c r="I122" s="2" t="s">
        <v>256</v>
      </c>
      <c r="J122" s="9" t="str">
        <f>IFERROR(__xludf.DUMMYFUNCTION("IF(REGEXMATCH(TRIM(I122),""^[A-Za-z0-9._%+-]+@[A-Za-z0-9.-]+\.[A-Za-z]{2,}$""),""✅ Valid"",""❌ Invalid"")"),"✅ Valid")</f>
        <v>✅ Valid</v>
      </c>
      <c r="K122" s="11">
        <v>4340691.0</v>
      </c>
      <c r="L122" s="2" t="str">
        <f>IFERROR(__xludf.DUMMYFUNCTION("IF(OR(K122=""N/A"", K122=""missing"", K122=""none""), """",
 REGEXREPLACE(
  SUBSTITUTE(SUBSTITUTE(SUBSTITUTE(TO_TEXT(K122), CHAR(160),""""), UNICHAR(8239),""""), UNICHAR(8201),""""),""[+\-/(): )]"", """"))"),"4340691")</f>
        <v>4340691</v>
      </c>
      <c r="M122" s="2" t="str">
        <f>IFERROR(__xludf.DUMMYFUNCTION("IF(L122="""","""", REGEXEXTRACT(REGEXREPLACE(L122,""x"", """"), ""[0-9]+""))"),"4340691")</f>
        <v>4340691</v>
      </c>
      <c r="N122" s="2" t="str">
        <f>IF(LEFT(M122,3)="353", RIGHT(M122,LEN(M122)-3),M122)</f>
        <v>4340691</v>
      </c>
      <c r="O122" s="2" t="b">
        <f>IFERROR(__xludf.DUMMYFUNCTION("REGEXMATCH(TO_TEXT(N122), ""^0(83|85|86|87|89)"")"),FALSE)</f>
        <v>0</v>
      </c>
      <c r="P122" s="2">
        <f t="shared" si="55"/>
        <v>7</v>
      </c>
      <c r="Q122" s="9" t="str">
        <f>IF(AND(O122=TRUE, P119=10), "✅ VALID", "❌ INVALID")</f>
        <v>❌ INVALID</v>
      </c>
      <c r="R122" s="10" t="s">
        <v>1177</v>
      </c>
      <c r="S122" s="12">
        <v>45803.0</v>
      </c>
      <c r="T122" s="2" t="str">
        <f>IFERROR(__xludf.DUMMYFUNCTION("IF(ISNUMBER(S122),TEXT(S122,""yyyy-MM-dd""),REGEXREPLACE(REGEXREPLACE(TO_TEXT(S122),""[^0-9a-zA-Z]+"",""-""),""[^0-9]*$"",""""))"),"2025-05-26")</f>
        <v>2025-05-26</v>
      </c>
      <c r="U122" s="2" t="s">
        <v>7789</v>
      </c>
      <c r="Y122" s="10" t="s">
        <v>7789</v>
      </c>
    </row>
    <row r="123" ht="15.75" customHeight="1">
      <c r="A123" s="2" t="s">
        <v>7039</v>
      </c>
      <c r="B123" s="9" t="s">
        <v>7597</v>
      </c>
      <c r="C123" s="2" t="s">
        <v>397</v>
      </c>
      <c r="D123" s="10" t="s">
        <v>1242</v>
      </c>
      <c r="E123" s="2">
        <f>IFERROR(__xludf.DUMMYFUNCTION("IF(LEN(D123:D701),
  COUNTA(SPLIT(D123:D701,"" "")),
 """")"),2.0)</f>
        <v>2</v>
      </c>
      <c r="F123" s="9" t="str">
        <f t="shared" si="50"/>
        <v>✅</v>
      </c>
      <c r="G123" s="2" t="s">
        <v>1242</v>
      </c>
      <c r="H123" s="10" t="str">
        <f t="shared" si="51"/>
        <v>ethan.taylor@outlook.com</v>
      </c>
      <c r="I123" s="2" t="s">
        <v>398</v>
      </c>
      <c r="J123" s="9" t="str">
        <f>IFERROR(__xludf.DUMMYFUNCTION("IF(REGEXMATCH(TRIM(I123),""^[A-Za-z0-9._%+-]+@[A-Za-z0-9.-]+\.[A-Za-z]{2,}$""),""✅ Valid"",""❌ Invalid"")"),"✅ Valid")</f>
        <v>✅ Valid</v>
      </c>
      <c r="K123" s="13"/>
      <c r="L123" s="2" t="str">
        <f>IFERROR(__xludf.DUMMYFUNCTION("IF(OR(K123=""N/A"", K123=""missing"", K123=""none""), """",
 REGEXREPLACE(
  SUBSTITUTE(SUBSTITUTE(SUBSTITUTE(TO_TEXT(K123), CHAR(160),""""), UNICHAR(8239),""""), UNICHAR(8201),""""),""[+\-/(): )]"", """"))"),"")</f>
        <v/>
      </c>
      <c r="M123" s="2" t="str">
        <f>IFERROR(__xludf.DUMMYFUNCTION("IF(L123="""","""", REGEXEXTRACT(REGEXREPLACE(L123,""x"", """"), ""[0-9]+""))"),"")</f>
        <v/>
      </c>
      <c r="N123" s="2" t="str">
        <f>IF(LEFT(M123,2)="44", RIGHT(M123,LEN(M123)-2),M123)</f>
        <v/>
      </c>
      <c r="O123" s="2" t="b">
        <f>IFERROR(__xludf.DUMMYFUNCTION("REGEXMATCH(TO_TEXT(N123), ""^07[1-57-9]"")"),FALSE)</f>
        <v>0</v>
      </c>
      <c r="P123" s="2">
        <f t="shared" si="55"/>
        <v>0</v>
      </c>
      <c r="Q123" s="9" t="str">
        <f>IF(AND(O123=TRUE, P123=11), "✅ VALID", "❌ INVALID")</f>
        <v>❌ INVALID</v>
      </c>
      <c r="R123" s="10" t="s">
        <v>114</v>
      </c>
      <c r="S123" s="12">
        <v>44590.0</v>
      </c>
      <c r="T123" s="2" t="str">
        <f>IFERROR(__xludf.DUMMYFUNCTION("IF(ISNUMBER(S123),TEXT(S123,""yyyy-MM-dd""),REGEXREPLACE(REGEXREPLACE(TO_TEXT(S123),""[^0-9a-zA-Z]+"",""-""),""[^0-9]*$"",""""))"),"2022-01-29")</f>
        <v>2022-01-29</v>
      </c>
      <c r="U123" s="2" t="s">
        <v>7790</v>
      </c>
      <c r="Y123" s="10" t="s">
        <v>7790</v>
      </c>
    </row>
    <row r="124" ht="15.75" customHeight="1">
      <c r="A124" s="2" t="s">
        <v>7092</v>
      </c>
      <c r="B124" s="9" t="s">
        <v>7597</v>
      </c>
      <c r="C124" s="2" t="s">
        <v>1820</v>
      </c>
      <c r="D124" s="10" t="str">
        <f>IFERROR(__xludf.DUMMYFUNCTION("PROPER(REGEXREPLACE(TRIM(C124),""\s+"","" ""))"),"Wiktor Smith")</f>
        <v>Wiktor Smith</v>
      </c>
      <c r="E124" s="2">
        <f>IFERROR(__xludf.DUMMYFUNCTION("IF(LEN(D124:D701),
  COUNTA(SPLIT(D124:D701,"" "")),
 """")"),2.0)</f>
        <v>2</v>
      </c>
      <c r="F124" s="9" t="str">
        <f t="shared" si="50"/>
        <v>✅</v>
      </c>
      <c r="G124" s="2" t="str">
        <f>IFERROR(__xludf.DUMMYFUNCTION("REGEXEXTRACT(PROPER(SUBSTITUTE(TRIM(I124),""."","" "")),""^[^@]+"")"),"Wiktor Smith")</f>
        <v>Wiktor Smith</v>
      </c>
      <c r="H124" s="10" t="str">
        <f t="shared" si="51"/>
        <v>wiktor.smith@company.co.uk</v>
      </c>
      <c r="I124" s="2" t="s">
        <v>6552</v>
      </c>
      <c r="J124" s="9" t="str">
        <f>IFERROR(__xludf.DUMMYFUNCTION("IF(REGEXMATCH(TRIM(I124),""^[A-Za-z0-9._%+-]+@[A-Za-z0-9.-]+\.[A-Za-z]{2,}$""),""✅ Valid"",""❌ Invalid"")"),"✅ Valid")</f>
        <v>✅ Valid</v>
      </c>
      <c r="K124" s="15" t="s">
        <v>7791</v>
      </c>
      <c r="L124" s="2" t="str">
        <f>IFERROR(__xludf.DUMMYFUNCTION("IF(K124=""N/A"", """",
 REGEXREPLACE(
  SUBSTITUTE(SUBSTITUTE(SUBSTITUTE(TO_TEXT(K124), CHAR(160),""""), UNICHAR(8239),""""), UNICHAR(8201),""""),""[+\-/(): )]"", """"))"),"482972663827")</f>
        <v>482972663827</v>
      </c>
      <c r="M124" s="2" t="str">
        <f>IFERROR(__xludf.DUMMYFUNCTION("IF(L124="""","""", REGEXEXTRACT(REGEXREPLACE(L124,""x"", """"), ""[0-9]+""))"),"482972663827")</f>
        <v>482972663827</v>
      </c>
      <c r="N124" s="2" t="str">
        <f>IF(LEFT(M124,2)="48", RIGHT(M124,LEN(M124)-2),M124)</f>
        <v>2972663827</v>
      </c>
      <c r="O124" s="2" t="b">
        <f>IFERROR(__xludf.DUMMYFUNCTION("REGEXMATCH(TO_TEXT(N124), ""^(5[013679]|6[069]|7[2-9]|88)"")"),FALSE)</f>
        <v>0</v>
      </c>
      <c r="Q124" s="9" t="str">
        <f>IF(AND(O124=TRUE, P124=9), "✅ VALID", "❌ INVALID")</f>
        <v>❌ INVALID</v>
      </c>
      <c r="R124" s="10" t="s">
        <v>25</v>
      </c>
      <c r="S124" s="12">
        <v>45783.0</v>
      </c>
      <c r="T124" s="2" t="str">
        <f>IFERROR(__xludf.DUMMYFUNCTION("IF(ISNUMBER(S124),TEXT(S124,""yyyy-MM-dd""),REGEXREPLACE(REGEXREPLACE(TO_TEXT(S124),""[^0-9a-zA-Z]+"",""-""),""[^0-9]*$"",""""))"),"2025-05-06")</f>
        <v>2025-05-06</v>
      </c>
      <c r="U124" s="2" t="s">
        <v>7792</v>
      </c>
      <c r="Y124" s="10" t="s">
        <v>7792</v>
      </c>
    </row>
    <row r="125" ht="15.75" customHeight="1">
      <c r="A125" s="2" t="s">
        <v>2611</v>
      </c>
      <c r="B125" s="9" t="s">
        <v>7597</v>
      </c>
      <c r="C125" s="2" t="s">
        <v>7040</v>
      </c>
      <c r="D125" s="10" t="str">
        <f>IFERROR(__xludf.DUMMYFUNCTION("PROPER(REGEXREPLACE(TRIM(C125),""\s+"","" ""))"),"Zack Walker")</f>
        <v>Zack Walker</v>
      </c>
      <c r="E125" s="2">
        <f>IFERROR(__xludf.DUMMYFUNCTION("IF(LEN(D125:D701),
  COUNTA(SPLIT(D125:D701,"" "")),
 """")"),2.0)</f>
        <v>2</v>
      </c>
      <c r="F125" s="9" t="str">
        <f t="shared" si="50"/>
        <v>✅</v>
      </c>
      <c r="G125" s="2" t="str">
        <f>IFERROR(__xludf.DUMMYFUNCTION("REGEXEXTRACT(PROPER(SUBSTITUTE(TRIM(I125),""."","" "")),""^[^@]+"")"),"Zack Walker")</f>
        <v>Zack Walker</v>
      </c>
      <c r="H125" s="10" t="str">
        <f t="shared" si="51"/>
        <v>zack.walker@company.co.uk</v>
      </c>
      <c r="I125" s="2" t="s">
        <v>7041</v>
      </c>
      <c r="J125" s="9" t="str">
        <f>IFERROR(__xludf.DUMMYFUNCTION("IF(REGEXMATCH(TRIM(I125),""^[A-Za-z0-9._%+-]+@[A-Za-z0-9.-]+\.[A-Za-z]{2,}$""),""✅ Valid"",""❌ Invalid"")"),"✅ Valid")</f>
        <v>✅ Valid</v>
      </c>
      <c r="K125" s="13" t="s">
        <v>7793</v>
      </c>
      <c r="L125" s="2" t="str">
        <f>IFERROR(__xludf.DUMMYFUNCTION("IF(OR(K125=""N/A"", K125=""missing"", K125=""none""), """",
 REGEXREPLACE(
  SUBSTITUTE(SUBSTITUTE(SUBSTITUTE(TO_TEXT(K125), CHAR(160),""""), UNICHAR(8239),""""), UNICHAR(8201),""""),""[+\-/(): )]"", """"))"),"107556x056")</f>
        <v>107556x056</v>
      </c>
      <c r="M125" s="2" t="str">
        <f>IFERROR(__xludf.DUMMYFUNCTION("IF(L125="""","""", REGEXEXTRACT(REGEXREPLACE(L125,""x"", """"), ""[0-9]+""))"),"107556056")</f>
        <v>107556056</v>
      </c>
      <c r="N125" s="2" t="str">
        <f>IF(LEFT(M125,2)="49", RIGHT(M125,LEN(M125)-2),M125)</f>
        <v>107556056</v>
      </c>
      <c r="O125" s="2" t="b">
        <f>IFERROR(__xludf.DUMMYFUNCTION("REGEXMATCH(TO_TEXT(N125), ""^0(15|16|17)"")"),FALSE)</f>
        <v>0</v>
      </c>
      <c r="P125" s="2">
        <f>LEN(N125)</f>
        <v>9</v>
      </c>
      <c r="Q125" s="9" t="str">
        <f>IF(AND(O125=TRUE,OR(P125=10, P125=11)), "✅ VALID", "❌ INVALID")</f>
        <v>❌ INVALID</v>
      </c>
      <c r="R125" s="10" t="s">
        <v>459</v>
      </c>
      <c r="S125" s="12">
        <v>45298.98819444444</v>
      </c>
      <c r="T125" s="2" t="str">
        <f>IFERROR(__xludf.DUMMYFUNCTION("IF(ISNUMBER(S125),TEXT(S125,""yyyy-MM-dd""),REGEXREPLACE(REGEXREPLACE(TO_TEXT(S125),""[^0-9a-zA-Z]+"",""-""),""[^0-9]*$"",""""))"),"2024-01-07")</f>
        <v>2024-01-07</v>
      </c>
      <c r="U125" s="2" t="s">
        <v>7794</v>
      </c>
      <c r="Y125" s="10" t="s">
        <v>7794</v>
      </c>
    </row>
    <row r="126" ht="15.75" customHeight="1">
      <c r="A126" s="2" t="s">
        <v>1810</v>
      </c>
      <c r="B126" s="9" t="s">
        <v>7597</v>
      </c>
      <c r="C126" s="2" t="s">
        <v>7093</v>
      </c>
      <c r="D126" s="10" t="str">
        <f>IFERROR(__xludf.DUMMYFUNCTION("PROPER(REGEXREPLACE(TRIM(C126),""\s+"","" ""))"),"Jade Williams")</f>
        <v>Jade Williams</v>
      </c>
      <c r="E126" s="2">
        <f>IFERROR(__xludf.DUMMYFUNCTION("IF(LEN(D126:D701),
  COUNTA(SPLIT(D126:D701,"" "")),
 """")"),2.0)</f>
        <v>2</v>
      </c>
      <c r="F126" s="9" t="str">
        <f t="shared" si="50"/>
        <v>✅</v>
      </c>
      <c r="G126" s="2" t="str">
        <f>IFERROR(__xludf.DUMMYFUNCTION("REGEXEXTRACT(PROPER(SUBSTITUTE(TRIM(I126),""."","" "")),""^[^@]+"")"),"Jade Williams")</f>
        <v>Jade Williams</v>
      </c>
      <c r="H126" s="10" t="str">
        <f t="shared" si="51"/>
        <v>jade.williams@gmail.com</v>
      </c>
      <c r="I126" s="2" t="s">
        <v>7094</v>
      </c>
      <c r="J126" s="9" t="str">
        <f>IFERROR(__xludf.DUMMYFUNCTION("IF(REGEXMATCH(TRIM(I126),""^[A-Za-z0-9._%+-]+@[A-Za-z0-9.-]+\.[A-Za-z]{2,}$""),""✅ Valid"",""❌ Invalid"")"),"✅ Valid")</f>
        <v>✅ Valid</v>
      </c>
      <c r="K126" s="15" t="s">
        <v>7795</v>
      </c>
      <c r="L126" s="2" t="str">
        <f>IFERROR(__xludf.DUMMYFUNCTION("IF(K126=""N/A"", """",
 REGEXREPLACE(
  SUBSTITUTE(SUBSTITUTE(SUBSTITUTE(TO_TEXT(K126), CHAR(160),""""), UNICHAR(8239),""""), UNICHAR(8201),""""),""[+\-/(): )]"", """"))"),"48376783432")</f>
        <v>48376783432</v>
      </c>
      <c r="M126" s="2" t="str">
        <f>IFERROR(__xludf.DUMMYFUNCTION("IF(L126="""","""", REGEXEXTRACT(REGEXREPLACE(L126,""x"", """"), ""[0-9]+""))"),"48376783432")</f>
        <v>48376783432</v>
      </c>
      <c r="N126" s="2" t="str">
        <f>IF(LEFT(M126,2)="48", RIGHT(M126,LEN(M126)-2),M126)</f>
        <v>376783432</v>
      </c>
      <c r="O126" s="2" t="b">
        <f>IFERROR(__xludf.DUMMYFUNCTION("REGEXMATCH(TO_TEXT(N126), ""^(5[013679]|6[069]|7[2-9]|88)"")"),FALSE)</f>
        <v>0</v>
      </c>
      <c r="Q126" s="9" t="str">
        <f>IF(AND(O126=TRUE, P126=9), "✅ VALID", "❌ INVALID")</f>
        <v>❌ INVALID</v>
      </c>
      <c r="R126" s="10" t="s">
        <v>25</v>
      </c>
      <c r="S126" s="12">
        <v>45550.0</v>
      </c>
      <c r="T126" s="2" t="str">
        <f>IFERROR(__xludf.DUMMYFUNCTION("IF(ISNUMBER(S126),TEXT(S126,""yyyy-MM-dd""),REGEXREPLACE(REGEXREPLACE(TO_TEXT(S126),""[^0-9a-zA-Z]+"",""-""),""[^0-9]*$"",""""))"),"2024-09-15")</f>
        <v>2024-09-15</v>
      </c>
      <c r="U126" s="2" t="s">
        <v>7627</v>
      </c>
      <c r="Y126" s="10" t="s">
        <v>7627</v>
      </c>
    </row>
    <row r="127" ht="15.75" customHeight="1">
      <c r="A127" s="2" t="s">
        <v>417</v>
      </c>
      <c r="B127" s="9" t="s">
        <v>7597</v>
      </c>
      <c r="C127" s="2" t="s">
        <v>2612</v>
      </c>
      <c r="D127" s="10" t="s">
        <v>7796</v>
      </c>
      <c r="E127" s="2">
        <f>IFERROR(__xludf.DUMMYFUNCTION("IF(LEN(D127:D701),
  COUNTA(SPLIT(D127:D701,"" "")),
 """")"),2.0)</f>
        <v>2</v>
      </c>
      <c r="F127" s="9" t="str">
        <f t="shared" si="50"/>
        <v>✅</v>
      </c>
      <c r="G127" s="2" t="s">
        <v>7796</v>
      </c>
      <c r="H127" s="10" t="str">
        <f t="shared" si="51"/>
        <v>fiona.novak@company.co.uk</v>
      </c>
      <c r="I127" s="2" t="s">
        <v>2613</v>
      </c>
      <c r="J127" s="9" t="str">
        <f>IFERROR(__xludf.DUMMYFUNCTION("IF(REGEXMATCH(TRIM(I127),""^[A-Za-z0-9._%+-]+@[A-Za-z0-9.-]+\.[A-Za-z]{2,}$""),""✅ Valid"",""❌ Invalid"")"),"✅ Valid")</f>
        <v>✅ Valid</v>
      </c>
      <c r="K127" s="11">
        <v>4.492901657E9</v>
      </c>
      <c r="L127" s="2" t="str">
        <f>IFERROR(__xludf.DUMMYFUNCTION("IF(OR(K127=""N/A"", K127=""missing"", K127=""none""), """",
 REGEXREPLACE(
  SUBSTITUTE(SUBSTITUTE(SUBSTITUTE(TO_TEXT(K127), CHAR(160),""""), UNICHAR(8239),""""), UNICHAR(8201),""""),""[+\-/(): )]"", """"))"),"4492901657")</f>
        <v>4492901657</v>
      </c>
      <c r="M127" s="2" t="str">
        <f>IFERROR(__xludf.DUMMYFUNCTION("IF(L127="""","""", REGEXEXTRACT(REGEXREPLACE(L127,""x"", """"), ""[0-9]+""))"),"4492901657")</f>
        <v>4492901657</v>
      </c>
      <c r="N127" s="2" t="str">
        <f>IF(LEFT(M127,2)="44", RIGHT(M127,LEN(M127)-2),M127)</f>
        <v>92901657</v>
      </c>
      <c r="O127" s="2" t="b">
        <f>IFERROR(__xludf.DUMMYFUNCTION("REGEXMATCH(TO_TEXT(N127), ""^07[1-57-9]"")"),FALSE)</f>
        <v>0</v>
      </c>
      <c r="P127" s="2">
        <f t="shared" ref="P127:P129" si="56">LEN(N127)</f>
        <v>8</v>
      </c>
      <c r="Q127" s="9" t="str">
        <f>IF(AND(O127=TRUE, P127=11), "✅ VALID", "❌ INVALID")</f>
        <v>❌ INVALID</v>
      </c>
      <c r="R127" s="10" t="s">
        <v>114</v>
      </c>
      <c r="S127" s="12">
        <v>45235.0</v>
      </c>
      <c r="T127" s="2" t="str">
        <f>IFERROR(__xludf.DUMMYFUNCTION("IF(ISNUMBER(S127),TEXT(S127,""yyyy-MM-dd""),REGEXREPLACE(REGEXREPLACE(TO_TEXT(S127),""[^0-9a-zA-Z]+"",""-""),""[^0-9]*$"",""""))"),"2023-11-05")</f>
        <v>2023-11-05</v>
      </c>
      <c r="U127" s="2" t="s">
        <v>7797</v>
      </c>
      <c r="Y127" s="10" t="s">
        <v>7797</v>
      </c>
    </row>
    <row r="128" ht="15.75" customHeight="1">
      <c r="A128" s="2" t="s">
        <v>2088</v>
      </c>
      <c r="B128" s="9" t="s">
        <v>7597</v>
      </c>
      <c r="C128" s="2" t="s">
        <v>1811</v>
      </c>
      <c r="D128" s="10" t="str">
        <f>IFERROR(__xludf.DUMMYFUNCTION("PROPER(REGEXREPLACE(TRIM(C128),""\s+"","" ""))"),"Nina Taylor")</f>
        <v>Nina Taylor</v>
      </c>
      <c r="E128" s="2">
        <f>IFERROR(__xludf.DUMMYFUNCTION("IF(LEN(D128:D701),
  COUNTA(SPLIT(D128:D701,"" "")),
 """")"),2.0)</f>
        <v>2</v>
      </c>
      <c r="F128" s="9" t="str">
        <f t="shared" si="50"/>
        <v>✅</v>
      </c>
      <c r="G128" s="2" t="str">
        <f>IFERROR(__xludf.DUMMYFUNCTION("REGEXEXTRACT(PROPER(SUBSTITUTE(TRIM(I128),""."","" "")),""^[^@]+"")"),"Nina Taylor")</f>
        <v>Nina Taylor</v>
      </c>
      <c r="H128" s="10" t="str">
        <f t="shared" si="51"/>
        <v>nina.taylor@company.co.uk</v>
      </c>
      <c r="I128" s="2" t="s">
        <v>1812</v>
      </c>
      <c r="J128" s="9" t="str">
        <f>IFERROR(__xludf.DUMMYFUNCTION("IF(REGEXMATCH(TRIM(I128),""^[A-Za-z0-9._%+-]+@[A-Za-z0-9.-]+\.[A-Za-z]{2,}$""),""✅ Valid"",""❌ Invalid"")"),"✅ Valid")</f>
        <v>✅ Valid</v>
      </c>
      <c r="K128" s="13" t="s">
        <v>7798</v>
      </c>
      <c r="L128" s="2" t="str">
        <f>IFERROR(__xludf.DUMMYFUNCTION("IF(OR(K128=""N/A"", K128=""missing"", K128=""none""), """",
 REGEXREPLACE(
  SUBSTITUTE(SUBSTITUTE(SUBSTITUTE(TO_TEXT(K128), CHAR(160),""""), UNICHAR(8239),""""), UNICHAR(8201),""""),""[+\-/(): )]"", """"))"),"12417702803ext428")</f>
        <v>12417702803ext428</v>
      </c>
      <c r="M128" s="2" t="str">
        <f>IFERROR(__xludf.DUMMYFUNCTION("IF(L128="""","""", REGEXEXTRACT(REGEXREPLACE(L128,""x"", """"), ""[0-9]+""))"),"12417702803")</f>
        <v>12417702803</v>
      </c>
      <c r="N128" s="2" t="str">
        <f>IF(LEFT(M128,1)="1", RIGHT(M128,LEN(M128)-1),M128)</f>
        <v>2417702803</v>
      </c>
      <c r="O128" s="2" t="b">
        <f>IFERROR(__xludf.DUMMYFUNCTION("REGEXMATCH(TO_TEXT(N128), ""^[2-9][0-9]{9}$"")"),TRUE)</f>
        <v>1</v>
      </c>
      <c r="P128" s="2">
        <f t="shared" si="56"/>
        <v>10</v>
      </c>
      <c r="Q128" s="9" t="str">
        <f>IF(AND(O128=TRUE, P128=10), "✅ VALID", "❌ INVALID")</f>
        <v>✅ VALID</v>
      </c>
      <c r="R128" s="10" t="s">
        <v>199</v>
      </c>
      <c r="S128" s="12">
        <v>45699.0</v>
      </c>
      <c r="T128" s="2" t="str">
        <f>IFERROR(__xludf.DUMMYFUNCTION("IF(ISNUMBER(S128),TEXT(S128,""yyyy-MM-dd""),REGEXREPLACE(REGEXREPLACE(TO_TEXT(S128),""[^0-9a-zA-Z]+"",""-""),""[^0-9]*$"",""""))"),"2025-02-11")</f>
        <v>2025-02-11</v>
      </c>
      <c r="U128" s="2" t="s">
        <v>7799</v>
      </c>
      <c r="Y128" s="10" t="s">
        <v>7799</v>
      </c>
    </row>
    <row r="129" ht="15.75" customHeight="1">
      <c r="A129" s="2" t="s">
        <v>1354</v>
      </c>
      <c r="B129" s="9" t="s">
        <v>7597</v>
      </c>
      <c r="C129" s="2" t="s">
        <v>418</v>
      </c>
      <c r="D129" s="10" t="str">
        <f>IFERROR(__xludf.DUMMYFUNCTION("PROPER(REGEXREPLACE(TRIM(C129),""\s+"","" ""))"),"Lia Davis")</f>
        <v>Lia Davis</v>
      </c>
      <c r="E129" s="2">
        <f>IFERROR(__xludf.DUMMYFUNCTION("IF(LEN(D129:D701),
  COUNTA(SPLIT(D129:D701,"" "")),
 """")"),2.0)</f>
        <v>2</v>
      </c>
      <c r="F129" s="9" t="str">
        <f t="shared" si="50"/>
        <v>✅</v>
      </c>
      <c r="G129" s="2" t="str">
        <f>IFERROR(__xludf.DUMMYFUNCTION("REGEXEXTRACT(PROPER(SUBSTITUTE(TRIM(I129),""."","" "")),""^[^@]+"")"),"Lia Davis")</f>
        <v>Lia Davis</v>
      </c>
      <c r="H129" s="10" t="str">
        <f t="shared" si="51"/>
        <v>lia.davis@yahoo.com</v>
      </c>
      <c r="I129" s="2" t="s">
        <v>419</v>
      </c>
      <c r="J129" s="9" t="str">
        <f>IFERROR(__xludf.DUMMYFUNCTION("IF(REGEXMATCH(TRIM(I129),""^[A-Za-z0-9._%+-]+@[A-Za-z0-9.-]+\.[A-Za-z]{2,}$""),""✅ Valid"",""❌ Invalid"")"),"✅ Valid")</f>
        <v>✅ Valid</v>
      </c>
      <c r="K129" s="13" t="s">
        <v>7800</v>
      </c>
      <c r="L129" s="2" t="str">
        <f>IFERROR(__xludf.DUMMYFUNCTION("IF(OR(K129=""N/A"", K129=""missing"", K129=""none""), """",
 REGEXREPLACE(
  SUBSTITUTE(SUBSTITUTE(SUBSTITUTE(TO_TEXT(K129), CHAR(160),""""), UNICHAR(8239),""""), UNICHAR(8201),""""),""[+\-/(): )]"", """"))"),"33723898327")</f>
        <v>33723898327</v>
      </c>
      <c r="M129" s="2" t="str">
        <f>IFERROR(__xludf.DUMMYFUNCTION("IF(L129="""","""", REGEXEXTRACT(REGEXREPLACE(L129,""x"", """"), ""[0-9]+""))"),"33723898327")</f>
        <v>33723898327</v>
      </c>
      <c r="N129" s="2" t="str">
        <f>IF(LEFT(M129,2)="33", RIGHT(M129,LEN(M129)-2),M129)</f>
        <v>723898327</v>
      </c>
      <c r="O129" s="2" t="b">
        <f>IFERROR(__xludf.DUMMYFUNCTION("REGEXMATCH(TO_TEXT(N129), ""^0[67]"")"),FALSE)</f>
        <v>0</v>
      </c>
      <c r="P129" s="2">
        <f t="shared" si="56"/>
        <v>9</v>
      </c>
      <c r="Q129" s="9" t="str">
        <f>IF(AND(O129=TRUE, P129=9), "✅ VALID", "❌ INVALID")</f>
        <v>❌ INVALID</v>
      </c>
      <c r="R129" s="10" t="s">
        <v>58</v>
      </c>
      <c r="S129" s="12">
        <v>44576.0</v>
      </c>
      <c r="T129" s="2" t="str">
        <f>IFERROR(__xludf.DUMMYFUNCTION("IF(ISNUMBER(S129),TEXT(S129,""yyyy-MM-dd""),REGEXREPLACE(REGEXREPLACE(TO_TEXT(S129),""[^0-9a-zA-Z]+"",""-""),""[^0-9]*$"",""""))"),"2022-01-15")</f>
        <v>2022-01-15</v>
      </c>
      <c r="U129" s="2" t="s">
        <v>7801</v>
      </c>
      <c r="Y129" s="10" t="s">
        <v>7801</v>
      </c>
    </row>
    <row r="130" ht="15.75" hidden="1" customHeight="1">
      <c r="A130" s="2" t="s">
        <v>6386</v>
      </c>
      <c r="B130" s="9" t="s">
        <v>7597</v>
      </c>
      <c r="C130" s="2" t="s">
        <v>2089</v>
      </c>
      <c r="D130" s="2" t="str">
        <f>IFERROR(__xludf.DUMMYFUNCTION("PROPER(REGEXREPLACE(TRIM(C130),""\s+"","" ""))"),"Carlos Nowak")</f>
        <v>Carlos Nowak</v>
      </c>
      <c r="E130" s="2">
        <f>IFERROR(__xludf.DUMMYFUNCTION("IF(LEN(D130:D701),
  COUNTA(SPLIT(D130:D701,"" "")),
 """")"),2.0)</f>
        <v>2</v>
      </c>
      <c r="K130" s="2" t="s">
        <v>2090</v>
      </c>
      <c r="R130" s="10" t="s">
        <v>114</v>
      </c>
      <c r="S130" s="2" t="s">
        <v>6931</v>
      </c>
    </row>
    <row r="131" ht="15.75" customHeight="1">
      <c r="A131" s="2" t="s">
        <v>2352</v>
      </c>
      <c r="B131" s="9" t="s">
        <v>7597</v>
      </c>
      <c r="C131" s="2" t="s">
        <v>4600</v>
      </c>
      <c r="D131" s="10" t="str">
        <f>IFERROR(__xludf.DUMMYFUNCTION("PROPER(REGEXREPLACE(TRIM(C131),""\s+"","" ""))"),"Daria Khan")</f>
        <v>Daria Khan</v>
      </c>
      <c r="E131" s="2">
        <f>IFERROR(__xludf.DUMMYFUNCTION("IF(LEN(D131:D701),
  COUNTA(SPLIT(D131:D701,"" "")),
 """")"),2.0)</f>
        <v>2</v>
      </c>
      <c r="F131" s="9" t="str">
        <f t="shared" ref="F131:F132" si="57">IF(D131=G131,"✅","❌")</f>
        <v>✅</v>
      </c>
      <c r="G131" s="2" t="str">
        <f>IFERROR(__xludf.DUMMYFUNCTION("REGEXEXTRACT(PROPER(SUBSTITUTE(TRIM(I131),""."","" "")),""^[^@]+"")"),"Daria Khan")</f>
        <v>Daria Khan</v>
      </c>
      <c r="H131" s="10" t="str">
        <f t="shared" ref="H131:H132" si="58">LOWER(TRIM(I131))</f>
        <v>daria.khan@shop.io</v>
      </c>
      <c r="I131" s="2" t="s">
        <v>1356</v>
      </c>
      <c r="J131" s="9" t="str">
        <f>IFERROR(__xludf.DUMMYFUNCTION("IF(REGEXMATCH(TRIM(I131),""^[A-Za-z0-9._%+-]+@[A-Za-z0-9.-]+\.[A-Za-z]{2,}$""),""✅ Valid"",""❌ Invalid"")"),"✅ Valid")</f>
        <v>✅ Valid</v>
      </c>
      <c r="K131" s="13" t="s">
        <v>7802</v>
      </c>
      <c r="L131" s="2" t="str">
        <f>IFERROR(__xludf.DUMMYFUNCTION("IF(OR(K131=""N/A"", K131=""missing"", K131=""none""), """",
 REGEXREPLACE(
  SUBSTITUTE(SUBSTITUTE(SUBSTITUTE(TO_TEXT(K131), CHAR(160),""""), UNICHAR(8239),""""), UNICHAR(8201),""""),""[+\-/(): )]"", """"))"),"tel16089010873")</f>
        <v>tel16089010873</v>
      </c>
      <c r="M131" s="2" t="str">
        <f>IFERROR(__xludf.DUMMYFUNCTION("IF(L131="""","""", REGEXEXTRACT(REGEXREPLACE(L131,""x"", """"), ""[0-9]+""))"),"16089010873")</f>
        <v>16089010873</v>
      </c>
      <c r="N131" s="2" t="str">
        <f t="shared" ref="N131:N132" si="59">IF(LEFT(M131,1)="1", RIGHT(M131,LEN(M131)-1),M131)</f>
        <v>6089010873</v>
      </c>
      <c r="O131" s="2" t="b">
        <f>IFERROR(__xludf.DUMMYFUNCTION("REGEXMATCH(TO_TEXT(N131), ""^[2-9][0-9]{9}$"")"),TRUE)</f>
        <v>1</v>
      </c>
      <c r="P131" s="2">
        <f t="shared" ref="P131:P132" si="60">LEN(N131)</f>
        <v>10</v>
      </c>
      <c r="Q131" s="9" t="str">
        <f t="shared" ref="Q131:Q132" si="61">IF(AND(O131=TRUE, P131=10), "✅ VALID", "❌ INVALID")</f>
        <v>✅ VALID</v>
      </c>
      <c r="R131" s="10" t="s">
        <v>199</v>
      </c>
      <c r="S131" s="12">
        <v>45129.0</v>
      </c>
      <c r="T131" s="2" t="str">
        <f>IFERROR(__xludf.DUMMYFUNCTION("IF(ISNUMBER(S131),TEXT(S131,""yyyy-MM-dd""),REGEXREPLACE(REGEXREPLACE(TO_TEXT(S131),""[^0-9a-zA-Z]+"",""-""),""[^0-9]*$"",""""))"),"2023-07-22")</f>
        <v>2023-07-22</v>
      </c>
      <c r="U131" s="2" t="s">
        <v>1418</v>
      </c>
      <c r="Y131" s="10" t="s">
        <v>1418</v>
      </c>
    </row>
    <row r="132" ht="15.75" customHeight="1">
      <c r="A132" s="2" t="s">
        <v>3714</v>
      </c>
      <c r="B132" s="9" t="s">
        <v>7597</v>
      </c>
      <c r="C132" s="2" t="s">
        <v>1355</v>
      </c>
      <c r="D132" s="10" t="str">
        <f>IFERROR(__xludf.DUMMYFUNCTION("PROPER(REGEXREPLACE(TRIM(C132),""\s+"","" ""))"),"Daria Khan")</f>
        <v>Daria Khan</v>
      </c>
      <c r="E132" s="2">
        <f>IFERROR(__xludf.DUMMYFUNCTION("IF(LEN(D132:D701),
  COUNTA(SPLIT(D132:D701,"" "")),
 """")"),2.0)</f>
        <v>2</v>
      </c>
      <c r="F132" s="9" t="str">
        <f t="shared" si="57"/>
        <v>✅</v>
      </c>
      <c r="G132" s="2" t="str">
        <f>IFERROR(__xludf.DUMMYFUNCTION("REGEXEXTRACT(PROPER(SUBSTITUTE(TRIM(I132),""."","" "")),""^[^@]+"")"),"Daria Khan")</f>
        <v>Daria Khan</v>
      </c>
      <c r="H132" s="10" t="str">
        <f t="shared" si="58"/>
        <v>daria.khan@shop.io</v>
      </c>
      <c r="I132" s="2" t="s">
        <v>1356</v>
      </c>
      <c r="J132" s="9" t="str">
        <f>IFERROR(__xludf.DUMMYFUNCTION("IF(REGEXMATCH(TRIM(I132),""^[A-Za-z0-9._%+-]+@[A-Za-z0-9.-]+\.[A-Za-z]{2,}$""),""✅ Valid"",""❌ Invalid"")"),"✅ Valid")</f>
        <v>✅ Valid</v>
      </c>
      <c r="K132" s="13" t="s">
        <v>7803</v>
      </c>
      <c r="L132" s="2" t="str">
        <f>IFERROR(__xludf.DUMMYFUNCTION("IF(OR(K132=""N/A"", K132=""missing"", K132=""none""), """",
 REGEXREPLACE(
  SUBSTITUTE(SUBSTITUTE(SUBSTITUTE(TO_TEXT(K132), CHAR(160),""""), UNICHAR(8239),""""), UNICHAR(8201),""""),""[+\-/(): )]"", """"))"),"18506230737")</f>
        <v>18506230737</v>
      </c>
      <c r="M132" s="2" t="str">
        <f>IFERROR(__xludf.DUMMYFUNCTION("IF(L132="""","""", REGEXEXTRACT(REGEXREPLACE(L132,""x"", """"), ""[0-9]+""))"),"18506230737")</f>
        <v>18506230737</v>
      </c>
      <c r="N132" s="2" t="str">
        <f t="shared" si="59"/>
        <v>8506230737</v>
      </c>
      <c r="O132" s="2" t="b">
        <f>IFERROR(__xludf.DUMMYFUNCTION("REGEXMATCH(TO_TEXT(N132), ""^[2-9][0-9]{9}$"")"),TRUE)</f>
        <v>1</v>
      </c>
      <c r="P132" s="2">
        <f t="shared" si="60"/>
        <v>10</v>
      </c>
      <c r="Q132" s="9" t="str">
        <f t="shared" si="61"/>
        <v>✅ VALID</v>
      </c>
      <c r="R132" s="10" t="s">
        <v>199</v>
      </c>
      <c r="S132" s="12">
        <v>45129.0</v>
      </c>
      <c r="T132" s="2" t="str">
        <f>IFERROR(__xludf.DUMMYFUNCTION("IF(ISNUMBER(S132),TEXT(S132,""yyyy-MM-dd""),REGEXREPLACE(REGEXREPLACE(TO_TEXT(S132),""[^0-9a-zA-Z]+"",""-""),""[^0-9]*$"",""""))"),"2023-07-22")</f>
        <v>2023-07-22</v>
      </c>
      <c r="U132" s="2" t="s">
        <v>1418</v>
      </c>
      <c r="Y132" s="10" t="s">
        <v>1418</v>
      </c>
    </row>
    <row r="133" ht="15.75" hidden="1" customHeight="1">
      <c r="A133" s="2" t="s">
        <v>3847</v>
      </c>
      <c r="B133" s="9" t="s">
        <v>7597</v>
      </c>
      <c r="C133" s="2" t="s">
        <v>3619</v>
      </c>
      <c r="D133" s="2" t="str">
        <f>IFERROR(__xludf.DUMMYFUNCTION("PROPER(REGEXREPLACE(TRIM(C133),""\s+"","" ""))"),"Rita Garcia")</f>
        <v>Rita Garcia</v>
      </c>
      <c r="E133" s="2">
        <f>IFERROR(__xludf.DUMMYFUNCTION("IF(LEN(D133:D701),
  COUNTA(SPLIT(D133:D701,"" "")),
 """")"),2.0)</f>
        <v>2</v>
      </c>
      <c r="K133" s="2" t="s">
        <v>6387</v>
      </c>
      <c r="R133" s="10" t="s">
        <v>1177</v>
      </c>
      <c r="S133" s="2" t="s">
        <v>6388</v>
      </c>
    </row>
    <row r="134" ht="15.75" customHeight="1">
      <c r="A134" s="2" t="s">
        <v>3139</v>
      </c>
      <c r="B134" s="9" t="s">
        <v>7597</v>
      </c>
      <c r="C134" s="2" t="s">
        <v>2353</v>
      </c>
      <c r="D134" s="10" t="str">
        <f>IFERROR(__xludf.DUMMYFUNCTION("PROPER(REGEXREPLACE(TRIM(C134),""\s+"","" ""))"),"Marek Lopez")</f>
        <v>Marek Lopez</v>
      </c>
      <c r="E134" s="2">
        <f>IFERROR(__xludf.DUMMYFUNCTION("IF(LEN(D134:D701),
  COUNTA(SPLIT(D134:D701,"" "")),
 """")"),2.0)</f>
        <v>2</v>
      </c>
      <c r="F134" s="9" t="str">
        <f>IF(D134=G134,"✅","❌")</f>
        <v>❌</v>
      </c>
      <c r="G134" s="2" t="s">
        <v>7804</v>
      </c>
      <c r="H134" s="10" t="str">
        <f>LOWER(TRIM(I134))</f>
        <v>marke.lopez@outlook.com</v>
      </c>
      <c r="I134" s="2" t="s">
        <v>2354</v>
      </c>
      <c r="J134" s="9" t="str">
        <f>IFERROR(__xludf.DUMMYFUNCTION("IF(REGEXMATCH(TRIM(I134),""^[A-Za-z0-9._%+-]+@[A-Za-z0-9.-]+\.[A-Za-z]{2,}$""),""✅ Valid"",""❌ Invalid"")"),"✅ Valid")</f>
        <v>✅ Valid</v>
      </c>
      <c r="K134" s="13" t="s">
        <v>7805</v>
      </c>
      <c r="L134" s="2" t="str">
        <f>IFERROR(__xludf.DUMMYFUNCTION("IF(OR(K134=""N/A"", K134=""missing"", K134=""none""), """",
 REGEXREPLACE(
  SUBSTITUTE(SUBSTITUTE(SUBSTITUTE(TO_TEXT(K134), CHAR(160),""""), UNICHAR(8239),""""), UNICHAR(8201),""""),""[+\-/(): )]"", """"))"),"2601364081")</f>
        <v>2601364081</v>
      </c>
      <c r="M134" s="2" t="str">
        <f>IFERROR(__xludf.DUMMYFUNCTION("IF(L134="""","""", REGEXEXTRACT(REGEXREPLACE(L134,""x"", """"), ""[0-9]+""))"),"2601364081")</f>
        <v>2601364081</v>
      </c>
      <c r="N134" s="2" t="str">
        <f>IF(LEFT(M134,1)="1", RIGHT(M134,LEN(M134)-1),M134)</f>
        <v>2601364081</v>
      </c>
      <c r="O134" s="2" t="b">
        <f>IFERROR(__xludf.DUMMYFUNCTION("REGEXMATCH(TO_TEXT(N134), ""^[2-9][0-9]{9}$"")"),TRUE)</f>
        <v>1</v>
      </c>
      <c r="P134" s="2">
        <f>LEN(N134)</f>
        <v>10</v>
      </c>
      <c r="Q134" s="9" t="str">
        <f>IF(AND(O134=TRUE, P134=10), "✅ VALID", "❌ INVALID")</f>
        <v>✅ VALID</v>
      </c>
      <c r="R134" s="10" t="s">
        <v>199</v>
      </c>
      <c r="S134" s="12">
        <v>44721.0</v>
      </c>
      <c r="T134" s="2" t="str">
        <f>IFERROR(__xludf.DUMMYFUNCTION("IF(ISNUMBER(S134),TEXT(S134,""yyyy-MM-dd""),REGEXREPLACE(REGEXREPLACE(TO_TEXT(S134),""[^0-9a-zA-Z]+"",""-""),""[^0-9]*$"",""""))"),"2022-06-09")</f>
        <v>2022-06-09</v>
      </c>
      <c r="U134" s="2" t="s">
        <v>7806</v>
      </c>
      <c r="Y134" s="10" t="s">
        <v>7806</v>
      </c>
    </row>
    <row r="135" ht="15.75" hidden="1" customHeight="1">
      <c r="A135" s="2" t="s">
        <v>7025</v>
      </c>
      <c r="B135" s="9" t="s">
        <v>7597</v>
      </c>
      <c r="C135" s="2" t="s">
        <v>3715</v>
      </c>
      <c r="D135" s="2" t="str">
        <f>IFERROR(__xludf.DUMMYFUNCTION("PROPER(REGEXREPLACE(TRIM(C135),""\s+"","" ""))"),"Adam Muller")</f>
        <v>Adam Muller</v>
      </c>
      <c r="E135" s="2">
        <f>IFERROR(__xludf.DUMMYFUNCTION("IF(LEN(D135:D701),
  COUNTA(SPLIT(D135:D701,"" "")),
 """")"),2.0)</f>
        <v>2</v>
      </c>
      <c r="K135" s="2" t="s">
        <v>3716</v>
      </c>
      <c r="R135" s="10" t="s">
        <v>1177</v>
      </c>
      <c r="S135" s="2" t="s">
        <v>7325</v>
      </c>
    </row>
    <row r="136" ht="15.75" hidden="1" customHeight="1">
      <c r="A136" s="2" t="s">
        <v>4998</v>
      </c>
      <c r="B136" s="9" t="s">
        <v>7597</v>
      </c>
      <c r="C136" s="2" t="s">
        <v>3848</v>
      </c>
      <c r="D136" s="2" t="str">
        <f>IFERROR(__xludf.DUMMYFUNCTION("PROPER(REGEXREPLACE(TRIM(C136),""\s+"","" ""))"),"Daria Rodriguez")</f>
        <v>Daria Rodriguez</v>
      </c>
      <c r="E136" s="2">
        <f>IFERROR(__xludf.DUMMYFUNCTION("IF(LEN(D136:D701),
  COUNTA(SPLIT(D136:D701,"" "")),
 """")"),2.0)</f>
        <v>2</v>
      </c>
      <c r="K136" s="2" t="s">
        <v>3849</v>
      </c>
      <c r="R136" s="10" t="s">
        <v>114</v>
      </c>
      <c r="S136" s="2" t="s">
        <v>7275</v>
      </c>
    </row>
    <row r="137" ht="15.75" customHeight="1">
      <c r="A137" s="2" t="s">
        <v>5486</v>
      </c>
      <c r="B137" s="9" t="s">
        <v>7597</v>
      </c>
      <c r="C137" s="2" t="s">
        <v>3140</v>
      </c>
      <c r="D137" s="10" t="str">
        <f>IFERROR(__xludf.DUMMYFUNCTION("PROPER(REGEXREPLACE(TRIM(C137),""\s+"","" ""))"),"Ethan Walker")</f>
        <v>Ethan Walker</v>
      </c>
      <c r="E137" s="2">
        <f>IFERROR(__xludf.DUMMYFUNCTION("IF(LEN(D137:D701),
  COUNTA(SPLIT(D137:D701,"" "")),
 """")"),2.0)</f>
        <v>2</v>
      </c>
      <c r="F137" s="9" t="str">
        <f t="shared" ref="F137:F141" si="62">IF(D137=G137,"✅","❌")</f>
        <v>✅</v>
      </c>
      <c r="G137" s="2" t="str">
        <f>IFERROR(__xludf.DUMMYFUNCTION("REGEXEXTRACT(PROPER(SUBSTITUTE(TRIM(I137),""."","" "")),""^[^@]+"")"),"Ethan Walker")</f>
        <v>Ethan Walker</v>
      </c>
      <c r="H137" s="10" t="str">
        <f t="shared" ref="H137:H141" si="63">LOWER(TRIM(I137))</f>
        <v>ethan.walker@company.co.uk</v>
      </c>
      <c r="I137" s="2" t="s">
        <v>3141</v>
      </c>
      <c r="J137" s="9" t="str">
        <f>IFERROR(__xludf.DUMMYFUNCTION("IF(REGEXMATCH(TRIM(I137),""^[A-Za-z0-9._%+-]+@[A-Za-z0-9.-]+\.[A-Za-z]{2,}$""),""✅ Valid"",""❌ Invalid"")"),"✅ Valid")</f>
        <v>✅ Valid</v>
      </c>
      <c r="K137" s="13" t="s">
        <v>7807</v>
      </c>
      <c r="L137" s="2" t="str">
        <f>IFERROR(__xludf.DUMMYFUNCTION("IF(OR(K137=""N/A"", K137=""missing"", K137=""none""), """",
 REGEXREPLACE(
  SUBSTITUTE(SUBSTITUTE(SUBSTITUTE(TO_TEXT(K137), CHAR(160),""""), UNICHAR(8239),""""), UNICHAR(8201),""""),""[+\-/(): )]"", """"))"),"353342395285")</f>
        <v>353342395285</v>
      </c>
      <c r="M137" s="2" t="str">
        <f>IFERROR(__xludf.DUMMYFUNCTION("IF(L137="""","""", REGEXEXTRACT(REGEXREPLACE(L137,""x"", """"), ""[0-9]+""))"),"353342395285")</f>
        <v>353342395285</v>
      </c>
      <c r="N137" s="2" t="str">
        <f>IF(LEFT(M137,3)="353", RIGHT(M137,LEN(M137)-3),M137)</f>
        <v>342395285</v>
      </c>
      <c r="O137" s="2" t="b">
        <f>IFERROR(__xludf.DUMMYFUNCTION("REGEXMATCH(TO_TEXT(N137), ""^0(83|85|86|87|89)"")"),FALSE)</f>
        <v>0</v>
      </c>
      <c r="P137" s="2">
        <f>LEN(N137)</f>
        <v>9</v>
      </c>
      <c r="Q137" s="9" t="str">
        <f>IF(AND(O137=TRUE, P134=10), "✅ VALID", "❌ INVALID")</f>
        <v>❌ INVALID</v>
      </c>
      <c r="R137" s="10" t="s">
        <v>1177</v>
      </c>
      <c r="S137" s="12" t="s">
        <v>6534</v>
      </c>
      <c r="T137" s="2" t="str">
        <f>IFERROR(__xludf.DUMMYFUNCTION("IF(ISNUMBER(S137),TEXT(S137,""yyyy-MM-dd""),REGEXREPLACE(REGEXREPLACE(TO_TEXT(S137),""[^0-9a-zA-Z]+"",""-""),""[^0-9]*$"",""""))"),"03-25-2022")</f>
        <v>03-25-2022</v>
      </c>
      <c r="U137" s="2" t="str">
        <f>TEXT(T137,"yyyy-MM-dd")</f>
        <v>03-25-2022</v>
      </c>
      <c r="V137" s="2" t="s">
        <v>7808</v>
      </c>
      <c r="Y137" s="10" t="s">
        <v>7808</v>
      </c>
    </row>
    <row r="138" ht="15.75" customHeight="1">
      <c r="A138" s="2" t="s">
        <v>360</v>
      </c>
      <c r="B138" s="9" t="s">
        <v>7597</v>
      </c>
      <c r="C138" s="2" t="s">
        <v>7026</v>
      </c>
      <c r="D138" s="10" t="str">
        <f>IFERROR(__xludf.DUMMYFUNCTION("PROPER(REGEXREPLACE(TRIM(C138),""\s+"","" ""))"),"Fiona Young")</f>
        <v>Fiona Young</v>
      </c>
      <c r="E138" s="2">
        <f>IFERROR(__xludf.DUMMYFUNCTION("IF(LEN(D138:D701),
  COUNTA(SPLIT(D138:D701,"" "")),
 """")"),2.0)</f>
        <v>2</v>
      </c>
      <c r="F138" s="9" t="str">
        <f t="shared" si="62"/>
        <v>✅</v>
      </c>
      <c r="G138" s="2" t="str">
        <f>IFERROR(__xludf.DUMMYFUNCTION("REGEXEXTRACT(PROPER(SUBSTITUTE(TRIM(I138),""."","" "")),""^[^@]+"")"),"Fiona Young")</f>
        <v>Fiona Young</v>
      </c>
      <c r="H138" s="10" t="str">
        <f t="shared" si="63"/>
        <v>fiona.young@yahoo.com</v>
      </c>
      <c r="I138" s="2" t="s">
        <v>7027</v>
      </c>
      <c r="J138" s="9" t="str">
        <f>IFERROR(__xludf.DUMMYFUNCTION("IF(REGEXMATCH(TRIM(I138),""^[A-Za-z0-9._%+-]+@[A-Za-z0-9.-]+\.[A-Za-z]{2,}$""),""✅ Valid"",""❌ Invalid"")"),"✅ Valid")</f>
        <v>✅ Valid</v>
      </c>
      <c r="K138" s="15" t="s">
        <v>7809</v>
      </c>
      <c r="L138" s="2" t="str">
        <f>IFERROR(__xludf.DUMMYFUNCTION("IF(K138=""N/A"", """",
 REGEXREPLACE(
  SUBSTITUTE(SUBSTITUTE(SUBSTITUTE(TO_TEXT(K138), CHAR(160),""""), UNICHAR(8239),""""), UNICHAR(8201),""""),""[+\-/(): )]"", """"))"),"48356021022")</f>
        <v>48356021022</v>
      </c>
      <c r="M138" s="2" t="str">
        <f>IFERROR(__xludf.DUMMYFUNCTION("IF(L138="""","""", REGEXEXTRACT(REGEXREPLACE(L138,""x"", """"), ""[0-9]+""))"),"48356021022")</f>
        <v>48356021022</v>
      </c>
      <c r="N138" s="2" t="str">
        <f>IF(LEFT(M138,2)="48", RIGHT(M138,LEN(M138)-2),M138)</f>
        <v>356021022</v>
      </c>
      <c r="O138" s="2" t="b">
        <f>IFERROR(__xludf.DUMMYFUNCTION("REGEXMATCH(TO_TEXT(N138), ""^(5[013679]|6[069]|7[2-9]|88)"")"),FALSE)</f>
        <v>0</v>
      </c>
      <c r="Q138" s="9" t="str">
        <f>IF(AND(O138=TRUE, P138=9), "✅ VALID", "❌ INVALID")</f>
        <v>❌ INVALID</v>
      </c>
      <c r="R138" s="10" t="s">
        <v>25</v>
      </c>
      <c r="S138" s="12">
        <v>45831.0</v>
      </c>
      <c r="T138" s="2" t="str">
        <f>IFERROR(__xludf.DUMMYFUNCTION("IF(ISNUMBER(S138),TEXT(S138,""yyyy-MM-dd""),REGEXREPLACE(REGEXREPLACE(TO_TEXT(S138),""[^0-9a-zA-Z]+"",""-""),""[^0-9]*$"",""""))"),"2025-06-23")</f>
        <v>2025-06-23</v>
      </c>
      <c r="U138" s="2" t="s">
        <v>7810</v>
      </c>
      <c r="Y138" s="10" t="s">
        <v>7810</v>
      </c>
    </row>
    <row r="139" ht="15.75" customHeight="1">
      <c r="A139" s="2" t="s">
        <v>1119</v>
      </c>
      <c r="B139" s="9" t="s">
        <v>7597</v>
      </c>
      <c r="C139" s="2" t="s">
        <v>2231</v>
      </c>
      <c r="D139" s="10" t="str">
        <f>IFERROR(__xludf.DUMMYFUNCTION("PROPER(REGEXREPLACE(TRIM(C139),""\s+"","" ""))"),"Daria Young")</f>
        <v>Daria Young</v>
      </c>
      <c r="E139" s="2">
        <f>IFERROR(__xludf.DUMMYFUNCTION("IF(LEN(D139:D701),
  COUNTA(SPLIT(D139:D701,"" "")),
 """")"),2.0)</f>
        <v>2</v>
      </c>
      <c r="F139" s="9" t="str">
        <f t="shared" si="62"/>
        <v>✅</v>
      </c>
      <c r="G139" s="2" t="str">
        <f>IFERROR(__xludf.DUMMYFUNCTION("REGEXEXTRACT(PROPER(SUBSTITUTE(TRIM(I139),""."","" "")),""^[^@]+"")"),"Daria Young")</f>
        <v>Daria Young</v>
      </c>
      <c r="H139" s="10" t="str">
        <f t="shared" si="63"/>
        <v>daria.young@company.co.uk</v>
      </c>
      <c r="I139" s="2" t="s">
        <v>4999</v>
      </c>
      <c r="J139" s="9" t="str">
        <f>IFERROR(__xludf.DUMMYFUNCTION("IF(REGEXMATCH(TRIM(I139),""^[A-Za-z0-9._%+-]+@[A-Za-z0-9.-]+\.[A-Za-z]{2,}$""),""✅ Valid"",""❌ Invalid"")"),"✅ Valid")</f>
        <v>✅ Valid</v>
      </c>
      <c r="K139" s="13" t="s">
        <v>7811</v>
      </c>
      <c r="L139" s="2" t="str">
        <f>IFERROR(__xludf.DUMMYFUNCTION("IF(OR(K139=""N/A"", K139=""missing"", K139=""none""), """",
 REGEXREPLACE(
  SUBSTITUTE(SUBSTITUTE(SUBSTITUTE(TO_TEXT(K139), CHAR(160),""""), UNICHAR(8239),""""), UNICHAR(8201),""""),""[+\-/(): )]"", """"))"),"te449893581222")</f>
        <v>te449893581222</v>
      </c>
      <c r="M139" s="2" t="str">
        <f>IFERROR(__xludf.DUMMYFUNCTION("IF(L139="""","""", REGEXEXTRACT(REGEXREPLACE(L139,""x"", """"), ""[0-9]+""))"),"449893581222")</f>
        <v>449893581222</v>
      </c>
      <c r="N139" s="2" t="str">
        <f>IF(LEFT(M139,2)="44", RIGHT(M139,LEN(M139)-2),M139)</f>
        <v>9893581222</v>
      </c>
      <c r="O139" s="2" t="b">
        <f>IFERROR(__xludf.DUMMYFUNCTION("REGEXMATCH(TO_TEXT(N139), ""^07[1-57-9]"")"),FALSE)</f>
        <v>0</v>
      </c>
      <c r="P139" s="2">
        <f t="shared" ref="P139:P141" si="64">LEN(N139)</f>
        <v>10</v>
      </c>
      <c r="Q139" s="9" t="str">
        <f>IF(AND(O139=TRUE, P139=11), "✅ VALID", "❌ INVALID")</f>
        <v>❌ INVALID</v>
      </c>
      <c r="R139" s="10" t="s">
        <v>114</v>
      </c>
      <c r="S139" s="12" t="s">
        <v>6541</v>
      </c>
      <c r="T139" s="2" t="str">
        <f>IFERROR(__xludf.DUMMYFUNCTION("IF(ISNUMBER(S139),TEXT(S139,""yyyy-MM-dd""),REGEXREPLACE(REGEXREPLACE(TO_TEXT(S139),""[^0-9a-zA-Z]+"",""-""),""[^0-9]*$"",""""))"),"08-26-2024")</f>
        <v>08-26-2024</v>
      </c>
      <c r="U139" s="2" t="str">
        <f>TEXT(T139,"yyyy-MM-dd")</f>
        <v>08-26-2024</v>
      </c>
      <c r="V139" s="2" t="s">
        <v>7812</v>
      </c>
      <c r="Y139" s="10" t="s">
        <v>7812</v>
      </c>
    </row>
    <row r="140" ht="15.75" customHeight="1">
      <c r="A140" s="2" t="s">
        <v>1860</v>
      </c>
      <c r="B140" s="9" t="s">
        <v>7597</v>
      </c>
      <c r="C140" s="2" t="s">
        <v>5487</v>
      </c>
      <c r="D140" s="10" t="str">
        <f>IFERROR(__xludf.DUMMYFUNCTION("PROPER(REGEXREPLACE(TRIM(C140),""\s+"","" ""))"),"Omar Lopez")</f>
        <v>Omar Lopez</v>
      </c>
      <c r="E140" s="2">
        <f>IFERROR(__xludf.DUMMYFUNCTION("IF(LEN(D140:D701),
  COUNTA(SPLIT(D140:D701,"" "")),
 """")"),2.0)</f>
        <v>2</v>
      </c>
      <c r="F140" s="9" t="str">
        <f t="shared" si="62"/>
        <v>✅</v>
      </c>
      <c r="G140" s="2" t="str">
        <f>IFERROR(__xludf.DUMMYFUNCTION("REGEXEXTRACT(PROPER(SUBSTITUTE(TRIM(I140),""."","" "")),""^[^@]+"")"),"Omar Lopez")</f>
        <v>Omar Lopez</v>
      </c>
      <c r="H140" s="10" t="str">
        <f t="shared" si="63"/>
        <v>omar.lopez@yahoo.com</v>
      </c>
      <c r="I140" s="2" t="s">
        <v>5488</v>
      </c>
      <c r="J140" s="9" t="str">
        <f>IFERROR(__xludf.DUMMYFUNCTION("IF(REGEXMATCH(TRIM(I140),""^[A-Za-z0-9._%+-]+@[A-Za-z0-9.-]+\.[A-Za-z]{2,}$""),""✅ Valid"",""❌ Invalid"")"),"✅ Valid")</f>
        <v>✅ Valid</v>
      </c>
      <c r="K140" s="13" t="s">
        <v>7813</v>
      </c>
      <c r="L140" s="2" t="str">
        <f>IFERROR(__xludf.DUMMYFUNCTION("IF(OR(K140=""N/A"", K140=""missing"", K140=""none""), """",
 REGEXREPLACE(
  SUBSTITUTE(SUBSTITUTE(SUBSTITUTE(TO_TEXT(K140), CHAR(160),""""), UNICHAR(8239),""""), UNICHAR(8201),""""),""[+\-/(): )]"", """"))"),"0818675x009")</f>
        <v>0818675x009</v>
      </c>
      <c r="M140" s="2" t="str">
        <f>IFERROR(__xludf.DUMMYFUNCTION("IF(L140="""","""", REGEXEXTRACT(REGEXREPLACE(L140,""x"", """"), ""[0-9]+""))"),"0818675009")</f>
        <v>0818675009</v>
      </c>
      <c r="N140" s="2" t="str">
        <f>IF(LEFT(M140,1)="1", RIGHT(M140,LEN(M140)-1),M140)</f>
        <v>0818675009</v>
      </c>
      <c r="O140" s="2" t="b">
        <f>IFERROR(__xludf.DUMMYFUNCTION("REGEXMATCH(TO_TEXT(N140), ""^[2-9][0-9]{9}$"")"),FALSE)</f>
        <v>0</v>
      </c>
      <c r="P140" s="2">
        <f t="shared" si="64"/>
        <v>10</v>
      </c>
      <c r="Q140" s="9" t="str">
        <f>IF(AND(O140=TRUE, P140=10), "✅ VALID", "❌ INVALID")</f>
        <v>❌ INVALID</v>
      </c>
      <c r="R140" s="10" t="s">
        <v>199</v>
      </c>
      <c r="S140" s="12">
        <v>44991.0</v>
      </c>
      <c r="T140" s="2" t="str">
        <f>IFERROR(__xludf.DUMMYFUNCTION("IF(ISNUMBER(S140),TEXT(S140,""yyyy-MM-dd""),REGEXREPLACE(REGEXREPLACE(TO_TEXT(S140),""[^0-9a-zA-Z]+"",""-""),""[^0-9]*$"",""""))"),"2023-03-06")</f>
        <v>2023-03-06</v>
      </c>
      <c r="U140" s="2" t="s">
        <v>7814</v>
      </c>
      <c r="Y140" s="10" t="s">
        <v>7814</v>
      </c>
    </row>
    <row r="141" ht="15.75" customHeight="1">
      <c r="A141" s="2" t="s">
        <v>725</v>
      </c>
      <c r="B141" s="9" t="s">
        <v>7597</v>
      </c>
      <c r="C141" s="2" t="s">
        <v>361</v>
      </c>
      <c r="D141" s="10" t="str">
        <f>IFERROR(__xludf.DUMMYFUNCTION("PROPER(REGEXREPLACE(TRIM(C141),""\s+"","" ""))"),"Adam Kowalczyk")</f>
        <v>Adam Kowalczyk</v>
      </c>
      <c r="E141" s="2">
        <f>IFERROR(__xludf.DUMMYFUNCTION("IF(LEN(D141:D701),
  COUNTA(SPLIT(D141:D701,"" "")),
 """")"),2.0)</f>
        <v>2</v>
      </c>
      <c r="F141" s="9" t="str">
        <f t="shared" si="62"/>
        <v>✅</v>
      </c>
      <c r="G141" s="2" t="str">
        <f>IFERROR(__xludf.DUMMYFUNCTION("REGEXEXTRACT(PROPER(SUBSTITUTE(TRIM(I141),""."","" "")),""^[^@]+"")"),"Adam Kowalczyk")</f>
        <v>Adam Kowalczyk</v>
      </c>
      <c r="H141" s="10" t="str">
        <f t="shared" si="63"/>
        <v>adam.kowalczyk@outlook.com</v>
      </c>
      <c r="I141" s="2" t="s">
        <v>362</v>
      </c>
      <c r="J141" s="9" t="str">
        <f>IFERROR(__xludf.DUMMYFUNCTION("IF(REGEXMATCH(TRIM(I141),""^[A-Za-z0-9._%+-]+@[A-Za-z0-9.-]+\.[A-Za-z]{2,}$""),""✅ Valid"",""❌ Invalid"")"),"✅ Valid")</f>
        <v>✅ Valid</v>
      </c>
      <c r="K141" s="13" t="s">
        <v>7815</v>
      </c>
      <c r="L141" s="2" t="str">
        <f>IFERROR(__xludf.DUMMYFUNCTION("IF(OR(K141=""N/A"", K141=""missing"", K141=""none""), """",
 REGEXREPLACE(
  SUBSTITUTE(SUBSTITUTE(SUBSTITUTE(TO_TEXT(K141), CHAR(160),""""), UNICHAR(8239),""""), UNICHAR(8201),""""),""[+\-/(): )]"", """"))"),"914268735")</f>
        <v>914268735</v>
      </c>
      <c r="M141" s="2" t="str">
        <f>IFERROR(__xludf.DUMMYFUNCTION("IF(L141="""","""", REGEXEXTRACT(REGEXREPLACE(L141,""x"", """"), ""[0-9]+""))"),"914268735")</f>
        <v>914268735</v>
      </c>
      <c r="N141" s="2" t="str">
        <f>IF(LEFT(M141,2)="39", RIGHT(M141,LEN(M141)-2),M141)</f>
        <v>914268735</v>
      </c>
      <c r="O141" s="2" t="b">
        <f>IFERROR(__xludf.DUMMYFUNCTION("REGEXMATCH(TO_TEXT(N141), ""^3"")"),FALSE)</f>
        <v>0</v>
      </c>
      <c r="P141" s="2">
        <f t="shared" si="64"/>
        <v>9</v>
      </c>
      <c r="Q141" s="9" t="str">
        <f>IF(AND(O141=TRUE,OR(P141=9, P141=10 )), "✅ VALID", "❌ INVALID")</f>
        <v>❌ INVALID</v>
      </c>
      <c r="R141" s="10" t="s">
        <v>785</v>
      </c>
      <c r="S141" s="12">
        <v>44597.0</v>
      </c>
      <c r="T141" s="2" t="str">
        <f>IFERROR(__xludf.DUMMYFUNCTION("IF(ISNUMBER(S141),TEXT(S141,""yyyy-MM-dd""),REGEXREPLACE(REGEXREPLACE(TO_TEXT(S141),""[^0-9a-zA-Z]+"",""-""),""[^0-9]*$"",""""))"),"2022-02-05")</f>
        <v>2022-02-05</v>
      </c>
      <c r="U141" s="2" t="s">
        <v>7816</v>
      </c>
      <c r="Y141" s="10" t="s">
        <v>7816</v>
      </c>
    </row>
    <row r="142" ht="15.75" hidden="1" customHeight="1">
      <c r="A142" s="2" t="s">
        <v>2858</v>
      </c>
      <c r="B142" s="9" t="s">
        <v>7597</v>
      </c>
      <c r="C142" s="2" t="s">
        <v>1120</v>
      </c>
      <c r="D142" s="2" t="str">
        <f>IFERROR(__xludf.DUMMYFUNCTION("PROPER(REGEXREPLACE(TRIM(C142),""\s+"","" ""))"),"Uma Johnson")</f>
        <v>Uma Johnson</v>
      </c>
      <c r="E142" s="2">
        <f>IFERROR(__xludf.DUMMYFUNCTION("IF(LEN(D142:D701),
  COUNTA(SPLIT(D142:D701,"" "")),
 """")"),2.0)</f>
        <v>2</v>
      </c>
      <c r="K142" s="2" t="s">
        <v>1121</v>
      </c>
      <c r="R142" s="10" t="s">
        <v>199</v>
      </c>
      <c r="S142" s="2" t="s">
        <v>7374</v>
      </c>
    </row>
    <row r="143" ht="15.75" customHeight="1">
      <c r="A143" s="2" t="s">
        <v>4933</v>
      </c>
      <c r="B143" s="9" t="s">
        <v>7597</v>
      </c>
      <c r="C143" s="2" t="s">
        <v>1861</v>
      </c>
      <c r="D143" s="10" t="str">
        <f>IFERROR(__xludf.DUMMYFUNCTION("PROPER(REGEXREPLACE(TRIM(C143),""\s+"","" ""))"),"Lia Kowalski")</f>
        <v>Lia Kowalski</v>
      </c>
      <c r="E143" s="2">
        <f>IFERROR(__xludf.DUMMYFUNCTION("IF(LEN(D143:D701),
  COUNTA(SPLIT(D143:D701,"" "")),
 """")"),2.0)</f>
        <v>2</v>
      </c>
      <c r="F143" s="9" t="str">
        <f t="shared" ref="F143:F166" si="65">IF(D143=G143,"✅","❌")</f>
        <v>✅</v>
      </c>
      <c r="G143" s="2" t="str">
        <f>IFERROR(__xludf.DUMMYFUNCTION("REGEXEXTRACT(PROPER(SUBSTITUTE(TRIM(I143),""."","" "")),""^[^@]+"")"),"Lia Kowalski")</f>
        <v>Lia Kowalski</v>
      </c>
      <c r="H143" s="10" t="str">
        <f t="shared" ref="H143:H166" si="66">LOWER(TRIM(I143))</f>
        <v>lia.kowalski@example.com</v>
      </c>
      <c r="I143" s="2" t="s">
        <v>1862</v>
      </c>
      <c r="J143" s="9" t="str">
        <f>IFERROR(__xludf.DUMMYFUNCTION("IF(REGEXMATCH(TRIM(I143),""^[A-Za-z0-9._%+-]+@[A-Za-z0-9.-]+\.[A-Za-z]{2,}$""),""✅ Valid"",""❌ Invalid"")"),"✅ Valid")</f>
        <v>✅ Valid</v>
      </c>
      <c r="K143" s="13" t="s">
        <v>7817</v>
      </c>
      <c r="L143" s="2" t="str">
        <f>IFERROR(__xludf.DUMMYFUNCTION("IF(OR(K143=""N/A"", K143=""missing"", K143=""none""), """",
 REGEXREPLACE(
  SUBSTITUTE(SUBSTITUTE(SUBSTITUTE(TO_TEXT(K143), CHAR(160),""""), UNICHAR(8239),""""), UNICHAR(8201),""""),""[+\-/(): )]"", """"))"),"449647697214")</f>
        <v>449647697214</v>
      </c>
      <c r="M143" s="2" t="str">
        <f>IFERROR(__xludf.DUMMYFUNCTION("IF(L143="""","""", REGEXEXTRACT(REGEXREPLACE(L143,""x"", """"), ""[0-9]+""))"),"449647697214")</f>
        <v>449647697214</v>
      </c>
      <c r="N143" s="2" t="str">
        <f t="shared" ref="N143:N144" si="67">IF(LEFT(M143,2)="44", RIGHT(M143,LEN(M143)-2),M143)</f>
        <v>9647697214</v>
      </c>
      <c r="O143" s="2" t="b">
        <f>IFERROR(__xludf.DUMMYFUNCTION("REGEXMATCH(TO_TEXT(N143), ""^07[1-57-9]"")"),FALSE)</f>
        <v>0</v>
      </c>
      <c r="P143" s="2">
        <f t="shared" ref="P143:P144" si="68">LEN(N143)</f>
        <v>10</v>
      </c>
      <c r="Q143" s="9" t="str">
        <f t="shared" ref="Q143:Q144" si="69">IF(AND(O143=TRUE, P143=11), "✅ VALID", "❌ INVALID")</f>
        <v>❌ INVALID</v>
      </c>
      <c r="R143" s="10" t="s">
        <v>114</v>
      </c>
      <c r="S143" s="12">
        <v>44759.0</v>
      </c>
      <c r="T143" s="2" t="str">
        <f>IFERROR(__xludf.DUMMYFUNCTION("IF(ISNUMBER(S143),TEXT(S143,""yyyy-MM-dd""),REGEXREPLACE(REGEXREPLACE(TO_TEXT(S143),""[^0-9a-zA-Z]+"",""-""),""[^0-9]*$"",""""))"),"2022-07-17")</f>
        <v>2022-07-17</v>
      </c>
      <c r="U143" s="2" t="s">
        <v>6461</v>
      </c>
      <c r="Y143" s="10" t="s">
        <v>6461</v>
      </c>
    </row>
    <row r="144" ht="15.75" customHeight="1">
      <c r="A144" s="2" t="s">
        <v>2236</v>
      </c>
      <c r="B144" s="9" t="s">
        <v>7597</v>
      </c>
      <c r="C144" s="2" t="s">
        <v>1861</v>
      </c>
      <c r="D144" s="10" t="str">
        <f>IFERROR(__xludf.DUMMYFUNCTION("PROPER(REGEXREPLACE(TRIM(C144),""\s+"","" ""))"),"Lia Kowalski")</f>
        <v>Lia Kowalski</v>
      </c>
      <c r="E144" s="2">
        <f>IFERROR(__xludf.DUMMYFUNCTION("IF(LEN(D144:D701),
  COUNTA(SPLIT(D144:D701,"" "")),
 """")"),2.0)</f>
        <v>2</v>
      </c>
      <c r="F144" s="9" t="str">
        <f t="shared" si="65"/>
        <v>✅</v>
      </c>
      <c r="G144" s="2" t="str">
        <f>IFERROR(__xludf.DUMMYFUNCTION("REGEXEXTRACT(PROPER(SUBSTITUTE(TRIM(I144),""."","" "")),""^[^@]+"")"),"Lia Kowalski")</f>
        <v>Lia Kowalski</v>
      </c>
      <c r="H144" s="10" t="str">
        <f t="shared" si="66"/>
        <v>lia.kowalski@example.com</v>
      </c>
      <c r="I144" s="2" t="s">
        <v>3045</v>
      </c>
      <c r="J144" s="9" t="str">
        <f>IFERROR(__xludf.DUMMYFUNCTION("IF(REGEXMATCH(TRIM(I144),""^[A-Za-z0-9._%+-]+@[A-Za-z0-9.-]+\.[A-Za-z]{2,}$""),""✅ Valid"",""❌ Invalid"")"),"✅ Valid")</f>
        <v>✅ Valid</v>
      </c>
      <c r="K144" s="13" t="s">
        <v>7818</v>
      </c>
      <c r="L144" s="2" t="str">
        <f>IFERROR(__xludf.DUMMYFUNCTION("IF(OR(K144=""N/A"", K144=""missing"", K144=""none""), """",
 REGEXREPLACE(
  SUBSTITUTE(SUBSTITUTE(SUBSTITUTE(TO_TEXT(K144), CHAR(160),""""), UNICHAR(8239),""""), UNICHAR(8201),""""),""[+\-/(): )]"", """"))"),"tel44084069359")</f>
        <v>tel44084069359</v>
      </c>
      <c r="M144" s="2" t="str">
        <f>IFERROR(__xludf.DUMMYFUNCTION("IF(L144="""","""", REGEXEXTRACT(REGEXREPLACE(L144,""x"", """"), ""[0-9]+""))"),"44084069359")</f>
        <v>44084069359</v>
      </c>
      <c r="N144" s="2" t="str">
        <f t="shared" si="67"/>
        <v>084069359</v>
      </c>
      <c r="O144" s="2" t="b">
        <f>IFERROR(__xludf.DUMMYFUNCTION("REGEXMATCH(TO_TEXT(N144), ""^07[1-57-9]"")"),FALSE)</f>
        <v>0</v>
      </c>
      <c r="P144" s="2">
        <f t="shared" si="68"/>
        <v>9</v>
      </c>
      <c r="Q144" s="9" t="str">
        <f t="shared" si="69"/>
        <v>❌ INVALID</v>
      </c>
      <c r="R144" s="10" t="s">
        <v>114</v>
      </c>
      <c r="S144" s="12">
        <v>44759.0</v>
      </c>
      <c r="T144" s="2" t="str">
        <f>IFERROR(__xludf.DUMMYFUNCTION("IF(ISNUMBER(S144),TEXT(S144,""yyyy-MM-dd""),REGEXREPLACE(REGEXREPLACE(TO_TEXT(S144),""[^0-9a-zA-Z]+"",""-""),""[^0-9]*$"",""""))"),"2022-07-17")</f>
        <v>2022-07-17</v>
      </c>
      <c r="U144" s="2" t="s">
        <v>6461</v>
      </c>
      <c r="Y144" s="10" t="s">
        <v>6461</v>
      </c>
    </row>
    <row r="145" ht="15.75" customHeight="1">
      <c r="A145" s="2" t="s">
        <v>7154</v>
      </c>
      <c r="B145" s="9" t="s">
        <v>7597</v>
      </c>
      <c r="C145" s="2" t="s">
        <v>726</v>
      </c>
      <c r="D145" s="10" t="str">
        <f>IFERROR(__xludf.DUMMYFUNCTION("PROPER(REGEXREPLACE(TRIM(C145),""\s+"","" ""))"),"Sam Novak")</f>
        <v>Sam Novak</v>
      </c>
      <c r="E145" s="2">
        <f>IFERROR(__xludf.DUMMYFUNCTION("IF(LEN(D145:D701),
  COUNTA(SPLIT(D145:D701,"" "")),
 """")"),2.0)</f>
        <v>2</v>
      </c>
      <c r="F145" s="9" t="str">
        <f t="shared" si="65"/>
        <v>✅</v>
      </c>
      <c r="G145" s="2" t="str">
        <f>IFERROR(__xludf.DUMMYFUNCTION("REGEXEXTRACT(PROPER(SUBSTITUTE(TRIM(I145),""."","" "")),""^[^@]+"")"),"Sam Novak")</f>
        <v>Sam Novak</v>
      </c>
      <c r="H145" s="10" t="str">
        <f t="shared" si="66"/>
        <v>sam.novak@outlook.com</v>
      </c>
      <c r="I145" s="2" t="s">
        <v>727</v>
      </c>
      <c r="J145" s="9" t="str">
        <f>IFERROR(__xludf.DUMMYFUNCTION("IF(REGEXMATCH(TRIM(I145),""^[A-Za-z0-9._%+-]+@[A-Za-z0-9.-]+\.[A-Za-z]{2,}$""),""✅ Valid"",""❌ Invalid"")"),"✅ Valid")</f>
        <v>✅ Valid</v>
      </c>
      <c r="K145" s="15" t="s">
        <v>7819</v>
      </c>
      <c r="L145" s="2" t="str">
        <f>IFERROR(__xludf.DUMMYFUNCTION("IF(K145=""N/A"", """",
 REGEXREPLACE(
  SUBSTITUTE(SUBSTITUTE(SUBSTITUTE(TO_TEXT(K145), CHAR(160),""""), UNICHAR(8239),""""), UNICHAR(8201),""""),""[+\-/(): )]"", """"))"),"4882878580")</f>
        <v>4882878580</v>
      </c>
      <c r="M145" s="2" t="str">
        <f>IFERROR(__xludf.DUMMYFUNCTION("IF(L145="""","""", REGEXEXTRACT(REGEXREPLACE(L145,""x"", """"), ""[0-9]+""))"),"4882878580")</f>
        <v>4882878580</v>
      </c>
      <c r="N145" s="2" t="str">
        <f>IF(LEFT(M145,2)="48", RIGHT(M145,LEN(M145)-2),M145)</f>
        <v>82878580</v>
      </c>
      <c r="O145" s="2" t="b">
        <f>IFERROR(__xludf.DUMMYFUNCTION("REGEXMATCH(TO_TEXT(N145), ""^(5[013679]|6[069]|7[2-9]|88)"")"),FALSE)</f>
        <v>0</v>
      </c>
      <c r="Q145" s="9" t="str">
        <f t="shared" ref="Q145:Q147" si="70">IF(AND(O145=TRUE, P145=9), "✅ VALID", "❌ INVALID")</f>
        <v>❌ INVALID</v>
      </c>
      <c r="R145" s="10" t="s">
        <v>25</v>
      </c>
      <c r="S145" s="12" t="s">
        <v>6950</v>
      </c>
      <c r="T145" s="2" t="str">
        <f>IFERROR(__xludf.DUMMYFUNCTION("IF(ISNUMBER(S145),TEXT(S145,""yyyy-MM-dd""),REGEXREPLACE(REGEXREPLACE(TO_TEXT(S145),""[^0-9a-zA-Z]+"",""-""),""[^0-9]*$"",""""))"),"45034-09-09")</f>
        <v>45034-09-09</v>
      </c>
      <c r="U145" s="2" t="str">
        <f>TEXT(T145,"yyyy-MM-dd")</f>
        <v>45034-09-09</v>
      </c>
      <c r="V145" s="2" t="str">
        <f>CONCATENATE(LEFT(U145,5))</f>
        <v>45034</v>
      </c>
      <c r="W145" s="14">
        <f>DATE(1900,1,1) + V145 - 1</f>
        <v>45035</v>
      </c>
      <c r="X145" s="2" t="s">
        <v>7820</v>
      </c>
      <c r="Y145" s="10" t="s">
        <v>7820</v>
      </c>
    </row>
    <row r="146" ht="15.75" customHeight="1">
      <c r="A146" s="2" t="s">
        <v>5710</v>
      </c>
      <c r="B146" s="9" t="s">
        <v>7597</v>
      </c>
      <c r="C146" s="2" t="s">
        <v>2859</v>
      </c>
      <c r="D146" s="10" t="str">
        <f>IFERROR(__xludf.DUMMYFUNCTION("PROPER(REGEXREPLACE(TRIM(C146),""\s+"","" ""))"),"Uma Kowalski")</f>
        <v>Uma Kowalski</v>
      </c>
      <c r="E146" s="2">
        <f>IFERROR(__xludf.DUMMYFUNCTION("IF(LEN(D146:D701),
  COUNTA(SPLIT(D146:D701,"" "")),
 """")"),2.0)</f>
        <v>2</v>
      </c>
      <c r="F146" s="9" t="str">
        <f t="shared" si="65"/>
        <v>✅</v>
      </c>
      <c r="G146" s="2" t="str">
        <f>IFERROR(__xludf.DUMMYFUNCTION("REGEXEXTRACT(PROPER(SUBSTITUTE(TRIM(I146),""."","" "")),""^[^@]+"")"),"Uma Kowalski")</f>
        <v>Uma Kowalski</v>
      </c>
      <c r="H146" s="10" t="str">
        <f t="shared" si="66"/>
        <v>uma.kowalski@example.com</v>
      </c>
      <c r="I146" s="2" t="s">
        <v>2860</v>
      </c>
      <c r="J146" s="9" t="str">
        <f>IFERROR(__xludf.DUMMYFUNCTION("IF(REGEXMATCH(TRIM(I146),""^[A-Za-z0-9._%+-]+@[A-Za-z0-9.-]+\.[A-Za-z]{2,}$""),""✅ Valid"",""❌ Invalid"")"),"✅ Valid")</f>
        <v>✅ Valid</v>
      </c>
      <c r="K146" s="13" t="s">
        <v>7821</v>
      </c>
      <c r="L146" s="2" t="str">
        <f>IFERROR(__xludf.DUMMYFUNCTION("IF(OR(K146=""N/A"", K146=""missing"", K146=""none""), """",
 REGEXREPLACE(
  SUBSTITUTE(SUBSTITUTE(SUBSTITUTE(TO_TEXT(K146), CHAR(160),""""), UNICHAR(8239),""""), UNICHAR(8201),""""),""[+\-/(): )]"", """"))"),"33933437576")</f>
        <v>33933437576</v>
      </c>
      <c r="M146" s="2" t="str">
        <f>IFERROR(__xludf.DUMMYFUNCTION("IF(L146="""","""", REGEXEXTRACT(REGEXREPLACE(L146,""x"", """"), ""[0-9]+""))"),"33933437576")</f>
        <v>33933437576</v>
      </c>
      <c r="N146" s="2" t="str">
        <f t="shared" ref="N146:N147" si="71">IF(LEFT(M146,2)="33", RIGHT(M146,LEN(M146)-2),M146)</f>
        <v>933437576</v>
      </c>
      <c r="O146" s="2" t="b">
        <f>IFERROR(__xludf.DUMMYFUNCTION("REGEXMATCH(TO_TEXT(N146), ""^0[67]"")"),FALSE)</f>
        <v>0</v>
      </c>
      <c r="P146" s="2">
        <f t="shared" ref="P146:P161" si="72">LEN(N146)</f>
        <v>9</v>
      </c>
      <c r="Q146" s="9" t="str">
        <f t="shared" si="70"/>
        <v>❌ INVALID</v>
      </c>
      <c r="R146" s="10" t="s">
        <v>58</v>
      </c>
      <c r="S146" s="12">
        <v>44930.0</v>
      </c>
      <c r="T146" s="2" t="str">
        <f>IFERROR(__xludf.DUMMYFUNCTION("IF(ISNUMBER(S146),TEXT(S146,""yyyy-MM-dd""),REGEXREPLACE(REGEXREPLACE(TO_TEXT(S146),""[^0-9a-zA-Z]+"",""-""),""[^0-9]*$"",""""))"),"2023-01-04")</f>
        <v>2023-01-04</v>
      </c>
      <c r="U146" s="2" t="s">
        <v>6425</v>
      </c>
      <c r="Y146" s="10" t="s">
        <v>6425</v>
      </c>
    </row>
    <row r="147" ht="15.75" customHeight="1">
      <c r="A147" s="2" t="s">
        <v>6742</v>
      </c>
      <c r="B147" s="9" t="s">
        <v>7597</v>
      </c>
      <c r="C147" s="2" t="s">
        <v>4934</v>
      </c>
      <c r="D147" s="10" t="str">
        <f>IFERROR(__xludf.DUMMYFUNCTION("PROPER(REGEXREPLACE(TRIM(C147),""\s+"","" ""))"),"Jade Walker")</f>
        <v>Jade Walker</v>
      </c>
      <c r="E147" s="2">
        <f>IFERROR(__xludf.DUMMYFUNCTION("IF(LEN(D147:D701),
  COUNTA(SPLIT(D147:D701,"" "")),
 """")"),2.0)</f>
        <v>2</v>
      </c>
      <c r="F147" s="9" t="str">
        <f t="shared" si="65"/>
        <v>✅</v>
      </c>
      <c r="G147" s="2" t="str">
        <f>IFERROR(__xludf.DUMMYFUNCTION("REGEXEXTRACT(PROPER(SUBSTITUTE(TRIM(I147),""."","" "")),""^[^@]+"")"),"Jade Walker")</f>
        <v>Jade Walker</v>
      </c>
      <c r="H147" s="10" t="str">
        <f t="shared" si="66"/>
        <v>jade.walker@gmail.com</v>
      </c>
      <c r="I147" s="2" t="s">
        <v>4935</v>
      </c>
      <c r="J147" s="9" t="str">
        <f>IFERROR(__xludf.DUMMYFUNCTION("IF(REGEXMATCH(TRIM(I147),""^[A-Za-z0-9._%+-]+@[A-Za-z0-9.-]+\.[A-Za-z]{2,}$""),""✅ Valid"",""❌ Invalid"")"),"✅ Valid")</f>
        <v>✅ Valid</v>
      </c>
      <c r="K147" s="13" t="s">
        <v>7822</v>
      </c>
      <c r="L147" s="2" t="str">
        <f>IFERROR(__xludf.DUMMYFUNCTION("IF(OR(K147=""N/A"", K147=""missing"", K147=""none""), """",
 REGEXREPLACE(
  SUBSTITUTE(SUBSTITUTE(SUBSTITUTE(TO_TEXT(K147), CHAR(160),""""), UNICHAR(8239),""""), UNICHAR(8201),""""),""[+\-/(): )]"", """"))"),"33367167153ext321")</f>
        <v>33367167153ext321</v>
      </c>
      <c r="M147" s="2" t="str">
        <f>IFERROR(__xludf.DUMMYFUNCTION("IF(L147="""","""", REGEXEXTRACT(REGEXREPLACE(L147,""x"", """"), ""[0-9]+""))"),"33367167153")</f>
        <v>33367167153</v>
      </c>
      <c r="N147" s="2" t="str">
        <f t="shared" si="71"/>
        <v>367167153</v>
      </c>
      <c r="O147" s="2" t="b">
        <f>IFERROR(__xludf.DUMMYFUNCTION("REGEXMATCH(TO_TEXT(N147), ""^0[67]"")"),FALSE)</f>
        <v>0</v>
      </c>
      <c r="P147" s="2">
        <f t="shared" si="72"/>
        <v>9</v>
      </c>
      <c r="Q147" s="9" t="str">
        <f t="shared" si="70"/>
        <v>❌ INVALID</v>
      </c>
      <c r="R147" s="10" t="s">
        <v>58</v>
      </c>
      <c r="S147" s="12">
        <v>44930.0</v>
      </c>
      <c r="T147" s="2" t="str">
        <f>IFERROR(__xludf.DUMMYFUNCTION("IF(ISNUMBER(S147),TEXT(S147,""yyyy-MM-dd""),REGEXREPLACE(REGEXREPLACE(TO_TEXT(S147),""[^0-9a-zA-Z]+"",""-""),""[^0-9]*$"",""""))"),"2023-01-04")</f>
        <v>2023-01-04</v>
      </c>
      <c r="U147" s="2" t="s">
        <v>6425</v>
      </c>
      <c r="Y147" s="10" t="s">
        <v>6425</v>
      </c>
    </row>
    <row r="148" ht="15.75" customHeight="1">
      <c r="A148" s="2" t="s">
        <v>2794</v>
      </c>
      <c r="B148" s="9" t="s">
        <v>7597</v>
      </c>
      <c r="C148" s="2" t="s">
        <v>2237</v>
      </c>
      <c r="D148" s="10" t="str">
        <f>IFERROR(__xludf.DUMMYFUNCTION("PROPER(REGEXREPLACE(TRIM(C148),""\s+"","" ""))"),"Nina Kowalski")</f>
        <v>Nina Kowalski</v>
      </c>
      <c r="E148" s="2">
        <f>IFERROR(__xludf.DUMMYFUNCTION("IF(LEN(D148:D701),
  COUNTA(SPLIT(D148:D701,"" "")),
 """")"),2.0)</f>
        <v>2</v>
      </c>
      <c r="F148" s="9" t="str">
        <f t="shared" si="65"/>
        <v>✅</v>
      </c>
      <c r="G148" s="2" t="str">
        <f>IFERROR(__xludf.DUMMYFUNCTION("REGEXEXTRACT(PROPER(SUBSTITUTE(TRIM(I148),""."","" "")),""^[^@]+"")"),"Nina Kowalski")</f>
        <v>Nina Kowalski</v>
      </c>
      <c r="H148" s="10" t="str">
        <f t="shared" si="66"/>
        <v>nina.kowalski@gmail.com</v>
      </c>
      <c r="I148" s="2" t="s">
        <v>2238</v>
      </c>
      <c r="J148" s="9" t="str">
        <f>IFERROR(__xludf.DUMMYFUNCTION("IF(REGEXMATCH(TRIM(I148),""^[A-Za-z0-9._%+-]+@[A-Za-z0-9.-]+\.[A-Za-z]{2,}$""),""✅ Valid"",""❌ Invalid"")"),"✅ Valid")</f>
        <v>✅ Valid</v>
      </c>
      <c r="K148" s="13" t="s">
        <v>7823</v>
      </c>
      <c r="L148" s="2" t="str">
        <f>IFERROR(__xludf.DUMMYFUNCTION("IF(OR(K148=""N/A"", K148=""missing"", K148=""none""), """",
 REGEXREPLACE(
  SUBSTITUTE(SUBSTITUTE(SUBSTITUTE(TO_TEXT(K148), CHAR(160),""""), UNICHAR(8239),""""), UNICHAR(8201),""""),""[+\-/(): )]"", """"))"),"353942950663")</f>
        <v>353942950663</v>
      </c>
      <c r="M148" s="2" t="str">
        <f>IFERROR(__xludf.DUMMYFUNCTION("IF(L148="""","""", REGEXEXTRACT(REGEXREPLACE(L148,""x"", """"), ""[0-9]+""))"),"353942950663")</f>
        <v>353942950663</v>
      </c>
      <c r="N148" s="2" t="str">
        <f>IF(LEFT(M148,3)="353", RIGHT(M148,LEN(M148)-3),M148)</f>
        <v>942950663</v>
      </c>
      <c r="O148" s="2" t="b">
        <f>IFERROR(__xludf.DUMMYFUNCTION("REGEXMATCH(TO_TEXT(N148), ""^0(83|85|86|87|89)"")"),FALSE)</f>
        <v>0</v>
      </c>
      <c r="P148" s="2">
        <f t="shared" si="72"/>
        <v>9</v>
      </c>
      <c r="Q148" s="9" t="str">
        <f>IF(AND(O148=TRUE, P145=10), "✅ VALID", "❌ INVALID")</f>
        <v>❌ INVALID</v>
      </c>
      <c r="R148" s="10" t="s">
        <v>1177</v>
      </c>
      <c r="S148" s="12">
        <v>44753.0</v>
      </c>
      <c r="T148" s="2" t="str">
        <f>IFERROR(__xludf.DUMMYFUNCTION("IF(ISNUMBER(S148),TEXT(S148,""yyyy-MM-dd""),REGEXREPLACE(REGEXREPLACE(TO_TEXT(S148),""[^0-9a-zA-Z]+"",""-""),""[^0-9]*$"",""""))"),"2022-07-11")</f>
        <v>2022-07-11</v>
      </c>
      <c r="U148" s="2" t="s">
        <v>6686</v>
      </c>
      <c r="Y148" s="10" t="s">
        <v>6686</v>
      </c>
    </row>
    <row r="149" ht="15.75" customHeight="1">
      <c r="A149" s="2" t="s">
        <v>4215</v>
      </c>
      <c r="B149" s="9" t="s">
        <v>7597</v>
      </c>
      <c r="C149" s="2" t="s">
        <v>7155</v>
      </c>
      <c r="D149" s="10" t="str">
        <f>IFERROR(__xludf.DUMMYFUNCTION("PROPER(REGEXREPLACE(TRIM(C149),""\s+"","" ""))"),"Fiona Dubois")</f>
        <v>Fiona Dubois</v>
      </c>
      <c r="E149" s="2">
        <f>IFERROR(__xludf.DUMMYFUNCTION("IF(LEN(D149:D701),
  COUNTA(SPLIT(D149:D701,"" "")),
 """")"),2.0)</f>
        <v>2</v>
      </c>
      <c r="F149" s="9" t="str">
        <f t="shared" si="65"/>
        <v>✅</v>
      </c>
      <c r="G149" s="2" t="str">
        <f>IFERROR(__xludf.DUMMYFUNCTION("REGEXEXTRACT(PROPER(SUBSTITUTE(TRIM(I149),""."","" "")),""^[^@]+"")"),"Fiona Dubois")</f>
        <v>Fiona Dubois</v>
      </c>
      <c r="H149" s="10" t="str">
        <f t="shared" si="66"/>
        <v>fiona.dubois@yahoo.com</v>
      </c>
      <c r="I149" s="2" t="s">
        <v>7156</v>
      </c>
      <c r="J149" s="9" t="str">
        <f>IFERROR(__xludf.DUMMYFUNCTION("IF(REGEXMATCH(TRIM(I149),""^[A-Za-z0-9._%+-]+@[A-Za-z0-9.-]+\.[A-Za-z]{2,}$""),""✅ Valid"",""❌ Invalid"")"),"✅ Valid")</f>
        <v>✅ Valid</v>
      </c>
      <c r="K149" s="13" t="s">
        <v>7824</v>
      </c>
      <c r="L149" s="2" t="str">
        <f>IFERROR(__xludf.DUMMYFUNCTION("IF(OR(K149=""N/A"", K149=""missing"", K149=""none""), """",
 REGEXREPLACE(
  SUBSTITUTE(SUBSTITUTE(SUBSTITUTE(TO_TEXT(K149), CHAR(160),""""), UNICHAR(8239),""""), UNICHAR(8201),""""),""[+\-/(): )]"", """"))"),"301523846")</f>
        <v>301523846</v>
      </c>
      <c r="M149" s="2" t="str">
        <f>IFERROR(__xludf.DUMMYFUNCTION("IF(L149="""","""", REGEXEXTRACT(REGEXREPLACE(L149,""x"", """"), ""[0-9]+""))"),"301523846")</f>
        <v>301523846</v>
      </c>
      <c r="N149" s="2" t="str">
        <f>IF(LEFT(M149,2)="39", RIGHT(M149,LEN(M149)-2),M149)</f>
        <v>301523846</v>
      </c>
      <c r="O149" s="2" t="b">
        <f>IFERROR(__xludf.DUMMYFUNCTION("REGEXMATCH(TO_TEXT(N149), ""^3"")"),TRUE)</f>
        <v>1</v>
      </c>
      <c r="P149" s="2">
        <f t="shared" si="72"/>
        <v>9</v>
      </c>
      <c r="Q149" s="9" t="str">
        <f>IF(AND(O149=TRUE,OR(P149=9, P149=10 )), "✅ VALID", "❌ INVALID")</f>
        <v>✅ VALID</v>
      </c>
      <c r="R149" s="10" t="s">
        <v>785</v>
      </c>
      <c r="S149" s="12">
        <v>45692.0</v>
      </c>
      <c r="T149" s="2" t="str">
        <f>IFERROR(__xludf.DUMMYFUNCTION("IF(ISNUMBER(S149),TEXT(S149,""yyyy-MM-dd""),REGEXREPLACE(REGEXREPLACE(TO_TEXT(S149),""[^0-9a-zA-Z]+"",""-""),""[^0-9]*$"",""""))"),"2025-02-04")</f>
        <v>2025-02-04</v>
      </c>
      <c r="U149" s="2" t="s">
        <v>7825</v>
      </c>
      <c r="Y149" s="10" t="s">
        <v>7825</v>
      </c>
    </row>
    <row r="150" ht="15.75" customHeight="1">
      <c r="A150" s="2" t="s">
        <v>2594</v>
      </c>
      <c r="B150" s="9" t="s">
        <v>7597</v>
      </c>
      <c r="C150" s="2" t="s">
        <v>5711</v>
      </c>
      <c r="D150" s="10" t="str">
        <f>IFERROR(__xludf.DUMMYFUNCTION("PROPER(REGEXREPLACE(TRIM(C150),""\s+"","" ""))"),"Sam Novak")</f>
        <v>Sam Novak</v>
      </c>
      <c r="E150" s="2">
        <f>IFERROR(__xludf.DUMMYFUNCTION("IF(LEN(D150:D701),
  COUNTA(SPLIT(D150:D701,"" "")),
 """")"),2.0)</f>
        <v>2</v>
      </c>
      <c r="F150" s="9" t="str">
        <f t="shared" si="65"/>
        <v>✅</v>
      </c>
      <c r="G150" s="2" t="str">
        <f>IFERROR(__xludf.DUMMYFUNCTION("REGEXEXTRACT(PROPER(SUBSTITUTE(TRIM(I150),""."","" "")),""^[^@]+"")"),"Sam Novak")</f>
        <v>Sam Novak</v>
      </c>
      <c r="H150" s="10" t="str">
        <f t="shared" si="66"/>
        <v>sam.novak@yahoo.com</v>
      </c>
      <c r="I150" s="2" t="s">
        <v>5712</v>
      </c>
      <c r="J150" s="9" t="str">
        <f>IFERROR(__xludf.DUMMYFUNCTION("IF(REGEXMATCH(TRIM(I150),""^[A-Za-z0-9._%+-]+@[A-Za-z0-9.-]+\.[A-Za-z]{2,}$""),""✅ Valid"",""❌ Invalid"")"),"✅ Valid")</f>
        <v>✅ Valid</v>
      </c>
      <c r="K150" s="11">
        <v>8.45646404E8</v>
      </c>
      <c r="L150" s="2" t="str">
        <f>IFERROR(__xludf.DUMMYFUNCTION("IF(OR(K150=""N/A"", K150=""missing"", K150=""none""), """",
 REGEXREPLACE(
  SUBSTITUTE(SUBSTITUTE(SUBSTITUTE(TO_TEXT(K150), CHAR(160),""""), UNICHAR(8239),""""), UNICHAR(8201),""""),""[+\-/(): )]"", """"))"),"845646404")</f>
        <v>845646404</v>
      </c>
      <c r="M150" s="2" t="str">
        <f>IFERROR(__xludf.DUMMYFUNCTION("IF(L150="""","""", REGEXEXTRACT(REGEXREPLACE(L150,""x"", """"), ""[0-9]+""))"),"845646404")</f>
        <v>845646404</v>
      </c>
      <c r="N150" s="2" t="str">
        <f>IF(LEFT(M150,1)="1", RIGHT(M150,LEN(M150)-1),M150)</f>
        <v>845646404</v>
      </c>
      <c r="O150" s="2" t="b">
        <f>IFERROR(__xludf.DUMMYFUNCTION("REGEXMATCH(TO_TEXT(N150), ""^[2-9][0-9]{9}$"")"),FALSE)</f>
        <v>0</v>
      </c>
      <c r="P150" s="2">
        <f t="shared" si="72"/>
        <v>9</v>
      </c>
      <c r="Q150" s="9" t="str">
        <f>IF(AND(O150=TRUE, P150=10), "✅ VALID", "❌ INVALID")</f>
        <v>❌ INVALID</v>
      </c>
      <c r="R150" s="10" t="s">
        <v>199</v>
      </c>
      <c r="S150" s="12">
        <v>45341.0</v>
      </c>
      <c r="T150" s="2" t="str">
        <f>IFERROR(__xludf.DUMMYFUNCTION("IF(ISNUMBER(S150),TEXT(S150,""yyyy-MM-dd""),REGEXREPLACE(REGEXREPLACE(TO_TEXT(S150),""[^0-9a-zA-Z]+"",""-""),""[^0-9]*$"",""""))"),"2024-02-19")</f>
        <v>2024-02-19</v>
      </c>
      <c r="U150" s="2" t="s">
        <v>7826</v>
      </c>
      <c r="Y150" s="10" t="s">
        <v>7826</v>
      </c>
    </row>
    <row r="151" ht="15.75" customHeight="1">
      <c r="A151" s="2" t="s">
        <v>2998</v>
      </c>
      <c r="B151" s="9" t="s">
        <v>7597</v>
      </c>
      <c r="C151" s="2" t="s">
        <v>6743</v>
      </c>
      <c r="D151" s="10" t="str">
        <f>IFERROR(__xludf.DUMMYFUNCTION("PROPER(REGEXREPLACE(TRIM(C151),""\s+"","" ""))"),"Sam Muller")</f>
        <v>Sam Muller</v>
      </c>
      <c r="E151" s="2">
        <f>IFERROR(__xludf.DUMMYFUNCTION("IF(LEN(D151:D701),
  COUNTA(SPLIT(D151:D701,"" "")),
 """")"),2.0)</f>
        <v>2</v>
      </c>
      <c r="F151" s="9" t="str">
        <f t="shared" si="65"/>
        <v>✅</v>
      </c>
      <c r="G151" s="2" t="str">
        <f>IFERROR(__xludf.DUMMYFUNCTION("REGEXEXTRACT(PROPER(SUBSTITUTE(TRIM(I151),""."","" "")),""^[^@]+"")"),"Sam Muller")</f>
        <v>Sam Muller</v>
      </c>
      <c r="H151" s="10" t="str">
        <f t="shared" si="66"/>
        <v>sam.muller@gmail.com</v>
      </c>
      <c r="I151" s="2" t="s">
        <v>6744</v>
      </c>
      <c r="J151" s="9" t="str">
        <f>IFERROR(__xludf.DUMMYFUNCTION("IF(REGEXMATCH(TRIM(I151),""^[A-Za-z0-9._%+-]+@[A-Za-z0-9.-]+\.[A-Za-z]{2,}$""),""✅ Valid"",""❌ Invalid"")"),"✅ Valid")</f>
        <v>✅ Valid</v>
      </c>
      <c r="K151" s="13" t="s">
        <v>7827</v>
      </c>
      <c r="L151" s="2" t="str">
        <f>IFERROR(__xludf.DUMMYFUNCTION("IF(OR(K151=""N/A"", K151=""missing"", K151=""none""), """",
 REGEXREPLACE(
  SUBSTITUTE(SUBSTITUTE(SUBSTITUTE(TO_TEXT(K151), CHAR(160),""""), UNICHAR(8239),""""), UNICHAR(8201),""""),""[+\-/(): )]"", """"))"),"4494768617431")</f>
        <v>4494768617431</v>
      </c>
      <c r="M151" s="2" t="str">
        <f>IFERROR(__xludf.DUMMYFUNCTION("IF(L151="""","""", REGEXEXTRACT(REGEXREPLACE(L151,""x"", """"), ""[0-9]+""))"),"4494768617431")</f>
        <v>4494768617431</v>
      </c>
      <c r="N151" s="2" t="str">
        <f>IF(LEFT(M151,2)="44", RIGHT(M151,LEN(M151)-2),M151)</f>
        <v>94768617431</v>
      </c>
      <c r="O151" s="2" t="b">
        <f>IFERROR(__xludf.DUMMYFUNCTION("REGEXMATCH(TO_TEXT(N151), ""^07[1-57-9]"")"),FALSE)</f>
        <v>0</v>
      </c>
      <c r="P151" s="2">
        <f t="shared" si="72"/>
        <v>11</v>
      </c>
      <c r="Q151" s="9" t="str">
        <f>IF(AND(O151=TRUE, P151=11), "✅ VALID", "❌ INVALID")</f>
        <v>❌ INVALID</v>
      </c>
      <c r="R151" s="10" t="s">
        <v>114</v>
      </c>
      <c r="S151" s="12" t="s">
        <v>6977</v>
      </c>
      <c r="T151" s="2" t="str">
        <f>IFERROR(__xludf.DUMMYFUNCTION("IF(ISNUMBER(S151),TEXT(S151,""yyyy-MM-dd""),REGEXREPLACE(REGEXREPLACE(TO_TEXT(S151),""[^0-9a-zA-Z]+"",""-""),""[^0-9]*$"",""""))"),"02-05-2025")</f>
        <v>02-05-2025</v>
      </c>
      <c r="U151" s="2" t="s">
        <v>7828</v>
      </c>
      <c r="Y151" s="10" t="s">
        <v>7828</v>
      </c>
    </row>
    <row r="152" ht="15.75" customHeight="1">
      <c r="A152" s="2" t="s">
        <v>624</v>
      </c>
      <c r="B152" s="9" t="s">
        <v>7597</v>
      </c>
      <c r="C152" s="2" t="s">
        <v>2180</v>
      </c>
      <c r="D152" s="10" t="str">
        <f>IFERROR(__xludf.DUMMYFUNCTION("PROPER(REGEXREPLACE(TRIM(C152),""\s+"","" ""))"),"Hanna Brown")</f>
        <v>Hanna Brown</v>
      </c>
      <c r="E152" s="2">
        <f>IFERROR(__xludf.DUMMYFUNCTION("IF(LEN(D152:D701),
  COUNTA(SPLIT(D152:D701,"" "")),
 """")"),2.0)</f>
        <v>2</v>
      </c>
      <c r="F152" s="9" t="str">
        <f t="shared" si="65"/>
        <v>✅</v>
      </c>
      <c r="G152" s="2" t="str">
        <f>IFERROR(__xludf.DUMMYFUNCTION("REGEXEXTRACT(PROPER(SUBSTITUTE(TRIM(I152),""."","" "")),""^[^@]+"")"),"Hanna Brown")</f>
        <v>Hanna Brown</v>
      </c>
      <c r="H152" s="10" t="str">
        <f t="shared" si="66"/>
        <v>hanna.brown@shop.io</v>
      </c>
      <c r="I152" s="2" t="s">
        <v>2795</v>
      </c>
      <c r="J152" s="9" t="str">
        <f>IFERROR(__xludf.DUMMYFUNCTION("IF(REGEXMATCH(TRIM(I152),""^[A-Za-z0-9._%+-]+@[A-Za-z0-9.-]+\.[A-Za-z]{2,}$""),""✅ Valid"",""❌ Invalid"")"),"✅ Valid")</f>
        <v>✅ Valid</v>
      </c>
      <c r="K152" s="15" t="s">
        <v>7829</v>
      </c>
      <c r="L152" s="2" t="str">
        <f>IFERROR(__xludf.DUMMYFUNCTION("IF(K152=""N/A"", """",
 REGEXREPLACE(
  SUBSTITUTE(SUBSTITUTE(SUBSTITUTE(TO_TEXT(K152), CHAR(160),""""), UNICHAR(8239),""""), UNICHAR(8201),""""),""[+\-/(): )]"", """"))"),"48573868314ext11")</f>
        <v>48573868314ext11</v>
      </c>
      <c r="M152" s="2" t="str">
        <f>IFERROR(__xludf.DUMMYFUNCTION("IF(L152="""","""", REGEXEXTRACT(REGEXREPLACE(L152,""x"", """"), ""[0-9]+""))"),"48573868314")</f>
        <v>48573868314</v>
      </c>
      <c r="N152" s="2" t="str">
        <f>IF(LEFT(M152,2)="48", RIGHT(M152,LEN(M152)-2),M152)</f>
        <v>573868314</v>
      </c>
      <c r="O152" s="2" t="b">
        <f>IFERROR(__xludf.DUMMYFUNCTION("REGEXMATCH(TO_TEXT(N152), ""^(5[013679]|6[069]|7[2-9]|88)"")"),TRUE)</f>
        <v>1</v>
      </c>
      <c r="P152" s="2">
        <f t="shared" si="72"/>
        <v>9</v>
      </c>
      <c r="Q152" s="9" t="str">
        <f>IF(AND(O152=TRUE, P152=9), "✅ VALID", "❌ INVALID")</f>
        <v>✅ VALID</v>
      </c>
      <c r="R152" s="10" t="s">
        <v>25</v>
      </c>
      <c r="S152" s="12">
        <v>44570.061111111114</v>
      </c>
      <c r="T152" s="2" t="str">
        <f>IFERROR(__xludf.DUMMYFUNCTION("IF(ISNUMBER(S152),TEXT(S152,""yyyy-MM-dd""),REGEXREPLACE(REGEXREPLACE(TO_TEXT(S152),""[^0-9a-zA-Z]+"",""-""),""[^0-9]*$"",""""))"),"2022-01-09")</f>
        <v>2022-01-09</v>
      </c>
      <c r="U152" s="2" t="s">
        <v>7830</v>
      </c>
      <c r="Y152" s="10" t="s">
        <v>7830</v>
      </c>
    </row>
    <row r="153" ht="15.75" customHeight="1">
      <c r="A153" s="2" t="s">
        <v>961</v>
      </c>
      <c r="B153" s="9" t="s">
        <v>7597</v>
      </c>
      <c r="C153" s="2" t="s">
        <v>4216</v>
      </c>
      <c r="D153" s="10" t="str">
        <f>IFERROR(__xludf.DUMMYFUNCTION("PROPER(REGEXREPLACE(TRIM(C153),""\s+"","" ""))"),"Fiona Taylor")</f>
        <v>Fiona Taylor</v>
      </c>
      <c r="E153" s="2">
        <f>IFERROR(__xludf.DUMMYFUNCTION("IF(LEN(D153:D701),
  COUNTA(SPLIT(D153:D701,"" "")),
 """")"),2.0)</f>
        <v>2</v>
      </c>
      <c r="F153" s="9" t="str">
        <f t="shared" si="65"/>
        <v>✅</v>
      </c>
      <c r="G153" s="2" t="str">
        <f>IFERROR(__xludf.DUMMYFUNCTION("REGEXEXTRACT(PROPER(SUBSTITUTE(TRIM(I153),""."","" "")),""^[^@]+"")"),"Fiona Taylor")</f>
        <v>Fiona Taylor</v>
      </c>
      <c r="H153" s="10" t="str">
        <f t="shared" si="66"/>
        <v>fiona.taylor@outlook.com</v>
      </c>
      <c r="I153" s="2" t="s">
        <v>4217</v>
      </c>
      <c r="J153" s="9" t="str">
        <f>IFERROR(__xludf.DUMMYFUNCTION("IF(REGEXMATCH(TRIM(I153),""^[A-Za-z0-9._%+-]+@[A-Za-z0-9.-]+\.[A-Za-z]{2,}$""),""✅ Valid"",""❌ Invalid"")"),"✅ Valid")</f>
        <v>✅ Valid</v>
      </c>
      <c r="K153" s="13" t="s">
        <v>7831</v>
      </c>
      <c r="L153" s="2" t="str">
        <f>IFERROR(__xludf.DUMMYFUNCTION("IF(OR(K153=""N/A"", K153=""missing"", K153=""none""), """",
 REGEXREPLACE(
  SUBSTITUTE(SUBSTITUTE(SUBSTITUTE(TO_TEXT(K153), CHAR(160),""""), UNICHAR(8239),""""), UNICHAR(8201),""""),""[+\-/(): )]"", """"))"),"353886768661")</f>
        <v>353886768661</v>
      </c>
      <c r="M153" s="2" t="str">
        <f>IFERROR(__xludf.DUMMYFUNCTION("IF(L153="""","""", REGEXEXTRACT(REGEXREPLACE(L153,""x"", """"), ""[0-9]+""))"),"353886768661")</f>
        <v>353886768661</v>
      </c>
      <c r="N153" s="2" t="str">
        <f>IF(LEFT(M153,3)="353", RIGHT(M153,LEN(M153)-3),M153)</f>
        <v>886768661</v>
      </c>
      <c r="O153" s="2" t="b">
        <f>IFERROR(__xludf.DUMMYFUNCTION("REGEXMATCH(TO_TEXT(N153), ""^0(83|85|86|87|89)"")"),FALSE)</f>
        <v>0</v>
      </c>
      <c r="P153" s="2">
        <f t="shared" si="72"/>
        <v>9</v>
      </c>
      <c r="Q153" s="9" t="str">
        <f>IF(AND(O153=TRUE, P150=10), "✅ VALID", "❌ INVALID")</f>
        <v>❌ INVALID</v>
      </c>
      <c r="R153" s="10" t="s">
        <v>1177</v>
      </c>
      <c r="S153" s="12">
        <v>45798.0</v>
      </c>
      <c r="T153" s="2" t="str">
        <f>IFERROR(__xludf.DUMMYFUNCTION("IF(ISNUMBER(S153),TEXT(S153,""yyyy-MM-dd""),REGEXREPLACE(REGEXREPLACE(TO_TEXT(S153),""[^0-9a-zA-Z]+"",""-""),""[^0-9]*$"",""""))"),"2025-05-21")</f>
        <v>2025-05-21</v>
      </c>
      <c r="U153" s="2" t="s">
        <v>7832</v>
      </c>
      <c r="Y153" s="10" t="s">
        <v>7832</v>
      </c>
    </row>
    <row r="154" ht="15.75" customHeight="1">
      <c r="A154" s="2" t="s">
        <v>2016</v>
      </c>
      <c r="B154" s="9" t="s">
        <v>7597</v>
      </c>
      <c r="C154" s="2" t="s">
        <v>2595</v>
      </c>
      <c r="D154" s="10" t="str">
        <f>IFERROR(__xludf.DUMMYFUNCTION("PROPER(REGEXREPLACE(TRIM(C154),""\s+"","" ""))"),"Yara Nowak")</f>
        <v>Yara Nowak</v>
      </c>
      <c r="E154" s="2">
        <f>IFERROR(__xludf.DUMMYFUNCTION("IF(LEN(D154:D701),
  COUNTA(SPLIT(D154:D701,"" "")),
 """")"),2.0)</f>
        <v>2</v>
      </c>
      <c r="F154" s="9" t="str">
        <f t="shared" si="65"/>
        <v>✅</v>
      </c>
      <c r="G154" s="2" t="str">
        <f>IFERROR(__xludf.DUMMYFUNCTION("REGEXEXTRACT(PROPER(SUBSTITUTE(TRIM(I154),""."","" "")),""^[^@]+"")"),"Yara Nowak")</f>
        <v>Yara Nowak</v>
      </c>
      <c r="H154" s="10" t="str">
        <f t="shared" si="66"/>
        <v>yara.nowak@yahoo.com</v>
      </c>
      <c r="I154" s="2" t="s">
        <v>2596</v>
      </c>
      <c r="J154" s="9" t="str">
        <f>IFERROR(__xludf.DUMMYFUNCTION("IF(REGEXMATCH(TRIM(I154),""^[A-Za-z0-9._%+-]+@[A-Za-z0-9.-]+\.[A-Za-z]{2,}$""),""✅ Valid"",""❌ Invalid"")"),"✅ Valid")</f>
        <v>✅ Valid</v>
      </c>
      <c r="K154" s="13" t="s">
        <v>7833</v>
      </c>
      <c r="L154" s="2" t="str">
        <f>IFERROR(__xludf.DUMMYFUNCTION("IF(OR(K154=""N/A"", K154=""missing"", K154=""none""), """",
 REGEXREPLACE(
  SUBSTITUTE(SUBSTITUTE(SUBSTITUTE(TO_TEXT(K154), CHAR(160),""""), UNICHAR(8239),""""), UNICHAR(8201),""""),""[+\-/(): )]"", """"))"),"tel59830076")</f>
        <v>tel59830076</v>
      </c>
      <c r="M154" s="2" t="str">
        <f>IFERROR(__xludf.DUMMYFUNCTION("IF(L154="""","""", REGEXEXTRACT(REGEXREPLACE(L154,""x"", """"), ""[0-9]+""))"),"59830076")</f>
        <v>59830076</v>
      </c>
      <c r="N154" s="2" t="str">
        <f>IF(LEFT(M154,2)="34", RIGHT(M154,LEN(M154)-2),M154)</f>
        <v>59830076</v>
      </c>
      <c r="O154" s="2" t="b">
        <f>IFERROR(__xludf.DUMMYFUNCTION("REGEXMATCH(TO_TEXT(N154), ""^[67]"")"),FALSE)</f>
        <v>0</v>
      </c>
      <c r="P154" s="2">
        <f t="shared" si="72"/>
        <v>8</v>
      </c>
      <c r="Q154" s="9" t="str">
        <f t="shared" ref="Q154:Q155" si="73">IF(AND(O154=TRUE, P154=9), "✅ VALID", "❌ INVALID")</f>
        <v>❌ INVALID</v>
      </c>
      <c r="R154" s="10" t="s">
        <v>139</v>
      </c>
      <c r="S154" s="12">
        <v>45188.0</v>
      </c>
      <c r="T154" s="2" t="str">
        <f>IFERROR(__xludf.DUMMYFUNCTION("IF(ISNUMBER(S154),TEXT(S154,""yyyy-MM-dd""),REGEXREPLACE(REGEXREPLACE(TO_TEXT(S154),""[^0-9a-zA-Z]+"",""-""),""[^0-9]*$"",""""))"),"2023-09-19")</f>
        <v>2023-09-19</v>
      </c>
      <c r="U154" s="2" t="s">
        <v>7834</v>
      </c>
      <c r="Y154" s="10" t="s">
        <v>7834</v>
      </c>
    </row>
    <row r="155" ht="15.75" customHeight="1">
      <c r="A155" s="2" t="s">
        <v>1986</v>
      </c>
      <c r="B155" s="9" t="s">
        <v>7597</v>
      </c>
      <c r="C155" s="2" t="s">
        <v>428</v>
      </c>
      <c r="D155" s="10" t="str">
        <f>IFERROR(__xludf.DUMMYFUNCTION("PROPER(REGEXREPLACE(TRIM(C155),""\s+"","" ""))"),"Zack Brown")</f>
        <v>Zack Brown</v>
      </c>
      <c r="E155" s="2">
        <f>IFERROR(__xludf.DUMMYFUNCTION("IF(LEN(D155:D701),
  COUNTA(SPLIT(D155:D701,"" "")),
 """")"),2.0)</f>
        <v>2</v>
      </c>
      <c r="F155" s="9" t="str">
        <f t="shared" si="65"/>
        <v>✅</v>
      </c>
      <c r="G155" s="2" t="str">
        <f>IFERROR(__xludf.DUMMYFUNCTION("REGEXEXTRACT(PROPER(SUBSTITUTE(TRIM(I155),""."","" "")),""^[^@]+"")"),"Zack Brown")</f>
        <v>Zack Brown</v>
      </c>
      <c r="H155" s="10" t="str">
        <f t="shared" si="66"/>
        <v>zack.brown@gmail.com</v>
      </c>
      <c r="I155" s="2" t="s">
        <v>2999</v>
      </c>
      <c r="J155" s="9" t="str">
        <f>IFERROR(__xludf.DUMMYFUNCTION("IF(REGEXMATCH(TRIM(I155),""^[A-Za-z0-9._%+-]+@[A-Za-z0-9.-]+\.[A-Za-z]{2,}$""),""✅ Valid"",""❌ Invalid"")"),"✅ Valid")</f>
        <v>✅ Valid</v>
      </c>
      <c r="K155" s="13" t="s">
        <v>7835</v>
      </c>
      <c r="L155" s="2" t="str">
        <f>IFERROR(__xludf.DUMMYFUNCTION("IF(OR(K155=""N/A"", K155=""missing"", K155=""none""), """",
 REGEXREPLACE(
  SUBSTITUTE(SUBSTITUTE(SUBSTITUTE(TO_TEXT(K155), CHAR(160),""""), UNICHAR(8239),""""), UNICHAR(8201),""""),""[+\-/(): )]"", """"))"),"tel33920840753")</f>
        <v>tel33920840753</v>
      </c>
      <c r="M155" s="2" t="str">
        <f>IFERROR(__xludf.DUMMYFUNCTION("IF(L155="""","""", REGEXEXTRACT(REGEXREPLACE(L155,""x"", """"), ""[0-9]+""))"),"33920840753")</f>
        <v>33920840753</v>
      </c>
      <c r="N155" s="2" t="str">
        <f>IF(LEFT(M155,2)="33", RIGHT(M155,LEN(M155)-2),M155)</f>
        <v>920840753</v>
      </c>
      <c r="O155" s="2" t="b">
        <f>IFERROR(__xludf.DUMMYFUNCTION("REGEXMATCH(TO_TEXT(N155), ""^0[67]"")"),FALSE)</f>
        <v>0</v>
      </c>
      <c r="P155" s="2">
        <f t="shared" si="72"/>
        <v>9</v>
      </c>
      <c r="Q155" s="9" t="str">
        <f t="shared" si="73"/>
        <v>❌ INVALID</v>
      </c>
      <c r="R155" s="10" t="s">
        <v>58</v>
      </c>
      <c r="S155" s="12">
        <v>45449.0</v>
      </c>
      <c r="T155" s="2" t="str">
        <f>IFERROR(__xludf.DUMMYFUNCTION("IF(ISNUMBER(S155),TEXT(S155,""yyyy-MM-dd""),REGEXREPLACE(REGEXREPLACE(TO_TEXT(S155),""[^0-9a-zA-Z]+"",""-""),""[^0-9]*$"",""""))"),"2024-06-06")</f>
        <v>2024-06-06</v>
      </c>
      <c r="U155" s="2" t="s">
        <v>7836</v>
      </c>
      <c r="Y155" s="10" t="s">
        <v>7836</v>
      </c>
    </row>
    <row r="156" ht="15.75" customHeight="1">
      <c r="A156" s="2" t="s">
        <v>3094</v>
      </c>
      <c r="B156" s="9" t="s">
        <v>7597</v>
      </c>
      <c r="C156" s="2" t="s">
        <v>625</v>
      </c>
      <c r="D156" s="10" t="str">
        <f>IFERROR(__xludf.DUMMYFUNCTION("PROPER(REGEXREPLACE(TRIM(C156),""\s+"","" ""))"),"Gabe Davis")</f>
        <v>Gabe Davis</v>
      </c>
      <c r="E156" s="2">
        <f>IFERROR(__xludf.DUMMYFUNCTION("IF(LEN(D156:D701),
  COUNTA(SPLIT(D156:D701,"" "")),
 """")"),2.0)</f>
        <v>2</v>
      </c>
      <c r="F156" s="9" t="str">
        <f t="shared" si="65"/>
        <v>✅</v>
      </c>
      <c r="G156" s="2" t="str">
        <f>IFERROR(__xludf.DUMMYFUNCTION("REGEXEXTRACT(PROPER(SUBSTITUTE(TRIM(I156),""."","" "")),""^[^@]+"")"),"Gabe Davis")</f>
        <v>Gabe Davis</v>
      </c>
      <c r="H156" s="10" t="str">
        <f t="shared" si="66"/>
        <v>gabe.davis@yahoo.com</v>
      </c>
      <c r="I156" s="2" t="s">
        <v>626</v>
      </c>
      <c r="J156" s="9" t="str">
        <f>IFERROR(__xludf.DUMMYFUNCTION("IF(REGEXMATCH(TRIM(I156),""^[A-Za-z0-9._%+-]+@[A-Za-z0-9.-]+\.[A-Za-z]{2,}$""),""✅ Valid"",""❌ Invalid"")"),"✅ Valid")</f>
        <v>✅ Valid</v>
      </c>
      <c r="K156" s="11">
        <v>1.076493717E9</v>
      </c>
      <c r="L156" s="2" t="str">
        <f>IFERROR(__xludf.DUMMYFUNCTION("IF(OR(K156=""N/A"", K156=""missing"", K156=""none""), """",
 REGEXREPLACE(
  SUBSTITUTE(SUBSTITUTE(SUBSTITUTE(TO_TEXT(K156), CHAR(160),""""), UNICHAR(8239),""""), UNICHAR(8201),""""),""[+\-/(): )]"", """"))"),"1076493717")</f>
        <v>1076493717</v>
      </c>
      <c r="M156" s="2" t="str">
        <f>IFERROR(__xludf.DUMMYFUNCTION("IF(L156="""","""", REGEXEXTRACT(REGEXREPLACE(L156,""x"", """"), ""[0-9]+""))"),"1076493717")</f>
        <v>1076493717</v>
      </c>
      <c r="N156" s="2" t="str">
        <f>IF(LEFT(M156,1)="1", RIGHT(M156,LEN(M156)-1),M156)</f>
        <v>076493717</v>
      </c>
      <c r="O156" s="2" t="b">
        <f>IFERROR(__xludf.DUMMYFUNCTION("REGEXMATCH(TO_TEXT(N156), ""^[2-9][0-9]{9}$"")"),FALSE)</f>
        <v>0</v>
      </c>
      <c r="P156" s="2">
        <f t="shared" si="72"/>
        <v>9</v>
      </c>
      <c r="Q156" s="9" t="str">
        <f>IF(AND(O156=TRUE, P156=10), "✅ VALID", "❌ INVALID")</f>
        <v>❌ INVALID</v>
      </c>
      <c r="R156" s="10" t="s">
        <v>199</v>
      </c>
      <c r="S156" s="12">
        <v>45066.0</v>
      </c>
      <c r="T156" s="2" t="str">
        <f>IFERROR(__xludf.DUMMYFUNCTION("IF(ISNUMBER(S156),TEXT(S156,""yyyy-MM-dd""),REGEXREPLACE(REGEXREPLACE(TO_TEXT(S156),""[^0-9a-zA-Z]+"",""-""),""[^0-9]*$"",""""))"),"2023-05-20")</f>
        <v>2023-05-20</v>
      </c>
      <c r="U156" s="2" t="s">
        <v>7045</v>
      </c>
      <c r="Y156" s="10" t="s">
        <v>7045</v>
      </c>
    </row>
    <row r="157" ht="15.75" customHeight="1">
      <c r="A157" s="2" t="s">
        <v>856</v>
      </c>
      <c r="B157" s="9" t="s">
        <v>7597</v>
      </c>
      <c r="C157" s="2" t="s">
        <v>962</v>
      </c>
      <c r="D157" s="10" t="str">
        <f>IFERROR(__xludf.DUMMYFUNCTION("PROPER(REGEXREPLACE(TRIM(C157),""\s+"","" ""))"),"Paula Khan")</f>
        <v>Paula Khan</v>
      </c>
      <c r="E157" s="2">
        <f>IFERROR(__xludf.DUMMYFUNCTION("IF(LEN(D157:D701),
  COUNTA(SPLIT(D157:D701,"" "")),
 """")"),2.0)</f>
        <v>2</v>
      </c>
      <c r="F157" s="9" t="str">
        <f t="shared" si="65"/>
        <v>✅</v>
      </c>
      <c r="G157" s="2" t="str">
        <f>IFERROR(__xludf.DUMMYFUNCTION("REGEXEXTRACT(PROPER(SUBSTITUTE(TRIM(I157),""."","" "")),""^[^@]+"")"),"Paula Khan")</f>
        <v>Paula Khan</v>
      </c>
      <c r="H157" s="10" t="str">
        <f t="shared" si="66"/>
        <v>paula.khan@example.com</v>
      </c>
      <c r="I157" s="2" t="s">
        <v>963</v>
      </c>
      <c r="J157" s="9" t="str">
        <f>IFERROR(__xludf.DUMMYFUNCTION("IF(REGEXMATCH(TRIM(I157),""^[A-Za-z0-9._%+-]+@[A-Za-z0-9.-]+\.[A-Za-z]{2,}$""),""✅ Valid"",""❌ Invalid"")"),"✅ Valid")</f>
        <v>✅ Valid</v>
      </c>
      <c r="K157" s="11">
        <v>3.334800299E9</v>
      </c>
      <c r="L157" s="2" t="str">
        <f>IFERROR(__xludf.DUMMYFUNCTION("IF(OR(K157=""N/A"", K157=""missing"", K157=""none""), """",
 REGEXREPLACE(
  SUBSTITUTE(SUBSTITUTE(SUBSTITUTE(TO_TEXT(K157), CHAR(160),""""), UNICHAR(8239),""""), UNICHAR(8201),""""),""[+\-/(): )]"", """"))"),"3334800299")</f>
        <v>3334800299</v>
      </c>
      <c r="M157" s="2" t="str">
        <f>IFERROR(__xludf.DUMMYFUNCTION("IF(L157="""","""", REGEXEXTRACT(REGEXREPLACE(L157,""x"", """"), ""[0-9]+""))"),"3334800299")</f>
        <v>3334800299</v>
      </c>
      <c r="N157" s="2" t="str">
        <f>IF(LEFT(M157,2)="33", RIGHT(M157,LEN(M157)-2),M157)</f>
        <v>34800299</v>
      </c>
      <c r="O157" s="2" t="b">
        <f>IFERROR(__xludf.DUMMYFUNCTION("REGEXMATCH(TO_TEXT(N157), ""^0[67]"")"),FALSE)</f>
        <v>0</v>
      </c>
      <c r="P157" s="2">
        <f t="shared" si="72"/>
        <v>8</v>
      </c>
      <c r="Q157" s="9" t="str">
        <f t="shared" ref="Q157:Q159" si="74">IF(AND(O157=TRUE, P157=9), "✅ VALID", "❌ INVALID")</f>
        <v>❌ INVALID</v>
      </c>
      <c r="R157" s="10" t="s">
        <v>58</v>
      </c>
      <c r="S157" s="12">
        <v>45384.177777777775</v>
      </c>
      <c r="T157" s="2" t="str">
        <f>IFERROR(__xludf.DUMMYFUNCTION("IF(ISNUMBER(S157),TEXT(S157,""yyyy-MM-dd""),REGEXREPLACE(REGEXREPLACE(TO_TEXT(S157),""[^0-9a-zA-Z]+"",""-""),""[^0-9]*$"",""""))"),"2024-04-02")</f>
        <v>2024-04-02</v>
      </c>
      <c r="U157" s="2" t="s">
        <v>7837</v>
      </c>
      <c r="Y157" s="10" t="s">
        <v>7837</v>
      </c>
    </row>
    <row r="158" ht="15.75" customHeight="1">
      <c r="A158" s="2" t="s">
        <v>3485</v>
      </c>
      <c r="B158" s="9" t="s">
        <v>7597</v>
      </c>
      <c r="C158" s="2" t="s">
        <v>2017</v>
      </c>
      <c r="D158" s="10" t="str">
        <f>IFERROR(__xludf.DUMMYFUNCTION("PROPER(REGEXREPLACE(TRIM(C158),""\s+"","" ""))"),"Qi Davis")</f>
        <v>Qi Davis</v>
      </c>
      <c r="E158" s="2">
        <f>IFERROR(__xludf.DUMMYFUNCTION("IF(LEN(D158:D701),
  COUNTA(SPLIT(D158:D701,"" "")),
 """")"),2.0)</f>
        <v>2</v>
      </c>
      <c r="F158" s="9" t="str">
        <f t="shared" si="65"/>
        <v>✅</v>
      </c>
      <c r="G158" s="2" t="str">
        <f>IFERROR(__xludf.DUMMYFUNCTION("REGEXEXTRACT(PROPER(SUBSTITUTE(TRIM(I158),""."","" "")),""^[^@]+"")"),"Qi Davis")</f>
        <v>Qi Davis</v>
      </c>
      <c r="H158" s="10" t="str">
        <f t="shared" si="66"/>
        <v>qi.davis@gmail.com</v>
      </c>
      <c r="I158" s="2" t="s">
        <v>2018</v>
      </c>
      <c r="J158" s="9" t="str">
        <f>IFERROR(__xludf.DUMMYFUNCTION("IF(REGEXMATCH(TRIM(I158),""^[A-Za-z0-9._%+-]+@[A-Za-z0-9.-]+\.[A-Za-z]{2,}$""),""✅ Valid"",""❌ Invalid"")"),"✅ Valid")</f>
        <v>✅ Valid</v>
      </c>
      <c r="K158" s="13" t="s">
        <v>7838</v>
      </c>
      <c r="L158" s="2" t="str">
        <f>IFERROR(__xludf.DUMMYFUNCTION("IF(OR(K158=""N/A"", K158=""missing"", K158=""none""), """",
 REGEXREPLACE(
  SUBSTITUTE(SUBSTITUTE(SUBSTITUTE(TO_TEXT(K158), CHAR(160),""""), UNICHAR(8239),""""), UNICHAR(8201),""""),""[+\-/(): )]"", """"))"),"34551666772")</f>
        <v>34551666772</v>
      </c>
      <c r="M158" s="2" t="str">
        <f>IFERROR(__xludf.DUMMYFUNCTION("IF(L158="""","""", REGEXEXTRACT(REGEXREPLACE(L158,""x"", """"), ""[0-9]+""))"),"34551666772")</f>
        <v>34551666772</v>
      </c>
      <c r="N158" s="2" t="str">
        <f>IF(LEFT(M158,2)="34", RIGHT(M158,LEN(M158)-2),M158)</f>
        <v>551666772</v>
      </c>
      <c r="O158" s="2" t="b">
        <f>IFERROR(__xludf.DUMMYFUNCTION("REGEXMATCH(TO_TEXT(N158), ""^[67]"")"),FALSE)</f>
        <v>0</v>
      </c>
      <c r="P158" s="2">
        <f t="shared" si="72"/>
        <v>9</v>
      </c>
      <c r="Q158" s="9" t="str">
        <f t="shared" si="74"/>
        <v>❌ INVALID</v>
      </c>
      <c r="R158" s="10" t="s">
        <v>139</v>
      </c>
      <c r="S158" s="12">
        <v>45205.0</v>
      </c>
      <c r="T158" s="2" t="str">
        <f>IFERROR(__xludf.DUMMYFUNCTION("IF(ISNUMBER(S158),TEXT(S158,""yyyy-MM-dd""),REGEXREPLACE(REGEXREPLACE(TO_TEXT(S158),""[^0-9a-zA-Z]+"",""-""),""[^0-9]*$"",""""))"),"2023-10-06")</f>
        <v>2023-10-06</v>
      </c>
      <c r="U158" s="2" t="s">
        <v>7839</v>
      </c>
      <c r="Y158" s="10" t="s">
        <v>7839</v>
      </c>
    </row>
    <row r="159" ht="15.75" customHeight="1">
      <c r="A159" s="2" t="s">
        <v>7019</v>
      </c>
      <c r="B159" s="9" t="s">
        <v>7597</v>
      </c>
      <c r="C159" s="2" t="s">
        <v>1987</v>
      </c>
      <c r="D159" s="10" t="str">
        <f>IFERROR(__xludf.DUMMYFUNCTION("PROPER(REGEXREPLACE(TRIM(C159),""\s+"","" ""))"),"Paula Walker")</f>
        <v>Paula Walker</v>
      </c>
      <c r="E159" s="2">
        <f>IFERROR(__xludf.DUMMYFUNCTION("IF(LEN(D159:D701),
  COUNTA(SPLIT(D159:D701,"" "")),
 """")"),2.0)</f>
        <v>2</v>
      </c>
      <c r="F159" s="9" t="str">
        <f t="shared" si="65"/>
        <v>✅</v>
      </c>
      <c r="G159" s="2" t="str">
        <f>IFERROR(__xludf.DUMMYFUNCTION("REGEXEXTRACT(PROPER(SUBSTITUTE(TRIM(I159),""."","" "")),""^[^@]+"")"),"Paula Walker")</f>
        <v>Paula Walker</v>
      </c>
      <c r="H159" s="10" t="str">
        <f t="shared" si="66"/>
        <v>paula.walker@outlook.com</v>
      </c>
      <c r="I159" s="2" t="s">
        <v>1988</v>
      </c>
      <c r="J159" s="9" t="str">
        <f>IFERROR(__xludf.DUMMYFUNCTION("IF(REGEXMATCH(TRIM(I159),""^[A-Za-z0-9._%+-]+@[A-Za-z0-9.-]+\.[A-Za-z]{2,}$""),""✅ Valid"",""❌ Invalid"")"),"✅ Valid")</f>
        <v>✅ Valid</v>
      </c>
      <c r="K159" s="15" t="s">
        <v>7840</v>
      </c>
      <c r="L159" s="2" t="str">
        <f>IFERROR(__xludf.DUMMYFUNCTION("IF(K159=""N/A"", """",
 REGEXREPLACE(
  SUBSTITUTE(SUBSTITUTE(SUBSTITUTE(TO_TEXT(K159), CHAR(160),""""), UNICHAR(8239),""""), UNICHAR(8201),""""),""[+\-/(): )]"", """"))"),"572983711")</f>
        <v>572983711</v>
      </c>
      <c r="M159" s="2" t="str">
        <f>IFERROR(__xludf.DUMMYFUNCTION("IF(L159="""","""", REGEXEXTRACT(REGEXREPLACE(L159,""x"", """"), ""[0-9]+""))"),"572983711")</f>
        <v>572983711</v>
      </c>
      <c r="N159" s="2" t="str">
        <f>IF(LEFT(M159,2)="48", RIGHT(M159,LEN(M159)-2),M159)</f>
        <v>572983711</v>
      </c>
      <c r="O159" s="2" t="b">
        <f>IFERROR(__xludf.DUMMYFUNCTION("REGEXMATCH(TO_TEXT(N159), ""^(5[013679]|6[069]|7[2-9]|88)"")"),TRUE)</f>
        <v>1</v>
      </c>
      <c r="P159" s="2">
        <f t="shared" si="72"/>
        <v>9</v>
      </c>
      <c r="Q159" s="9" t="str">
        <f t="shared" si="74"/>
        <v>✅ VALID</v>
      </c>
      <c r="R159" s="10" t="s">
        <v>25</v>
      </c>
      <c r="S159" s="12">
        <v>44868.0</v>
      </c>
      <c r="T159" s="2" t="str">
        <f>IFERROR(__xludf.DUMMYFUNCTION("IF(ISNUMBER(S159),TEXT(S159,""yyyy-MM-dd""),REGEXREPLACE(REGEXREPLACE(TO_TEXT(S159),""[^0-9a-zA-Z]+"",""-""),""[^0-9]*$"",""""))"),"2022-11-03")</f>
        <v>2022-11-03</v>
      </c>
      <c r="U159" s="2" t="s">
        <v>7841</v>
      </c>
      <c r="Y159" s="10" t="s">
        <v>7841</v>
      </c>
    </row>
    <row r="160" ht="15.75" customHeight="1">
      <c r="A160" s="2" t="s">
        <v>1332</v>
      </c>
      <c r="B160" s="9" t="s">
        <v>7597</v>
      </c>
      <c r="C160" s="2" t="s">
        <v>3095</v>
      </c>
      <c r="D160" s="10" t="str">
        <f>IFERROR(__xludf.DUMMYFUNCTION("PROPER(REGEXREPLACE(TRIM(C160),""\s+"","" ""))"),"Yara Muller")</f>
        <v>Yara Muller</v>
      </c>
      <c r="E160" s="2">
        <f>IFERROR(__xludf.DUMMYFUNCTION("IF(LEN(D160:D701),
  COUNTA(SPLIT(D160:D701,"" "")),
 """")"),2.0)</f>
        <v>2</v>
      </c>
      <c r="F160" s="9" t="str">
        <f t="shared" si="65"/>
        <v>✅</v>
      </c>
      <c r="G160" s="2" t="str">
        <f>IFERROR(__xludf.DUMMYFUNCTION("REGEXEXTRACT(PROPER(SUBSTITUTE(TRIM(I160),""."","" "")),""^[^@]+"")"),"Yara Muller")</f>
        <v>Yara Muller</v>
      </c>
      <c r="H160" s="10" t="str">
        <f t="shared" si="66"/>
        <v>yara.muller@outlook.com</v>
      </c>
      <c r="I160" s="2" t="s">
        <v>3096</v>
      </c>
      <c r="J160" s="9" t="str">
        <f>IFERROR(__xludf.DUMMYFUNCTION("IF(REGEXMATCH(TRIM(I160),""^[A-Za-z0-9._%+-]+@[A-Za-z0-9.-]+\.[A-Za-z]{2,}$""),""✅ Valid"",""❌ Invalid"")"),"✅ Valid")</f>
        <v>✅ Valid</v>
      </c>
      <c r="K160" s="13" t="s">
        <v>7842</v>
      </c>
      <c r="L160" s="2" t="str">
        <f>IFERROR(__xludf.DUMMYFUNCTION("IF(OR(K160=""N/A"", K160=""missing"", K160=""none""), """",
 REGEXREPLACE(
  SUBSTITUTE(SUBSTITUTE(SUBSTITUTE(TO_TEXT(K160), CHAR(160),""""), UNICHAR(8239),""""), UNICHAR(8201),""""),""[+\-/(): )]"", """"))"),"493749041718")</f>
        <v>493749041718</v>
      </c>
      <c r="M160" s="2" t="str">
        <f>IFERROR(__xludf.DUMMYFUNCTION("IF(L160="""","""", REGEXEXTRACT(REGEXREPLACE(L160,""x"", """"), ""[0-9]+""))"),"493749041718")</f>
        <v>493749041718</v>
      </c>
      <c r="N160" s="2" t="str">
        <f>IF(LEFT(M160,2)="49", RIGHT(M160,LEN(M160)-2),M160)</f>
        <v>3749041718</v>
      </c>
      <c r="O160" s="2" t="b">
        <f>IFERROR(__xludf.DUMMYFUNCTION("REGEXMATCH(TO_TEXT(N160), ""^0(15|16|17)"")"),FALSE)</f>
        <v>0</v>
      </c>
      <c r="P160" s="2">
        <f t="shared" si="72"/>
        <v>10</v>
      </c>
      <c r="Q160" s="9" t="str">
        <f>IF(AND(O160=TRUE,OR(P160=10, P160=11)), "✅ VALID", "❌ INVALID")</f>
        <v>❌ INVALID</v>
      </c>
      <c r="R160" s="10" t="s">
        <v>459</v>
      </c>
      <c r="S160" s="12" t="s">
        <v>6499</v>
      </c>
      <c r="T160" s="2" t="str">
        <f>IFERROR(__xludf.DUMMYFUNCTION("IF(ISNUMBER(S160),TEXT(S160,""yyyy-MM-dd""),REGEXREPLACE(REGEXREPLACE(TO_TEXT(S160),""[^0-9a-zA-Z]+"",""-""),""[^0-9]*$"",""""))"),"17-10-2023-02-52")</f>
        <v>17-10-2023-02-52</v>
      </c>
      <c r="U160" s="2" t="str">
        <f>TEXT(T160,"yyyy-MM-dd")</f>
        <v>17-10-2023-02-52</v>
      </c>
      <c r="V160" s="2" t="str">
        <f>IFERROR(__xludf.DUMMYFUNCTION("REGEXEXTRACT(U160,""^\d{2}-\d{2}-\d{4}"")"),"17-10-2023")</f>
        <v>17-10-2023</v>
      </c>
      <c r="W160" s="2" t="s">
        <v>7633</v>
      </c>
      <c r="Y160" s="10" t="s">
        <v>7633</v>
      </c>
    </row>
    <row r="161" ht="15.75" customHeight="1">
      <c r="A161" s="2" t="s">
        <v>1142</v>
      </c>
      <c r="B161" s="9" t="s">
        <v>7597</v>
      </c>
      <c r="C161" s="2" t="s">
        <v>857</v>
      </c>
      <c r="D161" s="10" t="str">
        <f>IFERROR(__xludf.DUMMYFUNCTION("PROPER(REGEXREPLACE(TRIM(C161),""\s+"","" ""))"),"Uma Walker")</f>
        <v>Uma Walker</v>
      </c>
      <c r="E161" s="2">
        <f>IFERROR(__xludf.DUMMYFUNCTION("IF(LEN(D161:D701),
  COUNTA(SPLIT(D161:D701,"" "")),
 """")"),2.0)</f>
        <v>2</v>
      </c>
      <c r="F161" s="9" t="str">
        <f t="shared" si="65"/>
        <v>✅</v>
      </c>
      <c r="G161" s="2" t="str">
        <f>IFERROR(__xludf.DUMMYFUNCTION("REGEXEXTRACT(PROPER(SUBSTITUTE(TRIM(I161),""."","" "")),""^[^@]+"")"),"Uma Walker")</f>
        <v>Uma Walker</v>
      </c>
      <c r="H161" s="10" t="str">
        <f t="shared" si="66"/>
        <v>uma.walker@yahoo.com</v>
      </c>
      <c r="I161" s="2" t="s">
        <v>858</v>
      </c>
      <c r="J161" s="9" t="str">
        <f>IFERROR(__xludf.DUMMYFUNCTION("IF(REGEXMATCH(TRIM(I161),""^[A-Za-z0-9._%+-]+@[A-Za-z0-9.-]+\.[A-Za-z]{2,}$""),""✅ Valid"",""❌ Invalid"")"),"✅ Valid")</f>
        <v>✅ Valid</v>
      </c>
      <c r="K161" s="13" t="s">
        <v>7843</v>
      </c>
      <c r="L161" s="2" t="str">
        <f>IFERROR(__xludf.DUMMYFUNCTION("IF(OR(K161=""N/A"", K161=""missing"", K161=""none""), """",
 REGEXREPLACE(
  SUBSTITUTE(SUBSTITUTE(SUBSTITUTE(TO_TEXT(K161), CHAR(160),""""), UNICHAR(8239),""""), UNICHAR(8201),""""),""[+\-/(): )]"", """"))"),"336967984848")</f>
        <v>336967984848</v>
      </c>
      <c r="M161" s="2" t="str">
        <f>IFERROR(__xludf.DUMMYFUNCTION("IF(L161="""","""", REGEXEXTRACT(REGEXREPLACE(L161,""x"", """"), ""[0-9]+""))"),"336967984848")</f>
        <v>336967984848</v>
      </c>
      <c r="N161" s="2" t="str">
        <f>IF(LEFT(M161,2)="33", RIGHT(M161,LEN(M161)-2),M161)</f>
        <v>6967984848</v>
      </c>
      <c r="O161" s="2" t="b">
        <f>IFERROR(__xludf.DUMMYFUNCTION("REGEXMATCH(TO_TEXT(N161), ""^0[67]"")"),FALSE)</f>
        <v>0</v>
      </c>
      <c r="P161" s="2">
        <f t="shared" si="72"/>
        <v>10</v>
      </c>
      <c r="Q161" s="9" t="str">
        <f t="shared" ref="Q161:Q163" si="75">IF(AND(O161=TRUE, P161=9), "✅ VALID", "❌ INVALID")</f>
        <v>❌ INVALID</v>
      </c>
      <c r="R161" s="10" t="s">
        <v>58</v>
      </c>
      <c r="S161" s="12">
        <v>45477.149305555555</v>
      </c>
      <c r="T161" s="2" t="str">
        <f>IFERROR(__xludf.DUMMYFUNCTION("IF(ISNUMBER(S161),TEXT(S161,""yyyy-MM-dd""),REGEXREPLACE(REGEXREPLACE(TO_TEXT(S161),""[^0-9a-zA-Z]+"",""-""),""[^0-9]*$"",""""))"),"2024-07-04")</f>
        <v>2024-07-04</v>
      </c>
      <c r="U161" s="2" t="s">
        <v>7660</v>
      </c>
      <c r="Y161" s="10" t="s">
        <v>7660</v>
      </c>
    </row>
    <row r="162" ht="15.75" customHeight="1">
      <c r="A162" s="2" t="s">
        <v>1188</v>
      </c>
      <c r="B162" s="9" t="s">
        <v>7597</v>
      </c>
      <c r="C162" s="2" t="s">
        <v>2733</v>
      </c>
      <c r="D162" s="10" t="str">
        <f>IFERROR(__xludf.DUMMYFUNCTION("PROPER(REGEXREPLACE(TRIM(C162),""\s+"","" ""))"),"Gabe Novak")</f>
        <v>Gabe Novak</v>
      </c>
      <c r="E162" s="2">
        <f>IFERROR(__xludf.DUMMYFUNCTION("IF(LEN(D162:D701),
  COUNTA(SPLIT(D162:D701,"" "")),
 """")"),2.0)</f>
        <v>2</v>
      </c>
      <c r="F162" s="9" t="str">
        <f t="shared" si="65"/>
        <v>✅</v>
      </c>
      <c r="G162" s="2" t="str">
        <f>IFERROR(__xludf.DUMMYFUNCTION("REGEXEXTRACT(PROPER(SUBSTITUTE(TRIM(I162),""."","" "")),""^[^@]+"")"),"Gabe Novak")</f>
        <v>Gabe Novak</v>
      </c>
      <c r="H162" s="10" t="str">
        <f t="shared" si="66"/>
        <v>gabe.novak@outlook.com</v>
      </c>
      <c r="I162" s="2" t="s">
        <v>3486</v>
      </c>
      <c r="J162" s="9" t="str">
        <f>IFERROR(__xludf.DUMMYFUNCTION("IF(REGEXMATCH(TRIM(I162),""^[A-Za-z0-9._%+-]+@[A-Za-z0-9.-]+\.[A-Za-z]{2,}$""),""✅ Valid"",""❌ Invalid"")"),"✅ Valid")</f>
        <v>✅ Valid</v>
      </c>
      <c r="K162" s="15" t="s">
        <v>7844</v>
      </c>
      <c r="L162" s="2" t="str">
        <f>IFERROR(__xludf.DUMMYFUNCTION("IF(K162=""N/A"", """",
 REGEXREPLACE(
  SUBSTITUTE(SUBSTITUTE(SUBSTITUTE(TO_TEXT(K162), CHAR(160),""""), UNICHAR(8239),""""), UNICHAR(8201),""""),""[+\-/(): )]"", """"))"),"4840639237")</f>
        <v>4840639237</v>
      </c>
      <c r="M162" s="2" t="str">
        <f>IFERROR(__xludf.DUMMYFUNCTION("IF(L162="""","""", REGEXEXTRACT(REGEXREPLACE(L162,""x"", """"), ""[0-9]+""))"),"4840639237")</f>
        <v>4840639237</v>
      </c>
      <c r="N162" s="2" t="str">
        <f>IF(LEFT(M162,2)="48", RIGHT(M162,LEN(M162)-2),M162)</f>
        <v>40639237</v>
      </c>
      <c r="O162" s="2" t="b">
        <f>IFERROR(__xludf.DUMMYFUNCTION("REGEXMATCH(TO_TEXT(N162), ""^(5[013679]|6[069]|7[2-9]|88)"")"),FALSE)</f>
        <v>0</v>
      </c>
      <c r="Q162" s="9" t="str">
        <f t="shared" si="75"/>
        <v>❌ INVALID</v>
      </c>
      <c r="R162" s="10" t="s">
        <v>25</v>
      </c>
      <c r="S162" s="12">
        <v>45559.0</v>
      </c>
      <c r="T162" s="2" t="str">
        <f>IFERROR(__xludf.DUMMYFUNCTION("IF(ISNUMBER(S162),TEXT(S162,""yyyy-MM-dd""),REGEXREPLACE(REGEXREPLACE(TO_TEXT(S162),""[^0-9a-zA-Z]+"",""-""),""[^0-9]*$"",""""))"),"2024-09-24")</f>
        <v>2024-09-24</v>
      </c>
      <c r="U162" s="2" t="s">
        <v>7845</v>
      </c>
      <c r="Y162" s="10" t="s">
        <v>7845</v>
      </c>
    </row>
    <row r="163" ht="15.75" customHeight="1">
      <c r="A163" s="2" t="s">
        <v>2887</v>
      </c>
      <c r="B163" s="9" t="s">
        <v>7597</v>
      </c>
      <c r="C163" s="2" t="s">
        <v>7020</v>
      </c>
      <c r="D163" s="10" t="str">
        <f>IFERROR(__xludf.DUMMYFUNCTION("PROPER(REGEXREPLACE(TRIM(C163),""\s+"","" ""))"),"Daria Khan")</f>
        <v>Daria Khan</v>
      </c>
      <c r="E163" s="2">
        <f>IFERROR(__xludf.DUMMYFUNCTION("IF(LEN(D163:D701),
  COUNTA(SPLIT(D163:D701,"" "")),
 """")"),2.0)</f>
        <v>2</v>
      </c>
      <c r="F163" s="9" t="str">
        <f t="shared" si="65"/>
        <v>✅</v>
      </c>
      <c r="G163" s="2" t="str">
        <f>IFERROR(__xludf.DUMMYFUNCTION("REGEXEXTRACT(PROPER(SUBSTITUTE(TRIM(I163),""."","" "")),""^[^@]+"")"),"Daria Khan")</f>
        <v>Daria Khan</v>
      </c>
      <c r="H163" s="10" t="str">
        <f t="shared" si="66"/>
        <v>daria.khan@yahoo.com</v>
      </c>
      <c r="I163" s="2" t="s">
        <v>7021</v>
      </c>
      <c r="J163" s="9" t="str">
        <f>IFERROR(__xludf.DUMMYFUNCTION("IF(REGEXMATCH(TRIM(I163),""^[A-Za-z0-9._%+-]+@[A-Za-z0-9.-]+\.[A-Za-z]{2,}$""),""✅ Valid"",""❌ Invalid"")"),"✅ Valid")</f>
        <v>✅ Valid</v>
      </c>
      <c r="K163" s="13" t="s">
        <v>7629</v>
      </c>
      <c r="L163" s="2" t="str">
        <f>IFERROR(__xludf.DUMMYFUNCTION("IF(OR(K163=""N/A"", K163=""missing"", K163=""none""), """",
 REGEXREPLACE(
  SUBSTITUTE(SUBSTITUTE(SUBSTITUTE(TO_TEXT(K163), CHAR(160),""""), UNICHAR(8239),""""), UNICHAR(8201),""""),""[+\-/(): )]"", """"))"),"")</f>
        <v/>
      </c>
      <c r="M163" s="2" t="str">
        <f>IFERROR(__xludf.DUMMYFUNCTION("IF(L163="""","""", REGEXEXTRACT(REGEXREPLACE(L163,""x"", """"), ""[0-9]+""))"),"")</f>
        <v/>
      </c>
      <c r="N163" s="2" t="str">
        <f>IF(LEFT(M163,2)="33", RIGHT(M163,LEN(M163)-2),M163)</f>
        <v/>
      </c>
      <c r="O163" s="2" t="b">
        <f>IFERROR(__xludf.DUMMYFUNCTION("REGEXMATCH(TO_TEXT(N163), ""^0[67]"")"),FALSE)</f>
        <v>0</v>
      </c>
      <c r="P163" s="2">
        <f t="shared" ref="P163:P166" si="76">LEN(N163)</f>
        <v>0</v>
      </c>
      <c r="Q163" s="9" t="str">
        <f t="shared" si="75"/>
        <v>❌ INVALID</v>
      </c>
      <c r="R163" s="10" t="s">
        <v>58</v>
      </c>
      <c r="S163" s="12" t="s">
        <v>7168</v>
      </c>
      <c r="T163" s="2" t="str">
        <f>IFERROR(__xludf.DUMMYFUNCTION("IF(ISNUMBER(S163),TEXT(S163,""yyyy-MM-dd""),REGEXREPLACE(REGEXREPLACE(TO_TEXT(S163),""[^0-9a-zA-Z]+"",""-""),""[^0-9]*$"",""""))"),"11-02-2024")</f>
        <v>11-02-2024</v>
      </c>
      <c r="U163" s="2" t="s">
        <v>7846</v>
      </c>
      <c r="Y163" s="10" t="s">
        <v>7846</v>
      </c>
    </row>
    <row r="164" ht="15.75" customHeight="1">
      <c r="A164" s="2" t="s">
        <v>4521</v>
      </c>
      <c r="B164" s="9" t="s">
        <v>7597</v>
      </c>
      <c r="C164" s="2" t="s">
        <v>1333</v>
      </c>
      <c r="D164" s="10" t="str">
        <f>IFERROR(__xludf.DUMMYFUNCTION("PROPER(REGEXREPLACE(TRIM(C164),""\s+"","" ""))"),"Igor Williams")</f>
        <v>Igor Williams</v>
      </c>
      <c r="E164" s="2">
        <f>IFERROR(__xludf.DUMMYFUNCTION("IF(LEN(D164:D701),
  COUNTA(SPLIT(D164:D701,"" "")),
 """")"),2.0)</f>
        <v>2</v>
      </c>
      <c r="F164" s="9" t="str">
        <f t="shared" si="65"/>
        <v>✅</v>
      </c>
      <c r="G164" s="2" t="str">
        <f>IFERROR(__xludf.DUMMYFUNCTION("REGEXEXTRACT(PROPER(SUBSTITUTE(TRIM(I164),""."","" "")),""^[^@]+"")"),"Igor Williams")</f>
        <v>Igor Williams</v>
      </c>
      <c r="H164" s="10" t="str">
        <f t="shared" si="66"/>
        <v>igor.williams@shop.io</v>
      </c>
      <c r="I164" s="2" t="s">
        <v>1334</v>
      </c>
      <c r="J164" s="9" t="str">
        <f>IFERROR(__xludf.DUMMYFUNCTION("IF(REGEXMATCH(TRIM(I164),""^[A-Za-z0-9._%+-]+@[A-Za-z0-9.-]+\.[A-Za-z]{2,}$""),""✅ Valid"",""❌ Invalid"")"),"✅ Valid")</f>
        <v>✅ Valid</v>
      </c>
      <c r="K164" s="13" t="s">
        <v>7847</v>
      </c>
      <c r="L164" s="2" t="str">
        <f>IFERROR(__xludf.DUMMYFUNCTION("IF(OR(K164=""N/A"", K164=""missing"", K164=""none""), """",
 REGEXREPLACE(
  SUBSTITUTE(SUBSTITUTE(SUBSTITUTE(TO_TEXT(K164), CHAR(160),""""), UNICHAR(8239),""""), UNICHAR(8201),""""),""[+\-/(): )]"", """"))"),"tel4459912991963")</f>
        <v>tel4459912991963</v>
      </c>
      <c r="M164" s="2" t="str">
        <f>IFERROR(__xludf.DUMMYFUNCTION("IF(L164="""","""", REGEXEXTRACT(REGEXREPLACE(L164,""x"", """"), ""[0-9]+""))"),"4459912991963")</f>
        <v>4459912991963</v>
      </c>
      <c r="N164" s="2" t="str">
        <f t="shared" ref="N164:N165" si="77">IF(LEFT(M164,2)="44", RIGHT(M164,LEN(M164)-2),M164)</f>
        <v>59912991963</v>
      </c>
      <c r="O164" s="2" t="b">
        <f>IFERROR(__xludf.DUMMYFUNCTION("REGEXMATCH(TO_TEXT(N164), ""^07[1-57-9]"")"),FALSE)</f>
        <v>0</v>
      </c>
      <c r="P164" s="2">
        <f t="shared" si="76"/>
        <v>11</v>
      </c>
      <c r="Q164" s="9" t="str">
        <f t="shared" ref="Q164:Q165" si="78">IF(AND(O164=TRUE, P164=11), "✅ VALID", "❌ INVALID")</f>
        <v>❌ INVALID</v>
      </c>
      <c r="R164" s="10" t="s">
        <v>114</v>
      </c>
      <c r="S164" s="12">
        <v>44804.55972222222</v>
      </c>
      <c r="T164" s="2" t="str">
        <f>IFERROR(__xludf.DUMMYFUNCTION("IF(ISNUMBER(S164),TEXT(S164,""yyyy-MM-dd""),REGEXREPLACE(REGEXREPLACE(TO_TEXT(S164),""[^0-9a-zA-Z]+"",""-""),""[^0-9]*$"",""""))"),"2022-08-31")</f>
        <v>2022-08-31</v>
      </c>
      <c r="U164" s="2" t="s">
        <v>7848</v>
      </c>
      <c r="Y164" s="10" t="s">
        <v>7848</v>
      </c>
    </row>
    <row r="165" ht="15.75" customHeight="1">
      <c r="A165" s="2" t="s">
        <v>2266</v>
      </c>
      <c r="B165" s="9" t="s">
        <v>7597</v>
      </c>
      <c r="C165" s="2" t="s">
        <v>1143</v>
      </c>
      <c r="D165" s="10" t="str">
        <f>IFERROR(__xludf.DUMMYFUNCTION("PROPER(REGEXREPLACE(TRIM(C165),""\s+"","" ""))"),"Uma Rodriguez")</f>
        <v>Uma Rodriguez</v>
      </c>
      <c r="E165" s="2">
        <f>IFERROR(__xludf.DUMMYFUNCTION("IF(LEN(D165:D701),
  COUNTA(SPLIT(D165:D701,"" "")),
 """")"),2.0)</f>
        <v>2</v>
      </c>
      <c r="F165" s="9" t="str">
        <f t="shared" si="65"/>
        <v>✅</v>
      </c>
      <c r="G165" s="2" t="str">
        <f>IFERROR(__xludf.DUMMYFUNCTION("REGEXEXTRACT(PROPER(SUBSTITUTE(TRIM(I165),""."","" "")),""^[^@]+"")"),"Uma Rodriguez")</f>
        <v>Uma Rodriguez</v>
      </c>
      <c r="H165" s="10" t="str">
        <f t="shared" si="66"/>
        <v>uma.rodriguez@shop.io</v>
      </c>
      <c r="I165" s="2" t="s">
        <v>1144</v>
      </c>
      <c r="J165" s="9" t="str">
        <f>IFERROR(__xludf.DUMMYFUNCTION("IF(REGEXMATCH(TRIM(I165),""^[A-Za-z0-9._%+-]+@[A-Za-z0-9.-]+\.[A-Za-z]{2,}$""),""✅ Valid"",""❌ Invalid"")"),"✅ Valid")</f>
        <v>✅ Valid</v>
      </c>
      <c r="K165" s="13" t="s">
        <v>7849</v>
      </c>
      <c r="L165" s="2" t="str">
        <f>IFERROR(__xludf.DUMMYFUNCTION("IF(OR(K165=""N/A"", K165=""missing"", K165=""none""), """",
 REGEXREPLACE(
  SUBSTITUTE(SUBSTITUTE(SUBSTITUTE(TO_TEXT(K165), CHAR(160),""""), UNICHAR(8239),""""), UNICHAR(8201),""""),""[+\-/(): )]"", """"))"),"441427604223")</f>
        <v>441427604223</v>
      </c>
      <c r="M165" s="2" t="str">
        <f>IFERROR(__xludf.DUMMYFUNCTION("IF(L165="""","""", REGEXEXTRACT(REGEXREPLACE(L165,""x"", """"), ""[0-9]+""))"),"441427604223")</f>
        <v>441427604223</v>
      </c>
      <c r="N165" s="2" t="str">
        <f t="shared" si="77"/>
        <v>1427604223</v>
      </c>
      <c r="O165" s="2" t="b">
        <f>IFERROR(__xludf.DUMMYFUNCTION("REGEXMATCH(TO_TEXT(N165), ""^07[1-57-9]"")"),FALSE)</f>
        <v>0</v>
      </c>
      <c r="P165" s="2">
        <f t="shared" si="76"/>
        <v>10</v>
      </c>
      <c r="Q165" s="9" t="str">
        <f t="shared" si="78"/>
        <v>❌ INVALID</v>
      </c>
      <c r="R165" s="10" t="s">
        <v>114</v>
      </c>
      <c r="S165" s="12">
        <v>45297.0</v>
      </c>
      <c r="T165" s="2" t="str">
        <f>IFERROR(__xludf.DUMMYFUNCTION("IF(ISNUMBER(S165),TEXT(S165,""yyyy-MM-dd""),REGEXREPLACE(REGEXREPLACE(TO_TEXT(S165),""[^0-9a-zA-Z]+"",""-""),""[^0-9]*$"",""""))"),"2024-01-06")</f>
        <v>2024-01-06</v>
      </c>
      <c r="U165" s="2" t="s">
        <v>6768</v>
      </c>
      <c r="Y165" s="10" t="s">
        <v>6768</v>
      </c>
    </row>
    <row r="166" ht="15.75" customHeight="1">
      <c r="A166" s="2" t="s">
        <v>1938</v>
      </c>
      <c r="B166" s="9" t="s">
        <v>7597</v>
      </c>
      <c r="C166" s="2" t="s">
        <v>1189</v>
      </c>
      <c r="D166" s="10" t="str">
        <f>IFERROR(__xludf.DUMMYFUNCTION("PROPER(REGEXREPLACE(TRIM(C166),""\s+"","" ""))"),"Carlos Young")</f>
        <v>Carlos Young</v>
      </c>
      <c r="E166" s="2">
        <f>IFERROR(__xludf.DUMMYFUNCTION("IF(LEN(D166:D701),
  COUNTA(SPLIT(D166:D701,"" "")),
 """")"),2.0)</f>
        <v>2</v>
      </c>
      <c r="F166" s="9" t="str">
        <f t="shared" si="65"/>
        <v>✅</v>
      </c>
      <c r="G166" s="2" t="str">
        <f>IFERROR(__xludf.DUMMYFUNCTION("REGEXEXTRACT(PROPER(SUBSTITUTE(TRIM(I166),""."","" "")),""^[^@]+"")"),"Carlos Young")</f>
        <v>Carlos Young</v>
      </c>
      <c r="H166" s="10" t="str">
        <f t="shared" si="66"/>
        <v>carlos.young@gmail.com</v>
      </c>
      <c r="I166" s="2" t="s">
        <v>1190</v>
      </c>
      <c r="J166" s="9" t="str">
        <f>IFERROR(__xludf.DUMMYFUNCTION("IF(REGEXMATCH(TRIM(I166),""^[A-Za-z0-9._%+-]+@[A-Za-z0-9.-]+\.[A-Za-z]{2,}$""),""✅ Valid"",""❌ Invalid"")"),"✅ Valid")</f>
        <v>✅ Valid</v>
      </c>
      <c r="K166" s="13" t="s">
        <v>7850</v>
      </c>
      <c r="L166" s="2" t="str">
        <f>IFERROR(__xludf.DUMMYFUNCTION("IF(OR(K166=""N/A"", K166=""missing"", K166=""none""), """",
 REGEXREPLACE(
  SUBSTITUTE(SUBSTITUTE(SUBSTITUTE(TO_TEXT(K166), CHAR(160),""""), UNICHAR(8239),""""), UNICHAR(8201),""""),""[+\-/(): )]"", """"))"),"52426245")</f>
        <v>52426245</v>
      </c>
      <c r="M166" s="2" t="str">
        <f>IFERROR(__xludf.DUMMYFUNCTION("IF(L166="""","""", REGEXEXTRACT(REGEXREPLACE(L166,""x"", """"), ""[0-9]+""))"),"52426245")</f>
        <v>52426245</v>
      </c>
      <c r="N166" s="2" t="str">
        <f>IF(LEFT(M166,2)="33", RIGHT(M166,LEN(M166)-2),M166)</f>
        <v>52426245</v>
      </c>
      <c r="O166" s="2" t="b">
        <f>IFERROR(__xludf.DUMMYFUNCTION("REGEXMATCH(TO_TEXT(N166), ""^0[67]"")"),FALSE)</f>
        <v>0</v>
      </c>
      <c r="P166" s="2">
        <f t="shared" si="76"/>
        <v>8</v>
      </c>
      <c r="Q166" s="9" t="str">
        <f>IF(AND(O166=TRUE, P166=9), "✅ VALID", "❌ INVALID")</f>
        <v>❌ INVALID</v>
      </c>
      <c r="R166" s="10" t="s">
        <v>58</v>
      </c>
      <c r="S166" s="12">
        <v>45504.0</v>
      </c>
      <c r="T166" s="2" t="str">
        <f>IFERROR(__xludf.DUMMYFUNCTION("IF(ISNUMBER(S166),TEXT(S166,""yyyy-MM-dd""),REGEXREPLACE(REGEXREPLACE(TO_TEXT(S166),""[^0-9a-zA-Z]+"",""-""),""[^0-9]*$"",""""))"),"2024-07-31")</f>
        <v>2024-07-31</v>
      </c>
      <c r="U166" s="2" t="s">
        <v>7851</v>
      </c>
      <c r="Y166" s="10" t="s">
        <v>7851</v>
      </c>
    </row>
    <row r="167" ht="15.75" hidden="1" customHeight="1">
      <c r="A167" s="2" t="s">
        <v>2000</v>
      </c>
      <c r="B167" s="9" t="s">
        <v>7597</v>
      </c>
      <c r="C167" s="2" t="s">
        <v>2888</v>
      </c>
      <c r="D167" s="2" t="str">
        <f>IFERROR(__xludf.DUMMYFUNCTION("PROPER(REGEXREPLACE(TRIM(C167),""\s+"","" ""))"),"Adam Kowalczyk")</f>
        <v>Adam Kowalczyk</v>
      </c>
      <c r="E167" s="2">
        <f>IFERROR(__xludf.DUMMYFUNCTION("IF(LEN(D167:D701),
  COUNTA(SPLIT(D167:D701,"" "")),
 """")"),2.0)</f>
        <v>2</v>
      </c>
      <c r="K167" s="2" t="s">
        <v>1191</v>
      </c>
      <c r="R167" s="10" t="s">
        <v>1177</v>
      </c>
      <c r="S167" s="2" t="s">
        <v>7139</v>
      </c>
    </row>
    <row r="168" ht="15.75" customHeight="1">
      <c r="A168" s="2" t="s">
        <v>2080</v>
      </c>
      <c r="B168" s="9" t="s">
        <v>7597</v>
      </c>
      <c r="C168" s="2" t="s">
        <v>4522</v>
      </c>
      <c r="D168" s="10" t="str">
        <f>IFERROR(__xludf.DUMMYFUNCTION("PROPER(REGEXREPLACE(TRIM(C168),""\s+"","" ""))"),"Carlos Williams")</f>
        <v>Carlos Williams</v>
      </c>
      <c r="E168" s="2">
        <f>IFERROR(__xludf.DUMMYFUNCTION("IF(LEN(D168:D701),
  COUNTA(SPLIT(D168:D701,"" "")),
 """")"),2.0)</f>
        <v>2</v>
      </c>
      <c r="F168" s="9" t="str">
        <f t="shared" ref="F168:F221" si="79">IF(D168=G168,"✅","❌")</f>
        <v>✅</v>
      </c>
      <c r="G168" s="2" t="str">
        <f>IFERROR(__xludf.DUMMYFUNCTION("REGEXEXTRACT(PROPER(SUBSTITUTE(TRIM(I168),""."","" "")),""^[^@]+"")"),"Carlos Williams")</f>
        <v>Carlos Williams</v>
      </c>
      <c r="H168" s="10" t="str">
        <f t="shared" ref="H168:H221" si="80">LOWER(TRIM(I168))</f>
        <v>carlos.williams@yahoo.com</v>
      </c>
      <c r="I168" s="2" t="s">
        <v>4523</v>
      </c>
      <c r="J168" s="9" t="str">
        <f>IFERROR(__xludf.DUMMYFUNCTION("IF(REGEXMATCH(TRIM(I168),""^[A-Za-z0-9._%+-]+@[A-Za-z0-9.-]+\.[A-Za-z]{2,}$""),""✅ Valid"",""❌ Invalid"")"),"✅ Valid")</f>
        <v>✅ Valid</v>
      </c>
      <c r="K168" s="13" t="s">
        <v>7852</v>
      </c>
      <c r="L168" s="2" t="str">
        <f>IFERROR(__xludf.DUMMYFUNCTION("IF(OR(K168=""N/A"", K168=""missing"", K168=""none""), """",
 REGEXREPLACE(
  SUBSTITUTE(SUBSTITUTE(SUBSTITUTE(TO_TEXT(K168), CHAR(160),""""), UNICHAR(8239),""""), UNICHAR(8201),""""),""[+\-/(): )]"", """"))"),"185147459360")</f>
        <v>185147459360</v>
      </c>
      <c r="M168" s="2" t="str">
        <f>IFERROR(__xludf.DUMMYFUNCTION("IF(L168="""","""", REGEXEXTRACT(REGEXREPLACE(L168,""x"", """"), ""[0-9]+""))"),"185147459360")</f>
        <v>185147459360</v>
      </c>
      <c r="N168" s="2" t="str">
        <f>IF(LEFT(M168,1)="1", RIGHT(M168,LEN(M168)-1),M168)</f>
        <v>85147459360</v>
      </c>
      <c r="O168" s="2" t="b">
        <f>IFERROR(__xludf.DUMMYFUNCTION("REGEXMATCH(TO_TEXT(N168), ""^[2-9][0-9]{9}$"")"),FALSE)</f>
        <v>0</v>
      </c>
      <c r="P168" s="2">
        <f t="shared" ref="P168:P173" si="81">LEN(N168)</f>
        <v>11</v>
      </c>
      <c r="Q168" s="9" t="str">
        <f>IF(AND(O168=TRUE, P168=10), "✅ VALID", "❌ INVALID")</f>
        <v>❌ INVALID</v>
      </c>
      <c r="R168" s="10" t="s">
        <v>199</v>
      </c>
      <c r="S168" s="12">
        <v>44589.0</v>
      </c>
      <c r="T168" s="2" t="str">
        <f>IFERROR(__xludf.DUMMYFUNCTION("IF(ISNUMBER(S168),TEXT(S168,""yyyy-MM-dd""),REGEXREPLACE(REGEXREPLACE(TO_TEXT(S168),""[^0-9a-zA-Z]+"",""-""),""[^0-9]*$"",""""))"),"2022-01-28")</f>
        <v>2022-01-28</v>
      </c>
      <c r="U168" s="2" t="s">
        <v>7853</v>
      </c>
      <c r="Y168" s="10" t="s">
        <v>7853</v>
      </c>
    </row>
    <row r="169" ht="15.75" customHeight="1">
      <c r="A169" s="2" t="s">
        <v>2776</v>
      </c>
      <c r="B169" s="9" t="s">
        <v>7597</v>
      </c>
      <c r="C169" s="2" t="s">
        <v>2267</v>
      </c>
      <c r="D169" s="10" t="str">
        <f>IFERROR(__xludf.DUMMYFUNCTION("PROPER(REGEXREPLACE(TRIM(C169),""\s+"","" ""))"),"Tara Young")</f>
        <v>Tara Young</v>
      </c>
      <c r="E169" s="2">
        <f>IFERROR(__xludf.DUMMYFUNCTION("IF(LEN(D169:D701),
  COUNTA(SPLIT(D169:D701,"" "")),
 """")"),2.0)</f>
        <v>2</v>
      </c>
      <c r="F169" s="9" t="str">
        <f t="shared" si="79"/>
        <v>✅</v>
      </c>
      <c r="G169" s="2" t="str">
        <f>IFERROR(__xludf.DUMMYFUNCTION("REGEXEXTRACT(PROPER(SUBSTITUTE(TRIM(I169),""."","" "")),""^[^@]+"")"),"Tara Young")</f>
        <v>Tara Young</v>
      </c>
      <c r="H169" s="10" t="str">
        <f t="shared" si="80"/>
        <v>tara.young@outlook.com</v>
      </c>
      <c r="I169" s="2" t="s">
        <v>2268</v>
      </c>
      <c r="J169" s="9" t="str">
        <f>IFERROR(__xludf.DUMMYFUNCTION("IF(REGEXMATCH(TRIM(I169),""^[A-Za-z0-9._%+-]+@[A-Za-z0-9.-]+\.[A-Za-z]{2,}$""),""✅ Valid"",""❌ Invalid"")"),"✅ Valid")</f>
        <v>✅ Valid</v>
      </c>
      <c r="K169" s="13" t="s">
        <v>7854</v>
      </c>
      <c r="L169" s="2" t="str">
        <f>IFERROR(__xludf.DUMMYFUNCTION("IF(OR(K169=""N/A"", K169=""missing"", K169=""none""), """",
 REGEXREPLACE(
  SUBSTITUTE(SUBSTITUTE(SUBSTITUTE(TO_TEXT(K169), CHAR(160),""""), UNICHAR(8239),""""), UNICHAR(8201),""""),""[+\-/(): )]"", """"))"),"57740558518")</f>
        <v>57740558518</v>
      </c>
      <c r="M169" s="2" t="str">
        <f>IFERROR(__xludf.DUMMYFUNCTION("IF(L169="""","""", REGEXEXTRACT(REGEXREPLACE(L169,""x"", """"), ""[0-9]+""))"),"57740558518")</f>
        <v>57740558518</v>
      </c>
      <c r="N169" s="2" t="str">
        <f>IF(LEFT(M169,2)="44", RIGHT(M169,LEN(M169)-2),M169)</f>
        <v>57740558518</v>
      </c>
      <c r="O169" s="2" t="b">
        <f>IFERROR(__xludf.DUMMYFUNCTION("REGEXMATCH(TO_TEXT(N169), ""^07[1-57-9]"")"),FALSE)</f>
        <v>0</v>
      </c>
      <c r="P169" s="2">
        <f t="shared" si="81"/>
        <v>11</v>
      </c>
      <c r="Q169" s="9" t="str">
        <f>IF(AND(O169=TRUE, P169=11), "✅ VALID", "❌ INVALID")</f>
        <v>❌ INVALID</v>
      </c>
      <c r="R169" s="10" t="s">
        <v>114</v>
      </c>
      <c r="S169" s="12">
        <v>45281.0</v>
      </c>
      <c r="T169" s="2" t="str">
        <f>IFERROR(__xludf.DUMMYFUNCTION("IF(ISNUMBER(S169),TEXT(S169,""yyyy-MM-dd""),REGEXREPLACE(REGEXREPLACE(TO_TEXT(S169),""[^0-9a-zA-Z]+"",""-""),""[^0-9]*$"",""""))"),"2023-12-21")</f>
        <v>2023-12-21</v>
      </c>
      <c r="U169" s="2" t="s">
        <v>7855</v>
      </c>
      <c r="Y169" s="10" t="s">
        <v>7855</v>
      </c>
    </row>
    <row r="170" ht="15.75" customHeight="1">
      <c r="A170" s="2" t="s">
        <v>5691</v>
      </c>
      <c r="B170" s="9" t="s">
        <v>7597</v>
      </c>
      <c r="C170" s="2" t="s">
        <v>1939</v>
      </c>
      <c r="D170" s="10" t="str">
        <f>IFERROR(__xludf.DUMMYFUNCTION("PROPER(REGEXREPLACE(TRIM(C170),""\s+"","" ""))"),"Carlos Brown")</f>
        <v>Carlos Brown</v>
      </c>
      <c r="E170" s="2">
        <f>IFERROR(__xludf.DUMMYFUNCTION("IF(LEN(D170:D701),
  COUNTA(SPLIT(D170:D701,"" "")),
 """")"),2.0)</f>
        <v>2</v>
      </c>
      <c r="F170" s="9" t="str">
        <f t="shared" si="79"/>
        <v>✅</v>
      </c>
      <c r="G170" s="2" t="str">
        <f>IFERROR(__xludf.DUMMYFUNCTION("REGEXEXTRACT(PROPER(SUBSTITUTE(TRIM(I170),""."","" "")),""^[^@]+"")"),"Carlos Brown")</f>
        <v>Carlos Brown</v>
      </c>
      <c r="H170" s="10" t="str">
        <f t="shared" si="80"/>
        <v>carlos.brown@outlook.com</v>
      </c>
      <c r="I170" s="2" t="s">
        <v>1940</v>
      </c>
      <c r="J170" s="9" t="str">
        <f>IFERROR(__xludf.DUMMYFUNCTION("IF(REGEXMATCH(TRIM(I170),""^[A-Za-z0-9._%+-]+@[A-Za-z0-9.-]+\.[A-Za-z]{2,}$""),""✅ Valid"",""❌ Invalid"")"),"✅ Valid")</f>
        <v>✅ Valid</v>
      </c>
      <c r="K170" s="13" t="s">
        <v>7856</v>
      </c>
      <c r="L170" s="2" t="str">
        <f>IFERROR(__xludf.DUMMYFUNCTION("IF(OR(K170=""N/A"", K170=""missing"", K170=""none""), """",
 REGEXREPLACE(
  SUBSTITUTE(SUBSTITUTE(SUBSTITUTE(TO_TEXT(K170), CHAR(160),""""), UNICHAR(8239),""""), UNICHAR(8201),""""),""[+\-/(): )]"", """"))"),"4005406572")</f>
        <v>4005406572</v>
      </c>
      <c r="M170" s="2" t="str">
        <f>IFERROR(__xludf.DUMMYFUNCTION("IF(L170="""","""", REGEXEXTRACT(REGEXREPLACE(L170,""x"", """"), ""[0-9]+""))"),"4005406572")</f>
        <v>4005406572</v>
      </c>
      <c r="N170" s="2" t="str">
        <f>IF(LEFT(M170,2)="34", RIGHT(M170,LEN(M170)-2),M170)</f>
        <v>4005406572</v>
      </c>
      <c r="O170" s="2" t="b">
        <f>IFERROR(__xludf.DUMMYFUNCTION("REGEXMATCH(TO_TEXT(N170), ""^[67]"")"),FALSE)</f>
        <v>0</v>
      </c>
      <c r="P170" s="2">
        <f t="shared" si="81"/>
        <v>10</v>
      </c>
      <c r="Q170" s="9" t="str">
        <f>IF(AND(O170=TRUE, P170=9), "✅ VALID", "❌ INVALID")</f>
        <v>❌ INVALID</v>
      </c>
      <c r="R170" s="10" t="s">
        <v>139</v>
      </c>
      <c r="S170" s="12">
        <v>44877.0</v>
      </c>
      <c r="T170" s="2" t="str">
        <f>IFERROR(__xludf.DUMMYFUNCTION("IF(ISNUMBER(S170),TEXT(S170,""yyyy-MM-dd""),REGEXREPLACE(REGEXREPLACE(TO_TEXT(S170),""[^0-9a-zA-Z]+"",""-""),""[^0-9]*$"",""""))"),"2022-11-12")</f>
        <v>2022-11-12</v>
      </c>
      <c r="U170" s="2" t="s">
        <v>7857</v>
      </c>
      <c r="Y170" s="10" t="s">
        <v>7857</v>
      </c>
    </row>
    <row r="171" ht="15.75" customHeight="1">
      <c r="A171" s="2" t="s">
        <v>7254</v>
      </c>
      <c r="B171" s="9" t="s">
        <v>7597</v>
      </c>
      <c r="C171" s="2" t="s">
        <v>2001</v>
      </c>
      <c r="D171" s="10" t="str">
        <f>IFERROR(__xludf.DUMMYFUNCTION("PROPER(REGEXREPLACE(TRIM(C171),""\s+"","" ""))"),"Yara Dubois")</f>
        <v>Yara Dubois</v>
      </c>
      <c r="E171" s="2">
        <f>IFERROR(__xludf.DUMMYFUNCTION("IF(LEN(D171:D701),
  COUNTA(SPLIT(D171:D701,"" "")),
 """")"),2.0)</f>
        <v>2</v>
      </c>
      <c r="F171" s="9" t="str">
        <f t="shared" si="79"/>
        <v>✅</v>
      </c>
      <c r="G171" s="2" t="str">
        <f>IFERROR(__xludf.DUMMYFUNCTION("REGEXEXTRACT(PROPER(SUBSTITUTE(TRIM(I171),""."","" "")),""^[^@]+"")"),"Yara Dubois")</f>
        <v>Yara Dubois</v>
      </c>
      <c r="H171" s="10" t="str">
        <f t="shared" si="80"/>
        <v>yara.dubois@gmail.com</v>
      </c>
      <c r="I171" s="2" t="s">
        <v>2002</v>
      </c>
      <c r="J171" s="9" t="str">
        <f>IFERROR(__xludf.DUMMYFUNCTION("IF(REGEXMATCH(TRIM(I171),""^[A-Za-z0-9._%+-]+@[A-Za-z0-9.-]+\.[A-Za-z]{2,}$""),""✅ Valid"",""❌ Invalid"")"),"✅ Valid")</f>
        <v>✅ Valid</v>
      </c>
      <c r="K171" s="13" t="s">
        <v>7858</v>
      </c>
      <c r="L171" s="2" t="str">
        <f>IFERROR(__xludf.DUMMYFUNCTION("IF(OR(K171=""N/A"", K171=""missing"", K171=""none""), """",
 REGEXREPLACE(
  SUBSTITUTE(SUBSTITUTE(SUBSTITUTE(TO_TEXT(K171), CHAR(160),""""), UNICHAR(8239),""""), UNICHAR(8201),""""),""[+\-/(): )]"", """"))"),"42246376")</f>
        <v>42246376</v>
      </c>
      <c r="M171" s="2" t="str">
        <f>IFERROR(__xludf.DUMMYFUNCTION("IF(L171="""","""", REGEXEXTRACT(REGEXREPLACE(L171,""x"", """"), ""[0-9]+""))"),"42246376")</f>
        <v>42246376</v>
      </c>
      <c r="N171" s="2" t="str">
        <f>IF(LEFT(M171,3)="353", RIGHT(M171,LEN(M171)-3),M171)</f>
        <v>42246376</v>
      </c>
      <c r="O171" s="2" t="b">
        <f>IFERROR(__xludf.DUMMYFUNCTION("REGEXMATCH(TO_TEXT(N171), ""^0(83|85|86|87|89)"")"),FALSE)</f>
        <v>0</v>
      </c>
      <c r="P171" s="2">
        <f t="shared" si="81"/>
        <v>8</v>
      </c>
      <c r="Q171" s="9" t="str">
        <f>IF(AND(O171=TRUE, P168=10), "✅ VALID", "❌ INVALID")</f>
        <v>❌ INVALID</v>
      </c>
      <c r="R171" s="10" t="s">
        <v>1177</v>
      </c>
      <c r="S171" s="12" t="s">
        <v>3624</v>
      </c>
      <c r="T171" s="2" t="str">
        <f>IFERROR(__xludf.DUMMYFUNCTION("IF(ISNUMBER(S171),TEXT(S171,""yyyy-MM-dd""),REGEXREPLACE(REGEXREPLACE(TO_TEXT(S171),""[^0-9a-zA-Z]+"",""-""),""[^0-9]*$"",""""))"),"01-07-2023")</f>
        <v>01-07-2023</v>
      </c>
      <c r="U171" s="2" t="s">
        <v>7859</v>
      </c>
      <c r="Y171" s="10" t="s">
        <v>7859</v>
      </c>
    </row>
    <row r="172" ht="15.75" customHeight="1">
      <c r="A172" s="2" t="s">
        <v>1323</v>
      </c>
      <c r="B172" s="9" t="s">
        <v>7597</v>
      </c>
      <c r="C172" s="2" t="s">
        <v>2081</v>
      </c>
      <c r="D172" s="10" t="str">
        <f>IFERROR(__xludf.DUMMYFUNCTION("PROPER(REGEXREPLACE(TRIM(C172),""\s+"","" ""))"),"Bella King")</f>
        <v>Bella King</v>
      </c>
      <c r="E172" s="2">
        <f>IFERROR(__xludf.DUMMYFUNCTION("IF(LEN(D172:D701),
  COUNTA(SPLIT(D172:D701,"" "")),
 """")"),2.0)</f>
        <v>2</v>
      </c>
      <c r="F172" s="9" t="str">
        <f t="shared" si="79"/>
        <v>✅</v>
      </c>
      <c r="G172" s="2" t="str">
        <f>IFERROR(__xludf.DUMMYFUNCTION("REGEXEXTRACT(PROPER(SUBSTITUTE(TRIM(I172),""."","" "")),""^[^@]+"")"),"Bella King")</f>
        <v>Bella King</v>
      </c>
      <c r="H172" s="10" t="str">
        <f t="shared" si="80"/>
        <v>bella.king@gmail.com</v>
      </c>
      <c r="I172" s="2" t="s">
        <v>2082</v>
      </c>
      <c r="J172" s="9" t="str">
        <f>IFERROR(__xludf.DUMMYFUNCTION("IF(REGEXMATCH(TRIM(I172),""^[A-Za-z0-9._%+-]+@[A-Za-z0-9.-]+\.[A-Za-z]{2,}$""),""✅ Valid"",""❌ Invalid"")"),"✅ Valid")</f>
        <v>✅ Valid</v>
      </c>
      <c r="K172" s="13" t="s">
        <v>7860</v>
      </c>
      <c r="L172" s="2" t="str">
        <f>IFERROR(__xludf.DUMMYFUNCTION("IF(OR(K172=""N/A"", K172=""missing"", K172=""none""), """",
 REGEXREPLACE(
  SUBSTITUTE(SUBSTITUTE(SUBSTITUTE(TO_TEXT(K172), CHAR(160),""""), UNICHAR(8239),""""), UNICHAR(8201),""""),""[+\-/(): )]"", """"))"),"126923266739")</f>
        <v>126923266739</v>
      </c>
      <c r="M172" s="2" t="str">
        <f>IFERROR(__xludf.DUMMYFUNCTION("IF(L172="""","""", REGEXEXTRACT(REGEXREPLACE(L172,""x"", """"), ""[0-9]+""))"),"126923266739")</f>
        <v>126923266739</v>
      </c>
      <c r="N172" s="2" t="str">
        <f>IF(LEFT(M172,1)="1", RIGHT(M172,LEN(M172)-1),M172)</f>
        <v>26923266739</v>
      </c>
      <c r="O172" s="2" t="b">
        <f>IFERROR(__xludf.DUMMYFUNCTION("REGEXMATCH(TO_TEXT(N172), ""^[2-9][0-9]{9}$"")"),FALSE)</f>
        <v>0</v>
      </c>
      <c r="P172" s="2">
        <f t="shared" si="81"/>
        <v>11</v>
      </c>
      <c r="Q172" s="9" t="str">
        <f>IF(AND(O172=TRUE, P172=10), "✅ VALID", "❌ INVALID")</f>
        <v>❌ INVALID</v>
      </c>
      <c r="R172" s="10" t="s">
        <v>199</v>
      </c>
      <c r="S172" s="12">
        <v>44656.0</v>
      </c>
      <c r="T172" s="2" t="str">
        <f>IFERROR(__xludf.DUMMYFUNCTION("IF(ISNUMBER(S172),TEXT(S172,""yyyy-MM-dd""),REGEXREPLACE(REGEXREPLACE(TO_TEXT(S172),""[^0-9a-zA-Z]+"",""-""),""[^0-9]*$"",""""))"),"2022-04-05")</f>
        <v>2022-04-05</v>
      </c>
      <c r="U172" s="2" t="s">
        <v>7757</v>
      </c>
      <c r="Y172" s="10" t="s">
        <v>7757</v>
      </c>
    </row>
    <row r="173" ht="15.75" customHeight="1">
      <c r="A173" s="2" t="s">
        <v>6944</v>
      </c>
      <c r="B173" s="9" t="s">
        <v>7597</v>
      </c>
      <c r="C173" s="2" t="s">
        <v>2777</v>
      </c>
      <c r="D173" s="10" t="str">
        <f>IFERROR(__xludf.DUMMYFUNCTION("PROPER(REGEXREPLACE(TRIM(C173),""\s+"","" ""))"),"Fiona Taylor")</f>
        <v>Fiona Taylor</v>
      </c>
      <c r="E173" s="2">
        <f>IFERROR(__xludf.DUMMYFUNCTION("IF(LEN(D173:D701),
  COUNTA(SPLIT(D173:D701,"" "")),
 """")"),2.0)</f>
        <v>2</v>
      </c>
      <c r="F173" s="9" t="str">
        <f t="shared" si="79"/>
        <v>❌</v>
      </c>
      <c r="G173" s="2" t="s">
        <v>7861</v>
      </c>
      <c r="H173" s="10" t="str">
        <f t="shared" si="80"/>
        <v>fiona.taylory@ahoo.com</v>
      </c>
      <c r="I173" s="2" t="s">
        <v>2778</v>
      </c>
      <c r="J173" s="9" t="str">
        <f>IFERROR(__xludf.DUMMYFUNCTION("IF(REGEXMATCH(TRIM(I173),""^[A-Za-z0-9._%+-]+@[A-Za-z0-9.-]+\.[A-Za-z]{2,}$""),""✅ Valid"",""❌ Invalid"")"),"✅ Valid")</f>
        <v>✅ Valid</v>
      </c>
      <c r="K173" s="13" t="s">
        <v>7862</v>
      </c>
      <c r="L173" s="2" t="str">
        <f>IFERROR(__xludf.DUMMYFUNCTION("IF(OR(K173=""N/A"", K173=""missing"", K173=""none""), """",
 REGEXREPLACE(
  SUBSTITUTE(SUBSTITUTE(SUBSTITUTE(TO_TEXT(K173), CHAR(160),""""), UNICHAR(8239),""""), UNICHAR(8201),""""),""[+\-/(): )]"", """"))"),"72959482x77")</f>
        <v>72959482x77</v>
      </c>
      <c r="M173" s="2" t="str">
        <f>IFERROR(__xludf.DUMMYFUNCTION("IF(L173="""","""", REGEXEXTRACT(REGEXREPLACE(L173,""x"", """"), ""[0-9]+""))"),"7295948277")</f>
        <v>7295948277</v>
      </c>
      <c r="N173" s="2" t="str">
        <f>IF(LEFT(M173,2)="33", RIGHT(M173,LEN(M173)-2),M173)</f>
        <v>7295948277</v>
      </c>
      <c r="O173" s="2" t="b">
        <f>IFERROR(__xludf.DUMMYFUNCTION("REGEXMATCH(TO_TEXT(N173), ""^0[67]"")"),FALSE)</f>
        <v>0</v>
      </c>
      <c r="P173" s="2">
        <f t="shared" si="81"/>
        <v>10</v>
      </c>
      <c r="Q173" s="9" t="str">
        <f t="shared" ref="Q173:Q174" si="82">IF(AND(O173=TRUE, P173=9), "✅ VALID", "❌ INVALID")</f>
        <v>❌ INVALID</v>
      </c>
      <c r="R173" s="10" t="s">
        <v>58</v>
      </c>
      <c r="S173" s="12">
        <v>45548.0</v>
      </c>
      <c r="T173" s="2" t="str">
        <f>IFERROR(__xludf.DUMMYFUNCTION("IF(ISNUMBER(S173),TEXT(S173,""yyyy-MM-dd""),REGEXREPLACE(REGEXREPLACE(TO_TEXT(S173),""[^0-9a-zA-Z]+"",""-""),""[^0-9]*$"",""""))"),"2024-09-13")</f>
        <v>2024-09-13</v>
      </c>
      <c r="U173" s="2" t="s">
        <v>7732</v>
      </c>
      <c r="Y173" s="10" t="s">
        <v>7732</v>
      </c>
    </row>
    <row r="174" ht="15.75" customHeight="1">
      <c r="A174" s="2" t="s">
        <v>1020</v>
      </c>
      <c r="B174" s="9" t="s">
        <v>7597</v>
      </c>
      <c r="C174" s="2" t="s">
        <v>5692</v>
      </c>
      <c r="D174" s="10" t="str">
        <f>IFERROR(__xludf.DUMMYFUNCTION("PROPER(REGEXREPLACE(TRIM(C174),""\s+"","" ""))"),"Yara Davis")</f>
        <v>Yara Davis</v>
      </c>
      <c r="E174" s="2">
        <f>IFERROR(__xludf.DUMMYFUNCTION("IF(LEN(D174:D701),
  COUNTA(SPLIT(D174:D701,"" "")),
 """")"),2.0)</f>
        <v>2</v>
      </c>
      <c r="F174" s="9" t="str">
        <f t="shared" si="79"/>
        <v>✅</v>
      </c>
      <c r="G174" s="2" t="str">
        <f>IFERROR(__xludf.DUMMYFUNCTION("REGEXEXTRACT(PROPER(SUBSTITUTE(TRIM(I174),""."","" "")),""^[^@]+"")"),"Yara Davis")</f>
        <v>Yara Davis</v>
      </c>
      <c r="H174" s="10" t="str">
        <f t="shared" si="80"/>
        <v>yara.davis@example.com</v>
      </c>
      <c r="I174" s="2" t="s">
        <v>5693</v>
      </c>
      <c r="J174" s="9" t="str">
        <f>IFERROR(__xludf.DUMMYFUNCTION("IF(REGEXMATCH(TRIM(I174),""^[A-Za-z0-9._%+-]+@[A-Za-z0-9.-]+\.[A-Za-z]{2,}$""),""✅ Valid"",""❌ Invalid"")"),"✅ Valid")</f>
        <v>✅ Valid</v>
      </c>
      <c r="K174" s="17" t="s">
        <v>7863</v>
      </c>
      <c r="L174" s="2" t="str">
        <f>IFERROR(__xludf.DUMMYFUNCTION("IF(K174=""N/A"", """",
 REGEXREPLACE(
  SUBSTITUTE(SUBSTITUTE(SUBSTITUTE(TO_TEXT(K174), CHAR(160),""""), UNICHAR(8239),""""), UNICHAR(8201),""""),""[+\-/(): )]"", """"))"),"12888657")</f>
        <v>12888657</v>
      </c>
      <c r="M174" s="2" t="str">
        <f>IFERROR(__xludf.DUMMYFUNCTION("IF(L174="""","""", REGEXEXTRACT(REGEXREPLACE(L174,""x"", """"), ""[0-9]+""))"),"12888657")</f>
        <v>12888657</v>
      </c>
      <c r="N174" s="2" t="str">
        <f>IF(LEFT(M174,2)="48", RIGHT(M174,LEN(M174)-2),M174)</f>
        <v>12888657</v>
      </c>
      <c r="O174" s="2" t="b">
        <f>IFERROR(__xludf.DUMMYFUNCTION("REGEXMATCH(TO_TEXT(N174), ""^(5[013679]|6[069]|7[2-9]|88)"")"),FALSE)</f>
        <v>0</v>
      </c>
      <c r="Q174" s="9" t="str">
        <f t="shared" si="82"/>
        <v>❌ INVALID</v>
      </c>
      <c r="R174" s="10" t="s">
        <v>25</v>
      </c>
      <c r="S174" s="12">
        <v>45378.0</v>
      </c>
      <c r="T174" s="2" t="str">
        <f>IFERROR(__xludf.DUMMYFUNCTION("IF(ISNUMBER(S174),TEXT(S174,""yyyy-MM-dd""),REGEXREPLACE(REGEXREPLACE(TO_TEXT(S174),""[^0-9a-zA-Z]+"",""-""),""[^0-9]*$"",""""))"),"2024-03-27")</f>
        <v>2024-03-27</v>
      </c>
      <c r="U174" s="2" t="s">
        <v>7864</v>
      </c>
      <c r="Y174" s="10" t="s">
        <v>7864</v>
      </c>
    </row>
    <row r="175" ht="15.75" customHeight="1">
      <c r="A175" s="2" t="s">
        <v>4668</v>
      </c>
      <c r="B175" s="9" t="s">
        <v>7597</v>
      </c>
      <c r="C175" s="2" t="s">
        <v>4269</v>
      </c>
      <c r="D175" s="10" t="str">
        <f>IFERROR(__xludf.DUMMYFUNCTION("PROPER(REGEXREPLACE(TRIM(C175),""\s+"","" ""))"),"Lia Garcia")</f>
        <v>Lia Garcia</v>
      </c>
      <c r="E175" s="2">
        <f>IFERROR(__xludf.DUMMYFUNCTION("IF(LEN(D175:D701),
  COUNTA(SPLIT(D175:D701,"" "")),
 """")"),2.0)</f>
        <v>2</v>
      </c>
      <c r="F175" s="9" t="str">
        <f t="shared" si="79"/>
        <v>✅</v>
      </c>
      <c r="G175" s="2" t="str">
        <f>IFERROR(__xludf.DUMMYFUNCTION("REGEXEXTRACT(PROPER(SUBSTITUTE(TRIM(I175),""."","" "")),""^[^@]+"")"),"Lia Garcia")</f>
        <v>Lia Garcia</v>
      </c>
      <c r="H175" s="10" t="str">
        <f t="shared" si="80"/>
        <v>lia.garcia@example.com</v>
      </c>
      <c r="I175" s="2" t="s">
        <v>7255</v>
      </c>
      <c r="J175" s="9" t="str">
        <f>IFERROR(__xludf.DUMMYFUNCTION("IF(REGEXMATCH(TRIM(I175),""^[A-Za-z0-9._%+-]+@[A-Za-z0-9.-]+\.[A-Za-z]{2,}$""),""✅ Valid"",""❌ Invalid"")"),"✅ Valid")</f>
        <v>✅ Valid</v>
      </c>
      <c r="K175" s="13" t="s">
        <v>7865</v>
      </c>
      <c r="L175" s="2" t="str">
        <f>IFERROR(__xludf.DUMMYFUNCTION("IF(OR(K175=""N/A"", K175=""missing"", K175=""none""), """",
 REGEXREPLACE(
  SUBSTITUTE(SUBSTITUTE(SUBSTITUTE(TO_TEXT(K175), CHAR(160),""""), UNICHAR(8239),""""), UNICHAR(8201),""""),""[+\-/(): )]"", """"))"),"1092681449")</f>
        <v>1092681449</v>
      </c>
      <c r="M175" s="2" t="str">
        <f>IFERROR(__xludf.DUMMYFUNCTION("IF(L175="""","""", REGEXEXTRACT(REGEXREPLACE(L175,""x"", """"), ""[0-9]+""))"),"1092681449")</f>
        <v>1092681449</v>
      </c>
      <c r="N175" s="2" t="str">
        <f>IF(LEFT(M175,2)="39", RIGHT(M175,LEN(M175)-2),M175)</f>
        <v>1092681449</v>
      </c>
      <c r="O175" s="2" t="b">
        <f>IFERROR(__xludf.DUMMYFUNCTION("REGEXMATCH(TO_TEXT(N175), ""^3"")"),FALSE)</f>
        <v>0</v>
      </c>
      <c r="P175" s="2">
        <f t="shared" ref="P175:P177" si="83">LEN(N175)</f>
        <v>10</v>
      </c>
      <c r="Q175" s="9" t="str">
        <f>IF(AND(O175=TRUE,OR(P175=9, P175=10 )), "✅ VALID", "❌ INVALID")</f>
        <v>❌ INVALID</v>
      </c>
      <c r="R175" s="10" t="s">
        <v>785</v>
      </c>
      <c r="S175" s="12" t="s">
        <v>6270</v>
      </c>
      <c r="T175" s="2" t="str">
        <f>IFERROR(__xludf.DUMMYFUNCTION("IF(ISNUMBER(S175),TEXT(S175,""yyyy-MM-dd""),REGEXREPLACE(REGEXREPLACE(TO_TEXT(S175),""[^0-9a-zA-Z]+"",""-""),""[^0-9]*$"",""""))"),"44998-09-58")</f>
        <v>44998-09-58</v>
      </c>
      <c r="U175" s="2" t="str">
        <f>TEXT(T175,"yyyy-MM-dd")</f>
        <v>44998-09-58</v>
      </c>
      <c r="V175" s="2" t="str">
        <f>CONCATENATE(LEFT(U175,5))</f>
        <v>44998</v>
      </c>
      <c r="W175" s="14">
        <f>DATE(1900,1,1) + V175 - 1</f>
        <v>44999</v>
      </c>
      <c r="X175" s="2" t="s">
        <v>7866</v>
      </c>
      <c r="Y175" s="10" t="s">
        <v>7866</v>
      </c>
    </row>
    <row r="176" ht="15.75" customHeight="1">
      <c r="A176" s="2" t="s">
        <v>5883</v>
      </c>
      <c r="B176" s="9" t="s">
        <v>7597</v>
      </c>
      <c r="C176" s="2" t="s">
        <v>1324</v>
      </c>
      <c r="D176" s="10" t="str">
        <f>IFERROR(__xludf.DUMMYFUNCTION("PROPER(REGEXREPLACE(TRIM(C176),""\s+"","" ""))"),"Adam Lopez")</f>
        <v>Adam Lopez</v>
      </c>
      <c r="E176" s="2">
        <f>IFERROR(__xludf.DUMMYFUNCTION("IF(LEN(D176:D701),
  COUNTA(SPLIT(D176:D701,"" "")),
 """")"),2.0)</f>
        <v>2</v>
      </c>
      <c r="F176" s="9" t="str">
        <f t="shared" si="79"/>
        <v>❌</v>
      </c>
      <c r="G176" s="2" t="s">
        <v>7867</v>
      </c>
      <c r="H176" s="10" t="str">
        <f t="shared" si="80"/>
        <v>adaml.opez@yahoo.com</v>
      </c>
      <c r="I176" s="2" t="s">
        <v>1325</v>
      </c>
      <c r="J176" s="9" t="str">
        <f>IFERROR(__xludf.DUMMYFUNCTION("IF(REGEXMATCH(TRIM(I176),""^[A-Za-z0-9._%+-]+@[A-Za-z0-9.-]+\.[A-Za-z]{2,}$""),""✅ Valid"",""❌ Invalid"")"),"✅ Valid")</f>
        <v>✅ Valid</v>
      </c>
      <c r="K176" s="13" t="s">
        <v>7868</v>
      </c>
      <c r="L176" s="2" t="str">
        <f>IFERROR(__xludf.DUMMYFUNCTION("IF(OR(K176=""N/A"", K176=""missing"", K176=""none""), """",
 REGEXREPLACE(
  SUBSTITUTE(SUBSTITUTE(SUBSTITUTE(TO_TEXT(K176), CHAR(160),""""), UNICHAR(8239),""""), UNICHAR(8201),""""),""[+\-/(): )]"", """"))"),"49905967639")</f>
        <v>49905967639</v>
      </c>
      <c r="M176" s="2" t="str">
        <f>IFERROR(__xludf.DUMMYFUNCTION("IF(L176="""","""", REGEXEXTRACT(REGEXREPLACE(L176,""x"", """"), ""[0-9]+""))"),"49905967639")</f>
        <v>49905967639</v>
      </c>
      <c r="N176" s="2" t="str">
        <f>IF(LEFT(M176,2)="49", RIGHT(M176,LEN(M176)-2),M176)</f>
        <v>905967639</v>
      </c>
      <c r="O176" s="2" t="b">
        <f>IFERROR(__xludf.DUMMYFUNCTION("REGEXMATCH(TO_TEXT(N176), ""^0(15|16|17)"")"),FALSE)</f>
        <v>0</v>
      </c>
      <c r="P176" s="2">
        <f t="shared" si="83"/>
        <v>9</v>
      </c>
      <c r="Q176" s="9" t="str">
        <f>IF(AND(O176=TRUE,OR(P176=10, P176=11)), "✅ VALID", "❌ INVALID")</f>
        <v>❌ INVALID</v>
      </c>
      <c r="R176" s="10" t="s">
        <v>459</v>
      </c>
      <c r="S176" s="12">
        <v>45182.77291666667</v>
      </c>
      <c r="T176" s="2" t="str">
        <f>IFERROR(__xludf.DUMMYFUNCTION("IF(ISNUMBER(S176),TEXT(S176,""yyyy-MM-dd""),REGEXREPLACE(REGEXREPLACE(TO_TEXT(S176),""[^0-9a-zA-Z]+"",""-""),""[^0-9]*$"",""""))"),"2023-09-13")</f>
        <v>2023-09-13</v>
      </c>
      <c r="U176" s="2" t="s">
        <v>7869</v>
      </c>
      <c r="Y176" s="10" t="s">
        <v>7869</v>
      </c>
    </row>
    <row r="177" ht="15.75" customHeight="1">
      <c r="A177" s="2" t="s">
        <v>1006</v>
      </c>
      <c r="B177" s="9" t="s">
        <v>7597</v>
      </c>
      <c r="C177" s="2" t="s">
        <v>2755</v>
      </c>
      <c r="D177" s="10" t="str">
        <f>IFERROR(__xludf.DUMMYFUNCTION("PROPER(REGEXREPLACE(TRIM(C177),""\s+"","" ""))"),"Bella Lee")</f>
        <v>Bella Lee</v>
      </c>
      <c r="E177" s="2">
        <f>IFERROR(__xludf.DUMMYFUNCTION("IF(LEN(D177:D701),
  COUNTA(SPLIT(D177:D701,"" "")),
 """")"),2.0)</f>
        <v>2</v>
      </c>
      <c r="F177" s="9" t="str">
        <f t="shared" si="79"/>
        <v>✅</v>
      </c>
      <c r="G177" s="2" t="str">
        <f>IFERROR(__xludf.DUMMYFUNCTION("REGEXEXTRACT(PROPER(SUBSTITUTE(TRIM(I177),""."","" "")),""^[^@]+"")"),"Bella Lee")</f>
        <v>Bella Lee</v>
      </c>
      <c r="H177" s="10" t="str">
        <f t="shared" si="80"/>
        <v>bella.lee@example.com</v>
      </c>
      <c r="I177" s="2" t="s">
        <v>6945</v>
      </c>
      <c r="J177" s="9" t="str">
        <f>IFERROR(__xludf.DUMMYFUNCTION("IF(REGEXMATCH(TRIM(I177),""^[A-Za-z0-9._%+-]+@[A-Za-z0-9.-]+\.[A-Za-z]{2,}$""),""✅ Valid"",""❌ Invalid"")"),"✅ Valid")</f>
        <v>✅ Valid</v>
      </c>
      <c r="K177" s="13" t="s">
        <v>7870</v>
      </c>
      <c r="L177" s="2" t="str">
        <f>IFERROR(__xludf.DUMMYFUNCTION("IF(OR(K177=""N/A"", K177=""missing"", K177=""none""), """",
 REGEXREPLACE(
  SUBSTITUTE(SUBSTITUTE(SUBSTITUTE(TO_TEXT(K177), CHAR(160),""""), UNICHAR(8239),""""), UNICHAR(8201),""""),""[+\-/(): )]"", """"))"),"74x9365122")</f>
        <v>74x9365122</v>
      </c>
      <c r="M177" s="2" t="str">
        <f>IFERROR(__xludf.DUMMYFUNCTION("IF(L177="""","""", REGEXEXTRACT(REGEXREPLACE(L177,""x"", """"), ""[0-9]+""))"),"749365122")</f>
        <v>749365122</v>
      </c>
      <c r="N177" s="2" t="str">
        <f>IF(LEFT(M177,2)="33", RIGHT(M177,LEN(M177)-2),M177)</f>
        <v>749365122</v>
      </c>
      <c r="O177" s="2" t="b">
        <f>IFERROR(__xludf.DUMMYFUNCTION("REGEXMATCH(TO_TEXT(N177), ""^0[67]"")"),FALSE)</f>
        <v>0</v>
      </c>
      <c r="P177" s="2">
        <f t="shared" si="83"/>
        <v>9</v>
      </c>
      <c r="Q177" s="9" t="str">
        <f t="shared" ref="Q177:Q178" si="84">IF(AND(O177=TRUE, P177=9), "✅ VALID", "❌ INVALID")</f>
        <v>❌ INVALID</v>
      </c>
      <c r="R177" s="10" t="s">
        <v>58</v>
      </c>
      <c r="S177" s="12" t="s">
        <v>6749</v>
      </c>
      <c r="T177" s="2" t="str">
        <f>IFERROR(__xludf.DUMMYFUNCTION("IF(ISNUMBER(S177),TEXT(S177,""yyyy-MM-dd""),REGEXREPLACE(REGEXREPLACE(TO_TEXT(S177),""[^0-9a-zA-Z]+"",""-""),""[^0-9]*$"",""""))"),"45852-12-11")</f>
        <v>45852-12-11</v>
      </c>
      <c r="U177" s="2" t="str">
        <f>TEXT(T177,"yyyy-MM-dd")</f>
        <v>45852-12-11</v>
      </c>
      <c r="V177" s="2" t="str">
        <f>CONCATENATE(LEFT(U177,5))</f>
        <v>45852</v>
      </c>
      <c r="W177" s="14">
        <f>DATE(1900,1,1) + V177 - 1</f>
        <v>45853</v>
      </c>
      <c r="X177" s="2" t="s">
        <v>7871</v>
      </c>
      <c r="Y177" s="10" t="s">
        <v>7871</v>
      </c>
    </row>
    <row r="178" ht="15.75" customHeight="1">
      <c r="A178" s="2" t="s">
        <v>2073</v>
      </c>
      <c r="B178" s="9" t="s">
        <v>7597</v>
      </c>
      <c r="C178" s="2" t="s">
        <v>1021</v>
      </c>
      <c r="D178" s="10" t="str">
        <f>IFERROR(__xludf.DUMMYFUNCTION("PROPER(REGEXREPLACE(TRIM(C178),""\s+"","" ""))"),"Bella Muller")</f>
        <v>Bella Muller</v>
      </c>
      <c r="E178" s="2">
        <f>IFERROR(__xludf.DUMMYFUNCTION("IF(LEN(D178:D701),
  COUNTA(SPLIT(D178:D701,"" "")),
 """")"),2.0)</f>
        <v>2</v>
      </c>
      <c r="F178" s="9" t="str">
        <f t="shared" si="79"/>
        <v>✅</v>
      </c>
      <c r="G178" s="2" t="str">
        <f>IFERROR(__xludf.DUMMYFUNCTION("REGEXEXTRACT(PROPER(SUBSTITUTE(TRIM(I178),""."","" "")),""^[^@]+"")"),"Bella Muller")</f>
        <v>Bella Muller</v>
      </c>
      <c r="H178" s="10" t="str">
        <f t="shared" si="80"/>
        <v>bella.muller@gmail.com</v>
      </c>
      <c r="I178" s="2" t="s">
        <v>1022</v>
      </c>
      <c r="J178" s="9" t="str">
        <f>IFERROR(__xludf.DUMMYFUNCTION("IF(REGEXMATCH(TRIM(I178),""^[A-Za-z0-9._%+-]+@[A-Za-z0-9.-]+\.[A-Za-z]{2,}$""),""✅ Valid"",""❌ Invalid"")"),"✅ Valid")</f>
        <v>✅ Valid</v>
      </c>
      <c r="K178" s="17" t="s">
        <v>7872</v>
      </c>
      <c r="L178" s="2" t="str">
        <f>IFERROR(__xludf.DUMMYFUNCTION("IF(K178=""N/A"", """",
 REGEXREPLACE(
  SUBSTITUTE(SUBSTITUTE(SUBSTITUTE(TO_TEXT(K178), CHAR(160),""""), UNICHAR(8239),""""), UNICHAR(8201),""""),""[+\-/(): )]"", """"))"),"4890459474")</f>
        <v>4890459474</v>
      </c>
      <c r="M178" s="2" t="str">
        <f>IFERROR(__xludf.DUMMYFUNCTION("IF(L178="""","""", REGEXEXTRACT(REGEXREPLACE(L178,""x"", """"), ""[0-9]+""))"),"4890459474")</f>
        <v>4890459474</v>
      </c>
      <c r="N178" s="2" t="str">
        <f>IF(LEFT(M178,2)="48", RIGHT(M178,LEN(M178)-2),M178)</f>
        <v>90459474</v>
      </c>
      <c r="O178" s="2" t="b">
        <f>IFERROR(__xludf.DUMMYFUNCTION("REGEXMATCH(TO_TEXT(N178), ""^(5[013679]|6[069]|7[2-9]|88)"")"),FALSE)</f>
        <v>0</v>
      </c>
      <c r="Q178" s="9" t="str">
        <f t="shared" si="84"/>
        <v>❌ INVALID</v>
      </c>
      <c r="R178" s="10" t="s">
        <v>25</v>
      </c>
      <c r="S178" s="12">
        <v>44645.86597222222</v>
      </c>
      <c r="T178" s="2" t="str">
        <f>IFERROR(__xludf.DUMMYFUNCTION("IF(ISNUMBER(S178),TEXT(S178,""yyyy-MM-dd""),REGEXREPLACE(REGEXREPLACE(TO_TEXT(S178),""[^0-9a-zA-Z]+"",""-""),""[^0-9]*$"",""""))"),"2022-03-25")</f>
        <v>2022-03-25</v>
      </c>
      <c r="U178" s="2" t="s">
        <v>7808</v>
      </c>
      <c r="Y178" s="10" t="s">
        <v>7808</v>
      </c>
    </row>
    <row r="179" ht="15.75" customHeight="1">
      <c r="A179" s="2" t="s">
        <v>2134</v>
      </c>
      <c r="B179" s="9" t="s">
        <v>7597</v>
      </c>
      <c r="C179" s="2" t="s">
        <v>4669</v>
      </c>
      <c r="D179" s="10" t="str">
        <f>IFERROR(__xludf.DUMMYFUNCTION("PROPER(REGEXREPLACE(TRIM(C179),""\s+"","" ""))"),"Tara Muller")</f>
        <v>Tara Muller</v>
      </c>
      <c r="E179" s="2">
        <f>IFERROR(__xludf.DUMMYFUNCTION("IF(LEN(D179:D701),
  COUNTA(SPLIT(D179:D701,"" "")),
 """")"),2.0)</f>
        <v>2</v>
      </c>
      <c r="F179" s="9" t="str">
        <f t="shared" si="79"/>
        <v>✅</v>
      </c>
      <c r="G179" s="2" t="str">
        <f>IFERROR(__xludf.DUMMYFUNCTION("REGEXEXTRACT(PROPER(SUBSTITUTE(TRIM(I179),""."","" "")),""^[^@]+"")"),"Tara Muller")</f>
        <v>Tara Muller</v>
      </c>
      <c r="H179" s="10" t="str">
        <f t="shared" si="80"/>
        <v>tara.muller@gmail.com</v>
      </c>
      <c r="I179" s="2" t="s">
        <v>4670</v>
      </c>
      <c r="J179" s="9" t="str">
        <f>IFERROR(__xludf.DUMMYFUNCTION("IF(REGEXMATCH(TRIM(I179),""^[A-Za-z0-9._%+-]+@[A-Za-z0-9.-]+\.[A-Za-z]{2,}$""),""✅ Valid"",""❌ Invalid"")"),"✅ Valid")</f>
        <v>✅ Valid</v>
      </c>
      <c r="K179" s="13" t="s">
        <v>7873</v>
      </c>
      <c r="L179" s="2" t="str">
        <f>IFERROR(__xludf.DUMMYFUNCTION("IF(OR(K179=""N/A"", K179=""missing"", K179=""none""), """",
 REGEXREPLACE(
  SUBSTITUTE(SUBSTITUTE(SUBSTITUTE(TO_TEXT(K179), CHAR(160),""""), UNICHAR(8239),""""), UNICHAR(8201),""""),""[+\-/(): )]"", """"))"),"820952379")</f>
        <v>820952379</v>
      </c>
      <c r="M179" s="2" t="str">
        <f>IFERROR(__xludf.DUMMYFUNCTION("IF(L179="""","""", REGEXEXTRACT(REGEXREPLACE(L179,""x"", """"), ""[0-9]+""))"),"820952379")</f>
        <v>820952379</v>
      </c>
      <c r="N179" s="2" t="str">
        <f>IF(LEFT(M179,3)="353", RIGHT(M179,LEN(M179)-3),M179)</f>
        <v>820952379</v>
      </c>
      <c r="O179" s="2" t="b">
        <f>IFERROR(__xludf.DUMMYFUNCTION("REGEXMATCH(TO_TEXT(N179), ""^0(83|85|86|87|89)"")"),FALSE)</f>
        <v>0</v>
      </c>
      <c r="P179" s="2">
        <f t="shared" ref="P179:P192" si="85">LEN(N179)</f>
        <v>9</v>
      </c>
      <c r="Q179" s="9" t="str">
        <f>IF(AND(O179=TRUE, P176=10), "✅ VALID", "❌ INVALID")</f>
        <v>❌ INVALID</v>
      </c>
      <c r="R179" s="10" t="s">
        <v>1177</v>
      </c>
      <c r="S179" s="12">
        <v>45748.0</v>
      </c>
      <c r="T179" s="2" t="str">
        <f>IFERROR(__xludf.DUMMYFUNCTION("IF(ISNUMBER(S179),TEXT(S179,""yyyy-MM-dd""),REGEXREPLACE(REGEXREPLACE(TO_TEXT(S179),""[^0-9a-zA-Z]+"",""-""),""[^0-9]*$"",""""))"),"2025-04-01")</f>
        <v>2025-04-01</v>
      </c>
      <c r="U179" s="2" t="s">
        <v>7874</v>
      </c>
      <c r="Y179" s="10" t="s">
        <v>7874</v>
      </c>
    </row>
    <row r="180" ht="15.75" customHeight="1">
      <c r="A180" s="2" t="s">
        <v>6874</v>
      </c>
      <c r="B180" s="9" t="s">
        <v>7597</v>
      </c>
      <c r="C180" s="2" t="s">
        <v>418</v>
      </c>
      <c r="D180" s="10" t="str">
        <f>IFERROR(__xludf.DUMMYFUNCTION("PROPER(REGEXREPLACE(TRIM(C180),""\s+"","" ""))"),"Lia Davis")</f>
        <v>Lia Davis</v>
      </c>
      <c r="E180" s="2">
        <f>IFERROR(__xludf.DUMMYFUNCTION("IF(LEN(D180:D701),
  COUNTA(SPLIT(D180:D701,"" "")),
 """")"),2.0)</f>
        <v>2</v>
      </c>
      <c r="F180" s="9" t="str">
        <f t="shared" si="79"/>
        <v>✅</v>
      </c>
      <c r="G180" s="2" t="str">
        <f>IFERROR(__xludf.DUMMYFUNCTION("REGEXEXTRACT(PROPER(SUBSTITUTE(TRIM(I180),""."","" "")),""^[^@]+"")"),"Lia Davis")</f>
        <v>Lia Davis</v>
      </c>
      <c r="H180" s="10" t="str">
        <f t="shared" si="80"/>
        <v>lia.davis@company.co.uk</v>
      </c>
      <c r="I180" s="2" t="s">
        <v>5884</v>
      </c>
      <c r="J180" s="9" t="str">
        <f>IFERROR(__xludf.DUMMYFUNCTION("IF(REGEXMATCH(TRIM(I180),""^[A-Za-z0-9._%+-]+@[A-Za-z0-9.-]+\.[A-Za-z]{2,}$""),""✅ Valid"",""❌ Invalid"")"),"✅ Valid")</f>
        <v>✅ Valid</v>
      </c>
      <c r="K180" s="13" t="s">
        <v>7875</v>
      </c>
      <c r="L180" s="2" t="str">
        <f>IFERROR(__xludf.DUMMYFUNCTION("IF(OR(K180=""N/A"", K180=""missing"", K180=""none""), """",
 REGEXREPLACE(
  SUBSTITUTE(SUBSTITUTE(SUBSTITUTE(TO_TEXT(K180), CHAR(160),""""), UNICHAR(8239),""""), UNICHAR(8201),""""),""[+\-/(): )]"", """"))"),"30835732x14")</f>
        <v>30835732x14</v>
      </c>
      <c r="M180" s="2" t="str">
        <f>IFERROR(__xludf.DUMMYFUNCTION("IF(L180="""","""", REGEXEXTRACT(REGEXREPLACE(L180,""x"", """"), ""[0-9]+""))"),"3083573214")</f>
        <v>3083573214</v>
      </c>
      <c r="N180" s="2" t="str">
        <f>IF(LEFT(M180,2)="44", RIGHT(M180,LEN(M180)-2),M180)</f>
        <v>3083573214</v>
      </c>
      <c r="O180" s="2" t="b">
        <f>IFERROR(__xludf.DUMMYFUNCTION("REGEXMATCH(TO_TEXT(N180), ""^07[1-57-9]"")"),FALSE)</f>
        <v>0</v>
      </c>
      <c r="P180" s="2">
        <f t="shared" si="85"/>
        <v>10</v>
      </c>
      <c r="Q180" s="9" t="str">
        <f>IF(AND(O180=TRUE, P180=11), "✅ VALID", "❌ INVALID")</f>
        <v>❌ INVALID</v>
      </c>
      <c r="R180" s="10" t="s">
        <v>114</v>
      </c>
      <c r="S180" s="12">
        <v>45201.0</v>
      </c>
      <c r="T180" s="2" t="str">
        <f>IFERROR(__xludf.DUMMYFUNCTION("IF(ISNUMBER(S180),TEXT(S180,""yyyy-MM-dd""),REGEXREPLACE(REGEXREPLACE(TO_TEXT(S180),""[^0-9a-zA-Z]+"",""-""),""[^0-9]*$"",""""))"),"2023-10-02")</f>
        <v>2023-10-02</v>
      </c>
      <c r="U180" s="2" t="s">
        <v>3155</v>
      </c>
      <c r="Y180" s="10" t="s">
        <v>3155</v>
      </c>
    </row>
    <row r="181" ht="15.75" customHeight="1">
      <c r="A181" s="2" t="s">
        <v>5659</v>
      </c>
      <c r="B181" s="9" t="s">
        <v>7597</v>
      </c>
      <c r="C181" s="2" t="s">
        <v>1007</v>
      </c>
      <c r="D181" s="10" t="str">
        <f>IFERROR(__xludf.DUMMYFUNCTION("PROPER(REGEXREPLACE(TRIM(C181),""\s+"","" ""))"),"Fiona Kowalczyk")</f>
        <v>Fiona Kowalczyk</v>
      </c>
      <c r="E181" s="2">
        <f>IFERROR(__xludf.DUMMYFUNCTION("IF(LEN(D181:D701),
  COUNTA(SPLIT(D181:D701,"" "")),
 """")"),2.0)</f>
        <v>2</v>
      </c>
      <c r="F181" s="9" t="str">
        <f t="shared" si="79"/>
        <v>✅</v>
      </c>
      <c r="G181" s="2" t="str">
        <f>IFERROR(__xludf.DUMMYFUNCTION("REGEXEXTRACT(PROPER(SUBSTITUTE(TRIM(I181),""."","" "")),""^[^@]+"")"),"Fiona Kowalczyk")</f>
        <v>Fiona Kowalczyk</v>
      </c>
      <c r="H181" s="10" t="str">
        <f t="shared" si="80"/>
        <v>fiona.kowalczyk@outlook.com</v>
      </c>
      <c r="I181" s="2" t="s">
        <v>1008</v>
      </c>
      <c r="J181" s="9" t="str">
        <f>IFERROR(__xludf.DUMMYFUNCTION("IF(REGEXMATCH(TRIM(I181),""^[A-Za-z0-9._%+-]+@[A-Za-z0-9.-]+\.[A-Za-z]{2,}$""),""✅ Valid"",""❌ Invalid"")"),"✅ Valid")</f>
        <v>✅ Valid</v>
      </c>
      <c r="K181" s="13" t="s">
        <v>7876</v>
      </c>
      <c r="L181" s="2" t="str">
        <f>IFERROR(__xludf.DUMMYFUNCTION("IF(OR(K181=""N/A"", K181=""missing"", K181=""none""), """",
 REGEXREPLACE(
  SUBSTITUTE(SUBSTITUTE(SUBSTITUTE(TO_TEXT(K181), CHAR(160),""""), UNICHAR(8239),""""), UNICHAR(8201),""""),""[+\-/(): )]"", """"))"),"54938949")</f>
        <v>54938949</v>
      </c>
      <c r="M181" s="2" t="str">
        <f>IFERROR(__xludf.DUMMYFUNCTION("IF(L181="""","""", REGEXEXTRACT(REGEXREPLACE(L181,""x"", """"), ""[0-9]+""))"),"54938949")</f>
        <v>54938949</v>
      </c>
      <c r="N181" s="2" t="str">
        <f>IF(LEFT(M181,2)="33", RIGHT(M181,LEN(M181)-2),M181)</f>
        <v>54938949</v>
      </c>
      <c r="O181" s="2" t="b">
        <f>IFERROR(__xludf.DUMMYFUNCTION("REGEXMATCH(TO_TEXT(N181), ""^0[67]"")"),FALSE)</f>
        <v>0</v>
      </c>
      <c r="P181" s="2">
        <f t="shared" si="85"/>
        <v>8</v>
      </c>
      <c r="Q181" s="9" t="str">
        <f>IF(AND(O181=TRUE, P181=9), "✅ VALID", "❌ INVALID")</f>
        <v>❌ INVALID</v>
      </c>
      <c r="R181" s="10" t="s">
        <v>58</v>
      </c>
      <c r="S181" s="12">
        <v>44894.0</v>
      </c>
      <c r="T181" s="2" t="str">
        <f>IFERROR(__xludf.DUMMYFUNCTION("IF(ISNUMBER(S181),TEXT(S181,""yyyy-MM-dd""),REGEXREPLACE(REGEXREPLACE(TO_TEXT(S181),""[^0-9a-zA-Z]+"",""-""),""[^0-9]*$"",""""))"),"2022-11-29")</f>
        <v>2022-11-29</v>
      </c>
      <c r="U181" s="2" t="s">
        <v>6829</v>
      </c>
      <c r="Y181" s="10" t="s">
        <v>6829</v>
      </c>
    </row>
    <row r="182" ht="15.75" customHeight="1">
      <c r="A182" s="2" t="s">
        <v>2431</v>
      </c>
      <c r="B182" s="9" t="s">
        <v>7597</v>
      </c>
      <c r="C182" s="2" t="s">
        <v>2074</v>
      </c>
      <c r="D182" s="10" t="str">
        <f>IFERROR(__xludf.DUMMYFUNCTION("PROPER(REGEXREPLACE(TRIM(C182),""\s+"","" ""))"),"Fiona Rodriguez")</f>
        <v>Fiona Rodriguez</v>
      </c>
      <c r="E182" s="2">
        <f>IFERROR(__xludf.DUMMYFUNCTION("IF(LEN(D182:D701),
  COUNTA(SPLIT(D182:D701,"" "")),
 """")"),2.0)</f>
        <v>2</v>
      </c>
      <c r="F182" s="9" t="str">
        <f t="shared" si="79"/>
        <v>✅</v>
      </c>
      <c r="G182" s="2" t="str">
        <f>IFERROR(__xludf.DUMMYFUNCTION("REGEXEXTRACT(PROPER(SUBSTITUTE(TRIM(I182),""."","" "")),""^[^@]+"")"),"Fiona Rodriguez")</f>
        <v>Fiona Rodriguez</v>
      </c>
      <c r="H182" s="10" t="str">
        <f t="shared" si="80"/>
        <v>fiona.rodriguez@gmail.com</v>
      </c>
      <c r="I182" s="2" t="s">
        <v>2075</v>
      </c>
      <c r="J182" s="9" t="str">
        <f>IFERROR(__xludf.DUMMYFUNCTION("IF(REGEXMATCH(TRIM(I182),""^[A-Za-z0-9._%+-]+@[A-Za-z0-9.-]+\.[A-Za-z]{2,}$""),""✅ Valid"",""❌ Invalid"")"),"✅ Valid")</f>
        <v>✅ Valid</v>
      </c>
      <c r="K182" s="13" t="s">
        <v>7877</v>
      </c>
      <c r="L182" s="2" t="str">
        <f>IFERROR(__xludf.DUMMYFUNCTION("IF(OR(K182=""N/A"", K182=""missing"", K182=""none""), """",
 REGEXREPLACE(
  SUBSTITUTE(SUBSTITUTE(SUBSTITUTE(TO_TEXT(K182), CHAR(160),""""), UNICHAR(8239),""""), UNICHAR(8201),""""),""[+\-/(): )]"", """"))"),"2017343532")</f>
        <v>2017343532</v>
      </c>
      <c r="M182" s="2" t="str">
        <f>IFERROR(__xludf.DUMMYFUNCTION("IF(L182="""","""", REGEXEXTRACT(REGEXREPLACE(L182,""x"", """"), ""[0-9]+""))"),"2017343532")</f>
        <v>2017343532</v>
      </c>
      <c r="N182" s="2" t="str">
        <f>IF(LEFT(M182,1)="1", RIGHT(M182,LEN(M182)-1),M182)</f>
        <v>2017343532</v>
      </c>
      <c r="O182" s="2" t="b">
        <f>IFERROR(__xludf.DUMMYFUNCTION("REGEXMATCH(TO_TEXT(N182), ""^[2-9][0-9]{9}$"")"),TRUE)</f>
        <v>1</v>
      </c>
      <c r="P182" s="2">
        <f t="shared" si="85"/>
        <v>10</v>
      </c>
      <c r="Q182" s="9" t="str">
        <f>IF(AND(O182=TRUE, P182=10), "✅ VALID", "❌ INVALID")</f>
        <v>✅ VALID</v>
      </c>
      <c r="R182" s="10" t="s">
        <v>199</v>
      </c>
      <c r="S182" s="12">
        <v>45384.0</v>
      </c>
      <c r="T182" s="2" t="str">
        <f>IFERROR(__xludf.DUMMYFUNCTION("IF(ISNUMBER(S182),TEXT(S182,""yyyy-MM-dd""),REGEXREPLACE(REGEXREPLACE(TO_TEXT(S182),""[^0-9a-zA-Z]+"",""-""),""[^0-9]*$"",""""))"),"2024-04-02")</f>
        <v>2024-04-02</v>
      </c>
      <c r="U182" s="2" t="s">
        <v>7837</v>
      </c>
      <c r="Y182" s="10" t="s">
        <v>7837</v>
      </c>
    </row>
    <row r="183" ht="15.75" customHeight="1">
      <c r="A183" s="2" t="s">
        <v>4720</v>
      </c>
      <c r="B183" s="9" t="s">
        <v>7597</v>
      </c>
      <c r="C183" s="2" t="s">
        <v>2135</v>
      </c>
      <c r="D183" s="10" t="str">
        <f>IFERROR(__xludf.DUMMYFUNCTION("PROPER(REGEXREPLACE(TRIM(C183),""\s+"","" ""))"),"Yara Johnson")</f>
        <v>Yara Johnson</v>
      </c>
      <c r="E183" s="2">
        <f>IFERROR(__xludf.DUMMYFUNCTION("IF(LEN(D183:D701),
  COUNTA(SPLIT(D183:D701,"" "")),
 """")"),2.0)</f>
        <v>2</v>
      </c>
      <c r="F183" s="9" t="str">
        <f t="shared" si="79"/>
        <v>✅</v>
      </c>
      <c r="G183" s="2" t="str">
        <f>IFERROR(__xludf.DUMMYFUNCTION("REGEXEXTRACT(PROPER(SUBSTITUTE(TRIM(I183),""."","" "")),""^[^@]+"")"),"Yara Johnson")</f>
        <v>Yara Johnson</v>
      </c>
      <c r="H183" s="10" t="str">
        <f t="shared" si="80"/>
        <v>yara.johnson@gmail.com</v>
      </c>
      <c r="I183" s="2" t="s">
        <v>2136</v>
      </c>
      <c r="J183" s="9" t="str">
        <f>IFERROR(__xludf.DUMMYFUNCTION("IF(REGEXMATCH(TRIM(I183),""^[A-Za-z0-9._%+-]+@[A-Za-z0-9.-]+\.[A-Za-z]{2,}$""),""✅ Valid"",""❌ Invalid"")"),"✅ Valid")</f>
        <v>✅ Valid</v>
      </c>
      <c r="K183" s="13" t="s">
        <v>7878</v>
      </c>
      <c r="L183" s="2" t="str">
        <f>IFERROR(__xludf.DUMMYFUNCTION("IF(OR(K183=""N/A"", K183=""missing"", K183=""none""), """",
 REGEXREPLACE(
  SUBSTITUTE(SUBSTITUTE(SUBSTITUTE(TO_TEXT(K183), CHAR(160),""""), UNICHAR(8239),""""), UNICHAR(8201),""""),""[+\-/(): )]"", """"))"),"49127002595")</f>
        <v>49127002595</v>
      </c>
      <c r="M183" s="2" t="str">
        <f>IFERROR(__xludf.DUMMYFUNCTION("IF(L183="""","""", REGEXEXTRACT(REGEXREPLACE(L183,""x"", """"), ""[0-9]+""))"),"49127002595")</f>
        <v>49127002595</v>
      </c>
      <c r="N183" s="2" t="str">
        <f>IF(LEFT(M183,2)="49", RIGHT(M183,LEN(M183)-2),M183)</f>
        <v>127002595</v>
      </c>
      <c r="O183" s="2" t="b">
        <f>IFERROR(__xludf.DUMMYFUNCTION("REGEXMATCH(TO_TEXT(N183), ""^0(15|16|17)"")"),FALSE)</f>
        <v>0</v>
      </c>
      <c r="P183" s="2">
        <f t="shared" si="85"/>
        <v>9</v>
      </c>
      <c r="Q183" s="9" t="str">
        <f>IF(AND(O183=TRUE,OR(P183=10, P183=11)), "✅ VALID", "❌ INVALID")</f>
        <v>❌ INVALID</v>
      </c>
      <c r="R183" s="10" t="s">
        <v>459</v>
      </c>
      <c r="S183" s="12">
        <v>44735.149305555555</v>
      </c>
      <c r="T183" s="2" t="str">
        <f>IFERROR(__xludf.DUMMYFUNCTION("IF(ISNUMBER(S183),TEXT(S183,""yyyy-MM-dd""),REGEXREPLACE(REGEXREPLACE(TO_TEXT(S183),""[^0-9a-zA-Z]+"",""-""),""[^0-9]*$"",""""))"),"2022-06-23")</f>
        <v>2022-06-23</v>
      </c>
      <c r="U183" s="2" t="s">
        <v>6914</v>
      </c>
      <c r="Y183" s="10" t="s">
        <v>6914</v>
      </c>
    </row>
    <row r="184" ht="15.75" customHeight="1">
      <c r="A184" s="2" t="s">
        <v>1601</v>
      </c>
      <c r="B184" s="9" t="s">
        <v>7597</v>
      </c>
      <c r="C184" s="2" t="s">
        <v>6875</v>
      </c>
      <c r="D184" s="10" t="str">
        <f>IFERROR(__xludf.DUMMYFUNCTION("PROPER(REGEXREPLACE(TRIM(C184),""\s+"","" ""))"),"Wiktor Lee")</f>
        <v>Wiktor Lee</v>
      </c>
      <c r="E184" s="2">
        <f>IFERROR(__xludf.DUMMYFUNCTION("IF(LEN(D184:D701),
  COUNTA(SPLIT(D184:D701,"" "")),
 """")"),2.0)</f>
        <v>2</v>
      </c>
      <c r="F184" s="9" t="str">
        <f t="shared" si="79"/>
        <v>✅</v>
      </c>
      <c r="G184" s="2" t="str">
        <f>IFERROR(__xludf.DUMMYFUNCTION("REGEXEXTRACT(PROPER(SUBSTITUTE(TRIM(I184),""."","" "")),""^[^@]+"")"),"Wiktor Lee")</f>
        <v>Wiktor Lee</v>
      </c>
      <c r="H184" s="10" t="str">
        <f t="shared" si="80"/>
        <v>wiktor.lee@company.co.uk</v>
      </c>
      <c r="I184" s="2" t="s">
        <v>6876</v>
      </c>
      <c r="J184" s="9" t="str">
        <f>IFERROR(__xludf.DUMMYFUNCTION("IF(REGEXMATCH(TRIM(I184),""^[A-Za-z0-9._%+-]+@[A-Za-z0-9.-]+\.[A-Za-z]{2,}$""),""✅ Valid"",""❌ Invalid"")"),"✅ Valid")</f>
        <v>✅ Valid</v>
      </c>
      <c r="K184" s="11">
        <v>2.418691143E9</v>
      </c>
      <c r="L184" s="2" t="str">
        <f>IFERROR(__xludf.DUMMYFUNCTION("IF(OR(K184=""N/A"", K184=""missing"", K184=""none""), """",
 REGEXREPLACE(
  SUBSTITUTE(SUBSTITUTE(SUBSTITUTE(TO_TEXT(K184), CHAR(160),""""), UNICHAR(8239),""""), UNICHAR(8201),""""),""[+\-/(): )]"", """"))"),"2418691143")</f>
        <v>2418691143</v>
      </c>
      <c r="M184" s="2" t="str">
        <f>IFERROR(__xludf.DUMMYFUNCTION("IF(L184="""","""", REGEXEXTRACT(REGEXREPLACE(L184,""x"", """"), ""[0-9]+""))"),"2418691143")</f>
        <v>2418691143</v>
      </c>
      <c r="N184" s="2" t="str">
        <f>IF(LEFT(M184,2)="34", RIGHT(M184,LEN(M184)-2),M184)</f>
        <v>2418691143</v>
      </c>
      <c r="O184" s="2" t="b">
        <f>IFERROR(__xludf.DUMMYFUNCTION("REGEXMATCH(TO_TEXT(N184), ""^[67]"")"),FALSE)</f>
        <v>0</v>
      </c>
      <c r="P184" s="2">
        <f t="shared" si="85"/>
        <v>10</v>
      </c>
      <c r="Q184" s="9" t="str">
        <f>IF(AND(O184=TRUE, P184=9), "✅ VALID", "❌ INVALID")</f>
        <v>❌ INVALID</v>
      </c>
      <c r="R184" s="10" t="s">
        <v>139</v>
      </c>
      <c r="S184" s="12">
        <v>44803.0</v>
      </c>
      <c r="T184" s="2" t="str">
        <f>IFERROR(__xludf.DUMMYFUNCTION("IF(ISNUMBER(S184),TEXT(S184,""yyyy-MM-dd""),REGEXREPLACE(REGEXREPLACE(TO_TEXT(S184),""[^0-9a-zA-Z]+"",""-""),""[^0-9]*$"",""""))"),"2022-08-30")</f>
        <v>2022-08-30</v>
      </c>
      <c r="U184" s="2" t="s">
        <v>6903</v>
      </c>
      <c r="Y184" s="10" t="s">
        <v>6903</v>
      </c>
    </row>
    <row r="185" ht="15.75" customHeight="1">
      <c r="A185" s="2" t="s">
        <v>4832</v>
      </c>
      <c r="B185" s="9" t="s">
        <v>7597</v>
      </c>
      <c r="C185" s="2" t="s">
        <v>5660</v>
      </c>
      <c r="D185" s="10" t="str">
        <f>IFERROR(__xludf.DUMMYFUNCTION("PROPER(REGEXREPLACE(TRIM(C185),""\s+"","" ""))"),"Adam Davis")</f>
        <v>Adam Davis</v>
      </c>
      <c r="E185" s="2">
        <f>IFERROR(__xludf.DUMMYFUNCTION("IF(LEN(D185:D701),
  COUNTA(SPLIT(D185:D701,"" "")),
 """")"),2.0)</f>
        <v>2</v>
      </c>
      <c r="F185" s="9" t="str">
        <f t="shared" si="79"/>
        <v>✅</v>
      </c>
      <c r="G185" s="2" t="str">
        <f>IFERROR(__xludf.DUMMYFUNCTION("REGEXEXTRACT(PROPER(SUBSTITUTE(TRIM(I185),""."","" "")),""^[^@]+"")"),"Adam Davis")</f>
        <v>Adam Davis</v>
      </c>
      <c r="H185" s="10" t="str">
        <f t="shared" si="80"/>
        <v>adam.davis@company.co.uk</v>
      </c>
      <c r="I185" s="2" t="s">
        <v>5661</v>
      </c>
      <c r="J185" s="9" t="str">
        <f>IFERROR(__xludf.DUMMYFUNCTION("IF(REGEXMATCH(TRIM(I185),""^[A-Za-z0-9._%+-]+@[A-Za-z0-9.-]+\.[A-Za-z]{2,}$""),""✅ Valid"",""❌ Invalid"")"),"✅ Valid")</f>
        <v>✅ Valid</v>
      </c>
      <c r="K185" s="13" t="s">
        <v>7879</v>
      </c>
      <c r="L185" s="2" t="str">
        <f>IFERROR(__xludf.DUMMYFUNCTION("IF(OR(K185=""N/A"", K185=""missing"", K185=""none""), """",
 REGEXREPLACE(
  SUBSTITUTE(SUBSTITUTE(SUBSTITUTE(TO_TEXT(K185), CHAR(160),""""), UNICHAR(8239),""""), UNICHAR(8201),""""),""[+\-/(): )]"", """"))"),"2281x803905")</f>
        <v>2281x803905</v>
      </c>
      <c r="M185" s="2" t="str">
        <f>IFERROR(__xludf.DUMMYFUNCTION("IF(L185="""","""", REGEXEXTRACT(REGEXREPLACE(L185,""x"", """"), ""[0-9]+""))"),"2281803905")</f>
        <v>2281803905</v>
      </c>
      <c r="N185" s="2" t="str">
        <f>IF(LEFT(M185,3)="353", RIGHT(M185,LEN(M185)-3),M185)</f>
        <v>2281803905</v>
      </c>
      <c r="O185" s="2" t="b">
        <f>IFERROR(__xludf.DUMMYFUNCTION("REGEXMATCH(TO_TEXT(N185), ""^0(83|85|86|87|89)"")"),FALSE)</f>
        <v>0</v>
      </c>
      <c r="P185" s="2">
        <f t="shared" si="85"/>
        <v>10</v>
      </c>
      <c r="Q185" s="9" t="str">
        <f>IF(AND(O185=TRUE, P182=10), "✅ VALID", "❌ INVALID")</f>
        <v>❌ INVALID</v>
      </c>
      <c r="R185" s="10" t="s">
        <v>1177</v>
      </c>
      <c r="S185" s="12">
        <v>44822.18125</v>
      </c>
      <c r="T185" s="2" t="str">
        <f>IFERROR(__xludf.DUMMYFUNCTION("IF(ISNUMBER(S185),TEXT(S185,""yyyy-MM-dd""),REGEXREPLACE(REGEXREPLACE(TO_TEXT(S185),""[^0-9a-zA-Z]+"",""-""),""[^0-9]*$"",""""))"),"2022-09-18")</f>
        <v>2022-09-18</v>
      </c>
      <c r="U185" s="2" t="s">
        <v>7880</v>
      </c>
      <c r="Y185" s="10" t="s">
        <v>7880</v>
      </c>
    </row>
    <row r="186" ht="15.75" customHeight="1">
      <c r="A186" s="2" t="s">
        <v>7070</v>
      </c>
      <c r="B186" s="9" t="s">
        <v>7597</v>
      </c>
      <c r="C186" s="2" t="s">
        <v>2432</v>
      </c>
      <c r="D186" s="10" t="str">
        <f>IFERROR(__xludf.DUMMYFUNCTION("PROPER(REGEXREPLACE(TRIM(C186),""\s+"","" ""))"),"Zack Kowalski")</f>
        <v>Zack Kowalski</v>
      </c>
      <c r="E186" s="2">
        <f>IFERROR(__xludf.DUMMYFUNCTION("IF(LEN(D186:D701),
  COUNTA(SPLIT(D186:D701,"" "")),
 """")"),2.0)</f>
        <v>2</v>
      </c>
      <c r="F186" s="9" t="str">
        <f t="shared" si="79"/>
        <v>✅</v>
      </c>
      <c r="G186" s="2" t="str">
        <f>IFERROR(__xludf.DUMMYFUNCTION("REGEXEXTRACT(PROPER(SUBSTITUTE(TRIM(I186),""."","" "")),""^[^@]+"")"),"Zack Kowalski")</f>
        <v>Zack Kowalski</v>
      </c>
      <c r="H186" s="10" t="str">
        <f t="shared" si="80"/>
        <v>zack.kowalski@example.com</v>
      </c>
      <c r="I186" s="2" t="s">
        <v>2433</v>
      </c>
      <c r="J186" s="9" t="str">
        <f>IFERROR(__xludf.DUMMYFUNCTION("IF(REGEXMATCH(TRIM(I186),""^[A-Za-z0-9._%+-]+@[A-Za-z0-9.-]+\.[A-Za-z]{2,}$""),""✅ Valid"",""❌ Invalid"")"),"✅ Valid")</f>
        <v>✅ Valid</v>
      </c>
      <c r="K186" s="13" t="s">
        <v>7881</v>
      </c>
      <c r="L186" s="2" t="str">
        <f>IFERROR(__xludf.DUMMYFUNCTION("IF(OR(K186=""N/A"", K186=""missing"", K186=""none""), """",
 REGEXREPLACE(
  SUBSTITUTE(SUBSTITUTE(SUBSTITUTE(TO_TEXT(K186), CHAR(160),""""), UNICHAR(8239),""""), UNICHAR(8201),""""),""[+\-/(): )]"", """"))"),"15186174367ext859")</f>
        <v>15186174367ext859</v>
      </c>
      <c r="M186" s="2" t="str">
        <f>IFERROR(__xludf.DUMMYFUNCTION("IF(L186="""","""", REGEXEXTRACT(REGEXREPLACE(L186,""x"", """"), ""[0-9]+""))"),"15186174367")</f>
        <v>15186174367</v>
      </c>
      <c r="N186" s="2" t="str">
        <f>IF(LEFT(M186,1)="1", RIGHT(M186,LEN(M186)-1),M186)</f>
        <v>5186174367</v>
      </c>
      <c r="O186" s="2" t="b">
        <f>IFERROR(__xludf.DUMMYFUNCTION("REGEXMATCH(TO_TEXT(N186), ""^[2-9][0-9]{9}$"")"),TRUE)</f>
        <v>1</v>
      </c>
      <c r="P186" s="2">
        <f t="shared" si="85"/>
        <v>10</v>
      </c>
      <c r="Q186" s="9" t="str">
        <f>IF(AND(O186=TRUE, P186=10), "✅ VALID", "❌ INVALID")</f>
        <v>✅ VALID</v>
      </c>
      <c r="R186" s="10" t="s">
        <v>199</v>
      </c>
      <c r="S186" s="12" t="s">
        <v>6466</v>
      </c>
      <c r="T186" s="2" t="str">
        <f>IFERROR(__xludf.DUMMYFUNCTION("IF(ISNUMBER(S186),TEXT(S186,""yyyy-MM-dd""),REGEXREPLACE(REGEXREPLACE(TO_TEXT(S186),""[^0-9a-zA-Z]+"",""-""),""[^0-9]*$"",""""))"),"01-17-2022")</f>
        <v>01-17-2022</v>
      </c>
      <c r="U186" s="2" t="str">
        <f>TEXT(T186,"yyyy-MM-dd")</f>
        <v>01-17-2022</v>
      </c>
      <c r="V186" s="2" t="s">
        <v>7882</v>
      </c>
      <c r="Y186" s="10" t="s">
        <v>7882</v>
      </c>
    </row>
    <row r="187" ht="15.75" customHeight="1">
      <c r="A187" s="2" t="s">
        <v>5416</v>
      </c>
      <c r="B187" s="9" t="s">
        <v>7597</v>
      </c>
      <c r="C187" s="2" t="s">
        <v>4721</v>
      </c>
      <c r="D187" s="10" t="str">
        <f>IFERROR(__xludf.DUMMYFUNCTION("PROPER(REGEXREPLACE(TRIM(C187),""\s+"","" ""))"),"Fiona Kowalczyk")</f>
        <v>Fiona Kowalczyk</v>
      </c>
      <c r="E187" s="2">
        <f>IFERROR(__xludf.DUMMYFUNCTION("IF(LEN(D187:D701),
  COUNTA(SPLIT(D187:D701,"" "")),
 """")"),2.0)</f>
        <v>2</v>
      </c>
      <c r="F187" s="9" t="str">
        <f t="shared" si="79"/>
        <v>✅</v>
      </c>
      <c r="G187" s="2" t="str">
        <f>IFERROR(__xludf.DUMMYFUNCTION("REGEXEXTRACT(PROPER(SUBSTITUTE(TRIM(I187),""."","" "")),""^[^@]+"")"),"Fiona Kowalczyk")</f>
        <v>Fiona Kowalczyk</v>
      </c>
      <c r="H187" s="10" t="str">
        <f t="shared" si="80"/>
        <v>fiona.kowalczyk@yahoo.com</v>
      </c>
      <c r="I187" s="2" t="s">
        <v>4722</v>
      </c>
      <c r="J187" s="9" t="str">
        <f>IFERROR(__xludf.DUMMYFUNCTION("IF(REGEXMATCH(TRIM(I187),""^[A-Za-z0-9._%+-]+@[A-Za-z0-9.-]+\.[A-Za-z]{2,}$""),""✅ Valid"",""❌ Invalid"")"),"✅ Valid")</f>
        <v>✅ Valid</v>
      </c>
      <c r="K187" s="13" t="s">
        <v>7883</v>
      </c>
      <c r="L187" s="2" t="str">
        <f>IFERROR(__xludf.DUMMYFUNCTION("IF(OR(K187=""N/A"", K187=""missing"", K187=""none""), """",
 REGEXREPLACE(
  SUBSTITUTE(SUBSTITUTE(SUBSTITUTE(TO_TEXT(K187), CHAR(160),""""), UNICHAR(8239),""""), UNICHAR(8201),""""),""[+\-/(): )]"", """"))"),"33341240822")</f>
        <v>33341240822</v>
      </c>
      <c r="M187" s="2" t="str">
        <f>IFERROR(__xludf.DUMMYFUNCTION("IF(L187="""","""", REGEXEXTRACT(REGEXREPLACE(L187,""x"", """"), ""[0-9]+""))"),"33341240822")</f>
        <v>33341240822</v>
      </c>
      <c r="N187" s="2" t="str">
        <f>IF(LEFT(M187,2)="33", RIGHT(M187,LEN(M187)-2),M187)</f>
        <v>341240822</v>
      </c>
      <c r="O187" s="2" t="b">
        <f>IFERROR(__xludf.DUMMYFUNCTION("REGEXMATCH(TO_TEXT(N187), ""^0[67]"")"),FALSE)</f>
        <v>0</v>
      </c>
      <c r="P187" s="2">
        <f t="shared" si="85"/>
        <v>9</v>
      </c>
      <c r="Q187" s="9" t="str">
        <f t="shared" ref="Q187:Q189" si="86">IF(AND(O187=TRUE, P187=9), "✅ VALID", "❌ INVALID")</f>
        <v>❌ INVALID</v>
      </c>
      <c r="R187" s="10" t="s">
        <v>58</v>
      </c>
      <c r="S187" s="12" t="s">
        <v>7258</v>
      </c>
      <c r="T187" s="2" t="str">
        <f>IFERROR(__xludf.DUMMYFUNCTION("IF(ISNUMBER(S187),TEXT(S187,""yyyy-MM-dd""),REGEXREPLACE(REGEXREPLACE(TO_TEXT(S187),""[^0-9a-zA-Z]+"",""-""),""[^0-9]*$"",""""))"),"13-06-2024")</f>
        <v>13-06-2024</v>
      </c>
      <c r="U187" s="2" t="s">
        <v>4107</v>
      </c>
      <c r="Y187" s="10" t="s">
        <v>4107</v>
      </c>
    </row>
    <row r="188" ht="15.75" customHeight="1">
      <c r="A188" s="2" t="s">
        <v>6060</v>
      </c>
      <c r="B188" s="9" t="s">
        <v>7597</v>
      </c>
      <c r="C188" s="2" t="s">
        <v>1602</v>
      </c>
      <c r="D188" s="10" t="str">
        <f>IFERROR(__xludf.DUMMYFUNCTION("PROPER(REGEXREPLACE(TRIM(C188),""\s+"","" ""))"),"Daria Lee")</f>
        <v>Daria Lee</v>
      </c>
      <c r="E188" s="2">
        <f>IFERROR(__xludf.DUMMYFUNCTION("IF(LEN(D188:D701),
  COUNTA(SPLIT(D188:D701,"" "")),
 """")"),2.0)</f>
        <v>2</v>
      </c>
      <c r="F188" s="9" t="str">
        <f t="shared" si="79"/>
        <v>✅</v>
      </c>
      <c r="G188" s="2" t="str">
        <f>IFERROR(__xludf.DUMMYFUNCTION("REGEXEXTRACT(PROPER(SUBSTITUTE(TRIM(I188),""."","" "")),""^[^@]+"")"),"Daria Lee")</f>
        <v>Daria Lee</v>
      </c>
      <c r="H188" s="10" t="str">
        <f t="shared" si="80"/>
        <v>daria.lee@gmail.com</v>
      </c>
      <c r="I188" s="2" t="s">
        <v>1603</v>
      </c>
      <c r="J188" s="9" t="str">
        <f>IFERROR(__xludf.DUMMYFUNCTION("IF(REGEXMATCH(TRIM(I188),""^[A-Za-z0-9._%+-]+@[A-Za-z0-9.-]+\.[A-Za-z]{2,}$""),""✅ Valid"",""❌ Invalid"")"),"✅ Valid")</f>
        <v>✅ Valid</v>
      </c>
      <c r="K188" s="17" t="s">
        <v>7884</v>
      </c>
      <c r="L188" s="2" t="str">
        <f>IFERROR(__xludf.DUMMYFUNCTION("IF(K188=""N/A"", """",
 REGEXREPLACE(
  SUBSTITUTE(SUBSTITUTE(SUBSTITUTE(TO_TEXT(K188), CHAR(160),""""), UNICHAR(8239),""""), UNICHAR(8201),""""),""[+\-/(): )]"", """"))"),"487463863433")</f>
        <v>487463863433</v>
      </c>
      <c r="M188" s="2" t="str">
        <f>IFERROR(__xludf.DUMMYFUNCTION("IF(L188="""","""", REGEXEXTRACT(REGEXREPLACE(L188,""x"", """"), ""[0-9]+""))"),"487463863433")</f>
        <v>487463863433</v>
      </c>
      <c r="N188" s="2" t="str">
        <f>IF(LEFT(M188,2)="48", RIGHT(M188,LEN(M188)-2),M188)</f>
        <v>7463863433</v>
      </c>
      <c r="O188" s="2" t="b">
        <f>IFERROR(__xludf.DUMMYFUNCTION("REGEXMATCH(TO_TEXT(N188), ""^(5[013679]|6[069]|7[2-9]|88)"")"),TRUE)</f>
        <v>1</v>
      </c>
      <c r="P188" s="2">
        <f t="shared" si="85"/>
        <v>10</v>
      </c>
      <c r="Q188" s="9" t="str">
        <f t="shared" si="86"/>
        <v>❌ INVALID</v>
      </c>
      <c r="R188" s="10" t="s">
        <v>25</v>
      </c>
      <c r="S188" s="12">
        <v>44935.0</v>
      </c>
      <c r="T188" s="2" t="str">
        <f>IFERROR(__xludf.DUMMYFUNCTION("IF(ISNUMBER(S188),TEXT(S188,""yyyy-MM-dd""),REGEXREPLACE(REGEXREPLACE(TO_TEXT(S188),""[^0-9a-zA-Z]+"",""-""),""[^0-9]*$"",""""))"),"2023-01-09")</f>
        <v>2023-01-09</v>
      </c>
      <c r="U188" s="2" t="s">
        <v>7885</v>
      </c>
      <c r="Y188" s="10" t="s">
        <v>7885</v>
      </c>
    </row>
    <row r="189" ht="15.75" customHeight="1">
      <c r="A189" s="2" t="s">
        <v>373</v>
      </c>
      <c r="B189" s="9" t="s">
        <v>7597</v>
      </c>
      <c r="C189" s="2" t="s">
        <v>4833</v>
      </c>
      <c r="D189" s="10" t="str">
        <f>IFERROR(__xludf.DUMMYFUNCTION("PROPER(REGEXREPLACE(TRIM(C189),""\s+"","" ""))"),"Rita Novak")</f>
        <v>Rita Novak</v>
      </c>
      <c r="E189" s="2">
        <f>IFERROR(__xludf.DUMMYFUNCTION("IF(LEN(D189:D701),
  COUNTA(SPLIT(D189:D701,"" "")),
 """")"),2.0)</f>
        <v>2</v>
      </c>
      <c r="F189" s="9" t="str">
        <f t="shared" si="79"/>
        <v>✅</v>
      </c>
      <c r="G189" s="2" t="str">
        <f>IFERROR(__xludf.DUMMYFUNCTION("REGEXEXTRACT(PROPER(SUBSTITUTE(TRIM(I189),""."","" "")),""^[^@]+"")"),"Rita Novak")</f>
        <v>Rita Novak</v>
      </c>
      <c r="H189" s="10" t="str">
        <f t="shared" si="80"/>
        <v>rita.novak@outlook.com</v>
      </c>
      <c r="I189" s="2" t="s">
        <v>4834</v>
      </c>
      <c r="J189" s="9" t="str">
        <f>IFERROR(__xludf.DUMMYFUNCTION("IF(REGEXMATCH(TRIM(I189),""^[A-Za-z0-9._%+-]+@[A-Za-z0-9.-]+\.[A-Za-z]{2,}$""),""✅ Valid"",""❌ Invalid"")"),"✅ Valid")</f>
        <v>✅ Valid</v>
      </c>
      <c r="K189" s="13" t="s">
        <v>7886</v>
      </c>
      <c r="L189" s="2" t="str">
        <f>IFERROR(__xludf.DUMMYFUNCTION("IF(OR(K189=""N/A"", K189=""missing"", K189=""none""), """",
 REGEXREPLACE(
  SUBSTITUTE(SUBSTITUTE(SUBSTITUTE(TO_TEXT(K189), CHAR(160),""""), UNICHAR(8239),""""), UNICHAR(8201),""""),""[+\-/(): )]"", """"))"),"3418566500ext261")</f>
        <v>3418566500ext261</v>
      </c>
      <c r="M189" s="2" t="str">
        <f>IFERROR(__xludf.DUMMYFUNCTION("IF(L189="""","""", REGEXEXTRACT(REGEXREPLACE(L189,""x"", """"), ""[0-9]+""))"),"3418566500")</f>
        <v>3418566500</v>
      </c>
      <c r="N189" s="2" t="str">
        <f>IF(LEFT(M189,2)="34", RIGHT(M189,LEN(M189)-2),M189)</f>
        <v>18566500</v>
      </c>
      <c r="O189" s="2" t="b">
        <f>IFERROR(__xludf.DUMMYFUNCTION("REGEXMATCH(TO_TEXT(N189), ""^[67]"")"),FALSE)</f>
        <v>0</v>
      </c>
      <c r="P189" s="2">
        <f t="shared" si="85"/>
        <v>8</v>
      </c>
      <c r="Q189" s="9" t="str">
        <f t="shared" si="86"/>
        <v>❌ INVALID</v>
      </c>
      <c r="R189" s="10" t="s">
        <v>139</v>
      </c>
      <c r="S189" s="12">
        <v>45795.0</v>
      </c>
      <c r="T189" s="2" t="str">
        <f>IFERROR(__xludf.DUMMYFUNCTION("IF(ISNUMBER(S189),TEXT(S189,""yyyy-MM-dd""),REGEXREPLACE(REGEXREPLACE(TO_TEXT(S189),""[^0-9a-zA-Z]+"",""-""),""[^0-9]*$"",""""))"),"2025-05-18")</f>
        <v>2025-05-18</v>
      </c>
      <c r="U189" s="2" t="s">
        <v>7887</v>
      </c>
      <c r="Y189" s="10" t="s">
        <v>7887</v>
      </c>
    </row>
    <row r="190" ht="15.75" customHeight="1">
      <c r="A190" s="2" t="s">
        <v>2495</v>
      </c>
      <c r="B190" s="9" t="s">
        <v>7597</v>
      </c>
      <c r="C190" s="2" t="s">
        <v>7071</v>
      </c>
      <c r="D190" s="10" t="str">
        <f>IFERROR(__xludf.DUMMYFUNCTION("PROPER(REGEXREPLACE(TRIM(C190),""\s+"","" ""))"),"Zack Taylor")</f>
        <v>Zack Taylor</v>
      </c>
      <c r="E190" s="2">
        <f>IFERROR(__xludf.DUMMYFUNCTION("IF(LEN(D190:D701),
  COUNTA(SPLIT(D190:D701,"" "")),
 """")"),2.0)</f>
        <v>2</v>
      </c>
      <c r="F190" s="9" t="str">
        <f t="shared" si="79"/>
        <v>✅</v>
      </c>
      <c r="G190" s="2" t="str">
        <f>IFERROR(__xludf.DUMMYFUNCTION("REGEXEXTRACT(PROPER(SUBSTITUTE(TRIM(I190),""."","" "")),""^[^@]+"")"),"Zack Taylor")</f>
        <v>Zack Taylor</v>
      </c>
      <c r="H190" s="10" t="str">
        <f t="shared" si="80"/>
        <v>zack.taylor@company.co.uk</v>
      </c>
      <c r="I190" s="2" t="s">
        <v>7072</v>
      </c>
      <c r="J190" s="9" t="str">
        <f>IFERROR(__xludf.DUMMYFUNCTION("IF(REGEXMATCH(TRIM(I190),""^[A-Za-z0-9._%+-]+@[A-Za-z0-9.-]+\.[A-Za-z]{2,}$""),""✅ Valid"",""❌ Invalid"")"),"✅ Valid")</f>
        <v>✅ Valid</v>
      </c>
      <c r="K190" s="13" t="s">
        <v>7888</v>
      </c>
      <c r="L190" s="2" t="str">
        <f>IFERROR(__xludf.DUMMYFUNCTION("IF(OR(K190=""N/A"", K190=""missing"", K190=""none""), """",
 REGEXREPLACE(
  SUBSTITUTE(SUBSTITUTE(SUBSTITUTE(TO_TEXT(K190), CHAR(160),""""), UNICHAR(8239),""""), UNICHAR(8201),""""),""[+\-/(): )]"", """"))"),"tel1111602203")</f>
        <v>tel1111602203</v>
      </c>
      <c r="M190" s="2" t="str">
        <f>IFERROR(__xludf.DUMMYFUNCTION("IF(L190="""","""", REGEXEXTRACT(REGEXREPLACE(L190,""x"", """"), ""[0-9]+""))"),"1111602203")</f>
        <v>1111602203</v>
      </c>
      <c r="N190" s="2" t="str">
        <f>IF(LEFT(M190,1)="1", RIGHT(M190,LEN(M190)-1),M190)</f>
        <v>111602203</v>
      </c>
      <c r="O190" s="2" t="b">
        <f>IFERROR(__xludf.DUMMYFUNCTION("REGEXMATCH(TO_TEXT(N190), ""^[2-9][0-9]{9}$"")"),FALSE)</f>
        <v>0</v>
      </c>
      <c r="P190" s="2">
        <f t="shared" si="85"/>
        <v>9</v>
      </c>
      <c r="Q190" s="9" t="str">
        <f>IF(AND(O190=TRUE, P190=10), "✅ VALID", "❌ INVALID")</f>
        <v>❌ INVALID</v>
      </c>
      <c r="R190" s="10" t="s">
        <v>199</v>
      </c>
      <c r="S190" s="12">
        <v>45109.0</v>
      </c>
      <c r="T190" s="2" t="str">
        <f>IFERROR(__xludf.DUMMYFUNCTION("IF(ISNUMBER(S190),TEXT(S190,""yyyy-MM-dd""),REGEXREPLACE(REGEXREPLACE(TO_TEXT(S190),""[^0-9a-zA-Z]+"",""-""),""[^0-9]*$"",""""))"),"2023-07-02")</f>
        <v>2023-07-02</v>
      </c>
      <c r="U190" s="2" t="s">
        <v>7613</v>
      </c>
      <c r="Y190" s="10" t="s">
        <v>7613</v>
      </c>
    </row>
    <row r="191" ht="15.75" customHeight="1">
      <c r="A191" s="2" t="s">
        <v>3979</v>
      </c>
      <c r="B191" s="9" t="s">
        <v>7597</v>
      </c>
      <c r="C191" s="2" t="s">
        <v>1387</v>
      </c>
      <c r="D191" s="10" t="str">
        <f>IFERROR(__xludf.DUMMYFUNCTION("PROPER(REGEXREPLACE(TRIM(C191),""\s+"","" ""))"),"Nina Rossi")</f>
        <v>Nina Rossi</v>
      </c>
      <c r="E191" s="2">
        <f>IFERROR(__xludf.DUMMYFUNCTION("IF(LEN(D191:D701),
  COUNTA(SPLIT(D191:D701,"" "")),
 """")"),2.0)</f>
        <v>2</v>
      </c>
      <c r="F191" s="9" t="str">
        <f t="shared" si="79"/>
        <v>✅</v>
      </c>
      <c r="G191" s="2" t="str">
        <f>IFERROR(__xludf.DUMMYFUNCTION("REGEXEXTRACT(PROPER(SUBSTITUTE(TRIM(I191),""."","" "")),""^[^@]+"")"),"Nina Rossi")</f>
        <v>Nina Rossi</v>
      </c>
      <c r="H191" s="10" t="str">
        <f t="shared" si="80"/>
        <v>nina.rossi@shop.io</v>
      </c>
      <c r="I191" s="2" t="s">
        <v>5417</v>
      </c>
      <c r="J191" s="9" t="str">
        <f>IFERROR(__xludf.DUMMYFUNCTION("IF(REGEXMATCH(TRIM(I191),""^[A-Za-z0-9._%+-]+@[A-Za-z0-9.-]+\.[A-Za-z]{2,}$""),""✅ Valid"",""❌ Invalid"")"),"✅ Valid")</f>
        <v>✅ Valid</v>
      </c>
      <c r="K191" s="13" t="s">
        <v>7889</v>
      </c>
      <c r="L191" s="2" t="str">
        <f>IFERROR(__xludf.DUMMYFUNCTION("IF(OR(K191=""N/A"", K191=""missing"", K191=""none""), """",
 REGEXREPLACE(
  SUBSTITUTE(SUBSTITUTE(SUBSTITUTE(TO_TEXT(K191), CHAR(160),""""), UNICHAR(8239),""""), UNICHAR(8201),""""),""[+\-/(): )]"", """"))"),"tel491400146601")</f>
        <v>tel491400146601</v>
      </c>
      <c r="M191" s="2" t="str">
        <f>IFERROR(__xludf.DUMMYFUNCTION("IF(L191="""","""", REGEXEXTRACT(REGEXREPLACE(L191,""x"", """"), ""[0-9]+""))"),"491400146601")</f>
        <v>491400146601</v>
      </c>
      <c r="N191" s="2" t="str">
        <f t="shared" ref="N191:N192" si="87">IF(LEFT(M191,2)="49", RIGHT(M191,LEN(M191)-2),M191)</f>
        <v>1400146601</v>
      </c>
      <c r="O191" s="2" t="b">
        <f>IFERROR(__xludf.DUMMYFUNCTION("REGEXMATCH(TO_TEXT(N191), ""^0(15|16|17)"")"),FALSE)</f>
        <v>0</v>
      </c>
      <c r="P191" s="2">
        <f t="shared" si="85"/>
        <v>10</v>
      </c>
      <c r="Q191" s="9" t="str">
        <f t="shared" ref="Q191:Q192" si="88">IF(AND(O191=TRUE,OR(P191=10, P191=11)), "✅ VALID", "❌ INVALID")</f>
        <v>❌ INVALID</v>
      </c>
      <c r="R191" s="10" t="s">
        <v>459</v>
      </c>
      <c r="S191" s="12">
        <v>44945.635416666664</v>
      </c>
      <c r="T191" s="2" t="str">
        <f>IFERROR(__xludf.DUMMYFUNCTION("IF(ISNUMBER(S191),TEXT(S191,""yyyy-MM-dd""),REGEXREPLACE(REGEXREPLACE(TO_TEXT(S191),""[^0-9a-zA-Z]+"",""-""),""[^0-9]*$"",""""))"),"2023-01-19")</f>
        <v>2023-01-19</v>
      </c>
      <c r="U191" s="2" t="s">
        <v>7890</v>
      </c>
      <c r="Y191" s="10" t="s">
        <v>7890</v>
      </c>
    </row>
    <row r="192" ht="15.75" customHeight="1">
      <c r="A192" s="2" t="s">
        <v>840</v>
      </c>
      <c r="B192" s="9" t="s">
        <v>7597</v>
      </c>
      <c r="C192" s="2" t="s">
        <v>6061</v>
      </c>
      <c r="D192" s="10" t="str">
        <f>IFERROR(__xludf.DUMMYFUNCTION("PROPER(REGEXREPLACE(TRIM(C192),""\s+"","" ""))"),"Igor Muller")</f>
        <v>Igor Muller</v>
      </c>
      <c r="E192" s="2">
        <f>IFERROR(__xludf.DUMMYFUNCTION("IF(LEN(D192:D701),
  COUNTA(SPLIT(D192:D701,"" "")),
 """")"),2.0)</f>
        <v>2</v>
      </c>
      <c r="F192" s="9" t="str">
        <f t="shared" si="79"/>
        <v>✅</v>
      </c>
      <c r="G192" s="2" t="str">
        <f>IFERROR(__xludf.DUMMYFUNCTION("REGEXEXTRACT(PROPER(SUBSTITUTE(TRIM(I192),""."","" "")),""^[^@]+"")"),"Igor Muller")</f>
        <v>Igor Muller</v>
      </c>
      <c r="H192" s="10" t="str">
        <f t="shared" si="80"/>
        <v>igor.muller@outlook.com</v>
      </c>
      <c r="I192" s="2" t="s">
        <v>6062</v>
      </c>
      <c r="J192" s="9" t="str">
        <f>IFERROR(__xludf.DUMMYFUNCTION("IF(REGEXMATCH(TRIM(I192),""^[A-Za-z0-9._%+-]+@[A-Za-z0-9.-]+\.[A-Za-z]{2,}$""),""✅ Valid"",""❌ Invalid"")"),"✅ Valid")</f>
        <v>✅ Valid</v>
      </c>
      <c r="K192" s="13" t="s">
        <v>7891</v>
      </c>
      <c r="L192" s="2" t="str">
        <f>IFERROR(__xludf.DUMMYFUNCTION("IF(OR(K192=""N/A"", K192=""missing"", K192=""none""), """",
 REGEXREPLACE(
  SUBSTITUTE(SUBSTITUTE(SUBSTITUTE(TO_TEXT(K192), CHAR(160),""""), UNICHAR(8239),""""), UNICHAR(8201),""""),""[+\-/(): )]"", """"))"),"492348974305ext212")</f>
        <v>492348974305ext212</v>
      </c>
      <c r="M192" s="2" t="str">
        <f>IFERROR(__xludf.DUMMYFUNCTION("IF(L192="""","""", REGEXEXTRACT(REGEXREPLACE(L192,""x"", """"), ""[0-9]+""))"),"492348974305")</f>
        <v>492348974305</v>
      </c>
      <c r="N192" s="2" t="str">
        <f t="shared" si="87"/>
        <v>2348974305</v>
      </c>
      <c r="O192" s="2" t="b">
        <f>IFERROR(__xludf.DUMMYFUNCTION("REGEXMATCH(TO_TEXT(N192), ""^0(15|16|17)"")"),FALSE)</f>
        <v>0</v>
      </c>
      <c r="P192" s="2">
        <f t="shared" si="85"/>
        <v>10</v>
      </c>
      <c r="Q192" s="9" t="str">
        <f t="shared" si="88"/>
        <v>❌ INVALID</v>
      </c>
      <c r="R192" s="10" t="s">
        <v>459</v>
      </c>
      <c r="S192" s="12">
        <v>45527.0</v>
      </c>
      <c r="T192" s="2" t="str">
        <f>IFERROR(__xludf.DUMMYFUNCTION("IF(ISNUMBER(S192),TEXT(S192,""yyyy-MM-dd""),REGEXREPLACE(REGEXREPLACE(TO_TEXT(S192),""[^0-9a-zA-Z]+"",""-""),""[^0-9]*$"",""""))"),"2024-08-23")</f>
        <v>2024-08-23</v>
      </c>
      <c r="U192" s="2" t="s">
        <v>7892</v>
      </c>
      <c r="Y192" s="10" t="s">
        <v>7892</v>
      </c>
    </row>
    <row r="193" ht="15.75" customHeight="1">
      <c r="A193" s="2" t="s">
        <v>2528</v>
      </c>
      <c r="B193" s="9" t="s">
        <v>7597</v>
      </c>
      <c r="C193" s="2" t="s">
        <v>374</v>
      </c>
      <c r="D193" s="10" t="str">
        <f>IFERROR(__xludf.DUMMYFUNCTION("PROPER(REGEXREPLACE(TRIM(C193),""\s+"","" ""))"),"Ethan Kowalski")</f>
        <v>Ethan Kowalski</v>
      </c>
      <c r="E193" s="2">
        <f>IFERROR(__xludf.DUMMYFUNCTION("IF(LEN(D193:D701),
  COUNTA(SPLIT(D193:D701,"" "")),
 """")"),2.0)</f>
        <v>2</v>
      </c>
      <c r="F193" s="9" t="str">
        <f t="shared" si="79"/>
        <v>✅</v>
      </c>
      <c r="G193" s="2" t="str">
        <f>IFERROR(__xludf.DUMMYFUNCTION("REGEXEXTRACT(PROPER(SUBSTITUTE(TRIM(I193),""."","" "")),""^[^@]+"")"),"Ethan Kowalski")</f>
        <v>Ethan Kowalski</v>
      </c>
      <c r="H193" s="10" t="str">
        <f t="shared" si="80"/>
        <v>ethan.kowalski@example.com</v>
      </c>
      <c r="I193" s="2" t="s">
        <v>375</v>
      </c>
      <c r="J193" s="9" t="str">
        <f>IFERROR(__xludf.DUMMYFUNCTION("IF(REGEXMATCH(TRIM(I193),""^[A-Za-z0-9._%+-]+@[A-Za-z0-9.-]+\.[A-Za-z]{2,}$""),""✅ Valid"",""❌ Invalid"")"),"✅ Valid")</f>
        <v>✅ Valid</v>
      </c>
      <c r="K193" s="15" t="s">
        <v>7893</v>
      </c>
      <c r="L193" s="2" t="str">
        <f>IFERROR(__xludf.DUMMYFUNCTION("IF(K193=""N/A"", """",
 REGEXREPLACE(
  SUBSTITUTE(SUBSTITUTE(SUBSTITUTE(TO_TEXT(K193), CHAR(160),""""), UNICHAR(8239),""""), UNICHAR(8201),""""),""[+\-/(): )]"", """"))"),"48439024605")</f>
        <v>48439024605</v>
      </c>
      <c r="M193" s="2" t="str">
        <f>IFERROR(__xludf.DUMMYFUNCTION("IF(L193="""","""", REGEXEXTRACT(REGEXREPLACE(L193,""x"", """"), ""[0-9]+""))"),"48439024605")</f>
        <v>48439024605</v>
      </c>
      <c r="N193" s="2" t="str">
        <f>IF(LEFT(M193,2)="48", RIGHT(M193,LEN(M193)-2),M193)</f>
        <v>439024605</v>
      </c>
      <c r="O193" s="2" t="b">
        <f>IFERROR(__xludf.DUMMYFUNCTION("REGEXMATCH(TO_TEXT(N193), ""^(5[013679]|6[069]|7[2-9]|88)"")"),FALSE)</f>
        <v>0</v>
      </c>
      <c r="Q193" s="9" t="str">
        <f t="shared" ref="Q193:Q195" si="89">IF(AND(O193=TRUE, P193=9), "✅ VALID", "❌ INVALID")</f>
        <v>❌ INVALID</v>
      </c>
      <c r="R193" s="10" t="s">
        <v>25</v>
      </c>
      <c r="S193" s="12">
        <v>45756.0</v>
      </c>
      <c r="T193" s="2" t="str">
        <f>IFERROR(__xludf.DUMMYFUNCTION("IF(ISNUMBER(S193),TEXT(S193,""yyyy-MM-dd""),REGEXREPLACE(REGEXREPLACE(TO_TEXT(S193),""[^0-9a-zA-Z]+"",""-""),""[^0-9]*$"",""""))"),"2025-04-09")</f>
        <v>2025-04-09</v>
      </c>
      <c r="U193" s="2" t="s">
        <v>7894</v>
      </c>
      <c r="Y193" s="10" t="s">
        <v>7894</v>
      </c>
    </row>
    <row r="194" ht="15.75" customHeight="1">
      <c r="A194" s="2" t="s">
        <v>2395</v>
      </c>
      <c r="B194" s="9" t="s">
        <v>7597</v>
      </c>
      <c r="C194" s="2" t="s">
        <v>2496</v>
      </c>
      <c r="D194" s="10" t="str">
        <f>IFERROR(__xludf.DUMMYFUNCTION("PROPER(REGEXREPLACE(TRIM(C194),""\s+"","" ""))"),"Xenia Kowalczyk")</f>
        <v>Xenia Kowalczyk</v>
      </c>
      <c r="E194" s="2">
        <f>IFERROR(__xludf.DUMMYFUNCTION("IF(LEN(D194:D701),
  COUNTA(SPLIT(D194:D701,"" "")),
 """")"),2.0)</f>
        <v>2</v>
      </c>
      <c r="F194" s="9" t="str">
        <f t="shared" si="79"/>
        <v>✅</v>
      </c>
      <c r="G194" s="2" t="str">
        <f>IFERROR(__xludf.DUMMYFUNCTION("REGEXEXTRACT(PROPER(SUBSTITUTE(TRIM(I194),""."","" "")),""^[^@]+"")"),"Xenia Kowalczyk")</f>
        <v>Xenia Kowalczyk</v>
      </c>
      <c r="H194" s="10" t="str">
        <f t="shared" si="80"/>
        <v>xenia.kowalczyk@gmail.com</v>
      </c>
      <c r="I194" s="2" t="s">
        <v>2497</v>
      </c>
      <c r="J194" s="9" t="str">
        <f>IFERROR(__xludf.DUMMYFUNCTION("IF(REGEXMATCH(TRIM(I194),""^[A-Za-z0-9._%+-]+@[A-Za-z0-9.-]+\.[A-Za-z]{2,}$""),""✅ Valid"",""❌ Invalid"")"),"✅ Valid")</f>
        <v>✅ Valid</v>
      </c>
      <c r="K194" s="11">
        <v>3.3302002669E10</v>
      </c>
      <c r="L194" s="2" t="str">
        <f>IFERROR(__xludf.DUMMYFUNCTION("IF(OR(K194=""N/A"", K194=""missing"", K194=""none""), """",
 REGEXREPLACE(
  SUBSTITUTE(SUBSTITUTE(SUBSTITUTE(TO_TEXT(K194), CHAR(160),""""), UNICHAR(8239),""""), UNICHAR(8201),""""),""[+\-/(): )]"", """"))"),"33302002669")</f>
        <v>33302002669</v>
      </c>
      <c r="M194" s="2" t="str">
        <f>IFERROR(__xludf.DUMMYFUNCTION("IF(L194="""","""", REGEXEXTRACT(REGEXREPLACE(L194,""x"", """"), ""[0-9]+""))"),"33302002669")</f>
        <v>33302002669</v>
      </c>
      <c r="N194" s="2" t="str">
        <f>IF(LEFT(M194,2)="33", RIGHT(M194,LEN(M194)-2),M194)</f>
        <v>302002669</v>
      </c>
      <c r="O194" s="2" t="b">
        <f>IFERROR(__xludf.DUMMYFUNCTION("REGEXMATCH(TO_TEXT(N194), ""^0[67]"")"),FALSE)</f>
        <v>0</v>
      </c>
      <c r="P194" s="2">
        <f>LEN(N194)</f>
        <v>9</v>
      </c>
      <c r="Q194" s="9" t="str">
        <f t="shared" si="89"/>
        <v>❌ INVALID</v>
      </c>
      <c r="R194" s="10" t="s">
        <v>58</v>
      </c>
      <c r="S194" s="12" t="s">
        <v>6721</v>
      </c>
      <c r="T194" s="2" t="str">
        <f>IFERROR(__xludf.DUMMYFUNCTION("IF(ISNUMBER(S194),TEXT(S194,""yyyy-MM-dd""),REGEXREPLACE(REGEXREPLACE(TO_TEXT(S194),""[^0-9a-zA-Z]+"",""-""),""[^0-9]*$"",""""))"),"05-22-2022-12-56")</f>
        <v>05-22-2022-12-56</v>
      </c>
      <c r="U194" s="2" t="str">
        <f>TEXT(T194,"yyyy-MM-dd")</f>
        <v>05-22-2022-12-56</v>
      </c>
      <c r="V194" s="2" t="str">
        <f>IFERROR(__xludf.DUMMYFUNCTION("REGEXEXTRACT(U194,""^\d{2}-\d{2}-\d{4}"")"),"05-22-2022")</f>
        <v>05-22-2022</v>
      </c>
      <c r="W194" s="2" t="str">
        <f>TEXT(V194,"yyyy-MM-dd")</f>
        <v>05-22-2022</v>
      </c>
      <c r="X194" s="2" t="s">
        <v>7895</v>
      </c>
      <c r="Y194" s="10" t="s">
        <v>7895</v>
      </c>
    </row>
    <row r="195" ht="15.75" customHeight="1">
      <c r="A195" s="2" t="s">
        <v>2808</v>
      </c>
      <c r="B195" s="9" t="s">
        <v>7597</v>
      </c>
      <c r="C195" s="2" t="s">
        <v>3980</v>
      </c>
      <c r="D195" s="10" t="str">
        <f>IFERROR(__xludf.DUMMYFUNCTION("PROPER(REGEXREPLACE(TRIM(C195),""\s+"","" ""))"),"Carlos Kowalski")</f>
        <v>Carlos Kowalski</v>
      </c>
      <c r="E195" s="2">
        <f>IFERROR(__xludf.DUMMYFUNCTION("IF(LEN(D195:D701),
  COUNTA(SPLIT(D195:D701,"" "")),
 """")"),2.0)</f>
        <v>2</v>
      </c>
      <c r="F195" s="9" t="str">
        <f t="shared" si="79"/>
        <v>✅</v>
      </c>
      <c r="G195" s="2" t="str">
        <f>IFERROR(__xludf.DUMMYFUNCTION("REGEXEXTRACT(PROPER(SUBSTITUTE(TRIM(I195),""."","" "")),""^[^@]+"")"),"Carlos Kowalski")</f>
        <v>Carlos Kowalski</v>
      </c>
      <c r="H195" s="10" t="str">
        <f t="shared" si="80"/>
        <v>carlos.kowalski@company.co.uk</v>
      </c>
      <c r="I195" s="2" t="s">
        <v>3981</v>
      </c>
      <c r="J195" s="9" t="str">
        <f>IFERROR(__xludf.DUMMYFUNCTION("IF(REGEXMATCH(TRIM(I195),""^[A-Za-z0-9._%+-]+@[A-Za-z0-9.-]+\.[A-Za-z]{2,}$""),""✅ Valid"",""❌ Invalid"")"),"✅ Valid")</f>
        <v>✅ Valid</v>
      </c>
      <c r="K195" s="17" t="s">
        <v>7896</v>
      </c>
      <c r="L195" s="2" t="str">
        <f>IFERROR(__xludf.DUMMYFUNCTION("IF(K195=""N/A"", """",
 REGEXREPLACE(
  SUBSTITUTE(SUBSTITUTE(SUBSTITUTE(TO_TEXT(K195), CHAR(160),""""), UNICHAR(8239),""""), UNICHAR(8201),""""),""[+\-/(): )]"", """"))"),"202507270")</f>
        <v>202507270</v>
      </c>
      <c r="M195" s="2" t="str">
        <f>IFERROR(__xludf.DUMMYFUNCTION("IF(L195="""","""", REGEXEXTRACT(REGEXREPLACE(L195,""x"", """"), ""[0-9]+""))"),"202507270")</f>
        <v>202507270</v>
      </c>
      <c r="N195" s="2" t="str">
        <f>IF(LEFT(M195,2)="48", RIGHT(M195,LEN(M195)-2),M195)</f>
        <v>202507270</v>
      </c>
      <c r="O195" s="2" t="b">
        <f>IFERROR(__xludf.DUMMYFUNCTION("REGEXMATCH(TO_TEXT(N195), ""^(5[013679]|6[069]|7[2-9]|88)"")"),FALSE)</f>
        <v>0</v>
      </c>
      <c r="Q195" s="9" t="str">
        <f t="shared" si="89"/>
        <v>❌ INVALID</v>
      </c>
      <c r="R195" s="10" t="s">
        <v>25</v>
      </c>
      <c r="S195" s="12">
        <v>45818.32361111111</v>
      </c>
      <c r="T195" s="2" t="str">
        <f>IFERROR(__xludf.DUMMYFUNCTION("IF(ISNUMBER(S195),TEXT(S195,""yyyy-MM-dd""),REGEXREPLACE(REGEXREPLACE(TO_TEXT(S195),""[^0-9a-zA-Z]+"",""-""),""[^0-9]*$"",""""))"),"2025-06-10")</f>
        <v>2025-06-10</v>
      </c>
      <c r="U195" s="2" t="s">
        <v>7897</v>
      </c>
      <c r="Y195" s="10" t="s">
        <v>7897</v>
      </c>
    </row>
    <row r="196" ht="15.75" customHeight="1">
      <c r="A196" s="2" t="s">
        <v>6868</v>
      </c>
      <c r="B196" s="9" t="s">
        <v>7597</v>
      </c>
      <c r="C196" s="2" t="s">
        <v>841</v>
      </c>
      <c r="D196" s="10" t="str">
        <f>IFERROR(__xludf.DUMMYFUNCTION("PROPER(REGEXREPLACE(TRIM(C196),""\s+"","" ""))"),"Daria Johnson")</f>
        <v>Daria Johnson</v>
      </c>
      <c r="E196" s="2">
        <f>IFERROR(__xludf.DUMMYFUNCTION("IF(LEN(D196:D701),
  COUNTA(SPLIT(D196:D701,"" "")),
 """")"),2.0)</f>
        <v>2</v>
      </c>
      <c r="F196" s="9" t="str">
        <f t="shared" si="79"/>
        <v>✅</v>
      </c>
      <c r="G196" s="2" t="str">
        <f>IFERROR(__xludf.DUMMYFUNCTION("REGEXEXTRACT(PROPER(SUBSTITUTE(TRIM(I196),""."","" "")),""^[^@]+"")"),"Daria Johnson")</f>
        <v>Daria Johnson</v>
      </c>
      <c r="H196" s="10" t="str">
        <f t="shared" si="80"/>
        <v>daria.johnson@shop.io</v>
      </c>
      <c r="I196" s="2" t="s">
        <v>842</v>
      </c>
      <c r="J196" s="9" t="str">
        <f>IFERROR(__xludf.DUMMYFUNCTION("IF(REGEXMATCH(TRIM(I196),""^[A-Za-z0-9._%+-]+@[A-Za-z0-9.-]+\.[A-Za-z]{2,}$""),""✅ Valid"",""❌ Invalid"")"),"✅ Valid")</f>
        <v>✅ Valid</v>
      </c>
      <c r="K196" s="13" t="s">
        <v>7898</v>
      </c>
      <c r="L196" s="2" t="str">
        <f>IFERROR(__xludf.DUMMYFUNCTION("IF(OR(K196=""N/A"", K196=""missing"", K196=""none""), """",
 REGEXREPLACE(
  SUBSTITUTE(SUBSTITUTE(SUBSTITUTE(TO_TEXT(K196), CHAR(160),""""), UNICHAR(8239),""""), UNICHAR(8201),""""),""[+\-/(): )]"", """"))"),"2388535221")</f>
        <v>2388535221</v>
      </c>
      <c r="M196" s="2" t="str">
        <f>IFERROR(__xludf.DUMMYFUNCTION("IF(L196="""","""", REGEXEXTRACT(REGEXREPLACE(L196,""x"", """"), ""[0-9]+""))"),"2388535221")</f>
        <v>2388535221</v>
      </c>
      <c r="N196" s="2" t="str">
        <f>IF(LEFT(M196,2)="44", RIGHT(M196,LEN(M196)-2),M196)</f>
        <v>2388535221</v>
      </c>
      <c r="O196" s="2" t="b">
        <f>IFERROR(__xludf.DUMMYFUNCTION("REGEXMATCH(TO_TEXT(N196), ""^07[1-57-9]"")"),FALSE)</f>
        <v>0</v>
      </c>
      <c r="P196" s="2">
        <f>LEN(N196)</f>
        <v>10</v>
      </c>
      <c r="Q196" s="9" t="str">
        <f>IF(AND(O196=TRUE, P196=11), "✅ VALID", "❌ INVALID")</f>
        <v>❌ INVALID</v>
      </c>
      <c r="R196" s="10" t="s">
        <v>114</v>
      </c>
      <c r="S196" s="12">
        <v>45456.0</v>
      </c>
      <c r="T196" s="2" t="str">
        <f>IFERROR(__xludf.DUMMYFUNCTION("IF(ISNUMBER(S196),TEXT(S196,""yyyy-MM-dd""),REGEXREPLACE(REGEXREPLACE(TO_TEXT(S196),""[^0-9a-zA-Z]+"",""-""),""[^0-9]*$"",""""))"),"2024-06-13")</f>
        <v>2024-06-13</v>
      </c>
      <c r="U196" s="2" t="s">
        <v>4107</v>
      </c>
      <c r="Y196" s="10" t="s">
        <v>4107</v>
      </c>
    </row>
    <row r="197" ht="15.75" customHeight="1">
      <c r="A197" s="2" t="s">
        <v>7369</v>
      </c>
      <c r="B197" s="9" t="s">
        <v>7597</v>
      </c>
      <c r="C197" s="2" t="s">
        <v>2529</v>
      </c>
      <c r="D197" s="10" t="str">
        <f>IFERROR(__xludf.DUMMYFUNCTION("PROPER(REGEXREPLACE(TRIM(C197),""\s+"","" ""))"),"Gabe Smith")</f>
        <v>Gabe Smith</v>
      </c>
      <c r="E197" s="2">
        <f>IFERROR(__xludf.DUMMYFUNCTION("IF(LEN(D197:D701),
  COUNTA(SPLIT(D197:D701,"" "")),
 """")"),2.0)</f>
        <v>2</v>
      </c>
      <c r="F197" s="9" t="str">
        <f t="shared" si="79"/>
        <v>✅</v>
      </c>
      <c r="G197" s="2" t="str">
        <f>IFERROR(__xludf.DUMMYFUNCTION("REGEXEXTRACT(PROPER(SUBSTITUTE(TRIM(I197),""."","" "")),""^[^@]+"")"),"Gabe Smith")</f>
        <v>Gabe Smith</v>
      </c>
      <c r="H197" s="10" t="str">
        <f t="shared" si="80"/>
        <v>gabe.smith@example.com</v>
      </c>
      <c r="I197" s="2" t="s">
        <v>2530</v>
      </c>
      <c r="J197" s="9" t="str">
        <f>IFERROR(__xludf.DUMMYFUNCTION("IF(REGEXMATCH(TRIM(I197),""^[A-Za-z0-9._%+-]+@[A-Za-z0-9.-]+\.[A-Za-z]{2,}$""),""✅ Valid"",""❌ Invalid"")"),"✅ Valid")</f>
        <v>✅ Valid</v>
      </c>
      <c r="K197" s="15" t="s">
        <v>7899</v>
      </c>
      <c r="L197" s="2" t="str">
        <f>IFERROR(__xludf.DUMMYFUNCTION("IF(K197=""N/A"", """",
 REGEXREPLACE(
  SUBSTITUTE(SUBSTITUTE(SUBSTITUTE(TO_TEXT(K197), CHAR(160),""""), UNICHAR(8239),""""), UNICHAR(8201),""""),""[+\-/(): )]"", """"))"),"48459864962")</f>
        <v>48459864962</v>
      </c>
      <c r="M197" s="2" t="str">
        <f>IFERROR(__xludf.DUMMYFUNCTION("IF(L197="""","""", REGEXEXTRACT(REGEXREPLACE(L197,""x"", """"), ""[0-9]+""))"),"48459864962")</f>
        <v>48459864962</v>
      </c>
      <c r="N197" s="2" t="str">
        <f>IF(LEFT(M197,2)="48", RIGHT(M197,LEN(M197)-2),M197)</f>
        <v>459864962</v>
      </c>
      <c r="O197" s="2" t="b">
        <f>IFERROR(__xludf.DUMMYFUNCTION("REGEXMATCH(TO_TEXT(N197), ""^(5[013679]|6[069]|7[2-9]|88)"")"),FALSE)</f>
        <v>0</v>
      </c>
      <c r="Q197" s="9" t="str">
        <f>IF(AND(O197=TRUE, P197=9), "✅ VALID", "❌ INVALID")</f>
        <v>❌ INVALID</v>
      </c>
      <c r="R197" s="10" t="s">
        <v>25</v>
      </c>
      <c r="S197" s="12">
        <v>45288.0</v>
      </c>
      <c r="T197" s="2" t="str">
        <f>IFERROR(__xludf.DUMMYFUNCTION("IF(ISNUMBER(S197),TEXT(S197,""yyyy-MM-dd""),REGEXREPLACE(REGEXREPLACE(TO_TEXT(S197),""[^0-9a-zA-Z]+"",""-""),""[^0-9]*$"",""""))"),"2023-12-28")</f>
        <v>2023-12-28</v>
      </c>
      <c r="U197" s="2" t="s">
        <v>7900</v>
      </c>
      <c r="Y197" s="10" t="s">
        <v>7900</v>
      </c>
    </row>
    <row r="198" ht="15.75" customHeight="1">
      <c r="A198" s="2" t="s">
        <v>3215</v>
      </c>
      <c r="B198" s="9" t="s">
        <v>7597</v>
      </c>
      <c r="C198" s="2" t="s">
        <v>231</v>
      </c>
      <c r="D198" s="10" t="str">
        <f>IFERROR(__xludf.DUMMYFUNCTION("PROPER(REGEXREPLACE(TRIM(C198),""\s+"","" ""))"),"Paula Martinez")</f>
        <v>Paula Martinez</v>
      </c>
      <c r="E198" s="2">
        <f>IFERROR(__xludf.DUMMYFUNCTION("IF(LEN(D198:D701),
  COUNTA(SPLIT(D198:D701,"" "")),
 """")"),2.0)</f>
        <v>2</v>
      </c>
      <c r="F198" s="9" t="str">
        <f t="shared" si="79"/>
        <v>✅</v>
      </c>
      <c r="G198" s="2" t="str">
        <f>IFERROR(__xludf.DUMMYFUNCTION("REGEXEXTRACT(PROPER(SUBSTITUTE(TRIM(I198),""."","" "")),""^[^@]+"")"),"Paula Martinez")</f>
        <v>Paula Martinez</v>
      </c>
      <c r="H198" s="10" t="str">
        <f t="shared" si="80"/>
        <v>paula.martinez@gmail.com</v>
      </c>
      <c r="I198" s="2" t="s">
        <v>2396</v>
      </c>
      <c r="J198" s="9" t="str">
        <f>IFERROR(__xludf.DUMMYFUNCTION("IF(REGEXMATCH(TRIM(I198),""^[A-Za-z0-9._%+-]+@[A-Za-z0-9.-]+\.[A-Za-z]{2,}$""),""✅ Valid"",""❌ Invalid"")"),"✅ Valid")</f>
        <v>✅ Valid</v>
      </c>
      <c r="K198" s="13" t="s">
        <v>7901</v>
      </c>
      <c r="L198" s="2" t="str">
        <f>IFERROR(__xludf.DUMMYFUNCTION("IF(OR(K198=""N/A"", K198=""missing"", K198=""none""), """",
 REGEXREPLACE(
  SUBSTITUTE(SUBSTITUTE(SUBSTITUTE(TO_TEXT(K198), CHAR(160),""""), UNICHAR(8239),""""), UNICHAR(8201),""""),""[+\-/(): )]"", """"))"),"39858379003ext55")</f>
        <v>39858379003ext55</v>
      </c>
      <c r="M198" s="2" t="str">
        <f>IFERROR(__xludf.DUMMYFUNCTION("IF(L198="""","""", REGEXEXTRACT(REGEXREPLACE(L198,""x"", """"), ""[0-9]+""))"),"39858379003")</f>
        <v>39858379003</v>
      </c>
      <c r="N198" s="2" t="str">
        <f>IF(LEFT(M198,2)="39", RIGHT(M198,LEN(M198)-2),M198)</f>
        <v>858379003</v>
      </c>
      <c r="O198" s="2" t="b">
        <f>IFERROR(__xludf.DUMMYFUNCTION("REGEXMATCH(TO_TEXT(N198), ""^3"")"),FALSE)</f>
        <v>0</v>
      </c>
      <c r="P198" s="2">
        <f t="shared" ref="P198:P199" si="90">LEN(N198)</f>
        <v>9</v>
      </c>
      <c r="Q198" s="9" t="str">
        <f>IF(AND(O198=TRUE,OR(P198=9, P198=10 )), "✅ VALID", "❌ INVALID")</f>
        <v>❌ INVALID</v>
      </c>
      <c r="R198" s="10" t="s">
        <v>785</v>
      </c>
      <c r="S198" s="12" t="s">
        <v>6236</v>
      </c>
      <c r="T198" s="2" t="str">
        <f>IFERROR(__xludf.DUMMYFUNCTION("IF(ISNUMBER(S198),TEXT(S198,""yyyy-MM-dd""),REGEXREPLACE(REGEXREPLACE(TO_TEXT(S198),""[^0-9a-zA-Z]+"",""-""),""[^0-9]*$"",""""))"),"12-15-2023-05-03")</f>
        <v>12-15-2023-05-03</v>
      </c>
      <c r="U198" s="2" t="str">
        <f>TEXT(T198,"yyyy-MM-dd")</f>
        <v>12-15-2023-05-03</v>
      </c>
      <c r="V198" s="2" t="str">
        <f>IFERROR(__xludf.DUMMYFUNCTION("REGEXEXTRACT(U198,""^\d{2}-\d{2}-\d{4}"")"),"12-15-2023")</f>
        <v>12-15-2023</v>
      </c>
      <c r="W198" s="2" t="str">
        <f>TEXT(V198,"yyyy-MM-dd")</f>
        <v>12-15-2023</v>
      </c>
      <c r="X198" s="2" t="s">
        <v>7902</v>
      </c>
      <c r="Y198" s="10" t="s">
        <v>7902</v>
      </c>
    </row>
    <row r="199" ht="15.75" customHeight="1">
      <c r="A199" s="2" t="s">
        <v>7264</v>
      </c>
      <c r="B199" s="9" t="s">
        <v>7597</v>
      </c>
      <c r="C199" s="2" t="s">
        <v>2809</v>
      </c>
      <c r="D199" s="10" t="str">
        <f>IFERROR(__xludf.DUMMYFUNCTION("PROPER(REGEXREPLACE(TRIM(C199),""\s+"","" ""))"),"Adam Dubois")</f>
        <v>Adam Dubois</v>
      </c>
      <c r="E199" s="2">
        <f>IFERROR(__xludf.DUMMYFUNCTION("IF(LEN(D199:D701),
  COUNTA(SPLIT(D199:D701,"" "")),
 """")"),2.0)</f>
        <v>2</v>
      </c>
      <c r="F199" s="9" t="str">
        <f t="shared" si="79"/>
        <v>✅</v>
      </c>
      <c r="G199" s="2" t="str">
        <f>IFERROR(__xludf.DUMMYFUNCTION("REGEXEXTRACT(PROPER(SUBSTITUTE(TRIM(I199),""."","" "")),""^[^@]+"")"),"Adam Dubois")</f>
        <v>Adam Dubois</v>
      </c>
      <c r="H199" s="10" t="str">
        <f t="shared" si="80"/>
        <v>adam.dubois@yahoo.com</v>
      </c>
      <c r="I199" s="2" t="s">
        <v>2810</v>
      </c>
      <c r="J199" s="9" t="str">
        <f>IFERROR(__xludf.DUMMYFUNCTION("IF(REGEXMATCH(TRIM(I199),""^[A-Za-z0-9._%+-]+@[A-Za-z0-9.-]+\.[A-Za-z]{2,}$""),""✅ Valid"",""❌ Invalid"")"),"✅ Valid")</f>
        <v>✅ Valid</v>
      </c>
      <c r="K199" s="13" t="s">
        <v>7903</v>
      </c>
      <c r="L199" s="2" t="str">
        <f>IFERROR(__xludf.DUMMYFUNCTION("IF(OR(K199=""N/A"", K199=""missing"", K199=""none""), """",
 REGEXREPLACE(
  SUBSTITUTE(SUBSTITUTE(SUBSTITUTE(TO_TEXT(K199), CHAR(160),""""), UNICHAR(8239),""""), UNICHAR(8201),""""),""[+\-/(): )]"", """"))"),"74532x2448")</f>
        <v>74532x2448</v>
      </c>
      <c r="M199" s="2" t="str">
        <f>IFERROR(__xludf.DUMMYFUNCTION("IF(L199="""","""", REGEXEXTRACT(REGEXREPLACE(L199,""x"", """"), ""[0-9]+""))"),"745322448")</f>
        <v>745322448</v>
      </c>
      <c r="N199" s="2" t="str">
        <f>IF(LEFT(M199,2)="34", RIGHT(M199,LEN(M199)-2),M199)</f>
        <v>745322448</v>
      </c>
      <c r="O199" s="2" t="b">
        <f>IFERROR(__xludf.DUMMYFUNCTION("REGEXMATCH(TO_TEXT(N199), ""^[67]"")"),TRUE)</f>
        <v>1</v>
      </c>
      <c r="P199" s="2">
        <f t="shared" si="90"/>
        <v>9</v>
      </c>
      <c r="Q199" s="9" t="str">
        <f t="shared" ref="Q199:Q202" si="91">IF(AND(O199=TRUE, P199=9), "✅ VALID", "❌ INVALID")</f>
        <v>✅ VALID</v>
      </c>
      <c r="R199" s="10" t="s">
        <v>139</v>
      </c>
      <c r="S199" s="12">
        <v>45332.0</v>
      </c>
      <c r="T199" s="2" t="str">
        <f>IFERROR(__xludf.DUMMYFUNCTION("IF(ISNUMBER(S199),TEXT(S199,""yyyy-MM-dd""),REGEXREPLACE(REGEXREPLACE(TO_TEXT(S199),""[^0-9a-zA-Z]+"",""-""),""[^0-9]*$"",""""))"),"2024-02-10")</f>
        <v>2024-02-10</v>
      </c>
      <c r="U199" s="2" t="s">
        <v>7904</v>
      </c>
      <c r="Y199" s="10" t="s">
        <v>7904</v>
      </c>
    </row>
    <row r="200" ht="15.75" customHeight="1">
      <c r="A200" s="2" t="s">
        <v>1378</v>
      </c>
      <c r="B200" s="9" t="s">
        <v>7597</v>
      </c>
      <c r="C200" s="2" t="s">
        <v>6869</v>
      </c>
      <c r="D200" s="10" t="str">
        <f>IFERROR(__xludf.DUMMYFUNCTION("PROPER(REGEXREPLACE(TRIM(C200),""\s+"","" ""))"),"Bella Rodriguez")</f>
        <v>Bella Rodriguez</v>
      </c>
      <c r="E200" s="2">
        <f>IFERROR(__xludf.DUMMYFUNCTION("IF(LEN(D200:D701),
  COUNTA(SPLIT(D200:D701,"" "")),
 """")"),2.0)</f>
        <v>2</v>
      </c>
      <c r="F200" s="9" t="str">
        <f t="shared" si="79"/>
        <v>✅</v>
      </c>
      <c r="G200" s="2" t="str">
        <f>IFERROR(__xludf.DUMMYFUNCTION("REGEXEXTRACT(PROPER(SUBSTITUTE(TRIM(I200),""."","" "")),""^[^@]+"")"),"Bella Rodriguez")</f>
        <v>Bella Rodriguez</v>
      </c>
      <c r="H200" s="10" t="str">
        <f t="shared" si="80"/>
        <v>bella.rodriguez@outlook.com</v>
      </c>
      <c r="I200" s="2" t="s">
        <v>6870</v>
      </c>
      <c r="J200" s="9" t="str">
        <f>IFERROR(__xludf.DUMMYFUNCTION("IF(REGEXMATCH(TRIM(I200),""^[A-Za-z0-9._%+-]+@[A-Za-z0-9.-]+\.[A-Za-z]{2,}$""),""✅ Valid"",""❌ Invalid"")"),"✅ Valid")</f>
        <v>✅ Valid</v>
      </c>
      <c r="K200" s="18" t="s">
        <v>7614</v>
      </c>
      <c r="L200" s="2" t="str">
        <f>IFERROR(__xludf.DUMMYFUNCTION("IF(K200=""N/A"", """",
 REGEXREPLACE(
  SUBSTITUTE(SUBSTITUTE(SUBSTITUTE(TO_TEXT(K200), CHAR(160),""""), UNICHAR(8239),""""), UNICHAR(8201),""""),""[+\-/(): )]"", """"))"),"")</f>
        <v/>
      </c>
      <c r="M200" s="2" t="str">
        <f>IFERROR(__xludf.DUMMYFUNCTION("IF(L200="""","""", REGEXEXTRACT(REGEXREPLACE(L200,""x"", """"), ""[0-9]+""))"),"")</f>
        <v/>
      </c>
      <c r="N200" s="2" t="str">
        <f t="shared" ref="N200:N201" si="92">IF(LEFT(M200,2)="48", RIGHT(M200,LEN(M200)-2),M200)</f>
        <v/>
      </c>
      <c r="O200" s="2" t="b">
        <f>IFERROR(__xludf.DUMMYFUNCTION("REGEXMATCH(TO_TEXT(N200), ""^(5[013679]|6[069]|7[2-9]|88)"")"),FALSE)</f>
        <v>0</v>
      </c>
      <c r="Q200" s="9" t="str">
        <f t="shared" si="91"/>
        <v>❌ INVALID</v>
      </c>
      <c r="R200" s="10" t="s">
        <v>25</v>
      </c>
      <c r="S200" s="12" t="s">
        <v>6378</v>
      </c>
      <c r="T200" s="2" t="str">
        <f>IFERROR(__xludf.DUMMYFUNCTION("IF(ISNUMBER(S200),TEXT(S200,""yyyy-MM-dd""),REGEXREPLACE(REGEXREPLACE(TO_TEXT(S200),""[^0-9a-zA-Z]+"",""-""),""[^0-9]*$"",""""))"),"08-25-2022")</f>
        <v>08-25-2022</v>
      </c>
      <c r="U200" s="2" t="str">
        <f>TEXT(T200,"yyyy-MM-dd")</f>
        <v>08-25-2022</v>
      </c>
      <c r="V200" s="2" t="s">
        <v>7905</v>
      </c>
      <c r="Y200" s="10" t="s">
        <v>7905</v>
      </c>
    </row>
    <row r="201" ht="15.75" customHeight="1">
      <c r="A201" s="2" t="s">
        <v>1386</v>
      </c>
      <c r="B201" s="9" t="s">
        <v>7597</v>
      </c>
      <c r="C201" s="2" t="s">
        <v>2649</v>
      </c>
      <c r="D201" s="10" t="str">
        <f>IFERROR(__xludf.DUMMYFUNCTION("PROPER(REGEXREPLACE(TRIM(C201),""\s+"","" ""))"),"Hanna Johnson")</f>
        <v>Hanna Johnson</v>
      </c>
      <c r="E201" s="2">
        <f>IFERROR(__xludf.DUMMYFUNCTION("IF(LEN(D201:D701),
  COUNTA(SPLIT(D201:D701,"" "")),
 """")"),2.0)</f>
        <v>2</v>
      </c>
      <c r="F201" s="9" t="str">
        <f t="shared" si="79"/>
        <v>✅</v>
      </c>
      <c r="G201" s="2" t="str">
        <f>IFERROR(__xludf.DUMMYFUNCTION("REGEXEXTRACT(PROPER(SUBSTITUTE(TRIM(I201),""."","" "")),""^[^@]+"")"),"Hanna Johnson")</f>
        <v>Hanna Johnson</v>
      </c>
      <c r="H201" s="10" t="str">
        <f t="shared" si="80"/>
        <v>hanna.johnson@gmail.com</v>
      </c>
      <c r="I201" s="2" t="s">
        <v>7370</v>
      </c>
      <c r="J201" s="9" t="str">
        <f>IFERROR(__xludf.DUMMYFUNCTION("IF(REGEXMATCH(TRIM(I201),""^[A-Za-z0-9._%+-]+@[A-Za-z0-9.-]+\.[A-Za-z]{2,}$""),""✅ Valid"",""❌ Invalid"")"),"✅ Valid")</f>
        <v>✅ Valid</v>
      </c>
      <c r="K201" s="17" t="s">
        <v>7906</v>
      </c>
      <c r="L201" s="2" t="str">
        <f>IFERROR(__xludf.DUMMYFUNCTION("IF(K201=""N/A"", """",
 REGEXREPLACE(
  SUBSTITUTE(SUBSTITUTE(SUBSTITUTE(TO_TEXT(K201), CHAR(160),""""), UNICHAR(8239),""""), UNICHAR(8201),""""),""[+\-/(): )]"", """"))"),"3881539865")</f>
        <v>3881539865</v>
      </c>
      <c r="M201" s="2" t="str">
        <f>IFERROR(__xludf.DUMMYFUNCTION("IF(L201="""","""", REGEXEXTRACT(REGEXREPLACE(L201,""x"", """"), ""[0-9]+""))"),"3881539865")</f>
        <v>3881539865</v>
      </c>
      <c r="N201" s="2" t="str">
        <f t="shared" si="92"/>
        <v>3881539865</v>
      </c>
      <c r="O201" s="2" t="b">
        <f>IFERROR(__xludf.DUMMYFUNCTION("REGEXMATCH(TO_TEXT(N201), ""^(5[013679]|6[069]|7[2-9]|88)"")"),FALSE)</f>
        <v>0</v>
      </c>
      <c r="Q201" s="9" t="str">
        <f t="shared" si="91"/>
        <v>❌ INVALID</v>
      </c>
      <c r="R201" s="10" t="s">
        <v>25</v>
      </c>
      <c r="S201" s="12">
        <v>45117.0</v>
      </c>
      <c r="T201" s="2" t="str">
        <f>IFERROR(__xludf.DUMMYFUNCTION("IF(ISNUMBER(S201),TEXT(S201,""yyyy-MM-dd""),REGEXREPLACE(REGEXREPLACE(TO_TEXT(S201),""[^0-9a-zA-Z]+"",""-""),""[^0-9]*$"",""""))"),"2023-07-10")</f>
        <v>2023-07-10</v>
      </c>
      <c r="U201" s="2" t="s">
        <v>7907</v>
      </c>
      <c r="Y201" s="10" t="s">
        <v>7907</v>
      </c>
    </row>
    <row r="202" ht="15.75" customHeight="1">
      <c r="A202" s="2" t="s">
        <v>2373</v>
      </c>
      <c r="B202" s="9" t="s">
        <v>7597</v>
      </c>
      <c r="C202" s="2" t="s">
        <v>3216</v>
      </c>
      <c r="D202" s="10" t="str">
        <f>IFERROR(__xludf.DUMMYFUNCTION("PROPER(REGEXREPLACE(TRIM(C202),""\s+"","" ""))"),"Tara Kowalski")</f>
        <v>Tara Kowalski</v>
      </c>
      <c r="E202" s="2">
        <f>IFERROR(__xludf.DUMMYFUNCTION("IF(LEN(D202:D701),
  COUNTA(SPLIT(D202:D701,"" "")),
 """")"),2.0)</f>
        <v>2</v>
      </c>
      <c r="F202" s="9" t="str">
        <f t="shared" si="79"/>
        <v>✅</v>
      </c>
      <c r="G202" s="2" t="str">
        <f>IFERROR(__xludf.DUMMYFUNCTION("REGEXEXTRACT(PROPER(SUBSTITUTE(TRIM(I202),""."","" "")),""^[^@]+"")"),"Tara Kowalski")</f>
        <v>Tara Kowalski</v>
      </c>
      <c r="H202" s="10" t="str">
        <f t="shared" si="80"/>
        <v>tara.kowalski@example.com</v>
      </c>
      <c r="I202" s="2" t="s">
        <v>3217</v>
      </c>
      <c r="J202" s="9" t="str">
        <f>IFERROR(__xludf.DUMMYFUNCTION("IF(REGEXMATCH(TRIM(I202),""^[A-Za-z0-9._%+-]+@[A-Za-z0-9.-]+\.[A-Za-z]{2,}$""),""✅ Valid"",""❌ Invalid"")"),"✅ Valid")</f>
        <v>✅ Valid</v>
      </c>
      <c r="K202" s="11">
        <v>7.8254919E7</v>
      </c>
      <c r="L202" s="2" t="str">
        <f>IFERROR(__xludf.DUMMYFUNCTION("IF(OR(K202=""N/A"", K202=""missing"", K202=""none""), """",
 REGEXREPLACE(
  SUBSTITUTE(SUBSTITUTE(SUBSTITUTE(TO_TEXT(K202), CHAR(160),""""), UNICHAR(8239),""""), UNICHAR(8201),""""),""[+\-/(): )]"", """"))"),"78254919")</f>
        <v>78254919</v>
      </c>
      <c r="M202" s="2" t="str">
        <f>IFERROR(__xludf.DUMMYFUNCTION("IF(L202="""","""", REGEXEXTRACT(REGEXREPLACE(L202,""x"", """"), ""[0-9]+""))"),"78254919")</f>
        <v>78254919</v>
      </c>
      <c r="N202" s="2" t="str">
        <f>IF(LEFT(M202,2)="34", RIGHT(M202,LEN(M202)-2),M202)</f>
        <v>78254919</v>
      </c>
      <c r="O202" s="2" t="b">
        <f>IFERROR(__xludf.DUMMYFUNCTION("REGEXMATCH(TO_TEXT(N202), ""^[67]"")"),TRUE)</f>
        <v>1</v>
      </c>
      <c r="P202" s="2">
        <f t="shared" ref="P202:P208" si="93">LEN(N202)</f>
        <v>8</v>
      </c>
      <c r="Q202" s="9" t="str">
        <f t="shared" si="91"/>
        <v>❌ INVALID</v>
      </c>
      <c r="R202" s="10" t="s">
        <v>139</v>
      </c>
      <c r="S202" s="12">
        <v>44655.0</v>
      </c>
      <c r="T202" s="2" t="str">
        <f>IFERROR(__xludf.DUMMYFUNCTION("IF(ISNUMBER(S202),TEXT(S202,""yyyy-MM-dd""),REGEXREPLACE(REGEXREPLACE(TO_TEXT(S202),""[^0-9a-zA-Z]+"",""-""),""[^0-9]*$"",""""))"),"2022-04-04")</f>
        <v>2022-04-04</v>
      </c>
      <c r="U202" s="2" t="s">
        <v>7651</v>
      </c>
      <c r="Y202" s="10" t="s">
        <v>7651</v>
      </c>
    </row>
    <row r="203" ht="15.75" customHeight="1">
      <c r="A203" s="2" t="s">
        <v>5652</v>
      </c>
      <c r="B203" s="9" t="s">
        <v>7597</v>
      </c>
      <c r="C203" s="2" t="s">
        <v>1242</v>
      </c>
      <c r="D203" s="10" t="str">
        <f>IFERROR(__xludf.DUMMYFUNCTION("PROPER(REGEXREPLACE(TRIM(C203),""\s+"","" ""))"),"Ethan Taylor")</f>
        <v>Ethan Taylor</v>
      </c>
      <c r="E203" s="2">
        <f>IFERROR(__xludf.DUMMYFUNCTION("IF(LEN(D203:D701),
  COUNTA(SPLIT(D203:D701,"" "")),
 """")"),2.0)</f>
        <v>2</v>
      </c>
      <c r="F203" s="9" t="str">
        <f t="shared" si="79"/>
        <v>✅</v>
      </c>
      <c r="G203" s="2" t="str">
        <f>IFERROR(__xludf.DUMMYFUNCTION("REGEXEXTRACT(PROPER(SUBSTITUTE(TRIM(I203),""."","" "")),""^[^@]+"")"),"Ethan Taylor")</f>
        <v>Ethan Taylor</v>
      </c>
      <c r="H203" s="10" t="str">
        <f t="shared" si="80"/>
        <v>ethan.taylor@shpo.io</v>
      </c>
      <c r="I203" s="2" t="s">
        <v>7265</v>
      </c>
      <c r="J203" s="9" t="str">
        <f>IFERROR(__xludf.DUMMYFUNCTION("IF(REGEXMATCH(TRIM(I203),""^[A-Za-z0-9._%+-]+@[A-Za-z0-9.-]+\.[A-Za-z]{2,}$""),""✅ Valid"",""❌ Invalid"")"),"✅ Valid")</f>
        <v>✅ Valid</v>
      </c>
      <c r="K203" s="13" t="s">
        <v>7908</v>
      </c>
      <c r="L203" s="2" t="str">
        <f>IFERROR(__xludf.DUMMYFUNCTION("IF(OR(K203=""N/A"", K203=""missing"", K203=""none""), """",
 REGEXREPLACE(
  SUBSTITUTE(SUBSTITUTE(SUBSTITUTE(TO_TEXT(K203), CHAR(160),""""), UNICHAR(8239),""""), UNICHAR(8201),""""),""[+\-/(): )]"", """"))"),"399724003344")</f>
        <v>399724003344</v>
      </c>
      <c r="M203" s="2" t="str">
        <f>IFERROR(__xludf.DUMMYFUNCTION("IF(L203="""","""", REGEXEXTRACT(REGEXREPLACE(L203,""x"", """"), ""[0-9]+""))"),"399724003344")</f>
        <v>399724003344</v>
      </c>
      <c r="N203" s="2" t="str">
        <f>IF(LEFT(M203,2)="39", RIGHT(M203,LEN(M203)-2),M203)</f>
        <v>9724003344</v>
      </c>
      <c r="O203" s="2" t="b">
        <f>IFERROR(__xludf.DUMMYFUNCTION("REGEXMATCH(TO_TEXT(N203), ""^3"")"),FALSE)</f>
        <v>0</v>
      </c>
      <c r="P203" s="2">
        <f t="shared" si="93"/>
        <v>10</v>
      </c>
      <c r="Q203" s="9" t="str">
        <f>IF(AND(O203=TRUE,OR(P203=9, P203=10 )), "✅ VALID", "❌ INVALID")</f>
        <v>❌ INVALID</v>
      </c>
      <c r="R203" s="10" t="s">
        <v>785</v>
      </c>
      <c r="S203" s="12" t="s">
        <v>7431</v>
      </c>
      <c r="T203" s="2" t="str">
        <f>IFERROR(__xludf.DUMMYFUNCTION("IF(ISNUMBER(S203),TEXT(S203,""yyyy-MM-dd""),REGEXREPLACE(REGEXREPLACE(TO_TEXT(S203),""[^0-9a-zA-Z]+"",""-""),""[^0-9]*$"",""""))"),"08-29-2025")</f>
        <v>08-29-2025</v>
      </c>
      <c r="U203" s="2" t="str">
        <f>TEXT(T203,"yyyy-MM-dd")</f>
        <v>08-29-2025</v>
      </c>
      <c r="V203" s="2" t="s">
        <v>7909</v>
      </c>
      <c r="Y203" s="10" t="s">
        <v>7909</v>
      </c>
    </row>
    <row r="204" ht="15.75" customHeight="1">
      <c r="A204" s="2" t="s">
        <v>4982</v>
      </c>
      <c r="B204" s="9" t="s">
        <v>7597</v>
      </c>
      <c r="C204" s="2" t="s">
        <v>1379</v>
      </c>
      <c r="D204" s="10" t="str">
        <f>IFERROR(__xludf.DUMMYFUNCTION("PROPER(REGEXREPLACE(TRIM(C204),""\s+"","" ""))"),"Sam Davis")</f>
        <v>Sam Davis</v>
      </c>
      <c r="E204" s="2">
        <f>IFERROR(__xludf.DUMMYFUNCTION("IF(LEN(D204:D701),
  COUNTA(SPLIT(D204:D701,"" "")),
 """")"),2.0)</f>
        <v>2</v>
      </c>
      <c r="F204" s="9" t="str">
        <f t="shared" si="79"/>
        <v>✅</v>
      </c>
      <c r="G204" s="2" t="str">
        <f>IFERROR(__xludf.DUMMYFUNCTION("REGEXEXTRACT(PROPER(SUBSTITUTE(TRIM(I204),""."","" "")),""^[^@]+"")"),"Sam Davis")</f>
        <v>Sam Davis</v>
      </c>
      <c r="H204" s="10" t="str">
        <f t="shared" si="80"/>
        <v>sam.davis@yahoo.com</v>
      </c>
      <c r="I204" s="2" t="s">
        <v>1380</v>
      </c>
      <c r="J204" s="9" t="str">
        <f>IFERROR(__xludf.DUMMYFUNCTION("IF(REGEXMATCH(TRIM(I204),""^[A-Za-z0-9._%+-]+@[A-Za-z0-9.-]+\.[A-Za-z]{2,}$""),""✅ Valid"",""❌ Invalid"")"),"✅ Valid")</f>
        <v>✅ Valid</v>
      </c>
      <c r="K204" s="13" t="s">
        <v>7910</v>
      </c>
      <c r="L204" s="2" t="str">
        <f>IFERROR(__xludf.DUMMYFUNCTION("IF(OR(K204=""N/A"", K204=""missing"", K204=""none""), """",
 REGEXREPLACE(
  SUBSTITUTE(SUBSTITUTE(SUBSTITUTE(TO_TEXT(K204), CHAR(160),""""), UNICHAR(8239),""""), UNICHAR(8201),""""),""[+\-/(): )]"", """"))"),"20152553")</f>
        <v>20152553</v>
      </c>
      <c r="M204" s="2" t="str">
        <f>IFERROR(__xludf.DUMMYFUNCTION("IF(L204="""","""", REGEXEXTRACT(REGEXREPLACE(L204,""x"", """"), ""[0-9]+""))"),"20152553")</f>
        <v>20152553</v>
      </c>
      <c r="N204" s="2" t="str">
        <f>IF(LEFT(M204,2)="33", RIGHT(M204,LEN(M204)-2),M204)</f>
        <v>20152553</v>
      </c>
      <c r="O204" s="2" t="b">
        <f>IFERROR(__xludf.DUMMYFUNCTION("REGEXMATCH(TO_TEXT(N204), ""^0[67]"")"),FALSE)</f>
        <v>0</v>
      </c>
      <c r="P204" s="2">
        <f t="shared" si="93"/>
        <v>8</v>
      </c>
      <c r="Q204" s="9" t="str">
        <f>IF(AND(O204=TRUE, P204=9), "✅ VALID", "❌ INVALID")</f>
        <v>❌ INVALID</v>
      </c>
      <c r="R204" s="10" t="s">
        <v>58</v>
      </c>
      <c r="S204" s="12">
        <v>45062.0</v>
      </c>
      <c r="T204" s="2" t="str">
        <f>IFERROR(__xludf.DUMMYFUNCTION("IF(ISNUMBER(S204),TEXT(S204,""yyyy-MM-dd""),REGEXREPLACE(REGEXREPLACE(TO_TEXT(S204),""[^0-9a-zA-Z]+"",""-""),""[^0-9]*$"",""""))"),"2023-05-16")</f>
        <v>2023-05-16</v>
      </c>
      <c r="U204" s="2" t="s">
        <v>7911</v>
      </c>
      <c r="Y204" s="10" t="s">
        <v>7911</v>
      </c>
    </row>
    <row r="205" ht="15.75" customHeight="1">
      <c r="A205" s="2" t="s">
        <v>1067</v>
      </c>
      <c r="B205" s="9" t="s">
        <v>7597</v>
      </c>
      <c r="C205" s="2" t="s">
        <v>1387</v>
      </c>
      <c r="D205" s="10" t="str">
        <f>IFERROR(__xludf.DUMMYFUNCTION("PROPER(REGEXREPLACE(TRIM(C205),""\s+"","" ""))"),"Nina Rossi")</f>
        <v>Nina Rossi</v>
      </c>
      <c r="E205" s="2">
        <f>IFERROR(__xludf.DUMMYFUNCTION("IF(LEN(D205:D701),
  COUNTA(SPLIT(D205:D701,"" "")),
 """")"),2.0)</f>
        <v>2</v>
      </c>
      <c r="F205" s="9" t="str">
        <f t="shared" si="79"/>
        <v>✅</v>
      </c>
      <c r="G205" s="2" t="str">
        <f>IFERROR(__xludf.DUMMYFUNCTION("REGEXEXTRACT(PROPER(SUBSTITUTE(TRIM(I205),""."","" "")),""^[^@]+"")"),"Nina Rossi")</f>
        <v>Nina Rossi</v>
      </c>
      <c r="H205" s="10" t="str">
        <f t="shared" si="80"/>
        <v>nina.rossi@company.co.uk</v>
      </c>
      <c r="I205" s="2" t="s">
        <v>1388</v>
      </c>
      <c r="J205" s="9" t="str">
        <f>IFERROR(__xludf.DUMMYFUNCTION("IF(REGEXMATCH(TRIM(I205),""^[A-Za-z0-9._%+-]+@[A-Za-z0-9.-]+\.[A-Za-z]{2,}$""),""✅ Valid"",""❌ Invalid"")"),"✅ Valid")</f>
        <v>✅ Valid</v>
      </c>
      <c r="K205" s="13" t="s">
        <v>7912</v>
      </c>
      <c r="L205" s="2" t="str">
        <f>IFERROR(__xludf.DUMMYFUNCTION("IF(OR(K205=""N/A"", K205=""missing"", K205=""none""), """",
 REGEXREPLACE(
  SUBSTITUTE(SUBSTITUTE(SUBSTITUTE(TO_TEXT(K205), CHAR(160),""""), UNICHAR(8239),""""), UNICHAR(8201),""""),""[+\-/(): )]"", """"))"),"3534464983072")</f>
        <v>3534464983072</v>
      </c>
      <c r="M205" s="2" t="str">
        <f>IFERROR(__xludf.DUMMYFUNCTION("IF(L205="""","""", REGEXEXTRACT(REGEXREPLACE(L205,""x"", """"), ""[0-9]+""))"),"3534464983072")</f>
        <v>3534464983072</v>
      </c>
      <c r="N205" s="2" t="str">
        <f>IF(LEFT(M205,3)="353", RIGHT(M205,LEN(M205)-3),M205)</f>
        <v>4464983072</v>
      </c>
      <c r="O205" s="2" t="b">
        <f>IFERROR(__xludf.DUMMYFUNCTION("REGEXMATCH(TO_TEXT(N205), ""^0(83|85|86|87|89)"")"),FALSE)</f>
        <v>0</v>
      </c>
      <c r="P205" s="2">
        <f t="shared" si="93"/>
        <v>10</v>
      </c>
      <c r="Q205" s="9" t="str">
        <f>IF(AND(O205=TRUE, P202=10), "✅ VALID", "❌ INVALID")</f>
        <v>❌ INVALID</v>
      </c>
      <c r="R205" s="10" t="s">
        <v>1177</v>
      </c>
      <c r="S205" s="12">
        <v>44827.0</v>
      </c>
      <c r="T205" s="2" t="str">
        <f>IFERROR(__xludf.DUMMYFUNCTION("IF(ISNUMBER(S205),TEXT(S205,""yyyy-MM-dd""),REGEXREPLACE(REGEXREPLACE(TO_TEXT(S205),""[^0-9a-zA-Z]+"",""-""),""[^0-9]*$"",""""))"),"2022-09-23")</f>
        <v>2022-09-23</v>
      </c>
      <c r="U205" s="2" t="s">
        <v>7913</v>
      </c>
      <c r="Y205" s="10" t="s">
        <v>7913</v>
      </c>
    </row>
    <row r="206" ht="15.75" customHeight="1">
      <c r="A206" s="2" t="s">
        <v>427</v>
      </c>
      <c r="B206" s="9" t="s">
        <v>7597</v>
      </c>
      <c r="C206" s="2" t="s">
        <v>2374</v>
      </c>
      <c r="D206" s="10" t="str">
        <f>IFERROR(__xludf.DUMMYFUNCTION("PROPER(REGEXREPLACE(TRIM(C206),""\s+"","" ""))"),"Igor Martinez")</f>
        <v>Igor Martinez</v>
      </c>
      <c r="E206" s="2">
        <f>IFERROR(__xludf.DUMMYFUNCTION("IF(LEN(D206:D701),
  COUNTA(SPLIT(D206:D701,"" "")),
 """")"),2.0)</f>
        <v>2</v>
      </c>
      <c r="F206" s="9" t="str">
        <f t="shared" si="79"/>
        <v>✅</v>
      </c>
      <c r="G206" s="2" t="str">
        <f>IFERROR(__xludf.DUMMYFUNCTION("REGEXEXTRACT(PROPER(SUBSTITUTE(TRIM(I206),""."","" "")),""^[^@]+"")"),"Igor Martinez")</f>
        <v>Igor Martinez</v>
      </c>
      <c r="H206" s="10" t="str">
        <f t="shared" si="80"/>
        <v>igor.martinez@yahoo.com</v>
      </c>
      <c r="I206" s="2" t="s">
        <v>2375</v>
      </c>
      <c r="J206" s="9" t="str">
        <f>IFERROR(__xludf.DUMMYFUNCTION("IF(REGEXMATCH(TRIM(I206),""^[A-Za-z0-9._%+-]+@[A-Za-z0-9.-]+\.[A-Za-z]{2,}$""),""✅ Valid"",""❌ Invalid"")"),"✅ Valid")</f>
        <v>✅ Valid</v>
      </c>
      <c r="K206" s="13" t="s">
        <v>7914</v>
      </c>
      <c r="L206" s="2" t="str">
        <f>IFERROR(__xludf.DUMMYFUNCTION("IF(OR(K206=""N/A"", K206=""missing"", K206=""none""), """",
 REGEXREPLACE(
  SUBSTITUTE(SUBSTITUTE(SUBSTITUTE(TO_TEXT(K206), CHAR(160),""""), UNICHAR(8239),""""), UNICHAR(8201),""""),""[+\-/(): )]"", """"))"),"496067552955")</f>
        <v>496067552955</v>
      </c>
      <c r="M206" s="2" t="str">
        <f>IFERROR(__xludf.DUMMYFUNCTION("IF(L206="""","""", REGEXEXTRACT(REGEXREPLACE(L206,""x"", """"), ""[0-9]+""))"),"496067552955")</f>
        <v>496067552955</v>
      </c>
      <c r="N206" s="2" t="str">
        <f>IF(LEFT(M206,2)="49", RIGHT(M206,LEN(M206)-2),M206)</f>
        <v>6067552955</v>
      </c>
      <c r="O206" s="2" t="b">
        <f>IFERROR(__xludf.DUMMYFUNCTION("REGEXMATCH(TO_TEXT(N206), ""^0(15|16|17)"")"),FALSE)</f>
        <v>0</v>
      </c>
      <c r="P206" s="2">
        <f t="shared" si="93"/>
        <v>10</v>
      </c>
      <c r="Q206" s="9" t="str">
        <f>IF(AND(O206=TRUE,OR(P206=10, P206=11)), "✅ VALID", "❌ INVALID")</f>
        <v>❌ INVALID</v>
      </c>
      <c r="R206" s="10" t="s">
        <v>459</v>
      </c>
      <c r="S206" s="12">
        <v>45823.0</v>
      </c>
      <c r="T206" s="2" t="str">
        <f>IFERROR(__xludf.DUMMYFUNCTION("IF(ISNUMBER(S206),TEXT(S206,""yyyy-MM-dd""),REGEXREPLACE(REGEXREPLACE(TO_TEXT(S206),""[^0-9a-zA-Z]+"",""-""),""[^0-9]*$"",""""))"),"2025-06-15")</f>
        <v>2025-06-15</v>
      </c>
      <c r="U206" s="2" t="s">
        <v>7915</v>
      </c>
      <c r="Y206" s="10" t="s">
        <v>7915</v>
      </c>
    </row>
    <row r="207" ht="15.75" customHeight="1">
      <c r="A207" s="2" t="s">
        <v>5214</v>
      </c>
      <c r="B207" s="9" t="s">
        <v>7597</v>
      </c>
      <c r="C207" s="2" t="s">
        <v>5653</v>
      </c>
      <c r="D207" s="10" t="str">
        <f>IFERROR(__xludf.DUMMYFUNCTION("PROPER(REGEXREPLACE(TRIM(C207),""\s+"","" ""))"),"Marek Johnson")</f>
        <v>Marek Johnson</v>
      </c>
      <c r="E207" s="2">
        <f>IFERROR(__xludf.DUMMYFUNCTION("IF(LEN(D207:D701),
  COUNTA(SPLIT(D207:D701,"" "")),
 """")"),2.0)</f>
        <v>2</v>
      </c>
      <c r="F207" s="9" t="str">
        <f t="shared" si="79"/>
        <v>✅</v>
      </c>
      <c r="G207" s="2" t="str">
        <f>IFERROR(__xludf.DUMMYFUNCTION("REGEXEXTRACT(PROPER(SUBSTITUTE(TRIM(I207),""."","" "")),""^[^@]+"")"),"Marek Johnson")</f>
        <v>Marek Johnson</v>
      </c>
      <c r="H207" s="10" t="str">
        <f t="shared" si="80"/>
        <v>marek.johnson@shop.io</v>
      </c>
      <c r="I207" s="2" t="s">
        <v>5654</v>
      </c>
      <c r="J207" s="9" t="str">
        <f>IFERROR(__xludf.DUMMYFUNCTION("IF(REGEXMATCH(TRIM(I207),""^[A-Za-z0-9._%+-]+@[A-Za-z0-9.-]+\.[A-Za-z]{2,}$""),""✅ Valid"",""❌ Invalid"")"),"✅ Valid")</f>
        <v>✅ Valid</v>
      </c>
      <c r="K207" s="13" t="s">
        <v>7916</v>
      </c>
      <c r="L207" s="2" t="str">
        <f>IFERROR(__xludf.DUMMYFUNCTION("IF(OR(K207=""N/A"", K207=""missing"", K207=""none""), """",
 REGEXREPLACE(
  SUBSTITUTE(SUBSTITUTE(SUBSTITUTE(TO_TEXT(K207), CHAR(160),""""), UNICHAR(8239),""""), UNICHAR(8201),""""),""[+\-/(): )]"", """"))"),"tel34712092934")</f>
        <v>tel34712092934</v>
      </c>
      <c r="M207" s="2" t="str">
        <f>IFERROR(__xludf.DUMMYFUNCTION("IF(L207="""","""", REGEXEXTRACT(REGEXREPLACE(L207,""x"", """"), ""[0-9]+""))"),"34712092934")</f>
        <v>34712092934</v>
      </c>
      <c r="N207" s="2" t="str">
        <f>IF(LEFT(M207,2)="34", RIGHT(M207,LEN(M207)-2),M207)</f>
        <v>712092934</v>
      </c>
      <c r="O207" s="2" t="b">
        <f>IFERROR(__xludf.DUMMYFUNCTION("REGEXMATCH(TO_TEXT(N207), ""^[67]"")"),TRUE)</f>
        <v>1</v>
      </c>
      <c r="P207" s="2">
        <f t="shared" si="93"/>
        <v>9</v>
      </c>
      <c r="Q207" s="9" t="str">
        <f>IF(AND(O207=TRUE, P207=9), "✅ VALID", "❌ INVALID")</f>
        <v>✅ VALID</v>
      </c>
      <c r="R207" s="10" t="s">
        <v>139</v>
      </c>
      <c r="S207" s="12" t="s">
        <v>6610</v>
      </c>
      <c r="T207" s="2" t="str">
        <f>IFERROR(__xludf.DUMMYFUNCTION("IF(ISNUMBER(S207),TEXT(S207,""yyyy-MM-dd""),REGEXREPLACE(REGEXREPLACE(TO_TEXT(S207),""[^0-9a-zA-Z]+"",""-""),""[^0-9]*$"",""""))"),"07-09-2022-04-08")</f>
        <v>07-09-2022-04-08</v>
      </c>
      <c r="U207" s="2" t="str">
        <f>TEXT(T207,"yyyy-MM-dd")</f>
        <v>07-09-2022-04-08</v>
      </c>
      <c r="V207" s="2" t="str">
        <f>IFERROR(__xludf.DUMMYFUNCTION("REGEXEXTRACT(U207,""^\d{2}-\d{2}-\d{4}"")"),"07-09-2022")</f>
        <v>07-09-2022</v>
      </c>
      <c r="W207" s="2" t="s">
        <v>7917</v>
      </c>
      <c r="Y207" s="10" t="s">
        <v>7917</v>
      </c>
    </row>
    <row r="208" ht="15.75" customHeight="1">
      <c r="A208" s="2" t="s">
        <v>3335</v>
      </c>
      <c r="B208" s="9" t="s">
        <v>7597</v>
      </c>
      <c r="C208" s="2" t="s">
        <v>4983</v>
      </c>
      <c r="D208" s="10" t="str">
        <f>IFERROR(__xludf.DUMMYFUNCTION("PROPER(REGEXREPLACE(TRIM(C208),""\s+"","" ""))"),"Lia Rodriguez")</f>
        <v>Lia Rodriguez</v>
      </c>
      <c r="E208" s="2">
        <f>IFERROR(__xludf.DUMMYFUNCTION("IF(LEN(D208:D701),
  COUNTA(SPLIT(D208:D701,"" "")),
 """")"),2.0)</f>
        <v>2</v>
      </c>
      <c r="F208" s="9" t="str">
        <f t="shared" si="79"/>
        <v>✅</v>
      </c>
      <c r="G208" s="2" t="str">
        <f>IFERROR(__xludf.DUMMYFUNCTION("REGEXEXTRACT(PROPER(SUBSTITUTE(TRIM(I208),""."","" "")),""^[^@]+"")"),"Lia Rodriguez")</f>
        <v>Lia Rodriguez</v>
      </c>
      <c r="H208" s="10" t="str">
        <f t="shared" si="80"/>
        <v>lia.rodriguez@yahoo.com</v>
      </c>
      <c r="I208" s="2" t="s">
        <v>4984</v>
      </c>
      <c r="J208" s="9" t="str">
        <f>IFERROR(__xludf.DUMMYFUNCTION("IF(REGEXMATCH(TRIM(I208),""^[A-Za-z0-9._%+-]+@[A-Za-z0-9.-]+\.[A-Za-z]{2,}$""),""✅ Valid"",""❌ Invalid"")"),"✅ Valid")</f>
        <v>✅ Valid</v>
      </c>
      <c r="K208" s="13" t="s">
        <v>7918</v>
      </c>
      <c r="L208" s="2" t="str">
        <f>IFERROR(__xludf.DUMMYFUNCTION("IF(OR(K208=""N/A"", K208=""missing"", K208=""none""), """",
 REGEXREPLACE(
  SUBSTITUTE(SUBSTITUTE(SUBSTITUTE(TO_TEXT(K208), CHAR(160),""""), UNICHAR(8239),""""), UNICHAR(8201),""""),""[+\-/(): )]"", """"))"),"tel394102522095")</f>
        <v>tel394102522095</v>
      </c>
      <c r="M208" s="2" t="str">
        <f>IFERROR(__xludf.DUMMYFUNCTION("IF(L208="""","""", REGEXEXTRACT(REGEXREPLACE(L208,""x"", """"), ""[0-9]+""))"),"394102522095")</f>
        <v>394102522095</v>
      </c>
      <c r="N208" s="2" t="str">
        <f>IF(LEFT(M208,2)="39", RIGHT(M208,LEN(M208)-2),M208)</f>
        <v>4102522095</v>
      </c>
      <c r="O208" s="2" t="b">
        <f>IFERROR(__xludf.DUMMYFUNCTION("REGEXMATCH(TO_TEXT(N208), ""^3"")"),FALSE)</f>
        <v>0</v>
      </c>
      <c r="P208" s="2">
        <f t="shared" si="93"/>
        <v>10</v>
      </c>
      <c r="Q208" s="9" t="str">
        <f>IF(AND(O208=TRUE,OR(P208=9, P208=10 )), "✅ VALID", "❌ INVALID")</f>
        <v>❌ INVALID</v>
      </c>
      <c r="R208" s="10" t="s">
        <v>785</v>
      </c>
      <c r="S208" s="12" t="s">
        <v>7381</v>
      </c>
      <c r="T208" s="2" t="str">
        <f>IFERROR(__xludf.DUMMYFUNCTION("IF(ISNUMBER(S208),TEXT(S208,""yyyy-MM-dd""),REGEXREPLACE(REGEXREPLACE(TO_TEXT(S208),""[^0-9a-zA-Z]+"",""-""),""[^0-9]*$"",""""))"),"08-05-2025")</f>
        <v>08-05-2025</v>
      </c>
      <c r="U208" s="2" t="s">
        <v>7919</v>
      </c>
      <c r="Y208" s="10" t="s">
        <v>7919</v>
      </c>
    </row>
    <row r="209" ht="15.75" customHeight="1">
      <c r="A209" s="2" t="s">
        <v>3315</v>
      </c>
      <c r="B209" s="9" t="s">
        <v>7597</v>
      </c>
      <c r="C209" s="2" t="s">
        <v>1068</v>
      </c>
      <c r="D209" s="10" t="str">
        <f>IFERROR(__xludf.DUMMYFUNCTION("PROPER(REGEXREPLACE(TRIM(C209),""\s+"","" ""))"),"Adam Johnson")</f>
        <v>Adam Johnson</v>
      </c>
      <c r="E209" s="2">
        <f>IFERROR(__xludf.DUMMYFUNCTION("IF(LEN(D209:D701),
  COUNTA(SPLIT(D209:D701,"" "")),
 """")"),2.0)</f>
        <v>2</v>
      </c>
      <c r="F209" s="9" t="str">
        <f t="shared" si="79"/>
        <v>✅</v>
      </c>
      <c r="G209" s="2" t="str">
        <f>IFERROR(__xludf.DUMMYFUNCTION("REGEXEXTRACT(PROPER(SUBSTITUTE(TRIM(I209),""."","" "")),""^[^@]+"")"),"Adam Johnson")</f>
        <v>Adam Johnson</v>
      </c>
      <c r="H209" s="10" t="str">
        <f t="shared" si="80"/>
        <v>adam.johnson@outloo.kcom</v>
      </c>
      <c r="I209" s="2" t="s">
        <v>1069</v>
      </c>
      <c r="J209" s="9" t="str">
        <f>IFERROR(__xludf.DUMMYFUNCTION("IF(REGEXMATCH(TRIM(I209),""^[A-Za-z0-9._%+-]+@[A-Za-z0-9.-]+\.[A-Za-z]{2,}$""),""✅ Valid"",""❌ Invalid"")"),"✅ Valid")</f>
        <v>✅ Valid</v>
      </c>
      <c r="K209" s="17" t="s">
        <v>7920</v>
      </c>
      <c r="L209" s="2" t="str">
        <f>IFERROR(__xludf.DUMMYFUNCTION("IF(K209=""N/A"", """",
 REGEXREPLACE(
  SUBSTITUTE(SUBSTITUTE(SUBSTITUTE(TO_TEXT(K209), CHAR(160),""""), UNICHAR(8239),""""), UNICHAR(8201),""""),""[+\-/(): )]"", """"))"),"3642155")</f>
        <v>3642155</v>
      </c>
      <c r="M209" s="2" t="str">
        <f>IFERROR(__xludf.DUMMYFUNCTION("IF(L209="""","""", REGEXEXTRACT(REGEXREPLACE(L209,""x"", """"), ""[0-9]+""))"),"3642155")</f>
        <v>3642155</v>
      </c>
      <c r="N209" s="2" t="str">
        <f>IF(LEFT(M209,2)="48", RIGHT(M209,LEN(M209)-2),M209)</f>
        <v>3642155</v>
      </c>
      <c r="O209" s="2" t="b">
        <f>IFERROR(__xludf.DUMMYFUNCTION("REGEXMATCH(TO_TEXT(N209), ""^(5[013679]|6[069]|7[2-9]|88)"")"),FALSE)</f>
        <v>0</v>
      </c>
      <c r="Q209" s="9" t="str">
        <f>IF(AND(O209=TRUE, P209=9), "✅ VALID", "❌ INVALID")</f>
        <v>❌ INVALID</v>
      </c>
      <c r="R209" s="10" t="s">
        <v>25</v>
      </c>
      <c r="S209" s="12" t="s">
        <v>6521</v>
      </c>
      <c r="T209" s="2" t="str">
        <f>IFERROR(__xludf.DUMMYFUNCTION("IF(ISNUMBER(S209),TEXT(S209,""yyyy-MM-dd""),REGEXREPLACE(REGEXREPLACE(TO_TEXT(S209),""[^0-9a-zA-Z]+"",""-""),""[^0-9]*$"",""""))"),"04-05-2022")</f>
        <v>04-05-2022</v>
      </c>
      <c r="U209" s="2" t="s">
        <v>7921</v>
      </c>
      <c r="Y209" s="10" t="s">
        <v>7921</v>
      </c>
    </row>
    <row r="210" ht="15.75" customHeight="1">
      <c r="A210" s="2" t="s">
        <v>3038</v>
      </c>
      <c r="B210" s="9" t="s">
        <v>7597</v>
      </c>
      <c r="C210" s="2" t="s">
        <v>428</v>
      </c>
      <c r="D210" s="10" t="str">
        <f>IFERROR(__xludf.DUMMYFUNCTION("PROPER(REGEXREPLACE(TRIM(C210),""\s+"","" ""))"),"Zack Brown")</f>
        <v>Zack Brown</v>
      </c>
      <c r="E210" s="2">
        <f>IFERROR(__xludf.DUMMYFUNCTION("IF(LEN(D210:D701),
  COUNTA(SPLIT(D210:D701,"" "")),
 """")"),2.0)</f>
        <v>2</v>
      </c>
      <c r="F210" s="9" t="str">
        <f t="shared" si="79"/>
        <v>✅</v>
      </c>
      <c r="G210" s="2" t="str">
        <f>IFERROR(__xludf.DUMMYFUNCTION("REGEXEXTRACT(PROPER(SUBSTITUTE(TRIM(I210),""."","" "")),""^[^@]+"")"),"Zack Brown")</f>
        <v>Zack Brown</v>
      </c>
      <c r="H210" s="10" t="str">
        <f t="shared" si="80"/>
        <v>zack.brown@yahoo.com</v>
      </c>
      <c r="I210" s="2" t="s">
        <v>429</v>
      </c>
      <c r="J210" s="9" t="str">
        <f>IFERROR(__xludf.DUMMYFUNCTION("IF(REGEXMATCH(TRIM(I210),""^[A-Za-z0-9._%+-]+@[A-Za-z0-9.-]+\.[A-Za-z]{2,}$""),""✅ Valid"",""❌ Invalid"")"),"✅ Valid")</f>
        <v>✅ Valid</v>
      </c>
      <c r="K210" s="13" t="s">
        <v>7922</v>
      </c>
      <c r="L210" s="2" t="str">
        <f>IFERROR(__xludf.DUMMYFUNCTION("IF(OR(K210=""N/A"", K210=""missing"", K210=""none""), """",
 REGEXREPLACE(
  SUBSTITUTE(SUBSTITUTE(SUBSTITUTE(TO_TEXT(K210), CHAR(160),""""), UNICHAR(8239),""""), UNICHAR(8201),""""),""[+\-/(): )]"", """"))"),"10599354915")</f>
        <v>10599354915</v>
      </c>
      <c r="M210" s="2" t="str">
        <f>IFERROR(__xludf.DUMMYFUNCTION("IF(L210="""","""", REGEXEXTRACT(REGEXREPLACE(L210,""x"", """"), ""[0-9]+""))"),"10599354915")</f>
        <v>10599354915</v>
      </c>
      <c r="N210" s="2" t="str">
        <f t="shared" ref="N210:N211" si="94">IF(LEFT(M210,1)="1", RIGHT(M210,LEN(M210)-1),M210)</f>
        <v>0599354915</v>
      </c>
      <c r="O210" s="2" t="b">
        <f>IFERROR(__xludf.DUMMYFUNCTION("REGEXMATCH(TO_TEXT(N210), ""^[2-9][0-9]{9}$"")"),FALSE)</f>
        <v>0</v>
      </c>
      <c r="P210" s="2">
        <f t="shared" ref="P210:P214" si="95">LEN(N210)</f>
        <v>10</v>
      </c>
      <c r="Q210" s="9" t="str">
        <f t="shared" ref="Q210:Q211" si="96">IF(AND(O210=TRUE, P210=10), "✅ VALID", "❌ INVALID")</f>
        <v>❌ INVALID</v>
      </c>
      <c r="R210" s="10" t="s">
        <v>199</v>
      </c>
      <c r="S210" s="12">
        <v>44929.0</v>
      </c>
      <c r="T210" s="2" t="str">
        <f>IFERROR(__xludf.DUMMYFUNCTION("IF(ISNUMBER(S210),TEXT(S210,""yyyy-MM-dd""),REGEXREPLACE(REGEXREPLACE(TO_TEXT(S210),""[^0-9a-zA-Z]+"",""-""),""[^0-9]*$"",""""))"),"2023-01-03")</f>
        <v>2023-01-03</v>
      </c>
      <c r="U210" s="2" t="s">
        <v>7923</v>
      </c>
      <c r="Y210" s="10" t="s">
        <v>7923</v>
      </c>
    </row>
    <row r="211" ht="15.75" customHeight="1">
      <c r="A211" s="2" t="s">
        <v>2407</v>
      </c>
      <c r="B211" s="9" t="s">
        <v>7597</v>
      </c>
      <c r="C211" s="2" t="s">
        <v>5215</v>
      </c>
      <c r="D211" s="10" t="str">
        <f>IFERROR(__xludf.DUMMYFUNCTION("PROPER(REGEXREPLACE(TRIM(C211),""\s+"","" ""))"),"Uma Rodriguez")</f>
        <v>Uma Rodriguez</v>
      </c>
      <c r="E211" s="2">
        <f>IFERROR(__xludf.DUMMYFUNCTION("IF(LEN(D211:D701),
  COUNTA(SPLIT(D211:D701,"" "")),
 """")"),2.0)</f>
        <v>2</v>
      </c>
      <c r="F211" s="9" t="str">
        <f t="shared" si="79"/>
        <v>✅</v>
      </c>
      <c r="G211" s="2" t="str">
        <f>IFERROR(__xludf.DUMMYFUNCTION("REGEXEXTRACT(PROPER(SUBSTITUTE(TRIM(I211),""."","" "")),""^[^@]+"")"),"Uma Rodriguez")</f>
        <v>Uma Rodriguez</v>
      </c>
      <c r="H211" s="10" t="str">
        <f t="shared" si="80"/>
        <v>uma.rodriguez@yahoo.com</v>
      </c>
      <c r="I211" s="2" t="s">
        <v>5216</v>
      </c>
      <c r="J211" s="9" t="str">
        <f>IFERROR(__xludf.DUMMYFUNCTION("IF(REGEXMATCH(TRIM(I211),""^[A-Za-z0-9._%+-]+@[A-Za-z0-9.-]+\.[A-Za-z]{2,}$""),""✅ Valid"",""❌ Invalid"")"),"✅ Valid")</f>
        <v>✅ Valid</v>
      </c>
      <c r="K211" s="13" t="s">
        <v>7924</v>
      </c>
      <c r="L211" s="2" t="str">
        <f>IFERROR(__xludf.DUMMYFUNCTION("IF(OR(K211=""N/A"", K211=""missing"", K211=""none""), """",
 REGEXREPLACE(
  SUBSTITUTE(SUBSTITUTE(SUBSTITUTE(TO_TEXT(K211), CHAR(160),""""), UNICHAR(8239),""""), UNICHAR(8201),""""),""[+\-/(): )]"", """"))"),"8953354571")</f>
        <v>8953354571</v>
      </c>
      <c r="M211" s="2" t="str">
        <f>IFERROR(__xludf.DUMMYFUNCTION("IF(L211="""","""", REGEXEXTRACT(REGEXREPLACE(L211,""x"", """"), ""[0-9]+""))"),"8953354571")</f>
        <v>8953354571</v>
      </c>
      <c r="N211" s="2" t="str">
        <f t="shared" si="94"/>
        <v>8953354571</v>
      </c>
      <c r="O211" s="2" t="b">
        <f>IFERROR(__xludf.DUMMYFUNCTION("REGEXMATCH(TO_TEXT(N211), ""^[2-9][0-9]{9}$"")"),TRUE)</f>
        <v>1</v>
      </c>
      <c r="P211" s="2">
        <f t="shared" si="95"/>
        <v>10</v>
      </c>
      <c r="Q211" s="9" t="str">
        <f t="shared" si="96"/>
        <v>✅ VALID</v>
      </c>
      <c r="R211" s="10" t="s">
        <v>199</v>
      </c>
      <c r="S211" s="12" t="s">
        <v>6566</v>
      </c>
      <c r="T211" s="2" t="str">
        <f>IFERROR(__xludf.DUMMYFUNCTION("IF(ISNUMBER(S211),TEXT(S211,""yyyy-MM-dd""),REGEXREPLACE(REGEXREPLACE(TO_TEXT(S211),""[^0-9a-zA-Z]+"",""-""),""[^0-9]*$"",""""))"),"02-03-2023")</f>
        <v>02-03-2023</v>
      </c>
      <c r="U211" s="2" t="s">
        <v>7925</v>
      </c>
      <c r="Y211" s="10" t="s">
        <v>7925</v>
      </c>
    </row>
    <row r="212" ht="15.75" customHeight="1">
      <c r="A212" s="2" t="s">
        <v>5157</v>
      </c>
      <c r="B212" s="9" t="s">
        <v>7597</v>
      </c>
      <c r="C212" s="2" t="s">
        <v>3336</v>
      </c>
      <c r="D212" s="10" t="str">
        <f>IFERROR(__xludf.DUMMYFUNCTION("PROPER(REGEXREPLACE(TRIM(C212),""\s+"","" ""))"),"Yara Williams")</f>
        <v>Yara Williams</v>
      </c>
      <c r="E212" s="2">
        <f>IFERROR(__xludf.DUMMYFUNCTION("IF(LEN(D212:D701),
  COUNTA(SPLIT(D212:D701,"" "")),
 """")"),2.0)</f>
        <v>2</v>
      </c>
      <c r="F212" s="9" t="str">
        <f t="shared" si="79"/>
        <v>✅</v>
      </c>
      <c r="G212" s="2" t="str">
        <f>IFERROR(__xludf.DUMMYFUNCTION("REGEXEXTRACT(PROPER(SUBSTITUTE(TRIM(I212),""."","" "")),""^[^@]+"")"),"Yara Williams")</f>
        <v>Yara Williams</v>
      </c>
      <c r="H212" s="10" t="str">
        <f t="shared" si="80"/>
        <v>yara.williams@example.com</v>
      </c>
      <c r="I212" s="2" t="s">
        <v>3337</v>
      </c>
      <c r="J212" s="9" t="str">
        <f>IFERROR(__xludf.DUMMYFUNCTION("IF(REGEXMATCH(TRIM(I212),""^[A-Za-z0-9._%+-]+@[A-Za-z0-9.-]+\.[A-Za-z]{2,}$""),""✅ Valid"",""❌ Invalid"")"),"✅ Valid")</f>
        <v>✅ Valid</v>
      </c>
      <c r="K212" s="11">
        <v>9.381852559E9</v>
      </c>
      <c r="L212" s="2" t="str">
        <f>IFERROR(__xludf.DUMMYFUNCTION("IF(OR(K212=""N/A"", K212=""missing"", K212=""none""), """",
 REGEXREPLACE(
  SUBSTITUTE(SUBSTITUTE(SUBSTITUTE(TO_TEXT(K212), CHAR(160),""""), UNICHAR(8239),""""), UNICHAR(8201),""""),""[+\-/(): )]"", """"))"),"9381852559")</f>
        <v>9381852559</v>
      </c>
      <c r="M212" s="2" t="str">
        <f>IFERROR(__xludf.DUMMYFUNCTION("IF(L212="""","""", REGEXEXTRACT(REGEXREPLACE(L212,""x"", """"), ""[0-9]+""))"),"9381852559")</f>
        <v>9381852559</v>
      </c>
      <c r="N212" s="2" t="str">
        <f>IF(LEFT(M212,2)="39", RIGHT(M212,LEN(M212)-2),M212)</f>
        <v>9381852559</v>
      </c>
      <c r="O212" s="2" t="b">
        <f>IFERROR(__xludf.DUMMYFUNCTION("REGEXMATCH(TO_TEXT(N212), ""^3"")"),FALSE)</f>
        <v>0</v>
      </c>
      <c r="P212" s="2">
        <f t="shared" si="95"/>
        <v>10</v>
      </c>
      <c r="Q212" s="9" t="str">
        <f>IF(AND(O212=TRUE,OR(P212=9, P212=10 )), "✅ VALID", "❌ INVALID")</f>
        <v>❌ INVALID</v>
      </c>
      <c r="R212" s="10" t="s">
        <v>785</v>
      </c>
      <c r="S212" s="12" t="s">
        <v>7012</v>
      </c>
      <c r="T212" s="2" t="str">
        <f>IFERROR(__xludf.DUMMYFUNCTION("IF(ISNUMBER(S212),TEXT(S212,""yyyy-MM-dd""),REGEXREPLACE(REGEXREPLACE(TO_TEXT(S212),""[^0-9a-zA-Z]+"",""-""),""[^0-9]*$"",""""))"),"01-10-2024")</f>
        <v>01-10-2024</v>
      </c>
      <c r="U212" s="2" t="s">
        <v>3187</v>
      </c>
      <c r="Y212" s="10" t="s">
        <v>3187</v>
      </c>
    </row>
    <row r="213" ht="15.75" customHeight="1">
      <c r="A213" s="2" t="s">
        <v>1904</v>
      </c>
      <c r="B213" s="9" t="s">
        <v>7597</v>
      </c>
      <c r="C213" s="2" t="s">
        <v>3316</v>
      </c>
      <c r="D213" s="10" t="str">
        <f>IFERROR(__xludf.DUMMYFUNCTION("PROPER(REGEXREPLACE(TRIM(C213),""\s+"","" ""))"),"Hanna Muller")</f>
        <v>Hanna Muller</v>
      </c>
      <c r="E213" s="2">
        <f>IFERROR(__xludf.DUMMYFUNCTION("IF(LEN(D213:D701),
  COUNTA(SPLIT(D213:D701,"" "")),
 """")"),2.0)</f>
        <v>2</v>
      </c>
      <c r="F213" s="9" t="str">
        <f t="shared" si="79"/>
        <v>✅</v>
      </c>
      <c r="G213" s="2" t="str">
        <f>IFERROR(__xludf.DUMMYFUNCTION("REGEXEXTRACT(PROPER(SUBSTITUTE(TRIM(I213),""."","" "")),""^[^@]+"")"),"Hanna Muller")</f>
        <v>Hanna Muller</v>
      </c>
      <c r="H213" s="10" t="str">
        <f t="shared" si="80"/>
        <v>hanna.muller@outlook.com</v>
      </c>
      <c r="I213" s="2" t="s">
        <v>3317</v>
      </c>
      <c r="J213" s="9" t="str">
        <f>IFERROR(__xludf.DUMMYFUNCTION("IF(REGEXMATCH(TRIM(I213),""^[A-Za-z0-9._%+-]+@[A-Za-z0-9.-]+\.[A-Za-z]{2,}$""),""✅ Valid"",""❌ Invalid"")"),"✅ Valid")</f>
        <v>✅ Valid</v>
      </c>
      <c r="K213" s="13" t="s">
        <v>7926</v>
      </c>
      <c r="L213" s="2" t="str">
        <f>IFERROR(__xludf.DUMMYFUNCTION("IF(OR(K213=""N/A"", K213=""missing"", K213=""none""), """",
 REGEXREPLACE(
  SUBSTITUTE(SUBSTITUTE(SUBSTITUTE(TO_TEXT(K213), CHAR(160),""""), UNICHAR(8239),""""), UNICHAR(8201),""""),""[+\-/(): )]"", """"))"),"")</f>
        <v/>
      </c>
      <c r="M213" s="2" t="str">
        <f>IFERROR(__xludf.DUMMYFUNCTION("IF(L213="""","""", REGEXEXTRACT(REGEXREPLACE(L213,""x"", """"), ""[0-9]+""))"),"")</f>
        <v/>
      </c>
      <c r="N213" s="2" t="str">
        <f>IF(LEFT(M213,2)="33", RIGHT(M213,LEN(M213)-2),M213)</f>
        <v/>
      </c>
      <c r="O213" s="2" t="b">
        <f>IFERROR(__xludf.DUMMYFUNCTION("REGEXMATCH(TO_TEXT(N213), ""^0[67]"")"),FALSE)</f>
        <v>0</v>
      </c>
      <c r="P213" s="2">
        <f t="shared" si="95"/>
        <v>0</v>
      </c>
      <c r="Q213" s="9" t="str">
        <f>IF(AND(O213=TRUE, P213=9), "✅ VALID", "❌ INVALID")</f>
        <v>❌ INVALID</v>
      </c>
      <c r="R213" s="10" t="s">
        <v>58</v>
      </c>
      <c r="S213" s="12" t="s">
        <v>6995</v>
      </c>
      <c r="T213" s="2" t="str">
        <f>IFERROR(__xludf.DUMMYFUNCTION("IF(ISNUMBER(S213),TEXT(S213,""yyyy-MM-dd""),REGEXREPLACE(REGEXREPLACE(TO_TEXT(S213),""[^0-9a-zA-Z]+"",""-""),""[^0-9]*$"",""""))"),"12-31-2023-23-48")</f>
        <v>12-31-2023-23-48</v>
      </c>
      <c r="U213" s="2" t="str">
        <f>TEXT(T213,"yyyy-MM-dd")</f>
        <v>12-31-2023-23-48</v>
      </c>
      <c r="V213" s="2" t="str">
        <f>IFERROR(__xludf.DUMMYFUNCTION("REGEXEXTRACT(U213,""^\d{2}-\d{2}-\d{4}"")"),"12-31-2023")</f>
        <v>12-31-2023</v>
      </c>
      <c r="W213" s="2" t="str">
        <f>TEXT(V213,"yyyy-MM-dd")</f>
        <v>12-31-2023</v>
      </c>
      <c r="X213" s="2" t="s">
        <v>7927</v>
      </c>
      <c r="Y213" s="10" t="s">
        <v>7927</v>
      </c>
    </row>
    <row r="214" ht="15.75" customHeight="1">
      <c r="A214" s="2" t="s">
        <v>6964</v>
      </c>
      <c r="B214" s="9" t="s">
        <v>7597</v>
      </c>
      <c r="C214" s="2" t="s">
        <v>3039</v>
      </c>
      <c r="D214" s="10" t="str">
        <f>IFERROR(__xludf.DUMMYFUNCTION("PROPER(REGEXREPLACE(TRIM(C214),""\s+"","" ""))"),"Tara Kowalski")</f>
        <v>Tara Kowalski</v>
      </c>
      <c r="E214" s="2">
        <f>IFERROR(__xludf.DUMMYFUNCTION("IF(LEN(D214:D701),
  COUNTA(SPLIT(D214:D701,"" "")),
 """")"),2.0)</f>
        <v>2</v>
      </c>
      <c r="F214" s="9" t="str">
        <f t="shared" si="79"/>
        <v>✅</v>
      </c>
      <c r="G214" s="2" t="str">
        <f>IFERROR(__xludf.DUMMYFUNCTION("REGEXEXTRACT(PROPER(SUBSTITUTE(TRIM(I214),""."","" "")),""^[^@]+"")"),"Tara Kowalski")</f>
        <v>Tara Kowalski</v>
      </c>
      <c r="H214" s="10" t="str">
        <f t="shared" si="80"/>
        <v>tara.kowalski@outlook.com</v>
      </c>
      <c r="I214" s="2" t="s">
        <v>3040</v>
      </c>
      <c r="J214" s="9" t="str">
        <f>IFERROR(__xludf.DUMMYFUNCTION("IF(REGEXMATCH(TRIM(I214),""^[A-Za-z0-9._%+-]+@[A-Za-z0-9.-]+\.[A-Za-z]{2,}$""),""✅ Valid"",""❌ Invalid"")"),"✅ Valid")</f>
        <v>✅ Valid</v>
      </c>
      <c r="K214" s="13" t="s">
        <v>7928</v>
      </c>
      <c r="L214" s="2" t="str">
        <f>IFERROR(__xludf.DUMMYFUNCTION("IF(OR(K214=""N/A"", K214=""missing"", K214=""none""), """",
 REGEXREPLACE(
  SUBSTITUTE(SUBSTITUTE(SUBSTITUTE(TO_TEXT(K214), CHAR(160),""""), UNICHAR(8239),""""), UNICHAR(8201),""""),""[+\-/(): )]"", """"))"),"353109659649")</f>
        <v>353109659649</v>
      </c>
      <c r="M214" s="2" t="str">
        <f>IFERROR(__xludf.DUMMYFUNCTION("IF(L214="""","""", REGEXEXTRACT(REGEXREPLACE(L214,""x"", """"), ""[0-9]+""))"),"353109659649")</f>
        <v>353109659649</v>
      </c>
      <c r="N214" s="2" t="str">
        <f>IF(LEFT(M214,3)="353", RIGHT(M214,LEN(M214)-3),M214)</f>
        <v>109659649</v>
      </c>
      <c r="O214" s="2" t="b">
        <f>IFERROR(__xludf.DUMMYFUNCTION("REGEXMATCH(TO_TEXT(N214), ""^0(83|85|86|87|89)"")"),FALSE)</f>
        <v>0</v>
      </c>
      <c r="P214" s="2">
        <f t="shared" si="95"/>
        <v>9</v>
      </c>
      <c r="Q214" s="9" t="str">
        <f>IF(AND(O214=TRUE, P211=10), "✅ VALID", "❌ INVALID")</f>
        <v>❌ INVALID</v>
      </c>
      <c r="R214" s="10" t="s">
        <v>1177</v>
      </c>
      <c r="S214" s="12">
        <v>44580.0</v>
      </c>
      <c r="T214" s="2" t="str">
        <f>IFERROR(__xludf.DUMMYFUNCTION("IF(ISNUMBER(S214),TEXT(S214,""yyyy-MM-dd""),REGEXREPLACE(REGEXREPLACE(TO_TEXT(S214),""[^0-9a-zA-Z]+"",""-""),""[^0-9]*$"",""""))"),"2022-01-19")</f>
        <v>2022-01-19</v>
      </c>
      <c r="U214" s="2" t="s">
        <v>7077</v>
      </c>
      <c r="Y214" s="10" t="s">
        <v>7077</v>
      </c>
    </row>
    <row r="215" ht="15.75" customHeight="1">
      <c r="A215" s="2" t="s">
        <v>594</v>
      </c>
      <c r="B215" s="9" t="s">
        <v>7597</v>
      </c>
      <c r="C215" s="2" t="s">
        <v>6398</v>
      </c>
      <c r="D215" s="10" t="str">
        <f>IFERROR(__xludf.DUMMYFUNCTION("PROPER(REGEXREPLACE(TRIM(C215),""\s+"","" ""))"),"Carlos Kowalczyk")</f>
        <v>Carlos Kowalczyk</v>
      </c>
      <c r="E215" s="2">
        <f>IFERROR(__xludf.DUMMYFUNCTION("IF(LEN(D215:D701),
  COUNTA(SPLIT(D215:D701,"" "")),
 """")"),2.0)</f>
        <v>2</v>
      </c>
      <c r="F215" s="9" t="str">
        <f t="shared" si="79"/>
        <v>❌</v>
      </c>
      <c r="G215" s="2" t="s">
        <v>7929</v>
      </c>
      <c r="H215" s="10" t="str">
        <f t="shared" si="80"/>
        <v>carlos.kowalcyzk@shop.io</v>
      </c>
      <c r="I215" s="2" t="s">
        <v>6399</v>
      </c>
      <c r="J215" s="9" t="str">
        <f>IFERROR(__xludf.DUMMYFUNCTION("IF(REGEXMATCH(TRIM(I215),""^[A-Za-z0-9._%+-]+@[A-Za-z0-9.-]+\.[A-Za-z]{2,}$""),""✅ Valid"",""❌ Invalid"")"),"✅ Valid")</f>
        <v>✅ Valid</v>
      </c>
      <c r="K215" s="15" t="s">
        <v>7930</v>
      </c>
      <c r="L215" s="2" t="str">
        <f>IFERROR(__xludf.DUMMYFUNCTION("IF(K215=""N/A"", """",
 REGEXREPLACE(
  SUBSTITUTE(SUBSTITUTE(SUBSTITUTE(TO_TEXT(K215), CHAR(160),""""), UNICHAR(8239),""""), UNICHAR(8201),""""),""[+\-/(): )]"", """"))"),"833207095")</f>
        <v>833207095</v>
      </c>
      <c r="M215" s="2" t="str">
        <f>IFERROR(__xludf.DUMMYFUNCTION("IF(L215="""","""", REGEXEXTRACT(REGEXREPLACE(L215,""x"", """"), ""[0-9]+""))"),"833207095")</f>
        <v>833207095</v>
      </c>
      <c r="N215" s="2" t="str">
        <f>IF(LEFT(M215,2)="48", RIGHT(M215,LEN(M215)-2),M215)</f>
        <v>833207095</v>
      </c>
      <c r="O215" s="2" t="b">
        <f>IFERROR(__xludf.DUMMYFUNCTION("REGEXMATCH(TO_TEXT(N215), ""^(5[013679]|6[069]|7[2-9]|88)"")"),FALSE)</f>
        <v>0</v>
      </c>
      <c r="Q215" s="9" t="str">
        <f>IF(AND(O215=TRUE, P215=9), "✅ VALID", "❌ INVALID")</f>
        <v>❌ INVALID</v>
      </c>
      <c r="R215" s="10" t="s">
        <v>25</v>
      </c>
      <c r="S215" s="12" t="s">
        <v>6323</v>
      </c>
      <c r="T215" s="2" t="str">
        <f>IFERROR(__xludf.DUMMYFUNCTION("IF(ISNUMBER(S215),TEXT(S215,""yyyy-MM-dd""),REGEXREPLACE(REGEXREPLACE(TO_TEXT(S215),""[^0-9a-zA-Z]+"",""-""),""[^0-9]*$"",""""))"),"10-18-2024")</f>
        <v>10-18-2024</v>
      </c>
      <c r="U215" s="2" t="str">
        <f>TEXT(T215,"yyyy-MM-dd")</f>
        <v>10-18-2024</v>
      </c>
      <c r="V215" s="2" t="s">
        <v>7931</v>
      </c>
      <c r="Y215" s="10" t="s">
        <v>7931</v>
      </c>
    </row>
    <row r="216" ht="15.75" customHeight="1">
      <c r="A216" s="2" t="s">
        <v>4130</v>
      </c>
      <c r="B216" s="9" t="s">
        <v>7597</v>
      </c>
      <c r="C216" s="2" t="s">
        <v>2408</v>
      </c>
      <c r="D216" s="10" t="str">
        <f>IFERROR(__xludf.DUMMYFUNCTION("PROPER(REGEXREPLACE(TRIM(C216),""\s+"","" ""))"),"Carlos Kowalczyk")</f>
        <v>Carlos Kowalczyk</v>
      </c>
      <c r="E216" s="2">
        <f>IFERROR(__xludf.DUMMYFUNCTION("IF(LEN(D216:D701),
  COUNTA(SPLIT(D216:D701,"" "")),
 """")"),2.0)</f>
        <v>2</v>
      </c>
      <c r="F216" s="9" t="str">
        <f t="shared" si="79"/>
        <v>❌</v>
      </c>
      <c r="G216" s="2" t="s">
        <v>7929</v>
      </c>
      <c r="H216" s="10" t="str">
        <f t="shared" si="80"/>
        <v>carlos.kowalcyzk@shop.io</v>
      </c>
      <c r="I216" s="2" t="s">
        <v>2409</v>
      </c>
      <c r="J216" s="9" t="str">
        <f>IFERROR(__xludf.DUMMYFUNCTION("IF(REGEXMATCH(TRIM(I216),""^[A-Za-z0-9._%+-]+@[A-Za-z0-9.-]+\.[A-Za-z]{2,}$""),""✅ Valid"",""❌ Invalid"")"),"✅ Valid")</f>
        <v>✅ Valid</v>
      </c>
      <c r="K216" s="13" t="s">
        <v>7932</v>
      </c>
      <c r="L216" s="2" t="str">
        <f>IFERROR(__xludf.DUMMYFUNCTION("IF(OR(K216=""N/A"", K216=""missing"", K216=""none""), """",
 REGEXREPLACE(
  SUBSTITUTE(SUBSTITUTE(SUBSTITUTE(TO_TEXT(K216), CHAR(160),""""), UNICHAR(8239),""""), UNICHAR(8201),""""),""[+\-/(): )]"", """"))"),"49724261691ext572")</f>
        <v>49724261691ext572</v>
      </c>
      <c r="M216" s="2" t="str">
        <f>IFERROR(__xludf.DUMMYFUNCTION("IF(L216="""","""", REGEXEXTRACT(REGEXREPLACE(L216,""x"", """"), ""[0-9]+""))"),"49724261691")</f>
        <v>49724261691</v>
      </c>
      <c r="N216" s="2" t="str">
        <f t="shared" ref="N216:N218" si="97">IF(LEFT(M216,2)="49", RIGHT(M216,LEN(M216)-2),M216)</f>
        <v>724261691</v>
      </c>
      <c r="O216" s="2" t="b">
        <f>IFERROR(__xludf.DUMMYFUNCTION("REGEXMATCH(TO_TEXT(N216), ""^0(15|16|17)"")"),FALSE)</f>
        <v>0</v>
      </c>
      <c r="P216" s="2">
        <f t="shared" ref="P216:P221" si="98">LEN(N216)</f>
        <v>9</v>
      </c>
      <c r="Q216" s="9" t="str">
        <f t="shared" ref="Q216:Q218" si="99">IF(AND(O216=TRUE,OR(P216=10, P216=11)), "✅ VALID", "❌ INVALID")</f>
        <v>❌ INVALID</v>
      </c>
      <c r="R216" s="10" t="s">
        <v>459</v>
      </c>
      <c r="S216" s="12">
        <v>45938.0</v>
      </c>
      <c r="T216" s="2" t="str">
        <f>IFERROR(__xludf.DUMMYFUNCTION("IF(ISNUMBER(S216),TEXT(S216,""yyyy-MM-dd""),REGEXREPLACE(REGEXREPLACE(TO_TEXT(S216),""[^0-9a-zA-Z]+"",""-""),""[^0-9]*$"",""""))"),"2025-10-08")</f>
        <v>2025-10-08</v>
      </c>
      <c r="U216" s="2" t="s">
        <v>7933</v>
      </c>
      <c r="Y216" s="10" t="s">
        <v>7933</v>
      </c>
    </row>
    <row r="217" ht="15.75" customHeight="1">
      <c r="A217" s="2" t="s">
        <v>5646</v>
      </c>
      <c r="B217" s="9" t="s">
        <v>7597</v>
      </c>
      <c r="C217" s="2" t="s">
        <v>5158</v>
      </c>
      <c r="D217" s="10" t="str">
        <f>IFERROR(__xludf.DUMMYFUNCTION("PROPER(REGEXREPLACE(TRIM(C217),""\s+"","" ""))"),"Uma Novak")</f>
        <v>Uma Novak</v>
      </c>
      <c r="E217" s="2">
        <f>IFERROR(__xludf.DUMMYFUNCTION("IF(LEN(D217:D701),
  COUNTA(SPLIT(D217:D701,"" "")),
 """")"),2.0)</f>
        <v>2</v>
      </c>
      <c r="F217" s="9" t="str">
        <f t="shared" si="79"/>
        <v>✅</v>
      </c>
      <c r="G217" s="2" t="str">
        <f>IFERROR(__xludf.DUMMYFUNCTION("REGEXEXTRACT(PROPER(SUBSTITUTE(TRIM(I217),""."","" "")),""^[^@]+"")"),"Uma Novak")</f>
        <v>Uma Novak</v>
      </c>
      <c r="H217" s="10" t="str">
        <f t="shared" si="80"/>
        <v>uma.novak@shop.io</v>
      </c>
      <c r="I217" s="2" t="s">
        <v>5159</v>
      </c>
      <c r="J217" s="9" t="str">
        <f>IFERROR(__xludf.DUMMYFUNCTION("IF(REGEXMATCH(TRIM(I217),""^[A-Za-z0-9._%+-]+@[A-Za-z0-9.-]+\.[A-Za-z]{2,}$""),""✅ Valid"",""❌ Invalid"")"),"✅ Valid")</f>
        <v>✅ Valid</v>
      </c>
      <c r="K217" s="13" t="s">
        <v>7934</v>
      </c>
      <c r="L217" s="2" t="str">
        <f>IFERROR(__xludf.DUMMYFUNCTION("IF(OR(K217=""N/A"", K217=""missing"", K217=""none""), """",
 REGEXREPLACE(
  SUBSTITUTE(SUBSTITUTE(SUBSTITUTE(TO_TEXT(K217), CHAR(160),""""), UNICHAR(8239),""""), UNICHAR(8201),""""),""[+\-/(): )]"", """"))"),"490861119747")</f>
        <v>490861119747</v>
      </c>
      <c r="M217" s="2" t="str">
        <f>IFERROR(__xludf.DUMMYFUNCTION("IF(L217="""","""", REGEXEXTRACT(REGEXREPLACE(L217,""x"", """"), ""[0-9]+""))"),"490861119747")</f>
        <v>490861119747</v>
      </c>
      <c r="N217" s="2" t="str">
        <f t="shared" si="97"/>
        <v>0861119747</v>
      </c>
      <c r="O217" s="2" t="b">
        <f>IFERROR(__xludf.DUMMYFUNCTION("REGEXMATCH(TO_TEXT(N217), ""^0(15|16|17)"")"),FALSE)</f>
        <v>0</v>
      </c>
      <c r="P217" s="2">
        <f t="shared" si="98"/>
        <v>10</v>
      </c>
      <c r="Q217" s="9" t="str">
        <f t="shared" si="99"/>
        <v>❌ INVALID</v>
      </c>
      <c r="R217" s="10" t="s">
        <v>459</v>
      </c>
      <c r="S217" s="12">
        <v>45938.0</v>
      </c>
      <c r="T217" s="2" t="str">
        <f>IFERROR(__xludf.DUMMYFUNCTION("IF(ISNUMBER(S217),TEXT(S217,""yyyy-MM-dd""),REGEXREPLACE(REGEXREPLACE(TO_TEXT(S217),""[^0-9a-zA-Z]+"",""-""),""[^0-9]*$"",""""))"),"2025-10-08")</f>
        <v>2025-10-08</v>
      </c>
      <c r="U217" s="2" t="s">
        <v>7933</v>
      </c>
      <c r="Y217" s="10" t="s">
        <v>7933</v>
      </c>
    </row>
    <row r="218" ht="15.75" customHeight="1">
      <c r="A218" s="2" t="s">
        <v>6814</v>
      </c>
      <c r="B218" s="9" t="s">
        <v>7597</v>
      </c>
      <c r="C218" s="2" t="s">
        <v>1905</v>
      </c>
      <c r="D218" s="10" t="str">
        <f>IFERROR(__xludf.DUMMYFUNCTION("PROPER(REGEXREPLACE(TRIM(C218),""\s+"","" ""))"),"Xenia Brown")</f>
        <v>Xenia Brown</v>
      </c>
      <c r="E218" s="2">
        <f>IFERROR(__xludf.DUMMYFUNCTION("IF(LEN(D218:D701),
  COUNTA(SPLIT(D218:D701,"" "")),
 """")"),2.0)</f>
        <v>2</v>
      </c>
      <c r="F218" s="9" t="str">
        <f t="shared" si="79"/>
        <v>✅</v>
      </c>
      <c r="G218" s="2" t="str">
        <f>IFERROR(__xludf.DUMMYFUNCTION("REGEXEXTRACT(PROPER(SUBSTITUTE(TRIM(I218),""."","" "")),""^[^@]+"")"),"Xenia Brown")</f>
        <v>Xenia Brown</v>
      </c>
      <c r="H218" s="10" t="str">
        <f t="shared" si="80"/>
        <v>xenia.brown@outlook.com</v>
      </c>
      <c r="I218" s="2" t="s">
        <v>1906</v>
      </c>
      <c r="J218" s="9" t="str">
        <f>IFERROR(__xludf.DUMMYFUNCTION("IF(REGEXMATCH(TRIM(I218),""^[A-Za-z0-9._%+-]+@[A-Za-z0-9.-]+\.[A-Za-z]{2,}$""),""✅ Valid"",""❌ Invalid"")"),"✅ Valid")</f>
        <v>✅ Valid</v>
      </c>
      <c r="K218" s="13" t="s">
        <v>7935</v>
      </c>
      <c r="L218" s="2" t="str">
        <f>IFERROR(__xludf.DUMMYFUNCTION("IF(OR(K218=""N/A"", K218=""missing"", K218=""none""), """",
 REGEXREPLACE(
  SUBSTITUTE(SUBSTITUTE(SUBSTITUTE(TO_TEXT(K218), CHAR(160),""""), UNICHAR(8239),""""), UNICHAR(8201),""""),""[+\-/(): )]"", """"))"),"495209103143")</f>
        <v>495209103143</v>
      </c>
      <c r="M218" s="2" t="str">
        <f>IFERROR(__xludf.DUMMYFUNCTION("IF(L218="""","""", REGEXEXTRACT(REGEXREPLACE(L218,""x"", """"), ""[0-9]+""))"),"495209103143")</f>
        <v>495209103143</v>
      </c>
      <c r="N218" s="2" t="str">
        <f t="shared" si="97"/>
        <v>5209103143</v>
      </c>
      <c r="O218" s="2" t="b">
        <f>IFERROR(__xludf.DUMMYFUNCTION("REGEXMATCH(TO_TEXT(N218), ""^0(15|16|17)"")"),FALSE)</f>
        <v>0</v>
      </c>
      <c r="P218" s="2">
        <f t="shared" si="98"/>
        <v>10</v>
      </c>
      <c r="Q218" s="9" t="str">
        <f t="shared" si="99"/>
        <v>❌ INVALID</v>
      </c>
      <c r="R218" s="10" t="s">
        <v>459</v>
      </c>
      <c r="S218" s="12">
        <v>45223.0</v>
      </c>
      <c r="T218" s="2" t="str">
        <f>IFERROR(__xludf.DUMMYFUNCTION("IF(ISNUMBER(S218),TEXT(S218,""yyyy-MM-dd""),REGEXREPLACE(REGEXREPLACE(TO_TEXT(S218),""[^0-9a-zA-Z]+"",""-""),""[^0-9]*$"",""""))"),"2023-10-24")</f>
        <v>2023-10-24</v>
      </c>
      <c r="U218" s="2" t="s">
        <v>7936</v>
      </c>
      <c r="Y218" s="10" t="s">
        <v>7936</v>
      </c>
    </row>
    <row r="219" ht="15.75" customHeight="1">
      <c r="A219" s="2" t="s">
        <v>3081</v>
      </c>
      <c r="B219" s="9" t="s">
        <v>7597</v>
      </c>
      <c r="C219" s="2" t="s">
        <v>6965</v>
      </c>
      <c r="D219" s="10" t="str">
        <f>IFERROR(__xludf.DUMMYFUNCTION("PROPER(REGEXREPLACE(TRIM(C219),""\s+"","" ""))"),"Marek Smith")</f>
        <v>Marek Smith</v>
      </c>
      <c r="E219" s="2">
        <f>IFERROR(__xludf.DUMMYFUNCTION("IF(LEN(D219:D701),
  COUNTA(SPLIT(D219:D701,"" "")),
 """")"),2.0)</f>
        <v>2</v>
      </c>
      <c r="F219" s="9" t="str">
        <f t="shared" si="79"/>
        <v>✅</v>
      </c>
      <c r="G219" s="2" t="str">
        <f>IFERROR(__xludf.DUMMYFUNCTION("REGEXEXTRACT(PROPER(SUBSTITUTE(TRIM(I219),""."","" "")),""^[^@]+"")"),"Marek Smith")</f>
        <v>Marek Smith</v>
      </c>
      <c r="H219" s="10" t="str">
        <f t="shared" si="80"/>
        <v>marek.smith@shop.io</v>
      </c>
      <c r="I219" s="2" t="s">
        <v>6966</v>
      </c>
      <c r="J219" s="9" t="str">
        <f>IFERROR(__xludf.DUMMYFUNCTION("IF(REGEXMATCH(TRIM(I219),""^[A-Za-z0-9._%+-]+@[A-Za-z0-9.-]+\.[A-Za-z]{2,}$""),""✅ Valid"",""❌ Invalid"")"),"✅ Valid")</f>
        <v>✅ Valid</v>
      </c>
      <c r="K219" s="13" t="s">
        <v>7937</v>
      </c>
      <c r="L219" s="2" t="str">
        <f>IFERROR(__xludf.DUMMYFUNCTION("IF(OR(K219=""N/A"", K219=""missing"", K219=""none""), """",
 REGEXREPLACE(
  SUBSTITUTE(SUBSTITUTE(SUBSTITUTE(TO_TEXT(K219), CHAR(160),""""), UNICHAR(8239),""""), UNICHAR(8201),""""),""[+\-/(): )]"", """"))"),"34129718490")</f>
        <v>34129718490</v>
      </c>
      <c r="M219" s="2" t="str">
        <f>IFERROR(__xludf.DUMMYFUNCTION("IF(L219="""","""", REGEXEXTRACT(REGEXREPLACE(L219,""x"", """"), ""[0-9]+""))"),"34129718490")</f>
        <v>34129718490</v>
      </c>
      <c r="N219" s="2" t="str">
        <f>IF(LEFT(M219,2)="34", RIGHT(M219,LEN(M219)-2),M219)</f>
        <v>129718490</v>
      </c>
      <c r="O219" s="2" t="b">
        <f>IFERROR(__xludf.DUMMYFUNCTION("REGEXMATCH(TO_TEXT(N219), ""^[67]"")"),FALSE)</f>
        <v>0</v>
      </c>
      <c r="P219" s="2">
        <f t="shared" si="98"/>
        <v>9</v>
      </c>
      <c r="Q219" s="9" t="str">
        <f>IF(AND(O219=TRUE, P219=9), "✅ VALID", "❌ INVALID")</f>
        <v>❌ INVALID</v>
      </c>
      <c r="R219" s="10" t="s">
        <v>139</v>
      </c>
      <c r="S219" s="12">
        <v>44622.0</v>
      </c>
      <c r="T219" s="2" t="str">
        <f>IFERROR(__xludf.DUMMYFUNCTION("IF(ISNUMBER(S219),TEXT(S219,""yyyy-MM-dd""),REGEXREPLACE(REGEXREPLACE(TO_TEXT(S219),""[^0-9a-zA-Z]+"",""-""),""[^0-9]*$"",""""))"),"2022-03-02")</f>
        <v>2022-03-02</v>
      </c>
      <c r="U219" s="2" t="s">
        <v>7938</v>
      </c>
      <c r="Y219" s="10" t="s">
        <v>7938</v>
      </c>
    </row>
    <row r="220" ht="15.75" customHeight="1">
      <c r="A220" s="2" t="s">
        <v>3399</v>
      </c>
      <c r="B220" s="9" t="s">
        <v>7597</v>
      </c>
      <c r="C220" s="2" t="s">
        <v>595</v>
      </c>
      <c r="D220" s="10" t="str">
        <f>IFERROR(__xludf.DUMMYFUNCTION("PROPER(REGEXREPLACE(TRIM(C220),""\s+"","" ""))"),"Daria Nowak")</f>
        <v>Daria Nowak</v>
      </c>
      <c r="E220" s="2">
        <f>IFERROR(__xludf.DUMMYFUNCTION("IF(LEN(D220:D701),
  COUNTA(SPLIT(D220:D701,"" "")),
 """")"),2.0)</f>
        <v>2</v>
      </c>
      <c r="F220" s="9" t="str">
        <f t="shared" si="79"/>
        <v>✅</v>
      </c>
      <c r="G220" s="2" t="str">
        <f>IFERROR(__xludf.DUMMYFUNCTION("REGEXEXTRACT(PROPER(SUBSTITUTE(TRIM(I220),""."","" "")),""^[^@]+"")"),"Daria Nowak")</f>
        <v>Daria Nowak</v>
      </c>
      <c r="H220" s="10" t="str">
        <f t="shared" si="80"/>
        <v>daria.nowak@gmail.com</v>
      </c>
      <c r="I220" s="2" t="s">
        <v>596</v>
      </c>
      <c r="J220" s="9" t="str">
        <f>IFERROR(__xludf.DUMMYFUNCTION("IF(REGEXMATCH(TRIM(I220),""^[A-Za-z0-9._%+-]+@[A-Za-z0-9.-]+\.[A-Za-z]{2,}$""),""✅ Valid"",""❌ Invalid"")"),"✅ Valid")</f>
        <v>✅ Valid</v>
      </c>
      <c r="K220" s="13" t="s">
        <v>7939</v>
      </c>
      <c r="L220" s="2" t="str">
        <f>IFERROR(__xludf.DUMMYFUNCTION("IF(OR(K220=""N/A"", K220=""missing"", K220=""none""), """",
 REGEXREPLACE(
  SUBSTITUTE(SUBSTITUTE(SUBSTITUTE(TO_TEXT(K220), CHAR(160),""""), UNICHAR(8239),""""), UNICHAR(8201),""""),""[+\-/(): )]"", """"))"),"033x1717508")</f>
        <v>033x1717508</v>
      </c>
      <c r="M220" s="2" t="str">
        <f>IFERROR(__xludf.DUMMYFUNCTION("IF(L220="""","""", REGEXEXTRACT(REGEXREPLACE(L220,""x"", """"), ""[0-9]+""))"),"0331717508")</f>
        <v>0331717508</v>
      </c>
      <c r="N220" s="2" t="str">
        <f>IF(LEFT(M220,3)="353", RIGHT(M220,LEN(M220)-3),M220)</f>
        <v>0331717508</v>
      </c>
      <c r="O220" s="2" t="b">
        <f>IFERROR(__xludf.DUMMYFUNCTION("REGEXMATCH(TO_TEXT(N220), ""^0(83|85|86|87|89)"")"),FALSE)</f>
        <v>0</v>
      </c>
      <c r="P220" s="2">
        <f t="shared" si="98"/>
        <v>10</v>
      </c>
      <c r="Q220" s="9" t="str">
        <f>IF(AND(O220=TRUE, P217=10), "✅ VALID", "❌ INVALID")</f>
        <v>❌ INVALID</v>
      </c>
      <c r="R220" s="10" t="s">
        <v>1177</v>
      </c>
      <c r="S220" s="12" t="s">
        <v>6968</v>
      </c>
      <c r="T220" s="2" t="str">
        <f>IFERROR(__xludf.DUMMYFUNCTION("IF(ISNUMBER(S220),TEXT(S220,""yyyy-MM-dd""),REGEXREPLACE(REGEXREPLACE(TO_TEXT(S220),""[^0-9a-zA-Z]+"",""-""),""[^0-9]*$"",""""))"),"02-25-2024")</f>
        <v>02-25-2024</v>
      </c>
      <c r="U220" s="2" t="str">
        <f>TEXT(T220,"yyyy-MM-dd")</f>
        <v>02-25-2024</v>
      </c>
      <c r="V220" s="2" t="s">
        <v>7940</v>
      </c>
      <c r="Y220" s="10" t="s">
        <v>7940</v>
      </c>
    </row>
    <row r="221" ht="15.75" customHeight="1">
      <c r="A221" s="2" t="s">
        <v>1703</v>
      </c>
      <c r="B221" s="9" t="s">
        <v>7597</v>
      </c>
      <c r="C221" s="2" t="s">
        <v>1283</v>
      </c>
      <c r="D221" s="10" t="str">
        <f>IFERROR(__xludf.DUMMYFUNCTION("PROPER(REGEXREPLACE(TRIM(C221),""\s+"","" ""))"),"Xenia Rossi")</f>
        <v>Xenia Rossi</v>
      </c>
      <c r="E221" s="2">
        <f>IFERROR(__xludf.DUMMYFUNCTION("IF(LEN(D221:D701),
  COUNTA(SPLIT(D221:D701,"" "")),
 """")"),2.0)</f>
        <v>2</v>
      </c>
      <c r="F221" s="9" t="str">
        <f t="shared" si="79"/>
        <v>✅</v>
      </c>
      <c r="G221" s="2" t="str">
        <f>IFERROR(__xludf.DUMMYFUNCTION("REGEXEXTRACT(PROPER(SUBSTITUTE(TRIM(I221),""."","" "")),""^[^@]+"")"),"Xenia Rossi")</f>
        <v>Xenia Rossi</v>
      </c>
      <c r="H221" s="10" t="str">
        <f t="shared" si="80"/>
        <v>xenia.rossi@yahoo.com</v>
      </c>
      <c r="I221" s="2" t="s">
        <v>4131</v>
      </c>
      <c r="J221" s="9" t="str">
        <f>IFERROR(__xludf.DUMMYFUNCTION("IF(REGEXMATCH(TRIM(I221),""^[A-Za-z0-9._%+-]+@[A-Za-z0-9.-]+\.[A-Za-z]{2,}$""),""✅ Valid"",""❌ Invalid"")"),"✅ Valid")</f>
        <v>✅ Valid</v>
      </c>
      <c r="K221" s="13" t="s">
        <v>7941</v>
      </c>
      <c r="L221" s="2" t="str">
        <f>IFERROR(__xludf.DUMMYFUNCTION("IF(OR(K221=""N/A"", K221=""missing"", K221=""none""), """",
 REGEXREPLACE(
  SUBSTITUTE(SUBSTITUTE(SUBSTITUTE(TO_TEXT(K221), CHAR(160),""""), UNICHAR(8239),""""), UNICHAR(8201),""""),""[+\-/(): )]"", """"))"),"3412515093")</f>
        <v>3412515093</v>
      </c>
      <c r="M221" s="2" t="str">
        <f>IFERROR(__xludf.DUMMYFUNCTION("IF(L221="""","""", REGEXEXTRACT(REGEXREPLACE(L221,""x"", """"), ""[0-9]+""))"),"3412515093")</f>
        <v>3412515093</v>
      </c>
      <c r="N221" s="2" t="str">
        <f>IF(LEFT(M221,2)="34", RIGHT(M221,LEN(M221)-2),M221)</f>
        <v>12515093</v>
      </c>
      <c r="O221" s="2" t="b">
        <f>IFERROR(__xludf.DUMMYFUNCTION("REGEXMATCH(TO_TEXT(N221), ""^[67]"")"),FALSE)</f>
        <v>0</v>
      </c>
      <c r="P221" s="2">
        <f t="shared" si="98"/>
        <v>8</v>
      </c>
      <c r="Q221" s="9" t="str">
        <f>IF(AND(O221=TRUE, P221=9), "✅ VALID", "❌ INVALID")</f>
        <v>❌ INVALID</v>
      </c>
      <c r="R221" s="10" t="s">
        <v>139</v>
      </c>
      <c r="S221" s="12">
        <v>45671.0</v>
      </c>
      <c r="T221" s="2" t="str">
        <f>IFERROR(__xludf.DUMMYFUNCTION("IF(ISNUMBER(S221),TEXT(S221,""yyyy-MM-dd""),REGEXREPLACE(REGEXREPLACE(TO_TEXT(S221),""[^0-9a-zA-Z]+"",""-""),""[^0-9]*$"",""""))"),"2025-01-14")</f>
        <v>2025-01-14</v>
      </c>
      <c r="U221" s="2" t="s">
        <v>7942</v>
      </c>
      <c r="Y221" s="10" t="s">
        <v>7942</v>
      </c>
    </row>
    <row r="222" ht="15.75" hidden="1" customHeight="1">
      <c r="A222" s="2" t="s">
        <v>1050</v>
      </c>
      <c r="B222" s="9" t="s">
        <v>7597</v>
      </c>
      <c r="C222" s="2" t="s">
        <v>5647</v>
      </c>
      <c r="D222" s="2" t="str">
        <f>IFERROR(__xludf.DUMMYFUNCTION("PROPER(REGEXREPLACE(TRIM(C222),""\s+"","" ""))"),"Marek Johnson")</f>
        <v>Marek Johnson</v>
      </c>
      <c r="E222" s="2">
        <f>IFERROR(__xludf.DUMMYFUNCTION("IF(LEN(D222:D701),
  COUNTA(SPLIT(D222:D701,"" "")),
 """")"),2.0)</f>
        <v>2</v>
      </c>
      <c r="K222" s="2" t="s">
        <v>4132</v>
      </c>
      <c r="R222" s="10" t="s">
        <v>139</v>
      </c>
      <c r="S222" s="2" t="s">
        <v>6754</v>
      </c>
    </row>
    <row r="223" ht="15.75" customHeight="1">
      <c r="A223" s="2" t="s">
        <v>6156</v>
      </c>
      <c r="B223" s="9" t="s">
        <v>7597</v>
      </c>
      <c r="C223" s="2" t="s">
        <v>6815</v>
      </c>
      <c r="D223" s="10" t="str">
        <f>IFERROR(__xludf.DUMMYFUNCTION("PROPER(REGEXREPLACE(TRIM(C223),""\s+"","" ""))"),"Nina Young")</f>
        <v>Nina Young</v>
      </c>
      <c r="E223" s="2">
        <f>IFERROR(__xludf.DUMMYFUNCTION("IF(LEN(D223:D701),
  COUNTA(SPLIT(D223:D701,"" "")),
 """")"),2.0)</f>
        <v>2</v>
      </c>
      <c r="F223" s="9" t="str">
        <f t="shared" ref="F223:F232" si="100">IF(D223=G223,"✅","❌")</f>
        <v>✅</v>
      </c>
      <c r="G223" s="2" t="str">
        <f>IFERROR(__xludf.DUMMYFUNCTION("REGEXEXTRACT(PROPER(SUBSTITUTE(TRIM(I223),""."","" "")),""^[^@]+"")"),"Nina Young")</f>
        <v>Nina Young</v>
      </c>
      <c r="H223" s="10" t="str">
        <f t="shared" ref="H223:H232" si="101">LOWER(TRIM(I223))</f>
        <v>nina.young@yahoo.com</v>
      </c>
      <c r="I223" s="2" t="s">
        <v>6816</v>
      </c>
      <c r="J223" s="9" t="str">
        <f>IFERROR(__xludf.DUMMYFUNCTION("IF(REGEXMATCH(TRIM(I223),""^[A-Za-z0-9._%+-]+@[A-Za-z0-9.-]+\.[A-Za-z]{2,}$""),""✅ Valid"",""❌ Invalid"")"),"✅ Valid")</f>
        <v>✅ Valid</v>
      </c>
      <c r="K223" s="13" t="s">
        <v>7943</v>
      </c>
      <c r="L223" s="2" t="str">
        <f>IFERROR(__xludf.DUMMYFUNCTION("IF(OR(K223=""N/A"", K223=""missing"", K223=""none""), """",
 REGEXREPLACE(
  SUBSTITUTE(SUBSTITUTE(SUBSTITUTE(TO_TEXT(K223), CHAR(160),""""), UNICHAR(8239),""""), UNICHAR(8201),""""),""[+\-/(): )]"", """"))"),"35319233124")</f>
        <v>35319233124</v>
      </c>
      <c r="M223" s="2" t="str">
        <f>IFERROR(__xludf.DUMMYFUNCTION("IF(L223="""","""", REGEXEXTRACT(REGEXREPLACE(L223,""x"", """"), ""[0-9]+""))"),"35319233124")</f>
        <v>35319233124</v>
      </c>
      <c r="N223" s="2" t="str">
        <f>IF(LEFT(M223,3)="353", RIGHT(M223,LEN(M223)-3),M223)</f>
        <v>19233124</v>
      </c>
      <c r="O223" s="2" t="b">
        <f>IFERROR(__xludf.DUMMYFUNCTION("REGEXMATCH(TO_TEXT(N223), ""^0(83|85|86|87|89)"")"),FALSE)</f>
        <v>0</v>
      </c>
      <c r="P223" s="2">
        <f t="shared" ref="P223:P226" si="102">LEN(N223)</f>
        <v>8</v>
      </c>
      <c r="Q223" s="9" t="str">
        <f>IF(AND(O223=TRUE, P220=10), "✅ VALID", "❌ INVALID")</f>
        <v>❌ INVALID</v>
      </c>
      <c r="R223" s="10" t="s">
        <v>1177</v>
      </c>
      <c r="S223" s="12">
        <v>44785.0</v>
      </c>
      <c r="T223" s="2" t="str">
        <f>IFERROR(__xludf.DUMMYFUNCTION("IF(ISNUMBER(S223),TEXT(S223,""yyyy-MM-dd""),REGEXREPLACE(REGEXREPLACE(TO_TEXT(S223),""[^0-9a-zA-Z]+"",""-""),""[^0-9]*$"",""""))"),"2022-08-12")</f>
        <v>2022-08-12</v>
      </c>
      <c r="U223" s="2" t="s">
        <v>7944</v>
      </c>
      <c r="Y223" s="10" t="s">
        <v>7944</v>
      </c>
    </row>
    <row r="224" ht="15.75" customHeight="1">
      <c r="A224" s="2" t="s">
        <v>3257</v>
      </c>
      <c r="B224" s="9" t="s">
        <v>7597</v>
      </c>
      <c r="C224" s="2" t="s">
        <v>1126</v>
      </c>
      <c r="D224" s="10" t="str">
        <f>IFERROR(__xludf.DUMMYFUNCTION("PROPER(REGEXREPLACE(TRIM(C224),""\s+"","" ""))"),"Marek Davis")</f>
        <v>Marek Davis</v>
      </c>
      <c r="E224" s="2">
        <f>IFERROR(__xludf.DUMMYFUNCTION("IF(LEN(D224:D701),
  COUNTA(SPLIT(D224:D701,"" "")),
 """")"),2.0)</f>
        <v>2</v>
      </c>
      <c r="F224" s="9" t="str">
        <f t="shared" si="100"/>
        <v>✅</v>
      </c>
      <c r="G224" s="2" t="str">
        <f>IFERROR(__xludf.DUMMYFUNCTION("REGEXEXTRACT(PROPER(SUBSTITUTE(TRIM(I224),""."","" "")),""^[^@]+"")"),"Marek Davis")</f>
        <v>Marek Davis</v>
      </c>
      <c r="H224" s="10" t="str">
        <f t="shared" si="101"/>
        <v>marek.davis@shop.io</v>
      </c>
      <c r="I224" s="2" t="s">
        <v>3082</v>
      </c>
      <c r="J224" s="9" t="str">
        <f>IFERROR(__xludf.DUMMYFUNCTION("IF(REGEXMATCH(TRIM(I224),""^[A-Za-z0-9._%+-]+@[A-Za-z0-9.-]+\.[A-Za-z]{2,}$""),""✅ Valid"",""❌ Invalid"")"),"✅ Valid")</f>
        <v>✅ Valid</v>
      </c>
      <c r="K224" s="13" t="s">
        <v>7945</v>
      </c>
      <c r="L224" s="2" t="str">
        <f>IFERROR(__xludf.DUMMYFUNCTION("IF(OR(K224=""N/A"", K224=""missing"", K224=""none""), """",
 REGEXREPLACE(
  SUBSTITUTE(SUBSTITUTE(SUBSTITUTE(TO_TEXT(K224), CHAR(160),""""), UNICHAR(8239),""""), UNICHAR(8201),""""),""[+\-/(): )]"", """"))"),"49918977460ext167")</f>
        <v>49918977460ext167</v>
      </c>
      <c r="M224" s="2" t="str">
        <f>IFERROR(__xludf.DUMMYFUNCTION("IF(L224="""","""", REGEXEXTRACT(REGEXREPLACE(L224,""x"", """"), ""[0-9]+""))"),"49918977460")</f>
        <v>49918977460</v>
      </c>
      <c r="N224" s="2" t="str">
        <f>IF(LEFT(M224,2)="49", RIGHT(M224,LEN(M224)-2),M224)</f>
        <v>918977460</v>
      </c>
      <c r="O224" s="2" t="b">
        <f>IFERROR(__xludf.DUMMYFUNCTION("REGEXMATCH(TO_TEXT(N224), ""^0(15|16|17)"")"),FALSE)</f>
        <v>0</v>
      </c>
      <c r="P224" s="2">
        <f t="shared" si="102"/>
        <v>9</v>
      </c>
      <c r="Q224" s="9" t="str">
        <f>IF(AND(O224=TRUE,OR(P224=10, P224=11)), "✅ VALID", "❌ INVALID")</f>
        <v>❌ INVALID</v>
      </c>
      <c r="R224" s="10" t="s">
        <v>459</v>
      </c>
      <c r="S224" s="12">
        <v>44974.0</v>
      </c>
      <c r="T224" s="2" t="str">
        <f>IFERROR(__xludf.DUMMYFUNCTION("IF(ISNUMBER(S224),TEXT(S224,""yyyy-MM-dd""),REGEXREPLACE(REGEXREPLACE(TO_TEXT(S224),""[^0-9a-zA-Z]+"",""-""),""[^0-9]*$"",""""))"),"2023-02-17")</f>
        <v>2023-02-17</v>
      </c>
      <c r="U224" s="2" t="s">
        <v>5596</v>
      </c>
      <c r="Y224" s="10" t="s">
        <v>5596</v>
      </c>
    </row>
    <row r="225" ht="15.75" customHeight="1">
      <c r="A225" s="2" t="s">
        <v>4095</v>
      </c>
      <c r="B225" s="9" t="s">
        <v>7597</v>
      </c>
      <c r="C225" s="2" t="s">
        <v>3400</v>
      </c>
      <c r="D225" s="10" t="str">
        <f>IFERROR(__xludf.DUMMYFUNCTION("PROPER(REGEXREPLACE(TRIM(C225),""\s+"","" ""))"),"Adam Khan")</f>
        <v>Adam Khan</v>
      </c>
      <c r="E225" s="2">
        <f>IFERROR(__xludf.DUMMYFUNCTION("IF(LEN(D225:D701),
  COUNTA(SPLIT(D225:D701,"" "")),
 """")"),2.0)</f>
        <v>2</v>
      </c>
      <c r="F225" s="9" t="str">
        <f t="shared" si="100"/>
        <v>❌</v>
      </c>
      <c r="G225" s="2" t="s">
        <v>7946</v>
      </c>
      <c r="H225" s="10" t="str">
        <f t="shared" si="101"/>
        <v>adam.khna@shop.io</v>
      </c>
      <c r="I225" s="2" t="s">
        <v>3401</v>
      </c>
      <c r="J225" s="9" t="str">
        <f>IFERROR(__xludf.DUMMYFUNCTION("IF(REGEXMATCH(TRIM(I225),""^[A-Za-z0-9._%+-]+@[A-Za-z0-9.-]+\.[A-Za-z]{2,}$""),""✅ Valid"",""❌ Invalid"")"),"✅ Valid")</f>
        <v>✅ Valid</v>
      </c>
      <c r="K225" s="11">
        <v>3.47974303984E11</v>
      </c>
      <c r="L225" s="2" t="str">
        <f>IFERROR(__xludf.DUMMYFUNCTION("IF(OR(K225=""N/A"", K225=""missing"", K225=""none""), """",
 REGEXREPLACE(
  SUBSTITUTE(SUBSTITUTE(SUBSTITUTE(TO_TEXT(K225), CHAR(160),""""), UNICHAR(8239),""""), UNICHAR(8201),""""),""[+\-/(): )]"", """"))"),"347974303984")</f>
        <v>347974303984</v>
      </c>
      <c r="M225" s="2" t="str">
        <f>IFERROR(__xludf.DUMMYFUNCTION("IF(L225="""","""", REGEXEXTRACT(REGEXREPLACE(L225,""x"", """"), ""[0-9]+""))"),"347974303984")</f>
        <v>347974303984</v>
      </c>
      <c r="N225" s="2" t="str">
        <f>IF(LEFT(M225,2)="34", RIGHT(M225,LEN(M225)-2),M225)</f>
        <v>7974303984</v>
      </c>
      <c r="O225" s="2" t="b">
        <f>IFERROR(__xludf.DUMMYFUNCTION("REGEXMATCH(TO_TEXT(N225), ""^[67]"")"),TRUE)</f>
        <v>1</v>
      </c>
      <c r="P225" s="2">
        <f t="shared" si="102"/>
        <v>10</v>
      </c>
      <c r="Q225" s="9" t="str">
        <f>IF(AND(O225=TRUE, P225=9), "✅ VALID", "❌ INVALID")</f>
        <v>❌ INVALID</v>
      </c>
      <c r="R225" s="10" t="s">
        <v>139</v>
      </c>
      <c r="S225" s="12">
        <v>45619.0</v>
      </c>
      <c r="T225" s="2" t="str">
        <f>IFERROR(__xludf.DUMMYFUNCTION("IF(ISNUMBER(S225),TEXT(S225,""yyyy-MM-dd""),REGEXREPLACE(REGEXREPLACE(TO_TEXT(S225),""[^0-9a-zA-Z]+"",""-""),""[^0-9]*$"",""""))"),"2024-11-23")</f>
        <v>2024-11-23</v>
      </c>
      <c r="U225" s="2" t="s">
        <v>7947</v>
      </c>
      <c r="Y225" s="10" t="s">
        <v>7947</v>
      </c>
    </row>
    <row r="226" ht="15.75" customHeight="1">
      <c r="A226" s="2" t="s">
        <v>7343</v>
      </c>
      <c r="B226" s="9" t="s">
        <v>7597</v>
      </c>
      <c r="C226" s="2" t="s">
        <v>1704</v>
      </c>
      <c r="D226" s="10" t="str">
        <f>IFERROR(__xludf.DUMMYFUNCTION("PROPER(REGEXREPLACE(TRIM(C226),""\s+"","" ""))"),"Yara Williams")</f>
        <v>Yara Williams</v>
      </c>
      <c r="E226" s="2">
        <f>IFERROR(__xludf.DUMMYFUNCTION("IF(LEN(D226:D701),
  COUNTA(SPLIT(D226:D701,"" "")),
 """")"),2.0)</f>
        <v>2</v>
      </c>
      <c r="F226" s="9" t="str">
        <f t="shared" si="100"/>
        <v>✅</v>
      </c>
      <c r="G226" s="2" t="str">
        <f>IFERROR(__xludf.DUMMYFUNCTION("REGEXEXTRACT(PROPER(SUBSTITUTE(TRIM(I226),""."","" "")),""^[^@]+"")"),"Yara Williams")</f>
        <v>Yara Williams</v>
      </c>
      <c r="H226" s="10" t="str">
        <f t="shared" si="101"/>
        <v>yara.williams@gmail.com</v>
      </c>
      <c r="I226" s="2" t="s">
        <v>1705</v>
      </c>
      <c r="J226" s="9" t="str">
        <f>IFERROR(__xludf.DUMMYFUNCTION("IF(REGEXMATCH(TRIM(I226),""^[A-Za-z0-9._%+-]+@[A-Za-z0-9.-]+\.[A-Za-z]{2,}$""),""✅ Valid"",""❌ Invalid"")"),"✅ Valid")</f>
        <v>✅ Valid</v>
      </c>
      <c r="K226" s="13" t="s">
        <v>7948</v>
      </c>
      <c r="L226" s="2" t="str">
        <f>IFERROR(__xludf.DUMMYFUNCTION("IF(OR(K226=""N/A"", K226=""missing"", K226=""none""), """",
 REGEXREPLACE(
  SUBSTITUTE(SUBSTITUTE(SUBSTITUTE(TO_TEXT(K226), CHAR(160),""""), UNICHAR(8239),""""), UNICHAR(8201),""""),""[+\-/(): )]"", """"))"),"tel3913209379")</f>
        <v>tel3913209379</v>
      </c>
      <c r="M226" s="2" t="str">
        <f>IFERROR(__xludf.DUMMYFUNCTION("IF(L226="""","""", REGEXEXTRACT(REGEXREPLACE(L226,""x"", """"), ""[0-9]+""))"),"3913209379")</f>
        <v>3913209379</v>
      </c>
      <c r="N226" s="2" t="str">
        <f>IF(LEFT(M226,2)="39", RIGHT(M226,LEN(M226)-2),M226)</f>
        <v>13209379</v>
      </c>
      <c r="O226" s="2" t="b">
        <f>IFERROR(__xludf.DUMMYFUNCTION("REGEXMATCH(TO_TEXT(N226), ""^3"")"),FALSE)</f>
        <v>0</v>
      </c>
      <c r="P226" s="2">
        <f t="shared" si="102"/>
        <v>8</v>
      </c>
      <c r="Q226" s="9" t="str">
        <f>IF(AND(O226=TRUE,OR(P226=9, P226=10 )), "✅ VALID", "❌ INVALID")</f>
        <v>❌ INVALID</v>
      </c>
      <c r="R226" s="10" t="s">
        <v>785</v>
      </c>
      <c r="S226" s="12">
        <v>45128.0</v>
      </c>
      <c r="T226" s="2" t="str">
        <f>IFERROR(__xludf.DUMMYFUNCTION("IF(ISNUMBER(S226),TEXT(S226,""yyyy-MM-dd""),REGEXREPLACE(REGEXREPLACE(TO_TEXT(S226),""[^0-9a-zA-Z]+"",""-""),""[^0-9]*$"",""""))"),"2023-07-21")</f>
        <v>2023-07-21</v>
      </c>
      <c r="U226" s="2" t="s">
        <v>7125</v>
      </c>
      <c r="Y226" s="10" t="s">
        <v>7125</v>
      </c>
    </row>
    <row r="227" ht="15.75" customHeight="1">
      <c r="A227" s="2" t="s">
        <v>3150</v>
      </c>
      <c r="B227" s="9" t="s">
        <v>7597</v>
      </c>
      <c r="C227" s="2" t="s">
        <v>2311</v>
      </c>
      <c r="D227" s="10" t="str">
        <f>IFERROR(__xludf.DUMMYFUNCTION("PROPER(REGEXREPLACE(TRIM(C227),""\s+"","" ""))"),"Sam Williams")</f>
        <v>Sam Williams</v>
      </c>
      <c r="E227" s="2">
        <f>IFERROR(__xludf.DUMMYFUNCTION("IF(LEN(D227:D701),
  COUNTA(SPLIT(D227:D701,"" "")),
 """")"),2.0)</f>
        <v>2</v>
      </c>
      <c r="F227" s="9" t="str">
        <f t="shared" si="100"/>
        <v>✅</v>
      </c>
      <c r="G227" s="2" t="str">
        <f>IFERROR(__xludf.DUMMYFUNCTION("REGEXEXTRACT(PROPER(SUBSTITUTE(TRIM(I227),""."","" "")),""^[^@]+"")"),"Sam Williams")</f>
        <v>Sam Williams</v>
      </c>
      <c r="H227" s="10" t="str">
        <f t="shared" si="101"/>
        <v>sam.williams@outlook.com</v>
      </c>
      <c r="I227" s="2" t="s">
        <v>6653</v>
      </c>
      <c r="J227" s="9" t="str">
        <f>IFERROR(__xludf.DUMMYFUNCTION("IF(REGEXMATCH(TRIM(I227),""^[A-Za-z0-9._%+-]+@[A-Za-z0-9.-]+\.[A-Za-z]{2,}$""),""✅ Valid"",""❌ Invalid"")"),"✅ Valid")</f>
        <v>✅ Valid</v>
      </c>
      <c r="K227" s="15" t="s">
        <v>7949</v>
      </c>
      <c r="L227" s="2" t="str">
        <f>IFERROR(__xludf.DUMMYFUNCTION("IF(K227=""N/A"", """",
 REGEXREPLACE(
  SUBSTITUTE(SUBSTITUTE(SUBSTITUTE(TO_TEXT(K227), CHAR(160),""""), UNICHAR(8239),""""), UNICHAR(8201),""""),""[+\-/(): )]"", """"))"),"484253682061ext494")</f>
        <v>484253682061ext494</v>
      </c>
      <c r="M227" s="2" t="str">
        <f>IFERROR(__xludf.DUMMYFUNCTION("IF(L227="""","""", REGEXEXTRACT(REGEXREPLACE(L227,""x"", """"), ""[0-9]+""))"),"484253682061")</f>
        <v>484253682061</v>
      </c>
      <c r="N227" s="2" t="str">
        <f>IF(LEFT(M227,2)="48", RIGHT(M227,LEN(M227)-2),M227)</f>
        <v>4253682061</v>
      </c>
      <c r="O227" s="2" t="b">
        <f>IFERROR(__xludf.DUMMYFUNCTION("REGEXMATCH(TO_TEXT(N227), ""^(5[013679]|6[069]|7[2-9]|88)"")"),FALSE)</f>
        <v>0</v>
      </c>
      <c r="Q227" s="9" t="str">
        <f>IF(AND(O227=TRUE, P227=9), "✅ VALID", "❌ INVALID")</f>
        <v>❌ INVALID</v>
      </c>
      <c r="R227" s="10" t="s">
        <v>25</v>
      </c>
      <c r="S227" s="12">
        <v>45908.0</v>
      </c>
      <c r="T227" s="2" t="str">
        <f>IFERROR(__xludf.DUMMYFUNCTION("IF(ISNUMBER(S227),TEXT(S227,""yyyy-MM-dd""),REGEXREPLACE(REGEXREPLACE(TO_TEXT(S227),""[^0-9a-zA-Z]+"",""-""),""[^0-9]*$"",""""))"),"2025-09-08")</f>
        <v>2025-09-08</v>
      </c>
      <c r="U227" s="2" t="s">
        <v>7339</v>
      </c>
      <c r="Y227" s="10" t="s">
        <v>7339</v>
      </c>
    </row>
    <row r="228" ht="15.75" customHeight="1">
      <c r="A228" s="2" t="s">
        <v>6898</v>
      </c>
      <c r="B228" s="9" t="s">
        <v>7597</v>
      </c>
      <c r="C228" s="2" t="s">
        <v>1051</v>
      </c>
      <c r="D228" s="10" t="str">
        <f>IFERROR(__xludf.DUMMYFUNCTION("PROPER(REGEXREPLACE(TRIM(C228),""\s+"","" ""))"),"Sam Williams")</f>
        <v>Sam Williams</v>
      </c>
      <c r="E228" s="2">
        <f>IFERROR(__xludf.DUMMYFUNCTION("IF(LEN(D228:D701),
  COUNTA(SPLIT(D228:D701,"" "")),
 """")"),2.0)</f>
        <v>2</v>
      </c>
      <c r="F228" s="9" t="str">
        <f t="shared" si="100"/>
        <v>✅</v>
      </c>
      <c r="G228" s="2" t="str">
        <f>IFERROR(__xludf.DUMMYFUNCTION("REGEXEXTRACT(PROPER(SUBSTITUTE(TRIM(I228),""."","" "")),""^[^@]+"")"),"Sam Williams")</f>
        <v>Sam Williams</v>
      </c>
      <c r="H228" s="10" t="str">
        <f t="shared" si="101"/>
        <v>sam.williams@outolok.com</v>
      </c>
      <c r="I228" s="2" t="s">
        <v>1052</v>
      </c>
      <c r="J228" s="9" t="str">
        <f>IFERROR(__xludf.DUMMYFUNCTION("IF(REGEXMATCH(TRIM(I228),""^[A-Za-z0-9._%+-]+@[A-Za-z0-9.-]+\.[A-Za-z]{2,}$""),""✅ Valid"",""❌ Invalid"")"),"✅ Valid")</f>
        <v>✅ Valid</v>
      </c>
      <c r="K228" s="13" t="s">
        <v>7950</v>
      </c>
      <c r="L228" s="2" t="str">
        <f>IFERROR(__xludf.DUMMYFUNCTION("IF(OR(K228=""N/A"", K228=""missing"", K228=""none""), """",
 REGEXREPLACE(
  SUBSTITUTE(SUBSTITUTE(SUBSTITUTE(TO_TEXT(K228), CHAR(160),""""), UNICHAR(8239),""""), UNICHAR(8201),""""),""[+\-/(): )]"", """"))"),"4922344151057")</f>
        <v>4922344151057</v>
      </c>
      <c r="M228" s="2" t="str">
        <f>IFERROR(__xludf.DUMMYFUNCTION("IF(L228="""","""", REGEXEXTRACT(REGEXREPLACE(L228,""x"", """"), ""[0-9]+""))"),"4922344151057")</f>
        <v>4922344151057</v>
      </c>
      <c r="N228" s="2" t="str">
        <f t="shared" ref="N228:N229" si="103">IF(LEFT(M228,2)="49", RIGHT(M228,LEN(M228)-2),M228)</f>
        <v>22344151057</v>
      </c>
      <c r="O228" s="2" t="b">
        <f>IFERROR(__xludf.DUMMYFUNCTION("REGEXMATCH(TO_TEXT(N228), ""^0(15|16|17)"")"),FALSE)</f>
        <v>0</v>
      </c>
      <c r="P228" s="2">
        <f t="shared" ref="P228:P229" si="104">LEN(N228)</f>
        <v>11</v>
      </c>
      <c r="Q228" s="9" t="str">
        <f t="shared" ref="Q228:Q229" si="105">IF(AND(O228=TRUE,OR(P228=10, P228=11)), "✅ VALID", "❌ INVALID")</f>
        <v>❌ INVALID</v>
      </c>
      <c r="R228" s="10" t="s">
        <v>459</v>
      </c>
      <c r="S228" s="12">
        <v>45544.0</v>
      </c>
      <c r="T228" s="2" t="str">
        <f>IFERROR(__xludf.DUMMYFUNCTION("IF(ISNUMBER(S228),TEXT(S228,""yyyy-MM-dd""),REGEXREPLACE(REGEXREPLACE(TO_TEXT(S228),""[^0-9a-zA-Z]+"",""-""),""[^0-9]*$"",""""))"),"2024-09-09")</f>
        <v>2024-09-09</v>
      </c>
      <c r="U228" s="2" t="s">
        <v>7951</v>
      </c>
      <c r="Y228" s="10" t="s">
        <v>7951</v>
      </c>
    </row>
    <row r="229" ht="15.75" customHeight="1">
      <c r="A229" s="2" t="s">
        <v>6924</v>
      </c>
      <c r="B229" s="9" t="s">
        <v>7597</v>
      </c>
      <c r="C229" s="2" t="s">
        <v>6157</v>
      </c>
      <c r="D229" s="10" t="str">
        <f>IFERROR(__xludf.DUMMYFUNCTION("PROPER(REGEXREPLACE(TRIM(C229),""\s+"","" ""))"),"Jade Nowak")</f>
        <v>Jade Nowak</v>
      </c>
      <c r="E229" s="2">
        <f>IFERROR(__xludf.DUMMYFUNCTION("IF(LEN(D229:D701),
  COUNTA(SPLIT(D229:D701,"" "")),
 """")"),2.0)</f>
        <v>2</v>
      </c>
      <c r="F229" s="9" t="str">
        <f t="shared" si="100"/>
        <v>✅</v>
      </c>
      <c r="G229" s="2" t="str">
        <f>IFERROR(__xludf.DUMMYFUNCTION("REGEXEXTRACT(PROPER(SUBSTITUTE(TRIM(I229),""."","" "")),""^[^@]+"")"),"Jade Nowak")</f>
        <v>Jade Nowak</v>
      </c>
      <c r="H229" s="10" t="str">
        <f t="shared" si="101"/>
        <v>jade.nowak@exapmle.com</v>
      </c>
      <c r="I229" s="2" t="s">
        <v>6158</v>
      </c>
      <c r="J229" s="9" t="str">
        <f>IFERROR(__xludf.DUMMYFUNCTION("IF(REGEXMATCH(TRIM(I229),""^[A-Za-z0-9._%+-]+@[A-Za-z0-9.-]+\.[A-Za-z]{2,}$""),""✅ Valid"",""❌ Invalid"")"),"✅ Valid")</f>
        <v>✅ Valid</v>
      </c>
      <c r="K229" s="13" t="s">
        <v>7952</v>
      </c>
      <c r="L229" s="2" t="str">
        <f>IFERROR(__xludf.DUMMYFUNCTION("IF(OR(K229=""N/A"", K229=""missing"", K229=""none""), """",
 REGEXREPLACE(
  SUBSTITUTE(SUBSTITUTE(SUBSTITUTE(TO_TEXT(K229), CHAR(160),""""), UNICHAR(8239),""""), UNICHAR(8201),""""),""[+\-/(): )]"", """"))"),"4952x07583")</f>
        <v>4952x07583</v>
      </c>
      <c r="M229" s="2" t="str">
        <f>IFERROR(__xludf.DUMMYFUNCTION("IF(L229="""","""", REGEXEXTRACT(REGEXREPLACE(L229,""x"", """"), ""[0-9]+""))"),"495207583")</f>
        <v>495207583</v>
      </c>
      <c r="N229" s="2" t="str">
        <f t="shared" si="103"/>
        <v>5207583</v>
      </c>
      <c r="O229" s="2" t="b">
        <f>IFERROR(__xludf.DUMMYFUNCTION("REGEXMATCH(TO_TEXT(N229), ""^0(15|16|17)"")"),FALSE)</f>
        <v>0</v>
      </c>
      <c r="P229" s="2">
        <f t="shared" si="104"/>
        <v>7</v>
      </c>
      <c r="Q229" s="9" t="str">
        <f t="shared" si="105"/>
        <v>❌ INVALID</v>
      </c>
      <c r="R229" s="10" t="s">
        <v>459</v>
      </c>
      <c r="S229" s="12">
        <v>45544.0</v>
      </c>
      <c r="T229" s="2" t="str">
        <f>IFERROR(__xludf.DUMMYFUNCTION("IF(ISNUMBER(S229),TEXT(S229,""yyyy-MM-dd""),REGEXREPLACE(REGEXREPLACE(TO_TEXT(S229),""[^0-9a-zA-Z]+"",""-""),""[^0-9]*$"",""""))"),"2024-09-09")</f>
        <v>2024-09-09</v>
      </c>
      <c r="U229" s="2" t="s">
        <v>7951</v>
      </c>
      <c r="Y229" s="10" t="s">
        <v>7951</v>
      </c>
    </row>
    <row r="230" ht="15.75" customHeight="1">
      <c r="A230" s="2" t="s">
        <v>552</v>
      </c>
      <c r="B230" s="9" t="s">
        <v>7597</v>
      </c>
      <c r="C230" s="2" t="s">
        <v>3258</v>
      </c>
      <c r="D230" s="10" t="str">
        <f>IFERROR(__xludf.DUMMYFUNCTION("PROPER(REGEXREPLACE(TRIM(C230),""\s+"","" ""))"),"Omar Rossi")</f>
        <v>Omar Rossi</v>
      </c>
      <c r="E230" s="2">
        <f>IFERROR(__xludf.DUMMYFUNCTION("IF(LEN(D230:D701),
  COUNTA(SPLIT(D230:D701,"" "")),
 """")"),2.0)</f>
        <v>2</v>
      </c>
      <c r="F230" s="9" t="str">
        <f t="shared" si="100"/>
        <v>✅</v>
      </c>
      <c r="G230" s="2" t="str">
        <f>IFERROR(__xludf.DUMMYFUNCTION("REGEXEXTRACT(PROPER(SUBSTITUTE(TRIM(I230),""."","" "")),""^[^@]+"")"),"Omar Rossi")</f>
        <v>Omar Rossi</v>
      </c>
      <c r="H230" s="10" t="str">
        <f t="shared" si="101"/>
        <v>omar.rossi@gmail.com</v>
      </c>
      <c r="I230" s="2" t="s">
        <v>3259</v>
      </c>
      <c r="J230" s="9" t="str">
        <f>IFERROR(__xludf.DUMMYFUNCTION("IF(REGEXMATCH(TRIM(I230),""^[A-Za-z0-9._%+-]+@[A-Za-z0-9.-]+\.[A-Za-z]{2,}$""),""✅ Valid"",""❌ Invalid"")"),"✅ Valid")</f>
        <v>✅ Valid</v>
      </c>
      <c r="K230" s="15" t="s">
        <v>7953</v>
      </c>
      <c r="L230" s="2" t="str">
        <f>IFERROR(__xludf.DUMMYFUNCTION("IF(K230=""N/A"", """",
 REGEXREPLACE(
  SUBSTITUTE(SUBSTITUTE(SUBSTITUTE(TO_TEXT(K230), CHAR(160),""""), UNICHAR(8239),""""), UNICHAR(8201),""""),""[+\-/(): )]"", """"))"),"2300992468")</f>
        <v>2300992468</v>
      </c>
      <c r="M230" s="2" t="str">
        <f>IFERROR(__xludf.DUMMYFUNCTION("IF(L230="""","""", REGEXEXTRACT(REGEXREPLACE(L230,""x"", """"), ""[0-9]+""))"),"2300992468")</f>
        <v>2300992468</v>
      </c>
      <c r="N230" s="2" t="str">
        <f>IF(LEFT(M230,2)="48", RIGHT(M230,LEN(M230)-2),M230)</f>
        <v>2300992468</v>
      </c>
      <c r="O230" s="2" t="b">
        <f>IFERROR(__xludf.DUMMYFUNCTION("REGEXMATCH(TO_TEXT(N230), ""^(5[013679]|6[069]|7[2-9]|88)"")"),FALSE)</f>
        <v>0</v>
      </c>
      <c r="Q230" s="9" t="str">
        <f>IF(AND(O230=TRUE, P230=9), "✅ VALID", "❌ INVALID")</f>
        <v>❌ INVALID</v>
      </c>
      <c r="R230" s="10" t="s">
        <v>25</v>
      </c>
      <c r="S230" s="12">
        <v>45719.0</v>
      </c>
      <c r="T230" s="2" t="str">
        <f>IFERROR(__xludf.DUMMYFUNCTION("IF(ISNUMBER(S230),TEXT(S230,""yyyy-MM-dd""),REGEXREPLACE(REGEXREPLACE(TO_TEXT(S230),""[^0-9a-zA-Z]+"",""-""),""[^0-9]*$"",""""))"),"2025-03-03")</f>
        <v>2025-03-03</v>
      </c>
      <c r="U230" s="2" t="s">
        <v>4706</v>
      </c>
      <c r="Y230" s="10" t="s">
        <v>4706</v>
      </c>
    </row>
    <row r="231" ht="15.75" customHeight="1">
      <c r="A231" s="2" t="s">
        <v>6264</v>
      </c>
      <c r="B231" s="9" t="s">
        <v>7597</v>
      </c>
      <c r="C231" s="2" t="s">
        <v>4096</v>
      </c>
      <c r="D231" s="10" t="str">
        <f>IFERROR(__xludf.DUMMYFUNCTION("PROPER(REGEXREPLACE(TRIM(C231),""\s+"","" ""))"),"Igor Brown")</f>
        <v>Igor Brown</v>
      </c>
      <c r="E231" s="2">
        <f>IFERROR(__xludf.DUMMYFUNCTION("IF(LEN(D231:D701),
  COUNTA(SPLIT(D231:D701,"" "")),
 """")"),2.0)</f>
        <v>2</v>
      </c>
      <c r="F231" s="9" t="str">
        <f t="shared" si="100"/>
        <v>✅</v>
      </c>
      <c r="G231" s="2" t="str">
        <f>IFERROR(__xludf.DUMMYFUNCTION("REGEXEXTRACT(PROPER(SUBSTITUTE(TRIM(I231),""."","" "")),""^[^@]+"")"),"Igor Brown")</f>
        <v>Igor Brown</v>
      </c>
      <c r="H231" s="10" t="str">
        <f t="shared" si="101"/>
        <v>igor.brown@outlook.com</v>
      </c>
      <c r="I231" s="2" t="s">
        <v>4097</v>
      </c>
      <c r="J231" s="9" t="str">
        <f>IFERROR(__xludf.DUMMYFUNCTION("IF(REGEXMATCH(TRIM(I231),""^[A-Za-z0-9._%+-]+@[A-Za-z0-9.-]+\.[A-Za-z]{2,}$""),""✅ Valid"",""❌ Invalid"")"),"✅ Valid")</f>
        <v>✅ Valid</v>
      </c>
      <c r="K231" s="13" t="s">
        <v>7954</v>
      </c>
      <c r="L231" s="2" t="str">
        <f>IFERROR(__xludf.DUMMYFUNCTION("IF(OR(K231=""N/A"", K231=""missing"", K231=""none""), """",
 REGEXREPLACE(
  SUBSTITUTE(SUBSTITUTE(SUBSTITUTE(TO_TEXT(K231), CHAR(160),""""), UNICHAR(8239),""""), UNICHAR(8201),""""),""[+\-/(): )]"", """"))"),"4636664287")</f>
        <v>4636664287</v>
      </c>
      <c r="M231" s="2" t="str">
        <f>IFERROR(__xludf.DUMMYFUNCTION("IF(L231="""","""", REGEXEXTRACT(REGEXREPLACE(L231,""x"", """"), ""[0-9]+""))"),"4636664287")</f>
        <v>4636664287</v>
      </c>
      <c r="N231" s="2" t="str">
        <f>IF(LEFT(M231,2)="44", RIGHT(M231,LEN(M231)-2),M231)</f>
        <v>4636664287</v>
      </c>
      <c r="O231" s="2" t="b">
        <f>IFERROR(__xludf.DUMMYFUNCTION("REGEXMATCH(TO_TEXT(N231), ""^07[1-57-9]"")"),FALSE)</f>
        <v>0</v>
      </c>
      <c r="P231" s="2">
        <f t="shared" ref="P231:P232" si="106">LEN(N231)</f>
        <v>10</v>
      </c>
      <c r="Q231" s="9" t="str">
        <f>IF(AND(O231=TRUE, P231=11), "✅ VALID", "❌ INVALID")</f>
        <v>❌ INVALID</v>
      </c>
      <c r="R231" s="10" t="s">
        <v>114</v>
      </c>
      <c r="S231" s="12" t="s">
        <v>6563</v>
      </c>
      <c r="T231" s="2" t="str">
        <f>IFERROR(__xludf.DUMMYFUNCTION("IF(ISNUMBER(S231),TEXT(S231,""yyyy-MM-dd""),REGEXREPLACE(REGEXREPLACE(TO_TEXT(S231),""[^0-9a-zA-Z]+"",""-""),""[^0-9]*$"",""""))"),"08-28-2025")</f>
        <v>08-28-2025</v>
      </c>
      <c r="U231" s="2" t="str">
        <f>TEXT(T231,"yyyy-MM-dd")</f>
        <v>08-28-2025</v>
      </c>
      <c r="V231" s="2" t="s">
        <v>7955</v>
      </c>
      <c r="Y231" s="10" t="s">
        <v>7955</v>
      </c>
    </row>
    <row r="232" ht="15.75" customHeight="1">
      <c r="A232" s="2" t="s">
        <v>2459</v>
      </c>
      <c r="B232" s="9" t="s">
        <v>7597</v>
      </c>
      <c r="C232" s="2" t="s">
        <v>7344</v>
      </c>
      <c r="D232" s="10" t="str">
        <f>IFERROR(__xludf.DUMMYFUNCTION("PROPER(REGEXREPLACE(TRIM(C232),""\s+"","" ""))"),"Paula Williams")</f>
        <v>Paula Williams</v>
      </c>
      <c r="E232" s="2">
        <f>IFERROR(__xludf.DUMMYFUNCTION("IF(LEN(D232:D701),
  COUNTA(SPLIT(D232:D701,"" "")),
 """")"),2.0)</f>
        <v>2</v>
      </c>
      <c r="F232" s="9" t="str">
        <f t="shared" si="100"/>
        <v>✅</v>
      </c>
      <c r="G232" s="2" t="str">
        <f>IFERROR(__xludf.DUMMYFUNCTION("REGEXEXTRACT(PROPER(SUBSTITUTE(TRIM(I232),""."","" "")),""^[^@]+"")"),"Paula Williams")</f>
        <v>Paula Williams</v>
      </c>
      <c r="H232" s="10" t="str">
        <f t="shared" si="101"/>
        <v>paula.williams@yahoo.com</v>
      </c>
      <c r="I232" s="2" t="s">
        <v>7345</v>
      </c>
      <c r="J232" s="9" t="str">
        <f>IFERROR(__xludf.DUMMYFUNCTION("IF(REGEXMATCH(TRIM(I232),""^[A-Za-z0-9._%+-]+@[A-Za-z0-9.-]+\.[A-Za-z]{2,}$""),""✅ Valid"",""❌ Invalid"")"),"✅ Valid")</f>
        <v>✅ Valid</v>
      </c>
      <c r="K232" s="13" t="s">
        <v>7956</v>
      </c>
      <c r="L232" s="2" t="str">
        <f>IFERROR(__xludf.DUMMYFUNCTION("IF(OR(K232=""N/A"", K232=""missing"", K232=""none""), """",
 REGEXREPLACE(
  SUBSTITUTE(SUBSTITUTE(SUBSTITUTE(TO_TEXT(K232), CHAR(160),""""), UNICHAR(8239),""""), UNICHAR(8201),""""),""[+\-/(): )]"", """"))"),"353847182190")</f>
        <v>353847182190</v>
      </c>
      <c r="M232" s="2" t="str">
        <f>IFERROR(__xludf.DUMMYFUNCTION("IF(L232="""","""", REGEXEXTRACT(REGEXREPLACE(L232,""x"", """"), ""[0-9]+""))"),"353847182190")</f>
        <v>353847182190</v>
      </c>
      <c r="N232" s="2" t="str">
        <f>IF(LEFT(M232,3)="353", RIGHT(M232,LEN(M232)-3),M232)</f>
        <v>847182190</v>
      </c>
      <c r="O232" s="2" t="b">
        <f>IFERROR(__xludf.DUMMYFUNCTION("REGEXMATCH(TO_TEXT(N232), ""^0(83|85|86|87|89)"")"),FALSE)</f>
        <v>0</v>
      </c>
      <c r="P232" s="2">
        <f t="shared" si="106"/>
        <v>9</v>
      </c>
      <c r="Q232" s="9" t="str">
        <f>IF(AND(O232=TRUE, P229=10), "✅ VALID", "❌ INVALID")</f>
        <v>❌ INVALID</v>
      </c>
      <c r="R232" s="10" t="s">
        <v>1177</v>
      </c>
      <c r="S232" s="12">
        <v>45737.0</v>
      </c>
      <c r="T232" s="2" t="str">
        <f>IFERROR(__xludf.DUMMYFUNCTION("IF(ISNUMBER(S232),TEXT(S232,""yyyy-MM-dd""),REGEXREPLACE(REGEXREPLACE(TO_TEXT(S232),""[^0-9a-zA-Z]+"",""-""),""[^0-9]*$"",""""))"),"2025-03-21")</f>
        <v>2025-03-21</v>
      </c>
      <c r="U232" s="2" t="s">
        <v>1132</v>
      </c>
      <c r="Y232" s="10" t="s">
        <v>1132</v>
      </c>
    </row>
    <row r="233" ht="15.75" hidden="1" customHeight="1">
      <c r="A233" s="2" t="s">
        <v>3177</v>
      </c>
      <c r="B233" s="9" t="s">
        <v>7597</v>
      </c>
      <c r="C233" s="2" t="s">
        <v>3151</v>
      </c>
      <c r="D233" s="2" t="str">
        <f>IFERROR(__xludf.DUMMYFUNCTION("PROPER(REGEXREPLACE(TRIM(C233),""\s+"","" ""))"),"Hanna Lopez")</f>
        <v>Hanna Lopez</v>
      </c>
      <c r="E233" s="2">
        <f>IFERROR(__xludf.DUMMYFUNCTION("IF(LEN(D233:D701),
  COUNTA(SPLIT(D233:D701,"" "")),
 """")"),2.0)</f>
        <v>2</v>
      </c>
      <c r="K233" s="2" t="s">
        <v>7346</v>
      </c>
      <c r="R233" s="10" t="s">
        <v>199</v>
      </c>
      <c r="S233" s="2" t="s">
        <v>7347</v>
      </c>
    </row>
    <row r="234" ht="15.75" customHeight="1">
      <c r="A234" s="2" t="s">
        <v>3725</v>
      </c>
      <c r="B234" s="9" t="s">
        <v>7597</v>
      </c>
      <c r="C234" s="2" t="s">
        <v>6899</v>
      </c>
      <c r="D234" s="10" t="s">
        <v>5508</v>
      </c>
      <c r="E234" s="2">
        <f>IFERROR(__xludf.DUMMYFUNCTION("IF(LEN(D234:D701),
  COUNTA(SPLIT(D234:D701,"" "")),
 """")"),2.0)</f>
        <v>2</v>
      </c>
      <c r="F234" s="9" t="str">
        <f t="shared" ref="F234:F246" si="107">IF(D234=G234,"✅","❌")</f>
        <v>✅</v>
      </c>
      <c r="G234" s="2" t="s">
        <v>5508</v>
      </c>
      <c r="H234" s="10" t="str">
        <f t="shared" ref="H234:H246" si="108">LOWER(TRIM(I234))</f>
        <v>nina.taylor@yahoo.com</v>
      </c>
      <c r="I234" s="2" t="s">
        <v>6900</v>
      </c>
      <c r="J234" s="9" t="str">
        <f>IFERROR(__xludf.DUMMYFUNCTION("IF(REGEXMATCH(TRIM(I234),""^[A-Za-z0-9._%+-]+@[A-Za-z0-9.-]+\.[A-Za-z]{2,}$""),""✅ Valid"",""❌ Invalid"")"),"✅ Valid")</f>
        <v>✅ Valid</v>
      </c>
      <c r="K234" s="13" t="s">
        <v>7629</v>
      </c>
      <c r="L234" s="2" t="str">
        <f>IFERROR(__xludf.DUMMYFUNCTION("IF(OR(K234=""N/A"", K234=""missing"", K234=""none""), """",
 REGEXREPLACE(
  SUBSTITUTE(SUBSTITUTE(SUBSTITUTE(TO_TEXT(K234), CHAR(160),""""), UNICHAR(8239),""""), UNICHAR(8201),""""),""[+\-/(): )]"", """"))"),"")</f>
        <v/>
      </c>
      <c r="M234" s="2" t="str">
        <f>IFERROR(__xludf.DUMMYFUNCTION("IF(L234="""","""", REGEXEXTRACT(REGEXREPLACE(L234,""x"", """"), ""[0-9]+""))"),"")</f>
        <v/>
      </c>
      <c r="N234" s="2" t="str">
        <f t="shared" ref="N234:N235" si="109">IF(LEFT(M234,2)="39", RIGHT(M234,LEN(M234)-2),M234)</f>
        <v/>
      </c>
      <c r="O234" s="2" t="b">
        <f>IFERROR(__xludf.DUMMYFUNCTION("REGEXMATCH(TO_TEXT(N234), ""^3"")"),FALSE)</f>
        <v>0</v>
      </c>
      <c r="P234" s="2">
        <f t="shared" ref="P234:P246" si="110">LEN(N234)</f>
        <v>0</v>
      </c>
      <c r="Q234" s="9" t="str">
        <f t="shared" ref="Q234:Q235" si="111">IF(AND(O234=TRUE,OR(P234=9, P234=10 )), "✅ VALID", "❌ INVALID")</f>
        <v>❌ INVALID</v>
      </c>
      <c r="R234" s="10" t="s">
        <v>785</v>
      </c>
      <c r="S234" s="12">
        <v>45067.0</v>
      </c>
      <c r="T234" s="2" t="str">
        <f>IFERROR(__xludf.DUMMYFUNCTION("IF(ISNUMBER(S234),TEXT(S234,""yyyy-MM-dd""),REGEXREPLACE(REGEXREPLACE(TO_TEXT(S234),""[^0-9a-zA-Z]+"",""-""),""[^0-9]*$"",""""))"),"2023-05-21")</f>
        <v>2023-05-21</v>
      </c>
      <c r="U234" s="2" t="s">
        <v>6751</v>
      </c>
      <c r="Y234" s="10" t="s">
        <v>6751</v>
      </c>
    </row>
    <row r="235" ht="15.75" customHeight="1">
      <c r="A235" s="2" t="s">
        <v>7231</v>
      </c>
      <c r="B235" s="9" t="s">
        <v>7597</v>
      </c>
      <c r="C235" s="2" t="s">
        <v>6463</v>
      </c>
      <c r="D235" s="10" t="str">
        <f>IFERROR(__xludf.DUMMYFUNCTION("PROPER(REGEXREPLACE(TRIM(C235),""\s+"","" ""))"),"Xenia Johnson")</f>
        <v>Xenia Johnson</v>
      </c>
      <c r="E235" s="2">
        <f>IFERROR(__xludf.DUMMYFUNCTION("IF(LEN(D235:D701),
  COUNTA(SPLIT(D235:D701,"" "")),
 """")"),2.0)</f>
        <v>2</v>
      </c>
      <c r="F235" s="9" t="str">
        <f t="shared" si="107"/>
        <v>✅</v>
      </c>
      <c r="G235" s="2" t="str">
        <f>IFERROR(__xludf.DUMMYFUNCTION("REGEXEXTRACT(PROPER(SUBSTITUTE(TRIM(I235),""."","" "")),""^[^@]+"")"),"Xenia Johnson")</f>
        <v>Xenia Johnson</v>
      </c>
      <c r="H235" s="10" t="str">
        <f t="shared" si="108"/>
        <v>xenia.johnson@outlook.com</v>
      </c>
      <c r="I235" s="2" t="s">
        <v>6925</v>
      </c>
      <c r="J235" s="9" t="str">
        <f>IFERROR(__xludf.DUMMYFUNCTION("IF(REGEXMATCH(TRIM(I235),""^[A-Za-z0-9._%+-]+@[A-Za-z0-9.-]+\.[A-Za-z]{2,}$""),""✅ Valid"",""❌ Invalid"")"),"✅ Valid")</f>
        <v>✅ Valid</v>
      </c>
      <c r="K235" s="13" t="s">
        <v>7957</v>
      </c>
      <c r="L235" s="2" t="str">
        <f>IFERROR(__xludf.DUMMYFUNCTION("IF(OR(K235=""N/A"", K235=""missing"", K235=""none""), """",
 REGEXREPLACE(
  SUBSTITUTE(SUBSTITUTE(SUBSTITUTE(TO_TEXT(K235), CHAR(160),""""), UNICHAR(8239),""""), UNICHAR(8201),""""),""[+\-/(): )]"", """"))"),"399793850821ext314")</f>
        <v>399793850821ext314</v>
      </c>
      <c r="M235" s="2" t="str">
        <f>IFERROR(__xludf.DUMMYFUNCTION("IF(L235="""","""", REGEXEXTRACT(REGEXREPLACE(L235,""x"", """"), ""[0-9]+""))"),"399793850821")</f>
        <v>399793850821</v>
      </c>
      <c r="N235" s="2" t="str">
        <f t="shared" si="109"/>
        <v>9793850821</v>
      </c>
      <c r="O235" s="2" t="b">
        <f>IFERROR(__xludf.DUMMYFUNCTION("REGEXMATCH(TO_TEXT(N235), ""^3"")"),FALSE)</f>
        <v>0</v>
      </c>
      <c r="P235" s="2">
        <f t="shared" si="110"/>
        <v>10</v>
      </c>
      <c r="Q235" s="9" t="str">
        <f t="shared" si="111"/>
        <v>❌ INVALID</v>
      </c>
      <c r="R235" s="10" t="s">
        <v>785</v>
      </c>
      <c r="S235" s="12" t="s">
        <v>6902</v>
      </c>
      <c r="T235" s="2" t="str">
        <f>IFERROR(__xludf.DUMMYFUNCTION("IF(ISNUMBER(S235),TEXT(S235,""yyyy-MM-dd""),REGEXREPLACE(REGEXREPLACE(TO_TEXT(S235),""[^0-9a-zA-Z]+"",""-""),""[^0-9]*$"",""""))"),"14-07-2024-03-29")</f>
        <v>14-07-2024-03-29</v>
      </c>
      <c r="U235" s="2" t="str">
        <f>TEXT(T235,"yyyy-MM-dd")</f>
        <v>14-07-2024-03-29</v>
      </c>
      <c r="V235" s="2" t="str">
        <f>IFERROR(__xludf.DUMMYFUNCTION("REGEXEXTRACT(U235,""^\d{2}-\d{2}-\d{4}"")"),"14-07-2024")</f>
        <v>14-07-2024</v>
      </c>
      <c r="W235" s="2" t="s">
        <v>7958</v>
      </c>
      <c r="Y235" s="10" t="s">
        <v>7958</v>
      </c>
    </row>
    <row r="236" ht="15.75" customHeight="1">
      <c r="A236" s="2" t="s">
        <v>657</v>
      </c>
      <c r="B236" s="9" t="s">
        <v>7597</v>
      </c>
      <c r="C236" s="2" t="s">
        <v>553</v>
      </c>
      <c r="D236" s="10" t="str">
        <f>IFERROR(__xludf.DUMMYFUNCTION("PROPER(REGEXREPLACE(TRIM(C236),""\s+"","" ""))"),"Tara Muller")</f>
        <v>Tara Muller</v>
      </c>
      <c r="E236" s="2">
        <f>IFERROR(__xludf.DUMMYFUNCTION("IF(LEN(D236:D701),
  COUNTA(SPLIT(D236:D701,"" "")),
 """")"),2.0)</f>
        <v>2</v>
      </c>
      <c r="F236" s="9" t="str">
        <f t="shared" si="107"/>
        <v>✅</v>
      </c>
      <c r="G236" s="2" t="str">
        <f>IFERROR(__xludf.DUMMYFUNCTION("REGEXEXTRACT(PROPER(SUBSTITUTE(TRIM(I236),""."","" "")),""^[^@]+"")"),"Tara Muller")</f>
        <v>Tara Muller</v>
      </c>
      <c r="H236" s="10" t="str">
        <f t="shared" si="108"/>
        <v>tara.muller@example.com</v>
      </c>
      <c r="I236" s="2" t="s">
        <v>554</v>
      </c>
      <c r="J236" s="9" t="str">
        <f>IFERROR(__xludf.DUMMYFUNCTION("IF(REGEXMATCH(TRIM(I236),""^[A-Za-z0-9._%+-]+@[A-Za-z0-9.-]+\.[A-Za-z]{2,}$""),""✅ Valid"",""❌ Invalid"")"),"✅ Valid")</f>
        <v>✅ Valid</v>
      </c>
      <c r="K236" s="13" t="s">
        <v>7959</v>
      </c>
      <c r="L236" s="2" t="str">
        <f>IFERROR(__xludf.DUMMYFUNCTION("IF(OR(K236=""N/A"", K236=""missing"", K236=""none""), """",
 REGEXREPLACE(
  SUBSTITUTE(SUBSTITUTE(SUBSTITUTE(TO_TEXT(K236), CHAR(160),""""), UNICHAR(8239),""""), UNICHAR(8201),""""),""[+\-/(): )]"", """"))"),"304988087")</f>
        <v>304988087</v>
      </c>
      <c r="M236" s="2" t="str">
        <f>IFERROR(__xludf.DUMMYFUNCTION("IF(L236="""","""", REGEXEXTRACT(REGEXREPLACE(L236,""x"", """"), ""[0-9]+""))"),"304988087")</f>
        <v>304988087</v>
      </c>
      <c r="N236" s="2" t="str">
        <f>IF(LEFT(M236,2)="49", RIGHT(M236,LEN(M236)-2),M236)</f>
        <v>304988087</v>
      </c>
      <c r="O236" s="2" t="b">
        <f>IFERROR(__xludf.DUMMYFUNCTION("REGEXMATCH(TO_TEXT(N236), ""^0(15|16|17)"")"),FALSE)</f>
        <v>0</v>
      </c>
      <c r="P236" s="2">
        <f t="shared" si="110"/>
        <v>9</v>
      </c>
      <c r="Q236" s="9" t="str">
        <f>IF(AND(O236=TRUE,OR(P236=10, P236=11)), "✅ VALID", "❌ INVALID")</f>
        <v>❌ INVALID</v>
      </c>
      <c r="R236" s="10" t="s">
        <v>459</v>
      </c>
      <c r="S236" s="12">
        <v>45786.0</v>
      </c>
      <c r="T236" s="2" t="str">
        <f>IFERROR(__xludf.DUMMYFUNCTION("IF(ISNUMBER(S236),TEXT(S236,""yyyy-MM-dd""),REGEXREPLACE(REGEXREPLACE(TO_TEXT(S236),""[^0-9a-zA-Z]+"",""-""),""[^0-9]*$"",""""))"),"2025-05-09")</f>
        <v>2025-05-09</v>
      </c>
      <c r="U236" s="2" t="s">
        <v>7960</v>
      </c>
      <c r="Y236" s="10" t="s">
        <v>7960</v>
      </c>
    </row>
    <row r="237" ht="15.75" customHeight="1">
      <c r="A237" s="2" t="s">
        <v>980</v>
      </c>
      <c r="B237" s="9" t="s">
        <v>7597</v>
      </c>
      <c r="C237" s="2" t="s">
        <v>6265</v>
      </c>
      <c r="D237" s="10" t="str">
        <f>IFERROR(__xludf.DUMMYFUNCTION("PROPER(REGEXREPLACE(TRIM(C237),""\s+"","" ""))"),"Nina Davis")</f>
        <v>Nina Davis</v>
      </c>
      <c r="E237" s="2">
        <f>IFERROR(__xludf.DUMMYFUNCTION("IF(LEN(D237:D701),
  COUNTA(SPLIT(D237:D701,"" "")),
 """")"),2.0)</f>
        <v>2</v>
      </c>
      <c r="F237" s="9" t="str">
        <f t="shared" si="107"/>
        <v>✅</v>
      </c>
      <c r="G237" s="2" t="str">
        <f>IFERROR(__xludf.DUMMYFUNCTION("REGEXEXTRACT(PROPER(SUBSTITUTE(TRIM(I237),""."","" "")),""^[^@]+"")"),"Nina Davis")</f>
        <v>Nina Davis</v>
      </c>
      <c r="H237" s="10" t="str">
        <f t="shared" si="108"/>
        <v>nina.davis@outlook.com</v>
      </c>
      <c r="I237" s="2" t="s">
        <v>6266</v>
      </c>
      <c r="J237" s="9" t="str">
        <f>IFERROR(__xludf.DUMMYFUNCTION("IF(REGEXMATCH(TRIM(I237),""^[A-Za-z0-9._%+-]+@[A-Za-z0-9.-]+\.[A-Za-z]{2,}$""),""✅ Valid"",""❌ Invalid"")"),"✅ Valid")</f>
        <v>✅ Valid</v>
      </c>
      <c r="K237" s="13" t="s">
        <v>7961</v>
      </c>
      <c r="L237" s="2" t="str">
        <f>IFERROR(__xludf.DUMMYFUNCTION("IF(OR(K237=""N/A"", K237=""missing"", K237=""none""), """",
 REGEXREPLACE(
  SUBSTITUTE(SUBSTITUTE(SUBSTITUTE(TO_TEXT(K237), CHAR(160),""""), UNICHAR(8239),""""), UNICHAR(8201),""""),""[+\-/(): )]"", """"))"),"399701160160")</f>
        <v>399701160160</v>
      </c>
      <c r="M237" s="2" t="str">
        <f>IFERROR(__xludf.DUMMYFUNCTION("IF(L237="""","""", REGEXEXTRACT(REGEXREPLACE(L237,""x"", """"), ""[0-9]+""))"),"399701160160")</f>
        <v>399701160160</v>
      </c>
      <c r="N237" s="2" t="str">
        <f>IF(LEFT(M237,2)="39", RIGHT(M237,LEN(M237)-2),M237)</f>
        <v>9701160160</v>
      </c>
      <c r="O237" s="2" t="b">
        <f>IFERROR(__xludf.DUMMYFUNCTION("REGEXMATCH(TO_TEXT(N237), ""^3"")"),FALSE)</f>
        <v>0</v>
      </c>
      <c r="P237" s="2">
        <f t="shared" si="110"/>
        <v>10</v>
      </c>
      <c r="Q237" s="9" t="str">
        <f>IF(AND(O237=TRUE,OR(P237=9, P237=10 )), "✅ VALID", "❌ INVALID")</f>
        <v>❌ INVALID</v>
      </c>
      <c r="R237" s="10" t="s">
        <v>785</v>
      </c>
      <c r="S237" s="12">
        <v>44861.40277777778</v>
      </c>
      <c r="T237" s="2" t="str">
        <f>IFERROR(__xludf.DUMMYFUNCTION("IF(ISNUMBER(S237),TEXT(S237,""yyyy-MM-dd""),REGEXREPLACE(REGEXREPLACE(TO_TEXT(S237),""[^0-9a-zA-Z]+"",""-""),""[^0-9]*$"",""""))"),"2022-10-27")</f>
        <v>2022-10-27</v>
      </c>
      <c r="U237" s="2" t="s">
        <v>7962</v>
      </c>
      <c r="Y237" s="10" t="s">
        <v>7962</v>
      </c>
    </row>
    <row r="238" ht="15.75" customHeight="1">
      <c r="A238" s="2" t="s">
        <v>1793</v>
      </c>
      <c r="B238" s="9" t="s">
        <v>7597</v>
      </c>
      <c r="C238" s="2" t="s">
        <v>2460</v>
      </c>
      <c r="D238" s="10" t="str">
        <f>IFERROR(__xludf.DUMMYFUNCTION("PROPER(REGEXREPLACE(TRIM(C238),""\s+"","" ""))"),"Nina Garcia")</f>
        <v>Nina Garcia</v>
      </c>
      <c r="E238" s="2">
        <f>IFERROR(__xludf.DUMMYFUNCTION("IF(LEN(D238:D701),
  COUNTA(SPLIT(D238:D701,"" "")),
 """")"),2.0)</f>
        <v>2</v>
      </c>
      <c r="F238" s="9" t="str">
        <f t="shared" si="107"/>
        <v>✅</v>
      </c>
      <c r="G238" s="2" t="str">
        <f>IFERROR(__xludf.DUMMYFUNCTION("REGEXEXTRACT(PROPER(SUBSTITUTE(TRIM(I238),""."","" "")),""^[^@]+"")"),"Nina Garcia")</f>
        <v>Nina Garcia</v>
      </c>
      <c r="H238" s="10" t="str">
        <f t="shared" si="108"/>
        <v>nina.garcia@yahoo.com</v>
      </c>
      <c r="I238" s="2" t="s">
        <v>2461</v>
      </c>
      <c r="J238" s="9" t="str">
        <f>IFERROR(__xludf.DUMMYFUNCTION("IF(REGEXMATCH(TRIM(I238),""^[A-Za-z0-9._%+-]+@[A-Za-z0-9.-]+\.[A-Za-z]{2,}$""),""✅ Valid"",""❌ Invalid"")"),"✅ Valid")</f>
        <v>✅ Valid</v>
      </c>
      <c r="K238" s="11">
        <v>4.979049411E9</v>
      </c>
      <c r="L238" s="2" t="str">
        <f>IFERROR(__xludf.DUMMYFUNCTION("IF(OR(K238=""N/A"", K238=""missing"", K238=""none""), """",
 REGEXREPLACE(
  SUBSTITUTE(SUBSTITUTE(SUBSTITUTE(TO_TEXT(K238), CHAR(160),""""), UNICHAR(8239),""""), UNICHAR(8201),""""),""[+\-/(): )]"", """"))"),"4979049411")</f>
        <v>4979049411</v>
      </c>
      <c r="M238" s="2" t="str">
        <f>IFERROR(__xludf.DUMMYFUNCTION("IF(L238="""","""", REGEXEXTRACT(REGEXREPLACE(L238,""x"", """"), ""[0-9]+""))"),"4979049411")</f>
        <v>4979049411</v>
      </c>
      <c r="N238" s="2" t="str">
        <f>IF(LEFT(M238,2)="44", RIGHT(M238,LEN(M238)-2),M238)</f>
        <v>4979049411</v>
      </c>
      <c r="O238" s="2" t="b">
        <f>IFERROR(__xludf.DUMMYFUNCTION("REGEXMATCH(TO_TEXT(N238), ""^07[1-57-9]"")"),FALSE)</f>
        <v>0</v>
      </c>
      <c r="P238" s="2">
        <f t="shared" si="110"/>
        <v>10</v>
      </c>
      <c r="Q238" s="9" t="str">
        <f>IF(AND(O238=TRUE, P238=11), "✅ VALID", "❌ INVALID")</f>
        <v>❌ INVALID</v>
      </c>
      <c r="R238" s="10" t="s">
        <v>114</v>
      </c>
      <c r="S238" s="12">
        <v>44610.0</v>
      </c>
      <c r="T238" s="2" t="str">
        <f>IFERROR(__xludf.DUMMYFUNCTION("IF(ISNUMBER(S238),TEXT(S238,""yyyy-MM-dd""),REGEXREPLACE(REGEXREPLACE(TO_TEXT(S238),""[^0-9a-zA-Z]+"",""-""),""[^0-9]*$"",""""))"),"2022-02-18")</f>
        <v>2022-02-18</v>
      </c>
      <c r="U238" s="2" t="s">
        <v>6268</v>
      </c>
      <c r="Y238" s="10" t="s">
        <v>6268</v>
      </c>
    </row>
    <row r="239" ht="15.75" customHeight="1">
      <c r="A239" s="2" t="s">
        <v>1518</v>
      </c>
      <c r="B239" s="9" t="s">
        <v>7597</v>
      </c>
      <c r="C239" s="2" t="s">
        <v>3178</v>
      </c>
      <c r="D239" s="10" t="str">
        <f>IFERROR(__xludf.DUMMYFUNCTION("PROPER(REGEXREPLACE(TRIM(C239),""\s+"","" ""))"),"Daria Williams")</f>
        <v>Daria Williams</v>
      </c>
      <c r="E239" s="2">
        <f>IFERROR(__xludf.DUMMYFUNCTION("IF(LEN(D239:D701),
  COUNTA(SPLIT(D239:D701,"" "")),
 """")"),2.0)</f>
        <v>2</v>
      </c>
      <c r="F239" s="9" t="str">
        <f t="shared" si="107"/>
        <v>✅</v>
      </c>
      <c r="G239" s="2" t="str">
        <f>IFERROR(__xludf.DUMMYFUNCTION("REGEXEXTRACT(PROPER(SUBSTITUTE(TRIM(I239),""."","" "")),""^[^@]+"")"),"Daria Williams")</f>
        <v>Daria Williams</v>
      </c>
      <c r="H239" s="10" t="str">
        <f t="shared" si="108"/>
        <v>daria.williams@outlook.com</v>
      </c>
      <c r="I239" s="2" t="s">
        <v>3179</v>
      </c>
      <c r="J239" s="9" t="str">
        <f>IFERROR(__xludf.DUMMYFUNCTION("IF(REGEXMATCH(TRIM(I239),""^[A-Za-z0-9._%+-]+@[A-Za-z0-9.-]+\.[A-Za-z]{2,}$""),""✅ Valid"",""❌ Invalid"")"),"✅ Valid")</f>
        <v>✅ Valid</v>
      </c>
      <c r="K239" s="11">
        <v>2.580222689E9</v>
      </c>
      <c r="L239" s="2" t="str">
        <f>IFERROR(__xludf.DUMMYFUNCTION("IF(OR(K239=""N/A"", K239=""missing"", K239=""none""), """",
 REGEXREPLACE(
  SUBSTITUTE(SUBSTITUTE(SUBSTITUTE(TO_TEXT(K239), CHAR(160),""""), UNICHAR(8239),""""), UNICHAR(8201),""""),""[+\-/(): )]"", """"))"),"2580222689")</f>
        <v>2580222689</v>
      </c>
      <c r="M239" s="2" t="str">
        <f>IFERROR(__xludf.DUMMYFUNCTION("IF(L239="""","""", REGEXEXTRACT(REGEXREPLACE(L239,""x"", """"), ""[0-9]+""))"),"2580222689")</f>
        <v>2580222689</v>
      </c>
      <c r="N239" s="2" t="str">
        <f>IF(LEFT(M239,1)="1", RIGHT(M239,LEN(M239)-1),M239)</f>
        <v>2580222689</v>
      </c>
      <c r="O239" s="2" t="b">
        <f>IFERROR(__xludf.DUMMYFUNCTION("REGEXMATCH(TO_TEXT(N239), ""^[2-9][0-9]{9}$"")"),TRUE)</f>
        <v>1</v>
      </c>
      <c r="P239" s="2">
        <f t="shared" si="110"/>
        <v>10</v>
      </c>
      <c r="Q239" s="9" t="str">
        <f>IF(AND(O239=TRUE, P239=10), "✅ VALID", "❌ INVALID")</f>
        <v>✅ VALID</v>
      </c>
      <c r="R239" s="10" t="s">
        <v>199</v>
      </c>
      <c r="S239" s="12">
        <v>45302.8</v>
      </c>
      <c r="T239" s="2" t="str">
        <f>IFERROR(__xludf.DUMMYFUNCTION("IF(ISNUMBER(S239),TEXT(S239,""yyyy-MM-dd""),REGEXREPLACE(REGEXREPLACE(TO_TEXT(S239),""[^0-9a-zA-Z]+"",""-""),""[^0-9]*$"",""""))"),"2024-01-11")</f>
        <v>2024-01-11</v>
      </c>
      <c r="U239" s="2" t="s">
        <v>7963</v>
      </c>
      <c r="Y239" s="10" t="s">
        <v>7963</v>
      </c>
    </row>
    <row r="240" ht="15.75" customHeight="1">
      <c r="A240" s="2" t="s">
        <v>900</v>
      </c>
      <c r="B240" s="9" t="s">
        <v>7597</v>
      </c>
      <c r="C240" s="2" t="s">
        <v>3726</v>
      </c>
      <c r="D240" s="10" t="str">
        <f>IFERROR(__xludf.DUMMYFUNCTION("PROPER(REGEXREPLACE(TRIM(C240),""\s+"","" ""))"),"Ethan Taylor")</f>
        <v>Ethan Taylor</v>
      </c>
      <c r="E240" s="2">
        <f>IFERROR(__xludf.DUMMYFUNCTION("IF(LEN(D240:D701),
  COUNTA(SPLIT(D240:D701,"" "")),
 """")"),2.0)</f>
        <v>2</v>
      </c>
      <c r="F240" s="9" t="str">
        <f t="shared" si="107"/>
        <v>✅</v>
      </c>
      <c r="G240" s="2" t="str">
        <f>IFERROR(__xludf.DUMMYFUNCTION("REGEXEXTRACT(PROPER(SUBSTITUTE(TRIM(I240),""."","" "")),""^[^@]+"")"),"Ethan Taylor")</f>
        <v>Ethan Taylor</v>
      </c>
      <c r="H240" s="10" t="str">
        <f t="shared" si="108"/>
        <v>ethan.taylor@companyc.o.uk</v>
      </c>
      <c r="I240" s="2" t="s">
        <v>3727</v>
      </c>
      <c r="J240" s="9" t="str">
        <f>IFERROR(__xludf.DUMMYFUNCTION("IF(REGEXMATCH(TRIM(I240),""^[A-Za-z0-9._%+-]+@[A-Za-z0-9.-]+\.[A-Za-z]{2,}$""),""✅ Valid"",""❌ Invalid"")"),"✅ Valid")</f>
        <v>✅ Valid</v>
      </c>
      <c r="K240" s="13" t="s">
        <v>7964</v>
      </c>
      <c r="L240" s="2" t="str">
        <f>IFERROR(__xludf.DUMMYFUNCTION("IF(OR(K240=""N/A"", K240=""missing"", K240=""none""), """",
 REGEXREPLACE(
  SUBSTITUTE(SUBSTITUTE(SUBSTITUTE(TO_TEXT(K240), CHAR(160),""""), UNICHAR(8239),""""), UNICHAR(8201),""""),""[+\-/(): )]"", """"))"),"395482056240ext807")</f>
        <v>395482056240ext807</v>
      </c>
      <c r="M240" s="2" t="str">
        <f>IFERROR(__xludf.DUMMYFUNCTION("IF(L240="""","""", REGEXEXTRACT(REGEXREPLACE(L240,""x"", """"), ""[0-9]+""))"),"395482056240")</f>
        <v>395482056240</v>
      </c>
      <c r="N240" s="2" t="str">
        <f>IF(LEFT(M240,2)="39", RIGHT(M240,LEN(M240)-2),M240)</f>
        <v>5482056240</v>
      </c>
      <c r="O240" s="2" t="b">
        <f>IFERROR(__xludf.DUMMYFUNCTION("REGEXMATCH(TO_TEXT(N240), ""^3"")"),FALSE)</f>
        <v>0</v>
      </c>
      <c r="P240" s="2">
        <f t="shared" si="110"/>
        <v>10</v>
      </c>
      <c r="Q240" s="9" t="str">
        <f>IF(AND(O240=TRUE,OR(P240=9, P240=10 )), "✅ VALID", "❌ INVALID")</f>
        <v>❌ INVALID</v>
      </c>
      <c r="R240" s="10" t="s">
        <v>785</v>
      </c>
      <c r="S240" s="12">
        <v>45366.0</v>
      </c>
      <c r="T240" s="2" t="str">
        <f>IFERROR(__xludf.DUMMYFUNCTION("IF(ISNUMBER(S240),TEXT(S240,""yyyy-MM-dd""),REGEXREPLACE(REGEXREPLACE(TO_TEXT(S240),""[^0-9a-zA-Z]+"",""-""),""[^0-9]*$"",""""))"),"2024-03-15")</f>
        <v>2024-03-15</v>
      </c>
      <c r="U240" s="2" t="s">
        <v>7965</v>
      </c>
      <c r="Y240" s="10" t="s">
        <v>7965</v>
      </c>
    </row>
    <row r="241" ht="15.75" customHeight="1">
      <c r="A241" s="2" t="s">
        <v>6506</v>
      </c>
      <c r="B241" s="9" t="s">
        <v>7597</v>
      </c>
      <c r="C241" s="2" t="s">
        <v>7232</v>
      </c>
      <c r="D241" s="10" t="str">
        <f>IFERROR(__xludf.DUMMYFUNCTION("PROPER(REGEXREPLACE(TRIM(C241),""\s+"","" ""))"),"Wiktor Dubois")</f>
        <v>Wiktor Dubois</v>
      </c>
      <c r="E241" s="2">
        <f>IFERROR(__xludf.DUMMYFUNCTION("IF(LEN(D241:D701),
  COUNTA(SPLIT(D241:D701,"" "")),
 """")"),2.0)</f>
        <v>2</v>
      </c>
      <c r="F241" s="9" t="str">
        <f t="shared" si="107"/>
        <v>✅</v>
      </c>
      <c r="G241" s="2" t="str">
        <f>IFERROR(__xludf.DUMMYFUNCTION("REGEXEXTRACT(PROPER(SUBSTITUTE(TRIM(I241),""."","" "")),""^[^@]+"")"),"Wiktor Dubois")</f>
        <v>Wiktor Dubois</v>
      </c>
      <c r="H241" s="10" t="str">
        <f t="shared" si="108"/>
        <v>wiktor.dubois@company.co.uk</v>
      </c>
      <c r="I241" s="2" t="s">
        <v>7233</v>
      </c>
      <c r="J241" s="9" t="str">
        <f>IFERROR(__xludf.DUMMYFUNCTION("IF(REGEXMATCH(TRIM(I241),""^[A-Za-z0-9._%+-]+@[A-Za-z0-9.-]+\.[A-Za-z]{2,}$""),""✅ Valid"",""❌ Invalid"")"),"✅ Valid")</f>
        <v>✅ Valid</v>
      </c>
      <c r="K241" s="13" t="s">
        <v>7966</v>
      </c>
      <c r="L241" s="2" t="str">
        <f>IFERROR(__xludf.DUMMYFUNCTION("IF(OR(K241=""N/A"", K241=""missing"", K241=""none""), """",
 REGEXREPLACE(
  SUBSTITUTE(SUBSTITUTE(SUBSTITUTE(TO_TEXT(K241), CHAR(160),""""), UNICHAR(8239),""""), UNICHAR(8201),""""),""[+\-/(): )]"", """"))"),"61x1827821")</f>
        <v>61x1827821</v>
      </c>
      <c r="M241" s="2" t="str">
        <f>IFERROR(__xludf.DUMMYFUNCTION("IF(L241="""","""", REGEXEXTRACT(REGEXREPLACE(L241,""x"", """"), ""[0-9]+""))"),"611827821")</f>
        <v>611827821</v>
      </c>
      <c r="N241" s="2" t="str">
        <f>IF(LEFT(M241,2)="33", RIGHT(M241,LEN(M241)-2),M241)</f>
        <v>611827821</v>
      </c>
      <c r="O241" s="2" t="b">
        <f>IFERROR(__xludf.DUMMYFUNCTION("REGEXMATCH(TO_TEXT(N241), ""^0[67]"")"),FALSE)</f>
        <v>0</v>
      </c>
      <c r="P241" s="2">
        <f t="shared" si="110"/>
        <v>9</v>
      </c>
      <c r="Q241" s="9" t="str">
        <f>IF(AND(O241=TRUE, P241=9), "✅ VALID", "❌ INVALID")</f>
        <v>❌ INVALID</v>
      </c>
      <c r="R241" s="10" t="s">
        <v>58</v>
      </c>
      <c r="S241" s="12">
        <v>44928.0</v>
      </c>
      <c r="T241" s="2" t="str">
        <f>IFERROR(__xludf.DUMMYFUNCTION("IF(ISNUMBER(S241),TEXT(S241,""yyyy-MM-dd""),REGEXREPLACE(REGEXREPLACE(TO_TEXT(S241),""[^0-9a-zA-Z]+"",""-""),""[^0-9]*$"",""""))"),"2023-01-02")</f>
        <v>2023-01-02</v>
      </c>
      <c r="U241" s="2" t="s">
        <v>4382</v>
      </c>
      <c r="Y241" s="10" t="s">
        <v>4382</v>
      </c>
    </row>
    <row r="242" ht="15.75" customHeight="1">
      <c r="A242" s="2" t="s">
        <v>6725</v>
      </c>
      <c r="B242" s="9" t="s">
        <v>7597</v>
      </c>
      <c r="C242" s="2" t="s">
        <v>658</v>
      </c>
      <c r="D242" s="10" t="str">
        <f>IFERROR(__xludf.DUMMYFUNCTION("PROPER(REGEXREPLACE(TRIM(C242),""\s+"","" ""))"),"Igor Young")</f>
        <v>Igor Young</v>
      </c>
      <c r="E242" s="2">
        <f>IFERROR(__xludf.DUMMYFUNCTION("IF(LEN(D242:D701),
  COUNTA(SPLIT(D242:D701,"" "")),
 """")"),2.0)</f>
        <v>2</v>
      </c>
      <c r="F242" s="9" t="str">
        <f t="shared" si="107"/>
        <v>✅</v>
      </c>
      <c r="G242" s="2" t="str">
        <f>IFERROR(__xludf.DUMMYFUNCTION("REGEXEXTRACT(PROPER(SUBSTITUTE(TRIM(I242),""."","" "")),""^[^@]+"")"),"Igor Young")</f>
        <v>Igor Young</v>
      </c>
      <c r="H242" s="10" t="str">
        <f t="shared" si="108"/>
        <v>igor.young@shop.io</v>
      </c>
      <c r="I242" s="2" t="s">
        <v>659</v>
      </c>
      <c r="J242" s="9" t="str">
        <f>IFERROR(__xludf.DUMMYFUNCTION("IF(REGEXMATCH(TRIM(I242),""^[A-Za-z0-9._%+-]+@[A-Za-z0-9.-]+\.[A-Za-z]{2,}$""),""✅ Valid"",""❌ Invalid"")"),"✅ Valid")</f>
        <v>✅ Valid</v>
      </c>
      <c r="K242" s="13" t="s">
        <v>7967</v>
      </c>
      <c r="L242" s="2" t="str">
        <f>IFERROR(__xludf.DUMMYFUNCTION("IF(OR(K242=""N/A"", K242=""missing"", K242=""none""), """",
 REGEXREPLACE(
  SUBSTITUTE(SUBSTITUTE(SUBSTITUTE(TO_TEXT(K242), CHAR(160),""""), UNICHAR(8239),""""), UNICHAR(8201),""""),""[+\-/(): )]"", """"))"),"39192013404")</f>
        <v>39192013404</v>
      </c>
      <c r="M242" s="2" t="str">
        <f>IFERROR(__xludf.DUMMYFUNCTION("IF(L242="""","""", REGEXEXTRACT(REGEXREPLACE(L242,""x"", """"), ""[0-9]+""))"),"39192013404")</f>
        <v>39192013404</v>
      </c>
      <c r="N242" s="2" t="str">
        <f>IF(LEFT(M242,2)="39", RIGHT(M242,LEN(M242)-2),M242)</f>
        <v>192013404</v>
      </c>
      <c r="O242" s="2" t="b">
        <f>IFERROR(__xludf.DUMMYFUNCTION("REGEXMATCH(TO_TEXT(N242), ""^3"")"),FALSE)</f>
        <v>0</v>
      </c>
      <c r="P242" s="2">
        <f t="shared" si="110"/>
        <v>9</v>
      </c>
      <c r="Q242" s="9" t="str">
        <f>IF(AND(O242=TRUE,OR(P242=9, P242=10 )), "✅ VALID", "❌ INVALID")</f>
        <v>❌ INVALID</v>
      </c>
      <c r="R242" s="10" t="s">
        <v>785</v>
      </c>
      <c r="S242" s="12">
        <v>45091.0</v>
      </c>
      <c r="T242" s="2" t="str">
        <f>IFERROR(__xludf.DUMMYFUNCTION("IF(ISNUMBER(S242),TEXT(S242,""yyyy-MM-dd""),REGEXREPLACE(REGEXREPLACE(TO_TEXT(S242),""[^0-9a-zA-Z]+"",""-""),""[^0-9]*$"",""""))"),"2023-06-14")</f>
        <v>2023-06-14</v>
      </c>
      <c r="U242" s="2" t="s">
        <v>7968</v>
      </c>
      <c r="Y242" s="10" t="s">
        <v>7968</v>
      </c>
    </row>
    <row r="243" ht="15.75" customHeight="1">
      <c r="A243" s="2" t="s">
        <v>1298</v>
      </c>
      <c r="B243" s="9" t="s">
        <v>7597</v>
      </c>
      <c r="C243" s="2" t="s">
        <v>6611</v>
      </c>
      <c r="D243" s="10" t="str">
        <f>IFERROR(__xludf.DUMMYFUNCTION("PROPER(REGEXREPLACE(TRIM(C243),""\s+"","" ""))"),"Ken Davis")</f>
        <v>Ken Davis</v>
      </c>
      <c r="E243" s="2">
        <f>IFERROR(__xludf.DUMMYFUNCTION("IF(LEN(D243:D701),
  COUNTA(SPLIT(D243:D701,"" "")),
 """")"),2.0)</f>
        <v>2</v>
      </c>
      <c r="F243" s="9" t="str">
        <f t="shared" si="107"/>
        <v>✅</v>
      </c>
      <c r="G243" s="2" t="str">
        <f>IFERROR(__xludf.DUMMYFUNCTION("REGEXEXTRACT(PROPER(SUBSTITUTE(TRIM(I243),""."","" "")),""^[^@]+"")"),"Ken Davis")</f>
        <v>Ken Davis</v>
      </c>
      <c r="H243" s="10" t="str">
        <f t="shared" si="108"/>
        <v>ken.davis@yahoo.com</v>
      </c>
      <c r="I243" s="2" t="s">
        <v>6612</v>
      </c>
      <c r="J243" s="9" t="str">
        <f>IFERROR(__xludf.DUMMYFUNCTION("IF(REGEXMATCH(TRIM(I243),""^[A-Za-z0-9._%+-]+@[A-Za-z0-9.-]+\.[A-Za-z]{2,}$""),""✅ Valid"",""❌ Invalid"")"),"✅ Valid")</f>
        <v>✅ Valid</v>
      </c>
      <c r="K243" s="13" t="s">
        <v>7969</v>
      </c>
      <c r="L243" s="2" t="str">
        <f>IFERROR(__xludf.DUMMYFUNCTION("IF(OR(K243=""N/A"", K243=""missing"", K243=""none""), """",
 REGEXREPLACE(
  SUBSTITUTE(SUBSTITUTE(SUBSTITUTE(TO_TEXT(K243), CHAR(160),""""), UNICHAR(8239),""""), UNICHAR(8201),""""),""[+\-/(): )]"", """"))"),"35335375585")</f>
        <v>35335375585</v>
      </c>
      <c r="M243" s="2" t="str">
        <f>IFERROR(__xludf.DUMMYFUNCTION("IF(L243="""","""", REGEXEXTRACT(REGEXREPLACE(L243,""x"", """"), ""[0-9]+""))"),"35335375585")</f>
        <v>35335375585</v>
      </c>
      <c r="N243" s="2" t="str">
        <f>IF(LEFT(M243,3)="353", RIGHT(M243,LEN(M243)-3),M243)</f>
        <v>35375585</v>
      </c>
      <c r="O243" s="2" t="b">
        <f>IFERROR(__xludf.DUMMYFUNCTION("REGEXMATCH(TO_TEXT(N243), ""^0(83|85|86|87|89)"")"),FALSE)</f>
        <v>0</v>
      </c>
      <c r="P243" s="2">
        <f t="shared" si="110"/>
        <v>8</v>
      </c>
      <c r="Q243" s="9" t="str">
        <f>IF(AND(O243=TRUE, P240=10), "✅ VALID", "❌ INVALID")</f>
        <v>❌ INVALID</v>
      </c>
      <c r="R243" s="10" t="s">
        <v>1177</v>
      </c>
      <c r="S243" s="12">
        <v>44860.756944444445</v>
      </c>
      <c r="T243" s="2" t="str">
        <f>IFERROR(__xludf.DUMMYFUNCTION("IF(ISNUMBER(S243),TEXT(S243,""yyyy-MM-dd""),REGEXREPLACE(REGEXREPLACE(TO_TEXT(S243),""[^0-9a-zA-Z]+"",""-""),""[^0-9]*$"",""""))"),"2022-10-26")</f>
        <v>2022-10-26</v>
      </c>
      <c r="U243" s="2" t="s">
        <v>7970</v>
      </c>
      <c r="Y243" s="10" t="s">
        <v>7970</v>
      </c>
    </row>
    <row r="244" ht="15.75" customHeight="1">
      <c r="A244" s="2" t="s">
        <v>5204</v>
      </c>
      <c r="B244" s="9" t="s">
        <v>7597</v>
      </c>
      <c r="C244" s="2" t="s">
        <v>981</v>
      </c>
      <c r="D244" s="10" t="str">
        <f>IFERROR(__xludf.DUMMYFUNCTION("PROPER(REGEXREPLACE(TRIM(C244),""\s+"","" ""))"),"Ken Davis")</f>
        <v>Ken Davis</v>
      </c>
      <c r="E244" s="2">
        <f>IFERROR(__xludf.DUMMYFUNCTION("IF(LEN(D244:D701),
  COUNTA(SPLIT(D244:D701,"" "")),
 """")"),2.0)</f>
        <v>2</v>
      </c>
      <c r="F244" s="9" t="str">
        <f t="shared" si="107"/>
        <v>✅</v>
      </c>
      <c r="G244" s="2" t="str">
        <f>IFERROR(__xludf.DUMMYFUNCTION("REGEXEXTRACT(PROPER(SUBSTITUTE(TRIM(I244),""."","" "")),""^[^@]+"")"),"Ken Davis")</f>
        <v>Ken Davis</v>
      </c>
      <c r="H244" s="10" t="str">
        <f t="shared" si="108"/>
        <v>ken.davis@yahoo.com</v>
      </c>
      <c r="I244" s="2" t="s">
        <v>982</v>
      </c>
      <c r="J244" s="9" t="str">
        <f>IFERROR(__xludf.DUMMYFUNCTION("IF(REGEXMATCH(TRIM(I244),""^[A-Za-z0-9._%+-]+@[A-Za-z0-9.-]+\.[A-Za-z]{2,}$""),""✅ Valid"",""❌ Invalid"")"),"✅ Valid")</f>
        <v>✅ Valid</v>
      </c>
      <c r="K244" s="11">
        <v>3.364428832E9</v>
      </c>
      <c r="L244" s="2" t="str">
        <f>IFERROR(__xludf.DUMMYFUNCTION("IF(OR(K244=""N/A"", K244=""missing"", K244=""none""), """",
 REGEXREPLACE(
  SUBSTITUTE(SUBSTITUTE(SUBSTITUTE(TO_TEXT(K244), CHAR(160),""""), UNICHAR(8239),""""), UNICHAR(8201),""""),""[+\-/(): )]"", """"))"),"3364428832")</f>
        <v>3364428832</v>
      </c>
      <c r="M244" s="2" t="str">
        <f>IFERROR(__xludf.DUMMYFUNCTION("IF(L244="""","""", REGEXEXTRACT(REGEXREPLACE(L244,""x"", """"), ""[0-9]+""))"),"3364428832")</f>
        <v>3364428832</v>
      </c>
      <c r="N244" s="2" t="str">
        <f t="shared" ref="N244:N245" si="112">IF(LEFT(M244,2)="33", RIGHT(M244,LEN(M244)-2),M244)</f>
        <v>64428832</v>
      </c>
      <c r="O244" s="2" t="b">
        <f>IFERROR(__xludf.DUMMYFUNCTION("REGEXMATCH(TO_TEXT(N244), ""^0[67]"")"),FALSE)</f>
        <v>0</v>
      </c>
      <c r="P244" s="2">
        <f t="shared" si="110"/>
        <v>8</v>
      </c>
      <c r="Q244" s="9" t="str">
        <f t="shared" ref="Q244:Q246" si="113">IF(AND(O244=TRUE, P244=9), "✅ VALID", "❌ INVALID")</f>
        <v>❌ INVALID</v>
      </c>
      <c r="R244" s="10" t="s">
        <v>58</v>
      </c>
      <c r="S244" s="12">
        <v>45138.0</v>
      </c>
      <c r="T244" s="2" t="str">
        <f>IFERROR(__xludf.DUMMYFUNCTION("IF(ISNUMBER(S244),TEXT(S244,""yyyy-MM-dd""),REGEXREPLACE(REGEXREPLACE(TO_TEXT(S244),""[^0-9a-zA-Z]+"",""-""),""[^0-9]*$"",""""))"),"2023-07-31")</f>
        <v>2023-07-31</v>
      </c>
      <c r="U244" s="2" t="s">
        <v>7736</v>
      </c>
      <c r="Y244" s="10" t="s">
        <v>7736</v>
      </c>
    </row>
    <row r="245" ht="15.75" customHeight="1">
      <c r="A245" s="2" t="s">
        <v>4082</v>
      </c>
      <c r="B245" s="9" t="s">
        <v>7597</v>
      </c>
      <c r="C245" s="2" t="s">
        <v>1794</v>
      </c>
      <c r="D245" s="10" t="str">
        <f>IFERROR(__xludf.DUMMYFUNCTION("PROPER(REGEXREPLACE(TRIM(C245),""\s+"","" ""))"),"Uma Lee")</f>
        <v>Uma Lee</v>
      </c>
      <c r="E245" s="2">
        <f>IFERROR(__xludf.DUMMYFUNCTION("IF(LEN(D245:D701),
  COUNTA(SPLIT(D245:D701,"" "")),
 """")"),2.0)</f>
        <v>2</v>
      </c>
      <c r="F245" s="9" t="str">
        <f t="shared" si="107"/>
        <v>✅</v>
      </c>
      <c r="G245" s="2" t="str">
        <f>IFERROR(__xludf.DUMMYFUNCTION("REGEXEXTRACT(PROPER(SUBSTITUTE(TRIM(I245),""."","" "")),""^[^@]+"")"),"Uma Lee")</f>
        <v>Uma Lee</v>
      </c>
      <c r="H245" s="10" t="str">
        <f t="shared" si="108"/>
        <v>uma.lee@gmail.ocm</v>
      </c>
      <c r="I245" s="2" t="s">
        <v>1795</v>
      </c>
      <c r="J245" s="9" t="str">
        <f>IFERROR(__xludf.DUMMYFUNCTION("IF(REGEXMATCH(TRIM(I245),""^[A-Za-z0-9._%+-]+@[A-Za-z0-9.-]+\.[A-Za-z]{2,}$""),""✅ Valid"",""❌ Invalid"")"),"✅ Valid")</f>
        <v>✅ Valid</v>
      </c>
      <c r="K245" s="11">
        <v>3.56404967E8</v>
      </c>
      <c r="L245" s="2" t="str">
        <f>IFERROR(__xludf.DUMMYFUNCTION("IF(OR(K245=""N/A"", K245=""missing"", K245=""none""), """",
 REGEXREPLACE(
  SUBSTITUTE(SUBSTITUTE(SUBSTITUTE(TO_TEXT(K245), CHAR(160),""""), UNICHAR(8239),""""), UNICHAR(8201),""""),""[+\-/(): )]"", """"))"),"356404967")</f>
        <v>356404967</v>
      </c>
      <c r="M245" s="2" t="str">
        <f>IFERROR(__xludf.DUMMYFUNCTION("IF(L245="""","""", REGEXEXTRACT(REGEXREPLACE(L245,""x"", """"), ""[0-9]+""))"),"356404967")</f>
        <v>356404967</v>
      </c>
      <c r="N245" s="2" t="str">
        <f t="shared" si="112"/>
        <v>356404967</v>
      </c>
      <c r="O245" s="2" t="b">
        <f>IFERROR(__xludf.DUMMYFUNCTION("REGEXMATCH(TO_TEXT(N245), ""^0[67]"")"),FALSE)</f>
        <v>0</v>
      </c>
      <c r="P245" s="2">
        <f t="shared" si="110"/>
        <v>9</v>
      </c>
      <c r="Q245" s="9" t="str">
        <f t="shared" si="113"/>
        <v>❌ INVALID</v>
      </c>
      <c r="R245" s="10" t="s">
        <v>58</v>
      </c>
      <c r="S245" s="12">
        <v>45138.0</v>
      </c>
      <c r="T245" s="2" t="str">
        <f>IFERROR(__xludf.DUMMYFUNCTION("IF(ISNUMBER(S245),TEXT(S245,""yyyy-MM-dd""),REGEXREPLACE(REGEXREPLACE(TO_TEXT(S245),""[^0-9a-zA-Z]+"",""-""),""[^0-9]*$"",""""))"),"2023-07-31")</f>
        <v>2023-07-31</v>
      </c>
      <c r="U245" s="2" t="s">
        <v>7736</v>
      </c>
      <c r="Y245" s="10" t="s">
        <v>7736</v>
      </c>
    </row>
    <row r="246" ht="15.75" customHeight="1">
      <c r="A246" s="2" t="s">
        <v>6418</v>
      </c>
      <c r="B246" s="9" t="s">
        <v>7597</v>
      </c>
      <c r="C246" s="2" t="s">
        <v>1519</v>
      </c>
      <c r="D246" s="10" t="str">
        <f>IFERROR(__xludf.DUMMYFUNCTION("PROPER(REGEXREPLACE(TRIM(C246),""\s+"","" ""))"),"Ken Kowalski")</f>
        <v>Ken Kowalski</v>
      </c>
      <c r="E246" s="2">
        <f>IFERROR(__xludf.DUMMYFUNCTION("IF(LEN(D246:D701),
  COUNTA(SPLIT(D246:D701,"" "")),
 """")"),2.0)</f>
        <v>2</v>
      </c>
      <c r="F246" s="9" t="str">
        <f t="shared" si="107"/>
        <v>✅</v>
      </c>
      <c r="G246" s="2" t="str">
        <f>IFERROR(__xludf.DUMMYFUNCTION("REGEXEXTRACT(PROPER(SUBSTITUTE(TRIM(I246),""."","" "")),""^[^@]+"")"),"Ken Kowalski")</f>
        <v>Ken Kowalski</v>
      </c>
      <c r="H246" s="10" t="str">
        <f t="shared" si="108"/>
        <v>ken.kowalski@outlook.com</v>
      </c>
      <c r="I246" s="2" t="s">
        <v>1520</v>
      </c>
      <c r="J246" s="9" t="str">
        <f>IFERROR(__xludf.DUMMYFUNCTION("IF(REGEXMATCH(TRIM(I246),""^[A-Za-z0-9._%+-]+@[A-Za-z0-9.-]+\.[A-Za-z]{2,}$""),""✅ Valid"",""❌ Invalid"")"),"✅ Valid")</f>
        <v>✅ Valid</v>
      </c>
      <c r="K246" s="11">
        <v>3.9510578E7</v>
      </c>
      <c r="L246" s="2" t="str">
        <f>IFERROR(__xludf.DUMMYFUNCTION("IF(OR(K246=""N/A"", K246=""missing"", K246=""none""), """",
 REGEXREPLACE(
  SUBSTITUTE(SUBSTITUTE(SUBSTITUTE(TO_TEXT(K246), CHAR(160),""""), UNICHAR(8239),""""), UNICHAR(8201),""""),""[+\-/(): )]"", """"))"),"39510578")</f>
        <v>39510578</v>
      </c>
      <c r="M246" s="2" t="str">
        <f>IFERROR(__xludf.DUMMYFUNCTION("IF(L246="""","""", REGEXEXTRACT(REGEXREPLACE(L246,""x"", """"), ""[0-9]+""))"),"39510578")</f>
        <v>39510578</v>
      </c>
      <c r="N246" s="2" t="str">
        <f>IF(LEFT(M246,2)="34", RIGHT(M246,LEN(M246)-2),M246)</f>
        <v>39510578</v>
      </c>
      <c r="O246" s="2" t="b">
        <f>IFERROR(__xludf.DUMMYFUNCTION("REGEXMATCH(TO_TEXT(N246), ""^[67]"")"),FALSE)</f>
        <v>0</v>
      </c>
      <c r="P246" s="2">
        <f t="shared" si="110"/>
        <v>8</v>
      </c>
      <c r="Q246" s="9" t="str">
        <f t="shared" si="113"/>
        <v>❌ INVALID</v>
      </c>
      <c r="R246" s="10" t="s">
        <v>139</v>
      </c>
      <c r="S246" s="12" t="s">
        <v>6275</v>
      </c>
      <c r="T246" s="2" t="str">
        <f>IFERROR(__xludf.DUMMYFUNCTION("IF(ISNUMBER(S246),TEXT(S246,""yyyy-MM-dd""),REGEXREPLACE(REGEXREPLACE(TO_TEXT(S246),""[^0-9a-zA-Z]+"",""-""),""[^0-9]*$"",""""))"),"19-04-2025")</f>
        <v>19-04-2025</v>
      </c>
      <c r="U246" s="2" t="s">
        <v>5012</v>
      </c>
      <c r="Y246" s="10" t="s">
        <v>5012</v>
      </c>
    </row>
    <row r="247" ht="15.75" hidden="1" customHeight="1">
      <c r="A247" s="2" t="s">
        <v>2507</v>
      </c>
      <c r="B247" s="9" t="s">
        <v>7597</v>
      </c>
      <c r="C247" s="2" t="s">
        <v>901</v>
      </c>
      <c r="D247" s="2" t="str">
        <f>IFERROR(__xludf.DUMMYFUNCTION("PROPER(REGEXREPLACE(TRIM(C247),""\s+"","" ""))"),"Qi Kowalski")</f>
        <v>Qi Kowalski</v>
      </c>
      <c r="E247" s="2">
        <f>IFERROR(__xludf.DUMMYFUNCTION("IF(LEN(D247:D701),
  COUNTA(SPLIT(D247:D701,"" "")),
 """")"),2.0)</f>
        <v>2</v>
      </c>
      <c r="R247" s="10" t="s">
        <v>139</v>
      </c>
      <c r="S247" s="2" t="s">
        <v>6275</v>
      </c>
    </row>
    <row r="248" ht="15.75" hidden="1" customHeight="1">
      <c r="A248" s="2" t="s">
        <v>2186</v>
      </c>
      <c r="B248" s="9" t="s">
        <v>7597</v>
      </c>
      <c r="C248" s="2" t="s">
        <v>6507</v>
      </c>
      <c r="D248" s="2" t="str">
        <f>IFERROR(__xludf.DUMMYFUNCTION("PROPER(REGEXREPLACE(TRIM(C248),""\s+"","" ""))"),"Wiktor Novak")</f>
        <v>Wiktor Novak</v>
      </c>
      <c r="E248" s="2">
        <f>IFERROR(__xludf.DUMMYFUNCTION("IF(LEN(D248:D701),
  COUNTA(SPLIT(D248:D701,"" "")),
 """")"),2.0)</f>
        <v>2</v>
      </c>
      <c r="K248" s="2" t="s">
        <v>1521</v>
      </c>
      <c r="R248" s="10" t="s">
        <v>58</v>
      </c>
      <c r="S248" s="2" t="s">
        <v>6948</v>
      </c>
    </row>
    <row r="249" ht="15.75" customHeight="1">
      <c r="A249" s="2" t="s">
        <v>7222</v>
      </c>
      <c r="B249" s="9" t="s">
        <v>7597</v>
      </c>
      <c r="C249" s="2" t="s">
        <v>6726</v>
      </c>
      <c r="D249" s="10" t="str">
        <f>IFERROR(__xludf.DUMMYFUNCTION("PROPER(REGEXREPLACE(TRIM(C249),""\s+"","" ""))"),"Vlad Kowalczyk")</f>
        <v>Vlad Kowalczyk</v>
      </c>
      <c r="E249" s="2">
        <f>IFERROR(__xludf.DUMMYFUNCTION("IF(LEN(D249:D701),
  COUNTA(SPLIT(D249:D701,"" "")),
 """")"),2.0)</f>
        <v>2</v>
      </c>
      <c r="F249" s="9" t="str">
        <f t="shared" ref="F249:F340" si="114">IF(D249=G249,"✅","❌")</f>
        <v>✅</v>
      </c>
      <c r="G249" s="2" t="str">
        <f>IFERROR(__xludf.DUMMYFUNCTION("REGEXEXTRACT(PROPER(SUBSTITUTE(TRIM(I249),""."","" "")),""^[^@]+"")"),"Vlad Kowalczyk")</f>
        <v>Vlad Kowalczyk</v>
      </c>
      <c r="H249" s="10" t="str">
        <f t="shared" ref="H249:H340" si="115">LOWER(TRIM(I249))</f>
        <v>vlad.kowalczyk@outlook.com</v>
      </c>
      <c r="I249" s="2" t="s">
        <v>6727</v>
      </c>
      <c r="J249" s="9" t="str">
        <f>IFERROR(__xludf.DUMMYFUNCTION("IF(REGEXMATCH(TRIM(I249),""^[A-Za-z0-9._%+-]+@[A-Za-z0-9.-]+\.[A-Za-z]{2,}$""),""✅ Valid"",""❌ Invalid"")"),"✅ Valid")</f>
        <v>✅ Valid</v>
      </c>
      <c r="K249" s="13" t="s">
        <v>7971</v>
      </c>
      <c r="L249" s="2" t="str">
        <f>IFERROR(__xludf.DUMMYFUNCTION("IF(OR(K249=""N/A"", K249=""missing"", K249=""none""), """",
 REGEXREPLACE(
  SUBSTITUTE(SUBSTITUTE(SUBSTITUTE(TO_TEXT(K249), CHAR(160),""""), UNICHAR(8239),""""), UNICHAR(8201),""""),""[+\-/(): )]"", """"))"),"35395465577ext799")</f>
        <v>35395465577ext799</v>
      </c>
      <c r="M249" s="2" t="str">
        <f>IFERROR(__xludf.DUMMYFUNCTION("IF(L249="""","""", REGEXEXTRACT(REGEXREPLACE(L249,""x"", """"), ""[0-9]+""))"),"35395465577")</f>
        <v>35395465577</v>
      </c>
      <c r="N249" s="2" t="str">
        <f>IF(LEFT(M249,3)="353", RIGHT(M249,LEN(M249)-3),M249)</f>
        <v>95465577</v>
      </c>
      <c r="O249" s="2" t="b">
        <f>IFERROR(__xludf.DUMMYFUNCTION("REGEXMATCH(TO_TEXT(N249), ""^0(83|85|86|87|89)"")"),FALSE)</f>
        <v>0</v>
      </c>
      <c r="P249" s="2">
        <f t="shared" ref="P249:P253" si="116">LEN(N249)</f>
        <v>8</v>
      </c>
      <c r="Q249" s="9" t="str">
        <f>IF(AND(O249=TRUE, P246=10), "✅ VALID", "❌ INVALID")</f>
        <v>❌ INVALID</v>
      </c>
      <c r="R249" s="10" t="s">
        <v>1177</v>
      </c>
      <c r="S249" s="12">
        <v>45585.0</v>
      </c>
      <c r="T249" s="2" t="str">
        <f>IFERROR(__xludf.DUMMYFUNCTION("IF(ISNUMBER(S249),TEXT(S249,""yyyy-MM-dd""),REGEXREPLACE(REGEXREPLACE(TO_TEXT(S249),""[^0-9a-zA-Z]+"",""-""),""[^0-9]*$"",""""))"),"2024-10-20")</f>
        <v>2024-10-20</v>
      </c>
      <c r="U249" s="2" t="s">
        <v>7972</v>
      </c>
      <c r="Y249" s="10" t="s">
        <v>7972</v>
      </c>
    </row>
    <row r="250" ht="15.75" customHeight="1">
      <c r="A250" s="2" t="s">
        <v>4033</v>
      </c>
      <c r="B250" s="9" t="s">
        <v>7597</v>
      </c>
      <c r="C250" s="2" t="s">
        <v>1299</v>
      </c>
      <c r="D250" s="10" t="str">
        <f>IFERROR(__xludf.DUMMYFUNCTION("PROPER(REGEXREPLACE(TRIM(C250),""\s+"","" ""))"),"Qi Johnson")</f>
        <v>Qi Johnson</v>
      </c>
      <c r="E250" s="2">
        <f>IFERROR(__xludf.DUMMYFUNCTION("IF(LEN(D250:D701),
  COUNTA(SPLIT(D250:D701,"" "")),
 """")"),2.0)</f>
        <v>2</v>
      </c>
      <c r="F250" s="9" t="str">
        <f t="shared" si="114"/>
        <v>✅</v>
      </c>
      <c r="G250" s="2" t="str">
        <f>IFERROR(__xludf.DUMMYFUNCTION("REGEXEXTRACT(PROPER(SUBSTITUTE(TRIM(I250),""."","" "")),""^[^@]+"")"),"Qi Johnson")</f>
        <v>Qi Johnson</v>
      </c>
      <c r="H250" s="10" t="str">
        <f t="shared" si="115"/>
        <v>qi.johnson@outlook.com</v>
      </c>
      <c r="I250" s="2" t="s">
        <v>1300</v>
      </c>
      <c r="J250" s="9" t="str">
        <f>IFERROR(__xludf.DUMMYFUNCTION("IF(REGEXMATCH(TRIM(I250),""^[A-Za-z0-9._%+-]+@[A-Za-z0-9.-]+\.[A-Za-z]{2,}$""),""✅ Valid"",""❌ Invalid"")"),"✅ Valid")</f>
        <v>✅ Valid</v>
      </c>
      <c r="K250" s="13" t="s">
        <v>7629</v>
      </c>
      <c r="L250" s="2" t="str">
        <f>IFERROR(__xludf.DUMMYFUNCTION("IF(OR(K250=""N/A"", K250=""missing"", K250=""none""), """",
 REGEXREPLACE(
  SUBSTITUTE(SUBSTITUTE(SUBSTITUTE(TO_TEXT(K250), CHAR(160),""""), UNICHAR(8239),""""), UNICHAR(8201),""""),""[+\-/(): )]"", """"))"),"")</f>
        <v/>
      </c>
      <c r="M250" s="2" t="str">
        <f>IFERROR(__xludf.DUMMYFUNCTION("IF(L250="""","""", REGEXEXTRACT(REGEXREPLACE(L250,""x"", """"), ""[0-9]+""))"),"")</f>
        <v/>
      </c>
      <c r="N250" s="2" t="str">
        <f>IF(LEFT(M250,2)="34", RIGHT(M250,LEN(M250)-2),M250)</f>
        <v/>
      </c>
      <c r="O250" s="2" t="b">
        <f>IFERROR(__xludf.DUMMYFUNCTION("REGEXMATCH(TO_TEXT(N250), ""^[67]"")"),FALSE)</f>
        <v>0</v>
      </c>
      <c r="P250" s="2">
        <f t="shared" si="116"/>
        <v>0</v>
      </c>
      <c r="Q250" s="9" t="str">
        <f>IF(AND(O250=TRUE, P250=9), "✅ VALID", "❌ INVALID")</f>
        <v>❌ INVALID</v>
      </c>
      <c r="R250" s="10" t="s">
        <v>139</v>
      </c>
      <c r="S250" s="12">
        <v>45006.0</v>
      </c>
      <c r="T250" s="2" t="str">
        <f>IFERROR(__xludf.DUMMYFUNCTION("IF(ISNUMBER(S250),TEXT(S250,""yyyy-MM-dd""),REGEXREPLACE(REGEXREPLACE(TO_TEXT(S250),""[^0-9a-zA-Z]+"",""-""),""[^0-9]*$"",""""))"),"2023-03-21")</f>
        <v>2023-03-21</v>
      </c>
      <c r="U250" s="2" t="s">
        <v>7404</v>
      </c>
      <c r="Y250" s="10" t="s">
        <v>7404</v>
      </c>
    </row>
    <row r="251" ht="15.75" customHeight="1">
      <c r="A251" s="2" t="s">
        <v>6276</v>
      </c>
      <c r="B251" s="9" t="s">
        <v>7597</v>
      </c>
      <c r="C251" s="2" t="s">
        <v>658</v>
      </c>
      <c r="D251" s="10" t="str">
        <f>IFERROR(__xludf.DUMMYFUNCTION("PROPER(REGEXREPLACE(TRIM(C251),""\s+"","" ""))"),"Igor Young")</f>
        <v>Igor Young</v>
      </c>
      <c r="E251" s="2">
        <f>IFERROR(__xludf.DUMMYFUNCTION("IF(LEN(D251:D701),
  COUNTA(SPLIT(D251:D701,"" "")),
 """")"),2.0)</f>
        <v>2</v>
      </c>
      <c r="F251" s="9" t="str">
        <f t="shared" si="114"/>
        <v>✅</v>
      </c>
      <c r="G251" s="2" t="str">
        <f>IFERROR(__xludf.DUMMYFUNCTION("REGEXEXTRACT(PROPER(SUBSTITUTE(TRIM(I251),""."","" "")),""^[^@]+"")"),"Igor Young")</f>
        <v>Igor Young</v>
      </c>
      <c r="H251" s="10" t="str">
        <f t="shared" si="115"/>
        <v>igor.young@shop.io</v>
      </c>
      <c r="I251" s="2" t="s">
        <v>5205</v>
      </c>
      <c r="J251" s="9" t="str">
        <f>IFERROR(__xludf.DUMMYFUNCTION("IF(REGEXMATCH(TRIM(I251),""^[A-Za-z0-9._%+-]+@[A-Za-z0-9.-]+\.[A-Za-z]{2,}$""),""✅ Valid"",""❌ Invalid"")"),"✅ Valid")</f>
        <v>✅ Valid</v>
      </c>
      <c r="K251" s="13" t="s">
        <v>7973</v>
      </c>
      <c r="L251" s="2" t="str">
        <f>IFERROR(__xludf.DUMMYFUNCTION("IF(OR(K251=""N/A"", K251=""missing"", K251=""none""), """",
 REGEXREPLACE(
  SUBSTITUTE(SUBSTITUTE(SUBSTITUTE(TO_TEXT(K251), CHAR(160),""""), UNICHAR(8239),""""), UNICHAR(8201),""""),""[+\-/(): )]"", """"))"),"597x623061")</f>
        <v>597x623061</v>
      </c>
      <c r="M251" s="2" t="str">
        <f>IFERROR(__xludf.DUMMYFUNCTION("IF(L251="""","""", REGEXEXTRACT(REGEXREPLACE(L251,""x"", """"), ""[0-9]+""))"),"597623061")</f>
        <v>597623061</v>
      </c>
      <c r="N251" s="2" t="str">
        <f>IF(LEFT(M251,2)="44", RIGHT(M251,LEN(M251)-2),M251)</f>
        <v>597623061</v>
      </c>
      <c r="O251" s="2" t="b">
        <f>IFERROR(__xludf.DUMMYFUNCTION("REGEXMATCH(TO_TEXT(N251), ""^07[1-57-9]"")"),FALSE)</f>
        <v>0</v>
      </c>
      <c r="P251" s="2">
        <f t="shared" si="116"/>
        <v>9</v>
      </c>
      <c r="Q251" s="9" t="str">
        <f>IF(AND(O251=TRUE, P251=11), "✅ VALID", "❌ INVALID")</f>
        <v>❌ INVALID</v>
      </c>
      <c r="R251" s="10" t="s">
        <v>114</v>
      </c>
      <c r="S251" s="12">
        <v>45107.0</v>
      </c>
      <c r="T251" s="2" t="str">
        <f>IFERROR(__xludf.DUMMYFUNCTION("IF(ISNUMBER(S251),TEXT(S251,""yyyy-MM-dd""),REGEXREPLACE(REGEXREPLACE(TO_TEXT(S251),""[^0-9a-zA-Z]+"",""-""),""[^0-9]*$"",""""))"),"2023-06-30")</f>
        <v>2023-06-30</v>
      </c>
      <c r="U251" s="2" t="s">
        <v>6729</v>
      </c>
      <c r="Y251" s="10" t="s">
        <v>6729</v>
      </c>
    </row>
    <row r="252" ht="15.75" customHeight="1">
      <c r="A252" s="2" t="s">
        <v>4507</v>
      </c>
      <c r="B252" s="9" t="s">
        <v>7597</v>
      </c>
      <c r="C252" s="2" t="s">
        <v>4083</v>
      </c>
      <c r="D252" s="10" t="str">
        <f>IFERROR(__xludf.DUMMYFUNCTION("PROPER(REGEXREPLACE(TRIM(C252),""\s+"","" ""))"),"Ethan Khan")</f>
        <v>Ethan Khan</v>
      </c>
      <c r="E252" s="2">
        <f>IFERROR(__xludf.DUMMYFUNCTION("IF(LEN(D252:D701),
  COUNTA(SPLIT(D252:D701,"" "")),
 """")"),2.0)</f>
        <v>2</v>
      </c>
      <c r="F252" s="9" t="str">
        <f t="shared" si="114"/>
        <v>✅</v>
      </c>
      <c r="G252" s="2" t="str">
        <f>IFERROR(__xludf.DUMMYFUNCTION("REGEXEXTRACT(PROPER(SUBSTITUTE(TRIM(I252),""."","" "")),""^[^@]+"")"),"Ethan Khan")</f>
        <v>Ethan Khan</v>
      </c>
      <c r="H252" s="10" t="str">
        <f t="shared" si="115"/>
        <v>ethan.khan@yahoo.com</v>
      </c>
      <c r="I252" s="2" t="s">
        <v>4084</v>
      </c>
      <c r="J252" s="9" t="str">
        <f>IFERROR(__xludf.DUMMYFUNCTION("IF(REGEXMATCH(TRIM(I252),""^[A-Za-z0-9._%+-]+@[A-Za-z0-9.-]+\.[A-Za-z]{2,}$""),""✅ Valid"",""❌ Invalid"")"),"✅ Valid")</f>
        <v>✅ Valid</v>
      </c>
      <c r="K252" s="13" t="s">
        <v>7974</v>
      </c>
      <c r="L252" s="2" t="str">
        <f>IFERROR(__xludf.DUMMYFUNCTION("IF(OR(K252=""N/A"", K252=""missing"", K252=""none""), """",
 REGEXREPLACE(
  SUBSTITUTE(SUBSTITUTE(SUBSTITUTE(TO_TEXT(K252), CHAR(160),""""), UNICHAR(8239),""""), UNICHAR(8201),""""),""[+\-/(): )]"", """"))"),"4992222110711")</f>
        <v>4992222110711</v>
      </c>
      <c r="M252" s="2" t="str">
        <f>IFERROR(__xludf.DUMMYFUNCTION("IF(L252="""","""", REGEXEXTRACT(REGEXREPLACE(L252,""x"", """"), ""[0-9]+""))"),"4992222110711")</f>
        <v>4992222110711</v>
      </c>
      <c r="N252" s="2" t="str">
        <f t="shared" ref="N252:N253" si="117">IF(LEFT(M252,2)="49", RIGHT(M252,LEN(M252)-2),M252)</f>
        <v>92222110711</v>
      </c>
      <c r="O252" s="2" t="b">
        <f>IFERROR(__xludf.DUMMYFUNCTION("REGEXMATCH(TO_TEXT(N252), ""^0(15|16|17)"")"),FALSE)</f>
        <v>0</v>
      </c>
      <c r="P252" s="2">
        <f t="shared" si="116"/>
        <v>11</v>
      </c>
      <c r="Q252" s="9" t="str">
        <f t="shared" ref="Q252:Q253" si="118">IF(AND(O252=TRUE,OR(P252=10, P252=11)), "✅ VALID", "❌ INVALID")</f>
        <v>❌ INVALID</v>
      </c>
      <c r="R252" s="10" t="s">
        <v>459</v>
      </c>
      <c r="S252" s="12">
        <v>45920.0</v>
      </c>
      <c r="T252" s="2" t="str">
        <f>IFERROR(__xludf.DUMMYFUNCTION("IF(ISNUMBER(S252),TEXT(S252,""yyyy-MM-dd""),REGEXREPLACE(REGEXREPLACE(TO_TEXT(S252),""[^0-9a-zA-Z]+"",""-""),""[^0-9]*$"",""""))"),"2025-09-20")</f>
        <v>2025-09-20</v>
      </c>
      <c r="U252" s="2" t="s">
        <v>7975</v>
      </c>
      <c r="Y252" s="10" t="s">
        <v>7975</v>
      </c>
    </row>
    <row r="253" ht="15.75" customHeight="1">
      <c r="A253" s="2" t="s">
        <v>5638</v>
      </c>
      <c r="B253" s="9" t="s">
        <v>7597</v>
      </c>
      <c r="C253" s="2" t="s">
        <v>6419</v>
      </c>
      <c r="D253" s="10" t="str">
        <f>IFERROR(__xludf.DUMMYFUNCTION("PROPER(REGEXREPLACE(TRIM(C253),""\s+"","" ""))"),"Uma Muller")</f>
        <v>Uma Muller</v>
      </c>
      <c r="E253" s="2">
        <f>IFERROR(__xludf.DUMMYFUNCTION("IF(LEN(D253:D701),
  COUNTA(SPLIT(D253:D701,"" "")),
 """")"),2.0)</f>
        <v>2</v>
      </c>
      <c r="F253" s="9" t="str">
        <f t="shared" si="114"/>
        <v>✅</v>
      </c>
      <c r="G253" s="2" t="str">
        <f>IFERROR(__xludf.DUMMYFUNCTION("REGEXEXTRACT(PROPER(SUBSTITUTE(TRIM(I253),""."","" "")),""^[^@]+"")"),"Uma Muller")</f>
        <v>Uma Muller</v>
      </c>
      <c r="H253" s="10" t="str">
        <f t="shared" si="115"/>
        <v>uma.muller@outlook.com</v>
      </c>
      <c r="I253" s="2" t="s">
        <v>6420</v>
      </c>
      <c r="J253" s="9" t="str">
        <f>IFERROR(__xludf.DUMMYFUNCTION("IF(REGEXMATCH(TRIM(I253),""^[A-Za-z0-9._%+-]+@[A-Za-z0-9.-]+\.[A-Za-z]{2,}$""),""✅ Valid"",""❌ Invalid"")"),"✅ Valid")</f>
        <v>✅ Valid</v>
      </c>
      <c r="K253" s="13" t="s">
        <v>7976</v>
      </c>
      <c r="L253" s="2" t="str">
        <f>IFERROR(__xludf.DUMMYFUNCTION("IF(OR(K253=""N/A"", K253=""missing"", K253=""none""), """",
 REGEXREPLACE(
  SUBSTITUTE(SUBSTITUTE(SUBSTITUTE(TO_TEXT(K253), CHAR(160),""""), UNICHAR(8239),""""), UNICHAR(8201),""""),""[+\-/(): )]"", """"))"),"497277845542")</f>
        <v>497277845542</v>
      </c>
      <c r="M253" s="2" t="str">
        <f>IFERROR(__xludf.DUMMYFUNCTION("IF(L253="""","""", REGEXEXTRACT(REGEXREPLACE(L253,""x"", """"), ""[0-9]+""))"),"497277845542")</f>
        <v>497277845542</v>
      </c>
      <c r="N253" s="2" t="str">
        <f t="shared" si="117"/>
        <v>7277845542</v>
      </c>
      <c r="O253" s="2" t="b">
        <f>IFERROR(__xludf.DUMMYFUNCTION("REGEXMATCH(TO_TEXT(N253), ""^0(15|16|17)"")"),FALSE)</f>
        <v>0</v>
      </c>
      <c r="P253" s="2">
        <f t="shared" si="116"/>
        <v>10</v>
      </c>
      <c r="Q253" s="9" t="str">
        <f t="shared" si="118"/>
        <v>❌ INVALID</v>
      </c>
      <c r="R253" s="10" t="s">
        <v>459</v>
      </c>
      <c r="S253" s="12">
        <v>44985.0</v>
      </c>
      <c r="T253" s="2" t="str">
        <f>IFERROR(__xludf.DUMMYFUNCTION("IF(ISNUMBER(S253),TEXT(S253,""yyyy-MM-dd""),REGEXREPLACE(REGEXREPLACE(TO_TEXT(S253),""[^0-9a-zA-Z]+"",""-""),""[^0-9]*$"",""""))"),"2023-02-28")</f>
        <v>2023-02-28</v>
      </c>
      <c r="U253" s="2" t="s">
        <v>7977</v>
      </c>
      <c r="Y253" s="10" t="s">
        <v>7977</v>
      </c>
    </row>
    <row r="254" ht="15.75" customHeight="1">
      <c r="A254" s="2" t="s">
        <v>1466</v>
      </c>
      <c r="B254" s="9" t="s">
        <v>7597</v>
      </c>
      <c r="C254" s="2" t="s">
        <v>2508</v>
      </c>
      <c r="D254" s="10" t="str">
        <f>IFERROR(__xludf.DUMMYFUNCTION("PROPER(REGEXREPLACE(TRIM(C254),""\s+"","" ""))"),"Marek King")</f>
        <v>Marek King</v>
      </c>
      <c r="E254" s="2">
        <f>IFERROR(__xludf.DUMMYFUNCTION("IF(LEN(D254:D701),
  COUNTA(SPLIT(D254:D701,"" "")),
 """")"),2.0)</f>
        <v>2</v>
      </c>
      <c r="F254" s="9" t="str">
        <f t="shared" si="114"/>
        <v>✅</v>
      </c>
      <c r="G254" s="2" t="str">
        <f>IFERROR(__xludf.DUMMYFUNCTION("REGEXEXTRACT(PROPER(SUBSTITUTE(TRIM(I254),""."","" "")),""^[^@]+"")"),"Marek King")</f>
        <v>Marek King</v>
      </c>
      <c r="H254" s="10" t="str">
        <f t="shared" si="115"/>
        <v>marek.king@company.co.uk</v>
      </c>
      <c r="I254" s="2" t="s">
        <v>2509</v>
      </c>
      <c r="J254" s="9" t="str">
        <f>IFERROR(__xludf.DUMMYFUNCTION("IF(REGEXMATCH(TRIM(I254),""^[A-Za-z0-9._%+-]+@[A-Za-z0-9.-]+\.[A-Za-z]{2,}$""),""✅ Valid"",""❌ Invalid"")"),"✅ Valid")</f>
        <v>✅ Valid</v>
      </c>
      <c r="K254" s="17" t="s">
        <v>7978</v>
      </c>
      <c r="L254" s="2" t="str">
        <f>IFERROR(__xludf.DUMMYFUNCTION("IF(K254=""N/A"", """",
 REGEXREPLACE(
  SUBSTITUTE(SUBSTITUTE(SUBSTITUTE(TO_TEXT(K254), CHAR(160),""""), UNICHAR(8239),""""), UNICHAR(8201),""""),""[+\-/(): )]"", """"))"),"4811899089")</f>
        <v>4811899089</v>
      </c>
      <c r="M254" s="2" t="str">
        <f>IFERROR(__xludf.DUMMYFUNCTION("IF(L254="""","""", REGEXEXTRACT(REGEXREPLACE(L254,""x"", """"), ""[0-9]+""))"),"4811899089")</f>
        <v>4811899089</v>
      </c>
      <c r="N254" s="2" t="str">
        <f>IF(LEFT(M254,2)="48", RIGHT(M254,LEN(M254)-2),M254)</f>
        <v>11899089</v>
      </c>
      <c r="O254" s="2" t="b">
        <f>IFERROR(__xludf.DUMMYFUNCTION("REGEXMATCH(TO_TEXT(N254), ""^(5[013679]|6[069]|7[2-9]|88)"")"),FALSE)</f>
        <v>0</v>
      </c>
      <c r="Q254" s="9" t="str">
        <f>IF(AND(O254=TRUE, P254=9), "✅ VALID", "❌ INVALID")</f>
        <v>❌ INVALID</v>
      </c>
      <c r="R254" s="10" t="s">
        <v>25</v>
      </c>
      <c r="S254" s="12">
        <v>45145.0</v>
      </c>
      <c r="T254" s="2" t="str">
        <f>IFERROR(__xludf.DUMMYFUNCTION("IF(ISNUMBER(S254),TEXT(S254,""yyyy-MM-dd""),REGEXREPLACE(REGEXREPLACE(TO_TEXT(S254),""[^0-9a-zA-Z]+"",""-""),""[^0-9]*$"",""""))"),"2023-08-07")</f>
        <v>2023-08-07</v>
      </c>
      <c r="U254" s="2" t="s">
        <v>7979</v>
      </c>
      <c r="Y254" s="10" t="s">
        <v>7979</v>
      </c>
    </row>
    <row r="255" ht="15.75" customHeight="1">
      <c r="A255" s="2" t="s">
        <v>2873</v>
      </c>
      <c r="B255" s="9" t="s">
        <v>7597</v>
      </c>
      <c r="C255" s="2" t="s">
        <v>2187</v>
      </c>
      <c r="D255" s="10" t="s">
        <v>4409</v>
      </c>
      <c r="E255" s="2">
        <f>IFERROR(__xludf.DUMMYFUNCTION("IF(LEN(D255:D701),
  COUNTA(SPLIT(D255:D701,"" "")),
 """")"),2.0)</f>
        <v>2</v>
      </c>
      <c r="F255" s="9" t="str">
        <f t="shared" si="114"/>
        <v>✅</v>
      </c>
      <c r="G255" s="2" t="s">
        <v>4409</v>
      </c>
      <c r="H255" s="10" t="str">
        <f t="shared" si="115"/>
        <v>ken.dubois@gmail.com</v>
      </c>
      <c r="I255" s="2" t="s">
        <v>2188</v>
      </c>
      <c r="J255" s="9" t="str">
        <f>IFERROR(__xludf.DUMMYFUNCTION("IF(REGEXMATCH(TRIM(I255),""^[A-Za-z0-9._%+-]+@[A-Za-z0-9.-]+\.[A-Za-z]{2,}$""),""✅ Valid"",""❌ Invalid"")"),"✅ Valid")</f>
        <v>✅ Valid</v>
      </c>
      <c r="K255" s="11">
        <v>5.85782249E8</v>
      </c>
      <c r="L255" s="2" t="str">
        <f>IFERROR(__xludf.DUMMYFUNCTION("IF(OR(K255=""N/A"", K255=""missing"", K255=""none""), """",
 REGEXREPLACE(
  SUBSTITUTE(SUBSTITUTE(SUBSTITUTE(TO_TEXT(K255), CHAR(160),""""), UNICHAR(8239),""""), UNICHAR(8201),""""),""[+\-/(): )]"", """"))"),"585782249")</f>
        <v>585782249</v>
      </c>
      <c r="M255" s="2" t="str">
        <f>IFERROR(__xludf.DUMMYFUNCTION("IF(L255="""","""", REGEXEXTRACT(REGEXREPLACE(L255,""x"", """"), ""[0-9]+""))"),"585782249")</f>
        <v>585782249</v>
      </c>
      <c r="N255" s="2" t="str">
        <f>IF(LEFT(M255,3)="353", RIGHT(M255,LEN(M255)-3),M255)</f>
        <v>585782249</v>
      </c>
      <c r="O255" s="2" t="b">
        <f>IFERROR(__xludf.DUMMYFUNCTION("REGEXMATCH(TO_TEXT(N255), ""^0(83|85|86|87|89)"")"),FALSE)</f>
        <v>0</v>
      </c>
      <c r="P255" s="2">
        <f>LEN(N255)</f>
        <v>9</v>
      </c>
      <c r="Q255" s="9" t="str">
        <f>IF(AND(O255=TRUE, P252=10), "✅ VALID", "❌ INVALID")</f>
        <v>❌ INVALID</v>
      </c>
      <c r="R255" s="10" t="s">
        <v>1177</v>
      </c>
      <c r="S255" s="12">
        <v>45089.0</v>
      </c>
      <c r="T255" s="2" t="str">
        <f>IFERROR(__xludf.DUMMYFUNCTION("IF(ISNUMBER(S255),TEXT(S255,""yyyy-MM-dd""),REGEXREPLACE(REGEXREPLACE(TO_TEXT(S255),""[^0-9a-zA-Z]+"",""-""),""[^0-9]*$"",""""))"),"2023-06-12")</f>
        <v>2023-06-12</v>
      </c>
      <c r="U255" s="2" t="s">
        <v>7980</v>
      </c>
      <c r="Y255" s="10" t="s">
        <v>7980</v>
      </c>
    </row>
    <row r="256" ht="15.75" customHeight="1">
      <c r="A256" s="2" t="s">
        <v>3279</v>
      </c>
      <c r="B256" s="9" t="s">
        <v>7597</v>
      </c>
      <c r="C256" s="2" t="s">
        <v>6061</v>
      </c>
      <c r="D256" s="10" t="str">
        <f>IFERROR(__xludf.DUMMYFUNCTION("PROPER(REGEXREPLACE(TRIM(C256),""\s+"","" ""))"),"Igor Muller")</f>
        <v>Igor Muller</v>
      </c>
      <c r="E256" s="2">
        <f>IFERROR(__xludf.DUMMYFUNCTION("IF(LEN(D256:D701),
  COUNTA(SPLIT(D256:D701,"" "")),
 """")"),2.0)</f>
        <v>2</v>
      </c>
      <c r="F256" s="9" t="str">
        <f t="shared" si="114"/>
        <v>✅</v>
      </c>
      <c r="G256" s="2" t="str">
        <f>IFERROR(__xludf.DUMMYFUNCTION("REGEXEXTRACT(PROPER(SUBSTITUTE(TRIM(I256),""."","" "")),""^[^@]+"")"),"Igor Muller")</f>
        <v>Igor Muller</v>
      </c>
      <c r="H256" s="10" t="str">
        <f t="shared" si="115"/>
        <v>igor.muller@yahoo.com</v>
      </c>
      <c r="I256" s="2" t="s">
        <v>7223</v>
      </c>
      <c r="J256" s="9" t="str">
        <f>IFERROR(__xludf.DUMMYFUNCTION("IF(REGEXMATCH(TRIM(I256),""^[A-Za-z0-9._%+-]+@[A-Za-z0-9.-]+\.[A-Za-z]{2,}$""),""✅ Valid"",""❌ Invalid"")"),"✅ Valid")</f>
        <v>✅ Valid</v>
      </c>
      <c r="K256" s="15" t="s">
        <v>7981</v>
      </c>
      <c r="L256" s="2" t="str">
        <f>IFERROR(__xludf.DUMMYFUNCTION("IF(K256=""N/A"", """",
 REGEXREPLACE(
  SUBSTITUTE(SUBSTITUTE(SUBSTITUTE(TO_TEXT(K256), CHAR(160),""""), UNICHAR(8239),""""), UNICHAR(8201),""""),""[+\-/(): )]"", """"))"),"3639922")</f>
        <v>3639922</v>
      </c>
      <c r="M256" s="2" t="str">
        <f>IFERROR(__xludf.DUMMYFUNCTION("IF(L256="""","""", REGEXEXTRACT(REGEXREPLACE(L256,""x"", """"), ""[0-9]+""))"),"3639922")</f>
        <v>3639922</v>
      </c>
      <c r="N256" s="2" t="str">
        <f>IF(LEFT(M256,2)="48", RIGHT(M256,LEN(M256)-2),M256)</f>
        <v>3639922</v>
      </c>
      <c r="O256" s="2" t="b">
        <f>IFERROR(__xludf.DUMMYFUNCTION("REGEXMATCH(TO_TEXT(N256), ""^(5[013679]|6[069]|7[2-9]|88)"")"),FALSE)</f>
        <v>0</v>
      </c>
      <c r="Q256" s="9" t="str">
        <f t="shared" ref="Q256:Q257" si="119">IF(AND(O256=TRUE, P256=9), "✅ VALID", "❌ INVALID")</f>
        <v>❌ INVALID</v>
      </c>
      <c r="R256" s="10" t="s">
        <v>25</v>
      </c>
      <c r="S256" s="12" t="s">
        <v>6738</v>
      </c>
      <c r="T256" s="2" t="str">
        <f>IFERROR(__xludf.DUMMYFUNCTION("IF(ISNUMBER(S256),TEXT(S256,""yyyy-MM-dd""),REGEXREPLACE(REGEXREPLACE(TO_TEXT(S256),""[^0-9a-zA-Z]+"",""-""),""[^0-9]*$"",""""))"),"03-04-2023")</f>
        <v>03-04-2023</v>
      </c>
      <c r="U256" s="2" t="s">
        <v>7982</v>
      </c>
      <c r="Y256" s="10" t="s">
        <v>7982</v>
      </c>
    </row>
    <row r="257" ht="15.75" customHeight="1">
      <c r="A257" s="2" t="s">
        <v>7178</v>
      </c>
      <c r="B257" s="9" t="s">
        <v>7597</v>
      </c>
      <c r="C257" s="2" t="s">
        <v>4034</v>
      </c>
      <c r="D257" s="10" t="str">
        <f>IFERROR(__xludf.DUMMYFUNCTION("PROPER(REGEXREPLACE(TRIM(C257),""\s+"","" ""))"),"Ethan Khan")</f>
        <v>Ethan Khan</v>
      </c>
      <c r="E257" s="2">
        <f>IFERROR(__xludf.DUMMYFUNCTION("IF(LEN(D257:D701),
  COUNTA(SPLIT(D257:D701,"" "")),
 """")"),2.0)</f>
        <v>2</v>
      </c>
      <c r="F257" s="9" t="str">
        <f t="shared" si="114"/>
        <v>✅</v>
      </c>
      <c r="G257" s="2" t="str">
        <f>IFERROR(__xludf.DUMMYFUNCTION("REGEXEXTRACT(PROPER(SUBSTITUTE(TRIM(I257),""."","" "")),""^[^@]+"")"),"Ethan Khan")</f>
        <v>Ethan Khan</v>
      </c>
      <c r="H257" s="10" t="str">
        <f t="shared" si="115"/>
        <v>ethan.khan@company.co.uk</v>
      </c>
      <c r="I257" s="2" t="s">
        <v>4035</v>
      </c>
      <c r="J257" s="9" t="str">
        <f>IFERROR(__xludf.DUMMYFUNCTION("IF(REGEXMATCH(TRIM(I257),""^[A-Za-z0-9._%+-]+@[A-Za-z0-9.-]+\.[A-Za-z]{2,}$""),""✅ Valid"",""❌ Invalid"")"),"✅ Valid")</f>
        <v>✅ Valid</v>
      </c>
      <c r="K257" s="13" t="s">
        <v>7983</v>
      </c>
      <c r="L257" s="2" t="str">
        <f>IFERROR(__xludf.DUMMYFUNCTION("IF(OR(K257=""N/A"", K257=""missing"", K257=""none""), """",
 REGEXREPLACE(
  SUBSTITUTE(SUBSTITUTE(SUBSTITUTE(TO_TEXT(K257), CHAR(160),""""), UNICHAR(8239),""""), UNICHAR(8201),""""),""[+\-/(): )]"", """"))"),"33198322201")</f>
        <v>33198322201</v>
      </c>
      <c r="M257" s="2" t="str">
        <f>IFERROR(__xludf.DUMMYFUNCTION("IF(L257="""","""", REGEXEXTRACT(REGEXREPLACE(L257,""x"", """"), ""[0-9]+""))"),"33198322201")</f>
        <v>33198322201</v>
      </c>
      <c r="N257" s="2" t="str">
        <f>IF(LEFT(M257,2)="33", RIGHT(M257,LEN(M257)-2),M257)</f>
        <v>198322201</v>
      </c>
      <c r="O257" s="2" t="b">
        <f>IFERROR(__xludf.DUMMYFUNCTION("REGEXMATCH(TO_TEXT(N257), ""^0[67]"")"),FALSE)</f>
        <v>0</v>
      </c>
      <c r="P257" s="2">
        <f t="shared" ref="P257:P259" si="120">LEN(N257)</f>
        <v>9</v>
      </c>
      <c r="Q257" s="9" t="str">
        <f t="shared" si="119"/>
        <v>❌ INVALID</v>
      </c>
      <c r="R257" s="10" t="s">
        <v>58</v>
      </c>
      <c r="S257" s="12" t="s">
        <v>4604</v>
      </c>
      <c r="T257" s="2" t="str">
        <f>IFERROR(__xludf.DUMMYFUNCTION("IF(ISNUMBER(S257),TEXT(S257,""yyyy-MM-dd""),REGEXREPLACE(REGEXREPLACE(TO_TEXT(S257),""[^0-9a-zA-Z]+"",""-""),""[^0-9]*$"",""""))"),"12-31-2024")</f>
        <v>12-31-2024</v>
      </c>
      <c r="U257" s="2" t="str">
        <f>TEXT(T257,"yyyy-MM-dd")</f>
        <v>12-31-2024</v>
      </c>
      <c r="V257" s="2" t="s">
        <v>7984</v>
      </c>
      <c r="Y257" s="10" t="s">
        <v>7984</v>
      </c>
    </row>
    <row r="258" ht="15.75" customHeight="1">
      <c r="A258" s="2" t="s">
        <v>5931</v>
      </c>
      <c r="B258" s="9" t="s">
        <v>7597</v>
      </c>
      <c r="C258" s="2" t="s">
        <v>6277</v>
      </c>
      <c r="D258" s="10" t="str">
        <f>IFERROR(__xludf.DUMMYFUNCTION("PROPER(REGEXREPLACE(TRIM(C258),""\s+"","" ""))"),"Yara Brown")</f>
        <v>Yara Brown</v>
      </c>
      <c r="E258" s="2">
        <f>IFERROR(__xludf.DUMMYFUNCTION("IF(LEN(D258:D701),
  COUNTA(SPLIT(D258:D701,"" "")),
 """")"),2.0)</f>
        <v>2</v>
      </c>
      <c r="F258" s="9" t="str">
        <f t="shared" si="114"/>
        <v>✅</v>
      </c>
      <c r="G258" s="2" t="str">
        <f>IFERROR(__xludf.DUMMYFUNCTION("REGEXEXTRACT(PROPER(SUBSTITUTE(TRIM(I258),""."","" "")),""^[^@]+"")"),"Yara Brown")</f>
        <v>Yara Brown</v>
      </c>
      <c r="H258" s="10" t="str">
        <f t="shared" si="115"/>
        <v>yara.brown@company.co.uk</v>
      </c>
      <c r="I258" s="2" t="s">
        <v>6278</v>
      </c>
      <c r="J258" s="9" t="str">
        <f>IFERROR(__xludf.DUMMYFUNCTION("IF(REGEXMATCH(TRIM(I258),""^[A-Za-z0-9._%+-]+@[A-Za-z0-9.-]+\.[A-Za-z]{2,}$""),""✅ Valid"",""❌ Invalid"")"),"✅ Valid")</f>
        <v>✅ Valid</v>
      </c>
      <c r="K258" s="11">
        <v>6.7593595867E10</v>
      </c>
      <c r="L258" s="2" t="str">
        <f>IFERROR(__xludf.DUMMYFUNCTION("IF(OR(K258=""N/A"", K258=""missing"", K258=""none""), """",
 REGEXREPLACE(
  SUBSTITUTE(SUBSTITUTE(SUBSTITUTE(TO_TEXT(K258), CHAR(160),""""), UNICHAR(8239),""""), UNICHAR(8201),""""),""[+\-/(): )]"", """"))"),"67593595867")</f>
        <v>67593595867</v>
      </c>
      <c r="M258" s="2" t="str">
        <f>IFERROR(__xludf.DUMMYFUNCTION("IF(L258="""","""", REGEXEXTRACT(REGEXREPLACE(L258,""x"", """"), ""[0-9]+""))"),"67593595867")</f>
        <v>67593595867</v>
      </c>
      <c r="N258" s="2" t="str">
        <f t="shared" ref="N258:N259" si="121">IF(LEFT(M258,1)="1", RIGHT(M258,LEN(M258)-1),M258)</f>
        <v>67593595867</v>
      </c>
      <c r="O258" s="2" t="b">
        <f>IFERROR(__xludf.DUMMYFUNCTION("REGEXMATCH(TO_TEXT(N258), ""^[2-9][0-9]{9}$"")"),FALSE)</f>
        <v>0</v>
      </c>
      <c r="P258" s="2">
        <f t="shared" si="120"/>
        <v>11</v>
      </c>
      <c r="Q258" s="9" t="str">
        <f t="shared" ref="Q258:Q259" si="122">IF(AND(O258=TRUE, P258=10), "✅ VALID", "❌ INVALID")</f>
        <v>❌ INVALID</v>
      </c>
      <c r="R258" s="10" t="s">
        <v>199</v>
      </c>
      <c r="S258" s="12" t="s">
        <v>7225</v>
      </c>
      <c r="T258" s="2" t="str">
        <f>IFERROR(__xludf.DUMMYFUNCTION("IF(ISNUMBER(S258),TEXT(S258,""yyyy-MM-dd""),REGEXREPLACE(REGEXREPLACE(TO_TEXT(S258),""[^0-9a-zA-Z]+"",""-""),""[^0-9]*$"",""""))"),"17-05-2022")</f>
        <v>17-05-2022</v>
      </c>
      <c r="U258" s="2" t="s">
        <v>7985</v>
      </c>
      <c r="Y258" s="10" t="s">
        <v>7985</v>
      </c>
    </row>
    <row r="259" ht="15.75" customHeight="1">
      <c r="A259" s="2" t="s">
        <v>1571</v>
      </c>
      <c r="B259" s="9" t="s">
        <v>7597</v>
      </c>
      <c r="C259" s="2" t="s">
        <v>2693</v>
      </c>
      <c r="D259" s="10" t="str">
        <f>IFERROR(__xludf.DUMMYFUNCTION("PROPER(REGEXREPLACE(TRIM(C259),""\s+"","" ""))"),"Fiona Martinez")</f>
        <v>Fiona Martinez</v>
      </c>
      <c r="E259" s="2">
        <f>IFERROR(__xludf.DUMMYFUNCTION("IF(LEN(D259:D701),
  COUNTA(SPLIT(D259:D701,"" "")),
 """")"),2.0)</f>
        <v>2</v>
      </c>
      <c r="F259" s="9" t="str">
        <f t="shared" si="114"/>
        <v>✅</v>
      </c>
      <c r="G259" s="2" t="str">
        <f>IFERROR(__xludf.DUMMYFUNCTION("REGEXEXTRACT(PROPER(SUBSTITUTE(TRIM(I259),""."","" "")),""^[^@]+"")"),"Fiona Martinez")</f>
        <v>Fiona Martinez</v>
      </c>
      <c r="H259" s="10" t="str">
        <f t="shared" si="115"/>
        <v>fiona.martinez@shop.io</v>
      </c>
      <c r="I259" s="2" t="s">
        <v>4508</v>
      </c>
      <c r="J259" s="9" t="str">
        <f>IFERROR(__xludf.DUMMYFUNCTION("IF(REGEXMATCH(TRIM(I259),""^[A-Za-z0-9._%+-]+@[A-Za-z0-9.-]+\.[A-Za-z]{2,}$""),""✅ Valid"",""❌ Invalid"")"),"✅ Valid")</f>
        <v>✅ Valid</v>
      </c>
      <c r="K259" s="13" t="s">
        <v>7986</v>
      </c>
      <c r="L259" s="2" t="str">
        <f>IFERROR(__xludf.DUMMYFUNCTION("IF(OR(K259=""N/A"", K259=""missing"", K259=""none""), """",
 REGEXREPLACE(
  SUBSTITUTE(SUBSTITUTE(SUBSTITUTE(TO_TEXT(K259), CHAR(160),""""), UNICHAR(8239),""""), UNICHAR(8201),""""),""[+\-/(): )]"", """"))"),"tel144955349928")</f>
        <v>tel144955349928</v>
      </c>
      <c r="M259" s="2" t="str">
        <f>IFERROR(__xludf.DUMMYFUNCTION("IF(L259="""","""", REGEXEXTRACT(REGEXREPLACE(L259,""x"", """"), ""[0-9]+""))"),"144955349928")</f>
        <v>144955349928</v>
      </c>
      <c r="N259" s="2" t="str">
        <f t="shared" si="121"/>
        <v>44955349928</v>
      </c>
      <c r="O259" s="2" t="b">
        <f>IFERROR(__xludf.DUMMYFUNCTION("REGEXMATCH(TO_TEXT(N259), ""^[2-9][0-9]{9}$"")"),FALSE)</f>
        <v>0</v>
      </c>
      <c r="P259" s="2">
        <f t="shared" si="120"/>
        <v>11</v>
      </c>
      <c r="Q259" s="9" t="str">
        <f t="shared" si="122"/>
        <v>❌ INVALID</v>
      </c>
      <c r="R259" s="10" t="s">
        <v>199</v>
      </c>
      <c r="S259" s="12">
        <v>45013.32361111111</v>
      </c>
      <c r="T259" s="2" t="str">
        <f>IFERROR(__xludf.DUMMYFUNCTION("IF(ISNUMBER(S259),TEXT(S259,""yyyy-MM-dd""),REGEXREPLACE(REGEXREPLACE(TO_TEXT(S259),""[^0-9a-zA-Z]+"",""-""),""[^0-9]*$"",""""))"),"2023-03-28")</f>
        <v>2023-03-28</v>
      </c>
      <c r="U259" s="2" t="s">
        <v>7987</v>
      </c>
      <c r="Y259" s="10" t="s">
        <v>7987</v>
      </c>
    </row>
    <row r="260" ht="15.75" customHeight="1">
      <c r="A260" s="2" t="s">
        <v>6788</v>
      </c>
      <c r="B260" s="9" t="s">
        <v>7597</v>
      </c>
      <c r="C260" s="2" t="s">
        <v>1324</v>
      </c>
      <c r="D260" s="10" t="str">
        <f>IFERROR(__xludf.DUMMYFUNCTION("PROPER(REGEXREPLACE(TRIM(C260),""\s+"","" ""))"),"Adam Lopez")</f>
        <v>Adam Lopez</v>
      </c>
      <c r="E260" s="2">
        <f>IFERROR(__xludf.DUMMYFUNCTION("IF(LEN(D260:D701),
  COUNTA(SPLIT(D260:D701,"" "")),
 """")"),2.0)</f>
        <v>2</v>
      </c>
      <c r="F260" s="9" t="str">
        <f t="shared" si="114"/>
        <v>✅</v>
      </c>
      <c r="G260" s="2" t="str">
        <f>IFERROR(__xludf.DUMMYFUNCTION("REGEXEXTRACT(PROPER(SUBSTITUTE(TRIM(I260),""."","" "")),""^[^@]+"")"),"Adam Lopez")</f>
        <v>Adam Lopez</v>
      </c>
      <c r="H260" s="10" t="str">
        <f t="shared" si="115"/>
        <v>adam.lopez@yahoo.com</v>
      </c>
      <c r="I260" s="2" t="s">
        <v>5639</v>
      </c>
      <c r="J260" s="9" t="str">
        <f>IFERROR(__xludf.DUMMYFUNCTION("IF(REGEXMATCH(TRIM(I260),""^[A-Za-z0-9._%+-]+@[A-Za-z0-9.-]+\.[A-Za-z]{2,}$""),""✅ Valid"",""❌ Invalid"")"),"✅ Valid")</f>
        <v>✅ Valid</v>
      </c>
      <c r="K260" s="17" t="s">
        <v>7988</v>
      </c>
      <c r="L260" s="2" t="str">
        <f>IFERROR(__xludf.DUMMYFUNCTION("IF(K260=""N/A"", """",
 REGEXREPLACE(
  SUBSTITUTE(SUBSTITUTE(SUBSTITUTE(TO_TEXT(K260), CHAR(160),""""), UNICHAR(8239),""""), UNICHAR(8201),""""),""[+\-/(): )]"", """"))"),"489908199709")</f>
        <v>489908199709</v>
      </c>
      <c r="M260" s="2" t="str">
        <f>IFERROR(__xludf.DUMMYFUNCTION("IF(L260="""","""", REGEXEXTRACT(REGEXREPLACE(L260,""x"", """"), ""[0-9]+""))"),"489908199709")</f>
        <v>489908199709</v>
      </c>
      <c r="N260" s="2" t="str">
        <f>IF(LEFT(M260,2)="48", RIGHT(M260,LEN(M260)-2),M260)</f>
        <v>9908199709</v>
      </c>
      <c r="O260" s="2" t="b">
        <f>IFERROR(__xludf.DUMMYFUNCTION("REGEXMATCH(TO_TEXT(N260), ""^(5[013679]|6[069]|7[2-9]|88)"")"),FALSE)</f>
        <v>0</v>
      </c>
      <c r="Q260" s="9" t="str">
        <f t="shared" ref="Q260:Q261" si="123">IF(AND(O260=TRUE, P260=9), "✅ VALID", "❌ INVALID")</f>
        <v>❌ INVALID</v>
      </c>
      <c r="R260" s="10" t="s">
        <v>25</v>
      </c>
      <c r="S260" s="12" t="s">
        <v>6280</v>
      </c>
      <c r="T260" s="2" t="str">
        <f>IFERROR(__xludf.DUMMYFUNCTION("IF(ISNUMBER(S260),TEXT(S260,""yyyy-MM-dd""),REGEXREPLACE(REGEXREPLACE(TO_TEXT(S260),""[^0-9a-zA-Z]+"",""-""),""[^0-9]*$"",""""))"),"02-01-2023")</f>
        <v>02-01-2023</v>
      </c>
      <c r="U260" s="2" t="s">
        <v>4382</v>
      </c>
      <c r="Y260" s="10" t="s">
        <v>4382</v>
      </c>
    </row>
    <row r="261" ht="15.75" customHeight="1">
      <c r="A261" s="2" t="s">
        <v>1450</v>
      </c>
      <c r="B261" s="9" t="s">
        <v>7597</v>
      </c>
      <c r="C261" s="2" t="s">
        <v>1068</v>
      </c>
      <c r="D261" s="10" t="str">
        <f>IFERROR(__xludf.DUMMYFUNCTION("PROPER(REGEXREPLACE(TRIM(C261),""\s+"","" ""))"),"Adam Johnson")</f>
        <v>Adam Johnson</v>
      </c>
      <c r="E261" s="2">
        <f>IFERROR(__xludf.DUMMYFUNCTION("IF(LEN(D261:D701),
  COUNTA(SPLIT(D261:D701,"" "")),
 """")"),2.0)</f>
        <v>2</v>
      </c>
      <c r="F261" s="9" t="str">
        <f t="shared" si="114"/>
        <v>✅</v>
      </c>
      <c r="G261" s="2" t="str">
        <f>IFERROR(__xludf.DUMMYFUNCTION("REGEXEXTRACT(PROPER(SUBSTITUTE(TRIM(I261),""."","" "")),""^[^@]+"")"),"Adam Johnson")</f>
        <v>Adam Johnson</v>
      </c>
      <c r="H261" s="10" t="str">
        <f t="shared" si="115"/>
        <v>adam.johnson@example.com</v>
      </c>
      <c r="I261" s="2" t="s">
        <v>1467</v>
      </c>
      <c r="J261" s="9" t="str">
        <f>IFERROR(__xludf.DUMMYFUNCTION("IF(REGEXMATCH(TRIM(I261),""^[A-Za-z0-9._%+-]+@[A-Za-z0-9.-]+\.[A-Za-z]{2,}$""),""✅ Valid"",""❌ Invalid"")"),"✅ Valid")</f>
        <v>✅ Valid</v>
      </c>
      <c r="K261" s="13" t="s">
        <v>7989</v>
      </c>
      <c r="L261" s="2" t="str">
        <f>IFERROR(__xludf.DUMMYFUNCTION("IF(OR(K261=""N/A"", K261=""missing"", K261=""none""), """",
 REGEXREPLACE(
  SUBSTITUTE(SUBSTITUTE(SUBSTITUTE(TO_TEXT(K261), CHAR(160),""""), UNICHAR(8239),""""), UNICHAR(8201),""""),""[+\-/(): )]"", """"))"),"9935100614")</f>
        <v>9935100614</v>
      </c>
      <c r="M261" s="2" t="str">
        <f>IFERROR(__xludf.DUMMYFUNCTION("IF(L261="""","""", REGEXEXTRACT(REGEXREPLACE(L261,""x"", """"), ""[0-9]+""))"),"9935100614")</f>
        <v>9935100614</v>
      </c>
      <c r="N261" s="2" t="str">
        <f>IF(LEFT(M261,2)="33", RIGHT(M261,LEN(M261)-2),M261)</f>
        <v>9935100614</v>
      </c>
      <c r="O261" s="2" t="b">
        <f>IFERROR(__xludf.DUMMYFUNCTION("REGEXMATCH(TO_TEXT(N261), ""^0[67]"")"),FALSE)</f>
        <v>0</v>
      </c>
      <c r="P261" s="2">
        <f t="shared" ref="P261:P265" si="124">LEN(N261)</f>
        <v>10</v>
      </c>
      <c r="Q261" s="9" t="str">
        <f t="shared" si="123"/>
        <v>❌ INVALID</v>
      </c>
      <c r="R261" s="10" t="s">
        <v>58</v>
      </c>
      <c r="S261" s="12" t="s">
        <v>7398</v>
      </c>
      <c r="T261" s="2" t="str">
        <f>IFERROR(__xludf.DUMMYFUNCTION("IF(ISNUMBER(S261),TEXT(S261,""yyyy-MM-dd""),REGEXREPLACE(REGEXREPLACE(TO_TEXT(S261),""[^0-9a-zA-Z]+"",""-""),""[^0-9]*$"",""""))"),"45554-05-54")</f>
        <v>45554-05-54</v>
      </c>
      <c r="U261" s="2" t="str">
        <f>TEXT(T261,"yyyy-MM-dd")</f>
        <v>45554-05-54</v>
      </c>
      <c r="V261" s="2" t="str">
        <f>CONCATENATE(LEFT(U261,5))</f>
        <v>45554</v>
      </c>
      <c r="W261" s="14">
        <f>DATE(1900,1,1) + V261 - 1</f>
        <v>45555</v>
      </c>
      <c r="X261" s="2" t="s">
        <v>7990</v>
      </c>
      <c r="Y261" s="10" t="s">
        <v>7990</v>
      </c>
    </row>
    <row r="262" ht="15.75" customHeight="1">
      <c r="A262" s="2" t="s">
        <v>1653</v>
      </c>
      <c r="B262" s="9" t="s">
        <v>7597</v>
      </c>
      <c r="C262" s="2" t="s">
        <v>2874</v>
      </c>
      <c r="D262" s="10" t="s">
        <v>7991</v>
      </c>
      <c r="E262" s="2">
        <f>IFERROR(__xludf.DUMMYFUNCTION("IF(LEN(D262:D701),
  COUNTA(SPLIT(D262:D701,"" "")),
 """")"),2.0)</f>
        <v>2</v>
      </c>
      <c r="F262" s="9" t="str">
        <f t="shared" si="114"/>
        <v>✅</v>
      </c>
      <c r="G262" s="2" t="s">
        <v>7991</v>
      </c>
      <c r="H262" s="10" t="str">
        <f t="shared" si="115"/>
        <v>wiktor.martinez@gmail.com</v>
      </c>
      <c r="I262" s="2" t="s">
        <v>2875</v>
      </c>
      <c r="J262" s="9" t="str">
        <f>IFERROR(__xludf.DUMMYFUNCTION("IF(REGEXMATCH(TRIM(I262),""^[A-Za-z0-9._%+-]+@[A-Za-z0-9.-]+\.[A-Za-z]{2,}$""),""✅ Valid"",""❌ Invalid"")"),"✅ Valid")</f>
        <v>✅ Valid</v>
      </c>
      <c r="K262" s="13" t="s">
        <v>7992</v>
      </c>
      <c r="L262" s="2" t="str">
        <f>IFERROR(__xludf.DUMMYFUNCTION("IF(OR(K262=""N/A"", K262=""missing"", K262=""none""), """",
 REGEXREPLACE(
  SUBSTITUTE(SUBSTITUTE(SUBSTITUTE(TO_TEXT(K262), CHAR(160),""""), UNICHAR(8239),""""), UNICHAR(8201),""""),""[+\-/(): )]"", """"))"),"4963787658680ext55")</f>
        <v>4963787658680ext55</v>
      </c>
      <c r="M262" s="2" t="str">
        <f>IFERROR(__xludf.DUMMYFUNCTION("IF(L262="""","""", REGEXEXTRACT(REGEXREPLACE(L262,""x"", """"), ""[0-9]+""))"),"4963787658680")</f>
        <v>4963787658680</v>
      </c>
      <c r="N262" s="2" t="str">
        <f>IF(LEFT(M262,2)="49", RIGHT(M262,LEN(M262)-2),M262)</f>
        <v>63787658680</v>
      </c>
      <c r="O262" s="2" t="b">
        <f>IFERROR(__xludf.DUMMYFUNCTION("REGEXMATCH(TO_TEXT(N262), ""^0(15|16|17)"")"),FALSE)</f>
        <v>0</v>
      </c>
      <c r="P262" s="2">
        <f t="shared" si="124"/>
        <v>11</v>
      </c>
      <c r="Q262" s="9" t="str">
        <f>IF(AND(O262=TRUE,OR(P262=10, P262=11)), "✅ VALID", "❌ INVALID")</f>
        <v>❌ INVALID</v>
      </c>
      <c r="R262" s="10" t="s">
        <v>459</v>
      </c>
      <c r="S262" s="12">
        <v>45698.0</v>
      </c>
      <c r="T262" s="2" t="str">
        <f>IFERROR(__xludf.DUMMYFUNCTION("IF(ISNUMBER(S262),TEXT(S262,""yyyy-MM-dd""),REGEXREPLACE(REGEXREPLACE(TO_TEXT(S262),""[^0-9a-zA-Z]+"",""-""),""[^0-9]*$"",""""))"),"2025-02-10")</f>
        <v>2025-02-10</v>
      </c>
      <c r="U262" s="2" t="s">
        <v>7993</v>
      </c>
      <c r="Y262" s="10" t="s">
        <v>7993</v>
      </c>
    </row>
    <row r="263" ht="15.75" customHeight="1">
      <c r="A263" s="2" t="s">
        <v>6475</v>
      </c>
      <c r="B263" s="9" t="s">
        <v>7597</v>
      </c>
      <c r="C263" s="2" t="s">
        <v>3280</v>
      </c>
      <c r="D263" s="10" t="str">
        <f>IFERROR(__xludf.DUMMYFUNCTION("PROPER(REGEXREPLACE(TRIM(C263),""\s+"","" ""))"),"Uma Brown")</f>
        <v>Uma Brown</v>
      </c>
      <c r="E263" s="2">
        <f>IFERROR(__xludf.DUMMYFUNCTION("IF(LEN(D263:D701),
  COUNTA(SPLIT(D263:D701,"" "")),
 """")"),2.0)</f>
        <v>2</v>
      </c>
      <c r="F263" s="9" t="str">
        <f t="shared" si="114"/>
        <v>✅</v>
      </c>
      <c r="G263" s="2" t="str">
        <f>IFERROR(__xludf.DUMMYFUNCTION("REGEXEXTRACT(PROPER(SUBSTITUTE(TRIM(I263),""."","" "")),""^[^@]+"")"),"Uma Brown")</f>
        <v>Uma Brown</v>
      </c>
      <c r="H263" s="10" t="str">
        <f t="shared" si="115"/>
        <v>uma.brown@outlook.com</v>
      </c>
      <c r="I263" s="2" t="s">
        <v>3281</v>
      </c>
      <c r="J263" s="9" t="str">
        <f>IFERROR(__xludf.DUMMYFUNCTION("IF(REGEXMATCH(TRIM(I263),""^[A-Za-z0-9._%+-]+@[A-Za-z0-9.-]+\.[A-Za-z]{2,}$""),""✅ Valid"",""❌ Invalid"")"),"✅ Valid")</f>
        <v>✅ Valid</v>
      </c>
      <c r="K263" s="11">
        <v>3.46985462711E11</v>
      </c>
      <c r="L263" s="2" t="str">
        <f>IFERROR(__xludf.DUMMYFUNCTION("IF(OR(K263=""N/A"", K263=""missing"", K263=""none""), """",
 REGEXREPLACE(
  SUBSTITUTE(SUBSTITUTE(SUBSTITUTE(TO_TEXT(K263), CHAR(160),""""), UNICHAR(8239),""""), UNICHAR(8201),""""),""[+\-/(): )]"", """"))"),"346985462711")</f>
        <v>346985462711</v>
      </c>
      <c r="M263" s="2" t="str">
        <f>IFERROR(__xludf.DUMMYFUNCTION("IF(L263="""","""", REGEXEXTRACT(REGEXREPLACE(L263,""x"", """"), ""[0-9]+""))"),"346985462711")</f>
        <v>346985462711</v>
      </c>
      <c r="N263" s="2" t="str">
        <f>IF(LEFT(M263,2)="34", RIGHT(M263,LEN(M263)-2),M263)</f>
        <v>6985462711</v>
      </c>
      <c r="O263" s="2" t="b">
        <f>IFERROR(__xludf.DUMMYFUNCTION("REGEXMATCH(TO_TEXT(N263), ""^[67]"")"),TRUE)</f>
        <v>1</v>
      </c>
      <c r="P263" s="2">
        <f t="shared" si="124"/>
        <v>10</v>
      </c>
      <c r="Q263" s="9" t="str">
        <f>IF(AND(O263=TRUE, P263=9), "✅ VALID", "❌ INVALID")</f>
        <v>❌ INVALID</v>
      </c>
      <c r="R263" s="10" t="s">
        <v>139</v>
      </c>
      <c r="S263" s="12">
        <v>45824.0</v>
      </c>
      <c r="T263" s="2" t="str">
        <f>IFERROR(__xludf.DUMMYFUNCTION("IF(ISNUMBER(S263),TEXT(S263,""yyyy-MM-dd""),REGEXREPLACE(REGEXREPLACE(TO_TEXT(S263),""[^0-9a-zA-Z]+"",""-""),""[^0-9]*$"",""""))"),"2025-06-16")</f>
        <v>2025-06-16</v>
      </c>
      <c r="U263" s="2" t="s">
        <v>6556</v>
      </c>
      <c r="Y263" s="10" t="s">
        <v>6556</v>
      </c>
    </row>
    <row r="264" ht="15.75" customHeight="1">
      <c r="A264" s="2" t="s">
        <v>2203</v>
      </c>
      <c r="B264" s="9" t="s">
        <v>7597</v>
      </c>
      <c r="C264" s="2" t="s">
        <v>7179</v>
      </c>
      <c r="D264" s="10" t="s">
        <v>5238</v>
      </c>
      <c r="E264" s="2">
        <f>IFERROR(__xludf.DUMMYFUNCTION("IF(LEN(D264:D701),
  COUNTA(SPLIT(D264:D701,"" "")),
 """")"),2.0)</f>
        <v>2</v>
      </c>
      <c r="F264" s="9" t="str">
        <f t="shared" si="114"/>
        <v>✅</v>
      </c>
      <c r="G264" s="2" t="s">
        <v>5238</v>
      </c>
      <c r="H264" s="10" t="str">
        <f t="shared" si="115"/>
        <v>vlad.lee@shop.io</v>
      </c>
      <c r="I264" s="2" t="s">
        <v>7180</v>
      </c>
      <c r="J264" s="9" t="str">
        <f>IFERROR(__xludf.DUMMYFUNCTION("IF(REGEXMATCH(TRIM(I264),""^[A-Za-z0-9._%+-]+@[A-Za-z0-9.-]+\.[A-Za-z]{2,}$""),""✅ Valid"",""❌ Invalid"")"),"✅ Valid")</f>
        <v>✅ Valid</v>
      </c>
      <c r="K264" s="13" t="s">
        <v>7994</v>
      </c>
      <c r="L264" s="2" t="str">
        <f>IFERROR(__xludf.DUMMYFUNCTION("IF(OR(K264=""N/A"", K264=""missing"", K264=""none""), """",
 REGEXREPLACE(
  SUBSTITUTE(SUBSTITUTE(SUBSTITUTE(TO_TEXT(K264), CHAR(160),""""), UNICHAR(8239),""""), UNICHAR(8201),""""),""[+\-/(): )]"", """"))"),"120x138370")</f>
        <v>120x138370</v>
      </c>
      <c r="M264" s="2" t="str">
        <f>IFERROR(__xludf.DUMMYFUNCTION("IF(L264="""","""", REGEXEXTRACT(REGEXREPLACE(L264,""x"", """"), ""[0-9]+""))"),"120138370")</f>
        <v>120138370</v>
      </c>
      <c r="N264" s="2" t="str">
        <f>IF(LEFT(M264,1)="1", RIGHT(M264,LEN(M264)-1),M264)</f>
        <v>20138370</v>
      </c>
      <c r="O264" s="2" t="b">
        <f>IFERROR(__xludf.DUMMYFUNCTION("REGEXMATCH(TO_TEXT(N264), ""^[2-9][0-9]{9}$"")"),FALSE)</f>
        <v>0</v>
      </c>
      <c r="P264" s="2">
        <f t="shared" si="124"/>
        <v>8</v>
      </c>
      <c r="Q264" s="9" t="str">
        <f>IF(AND(O264=TRUE, P264=10), "✅ VALID", "❌ INVALID")</f>
        <v>❌ INVALID</v>
      </c>
      <c r="R264" s="10" t="s">
        <v>199</v>
      </c>
      <c r="S264" s="12">
        <v>45083.38402777778</v>
      </c>
      <c r="T264" s="2" t="str">
        <f>IFERROR(__xludf.DUMMYFUNCTION("IF(ISNUMBER(S264),TEXT(S264,""yyyy-MM-dd""),REGEXREPLACE(REGEXREPLACE(TO_TEXT(S264),""[^0-9a-zA-Z]+"",""-""),""[^0-9]*$"",""""))"),"2023-06-06")</f>
        <v>2023-06-06</v>
      </c>
      <c r="U264" s="2" t="s">
        <v>7995</v>
      </c>
      <c r="Y264" s="10" t="s">
        <v>7995</v>
      </c>
    </row>
    <row r="265" ht="15.75" customHeight="1">
      <c r="A265" s="2" t="s">
        <v>6933</v>
      </c>
      <c r="B265" s="9" t="s">
        <v>7597</v>
      </c>
      <c r="C265" s="2" t="s">
        <v>5932</v>
      </c>
      <c r="D265" s="10" t="str">
        <f>IFERROR(__xludf.DUMMYFUNCTION("PROPER(REGEXREPLACE(TRIM(C265),""\s+"","" ""))"),"Omar Smith")</f>
        <v>Omar Smith</v>
      </c>
      <c r="E265" s="2">
        <f>IFERROR(__xludf.DUMMYFUNCTION("IF(LEN(D265:D701),
  COUNTA(SPLIT(D265:D701,"" "")),
 """")"),2.0)</f>
        <v>2</v>
      </c>
      <c r="F265" s="9" t="str">
        <f t="shared" si="114"/>
        <v>✅</v>
      </c>
      <c r="G265" s="2" t="str">
        <f>IFERROR(__xludf.DUMMYFUNCTION("REGEXEXTRACT(PROPER(SUBSTITUTE(TRIM(I265),""."","" "")),""^[^@]+"")"),"Omar Smith")</f>
        <v>Omar Smith</v>
      </c>
      <c r="H265" s="10" t="str">
        <f t="shared" si="115"/>
        <v>omar.smith@shop.io</v>
      </c>
      <c r="I265" s="2" t="s">
        <v>5933</v>
      </c>
      <c r="J265" s="9" t="str">
        <f>IFERROR(__xludf.DUMMYFUNCTION("IF(REGEXMATCH(TRIM(I265),""^[A-Za-z0-9._%+-]+@[A-Za-z0-9.-]+\.[A-Za-z]{2,}$""),""✅ Valid"",""❌ Invalid"")"),"✅ Valid")</f>
        <v>✅ Valid</v>
      </c>
      <c r="K265" s="13" t="s">
        <v>7996</v>
      </c>
      <c r="L265" s="2" t="str">
        <f>IFERROR(__xludf.DUMMYFUNCTION("IF(OR(K265=""N/A"", K265=""missing"", K265=""none""), """",
 REGEXREPLACE(
  SUBSTITUTE(SUBSTITUTE(SUBSTITUTE(TO_TEXT(K265), CHAR(160),""""), UNICHAR(8239),""""), UNICHAR(8201),""""),""[+\-/(): )]"", """"))"),"33863626536")</f>
        <v>33863626536</v>
      </c>
      <c r="M265" s="2" t="str">
        <f>IFERROR(__xludf.DUMMYFUNCTION("IF(L265="""","""", REGEXEXTRACT(REGEXREPLACE(L265,""x"", """"), ""[0-9]+""))"),"33863626536")</f>
        <v>33863626536</v>
      </c>
      <c r="N265" s="2" t="str">
        <f>IF(LEFT(M265,2)="33", RIGHT(M265,LEN(M265)-2),M265)</f>
        <v>863626536</v>
      </c>
      <c r="O265" s="2" t="b">
        <f>IFERROR(__xludf.DUMMYFUNCTION("REGEXMATCH(TO_TEXT(N265), ""^0[67]"")"),FALSE)</f>
        <v>0</v>
      </c>
      <c r="P265" s="2">
        <f t="shared" si="124"/>
        <v>9</v>
      </c>
      <c r="Q265" s="9" t="str">
        <f t="shared" ref="Q265:Q267" si="125">IF(AND(O265=TRUE, P265=9), "✅ VALID", "❌ INVALID")</f>
        <v>❌ INVALID</v>
      </c>
      <c r="R265" s="10" t="s">
        <v>58</v>
      </c>
      <c r="S265" s="12">
        <v>45524.0</v>
      </c>
      <c r="T265" s="2" t="str">
        <f>IFERROR(__xludf.DUMMYFUNCTION("IF(ISNUMBER(S265),TEXT(S265,""yyyy-MM-dd""),REGEXREPLACE(REGEXREPLACE(TO_TEXT(S265),""[^0-9a-zA-Z]+"",""-""),""[^0-9]*$"",""""))"),"2024-08-20")</f>
        <v>2024-08-20</v>
      </c>
      <c r="U265" s="2" t="s">
        <v>7734</v>
      </c>
      <c r="Y265" s="10" t="s">
        <v>7734</v>
      </c>
    </row>
    <row r="266" ht="15.75" customHeight="1">
      <c r="A266" s="2" t="s">
        <v>5058</v>
      </c>
      <c r="B266" s="9" t="s">
        <v>7597</v>
      </c>
      <c r="C266" s="2" t="s">
        <v>1572</v>
      </c>
      <c r="D266" s="10" t="s">
        <v>7997</v>
      </c>
      <c r="E266" s="2">
        <f>IFERROR(__xludf.DUMMYFUNCTION("IF(LEN(D266:D701),
  COUNTA(SPLIT(D266:D701,"" "")),
 """")"),2.0)</f>
        <v>2</v>
      </c>
      <c r="F266" s="9" t="str">
        <f t="shared" si="114"/>
        <v>✅</v>
      </c>
      <c r="G266" s="2" t="s">
        <v>7997</v>
      </c>
      <c r="H266" s="10" t="str">
        <f t="shared" si="115"/>
        <v>lia.khan@outlook.com</v>
      </c>
      <c r="I266" s="2" t="s">
        <v>1573</v>
      </c>
      <c r="J266" s="9" t="str">
        <f>IFERROR(__xludf.DUMMYFUNCTION("IF(REGEXMATCH(TRIM(I266),""^[A-Za-z0-9._%+-]+@[A-Za-z0-9.-]+\.[A-Za-z]{2,}$""),""✅ Valid"",""❌ Invalid"")"),"✅ Valid")</f>
        <v>✅ Valid</v>
      </c>
      <c r="K266" s="15" t="s">
        <v>7998</v>
      </c>
      <c r="L266" s="2" t="str">
        <f>IFERROR(__xludf.DUMMYFUNCTION("IF(K266=""N/A"", """",
 REGEXREPLACE(
  SUBSTITUTE(SUBSTITUTE(SUBSTITUTE(TO_TEXT(K266), CHAR(160),""""), UNICHAR(8239),""""), UNICHAR(8201),""""),""[+\-/(): )]"", """"))"),"48943908259")</f>
        <v>48943908259</v>
      </c>
      <c r="M266" s="2" t="str">
        <f>IFERROR(__xludf.DUMMYFUNCTION("IF(L266="""","""", REGEXEXTRACT(REGEXREPLACE(L266,""x"", """"), ""[0-9]+""))"),"48943908259")</f>
        <v>48943908259</v>
      </c>
      <c r="N266" s="2" t="str">
        <f>IF(LEFT(M266,2)="48", RIGHT(M266,LEN(M266)-2),M266)</f>
        <v>943908259</v>
      </c>
      <c r="O266" s="2" t="b">
        <f>IFERROR(__xludf.DUMMYFUNCTION("REGEXMATCH(TO_TEXT(N266), ""^(5[013679]|6[069]|7[2-9]|88)"")"),FALSE)</f>
        <v>0</v>
      </c>
      <c r="Q266" s="9" t="str">
        <f t="shared" si="125"/>
        <v>❌ INVALID</v>
      </c>
      <c r="R266" s="10" t="s">
        <v>25</v>
      </c>
      <c r="S266" s="12">
        <v>45868.0</v>
      </c>
      <c r="T266" s="2" t="str">
        <f>IFERROR(__xludf.DUMMYFUNCTION("IF(ISNUMBER(S266),TEXT(S266,""yyyy-MM-dd""),REGEXREPLACE(REGEXREPLACE(TO_TEXT(S266),""[^0-9a-zA-Z]+"",""-""),""[^0-9]*$"",""""))"),"2025-07-30")</f>
        <v>2025-07-30</v>
      </c>
      <c r="U266" s="2" t="s">
        <v>7999</v>
      </c>
      <c r="Y266" s="10" t="s">
        <v>7999</v>
      </c>
    </row>
    <row r="267" ht="15.75" customHeight="1">
      <c r="A267" s="2" t="s">
        <v>7189</v>
      </c>
      <c r="B267" s="9" t="s">
        <v>7597</v>
      </c>
      <c r="C267" s="2" t="s">
        <v>6789</v>
      </c>
      <c r="D267" s="10" t="str">
        <f>IFERROR(__xludf.DUMMYFUNCTION("PROPER(REGEXREPLACE(TRIM(C267),""\s+"","" ""))"),"Igor Johnson")</f>
        <v>Igor Johnson</v>
      </c>
      <c r="E267" s="2">
        <f>IFERROR(__xludf.DUMMYFUNCTION("IF(LEN(D267:D701),
  COUNTA(SPLIT(D267:D701,"" "")),
 """")"),2.0)</f>
        <v>2</v>
      </c>
      <c r="F267" s="9" t="str">
        <f t="shared" si="114"/>
        <v>✅</v>
      </c>
      <c r="G267" s="2" t="str">
        <f>IFERROR(__xludf.DUMMYFUNCTION("REGEXEXTRACT(PROPER(SUBSTITUTE(TRIM(I267),""."","" "")),""^[^@]+"")"),"Igor Johnson")</f>
        <v>Igor Johnson</v>
      </c>
      <c r="H267" s="10" t="str">
        <f t="shared" si="115"/>
        <v>igor.johnson@example.com</v>
      </c>
      <c r="I267" s="2" t="s">
        <v>6790</v>
      </c>
      <c r="J267" s="9" t="str">
        <f>IFERROR(__xludf.DUMMYFUNCTION("IF(REGEXMATCH(TRIM(I267),""^[A-Za-z0-9._%+-]+@[A-Za-z0-9.-]+\.[A-Za-z]{2,}$""),""✅ Valid"",""❌ Invalid"")"),"✅ Valid")</f>
        <v>✅ Valid</v>
      </c>
      <c r="K267" s="13" t="s">
        <v>8000</v>
      </c>
      <c r="L267" s="2" t="str">
        <f>IFERROR(__xludf.DUMMYFUNCTION("IF(OR(K267=""N/A"", K267=""missing"", K267=""none""), """",
 REGEXREPLACE(
  SUBSTITUTE(SUBSTITUTE(SUBSTITUTE(TO_TEXT(K267), CHAR(160),""""), UNICHAR(8239),""""), UNICHAR(8201),""""),""[+\-/(): )]"", """"))"),"tel33183016587")</f>
        <v>tel33183016587</v>
      </c>
      <c r="M267" s="2" t="str">
        <f>IFERROR(__xludf.DUMMYFUNCTION("IF(L267="""","""", REGEXEXTRACT(REGEXREPLACE(L267,""x"", """"), ""[0-9]+""))"),"33183016587")</f>
        <v>33183016587</v>
      </c>
      <c r="N267" s="2" t="str">
        <f>IF(LEFT(M267,2)="33", RIGHT(M267,LEN(M267)-2),M267)</f>
        <v>183016587</v>
      </c>
      <c r="O267" s="2" t="b">
        <f>IFERROR(__xludf.DUMMYFUNCTION("REGEXMATCH(TO_TEXT(N267), ""^0[67]"")"),FALSE)</f>
        <v>0</v>
      </c>
      <c r="P267" s="2">
        <f t="shared" ref="P267:P273" si="126">LEN(N267)</f>
        <v>9</v>
      </c>
      <c r="Q267" s="9" t="str">
        <f t="shared" si="125"/>
        <v>❌ INVALID</v>
      </c>
      <c r="R267" s="10" t="s">
        <v>58</v>
      </c>
      <c r="S267" s="12" t="s">
        <v>6323</v>
      </c>
      <c r="T267" s="2" t="str">
        <f>IFERROR(__xludf.DUMMYFUNCTION("IF(ISNUMBER(S267),TEXT(S267,""yyyy-MM-dd""),REGEXREPLACE(REGEXREPLACE(TO_TEXT(S267),""[^0-9a-zA-Z]+"",""-""),""[^0-9]*$"",""""))"),"10-18-2024")</f>
        <v>10-18-2024</v>
      </c>
      <c r="U267" s="2" t="str">
        <f>TEXT(T267,"yyyy-MM-dd")</f>
        <v>10-18-2024</v>
      </c>
      <c r="V267" s="2" t="s">
        <v>7931</v>
      </c>
      <c r="Y267" s="10" t="s">
        <v>7931</v>
      </c>
    </row>
    <row r="268" ht="15.75" customHeight="1">
      <c r="A268" s="2" t="s">
        <v>5734</v>
      </c>
      <c r="B268" s="9" t="s">
        <v>7597</v>
      </c>
      <c r="C268" s="2" t="s">
        <v>1451</v>
      </c>
      <c r="D268" s="10" t="str">
        <f>IFERROR(__xludf.DUMMYFUNCTION("PROPER(REGEXREPLACE(TRIM(C268),""\s+"","" ""))"),"Zack Rodriguez")</f>
        <v>Zack Rodriguez</v>
      </c>
      <c r="E268" s="2">
        <f>IFERROR(__xludf.DUMMYFUNCTION("IF(LEN(D268:D701),
  COUNTA(SPLIT(D268:D701,"" "")),
 """")"),2.0)</f>
        <v>2</v>
      </c>
      <c r="F268" s="9" t="str">
        <f t="shared" si="114"/>
        <v>✅</v>
      </c>
      <c r="G268" s="2" t="str">
        <f>IFERROR(__xludf.DUMMYFUNCTION("REGEXEXTRACT(PROPER(SUBSTITUTE(TRIM(I268),""."","" "")),""^[^@]+"")"),"Zack Rodriguez")</f>
        <v>Zack Rodriguez</v>
      </c>
      <c r="H268" s="10" t="str">
        <f t="shared" si="115"/>
        <v>zack.rodriguez@outlook.com</v>
      </c>
      <c r="I268" s="2" t="s">
        <v>1452</v>
      </c>
      <c r="J268" s="9" t="str">
        <f>IFERROR(__xludf.DUMMYFUNCTION("IF(REGEXMATCH(TRIM(I268),""^[A-Za-z0-9._%+-]+@[A-Za-z0-9.-]+\.[A-Za-z]{2,}$""),""✅ Valid"",""❌ Invalid"")"),"✅ Valid")</f>
        <v>✅ Valid</v>
      </c>
      <c r="K268" s="13" t="s">
        <v>8001</v>
      </c>
      <c r="L268" s="2" t="str">
        <f>IFERROR(__xludf.DUMMYFUNCTION("IF(OR(K268=""N/A"", K268=""missing"", K268=""none""), """",
 REGEXREPLACE(
  SUBSTITUTE(SUBSTITUTE(SUBSTITUTE(TO_TEXT(K268), CHAR(160),""""), UNICHAR(8239),""""), UNICHAR(8201),""""),""[+\-/(): )]"", """"))"),"733349595")</f>
        <v>733349595</v>
      </c>
      <c r="M268" s="2" t="str">
        <f>IFERROR(__xludf.DUMMYFUNCTION("IF(L268="""","""", REGEXEXTRACT(REGEXREPLACE(L268,""x"", """"), ""[0-9]+""))"),"733349595")</f>
        <v>733349595</v>
      </c>
      <c r="N268" s="2" t="str">
        <f>IF(LEFT(M268,2)="44", RIGHT(M268,LEN(M268)-2),M268)</f>
        <v>733349595</v>
      </c>
      <c r="O268" s="2" t="b">
        <f>IFERROR(__xludf.DUMMYFUNCTION("REGEXMATCH(TO_TEXT(N268), ""^07[1-57-9]"")"),FALSE)</f>
        <v>0</v>
      </c>
      <c r="P268" s="2">
        <f t="shared" si="126"/>
        <v>9</v>
      </c>
      <c r="Q268" s="9" t="str">
        <f>IF(AND(O268=TRUE, P268=11), "✅ VALID", "❌ INVALID")</f>
        <v>❌ INVALID</v>
      </c>
      <c r="R268" s="10" t="s">
        <v>114</v>
      </c>
      <c r="S268" s="12">
        <v>45717.0</v>
      </c>
      <c r="T268" s="2" t="str">
        <f>IFERROR(__xludf.DUMMYFUNCTION("IF(ISNUMBER(S268),TEXT(S268,""yyyy-MM-dd""),REGEXREPLACE(REGEXREPLACE(TO_TEXT(S268),""[^0-9a-zA-Z]+"",""-""),""[^0-9]*$"",""""))"),"2025-03-01")</f>
        <v>2025-03-01</v>
      </c>
      <c r="U268" s="2" t="s">
        <v>8002</v>
      </c>
      <c r="Y268" s="10" t="s">
        <v>8002</v>
      </c>
    </row>
    <row r="269" ht="15.75" customHeight="1">
      <c r="A269" s="2" t="s">
        <v>2145</v>
      </c>
      <c r="B269" s="9" t="s">
        <v>7597</v>
      </c>
      <c r="C269" s="2" t="s">
        <v>625</v>
      </c>
      <c r="D269" s="10" t="str">
        <f>IFERROR(__xludf.DUMMYFUNCTION("PROPER(REGEXREPLACE(TRIM(C269),""\s+"","" ""))"),"Gabe Davis")</f>
        <v>Gabe Davis</v>
      </c>
      <c r="E269" s="2">
        <f>IFERROR(__xludf.DUMMYFUNCTION("IF(LEN(D269:D701),
  COUNTA(SPLIT(D269:D701,"" "")),
 """")"),2.0)</f>
        <v>2</v>
      </c>
      <c r="F269" s="9" t="str">
        <f t="shared" si="114"/>
        <v>✅</v>
      </c>
      <c r="G269" s="2" t="str">
        <f>IFERROR(__xludf.DUMMYFUNCTION("REGEXEXTRACT(PROPER(SUBSTITUTE(TRIM(I269),""."","" "")),""^[^@]+"")"),"Gabe Davis")</f>
        <v>Gabe Davis</v>
      </c>
      <c r="H269" s="10" t="str">
        <f t="shared" si="115"/>
        <v>gabe.davis@yahoo.com</v>
      </c>
      <c r="I269" s="2" t="s">
        <v>1654</v>
      </c>
      <c r="J269" s="9" t="str">
        <f>IFERROR(__xludf.DUMMYFUNCTION("IF(REGEXMATCH(TRIM(I269),""^[A-Za-z0-9._%+-]+@[A-Za-z0-9.-]+\.[A-Za-z]{2,}$""),""✅ Valid"",""❌ Invalid"")"),"✅ Valid")</f>
        <v>✅ Valid</v>
      </c>
      <c r="K269" s="11">
        <v>4.960328291E9</v>
      </c>
      <c r="L269" s="2" t="str">
        <f>IFERROR(__xludf.DUMMYFUNCTION("IF(OR(K269=""N/A"", K269=""missing"", K269=""none""), """",
 REGEXREPLACE(
  SUBSTITUTE(SUBSTITUTE(SUBSTITUTE(TO_TEXT(K269), CHAR(160),""""), UNICHAR(8239),""""), UNICHAR(8201),""""),""[+\-/(): )]"", """"))"),"4960328291")</f>
        <v>4960328291</v>
      </c>
      <c r="M269" s="2" t="str">
        <f>IFERROR(__xludf.DUMMYFUNCTION("IF(L269="""","""", REGEXEXTRACT(REGEXREPLACE(L269,""x"", """"), ""[0-9]+""))"),"4960328291")</f>
        <v>4960328291</v>
      </c>
      <c r="N269" s="2" t="str">
        <f>IF(LEFT(M269,2)="49", RIGHT(M269,LEN(M269)-2),M269)</f>
        <v>60328291</v>
      </c>
      <c r="O269" s="2" t="b">
        <f>IFERROR(__xludf.DUMMYFUNCTION("REGEXMATCH(TO_TEXT(N269), ""^0(15|16|17)"")"),FALSE)</f>
        <v>0</v>
      </c>
      <c r="P269" s="2">
        <f t="shared" si="126"/>
        <v>8</v>
      </c>
      <c r="Q269" s="9" t="str">
        <f>IF(AND(O269=TRUE,OR(P269=10, P269=11)), "✅ VALID", "❌ INVALID")</f>
        <v>❌ INVALID</v>
      </c>
      <c r="R269" s="10" t="s">
        <v>459</v>
      </c>
      <c r="S269" s="12">
        <v>45172.0</v>
      </c>
      <c r="T269" s="2" t="str">
        <f>IFERROR(__xludf.DUMMYFUNCTION("IF(ISNUMBER(S269),TEXT(S269,""yyyy-MM-dd""),REGEXREPLACE(REGEXREPLACE(TO_TEXT(S269),""[^0-9a-zA-Z]+"",""-""),""[^0-9]*$"",""""))"),"2023-09-03")</f>
        <v>2023-09-03</v>
      </c>
      <c r="U269" s="2" t="s">
        <v>8003</v>
      </c>
      <c r="Y269" s="10" t="s">
        <v>8003</v>
      </c>
    </row>
    <row r="270" ht="15.75" customHeight="1">
      <c r="A270" s="2" t="s">
        <v>1427</v>
      </c>
      <c r="B270" s="9" t="s">
        <v>7597</v>
      </c>
      <c r="C270" s="2" t="s">
        <v>6476</v>
      </c>
      <c r="D270" s="10" t="str">
        <f>IFERROR(__xludf.DUMMYFUNCTION("PROPER(REGEXREPLACE(TRIM(C270),""\s+"","" ""))"),"Paula Nowak")</f>
        <v>Paula Nowak</v>
      </c>
      <c r="E270" s="2">
        <f>IFERROR(__xludf.DUMMYFUNCTION("IF(LEN(D270:D701),
  COUNTA(SPLIT(D270:D701,"" "")),
 """")"),2.0)</f>
        <v>2</v>
      </c>
      <c r="F270" s="9" t="str">
        <f t="shared" si="114"/>
        <v>✅</v>
      </c>
      <c r="G270" s="2" t="str">
        <f>IFERROR(__xludf.DUMMYFUNCTION("REGEXEXTRACT(PROPER(SUBSTITUTE(TRIM(I270),""."","" "")),""^[^@]+"")"),"Paula Nowak")</f>
        <v>Paula Nowak</v>
      </c>
      <c r="H270" s="10" t="str">
        <f t="shared" si="115"/>
        <v>paula.nowak@example.com</v>
      </c>
      <c r="I270" s="2" t="s">
        <v>6477</v>
      </c>
      <c r="J270" s="9" t="str">
        <f>IFERROR(__xludf.DUMMYFUNCTION("IF(REGEXMATCH(TRIM(I270),""^[A-Za-z0-9._%+-]+@[A-Za-z0-9.-]+\.[A-Za-z]{2,}$""),""✅ Valid"",""❌ Invalid"")"),"✅ Valid")</f>
        <v>✅ Valid</v>
      </c>
      <c r="K270" s="13" t="s">
        <v>8004</v>
      </c>
      <c r="L270" s="2" t="str">
        <f>IFERROR(__xludf.DUMMYFUNCTION("IF(OR(K270=""N/A"", K270=""missing"", K270=""none""), """",
 REGEXREPLACE(
  SUBSTITUTE(SUBSTITUTE(SUBSTITUTE(TO_TEXT(K270), CHAR(160),""""), UNICHAR(8239),""""), UNICHAR(8201),""""),""[+\-/(): )]"", """"))"),"44079151958")</f>
        <v>44079151958</v>
      </c>
      <c r="M270" s="2" t="str">
        <f>IFERROR(__xludf.DUMMYFUNCTION("IF(L270="""","""", REGEXEXTRACT(REGEXREPLACE(L270,""x"", """"), ""[0-9]+""))"),"44079151958")</f>
        <v>44079151958</v>
      </c>
      <c r="N270" s="2" t="str">
        <f>IF(LEFT(M270,2)="44", RIGHT(M270,LEN(M270)-2),M270)</f>
        <v>079151958</v>
      </c>
      <c r="O270" s="2" t="b">
        <f>IFERROR(__xludf.DUMMYFUNCTION("REGEXMATCH(TO_TEXT(N270), ""^07[1-57-9]"")"),TRUE)</f>
        <v>1</v>
      </c>
      <c r="P270" s="2">
        <f t="shared" si="126"/>
        <v>9</v>
      </c>
      <c r="Q270" s="9" t="str">
        <f>IF(AND(O270=TRUE, P270=11), "✅ VALID", "❌ INVALID")</f>
        <v>❌ INVALID</v>
      </c>
      <c r="R270" s="10" t="s">
        <v>114</v>
      </c>
      <c r="S270" s="12">
        <v>45657.0</v>
      </c>
      <c r="T270" s="2" t="str">
        <f>IFERROR(__xludf.DUMMYFUNCTION("IF(ISNUMBER(S270),TEXT(S270,""yyyy-MM-dd""),REGEXREPLACE(REGEXREPLACE(TO_TEXT(S270),""[^0-9a-zA-Z]+"",""-""),""[^0-9]*$"",""""))"),"2024-12-31")</f>
        <v>2024-12-31</v>
      </c>
      <c r="U270" s="2" t="s">
        <v>7984</v>
      </c>
      <c r="Y270" s="10" t="s">
        <v>7984</v>
      </c>
    </row>
    <row r="271" ht="15.75" customHeight="1">
      <c r="A271" s="2" t="s">
        <v>4909</v>
      </c>
      <c r="B271" s="9" t="s">
        <v>7597</v>
      </c>
      <c r="C271" s="2" t="s">
        <v>2204</v>
      </c>
      <c r="D271" s="10" t="str">
        <f>IFERROR(__xludf.DUMMYFUNCTION("PROPER(REGEXREPLACE(TRIM(C271),""\s+"","" ""))"),"Paula Lee")</f>
        <v>Paula Lee</v>
      </c>
      <c r="E271" s="2">
        <f>IFERROR(__xludf.DUMMYFUNCTION("IF(LEN(D271:D701),
  COUNTA(SPLIT(D271:D701,"" "")),
 """")"),2.0)</f>
        <v>2</v>
      </c>
      <c r="F271" s="9" t="str">
        <f t="shared" si="114"/>
        <v>✅</v>
      </c>
      <c r="G271" s="2" t="str">
        <f>IFERROR(__xludf.DUMMYFUNCTION("REGEXEXTRACT(PROPER(SUBSTITUTE(TRIM(I271),""."","" "")),""^[^@]+"")"),"Paula Lee")</f>
        <v>Paula Lee</v>
      </c>
      <c r="H271" s="10" t="str">
        <f t="shared" si="115"/>
        <v>paula.lee@shop.io</v>
      </c>
      <c r="I271" s="2" t="s">
        <v>2205</v>
      </c>
      <c r="J271" s="9" t="str">
        <f>IFERROR(__xludf.DUMMYFUNCTION("IF(REGEXMATCH(TRIM(I271),""^[A-Za-z0-9._%+-]+@[A-Za-z0-9.-]+\.[A-Za-z]{2,}$""),""✅ Valid"",""❌ Invalid"")"),"✅ Valid")</f>
        <v>✅ Valid</v>
      </c>
      <c r="K271" s="13" t="s">
        <v>8005</v>
      </c>
      <c r="L271" s="2" t="str">
        <f>IFERROR(__xludf.DUMMYFUNCTION("IF(OR(K271=""N/A"", K271=""missing"", K271=""none""), """",
 REGEXREPLACE(
  SUBSTITUTE(SUBSTITUTE(SUBSTITUTE(TO_TEXT(K271), CHAR(160),""""), UNICHAR(8239),""""), UNICHAR(8201),""""),""[+\-/(): )]"", """"))"),"315537102")</f>
        <v>315537102</v>
      </c>
      <c r="M271" s="2" t="str">
        <f>IFERROR(__xludf.DUMMYFUNCTION("IF(L271="""","""", REGEXEXTRACT(REGEXREPLACE(L271,""x"", """"), ""[0-9]+""))"),"315537102")</f>
        <v>315537102</v>
      </c>
      <c r="N271" s="2" t="str">
        <f>IF(LEFT(M271,3)="353", RIGHT(M271,LEN(M271)-3),M271)</f>
        <v>315537102</v>
      </c>
      <c r="O271" s="2" t="b">
        <f>IFERROR(__xludf.DUMMYFUNCTION("REGEXMATCH(TO_TEXT(N271), ""^0(83|85|86|87|89)"")"),FALSE)</f>
        <v>0</v>
      </c>
      <c r="P271" s="2">
        <f t="shared" si="126"/>
        <v>9</v>
      </c>
      <c r="Q271" s="9" t="str">
        <f>IF(AND(O271=TRUE, P268=10), "✅ VALID", "❌ INVALID")</f>
        <v>❌ INVALID</v>
      </c>
      <c r="R271" s="10" t="s">
        <v>1177</v>
      </c>
      <c r="S271" s="12" t="s">
        <v>7288</v>
      </c>
      <c r="T271" s="2" t="str">
        <f>IFERROR(__xludf.DUMMYFUNCTION("IF(ISNUMBER(S271),TEXT(S271,""yyyy-MM-dd""),REGEXREPLACE(REGEXREPLACE(TO_TEXT(S271),""[^0-9a-zA-Z]+"",""-""),""[^0-9]*$"",""""))"),"03-31-2023-01-24")</f>
        <v>03-31-2023-01-24</v>
      </c>
      <c r="U271" s="2" t="str">
        <f t="shared" ref="U271:U274" si="127">TEXT(T271,"yyyy-MM-dd")</f>
        <v>03-31-2023-01-24</v>
      </c>
      <c r="V271" s="2" t="str">
        <f>IFERROR(__xludf.DUMMYFUNCTION("REGEXEXTRACT(U271,""^\d{2}-\d{2}-\d{4}"")"),"03-31-2023")</f>
        <v>03-31-2023</v>
      </c>
      <c r="W271" s="2" t="str">
        <f>TEXT(V271,"yyyy-MM-dd")</f>
        <v>03-31-2023</v>
      </c>
      <c r="X271" s="2" t="s">
        <v>8006</v>
      </c>
      <c r="Y271" s="10" t="s">
        <v>8006</v>
      </c>
    </row>
    <row r="272" ht="15.75" customHeight="1">
      <c r="A272" s="2" t="s">
        <v>5773</v>
      </c>
      <c r="B272" s="9" t="s">
        <v>7597</v>
      </c>
      <c r="C272" s="2" t="s">
        <v>6934</v>
      </c>
      <c r="D272" s="10" t="s">
        <v>6643</v>
      </c>
      <c r="E272" s="2">
        <f>IFERROR(__xludf.DUMMYFUNCTION("IF(LEN(D272:D701),
  COUNTA(SPLIT(D272:D701,"" "")),
 """")"),2.0)</f>
        <v>2</v>
      </c>
      <c r="F272" s="9" t="str">
        <f t="shared" si="114"/>
        <v>✅</v>
      </c>
      <c r="G272" s="2" t="s">
        <v>6643</v>
      </c>
      <c r="H272" s="10" t="str">
        <f t="shared" si="115"/>
        <v>uma.khan@gmail.com</v>
      </c>
      <c r="I272" s="2" t="s">
        <v>6935</v>
      </c>
      <c r="J272" s="9" t="str">
        <f>IFERROR(__xludf.DUMMYFUNCTION("IF(REGEXMATCH(TRIM(I272),""^[A-Za-z0-9._%+-]+@[A-Za-z0-9.-]+\.[A-Za-z]{2,}$""),""✅ Valid"",""❌ Invalid"")"),"✅ Valid")</f>
        <v>✅ Valid</v>
      </c>
      <c r="K272" s="13" t="s">
        <v>8007</v>
      </c>
      <c r="L272" s="2" t="str">
        <f>IFERROR(__xludf.DUMMYFUNCTION("IF(OR(K272=""N/A"", K272=""missing"", K272=""none""), """",
 REGEXREPLACE(
  SUBSTITUTE(SUBSTITUTE(SUBSTITUTE(TO_TEXT(K272), CHAR(160),""""), UNICHAR(8239),""""), UNICHAR(8201),""""),""[+\-/(): )]"", """"))"),"3454070037")</f>
        <v>3454070037</v>
      </c>
      <c r="M272" s="2" t="str">
        <f>IFERROR(__xludf.DUMMYFUNCTION("IF(L272="""","""", REGEXEXTRACT(REGEXREPLACE(L272,""x"", """"), ""[0-9]+""))"),"3454070037")</f>
        <v>3454070037</v>
      </c>
      <c r="N272" s="2" t="str">
        <f>IF(LEFT(M272,2)="34", RIGHT(M272,LEN(M272)-2),M272)</f>
        <v>54070037</v>
      </c>
      <c r="O272" s="2" t="b">
        <f>IFERROR(__xludf.DUMMYFUNCTION("REGEXMATCH(TO_TEXT(N272), ""^[67]"")"),FALSE)</f>
        <v>0</v>
      </c>
      <c r="P272" s="2">
        <f t="shared" si="126"/>
        <v>8</v>
      </c>
      <c r="Q272" s="9" t="str">
        <f>IF(AND(O272=TRUE, P272=9), "✅ VALID", "❌ INVALID")</f>
        <v>❌ INVALID</v>
      </c>
      <c r="R272" s="10" t="s">
        <v>139</v>
      </c>
      <c r="S272" s="12" t="s">
        <v>6479</v>
      </c>
      <c r="T272" s="2" t="str">
        <f>IFERROR(__xludf.DUMMYFUNCTION("IF(ISNUMBER(S272),TEXT(S272,""yyyy-MM-dd""),REGEXREPLACE(REGEXREPLACE(TO_TEXT(S272),""[^0-9a-zA-Z]+"",""-""),""[^0-9]*$"",""""))"),"03-17-2022")</f>
        <v>03-17-2022</v>
      </c>
      <c r="U272" s="2" t="str">
        <f t="shared" si="127"/>
        <v>03-17-2022</v>
      </c>
      <c r="V272" s="2" t="s">
        <v>8008</v>
      </c>
      <c r="Y272" s="10" t="s">
        <v>8008</v>
      </c>
    </row>
    <row r="273" ht="15.75" customHeight="1">
      <c r="A273" s="2" t="s">
        <v>1659</v>
      </c>
      <c r="B273" s="9" t="s">
        <v>7597</v>
      </c>
      <c r="C273" s="2" t="s">
        <v>5059</v>
      </c>
      <c r="D273" s="10" t="str">
        <f>IFERROR(__xludf.DUMMYFUNCTION("PROPER(REGEXREPLACE(TRIM(C273),""\s+"","" ""))"),"Jade King")</f>
        <v>Jade King</v>
      </c>
      <c r="E273" s="2">
        <f>IFERROR(__xludf.DUMMYFUNCTION("IF(LEN(D273:D701),
  COUNTA(SPLIT(D273:D701,"" "")),
 """")"),2.0)</f>
        <v>2</v>
      </c>
      <c r="F273" s="9" t="str">
        <f t="shared" si="114"/>
        <v>✅</v>
      </c>
      <c r="G273" s="2" t="str">
        <f>IFERROR(__xludf.DUMMYFUNCTION("REGEXEXTRACT(PROPER(SUBSTITUTE(TRIM(I273),""."","" "")),""^[^@]+"")"),"Jade King")</f>
        <v>Jade King</v>
      </c>
      <c r="H273" s="10" t="str">
        <f t="shared" si="115"/>
        <v>jade.king@exapmle.com</v>
      </c>
      <c r="I273" s="2" t="s">
        <v>5060</v>
      </c>
      <c r="J273" s="9" t="str">
        <f>IFERROR(__xludf.DUMMYFUNCTION("IF(REGEXMATCH(TRIM(I273),""^[A-Za-z0-9._%+-]+@[A-Za-z0-9.-]+\.[A-Za-z]{2,}$""),""✅ Valid"",""❌ Invalid"")"),"✅ Valid")</f>
        <v>✅ Valid</v>
      </c>
      <c r="K273" s="13" t="s">
        <v>8009</v>
      </c>
      <c r="L273" s="2" t="str">
        <f>IFERROR(__xludf.DUMMYFUNCTION("IF(OR(K273=""N/A"", K273=""missing"", K273=""none""), """",
 REGEXREPLACE(
  SUBSTITUTE(SUBSTITUTE(SUBSTITUTE(TO_TEXT(K273), CHAR(160),""""), UNICHAR(8239),""""), UNICHAR(8201),""""),""[+\-/(): )]"", """"))"),"7133899316")</f>
        <v>7133899316</v>
      </c>
      <c r="M273" s="2" t="str">
        <f>IFERROR(__xludf.DUMMYFUNCTION("IF(L273="""","""", REGEXEXTRACT(REGEXREPLACE(L273,""x"", """"), ""[0-9]+""))"),"7133899316")</f>
        <v>7133899316</v>
      </c>
      <c r="N273" s="2" t="str">
        <f>IF(LEFT(M273,3)="353", RIGHT(M273,LEN(M273)-3),M273)</f>
        <v>7133899316</v>
      </c>
      <c r="O273" s="2" t="b">
        <f>IFERROR(__xludf.DUMMYFUNCTION("REGEXMATCH(TO_TEXT(N273), ""^0(83|85|86|87|89)"")"),FALSE)</f>
        <v>0</v>
      </c>
      <c r="P273" s="2">
        <f t="shared" si="126"/>
        <v>10</v>
      </c>
      <c r="Q273" s="9" t="str">
        <f>IF(AND(O273=TRUE, P270=10), "✅ VALID", "❌ INVALID")</f>
        <v>❌ INVALID</v>
      </c>
      <c r="R273" s="10" t="s">
        <v>1177</v>
      </c>
      <c r="S273" s="12" t="s">
        <v>6597</v>
      </c>
      <c r="T273" s="2" t="str">
        <f>IFERROR(__xludf.DUMMYFUNCTION("IF(ISNUMBER(S273),TEXT(S273,""yyyy-MM-dd""),REGEXREPLACE(REGEXREPLACE(TO_TEXT(S273),""[^0-9a-zA-Z]+"",""-""),""[^0-9]*$"",""""))"),"03-22-2024")</f>
        <v>03-22-2024</v>
      </c>
      <c r="U273" s="2" t="str">
        <f t="shared" si="127"/>
        <v>03-22-2024</v>
      </c>
      <c r="V273" s="2" t="s">
        <v>8010</v>
      </c>
      <c r="Y273" s="10" t="s">
        <v>8010</v>
      </c>
    </row>
    <row r="274" ht="15.75" customHeight="1">
      <c r="A274" s="2" t="s">
        <v>927</v>
      </c>
      <c r="B274" s="9" t="s">
        <v>7597</v>
      </c>
      <c r="C274" s="2" t="s">
        <v>7190</v>
      </c>
      <c r="D274" s="10" t="str">
        <f>IFERROR(__xludf.DUMMYFUNCTION("PROPER(REGEXREPLACE(TRIM(C274),""\s+"","" ""))"),"Marek Novak")</f>
        <v>Marek Novak</v>
      </c>
      <c r="E274" s="2">
        <f>IFERROR(__xludf.DUMMYFUNCTION("IF(LEN(D274:D701),
  COUNTA(SPLIT(D274:D701,"" "")),
 """")"),2.0)</f>
        <v>2</v>
      </c>
      <c r="F274" s="9" t="str">
        <f t="shared" si="114"/>
        <v>✅</v>
      </c>
      <c r="G274" s="2" t="str">
        <f>IFERROR(__xludf.DUMMYFUNCTION("REGEXEXTRACT(PROPER(SUBSTITUTE(TRIM(I274),""."","" "")),""^[^@]+"")"),"Marek Novak")</f>
        <v>Marek Novak</v>
      </c>
      <c r="H274" s="10" t="str">
        <f t="shared" si="115"/>
        <v>marek.novak@example.com</v>
      </c>
      <c r="I274" s="2" t="s">
        <v>7191</v>
      </c>
      <c r="J274" s="9" t="str">
        <f>IFERROR(__xludf.DUMMYFUNCTION("IF(REGEXMATCH(TRIM(I274),""^[A-Za-z0-9._%+-]+@[A-Za-z0-9.-]+\.[A-Za-z]{2,}$""),""✅ Valid"",""❌ Invalid"")"),"✅ Valid")</f>
        <v>✅ Valid</v>
      </c>
      <c r="K274" s="15" t="s">
        <v>8011</v>
      </c>
      <c r="L274" s="2" t="str">
        <f>IFERROR(__xludf.DUMMYFUNCTION("IF(K274=""N/A"", """",
 REGEXREPLACE(
  SUBSTITUTE(SUBSTITUTE(SUBSTITUTE(TO_TEXT(K274), CHAR(160),""""), UNICHAR(8239),""""), UNICHAR(8201),""""),""[+\-/(): )]"", """"))"),"48891182719")</f>
        <v>48891182719</v>
      </c>
      <c r="M274" s="2" t="str">
        <f>IFERROR(__xludf.DUMMYFUNCTION("IF(L274="""","""", REGEXEXTRACT(REGEXREPLACE(L274,""x"", """"), ""[0-9]+""))"),"48891182719")</f>
        <v>48891182719</v>
      </c>
      <c r="N274" s="2" t="str">
        <f>IF(LEFT(M274,2)="48", RIGHT(M274,LEN(M274)-2),M274)</f>
        <v>891182719</v>
      </c>
      <c r="O274" s="2" t="b">
        <f>IFERROR(__xludf.DUMMYFUNCTION("REGEXMATCH(TO_TEXT(N274), ""^(5[013679]|6[069]|7[2-9]|88)"")"),FALSE)</f>
        <v>0</v>
      </c>
      <c r="Q274" s="9" t="str">
        <f>IF(AND(O274=TRUE, P274=9), "✅ VALID", "❌ INVALID")</f>
        <v>❌ INVALID</v>
      </c>
      <c r="R274" s="10" t="s">
        <v>25</v>
      </c>
      <c r="S274" s="12" t="s">
        <v>6937</v>
      </c>
      <c r="T274" s="2" t="str">
        <f>IFERROR(__xludf.DUMMYFUNCTION("IF(ISNUMBER(S274),TEXT(S274,""yyyy-MM-dd""),REGEXREPLACE(REGEXREPLACE(TO_TEXT(S274),""[^0-9a-zA-Z]+"",""-""),""[^0-9]*$"",""""))"),"01-22-2023")</f>
        <v>01-22-2023</v>
      </c>
      <c r="U274" s="2" t="str">
        <f t="shared" si="127"/>
        <v>01-22-2023</v>
      </c>
      <c r="V274" s="2" t="s">
        <v>7668</v>
      </c>
      <c r="Y274" s="10" t="s">
        <v>7668</v>
      </c>
    </row>
    <row r="275" ht="15.75" customHeight="1">
      <c r="A275" s="2" t="s">
        <v>6440</v>
      </c>
      <c r="B275" s="9" t="s">
        <v>7597</v>
      </c>
      <c r="C275" s="2" t="s">
        <v>4419</v>
      </c>
      <c r="D275" s="10" t="str">
        <f>IFERROR(__xludf.DUMMYFUNCTION("PROPER(REGEXREPLACE(TRIM(C275),""\s+"","" ""))"),"Vlad Young")</f>
        <v>Vlad Young</v>
      </c>
      <c r="E275" s="2">
        <f>IFERROR(__xludf.DUMMYFUNCTION("IF(LEN(D275:D701),
  COUNTA(SPLIT(D275:D701,"" "")),
 """")"),2.0)</f>
        <v>2</v>
      </c>
      <c r="F275" s="9" t="str">
        <f t="shared" si="114"/>
        <v>✅</v>
      </c>
      <c r="G275" s="2" t="str">
        <f>IFERROR(__xludf.DUMMYFUNCTION("REGEXEXTRACT(PROPER(SUBSTITUTE(TRIM(I275),""."","" "")),""^[^@]+"")"),"Vlad Young")</f>
        <v>Vlad Young</v>
      </c>
      <c r="H275" s="10" t="str">
        <f t="shared" si="115"/>
        <v>vlad.young@yahoo.com</v>
      </c>
      <c r="I275" s="2" t="s">
        <v>5735</v>
      </c>
      <c r="J275" s="9" t="str">
        <f>IFERROR(__xludf.DUMMYFUNCTION("IF(REGEXMATCH(TRIM(I275),""^[A-Za-z0-9._%+-]+@[A-Za-z0-9.-]+\.[A-Za-z]{2,}$""),""✅ Valid"",""❌ Invalid"")"),"✅ Valid")</f>
        <v>✅ Valid</v>
      </c>
      <c r="K275" s="13" t="s">
        <v>8012</v>
      </c>
      <c r="L275" s="2" t="str">
        <f>IFERROR(__xludf.DUMMYFUNCTION("IF(OR(K275=""N/A"", K275=""missing"", K275=""none""), """",
 REGEXREPLACE(
  SUBSTITUTE(SUBSTITUTE(SUBSTITUTE(TO_TEXT(K275), CHAR(160),""""), UNICHAR(8239),""""), UNICHAR(8201),""""),""[+\-/(): )]"", """"))"),"1487669173")</f>
        <v>1487669173</v>
      </c>
      <c r="M275" s="2" t="str">
        <f>IFERROR(__xludf.DUMMYFUNCTION("IF(L275="""","""", REGEXEXTRACT(REGEXREPLACE(L275,""x"", """"), ""[0-9]+""))"),"1487669173")</f>
        <v>1487669173</v>
      </c>
      <c r="N275" s="2" t="str">
        <f>IF(LEFT(M275,1)="1", RIGHT(M275,LEN(M275)-1),M275)</f>
        <v>487669173</v>
      </c>
      <c r="O275" s="2" t="b">
        <f>IFERROR(__xludf.DUMMYFUNCTION("REGEXMATCH(TO_TEXT(N275), ""^[2-9][0-9]{9}$"")"),FALSE)</f>
        <v>0</v>
      </c>
      <c r="P275" s="2">
        <f t="shared" ref="P275:P279" si="128">LEN(N275)</f>
        <v>9</v>
      </c>
      <c r="Q275" s="9" t="str">
        <f>IF(AND(O275=TRUE, P275=10), "✅ VALID", "❌ INVALID")</f>
        <v>❌ INVALID</v>
      </c>
      <c r="R275" s="10" t="s">
        <v>199</v>
      </c>
      <c r="S275" s="12">
        <v>45193.0</v>
      </c>
      <c r="T275" s="2" t="str">
        <f>IFERROR(__xludf.DUMMYFUNCTION("IF(ISNUMBER(S275),TEXT(S275,""yyyy-MM-dd""),REGEXREPLACE(REGEXREPLACE(TO_TEXT(S275),""[^0-9a-zA-Z]+"",""-""),""[^0-9]*$"",""""))"),"2023-09-24")</f>
        <v>2023-09-24</v>
      </c>
      <c r="U275" s="2" t="s">
        <v>8013</v>
      </c>
      <c r="Y275" s="10" t="s">
        <v>8013</v>
      </c>
    </row>
    <row r="276" ht="15.75" customHeight="1">
      <c r="A276" s="2" t="s">
        <v>7047</v>
      </c>
      <c r="B276" s="9" t="s">
        <v>7597</v>
      </c>
      <c r="C276" s="2" t="s">
        <v>2146</v>
      </c>
      <c r="D276" s="10" t="str">
        <f>IFERROR(__xludf.DUMMYFUNCTION("PROPER(REGEXREPLACE(TRIM(C276),""\s+"","" ""))"),"Ethan Lee")</f>
        <v>Ethan Lee</v>
      </c>
      <c r="E276" s="2">
        <f>IFERROR(__xludf.DUMMYFUNCTION("IF(LEN(D276:D701),
  COUNTA(SPLIT(D276:D701,"" "")),
 """")"),2.0)</f>
        <v>2</v>
      </c>
      <c r="F276" s="9" t="str">
        <f t="shared" si="114"/>
        <v>❌</v>
      </c>
      <c r="G276" s="2" t="s">
        <v>8014</v>
      </c>
      <c r="H276" s="10" t="str">
        <f t="shared" si="115"/>
        <v>e than.lee@outlook.com</v>
      </c>
      <c r="I276" s="2" t="s">
        <v>2147</v>
      </c>
      <c r="J276" s="9" t="str">
        <f>IFERROR(__xludf.DUMMYFUNCTION("IF(REGEXMATCH(TRIM(I276),""^[A-Za-z0-9._%+-]+@[A-Za-z0-9.-]+\.[A-Za-z]{2,}$""),""✅ Valid"",""❌ Invalid"")"),"❌ Invalid")</f>
        <v>❌ Invalid</v>
      </c>
      <c r="K276" s="13" t="s">
        <v>8015</v>
      </c>
      <c r="L276" s="2" t="str">
        <f>IFERROR(__xludf.DUMMYFUNCTION("IF(OR(K276=""N/A"", K276=""missing"", K276=""none""), """",
 REGEXREPLACE(
  SUBSTITUTE(SUBSTITUTE(SUBSTITUTE(TO_TEXT(K276), CHAR(160),""""), UNICHAR(8239),""""), UNICHAR(8201),""""),""[+\-/(): )]"", """"))"),"tel4973883836583")</f>
        <v>tel4973883836583</v>
      </c>
      <c r="M276" s="2" t="str">
        <f>IFERROR(__xludf.DUMMYFUNCTION("IF(L276="""","""", REGEXEXTRACT(REGEXREPLACE(L276,""x"", """"), ""[0-9]+""))"),"4973883836583")</f>
        <v>4973883836583</v>
      </c>
      <c r="N276" s="2" t="str">
        <f>IF(LEFT(M276,2)="49", RIGHT(M276,LEN(M276)-2),M276)</f>
        <v>73883836583</v>
      </c>
      <c r="O276" s="2" t="b">
        <f>IFERROR(__xludf.DUMMYFUNCTION("REGEXMATCH(TO_TEXT(N276), ""^0(15|16|17)"")"),FALSE)</f>
        <v>0</v>
      </c>
      <c r="P276" s="2">
        <f t="shared" si="128"/>
        <v>11</v>
      </c>
      <c r="Q276" s="9" t="str">
        <f>IF(AND(O276=TRUE,OR(P276=10, P276=11)), "✅ VALID", "❌ INVALID")</f>
        <v>❌ INVALID</v>
      </c>
      <c r="R276" s="10" t="s">
        <v>459</v>
      </c>
      <c r="S276" s="12">
        <v>45157.0</v>
      </c>
      <c r="T276" s="2" t="str">
        <f>IFERROR(__xludf.DUMMYFUNCTION("IF(ISNUMBER(S276),TEXT(S276,""yyyy-MM-dd""),REGEXREPLACE(REGEXREPLACE(TO_TEXT(S276),""[^0-9a-zA-Z]+"",""-""),""[^0-9]*$"",""""))"),"2023-08-19")</f>
        <v>2023-08-19</v>
      </c>
      <c r="U276" s="2" t="s">
        <v>8016</v>
      </c>
      <c r="Y276" s="10" t="s">
        <v>8016</v>
      </c>
    </row>
    <row r="277" ht="15.75" customHeight="1">
      <c r="A277" s="2" t="s">
        <v>2830</v>
      </c>
      <c r="B277" s="9" t="s">
        <v>7597</v>
      </c>
      <c r="C277" s="2" t="s">
        <v>1428</v>
      </c>
      <c r="D277" s="10" t="str">
        <f>IFERROR(__xludf.DUMMYFUNCTION("PROPER(REGEXREPLACE(TRIM(C277),""\s+"","" ""))"),"Sam Taylor")</f>
        <v>Sam Taylor</v>
      </c>
      <c r="E277" s="2">
        <f>IFERROR(__xludf.DUMMYFUNCTION("IF(LEN(D277:D701),
  COUNTA(SPLIT(D277:D701,"" "")),
 """")"),2.0)</f>
        <v>2</v>
      </c>
      <c r="F277" s="9" t="str">
        <f t="shared" si="114"/>
        <v>✅</v>
      </c>
      <c r="G277" s="2" t="str">
        <f>IFERROR(__xludf.DUMMYFUNCTION("REGEXEXTRACT(PROPER(SUBSTITUTE(TRIM(I277),""."","" "")),""^[^@]+"")"),"Sam Taylor")</f>
        <v>Sam Taylor</v>
      </c>
      <c r="H277" s="10" t="str">
        <f t="shared" si="115"/>
        <v>sam.taylor@yahoo.com</v>
      </c>
      <c r="I277" s="2" t="s">
        <v>1429</v>
      </c>
      <c r="J277" s="9" t="str">
        <f>IFERROR(__xludf.DUMMYFUNCTION("IF(REGEXMATCH(TRIM(I277),""^[A-Za-z0-9._%+-]+@[A-Za-z0-9.-]+\.[A-Za-z]{2,}$""),""✅ Valid"",""❌ Invalid"")"),"✅ Valid")</f>
        <v>✅ Valid</v>
      </c>
      <c r="K277" s="13" t="s">
        <v>8017</v>
      </c>
      <c r="L277" s="2" t="str">
        <f>IFERROR(__xludf.DUMMYFUNCTION("IF(OR(K277=""N/A"", K277=""missing"", K277=""none""), """",
 REGEXREPLACE(
  SUBSTITUTE(SUBSTITUTE(SUBSTITUTE(TO_TEXT(K277), CHAR(160),""""), UNICHAR(8239),""""), UNICHAR(8201),""""),""[+\-/(): )]"", """"))"),"34396028852")</f>
        <v>34396028852</v>
      </c>
      <c r="M277" s="2" t="str">
        <f>IFERROR(__xludf.DUMMYFUNCTION("IF(L277="""","""", REGEXEXTRACT(REGEXREPLACE(L277,""x"", """"), ""[0-9]+""))"),"34396028852")</f>
        <v>34396028852</v>
      </c>
      <c r="N277" s="2" t="str">
        <f>IF(LEFT(M277,2)="34", RIGHT(M277,LEN(M277)-2),M277)</f>
        <v>396028852</v>
      </c>
      <c r="O277" s="2" t="b">
        <f>IFERROR(__xludf.DUMMYFUNCTION("REGEXMATCH(TO_TEXT(N277), ""^[67]"")"),FALSE)</f>
        <v>0</v>
      </c>
      <c r="P277" s="2">
        <f t="shared" si="128"/>
        <v>9</v>
      </c>
      <c r="Q277" s="9" t="str">
        <f>IF(AND(O277=TRUE, P277=9), "✅ VALID", "❌ INVALID")</f>
        <v>❌ INVALID</v>
      </c>
      <c r="R277" s="10" t="s">
        <v>139</v>
      </c>
      <c r="S277" s="12" t="s">
        <v>7172</v>
      </c>
      <c r="T277" s="2" t="str">
        <f>IFERROR(__xludf.DUMMYFUNCTION("IF(ISNUMBER(S277),TEXT(S277,""yyyy-MM-dd""),REGEXREPLACE(REGEXREPLACE(TO_TEXT(S277),""[^0-9a-zA-Z]+"",""-""),""[^0-9]*$"",""""))"),"19-08-2022")</f>
        <v>19-08-2022</v>
      </c>
      <c r="U277" s="2" t="s">
        <v>8018</v>
      </c>
      <c r="Y277" s="10" t="s">
        <v>8018</v>
      </c>
    </row>
    <row r="278" ht="15.75" customHeight="1">
      <c r="A278" s="2" t="s">
        <v>2655</v>
      </c>
      <c r="B278" s="9" t="s">
        <v>7597</v>
      </c>
      <c r="C278" s="2" t="s">
        <v>2374</v>
      </c>
      <c r="D278" s="10" t="str">
        <f>IFERROR(__xludf.DUMMYFUNCTION("PROPER(REGEXREPLACE(TRIM(C278),""\s+"","" ""))"),"Igor Martinez")</f>
        <v>Igor Martinez</v>
      </c>
      <c r="E278" s="2">
        <f>IFERROR(__xludf.DUMMYFUNCTION("IF(LEN(D278:D701),
  COUNTA(SPLIT(D278:D701,"" "")),
 """")"),2.0)</f>
        <v>2</v>
      </c>
      <c r="F278" s="9" t="str">
        <f t="shared" si="114"/>
        <v>✅</v>
      </c>
      <c r="G278" s="2" t="str">
        <f>IFERROR(__xludf.DUMMYFUNCTION("REGEXEXTRACT(PROPER(SUBSTITUTE(TRIM(I278),""."","" "")),""^[^@]+"")"),"Igor Martinez")</f>
        <v>Igor Martinez</v>
      </c>
      <c r="H278" s="10" t="str">
        <f t="shared" si="115"/>
        <v>igor.martinez@company.co.uk</v>
      </c>
      <c r="I278" s="2" t="s">
        <v>4910</v>
      </c>
      <c r="J278" s="9" t="str">
        <f>IFERROR(__xludf.DUMMYFUNCTION("IF(REGEXMATCH(TRIM(I278),""^[A-Za-z0-9._%+-]+@[A-Za-z0-9.-]+\.[A-Za-z]{2,}$""),""✅ Valid"",""❌ Invalid"")"),"✅ Valid")</f>
        <v>✅ Valid</v>
      </c>
      <c r="K278" s="13" t="s">
        <v>8019</v>
      </c>
      <c r="L278" s="2" t="str">
        <f>IFERROR(__xludf.DUMMYFUNCTION("IF(OR(K278=""N/A"", K278=""missing"", K278=""none""), """",
 REGEXREPLACE(
  SUBSTITUTE(SUBSTITUTE(SUBSTITUTE(TO_TEXT(K278), CHAR(160),""""), UNICHAR(8239),""""), UNICHAR(8201),""""),""[+\-/(): )]"", """"))"),"537237094ext55")</f>
        <v>537237094ext55</v>
      </c>
      <c r="M278" s="2" t="str">
        <f>IFERROR(__xludf.DUMMYFUNCTION("IF(L278="""","""", REGEXEXTRACT(REGEXREPLACE(L278,""x"", """"), ""[0-9]+""))"),"537237094")</f>
        <v>537237094</v>
      </c>
      <c r="N278" s="2" t="str">
        <f>IF(LEFT(M278,1)="1", RIGHT(M278,LEN(M278)-1),M278)</f>
        <v>537237094</v>
      </c>
      <c r="O278" s="2" t="b">
        <f>IFERROR(__xludf.DUMMYFUNCTION("REGEXMATCH(TO_TEXT(N278), ""^[2-9][0-9]{9}$"")"),FALSE)</f>
        <v>0</v>
      </c>
      <c r="P278" s="2">
        <f t="shared" si="128"/>
        <v>9</v>
      </c>
      <c r="Q278" s="9" t="str">
        <f>IF(AND(O278=TRUE, P278=10), "✅ VALID", "❌ INVALID")</f>
        <v>❌ INVALID</v>
      </c>
      <c r="R278" s="10" t="s">
        <v>199</v>
      </c>
      <c r="S278" s="12" t="s">
        <v>6952</v>
      </c>
      <c r="T278" s="2" t="str">
        <f>IFERROR(__xludf.DUMMYFUNCTION("IF(ISNUMBER(S278),TEXT(S278,""yyyy-MM-dd""),REGEXREPLACE(REGEXREPLACE(TO_TEXT(S278),""[^0-9a-zA-Z]+"",""-""),""[^0-9]*$"",""""))"),"14-01-2024")</f>
        <v>14-01-2024</v>
      </c>
      <c r="U278" s="2" t="s">
        <v>8020</v>
      </c>
      <c r="Y278" s="10" t="s">
        <v>8020</v>
      </c>
    </row>
    <row r="279" ht="15.75" customHeight="1">
      <c r="A279" s="2" t="s">
        <v>4570</v>
      </c>
      <c r="B279" s="9" t="s">
        <v>7597</v>
      </c>
      <c r="C279" s="2" t="s">
        <v>5774</v>
      </c>
      <c r="D279" s="10" t="str">
        <f>IFERROR(__xludf.DUMMYFUNCTION("PROPER(REGEXREPLACE(TRIM(C279),""\s+"","" ""))"),"Omar Lee")</f>
        <v>Omar Lee</v>
      </c>
      <c r="E279" s="2">
        <f>IFERROR(__xludf.DUMMYFUNCTION("IF(LEN(D279:D701),
  COUNTA(SPLIT(D279:D701,"" "")),
 """")"),2.0)</f>
        <v>2</v>
      </c>
      <c r="F279" s="9" t="str">
        <f t="shared" si="114"/>
        <v>✅</v>
      </c>
      <c r="G279" s="2" t="str">
        <f>IFERROR(__xludf.DUMMYFUNCTION("REGEXEXTRACT(PROPER(SUBSTITUTE(TRIM(I279),""."","" "")),""^[^@]+"")"),"Omar Lee")</f>
        <v>Omar Lee</v>
      </c>
      <c r="H279" s="10" t="str">
        <f t="shared" si="115"/>
        <v>omar.lee@yahoo.com</v>
      </c>
      <c r="I279" s="2" t="s">
        <v>5775</v>
      </c>
      <c r="J279" s="9" t="str">
        <f>IFERROR(__xludf.DUMMYFUNCTION("IF(REGEXMATCH(TRIM(I279),""^[A-Za-z0-9._%+-]+@[A-Za-z0-9.-]+\.[A-Za-z]{2,}$""),""✅ Valid"",""❌ Invalid"")"),"✅ Valid")</f>
        <v>✅ Valid</v>
      </c>
      <c r="K279" s="13" t="s">
        <v>8021</v>
      </c>
      <c r="L279" s="2" t="str">
        <f>IFERROR(__xludf.DUMMYFUNCTION("IF(OR(K279=""N/A"", K279=""missing"", K279=""none""), """",
 REGEXREPLACE(
  SUBSTITUTE(SUBSTITUTE(SUBSTITUTE(TO_TEXT(K279), CHAR(160),""""), UNICHAR(8239),""""), UNICHAR(8201),""""),""[+\-/(): )]"", """"))"),"4414862486694")</f>
        <v>4414862486694</v>
      </c>
      <c r="M279" s="2" t="str">
        <f>IFERROR(__xludf.DUMMYFUNCTION("IF(L279="""","""", REGEXEXTRACT(REGEXREPLACE(L279,""x"", """"), ""[0-9]+""))"),"4414862486694")</f>
        <v>4414862486694</v>
      </c>
      <c r="N279" s="2" t="str">
        <f>IF(LEFT(M279,2)="44", RIGHT(M279,LEN(M279)-2),M279)</f>
        <v>14862486694</v>
      </c>
      <c r="O279" s="2" t="b">
        <f>IFERROR(__xludf.DUMMYFUNCTION("REGEXMATCH(TO_TEXT(N279), ""^07[1-57-9]"")"),FALSE)</f>
        <v>0</v>
      </c>
      <c r="P279" s="2">
        <f t="shared" si="128"/>
        <v>11</v>
      </c>
      <c r="Q279" s="9" t="str">
        <f>IF(AND(O279=TRUE, P279=11), "✅ VALID", "❌ INVALID")</f>
        <v>❌ INVALID</v>
      </c>
      <c r="R279" s="10" t="s">
        <v>114</v>
      </c>
      <c r="S279" s="12">
        <v>45638.0</v>
      </c>
      <c r="T279" s="2" t="str">
        <f>IFERROR(__xludf.DUMMYFUNCTION("IF(ISNUMBER(S279),TEXT(S279,""yyyy-MM-dd""),REGEXREPLACE(REGEXREPLACE(TO_TEXT(S279),""[^0-9a-zA-Z]+"",""-""),""[^0-9]*$"",""""))"),"2024-12-12")</f>
        <v>2024-12-12</v>
      </c>
      <c r="U279" s="2" t="s">
        <v>8022</v>
      </c>
      <c r="Y279" s="10" t="s">
        <v>8022</v>
      </c>
    </row>
    <row r="280" ht="15.75" customHeight="1">
      <c r="A280" s="2" t="s">
        <v>1838</v>
      </c>
      <c r="B280" s="9" t="s">
        <v>7597</v>
      </c>
      <c r="C280" s="2" t="s">
        <v>1660</v>
      </c>
      <c r="D280" s="10" t="str">
        <f>IFERROR(__xludf.DUMMYFUNCTION("PROPER(REGEXREPLACE(TRIM(C280),""\s+"","" ""))"),"Ethan Muller")</f>
        <v>Ethan Muller</v>
      </c>
      <c r="E280" s="2">
        <f>IFERROR(__xludf.DUMMYFUNCTION("IF(LEN(D280:D701),
  COUNTA(SPLIT(D280:D701,"" "")),
 """")"),2.0)</f>
        <v>2</v>
      </c>
      <c r="F280" s="9" t="str">
        <f t="shared" si="114"/>
        <v>✅</v>
      </c>
      <c r="G280" s="2" t="str">
        <f>IFERROR(__xludf.DUMMYFUNCTION("REGEXEXTRACT(PROPER(SUBSTITUTE(TRIM(I280),""."","" "")),""^[^@]+"")"),"Ethan Muller")</f>
        <v>Ethan Muller</v>
      </c>
      <c r="H280" s="10" t="str">
        <f t="shared" si="115"/>
        <v>ethan.muller@company.co.uk</v>
      </c>
      <c r="I280" s="2" t="s">
        <v>1661</v>
      </c>
      <c r="J280" s="9" t="str">
        <f>IFERROR(__xludf.DUMMYFUNCTION("IF(REGEXMATCH(TRIM(I280),""^[A-Za-z0-9._%+-]+@[A-Za-z0-9.-]+\.[A-Za-z]{2,}$""),""✅ Valid"",""❌ Invalid"")"),"✅ Valid")</f>
        <v>✅ Valid</v>
      </c>
      <c r="K280" s="15" t="s">
        <v>8023</v>
      </c>
      <c r="L280" s="2" t="str">
        <f>IFERROR(__xludf.DUMMYFUNCTION("IF(K280=""N/A"", """",
 REGEXREPLACE(
  SUBSTITUTE(SUBSTITUTE(SUBSTITUTE(TO_TEXT(K280), CHAR(160),""""), UNICHAR(8239),""""), UNICHAR(8201),""""),""[+\-/(): )]"", """"))"),"95144810")</f>
        <v>95144810</v>
      </c>
      <c r="M280" s="2" t="str">
        <f>IFERROR(__xludf.DUMMYFUNCTION("IF(L280="""","""", REGEXEXTRACT(REGEXREPLACE(L280,""x"", """"), ""[0-9]+""))"),"95144810")</f>
        <v>95144810</v>
      </c>
      <c r="N280" s="2" t="str">
        <f>IF(LEFT(M280,2)="48", RIGHT(M280,LEN(M280)-2),M280)</f>
        <v>95144810</v>
      </c>
      <c r="O280" s="2" t="b">
        <f>IFERROR(__xludf.DUMMYFUNCTION("REGEXMATCH(TO_TEXT(N280), ""^(5[013679]|6[069]|7[2-9]|88)"")"),FALSE)</f>
        <v>0</v>
      </c>
      <c r="Q280" s="9" t="str">
        <f>IF(AND(O280=TRUE, P280=9), "✅ VALID", "❌ INVALID")</f>
        <v>❌ INVALID</v>
      </c>
      <c r="R280" s="10" t="s">
        <v>25</v>
      </c>
      <c r="S280" s="12">
        <v>45735.0</v>
      </c>
      <c r="T280" s="2" t="str">
        <f>IFERROR(__xludf.DUMMYFUNCTION("IF(ISNUMBER(S280),TEXT(S280,""yyyy-MM-dd""),REGEXREPLACE(REGEXREPLACE(TO_TEXT(S280),""[^0-9a-zA-Z]+"",""-""),""[^0-9]*$"",""""))"),"2025-03-19")</f>
        <v>2025-03-19</v>
      </c>
      <c r="U280" s="2" t="s">
        <v>8024</v>
      </c>
      <c r="Y280" s="10" t="s">
        <v>8024</v>
      </c>
    </row>
    <row r="281" ht="15.75" customHeight="1">
      <c r="A281" s="2" t="s">
        <v>3927</v>
      </c>
      <c r="B281" s="9" t="s">
        <v>7597</v>
      </c>
      <c r="C281" s="2" t="s">
        <v>1727</v>
      </c>
      <c r="D281" s="10" t="str">
        <f>IFERROR(__xludf.DUMMYFUNCTION("PROPER(REGEXREPLACE(TRIM(C281),""\s+"","" ""))"),"Ethan Muller")</f>
        <v>Ethan Muller</v>
      </c>
      <c r="E281" s="2">
        <f>IFERROR(__xludf.DUMMYFUNCTION("IF(LEN(D281:D701),
  COUNTA(SPLIT(D281:D701,"" "")),
 """")"),2.0)</f>
        <v>2</v>
      </c>
      <c r="F281" s="9" t="str">
        <f t="shared" si="114"/>
        <v>✅</v>
      </c>
      <c r="G281" s="2" t="str">
        <f>IFERROR(__xludf.DUMMYFUNCTION("REGEXEXTRACT(PROPER(SUBSTITUTE(TRIM(I281),""."","" "")),""^[^@]+"")"),"Ethan Muller")</f>
        <v>Ethan Muller</v>
      </c>
      <c r="H281" s="10" t="str">
        <f t="shared" si="115"/>
        <v>ethan.muller@company.co.ku</v>
      </c>
      <c r="I281" s="2" t="s">
        <v>6072</v>
      </c>
      <c r="J281" s="9" t="str">
        <f>IFERROR(__xludf.DUMMYFUNCTION("IF(REGEXMATCH(TRIM(I281),""^[A-Za-z0-9._%+-]+@[A-Za-z0-9.-]+\.[A-Za-z]{2,}$""),""✅ Valid"",""❌ Invalid"")"),"✅ Valid")</f>
        <v>✅ Valid</v>
      </c>
      <c r="K281" s="13" t="s">
        <v>8025</v>
      </c>
      <c r="L281" s="2" t="str">
        <f>IFERROR(__xludf.DUMMYFUNCTION("IF(OR(K281=""N/A"", K281=""missing"", K281=""none""), """",
 REGEXREPLACE(
  SUBSTITUTE(SUBSTITUTE(SUBSTITUTE(TO_TEXT(K281), CHAR(160),""""), UNICHAR(8239),""""), UNICHAR(8201),""""),""[+\-/(): )]"", """"))"),"39483010722")</f>
        <v>39483010722</v>
      </c>
      <c r="M281" s="2" t="str">
        <f>IFERROR(__xludf.DUMMYFUNCTION("IF(L281="""","""", REGEXEXTRACT(REGEXREPLACE(L281,""x"", """"), ""[0-9]+""))"),"39483010722")</f>
        <v>39483010722</v>
      </c>
      <c r="N281" s="2" t="str">
        <f>IF(LEFT(M281,2)="39", RIGHT(M281,LEN(M281)-2),M281)</f>
        <v>483010722</v>
      </c>
      <c r="O281" s="2" t="b">
        <f>IFERROR(__xludf.DUMMYFUNCTION("REGEXMATCH(TO_TEXT(N281), ""^3"")"),FALSE)</f>
        <v>0</v>
      </c>
      <c r="P281" s="2">
        <f t="shared" ref="P281:P299" si="129">LEN(N281)</f>
        <v>9</v>
      </c>
      <c r="Q281" s="9" t="str">
        <f>IF(AND(O281=TRUE,OR(P281=9, P281=10 )), "✅ VALID", "❌ INVALID")</f>
        <v>❌ INVALID</v>
      </c>
      <c r="R281" s="10" t="s">
        <v>785</v>
      </c>
      <c r="S281" s="12">
        <v>45251.0</v>
      </c>
      <c r="T281" s="2" t="str">
        <f>IFERROR(__xludf.DUMMYFUNCTION("IF(ISNUMBER(S281),TEXT(S281,""yyyy-MM-dd""),REGEXREPLACE(REGEXREPLACE(TO_TEXT(S281),""[^0-9a-zA-Z]+"",""-""),""[^0-9]*$"",""""))"),"2023-11-21")</f>
        <v>2023-11-21</v>
      </c>
      <c r="U281" s="2" t="s">
        <v>3641</v>
      </c>
      <c r="Y281" s="10" t="s">
        <v>3641</v>
      </c>
    </row>
    <row r="282" ht="15.75" customHeight="1">
      <c r="A282" s="2" t="s">
        <v>1581</v>
      </c>
      <c r="B282" s="9" t="s">
        <v>7597</v>
      </c>
      <c r="C282" s="2" t="s">
        <v>928</v>
      </c>
      <c r="D282" s="10" t="str">
        <f>IFERROR(__xludf.DUMMYFUNCTION("PROPER(REGEXREPLACE(TRIM(C282),""\s+"","" ""))"),"Vlad Garcia")</f>
        <v>Vlad Garcia</v>
      </c>
      <c r="E282" s="2">
        <f>IFERROR(__xludf.DUMMYFUNCTION("IF(LEN(D282:D701),
  COUNTA(SPLIT(D282:D701,"" "")),
 """")"),2.0)</f>
        <v>2</v>
      </c>
      <c r="F282" s="9" t="str">
        <f t="shared" si="114"/>
        <v>✅</v>
      </c>
      <c r="G282" s="2" t="str">
        <f>IFERROR(__xludf.DUMMYFUNCTION("REGEXEXTRACT(PROPER(SUBSTITUTE(TRIM(I282),""."","" "")),""^[^@]+"")"),"Vlad Garcia")</f>
        <v>Vlad Garcia</v>
      </c>
      <c r="H282" s="10" t="str">
        <f t="shared" si="115"/>
        <v>vlad.garcia@outlook.com</v>
      </c>
      <c r="I282" s="2" t="s">
        <v>929</v>
      </c>
      <c r="J282" s="9" t="str">
        <f>IFERROR(__xludf.DUMMYFUNCTION("IF(REGEXMATCH(TRIM(I282),""^[A-Za-z0-9._%+-]+@[A-Za-z0-9.-]+\.[A-Za-z]{2,}$""),""✅ Valid"",""❌ Invalid"")"),"✅ Valid")</f>
        <v>✅ Valid</v>
      </c>
      <c r="K282" s="13" t="s">
        <v>8026</v>
      </c>
      <c r="L282" s="2" t="str">
        <f>IFERROR(__xludf.DUMMYFUNCTION("IF(OR(K282=""N/A"", K282=""missing"", K282=""none""), """",
 REGEXREPLACE(
  SUBSTITUTE(SUBSTITUTE(SUBSTITUTE(TO_TEXT(K282), CHAR(160),""""), UNICHAR(8239),""""), UNICHAR(8201),""""),""[+\-/(): )]"", """"))"),"4457100804026")</f>
        <v>4457100804026</v>
      </c>
      <c r="M282" s="2" t="str">
        <f>IFERROR(__xludf.DUMMYFUNCTION("IF(L282="""","""", REGEXEXTRACT(REGEXREPLACE(L282,""x"", """"), ""[0-9]+""))"),"4457100804026")</f>
        <v>4457100804026</v>
      </c>
      <c r="N282" s="2" t="str">
        <f t="shared" ref="N282:N283" si="130">IF(LEFT(M282,2)="44", RIGHT(M282,LEN(M282)-2),M282)</f>
        <v>57100804026</v>
      </c>
      <c r="O282" s="2" t="b">
        <f>IFERROR(__xludf.DUMMYFUNCTION("REGEXMATCH(TO_TEXT(N282), ""^07[1-57-9]"")"),FALSE)</f>
        <v>0</v>
      </c>
      <c r="P282" s="2">
        <f t="shared" si="129"/>
        <v>11</v>
      </c>
      <c r="Q282" s="9" t="str">
        <f t="shared" ref="Q282:Q283" si="131">IF(AND(O282=TRUE, P282=11), "✅ VALID", "❌ INVALID")</f>
        <v>❌ INVALID</v>
      </c>
      <c r="R282" s="10" t="s">
        <v>114</v>
      </c>
      <c r="S282" s="12">
        <v>45652.0</v>
      </c>
      <c r="T282" s="2" t="str">
        <f>IFERROR(__xludf.DUMMYFUNCTION("IF(ISNUMBER(S282),TEXT(S282,""yyyy-MM-dd""),REGEXREPLACE(REGEXREPLACE(TO_TEXT(S282),""[^0-9a-zA-Z]+"",""-""),""[^0-9]*$"",""""))"),"2024-12-26")</f>
        <v>2024-12-26</v>
      </c>
      <c r="U282" s="2" t="s">
        <v>7605</v>
      </c>
      <c r="Y282" s="10" t="s">
        <v>7605</v>
      </c>
    </row>
    <row r="283" ht="15.75" customHeight="1">
      <c r="A283" s="2" t="s">
        <v>6340</v>
      </c>
      <c r="B283" s="9" t="s">
        <v>7597</v>
      </c>
      <c r="C283" s="2" t="s">
        <v>6441</v>
      </c>
      <c r="D283" s="10" t="str">
        <f>IFERROR(__xludf.DUMMYFUNCTION("PROPER(REGEXREPLACE(TRIM(C283),""\s+"","" ""))"),"Gabe Lopez")</f>
        <v>Gabe Lopez</v>
      </c>
      <c r="E283" s="2">
        <f>IFERROR(__xludf.DUMMYFUNCTION("IF(LEN(D283:D701),
  COUNTA(SPLIT(D283:D701,"" "")),
 """")"),2.0)</f>
        <v>2</v>
      </c>
      <c r="F283" s="9" t="str">
        <f t="shared" si="114"/>
        <v>✅</v>
      </c>
      <c r="G283" s="2" t="str">
        <f>IFERROR(__xludf.DUMMYFUNCTION("REGEXEXTRACT(PROPER(SUBSTITUTE(TRIM(I283),""."","" "")),""^[^@]+"")"),"Gabe Lopez")</f>
        <v>Gabe Lopez</v>
      </c>
      <c r="H283" s="10" t="str">
        <f t="shared" si="115"/>
        <v>gabe.lopez@gmail.com</v>
      </c>
      <c r="I283" s="2" t="s">
        <v>6442</v>
      </c>
      <c r="J283" s="9" t="str">
        <f>IFERROR(__xludf.DUMMYFUNCTION("IF(REGEXMATCH(TRIM(I283),""^[A-Za-z0-9._%+-]+@[A-Za-z0-9.-]+\.[A-Za-z]{2,}$""),""✅ Valid"",""❌ Invalid"")"),"✅ Valid")</f>
        <v>✅ Valid</v>
      </c>
      <c r="K283" s="13" t="s">
        <v>8027</v>
      </c>
      <c r="L283" s="2" t="str">
        <f>IFERROR(__xludf.DUMMYFUNCTION("IF(OR(K283=""N/A"", K283=""missing"", K283=""none""), """",
 REGEXREPLACE(
  SUBSTITUTE(SUBSTITUTE(SUBSTITUTE(TO_TEXT(K283), CHAR(160),""""), UNICHAR(8239),""""), UNICHAR(8201),""""),""[+\-/(): )]"", """"))"),"44002291081")</f>
        <v>44002291081</v>
      </c>
      <c r="M283" s="2" t="str">
        <f>IFERROR(__xludf.DUMMYFUNCTION("IF(L283="""","""", REGEXEXTRACT(REGEXREPLACE(L283,""x"", """"), ""[0-9]+""))"),"44002291081")</f>
        <v>44002291081</v>
      </c>
      <c r="N283" s="2" t="str">
        <f t="shared" si="130"/>
        <v>002291081</v>
      </c>
      <c r="O283" s="2" t="b">
        <f>IFERROR(__xludf.DUMMYFUNCTION("REGEXMATCH(TO_TEXT(N283), ""^07[1-57-9]"")"),FALSE)</f>
        <v>0</v>
      </c>
      <c r="P283" s="2">
        <f t="shared" si="129"/>
        <v>9</v>
      </c>
      <c r="Q283" s="9" t="str">
        <f t="shared" si="131"/>
        <v>❌ INVALID</v>
      </c>
      <c r="R283" s="10" t="s">
        <v>114</v>
      </c>
      <c r="S283" s="12">
        <v>45652.0</v>
      </c>
      <c r="T283" s="2" t="str">
        <f>IFERROR(__xludf.DUMMYFUNCTION("IF(ISNUMBER(S283),TEXT(S283,""yyyy-MM-dd""),REGEXREPLACE(REGEXREPLACE(TO_TEXT(S283),""[^0-9a-zA-Z]+"",""-""),""[^0-9]*$"",""""))"),"2024-12-26")</f>
        <v>2024-12-26</v>
      </c>
      <c r="U283" s="2" t="s">
        <v>7605</v>
      </c>
      <c r="Y283" s="10" t="s">
        <v>7605</v>
      </c>
    </row>
    <row r="284" ht="15.75" customHeight="1">
      <c r="A284" s="2" t="s">
        <v>1962</v>
      </c>
      <c r="B284" s="9" t="s">
        <v>7597</v>
      </c>
      <c r="C284" s="2" t="s">
        <v>7048</v>
      </c>
      <c r="D284" s="10" t="str">
        <f>IFERROR(__xludf.DUMMYFUNCTION("PROPER(REGEXREPLACE(TRIM(C284),""\s+"","" ""))"),"Carlos Brown")</f>
        <v>Carlos Brown</v>
      </c>
      <c r="E284" s="2">
        <f>IFERROR(__xludf.DUMMYFUNCTION("IF(LEN(D284:D701),
  COUNTA(SPLIT(D284:D701,"" "")),
 """")"),2.0)</f>
        <v>2</v>
      </c>
      <c r="F284" s="9" t="str">
        <f t="shared" si="114"/>
        <v>✅</v>
      </c>
      <c r="G284" s="2" t="str">
        <f>IFERROR(__xludf.DUMMYFUNCTION("REGEXEXTRACT(PROPER(SUBSTITUTE(TRIM(I284),""."","" "")),""^[^@]+"")"),"Carlos Brown")</f>
        <v>Carlos Brown</v>
      </c>
      <c r="H284" s="10" t="str">
        <f t="shared" si="115"/>
        <v>carlos.brown@example.com</v>
      </c>
      <c r="I284" s="2" t="s">
        <v>7049</v>
      </c>
      <c r="J284" s="9" t="str">
        <f>IFERROR(__xludf.DUMMYFUNCTION("IF(REGEXMATCH(TRIM(I284),""^[A-Za-z0-9._%+-]+@[A-Za-z0-9.-]+\.[A-Za-z]{2,}$""),""✅ Valid"",""❌ Invalid"")"),"✅ Valid")</f>
        <v>✅ Valid</v>
      </c>
      <c r="K284" s="13" t="s">
        <v>8028</v>
      </c>
      <c r="L284" s="2" t="str">
        <f>IFERROR(__xludf.DUMMYFUNCTION("IF(OR(K284=""N/A"", K284=""missing"", K284=""none""), """",
 REGEXREPLACE(
  SUBSTITUTE(SUBSTITUTE(SUBSTITUTE(TO_TEXT(K284), CHAR(160),""""), UNICHAR(8239),""""), UNICHAR(8201),""""),""[+\-/(): )]"", """"))"),"17490925661")</f>
        <v>17490925661</v>
      </c>
      <c r="M284" s="2" t="str">
        <f>IFERROR(__xludf.DUMMYFUNCTION("IF(L284="""","""", REGEXEXTRACT(REGEXREPLACE(L284,""x"", """"), ""[0-9]+""))"),"17490925661")</f>
        <v>17490925661</v>
      </c>
      <c r="N284" s="2" t="str">
        <f>IF(LEFT(M284,1)="1", RIGHT(M284,LEN(M284)-1),M284)</f>
        <v>7490925661</v>
      </c>
      <c r="O284" s="2" t="b">
        <f>IFERROR(__xludf.DUMMYFUNCTION("REGEXMATCH(TO_TEXT(N284), ""^[2-9][0-9]{9}$"")"),TRUE)</f>
        <v>1</v>
      </c>
      <c r="P284" s="2">
        <f t="shared" si="129"/>
        <v>10</v>
      </c>
      <c r="Q284" s="9" t="str">
        <f>IF(AND(O284=TRUE, P284=10), "✅ VALID", "❌ INVALID")</f>
        <v>✅ VALID</v>
      </c>
      <c r="R284" s="10" t="s">
        <v>199</v>
      </c>
      <c r="S284" s="12">
        <v>45896.67916666667</v>
      </c>
      <c r="T284" s="2" t="str">
        <f>IFERROR(__xludf.DUMMYFUNCTION("IF(ISNUMBER(S284),TEXT(S284,""yyyy-MM-dd""),REGEXREPLACE(REGEXREPLACE(TO_TEXT(S284),""[^0-9a-zA-Z]+"",""-""),""[^0-9]*$"",""""))"),"2025-08-27")</f>
        <v>2025-08-27</v>
      </c>
      <c r="U284" s="2" t="s">
        <v>8029</v>
      </c>
      <c r="Y284" s="10" t="s">
        <v>8029</v>
      </c>
    </row>
    <row r="285" ht="15.75" customHeight="1">
      <c r="A285" s="2" t="s">
        <v>797</v>
      </c>
      <c r="B285" s="9" t="s">
        <v>7597</v>
      </c>
      <c r="C285" s="2" t="s">
        <v>2831</v>
      </c>
      <c r="D285" s="10" t="str">
        <f>IFERROR(__xludf.DUMMYFUNCTION("PROPER(REGEXREPLACE(TRIM(C285),""\s+"","" ""))"),"Ken Martinez")</f>
        <v>Ken Martinez</v>
      </c>
      <c r="E285" s="2">
        <f>IFERROR(__xludf.DUMMYFUNCTION("IF(LEN(D285:D701),
  COUNTA(SPLIT(D285:D701,"" "")),
 """")"),2.0)</f>
        <v>2</v>
      </c>
      <c r="F285" s="9" t="str">
        <f t="shared" si="114"/>
        <v>✅</v>
      </c>
      <c r="G285" s="2" t="str">
        <f>IFERROR(__xludf.DUMMYFUNCTION("REGEXEXTRACT(PROPER(SUBSTITUTE(TRIM(I285),""."","" "")),""^[^@]+"")"),"Ken Martinez")</f>
        <v>Ken Martinez</v>
      </c>
      <c r="H285" s="10" t="str">
        <f t="shared" si="115"/>
        <v>ken.martinez@example.com</v>
      </c>
      <c r="I285" s="2" t="s">
        <v>2832</v>
      </c>
      <c r="J285" s="9" t="str">
        <f>IFERROR(__xludf.DUMMYFUNCTION("IF(REGEXMATCH(TRIM(I285),""^[A-Za-z0-9._%+-]+@[A-Za-z0-9.-]+\.[A-Za-z]{2,}$""),""✅ Valid"",""❌ Invalid"")"),"✅ Valid")</f>
        <v>✅ Valid</v>
      </c>
      <c r="K285" s="13" t="s">
        <v>8030</v>
      </c>
      <c r="L285" s="2" t="str">
        <f>IFERROR(__xludf.DUMMYFUNCTION("IF(OR(K285=""N/A"", K285=""missing"", K285=""none""), """",
 REGEXREPLACE(
  SUBSTITUTE(SUBSTITUTE(SUBSTITUTE(TO_TEXT(K285), CHAR(160),""""), UNICHAR(8239),""""), UNICHAR(8201),""""),""[+\-/(): )]"", """"))"),"85x222720812")</f>
        <v>85x222720812</v>
      </c>
      <c r="M285" s="2" t="str">
        <f>IFERROR(__xludf.DUMMYFUNCTION("IF(L285="""","""", REGEXEXTRACT(REGEXREPLACE(L285,""x"", """"), ""[0-9]+""))"),"85222720812")</f>
        <v>85222720812</v>
      </c>
      <c r="N285" s="2" t="str">
        <f>IF(LEFT(M285,2)="49", RIGHT(M285,LEN(M285)-2),M285)</f>
        <v>85222720812</v>
      </c>
      <c r="O285" s="2" t="b">
        <f>IFERROR(__xludf.DUMMYFUNCTION("REGEXMATCH(TO_TEXT(N285), ""^0(15|16|17)"")"),FALSE)</f>
        <v>0</v>
      </c>
      <c r="P285" s="2">
        <f t="shared" si="129"/>
        <v>11</v>
      </c>
      <c r="Q285" s="9" t="str">
        <f>IF(AND(O285=TRUE,OR(P285=10, P285=11)), "✅ VALID", "❌ INVALID")</f>
        <v>❌ INVALID</v>
      </c>
      <c r="R285" s="10" t="s">
        <v>459</v>
      </c>
      <c r="S285" s="12" t="s">
        <v>6444</v>
      </c>
      <c r="T285" s="2" t="str">
        <f>IFERROR(__xludf.DUMMYFUNCTION("IF(ISNUMBER(S285),TEXT(S285,""yyyy-MM-dd""),REGEXREPLACE(REGEXREPLACE(TO_TEXT(S285),""[^0-9a-zA-Z]+"",""-""),""[^0-9]*$"",""""))"),"16-09-2022")</f>
        <v>16-09-2022</v>
      </c>
      <c r="U285" s="2" t="s">
        <v>8031</v>
      </c>
      <c r="Y285" s="10" t="s">
        <v>8031</v>
      </c>
    </row>
    <row r="286" ht="15.75" customHeight="1">
      <c r="A286" s="2" t="s">
        <v>4373</v>
      </c>
      <c r="B286" s="9" t="s">
        <v>7597</v>
      </c>
      <c r="C286" s="2" t="s">
        <v>2656</v>
      </c>
      <c r="D286" s="10" t="str">
        <f>IFERROR(__xludf.DUMMYFUNCTION("PROPER(REGEXREPLACE(TRIM(C286),""\s+"","" ""))"),"Uma Davis")</f>
        <v>Uma Davis</v>
      </c>
      <c r="E286" s="2">
        <f>IFERROR(__xludf.DUMMYFUNCTION("IF(LEN(D286:D701),
  COUNTA(SPLIT(D286:D701,"" "")),
 """")"),2.0)</f>
        <v>2</v>
      </c>
      <c r="F286" s="9" t="str">
        <f t="shared" si="114"/>
        <v>✅</v>
      </c>
      <c r="G286" s="2" t="str">
        <f>IFERROR(__xludf.DUMMYFUNCTION("REGEXEXTRACT(PROPER(SUBSTITUTE(TRIM(I286),""."","" "")),""^[^@]+"")"),"Uma Davis")</f>
        <v>Uma Davis</v>
      </c>
      <c r="H286" s="10" t="str">
        <f t="shared" si="115"/>
        <v>uma.davis@outlook.com</v>
      </c>
      <c r="I286" s="2" t="s">
        <v>2657</v>
      </c>
      <c r="J286" s="9" t="str">
        <f>IFERROR(__xludf.DUMMYFUNCTION("IF(REGEXMATCH(TRIM(I286),""^[A-Za-z0-9._%+-]+@[A-Za-z0-9.-]+\.[A-Za-z]{2,}$""),""✅ Valid"",""❌ Invalid"")"),"✅ Valid")</f>
        <v>✅ Valid</v>
      </c>
      <c r="K286" s="13" t="s">
        <v>8032</v>
      </c>
      <c r="L286" s="2" t="str">
        <f>IFERROR(__xludf.DUMMYFUNCTION("IF(OR(K286=""N/A"", K286=""missing"", K286=""none""), """",
 REGEXREPLACE(
  SUBSTITUTE(SUBSTITUTE(SUBSTITUTE(TO_TEXT(K286), CHAR(160),""""), UNICHAR(8239),""""), UNICHAR(8201),""""),""[+\-/(): )]"", """"))"),"931552998")</f>
        <v>931552998</v>
      </c>
      <c r="M286" s="2" t="str">
        <f>IFERROR(__xludf.DUMMYFUNCTION("IF(L286="""","""", REGEXEXTRACT(REGEXREPLACE(L286,""x"", """"), ""[0-9]+""))"),"931552998")</f>
        <v>931552998</v>
      </c>
      <c r="N286" s="2" t="str">
        <f>IF(LEFT(M286,2)="34", RIGHT(M286,LEN(M286)-2),M286)</f>
        <v>931552998</v>
      </c>
      <c r="O286" s="2" t="b">
        <f>IFERROR(__xludf.DUMMYFUNCTION("REGEXMATCH(TO_TEXT(N286), ""^[67]"")"),FALSE)</f>
        <v>0</v>
      </c>
      <c r="P286" s="2">
        <f t="shared" si="129"/>
        <v>9</v>
      </c>
      <c r="Q286" s="9" t="str">
        <f>IF(AND(O286=TRUE, P286=9), "✅ VALID", "❌ INVALID")</f>
        <v>❌ INVALID</v>
      </c>
      <c r="R286" s="10" t="s">
        <v>139</v>
      </c>
      <c r="S286" s="12" t="s">
        <v>7051</v>
      </c>
      <c r="T286" s="2" t="str">
        <f>IFERROR(__xludf.DUMMYFUNCTION("IF(ISNUMBER(S286),TEXT(S286,""yyyy-MM-dd""),REGEXREPLACE(REGEXREPLACE(TO_TEXT(S286),""[^0-9a-zA-Z]+"",""-""),""[^0-9]*$"",""""))"),"45429-13-44")</f>
        <v>45429-13-44</v>
      </c>
      <c r="U286" s="2" t="str">
        <f>TEXT(T286,"yyyy-MM-dd")</f>
        <v>45429-13-44</v>
      </c>
      <c r="V286" s="2" t="str">
        <f>CONCATENATE(LEFT(U286,5))</f>
        <v>45429</v>
      </c>
      <c r="W286" s="14">
        <f>DATE(1900,1,1) + V286 - 1</f>
        <v>45430</v>
      </c>
      <c r="X286" s="2" t="s">
        <v>8033</v>
      </c>
      <c r="Y286" s="10" t="s">
        <v>8033</v>
      </c>
    </row>
    <row r="287" ht="15.75" customHeight="1">
      <c r="A287" s="2" t="s">
        <v>1267</v>
      </c>
      <c r="B287" s="9" t="s">
        <v>7597</v>
      </c>
      <c r="C287" s="2" t="s">
        <v>4571</v>
      </c>
      <c r="D287" s="10" t="s">
        <v>2074</v>
      </c>
      <c r="E287" s="2">
        <f>IFERROR(__xludf.DUMMYFUNCTION("IF(LEN(D287:D701),
  COUNTA(SPLIT(D287:D701,"" "")),
 """")"),2.0)</f>
        <v>2</v>
      </c>
      <c r="F287" s="9" t="str">
        <f t="shared" si="114"/>
        <v>✅</v>
      </c>
      <c r="G287" s="2" t="s">
        <v>2074</v>
      </c>
      <c r="H287" s="10" t="str">
        <f t="shared" si="115"/>
        <v>fiona.rodriguez@gmail.com</v>
      </c>
      <c r="I287" s="2" t="s">
        <v>4572</v>
      </c>
      <c r="J287" s="9" t="str">
        <f>IFERROR(__xludf.DUMMYFUNCTION("IF(REGEXMATCH(TRIM(I287),""^[A-Za-z0-9._%+-]+@[A-Za-z0-9.-]+\.[A-Za-z]{2,}$""),""✅ Valid"",""❌ Invalid"")"),"✅ Valid")</f>
        <v>✅ Valid</v>
      </c>
      <c r="K287" s="13" t="s">
        <v>8034</v>
      </c>
      <c r="L287" s="2" t="str">
        <f>IFERROR(__xludf.DUMMYFUNCTION("IF(OR(K287=""N/A"", K287=""missing"", K287=""none""), """",
 REGEXREPLACE(
  SUBSTITUTE(SUBSTITUTE(SUBSTITUTE(TO_TEXT(K287), CHAR(160),""""), UNICHAR(8239),""""), UNICHAR(8201),""""),""[+\-/(): )]"", """"))"),"353820696418")</f>
        <v>353820696418</v>
      </c>
      <c r="M287" s="2" t="str">
        <f>IFERROR(__xludf.DUMMYFUNCTION("IF(L287="""","""", REGEXEXTRACT(REGEXREPLACE(L287,""x"", """"), ""[0-9]+""))"),"353820696418")</f>
        <v>353820696418</v>
      </c>
      <c r="N287" s="2" t="str">
        <f>IF(LEFT(M287,3)="353", RIGHT(M287,LEN(M287)-3),M287)</f>
        <v>820696418</v>
      </c>
      <c r="O287" s="2" t="b">
        <f>IFERROR(__xludf.DUMMYFUNCTION("REGEXMATCH(TO_TEXT(N287), ""^0(83|85|86|87|89)"")"),FALSE)</f>
        <v>0</v>
      </c>
      <c r="P287" s="2">
        <f t="shared" si="129"/>
        <v>9</v>
      </c>
      <c r="Q287" s="9" t="str">
        <f>IF(AND(O287=TRUE, P284=10), "✅ VALID", "❌ INVALID")</f>
        <v>❌ INVALID</v>
      </c>
      <c r="R287" s="10" t="s">
        <v>1177</v>
      </c>
      <c r="S287" s="12">
        <v>45393.26527777778</v>
      </c>
      <c r="T287" s="2" t="str">
        <f>IFERROR(__xludf.DUMMYFUNCTION("IF(ISNUMBER(S287),TEXT(S287,""yyyy-MM-dd""),REGEXREPLACE(REGEXREPLACE(TO_TEXT(S287),""[^0-9a-zA-Z]+"",""-""),""[^0-9]*$"",""""))"),"2024-04-11")</f>
        <v>2024-04-11</v>
      </c>
      <c r="U287" s="2" t="s">
        <v>8035</v>
      </c>
      <c r="Y287" s="10" t="s">
        <v>8035</v>
      </c>
    </row>
    <row r="288" ht="15.75" customHeight="1">
      <c r="A288" s="2" t="s">
        <v>4365</v>
      </c>
      <c r="B288" s="9" t="s">
        <v>7597</v>
      </c>
      <c r="C288" s="2" t="s">
        <v>1839</v>
      </c>
      <c r="D288" s="10" t="s">
        <v>8036</v>
      </c>
      <c r="E288" s="2">
        <f>IFERROR(__xludf.DUMMYFUNCTION("IF(LEN(D288:D701),
  COUNTA(SPLIT(D288:D701,"" "")),
 """")"),2.0)</f>
        <v>2</v>
      </c>
      <c r="F288" s="9" t="str">
        <f t="shared" si="114"/>
        <v>✅</v>
      </c>
      <c r="G288" s="2" t="s">
        <v>8036</v>
      </c>
      <c r="H288" s="10" t="str">
        <f t="shared" si="115"/>
        <v>vlad.rodriguez@example.com</v>
      </c>
      <c r="I288" s="2" t="s">
        <v>1840</v>
      </c>
      <c r="J288" s="9" t="str">
        <f>IFERROR(__xludf.DUMMYFUNCTION("IF(REGEXMATCH(TRIM(I288),""^[A-Za-z0-9._%+-]+@[A-Za-z0-9.-]+\.[A-Za-z]{2,}$""),""✅ Valid"",""❌ Invalid"")"),"✅ Valid")</f>
        <v>✅ Valid</v>
      </c>
      <c r="K288" s="13" t="s">
        <v>8037</v>
      </c>
      <c r="L288" s="2" t="str">
        <f>IFERROR(__xludf.DUMMYFUNCTION("IF(OR(K288=""N/A"", K288=""missing"", K288=""none""), """",
 REGEXREPLACE(
  SUBSTITUTE(SUBSTITUTE(SUBSTITUTE(TO_TEXT(K288), CHAR(160),""""), UNICHAR(8239),""""), UNICHAR(8201),""""),""[+\-/(): )]"", """"))"),"tel449621825054")</f>
        <v>tel449621825054</v>
      </c>
      <c r="M288" s="2" t="str">
        <f>IFERROR(__xludf.DUMMYFUNCTION("IF(L288="""","""", REGEXEXTRACT(REGEXREPLACE(L288,""x"", """"), ""[0-9]+""))"),"449621825054")</f>
        <v>449621825054</v>
      </c>
      <c r="N288" s="2" t="str">
        <f t="shared" ref="N288:N289" si="132">IF(LEFT(M288,2)="44", RIGHT(M288,LEN(M288)-2),M288)</f>
        <v>9621825054</v>
      </c>
      <c r="O288" s="2" t="b">
        <f>IFERROR(__xludf.DUMMYFUNCTION("REGEXMATCH(TO_TEXT(N288), ""^07[1-57-9]"")"),FALSE)</f>
        <v>0</v>
      </c>
      <c r="P288" s="2">
        <f t="shared" si="129"/>
        <v>10</v>
      </c>
      <c r="Q288" s="9" t="str">
        <f t="shared" ref="Q288:Q289" si="133">IF(AND(O288=TRUE, P288=11), "✅ VALID", "❌ INVALID")</f>
        <v>❌ INVALID</v>
      </c>
      <c r="R288" s="10" t="s">
        <v>114</v>
      </c>
      <c r="S288" s="12">
        <v>45835.0</v>
      </c>
      <c r="T288" s="2" t="str">
        <f>IFERROR(__xludf.DUMMYFUNCTION("IF(ISNUMBER(S288),TEXT(S288,""yyyy-MM-dd""),REGEXREPLACE(REGEXREPLACE(TO_TEXT(S288),""[^0-9a-zA-Z]+"",""-""),""[^0-9]*$"",""""))"),"2025-06-27")</f>
        <v>2025-06-27</v>
      </c>
      <c r="U288" s="2" t="s">
        <v>8038</v>
      </c>
      <c r="Y288" s="10" t="s">
        <v>8038</v>
      </c>
    </row>
    <row r="289" ht="15.75" customHeight="1">
      <c r="A289" s="2" t="s">
        <v>340</v>
      </c>
      <c r="B289" s="9" t="s">
        <v>7597</v>
      </c>
      <c r="C289" s="2" t="s">
        <v>3928</v>
      </c>
      <c r="D289" s="10" t="str">
        <f>IFERROR(__xludf.DUMMYFUNCTION("PROPER(REGEXREPLACE(TRIM(C289),""\s+"","" ""))"),"Marek Davis")</f>
        <v>Marek Davis</v>
      </c>
      <c r="E289" s="2">
        <f>IFERROR(__xludf.DUMMYFUNCTION("IF(LEN(D289:D701),
  COUNTA(SPLIT(D289:D701,"" "")),
 """")"),2.0)</f>
        <v>2</v>
      </c>
      <c r="F289" s="9" t="str">
        <f t="shared" si="114"/>
        <v>✅</v>
      </c>
      <c r="G289" s="2" t="str">
        <f>IFERROR(__xludf.DUMMYFUNCTION("REGEXEXTRACT(PROPER(SUBSTITUTE(TRIM(I289),""."","" "")),""^[^@]+"")"),"Marek Davis")</f>
        <v>Marek Davis</v>
      </c>
      <c r="H289" s="10" t="str">
        <f t="shared" si="115"/>
        <v>marek.davis@yahoo.com</v>
      </c>
      <c r="I289" s="2" t="s">
        <v>1127</v>
      </c>
      <c r="J289" s="9" t="str">
        <f>IFERROR(__xludf.DUMMYFUNCTION("IF(REGEXMATCH(TRIM(I289),""^[A-Za-z0-9._%+-]+@[A-Za-z0-9.-]+\.[A-Za-z]{2,}$""),""✅ Valid"",""❌ Invalid"")"),"✅ Valid")</f>
        <v>✅ Valid</v>
      </c>
      <c r="K289" s="13" t="s">
        <v>8039</v>
      </c>
      <c r="L289" s="2" t="str">
        <f>IFERROR(__xludf.DUMMYFUNCTION("IF(OR(K289=""N/A"", K289=""missing"", K289=""none""), """",
 REGEXREPLACE(
  SUBSTITUTE(SUBSTITUTE(SUBSTITUTE(TO_TEXT(K289), CHAR(160),""""), UNICHAR(8239),""""), UNICHAR(8201),""""),""[+\-/(): )]"", """"))"),"448657717580")</f>
        <v>448657717580</v>
      </c>
      <c r="M289" s="2" t="str">
        <f>IFERROR(__xludf.DUMMYFUNCTION("IF(L289="""","""", REGEXEXTRACT(REGEXREPLACE(L289,""x"", """"), ""[0-9]+""))"),"448657717580")</f>
        <v>448657717580</v>
      </c>
      <c r="N289" s="2" t="str">
        <f t="shared" si="132"/>
        <v>8657717580</v>
      </c>
      <c r="O289" s="2" t="b">
        <f>IFERROR(__xludf.DUMMYFUNCTION("REGEXMATCH(TO_TEXT(N289), ""^07[1-57-9]"")"),FALSE)</f>
        <v>0</v>
      </c>
      <c r="P289" s="2">
        <f t="shared" si="129"/>
        <v>10</v>
      </c>
      <c r="Q289" s="9" t="str">
        <f t="shared" si="133"/>
        <v>❌ INVALID</v>
      </c>
      <c r="R289" s="10" t="s">
        <v>114</v>
      </c>
      <c r="S289" s="12" t="s">
        <v>6577</v>
      </c>
      <c r="T289" s="2" t="str">
        <f>IFERROR(__xludf.DUMMYFUNCTION("IF(ISNUMBER(S289),TEXT(S289,""yyyy-MM-dd""),REGEXREPLACE(REGEXREPLACE(TO_TEXT(S289),""[^0-9a-zA-Z]+"",""-""),""[^0-9]*$"",""""))"),"09-16-2022")</f>
        <v>09-16-2022</v>
      </c>
      <c r="U289" s="2" t="str">
        <f>TEXT(T289,"yyyy-MM-dd")</f>
        <v>09-16-2022</v>
      </c>
      <c r="V289" s="2" t="s">
        <v>8031</v>
      </c>
      <c r="Y289" s="10" t="s">
        <v>8031</v>
      </c>
    </row>
    <row r="290" ht="15.75" customHeight="1">
      <c r="A290" s="2" t="s">
        <v>161</v>
      </c>
      <c r="B290" s="9" t="s">
        <v>7597</v>
      </c>
      <c r="C290" s="2" t="s">
        <v>1582</v>
      </c>
      <c r="D290" s="10" t="str">
        <f>IFERROR(__xludf.DUMMYFUNCTION("PROPER(REGEXREPLACE(TRIM(C290),""\s+"","" ""))"),"Adam Williams")</f>
        <v>Adam Williams</v>
      </c>
      <c r="E290" s="2">
        <f>IFERROR(__xludf.DUMMYFUNCTION("IF(LEN(D290:D701),
  COUNTA(SPLIT(D290:D701,"" "")),
 """")"),2.0)</f>
        <v>2</v>
      </c>
      <c r="F290" s="9" t="str">
        <f t="shared" si="114"/>
        <v>✅</v>
      </c>
      <c r="G290" s="2" t="str">
        <f>IFERROR(__xludf.DUMMYFUNCTION("REGEXEXTRACT(PROPER(SUBSTITUTE(TRIM(I290),""."","" "")),""^[^@]+"")"),"Adam Williams")</f>
        <v>Adam Williams</v>
      </c>
      <c r="H290" s="10" t="str">
        <f t="shared" si="115"/>
        <v>adam.williams@shop.io</v>
      </c>
      <c r="I290" s="2" t="s">
        <v>1583</v>
      </c>
      <c r="J290" s="9" t="str">
        <f>IFERROR(__xludf.DUMMYFUNCTION("IF(REGEXMATCH(TRIM(I290),""^[A-Za-z0-9._%+-]+@[A-Za-z0-9.-]+\.[A-Za-z]{2,}$""),""✅ Valid"",""❌ Invalid"")"),"✅ Valid")</f>
        <v>✅ Valid</v>
      </c>
      <c r="K290" s="13" t="s">
        <v>8040</v>
      </c>
      <c r="L290" s="2" t="str">
        <f>IFERROR(__xludf.DUMMYFUNCTION("IF(OR(K290=""N/A"", K290=""missing"", K290=""none""), """",
 REGEXREPLACE(
  SUBSTITUTE(SUBSTITUTE(SUBSTITUTE(TO_TEXT(K290), CHAR(160),""""), UNICHAR(8239),""""), UNICHAR(8201),""""),""[+\-/(): )]"", """"))"),"49095032867ext852")</f>
        <v>49095032867ext852</v>
      </c>
      <c r="M290" s="2" t="str">
        <f>IFERROR(__xludf.DUMMYFUNCTION("IF(L290="""","""", REGEXEXTRACT(REGEXREPLACE(L290,""x"", """"), ""[0-9]+""))"),"49095032867")</f>
        <v>49095032867</v>
      </c>
      <c r="N290" s="2" t="str">
        <f>IF(LEFT(M290,2)="49", RIGHT(M290,LEN(M290)-2),M290)</f>
        <v>095032867</v>
      </c>
      <c r="O290" s="2" t="b">
        <f>IFERROR(__xludf.DUMMYFUNCTION("REGEXMATCH(TO_TEXT(N290), ""^0(15|16|17)"")"),FALSE)</f>
        <v>0</v>
      </c>
      <c r="P290" s="2">
        <f t="shared" si="129"/>
        <v>9</v>
      </c>
      <c r="Q290" s="9" t="str">
        <f>IF(AND(O290=TRUE,OR(P290=10, P290=11)), "✅ VALID", "❌ INVALID")</f>
        <v>❌ INVALID</v>
      </c>
      <c r="R290" s="10" t="s">
        <v>459</v>
      </c>
      <c r="S290" s="12">
        <v>44800.0</v>
      </c>
      <c r="T290" s="2" t="str">
        <f>IFERROR(__xludf.DUMMYFUNCTION("IF(ISNUMBER(S290),TEXT(S290,""yyyy-MM-dd""),REGEXREPLACE(REGEXREPLACE(TO_TEXT(S290),""[^0-9a-zA-Z]+"",""-""),""[^0-9]*$"",""""))"),"2022-08-27")</f>
        <v>2022-08-27</v>
      </c>
      <c r="U290" s="2" t="s">
        <v>8041</v>
      </c>
      <c r="Y290" s="10" t="s">
        <v>8041</v>
      </c>
    </row>
    <row r="291" ht="15.75" customHeight="1">
      <c r="A291" s="2" t="s">
        <v>230</v>
      </c>
      <c r="B291" s="9" t="s">
        <v>7597</v>
      </c>
      <c r="C291" s="2" t="s">
        <v>6341</v>
      </c>
      <c r="D291" s="10" t="str">
        <f>IFERROR(__xludf.DUMMYFUNCTION("PROPER(REGEXREPLACE(TRIM(C291),""\s+"","" ""))"),"Omar Lee")</f>
        <v>Omar Lee</v>
      </c>
      <c r="E291" s="2">
        <f>IFERROR(__xludf.DUMMYFUNCTION("IF(LEN(D291:D701),
  COUNTA(SPLIT(D291:D701,"" "")),
 """")"),2.0)</f>
        <v>2</v>
      </c>
      <c r="F291" s="9" t="str">
        <f t="shared" si="114"/>
        <v>✅</v>
      </c>
      <c r="G291" s="2" t="str">
        <f>IFERROR(__xludf.DUMMYFUNCTION("REGEXEXTRACT(PROPER(SUBSTITUTE(TRIM(I291),""."","" "")),""^[^@]+"")"),"Omar Lee")</f>
        <v>Omar Lee</v>
      </c>
      <c r="H291" s="10" t="str">
        <f t="shared" si="115"/>
        <v>omar.lee@gmail.com</v>
      </c>
      <c r="I291" s="2" t="s">
        <v>6342</v>
      </c>
      <c r="J291" s="9" t="str">
        <f>IFERROR(__xludf.DUMMYFUNCTION("IF(REGEXMATCH(TRIM(I291),""^[A-Za-z0-9._%+-]+@[A-Za-z0-9.-]+\.[A-Za-z]{2,}$""),""✅ Valid"",""❌ Invalid"")"),"✅ Valid")</f>
        <v>✅ Valid</v>
      </c>
      <c r="K291" s="13" t="s">
        <v>8042</v>
      </c>
      <c r="L291" s="2" t="str">
        <f>IFERROR(__xludf.DUMMYFUNCTION("IF(OR(K291=""N/A"", K291=""missing"", K291=""none""), """",
 REGEXREPLACE(
  SUBSTITUTE(SUBSTITUTE(SUBSTITUTE(TO_TEXT(K291), CHAR(160),""""), UNICHAR(8239),""""), UNICHAR(8201),""""),""[+\-/(): )]"", """"))"),"36039768")</f>
        <v>36039768</v>
      </c>
      <c r="M291" s="2" t="str">
        <f>IFERROR(__xludf.DUMMYFUNCTION("IF(L291="""","""", REGEXEXTRACT(REGEXREPLACE(L291,""x"", """"), ""[0-9]+""))"),"36039768")</f>
        <v>36039768</v>
      </c>
      <c r="N291" s="2" t="str">
        <f>IF(LEFT(M291,2)="33", RIGHT(M291,LEN(M291)-2),M291)</f>
        <v>36039768</v>
      </c>
      <c r="O291" s="2" t="b">
        <f>IFERROR(__xludf.DUMMYFUNCTION("REGEXMATCH(TO_TEXT(N291), ""^0[67]"")"),FALSE)</f>
        <v>0</v>
      </c>
      <c r="P291" s="2">
        <f t="shared" si="129"/>
        <v>8</v>
      </c>
      <c r="Q291" s="9" t="str">
        <f t="shared" ref="Q291:Q292" si="134">IF(AND(O291=TRUE, P291=9), "✅ VALID", "❌ INVALID")</f>
        <v>❌ INVALID</v>
      </c>
      <c r="R291" s="10" t="s">
        <v>58</v>
      </c>
      <c r="S291" s="12">
        <v>44967.0</v>
      </c>
      <c r="T291" s="2" t="str">
        <f>IFERROR(__xludf.DUMMYFUNCTION("IF(ISNUMBER(S291),TEXT(S291,""yyyy-MM-dd""),REGEXREPLACE(REGEXREPLACE(TO_TEXT(S291),""[^0-9a-zA-Z]+"",""-""),""[^0-9]*$"",""""))"),"2023-02-10")</f>
        <v>2023-02-10</v>
      </c>
      <c r="U291" s="2" t="s">
        <v>8043</v>
      </c>
      <c r="Y291" s="10" t="s">
        <v>8043</v>
      </c>
    </row>
    <row r="292" ht="15.75" customHeight="1">
      <c r="A292" s="2" t="s">
        <v>3917</v>
      </c>
      <c r="B292" s="9" t="s">
        <v>7597</v>
      </c>
      <c r="C292" s="2" t="s">
        <v>1963</v>
      </c>
      <c r="D292" s="10" t="s">
        <v>8044</v>
      </c>
      <c r="E292" s="2">
        <f>IFERROR(__xludf.DUMMYFUNCTION("IF(LEN(D292:D701),
  COUNTA(SPLIT(D292:D701,"" "")),
 """")"),2.0)</f>
        <v>2</v>
      </c>
      <c r="F292" s="9" t="str">
        <f t="shared" si="114"/>
        <v>✅</v>
      </c>
      <c r="G292" s="2" t="s">
        <v>8044</v>
      </c>
      <c r="H292" s="10" t="str">
        <f t="shared" si="115"/>
        <v>rita.dubois@yahoo.com</v>
      </c>
      <c r="I292" s="2" t="s">
        <v>1964</v>
      </c>
      <c r="J292" s="9" t="str">
        <f>IFERROR(__xludf.DUMMYFUNCTION("IF(REGEXMATCH(TRIM(I292),""^[A-Za-z0-9._%+-]+@[A-Za-z0-9.-]+\.[A-Za-z]{2,}$""),""✅ Valid"",""❌ Invalid"")"),"✅ Valid")</f>
        <v>✅ Valid</v>
      </c>
      <c r="K292" s="15" t="s">
        <v>8045</v>
      </c>
      <c r="L292" s="2" t="str">
        <f>IFERROR(__xludf.DUMMYFUNCTION("IF(K292=""N/A"", """",
 REGEXREPLACE(
  SUBSTITUTE(SUBSTITUTE(SUBSTITUTE(TO_TEXT(K292), CHAR(160),""""), UNICHAR(8239),""""), UNICHAR(8201),""""),""[+\-/(): )]"", """"))"),"7505307823")</f>
        <v>7505307823</v>
      </c>
      <c r="M292" s="2" t="str">
        <f>IFERROR(__xludf.DUMMYFUNCTION("IF(L292="""","""", REGEXEXTRACT(REGEXREPLACE(L292,""x"", """"), ""[0-9]+""))"),"7505307823")</f>
        <v>7505307823</v>
      </c>
      <c r="N292" s="2" t="str">
        <f>IF(LEFT(M292,2)="48", RIGHT(M292,LEN(M292)-2),M292)</f>
        <v>7505307823</v>
      </c>
      <c r="O292" s="2" t="b">
        <f>IFERROR(__xludf.DUMMYFUNCTION("REGEXMATCH(TO_TEXT(N292), ""^(5[013679]|6[069]|7[2-9]|88)"")"),TRUE)</f>
        <v>1</v>
      </c>
      <c r="P292" s="2">
        <f t="shared" si="129"/>
        <v>10</v>
      </c>
      <c r="Q292" s="9" t="str">
        <f t="shared" si="134"/>
        <v>❌ INVALID</v>
      </c>
      <c r="R292" s="10" t="s">
        <v>25</v>
      </c>
      <c r="S292" s="12">
        <v>45255.6875</v>
      </c>
      <c r="T292" s="2" t="str">
        <f>IFERROR(__xludf.DUMMYFUNCTION("IF(ISNUMBER(S292),TEXT(S292,""yyyy-MM-dd""),REGEXREPLACE(REGEXREPLACE(TO_TEXT(S292),""[^0-9a-zA-Z]+"",""-""),""[^0-9]*$"",""""))"),"2023-11-25")</f>
        <v>2023-11-25</v>
      </c>
      <c r="U292" s="2" t="s">
        <v>8046</v>
      </c>
      <c r="Y292" s="10" t="s">
        <v>8046</v>
      </c>
    </row>
    <row r="293" ht="15.75" customHeight="1">
      <c r="A293" s="2" t="s">
        <v>4393</v>
      </c>
      <c r="B293" s="9" t="s">
        <v>7597</v>
      </c>
      <c r="C293" s="2" t="s">
        <v>798</v>
      </c>
      <c r="D293" s="10" t="str">
        <f>IFERROR(__xludf.DUMMYFUNCTION("PROPER(REGEXREPLACE(TRIM(C293),""\s+"","" ""))"),"Zack Johnson")</f>
        <v>Zack Johnson</v>
      </c>
      <c r="E293" s="2">
        <f>IFERROR(__xludf.DUMMYFUNCTION("IF(LEN(D293:D701),
  COUNTA(SPLIT(D293:D701,"" "")),
 """")"),2.0)</f>
        <v>2</v>
      </c>
      <c r="F293" s="9" t="str">
        <f t="shared" si="114"/>
        <v>✅</v>
      </c>
      <c r="G293" s="2" t="str">
        <f>IFERROR(__xludf.DUMMYFUNCTION("REGEXEXTRACT(PROPER(SUBSTITUTE(TRIM(I293),""."","" "")),""^[^@]+"")"),"Zack Johnson")</f>
        <v>Zack Johnson</v>
      </c>
      <c r="H293" s="10" t="str">
        <f t="shared" si="115"/>
        <v>zack.johnson@example.com</v>
      </c>
      <c r="I293" s="2" t="s">
        <v>799</v>
      </c>
      <c r="J293" s="9" t="str">
        <f>IFERROR(__xludf.DUMMYFUNCTION("IF(REGEXMATCH(TRIM(I293),""^[A-Za-z0-9._%+-]+@[A-Za-z0-9.-]+\.[A-Za-z]{2,}$""),""✅ Valid"",""❌ Invalid"")"),"✅ Valid")</f>
        <v>✅ Valid</v>
      </c>
      <c r="K293" s="13" t="s">
        <v>8047</v>
      </c>
      <c r="L293" s="2" t="str">
        <f>IFERROR(__xludf.DUMMYFUNCTION("IF(OR(K293=""N/A"", K293=""missing"", K293=""none""), """",
 REGEXREPLACE(
  SUBSTITUTE(SUBSTITUTE(SUBSTITUTE(TO_TEXT(K293), CHAR(160),""""), UNICHAR(8239),""""), UNICHAR(8201),""""),""[+\-/(): )]"", """"))"),"804930926")</f>
        <v>804930926</v>
      </c>
      <c r="M293" s="2" t="str">
        <f>IFERROR(__xludf.DUMMYFUNCTION("IF(L293="""","""", REGEXEXTRACT(REGEXREPLACE(L293,""x"", """"), ""[0-9]+""))"),"804930926")</f>
        <v>804930926</v>
      </c>
      <c r="N293" s="2" t="str">
        <f>IF(LEFT(M293,1)="1", RIGHT(M293,LEN(M293)-1),M293)</f>
        <v>804930926</v>
      </c>
      <c r="O293" s="2" t="b">
        <f>IFERROR(__xludf.DUMMYFUNCTION("REGEXMATCH(TO_TEXT(N293), ""^[2-9][0-9]{9}$"")"),FALSE)</f>
        <v>0</v>
      </c>
      <c r="P293" s="2">
        <f t="shared" si="129"/>
        <v>9</v>
      </c>
      <c r="Q293" s="9" t="str">
        <f>IF(AND(O293=TRUE, P293=10), "✅ VALID", "❌ INVALID")</f>
        <v>❌ INVALID</v>
      </c>
      <c r="R293" s="10" t="s">
        <v>199</v>
      </c>
      <c r="S293" s="12">
        <v>45097.0</v>
      </c>
      <c r="T293" s="2" t="str">
        <f>IFERROR(__xludf.DUMMYFUNCTION("IF(ISNUMBER(S293),TEXT(S293,""yyyy-MM-dd""),REGEXREPLACE(REGEXREPLACE(TO_TEXT(S293),""[^0-9a-zA-Z]+"",""-""),""[^0-9]*$"",""""))"),"2023-06-20")</f>
        <v>2023-06-20</v>
      </c>
      <c r="U293" s="2" t="s">
        <v>8048</v>
      </c>
      <c r="Y293" s="10" t="s">
        <v>8048</v>
      </c>
    </row>
    <row r="294" ht="15.75" customHeight="1">
      <c r="A294" s="2" t="s">
        <v>1738</v>
      </c>
      <c r="B294" s="9" t="s">
        <v>7597</v>
      </c>
      <c r="C294" s="2" t="s">
        <v>4374</v>
      </c>
      <c r="D294" s="10" t="s">
        <v>8049</v>
      </c>
      <c r="E294" s="2">
        <f>IFERROR(__xludf.DUMMYFUNCTION("IF(LEN(D294:D701),
  COUNTA(SPLIT(D294:D701,"" "")),
 """")"),2.0)</f>
        <v>2</v>
      </c>
      <c r="F294" s="9" t="str">
        <f t="shared" si="114"/>
        <v>✅</v>
      </c>
      <c r="G294" s="2" t="s">
        <v>8049</v>
      </c>
      <c r="H294" s="10" t="str">
        <f t="shared" si="115"/>
        <v>zack.davis@gmail.com</v>
      </c>
      <c r="I294" s="2" t="s">
        <v>4375</v>
      </c>
      <c r="J294" s="9" t="str">
        <f>IFERROR(__xludf.DUMMYFUNCTION("IF(REGEXMATCH(TRIM(I294),""^[A-Za-z0-9._%+-]+@[A-Za-z0-9.-]+\.[A-Za-z]{2,}$""),""✅ Valid"",""❌ Invalid"")"),"✅ Valid")</f>
        <v>✅ Valid</v>
      </c>
      <c r="K294" s="13" t="s">
        <v>8050</v>
      </c>
      <c r="L294" s="2" t="str">
        <f>IFERROR(__xludf.DUMMYFUNCTION("IF(OR(K294=""N/A"", K294=""missing"", K294=""none""), """",
 REGEXREPLACE(
  SUBSTITUTE(SUBSTITUTE(SUBSTITUTE(TO_TEXT(K294), CHAR(160),""""), UNICHAR(8239),""""), UNICHAR(8201),""""),""[+\-/(): )]"", """"))"),"3530339537633ext537")</f>
        <v>3530339537633ext537</v>
      </c>
      <c r="M294" s="2" t="str">
        <f>IFERROR(__xludf.DUMMYFUNCTION("IF(L294="""","""", REGEXEXTRACT(REGEXREPLACE(L294,""x"", """"), ""[0-9]+""))"),"3530339537633")</f>
        <v>3530339537633</v>
      </c>
      <c r="N294" s="2" t="str">
        <f t="shared" ref="N294:N295" si="135">IF(LEFT(M294,3)="353", RIGHT(M294,LEN(M294)-3),M294)</f>
        <v>0339537633</v>
      </c>
      <c r="O294" s="2" t="b">
        <f>IFERROR(__xludf.DUMMYFUNCTION("REGEXMATCH(TO_TEXT(N294), ""^0(83|85|86|87|89)"")"),FALSE)</f>
        <v>0</v>
      </c>
      <c r="P294" s="2">
        <f t="shared" si="129"/>
        <v>10</v>
      </c>
      <c r="Q294" s="9" t="str">
        <f t="shared" ref="Q294:Q295" si="136">IF(AND(O294=TRUE, P291=10), "✅ VALID", "❌ INVALID")</f>
        <v>❌ INVALID</v>
      </c>
      <c r="R294" s="10" t="s">
        <v>1177</v>
      </c>
      <c r="S294" s="12">
        <v>45705.0</v>
      </c>
      <c r="T294" s="2" t="str">
        <f>IFERROR(__xludf.DUMMYFUNCTION("IF(ISNUMBER(S294),TEXT(S294,""yyyy-MM-dd""),REGEXREPLACE(REGEXREPLACE(TO_TEXT(S294),""[^0-9a-zA-Z]+"",""-""),""[^0-9]*$"",""""))"),"2025-02-17")</f>
        <v>2025-02-17</v>
      </c>
      <c r="U294" s="2" t="s">
        <v>7655</v>
      </c>
      <c r="Y294" s="10" t="s">
        <v>7655</v>
      </c>
    </row>
    <row r="295" ht="15.75" customHeight="1">
      <c r="A295" s="2" t="s">
        <v>5745</v>
      </c>
      <c r="B295" s="9" t="s">
        <v>7597</v>
      </c>
      <c r="C295" s="2" t="s">
        <v>1268</v>
      </c>
      <c r="D295" s="10" t="str">
        <f>IFERROR(__xludf.DUMMYFUNCTION("PROPER(REGEXREPLACE(TRIM(C295),""\s+"","" ""))"),"Uma King")</f>
        <v>Uma King</v>
      </c>
      <c r="E295" s="2">
        <f>IFERROR(__xludf.DUMMYFUNCTION("IF(LEN(D295:D701),
  COUNTA(SPLIT(D295:D701,"" "")),
 """")"),2.0)</f>
        <v>2</v>
      </c>
      <c r="F295" s="9" t="str">
        <f t="shared" si="114"/>
        <v>✅</v>
      </c>
      <c r="G295" s="2" t="str">
        <f>IFERROR(__xludf.DUMMYFUNCTION("REGEXEXTRACT(PROPER(SUBSTITUTE(TRIM(I295),""."","" "")),""^[^@]+"")"),"Uma King")</f>
        <v>Uma King</v>
      </c>
      <c r="H295" s="10" t="str">
        <f t="shared" si="115"/>
        <v>uma.king@gmail.com</v>
      </c>
      <c r="I295" s="2" t="s">
        <v>1269</v>
      </c>
      <c r="J295" s="9" t="str">
        <f>IFERROR(__xludf.DUMMYFUNCTION("IF(REGEXMATCH(TRIM(I295),""^[A-Za-z0-9._%+-]+@[A-Za-z0-9.-]+\.[A-Za-z]{2,}$""),""✅ Valid"",""❌ Invalid"")"),"✅ Valid")</f>
        <v>✅ Valid</v>
      </c>
      <c r="K295" s="11">
        <v>7.0265494E7</v>
      </c>
      <c r="L295" s="2" t="str">
        <f>IFERROR(__xludf.DUMMYFUNCTION("IF(OR(K295=""N/A"", K295=""missing"", K295=""none""), """",
 REGEXREPLACE(
  SUBSTITUTE(SUBSTITUTE(SUBSTITUTE(TO_TEXT(K295), CHAR(160),""""), UNICHAR(8239),""""), UNICHAR(8201),""""),""[+\-/(): )]"", """"))"),"70265494")</f>
        <v>70265494</v>
      </c>
      <c r="M295" s="2" t="str">
        <f>IFERROR(__xludf.DUMMYFUNCTION("IF(L295="""","""", REGEXEXTRACT(REGEXREPLACE(L295,""x"", """"), ""[0-9]+""))"),"70265494")</f>
        <v>70265494</v>
      </c>
      <c r="N295" s="2" t="str">
        <f t="shared" si="135"/>
        <v>70265494</v>
      </c>
      <c r="O295" s="2" t="b">
        <f>IFERROR(__xludf.DUMMYFUNCTION("REGEXMATCH(TO_TEXT(N295), ""^0(83|85|86|87|89)"")"),FALSE)</f>
        <v>0</v>
      </c>
      <c r="P295" s="2">
        <f t="shared" si="129"/>
        <v>8</v>
      </c>
      <c r="Q295" s="9" t="str">
        <f t="shared" si="136"/>
        <v>❌ INVALID</v>
      </c>
      <c r="R295" s="10" t="s">
        <v>1177</v>
      </c>
      <c r="S295" s="12">
        <v>44761.0</v>
      </c>
      <c r="T295" s="2" t="str">
        <f>IFERROR(__xludf.DUMMYFUNCTION("IF(ISNUMBER(S295),TEXT(S295,""yyyy-MM-dd""),REGEXREPLACE(REGEXREPLACE(TO_TEXT(S295),""[^0-9a-zA-Z]+"",""-""),""[^0-9]*$"",""""))"),"2022-07-19")</f>
        <v>2022-07-19</v>
      </c>
      <c r="U295" s="2" t="s">
        <v>6310</v>
      </c>
      <c r="Y295" s="10" t="s">
        <v>6310</v>
      </c>
    </row>
    <row r="296" ht="15.75" customHeight="1">
      <c r="A296" s="2" t="s">
        <v>886</v>
      </c>
      <c r="B296" s="9" t="s">
        <v>7597</v>
      </c>
      <c r="C296" s="2" t="s">
        <v>3170</v>
      </c>
      <c r="D296" s="10" t="str">
        <f>IFERROR(__xludf.DUMMYFUNCTION("PROPER(REGEXREPLACE(TRIM(C296),""\s+"","" ""))"),"Uma King")</f>
        <v>Uma King</v>
      </c>
      <c r="E296" s="2">
        <f>IFERROR(__xludf.DUMMYFUNCTION("IF(LEN(D296:D701),
  COUNTA(SPLIT(D296:D701,"" "")),
 """")"),2.0)</f>
        <v>2</v>
      </c>
      <c r="F296" s="9" t="str">
        <f t="shared" si="114"/>
        <v>✅</v>
      </c>
      <c r="G296" s="2" t="str">
        <f>IFERROR(__xludf.DUMMYFUNCTION("REGEXEXTRACT(PROPER(SUBSTITUTE(TRIM(I296),""."","" "")),""^[^@]+"")"),"Uma King")</f>
        <v>Uma King</v>
      </c>
      <c r="H296" s="10" t="str">
        <f t="shared" si="115"/>
        <v>uma.king@gmail.com</v>
      </c>
      <c r="I296" s="2" t="s">
        <v>3171</v>
      </c>
      <c r="J296" s="9" t="str">
        <f>IFERROR(__xludf.DUMMYFUNCTION("IF(REGEXMATCH(TRIM(I296),""^[A-Za-z0-9._%+-]+@[A-Za-z0-9.-]+\.[A-Za-z]{2,}$""),""✅ Valid"",""❌ Invalid"")"),"✅ Valid")</f>
        <v>✅ Valid</v>
      </c>
      <c r="K296" s="13"/>
      <c r="L296" s="2" t="str">
        <f>IFERROR(__xludf.DUMMYFUNCTION("IF(OR(K296=""N/A"", K296=""missing"", K296=""none""), """",
 REGEXREPLACE(
  SUBSTITUTE(SUBSTITUTE(SUBSTITUTE(TO_TEXT(K296), CHAR(160),""""), UNICHAR(8239),""""), UNICHAR(8201),""""),""[+\-/(): )]"", """"))"),"")</f>
        <v/>
      </c>
      <c r="M296" s="2" t="str">
        <f>IFERROR(__xludf.DUMMYFUNCTION("IF(L296="""","""", REGEXEXTRACT(REGEXREPLACE(L296,""x"", """"), ""[0-9]+""))"),"")</f>
        <v/>
      </c>
      <c r="N296" s="2" t="str">
        <f t="shared" ref="N296:N298" si="137">IF(LEFT(M296,2)="34", RIGHT(M296,LEN(M296)-2),M296)</f>
        <v/>
      </c>
      <c r="O296" s="2" t="b">
        <f>IFERROR(__xludf.DUMMYFUNCTION("REGEXMATCH(TO_TEXT(N296), ""^[67]"")"),FALSE)</f>
        <v>0</v>
      </c>
      <c r="P296" s="2">
        <f t="shared" si="129"/>
        <v>0</v>
      </c>
      <c r="Q296" s="9" t="str">
        <f t="shared" ref="Q296:Q298" si="138">IF(AND(O296=TRUE, P296=9), "✅ VALID", "❌ INVALID")</f>
        <v>❌ INVALID</v>
      </c>
      <c r="R296" s="10" t="s">
        <v>139</v>
      </c>
      <c r="S296" s="12">
        <v>44646.115277777775</v>
      </c>
      <c r="T296" s="2" t="str">
        <f>IFERROR(__xludf.DUMMYFUNCTION("IF(ISNUMBER(S296),TEXT(S296,""yyyy-MM-dd""),REGEXREPLACE(REGEXREPLACE(TO_TEXT(S296),""[^0-9a-zA-Z]+"",""-""),""[^0-9]*$"",""""))"),"2022-03-26")</f>
        <v>2022-03-26</v>
      </c>
      <c r="U296" s="2" t="s">
        <v>8051</v>
      </c>
      <c r="Y296" s="10" t="s">
        <v>8051</v>
      </c>
    </row>
    <row r="297" ht="15.75" customHeight="1">
      <c r="A297" s="2" t="s">
        <v>1931</v>
      </c>
      <c r="B297" s="9" t="s">
        <v>7597</v>
      </c>
      <c r="C297" s="2" t="s">
        <v>4366</v>
      </c>
      <c r="D297" s="10" t="str">
        <f>IFERROR(__xludf.DUMMYFUNCTION("PROPER(REGEXREPLACE(TRIM(C297),""\s+"","" ""))"),"Tara Lee")</f>
        <v>Tara Lee</v>
      </c>
      <c r="E297" s="2">
        <f>IFERROR(__xludf.DUMMYFUNCTION("IF(LEN(D297:D701),
  COUNTA(SPLIT(D297:D701,"" "")),
 """")"),2.0)</f>
        <v>2</v>
      </c>
      <c r="F297" s="9" t="str">
        <f t="shared" si="114"/>
        <v>✅</v>
      </c>
      <c r="G297" s="2" t="str">
        <f>IFERROR(__xludf.DUMMYFUNCTION("REGEXEXTRACT(PROPER(SUBSTITUTE(TRIM(I297),""."","" "")),""^[^@]+"")"),"Tara Lee")</f>
        <v>Tara Lee</v>
      </c>
      <c r="H297" s="10" t="str">
        <f t="shared" si="115"/>
        <v>tara.lee@example.com</v>
      </c>
      <c r="I297" s="2" t="s">
        <v>4367</v>
      </c>
      <c r="J297" s="9" t="str">
        <f>IFERROR(__xludf.DUMMYFUNCTION("IF(REGEXMATCH(TRIM(I297),""^[A-Za-z0-9._%+-]+@[A-Za-z0-9.-]+\.[A-Za-z]{2,}$""),""✅ Valid"",""❌ Invalid"")"),"✅ Valid")</f>
        <v>✅ Valid</v>
      </c>
      <c r="K297" s="11">
        <v>8.55802634E8</v>
      </c>
      <c r="L297" s="2" t="str">
        <f>IFERROR(__xludf.DUMMYFUNCTION("IF(OR(K297=""N/A"", K297=""missing"", K297=""none""), """",
 REGEXREPLACE(
  SUBSTITUTE(SUBSTITUTE(SUBSTITUTE(TO_TEXT(K297), CHAR(160),""""), UNICHAR(8239),""""), UNICHAR(8201),""""),""[+\-/(): )]"", """"))"),"855802634")</f>
        <v>855802634</v>
      </c>
      <c r="M297" s="2" t="str">
        <f>IFERROR(__xludf.DUMMYFUNCTION("IF(L297="""","""", REGEXEXTRACT(REGEXREPLACE(L297,""x"", """"), ""[0-9]+""))"),"855802634")</f>
        <v>855802634</v>
      </c>
      <c r="N297" s="2" t="str">
        <f t="shared" si="137"/>
        <v>855802634</v>
      </c>
      <c r="O297" s="2" t="b">
        <f>IFERROR(__xludf.DUMMYFUNCTION("REGEXMATCH(TO_TEXT(N297), ""^[67]"")"),FALSE)</f>
        <v>0</v>
      </c>
      <c r="P297" s="2">
        <f t="shared" si="129"/>
        <v>9</v>
      </c>
      <c r="Q297" s="9" t="str">
        <f t="shared" si="138"/>
        <v>❌ INVALID</v>
      </c>
      <c r="R297" s="10" t="s">
        <v>139</v>
      </c>
      <c r="S297" s="12">
        <v>44739.0</v>
      </c>
      <c r="T297" s="2" t="str">
        <f>IFERROR(__xludf.DUMMYFUNCTION("IF(ISNUMBER(S297),TEXT(S297,""yyyy-MM-dd""),REGEXREPLACE(REGEXREPLACE(TO_TEXT(S297),""[^0-9a-zA-Z]+"",""-""),""[^0-9]*$"",""""))"),"2022-06-27")</f>
        <v>2022-06-27</v>
      </c>
      <c r="U297" s="2" t="s">
        <v>8052</v>
      </c>
      <c r="Y297" s="10" t="s">
        <v>8052</v>
      </c>
    </row>
    <row r="298" ht="15.75" customHeight="1">
      <c r="A298" s="2" t="s">
        <v>5197</v>
      </c>
      <c r="B298" s="9" t="s">
        <v>7597</v>
      </c>
      <c r="C298" s="2" t="s">
        <v>341</v>
      </c>
      <c r="D298" s="10" t="str">
        <f>IFERROR(__xludf.DUMMYFUNCTION("PROPER(REGEXREPLACE(TRIM(C298),""\s+"","" ""))"),"Paula Novak")</f>
        <v>Paula Novak</v>
      </c>
      <c r="E298" s="2">
        <f>IFERROR(__xludf.DUMMYFUNCTION("IF(LEN(D298:D701),
  COUNTA(SPLIT(D298:D701,"" "")),
 """")"),2.0)</f>
        <v>2</v>
      </c>
      <c r="F298" s="9" t="str">
        <f t="shared" si="114"/>
        <v>✅</v>
      </c>
      <c r="G298" s="2" t="str">
        <f>IFERROR(__xludf.DUMMYFUNCTION("REGEXEXTRACT(PROPER(SUBSTITUTE(TRIM(I298),""."","" "")),""^[^@]+"")"),"Paula Novak")</f>
        <v>Paula Novak</v>
      </c>
      <c r="H298" s="10" t="str">
        <f t="shared" si="115"/>
        <v>paula.novak@gmail.com</v>
      </c>
      <c r="I298" s="2" t="s">
        <v>342</v>
      </c>
      <c r="J298" s="9" t="str">
        <f>IFERROR(__xludf.DUMMYFUNCTION("IF(REGEXMATCH(TRIM(I298),""^[A-Za-z0-9._%+-]+@[A-Za-z0-9.-]+\.[A-Za-z]{2,}$""),""✅ Valid"",""❌ Invalid"")"),"✅ Valid")</f>
        <v>✅ Valid</v>
      </c>
      <c r="K298" s="13" t="s">
        <v>8053</v>
      </c>
      <c r="L298" s="2" t="str">
        <f>IFERROR(__xludf.DUMMYFUNCTION("IF(OR(K298=""N/A"", K298=""missing"", K298=""none""), """",
 REGEXREPLACE(
  SUBSTITUTE(SUBSTITUTE(SUBSTITUTE(TO_TEXT(K298), CHAR(160),""""), UNICHAR(8239),""""), UNICHAR(8201),""""),""[+\-/(): )]"", """"))"),"347431475298")</f>
        <v>347431475298</v>
      </c>
      <c r="M298" s="2" t="str">
        <f>IFERROR(__xludf.DUMMYFUNCTION("IF(L298="""","""", REGEXEXTRACT(REGEXREPLACE(L298,""x"", """"), ""[0-9]+""))"),"347431475298")</f>
        <v>347431475298</v>
      </c>
      <c r="N298" s="2" t="str">
        <f t="shared" si="137"/>
        <v>7431475298</v>
      </c>
      <c r="O298" s="2" t="b">
        <f>IFERROR(__xludf.DUMMYFUNCTION("REGEXMATCH(TO_TEXT(N298), ""^[67]"")"),TRUE)</f>
        <v>1</v>
      </c>
      <c r="P298" s="2">
        <f t="shared" si="129"/>
        <v>10</v>
      </c>
      <c r="Q298" s="9" t="str">
        <f t="shared" si="138"/>
        <v>❌ INVALID</v>
      </c>
      <c r="R298" s="10" t="s">
        <v>139</v>
      </c>
      <c r="S298" s="12">
        <v>44739.0</v>
      </c>
      <c r="T298" s="2" t="str">
        <f>IFERROR(__xludf.DUMMYFUNCTION("IF(ISNUMBER(S298),TEXT(S298,""yyyy-MM-dd""),REGEXREPLACE(REGEXREPLACE(TO_TEXT(S298),""[^0-9a-zA-Z]+"",""-""),""[^0-9]*$"",""""))"),"2022-06-27")</f>
        <v>2022-06-27</v>
      </c>
      <c r="U298" s="2" t="s">
        <v>8052</v>
      </c>
      <c r="Y298" s="10" t="s">
        <v>8052</v>
      </c>
    </row>
    <row r="299" ht="15.75" customHeight="1">
      <c r="A299" s="2" t="s">
        <v>3882</v>
      </c>
      <c r="B299" s="9" t="s">
        <v>7597</v>
      </c>
      <c r="C299" s="2" t="s">
        <v>879</v>
      </c>
      <c r="D299" s="10" t="str">
        <f>IFERROR(__xludf.DUMMYFUNCTION("PROPER(REGEXREPLACE(TRIM(C299),""\s+"","" ""))"),"Lia Taylor")</f>
        <v>Lia Taylor</v>
      </c>
      <c r="E299" s="2">
        <f>IFERROR(__xludf.DUMMYFUNCTION("IF(LEN(D299:D701),
  COUNTA(SPLIT(D299:D701,"" "")),
 """")"),2.0)</f>
        <v>2</v>
      </c>
      <c r="F299" s="9" t="str">
        <f t="shared" si="114"/>
        <v>✅</v>
      </c>
      <c r="G299" s="2" t="str">
        <f>IFERROR(__xludf.DUMMYFUNCTION("REGEXEXTRACT(PROPER(SUBSTITUTE(TRIM(I299),""."","" "")),""^[^@]+"")"),"Lia Taylor")</f>
        <v>Lia Taylor</v>
      </c>
      <c r="H299" s="10" t="str">
        <f t="shared" si="115"/>
        <v>lia.taylor@example.com</v>
      </c>
      <c r="I299" s="2" t="s">
        <v>163</v>
      </c>
      <c r="J299" s="9" t="str">
        <f>IFERROR(__xludf.DUMMYFUNCTION("IF(REGEXMATCH(TRIM(I299),""^[A-Za-z0-9._%+-]+@[A-Za-z0-9.-]+\.[A-Za-z]{2,}$""),""✅ Valid"",""❌ Invalid"")"),"✅ Valid")</f>
        <v>✅ Valid</v>
      </c>
      <c r="K299" s="13" t="s">
        <v>8054</v>
      </c>
      <c r="L299" s="2" t="str">
        <f>IFERROR(__xludf.DUMMYFUNCTION("IF(OR(K299=""N/A"", K299=""missing"", K299=""none""), """",
 REGEXREPLACE(
  SUBSTITUTE(SUBSTITUTE(SUBSTITUTE(TO_TEXT(K299), CHAR(160),""""), UNICHAR(8239),""""), UNICHAR(8201),""""),""[+\-/(): )]"", """"))"),"39488741803")</f>
        <v>39488741803</v>
      </c>
      <c r="M299" s="2" t="str">
        <f>IFERROR(__xludf.DUMMYFUNCTION("IF(L299="""","""", REGEXEXTRACT(REGEXREPLACE(L299,""x"", """"), ""[0-9]+""))"),"39488741803")</f>
        <v>39488741803</v>
      </c>
      <c r="N299" s="2" t="str">
        <f>IF(LEFT(M299,2)="39", RIGHT(M299,LEN(M299)-2),M299)</f>
        <v>488741803</v>
      </c>
      <c r="O299" s="2" t="b">
        <f>IFERROR(__xludf.DUMMYFUNCTION("REGEXMATCH(TO_TEXT(N299), ""^3"")"),FALSE)</f>
        <v>0</v>
      </c>
      <c r="P299" s="2">
        <f t="shared" si="129"/>
        <v>9</v>
      </c>
      <c r="Q299" s="9" t="str">
        <f>IF(AND(O299=TRUE,OR(P299=9, P299=10 )), "✅ VALID", "❌ INVALID")</f>
        <v>❌ INVALID</v>
      </c>
      <c r="R299" s="10" t="s">
        <v>785</v>
      </c>
      <c r="S299" s="12">
        <v>45551.0</v>
      </c>
      <c r="T299" s="2" t="str">
        <f>IFERROR(__xludf.DUMMYFUNCTION("IF(ISNUMBER(S299),TEXT(S299,""yyyy-MM-dd""),REGEXREPLACE(REGEXREPLACE(TO_TEXT(S299),""[^0-9a-zA-Z]+"",""-""),""[^0-9]*$"",""""))"),"2024-09-16")</f>
        <v>2024-09-16</v>
      </c>
      <c r="U299" s="2" t="s">
        <v>7743</v>
      </c>
      <c r="Y299" s="10" t="s">
        <v>7743</v>
      </c>
    </row>
    <row r="300" ht="15.75" customHeight="1">
      <c r="A300" s="2" t="s">
        <v>7160</v>
      </c>
      <c r="B300" s="9" t="s">
        <v>7597</v>
      </c>
      <c r="C300" s="2" t="s">
        <v>231</v>
      </c>
      <c r="D300" s="10" t="str">
        <f>IFERROR(__xludf.DUMMYFUNCTION("PROPER(REGEXREPLACE(TRIM(C300),""\s+"","" ""))"),"Paula Martinez")</f>
        <v>Paula Martinez</v>
      </c>
      <c r="E300" s="2">
        <f>IFERROR(__xludf.DUMMYFUNCTION("IF(LEN(D300:D701),
  COUNTA(SPLIT(D300:D701,"" "")),
 """")"),2.0)</f>
        <v>2</v>
      </c>
      <c r="F300" s="9" t="str">
        <f t="shared" si="114"/>
        <v>✅</v>
      </c>
      <c r="G300" s="2" t="str">
        <f>IFERROR(__xludf.DUMMYFUNCTION("REGEXEXTRACT(PROPER(SUBSTITUTE(TRIM(I300),""."","" "")),""^[^@]+"")"),"Paula Martinez")</f>
        <v>Paula Martinez</v>
      </c>
      <c r="H300" s="10" t="str">
        <f t="shared" si="115"/>
        <v>paula.martinez@example.com</v>
      </c>
      <c r="I300" s="2" t="s">
        <v>232</v>
      </c>
      <c r="J300" s="9" t="str">
        <f>IFERROR(__xludf.DUMMYFUNCTION("IF(REGEXMATCH(TRIM(I300),""^[A-Za-z0-9._%+-]+@[A-Za-z0-9.-]+\.[A-Za-z]{2,}$""),""✅ Valid"",""❌ Invalid"")"),"✅ Valid")</f>
        <v>✅ Valid</v>
      </c>
      <c r="K300" s="15" t="s">
        <v>8055</v>
      </c>
      <c r="L300" s="2" t="str">
        <f>IFERROR(__xludf.DUMMYFUNCTION("IF(K300=""N/A"", """",
 REGEXREPLACE(
  SUBSTITUTE(SUBSTITUTE(SUBSTITUTE(TO_TEXT(K300), CHAR(160),""""), UNICHAR(8239),""""), UNICHAR(8201),""""),""[+\-/(): )]"", """"))"),"4805345707")</f>
        <v>4805345707</v>
      </c>
      <c r="M300" s="2" t="str">
        <f>IFERROR(__xludf.DUMMYFUNCTION("IF(L300="""","""", REGEXEXTRACT(REGEXREPLACE(L300,""x"", """"), ""[0-9]+""))"),"4805345707")</f>
        <v>4805345707</v>
      </c>
      <c r="N300" s="2" t="str">
        <f>IF(LEFT(M300,2)="48", RIGHT(M300,LEN(M300)-2),M300)</f>
        <v>05345707</v>
      </c>
      <c r="O300" s="2" t="b">
        <f>IFERROR(__xludf.DUMMYFUNCTION("REGEXMATCH(TO_TEXT(N300), ""^(5[013679]|6[069]|7[2-9]|88)"")"),FALSE)</f>
        <v>0</v>
      </c>
      <c r="Q300" s="9" t="str">
        <f>IF(AND(O300=TRUE, P300=9), "✅ VALID", "❌ INVALID")</f>
        <v>❌ INVALID</v>
      </c>
      <c r="R300" s="10" t="s">
        <v>25</v>
      </c>
      <c r="S300" s="12">
        <v>44709.0</v>
      </c>
      <c r="T300" s="2" t="str">
        <f>IFERROR(__xludf.DUMMYFUNCTION("IF(ISNUMBER(S300),TEXT(S300,""yyyy-MM-dd""),REGEXREPLACE(REGEXREPLACE(TO_TEXT(S300),""[^0-9a-zA-Z]+"",""-""),""[^0-9]*$"",""""))"),"2022-05-28")</f>
        <v>2022-05-28</v>
      </c>
      <c r="U300" s="2" t="s">
        <v>8056</v>
      </c>
      <c r="Y300" s="10" t="s">
        <v>8056</v>
      </c>
    </row>
    <row r="301" ht="15.75" customHeight="1">
      <c r="A301" s="2" t="s">
        <v>3417</v>
      </c>
      <c r="B301" s="9" t="s">
        <v>7597</v>
      </c>
      <c r="C301" s="2" t="s">
        <v>2452</v>
      </c>
      <c r="D301" s="10" t="str">
        <f>IFERROR(__xludf.DUMMYFUNCTION("PROPER(REGEXREPLACE(TRIM(C301),""\s+"","" ""))"),"Rita Khan")</f>
        <v>Rita Khan</v>
      </c>
      <c r="E301" s="2">
        <f>IFERROR(__xludf.DUMMYFUNCTION("IF(LEN(D301:D701),
  COUNTA(SPLIT(D301:D701,"" "")),
 """")"),2.0)</f>
        <v>2</v>
      </c>
      <c r="F301" s="9" t="str">
        <f t="shared" si="114"/>
        <v>✅</v>
      </c>
      <c r="G301" s="2" t="str">
        <f>IFERROR(__xludf.DUMMYFUNCTION("REGEXEXTRACT(PROPER(SUBSTITUTE(TRIM(I301),""."","" "")),""^[^@]+"")"),"Rita Khan")</f>
        <v>Rita Khan</v>
      </c>
      <c r="H301" s="10" t="str">
        <f t="shared" si="115"/>
        <v>rita.khan@yahoo.com</v>
      </c>
      <c r="I301" s="2" t="s">
        <v>3918</v>
      </c>
      <c r="J301" s="9" t="str">
        <f>IFERROR(__xludf.DUMMYFUNCTION("IF(REGEXMATCH(TRIM(I301),""^[A-Za-z0-9._%+-]+@[A-Za-z0-9.-]+\.[A-Za-z]{2,}$""),""✅ Valid"",""❌ Invalid"")"),"✅ Valid")</f>
        <v>✅ Valid</v>
      </c>
      <c r="K301" s="13" t="s">
        <v>8057</v>
      </c>
      <c r="L301" s="2" t="str">
        <f>IFERROR(__xludf.DUMMYFUNCTION("IF(OR(K301=""N/A"", K301=""missing"", K301=""none""), """",
 REGEXREPLACE(
  SUBSTITUTE(SUBSTITUTE(SUBSTITUTE(TO_TEXT(K301), CHAR(160),""""), UNICHAR(8239),""""), UNICHAR(8201),""""),""[+\-/(): )]"", """"))"),"185543443383")</f>
        <v>185543443383</v>
      </c>
      <c r="M301" s="2" t="str">
        <f>IFERROR(__xludf.DUMMYFUNCTION("IF(L301="""","""", REGEXEXTRACT(REGEXREPLACE(L301,""x"", """"), ""[0-9]+""))"),"185543443383")</f>
        <v>185543443383</v>
      </c>
      <c r="N301" s="2" t="str">
        <f>IF(LEFT(M301,1)="1", RIGHT(M301,LEN(M301)-1),M301)</f>
        <v>85543443383</v>
      </c>
      <c r="O301" s="2" t="b">
        <f>IFERROR(__xludf.DUMMYFUNCTION("REGEXMATCH(TO_TEXT(N301), ""^[2-9][0-9]{9}$"")"),FALSE)</f>
        <v>0</v>
      </c>
      <c r="P301" s="2">
        <f t="shared" ref="P301:P330" si="139">LEN(N301)</f>
        <v>11</v>
      </c>
      <c r="Q301" s="9" t="str">
        <f>IF(AND(O301=TRUE, P301=10), "✅ VALID", "❌ INVALID")</f>
        <v>❌ INVALID</v>
      </c>
      <c r="R301" s="10" t="s">
        <v>199</v>
      </c>
      <c r="S301" s="12">
        <v>45049.0</v>
      </c>
      <c r="T301" s="2" t="str">
        <f>IFERROR(__xludf.DUMMYFUNCTION("IF(ISNUMBER(S301),TEXT(S301,""yyyy-MM-dd""),REGEXREPLACE(REGEXREPLACE(TO_TEXT(S301),""[^0-9a-zA-Z]+"",""-""),""[^0-9]*$"",""""))"),"2023-05-03")</f>
        <v>2023-05-03</v>
      </c>
      <c r="U301" s="2" t="s">
        <v>7746</v>
      </c>
      <c r="Y301" s="10" t="s">
        <v>7746</v>
      </c>
    </row>
    <row r="302" ht="15.75" customHeight="1">
      <c r="A302" s="2" t="s">
        <v>6316</v>
      </c>
      <c r="B302" s="9" t="s">
        <v>7597</v>
      </c>
      <c r="C302" s="2" t="s">
        <v>4394</v>
      </c>
      <c r="D302" s="10" t="str">
        <f>IFERROR(__xludf.DUMMYFUNCTION("PROPER(REGEXREPLACE(TRIM(C302),""\s+"","" ""))"),"Yara Taylor")</f>
        <v>Yara Taylor</v>
      </c>
      <c r="E302" s="2">
        <f>IFERROR(__xludf.DUMMYFUNCTION("IF(LEN(D302:D701),
  COUNTA(SPLIT(D302:D701,"" "")),
 """")"),2.0)</f>
        <v>2</v>
      </c>
      <c r="F302" s="9" t="str">
        <f t="shared" si="114"/>
        <v>✅</v>
      </c>
      <c r="G302" s="2" t="str">
        <f>IFERROR(__xludf.DUMMYFUNCTION("REGEXEXTRACT(PROPER(SUBSTITUTE(TRIM(I302),""."","" "")),""^[^@]+"")"),"Yara Taylor")</f>
        <v>Yara Taylor</v>
      </c>
      <c r="H302" s="10" t="str">
        <f t="shared" si="115"/>
        <v>yara.taylor@outlook.com</v>
      </c>
      <c r="I302" s="2" t="s">
        <v>4395</v>
      </c>
      <c r="J302" s="9" t="str">
        <f>IFERROR(__xludf.DUMMYFUNCTION("IF(REGEXMATCH(TRIM(I302),""^[A-Za-z0-9._%+-]+@[A-Za-z0-9.-]+\.[A-Za-z]{2,}$""),""✅ Valid"",""❌ Invalid"")"),"✅ Valid")</f>
        <v>✅ Valid</v>
      </c>
      <c r="K302" s="13" t="s">
        <v>8058</v>
      </c>
      <c r="L302" s="2" t="str">
        <f>IFERROR(__xludf.DUMMYFUNCTION("IF(OR(K302=""N/A"", K302=""missing"", K302=""none""), """",
 REGEXREPLACE(
  SUBSTITUTE(SUBSTITUTE(SUBSTITUTE(TO_TEXT(K302), CHAR(160),""""), UNICHAR(8239),""""), UNICHAR(8201),""""),""[+\-/(): )]"", """"))"),"353025466520")</f>
        <v>353025466520</v>
      </c>
      <c r="M302" s="2" t="str">
        <f>IFERROR(__xludf.DUMMYFUNCTION("IF(L302="""","""", REGEXEXTRACT(REGEXREPLACE(L302,""x"", """"), ""[0-9]+""))"),"353025466520")</f>
        <v>353025466520</v>
      </c>
      <c r="N302" s="2" t="str">
        <f>IF(LEFT(M302,3)="353", RIGHT(M302,LEN(M302)-3),M302)</f>
        <v>025466520</v>
      </c>
      <c r="O302" s="2" t="b">
        <f>IFERROR(__xludf.DUMMYFUNCTION("REGEXMATCH(TO_TEXT(N302), ""^0(83|85|86|87|89)"")"),FALSE)</f>
        <v>0</v>
      </c>
      <c r="P302" s="2">
        <f t="shared" si="139"/>
        <v>9</v>
      </c>
      <c r="Q302" s="9" t="str">
        <f>IF(AND(O302=TRUE, P299=10), "✅ VALID", "❌ INVALID")</f>
        <v>❌ INVALID</v>
      </c>
      <c r="R302" s="10" t="s">
        <v>1177</v>
      </c>
      <c r="S302" s="12">
        <v>44681.0</v>
      </c>
      <c r="T302" s="2" t="str">
        <f>IFERROR(__xludf.DUMMYFUNCTION("IF(ISNUMBER(S302),TEXT(S302,""yyyy-MM-dd""),REGEXREPLACE(REGEXREPLACE(TO_TEXT(S302),""[^0-9a-zA-Z]+"",""-""),""[^0-9]*$"",""""))"),"2022-04-30")</f>
        <v>2022-04-30</v>
      </c>
      <c r="U302" s="2" t="s">
        <v>8059</v>
      </c>
      <c r="Y302" s="10" t="s">
        <v>8059</v>
      </c>
    </row>
    <row r="303" ht="15.75" customHeight="1">
      <c r="A303" s="2" t="s">
        <v>5109</v>
      </c>
      <c r="B303" s="9" t="s">
        <v>7597</v>
      </c>
      <c r="C303" s="2" t="s">
        <v>1457</v>
      </c>
      <c r="D303" s="10" t="str">
        <f>IFERROR(__xludf.DUMMYFUNCTION("PROPER(REGEXREPLACE(TRIM(C303),""\s+"","" ""))"),"Rita Williams")</f>
        <v>Rita Williams</v>
      </c>
      <c r="E303" s="2">
        <f>IFERROR(__xludf.DUMMYFUNCTION("IF(LEN(D303:D701),
  COUNTA(SPLIT(D303:D701,"" "")),
 """")"),2.0)</f>
        <v>2</v>
      </c>
      <c r="F303" s="9" t="str">
        <f t="shared" si="114"/>
        <v>✅</v>
      </c>
      <c r="G303" s="2" t="str">
        <f>IFERROR(__xludf.DUMMYFUNCTION("REGEXEXTRACT(PROPER(SUBSTITUTE(TRIM(I303),""."","" "")),""^[^@]+"")"),"Rita Williams")</f>
        <v>Rita Williams</v>
      </c>
      <c r="H303" s="10" t="str">
        <f t="shared" si="115"/>
        <v>rita.williams@outlook.com</v>
      </c>
      <c r="I303" s="2" t="s">
        <v>1739</v>
      </c>
      <c r="J303" s="9" t="str">
        <f>IFERROR(__xludf.DUMMYFUNCTION("IF(REGEXMATCH(TRIM(I303),""^[A-Za-z0-9._%+-]+@[A-Za-z0-9.-]+\.[A-Za-z]{2,}$""),""✅ Valid"",""❌ Invalid"")"),"✅ Valid")</f>
        <v>✅ Valid</v>
      </c>
      <c r="K303" s="13" t="s">
        <v>8060</v>
      </c>
      <c r="L303" s="2" t="str">
        <f>IFERROR(__xludf.DUMMYFUNCTION("IF(OR(K303=""N/A"", K303=""missing"", K303=""none""), """",
 REGEXREPLACE(
  SUBSTITUTE(SUBSTITUTE(SUBSTITUTE(TO_TEXT(K303), CHAR(160),""""), UNICHAR(8239),""""), UNICHAR(8201),""""),""[+\-/(): )]"", """"))"),"49737850010")</f>
        <v>49737850010</v>
      </c>
      <c r="M303" s="2" t="str">
        <f>IFERROR(__xludf.DUMMYFUNCTION("IF(L303="""","""", REGEXEXTRACT(REGEXREPLACE(L303,""x"", """"), ""[0-9]+""))"),"49737850010")</f>
        <v>49737850010</v>
      </c>
      <c r="N303" s="2" t="str">
        <f>IF(LEFT(M303,2)="49", RIGHT(M303,LEN(M303)-2),M303)</f>
        <v>737850010</v>
      </c>
      <c r="O303" s="2" t="b">
        <f>IFERROR(__xludf.DUMMYFUNCTION("REGEXMATCH(TO_TEXT(N303), ""^0(15|16|17)"")"),FALSE)</f>
        <v>0</v>
      </c>
      <c r="P303" s="2">
        <f t="shared" si="139"/>
        <v>9</v>
      </c>
      <c r="Q303" s="9" t="str">
        <f>IF(AND(O303=TRUE,OR(P303=10, P303=11)), "✅ VALID", "❌ INVALID")</f>
        <v>❌ INVALID</v>
      </c>
      <c r="R303" s="10" t="s">
        <v>459</v>
      </c>
      <c r="S303" s="12">
        <v>45311.08263888889</v>
      </c>
      <c r="T303" s="2" t="str">
        <f>IFERROR(__xludf.DUMMYFUNCTION("IF(ISNUMBER(S303),TEXT(S303,""yyyy-MM-dd""),REGEXREPLACE(REGEXREPLACE(TO_TEXT(S303),""[^0-9a-zA-Z]+"",""-""),""[^0-9]*$"",""""))"),"2024-01-20")</f>
        <v>2024-01-20</v>
      </c>
      <c r="U303" s="2" t="s">
        <v>8061</v>
      </c>
      <c r="Y303" s="10" t="s">
        <v>8061</v>
      </c>
    </row>
    <row r="304" ht="15.75" customHeight="1">
      <c r="A304" s="2" t="s">
        <v>6981</v>
      </c>
      <c r="B304" s="9" t="s">
        <v>7597</v>
      </c>
      <c r="C304" s="2" t="s">
        <v>5746</v>
      </c>
      <c r="D304" s="10" t="str">
        <f>IFERROR(__xludf.DUMMYFUNCTION("PROPER(REGEXREPLACE(TRIM(C304),""\s+"","" ""))"),"Paula Smith")</f>
        <v>Paula Smith</v>
      </c>
      <c r="E304" s="2">
        <f>IFERROR(__xludf.DUMMYFUNCTION("IF(LEN(D304:D701),
  COUNTA(SPLIT(D304:D701,"" "")),
 """")"),2.0)</f>
        <v>2</v>
      </c>
      <c r="F304" s="9" t="str">
        <f t="shared" si="114"/>
        <v>✅</v>
      </c>
      <c r="G304" s="2" t="str">
        <f>IFERROR(__xludf.DUMMYFUNCTION("REGEXEXTRACT(PROPER(SUBSTITUTE(TRIM(I304),""."","" "")),""^[^@]+"")"),"Paula Smith")</f>
        <v>Paula Smith</v>
      </c>
      <c r="H304" s="10" t="str">
        <f t="shared" si="115"/>
        <v>paula.smith@example.com</v>
      </c>
      <c r="I304" s="2" t="s">
        <v>5747</v>
      </c>
      <c r="J304" s="9" t="str">
        <f>IFERROR(__xludf.DUMMYFUNCTION("IF(REGEXMATCH(TRIM(I304),""^[A-Za-z0-9._%+-]+@[A-Za-z0-9.-]+\.[A-Za-z]{2,}$""),""✅ Valid"",""❌ Invalid"")"),"✅ Valid")</f>
        <v>✅ Valid</v>
      </c>
      <c r="K304" s="13" t="s">
        <v>8062</v>
      </c>
      <c r="L304" s="2" t="str">
        <f>IFERROR(__xludf.DUMMYFUNCTION("IF(OR(K304=""N/A"", K304=""missing"", K304=""none""), """",
 REGEXREPLACE(
  SUBSTITUTE(SUBSTITUTE(SUBSTITUTE(TO_TEXT(K304), CHAR(160),""""), UNICHAR(8239),""""), UNICHAR(8201),""""),""[+\-/(): )]"", """"))"),"5704x0781")</f>
        <v>5704x0781</v>
      </c>
      <c r="M304" s="2" t="str">
        <f>IFERROR(__xludf.DUMMYFUNCTION("IF(L304="""","""", REGEXEXTRACT(REGEXREPLACE(L304,""x"", """"), ""[0-9]+""))"),"57040781")</f>
        <v>57040781</v>
      </c>
      <c r="N304" s="2" t="str">
        <f>IF(LEFT(M304,2)="33", RIGHT(M304,LEN(M304)-2),M304)</f>
        <v>57040781</v>
      </c>
      <c r="O304" s="2" t="b">
        <f>IFERROR(__xludf.DUMMYFUNCTION("REGEXMATCH(TO_TEXT(N304), ""^0[67]"")"),FALSE)</f>
        <v>0</v>
      </c>
      <c r="P304" s="2">
        <f t="shared" si="139"/>
        <v>8</v>
      </c>
      <c r="Q304" s="9" t="str">
        <f>IF(AND(O304=TRUE, P304=9), "✅ VALID", "❌ INVALID")</f>
        <v>❌ INVALID</v>
      </c>
      <c r="R304" s="10" t="s">
        <v>58</v>
      </c>
      <c r="S304" s="12">
        <v>44661.0</v>
      </c>
      <c r="T304" s="2" t="str">
        <f>IFERROR(__xludf.DUMMYFUNCTION("IF(ISNUMBER(S304),TEXT(S304,""yyyy-MM-dd""),REGEXREPLACE(REGEXREPLACE(TO_TEXT(S304),""[^0-9a-zA-Z]+"",""-""),""[^0-9]*$"",""""))"),"2022-04-10")</f>
        <v>2022-04-10</v>
      </c>
      <c r="U304" s="2" t="s">
        <v>8063</v>
      </c>
      <c r="Y304" s="10" t="s">
        <v>8063</v>
      </c>
    </row>
    <row r="305" ht="15.75" customHeight="1">
      <c r="A305" s="2" t="s">
        <v>586</v>
      </c>
      <c r="B305" s="9" t="s">
        <v>7597</v>
      </c>
      <c r="C305" s="2" t="s">
        <v>887</v>
      </c>
      <c r="D305" s="10" t="str">
        <f>IFERROR(__xludf.DUMMYFUNCTION("PROPER(REGEXREPLACE(TRIM(C305),""\s+"","" ""))"),"Ken Young")</f>
        <v>Ken Young</v>
      </c>
      <c r="E305" s="2">
        <f>IFERROR(__xludf.DUMMYFUNCTION("IF(LEN(D305:D701),
  COUNTA(SPLIT(D305:D701,"" "")),
 """")"),2.0)</f>
        <v>2</v>
      </c>
      <c r="F305" s="9" t="str">
        <f t="shared" si="114"/>
        <v>✅</v>
      </c>
      <c r="G305" s="2" t="str">
        <f>IFERROR(__xludf.DUMMYFUNCTION("REGEXEXTRACT(PROPER(SUBSTITUTE(TRIM(I305),""."","" "")),""^[^@]+"")"),"Ken Young")</f>
        <v>Ken Young</v>
      </c>
      <c r="H305" s="10" t="str">
        <f t="shared" si="115"/>
        <v>ken.young@yahoo.com</v>
      </c>
      <c r="I305" s="2" t="s">
        <v>888</v>
      </c>
      <c r="J305" s="9" t="str">
        <f>IFERROR(__xludf.DUMMYFUNCTION("IF(REGEXMATCH(TRIM(I305),""^[A-Za-z0-9._%+-]+@[A-Za-z0-9.-]+\.[A-Za-z]{2,}$""),""✅ Valid"",""❌ Invalid"")"),"✅ Valid")</f>
        <v>✅ Valid</v>
      </c>
      <c r="K305" s="13" t="s">
        <v>8064</v>
      </c>
      <c r="L305" s="2" t="str">
        <f>IFERROR(__xludf.DUMMYFUNCTION("IF(OR(K305=""N/A"", K305=""missing"", K305=""none""), """",
 REGEXREPLACE(
  SUBSTITUTE(SUBSTITUTE(SUBSTITUTE(TO_TEXT(K305), CHAR(160),""""), UNICHAR(8239),""""), UNICHAR(8201),""""),""[+\-/(): )]"", """"))"),"49892863143")</f>
        <v>49892863143</v>
      </c>
      <c r="M305" s="2" t="str">
        <f>IFERROR(__xludf.DUMMYFUNCTION("IF(L305="""","""", REGEXEXTRACT(REGEXREPLACE(L305,""x"", """"), ""[0-9]+""))"),"49892863143")</f>
        <v>49892863143</v>
      </c>
      <c r="N305" s="2" t="str">
        <f>IF(LEFT(M305,2)="49", RIGHT(M305,LEN(M305)-2),M305)</f>
        <v>892863143</v>
      </c>
      <c r="O305" s="2" t="b">
        <f>IFERROR(__xludf.DUMMYFUNCTION("REGEXMATCH(TO_TEXT(N305), ""^0(15|16|17)"")"),FALSE)</f>
        <v>0</v>
      </c>
      <c r="P305" s="2">
        <f t="shared" si="139"/>
        <v>9</v>
      </c>
      <c r="Q305" s="9" t="str">
        <f>IF(AND(O305=TRUE,OR(P305=10, P305=11)), "✅ VALID", "❌ INVALID")</f>
        <v>❌ INVALID</v>
      </c>
      <c r="R305" s="10" t="s">
        <v>459</v>
      </c>
      <c r="S305" s="12">
        <v>44622.0</v>
      </c>
      <c r="T305" s="2" t="str">
        <f>IFERROR(__xludf.DUMMYFUNCTION("IF(ISNUMBER(S305),TEXT(S305,""yyyy-MM-dd""),REGEXREPLACE(REGEXREPLACE(TO_TEXT(S305),""[^0-9a-zA-Z]+"",""-""),""[^0-9]*$"",""""))"),"2022-03-02")</f>
        <v>2022-03-02</v>
      </c>
      <c r="U305" s="2" t="s">
        <v>7938</v>
      </c>
      <c r="Y305" s="10" t="s">
        <v>7938</v>
      </c>
    </row>
    <row r="306" ht="15.75" customHeight="1">
      <c r="A306" s="2" t="s">
        <v>3156</v>
      </c>
      <c r="B306" s="9" t="s">
        <v>7597</v>
      </c>
      <c r="C306" s="2" t="s">
        <v>1932</v>
      </c>
      <c r="D306" s="10" t="str">
        <f>IFERROR(__xludf.DUMMYFUNCTION("PROPER(REGEXREPLACE(TRIM(C306),""\s+"","" ""))"),"Uma Williams")</f>
        <v>Uma Williams</v>
      </c>
      <c r="E306" s="2">
        <f>IFERROR(__xludf.DUMMYFUNCTION("IF(LEN(D306:D701),
  COUNTA(SPLIT(D306:D701,"" "")),
 """")"),2.0)</f>
        <v>2</v>
      </c>
      <c r="F306" s="9" t="str">
        <f t="shared" si="114"/>
        <v>✅</v>
      </c>
      <c r="G306" s="2" t="str">
        <f>IFERROR(__xludf.DUMMYFUNCTION("REGEXEXTRACT(PROPER(SUBSTITUTE(TRIM(I306),""."","" "")),""^[^@]+"")"),"Uma Williams")</f>
        <v>Uma Williams</v>
      </c>
      <c r="H306" s="10" t="str">
        <f t="shared" si="115"/>
        <v>uma.williams@shop.io</v>
      </c>
      <c r="I306" s="2" t="s">
        <v>1933</v>
      </c>
      <c r="J306" s="9" t="str">
        <f>IFERROR(__xludf.DUMMYFUNCTION("IF(REGEXMATCH(TRIM(I306),""^[A-Za-z0-9._%+-]+@[A-Za-z0-9.-]+\.[A-Za-z]{2,}$""),""✅ Valid"",""❌ Invalid"")"),"✅ Valid")</f>
        <v>✅ Valid</v>
      </c>
      <c r="K306" s="13" t="s">
        <v>8065</v>
      </c>
      <c r="L306" s="2" t="str">
        <f>IFERROR(__xludf.DUMMYFUNCTION("IF(OR(K306=""N/A"", K306=""missing"", K306=""none""), """",
 REGEXREPLACE(
  SUBSTITUTE(SUBSTITUTE(SUBSTITUTE(TO_TEXT(K306), CHAR(160),""""), UNICHAR(8239),""""), UNICHAR(8201),""""),""[+\-/(): )]"", """"))"),"3468973545")</f>
        <v>3468973545</v>
      </c>
      <c r="M306" s="2" t="str">
        <f>IFERROR(__xludf.DUMMYFUNCTION("IF(L306="""","""", REGEXEXTRACT(REGEXREPLACE(L306,""x"", """"), ""[0-9]+""))"),"3468973545")</f>
        <v>3468973545</v>
      </c>
      <c r="N306" s="2" t="str">
        <f t="shared" ref="N306:N307" si="140">IF(LEFT(M306,2)="34", RIGHT(M306,LEN(M306)-2),M306)</f>
        <v>68973545</v>
      </c>
      <c r="O306" s="2" t="b">
        <f>IFERROR(__xludf.DUMMYFUNCTION("REGEXMATCH(TO_TEXT(N306), ""^[67]"")"),TRUE)</f>
        <v>1</v>
      </c>
      <c r="P306" s="2">
        <f t="shared" si="139"/>
        <v>8</v>
      </c>
      <c r="Q306" s="9" t="str">
        <f t="shared" ref="Q306:Q307" si="141">IF(AND(O306=TRUE, P306=9), "✅ VALID", "❌ INVALID")</f>
        <v>❌ INVALID</v>
      </c>
      <c r="R306" s="10" t="s">
        <v>139</v>
      </c>
      <c r="S306" s="12">
        <v>44669.0</v>
      </c>
      <c r="T306" s="2" t="str">
        <f>IFERROR(__xludf.DUMMYFUNCTION("IF(ISNUMBER(S306),TEXT(S306,""yyyy-MM-dd""),REGEXREPLACE(REGEXREPLACE(TO_TEXT(S306),""[^0-9a-zA-Z]+"",""-""),""[^0-9]*$"",""""))"),"2022-04-18")</f>
        <v>2022-04-18</v>
      </c>
      <c r="U306" s="2" t="s">
        <v>8066</v>
      </c>
      <c r="Y306" s="10" t="s">
        <v>8066</v>
      </c>
    </row>
    <row r="307" ht="15.75" customHeight="1">
      <c r="A307" s="2" t="s">
        <v>4232</v>
      </c>
      <c r="B307" s="9" t="s">
        <v>7597</v>
      </c>
      <c r="C307" s="2" t="s">
        <v>5198</v>
      </c>
      <c r="D307" s="10" t="str">
        <f>IFERROR(__xludf.DUMMYFUNCTION("PROPER(REGEXREPLACE(TRIM(C307),""\s+"","" ""))"),"Tara Young")</f>
        <v>Tara Young</v>
      </c>
      <c r="E307" s="2">
        <f>IFERROR(__xludf.DUMMYFUNCTION("IF(LEN(D307:D701),
  COUNTA(SPLIT(D307:D701,"" "")),
 """")"),2.0)</f>
        <v>2</v>
      </c>
      <c r="F307" s="9" t="str">
        <f t="shared" si="114"/>
        <v>✅</v>
      </c>
      <c r="G307" s="2" t="str">
        <f>IFERROR(__xludf.DUMMYFUNCTION("REGEXEXTRACT(PROPER(SUBSTITUTE(TRIM(I307),""."","" "")),""^[^@]+"")"),"Tara Young")</f>
        <v>Tara Young</v>
      </c>
      <c r="H307" s="10" t="str">
        <f t="shared" si="115"/>
        <v>tara.young@yahoo.com</v>
      </c>
      <c r="I307" s="2" t="s">
        <v>5199</v>
      </c>
      <c r="J307" s="9" t="str">
        <f>IFERROR(__xludf.DUMMYFUNCTION("IF(REGEXMATCH(TRIM(I307),""^[A-Za-z0-9._%+-]+@[A-Za-z0-9.-]+\.[A-Za-z]{2,}$""),""✅ Valid"",""❌ Invalid"")"),"✅ Valid")</f>
        <v>✅ Valid</v>
      </c>
      <c r="K307" s="13" t="s">
        <v>8067</v>
      </c>
      <c r="L307" s="2" t="str">
        <f>IFERROR(__xludf.DUMMYFUNCTION("IF(OR(K307=""N/A"", K307=""missing"", K307=""none""), """",
 REGEXREPLACE(
  SUBSTITUTE(SUBSTITUTE(SUBSTITUTE(TO_TEXT(K307), CHAR(160),""""), UNICHAR(8239),""""), UNICHAR(8201),""""),""[+\-/(): )]"", """"))"),"3436425342")</f>
        <v>3436425342</v>
      </c>
      <c r="M307" s="2" t="str">
        <f>IFERROR(__xludf.DUMMYFUNCTION("IF(L307="""","""", REGEXEXTRACT(REGEXREPLACE(L307,""x"", """"), ""[0-9]+""))"),"3436425342")</f>
        <v>3436425342</v>
      </c>
      <c r="N307" s="2" t="str">
        <f t="shared" si="140"/>
        <v>36425342</v>
      </c>
      <c r="O307" s="2" t="b">
        <f>IFERROR(__xludf.DUMMYFUNCTION("REGEXMATCH(TO_TEXT(N307), ""^[67]"")"),FALSE)</f>
        <v>0</v>
      </c>
      <c r="P307" s="2">
        <f t="shared" si="139"/>
        <v>8</v>
      </c>
      <c r="Q307" s="9" t="str">
        <f t="shared" si="141"/>
        <v>❌ INVALID</v>
      </c>
      <c r="R307" s="10" t="s">
        <v>139</v>
      </c>
      <c r="S307" s="12">
        <v>45142.0</v>
      </c>
      <c r="T307" s="2" t="str">
        <f>IFERROR(__xludf.DUMMYFUNCTION("IF(ISNUMBER(S307),TEXT(S307,""yyyy-MM-dd""),REGEXREPLACE(REGEXREPLACE(TO_TEXT(S307),""[^0-9a-zA-Z]+"",""-""),""[^0-9]*$"",""""))"),"2023-08-04")</f>
        <v>2023-08-04</v>
      </c>
      <c r="U307" s="2" t="s">
        <v>8068</v>
      </c>
      <c r="Y307" s="10" t="s">
        <v>8068</v>
      </c>
    </row>
    <row r="308" ht="15.75" customHeight="1">
      <c r="A308" s="2" t="s">
        <v>5507</v>
      </c>
      <c r="B308" s="9" t="s">
        <v>7597</v>
      </c>
      <c r="C308" s="2" t="s">
        <v>3883</v>
      </c>
      <c r="D308" s="10" t="str">
        <f>IFERROR(__xludf.DUMMYFUNCTION("PROPER(REGEXREPLACE(TRIM(C308),""\s+"","" ""))"),"Nina Rodriguez")</f>
        <v>Nina Rodriguez</v>
      </c>
      <c r="E308" s="2">
        <f>IFERROR(__xludf.DUMMYFUNCTION("IF(LEN(D308:D701),
  COUNTA(SPLIT(D308:D701,"" "")),
 """")"),2.0)</f>
        <v>2</v>
      </c>
      <c r="F308" s="9" t="str">
        <f t="shared" si="114"/>
        <v>✅</v>
      </c>
      <c r="G308" s="2" t="str">
        <f>IFERROR(__xludf.DUMMYFUNCTION("REGEXEXTRACT(PROPER(SUBSTITUTE(TRIM(I308),""."","" "")),""^[^@]+"")"),"Nina Rodriguez")</f>
        <v>Nina Rodriguez</v>
      </c>
      <c r="H308" s="10" t="str">
        <f t="shared" si="115"/>
        <v>nina.rodriguez@gamil.com</v>
      </c>
      <c r="I308" s="2" t="s">
        <v>3884</v>
      </c>
      <c r="J308" s="9" t="str">
        <f>IFERROR(__xludf.DUMMYFUNCTION("IF(REGEXMATCH(TRIM(I308),""^[A-Za-z0-9._%+-]+@[A-Za-z0-9.-]+\.[A-Za-z]{2,}$""),""✅ Valid"",""❌ Invalid"")"),"✅ Valid")</f>
        <v>✅ Valid</v>
      </c>
      <c r="K308" s="13" t="s">
        <v>8069</v>
      </c>
      <c r="L308" s="2" t="str">
        <f>IFERROR(__xludf.DUMMYFUNCTION("IF(OR(K308=""N/A"", K308=""missing"", K308=""none""), """",
 REGEXREPLACE(
  SUBSTITUTE(SUBSTITUTE(SUBSTITUTE(TO_TEXT(K308), CHAR(160),""""), UNICHAR(8239),""""), UNICHAR(8201),""""),""[+\-/(): )]"", """"))"),"44431695571")</f>
        <v>44431695571</v>
      </c>
      <c r="M308" s="2" t="str">
        <f>IFERROR(__xludf.DUMMYFUNCTION("IF(L308="""","""", REGEXEXTRACT(REGEXREPLACE(L308,""x"", """"), ""[0-9]+""))"),"44431695571")</f>
        <v>44431695571</v>
      </c>
      <c r="N308" s="2" t="str">
        <f>IF(LEFT(M308,2)="44", RIGHT(M308,LEN(M308)-2),M308)</f>
        <v>431695571</v>
      </c>
      <c r="O308" s="2" t="b">
        <f>IFERROR(__xludf.DUMMYFUNCTION("REGEXMATCH(TO_TEXT(N308), ""^07[1-57-9]"")"),FALSE)</f>
        <v>0</v>
      </c>
      <c r="P308" s="2">
        <f t="shared" si="139"/>
        <v>9</v>
      </c>
      <c r="Q308" s="9" t="str">
        <f>IF(AND(O308=TRUE, P308=11), "✅ VALID", "❌ INVALID")</f>
        <v>❌ INVALID</v>
      </c>
      <c r="R308" s="10" t="s">
        <v>114</v>
      </c>
      <c r="S308" s="12" t="s">
        <v>6996</v>
      </c>
      <c r="T308" s="2" t="str">
        <f>IFERROR(__xludf.DUMMYFUNCTION("IF(ISNUMBER(S308),TEXT(S308,""yyyy-MM-dd""),REGEXREPLACE(REGEXREPLACE(TO_TEXT(S308),""[^0-9a-zA-Z]+"",""-""),""[^0-9]*$"",""""))"),"05-05-2022-19-56")</f>
        <v>05-05-2022-19-56</v>
      </c>
      <c r="U308" s="2" t="str">
        <f>TEXT(T308,"yyyy-MM-dd")</f>
        <v>05-05-2022-19-56</v>
      </c>
      <c r="V308" s="2" t="str">
        <f>IFERROR(__xludf.DUMMYFUNCTION("REGEXEXTRACT(U308,""^\d{2}-\d{2}-\d{4}"")"),"05-05-2022")</f>
        <v>05-05-2022</v>
      </c>
      <c r="W308" s="2" t="s">
        <v>8070</v>
      </c>
      <c r="Y308" s="10" t="s">
        <v>8070</v>
      </c>
    </row>
    <row r="309" ht="15.75" customHeight="1">
      <c r="A309" s="2" t="s">
        <v>1232</v>
      </c>
      <c r="B309" s="9" t="s">
        <v>7597</v>
      </c>
      <c r="C309" s="2" t="s">
        <v>7161</v>
      </c>
      <c r="D309" s="10" t="str">
        <f>IFERROR(__xludf.DUMMYFUNCTION("PROPER(REGEXREPLACE(TRIM(C309),""\s+"","" ""))"),"Fiona King")</f>
        <v>Fiona King</v>
      </c>
      <c r="E309" s="2">
        <f>IFERROR(__xludf.DUMMYFUNCTION("IF(LEN(D309:D701),
  COUNTA(SPLIT(D309:D701,"" "")),
 """")"),2.0)</f>
        <v>2</v>
      </c>
      <c r="F309" s="9" t="str">
        <f t="shared" si="114"/>
        <v>✅</v>
      </c>
      <c r="G309" s="2" t="str">
        <f>IFERROR(__xludf.DUMMYFUNCTION("REGEXEXTRACT(PROPER(SUBSTITUTE(TRIM(I309),""."","" "")),""^[^@]+"")"),"Fiona King")</f>
        <v>Fiona King</v>
      </c>
      <c r="H309" s="10" t="str">
        <f t="shared" si="115"/>
        <v>fiona.king@outlook.com</v>
      </c>
      <c r="I309" s="2" t="s">
        <v>7162</v>
      </c>
      <c r="J309" s="9" t="str">
        <f>IFERROR(__xludf.DUMMYFUNCTION("IF(REGEXMATCH(TRIM(I309),""^[A-Za-z0-9._%+-]+@[A-Za-z0-9.-]+\.[A-Za-z]{2,}$""),""✅ Valid"",""❌ Invalid"")"),"✅ Valid")</f>
        <v>✅ Valid</v>
      </c>
      <c r="K309" s="13" t="s">
        <v>8071</v>
      </c>
      <c r="L309" s="2" t="str">
        <f>IFERROR(__xludf.DUMMYFUNCTION("IF(OR(K309=""N/A"", K309=""missing"", K309=""none""), """",
 REGEXREPLACE(
  SUBSTITUTE(SUBSTITUTE(SUBSTITUTE(TO_TEXT(K309), CHAR(160),""""), UNICHAR(8239),""""), UNICHAR(8201),""""),""[+\-/(): )]"", """"))"),"35374342799")</f>
        <v>35374342799</v>
      </c>
      <c r="M309" s="2" t="str">
        <f>IFERROR(__xludf.DUMMYFUNCTION("IF(L309="""","""", REGEXEXTRACT(REGEXREPLACE(L309,""x"", """"), ""[0-9]+""))"),"35374342799")</f>
        <v>35374342799</v>
      </c>
      <c r="N309" s="2" t="str">
        <f>IF(LEFT(M309,3)="353", RIGHT(M309,LEN(M309)-3),M309)</f>
        <v>74342799</v>
      </c>
      <c r="O309" s="2" t="b">
        <f>IFERROR(__xludf.DUMMYFUNCTION("REGEXMATCH(TO_TEXT(N309), ""^0(83|85|86|87|89)"")"),FALSE)</f>
        <v>0</v>
      </c>
      <c r="P309" s="2">
        <f t="shared" si="139"/>
        <v>8</v>
      </c>
      <c r="Q309" s="9" t="str">
        <f>IF(AND(O309=TRUE, P306=10), "✅ VALID", "❌ INVALID")</f>
        <v>❌ INVALID</v>
      </c>
      <c r="R309" s="10" t="s">
        <v>1177</v>
      </c>
      <c r="S309" s="12">
        <v>45035.0</v>
      </c>
      <c r="T309" s="2" t="str">
        <f>IFERROR(__xludf.DUMMYFUNCTION("IF(ISNUMBER(S309),TEXT(S309,""yyyy-MM-dd""),REGEXREPLACE(REGEXREPLACE(TO_TEXT(S309),""[^0-9a-zA-Z]+"",""-""),""[^0-9]*$"",""""))"),"2023-04-19")</f>
        <v>2023-04-19</v>
      </c>
      <c r="U309" s="2" t="s">
        <v>7820</v>
      </c>
      <c r="Y309" s="10" t="s">
        <v>7820</v>
      </c>
    </row>
    <row r="310" ht="15.75" customHeight="1">
      <c r="A310" s="2" t="s">
        <v>6680</v>
      </c>
      <c r="B310" s="9" t="s">
        <v>7597</v>
      </c>
      <c r="C310" s="2" t="s">
        <v>3418</v>
      </c>
      <c r="D310" s="10" t="str">
        <f>IFERROR(__xludf.DUMMYFUNCTION("PROPER(REGEXREPLACE(TRIM(C310),""\s+"","" ""))"),"Vlad Brown")</f>
        <v>Vlad Brown</v>
      </c>
      <c r="E310" s="2">
        <f>IFERROR(__xludf.DUMMYFUNCTION("IF(LEN(D310:D701),
  COUNTA(SPLIT(D310:D701,"" "")),
 """")"),2.0)</f>
        <v>2</v>
      </c>
      <c r="F310" s="9" t="str">
        <f t="shared" si="114"/>
        <v>✅</v>
      </c>
      <c r="G310" s="2" t="str">
        <f>IFERROR(__xludf.DUMMYFUNCTION("REGEXEXTRACT(PROPER(SUBSTITUTE(TRIM(I310),""."","" "")),""^[^@]+"")"),"Vlad Brown")</f>
        <v>Vlad Brown</v>
      </c>
      <c r="H310" s="10" t="str">
        <f t="shared" si="115"/>
        <v>vlad.brown@shop.io</v>
      </c>
      <c r="I310" s="2" t="s">
        <v>3419</v>
      </c>
      <c r="J310" s="9" t="str">
        <f>IFERROR(__xludf.DUMMYFUNCTION("IF(REGEXMATCH(TRIM(I310),""^[A-Za-z0-9._%+-]+@[A-Za-z0-9.-]+\.[A-Za-z]{2,}$""),""✅ Valid"",""❌ Invalid"")"),"✅ Valid")</f>
        <v>✅ Valid</v>
      </c>
      <c r="K310" s="13" t="s">
        <v>8072</v>
      </c>
      <c r="L310" s="2" t="str">
        <f>IFERROR(__xludf.DUMMYFUNCTION("IF(OR(K310=""N/A"", K310=""missing"", K310=""none""), """",
 REGEXREPLACE(
  SUBSTITUTE(SUBSTITUTE(SUBSTITUTE(TO_TEXT(K310), CHAR(160),""""), UNICHAR(8239),""""), UNICHAR(8201),""""),""[+\-/(): )]"", """"))"),"44725162209")</f>
        <v>44725162209</v>
      </c>
      <c r="M310" s="2" t="str">
        <f>IFERROR(__xludf.DUMMYFUNCTION("IF(L310="""","""", REGEXEXTRACT(REGEXREPLACE(L310,""x"", """"), ""[0-9]+""))"),"44725162209")</f>
        <v>44725162209</v>
      </c>
      <c r="N310" s="2" t="str">
        <f>IF(LEFT(M310,2)="44", RIGHT(M310,LEN(M310)-2),M310)</f>
        <v>725162209</v>
      </c>
      <c r="O310" s="2" t="b">
        <f>IFERROR(__xludf.DUMMYFUNCTION("REGEXMATCH(TO_TEXT(N310), ""^07[1-57-9]"")"),FALSE)</f>
        <v>0</v>
      </c>
      <c r="P310" s="2">
        <f t="shared" si="139"/>
        <v>9</v>
      </c>
      <c r="Q310" s="9" t="str">
        <f>IF(AND(O310=TRUE, P310=11), "✅ VALID", "❌ INVALID")</f>
        <v>❌ INVALID</v>
      </c>
      <c r="R310" s="10" t="s">
        <v>114</v>
      </c>
      <c r="S310" s="12" t="s">
        <v>6810</v>
      </c>
      <c r="T310" s="2" t="str">
        <f>IFERROR(__xludf.DUMMYFUNCTION("IF(ISNUMBER(S310),TEXT(S310,""yyyy-MM-dd""),REGEXREPLACE(REGEXREPLACE(TO_TEXT(S310),""[^0-9a-zA-Z]+"",""-""),""[^0-9]*$"",""""))"),"10-05-2023")</f>
        <v>10-05-2023</v>
      </c>
      <c r="U310" s="2" t="s">
        <v>8073</v>
      </c>
      <c r="Y310" s="10" t="s">
        <v>8073</v>
      </c>
    </row>
    <row r="311" ht="15.75" customHeight="1">
      <c r="A311" s="2" t="s">
        <v>3956</v>
      </c>
      <c r="B311" s="9" t="s">
        <v>7597</v>
      </c>
      <c r="C311" s="2" t="s">
        <v>6317</v>
      </c>
      <c r="D311" s="10" t="str">
        <f>IFERROR(__xludf.DUMMYFUNCTION("PROPER(REGEXREPLACE(TRIM(C311),""\s+"","" ""))"),"Xenia Dubois")</f>
        <v>Xenia Dubois</v>
      </c>
      <c r="E311" s="2">
        <f>IFERROR(__xludf.DUMMYFUNCTION("IF(LEN(D311:D701),
  COUNTA(SPLIT(D311:D701,"" "")),
 """")"),2.0)</f>
        <v>2</v>
      </c>
      <c r="F311" s="9" t="str">
        <f t="shared" si="114"/>
        <v>✅</v>
      </c>
      <c r="G311" s="2" t="str">
        <f>IFERROR(__xludf.DUMMYFUNCTION("REGEXEXTRACT(PROPER(SUBSTITUTE(TRIM(I311),""."","" "")),""^[^@]+"")"),"Xenia Dubois")</f>
        <v>Xenia Dubois</v>
      </c>
      <c r="H311" s="10" t="str">
        <f t="shared" si="115"/>
        <v>xenia.dubois@shop.io</v>
      </c>
      <c r="I311" s="2" t="s">
        <v>6318</v>
      </c>
      <c r="J311" s="9" t="str">
        <f>IFERROR(__xludf.DUMMYFUNCTION("IF(REGEXMATCH(TRIM(I311),""^[A-Za-z0-9._%+-]+@[A-Za-z0-9.-]+\.[A-Za-z]{2,}$""),""✅ Valid"",""❌ Invalid"")"),"✅ Valid")</f>
        <v>✅ Valid</v>
      </c>
      <c r="K311" s="13" t="s">
        <v>8074</v>
      </c>
      <c r="L311" s="2" t="str">
        <f>IFERROR(__xludf.DUMMYFUNCTION("IF(OR(K311=""N/A"", K311=""missing"", K311=""none""), """",
 REGEXREPLACE(
  SUBSTITUTE(SUBSTITUTE(SUBSTITUTE(TO_TEXT(K311), CHAR(160),""""), UNICHAR(8239),""""), UNICHAR(8201),""""),""[+\-/(): )]"", """"))"),"330565568874")</f>
        <v>330565568874</v>
      </c>
      <c r="M311" s="2" t="str">
        <f>IFERROR(__xludf.DUMMYFUNCTION("IF(L311="""","""", REGEXEXTRACT(REGEXREPLACE(L311,""x"", """"), ""[0-9]+""))"),"330565568874")</f>
        <v>330565568874</v>
      </c>
      <c r="N311" s="2" t="str">
        <f>IF(LEFT(M311,2)="33", RIGHT(M311,LEN(M311)-2),M311)</f>
        <v>0565568874</v>
      </c>
      <c r="O311" s="2" t="b">
        <f>IFERROR(__xludf.DUMMYFUNCTION("REGEXMATCH(TO_TEXT(N311), ""^0[67]"")"),FALSE)</f>
        <v>0</v>
      </c>
      <c r="P311" s="2">
        <f t="shared" si="139"/>
        <v>10</v>
      </c>
      <c r="Q311" s="9" t="str">
        <f>IF(AND(O311=TRUE, P311=9), "✅ VALID", "❌ INVALID")</f>
        <v>❌ INVALID</v>
      </c>
      <c r="R311" s="10" t="s">
        <v>58</v>
      </c>
      <c r="S311" s="12" t="s">
        <v>7164</v>
      </c>
      <c r="T311" s="2" t="str">
        <f>IFERROR(__xludf.DUMMYFUNCTION("IF(ISNUMBER(S311),TEXT(S311,""yyyy-MM-dd""),REGEXREPLACE(REGEXREPLACE(TO_TEXT(S311),""[^0-9a-zA-Z]+"",""-""),""[^0-9]*$"",""""))"),"44833-00-35")</f>
        <v>44833-00-35</v>
      </c>
      <c r="U311" s="2" t="str">
        <f>TEXT(T311,"yyyy-MM-dd")</f>
        <v>44833-00-35</v>
      </c>
      <c r="V311" s="2" t="str">
        <f>CONCATENATE(LEFT(U311,5))</f>
        <v>44833</v>
      </c>
      <c r="W311" s="14">
        <f>DATE(1900,1,1) + V311 - 1</f>
        <v>44834</v>
      </c>
      <c r="X311" s="2" t="s">
        <v>8075</v>
      </c>
      <c r="Y311" s="10" t="s">
        <v>8075</v>
      </c>
    </row>
    <row r="312" ht="15.75" customHeight="1">
      <c r="A312" s="2" t="s">
        <v>2487</v>
      </c>
      <c r="B312" s="9" t="s">
        <v>7597</v>
      </c>
      <c r="C312" s="2" t="s">
        <v>5110</v>
      </c>
      <c r="D312" s="10" t="str">
        <f>IFERROR(__xludf.DUMMYFUNCTION("PROPER(REGEXREPLACE(TRIM(C312),""\s+"","" ""))"),"Yara Smith")</f>
        <v>Yara Smith</v>
      </c>
      <c r="E312" s="2">
        <f>IFERROR(__xludf.DUMMYFUNCTION("IF(LEN(D312:D701),
  COUNTA(SPLIT(D312:D701,"" "")),
 """")"),2.0)</f>
        <v>2</v>
      </c>
      <c r="F312" s="9" t="str">
        <f t="shared" si="114"/>
        <v>✅</v>
      </c>
      <c r="G312" s="2" t="str">
        <f>IFERROR(__xludf.DUMMYFUNCTION("REGEXEXTRACT(PROPER(SUBSTITUTE(TRIM(I312),""."","" "")),""^[^@]+"")"),"Yara Smith")</f>
        <v>Yara Smith</v>
      </c>
      <c r="H312" s="10" t="str">
        <f t="shared" si="115"/>
        <v>yara.smith@example.com</v>
      </c>
      <c r="I312" s="2" t="s">
        <v>5111</v>
      </c>
      <c r="J312" s="9" t="str">
        <f>IFERROR(__xludf.DUMMYFUNCTION("IF(REGEXMATCH(TRIM(I312),""^[A-Za-z0-9._%+-]+@[A-Za-z0-9.-]+\.[A-Za-z]{2,}$""),""✅ Valid"",""❌ Invalid"")"),"✅ Valid")</f>
        <v>✅ Valid</v>
      </c>
      <c r="K312" s="13" t="s">
        <v>8076</v>
      </c>
      <c r="L312" s="2" t="str">
        <f>IFERROR(__xludf.DUMMYFUNCTION("IF(OR(K312=""N/A"", K312=""missing"", K312=""none""), """",
 REGEXREPLACE(
  SUBSTITUTE(SUBSTITUTE(SUBSTITUTE(TO_TEXT(K312), CHAR(160),""""), UNICHAR(8239),""""), UNICHAR(8201),""""),""[+\-/(): )]"", """"))"),"39896269879")</f>
        <v>39896269879</v>
      </c>
      <c r="M312" s="2" t="str">
        <f>IFERROR(__xludf.DUMMYFUNCTION("IF(L312="""","""", REGEXEXTRACT(REGEXREPLACE(L312,""x"", """"), ""[0-9]+""))"),"39896269879")</f>
        <v>39896269879</v>
      </c>
      <c r="N312" s="2" t="str">
        <f>IF(LEFT(M312,2)="39", RIGHT(M312,LEN(M312)-2),M312)</f>
        <v>896269879</v>
      </c>
      <c r="O312" s="2" t="b">
        <f>IFERROR(__xludf.DUMMYFUNCTION("REGEXMATCH(TO_TEXT(N312), ""^3"")"),FALSE)</f>
        <v>0</v>
      </c>
      <c r="P312" s="2">
        <f t="shared" si="139"/>
        <v>9</v>
      </c>
      <c r="Q312" s="9" t="str">
        <f>IF(AND(O312=TRUE,OR(P312=9, P312=10 )), "✅ VALID", "❌ INVALID")</f>
        <v>❌ INVALID</v>
      </c>
      <c r="R312" s="10" t="s">
        <v>785</v>
      </c>
      <c r="S312" s="12">
        <v>44653.0</v>
      </c>
      <c r="T312" s="2" t="str">
        <f>IFERROR(__xludf.DUMMYFUNCTION("IF(ISNUMBER(S312),TEXT(S312,""yyyy-MM-dd""),REGEXREPLACE(REGEXREPLACE(TO_TEXT(S312),""[^0-9a-zA-Z]+"",""-""),""[^0-9]*$"",""""))"),"2022-04-02")</f>
        <v>2022-04-02</v>
      </c>
      <c r="U312" s="2" t="s">
        <v>8077</v>
      </c>
      <c r="Y312" s="10" t="s">
        <v>8077</v>
      </c>
    </row>
    <row r="313" ht="15.75" customHeight="1">
      <c r="A313" s="2" t="s">
        <v>5853</v>
      </c>
      <c r="B313" s="9" t="s">
        <v>7597</v>
      </c>
      <c r="C313" s="2" t="s">
        <v>6982</v>
      </c>
      <c r="D313" s="10" t="str">
        <f>IFERROR(__xludf.DUMMYFUNCTION("PROPER(REGEXREPLACE(TRIM(C313),""\s+"","" ""))"),"Marek Dubois")</f>
        <v>Marek Dubois</v>
      </c>
      <c r="E313" s="2">
        <f>IFERROR(__xludf.DUMMYFUNCTION("IF(LEN(D313:D701),
  COUNTA(SPLIT(D313:D701,"" "")),
 """")"),2.0)</f>
        <v>2</v>
      </c>
      <c r="F313" s="9" t="str">
        <f t="shared" si="114"/>
        <v>✅</v>
      </c>
      <c r="G313" s="2" t="str">
        <f>IFERROR(__xludf.DUMMYFUNCTION("REGEXEXTRACT(PROPER(SUBSTITUTE(TRIM(I313),""."","" "")),""^[^@]+"")"),"Marek Dubois")</f>
        <v>Marek Dubois</v>
      </c>
      <c r="H313" s="10" t="str">
        <f t="shared" si="115"/>
        <v>marek.dubois@company.co.uk</v>
      </c>
      <c r="I313" s="2" t="s">
        <v>6983</v>
      </c>
      <c r="J313" s="9" t="str">
        <f>IFERROR(__xludf.DUMMYFUNCTION("IF(REGEXMATCH(TRIM(I313),""^[A-Za-z0-9._%+-]+@[A-Za-z0-9.-]+\.[A-Za-z]{2,}$""),""✅ Valid"",""❌ Invalid"")"),"✅ Valid")</f>
        <v>✅ Valid</v>
      </c>
      <c r="K313" s="13" t="s">
        <v>8078</v>
      </c>
      <c r="L313" s="2" t="str">
        <f>IFERROR(__xludf.DUMMYFUNCTION("IF(OR(K313=""N/A"", K313=""missing"", K313=""none""), """",
 REGEXREPLACE(
  SUBSTITUTE(SUBSTITUTE(SUBSTITUTE(TO_TEXT(K313), CHAR(160),""""), UNICHAR(8239),""""), UNICHAR(8201),""""),""[+\-/(): )]"", """"))"),"9687518960")</f>
        <v>9687518960</v>
      </c>
      <c r="M313" s="2" t="str">
        <f>IFERROR(__xludf.DUMMYFUNCTION("IF(L313="""","""", REGEXEXTRACT(REGEXREPLACE(L313,""x"", """"), ""[0-9]+""))"),"9687518960")</f>
        <v>9687518960</v>
      </c>
      <c r="N313" s="2" t="str">
        <f>IF(LEFT(M313,2)="49", RIGHT(M313,LEN(M313)-2),M313)</f>
        <v>9687518960</v>
      </c>
      <c r="O313" s="2" t="b">
        <f>IFERROR(__xludf.DUMMYFUNCTION("REGEXMATCH(TO_TEXT(N313), ""^0(15|16|17)"")"),FALSE)</f>
        <v>0</v>
      </c>
      <c r="P313" s="2">
        <f t="shared" si="139"/>
        <v>10</v>
      </c>
      <c r="Q313" s="9" t="str">
        <f>IF(AND(O313=TRUE,OR(P313=10, P313=11)), "✅ VALID", "❌ INVALID")</f>
        <v>❌ INVALID</v>
      </c>
      <c r="R313" s="10" t="s">
        <v>459</v>
      </c>
      <c r="S313" s="12">
        <v>44870.0</v>
      </c>
      <c r="T313" s="2" t="str">
        <f>IFERROR(__xludf.DUMMYFUNCTION("IF(ISNUMBER(S313),TEXT(S313,""yyyy-MM-dd""),REGEXREPLACE(REGEXREPLACE(TO_TEXT(S313),""[^0-9a-zA-Z]+"",""-""),""[^0-9]*$"",""""))"),"2022-11-05")</f>
        <v>2022-11-05</v>
      </c>
      <c r="U313" s="2" t="s">
        <v>8079</v>
      </c>
      <c r="Y313" s="10" t="s">
        <v>8079</v>
      </c>
    </row>
    <row r="314" ht="15.75" customHeight="1">
      <c r="A314" s="2" t="s">
        <v>1945</v>
      </c>
      <c r="B314" s="9" t="s">
        <v>7597</v>
      </c>
      <c r="C314" s="2" t="s">
        <v>587</v>
      </c>
      <c r="D314" s="10" t="str">
        <f>IFERROR(__xludf.DUMMYFUNCTION("PROPER(REGEXREPLACE(TRIM(C314),""\s+"","" ""))"),"Yara Kowalski")</f>
        <v>Yara Kowalski</v>
      </c>
      <c r="E314" s="2">
        <f>IFERROR(__xludf.DUMMYFUNCTION("IF(LEN(D314:D701),
  COUNTA(SPLIT(D314:D701,"" "")),
 """")"),2.0)</f>
        <v>2</v>
      </c>
      <c r="F314" s="9" t="str">
        <f t="shared" si="114"/>
        <v>✅</v>
      </c>
      <c r="G314" s="2" t="str">
        <f>IFERROR(__xludf.DUMMYFUNCTION("REGEXEXTRACT(PROPER(SUBSTITUTE(TRIM(I314),""."","" "")),""^[^@]+"")"),"Yara Kowalski")</f>
        <v>Yara Kowalski</v>
      </c>
      <c r="H314" s="10" t="str">
        <f t="shared" si="115"/>
        <v>yara.kowalski@company.co.uk</v>
      </c>
      <c r="I314" s="2" t="s">
        <v>588</v>
      </c>
      <c r="J314" s="9" t="str">
        <f>IFERROR(__xludf.DUMMYFUNCTION("IF(REGEXMATCH(TRIM(I314),""^[A-Za-z0-9._%+-]+@[A-Za-z0-9.-]+\.[A-Za-z]{2,}$""),""✅ Valid"",""❌ Invalid"")"),"✅ Valid")</f>
        <v>✅ Valid</v>
      </c>
      <c r="K314" s="11">
        <v>3.5335648848E10</v>
      </c>
      <c r="L314" s="2" t="str">
        <f>IFERROR(__xludf.DUMMYFUNCTION("IF(OR(K314=""N/A"", K314=""missing"", K314=""none""), """",
 REGEXREPLACE(
  SUBSTITUTE(SUBSTITUTE(SUBSTITUTE(TO_TEXT(K314), CHAR(160),""""), UNICHAR(8239),""""), UNICHAR(8201),""""),""[+\-/(): )]"", """"))"),"35335648848")</f>
        <v>35335648848</v>
      </c>
      <c r="M314" s="2" t="str">
        <f>IFERROR(__xludf.DUMMYFUNCTION("IF(L314="""","""", REGEXEXTRACT(REGEXREPLACE(L314,""x"", """"), ""[0-9]+""))"),"35335648848")</f>
        <v>35335648848</v>
      </c>
      <c r="N314" s="2" t="str">
        <f>IF(LEFT(M314,3)="353", RIGHT(M314,LEN(M314)-3),M314)</f>
        <v>35648848</v>
      </c>
      <c r="O314" s="2" t="b">
        <f>IFERROR(__xludf.DUMMYFUNCTION("REGEXMATCH(TO_TEXT(N314), ""^0(83|85|86|87|89)"")"),FALSE)</f>
        <v>0</v>
      </c>
      <c r="P314" s="2">
        <f t="shared" si="139"/>
        <v>8</v>
      </c>
      <c r="Q314" s="9" t="str">
        <f>IF(AND(O314=TRUE, P311=10), "✅ VALID", "❌ INVALID")</f>
        <v>❌ INVALID</v>
      </c>
      <c r="R314" s="10" t="s">
        <v>1177</v>
      </c>
      <c r="S314" s="12">
        <v>44949.0</v>
      </c>
      <c r="T314" s="2" t="str">
        <f>IFERROR(__xludf.DUMMYFUNCTION("IF(ISNUMBER(S314),TEXT(S314,""yyyy-MM-dd""),REGEXREPLACE(REGEXREPLACE(TO_TEXT(S314),""[^0-9a-zA-Z]+"",""-""),""[^0-9]*$"",""""))"),"2023-01-23")</f>
        <v>2023-01-23</v>
      </c>
      <c r="U314" s="2" t="s">
        <v>7704</v>
      </c>
      <c r="Y314" s="10" t="s">
        <v>7704</v>
      </c>
    </row>
    <row r="315" ht="15.75" customHeight="1">
      <c r="A315" s="2" t="s">
        <v>383</v>
      </c>
      <c r="B315" s="9" t="s">
        <v>7597</v>
      </c>
      <c r="C315" s="2" t="s">
        <v>3157</v>
      </c>
      <c r="D315" s="10" t="str">
        <f>IFERROR(__xludf.DUMMYFUNCTION("PROPER(REGEXREPLACE(TRIM(C315),""\s+"","" ""))"),"Fiona Lee")</f>
        <v>Fiona Lee</v>
      </c>
      <c r="E315" s="2">
        <f>IFERROR(__xludf.DUMMYFUNCTION("IF(LEN(D315:D701),
  COUNTA(SPLIT(D315:D701,"" "")),
 """")"),2.0)</f>
        <v>2</v>
      </c>
      <c r="F315" s="9" t="str">
        <f t="shared" si="114"/>
        <v>✅</v>
      </c>
      <c r="G315" s="2" t="str">
        <f>IFERROR(__xludf.DUMMYFUNCTION("REGEXEXTRACT(PROPER(SUBSTITUTE(TRIM(I315),""."","" "")),""^[^@]+"")"),"Fiona Lee")</f>
        <v>Fiona Lee</v>
      </c>
      <c r="H315" s="10" t="str">
        <f t="shared" si="115"/>
        <v>fiona.lee@outlook.com</v>
      </c>
      <c r="I315" s="2" t="s">
        <v>3158</v>
      </c>
      <c r="J315" s="9" t="str">
        <f>IFERROR(__xludf.DUMMYFUNCTION("IF(REGEXMATCH(TRIM(I315),""^[A-Za-z0-9._%+-]+@[A-Za-z0-9.-]+\.[A-Za-z]{2,}$""),""✅ Valid"",""❌ Invalid"")"),"✅ Valid")</f>
        <v>✅ Valid</v>
      </c>
      <c r="K315" s="13" t="s">
        <v>8080</v>
      </c>
      <c r="L315" s="2" t="str">
        <f>IFERROR(__xludf.DUMMYFUNCTION("IF(OR(K315=""N/A"", K315=""missing"", K315=""none""), """",
 REGEXREPLACE(
  SUBSTITUTE(SUBSTITUTE(SUBSTITUTE(TO_TEXT(K315), CHAR(160),""""), UNICHAR(8239),""""), UNICHAR(8201),""""),""[+\-/(): )]"", """"))"),"449960169990")</f>
        <v>449960169990</v>
      </c>
      <c r="M315" s="2" t="str">
        <f>IFERROR(__xludf.DUMMYFUNCTION("IF(L315="""","""", REGEXEXTRACT(REGEXREPLACE(L315,""x"", """"), ""[0-9]+""))"),"449960169990")</f>
        <v>449960169990</v>
      </c>
      <c r="N315" s="2" t="str">
        <f>IF(LEFT(M315,2)="44", RIGHT(M315,LEN(M315)-2),M315)</f>
        <v>9960169990</v>
      </c>
      <c r="O315" s="2" t="b">
        <f>IFERROR(__xludf.DUMMYFUNCTION("REGEXMATCH(TO_TEXT(N315), ""^07[1-57-9]"")"),FALSE)</f>
        <v>0</v>
      </c>
      <c r="P315" s="2">
        <f t="shared" si="139"/>
        <v>10</v>
      </c>
      <c r="Q315" s="9" t="str">
        <f>IF(AND(O315=TRUE, P315=11), "✅ VALID", "❌ INVALID")</f>
        <v>❌ INVALID</v>
      </c>
      <c r="R315" s="10" t="s">
        <v>114</v>
      </c>
      <c r="S315" s="12">
        <v>45489.0</v>
      </c>
      <c r="T315" s="2" t="str">
        <f>IFERROR(__xludf.DUMMYFUNCTION("IF(ISNUMBER(S315),TEXT(S315,""yyyy-MM-dd""),REGEXREPLACE(REGEXREPLACE(TO_TEXT(S315),""[^0-9a-zA-Z]+"",""-""),""[^0-9]*$"",""""))"),"2024-07-16")</f>
        <v>2024-07-16</v>
      </c>
      <c r="U315" s="2" t="s">
        <v>8081</v>
      </c>
      <c r="Y315" s="10" t="s">
        <v>8081</v>
      </c>
    </row>
    <row r="316" ht="15.75" customHeight="1">
      <c r="A316" s="2" t="s">
        <v>4016</v>
      </c>
      <c r="B316" s="9" t="s">
        <v>7597</v>
      </c>
      <c r="C316" s="2" t="s">
        <v>4233</v>
      </c>
      <c r="D316" s="10" t="str">
        <f>IFERROR(__xludf.DUMMYFUNCTION("PROPER(REGEXREPLACE(TRIM(C316),""\s+"","" ""))"),"Igor Rossi")</f>
        <v>Igor Rossi</v>
      </c>
      <c r="E316" s="2">
        <f>IFERROR(__xludf.DUMMYFUNCTION("IF(LEN(D316:D701),
  COUNTA(SPLIT(D316:D701,"" "")),
 """")"),2.0)</f>
        <v>2</v>
      </c>
      <c r="F316" s="9" t="str">
        <f t="shared" si="114"/>
        <v>✅</v>
      </c>
      <c r="G316" s="2" t="str">
        <f>IFERROR(__xludf.DUMMYFUNCTION("REGEXEXTRACT(PROPER(SUBSTITUTE(TRIM(I316),""."","" "")),""^[^@]+"")"),"Igor Rossi")</f>
        <v>Igor Rossi</v>
      </c>
      <c r="H316" s="10" t="str">
        <f t="shared" si="115"/>
        <v>igor.rossi@gmail.com</v>
      </c>
      <c r="I316" s="2" t="s">
        <v>6050</v>
      </c>
      <c r="J316" s="9" t="str">
        <f>IFERROR(__xludf.DUMMYFUNCTION("IF(REGEXMATCH(TRIM(I316),""^[A-Za-z0-9._%+-]+@[A-Za-z0-9.-]+\.[A-Za-z]{2,}$""),""✅ Valid"",""❌ Invalid"")"),"✅ Valid")</f>
        <v>✅ Valid</v>
      </c>
      <c r="K316" s="13" t="s">
        <v>8082</v>
      </c>
      <c r="L316" s="2" t="str">
        <f>IFERROR(__xludf.DUMMYFUNCTION("IF(OR(K316=""N/A"", K316=""missing"", K316=""none""), """",
 REGEXREPLACE(
  SUBSTITUTE(SUBSTITUTE(SUBSTITUTE(TO_TEXT(K316), CHAR(160),""""), UNICHAR(8239),""""), UNICHAR(8201),""""),""[+\-/(): )]"", """"))"),"97557x37341")</f>
        <v>97557x37341</v>
      </c>
      <c r="M316" s="2" t="str">
        <f>IFERROR(__xludf.DUMMYFUNCTION("IF(L316="""","""", REGEXEXTRACT(REGEXREPLACE(L316,""x"", """"), ""[0-9]+""))"),"9755737341")</f>
        <v>9755737341</v>
      </c>
      <c r="N316" s="2" t="str">
        <f>IF(LEFT(M316,1)="1", RIGHT(M316,LEN(M316)-1),M316)</f>
        <v>9755737341</v>
      </c>
      <c r="O316" s="2" t="b">
        <f>IFERROR(__xludf.DUMMYFUNCTION("REGEXMATCH(TO_TEXT(N316), ""^[2-9][0-9]{9}$"")"),TRUE)</f>
        <v>1</v>
      </c>
      <c r="P316" s="2">
        <f t="shared" si="139"/>
        <v>10</v>
      </c>
      <c r="Q316" s="9" t="str">
        <f>IF(AND(O316=TRUE, P316=10), "✅ VALID", "❌ INVALID")</f>
        <v>✅ VALID</v>
      </c>
      <c r="R316" s="10" t="s">
        <v>199</v>
      </c>
      <c r="S316" s="12">
        <v>45267.56180555555</v>
      </c>
      <c r="T316" s="2" t="str">
        <f>IFERROR(__xludf.DUMMYFUNCTION("IF(ISNUMBER(S316),TEXT(S316,""yyyy-MM-dd""),REGEXREPLACE(REGEXREPLACE(TO_TEXT(S316),""[^0-9a-zA-Z]+"",""-""),""[^0-9]*$"",""""))"),"2023-12-07")</f>
        <v>2023-12-07</v>
      </c>
      <c r="U316" s="2" t="s">
        <v>8083</v>
      </c>
      <c r="Y316" s="10" t="s">
        <v>8083</v>
      </c>
    </row>
    <row r="317" ht="15.75" customHeight="1">
      <c r="A317" s="2" t="s">
        <v>3322</v>
      </c>
      <c r="B317" s="9" t="s">
        <v>7597</v>
      </c>
      <c r="C317" s="2" t="s">
        <v>5508</v>
      </c>
      <c r="D317" s="10" t="str">
        <f>IFERROR(__xludf.DUMMYFUNCTION("PROPER(REGEXREPLACE(TRIM(C317),""\s+"","" ""))"),"Nina Taylor")</f>
        <v>Nina Taylor</v>
      </c>
      <c r="E317" s="2">
        <f>IFERROR(__xludf.DUMMYFUNCTION("IF(LEN(D317:D701),
  COUNTA(SPLIT(D317:D701,"" "")),
 """")"),2.0)</f>
        <v>2</v>
      </c>
      <c r="F317" s="9" t="str">
        <f t="shared" si="114"/>
        <v>✅</v>
      </c>
      <c r="G317" s="2" t="str">
        <f>IFERROR(__xludf.DUMMYFUNCTION("REGEXEXTRACT(PROPER(SUBSTITUTE(TRIM(I317),""."","" "")),""^[^@]+"")"),"Nina Taylor")</f>
        <v>Nina Taylor</v>
      </c>
      <c r="H317" s="10" t="str">
        <f t="shared" si="115"/>
        <v>nina.taylor@company.co.uk</v>
      </c>
      <c r="I317" s="2" t="s">
        <v>5509</v>
      </c>
      <c r="J317" s="9" t="str">
        <f>IFERROR(__xludf.DUMMYFUNCTION("IF(REGEXMATCH(TRIM(I317),""^[A-Za-z0-9._%+-]+@[A-Za-z0-9.-]+\.[A-Za-z]{2,}$""),""✅ Valid"",""❌ Invalid"")"),"✅ Valid")</f>
        <v>✅ Valid</v>
      </c>
      <c r="K317" s="13" t="s">
        <v>8084</v>
      </c>
      <c r="L317" s="2" t="str">
        <f>IFERROR(__xludf.DUMMYFUNCTION("IF(OR(K317=""N/A"", K317=""missing"", K317=""none""), """",
 REGEXREPLACE(
  SUBSTITUTE(SUBSTITUTE(SUBSTITUTE(TO_TEXT(K317), CHAR(160),""""), UNICHAR(8239),""""), UNICHAR(8201),""""),""[+\-/(): )]"", """"))"),"4940215274")</f>
        <v>4940215274</v>
      </c>
      <c r="M317" s="2" t="str">
        <f>IFERROR(__xludf.DUMMYFUNCTION("IF(L317="""","""", REGEXEXTRACT(REGEXREPLACE(L317,""x"", """"), ""[0-9]+""))"),"4940215274")</f>
        <v>4940215274</v>
      </c>
      <c r="N317" s="2" t="str">
        <f>IF(LEFT(M317,2)="49", RIGHT(M317,LEN(M317)-2),M317)</f>
        <v>40215274</v>
      </c>
      <c r="O317" s="2" t="b">
        <f>IFERROR(__xludf.DUMMYFUNCTION("REGEXMATCH(TO_TEXT(N317), ""^0(15|16|17)"")"),FALSE)</f>
        <v>0</v>
      </c>
      <c r="P317" s="2">
        <f t="shared" si="139"/>
        <v>8</v>
      </c>
      <c r="Q317" s="9" t="str">
        <f>IF(AND(O317=TRUE,OR(P317=10, P317=11)), "✅ VALID", "❌ INVALID")</f>
        <v>❌ INVALID</v>
      </c>
      <c r="R317" s="10" t="s">
        <v>459</v>
      </c>
      <c r="S317" s="12">
        <v>45860.0</v>
      </c>
      <c r="T317" s="2" t="str">
        <f>IFERROR(__xludf.DUMMYFUNCTION("IF(ISNUMBER(S317),TEXT(S317,""yyyy-MM-dd""),REGEXREPLACE(REGEXREPLACE(TO_TEXT(S317),""[^0-9a-zA-Z]+"",""-""),""[^0-9]*$"",""""))"),"2025-07-22")</f>
        <v>2025-07-22</v>
      </c>
      <c r="U317" s="2" t="s">
        <v>8085</v>
      </c>
      <c r="Y317" s="10" t="s">
        <v>8085</v>
      </c>
    </row>
    <row r="318" ht="15.75" customHeight="1">
      <c r="A318" s="2" t="s">
        <v>604</v>
      </c>
      <c r="B318" s="9" t="s">
        <v>7597</v>
      </c>
      <c r="C318" s="2" t="s">
        <v>1233</v>
      </c>
      <c r="D318" s="10" t="str">
        <f>IFERROR(__xludf.DUMMYFUNCTION("PROPER(REGEXREPLACE(TRIM(C318),""\s+"","" ""))"),"Ken Taylor")</f>
        <v>Ken Taylor</v>
      </c>
      <c r="E318" s="2">
        <f>IFERROR(__xludf.DUMMYFUNCTION("IF(LEN(D318:D701),
  COUNTA(SPLIT(D318:D701,"" "")),
 """")"),2.0)</f>
        <v>2</v>
      </c>
      <c r="F318" s="9" t="str">
        <f t="shared" si="114"/>
        <v>✅</v>
      </c>
      <c r="G318" s="2" t="str">
        <f>IFERROR(__xludf.DUMMYFUNCTION("REGEXEXTRACT(PROPER(SUBSTITUTE(TRIM(I318),""."","" "")),""^[^@]+"")"),"Ken Taylor")</f>
        <v>Ken Taylor</v>
      </c>
      <c r="H318" s="10" t="str">
        <f t="shared" si="115"/>
        <v>ken.taylor@example.com</v>
      </c>
      <c r="I318" s="2" t="s">
        <v>1234</v>
      </c>
      <c r="J318" s="9" t="str">
        <f>IFERROR(__xludf.DUMMYFUNCTION("IF(REGEXMATCH(TRIM(I318),""^[A-Za-z0-9._%+-]+@[A-Za-z0-9.-]+\.[A-Za-z]{2,}$""),""✅ Valid"",""❌ Invalid"")"),"✅ Valid")</f>
        <v>✅ Valid</v>
      </c>
      <c r="K318" s="13" t="s">
        <v>8086</v>
      </c>
      <c r="L318" s="2" t="str">
        <f>IFERROR(__xludf.DUMMYFUNCTION("IF(OR(K318=""N/A"", K318=""missing"", K318=""none""), """",
 REGEXREPLACE(
  SUBSTITUTE(SUBSTITUTE(SUBSTITUTE(TO_TEXT(K318), CHAR(160),""""), UNICHAR(8239),""""), UNICHAR(8201),""""),""[+\-/(): )]"", """"))"),"54857584")</f>
        <v>54857584</v>
      </c>
      <c r="M318" s="2" t="str">
        <f>IFERROR(__xludf.DUMMYFUNCTION("IF(L318="""","""", REGEXEXTRACT(REGEXREPLACE(L318,""x"", """"), ""[0-9]+""))"),"54857584")</f>
        <v>54857584</v>
      </c>
      <c r="N318" s="2" t="str">
        <f>IF(LEFT(M318,2)="33", RIGHT(M318,LEN(M318)-2),M318)</f>
        <v>54857584</v>
      </c>
      <c r="O318" s="2" t="b">
        <f>IFERROR(__xludf.DUMMYFUNCTION("REGEXMATCH(TO_TEXT(N318), ""^0[67]"")"),FALSE)</f>
        <v>0</v>
      </c>
      <c r="P318" s="2">
        <f t="shared" si="139"/>
        <v>8</v>
      </c>
      <c r="Q318" s="9" t="str">
        <f>IF(AND(O318=TRUE, P318=9), "✅ VALID", "❌ INVALID")</f>
        <v>❌ INVALID</v>
      </c>
      <c r="R318" s="10" t="s">
        <v>58</v>
      </c>
      <c r="S318" s="12">
        <v>45213.0</v>
      </c>
      <c r="T318" s="2" t="str">
        <f>IFERROR(__xludf.DUMMYFUNCTION("IF(ISNUMBER(S318),TEXT(S318,""yyyy-MM-dd""),REGEXREPLACE(REGEXREPLACE(TO_TEXT(S318),""[^0-9a-zA-Z]+"",""-""),""[^0-9]*$"",""""))"),"2023-10-14")</f>
        <v>2023-10-14</v>
      </c>
      <c r="U318" s="2" t="s">
        <v>8087</v>
      </c>
      <c r="Y318" s="10" t="s">
        <v>8087</v>
      </c>
    </row>
    <row r="319" ht="15.75" customHeight="1">
      <c r="A319" s="2" t="s">
        <v>821</v>
      </c>
      <c r="B319" s="9" t="s">
        <v>7597</v>
      </c>
      <c r="C319" s="2" t="s">
        <v>6681</v>
      </c>
      <c r="D319" s="10" t="str">
        <f>IFERROR(__xludf.DUMMYFUNCTION("PROPER(REGEXREPLACE(TRIM(C319),""\s+"","" ""))"),"Ken Rossi")</f>
        <v>Ken Rossi</v>
      </c>
      <c r="E319" s="2">
        <f>IFERROR(__xludf.DUMMYFUNCTION("IF(LEN(D319:D701),
  COUNTA(SPLIT(D319:D701,"" "")),
 """")"),2.0)</f>
        <v>2</v>
      </c>
      <c r="F319" s="9" t="str">
        <f t="shared" si="114"/>
        <v>✅</v>
      </c>
      <c r="G319" s="2" t="str">
        <f>IFERROR(__xludf.DUMMYFUNCTION("REGEXEXTRACT(PROPER(SUBSTITUTE(TRIM(I319),""."","" "")),""^[^@]+"")"),"Ken Rossi")</f>
        <v>Ken Rossi</v>
      </c>
      <c r="H319" s="10" t="str">
        <f t="shared" si="115"/>
        <v>ken.rossi@gmail.com</v>
      </c>
      <c r="I319" s="2" t="s">
        <v>6682</v>
      </c>
      <c r="J319" s="9" t="str">
        <f>IFERROR(__xludf.DUMMYFUNCTION("IF(REGEXMATCH(TRIM(I319),""^[A-Za-z0-9._%+-]+@[A-Za-z0-9.-]+\.[A-Za-z]{2,}$""),""✅ Valid"",""❌ Invalid"")"),"✅ Valid")</f>
        <v>✅ Valid</v>
      </c>
      <c r="K319" s="11">
        <v>3.90026963E8</v>
      </c>
      <c r="L319" s="2" t="str">
        <f>IFERROR(__xludf.DUMMYFUNCTION("IF(OR(K319=""N/A"", K319=""missing"", K319=""none""), """",
 REGEXREPLACE(
  SUBSTITUTE(SUBSTITUTE(SUBSTITUTE(TO_TEXT(K319), CHAR(160),""""), UNICHAR(8239),""""), UNICHAR(8201),""""),""[+\-/(): )]"", """"))"),"390026963")</f>
        <v>390026963</v>
      </c>
      <c r="M319" s="2" t="str">
        <f>IFERROR(__xludf.DUMMYFUNCTION("IF(L319="""","""", REGEXEXTRACT(REGEXREPLACE(L319,""x"", """"), ""[0-9]+""))"),"390026963")</f>
        <v>390026963</v>
      </c>
      <c r="N319" s="2" t="str">
        <f>IF(LEFT(M319,2)="39", RIGHT(M319,LEN(M319)-2),M319)</f>
        <v>0026963</v>
      </c>
      <c r="O319" s="2" t="b">
        <f>IFERROR(__xludf.DUMMYFUNCTION("REGEXMATCH(TO_TEXT(N319), ""^3"")"),FALSE)</f>
        <v>0</v>
      </c>
      <c r="P319" s="2">
        <f t="shared" si="139"/>
        <v>7</v>
      </c>
      <c r="Q319" s="9" t="str">
        <f>IF(AND(O319=TRUE,OR(P319=9, P319=10 )), "✅ VALID", "❌ INVALID")</f>
        <v>❌ INVALID</v>
      </c>
      <c r="R319" s="10" t="s">
        <v>785</v>
      </c>
      <c r="S319" s="12">
        <v>44900.0</v>
      </c>
      <c r="T319" s="2" t="str">
        <f>IFERROR(__xludf.DUMMYFUNCTION("IF(ISNUMBER(S319),TEXT(S319,""yyyy-MM-dd""),REGEXREPLACE(REGEXREPLACE(TO_TEXT(S319),""[^0-9a-zA-Z]+"",""-""),""[^0-9]*$"",""""))"),"2022-12-05")</f>
        <v>2022-12-05</v>
      </c>
      <c r="U319" s="2" t="s">
        <v>8088</v>
      </c>
      <c r="Y319" s="10" t="s">
        <v>8088</v>
      </c>
    </row>
    <row r="320" ht="15.75" customHeight="1">
      <c r="A320" s="2" t="s">
        <v>6240</v>
      </c>
      <c r="B320" s="9" t="s">
        <v>7597</v>
      </c>
      <c r="C320" s="2" t="s">
        <v>3957</v>
      </c>
      <c r="D320" s="10" t="str">
        <f>IFERROR(__xludf.DUMMYFUNCTION("PROPER(REGEXREPLACE(TRIM(C320),""\s+"","" ""))"),"Bella Martinez")</f>
        <v>Bella Martinez</v>
      </c>
      <c r="E320" s="2">
        <f>IFERROR(__xludf.DUMMYFUNCTION("IF(LEN(D320:D701),
  COUNTA(SPLIT(D320:D701,"" "")),
 """")"),2.0)</f>
        <v>2</v>
      </c>
      <c r="F320" s="9" t="str">
        <f t="shared" si="114"/>
        <v>✅</v>
      </c>
      <c r="G320" s="2" t="str">
        <f>IFERROR(__xludf.DUMMYFUNCTION("REGEXEXTRACT(PROPER(SUBSTITUTE(TRIM(I320),""."","" "")),""^[^@]+"")"),"Bella Martinez")</f>
        <v>Bella Martinez</v>
      </c>
      <c r="H320" s="10" t="str">
        <f t="shared" si="115"/>
        <v>bella.martinez@shop.io</v>
      </c>
      <c r="I320" s="2" t="s">
        <v>3958</v>
      </c>
      <c r="J320" s="9" t="str">
        <f>IFERROR(__xludf.DUMMYFUNCTION("IF(REGEXMATCH(TRIM(I320),""^[A-Za-z0-9._%+-]+@[A-Za-z0-9.-]+\.[A-Za-z]{2,}$""),""✅ Valid"",""❌ Invalid"")"),"✅ Valid")</f>
        <v>✅ Valid</v>
      </c>
      <c r="K320" s="13" t="s">
        <v>8089</v>
      </c>
      <c r="L320" s="2" t="str">
        <f>IFERROR(__xludf.DUMMYFUNCTION("IF(OR(K320=""N/A"", K320=""missing"", K320=""none""), """",
 REGEXREPLACE(
  SUBSTITUTE(SUBSTITUTE(SUBSTITUTE(TO_TEXT(K320), CHAR(160),""""), UNICHAR(8239),""""), UNICHAR(8201),""""),""[+\-/(): )]"", """"))"),"17864043031ext493")</f>
        <v>17864043031ext493</v>
      </c>
      <c r="M320" s="2" t="str">
        <f>IFERROR(__xludf.DUMMYFUNCTION("IF(L320="""","""", REGEXEXTRACT(REGEXREPLACE(L320,""x"", """"), ""[0-9]+""))"),"17864043031")</f>
        <v>17864043031</v>
      </c>
      <c r="N320" s="2" t="str">
        <f>IF(LEFT(M320,1)="1", RIGHT(M320,LEN(M320)-1),M320)</f>
        <v>7864043031</v>
      </c>
      <c r="O320" s="2" t="b">
        <f>IFERROR(__xludf.DUMMYFUNCTION("REGEXMATCH(TO_TEXT(N320), ""^[2-9][0-9]{9}$"")"),TRUE)</f>
        <v>1</v>
      </c>
      <c r="P320" s="2">
        <f t="shared" si="139"/>
        <v>10</v>
      </c>
      <c r="Q320" s="9" t="str">
        <f>IF(AND(O320=TRUE, P320=10), "✅ VALID", "❌ INVALID")</f>
        <v>✅ VALID</v>
      </c>
      <c r="R320" s="10" t="s">
        <v>199</v>
      </c>
      <c r="S320" s="12">
        <v>44937.54236111111</v>
      </c>
      <c r="T320" s="2" t="str">
        <f>IFERROR(__xludf.DUMMYFUNCTION("IF(ISNUMBER(S320),TEXT(S320,""yyyy-MM-dd""),REGEXREPLACE(REGEXREPLACE(TO_TEXT(S320),""[^0-9a-zA-Z]+"",""-""),""[^0-9]*$"",""""))"),"2023-01-11")</f>
        <v>2023-01-11</v>
      </c>
      <c r="U320" s="2" t="s">
        <v>7647</v>
      </c>
      <c r="Y320" s="10" t="s">
        <v>7647</v>
      </c>
    </row>
    <row r="321" ht="15.75" customHeight="1">
      <c r="A321" s="2" t="s">
        <v>781</v>
      </c>
      <c r="B321" s="9" t="s">
        <v>7597</v>
      </c>
      <c r="C321" s="2" t="s">
        <v>2488</v>
      </c>
      <c r="D321" s="10" t="str">
        <f>IFERROR(__xludf.DUMMYFUNCTION("PROPER(REGEXREPLACE(TRIM(C321),""\s+"","" ""))"),"Omar King")</f>
        <v>Omar King</v>
      </c>
      <c r="E321" s="2">
        <f>IFERROR(__xludf.DUMMYFUNCTION("IF(LEN(D321:D701),
  COUNTA(SPLIT(D321:D701,"" "")),
 """")"),2.0)</f>
        <v>2</v>
      </c>
      <c r="F321" s="9" t="str">
        <f t="shared" si="114"/>
        <v>✅</v>
      </c>
      <c r="G321" s="2" t="str">
        <f>IFERROR(__xludf.DUMMYFUNCTION("REGEXEXTRACT(PROPER(SUBSTITUTE(TRIM(I321),""."","" "")),""^[^@]+"")"),"Omar King")</f>
        <v>Omar King</v>
      </c>
      <c r="H321" s="10" t="str">
        <f t="shared" si="115"/>
        <v>omar.king@yahoo.com</v>
      </c>
      <c r="I321" s="2" t="s">
        <v>2489</v>
      </c>
      <c r="J321" s="9" t="str">
        <f>IFERROR(__xludf.DUMMYFUNCTION("IF(REGEXMATCH(TRIM(I321),""^[A-Za-z0-9._%+-]+@[A-Za-z0-9.-]+\.[A-Za-z]{2,}$""),""✅ Valid"",""❌ Invalid"")"),"✅ Valid")</f>
        <v>✅ Valid</v>
      </c>
      <c r="K321" s="11">
        <v>4.90870859912E11</v>
      </c>
      <c r="L321" s="2" t="str">
        <f>IFERROR(__xludf.DUMMYFUNCTION("IF(OR(K321=""N/A"", K321=""missing"", K321=""none""), """",
 REGEXREPLACE(
  SUBSTITUTE(SUBSTITUTE(SUBSTITUTE(TO_TEXT(K321), CHAR(160),""""), UNICHAR(8239),""""), UNICHAR(8201),""""),""[+\-/(): )]"", """"))"),"490870859912")</f>
        <v>490870859912</v>
      </c>
      <c r="M321" s="2" t="str">
        <f>IFERROR(__xludf.DUMMYFUNCTION("IF(L321="""","""", REGEXEXTRACT(REGEXREPLACE(L321,""x"", """"), ""[0-9]+""))"),"490870859912")</f>
        <v>490870859912</v>
      </c>
      <c r="N321" s="2" t="str">
        <f>IF(LEFT(M321,2)="49", RIGHT(M321,LEN(M321)-2),M321)</f>
        <v>0870859912</v>
      </c>
      <c r="O321" s="2" t="b">
        <f>IFERROR(__xludf.DUMMYFUNCTION("REGEXMATCH(TO_TEXT(N321), ""^0(15|16|17)"")"),FALSE)</f>
        <v>0</v>
      </c>
      <c r="P321" s="2">
        <f t="shared" si="139"/>
        <v>10</v>
      </c>
      <c r="Q321" s="9" t="str">
        <f>IF(AND(O321=TRUE,OR(P321=10, P321=11)), "✅ VALID", "❌ INVALID")</f>
        <v>❌ INVALID</v>
      </c>
      <c r="R321" s="10" t="s">
        <v>459</v>
      </c>
      <c r="S321" s="12">
        <v>44740.0</v>
      </c>
      <c r="T321" s="2" t="str">
        <f>IFERROR(__xludf.DUMMYFUNCTION("IF(ISNUMBER(S321),TEXT(S321,""yyyy-MM-dd""),REGEXREPLACE(REGEXREPLACE(TO_TEXT(S321),""[^0-9a-zA-Z]+"",""-""),""[^0-9]*$"",""""))"),"2022-06-28")</f>
        <v>2022-06-28</v>
      </c>
      <c r="U321" s="2" t="s">
        <v>8090</v>
      </c>
      <c r="Y321" s="10" t="s">
        <v>8090</v>
      </c>
    </row>
    <row r="322" ht="15.75" customHeight="1">
      <c r="A322" s="2" t="s">
        <v>3119</v>
      </c>
      <c r="B322" s="9" t="s">
        <v>7597</v>
      </c>
      <c r="C322" s="2" t="s">
        <v>561</v>
      </c>
      <c r="D322" s="10" t="str">
        <f>IFERROR(__xludf.DUMMYFUNCTION("PROPER(REGEXREPLACE(TRIM(C322),""\s+"","" ""))"),"Omar Rodriguez")</f>
        <v>Omar Rodriguez</v>
      </c>
      <c r="E322" s="2">
        <f>IFERROR(__xludf.DUMMYFUNCTION("IF(LEN(D322:D701),
  COUNTA(SPLIT(D322:D701,"" "")),
 """")"),2.0)</f>
        <v>2</v>
      </c>
      <c r="F322" s="9" t="str">
        <f t="shared" si="114"/>
        <v>✅</v>
      </c>
      <c r="G322" s="2" t="str">
        <f>IFERROR(__xludf.DUMMYFUNCTION("REGEXEXTRACT(PROPER(SUBSTITUTE(TRIM(I322),""."","" "")),""^[^@]+"")"),"Omar Rodriguez")</f>
        <v>Omar Rodriguez</v>
      </c>
      <c r="H322" s="10" t="str">
        <f t="shared" si="115"/>
        <v>omar.rodriguez@yahoo.com</v>
      </c>
      <c r="I322" s="2" t="s">
        <v>5854</v>
      </c>
      <c r="J322" s="9" t="str">
        <f>IFERROR(__xludf.DUMMYFUNCTION("IF(REGEXMATCH(TRIM(I322),""^[A-Za-z0-9._%+-]+@[A-Za-z0-9.-]+\.[A-Za-z]{2,}$""),""✅ Valid"",""❌ Invalid"")"),"✅ Valid")</f>
        <v>✅ Valid</v>
      </c>
      <c r="K322" s="13" t="s">
        <v>8091</v>
      </c>
      <c r="L322" s="2" t="str">
        <f>IFERROR(__xludf.DUMMYFUNCTION("IF(OR(K322=""N/A"", K322=""missing"", K322=""none""), """",
 REGEXREPLACE(
  SUBSTITUTE(SUBSTITUTE(SUBSTITUTE(TO_TEXT(K322), CHAR(160),""""), UNICHAR(8239),""""), UNICHAR(8201),""""),""[+\-/(): )]"", """"))"),"tel341556853741")</f>
        <v>tel341556853741</v>
      </c>
      <c r="M322" s="2" t="str">
        <f>IFERROR(__xludf.DUMMYFUNCTION("IF(L322="""","""", REGEXEXTRACT(REGEXREPLACE(L322,""x"", """"), ""[0-9]+""))"),"341556853741")</f>
        <v>341556853741</v>
      </c>
      <c r="N322" s="2" t="str">
        <f t="shared" ref="N322:N323" si="142">IF(LEFT(M322,2)="34", RIGHT(M322,LEN(M322)-2),M322)</f>
        <v>1556853741</v>
      </c>
      <c r="O322" s="2" t="b">
        <f>IFERROR(__xludf.DUMMYFUNCTION("REGEXMATCH(TO_TEXT(N322), ""^[67]"")"),FALSE)</f>
        <v>0</v>
      </c>
      <c r="P322" s="2">
        <f t="shared" si="139"/>
        <v>10</v>
      </c>
      <c r="Q322" s="9" t="str">
        <f t="shared" ref="Q322:Q323" si="143">IF(AND(O322=TRUE, P322=9), "✅ VALID", "❌ INVALID")</f>
        <v>❌ INVALID</v>
      </c>
      <c r="R322" s="10" t="s">
        <v>139</v>
      </c>
      <c r="S322" s="12" t="s">
        <v>7292</v>
      </c>
      <c r="T322" s="2" t="str">
        <f>IFERROR(__xludf.DUMMYFUNCTION("IF(ISNUMBER(S322),TEXT(S322,""yyyy-MM-dd""),REGEXREPLACE(REGEXREPLACE(TO_TEXT(S322),""[^0-9a-zA-Z]+"",""-""),""[^0-9]*$"",""""))"),"44738-15-12")</f>
        <v>44738-15-12</v>
      </c>
      <c r="U322" s="2" t="str">
        <f t="shared" ref="U322:U324" si="144">TEXT(T322,"yyyy-MM-dd")</f>
        <v>44738-15-12</v>
      </c>
      <c r="V322" s="2" t="str">
        <f>CONCATENATE(LEFT(U322,5))</f>
        <v>44738</v>
      </c>
      <c r="W322" s="14">
        <f>DATE(1900,1,1) + V322 - 1</f>
        <v>44739</v>
      </c>
      <c r="X322" s="2" t="s">
        <v>8052</v>
      </c>
      <c r="Y322" s="10" t="s">
        <v>8052</v>
      </c>
    </row>
    <row r="323" ht="15.75" customHeight="1">
      <c r="A323" s="2" t="s">
        <v>1096</v>
      </c>
      <c r="B323" s="9" t="s">
        <v>7597</v>
      </c>
      <c r="C323" s="2" t="s">
        <v>1946</v>
      </c>
      <c r="D323" s="10" t="str">
        <f>IFERROR(__xludf.DUMMYFUNCTION("PROPER(REGEXREPLACE(TRIM(C323),""\s+"","" ""))"),"Jade Lopez")</f>
        <v>Jade Lopez</v>
      </c>
      <c r="E323" s="2">
        <f>IFERROR(__xludf.DUMMYFUNCTION("IF(LEN(D323:D701),
  COUNTA(SPLIT(D323:D701,"" "")),
 """")"),2.0)</f>
        <v>2</v>
      </c>
      <c r="F323" s="9" t="str">
        <f t="shared" si="114"/>
        <v>✅</v>
      </c>
      <c r="G323" s="2" t="str">
        <f>IFERROR(__xludf.DUMMYFUNCTION("REGEXEXTRACT(PROPER(SUBSTITUTE(TRIM(I323),""."","" "")),""^[^@]+"")"),"Jade Lopez")</f>
        <v>Jade Lopez</v>
      </c>
      <c r="H323" s="10" t="str">
        <f t="shared" si="115"/>
        <v>jade.lopez@outlook.com</v>
      </c>
      <c r="I323" s="2" t="s">
        <v>1947</v>
      </c>
      <c r="J323" s="9" t="str">
        <f>IFERROR(__xludf.DUMMYFUNCTION("IF(REGEXMATCH(TRIM(I323),""^[A-Za-z0-9._%+-]+@[A-Za-z0-9.-]+\.[A-Za-z]{2,}$""),""✅ Valid"",""❌ Invalid"")"),"✅ Valid")</f>
        <v>✅ Valid</v>
      </c>
      <c r="K323" s="13" t="s">
        <v>8092</v>
      </c>
      <c r="L323" s="2" t="str">
        <f>IFERROR(__xludf.DUMMYFUNCTION("IF(OR(K323=""N/A"", K323=""missing"", K323=""none""), """",
 REGEXREPLACE(
  SUBSTITUTE(SUBSTITUTE(SUBSTITUTE(TO_TEXT(K323), CHAR(160),""""), UNICHAR(8239),""""), UNICHAR(8201),""""),""[+\-/(): )]"", """"))"),"09x767057")</f>
        <v>09x767057</v>
      </c>
      <c r="M323" s="2" t="str">
        <f>IFERROR(__xludf.DUMMYFUNCTION("IF(L323="""","""", REGEXEXTRACT(REGEXREPLACE(L323,""x"", """"), ""[0-9]+""))"),"09767057")</f>
        <v>09767057</v>
      </c>
      <c r="N323" s="2" t="str">
        <f t="shared" si="142"/>
        <v>09767057</v>
      </c>
      <c r="O323" s="2" t="b">
        <f>IFERROR(__xludf.DUMMYFUNCTION("REGEXMATCH(TO_TEXT(N323), ""^[67]"")"),FALSE)</f>
        <v>0</v>
      </c>
      <c r="P323" s="2">
        <f t="shared" si="139"/>
        <v>8</v>
      </c>
      <c r="Q323" s="9" t="str">
        <f t="shared" si="143"/>
        <v>❌ INVALID</v>
      </c>
      <c r="R323" s="10" t="s">
        <v>139</v>
      </c>
      <c r="S323" s="12" t="s">
        <v>7009</v>
      </c>
      <c r="T323" s="2" t="str">
        <f>IFERROR(__xludf.DUMMYFUNCTION("IF(ISNUMBER(S323),TEXT(S323,""yyyy-MM-dd""),REGEXREPLACE(REGEXREPLACE(TO_TEXT(S323),""[^0-9a-zA-Z]+"",""-""),""[^0-9]*$"",""""))"),"31-10-2024-05-34")</f>
        <v>31-10-2024-05-34</v>
      </c>
      <c r="U323" s="2" t="str">
        <f t="shared" si="144"/>
        <v>31-10-2024-05-34</v>
      </c>
      <c r="V323" s="2" t="str">
        <f>IFERROR(__xludf.DUMMYFUNCTION("REGEXEXTRACT(U323,""^\d{2}-\d{2}-\d{4}"")"),"31-10-2024")</f>
        <v>31-10-2024</v>
      </c>
      <c r="W323" s="2" t="s">
        <v>8093</v>
      </c>
      <c r="Y323" s="10" t="s">
        <v>8093</v>
      </c>
    </row>
    <row r="324" ht="15.75" customHeight="1">
      <c r="A324" s="2" t="s">
        <v>2451</v>
      </c>
      <c r="B324" s="9" t="s">
        <v>7597</v>
      </c>
      <c r="C324" s="2" t="s">
        <v>384</v>
      </c>
      <c r="D324" s="10" t="s">
        <v>8094</v>
      </c>
      <c r="E324" s="2">
        <f>IFERROR(__xludf.DUMMYFUNCTION("IF(LEN(D324:D701),
  COUNTA(SPLIT(D324:D701,"" "")),
 """")"),2.0)</f>
        <v>2</v>
      </c>
      <c r="F324" s="9" t="str">
        <f t="shared" si="114"/>
        <v>✅</v>
      </c>
      <c r="G324" s="2" t="s">
        <v>8094</v>
      </c>
      <c r="H324" s="10" t="str">
        <f t="shared" si="115"/>
        <v>carlos.dubois@gmail.com</v>
      </c>
      <c r="I324" s="2" t="s">
        <v>385</v>
      </c>
      <c r="J324" s="9" t="str">
        <f>IFERROR(__xludf.DUMMYFUNCTION("IF(REGEXMATCH(TRIM(I324),""^[A-Za-z0-9._%+-]+@[A-Za-z0-9.-]+\.[A-Za-z]{2,}$""),""✅ Valid"",""❌ Invalid"")"),"✅ Valid")</f>
        <v>✅ Valid</v>
      </c>
      <c r="K324" s="13" t="s">
        <v>8095</v>
      </c>
      <c r="L324" s="2" t="str">
        <f>IFERROR(__xludf.DUMMYFUNCTION("IF(OR(K324=""N/A"", K324=""missing"", K324=""none""), """",
 REGEXREPLACE(
  SUBSTITUTE(SUBSTITUTE(SUBSTITUTE(TO_TEXT(K324), CHAR(160),""""), UNICHAR(8239),""""), UNICHAR(8201),""""),""[+\-/(): )]"", """"))"),"490445152364")</f>
        <v>490445152364</v>
      </c>
      <c r="M324" s="2" t="str">
        <f>IFERROR(__xludf.DUMMYFUNCTION("IF(L324="""","""", REGEXEXTRACT(REGEXREPLACE(L324,""x"", """"), ""[0-9]+""))"),"490445152364")</f>
        <v>490445152364</v>
      </c>
      <c r="N324" s="2" t="str">
        <f t="shared" ref="N324:N325" si="145">IF(LEFT(M324,2)="49", RIGHT(M324,LEN(M324)-2),M324)</f>
        <v>0445152364</v>
      </c>
      <c r="O324" s="2" t="b">
        <f>IFERROR(__xludf.DUMMYFUNCTION("REGEXMATCH(TO_TEXT(N324), ""^0(15|16|17)"")"),FALSE)</f>
        <v>0</v>
      </c>
      <c r="P324" s="2">
        <f t="shared" si="139"/>
        <v>10</v>
      </c>
      <c r="Q324" s="9" t="str">
        <f t="shared" ref="Q324:Q325" si="146">IF(AND(O324=TRUE,OR(P324=10, P324=11)), "✅ VALID", "❌ INVALID")</f>
        <v>❌ INVALID</v>
      </c>
      <c r="R324" s="10" t="s">
        <v>459</v>
      </c>
      <c r="S324" s="12" t="s">
        <v>7063</v>
      </c>
      <c r="T324" s="2" t="str">
        <f>IFERROR(__xludf.DUMMYFUNCTION("IF(ISNUMBER(S324),TEXT(S324,""yyyy-MM-dd""),REGEXREPLACE(REGEXREPLACE(TO_TEXT(S324),""[^0-9a-zA-Z]+"",""-""),""[^0-9]*$"",""""))"),"45853-17-00")</f>
        <v>45853-17-00</v>
      </c>
      <c r="U324" s="2" t="str">
        <f t="shared" si="144"/>
        <v>45853-17-00</v>
      </c>
      <c r="V324" s="2" t="str">
        <f>CONCATENATE(LEFT(U324,5))</f>
        <v>45853</v>
      </c>
      <c r="W324" s="14">
        <f>DATE(1900,1,1) + V324 - 1</f>
        <v>45854</v>
      </c>
      <c r="X324" s="2" t="s">
        <v>8096</v>
      </c>
      <c r="Y324" s="10" t="s">
        <v>8096</v>
      </c>
    </row>
    <row r="325" ht="15.75" customHeight="1">
      <c r="A325" s="2" t="s">
        <v>5276</v>
      </c>
      <c r="B325" s="9" t="s">
        <v>7597</v>
      </c>
      <c r="C325" s="2" t="s">
        <v>4017</v>
      </c>
      <c r="D325" s="10" t="str">
        <f>IFERROR(__xludf.DUMMYFUNCTION("PROPER(REGEXREPLACE(TRIM(C325),""\s+"","" ""))"),"Gabe King")</f>
        <v>Gabe King</v>
      </c>
      <c r="E325" s="2">
        <f>IFERROR(__xludf.DUMMYFUNCTION("IF(LEN(D325:D701),
  COUNTA(SPLIT(D325:D701,"" "")),
 """")"),2.0)</f>
        <v>2</v>
      </c>
      <c r="F325" s="9" t="str">
        <f t="shared" si="114"/>
        <v>✅</v>
      </c>
      <c r="G325" s="2" t="str">
        <f>IFERROR(__xludf.DUMMYFUNCTION("REGEXEXTRACT(PROPER(SUBSTITUTE(TRIM(I325),""."","" "")),""^[^@]+"")"),"Gabe King")</f>
        <v>Gabe King</v>
      </c>
      <c r="H325" s="10" t="str">
        <f t="shared" si="115"/>
        <v>gabe.king@example.com</v>
      </c>
      <c r="I325" s="2" t="s">
        <v>4018</v>
      </c>
      <c r="J325" s="9" t="str">
        <f>IFERROR(__xludf.DUMMYFUNCTION("IF(REGEXMATCH(TRIM(I325),""^[A-Za-z0-9._%+-]+@[A-Za-z0-9.-]+\.[A-Za-z]{2,}$""),""✅ Valid"",""❌ Invalid"")"),"✅ Valid")</f>
        <v>✅ Valid</v>
      </c>
      <c r="K325" s="13" t="s">
        <v>8097</v>
      </c>
      <c r="L325" s="2" t="str">
        <f>IFERROR(__xludf.DUMMYFUNCTION("IF(OR(K325=""N/A"", K325=""missing"", K325=""none""), """",
 REGEXREPLACE(
  SUBSTITUTE(SUBSTITUTE(SUBSTITUTE(TO_TEXT(K325), CHAR(160),""""), UNICHAR(8239),""""), UNICHAR(8201),""""),""[+\-/(): )]"", """"))"),"494356856683")</f>
        <v>494356856683</v>
      </c>
      <c r="M325" s="2" t="str">
        <f>IFERROR(__xludf.DUMMYFUNCTION("IF(L325="""","""", REGEXEXTRACT(REGEXREPLACE(L325,""x"", """"), ""[0-9]+""))"),"494356856683")</f>
        <v>494356856683</v>
      </c>
      <c r="N325" s="2" t="str">
        <f t="shared" si="145"/>
        <v>4356856683</v>
      </c>
      <c r="O325" s="2" t="b">
        <f>IFERROR(__xludf.DUMMYFUNCTION("REGEXMATCH(TO_TEXT(N325), ""^0(15|16|17)"")"),FALSE)</f>
        <v>0</v>
      </c>
      <c r="P325" s="2">
        <f t="shared" si="139"/>
        <v>10</v>
      </c>
      <c r="Q325" s="9" t="str">
        <f t="shared" si="146"/>
        <v>❌ INVALID</v>
      </c>
      <c r="R325" s="10" t="s">
        <v>459</v>
      </c>
      <c r="S325" s="12">
        <v>45644.0</v>
      </c>
      <c r="T325" s="2" t="str">
        <f>IFERROR(__xludf.DUMMYFUNCTION("IF(ISNUMBER(S325),TEXT(S325,""yyyy-MM-dd""),REGEXREPLACE(REGEXREPLACE(TO_TEXT(S325),""[^0-9a-zA-Z]+"",""-""),""[^0-9]*$"",""""))"),"2024-12-18")</f>
        <v>2024-12-18</v>
      </c>
      <c r="U325" s="2" t="s">
        <v>7382</v>
      </c>
      <c r="Y325" s="10" t="s">
        <v>7382</v>
      </c>
    </row>
    <row r="326" ht="15.75" customHeight="1">
      <c r="A326" s="2" t="s">
        <v>5893</v>
      </c>
      <c r="B326" s="9" t="s">
        <v>7597</v>
      </c>
      <c r="C326" s="2" t="s">
        <v>3323</v>
      </c>
      <c r="D326" s="10" t="str">
        <f>IFERROR(__xludf.DUMMYFUNCTION("PROPER(REGEXREPLACE(TRIM(C326),""\s+"","" ""))"),"Vlad Muller")</f>
        <v>Vlad Muller</v>
      </c>
      <c r="E326" s="2">
        <f>IFERROR(__xludf.DUMMYFUNCTION("IF(LEN(D326:D701),
  COUNTA(SPLIT(D326:D701,"" "")),
 """")"),2.0)</f>
        <v>2</v>
      </c>
      <c r="F326" s="9" t="str">
        <f t="shared" si="114"/>
        <v>✅</v>
      </c>
      <c r="G326" s="2" t="str">
        <f>IFERROR(__xludf.DUMMYFUNCTION("REGEXEXTRACT(PROPER(SUBSTITUTE(TRIM(I326),""."","" "")),""^[^@]+"")"),"Vlad Muller")</f>
        <v>Vlad Muller</v>
      </c>
      <c r="H326" s="10" t="str">
        <f t="shared" si="115"/>
        <v>vlad.muller@shop.io</v>
      </c>
      <c r="I326" s="2" t="s">
        <v>7215</v>
      </c>
      <c r="J326" s="9" t="str">
        <f>IFERROR(__xludf.DUMMYFUNCTION("IF(REGEXMATCH(TRIM(I326),""^[A-Za-z0-9._%+-]+@[A-Za-z0-9.-]+\.[A-Za-z]{2,}$""),""✅ Valid"",""❌ Invalid"")"),"✅ Valid")</f>
        <v>✅ Valid</v>
      </c>
      <c r="K326" s="13" t="s">
        <v>8098</v>
      </c>
      <c r="L326" s="2" t="str">
        <f>IFERROR(__xludf.DUMMYFUNCTION("IF(OR(K326=""N/A"", K326=""missing"", K326=""none""), """",
 REGEXREPLACE(
  SUBSTITUTE(SUBSTITUTE(SUBSTITUTE(TO_TEXT(K326), CHAR(160),""""), UNICHAR(8239),""""), UNICHAR(8201),""""),""[+\-/(): )]"", """"))"),"39404028120")</f>
        <v>39404028120</v>
      </c>
      <c r="M326" s="2" t="str">
        <f>IFERROR(__xludf.DUMMYFUNCTION("IF(L326="""","""", REGEXEXTRACT(REGEXREPLACE(L326,""x"", """"), ""[0-9]+""))"),"39404028120")</f>
        <v>39404028120</v>
      </c>
      <c r="N326" s="2" t="str">
        <f>IF(LEFT(M326,2)="39", RIGHT(M326,LEN(M326)-2),M326)</f>
        <v>404028120</v>
      </c>
      <c r="O326" s="2" t="b">
        <f>IFERROR(__xludf.DUMMYFUNCTION("REGEXMATCH(TO_TEXT(N326), ""^3"")"),FALSE)</f>
        <v>0</v>
      </c>
      <c r="P326" s="2">
        <f t="shared" si="139"/>
        <v>9</v>
      </c>
      <c r="Q326" s="9" t="str">
        <f>IF(AND(O326=TRUE,OR(P326=9, P326=10 )), "✅ VALID", "❌ INVALID")</f>
        <v>❌ INVALID</v>
      </c>
      <c r="R326" s="10" t="s">
        <v>785</v>
      </c>
      <c r="S326" s="12" t="s">
        <v>6854</v>
      </c>
      <c r="T326" s="2" t="str">
        <f>IFERROR(__xludf.DUMMYFUNCTION("IF(ISNUMBER(S326),TEXT(S326,""yyyy-MM-dd""),REGEXREPLACE(REGEXREPLACE(TO_TEXT(S326),""[^0-9a-zA-Z]+"",""-""),""[^0-9]*$"",""""))"),"15-02-2025")</f>
        <v>15-02-2025</v>
      </c>
      <c r="U326" s="2" t="s">
        <v>8099</v>
      </c>
      <c r="Y326" s="10" t="s">
        <v>8099</v>
      </c>
    </row>
    <row r="327" ht="15.75" customHeight="1">
      <c r="A327" s="2" t="s">
        <v>3067</v>
      </c>
      <c r="B327" s="9" t="s">
        <v>7597</v>
      </c>
      <c r="C327" s="2" t="s">
        <v>605</v>
      </c>
      <c r="D327" s="10" t="str">
        <f>IFERROR(__xludf.DUMMYFUNCTION("PROPER(REGEXREPLACE(TRIM(C327),""\s+"","" ""))"),"Qi Taylor")</f>
        <v>Qi Taylor</v>
      </c>
      <c r="E327" s="2">
        <f>IFERROR(__xludf.DUMMYFUNCTION("IF(LEN(D327:D701),
  COUNTA(SPLIT(D327:D701,"" "")),
 """")"),2.0)</f>
        <v>2</v>
      </c>
      <c r="F327" s="9" t="str">
        <f t="shared" si="114"/>
        <v>✅</v>
      </c>
      <c r="G327" s="2" t="str">
        <f>IFERROR(__xludf.DUMMYFUNCTION("REGEXEXTRACT(PROPER(SUBSTITUTE(TRIM(I327),""."","" "")),""^[^@]+"")"),"Qi Taylor")</f>
        <v>Qi Taylor</v>
      </c>
      <c r="H327" s="10" t="str">
        <f t="shared" si="115"/>
        <v>qi.taylor@example.com</v>
      </c>
      <c r="I327" s="2" t="s">
        <v>606</v>
      </c>
      <c r="J327" s="9" t="str">
        <f>IFERROR(__xludf.DUMMYFUNCTION("IF(REGEXMATCH(TRIM(I327),""^[A-Za-z0-9._%+-]+@[A-Za-z0-9.-]+\.[A-Za-z]{2,}$""),""✅ Valid"",""❌ Invalid"")"),"✅ Valid")</f>
        <v>✅ Valid</v>
      </c>
      <c r="K327" s="13" t="s">
        <v>8100</v>
      </c>
      <c r="L327" s="2" t="str">
        <f>IFERROR(__xludf.DUMMYFUNCTION("IF(OR(K327=""N/A"", K327=""missing"", K327=""none""), """",
 REGEXREPLACE(
  SUBSTITUTE(SUBSTITUTE(SUBSTITUTE(TO_TEXT(K327), CHAR(160),""""), UNICHAR(8239),""""), UNICHAR(8201),""""),""[+\-/(): )]"", """"))"),"353365861339")</f>
        <v>353365861339</v>
      </c>
      <c r="M327" s="2" t="str">
        <f>IFERROR(__xludf.DUMMYFUNCTION("IF(L327="""","""", REGEXEXTRACT(REGEXREPLACE(L327,""x"", """"), ""[0-9]+""))"),"353365861339")</f>
        <v>353365861339</v>
      </c>
      <c r="N327" s="2" t="str">
        <f>IF(LEFT(M327,3)="353", RIGHT(M327,LEN(M327)-3),M327)</f>
        <v>365861339</v>
      </c>
      <c r="O327" s="2" t="b">
        <f>IFERROR(__xludf.DUMMYFUNCTION("REGEXMATCH(TO_TEXT(N327), ""^0(83|85|86|87|89)"")"),FALSE)</f>
        <v>0</v>
      </c>
      <c r="P327" s="2">
        <f t="shared" si="139"/>
        <v>9</v>
      </c>
      <c r="Q327" s="9" t="str">
        <f>IF(AND(O327=TRUE, P324=10), "✅ VALID", "❌ INVALID")</f>
        <v>❌ INVALID</v>
      </c>
      <c r="R327" s="10" t="s">
        <v>1177</v>
      </c>
      <c r="S327" s="12">
        <v>45132.0</v>
      </c>
      <c r="T327" s="2" t="str">
        <f>IFERROR(__xludf.DUMMYFUNCTION("IF(ISNUMBER(S327),TEXT(S327,""yyyy-MM-dd""),REGEXREPLACE(REGEXREPLACE(TO_TEXT(S327),""[^0-9a-zA-Z]+"",""-""),""[^0-9]*$"",""""))"),"2023-07-25")</f>
        <v>2023-07-25</v>
      </c>
      <c r="U327" s="2" t="s">
        <v>2593</v>
      </c>
      <c r="Y327" s="10" t="s">
        <v>2593</v>
      </c>
    </row>
    <row r="328" ht="15.75" customHeight="1">
      <c r="A328" s="2" t="s">
        <v>467</v>
      </c>
      <c r="B328" s="9" t="s">
        <v>7597</v>
      </c>
      <c r="C328" s="2" t="s">
        <v>822</v>
      </c>
      <c r="D328" s="10" t="str">
        <f>IFERROR(__xludf.DUMMYFUNCTION("PROPER(REGEXREPLACE(TRIM(C328),""\s+"","" ""))"),"Marek Garcia")</f>
        <v>Marek Garcia</v>
      </c>
      <c r="E328" s="2">
        <f>IFERROR(__xludf.DUMMYFUNCTION("IF(LEN(D328:D701),
  COUNTA(SPLIT(D328:D701,"" "")),
 """")"),2.0)</f>
        <v>2</v>
      </c>
      <c r="F328" s="9" t="str">
        <f t="shared" si="114"/>
        <v>✅</v>
      </c>
      <c r="G328" s="2" t="str">
        <f>IFERROR(__xludf.DUMMYFUNCTION("REGEXEXTRACT(PROPER(SUBSTITUTE(TRIM(I328),""."","" "")),""^[^@]+"")"),"Marek Garcia")</f>
        <v>Marek Garcia</v>
      </c>
      <c r="H328" s="10" t="str">
        <f t="shared" si="115"/>
        <v>marek.garcia@shop.io</v>
      </c>
      <c r="I328" s="2" t="s">
        <v>823</v>
      </c>
      <c r="J328" s="9" t="str">
        <f>IFERROR(__xludf.DUMMYFUNCTION("IF(REGEXMATCH(TRIM(I328),""^[A-Za-z0-9._%+-]+@[A-Za-z0-9.-]+\.[A-Za-z]{2,}$""),""✅ Valid"",""❌ Invalid"")"),"✅ Valid")</f>
        <v>✅ Valid</v>
      </c>
      <c r="K328" s="13" t="s">
        <v>8101</v>
      </c>
      <c r="L328" s="2" t="str">
        <f>IFERROR(__xludf.DUMMYFUNCTION("IF(OR(K328=""N/A"", K328=""missing"", K328=""none""), """",
 REGEXREPLACE(
  SUBSTITUTE(SUBSTITUTE(SUBSTITUTE(TO_TEXT(K328), CHAR(160),""""), UNICHAR(8239),""""), UNICHAR(8201),""""),""[+\-/(): )]"", """"))"),"tel3904713181")</f>
        <v>tel3904713181</v>
      </c>
      <c r="M328" s="2" t="str">
        <f>IFERROR(__xludf.DUMMYFUNCTION("IF(L328="""","""", REGEXEXTRACT(REGEXREPLACE(L328,""x"", """"), ""[0-9]+""))"),"3904713181")</f>
        <v>3904713181</v>
      </c>
      <c r="N328" s="2" t="str">
        <f>IF(LEFT(M328,2)="39", RIGHT(M328,LEN(M328)-2),M328)</f>
        <v>04713181</v>
      </c>
      <c r="O328" s="2" t="b">
        <f>IFERROR(__xludf.DUMMYFUNCTION("REGEXMATCH(TO_TEXT(N328), ""^3"")"),FALSE)</f>
        <v>0</v>
      </c>
      <c r="P328" s="2">
        <f t="shared" si="139"/>
        <v>8</v>
      </c>
      <c r="Q328" s="9" t="str">
        <f>IF(AND(O328=TRUE,OR(P328=9, P328=10 )), "✅ VALID", "❌ INVALID")</f>
        <v>❌ INVALID</v>
      </c>
      <c r="R328" s="10" t="s">
        <v>785</v>
      </c>
      <c r="S328" s="12">
        <v>44764.944444444445</v>
      </c>
      <c r="T328" s="2" t="str">
        <f>IFERROR(__xludf.DUMMYFUNCTION("IF(ISNUMBER(S328),TEXT(S328,""yyyy-MM-dd""),REGEXREPLACE(REGEXREPLACE(TO_TEXT(S328),""[^0-9a-zA-Z]+"",""-""),""[^0-9]*$"",""""))"),"2022-07-22")</f>
        <v>2022-07-22</v>
      </c>
      <c r="U328" s="2" t="s">
        <v>8102</v>
      </c>
      <c r="Y328" s="10" t="s">
        <v>8102</v>
      </c>
    </row>
    <row r="329" ht="15.75" customHeight="1">
      <c r="A329" s="2" t="s">
        <v>4408</v>
      </c>
      <c r="B329" s="9" t="s">
        <v>7597</v>
      </c>
      <c r="C329" s="2" t="s">
        <v>6241</v>
      </c>
      <c r="D329" s="10" t="str">
        <f>IFERROR(__xludf.DUMMYFUNCTION("PROPER(REGEXREPLACE(TRIM(C329),""\s+"","" ""))"),"Wiktor Williams")</f>
        <v>Wiktor Williams</v>
      </c>
      <c r="E329" s="2">
        <f>IFERROR(__xludf.DUMMYFUNCTION("IF(LEN(D329:D701),
  COUNTA(SPLIT(D329:D701,"" "")),
 """")"),2.0)</f>
        <v>2</v>
      </c>
      <c r="F329" s="9" t="str">
        <f t="shared" si="114"/>
        <v>✅</v>
      </c>
      <c r="G329" s="2" t="str">
        <f>IFERROR(__xludf.DUMMYFUNCTION("REGEXEXTRACT(PROPER(SUBSTITUTE(TRIM(I329),""."","" "")),""^[^@]+"")"),"Wiktor Williams")</f>
        <v>Wiktor Williams</v>
      </c>
      <c r="H329" s="10" t="str">
        <f t="shared" si="115"/>
        <v>wiktor.williams@example.com</v>
      </c>
      <c r="I329" s="2" t="s">
        <v>6242</v>
      </c>
      <c r="J329" s="9" t="str">
        <f>IFERROR(__xludf.DUMMYFUNCTION("IF(REGEXMATCH(TRIM(I329),""^[A-Za-z0-9._%+-]+@[A-Za-z0-9.-]+\.[A-Za-z]{2,}$""),""✅ Valid"",""❌ Invalid"")"),"✅ Valid")</f>
        <v>✅ Valid</v>
      </c>
      <c r="K329" s="13" t="s">
        <v>8103</v>
      </c>
      <c r="L329" s="2" t="str">
        <f>IFERROR(__xludf.DUMMYFUNCTION("IF(OR(K329=""N/A"", K329=""missing"", K329=""none""), """",
 REGEXREPLACE(
  SUBSTITUTE(SUBSTITUTE(SUBSTITUTE(TO_TEXT(K329), CHAR(160),""""), UNICHAR(8239),""""), UNICHAR(8201),""""),""[+\-/(): )]"", """"))"),"492642044661ext55")</f>
        <v>492642044661ext55</v>
      </c>
      <c r="M329" s="2" t="str">
        <f>IFERROR(__xludf.DUMMYFUNCTION("IF(L329="""","""", REGEXEXTRACT(REGEXREPLACE(L329,""x"", """"), ""[0-9]+""))"),"492642044661")</f>
        <v>492642044661</v>
      </c>
      <c r="N329" s="2" t="str">
        <f>IF(LEFT(M329,2)="49", RIGHT(M329,LEN(M329)-2),M329)</f>
        <v>2642044661</v>
      </c>
      <c r="O329" s="2" t="b">
        <f>IFERROR(__xludf.DUMMYFUNCTION("REGEXMATCH(TO_TEXT(N329), ""^0(15|16|17)"")"),FALSE)</f>
        <v>0</v>
      </c>
      <c r="P329" s="2">
        <f t="shared" si="139"/>
        <v>10</v>
      </c>
      <c r="Q329" s="9" t="str">
        <f>IF(AND(O329=TRUE,OR(P329=10, P329=11)), "✅ VALID", "❌ INVALID")</f>
        <v>❌ INVALID</v>
      </c>
      <c r="R329" s="10" t="s">
        <v>459</v>
      </c>
      <c r="S329" s="12">
        <v>45273.0</v>
      </c>
      <c r="T329" s="2" t="str">
        <f>IFERROR(__xludf.DUMMYFUNCTION("IF(ISNUMBER(S329),TEXT(S329,""yyyy-MM-dd""),REGEXREPLACE(REGEXREPLACE(TO_TEXT(S329),""[^0-9a-zA-Z]+"",""-""),""[^0-9]*$"",""""))"),"2023-12-13")</f>
        <v>2023-12-13</v>
      </c>
      <c r="U329" s="2" t="s">
        <v>8104</v>
      </c>
      <c r="Y329" s="10" t="s">
        <v>8104</v>
      </c>
    </row>
    <row r="330" ht="15.75" customHeight="1">
      <c r="A330" s="2" t="s">
        <v>4434</v>
      </c>
      <c r="B330" s="9" t="s">
        <v>7597</v>
      </c>
      <c r="C330" s="2" t="s">
        <v>782</v>
      </c>
      <c r="D330" s="10" t="str">
        <f>IFERROR(__xludf.DUMMYFUNCTION("PROPER(REGEXREPLACE(TRIM(C330),""\s+"","" ""))"),"Vlad Dubois")</f>
        <v>Vlad Dubois</v>
      </c>
      <c r="E330" s="2">
        <f>IFERROR(__xludf.DUMMYFUNCTION("IF(LEN(D330:D701),
  COUNTA(SPLIT(D330:D701,"" "")),
 """")"),2.0)</f>
        <v>2</v>
      </c>
      <c r="F330" s="9" t="str">
        <f t="shared" si="114"/>
        <v>✅</v>
      </c>
      <c r="G330" s="2" t="str">
        <f>IFERROR(__xludf.DUMMYFUNCTION("REGEXEXTRACT(PROPER(SUBSTITUTE(TRIM(I330),""."","" "")),""^[^@]+"")"),"Vlad Dubois")</f>
        <v>Vlad Dubois</v>
      </c>
      <c r="H330" s="10" t="str">
        <f t="shared" si="115"/>
        <v>vlad.dubois@yahoo.com</v>
      </c>
      <c r="I330" s="2" t="s">
        <v>783</v>
      </c>
      <c r="J330" s="9" t="str">
        <f>IFERROR(__xludf.DUMMYFUNCTION("IF(REGEXMATCH(TRIM(I330),""^[A-Za-z0-9._%+-]+@[A-Za-z0-9.-]+\.[A-Za-z]{2,}$""),""✅ Valid"",""❌ Invalid"")"),"✅ Valid")</f>
        <v>✅ Valid</v>
      </c>
      <c r="K330" s="13" t="s">
        <v>8105</v>
      </c>
      <c r="L330" s="2" t="str">
        <f>IFERROR(__xludf.DUMMYFUNCTION("IF(OR(K330=""N/A"", K330=""missing"", K330=""none""), """",
 REGEXREPLACE(
  SUBSTITUTE(SUBSTITUTE(SUBSTITUTE(TO_TEXT(K330), CHAR(160),""""), UNICHAR(8239),""""), UNICHAR(8201),""""),""[+\-/(): )]"", """"))"),"168745155597")</f>
        <v>168745155597</v>
      </c>
      <c r="M330" s="2" t="str">
        <f>IFERROR(__xludf.DUMMYFUNCTION("IF(L330="""","""", REGEXEXTRACT(REGEXREPLACE(L330,""x"", """"), ""[0-9]+""))"),"168745155597")</f>
        <v>168745155597</v>
      </c>
      <c r="N330" s="2" t="str">
        <f>IF(LEFT(M330,1)="1", RIGHT(M330,LEN(M330)-1),M330)</f>
        <v>68745155597</v>
      </c>
      <c r="O330" s="2" t="b">
        <f>IFERROR(__xludf.DUMMYFUNCTION("REGEXMATCH(TO_TEXT(N330), ""^[2-9][0-9]{9}$"")"),FALSE)</f>
        <v>0</v>
      </c>
      <c r="P330" s="2">
        <f t="shared" si="139"/>
        <v>11</v>
      </c>
      <c r="Q330" s="9" t="str">
        <f>IF(AND(O330=TRUE, P330=10), "✅ VALID", "❌ INVALID")</f>
        <v>❌ INVALID</v>
      </c>
      <c r="R330" s="10" t="s">
        <v>199</v>
      </c>
      <c r="S330" s="12" t="s">
        <v>3253</v>
      </c>
      <c r="T330" s="2" t="str">
        <f>IFERROR(__xludf.DUMMYFUNCTION("IF(ISNUMBER(S330),TEXT(S330,""yyyy-MM-dd""),REGEXREPLACE(REGEXREPLACE(TO_TEXT(S330),""[^0-9a-zA-Z]+"",""-""),""[^0-9]*$"",""""))"),"01-01-2023")</f>
        <v>01-01-2023</v>
      </c>
      <c r="U330" s="2" t="s">
        <v>8106</v>
      </c>
      <c r="Y330" s="10" t="s">
        <v>8106</v>
      </c>
    </row>
    <row r="331" ht="15.75" customHeight="1">
      <c r="A331" s="2" t="s">
        <v>4927</v>
      </c>
      <c r="B331" s="9" t="s">
        <v>7597</v>
      </c>
      <c r="C331" s="2" t="s">
        <v>2081</v>
      </c>
      <c r="D331" s="10" t="str">
        <f>IFERROR(__xludf.DUMMYFUNCTION("PROPER(REGEXREPLACE(TRIM(C331),""\s+"","" ""))"),"Bella King")</f>
        <v>Bella King</v>
      </c>
      <c r="E331" s="2">
        <f>IFERROR(__xludf.DUMMYFUNCTION("IF(LEN(D331:D701),
  COUNTA(SPLIT(D331:D701,"" "")),
 """")"),2.0)</f>
        <v>2</v>
      </c>
      <c r="F331" s="9" t="str">
        <f t="shared" si="114"/>
        <v>✅</v>
      </c>
      <c r="G331" s="2" t="str">
        <f>IFERROR(__xludf.DUMMYFUNCTION("REGEXEXTRACT(PROPER(SUBSTITUTE(TRIM(I331),""."","" "")),""^[^@]+"")"),"Bella King")</f>
        <v>Bella King</v>
      </c>
      <c r="H331" s="10" t="str">
        <f t="shared" si="115"/>
        <v>bella.king@yahoo.com</v>
      </c>
      <c r="I331" s="2" t="s">
        <v>3120</v>
      </c>
      <c r="J331" s="9" t="str">
        <f>IFERROR(__xludf.DUMMYFUNCTION("IF(REGEXMATCH(TRIM(I331),""^[A-Za-z0-9._%+-]+@[A-Za-z0-9.-]+\.[A-Za-z]{2,}$""),""✅ Valid"",""❌ Invalid"")"),"✅ Valid")</f>
        <v>✅ Valid</v>
      </c>
      <c r="K331" s="15" t="s">
        <v>8107</v>
      </c>
      <c r="L331" s="2" t="str">
        <f>IFERROR(__xludf.DUMMYFUNCTION("IF(K331=""N/A"", """",
 REGEXREPLACE(
  SUBSTITUTE(SUBSTITUTE(SUBSTITUTE(TO_TEXT(K331), CHAR(160),""""), UNICHAR(8239),""""), UNICHAR(8201),""""),""[+\-/(): )]"", """"))"),"tel48907495961x")</f>
        <v>tel48907495961x</v>
      </c>
      <c r="M331" s="2" t="str">
        <f>IFERROR(__xludf.DUMMYFUNCTION("IF(L331="""","""", REGEXEXTRACT(REGEXREPLACE(L331,""x"", """"), ""[0-9]+""))"),"48907495961")</f>
        <v>48907495961</v>
      </c>
      <c r="N331" s="2" t="str">
        <f>IF(LEFT(M331,2)="48", RIGHT(M331,LEN(M331)-2),M331)</f>
        <v>907495961</v>
      </c>
      <c r="O331" s="2" t="b">
        <f>IFERROR(__xludf.DUMMYFUNCTION("REGEXMATCH(TO_TEXT(N331), ""^(5[013679]|6[069]|7[2-9]|88)"")"),FALSE)</f>
        <v>0</v>
      </c>
      <c r="Q331" s="9" t="str">
        <f>IF(AND(O331=TRUE, P331=9), "✅ VALID", "❌ INVALID")</f>
        <v>❌ INVALID</v>
      </c>
      <c r="R331" s="10" t="s">
        <v>25</v>
      </c>
      <c r="S331" s="12">
        <v>45925.0</v>
      </c>
      <c r="T331" s="2" t="str">
        <f>IFERROR(__xludf.DUMMYFUNCTION("IF(ISNUMBER(S331),TEXT(S331,""yyyy-MM-dd""),REGEXREPLACE(REGEXREPLACE(TO_TEXT(S331),""[^0-9a-zA-Z]+"",""-""),""[^0-9]*$"",""""))"),"2025-09-25")</f>
        <v>2025-09-25</v>
      </c>
      <c r="U331" s="2" t="s">
        <v>6244</v>
      </c>
      <c r="Y331" s="10" t="s">
        <v>6244</v>
      </c>
    </row>
    <row r="332" ht="15.75" customHeight="1">
      <c r="A332" s="2" t="s">
        <v>2381</v>
      </c>
      <c r="B332" s="9" t="s">
        <v>7597</v>
      </c>
      <c r="C332" s="2" t="s">
        <v>2081</v>
      </c>
      <c r="D332" s="10" t="str">
        <f>IFERROR(__xludf.DUMMYFUNCTION("PROPER(REGEXREPLACE(TRIM(C332),""\s+"","" ""))"),"Bella King")</f>
        <v>Bella King</v>
      </c>
      <c r="E332" s="2">
        <f>IFERROR(__xludf.DUMMYFUNCTION("IF(LEN(D332:D701),
  COUNTA(SPLIT(D332:D701,"" "")),
 """")"),2.0)</f>
        <v>2</v>
      </c>
      <c r="F332" s="9" t="str">
        <f t="shared" si="114"/>
        <v>✅</v>
      </c>
      <c r="G332" s="2" t="str">
        <f>IFERROR(__xludf.DUMMYFUNCTION("REGEXEXTRACT(PROPER(SUBSTITUTE(TRIM(I332),""."","" "")),""^[^@]+"")"),"Bella King")</f>
        <v>Bella King</v>
      </c>
      <c r="H332" s="10" t="str">
        <f t="shared" si="115"/>
        <v>bella.king@yahoo.com</v>
      </c>
      <c r="I332" s="2" t="s">
        <v>6676</v>
      </c>
      <c r="J332" s="9" t="str">
        <f>IFERROR(__xludf.DUMMYFUNCTION("IF(REGEXMATCH(TRIM(I332),""^[A-Za-z0-9._%+-]+@[A-Za-z0-9.-]+\.[A-Za-z]{2,}$""),""✅ Valid"",""❌ Invalid"")"),"✅ Valid")</f>
        <v>✅ Valid</v>
      </c>
      <c r="K332" s="13" t="s">
        <v>8108</v>
      </c>
      <c r="L332" s="2" t="str">
        <f>IFERROR(__xludf.DUMMYFUNCTION("IF(OR(K332=""N/A"", K332=""missing"", K332=""none""), """",
 REGEXREPLACE(
  SUBSTITUTE(SUBSTITUTE(SUBSTITUTE(TO_TEXT(K332), CHAR(160),""""), UNICHAR(8239),""""), UNICHAR(8201),""""),""[+\-/(): )]"", """"))"),"39901008882")</f>
        <v>39901008882</v>
      </c>
      <c r="M332" s="2" t="str">
        <f>IFERROR(__xludf.DUMMYFUNCTION("IF(L332="""","""", REGEXEXTRACT(REGEXREPLACE(L332,""x"", """"), ""[0-9]+""))"),"39901008882")</f>
        <v>39901008882</v>
      </c>
      <c r="N332" s="2" t="str">
        <f>IF(LEFT(M332,2)="39", RIGHT(M332,LEN(M332)-2),M332)</f>
        <v>901008882</v>
      </c>
      <c r="O332" s="2" t="b">
        <f>IFERROR(__xludf.DUMMYFUNCTION("REGEXMATCH(TO_TEXT(N332), ""^3"")"),FALSE)</f>
        <v>0</v>
      </c>
      <c r="P332" s="2">
        <f t="shared" ref="P332:P335" si="147">LEN(N332)</f>
        <v>9</v>
      </c>
      <c r="Q332" s="9" t="str">
        <f>IF(AND(O332=TRUE,OR(P332=9, P332=10 )), "✅ VALID", "❌ INVALID")</f>
        <v>❌ INVALID</v>
      </c>
      <c r="R332" s="10" t="s">
        <v>785</v>
      </c>
      <c r="S332" s="12">
        <v>45216.0</v>
      </c>
      <c r="T332" s="2" t="str">
        <f>IFERROR(__xludf.DUMMYFUNCTION("IF(ISNUMBER(S332),TEXT(S332,""yyyy-MM-dd""),REGEXREPLACE(REGEXREPLACE(TO_TEXT(S332),""[^0-9a-zA-Z]+"",""-""),""[^0-9]*$"",""""))"),"2023-10-17")</f>
        <v>2023-10-17</v>
      </c>
      <c r="U332" s="2" t="s">
        <v>7633</v>
      </c>
      <c r="Y332" s="10" t="s">
        <v>7633</v>
      </c>
    </row>
    <row r="333" ht="15.75" customHeight="1">
      <c r="A333" s="2" t="s">
        <v>5028</v>
      </c>
      <c r="B333" s="9" t="s">
        <v>7597</v>
      </c>
      <c r="C333" s="2" t="s">
        <v>1097</v>
      </c>
      <c r="D333" s="10" t="s">
        <v>8109</v>
      </c>
      <c r="E333" s="2">
        <f>IFERROR(__xludf.DUMMYFUNCTION("IF(LEN(D333:D701),
  COUNTA(SPLIT(D333:D701,"" "")),
 """")"),2.0)</f>
        <v>2</v>
      </c>
      <c r="F333" s="9" t="str">
        <f t="shared" si="114"/>
        <v>✅</v>
      </c>
      <c r="G333" s="2" t="s">
        <v>8109</v>
      </c>
      <c r="H333" s="10" t="str">
        <f t="shared" si="115"/>
        <v>paula.martinez@yahoo.com</v>
      </c>
      <c r="I333" s="2" t="s">
        <v>1098</v>
      </c>
      <c r="J333" s="9" t="str">
        <f>IFERROR(__xludf.DUMMYFUNCTION("IF(REGEXMATCH(TRIM(I333),""^[A-Za-z0-9._%+-]+@[A-Za-z0-9.-]+\.[A-Za-z]{2,}$""),""✅ Valid"",""❌ Invalid"")"),"✅ Valid")</f>
        <v>✅ Valid</v>
      </c>
      <c r="K333" s="13" t="s">
        <v>8110</v>
      </c>
      <c r="L333" s="2" t="str">
        <f>IFERROR(__xludf.DUMMYFUNCTION("IF(OR(K333=""N/A"", K333=""missing"", K333=""none""), """",
 REGEXREPLACE(
  SUBSTITUTE(SUBSTITUTE(SUBSTITUTE(TO_TEXT(K333), CHAR(160),""""), UNICHAR(8239),""""), UNICHAR(8201),""""),""[+\-/(): )]"", """"))"),"337936335756")</f>
        <v>337936335756</v>
      </c>
      <c r="M333" s="2" t="str">
        <f>IFERROR(__xludf.DUMMYFUNCTION("IF(L333="""","""", REGEXEXTRACT(REGEXREPLACE(L333,""x"", """"), ""[0-9]+""))"),"337936335756")</f>
        <v>337936335756</v>
      </c>
      <c r="N333" s="2" t="str">
        <f t="shared" ref="N333:N334" si="148">IF(LEFT(M333,2)="33", RIGHT(M333,LEN(M333)-2),M333)</f>
        <v>7936335756</v>
      </c>
      <c r="O333" s="2" t="b">
        <f>IFERROR(__xludf.DUMMYFUNCTION("REGEXMATCH(TO_TEXT(N333), ""^0[67]"")"),FALSE)</f>
        <v>0</v>
      </c>
      <c r="P333" s="2">
        <f t="shared" si="147"/>
        <v>10</v>
      </c>
      <c r="Q333" s="9" t="str">
        <f t="shared" ref="Q333:Q334" si="149">IF(AND(O333=TRUE, P333=9), "✅ VALID", "❌ INVALID")</f>
        <v>❌ INVALID</v>
      </c>
      <c r="R333" s="10" t="s">
        <v>58</v>
      </c>
      <c r="S333" s="12" t="s">
        <v>6405</v>
      </c>
      <c r="T333" s="2" t="str">
        <f>IFERROR(__xludf.DUMMYFUNCTION("IF(ISNUMBER(S333),TEXT(S333,""yyyy-MM-dd""),REGEXREPLACE(REGEXREPLACE(TO_TEXT(S333),""[^0-9a-zA-Z]+"",""-""),""[^0-9]*$"",""""))"),"02-29-2024")</f>
        <v>02-29-2024</v>
      </c>
      <c r="U333" s="2" t="str">
        <f t="shared" ref="U333:U334" si="150">TEXT(T333,"yyyy-MM-dd")</f>
        <v>02-29-2024</v>
      </c>
      <c r="V333" s="2" t="s">
        <v>8111</v>
      </c>
      <c r="Y333" s="10" t="s">
        <v>8111</v>
      </c>
    </row>
    <row r="334" ht="15.75" customHeight="1">
      <c r="A334" s="2" t="s">
        <v>2120</v>
      </c>
      <c r="B334" s="9" t="s">
        <v>7597</v>
      </c>
      <c r="C334" s="2" t="s">
        <v>2452</v>
      </c>
      <c r="D334" s="10" t="str">
        <f>IFERROR(__xludf.DUMMYFUNCTION("PROPER(REGEXREPLACE(TRIM(C334),""\s+"","" ""))"),"Rita Khan")</f>
        <v>Rita Khan</v>
      </c>
      <c r="E334" s="2">
        <f>IFERROR(__xludf.DUMMYFUNCTION("IF(LEN(D334:D701),
  COUNTA(SPLIT(D334:D701,"" "")),
 """")"),2.0)</f>
        <v>2</v>
      </c>
      <c r="F334" s="9" t="str">
        <f t="shared" si="114"/>
        <v>✅</v>
      </c>
      <c r="G334" s="2" t="str">
        <f>IFERROR(__xludf.DUMMYFUNCTION("REGEXEXTRACT(PROPER(SUBSTITUTE(TRIM(I334),""."","" "")),""^[^@]+"")"),"Rita Khan")</f>
        <v>Rita Khan</v>
      </c>
      <c r="H334" s="10" t="str">
        <f t="shared" si="115"/>
        <v>rita.khan@yahoo.com</v>
      </c>
      <c r="I334" s="2" t="s">
        <v>2453</v>
      </c>
      <c r="J334" s="9" t="str">
        <f>IFERROR(__xludf.DUMMYFUNCTION("IF(REGEXMATCH(TRIM(I334),""^[A-Za-z0-9._%+-]+@[A-Za-z0-9.-]+\.[A-Za-z]{2,}$""),""✅ Valid"",""❌ Invalid"")"),"✅ Valid")</f>
        <v>✅ Valid</v>
      </c>
      <c r="K334" s="11">
        <v>3.025903E7</v>
      </c>
      <c r="L334" s="2" t="str">
        <f>IFERROR(__xludf.DUMMYFUNCTION("IF(OR(K334=""N/A"", K334=""missing"", K334=""none""), """",
 REGEXREPLACE(
  SUBSTITUTE(SUBSTITUTE(SUBSTITUTE(TO_TEXT(K334), CHAR(160),""""), UNICHAR(8239),""""), UNICHAR(8201),""""),""[+\-/(): )]"", """"))"),"30259030")</f>
        <v>30259030</v>
      </c>
      <c r="M334" s="2" t="str">
        <f>IFERROR(__xludf.DUMMYFUNCTION("IF(L334="""","""", REGEXEXTRACT(REGEXREPLACE(L334,""x"", """"), ""[0-9]+""))"),"30259030")</f>
        <v>30259030</v>
      </c>
      <c r="N334" s="2" t="str">
        <f t="shared" si="148"/>
        <v>30259030</v>
      </c>
      <c r="O334" s="2" t="b">
        <f>IFERROR(__xludf.DUMMYFUNCTION("REGEXMATCH(TO_TEXT(N334), ""^0[67]"")"),FALSE)</f>
        <v>0</v>
      </c>
      <c r="P334" s="2">
        <f t="shared" si="147"/>
        <v>8</v>
      </c>
      <c r="Q334" s="9" t="str">
        <f t="shared" si="149"/>
        <v>❌ INVALID</v>
      </c>
      <c r="R334" s="10" t="s">
        <v>58</v>
      </c>
      <c r="S334" s="12" t="s">
        <v>6405</v>
      </c>
      <c r="T334" s="2" t="str">
        <f>IFERROR(__xludf.DUMMYFUNCTION("IF(ISNUMBER(S334),TEXT(S334,""yyyy-MM-dd""),REGEXREPLACE(REGEXREPLACE(TO_TEXT(S334),""[^0-9a-zA-Z]+"",""-""),""[^0-9]*$"",""""))"),"02-29-2024")</f>
        <v>02-29-2024</v>
      </c>
      <c r="U334" s="2" t="str">
        <f t="shared" si="150"/>
        <v>02-29-2024</v>
      </c>
      <c r="V334" s="2" t="s">
        <v>8111</v>
      </c>
      <c r="Y334" s="10" t="s">
        <v>8111</v>
      </c>
    </row>
    <row r="335" ht="15.75" customHeight="1">
      <c r="A335" s="2" t="s">
        <v>6528</v>
      </c>
      <c r="B335" s="9" t="s">
        <v>7597</v>
      </c>
      <c r="C335" s="2" t="s">
        <v>5277</v>
      </c>
      <c r="D335" s="10" t="str">
        <f>IFERROR(__xludf.DUMMYFUNCTION("PROPER(REGEXREPLACE(TRIM(C335),""\s+"","" ""))"),"Qi Young")</f>
        <v>Qi Young</v>
      </c>
      <c r="E335" s="2">
        <f>IFERROR(__xludf.DUMMYFUNCTION("IF(LEN(D335:D701),
  COUNTA(SPLIT(D335:D701,"" "")),
 """")"),2.0)</f>
        <v>2</v>
      </c>
      <c r="F335" s="9" t="str">
        <f t="shared" si="114"/>
        <v>✅</v>
      </c>
      <c r="G335" s="2" t="str">
        <f>IFERROR(__xludf.DUMMYFUNCTION("REGEXEXTRACT(PROPER(SUBSTITUTE(TRIM(I335),""."","" "")),""^[^@]+"")"),"Qi Young")</f>
        <v>Qi Young</v>
      </c>
      <c r="H335" s="10" t="str">
        <f t="shared" si="115"/>
        <v>qi.young@outlook.com</v>
      </c>
      <c r="I335" s="2" t="s">
        <v>5278</v>
      </c>
      <c r="J335" s="9" t="str">
        <f>IFERROR(__xludf.DUMMYFUNCTION("IF(REGEXMATCH(TRIM(I335),""^[A-Za-z0-9._%+-]+@[A-Za-z0-9.-]+\.[A-Za-z]{2,}$""),""✅ Valid"",""❌ Invalid"")"),"✅ Valid")</f>
        <v>✅ Valid</v>
      </c>
      <c r="K335" s="13" t="s">
        <v>8112</v>
      </c>
      <c r="L335" s="2" t="str">
        <f>IFERROR(__xludf.DUMMYFUNCTION("IF(OR(K335=""N/A"", K335=""missing"", K335=""none""), """",
 REGEXREPLACE(
  SUBSTITUTE(SUBSTITUTE(SUBSTITUTE(TO_TEXT(K335), CHAR(160),""""), UNICHAR(8239),""""), UNICHAR(8201),""""),""[+\-/(): )]"", """"))"),"tel11754403732")</f>
        <v>tel11754403732</v>
      </c>
      <c r="M335" s="2" t="str">
        <f>IFERROR(__xludf.DUMMYFUNCTION("IF(L335="""","""", REGEXEXTRACT(REGEXREPLACE(L335,""x"", """"), ""[0-9]+""))"),"11754403732")</f>
        <v>11754403732</v>
      </c>
      <c r="N335" s="2" t="str">
        <f>IF(LEFT(M335,1)="1", RIGHT(M335,LEN(M335)-1),M335)</f>
        <v>1754403732</v>
      </c>
      <c r="O335" s="2" t="b">
        <f>IFERROR(__xludf.DUMMYFUNCTION("REGEXMATCH(TO_TEXT(N335), ""^[2-9][0-9]{9}$"")"),FALSE)</f>
        <v>0</v>
      </c>
      <c r="P335" s="2">
        <f t="shared" si="147"/>
        <v>10</v>
      </c>
      <c r="Q335" s="9" t="str">
        <f>IF(AND(O335=TRUE, P335=10), "✅ VALID", "❌ INVALID")</f>
        <v>❌ INVALID</v>
      </c>
      <c r="R335" s="10" t="s">
        <v>199</v>
      </c>
      <c r="S335" s="12">
        <v>45157.0</v>
      </c>
      <c r="T335" s="2" t="str">
        <f>IFERROR(__xludf.DUMMYFUNCTION("IF(ISNUMBER(S335),TEXT(S335,""yyyy-MM-dd""),REGEXREPLACE(REGEXREPLACE(TO_TEXT(S335),""[^0-9a-zA-Z]+"",""-""),""[^0-9]*$"",""""))"),"2023-08-19")</f>
        <v>2023-08-19</v>
      </c>
      <c r="U335" s="2" t="s">
        <v>8016</v>
      </c>
      <c r="Y335" s="10" t="s">
        <v>8016</v>
      </c>
    </row>
    <row r="336" ht="15.75" customHeight="1">
      <c r="A336" s="2" t="s">
        <v>286</v>
      </c>
      <c r="B336" s="9" t="s">
        <v>7597</v>
      </c>
      <c r="C336" s="2" t="s">
        <v>5894</v>
      </c>
      <c r="D336" s="10" t="str">
        <f>IFERROR(__xludf.DUMMYFUNCTION("PROPER(REGEXREPLACE(TRIM(C336),""\s+"","" ""))"),"Carlos Lopez")</f>
        <v>Carlos Lopez</v>
      </c>
      <c r="E336" s="2">
        <f>IFERROR(__xludf.DUMMYFUNCTION("IF(LEN(D336:D701),
  COUNTA(SPLIT(D336:D701,"" "")),
 """")"),2.0)</f>
        <v>2</v>
      </c>
      <c r="F336" s="9" t="str">
        <f t="shared" si="114"/>
        <v>✅</v>
      </c>
      <c r="G336" s="2" t="str">
        <f>IFERROR(__xludf.DUMMYFUNCTION("REGEXEXTRACT(PROPER(SUBSTITUTE(TRIM(I336),""."","" "")),""^[^@]+"")"),"Carlos Lopez")</f>
        <v>Carlos Lopez</v>
      </c>
      <c r="H336" s="10" t="str">
        <f t="shared" si="115"/>
        <v>carlos.lopez@shop.io</v>
      </c>
      <c r="I336" s="2" t="s">
        <v>5895</v>
      </c>
      <c r="J336" s="9" t="str">
        <f>IFERROR(__xludf.DUMMYFUNCTION("IF(REGEXMATCH(TRIM(I336),""^[A-Za-z0-9._%+-]+@[A-Za-z0-9.-]+\.[A-Za-z]{2,}$""),""✅ Valid"",""❌ Invalid"")"),"✅ Valid")</f>
        <v>✅ Valid</v>
      </c>
      <c r="K336" s="15" t="s">
        <v>7614</v>
      </c>
      <c r="L336" s="2" t="str">
        <f>IFERROR(__xludf.DUMMYFUNCTION("IF(K336=""N/A"", """",
 REGEXREPLACE(
  SUBSTITUTE(SUBSTITUTE(SUBSTITUTE(TO_TEXT(K336), CHAR(160),""""), UNICHAR(8239),""""), UNICHAR(8201),""""),""[+\-/(): )]"", """"))"),"")</f>
        <v/>
      </c>
      <c r="M336" s="2" t="str">
        <f>IFERROR(__xludf.DUMMYFUNCTION("IF(L336="""","""", REGEXEXTRACT(REGEXREPLACE(L336,""x"", """"), ""[0-9]+""))"),"")</f>
        <v/>
      </c>
      <c r="N336" s="2" t="str">
        <f t="shared" ref="N336:N337" si="151">IF(LEFT(M336,2)="48", RIGHT(M336,LEN(M336)-2),M336)</f>
        <v/>
      </c>
      <c r="O336" s="2" t="b">
        <f>IFERROR(__xludf.DUMMYFUNCTION("REGEXMATCH(TO_TEXT(N336), ""^(5[013679]|6[069]|7[2-9]|88)"")"),FALSE)</f>
        <v>0</v>
      </c>
      <c r="Q336" s="9" t="str">
        <f t="shared" ref="Q336:Q337" si="152">IF(AND(O336=TRUE, P336=9), "✅ VALID", "❌ INVALID")</f>
        <v>❌ INVALID</v>
      </c>
      <c r="R336" s="10" t="s">
        <v>25</v>
      </c>
      <c r="S336" s="12">
        <v>45881.0</v>
      </c>
      <c r="T336" s="2" t="str">
        <f>IFERROR(__xludf.DUMMYFUNCTION("IF(ISNUMBER(S336),TEXT(S336,""yyyy-MM-dd""),REGEXREPLACE(REGEXREPLACE(TO_TEXT(S336),""[^0-9a-zA-Z]+"",""-""),""[^0-9]*$"",""""))"),"2025-08-12")</f>
        <v>2025-08-12</v>
      </c>
      <c r="U336" s="2" t="s">
        <v>8113</v>
      </c>
      <c r="Y336" s="10" t="s">
        <v>8113</v>
      </c>
    </row>
    <row r="337" ht="15.75" customHeight="1">
      <c r="A337" s="2" t="s">
        <v>3578</v>
      </c>
      <c r="B337" s="9" t="s">
        <v>7597</v>
      </c>
      <c r="C337" s="2" t="s">
        <v>3068</v>
      </c>
      <c r="D337" s="10" t="str">
        <f>IFERROR(__xludf.DUMMYFUNCTION("PROPER(REGEXREPLACE(TRIM(C337),""\s+"","" ""))"),"Bella Williams")</f>
        <v>Bella Williams</v>
      </c>
      <c r="E337" s="2">
        <f>IFERROR(__xludf.DUMMYFUNCTION("IF(LEN(D337:D701),
  COUNTA(SPLIT(D337:D701,"" "")),
 """")"),2.0)</f>
        <v>2</v>
      </c>
      <c r="F337" s="9" t="str">
        <f t="shared" si="114"/>
        <v>❌</v>
      </c>
      <c r="G337" s="2" t="s">
        <v>8114</v>
      </c>
      <c r="H337" s="10" t="str">
        <f t="shared" si="115"/>
        <v>bella.wililams@gmail.com</v>
      </c>
      <c r="I337" s="2" t="s">
        <v>3069</v>
      </c>
      <c r="J337" s="9" t="str">
        <f>IFERROR(__xludf.DUMMYFUNCTION("IF(REGEXMATCH(TRIM(I337),""^[A-Za-z0-9._%+-]+@[A-Za-z0-9.-]+\.[A-Za-z]{2,}$""),""✅ Valid"",""❌ Invalid"")"),"✅ Valid")</f>
        <v>✅ Valid</v>
      </c>
      <c r="K337" s="17" t="s">
        <v>8115</v>
      </c>
      <c r="L337" s="2" t="str">
        <f>IFERROR(__xludf.DUMMYFUNCTION("IF(K337=""N/A"", """",
 REGEXREPLACE(
  SUBSTITUTE(SUBSTITUTE(SUBSTITUTE(TO_TEXT(K337), CHAR(160),""""), UNICHAR(8239),""""), UNICHAR(8201),""""),""[+\-/(): )]"", """"))"),"2058144939")</f>
        <v>2058144939</v>
      </c>
      <c r="M337" s="2" t="str">
        <f>IFERROR(__xludf.DUMMYFUNCTION("IF(L337="""","""", REGEXEXTRACT(REGEXREPLACE(L337,""x"", """"), ""[0-9]+""))"),"2058144939")</f>
        <v>2058144939</v>
      </c>
      <c r="N337" s="2" t="str">
        <f t="shared" si="151"/>
        <v>2058144939</v>
      </c>
      <c r="O337" s="2" t="b">
        <f>IFERROR(__xludf.DUMMYFUNCTION("REGEXMATCH(TO_TEXT(N337), ""^(5[013679]|6[069]|7[2-9]|88)"")"),FALSE)</f>
        <v>0</v>
      </c>
      <c r="Q337" s="9" t="str">
        <f t="shared" si="152"/>
        <v>❌ INVALID</v>
      </c>
      <c r="R337" s="10" t="s">
        <v>25</v>
      </c>
      <c r="S337" s="12">
        <v>44911.0</v>
      </c>
      <c r="T337" s="2" t="str">
        <f>IFERROR(__xludf.DUMMYFUNCTION("IF(ISNUMBER(S337),TEXT(S337,""yyyy-MM-dd""),REGEXREPLACE(REGEXREPLACE(TO_TEXT(S337),""[^0-9a-zA-Z]+"",""-""),""[^0-9]*$"",""""))"),"2022-12-16")</f>
        <v>2022-12-16</v>
      </c>
      <c r="U337" s="2" t="s">
        <v>8116</v>
      </c>
      <c r="Y337" s="10" t="s">
        <v>8116</v>
      </c>
    </row>
    <row r="338" ht="15.75" customHeight="1">
      <c r="A338" s="2" t="s">
        <v>1673</v>
      </c>
      <c r="B338" s="9" t="s">
        <v>7597</v>
      </c>
      <c r="C338" s="2" t="s">
        <v>468</v>
      </c>
      <c r="D338" s="10" t="s">
        <v>8117</v>
      </c>
      <c r="E338" s="2">
        <f>IFERROR(__xludf.DUMMYFUNCTION("IF(LEN(D338:D701),
  COUNTA(SPLIT(D338:D701,"" "")),
 """")"),2.0)</f>
        <v>2</v>
      </c>
      <c r="F338" s="9" t="str">
        <f t="shared" si="114"/>
        <v>✅</v>
      </c>
      <c r="G338" s="2" t="s">
        <v>8117</v>
      </c>
      <c r="H338" s="10" t="str">
        <f t="shared" si="115"/>
        <v>adam.wililams@shop.io</v>
      </c>
      <c r="I338" s="2" t="s">
        <v>469</v>
      </c>
      <c r="J338" s="9" t="str">
        <f>IFERROR(__xludf.DUMMYFUNCTION("IF(REGEXMATCH(TRIM(I338),""^[A-Za-z0-9._%+-]+@[A-Za-z0-9.-]+\.[A-Za-z]{2,}$""),""✅ Valid"",""❌ Invalid"")"),"✅ Valid")</f>
        <v>✅ Valid</v>
      </c>
      <c r="K338" s="13" t="s">
        <v>8118</v>
      </c>
      <c r="L338" s="2" t="str">
        <f>IFERROR(__xludf.DUMMYFUNCTION("IF(OR(K338=""N/A"", K338=""missing"", K338=""none""), """",
 REGEXREPLACE(
  SUBSTITUTE(SUBSTITUTE(SUBSTITUTE(TO_TEXT(K338), CHAR(160),""""), UNICHAR(8239),""""), UNICHAR(8201),""""),""[+\-/(): )]"", """"))"),"353054155378ext580")</f>
        <v>353054155378ext580</v>
      </c>
      <c r="M338" s="2" t="str">
        <f>IFERROR(__xludf.DUMMYFUNCTION("IF(L338="""","""", REGEXEXTRACT(REGEXREPLACE(L338,""x"", """"), ""[0-9]+""))"),"353054155378")</f>
        <v>353054155378</v>
      </c>
      <c r="N338" s="2" t="str">
        <f>IF(LEFT(M338,3)="353", RIGHT(M338,LEN(M338)-3),M338)</f>
        <v>054155378</v>
      </c>
      <c r="O338" s="2" t="b">
        <f>IFERROR(__xludf.DUMMYFUNCTION("REGEXMATCH(TO_TEXT(N338), ""^0(83|85|86|87|89)"")"),FALSE)</f>
        <v>0</v>
      </c>
      <c r="P338" s="2">
        <f t="shared" ref="P338:P340" si="153">LEN(N338)</f>
        <v>9</v>
      </c>
      <c r="Q338" s="9" t="str">
        <f>IF(AND(O338=TRUE, P335=10), "✅ VALID", "❌ INVALID")</f>
        <v>❌ INVALID</v>
      </c>
      <c r="R338" s="10" t="s">
        <v>1177</v>
      </c>
      <c r="S338" s="12">
        <v>45099.0</v>
      </c>
      <c r="T338" s="2" t="str">
        <f>IFERROR(__xludf.DUMMYFUNCTION("IF(ISNUMBER(S338),TEXT(S338,""yyyy-MM-dd""),REGEXREPLACE(REGEXREPLACE(TO_TEXT(S338),""[^0-9a-zA-Z]+"",""-""),""[^0-9]*$"",""""))"),"2023-06-22")</f>
        <v>2023-06-22</v>
      </c>
      <c r="U338" s="2" t="s">
        <v>6806</v>
      </c>
      <c r="Y338" s="10" t="s">
        <v>6806</v>
      </c>
    </row>
    <row r="339" ht="15.75" customHeight="1">
      <c r="A339" s="2" t="s">
        <v>496</v>
      </c>
      <c r="B339" s="9" t="s">
        <v>7597</v>
      </c>
      <c r="C339" s="2" t="s">
        <v>4409</v>
      </c>
      <c r="D339" s="10" t="str">
        <f>IFERROR(__xludf.DUMMYFUNCTION("PROPER(REGEXREPLACE(TRIM(C339),""\s+"","" ""))"),"Ken Dubois")</f>
        <v>Ken Dubois</v>
      </c>
      <c r="E339" s="2">
        <f>IFERROR(__xludf.DUMMYFUNCTION("IF(LEN(D339:D701),
  COUNTA(SPLIT(D339:D701,"" "")),
 """")"),2.0)</f>
        <v>2</v>
      </c>
      <c r="F339" s="9" t="str">
        <f t="shared" si="114"/>
        <v>✅</v>
      </c>
      <c r="G339" s="2" t="str">
        <f>IFERROR(__xludf.DUMMYFUNCTION("REGEXEXTRACT(PROPER(SUBSTITUTE(TRIM(I339),""."","" "")),""^[^@]+"")"),"Ken Dubois")</f>
        <v>Ken Dubois</v>
      </c>
      <c r="H339" s="10" t="str">
        <f t="shared" si="115"/>
        <v>ken.dubois@shop.io</v>
      </c>
      <c r="I339" s="2" t="s">
        <v>4410</v>
      </c>
      <c r="J339" s="9" t="str">
        <f>IFERROR(__xludf.DUMMYFUNCTION("IF(REGEXMATCH(TRIM(I339),""^[A-Za-z0-9._%+-]+@[A-Za-z0-9.-]+\.[A-Za-z]{2,}$""),""✅ Valid"",""❌ Invalid"")"),"✅ Valid")</f>
        <v>✅ Valid</v>
      </c>
      <c r="K339" s="13" t="s">
        <v>8119</v>
      </c>
      <c r="L339" s="2" t="str">
        <f>IFERROR(__xludf.DUMMYFUNCTION("IF(OR(K339=""N/A"", K339=""missing"", K339=""none""), """",
 REGEXREPLACE(
  SUBSTITUTE(SUBSTITUTE(SUBSTITUTE(TO_TEXT(K339), CHAR(160),""""), UNICHAR(8239),""""), UNICHAR(8201),""""),""[+\-/(): )]"", """"))"),"3961528135")</f>
        <v>3961528135</v>
      </c>
      <c r="M339" s="2" t="str">
        <f>IFERROR(__xludf.DUMMYFUNCTION("IF(L339="""","""", REGEXEXTRACT(REGEXREPLACE(L339,""x"", """"), ""[0-9]+""))"),"3961528135")</f>
        <v>3961528135</v>
      </c>
      <c r="N339" s="2" t="str">
        <f>IF(LEFT(M339,2)="39", RIGHT(M339,LEN(M339)-2),M339)</f>
        <v>61528135</v>
      </c>
      <c r="O339" s="2" t="b">
        <f>IFERROR(__xludf.DUMMYFUNCTION("REGEXMATCH(TO_TEXT(N339), ""^3"")"),FALSE)</f>
        <v>0</v>
      </c>
      <c r="P339" s="2">
        <f t="shared" si="153"/>
        <v>8</v>
      </c>
      <c r="Q339" s="9" t="str">
        <f>IF(AND(O339=TRUE,OR(P339=9, P339=10 )), "✅ VALID", "❌ INVALID")</f>
        <v>❌ INVALID</v>
      </c>
      <c r="R339" s="10" t="s">
        <v>785</v>
      </c>
      <c r="S339" s="12">
        <v>45652.0</v>
      </c>
      <c r="T339" s="2" t="str">
        <f>IFERROR(__xludf.DUMMYFUNCTION("IF(ISNUMBER(S339),TEXT(S339,""yyyy-MM-dd""),REGEXREPLACE(REGEXREPLACE(TO_TEXT(S339),""[^0-9a-zA-Z]+"",""-""),""[^0-9]*$"",""""))"),"2024-12-26")</f>
        <v>2024-12-26</v>
      </c>
      <c r="U339" s="2" t="s">
        <v>7605</v>
      </c>
      <c r="Y339" s="10" t="s">
        <v>7605</v>
      </c>
    </row>
    <row r="340" ht="15.75" customHeight="1">
      <c r="A340" s="2" t="s">
        <v>7174</v>
      </c>
      <c r="B340" s="9" t="s">
        <v>7597</v>
      </c>
      <c r="C340" s="2" t="s">
        <v>4435</v>
      </c>
      <c r="D340" s="10" t="str">
        <f>IFERROR(__xludf.DUMMYFUNCTION("PROPER(REGEXREPLACE(TRIM(C340),""\s+"","" ""))"),"Daria Garcia")</f>
        <v>Daria Garcia</v>
      </c>
      <c r="E340" s="2">
        <f>IFERROR(__xludf.DUMMYFUNCTION("IF(LEN(D340:D701),
  COUNTA(SPLIT(D340:D701,"" "")),
 """")"),2.0)</f>
        <v>2</v>
      </c>
      <c r="F340" s="9" t="str">
        <f t="shared" si="114"/>
        <v>✅</v>
      </c>
      <c r="G340" s="2" t="str">
        <f>IFERROR(__xludf.DUMMYFUNCTION("REGEXEXTRACT(PROPER(SUBSTITUTE(TRIM(I340),""."","" "")),""^[^@]+"")"),"Daria Garcia")</f>
        <v>Daria Garcia</v>
      </c>
      <c r="H340" s="10" t="str">
        <f t="shared" si="115"/>
        <v>daria.garcia@company.co.uk</v>
      </c>
      <c r="I340" s="2" t="s">
        <v>5318</v>
      </c>
      <c r="J340" s="9" t="str">
        <f>IFERROR(__xludf.DUMMYFUNCTION("IF(REGEXMATCH(TRIM(I340),""^[A-Za-z0-9._%+-]+@[A-Za-z0-9.-]+\.[A-Za-z]{2,}$""),""✅ Valid"",""❌ Invalid"")"),"✅ Valid")</f>
        <v>✅ Valid</v>
      </c>
      <c r="K340" s="13" t="s">
        <v>8120</v>
      </c>
      <c r="L340" s="2" t="str">
        <f>IFERROR(__xludf.DUMMYFUNCTION("IF(OR(K340=""N/A"", K340=""missing"", K340=""none""), """",
 REGEXREPLACE(
  SUBSTITUTE(SUBSTITUTE(SUBSTITUTE(TO_TEXT(K340), CHAR(160),""""), UNICHAR(8239),""""), UNICHAR(8201),""""),""[+\-/(): )]"", """"))"),"1318091121")</f>
        <v>1318091121</v>
      </c>
      <c r="M340" s="2" t="str">
        <f>IFERROR(__xludf.DUMMYFUNCTION("IF(L340="""","""", REGEXEXTRACT(REGEXREPLACE(L340,""x"", """"), ""[0-9]+""))"),"1318091121")</f>
        <v>1318091121</v>
      </c>
      <c r="N340" s="2" t="str">
        <f>IF(LEFT(M340,1)="1", RIGHT(M340,LEN(M340)-1),M340)</f>
        <v>318091121</v>
      </c>
      <c r="O340" s="2" t="b">
        <f>IFERROR(__xludf.DUMMYFUNCTION("REGEXMATCH(TO_TEXT(N340), ""^[2-9][0-9]{9}$"")"),FALSE)</f>
        <v>0</v>
      </c>
      <c r="P340" s="2">
        <f t="shared" si="153"/>
        <v>9</v>
      </c>
      <c r="Q340" s="9" t="str">
        <f>IF(AND(O340=TRUE, P340=10), "✅ VALID", "❌ INVALID")</f>
        <v>❌ INVALID</v>
      </c>
      <c r="R340" s="10" t="s">
        <v>199</v>
      </c>
      <c r="S340" s="12">
        <v>45317.0</v>
      </c>
      <c r="T340" s="2" t="str">
        <f>IFERROR(__xludf.DUMMYFUNCTION("IF(ISNUMBER(S340),TEXT(S340,""yyyy-MM-dd""),REGEXREPLACE(REGEXREPLACE(TO_TEXT(S340),""[^0-9a-zA-Z]+"",""-""),""[^0-9]*$"",""""))"),"2024-01-26")</f>
        <v>2024-01-26</v>
      </c>
      <c r="U340" s="2" t="s">
        <v>8121</v>
      </c>
      <c r="Y340" s="10" t="s">
        <v>8121</v>
      </c>
    </row>
    <row r="341" ht="15.75" hidden="1" customHeight="1">
      <c r="A341" s="2" t="s">
        <v>3060</v>
      </c>
      <c r="B341" s="9" t="s">
        <v>7597</v>
      </c>
      <c r="C341" s="2" t="s">
        <v>4928</v>
      </c>
      <c r="D341" s="2" t="str">
        <f>IFERROR(__xludf.DUMMYFUNCTION("PROPER(REGEXREPLACE(TRIM(C341),""\s+"","" ""))"),"Hanna Johnson")</f>
        <v>Hanna Johnson</v>
      </c>
      <c r="E341" s="2">
        <f>IFERROR(__xludf.DUMMYFUNCTION("IF(LEN(D341:D701),
  COUNTA(SPLIT(D341:D701,"" "")),
 """")"),2.0)</f>
        <v>2</v>
      </c>
      <c r="K341" s="2" t="s">
        <v>4411</v>
      </c>
      <c r="R341" s="10" t="s">
        <v>785</v>
      </c>
      <c r="S341" s="2" t="s">
        <v>6334</v>
      </c>
    </row>
    <row r="342" ht="15.75" customHeight="1">
      <c r="A342" s="2" t="s">
        <v>2172</v>
      </c>
      <c r="B342" s="9" t="s">
        <v>7597</v>
      </c>
      <c r="C342" s="2" t="s">
        <v>2382</v>
      </c>
      <c r="D342" s="10" t="str">
        <f>IFERROR(__xludf.DUMMYFUNCTION("PROPER(REGEXREPLACE(TRIM(C342),""\s+"","" ""))"),"Paula Johnson")</f>
        <v>Paula Johnson</v>
      </c>
      <c r="E342" s="2">
        <f>IFERROR(__xludf.DUMMYFUNCTION("IF(LEN(D342:D701),
  COUNTA(SPLIT(D342:D701,"" "")),
 """")"),2.0)</f>
        <v>2</v>
      </c>
      <c r="F342" s="9" t="str">
        <f t="shared" ref="F342:F345" si="154">IF(D342=G342,"✅","❌")</f>
        <v>✅</v>
      </c>
      <c r="G342" s="2" t="str">
        <f>IFERROR(__xludf.DUMMYFUNCTION("REGEXEXTRACT(PROPER(SUBSTITUTE(TRIM(I342),""."","" "")),""^[^@]+"")"),"Paula Johnson")</f>
        <v>Paula Johnson</v>
      </c>
      <c r="H342" s="10" t="str">
        <f t="shared" ref="H342:H345" si="155">LOWER(TRIM(I342))</f>
        <v>paula.johnson@example.com</v>
      </c>
      <c r="I342" s="2" t="s">
        <v>2383</v>
      </c>
      <c r="J342" s="9" t="str">
        <f>IFERROR(__xludf.DUMMYFUNCTION("IF(REGEXMATCH(TRIM(I342),""^[A-Za-z0-9._%+-]+@[A-Za-z0-9.-]+\.[A-Za-z]{2,}$""),""✅ Valid"",""❌ Invalid"")"),"✅ Valid")</f>
        <v>✅ Valid</v>
      </c>
      <c r="K342" s="13" t="s">
        <v>8122</v>
      </c>
      <c r="L342" s="2" t="str">
        <f>IFERROR(__xludf.DUMMYFUNCTION("IF(OR(K342=""N/A"", K342=""missing"", K342=""none""), """",
 REGEXREPLACE(
  SUBSTITUTE(SUBSTITUTE(SUBSTITUTE(TO_TEXT(K342), CHAR(160),""""), UNICHAR(8239),""""), UNICHAR(8201),""""),""[+\-/(): )]"", """"))"),"343471650453")</f>
        <v>343471650453</v>
      </c>
      <c r="M342" s="2" t="str">
        <f>IFERROR(__xludf.DUMMYFUNCTION("IF(L342="""","""", REGEXEXTRACT(REGEXREPLACE(L342,""x"", """"), ""[0-9]+""))"),"343471650453")</f>
        <v>343471650453</v>
      </c>
      <c r="N342" s="2" t="str">
        <f>IF(LEFT(M342,2)="34", RIGHT(M342,LEN(M342)-2),M342)</f>
        <v>3471650453</v>
      </c>
      <c r="O342" s="2" t="b">
        <f>IFERROR(__xludf.DUMMYFUNCTION("REGEXMATCH(TO_TEXT(N342), ""^[67]"")"),FALSE)</f>
        <v>0</v>
      </c>
      <c r="P342" s="2">
        <f t="shared" ref="P342:P345" si="156">LEN(N342)</f>
        <v>10</v>
      </c>
      <c r="Q342" s="9" t="str">
        <f t="shared" ref="Q342:Q343" si="157">IF(AND(O342=TRUE, P342=9), "✅ VALID", "❌ INVALID")</f>
        <v>❌ INVALID</v>
      </c>
      <c r="R342" s="10" t="s">
        <v>139</v>
      </c>
      <c r="S342" s="12">
        <v>45057.0</v>
      </c>
      <c r="T342" s="2" t="str">
        <f>IFERROR(__xludf.DUMMYFUNCTION("IF(ISNUMBER(S342),TEXT(S342,""yyyy-MM-dd""),REGEXREPLACE(REGEXREPLACE(TO_TEXT(S342),""[^0-9a-zA-Z]+"",""-""),""[^0-9]*$"",""""))"),"2023-05-11")</f>
        <v>2023-05-11</v>
      </c>
      <c r="U342" s="2" t="s">
        <v>8123</v>
      </c>
      <c r="Y342" s="10" t="s">
        <v>8123</v>
      </c>
    </row>
    <row r="343" ht="15.75" customHeight="1">
      <c r="A343" s="2" t="s">
        <v>5085</v>
      </c>
      <c r="B343" s="9" t="s">
        <v>7597</v>
      </c>
      <c r="C343" s="2" t="s">
        <v>5029</v>
      </c>
      <c r="D343" s="10" t="s">
        <v>8124</v>
      </c>
      <c r="E343" s="2">
        <f>IFERROR(__xludf.DUMMYFUNCTION("IF(LEN(D343:D701),
  COUNTA(SPLIT(D343:D701,"" "")),
 """")"),2.0)</f>
        <v>2</v>
      </c>
      <c r="F343" s="9" t="str">
        <f t="shared" si="154"/>
        <v>✅</v>
      </c>
      <c r="G343" s="2" t="s">
        <v>8124</v>
      </c>
      <c r="H343" s="10" t="str">
        <f t="shared" si="155"/>
        <v>nina.martinez@shop.io</v>
      </c>
      <c r="I343" s="2" t="s">
        <v>5030</v>
      </c>
      <c r="J343" s="9" t="str">
        <f>IFERROR(__xludf.DUMMYFUNCTION("IF(REGEXMATCH(TRIM(I343),""^[A-Za-z0-9._%+-]+@[A-Za-z0-9.-]+\.[A-Za-z]{2,}$""),""✅ Valid"",""❌ Invalid"")"),"✅ Valid")</f>
        <v>✅ Valid</v>
      </c>
      <c r="K343" s="13" t="s">
        <v>8125</v>
      </c>
      <c r="L343" s="2" t="str">
        <f>IFERROR(__xludf.DUMMYFUNCTION("IF(OR(K343=""N/A"", K343=""missing"", K343=""none""), """",
 REGEXREPLACE(
  SUBSTITUTE(SUBSTITUTE(SUBSTITUTE(TO_TEXT(K343), CHAR(160),""""), UNICHAR(8239),""""), UNICHAR(8201),""""),""[+\-/(): )]"", """"))"),"633x70393")</f>
        <v>633x70393</v>
      </c>
      <c r="M343" s="2" t="str">
        <f>IFERROR(__xludf.DUMMYFUNCTION("IF(L343="""","""", REGEXEXTRACT(REGEXREPLACE(L343,""x"", """"), ""[0-9]+""))"),"63370393")</f>
        <v>63370393</v>
      </c>
      <c r="N343" s="2" t="str">
        <f>IF(LEFT(M343,2)="33", RIGHT(M343,LEN(M343)-2),M343)</f>
        <v>63370393</v>
      </c>
      <c r="O343" s="2" t="b">
        <f>IFERROR(__xludf.DUMMYFUNCTION("REGEXMATCH(TO_TEXT(N343), ""^0[67]"")"),FALSE)</f>
        <v>0</v>
      </c>
      <c r="P343" s="2">
        <f t="shared" si="156"/>
        <v>8</v>
      </c>
      <c r="Q343" s="9" t="str">
        <f t="shared" si="157"/>
        <v>❌ INVALID</v>
      </c>
      <c r="R343" s="10" t="s">
        <v>58</v>
      </c>
      <c r="S343" s="12" t="s">
        <v>6841</v>
      </c>
      <c r="T343" s="2" t="str">
        <f>IFERROR(__xludf.DUMMYFUNCTION("IF(ISNUMBER(S343),TEXT(S343,""yyyy-MM-dd""),REGEXREPLACE(REGEXREPLACE(TO_TEXT(S343),""[^0-9a-zA-Z]+"",""-""),""[^0-9]*$"",""""))"),"07-12-2022")</f>
        <v>07-12-2022</v>
      </c>
      <c r="U343" s="2" t="s">
        <v>8126</v>
      </c>
      <c r="Y343" s="10" t="s">
        <v>8126</v>
      </c>
    </row>
    <row r="344" ht="15.75" customHeight="1">
      <c r="A344" s="2" t="s">
        <v>999</v>
      </c>
      <c r="B344" s="9" t="s">
        <v>7597</v>
      </c>
      <c r="C344" s="2" t="s">
        <v>2121</v>
      </c>
      <c r="D344" s="10" t="str">
        <f>IFERROR(__xludf.DUMMYFUNCTION("PROPER(REGEXREPLACE(TRIM(C344),""\s+"","" ""))"),"Igor Garcia")</f>
        <v>Igor Garcia</v>
      </c>
      <c r="E344" s="2">
        <f>IFERROR(__xludf.DUMMYFUNCTION("IF(LEN(D344:D701),
  COUNTA(SPLIT(D344:D701,"" "")),
 """")"),2.0)</f>
        <v>2</v>
      </c>
      <c r="F344" s="9" t="str">
        <f t="shared" si="154"/>
        <v>✅</v>
      </c>
      <c r="G344" s="2" t="str">
        <f>IFERROR(__xludf.DUMMYFUNCTION("REGEXEXTRACT(PROPER(SUBSTITUTE(TRIM(I344),""."","" "")),""^[^@]+"")"),"Igor Garcia")</f>
        <v>Igor Garcia</v>
      </c>
      <c r="H344" s="10" t="str">
        <f t="shared" si="155"/>
        <v>igor.garcia@gmail.com</v>
      </c>
      <c r="I344" s="2" t="s">
        <v>2122</v>
      </c>
      <c r="J344" s="9" t="str">
        <f>IFERROR(__xludf.DUMMYFUNCTION("IF(REGEXMATCH(TRIM(I344),""^[A-Za-z0-9._%+-]+@[A-Za-z0-9.-]+\.[A-Za-z]{2,}$""),""✅ Valid"",""❌ Invalid"")"),"✅ Valid")</f>
        <v>✅ Valid</v>
      </c>
      <c r="K344" s="13" t="s">
        <v>8127</v>
      </c>
      <c r="L344" s="2" t="str">
        <f>IFERROR(__xludf.DUMMYFUNCTION("IF(OR(K344=""N/A"", K344=""missing"", K344=""none""), """",
 REGEXREPLACE(
  SUBSTITUTE(SUBSTITUTE(SUBSTITUTE(TO_TEXT(K344), CHAR(160),""""), UNICHAR(8239),""""), UNICHAR(8201),""""),""[+\-/(): )]"", """"))"),"39428283965")</f>
        <v>39428283965</v>
      </c>
      <c r="M344" s="2" t="str">
        <f>IFERROR(__xludf.DUMMYFUNCTION("IF(L344="""","""", REGEXEXTRACT(REGEXREPLACE(L344,""x"", """"), ""[0-9]+""))"),"39428283965")</f>
        <v>39428283965</v>
      </c>
      <c r="N344" s="2" t="str">
        <f t="shared" ref="N344:N345" si="158">IF(LEFT(M344,2)="39", RIGHT(M344,LEN(M344)-2),M344)</f>
        <v>428283965</v>
      </c>
      <c r="O344" s="2" t="b">
        <f>IFERROR(__xludf.DUMMYFUNCTION("REGEXMATCH(TO_TEXT(N344), ""^3"")"),FALSE)</f>
        <v>0</v>
      </c>
      <c r="P344" s="2">
        <f t="shared" si="156"/>
        <v>9</v>
      </c>
      <c r="Q344" s="9" t="str">
        <f t="shared" ref="Q344:Q345" si="159">IF(AND(O344=TRUE,OR(P344=9, P344=10 )), "✅ VALID", "❌ INVALID")</f>
        <v>❌ INVALID</v>
      </c>
      <c r="R344" s="10" t="s">
        <v>785</v>
      </c>
      <c r="S344" s="12">
        <v>44865.0</v>
      </c>
      <c r="T344" s="2" t="str">
        <f>IFERROR(__xludf.DUMMYFUNCTION("IF(ISNUMBER(S344),TEXT(S344,""yyyy-MM-dd""),REGEXREPLACE(REGEXREPLACE(TO_TEXT(S344),""[^0-9a-zA-Z]+"",""-""),""[^0-9]*$"",""""))"),"2022-10-31")</f>
        <v>2022-10-31</v>
      </c>
      <c r="U344" s="2" t="s">
        <v>8128</v>
      </c>
      <c r="Y344" s="10" t="s">
        <v>8128</v>
      </c>
    </row>
    <row r="345" ht="15.75" customHeight="1">
      <c r="A345" s="2" t="s">
        <v>2100</v>
      </c>
      <c r="B345" s="9" t="s">
        <v>7597</v>
      </c>
      <c r="C345" s="2" t="s">
        <v>6529</v>
      </c>
      <c r="D345" s="10" t="s">
        <v>2488</v>
      </c>
      <c r="E345" s="2">
        <f>IFERROR(__xludf.DUMMYFUNCTION("IF(LEN(D345:D701),
  COUNTA(SPLIT(D345:D701,"" "")),
 """")"),2.0)</f>
        <v>2</v>
      </c>
      <c r="F345" s="9" t="str">
        <f t="shared" si="154"/>
        <v>✅</v>
      </c>
      <c r="G345" s="2" t="s">
        <v>2488</v>
      </c>
      <c r="H345" s="10" t="str">
        <f t="shared" si="155"/>
        <v>omar.king@yahoo.com</v>
      </c>
      <c r="I345" s="2" t="s">
        <v>6530</v>
      </c>
      <c r="J345" s="9" t="str">
        <f>IFERROR(__xludf.DUMMYFUNCTION("IF(REGEXMATCH(TRIM(I345),""^[A-Za-z0-9._%+-]+@[A-Za-z0-9.-]+\.[A-Za-z]{2,}$""),""✅ Valid"",""❌ Invalid"")"),"✅ Valid")</f>
        <v>✅ Valid</v>
      </c>
      <c r="K345" s="11">
        <v>3.972529188E9</v>
      </c>
      <c r="L345" s="2" t="str">
        <f>IFERROR(__xludf.DUMMYFUNCTION("IF(OR(K345=""N/A"", K345=""missing"", K345=""none""), """",
 REGEXREPLACE(
  SUBSTITUTE(SUBSTITUTE(SUBSTITUTE(TO_TEXT(K345), CHAR(160),""""), UNICHAR(8239),""""), UNICHAR(8201),""""),""[+\-/(): )]"", """"))"),"3972529188")</f>
        <v>3972529188</v>
      </c>
      <c r="M345" s="2" t="str">
        <f>IFERROR(__xludf.DUMMYFUNCTION("IF(L345="""","""", REGEXEXTRACT(REGEXREPLACE(L345,""x"", """"), ""[0-9]+""))"),"3972529188")</f>
        <v>3972529188</v>
      </c>
      <c r="N345" s="2" t="str">
        <f t="shared" si="158"/>
        <v>72529188</v>
      </c>
      <c r="O345" s="2" t="b">
        <f>IFERROR(__xludf.DUMMYFUNCTION("REGEXMATCH(TO_TEXT(N345), ""^3"")"),FALSE)</f>
        <v>0</v>
      </c>
      <c r="P345" s="2">
        <f t="shared" si="156"/>
        <v>8</v>
      </c>
      <c r="Q345" s="9" t="str">
        <f t="shared" si="159"/>
        <v>❌ INVALID</v>
      </c>
      <c r="R345" s="10" t="s">
        <v>785</v>
      </c>
      <c r="S345" s="12">
        <v>45011.0</v>
      </c>
      <c r="T345" s="2" t="str">
        <f>IFERROR(__xludf.DUMMYFUNCTION("IF(ISNUMBER(S345),TEXT(S345,""yyyy-MM-dd""),REGEXREPLACE(REGEXREPLACE(TO_TEXT(S345),""[^0-9a-zA-Z]+"",""-""),""[^0-9]*$"",""""))"),"2023-03-26")</f>
        <v>2023-03-26</v>
      </c>
      <c r="U345" s="2" t="s">
        <v>7230</v>
      </c>
      <c r="Y345" s="10" t="s">
        <v>7230</v>
      </c>
    </row>
    <row r="346" ht="15.75" hidden="1" customHeight="1">
      <c r="A346" s="2" t="s">
        <v>1787</v>
      </c>
      <c r="B346" s="9" t="s">
        <v>7597</v>
      </c>
      <c r="C346" s="2" t="s">
        <v>287</v>
      </c>
      <c r="D346" s="2" t="str">
        <f>IFERROR(__xludf.DUMMYFUNCTION("PROPER(REGEXREPLACE(TRIM(C346),""\s+"","" ""))"),"Hanna Dubois")</f>
        <v>Hanna Dubois</v>
      </c>
      <c r="E346" s="2">
        <f>IFERROR(__xludf.DUMMYFUNCTION("IF(LEN(D346:D701),
  COUNTA(SPLIT(D346:D701,"" "")),
 """")"),2.0)</f>
        <v>2</v>
      </c>
      <c r="K346" s="2" t="s">
        <v>2123</v>
      </c>
      <c r="R346" s="10" t="s">
        <v>58</v>
      </c>
      <c r="S346" s="2" t="s">
        <v>7239</v>
      </c>
    </row>
    <row r="347" ht="15.75" customHeight="1">
      <c r="A347" s="2" t="s">
        <v>297</v>
      </c>
      <c r="B347" s="9" t="s">
        <v>7597</v>
      </c>
      <c r="C347" s="2" t="s">
        <v>3579</v>
      </c>
      <c r="D347" s="10" t="str">
        <f>IFERROR(__xludf.DUMMYFUNCTION("PROPER(REGEXREPLACE(TRIM(C347),""\s+"","" ""))"),"Zack Khan")</f>
        <v>Zack Khan</v>
      </c>
      <c r="E347" s="2">
        <f>IFERROR(__xludf.DUMMYFUNCTION("IF(LEN(D347:D701),
  COUNTA(SPLIT(D347:D701,"" "")),
 """")"),2.0)</f>
        <v>2</v>
      </c>
      <c r="F347" s="9" t="str">
        <f t="shared" ref="F347:F355" si="160">IF(D347=G347,"✅","❌")</f>
        <v>✅</v>
      </c>
      <c r="G347" s="2" t="str">
        <f>IFERROR(__xludf.DUMMYFUNCTION("REGEXEXTRACT(PROPER(SUBSTITUTE(TRIM(I347),""."","" "")),""^[^@]+"")"),"Zack Khan")</f>
        <v>Zack Khan</v>
      </c>
      <c r="H347" s="10" t="str">
        <f t="shared" ref="H347:H355" si="161">LOWER(TRIM(I347))</f>
        <v>zack.khan@example.com</v>
      </c>
      <c r="I347" s="2" t="s">
        <v>3580</v>
      </c>
      <c r="J347" s="9" t="str">
        <f>IFERROR(__xludf.DUMMYFUNCTION("IF(REGEXMATCH(TRIM(I347),""^[A-Za-z0-9._%+-]+@[A-Za-z0-9.-]+\.[A-Za-z]{2,}$""),""✅ Valid"",""❌ Invalid"")"),"✅ Valid")</f>
        <v>✅ Valid</v>
      </c>
      <c r="K347" s="17" t="s">
        <v>8129</v>
      </c>
      <c r="L347" s="2" t="str">
        <f>IFERROR(__xludf.DUMMYFUNCTION("IF(K347=""N/A"", """",
 REGEXREPLACE(
  SUBSTITUTE(SUBSTITUTE(SUBSTITUTE(TO_TEXT(K347), CHAR(160),""""), UNICHAR(8239),""""), UNICHAR(8201),""""),""[+\-/(): )]"", """"))"),"4871386217")</f>
        <v>4871386217</v>
      </c>
      <c r="M347" s="2" t="str">
        <f>IFERROR(__xludf.DUMMYFUNCTION("IF(L347="""","""", REGEXEXTRACT(REGEXREPLACE(L347,""x"", """"), ""[0-9]+""))"),"4871386217")</f>
        <v>4871386217</v>
      </c>
      <c r="N347" s="2" t="str">
        <f>IF(LEFT(M347,2)="48", RIGHT(M347,LEN(M347)-2),M347)</f>
        <v>71386217</v>
      </c>
      <c r="O347" s="2" t="b">
        <f>IFERROR(__xludf.DUMMYFUNCTION("REGEXMATCH(TO_TEXT(N347), ""^(5[013679]|6[069]|7[2-9]|88)"")"),FALSE)</f>
        <v>0</v>
      </c>
      <c r="Q347" s="9" t="str">
        <f>IF(AND(O347=TRUE, P347=9), "✅ VALID", "❌ INVALID")</f>
        <v>❌ INVALID</v>
      </c>
      <c r="R347" s="10" t="s">
        <v>25</v>
      </c>
      <c r="S347" s="12">
        <v>45132.0</v>
      </c>
      <c r="T347" s="2" t="str">
        <f>IFERROR(__xludf.DUMMYFUNCTION("IF(ISNUMBER(S347),TEXT(S347,""yyyy-MM-dd""),REGEXREPLACE(REGEXREPLACE(TO_TEXT(S347),""[^0-9a-zA-Z]+"",""-""),""[^0-9]*$"",""""))"),"2023-07-25")</f>
        <v>2023-07-25</v>
      </c>
      <c r="U347" s="2" t="s">
        <v>2593</v>
      </c>
      <c r="Y347" s="10" t="s">
        <v>2593</v>
      </c>
    </row>
    <row r="348" ht="15.75" customHeight="1">
      <c r="A348" s="2" t="s">
        <v>2901</v>
      </c>
      <c r="B348" s="9" t="s">
        <v>7597</v>
      </c>
      <c r="C348" s="2" t="s">
        <v>1324</v>
      </c>
      <c r="D348" s="10" t="str">
        <f>IFERROR(__xludf.DUMMYFUNCTION("PROPER(REGEXREPLACE(TRIM(C348),""\s+"","" ""))"),"Adam Lopez")</f>
        <v>Adam Lopez</v>
      </c>
      <c r="E348" s="2">
        <f>IFERROR(__xludf.DUMMYFUNCTION("IF(LEN(D348:D701),
  COUNTA(SPLIT(D348:D701,"" "")),
 """")"),2.0)</f>
        <v>2</v>
      </c>
      <c r="F348" s="9" t="str">
        <f t="shared" si="160"/>
        <v>✅</v>
      </c>
      <c r="G348" s="2" t="str">
        <f>IFERROR(__xludf.DUMMYFUNCTION("REGEXEXTRACT(PROPER(SUBSTITUTE(TRIM(I348),""."","" "")),""^[^@]+"")"),"Adam Lopez")</f>
        <v>Adam Lopez</v>
      </c>
      <c r="H348" s="10" t="str">
        <f t="shared" si="161"/>
        <v>adam.lopez@company.co.uk</v>
      </c>
      <c r="I348" s="2" t="s">
        <v>1674</v>
      </c>
      <c r="J348" s="9" t="str">
        <f>IFERROR(__xludf.DUMMYFUNCTION("IF(REGEXMATCH(TRIM(I348),""^[A-Za-z0-9._%+-]+@[A-Za-z0-9.-]+\.[A-Za-z]{2,}$""),""✅ Valid"",""❌ Invalid"")"),"✅ Valid")</f>
        <v>✅ Valid</v>
      </c>
      <c r="K348" s="11">
        <v>4.41623815E8</v>
      </c>
      <c r="L348" s="2" t="str">
        <f>IFERROR(__xludf.DUMMYFUNCTION("IF(OR(K348=""N/A"", K348=""missing"", K348=""none""), """",
 REGEXREPLACE(
  SUBSTITUTE(SUBSTITUTE(SUBSTITUTE(TO_TEXT(K348), CHAR(160),""""), UNICHAR(8239),""""), UNICHAR(8201),""""),""[+\-/(): )]"", """"))"),"441623815")</f>
        <v>441623815</v>
      </c>
      <c r="M348" s="2" t="str">
        <f>IFERROR(__xludf.DUMMYFUNCTION("IF(L348="""","""", REGEXEXTRACT(REGEXREPLACE(L348,""x"", """"), ""[0-9]+""))"),"441623815")</f>
        <v>441623815</v>
      </c>
      <c r="N348" s="2" t="str">
        <f>IF(LEFT(M348,2)="44", RIGHT(M348,LEN(M348)-2),M348)</f>
        <v>1623815</v>
      </c>
      <c r="O348" s="2" t="b">
        <f>IFERROR(__xludf.DUMMYFUNCTION("REGEXMATCH(TO_TEXT(N348), ""^07[1-57-9]"")"),FALSE)</f>
        <v>0</v>
      </c>
      <c r="P348" s="2">
        <f>LEN(N348)</f>
        <v>7</v>
      </c>
      <c r="Q348" s="9" t="str">
        <f>IF(AND(O348=TRUE, P348=11), "✅ VALID", "❌ INVALID")</f>
        <v>❌ INVALID</v>
      </c>
      <c r="R348" s="10" t="s">
        <v>114</v>
      </c>
      <c r="S348" s="12">
        <v>45076.0</v>
      </c>
      <c r="T348" s="2" t="str">
        <f>IFERROR(__xludf.DUMMYFUNCTION("IF(ISNUMBER(S348),TEXT(S348,""yyyy-MM-dd""),REGEXREPLACE(REGEXREPLACE(TO_TEXT(S348),""[^0-9a-zA-Z]+"",""-""),""[^0-9]*$"",""""))"),"2023-05-30")</f>
        <v>2023-05-30</v>
      </c>
      <c r="U348" s="2" t="s">
        <v>8130</v>
      </c>
      <c r="Y348" s="10" t="s">
        <v>8130</v>
      </c>
    </row>
    <row r="349" ht="15.75" customHeight="1">
      <c r="A349" s="2" t="s">
        <v>3406</v>
      </c>
      <c r="B349" s="9" t="s">
        <v>7597</v>
      </c>
      <c r="C349" s="2" t="s">
        <v>497</v>
      </c>
      <c r="D349" s="10" t="str">
        <f>IFERROR(__xludf.DUMMYFUNCTION("PROPER(REGEXREPLACE(TRIM(C349),""\s+"","" ""))"),"Ethan Walker")</f>
        <v>Ethan Walker</v>
      </c>
      <c r="E349" s="2">
        <f>IFERROR(__xludf.DUMMYFUNCTION("IF(LEN(D349:D701),
  COUNTA(SPLIT(D349:D701,"" "")),
 """")"),2.0)</f>
        <v>2</v>
      </c>
      <c r="F349" s="9" t="str">
        <f t="shared" si="160"/>
        <v>✅</v>
      </c>
      <c r="G349" s="2" t="str">
        <f>IFERROR(__xludf.DUMMYFUNCTION("REGEXEXTRACT(PROPER(SUBSTITUTE(TRIM(I349),""."","" "")),""^[^@]+"")"),"Ethan Walker")</f>
        <v>Ethan Walker</v>
      </c>
      <c r="H349" s="10" t="str">
        <f t="shared" si="161"/>
        <v>ethan.walker@company.co.uk</v>
      </c>
      <c r="I349" s="2" t="s">
        <v>498</v>
      </c>
      <c r="J349" s="9" t="str">
        <f>IFERROR(__xludf.DUMMYFUNCTION("IF(REGEXMATCH(TRIM(I349),""^[A-Za-z0-9._%+-]+@[A-Za-z0-9.-]+\.[A-Za-z]{2,}$""),""✅ Valid"",""❌ Invalid"")"),"✅ Valid")</f>
        <v>✅ Valid</v>
      </c>
      <c r="K349" s="17" t="s">
        <v>8131</v>
      </c>
      <c r="L349" s="2" t="str">
        <f>IFERROR(__xludf.DUMMYFUNCTION("IF(K349=""N/A"", """",
 REGEXREPLACE(
  SUBSTITUTE(SUBSTITUTE(SUBSTITUTE(TO_TEXT(K349), CHAR(160),""""), UNICHAR(8239),""""), UNICHAR(8201),""""),""[+\-/(): )]"", """"))"),"48329373752")</f>
        <v>48329373752</v>
      </c>
      <c r="M349" s="2" t="str">
        <f>IFERROR(__xludf.DUMMYFUNCTION("IF(L349="""","""", REGEXEXTRACT(REGEXREPLACE(L349,""x"", """"), ""[0-9]+""))"),"48329373752")</f>
        <v>48329373752</v>
      </c>
      <c r="N349" s="2" t="str">
        <f>IF(LEFT(M349,2)="48", RIGHT(M349,LEN(M349)-2),M349)</f>
        <v>329373752</v>
      </c>
      <c r="O349" s="2" t="b">
        <f>IFERROR(__xludf.DUMMYFUNCTION("REGEXMATCH(TO_TEXT(N349), ""^(5[013679]|6[069]|7[2-9]|88)"")"),FALSE)</f>
        <v>0</v>
      </c>
      <c r="Q349" s="9" t="str">
        <f>IF(AND(O349=TRUE, P349=9), "✅ VALID", "❌ INVALID")</f>
        <v>❌ INVALID</v>
      </c>
      <c r="R349" s="10" t="s">
        <v>25</v>
      </c>
      <c r="S349" s="12">
        <v>45492.0</v>
      </c>
      <c r="T349" s="2" t="str">
        <f>IFERROR(__xludf.DUMMYFUNCTION("IF(ISNUMBER(S349),TEXT(S349,""yyyy-MM-dd""),REGEXREPLACE(REGEXREPLACE(TO_TEXT(S349),""[^0-9a-zA-Z]+"",""-""),""[^0-9]*$"",""""))"),"2024-07-19")</f>
        <v>2024-07-19</v>
      </c>
      <c r="U349" s="2" t="s">
        <v>1339</v>
      </c>
      <c r="Y349" s="10" t="s">
        <v>1339</v>
      </c>
    </row>
    <row r="350" ht="15.75" customHeight="1">
      <c r="A350" s="2" t="s">
        <v>1898</v>
      </c>
      <c r="B350" s="9" t="s">
        <v>7597</v>
      </c>
      <c r="C350" s="2" t="s">
        <v>7175</v>
      </c>
      <c r="D350" s="10" t="str">
        <f>IFERROR(__xludf.DUMMYFUNCTION("PROPER(REGEXREPLACE(TRIM(C350),""\s+"","" ""))"),"Fiona Johnson")</f>
        <v>Fiona Johnson</v>
      </c>
      <c r="E350" s="2">
        <f>IFERROR(__xludf.DUMMYFUNCTION("IF(LEN(D350:D701),
  COUNTA(SPLIT(D350:D701,"" "")),
 """")"),2.0)</f>
        <v>2</v>
      </c>
      <c r="F350" s="9" t="str">
        <f t="shared" si="160"/>
        <v>✅</v>
      </c>
      <c r="G350" s="2" t="str">
        <f>IFERROR(__xludf.DUMMYFUNCTION("REGEXEXTRACT(PROPER(SUBSTITUTE(TRIM(I350),""."","" "")),""^[^@]+"")"),"Fiona Johnson")</f>
        <v>Fiona Johnson</v>
      </c>
      <c r="H350" s="10" t="str">
        <f t="shared" si="161"/>
        <v>fiona.johnson@gmail.com</v>
      </c>
      <c r="I350" s="2" t="s">
        <v>7176</v>
      </c>
      <c r="J350" s="9" t="str">
        <f>IFERROR(__xludf.DUMMYFUNCTION("IF(REGEXMATCH(TRIM(I350),""^[A-Za-z0-9._%+-]+@[A-Za-z0-9.-]+\.[A-Za-z]{2,}$""),""✅ Valid"",""❌ Invalid"")"),"✅ Valid")</f>
        <v>✅ Valid</v>
      </c>
      <c r="K350" s="13" t="s">
        <v>8132</v>
      </c>
      <c r="L350" s="2" t="str">
        <f>IFERROR(__xludf.DUMMYFUNCTION("IF(OR(K350=""N/A"", K350=""missing"", K350=""none""), """",
 REGEXREPLACE(
  SUBSTITUTE(SUBSTITUTE(SUBSTITUTE(TO_TEXT(K350), CHAR(160),""""), UNICHAR(8239),""""), UNICHAR(8201),""""),""[+\-/(): )]"", """"))"),"4931420814459")</f>
        <v>4931420814459</v>
      </c>
      <c r="M350" s="2" t="str">
        <f>IFERROR(__xludf.DUMMYFUNCTION("IF(L350="""","""", REGEXEXTRACT(REGEXREPLACE(L350,""x"", """"), ""[0-9]+""))"),"4931420814459")</f>
        <v>4931420814459</v>
      </c>
      <c r="N350" s="2" t="str">
        <f>IF(LEFT(M350,2)="49", RIGHT(M350,LEN(M350)-2),M350)</f>
        <v>31420814459</v>
      </c>
      <c r="O350" s="2" t="b">
        <f>IFERROR(__xludf.DUMMYFUNCTION("REGEXMATCH(TO_TEXT(N350), ""^0(15|16|17)"")"),FALSE)</f>
        <v>0</v>
      </c>
      <c r="P350" s="2">
        <f t="shared" ref="P350:P355" si="162">LEN(N350)</f>
        <v>11</v>
      </c>
      <c r="Q350" s="9" t="str">
        <f>IF(AND(O350=TRUE,OR(P350=10, P350=11)), "✅ VALID", "❌ INVALID")</f>
        <v>❌ INVALID</v>
      </c>
      <c r="R350" s="10" t="s">
        <v>459</v>
      </c>
      <c r="S350" s="12">
        <v>44995.0</v>
      </c>
      <c r="T350" s="2" t="str">
        <f>IFERROR(__xludf.DUMMYFUNCTION("IF(ISNUMBER(S350),TEXT(S350,""yyyy-MM-dd""),REGEXREPLACE(REGEXREPLACE(TO_TEXT(S350),""[^0-9a-zA-Z]+"",""-""),""[^0-9]*$"",""""))"),"2023-03-10")</f>
        <v>2023-03-10</v>
      </c>
      <c r="U350" s="2" t="s">
        <v>6763</v>
      </c>
      <c r="Y350" s="10" t="s">
        <v>6763</v>
      </c>
    </row>
    <row r="351" ht="15.75" customHeight="1">
      <c r="A351" s="2" t="s">
        <v>7359</v>
      </c>
      <c r="B351" s="9" t="s">
        <v>7597</v>
      </c>
      <c r="C351" s="2" t="s">
        <v>3061</v>
      </c>
      <c r="D351" s="10" t="str">
        <f>IFERROR(__xludf.DUMMYFUNCTION("PROPER(REGEXREPLACE(TRIM(C351),""\s+"","" ""))"),"Gabe Kowalczyk")</f>
        <v>Gabe Kowalczyk</v>
      </c>
      <c r="E351" s="2">
        <f>IFERROR(__xludf.DUMMYFUNCTION("IF(LEN(D351:D701),
  COUNTA(SPLIT(D351:D701,"" "")),
 """")"),2.0)</f>
        <v>2</v>
      </c>
      <c r="F351" s="9" t="str">
        <f t="shared" si="160"/>
        <v>✅</v>
      </c>
      <c r="G351" s="2" t="str">
        <f>IFERROR(__xludf.DUMMYFUNCTION("REGEXEXTRACT(PROPER(SUBSTITUTE(TRIM(I351),""."","" "")),""^[^@]+"")"),"Gabe Kowalczyk")</f>
        <v>Gabe Kowalczyk</v>
      </c>
      <c r="H351" s="10" t="str">
        <f t="shared" si="161"/>
        <v>gabe.kowalczyk@outlook.com</v>
      </c>
      <c r="I351" s="2" t="s">
        <v>3062</v>
      </c>
      <c r="J351" s="9" t="str">
        <f>IFERROR(__xludf.DUMMYFUNCTION("IF(REGEXMATCH(TRIM(I351),""^[A-Za-z0-9._%+-]+@[A-Za-z0-9.-]+\.[A-Za-z]{2,}$""),""✅ Valid"",""❌ Invalid"")"),"✅ Valid")</f>
        <v>✅ Valid</v>
      </c>
      <c r="K351" s="13" t="s">
        <v>8133</v>
      </c>
      <c r="L351" s="2" t="str">
        <f>IFERROR(__xludf.DUMMYFUNCTION("IF(OR(K351=""N/A"", K351=""missing"", K351=""none""), """",
 REGEXREPLACE(
  SUBSTITUTE(SUBSTITUTE(SUBSTITUTE(TO_TEXT(K351), CHAR(160),""""), UNICHAR(8239),""""), UNICHAR(8201),""""),""[+\-/(): )]"", """"))"),"26590774")</f>
        <v>26590774</v>
      </c>
      <c r="M351" s="2" t="str">
        <f>IFERROR(__xludf.DUMMYFUNCTION("IF(L351="""","""", REGEXEXTRACT(REGEXREPLACE(L351,""x"", """"), ""[0-9]+""))"),"26590774")</f>
        <v>26590774</v>
      </c>
      <c r="N351" s="2" t="str">
        <f>IF(LEFT(M351,2)="34", RIGHT(M351,LEN(M351)-2),M351)</f>
        <v>26590774</v>
      </c>
      <c r="O351" s="2" t="b">
        <f>IFERROR(__xludf.DUMMYFUNCTION("REGEXMATCH(TO_TEXT(N351), ""^[67]"")"),FALSE)</f>
        <v>0</v>
      </c>
      <c r="P351" s="2">
        <f t="shared" si="162"/>
        <v>8</v>
      </c>
      <c r="Q351" s="9" t="str">
        <f>IF(AND(O351=TRUE, P351=9), "✅ VALID", "❌ INVALID")</f>
        <v>❌ INVALID</v>
      </c>
      <c r="R351" s="10" t="s">
        <v>139</v>
      </c>
      <c r="S351" s="12" t="s">
        <v>6918</v>
      </c>
      <c r="T351" s="2" t="str">
        <f>IFERROR(__xludf.DUMMYFUNCTION("IF(ISNUMBER(S351),TEXT(S351,""yyyy-MM-dd""),REGEXREPLACE(REGEXREPLACE(TO_TEXT(S351),""[^0-9a-zA-Z]+"",""-""),""[^0-9]*$"",""""))"),"06-26-2022")</f>
        <v>06-26-2022</v>
      </c>
      <c r="U351" s="2" t="str">
        <f>TEXT(T351,"yyyy-MM-dd")</f>
        <v>06-26-2022</v>
      </c>
      <c r="V351" s="2" t="s">
        <v>8134</v>
      </c>
      <c r="Y351" s="10" t="s">
        <v>8134</v>
      </c>
    </row>
    <row r="352" ht="15.75" customHeight="1">
      <c r="A352" s="2" t="s">
        <v>6357</v>
      </c>
      <c r="B352" s="9" t="s">
        <v>7597</v>
      </c>
      <c r="C352" s="2" t="s">
        <v>2173</v>
      </c>
      <c r="D352" s="10" t="s">
        <v>8135</v>
      </c>
      <c r="E352" s="2">
        <f>IFERROR(__xludf.DUMMYFUNCTION("IF(LEN(D352:D701),
  COUNTA(SPLIT(D352:D701,"" "")),
 """")"),2.0)</f>
        <v>2</v>
      </c>
      <c r="F352" s="9" t="str">
        <f t="shared" si="160"/>
        <v>✅</v>
      </c>
      <c r="G352" s="2" t="s">
        <v>8135</v>
      </c>
      <c r="H352" s="10" t="str">
        <f t="shared" si="161"/>
        <v>lia.king@company.co.uk</v>
      </c>
      <c r="I352" s="2" t="s">
        <v>2174</v>
      </c>
      <c r="J352" s="9" t="str">
        <f>IFERROR(__xludf.DUMMYFUNCTION("IF(REGEXMATCH(TRIM(I352),""^[A-Za-z0-9._%+-]+@[A-Za-z0-9.-]+\.[A-Za-z]{2,}$""),""✅ Valid"",""❌ Invalid"")"),"✅ Valid")</f>
        <v>✅ Valid</v>
      </c>
      <c r="K352" s="13" t="s">
        <v>8136</v>
      </c>
      <c r="L352" s="2" t="str">
        <f>IFERROR(__xludf.DUMMYFUNCTION("IF(OR(K352=""N/A"", K352=""missing"", K352=""none""), """",
 REGEXREPLACE(
  SUBSTITUTE(SUBSTITUTE(SUBSTITUTE(TO_TEXT(K352), CHAR(160),""""), UNICHAR(8239),""""), UNICHAR(8201),""""),""[+\-/(): )]"", """"))"),"44756355524")</f>
        <v>44756355524</v>
      </c>
      <c r="M352" s="2" t="str">
        <f>IFERROR(__xludf.DUMMYFUNCTION("IF(L352="""","""", REGEXEXTRACT(REGEXREPLACE(L352,""x"", """"), ""[0-9]+""))"),"44756355524")</f>
        <v>44756355524</v>
      </c>
      <c r="N352" s="2" t="str">
        <f>IF(LEFT(M352,2)="44", RIGHT(M352,LEN(M352)-2),M352)</f>
        <v>756355524</v>
      </c>
      <c r="O352" s="2" t="b">
        <f>IFERROR(__xludf.DUMMYFUNCTION("REGEXMATCH(TO_TEXT(N352), ""^07[1-57-9]"")"),FALSE)</f>
        <v>0</v>
      </c>
      <c r="P352" s="2">
        <f t="shared" si="162"/>
        <v>9</v>
      </c>
      <c r="Q352" s="9" t="str">
        <f>IF(AND(O352=TRUE, P352=11), "✅ VALID", "❌ INVALID")</f>
        <v>❌ INVALID</v>
      </c>
      <c r="R352" s="10" t="s">
        <v>114</v>
      </c>
      <c r="S352" s="12">
        <v>44969.0</v>
      </c>
      <c r="T352" s="2" t="str">
        <f>IFERROR(__xludf.DUMMYFUNCTION("IF(ISNUMBER(S352),TEXT(S352,""yyyy-MM-dd""),REGEXREPLACE(REGEXREPLACE(TO_TEXT(S352),""[^0-9a-zA-Z]+"",""-""),""[^0-9]*$"",""""))"),"2023-02-12")</f>
        <v>2023-02-12</v>
      </c>
      <c r="U352" s="2" t="s">
        <v>7177</v>
      </c>
      <c r="Y352" s="10" t="s">
        <v>7177</v>
      </c>
    </row>
    <row r="353" ht="15.75" customHeight="1">
      <c r="A353" s="2" t="s">
        <v>2535</v>
      </c>
      <c r="B353" s="9" t="s">
        <v>7597</v>
      </c>
      <c r="C353" s="2" t="s">
        <v>5086</v>
      </c>
      <c r="D353" s="10" t="s">
        <v>2017</v>
      </c>
      <c r="E353" s="2">
        <f>IFERROR(__xludf.DUMMYFUNCTION("IF(LEN(D353:D701),
  COUNTA(SPLIT(D353:D701,"" "")),
 """")"),2.0)</f>
        <v>2</v>
      </c>
      <c r="F353" s="9" t="str">
        <f t="shared" si="160"/>
        <v>✅</v>
      </c>
      <c r="G353" s="2" t="s">
        <v>2017</v>
      </c>
      <c r="H353" s="10" t="str">
        <f t="shared" si="161"/>
        <v>qi.davis@yahoo.com</v>
      </c>
      <c r="I353" s="2" t="s">
        <v>7186</v>
      </c>
      <c r="J353" s="9" t="str">
        <f>IFERROR(__xludf.DUMMYFUNCTION("IF(REGEXMATCH(TRIM(I353),""^[A-Za-z0-9._%+-]+@[A-Za-z0-9.-]+\.[A-Za-z]{2,}$""),""✅ Valid"",""❌ Invalid"")"),"✅ Valid")</f>
        <v>✅ Valid</v>
      </c>
      <c r="K353" s="13" t="s">
        <v>8137</v>
      </c>
      <c r="L353" s="2" t="str">
        <f>IFERROR(__xludf.DUMMYFUNCTION("IF(OR(K353=""N/A"", K353=""missing"", K353=""none""), """",
 REGEXREPLACE(
  SUBSTITUTE(SUBSTITUTE(SUBSTITUTE(TO_TEXT(K353), CHAR(160),""""), UNICHAR(8239),""""), UNICHAR(8201),""""),""[+\-/(): )]"", """"))"),"39494978837")</f>
        <v>39494978837</v>
      </c>
      <c r="M353" s="2" t="str">
        <f>IFERROR(__xludf.DUMMYFUNCTION("IF(L353="""","""", REGEXEXTRACT(REGEXREPLACE(L353,""x"", """"), ""[0-9]+""))"),"39494978837")</f>
        <v>39494978837</v>
      </c>
      <c r="N353" s="2" t="str">
        <f>IF(LEFT(M353,2)="39", RIGHT(M353,LEN(M353)-2),M353)</f>
        <v>494978837</v>
      </c>
      <c r="O353" s="2" t="b">
        <f>IFERROR(__xludf.DUMMYFUNCTION("REGEXMATCH(TO_TEXT(N353), ""^3"")"),FALSE)</f>
        <v>0</v>
      </c>
      <c r="P353" s="2">
        <f t="shared" si="162"/>
        <v>9</v>
      </c>
      <c r="Q353" s="9" t="str">
        <f>IF(AND(O353=TRUE,OR(P353=9, P353=10 )), "✅ VALID", "❌ INVALID")</f>
        <v>❌ INVALID</v>
      </c>
      <c r="R353" s="10" t="s">
        <v>785</v>
      </c>
      <c r="S353" s="12" t="s">
        <v>6809</v>
      </c>
      <c r="T353" s="2" t="str">
        <f>IFERROR(__xludf.DUMMYFUNCTION("IF(ISNUMBER(S353),TEXT(S353,""yyyy-MM-dd""),REGEXREPLACE(REGEXREPLACE(TO_TEXT(S353),""[^0-9a-zA-Z]+"",""-""),""[^0-9]*$"",""""))"),"07-20-2022")</f>
        <v>07-20-2022</v>
      </c>
      <c r="U353" s="2" t="str">
        <f>TEXT(T353,"yyyy-MM-dd")</f>
        <v>07-20-2022</v>
      </c>
      <c r="V353" s="2" t="s">
        <v>8138</v>
      </c>
      <c r="Y353" s="10" t="s">
        <v>8138</v>
      </c>
    </row>
    <row r="354" ht="15.75" customHeight="1">
      <c r="A354" s="2" t="s">
        <v>3986</v>
      </c>
      <c r="B354" s="9" t="s">
        <v>7597</v>
      </c>
      <c r="C354" s="2" t="s">
        <v>2827</v>
      </c>
      <c r="D354" s="10" t="str">
        <f>IFERROR(__xludf.DUMMYFUNCTION("PROPER(REGEXREPLACE(TRIM(C354),""\s+"","" ""))"),"Fiona Dubois")</f>
        <v>Fiona Dubois</v>
      </c>
      <c r="E354" s="2">
        <f>IFERROR(__xludf.DUMMYFUNCTION("IF(LEN(D354:D701),
  COUNTA(SPLIT(D354:D701,"" "")),
 """")"),2.0)</f>
        <v>2</v>
      </c>
      <c r="F354" s="9" t="str">
        <f t="shared" si="160"/>
        <v>✅</v>
      </c>
      <c r="G354" s="2" t="str">
        <f>IFERROR(__xludf.DUMMYFUNCTION("REGEXEXTRACT(PROPER(SUBSTITUTE(TRIM(I354),""."","" "")),""^[^@]+"")"),"Fiona Dubois")</f>
        <v>Fiona Dubois</v>
      </c>
      <c r="H354" s="10" t="str">
        <f t="shared" si="161"/>
        <v>fiona.dubois@yahoo.com</v>
      </c>
      <c r="I354" s="2" t="s">
        <v>1001</v>
      </c>
      <c r="J354" s="9" t="str">
        <f>IFERROR(__xludf.DUMMYFUNCTION("IF(REGEXMATCH(TRIM(I354),""^[A-Za-z0-9._%+-]+@[A-Za-z0-9.-]+\.[A-Za-z]{2,}$""),""✅ Valid"",""❌ Invalid"")"),"✅ Valid")</f>
        <v>✅ Valid</v>
      </c>
      <c r="K354" s="13" t="s">
        <v>8139</v>
      </c>
      <c r="L354" s="2" t="str">
        <f>IFERROR(__xludf.DUMMYFUNCTION("IF(OR(K354=""N/A"", K354=""missing"", K354=""none""), """",
 REGEXREPLACE(
  SUBSTITUTE(SUBSTITUTE(SUBSTITUTE(TO_TEXT(K354), CHAR(160),""""), UNICHAR(8239),""""), UNICHAR(8201),""""),""[+\-/(): )]"", """"))"),"17268176378")</f>
        <v>17268176378</v>
      </c>
      <c r="M354" s="2" t="str">
        <f>IFERROR(__xludf.DUMMYFUNCTION("IF(L354="""","""", REGEXEXTRACT(REGEXREPLACE(L354,""x"", """"), ""[0-9]+""))"),"17268176378")</f>
        <v>17268176378</v>
      </c>
      <c r="N354" s="2" t="str">
        <f>IF(LEFT(M354,1)="1", RIGHT(M354,LEN(M354)-1),M354)</f>
        <v>7268176378</v>
      </c>
      <c r="O354" s="2" t="b">
        <f>IFERROR(__xludf.DUMMYFUNCTION("REGEXMATCH(TO_TEXT(N354), ""^[2-9][0-9]{9}$"")"),TRUE)</f>
        <v>1</v>
      </c>
      <c r="P354" s="2">
        <f t="shared" si="162"/>
        <v>10</v>
      </c>
      <c r="Q354" s="9" t="str">
        <f>IF(AND(O354=TRUE, P354=10), "✅ VALID", "❌ INVALID")</f>
        <v>✅ VALID</v>
      </c>
      <c r="R354" s="10" t="s">
        <v>199</v>
      </c>
      <c r="S354" s="12">
        <v>45798.0</v>
      </c>
      <c r="T354" s="2" t="str">
        <f>IFERROR(__xludf.DUMMYFUNCTION("IF(ISNUMBER(S354),TEXT(S354,""yyyy-MM-dd""),REGEXREPLACE(REGEXREPLACE(TO_TEXT(S354),""[^0-9a-zA-Z]+"",""-""),""[^0-9]*$"",""""))"),"2025-05-21")</f>
        <v>2025-05-21</v>
      </c>
      <c r="U354" s="2" t="s">
        <v>7832</v>
      </c>
      <c r="Y354" s="10" t="s">
        <v>7832</v>
      </c>
    </row>
    <row r="355" ht="15.75" customHeight="1">
      <c r="A355" s="2" t="s">
        <v>734</v>
      </c>
      <c r="B355" s="9" t="s">
        <v>7597</v>
      </c>
      <c r="C355" s="2" t="s">
        <v>2101</v>
      </c>
      <c r="D355" s="10" t="str">
        <f>IFERROR(__xludf.DUMMYFUNCTION("PROPER(REGEXREPLACE(TRIM(C355),""\s+"","" ""))"),"Adam Martinez")</f>
        <v>Adam Martinez</v>
      </c>
      <c r="E355" s="2">
        <f>IFERROR(__xludf.DUMMYFUNCTION("IF(LEN(D355:D701),
  COUNTA(SPLIT(D355:D701,"" "")),
 """")"),2.0)</f>
        <v>2</v>
      </c>
      <c r="F355" s="9" t="str">
        <f t="shared" si="160"/>
        <v>✅</v>
      </c>
      <c r="G355" s="2" t="str">
        <f>IFERROR(__xludf.DUMMYFUNCTION("REGEXEXTRACT(PROPER(SUBSTITUTE(TRIM(I355),""."","" "")),""^[^@]+"")"),"Adam Martinez")</f>
        <v>Adam Martinez</v>
      </c>
      <c r="H355" s="10" t="str">
        <f t="shared" si="161"/>
        <v>adam.martinez@outlook.com</v>
      </c>
      <c r="I355" s="2" t="s">
        <v>2102</v>
      </c>
      <c r="J355" s="9" t="str">
        <f>IFERROR(__xludf.DUMMYFUNCTION("IF(REGEXMATCH(TRIM(I355),""^[A-Za-z0-9._%+-]+@[A-Za-z0-9.-]+\.[A-Za-z]{2,}$""),""✅ Valid"",""❌ Invalid"")"),"✅ Valid")</f>
        <v>✅ Valid</v>
      </c>
      <c r="K355" s="13" t="s">
        <v>8140</v>
      </c>
      <c r="L355" s="2" t="str">
        <f>IFERROR(__xludf.DUMMYFUNCTION("IF(OR(K355=""N/A"", K355=""missing"", K355=""none""), """",
 REGEXREPLACE(
  SUBSTITUTE(SUBSTITUTE(SUBSTITUTE(TO_TEXT(K355), CHAR(160),""""), UNICHAR(8239),""""), UNICHAR(8201),""""),""[+\-/(): )]"", """"))"),"444644356171ext55")</f>
        <v>444644356171ext55</v>
      </c>
      <c r="M355" s="2" t="str">
        <f>IFERROR(__xludf.DUMMYFUNCTION("IF(L355="""","""", REGEXEXTRACT(REGEXREPLACE(L355,""x"", """"), ""[0-9]+""))"),"444644356171")</f>
        <v>444644356171</v>
      </c>
      <c r="N355" s="2" t="str">
        <f>IF(LEFT(M355,2)="44", RIGHT(M355,LEN(M355)-2),M355)</f>
        <v>4644356171</v>
      </c>
      <c r="O355" s="2" t="b">
        <f>IFERROR(__xludf.DUMMYFUNCTION("REGEXMATCH(TO_TEXT(N355), ""^07[1-57-9]"")"),FALSE)</f>
        <v>0</v>
      </c>
      <c r="P355" s="2">
        <f t="shared" si="162"/>
        <v>10</v>
      </c>
      <c r="Q355" s="9" t="str">
        <f>IF(AND(O355=TRUE, P355=11), "✅ VALID", "❌ INVALID")</f>
        <v>❌ INVALID</v>
      </c>
      <c r="R355" s="10" t="s">
        <v>114</v>
      </c>
      <c r="S355" s="12">
        <v>45139.94861111111</v>
      </c>
      <c r="T355" s="2" t="str">
        <f>IFERROR(__xludf.DUMMYFUNCTION("IF(ISNUMBER(S355),TEXT(S355,""yyyy-MM-dd""),REGEXREPLACE(REGEXREPLACE(TO_TEXT(S355),""[^0-9a-zA-Z]+"",""-""),""[^0-9]*$"",""""))"),"2023-08-01")</f>
        <v>2023-08-01</v>
      </c>
      <c r="U355" s="2" t="s">
        <v>8141</v>
      </c>
      <c r="Y355" s="10" t="s">
        <v>8141</v>
      </c>
    </row>
    <row r="356" ht="15.75" hidden="1" customHeight="1">
      <c r="A356" s="2" t="s">
        <v>4798</v>
      </c>
      <c r="B356" s="9" t="s">
        <v>7597</v>
      </c>
      <c r="C356" s="2" t="s">
        <v>1788</v>
      </c>
      <c r="D356" s="2" t="str">
        <f>IFERROR(__xludf.DUMMYFUNCTION("PROPER(REGEXREPLACE(TRIM(C356),""\s+"","" ""))"),"Qi Lee")</f>
        <v>Qi Lee</v>
      </c>
      <c r="E356" s="2">
        <f>IFERROR(__xludf.DUMMYFUNCTION("IF(LEN(D356:D701),
  COUNTA(SPLIT(D356:D701,"" "")),
 """")"),2.0)</f>
        <v>2</v>
      </c>
      <c r="K356" s="2" t="s">
        <v>1002</v>
      </c>
      <c r="R356" s="10" t="s">
        <v>459</v>
      </c>
      <c r="S356" s="2" t="s">
        <v>6987</v>
      </c>
    </row>
    <row r="357" ht="15.75" customHeight="1">
      <c r="A357" s="2" t="s">
        <v>6972</v>
      </c>
      <c r="B357" s="9" t="s">
        <v>7597</v>
      </c>
      <c r="C357" s="2" t="s">
        <v>298</v>
      </c>
      <c r="D357" s="10" t="str">
        <f>IFERROR(__xludf.DUMMYFUNCTION("PROPER(REGEXREPLACE(TRIM(C357),""\s+"","" ""))"),"Bella Davis")</f>
        <v>Bella Davis</v>
      </c>
      <c r="E357" s="2">
        <f>IFERROR(__xludf.DUMMYFUNCTION("IF(LEN(D357:D701),
  COUNTA(SPLIT(D357:D701,"" "")),
 """")"),2.0)</f>
        <v>2</v>
      </c>
      <c r="F357" s="9" t="str">
        <f t="shared" ref="F357:F360" si="163">IF(D357=G357,"✅","❌")</f>
        <v>✅</v>
      </c>
      <c r="G357" s="2" t="str">
        <f>IFERROR(__xludf.DUMMYFUNCTION("REGEXEXTRACT(PROPER(SUBSTITUTE(TRIM(I357),""."","" "")),""^[^@]+"")"),"Bella Davis")</f>
        <v>Bella Davis</v>
      </c>
      <c r="H357" s="10" t="str">
        <f t="shared" ref="H357:H360" si="164">LOWER(TRIM(I357))</f>
        <v>bella.davis@yahoo.com</v>
      </c>
      <c r="I357" s="2" t="s">
        <v>299</v>
      </c>
      <c r="J357" s="9" t="str">
        <f>IFERROR(__xludf.DUMMYFUNCTION("IF(REGEXMATCH(TRIM(I357),""^[A-Za-z0-9._%+-]+@[A-Za-z0-9.-]+\.[A-Za-z]{2,}$""),""✅ Valid"",""❌ Invalid"")"),"✅ Valid")</f>
        <v>✅ Valid</v>
      </c>
      <c r="K357" s="11">
        <v>4.97624976124E11</v>
      </c>
      <c r="L357" s="2" t="str">
        <f>IFERROR(__xludf.DUMMYFUNCTION("IF(OR(K357=""N/A"", K357=""missing"", K357=""none""), """",
 REGEXREPLACE(
  SUBSTITUTE(SUBSTITUTE(SUBSTITUTE(TO_TEXT(K357), CHAR(160),""""), UNICHAR(8239),""""), UNICHAR(8201),""""),""[+\-/(): )]"", """"))"),"497624976124")</f>
        <v>497624976124</v>
      </c>
      <c r="M357" s="2" t="str">
        <f>IFERROR(__xludf.DUMMYFUNCTION("IF(L357="""","""", REGEXEXTRACT(REGEXREPLACE(L357,""x"", """"), ""[0-9]+""))"),"497624976124")</f>
        <v>497624976124</v>
      </c>
      <c r="N357" s="2" t="str">
        <f>IF(LEFT(M357,2)="49", RIGHT(M357,LEN(M357)-2),M357)</f>
        <v>7624976124</v>
      </c>
      <c r="O357" s="2" t="b">
        <f>IFERROR(__xludf.DUMMYFUNCTION("REGEXMATCH(TO_TEXT(N357), ""^0(15|16|17)"")"),FALSE)</f>
        <v>0</v>
      </c>
      <c r="P357" s="2">
        <f t="shared" ref="P357:P360" si="165">LEN(N357)</f>
        <v>10</v>
      </c>
      <c r="Q357" s="9" t="str">
        <f>IF(AND(O357=TRUE,OR(P357=10, P357=11)), "✅ VALID", "❌ INVALID")</f>
        <v>❌ INVALID</v>
      </c>
      <c r="R357" s="10" t="s">
        <v>459</v>
      </c>
      <c r="S357" s="12">
        <v>45553.611805555556</v>
      </c>
      <c r="T357" s="2" t="str">
        <f>IFERROR(__xludf.DUMMYFUNCTION("IF(ISNUMBER(S357),TEXT(S357,""yyyy-MM-dd""),REGEXREPLACE(REGEXREPLACE(TO_TEXT(S357),""[^0-9a-zA-Z]+"",""-""),""[^0-9]*$"",""""))"),"2024-09-18")</f>
        <v>2024-09-18</v>
      </c>
      <c r="U357" s="2" t="s">
        <v>7101</v>
      </c>
      <c r="Y357" s="10" t="s">
        <v>7101</v>
      </c>
    </row>
    <row r="358" ht="15.75" customHeight="1">
      <c r="A358" s="2" t="s">
        <v>908</v>
      </c>
      <c r="B358" s="9" t="s">
        <v>7597</v>
      </c>
      <c r="C358" s="2" t="s">
        <v>2902</v>
      </c>
      <c r="D358" s="10" t="str">
        <f>IFERROR(__xludf.DUMMYFUNCTION("PROPER(REGEXREPLACE(TRIM(C358),""\s+"","" ""))"),"Uma Kowalczyk")</f>
        <v>Uma Kowalczyk</v>
      </c>
      <c r="E358" s="2">
        <f>IFERROR(__xludf.DUMMYFUNCTION("IF(LEN(D358:D701),
  COUNTA(SPLIT(D358:D701,"" "")),
 """")"),2.0)</f>
        <v>2</v>
      </c>
      <c r="F358" s="9" t="str">
        <f t="shared" si="163"/>
        <v>✅</v>
      </c>
      <c r="G358" s="2" t="str">
        <f>IFERROR(__xludf.DUMMYFUNCTION("REGEXEXTRACT(PROPER(SUBSTITUTE(TRIM(I358),""."","" "")),""^[^@]+"")"),"Uma Kowalczyk")</f>
        <v>Uma Kowalczyk</v>
      </c>
      <c r="H358" s="10" t="str">
        <f t="shared" si="164"/>
        <v>uma.kowalczyk@example.com</v>
      </c>
      <c r="I358" s="2" t="s">
        <v>2903</v>
      </c>
      <c r="J358" s="9" t="str">
        <f>IFERROR(__xludf.DUMMYFUNCTION("IF(REGEXMATCH(TRIM(I358),""^[A-Za-z0-9._%+-]+@[A-Za-z0-9.-]+\.[A-Za-z]{2,}$""),""✅ Valid"",""❌ Invalid"")"),"✅ Valid")</f>
        <v>✅ Valid</v>
      </c>
      <c r="K358" s="13" t="s">
        <v>8142</v>
      </c>
      <c r="L358" s="2" t="str">
        <f>IFERROR(__xludf.DUMMYFUNCTION("IF(OR(K358=""N/A"", K358=""missing"", K358=""none""), """",
 REGEXREPLACE(
  SUBSTITUTE(SUBSTITUTE(SUBSTITUTE(TO_TEXT(K358), CHAR(160),""""), UNICHAR(8239),""""), UNICHAR(8201),""""),""[+\-/(): )]"", """"))"),"33935012211ext619")</f>
        <v>33935012211ext619</v>
      </c>
      <c r="M358" s="2" t="str">
        <f>IFERROR(__xludf.DUMMYFUNCTION("IF(L358="""","""", REGEXEXTRACT(REGEXREPLACE(L358,""x"", """"), ""[0-9]+""))"),"33935012211")</f>
        <v>33935012211</v>
      </c>
      <c r="N358" s="2" t="str">
        <f>IF(LEFT(M358,2)="33", RIGHT(M358,LEN(M358)-2),M358)</f>
        <v>935012211</v>
      </c>
      <c r="O358" s="2" t="b">
        <f>IFERROR(__xludf.DUMMYFUNCTION("REGEXMATCH(TO_TEXT(N358), ""^0[67]"")"),FALSE)</f>
        <v>0</v>
      </c>
      <c r="P358" s="2">
        <f t="shared" si="165"/>
        <v>9</v>
      </c>
      <c r="Q358" s="9" t="str">
        <f t="shared" ref="Q358:Q359" si="166">IF(AND(O358=TRUE, P358=9), "✅ VALID", "❌ INVALID")</f>
        <v>❌ INVALID</v>
      </c>
      <c r="R358" s="10" t="s">
        <v>58</v>
      </c>
      <c r="S358" s="12">
        <v>45470.629166666666</v>
      </c>
      <c r="T358" s="2" t="str">
        <f>IFERROR(__xludf.DUMMYFUNCTION("IF(ISNUMBER(S358),TEXT(S358,""yyyy-MM-dd""),REGEXREPLACE(REGEXREPLACE(TO_TEXT(S358),""[^0-9a-zA-Z]+"",""-""),""[^0-9]*$"",""""))"),"2024-06-27")</f>
        <v>2024-06-27</v>
      </c>
      <c r="U358" s="2" t="s">
        <v>8143</v>
      </c>
      <c r="Y358" s="10" t="s">
        <v>8143</v>
      </c>
    </row>
    <row r="359" ht="15.75" customHeight="1">
      <c r="A359" s="2" t="s">
        <v>6467</v>
      </c>
      <c r="B359" s="9" t="s">
        <v>7597</v>
      </c>
      <c r="C359" s="2" t="s">
        <v>3407</v>
      </c>
      <c r="D359" s="10" t="str">
        <f>IFERROR(__xludf.DUMMYFUNCTION("PROPER(REGEXREPLACE(TRIM(C359),""\s+"","" ""))"),"Zack Garcia")</f>
        <v>Zack Garcia</v>
      </c>
      <c r="E359" s="2">
        <f>IFERROR(__xludf.DUMMYFUNCTION("IF(LEN(D359:D701),
  COUNTA(SPLIT(D359:D701,"" "")),
 """")"),2.0)</f>
        <v>2</v>
      </c>
      <c r="F359" s="9" t="str">
        <f t="shared" si="163"/>
        <v>✅</v>
      </c>
      <c r="G359" s="2" t="str">
        <f>IFERROR(__xludf.DUMMYFUNCTION("REGEXEXTRACT(PROPER(SUBSTITUTE(TRIM(I359),""."","" "")),""^[^@]+"")"),"Zack Garcia")</f>
        <v>Zack Garcia</v>
      </c>
      <c r="H359" s="10" t="str">
        <f t="shared" si="164"/>
        <v>zack.garcia@gmail.com</v>
      </c>
      <c r="I359" s="2" t="s">
        <v>3408</v>
      </c>
      <c r="J359" s="9" t="str">
        <f>IFERROR(__xludf.DUMMYFUNCTION("IF(REGEXMATCH(TRIM(I359),""^[A-Za-z0-9._%+-]+@[A-Za-z0-9.-]+\.[A-Za-z]{2,}$""),""✅ Valid"",""❌ Invalid"")"),"✅ Valid")</f>
        <v>✅ Valid</v>
      </c>
      <c r="K359" s="13" t="s">
        <v>8144</v>
      </c>
      <c r="L359" s="2" t="str">
        <f>IFERROR(__xludf.DUMMYFUNCTION("IF(OR(K359=""N/A"", K359=""missing"", K359=""none""), """",
 REGEXREPLACE(
  SUBSTITUTE(SUBSTITUTE(SUBSTITUTE(TO_TEXT(K359), CHAR(160),""""), UNICHAR(8239),""""), UNICHAR(8201),""""),""[+\-/(): )]"", """"))"),"tel3400639599")</f>
        <v>tel3400639599</v>
      </c>
      <c r="M359" s="2" t="str">
        <f>IFERROR(__xludf.DUMMYFUNCTION("IF(L359="""","""", REGEXEXTRACT(REGEXREPLACE(L359,""x"", """"), ""[0-9]+""))"),"3400639599")</f>
        <v>3400639599</v>
      </c>
      <c r="N359" s="2" t="str">
        <f>IF(LEFT(M359,2)="34", RIGHT(M359,LEN(M359)-2),M359)</f>
        <v>00639599</v>
      </c>
      <c r="O359" s="2" t="b">
        <f>IFERROR(__xludf.DUMMYFUNCTION("REGEXMATCH(TO_TEXT(N359), ""^[67]"")"),FALSE)</f>
        <v>0</v>
      </c>
      <c r="P359" s="2">
        <f t="shared" si="165"/>
        <v>8</v>
      </c>
      <c r="Q359" s="9" t="str">
        <f t="shared" si="166"/>
        <v>❌ INVALID</v>
      </c>
      <c r="R359" s="10" t="s">
        <v>139</v>
      </c>
      <c r="S359" s="12">
        <v>45057.0</v>
      </c>
      <c r="T359" s="2" t="str">
        <f>IFERROR(__xludf.DUMMYFUNCTION("IF(ISNUMBER(S359),TEXT(S359,""yyyy-MM-dd""),REGEXREPLACE(REGEXREPLACE(TO_TEXT(S359),""[^0-9a-zA-Z]+"",""-""),""[^0-9]*$"",""""))"),"2023-05-11")</f>
        <v>2023-05-11</v>
      </c>
      <c r="U359" s="2" t="s">
        <v>8123</v>
      </c>
      <c r="Y359" s="10" t="s">
        <v>8123</v>
      </c>
    </row>
    <row r="360" ht="15.75" customHeight="1">
      <c r="A360" s="2" t="s">
        <v>1610</v>
      </c>
      <c r="B360" s="9" t="s">
        <v>7597</v>
      </c>
      <c r="C360" s="2" t="s">
        <v>887</v>
      </c>
      <c r="D360" s="10" t="str">
        <f>IFERROR(__xludf.DUMMYFUNCTION("PROPER(REGEXREPLACE(TRIM(C360),""\s+"","" ""))"),"Ken Young")</f>
        <v>Ken Young</v>
      </c>
      <c r="E360" s="2">
        <f>IFERROR(__xludf.DUMMYFUNCTION("IF(LEN(D360:D701),
  COUNTA(SPLIT(D360:D701,"" "")),
 """")"),2.0)</f>
        <v>2</v>
      </c>
      <c r="F360" s="9" t="str">
        <f t="shared" si="163"/>
        <v>✅</v>
      </c>
      <c r="G360" s="2" t="str">
        <f>IFERROR(__xludf.DUMMYFUNCTION("REGEXEXTRACT(PROPER(SUBSTITUTE(TRIM(I360),""."","" "")),""^[^@]+"")"),"Ken Young")</f>
        <v>Ken Young</v>
      </c>
      <c r="H360" s="10" t="str">
        <f t="shared" si="164"/>
        <v>ken.young@outlook.com</v>
      </c>
      <c r="I360" s="2" t="s">
        <v>1899</v>
      </c>
      <c r="J360" s="9" t="str">
        <f>IFERROR(__xludf.DUMMYFUNCTION("IF(REGEXMATCH(TRIM(I360),""^[A-Za-z0-9._%+-]+@[A-Za-z0-9.-]+\.[A-Za-z]{2,}$""),""✅ Valid"",""❌ Invalid"")"),"✅ Valid")</f>
        <v>✅ Valid</v>
      </c>
      <c r="K360" s="13" t="s">
        <v>7926</v>
      </c>
      <c r="L360" s="2" t="str">
        <f>IFERROR(__xludf.DUMMYFUNCTION("IF(OR(K360=""N/A"", K360=""missing"", K360=""none""), """",
 REGEXREPLACE(
  SUBSTITUTE(SUBSTITUTE(SUBSTITUTE(TO_TEXT(K360), CHAR(160),""""), UNICHAR(8239),""""), UNICHAR(8201),""""),""[+\-/(): )]"", """"))"),"")</f>
        <v/>
      </c>
      <c r="M360" s="2" t="str">
        <f>IFERROR(__xludf.DUMMYFUNCTION("IF(L360="""","""", REGEXEXTRACT(REGEXREPLACE(L360,""x"", """"), ""[0-9]+""))"),"")</f>
        <v/>
      </c>
      <c r="N360" s="2" t="str">
        <f>IF(LEFT(M360,3)="353", RIGHT(M360,LEN(M360)-3),M360)</f>
        <v/>
      </c>
      <c r="O360" s="2" t="b">
        <f>IFERROR(__xludf.DUMMYFUNCTION("REGEXMATCH(TO_TEXT(N360), ""^0(83|85|86|87|89)"")"),FALSE)</f>
        <v>0</v>
      </c>
      <c r="P360" s="2">
        <f t="shared" si="165"/>
        <v>0</v>
      </c>
      <c r="Q360" s="9" t="str">
        <f>IF(AND(O360=TRUE, P357=10), "✅ VALID", "❌ INVALID")</f>
        <v>❌ INVALID</v>
      </c>
      <c r="R360" s="10" t="s">
        <v>1177</v>
      </c>
      <c r="S360" s="12">
        <v>45630.0</v>
      </c>
      <c r="T360" s="2" t="str">
        <f>IFERROR(__xludf.DUMMYFUNCTION("IF(ISNUMBER(S360),TEXT(S360,""yyyy-MM-dd""),REGEXREPLACE(REGEXREPLACE(TO_TEXT(S360),""[^0-9a-zA-Z]+"",""-""),""[^0-9]*$"",""""))"),"2024-12-04")</f>
        <v>2024-12-04</v>
      </c>
      <c r="U360" s="2" t="s">
        <v>6486</v>
      </c>
      <c r="Y360" s="10" t="s">
        <v>6486</v>
      </c>
    </row>
    <row r="361" ht="15.75" hidden="1" customHeight="1">
      <c r="A361" s="2" t="s">
        <v>7032</v>
      </c>
      <c r="B361" s="9" t="s">
        <v>7597</v>
      </c>
      <c r="C361" s="2" t="s">
        <v>7360</v>
      </c>
      <c r="D361" s="2" t="str">
        <f>IFERROR(__xludf.DUMMYFUNCTION("PROPER(REGEXREPLACE(TRIM(C361),""\s+"","" ""))"),"Qi Nowak")</f>
        <v>Qi Nowak</v>
      </c>
      <c r="E361" s="2">
        <f>IFERROR(__xludf.DUMMYFUNCTION("IF(LEN(D361:D701),
  COUNTA(SPLIT(D361:D701,"" "")),
 """")"),2.0)</f>
        <v>2</v>
      </c>
      <c r="K361" s="2" t="s">
        <v>3409</v>
      </c>
      <c r="R361" s="10" t="s">
        <v>459</v>
      </c>
      <c r="S361" s="2" t="s">
        <v>6884</v>
      </c>
    </row>
    <row r="362" ht="15.75" customHeight="1">
      <c r="A362" s="2" t="s">
        <v>915</v>
      </c>
      <c r="B362" s="9" t="s">
        <v>7597</v>
      </c>
      <c r="C362" s="2" t="s">
        <v>6358</v>
      </c>
      <c r="D362" s="10" t="s">
        <v>7320</v>
      </c>
      <c r="E362" s="2">
        <f>IFERROR(__xludf.DUMMYFUNCTION("IF(LEN(D362:D701),
  COUNTA(SPLIT(D362:D701,"" "")),
 """")"),2.0)</f>
        <v>2</v>
      </c>
      <c r="F362" s="9" t="str">
        <f t="shared" ref="F362:F399" si="167">IF(D362=G362,"✅","❌")</f>
        <v>✅</v>
      </c>
      <c r="G362" s="2" t="s">
        <v>7320</v>
      </c>
      <c r="H362" s="10" t="str">
        <f t="shared" ref="H362:H399" si="168">LOWER(TRIM(I362))</f>
        <v>marek.kowalczyk@yahoo.com</v>
      </c>
      <c r="I362" s="2" t="s">
        <v>6359</v>
      </c>
      <c r="J362" s="9" t="str">
        <f>IFERROR(__xludf.DUMMYFUNCTION("IF(REGEXMATCH(TRIM(I362),""^[A-Za-z0-9._%+-]+@[A-Za-z0-9.-]+\.[A-Za-z]{2,}$""),""✅ Valid"",""❌ Invalid"")"),"✅ Valid")</f>
        <v>✅ Valid</v>
      </c>
      <c r="K362" s="13" t="s">
        <v>8145</v>
      </c>
      <c r="L362" s="2" t="str">
        <f>IFERROR(__xludf.DUMMYFUNCTION("IF(OR(K362=""N/A"", K362=""missing"", K362=""none""), """",
 REGEXREPLACE(
  SUBSTITUTE(SUBSTITUTE(SUBSTITUTE(TO_TEXT(K362), CHAR(160),""""), UNICHAR(8239),""""), UNICHAR(8201),""""),""[+\-/(): )]"", """"))"),"490746018876")</f>
        <v>490746018876</v>
      </c>
      <c r="M362" s="2" t="str">
        <f>IFERROR(__xludf.DUMMYFUNCTION("IF(L362="""","""", REGEXEXTRACT(REGEXREPLACE(L362,""x"", """"), ""[0-9]+""))"),"490746018876")</f>
        <v>490746018876</v>
      </c>
      <c r="N362" s="2" t="str">
        <f>IF(LEFT(M362,2)="49", RIGHT(M362,LEN(M362)-2),M362)</f>
        <v>0746018876</v>
      </c>
      <c r="O362" s="2" t="b">
        <f>IFERROR(__xludf.DUMMYFUNCTION("REGEXMATCH(TO_TEXT(N362), ""^0(15|16|17)"")"),FALSE)</f>
        <v>0</v>
      </c>
      <c r="P362" s="2">
        <f t="shared" ref="P362:P366" si="169">LEN(N362)</f>
        <v>10</v>
      </c>
      <c r="Q362" s="9" t="str">
        <f>IF(AND(O362=TRUE,OR(P362=10, P362=11)), "✅ VALID", "❌ INVALID")</f>
        <v>❌ INVALID</v>
      </c>
      <c r="R362" s="10" t="s">
        <v>459</v>
      </c>
      <c r="S362" s="12" t="s">
        <v>7416</v>
      </c>
      <c r="T362" s="2" t="str">
        <f>IFERROR(__xludf.DUMMYFUNCTION("IF(ISNUMBER(S362),TEXT(S362,""yyyy-MM-dd""),REGEXREPLACE(REGEXREPLACE(TO_TEXT(S362),""[^0-9a-zA-Z]+"",""-""),""[^0-9]*$"",""""))"),"21-01-2024")</f>
        <v>21-01-2024</v>
      </c>
      <c r="U362" s="2" t="s">
        <v>8146</v>
      </c>
      <c r="Y362" s="10" t="s">
        <v>8146</v>
      </c>
    </row>
    <row r="363" ht="15.75" customHeight="1">
      <c r="A363" s="2" t="s">
        <v>6037</v>
      </c>
      <c r="B363" s="9" t="s">
        <v>7597</v>
      </c>
      <c r="C363" s="2" t="s">
        <v>2536</v>
      </c>
      <c r="D363" s="10" t="str">
        <f>IFERROR(__xludf.DUMMYFUNCTION("PROPER(REGEXREPLACE(TRIM(C363),""\s+"","" ""))"),"Uma Lopez")</f>
        <v>Uma Lopez</v>
      </c>
      <c r="E363" s="2">
        <f>IFERROR(__xludf.DUMMYFUNCTION("IF(LEN(D363:D701),
  COUNTA(SPLIT(D363:D701,"" "")),
 """")"),2.0)</f>
        <v>2</v>
      </c>
      <c r="F363" s="9" t="str">
        <f t="shared" si="167"/>
        <v>✅</v>
      </c>
      <c r="G363" s="2" t="str">
        <f>IFERROR(__xludf.DUMMYFUNCTION("REGEXEXTRACT(PROPER(SUBSTITUTE(TRIM(I363),""."","" "")),""^[^@]+"")"),"Uma Lopez")</f>
        <v>Uma Lopez</v>
      </c>
      <c r="H363" s="10" t="str">
        <f t="shared" si="168"/>
        <v>uma.lopez@company.co.uk</v>
      </c>
      <c r="I363" s="2" t="s">
        <v>2537</v>
      </c>
      <c r="J363" s="9" t="str">
        <f>IFERROR(__xludf.DUMMYFUNCTION("IF(REGEXMATCH(TRIM(I363),""^[A-Za-z0-9._%+-]+@[A-Za-z0-9.-]+\.[A-Za-z]{2,}$""),""✅ Valid"",""❌ Invalid"")"),"✅ Valid")</f>
        <v>✅ Valid</v>
      </c>
      <c r="K363" s="13" t="s">
        <v>8147</v>
      </c>
      <c r="L363" s="2" t="str">
        <f>IFERROR(__xludf.DUMMYFUNCTION("IF(OR(K363=""N/A"", K363=""missing"", K363=""none""), """",
 REGEXREPLACE(
  SUBSTITUTE(SUBSTITUTE(SUBSTITUTE(TO_TEXT(K363), CHAR(160),""""), UNICHAR(8239),""""), UNICHAR(8201),""""),""[+\-/(): )]"", """"))"),"3924485406")</f>
        <v>3924485406</v>
      </c>
      <c r="M363" s="2" t="str">
        <f>IFERROR(__xludf.DUMMYFUNCTION("IF(L363="""","""", REGEXEXTRACT(REGEXREPLACE(L363,""x"", """"), ""[0-9]+""))"),"3924485406")</f>
        <v>3924485406</v>
      </c>
      <c r="N363" s="2" t="str">
        <f>IF(LEFT(M363,2)="39", RIGHT(M363,LEN(M363)-2),M363)</f>
        <v>24485406</v>
      </c>
      <c r="O363" s="2" t="b">
        <f>IFERROR(__xludf.DUMMYFUNCTION("REGEXMATCH(TO_TEXT(N363), ""^3"")"),FALSE)</f>
        <v>0</v>
      </c>
      <c r="P363" s="2">
        <f t="shared" si="169"/>
        <v>8</v>
      </c>
      <c r="Q363" s="9" t="str">
        <f>IF(AND(O363=TRUE,OR(P363=9, P363=10 )), "✅ VALID", "❌ INVALID")</f>
        <v>❌ INVALID</v>
      </c>
      <c r="R363" s="10" t="s">
        <v>785</v>
      </c>
      <c r="S363" s="12">
        <v>45170.0</v>
      </c>
      <c r="T363" s="2" t="str">
        <f>IFERROR(__xludf.DUMMYFUNCTION("IF(ISNUMBER(S363),TEXT(S363,""yyyy-MM-dd""),REGEXREPLACE(REGEXREPLACE(TO_TEXT(S363),""[^0-9a-zA-Z]+"",""-""),""[^0-9]*$"",""""))"),"2023-09-01")</f>
        <v>2023-09-01</v>
      </c>
      <c r="U363" s="2" t="s">
        <v>8148</v>
      </c>
      <c r="Y363" s="10" t="s">
        <v>8148</v>
      </c>
    </row>
    <row r="364" ht="15.75" customHeight="1">
      <c r="A364" s="2" t="s">
        <v>2684</v>
      </c>
      <c r="B364" s="9" t="s">
        <v>7597</v>
      </c>
      <c r="C364" s="2" t="s">
        <v>3987</v>
      </c>
      <c r="D364" s="10" t="str">
        <f>IFERROR(__xludf.DUMMYFUNCTION("PROPER(REGEXREPLACE(TRIM(C364),""\s+"","" ""))"),"Marek Johnson")</f>
        <v>Marek Johnson</v>
      </c>
      <c r="E364" s="2">
        <f>IFERROR(__xludf.DUMMYFUNCTION("IF(LEN(D364:D701),
  COUNTA(SPLIT(D364:D701,"" "")),
 """")"),2.0)</f>
        <v>2</v>
      </c>
      <c r="F364" s="9" t="str">
        <f t="shared" si="167"/>
        <v>✅</v>
      </c>
      <c r="G364" s="2" t="str">
        <f>IFERROR(__xludf.DUMMYFUNCTION("REGEXEXTRACT(PROPER(SUBSTITUTE(TRIM(I364),""."","" "")),""^[^@]+"")"),"Marek Johnson")</f>
        <v>Marek Johnson</v>
      </c>
      <c r="H364" s="10" t="str">
        <f t="shared" si="168"/>
        <v>marek.johnson@yahoo.com</v>
      </c>
      <c r="I364" s="2" t="s">
        <v>3988</v>
      </c>
      <c r="J364" s="9" t="str">
        <f>IFERROR(__xludf.DUMMYFUNCTION("IF(REGEXMATCH(TRIM(I364),""^[A-Za-z0-9._%+-]+@[A-Za-z0-9.-]+\.[A-Za-z]{2,}$""),""✅ Valid"",""❌ Invalid"")"),"✅ Valid")</f>
        <v>✅ Valid</v>
      </c>
      <c r="K364" s="13" t="s">
        <v>8149</v>
      </c>
      <c r="L364" s="2" t="str">
        <f>IFERROR(__xludf.DUMMYFUNCTION("IF(OR(K364=""N/A"", K364=""missing"", K364=""none""), """",
 REGEXREPLACE(
  SUBSTITUTE(SUBSTITUTE(SUBSTITUTE(TO_TEXT(K364), CHAR(160),""""), UNICHAR(8239),""""), UNICHAR(8201),""""),""[+\-/(): )]"", """"))"),"446600614449")</f>
        <v>446600614449</v>
      </c>
      <c r="M364" s="2" t="str">
        <f>IFERROR(__xludf.DUMMYFUNCTION("IF(L364="""","""", REGEXEXTRACT(REGEXREPLACE(L364,""x"", """"), ""[0-9]+""))"),"446600614449")</f>
        <v>446600614449</v>
      </c>
      <c r="N364" s="2" t="str">
        <f>IF(LEFT(M364,2)="44", RIGHT(M364,LEN(M364)-2),M364)</f>
        <v>6600614449</v>
      </c>
      <c r="O364" s="2" t="b">
        <f>IFERROR(__xludf.DUMMYFUNCTION("REGEXMATCH(TO_TEXT(N364), ""^07[1-57-9]"")"),FALSE)</f>
        <v>0</v>
      </c>
      <c r="P364" s="2">
        <f t="shared" si="169"/>
        <v>10</v>
      </c>
      <c r="Q364" s="9" t="str">
        <f>IF(AND(O364=TRUE, P364=11), "✅ VALID", "❌ INVALID")</f>
        <v>❌ INVALID</v>
      </c>
      <c r="R364" s="10" t="s">
        <v>114</v>
      </c>
      <c r="S364" s="12">
        <v>44898.05763888889</v>
      </c>
      <c r="T364" s="2" t="str">
        <f>IFERROR(__xludf.DUMMYFUNCTION("IF(ISNUMBER(S364),TEXT(S364,""yyyy-MM-dd""),REGEXREPLACE(REGEXREPLACE(TO_TEXT(S364),""[^0-9a-zA-Z]+"",""-""),""[^0-9]*$"",""""))"),"2022-12-03")</f>
        <v>2022-12-03</v>
      </c>
      <c r="U364" s="2" t="s">
        <v>8150</v>
      </c>
      <c r="Y364" s="10" t="s">
        <v>8150</v>
      </c>
    </row>
    <row r="365" ht="15.75" customHeight="1">
      <c r="A365" s="2" t="s">
        <v>3625</v>
      </c>
      <c r="B365" s="9" t="s">
        <v>7597</v>
      </c>
      <c r="C365" s="2" t="s">
        <v>735</v>
      </c>
      <c r="D365" s="10" t="str">
        <f>IFERROR(__xludf.DUMMYFUNCTION("PROPER(REGEXREPLACE(TRIM(C365),""\s+"","" ""))"),"Gabe Nowak")</f>
        <v>Gabe Nowak</v>
      </c>
      <c r="E365" s="2">
        <f>IFERROR(__xludf.DUMMYFUNCTION("IF(LEN(D365:D701),
  COUNTA(SPLIT(D365:D701,"" "")),
 """")"),2.0)</f>
        <v>2</v>
      </c>
      <c r="F365" s="9" t="str">
        <f t="shared" si="167"/>
        <v>✅</v>
      </c>
      <c r="G365" s="2" t="str">
        <f>IFERROR(__xludf.DUMMYFUNCTION("REGEXEXTRACT(PROPER(SUBSTITUTE(TRIM(I365),""."","" "")),""^[^@]+"")"),"Gabe Nowak")</f>
        <v>Gabe Nowak</v>
      </c>
      <c r="H365" s="10" t="str">
        <f t="shared" si="168"/>
        <v>gabe.nowak@company.co.uk</v>
      </c>
      <c r="I365" s="2" t="s">
        <v>736</v>
      </c>
      <c r="J365" s="9" t="str">
        <f>IFERROR(__xludf.DUMMYFUNCTION("IF(REGEXMATCH(TRIM(I365),""^[A-Za-z0-9._%+-]+@[A-Za-z0-9.-]+\.[A-Za-z]{2,}$""),""✅ Valid"",""❌ Invalid"")"),"✅ Valid")</f>
        <v>✅ Valid</v>
      </c>
      <c r="K365" s="13" t="s">
        <v>8151</v>
      </c>
      <c r="L365" s="2" t="str">
        <f>IFERROR(__xludf.DUMMYFUNCTION("IF(OR(K365=""N/A"", K365=""missing"", K365=""none""), """",
 REGEXREPLACE(
  SUBSTITUTE(SUBSTITUTE(SUBSTITUTE(TO_TEXT(K365), CHAR(160),""""), UNICHAR(8239),""""), UNICHAR(8201),""""),""[+\-/(): )]"", """"))"),"297352497")</f>
        <v>297352497</v>
      </c>
      <c r="M365" s="2" t="str">
        <f>IFERROR(__xludf.DUMMYFUNCTION("IF(L365="""","""", REGEXEXTRACT(REGEXREPLACE(L365,""x"", """"), ""[0-9]+""))"),"297352497")</f>
        <v>297352497</v>
      </c>
      <c r="N365" s="2" t="str">
        <f>IF(LEFT(M365,3)="353", RIGHT(M365,LEN(M365)-3),M365)</f>
        <v>297352497</v>
      </c>
      <c r="O365" s="2" t="b">
        <f>IFERROR(__xludf.DUMMYFUNCTION("REGEXMATCH(TO_TEXT(N365), ""^0(83|85|86|87|89)"")"),FALSE)</f>
        <v>0</v>
      </c>
      <c r="P365" s="2">
        <f t="shared" si="169"/>
        <v>9</v>
      </c>
      <c r="Q365" s="9" t="str">
        <f>IF(AND(O365=TRUE, P362=10), "✅ VALID", "❌ INVALID")</f>
        <v>❌ INVALID</v>
      </c>
      <c r="R365" s="10" t="s">
        <v>1177</v>
      </c>
      <c r="S365" s="12">
        <v>45407.12430555555</v>
      </c>
      <c r="T365" s="2" t="str">
        <f>IFERROR(__xludf.DUMMYFUNCTION("IF(ISNUMBER(S365),TEXT(S365,""yyyy-MM-dd""),REGEXREPLACE(REGEXREPLACE(TO_TEXT(S365),""[^0-9a-zA-Z]+"",""-""),""[^0-9]*$"",""""))"),"2024-04-25")</f>
        <v>2024-04-25</v>
      </c>
      <c r="U365" s="2" t="s">
        <v>8152</v>
      </c>
      <c r="Y365" s="10" t="s">
        <v>8152</v>
      </c>
    </row>
    <row r="366" ht="15.75" customHeight="1">
      <c r="A366" s="2" t="s">
        <v>2929</v>
      </c>
      <c r="B366" s="9" t="s">
        <v>7597</v>
      </c>
      <c r="C366" s="2" t="s">
        <v>4799</v>
      </c>
      <c r="D366" s="10" t="str">
        <f>IFERROR(__xludf.DUMMYFUNCTION("PROPER(REGEXREPLACE(TRIM(C366),""\s+"","" ""))"),"Lia Lopez")</f>
        <v>Lia Lopez</v>
      </c>
      <c r="E366" s="2">
        <f>IFERROR(__xludf.DUMMYFUNCTION("IF(LEN(D366:D701),
  COUNTA(SPLIT(D366:D701,"" "")),
 """")"),2.0)</f>
        <v>2</v>
      </c>
      <c r="F366" s="9" t="str">
        <f t="shared" si="167"/>
        <v>✅</v>
      </c>
      <c r="G366" s="2" t="str">
        <f>IFERROR(__xludf.DUMMYFUNCTION("REGEXEXTRACT(PROPER(SUBSTITUTE(TRIM(I366),""."","" "")),""^[^@]+"")"),"Lia Lopez")</f>
        <v>Lia Lopez</v>
      </c>
      <c r="H366" s="10" t="str">
        <f t="shared" si="168"/>
        <v>lia.lopez@outlook.com</v>
      </c>
      <c r="I366" s="2" t="s">
        <v>4800</v>
      </c>
      <c r="J366" s="9" t="str">
        <f>IFERROR(__xludf.DUMMYFUNCTION("IF(REGEXMATCH(TRIM(I366),""^[A-Za-z0-9._%+-]+@[A-Za-z0-9.-]+\.[A-Za-z]{2,}$""),""✅ Valid"",""❌ Invalid"")"),"✅ Valid")</f>
        <v>✅ Valid</v>
      </c>
      <c r="K366" s="13" t="s">
        <v>8153</v>
      </c>
      <c r="L366" s="2" t="str">
        <f>IFERROR(__xludf.DUMMYFUNCTION("IF(OR(K366=""N/A"", K366=""missing"", K366=""none""), """",
 REGEXREPLACE(
  SUBSTITUTE(SUBSTITUTE(SUBSTITUTE(TO_TEXT(K366), CHAR(160),""""), UNICHAR(8239),""""), UNICHAR(8201),""""),""[+\-/(): )]"", """"))"),"3207609461")</f>
        <v>3207609461</v>
      </c>
      <c r="M366" s="2" t="str">
        <f>IFERROR(__xludf.DUMMYFUNCTION("IF(L366="""","""", REGEXEXTRACT(REGEXREPLACE(L366,""x"", """"), ""[0-9]+""))"),"3207609461")</f>
        <v>3207609461</v>
      </c>
      <c r="N366" s="2" t="str">
        <f>IF(LEFT(M366,2)="34", RIGHT(M366,LEN(M366)-2),M366)</f>
        <v>3207609461</v>
      </c>
      <c r="O366" s="2" t="b">
        <f>IFERROR(__xludf.DUMMYFUNCTION("REGEXMATCH(TO_TEXT(N366), ""^[67]"")"),FALSE)</f>
        <v>0</v>
      </c>
      <c r="P366" s="2">
        <f t="shared" si="169"/>
        <v>10</v>
      </c>
      <c r="Q366" s="9" t="str">
        <f t="shared" ref="Q366:Q367" si="170">IF(AND(O366=TRUE, P366=9), "✅ VALID", "❌ INVALID")</f>
        <v>❌ INVALID</v>
      </c>
      <c r="R366" s="10" t="s">
        <v>139</v>
      </c>
      <c r="S366" s="12" t="s">
        <v>6664</v>
      </c>
      <c r="T366" s="2" t="str">
        <f>IFERROR(__xludf.DUMMYFUNCTION("IF(ISNUMBER(S366),TEXT(S366,""yyyy-MM-dd""),REGEXREPLACE(REGEXREPLACE(TO_TEXT(S366),""[^0-9a-zA-Z]+"",""-""),""[^0-9]*$"",""""))"),"04-28-2024-18-54")</f>
        <v>04-28-2024-18-54</v>
      </c>
      <c r="U366" s="2" t="str">
        <f>TEXT(T366,"yyyy-MM-dd")</f>
        <v>04-28-2024-18-54</v>
      </c>
      <c r="V366" s="2" t="str">
        <f>IFERROR(__xludf.DUMMYFUNCTION("REGEXEXTRACT(U366,""^\d{2}-\d{2}-\d{4}"")"),"04-28-2024")</f>
        <v>04-28-2024</v>
      </c>
      <c r="W366" s="2" t="str">
        <f>TEXT(V366,"yyyy-MM-dd")</f>
        <v>04-28-2024</v>
      </c>
      <c r="X366" s="2" t="s">
        <v>8154</v>
      </c>
      <c r="Y366" s="10" t="s">
        <v>8154</v>
      </c>
    </row>
    <row r="367" ht="15.75" customHeight="1">
      <c r="A367" s="2" t="s">
        <v>3994</v>
      </c>
      <c r="B367" s="9" t="s">
        <v>7597</v>
      </c>
      <c r="C367" s="2" t="s">
        <v>6973</v>
      </c>
      <c r="D367" s="10" t="str">
        <f>IFERROR(__xludf.DUMMYFUNCTION("PROPER(REGEXREPLACE(TRIM(C367),""\s+"","" ""))"),"Marek Rodriguez")</f>
        <v>Marek Rodriguez</v>
      </c>
      <c r="E367" s="2">
        <f>IFERROR(__xludf.DUMMYFUNCTION("IF(LEN(D367:D701),
  COUNTA(SPLIT(D367:D701,"" "")),
 """")"),2.0)</f>
        <v>2</v>
      </c>
      <c r="F367" s="9" t="str">
        <f t="shared" si="167"/>
        <v>✅</v>
      </c>
      <c r="G367" s="2" t="str">
        <f>IFERROR(__xludf.DUMMYFUNCTION("REGEXEXTRACT(PROPER(SUBSTITUTE(TRIM(I367),""."","" "")),""^[^@]+"")"),"Marek Rodriguez")</f>
        <v>Marek Rodriguez</v>
      </c>
      <c r="H367" s="10" t="str">
        <f t="shared" si="168"/>
        <v>marek.rodriguez@shop.io</v>
      </c>
      <c r="I367" s="2" t="s">
        <v>6974</v>
      </c>
      <c r="J367" s="9" t="str">
        <f>IFERROR(__xludf.DUMMYFUNCTION("IF(REGEXMATCH(TRIM(I367),""^[A-Za-z0-9._%+-]+@[A-Za-z0-9.-]+\.[A-Za-z]{2,}$""),""✅ Valid"",""❌ Invalid"")"),"✅ Valid")</f>
        <v>✅ Valid</v>
      </c>
      <c r="K367" s="15" t="s">
        <v>8155</v>
      </c>
      <c r="L367" s="2" t="str">
        <f>IFERROR(__xludf.DUMMYFUNCTION("IF(K367=""N/A"", """",
 REGEXREPLACE(
  SUBSTITUTE(SUBSTITUTE(SUBSTITUTE(TO_TEXT(K367), CHAR(160),""""), UNICHAR(8239),""""), UNICHAR(8201),""""),""[+\-/(): )]"", """"))"),"484824470726")</f>
        <v>484824470726</v>
      </c>
      <c r="M367" s="2" t="str">
        <f>IFERROR(__xludf.DUMMYFUNCTION("IF(L367="""","""", REGEXEXTRACT(REGEXREPLACE(L367,""x"", """"), ""[0-9]+""))"),"484824470726")</f>
        <v>484824470726</v>
      </c>
      <c r="N367" s="2" t="str">
        <f>IF(LEFT(M367,2)="48", RIGHT(M367,LEN(M367)-2),M367)</f>
        <v>4824470726</v>
      </c>
      <c r="O367" s="2" t="b">
        <f>IFERROR(__xludf.DUMMYFUNCTION("REGEXMATCH(TO_TEXT(N367), ""^(5[013679]|6[069]|7[2-9]|88)"")"),FALSE)</f>
        <v>0</v>
      </c>
      <c r="Q367" s="9" t="str">
        <f t="shared" si="170"/>
        <v>❌ INVALID</v>
      </c>
      <c r="R367" s="10" t="s">
        <v>25</v>
      </c>
      <c r="S367" s="12">
        <v>45120.0</v>
      </c>
      <c r="T367" s="2" t="str">
        <f>IFERROR(__xludf.DUMMYFUNCTION("IF(ISNUMBER(S367),TEXT(S367,""yyyy-MM-dd""),REGEXREPLACE(REGEXREPLACE(TO_TEXT(S367),""[^0-9a-zA-Z]+"",""-""),""[^0-9]*$"",""""))"),"2023-07-13")</f>
        <v>2023-07-13</v>
      </c>
      <c r="U367" s="2" t="s">
        <v>8156</v>
      </c>
      <c r="Y367" s="10" t="s">
        <v>8156</v>
      </c>
    </row>
    <row r="368" ht="15.75" customHeight="1">
      <c r="A368" s="2" t="s">
        <v>5671</v>
      </c>
      <c r="B368" s="9" t="s">
        <v>7597</v>
      </c>
      <c r="C368" s="2" t="s">
        <v>909</v>
      </c>
      <c r="D368" s="10" t="str">
        <f>IFERROR(__xludf.DUMMYFUNCTION("PROPER(REGEXREPLACE(TRIM(C368),""\s+"","" ""))"),"Vlad Taylor")</f>
        <v>Vlad Taylor</v>
      </c>
      <c r="E368" s="2">
        <f>IFERROR(__xludf.DUMMYFUNCTION("IF(LEN(D368:D701),
  COUNTA(SPLIT(D368:D701,"" "")),
 """")"),2.0)</f>
        <v>2</v>
      </c>
      <c r="F368" s="9" t="str">
        <f t="shared" si="167"/>
        <v>✅</v>
      </c>
      <c r="G368" s="2" t="str">
        <f>IFERROR(__xludf.DUMMYFUNCTION("REGEXEXTRACT(PROPER(SUBSTITUTE(TRIM(I368),""."","" "")),""^[^@]+"")"),"Vlad Taylor")</f>
        <v>Vlad Taylor</v>
      </c>
      <c r="H368" s="10" t="str">
        <f t="shared" si="168"/>
        <v>vlad.taylor@example.com</v>
      </c>
      <c r="I368" s="2" t="s">
        <v>910</v>
      </c>
      <c r="J368" s="9" t="str">
        <f>IFERROR(__xludf.DUMMYFUNCTION("IF(REGEXMATCH(TRIM(I368),""^[A-Za-z0-9._%+-]+@[A-Za-z0-9.-]+\.[A-Za-z]{2,}$""),""✅ Valid"",""❌ Invalid"")"),"✅ Valid")</f>
        <v>✅ Valid</v>
      </c>
      <c r="K368" s="13" t="s">
        <v>8157</v>
      </c>
      <c r="L368" s="2" t="str">
        <f>IFERROR(__xludf.DUMMYFUNCTION("IF(OR(K368=""N/A"", K368=""missing"", K368=""none""), """",
 REGEXREPLACE(
  SUBSTITUTE(SUBSTITUTE(SUBSTITUTE(TO_TEXT(K368), CHAR(160),""""), UNICHAR(8239),""""), UNICHAR(8201),""""),""[+\-/(): )]"", """"))"),"065055784")</f>
        <v>065055784</v>
      </c>
      <c r="M368" s="2" t="str">
        <f>IFERROR(__xludf.DUMMYFUNCTION("IF(L368="""","""", REGEXEXTRACT(REGEXREPLACE(L368,""x"", """"), ""[0-9]+""))"),"065055784")</f>
        <v>065055784</v>
      </c>
      <c r="N368" s="2" t="str">
        <f t="shared" ref="N368:N370" si="171">IF(LEFT(M368,3)="353", RIGHT(M368,LEN(M368)-3),M368)</f>
        <v>065055784</v>
      </c>
      <c r="O368" s="2" t="b">
        <f>IFERROR(__xludf.DUMMYFUNCTION("REGEXMATCH(TO_TEXT(N368), ""^0(83|85|86|87|89)"")"),FALSE)</f>
        <v>0</v>
      </c>
      <c r="P368" s="2">
        <f t="shared" ref="P368:P376" si="172">LEN(N368)</f>
        <v>9</v>
      </c>
      <c r="Q368" s="9" t="str">
        <f t="shared" ref="Q368:Q370" si="173">IF(AND(O368=TRUE, P365=10), "✅ VALID", "❌ INVALID")</f>
        <v>❌ INVALID</v>
      </c>
      <c r="R368" s="10" t="s">
        <v>1177</v>
      </c>
      <c r="S368" s="12">
        <v>44848.0</v>
      </c>
      <c r="T368" s="2" t="str">
        <f>IFERROR(__xludf.DUMMYFUNCTION("IF(ISNUMBER(S368),TEXT(S368,""yyyy-MM-dd""),REGEXREPLACE(REGEXREPLACE(TO_TEXT(S368),""[^0-9a-zA-Z]+"",""-""),""[^0-9]*$"",""""))"),"2022-10-14")</f>
        <v>2022-10-14</v>
      </c>
      <c r="U368" s="2" t="s">
        <v>8158</v>
      </c>
      <c r="Y368" s="10" t="s">
        <v>8158</v>
      </c>
    </row>
    <row r="369" ht="15.75" customHeight="1">
      <c r="A369" s="2" t="s">
        <v>37</v>
      </c>
      <c r="B369" s="9" t="s">
        <v>7597</v>
      </c>
      <c r="C369" s="2" t="s">
        <v>6468</v>
      </c>
      <c r="D369" s="10" t="str">
        <f>IFERROR(__xludf.DUMMYFUNCTION("PROPER(REGEXREPLACE(TRIM(C369),""\s+"","" ""))"),"Igor Taylor")</f>
        <v>Igor Taylor</v>
      </c>
      <c r="E369" s="2">
        <f>IFERROR(__xludf.DUMMYFUNCTION("IF(LEN(D369:D701),
  COUNTA(SPLIT(D369:D701,"" "")),
 """")"),2.0)</f>
        <v>2</v>
      </c>
      <c r="F369" s="9" t="str">
        <f t="shared" si="167"/>
        <v>✅</v>
      </c>
      <c r="G369" s="2" t="str">
        <f>IFERROR(__xludf.DUMMYFUNCTION("REGEXEXTRACT(PROPER(SUBSTITUTE(TRIM(I369),""."","" "")),""^[^@]+"")"),"Igor Taylor")</f>
        <v>Igor Taylor</v>
      </c>
      <c r="H369" s="10" t="str">
        <f t="shared" si="168"/>
        <v>igor.taylor@example.com</v>
      </c>
      <c r="I369" s="2" t="s">
        <v>6469</v>
      </c>
      <c r="J369" s="9" t="str">
        <f>IFERROR(__xludf.DUMMYFUNCTION("IF(REGEXMATCH(TRIM(I369),""^[A-Za-z0-9._%+-]+@[A-Za-z0-9.-]+\.[A-Za-z]{2,}$""),""✅ Valid"",""❌ Invalid"")"),"✅ Valid")</f>
        <v>✅ Valid</v>
      </c>
      <c r="K369" s="13" t="s">
        <v>8159</v>
      </c>
      <c r="L369" s="2" t="str">
        <f>IFERROR(__xludf.DUMMYFUNCTION("IF(OR(K369=""N/A"", K369=""missing"", K369=""none""), """",
 REGEXREPLACE(
  SUBSTITUTE(SUBSTITUTE(SUBSTITUTE(TO_TEXT(K369), CHAR(160),""""), UNICHAR(8239),""""), UNICHAR(8201),""""),""[+\-/(): )]"", """"))"),"353206382548")</f>
        <v>353206382548</v>
      </c>
      <c r="M369" s="2" t="str">
        <f>IFERROR(__xludf.DUMMYFUNCTION("IF(L369="""","""", REGEXEXTRACT(REGEXREPLACE(L369,""x"", """"), ""[0-9]+""))"),"353206382548")</f>
        <v>353206382548</v>
      </c>
      <c r="N369" s="2" t="str">
        <f t="shared" si="171"/>
        <v>206382548</v>
      </c>
      <c r="O369" s="2" t="b">
        <f>IFERROR(__xludf.DUMMYFUNCTION("REGEXMATCH(TO_TEXT(N369), ""^0(83|85|86|87|89)"")"),FALSE)</f>
        <v>0</v>
      </c>
      <c r="P369" s="2">
        <f t="shared" si="172"/>
        <v>9</v>
      </c>
      <c r="Q369" s="9" t="str">
        <f t="shared" si="173"/>
        <v>❌ INVALID</v>
      </c>
      <c r="R369" s="10" t="s">
        <v>1177</v>
      </c>
      <c r="S369" s="12">
        <v>45278.0</v>
      </c>
      <c r="T369" s="2" t="str">
        <f>IFERROR(__xludf.DUMMYFUNCTION("IF(ISNUMBER(S369),TEXT(S369,""yyyy-MM-dd""),REGEXREPLACE(REGEXREPLACE(TO_TEXT(S369),""[^0-9a-zA-Z]+"",""-""),""[^0-9]*$"",""""))"),"2023-12-18")</f>
        <v>2023-12-18</v>
      </c>
      <c r="U369" s="2" t="s">
        <v>8160</v>
      </c>
      <c r="Y369" s="10" t="s">
        <v>8160</v>
      </c>
    </row>
    <row r="370" ht="15.75" customHeight="1">
      <c r="A370" s="2" t="s">
        <v>4675</v>
      </c>
      <c r="B370" s="9" t="s">
        <v>7597</v>
      </c>
      <c r="C370" s="2" t="s">
        <v>1611</v>
      </c>
      <c r="D370" s="10" t="str">
        <f>IFERROR(__xludf.DUMMYFUNCTION("PROPER(REGEXREPLACE(TRIM(C370),""\s+"","" ""))"),"Hanna Kowalczyk")</f>
        <v>Hanna Kowalczyk</v>
      </c>
      <c r="E370" s="2">
        <f>IFERROR(__xludf.DUMMYFUNCTION("IF(LEN(D370:D701),
  COUNTA(SPLIT(D370:D701,"" "")),
 """")"),2.0)</f>
        <v>2</v>
      </c>
      <c r="F370" s="9" t="str">
        <f t="shared" si="167"/>
        <v>✅</v>
      </c>
      <c r="G370" s="2" t="str">
        <f>IFERROR(__xludf.DUMMYFUNCTION("REGEXEXTRACT(PROPER(SUBSTITUTE(TRIM(I370),""."","" "")),""^[^@]+"")"),"Hanna Kowalczyk")</f>
        <v>Hanna Kowalczyk</v>
      </c>
      <c r="H370" s="10" t="str">
        <f t="shared" si="168"/>
        <v>hanna.kowalczyk@example.com</v>
      </c>
      <c r="I370" s="2" t="s">
        <v>1612</v>
      </c>
      <c r="J370" s="9" t="str">
        <f>IFERROR(__xludf.DUMMYFUNCTION("IF(REGEXMATCH(TRIM(I370),""^[A-Za-z0-9._%+-]+@[A-Za-z0-9.-]+\.[A-Za-z]{2,}$""),""✅ Valid"",""❌ Invalid"")"),"✅ Valid")</f>
        <v>✅ Valid</v>
      </c>
      <c r="K370" s="13" t="s">
        <v>8161</v>
      </c>
      <c r="L370" s="2" t="str">
        <f>IFERROR(__xludf.DUMMYFUNCTION("IF(OR(K370=""N/A"", K370=""missing"", K370=""none""), """",
 REGEXREPLACE(
  SUBSTITUTE(SUBSTITUTE(SUBSTITUTE(TO_TEXT(K370), CHAR(160),""""), UNICHAR(8239),""""), UNICHAR(8201),""""),""[+\-/(): )]"", """"))"),"3532050948772")</f>
        <v>3532050948772</v>
      </c>
      <c r="M370" s="2" t="str">
        <f>IFERROR(__xludf.DUMMYFUNCTION("IF(L370="""","""", REGEXEXTRACT(REGEXREPLACE(L370,""x"", """"), ""[0-9]+""))"),"3532050948772")</f>
        <v>3532050948772</v>
      </c>
      <c r="N370" s="2" t="str">
        <f t="shared" si="171"/>
        <v>2050948772</v>
      </c>
      <c r="O370" s="2" t="b">
        <f>IFERROR(__xludf.DUMMYFUNCTION("REGEXMATCH(TO_TEXT(N370), ""^0(83|85|86|87|89)"")"),FALSE)</f>
        <v>0</v>
      </c>
      <c r="P370" s="2">
        <f t="shared" si="172"/>
        <v>10</v>
      </c>
      <c r="Q370" s="9" t="str">
        <f t="shared" si="173"/>
        <v>❌ INVALID</v>
      </c>
      <c r="R370" s="10" t="s">
        <v>1177</v>
      </c>
      <c r="S370" s="12">
        <v>45460.35555555556</v>
      </c>
      <c r="T370" s="2" t="str">
        <f>IFERROR(__xludf.DUMMYFUNCTION("IF(ISNUMBER(S370),TEXT(S370,""yyyy-MM-dd""),REGEXREPLACE(REGEXREPLACE(TO_TEXT(S370),""[^0-9a-zA-Z]+"",""-""),""[^0-9]*$"",""""))"),"2024-06-17")</f>
        <v>2024-06-17</v>
      </c>
      <c r="U370" s="2" t="s">
        <v>8162</v>
      </c>
      <c r="Y370" s="10" t="s">
        <v>8162</v>
      </c>
    </row>
    <row r="371" ht="15.75" customHeight="1">
      <c r="A371" s="2" t="s">
        <v>7097</v>
      </c>
      <c r="B371" s="9" t="s">
        <v>7597</v>
      </c>
      <c r="C371" s="2" t="s">
        <v>7033</v>
      </c>
      <c r="D371" s="10" t="str">
        <f>IFERROR(__xludf.DUMMYFUNCTION("PROPER(REGEXREPLACE(TRIM(C371),""\s+"","" ""))"),"Igor King")</f>
        <v>Igor King</v>
      </c>
      <c r="E371" s="2">
        <f>IFERROR(__xludf.DUMMYFUNCTION("IF(LEN(D371:D701),
  COUNTA(SPLIT(D371:D701,"" "")),
 """")"),2.0)</f>
        <v>2</v>
      </c>
      <c r="F371" s="9" t="str">
        <f t="shared" si="167"/>
        <v>✅</v>
      </c>
      <c r="G371" s="2" t="str">
        <f>IFERROR(__xludf.DUMMYFUNCTION("REGEXEXTRACT(PROPER(SUBSTITUTE(TRIM(I371),""."","" "")),""^[^@]+"")"),"Igor King")</f>
        <v>Igor King</v>
      </c>
      <c r="H371" s="10" t="str">
        <f t="shared" si="168"/>
        <v>igor.king@gmail.com</v>
      </c>
      <c r="I371" s="2" t="s">
        <v>7034</v>
      </c>
      <c r="J371" s="9" t="str">
        <f>IFERROR(__xludf.DUMMYFUNCTION("IF(REGEXMATCH(TRIM(I371),""^[A-Za-z0-9._%+-]+@[A-Za-z0-9.-]+\.[A-Za-z]{2,}$""),""✅ Valid"",""❌ Invalid"")"),"✅ Valid")</f>
        <v>✅ Valid</v>
      </c>
      <c r="K371" s="13" t="s">
        <v>8163</v>
      </c>
      <c r="L371" s="2" t="str">
        <f>IFERROR(__xludf.DUMMYFUNCTION("IF(OR(K371=""N/A"", K371=""missing"", K371=""none""), """",
 REGEXREPLACE(
  SUBSTITUTE(SUBSTITUTE(SUBSTITUTE(TO_TEXT(K371), CHAR(160),""""), UNICHAR(8239),""""), UNICHAR(8201),""""),""[+\-/(): )]"", """"))"),"91302361")</f>
        <v>91302361</v>
      </c>
      <c r="M371" s="2" t="str">
        <f>IFERROR(__xludf.DUMMYFUNCTION("IF(L371="""","""", REGEXEXTRACT(REGEXREPLACE(L371,""x"", """"), ""[0-9]+""))"),"91302361")</f>
        <v>91302361</v>
      </c>
      <c r="N371" s="2" t="str">
        <f t="shared" ref="N371:N372" si="174">IF(LEFT(M371,2)="34", RIGHT(M371,LEN(M371)-2),M371)</f>
        <v>91302361</v>
      </c>
      <c r="O371" s="2" t="b">
        <f>IFERROR(__xludf.DUMMYFUNCTION("REGEXMATCH(TO_TEXT(N371), ""^[67]"")"),FALSE)</f>
        <v>0</v>
      </c>
      <c r="P371" s="2">
        <f t="shared" si="172"/>
        <v>8</v>
      </c>
      <c r="Q371" s="9" t="str">
        <f t="shared" ref="Q371:Q372" si="175">IF(AND(O371=TRUE, P371=9), "✅ VALID", "❌ INVALID")</f>
        <v>❌ INVALID</v>
      </c>
      <c r="R371" s="10" t="s">
        <v>139</v>
      </c>
      <c r="S371" s="12">
        <v>45125.0</v>
      </c>
      <c r="T371" s="2" t="str">
        <f>IFERROR(__xludf.DUMMYFUNCTION("IF(ISNUMBER(S371),TEXT(S371,""yyyy-MM-dd""),REGEXREPLACE(REGEXREPLACE(TO_TEXT(S371),""[^0-9a-zA-Z]+"",""-""),""[^0-9]*$"",""""))"),"2023-07-18")</f>
        <v>2023-07-18</v>
      </c>
      <c r="U371" s="2" t="s">
        <v>8164</v>
      </c>
      <c r="Y371" s="10" t="s">
        <v>8164</v>
      </c>
    </row>
    <row r="372" ht="15.75" customHeight="1">
      <c r="A372" s="2" t="s">
        <v>972</v>
      </c>
      <c r="B372" s="9" t="s">
        <v>7597</v>
      </c>
      <c r="C372" s="2" t="s">
        <v>916</v>
      </c>
      <c r="D372" s="10" t="str">
        <f>IFERROR(__xludf.DUMMYFUNCTION("PROPER(REGEXREPLACE(TRIM(C372),""\s+"","" ""))"),"Hanna Martinez")</f>
        <v>Hanna Martinez</v>
      </c>
      <c r="E372" s="2">
        <f>IFERROR(__xludf.DUMMYFUNCTION("IF(LEN(D372:D701),
  COUNTA(SPLIT(D372:D701,"" "")),
 """")"),2.0)</f>
        <v>2</v>
      </c>
      <c r="F372" s="9" t="str">
        <f t="shared" si="167"/>
        <v>✅</v>
      </c>
      <c r="G372" s="2" t="str">
        <f>IFERROR(__xludf.DUMMYFUNCTION("REGEXEXTRACT(PROPER(SUBSTITUTE(TRIM(I372),""."","" "")),""^[^@]+"")"),"Hanna Martinez")</f>
        <v>Hanna Martinez</v>
      </c>
      <c r="H372" s="10" t="str">
        <f t="shared" si="168"/>
        <v>hanna.martinez@example.com</v>
      </c>
      <c r="I372" s="2" t="s">
        <v>917</v>
      </c>
      <c r="J372" s="9" t="str">
        <f>IFERROR(__xludf.DUMMYFUNCTION("IF(REGEXMATCH(TRIM(I372),""^[A-Za-z0-9._%+-]+@[A-Za-z0-9.-]+\.[A-Za-z]{2,}$""),""✅ Valid"",""❌ Invalid"")"),"✅ Valid")</f>
        <v>✅ Valid</v>
      </c>
      <c r="K372" s="13" t="s">
        <v>8165</v>
      </c>
      <c r="L372" s="2" t="str">
        <f>IFERROR(__xludf.DUMMYFUNCTION("IF(OR(K372=""N/A"", K372=""missing"", K372=""none""), """",
 REGEXREPLACE(
  SUBSTITUTE(SUBSTITUTE(SUBSTITUTE(TO_TEXT(K372), CHAR(160),""""), UNICHAR(8239),""""), UNICHAR(8201),""""),""[+\-/(): )]"", """"))"),"0586x13060")</f>
        <v>0586x13060</v>
      </c>
      <c r="M372" s="2" t="str">
        <f>IFERROR(__xludf.DUMMYFUNCTION("IF(L372="""","""", REGEXEXTRACT(REGEXREPLACE(L372,""x"", """"), ""[0-9]+""))"),"058613060")</f>
        <v>058613060</v>
      </c>
      <c r="N372" s="2" t="str">
        <f t="shared" si="174"/>
        <v>058613060</v>
      </c>
      <c r="O372" s="2" t="b">
        <f>IFERROR(__xludf.DUMMYFUNCTION("REGEXMATCH(TO_TEXT(N372), ""^[67]"")"),FALSE)</f>
        <v>0</v>
      </c>
      <c r="P372" s="2">
        <f t="shared" si="172"/>
        <v>9</v>
      </c>
      <c r="Q372" s="9" t="str">
        <f t="shared" si="175"/>
        <v>❌ INVALID</v>
      </c>
      <c r="R372" s="10" t="s">
        <v>139</v>
      </c>
      <c r="S372" s="12">
        <v>45684.0</v>
      </c>
      <c r="T372" s="2" t="str">
        <f>IFERROR(__xludf.DUMMYFUNCTION("IF(ISNUMBER(S372),TEXT(S372,""yyyy-MM-dd""),REGEXREPLACE(REGEXREPLACE(TO_TEXT(S372),""[^0-9a-zA-Z]+"",""-""),""[^0-9]*$"",""""))"),"2025-01-27")</f>
        <v>2025-01-27</v>
      </c>
      <c r="U372" s="2" t="s">
        <v>6281</v>
      </c>
      <c r="Y372" s="10" t="s">
        <v>6281</v>
      </c>
    </row>
    <row r="373" ht="15.75" customHeight="1">
      <c r="A373" s="2" t="s">
        <v>6714</v>
      </c>
      <c r="B373" s="9" t="s">
        <v>7597</v>
      </c>
      <c r="C373" s="2" t="s">
        <v>6038</v>
      </c>
      <c r="D373" s="10" t="str">
        <f>IFERROR(__xludf.DUMMYFUNCTION("PROPER(REGEXREPLACE(TRIM(C373),""\s+"","" ""))"),"Ken Lee")</f>
        <v>Ken Lee</v>
      </c>
      <c r="E373" s="2">
        <f>IFERROR(__xludf.DUMMYFUNCTION("IF(LEN(D373:D701),
  COUNTA(SPLIT(D373:D701,"" "")),
 """")"),2.0)</f>
        <v>2</v>
      </c>
      <c r="F373" s="9" t="str">
        <f t="shared" si="167"/>
        <v>✅</v>
      </c>
      <c r="G373" s="2" t="str">
        <f>IFERROR(__xludf.DUMMYFUNCTION("REGEXEXTRACT(PROPER(SUBSTITUTE(TRIM(I373),""."","" "")),""^[^@]+"")"),"Ken Lee")</f>
        <v>Ken Lee</v>
      </c>
      <c r="H373" s="10" t="str">
        <f t="shared" si="168"/>
        <v>ken.lee@example.com</v>
      </c>
      <c r="I373" s="2" t="s">
        <v>6039</v>
      </c>
      <c r="J373" s="9" t="str">
        <f>IFERROR(__xludf.DUMMYFUNCTION("IF(REGEXMATCH(TRIM(I373),""^[A-Za-z0-9._%+-]+@[A-Za-z0-9.-]+\.[A-Za-z]{2,}$""),""✅ Valid"",""❌ Invalid"")"),"✅ Valid")</f>
        <v>✅ Valid</v>
      </c>
      <c r="K373" s="11">
        <v>4.90869520532E11</v>
      </c>
      <c r="L373" s="2" t="str">
        <f>IFERROR(__xludf.DUMMYFUNCTION("IF(OR(K373=""N/A"", K373=""missing"", K373=""none""), """",
 REGEXREPLACE(
  SUBSTITUTE(SUBSTITUTE(SUBSTITUTE(TO_TEXT(K373), CHAR(160),""""), UNICHAR(8239),""""), UNICHAR(8201),""""),""[+\-/(): )]"", """"))"),"490869520532")</f>
        <v>490869520532</v>
      </c>
      <c r="M373" s="2" t="str">
        <f>IFERROR(__xludf.DUMMYFUNCTION("IF(L373="""","""", REGEXEXTRACT(REGEXREPLACE(L373,""x"", """"), ""[0-9]+""))"),"490869520532")</f>
        <v>490869520532</v>
      </c>
      <c r="N373" s="2" t="str">
        <f>IF(LEFT(M373,2)="49", RIGHT(M373,LEN(M373)-2),M373)</f>
        <v>0869520532</v>
      </c>
      <c r="O373" s="2" t="b">
        <f>IFERROR(__xludf.DUMMYFUNCTION("REGEXMATCH(TO_TEXT(N373), ""^0(15|16|17)"")"),FALSE)</f>
        <v>0</v>
      </c>
      <c r="P373" s="2">
        <f t="shared" si="172"/>
        <v>10</v>
      </c>
      <c r="Q373" s="9" t="str">
        <f>IF(AND(O373=TRUE,OR(P373=10, P373=11)), "✅ VALID", "❌ INVALID")</f>
        <v>❌ INVALID</v>
      </c>
      <c r="R373" s="10" t="s">
        <v>459</v>
      </c>
      <c r="S373" s="12">
        <v>45171.0</v>
      </c>
      <c r="T373" s="2" t="str">
        <f>IFERROR(__xludf.DUMMYFUNCTION("IF(ISNUMBER(S373),TEXT(S373,""yyyy-MM-dd""),REGEXREPLACE(REGEXREPLACE(TO_TEXT(S373),""[^0-9a-zA-Z]+"",""-""),""[^0-9]*$"",""""))"),"2023-09-02")</f>
        <v>2023-09-02</v>
      </c>
      <c r="U373" s="2" t="s">
        <v>8166</v>
      </c>
      <c r="Y373" s="10" t="s">
        <v>8166</v>
      </c>
    </row>
    <row r="374" ht="15.75" customHeight="1">
      <c r="A374" s="2" t="s">
        <v>2310</v>
      </c>
      <c r="B374" s="9" t="s">
        <v>7597</v>
      </c>
      <c r="C374" s="2" t="s">
        <v>2685</v>
      </c>
      <c r="D374" s="10" t="str">
        <f>IFERROR(__xludf.DUMMYFUNCTION("PROPER(REGEXREPLACE(TRIM(C374),""\s+"","" ""))"),"Ethan Martinez")</f>
        <v>Ethan Martinez</v>
      </c>
      <c r="E374" s="2">
        <f>IFERROR(__xludf.DUMMYFUNCTION("IF(LEN(D374:D701),
  COUNTA(SPLIT(D374:D701,"" "")),
 """")"),2.0)</f>
        <v>2</v>
      </c>
      <c r="F374" s="9" t="str">
        <f t="shared" si="167"/>
        <v>✅</v>
      </c>
      <c r="G374" s="2" t="str">
        <f>IFERROR(__xludf.DUMMYFUNCTION("REGEXEXTRACT(PROPER(SUBSTITUTE(TRIM(I374),""."","" "")),""^[^@]+"")"),"Ethan Martinez")</f>
        <v>Ethan Martinez</v>
      </c>
      <c r="H374" s="10" t="str">
        <f t="shared" si="168"/>
        <v>ethan.martinez@gmail.com</v>
      </c>
      <c r="I374" s="2" t="s">
        <v>2686</v>
      </c>
      <c r="J374" s="9" t="str">
        <f>IFERROR(__xludf.DUMMYFUNCTION("IF(REGEXMATCH(TRIM(I374),""^[A-Za-z0-9._%+-]+@[A-Za-z0-9.-]+\.[A-Za-z]{2,}$""),""✅ Valid"",""❌ Invalid"")"),"✅ Valid")</f>
        <v>✅ Valid</v>
      </c>
      <c r="K374" s="11">
        <v>3.995688159E9</v>
      </c>
      <c r="L374" s="2" t="str">
        <f>IFERROR(__xludf.DUMMYFUNCTION("IF(OR(K374=""N/A"", K374=""missing"", K374=""none""), """",
 REGEXREPLACE(
  SUBSTITUTE(SUBSTITUTE(SUBSTITUTE(TO_TEXT(K374), CHAR(160),""""), UNICHAR(8239),""""), UNICHAR(8201),""""),""[+\-/(): )]"", """"))"),"3995688159")</f>
        <v>3995688159</v>
      </c>
      <c r="M374" s="2" t="str">
        <f>IFERROR(__xludf.DUMMYFUNCTION("IF(L374="""","""", REGEXEXTRACT(REGEXREPLACE(L374,""x"", """"), ""[0-9]+""))"),"3995688159")</f>
        <v>3995688159</v>
      </c>
      <c r="N374" s="2" t="str">
        <f>IF(LEFT(M374,2)="39", RIGHT(M374,LEN(M374)-2),M374)</f>
        <v>95688159</v>
      </c>
      <c r="O374" s="2" t="b">
        <f>IFERROR(__xludf.DUMMYFUNCTION("REGEXMATCH(TO_TEXT(N374), ""^3"")"),FALSE)</f>
        <v>0</v>
      </c>
      <c r="P374" s="2">
        <f t="shared" si="172"/>
        <v>8</v>
      </c>
      <c r="Q374" s="9" t="str">
        <f>IF(AND(O374=TRUE,OR(P374=9, P374=10 )), "✅ VALID", "❌ INVALID")</f>
        <v>❌ INVALID</v>
      </c>
      <c r="R374" s="10" t="s">
        <v>785</v>
      </c>
      <c r="S374" s="12" t="s">
        <v>6808</v>
      </c>
      <c r="T374" s="2" t="str">
        <f>IFERROR(__xludf.DUMMYFUNCTION("IF(ISNUMBER(S374),TEXT(S374,""yyyy-MM-dd""),REGEXREPLACE(REGEXREPLACE(TO_TEXT(S374),""[^0-9a-zA-Z]+"",""-""),""[^0-9]*$"",""""))"),"02-21-2024")</f>
        <v>02-21-2024</v>
      </c>
      <c r="U374" s="2" t="str">
        <f>TEXT(T374,"yyyy-MM-dd")</f>
        <v>02-21-2024</v>
      </c>
      <c r="V374" s="2" t="s">
        <v>7423</v>
      </c>
      <c r="Y374" s="10" t="s">
        <v>7423</v>
      </c>
    </row>
    <row r="375" ht="15.75" customHeight="1">
      <c r="A375" s="2" t="s">
        <v>3299</v>
      </c>
      <c r="B375" s="9" t="s">
        <v>7597</v>
      </c>
      <c r="C375" s="2" t="s">
        <v>3626</v>
      </c>
      <c r="D375" s="10" t="str">
        <f>IFERROR(__xludf.DUMMYFUNCTION("PROPER(REGEXREPLACE(TRIM(C375),""\s+"","" ""))"),"Ethan Lee")</f>
        <v>Ethan Lee</v>
      </c>
      <c r="E375" s="2">
        <f>IFERROR(__xludf.DUMMYFUNCTION("IF(LEN(D375:D701),
  COUNTA(SPLIT(D375:D701,"" "")),
 """")"),2.0)</f>
        <v>2</v>
      </c>
      <c r="F375" s="9" t="str">
        <f t="shared" si="167"/>
        <v>✅</v>
      </c>
      <c r="G375" s="2" t="str">
        <f>IFERROR(__xludf.DUMMYFUNCTION("REGEXEXTRACT(PROPER(SUBSTITUTE(TRIM(I375),""."","" "")),""^[^@]+"")"),"Ethan Lee")</f>
        <v>Ethan Lee</v>
      </c>
      <c r="H375" s="10" t="str">
        <f t="shared" si="168"/>
        <v>ethan.lee@exampel.com</v>
      </c>
      <c r="I375" s="2" t="s">
        <v>3627</v>
      </c>
      <c r="J375" s="9" t="str">
        <f>IFERROR(__xludf.DUMMYFUNCTION("IF(REGEXMATCH(TRIM(I375),""^[A-Za-z0-9._%+-]+@[A-Za-z0-9.-]+\.[A-Za-z]{2,}$""),""✅ Valid"",""❌ Invalid"")"),"✅ Valid")</f>
        <v>✅ Valid</v>
      </c>
      <c r="K375" s="13" t="s">
        <v>8167</v>
      </c>
      <c r="L375" s="2" t="str">
        <f>IFERROR(__xludf.DUMMYFUNCTION("IF(OR(K375=""N/A"", K375=""missing"", K375=""none""), """",
 REGEXREPLACE(
  SUBSTITUTE(SUBSTITUTE(SUBSTITUTE(TO_TEXT(K375), CHAR(160),""""), UNICHAR(8239),""""), UNICHAR(8201),""""),""[+\-/(): )]"", """"))"),"331637312285")</f>
        <v>331637312285</v>
      </c>
      <c r="M375" s="2" t="str">
        <f>IFERROR(__xludf.DUMMYFUNCTION("IF(L375="""","""", REGEXEXTRACT(REGEXREPLACE(L375,""x"", """"), ""[0-9]+""))"),"331637312285")</f>
        <v>331637312285</v>
      </c>
      <c r="N375" s="2" t="str">
        <f>IF(LEFT(M375,2)="33", RIGHT(M375,LEN(M375)-2),M375)</f>
        <v>1637312285</v>
      </c>
      <c r="O375" s="2" t="b">
        <f>IFERROR(__xludf.DUMMYFUNCTION("REGEXMATCH(TO_TEXT(N375), ""^0[67]"")"),FALSE)</f>
        <v>0</v>
      </c>
      <c r="P375" s="2">
        <f t="shared" si="172"/>
        <v>10</v>
      </c>
      <c r="Q375" s="9" t="str">
        <f>IF(AND(O375=TRUE, P375=9), "✅ VALID", "❌ INVALID")</f>
        <v>❌ INVALID</v>
      </c>
      <c r="R375" s="10" t="s">
        <v>58</v>
      </c>
      <c r="S375" s="12">
        <v>45312.54791666667</v>
      </c>
      <c r="T375" s="2" t="str">
        <f>IFERROR(__xludf.DUMMYFUNCTION("IF(ISNUMBER(S375),TEXT(S375,""yyyy-MM-dd""),REGEXREPLACE(REGEXREPLACE(TO_TEXT(S375),""[^0-9a-zA-Z]+"",""-""),""[^0-9]*$"",""""))"),"2024-01-21")</f>
        <v>2024-01-21</v>
      </c>
      <c r="U375" s="2" t="s">
        <v>8146</v>
      </c>
      <c r="Y375" s="10" t="s">
        <v>8146</v>
      </c>
    </row>
    <row r="376" ht="15.75" customHeight="1">
      <c r="A376" s="2" t="s">
        <v>5269</v>
      </c>
      <c r="B376" s="9" t="s">
        <v>7597</v>
      </c>
      <c r="C376" s="2" t="s">
        <v>2930</v>
      </c>
      <c r="D376" s="10" t="s">
        <v>2009</v>
      </c>
      <c r="E376" s="2">
        <f>IFERROR(__xludf.DUMMYFUNCTION("IF(LEN(D376:D701),
  COUNTA(SPLIT(D376:D701,"" "")),
 """")"),2.0)</f>
        <v>2</v>
      </c>
      <c r="F376" s="9" t="str">
        <f t="shared" si="167"/>
        <v>✅</v>
      </c>
      <c r="G376" s="2" t="s">
        <v>2009</v>
      </c>
      <c r="H376" s="10" t="str">
        <f t="shared" si="168"/>
        <v>lia.novak@shop.io</v>
      </c>
      <c r="I376" s="2" t="s">
        <v>2931</v>
      </c>
      <c r="J376" s="9" t="str">
        <f>IFERROR(__xludf.DUMMYFUNCTION("IF(REGEXMATCH(TRIM(I376),""^[A-Za-z0-9._%+-]+@[A-Za-z0-9.-]+\.[A-Za-z]{2,}$""),""✅ Valid"",""❌ Invalid"")"),"✅ Valid")</f>
        <v>✅ Valid</v>
      </c>
      <c r="K376" s="13" t="s">
        <v>8168</v>
      </c>
      <c r="L376" s="2" t="str">
        <f>IFERROR(__xludf.DUMMYFUNCTION("IF(OR(K376=""N/A"", K376=""missing"", K376=""none""), """",
 REGEXREPLACE(
  SUBSTITUTE(SUBSTITUTE(SUBSTITUTE(TO_TEXT(K376), CHAR(160),""""), UNICHAR(8239),""""), UNICHAR(8201),""""),""[+\-/(): )]"", """"))"),"018907229")</f>
        <v>018907229</v>
      </c>
      <c r="M376" s="2" t="str">
        <f>IFERROR(__xludf.DUMMYFUNCTION("IF(L376="""","""", REGEXEXTRACT(REGEXREPLACE(L376,""x"", """"), ""[0-9]+""))"),"018907229")</f>
        <v>018907229</v>
      </c>
      <c r="N376" s="2" t="str">
        <f>IF(LEFT(M376,2)="49", RIGHT(M376,LEN(M376)-2),M376)</f>
        <v>018907229</v>
      </c>
      <c r="O376" s="2" t="b">
        <f>IFERROR(__xludf.DUMMYFUNCTION("REGEXMATCH(TO_TEXT(N376), ""^0(15|16|17)"")"),FALSE)</f>
        <v>0</v>
      </c>
      <c r="P376" s="2">
        <f t="shared" si="172"/>
        <v>9</v>
      </c>
      <c r="Q376" s="9" t="str">
        <f>IF(AND(O376=TRUE,OR(P376=10, P376=11)), "✅ VALID", "❌ INVALID")</f>
        <v>❌ INVALID</v>
      </c>
      <c r="R376" s="10" t="s">
        <v>459</v>
      </c>
      <c r="S376" s="12">
        <v>44724.0</v>
      </c>
      <c r="T376" s="2" t="str">
        <f>IFERROR(__xludf.DUMMYFUNCTION("IF(ISNUMBER(S376),TEXT(S376,""yyyy-MM-dd""),REGEXREPLACE(REGEXREPLACE(TO_TEXT(S376),""[^0-9a-zA-Z]+"",""-""),""[^0-9]*$"",""""))"),"2022-06-12")</f>
        <v>2022-06-12</v>
      </c>
      <c r="U376" s="2" t="s">
        <v>8169</v>
      </c>
      <c r="Y376" s="10" t="s">
        <v>8169</v>
      </c>
    </row>
    <row r="377" ht="15.75" customHeight="1">
      <c r="A377" s="2" t="s">
        <v>3309</v>
      </c>
      <c r="B377" s="9" t="s">
        <v>7597</v>
      </c>
      <c r="C377" s="2" t="s">
        <v>3995</v>
      </c>
      <c r="D377" s="10" t="str">
        <f>IFERROR(__xludf.DUMMYFUNCTION("PROPER(REGEXREPLACE(TRIM(C377),""\s+"","" ""))"),"Paula King")</f>
        <v>Paula King</v>
      </c>
      <c r="E377" s="2">
        <f>IFERROR(__xludf.DUMMYFUNCTION("IF(LEN(D377:D701),
  COUNTA(SPLIT(D377:D701,"" "")),
 """")"),2.0)</f>
        <v>2</v>
      </c>
      <c r="F377" s="9" t="str">
        <f t="shared" si="167"/>
        <v>✅</v>
      </c>
      <c r="G377" s="2" t="str">
        <f>IFERROR(__xludf.DUMMYFUNCTION("REGEXEXTRACT(PROPER(SUBSTITUTE(TRIM(I377),""."","" "")),""^[^@]+"")"),"Paula King")</f>
        <v>Paula King</v>
      </c>
      <c r="H377" s="10" t="str">
        <f t="shared" si="168"/>
        <v>paula.king@shop.io</v>
      </c>
      <c r="I377" s="2" t="s">
        <v>3996</v>
      </c>
      <c r="J377" s="9" t="str">
        <f>IFERROR(__xludf.DUMMYFUNCTION("IF(REGEXMATCH(TRIM(I377),""^[A-Za-z0-9._%+-]+@[A-Za-z0-9.-]+\.[A-Za-z]{2,}$""),""✅ Valid"",""❌ Invalid"")"),"✅ Valid")</f>
        <v>✅ Valid</v>
      </c>
      <c r="K377" s="15" t="s">
        <v>8170</v>
      </c>
      <c r="L377" s="2" t="str">
        <f>IFERROR(__xludf.DUMMYFUNCTION("IF(K377=""N/A"", """",
 REGEXREPLACE(
  SUBSTITUTE(SUBSTITUTE(SUBSTITUTE(TO_TEXT(K377), CHAR(160),""""), UNICHAR(8239),""""), UNICHAR(8201),""""),""[+\-/(): )]"", """"))"),"48854892578ext521")</f>
        <v>48854892578ext521</v>
      </c>
      <c r="M377" s="2" t="str">
        <f>IFERROR(__xludf.DUMMYFUNCTION("IF(L377="""","""", REGEXEXTRACT(REGEXREPLACE(L377,""x"", """"), ""[0-9]+""))"),"48854892578")</f>
        <v>48854892578</v>
      </c>
      <c r="N377" s="2" t="str">
        <f>IF(LEFT(M377,2)="48", RIGHT(M377,LEN(M377)-2),M377)</f>
        <v>854892578</v>
      </c>
      <c r="O377" s="2" t="b">
        <f>IFERROR(__xludf.DUMMYFUNCTION("REGEXMATCH(TO_TEXT(N377), ""^(5[013679]|6[069]|7[2-9]|88)"")"),FALSE)</f>
        <v>0</v>
      </c>
      <c r="Q377" s="9" t="str">
        <f>IF(AND(O377=TRUE, P377=9), "✅ VALID", "❌ INVALID")</f>
        <v>❌ INVALID</v>
      </c>
      <c r="R377" s="10" t="s">
        <v>25</v>
      </c>
      <c r="S377" s="12">
        <v>45258.76944444444</v>
      </c>
      <c r="T377" s="2" t="str">
        <f>IFERROR(__xludf.DUMMYFUNCTION("IF(ISNUMBER(S377),TEXT(S377,""yyyy-MM-dd""),REGEXREPLACE(REGEXREPLACE(TO_TEXT(S377),""[^0-9a-zA-Z]+"",""-""),""[^0-9]*$"",""""))"),"2023-11-28")</f>
        <v>2023-11-28</v>
      </c>
      <c r="U377" s="2" t="s">
        <v>8171</v>
      </c>
      <c r="Y377" s="10" t="s">
        <v>8171</v>
      </c>
    </row>
    <row r="378" ht="15.75" customHeight="1">
      <c r="A378" s="2" t="s">
        <v>3804</v>
      </c>
      <c r="B378" s="9" t="s">
        <v>7597</v>
      </c>
      <c r="C378" s="2" t="s">
        <v>5672</v>
      </c>
      <c r="D378" s="10" t="str">
        <f>IFERROR(__xludf.DUMMYFUNCTION("PROPER(REGEXREPLACE(TRIM(C378),""\s+"","" ""))"),"Sam Dubois")</f>
        <v>Sam Dubois</v>
      </c>
      <c r="E378" s="2">
        <f>IFERROR(__xludf.DUMMYFUNCTION("IF(LEN(D378:D701),
  COUNTA(SPLIT(D378:D701,"" "")),
 """")"),2.0)</f>
        <v>2</v>
      </c>
      <c r="F378" s="9" t="str">
        <f t="shared" si="167"/>
        <v>✅</v>
      </c>
      <c r="G378" s="2" t="str">
        <f>IFERROR(__xludf.DUMMYFUNCTION("REGEXEXTRACT(PROPER(SUBSTITUTE(TRIM(I378),""."","" "")),""^[^@]+"")"),"Sam Dubois")</f>
        <v>Sam Dubois</v>
      </c>
      <c r="H378" s="10" t="str">
        <f t="shared" si="168"/>
        <v>sam.dubois@shop.io</v>
      </c>
      <c r="I378" s="2" t="s">
        <v>5673</v>
      </c>
      <c r="J378" s="9" t="str">
        <f>IFERROR(__xludf.DUMMYFUNCTION("IF(REGEXMATCH(TRIM(I378),""^[A-Za-z0-9._%+-]+@[A-Za-z0-9.-]+\.[A-Za-z]{2,}$""),""✅ Valid"",""❌ Invalid"")"),"✅ Valid")</f>
        <v>✅ Valid</v>
      </c>
      <c r="K378" s="13" t="s">
        <v>8172</v>
      </c>
      <c r="L378" s="2" t="str">
        <f>IFERROR(__xludf.DUMMYFUNCTION("IF(OR(K378=""N/A"", K378=""missing"", K378=""none""), """",
 REGEXREPLACE(
  SUBSTITUTE(SUBSTITUTE(SUBSTITUTE(TO_TEXT(K378), CHAR(160),""""), UNICHAR(8239),""""), UNICHAR(8201),""""),""[+\-/(): )]"", """"))"),"4980618964619")</f>
        <v>4980618964619</v>
      </c>
      <c r="M378" s="2" t="str">
        <f>IFERROR(__xludf.DUMMYFUNCTION("IF(L378="""","""", REGEXEXTRACT(REGEXREPLACE(L378,""x"", """"), ""[0-9]+""))"),"4980618964619")</f>
        <v>4980618964619</v>
      </c>
      <c r="N378" s="2" t="str">
        <f t="shared" ref="N378:N379" si="176">IF(LEFT(M378,2)="49", RIGHT(M378,LEN(M378)-2),M378)</f>
        <v>80618964619</v>
      </c>
      <c r="O378" s="2" t="b">
        <f>IFERROR(__xludf.DUMMYFUNCTION("REGEXMATCH(TO_TEXT(N378), ""^0(15|16|17)"")"),FALSE)</f>
        <v>0</v>
      </c>
      <c r="P378" s="2">
        <f t="shared" ref="P378:P385" si="177">LEN(N378)</f>
        <v>11</v>
      </c>
      <c r="Q378" s="9" t="str">
        <f t="shared" ref="Q378:Q379" si="178">IF(AND(O378=TRUE,OR(P378=10, P378=11)), "✅ VALID", "❌ INVALID")</f>
        <v>❌ INVALID</v>
      </c>
      <c r="R378" s="10" t="s">
        <v>459</v>
      </c>
      <c r="S378" s="12">
        <v>45723.0</v>
      </c>
      <c r="T378" s="2" t="str">
        <f>IFERROR(__xludf.DUMMYFUNCTION("IF(ISNUMBER(S378),TEXT(S378,""yyyy-MM-dd""),REGEXREPLACE(REGEXREPLACE(TO_TEXT(S378),""[^0-9a-zA-Z]+"",""-""),""[^0-9]*$"",""""))"),"2025-03-07")</f>
        <v>2025-03-07</v>
      </c>
      <c r="U378" s="2" t="s">
        <v>8173</v>
      </c>
      <c r="Y378" s="10" t="s">
        <v>8173</v>
      </c>
    </row>
    <row r="379" ht="15.75" customHeight="1">
      <c r="A379" s="2" t="s">
        <v>110</v>
      </c>
      <c r="B379" s="9" t="s">
        <v>7597</v>
      </c>
      <c r="C379" s="2" t="s">
        <v>38</v>
      </c>
      <c r="D379" s="10" t="str">
        <f>IFERROR(__xludf.DUMMYFUNCTION("PROPER(REGEXREPLACE(TRIM(C379),""\s+"","" ""))"),"Nina Smith")</f>
        <v>Nina Smith</v>
      </c>
      <c r="E379" s="2">
        <f>IFERROR(__xludf.DUMMYFUNCTION("IF(LEN(D379:D701),
  COUNTA(SPLIT(D379:D701,"" "")),
 """")"),2.0)</f>
        <v>2</v>
      </c>
      <c r="F379" s="9" t="str">
        <f t="shared" si="167"/>
        <v>✅</v>
      </c>
      <c r="G379" s="2" t="str">
        <f>IFERROR(__xludf.DUMMYFUNCTION("REGEXEXTRACT(PROPER(SUBSTITUTE(TRIM(I379),""."","" "")),""^[^@]+"")"),"Nina Smith")</f>
        <v>Nina Smith</v>
      </c>
      <c r="H379" s="10" t="str">
        <f t="shared" si="168"/>
        <v>nina.smith@gmail.com</v>
      </c>
      <c r="I379" s="2" t="s">
        <v>39</v>
      </c>
      <c r="J379" s="9" t="str">
        <f>IFERROR(__xludf.DUMMYFUNCTION("IF(REGEXMATCH(TRIM(I379),""^[A-Za-z0-9._%+-]+@[A-Za-z0-9.-]+\.[A-Za-z]{2,}$""),""✅ Valid"",""❌ Invalid"")"),"✅ Valid")</f>
        <v>✅ Valid</v>
      </c>
      <c r="K379" s="13" t="s">
        <v>8174</v>
      </c>
      <c r="L379" s="2" t="str">
        <f>IFERROR(__xludf.DUMMYFUNCTION("IF(OR(K379=""N/A"", K379=""missing"", K379=""none""), """",
 REGEXREPLACE(
  SUBSTITUTE(SUBSTITUTE(SUBSTITUTE(TO_TEXT(K379), CHAR(160),""""), UNICHAR(8239),""""), UNICHAR(8201),""""),""[+\-/(): )]"", """"))"),"4990131345691")</f>
        <v>4990131345691</v>
      </c>
      <c r="M379" s="2" t="str">
        <f>IFERROR(__xludf.DUMMYFUNCTION("IF(L379="""","""", REGEXEXTRACT(REGEXREPLACE(L379,""x"", """"), ""[0-9]+""))"),"4990131345691")</f>
        <v>4990131345691</v>
      </c>
      <c r="N379" s="2" t="str">
        <f t="shared" si="176"/>
        <v>90131345691</v>
      </c>
      <c r="O379" s="2" t="b">
        <f>IFERROR(__xludf.DUMMYFUNCTION("REGEXMATCH(TO_TEXT(N379), ""^0(15|16|17)"")"),FALSE)</f>
        <v>0</v>
      </c>
      <c r="P379" s="2">
        <f t="shared" si="177"/>
        <v>11</v>
      </c>
      <c r="Q379" s="9" t="str">
        <f t="shared" si="178"/>
        <v>❌ INVALID</v>
      </c>
      <c r="R379" s="10" t="s">
        <v>459</v>
      </c>
      <c r="S379" s="12">
        <v>45926.0</v>
      </c>
      <c r="T379" s="2" t="str">
        <f>IFERROR(__xludf.DUMMYFUNCTION("IF(ISNUMBER(S379),TEXT(S379,""yyyy-MM-dd""),REGEXREPLACE(REGEXREPLACE(TO_TEXT(S379),""[^0-9a-zA-Z]+"",""-""),""[^0-9]*$"",""""))"),"2025-09-26")</f>
        <v>2025-09-26</v>
      </c>
      <c r="U379" s="2" t="s">
        <v>8175</v>
      </c>
      <c r="Y379" s="10" t="s">
        <v>8175</v>
      </c>
    </row>
    <row r="380" ht="15.75" customHeight="1">
      <c r="A380" s="2" t="s">
        <v>2911</v>
      </c>
      <c r="B380" s="9" t="s">
        <v>7597</v>
      </c>
      <c r="C380" s="2" t="s">
        <v>4676</v>
      </c>
      <c r="D380" s="10" t="str">
        <f>IFERROR(__xludf.DUMMYFUNCTION("PROPER(REGEXREPLACE(TRIM(C380),""\s+"","" ""))"),"Gabe Novak")</f>
        <v>Gabe Novak</v>
      </c>
      <c r="E380" s="2">
        <f>IFERROR(__xludf.DUMMYFUNCTION("IF(LEN(D380:D701),
  COUNTA(SPLIT(D380:D701,"" "")),
 """")"),2.0)</f>
        <v>2</v>
      </c>
      <c r="F380" s="9" t="str">
        <f t="shared" si="167"/>
        <v>✅</v>
      </c>
      <c r="G380" s="2" t="str">
        <f>IFERROR(__xludf.DUMMYFUNCTION("REGEXEXTRACT(PROPER(SUBSTITUTE(TRIM(I380),""."","" "")),""^[^@]+"")"),"Gabe Novak")</f>
        <v>Gabe Novak</v>
      </c>
      <c r="H380" s="10" t="str">
        <f t="shared" si="168"/>
        <v>gabe.novak@yahoo.com</v>
      </c>
      <c r="I380" s="2" t="s">
        <v>4677</v>
      </c>
      <c r="J380" s="9" t="str">
        <f>IFERROR(__xludf.DUMMYFUNCTION("IF(REGEXMATCH(TRIM(I380),""^[A-Za-z0-9._%+-]+@[A-Za-z0-9.-]+\.[A-Za-z]{2,}$""),""✅ Valid"",""❌ Invalid"")"),"✅ Valid")</f>
        <v>✅ Valid</v>
      </c>
      <c r="K380" s="13" t="s">
        <v>8176</v>
      </c>
      <c r="L380" s="2" t="str">
        <f>IFERROR(__xludf.DUMMYFUNCTION("IF(OR(K380=""N/A"", K380=""missing"", K380=""none""), """",
 REGEXREPLACE(
  SUBSTITUTE(SUBSTITUTE(SUBSTITUTE(TO_TEXT(K380), CHAR(160),""""), UNICHAR(8239),""""), UNICHAR(8201),""""),""[+\-/(): )]"", """"))"),"39175689698")</f>
        <v>39175689698</v>
      </c>
      <c r="M380" s="2" t="str">
        <f>IFERROR(__xludf.DUMMYFUNCTION("IF(L380="""","""", REGEXEXTRACT(REGEXREPLACE(L380,""x"", """"), ""[0-9]+""))"),"39175689698")</f>
        <v>39175689698</v>
      </c>
      <c r="N380" s="2" t="str">
        <f>IF(LEFT(M380,2)="39", RIGHT(M380,LEN(M380)-2),M380)</f>
        <v>175689698</v>
      </c>
      <c r="O380" s="2" t="b">
        <f>IFERROR(__xludf.DUMMYFUNCTION("REGEXMATCH(TO_TEXT(N380), ""^3"")"),FALSE)</f>
        <v>0</v>
      </c>
      <c r="P380" s="2">
        <f t="shared" si="177"/>
        <v>9</v>
      </c>
      <c r="Q380" s="9" t="str">
        <f>IF(AND(O380=TRUE,OR(P380=9, P380=10 )), "✅ VALID", "❌ INVALID")</f>
        <v>❌ INVALID</v>
      </c>
      <c r="R380" s="10" t="s">
        <v>785</v>
      </c>
      <c r="S380" s="12">
        <v>44634.229166666664</v>
      </c>
      <c r="T380" s="2" t="str">
        <f>IFERROR(__xludf.DUMMYFUNCTION("IF(ISNUMBER(S380),TEXT(S380,""yyyy-MM-dd""),REGEXREPLACE(REGEXREPLACE(TO_TEXT(S380),""[^0-9a-zA-Z]+"",""-""),""[^0-9]*$"",""""))"),"2022-03-14")</f>
        <v>2022-03-14</v>
      </c>
      <c r="U380" s="2" t="s">
        <v>8177</v>
      </c>
      <c r="Y380" s="10" t="s">
        <v>8177</v>
      </c>
    </row>
    <row r="381" ht="15.75" customHeight="1">
      <c r="A381" s="2" t="s">
        <v>1683</v>
      </c>
      <c r="B381" s="9" t="s">
        <v>7597</v>
      </c>
      <c r="C381" s="2" t="s">
        <v>7098</v>
      </c>
      <c r="D381" s="10" t="str">
        <f>IFERROR(__xludf.DUMMYFUNCTION("PROPER(REGEXREPLACE(TRIM(C381),""\s+"","" ""))"),"Hanna Williams")</f>
        <v>Hanna Williams</v>
      </c>
      <c r="E381" s="2">
        <f>IFERROR(__xludf.DUMMYFUNCTION("IF(LEN(D381:D701),
  COUNTA(SPLIT(D381:D701,"" "")),
 """")"),2.0)</f>
        <v>2</v>
      </c>
      <c r="F381" s="9" t="str">
        <f t="shared" si="167"/>
        <v>✅</v>
      </c>
      <c r="G381" s="2" t="str">
        <f>IFERROR(__xludf.DUMMYFUNCTION("REGEXEXTRACT(PROPER(SUBSTITUTE(TRIM(I381),""."","" "")),""^[^@]+"")"),"Hanna Williams")</f>
        <v>Hanna Williams</v>
      </c>
      <c r="H381" s="10" t="str">
        <f t="shared" si="168"/>
        <v>hanna.williams@yahoo.com</v>
      </c>
      <c r="I381" s="2" t="s">
        <v>7099</v>
      </c>
      <c r="J381" s="9" t="str">
        <f>IFERROR(__xludf.DUMMYFUNCTION("IF(REGEXMATCH(TRIM(I381),""^[A-Za-z0-9._%+-]+@[A-Za-z0-9.-]+\.[A-Za-z]{2,}$""),""✅ Valid"",""❌ Invalid"")"),"✅ Valid")</f>
        <v>✅ Valid</v>
      </c>
      <c r="K381" s="13" t="s">
        <v>8178</v>
      </c>
      <c r="L381" s="2" t="str">
        <f>IFERROR(__xludf.DUMMYFUNCTION("IF(OR(K381=""N/A"", K381=""missing"", K381=""none""), """",
 REGEXREPLACE(
  SUBSTITUTE(SUBSTITUTE(SUBSTITUTE(TO_TEXT(K381), CHAR(160),""""), UNICHAR(8239),""""), UNICHAR(8201),""""),""[+\-/(): )]"", """"))"),"27379287")</f>
        <v>27379287</v>
      </c>
      <c r="M381" s="2" t="str">
        <f>IFERROR(__xludf.DUMMYFUNCTION("IF(L381="""","""", REGEXEXTRACT(REGEXREPLACE(L381,""x"", """"), ""[0-9]+""))"),"27379287")</f>
        <v>27379287</v>
      </c>
      <c r="N381" s="2" t="str">
        <f>IF(LEFT(M381,2)="34", RIGHT(M381,LEN(M381)-2),M381)</f>
        <v>27379287</v>
      </c>
      <c r="O381" s="2" t="b">
        <f>IFERROR(__xludf.DUMMYFUNCTION("REGEXMATCH(TO_TEXT(N381), ""^[67]"")"),FALSE)</f>
        <v>0</v>
      </c>
      <c r="P381" s="2">
        <f t="shared" si="177"/>
        <v>8</v>
      </c>
      <c r="Q381" s="9" t="str">
        <f>IF(AND(O381=TRUE, P381=9), "✅ VALID", "❌ INVALID")</f>
        <v>❌ INVALID</v>
      </c>
      <c r="R381" s="10" t="s">
        <v>139</v>
      </c>
      <c r="S381" s="12">
        <v>45367.0</v>
      </c>
      <c r="T381" s="2" t="str">
        <f>IFERROR(__xludf.DUMMYFUNCTION("IF(ISNUMBER(S381),TEXT(S381,""yyyy-MM-dd""),REGEXREPLACE(REGEXREPLACE(TO_TEXT(S381),""[^0-9a-zA-Z]+"",""-""),""[^0-9]*$"",""""))"),"2024-03-16")</f>
        <v>2024-03-16</v>
      </c>
      <c r="U381" s="2" t="s">
        <v>6678</v>
      </c>
      <c r="Y381" s="10" t="s">
        <v>6678</v>
      </c>
    </row>
    <row r="382" ht="15.75" customHeight="1">
      <c r="A382" s="2" t="s">
        <v>5251</v>
      </c>
      <c r="B382" s="9" t="s">
        <v>7597</v>
      </c>
      <c r="C382" s="2" t="s">
        <v>973</v>
      </c>
      <c r="D382" s="10" t="str">
        <f>IFERROR(__xludf.DUMMYFUNCTION("PROPER(REGEXREPLACE(TRIM(C382),""\s+"","" ""))"),"Gabe King")</f>
        <v>Gabe King</v>
      </c>
      <c r="E382" s="2">
        <f>IFERROR(__xludf.DUMMYFUNCTION("IF(LEN(D382:D701),
  COUNTA(SPLIT(D382:D701,"" "")),
 """")"),2.0)</f>
        <v>2</v>
      </c>
      <c r="F382" s="9" t="str">
        <f t="shared" si="167"/>
        <v>✅</v>
      </c>
      <c r="G382" s="2" t="str">
        <f>IFERROR(__xludf.DUMMYFUNCTION("REGEXEXTRACT(PROPER(SUBSTITUTE(TRIM(I382),""."","" "")),""^[^@]+"")"),"Gabe King")</f>
        <v>Gabe King</v>
      </c>
      <c r="H382" s="10" t="str">
        <f t="shared" si="168"/>
        <v>gabe.king@shop.io</v>
      </c>
      <c r="I382" s="2" t="s">
        <v>974</v>
      </c>
      <c r="J382" s="9" t="str">
        <f>IFERROR(__xludf.DUMMYFUNCTION("IF(REGEXMATCH(TRIM(I382),""^[A-Za-z0-9._%+-]+@[A-Za-z0-9.-]+\.[A-Za-z]{2,}$""),""✅ Valid"",""❌ Invalid"")"),"✅ Valid")</f>
        <v>✅ Valid</v>
      </c>
      <c r="K382" s="13" t="s">
        <v>8179</v>
      </c>
      <c r="L382" s="2" t="str">
        <f>IFERROR(__xludf.DUMMYFUNCTION("IF(OR(K382=""N/A"", K382=""missing"", K382=""none""), """",
 REGEXREPLACE(
  SUBSTITUTE(SUBSTITUTE(SUBSTITUTE(TO_TEXT(K382), CHAR(160),""""), UNICHAR(8239),""""), UNICHAR(8201),""""),""[+\-/(): )]"", """"))"),"39473325829")</f>
        <v>39473325829</v>
      </c>
      <c r="M382" s="2" t="str">
        <f>IFERROR(__xludf.DUMMYFUNCTION("IF(L382="""","""", REGEXEXTRACT(REGEXREPLACE(L382,""x"", """"), ""[0-9]+""))"),"39473325829")</f>
        <v>39473325829</v>
      </c>
      <c r="N382" s="2" t="str">
        <f>IF(LEFT(M382,2)="39", RIGHT(M382,LEN(M382)-2),M382)</f>
        <v>473325829</v>
      </c>
      <c r="O382" s="2" t="b">
        <f>IFERROR(__xludf.DUMMYFUNCTION("REGEXMATCH(TO_TEXT(N382), ""^3"")"),FALSE)</f>
        <v>0</v>
      </c>
      <c r="P382" s="2">
        <f t="shared" si="177"/>
        <v>9</v>
      </c>
      <c r="Q382" s="9" t="str">
        <f>IF(AND(O382=TRUE,OR(P382=9, P382=10 )), "✅ VALID", "❌ INVALID")</f>
        <v>❌ INVALID</v>
      </c>
      <c r="R382" s="10" t="s">
        <v>785</v>
      </c>
      <c r="S382" s="12">
        <v>44574.0</v>
      </c>
      <c r="T382" s="2" t="str">
        <f>IFERROR(__xludf.DUMMYFUNCTION("IF(ISNUMBER(S382),TEXT(S382,""yyyy-MM-dd""),REGEXREPLACE(REGEXREPLACE(TO_TEXT(S382),""[^0-9a-zA-Z]+"",""-""),""[^0-9]*$"",""""))"),"2022-01-13")</f>
        <v>2022-01-13</v>
      </c>
      <c r="U382" s="2" t="s">
        <v>8180</v>
      </c>
      <c r="Y382" s="10" t="s">
        <v>8180</v>
      </c>
    </row>
    <row r="383" ht="15.75" customHeight="1">
      <c r="A383" s="2" t="s">
        <v>3910</v>
      </c>
      <c r="B383" s="9" t="s">
        <v>7597</v>
      </c>
      <c r="C383" s="2" t="s">
        <v>3458</v>
      </c>
      <c r="D383" s="10" t="str">
        <f>IFERROR(__xludf.DUMMYFUNCTION("PROPER(REGEXREPLACE(TRIM(C383),""\s+"","" ""))"),"Gabe King")</f>
        <v>Gabe King</v>
      </c>
      <c r="E383" s="2">
        <f>IFERROR(__xludf.DUMMYFUNCTION("IF(LEN(D383:D701),
  COUNTA(SPLIT(D383:D701,"" "")),
 """")"),2.0)</f>
        <v>2</v>
      </c>
      <c r="F383" s="9" t="str">
        <f t="shared" si="167"/>
        <v>✅</v>
      </c>
      <c r="G383" s="2" t="str">
        <f>IFERROR(__xludf.DUMMYFUNCTION("REGEXEXTRACT(PROPER(SUBSTITUTE(TRIM(I383),""."","" "")),""^[^@]+"")"),"Gabe King")</f>
        <v>Gabe King</v>
      </c>
      <c r="H383" s="10" t="str">
        <f t="shared" si="168"/>
        <v>gabe.king@shop.io</v>
      </c>
      <c r="I383" s="2" t="s">
        <v>3459</v>
      </c>
      <c r="J383" s="9" t="str">
        <f>IFERROR(__xludf.DUMMYFUNCTION("IF(REGEXMATCH(TRIM(I383),""^[A-Za-z0-9._%+-]+@[A-Za-z0-9.-]+\.[A-Za-z]{2,}$""),""✅ Valid"",""❌ Invalid"")"),"✅ Valid")</f>
        <v>✅ Valid</v>
      </c>
      <c r="K383" s="13" t="s">
        <v>8181</v>
      </c>
      <c r="L383" s="2" t="str">
        <f>IFERROR(__xludf.DUMMYFUNCTION("IF(OR(K383=""N/A"", K383=""missing"", K383=""none""), """",
 REGEXREPLACE(
  SUBSTITUTE(SUBSTITUTE(SUBSTITUTE(TO_TEXT(K383), CHAR(160),""""), UNICHAR(8239),""""), UNICHAR(8201),""""),""[+\-/(): )]"", """"))"),"tel35326132814")</f>
        <v>tel35326132814</v>
      </c>
      <c r="M383" s="2" t="str">
        <f>IFERROR(__xludf.DUMMYFUNCTION("IF(L383="""","""", REGEXEXTRACT(REGEXREPLACE(L383,""x"", """"), ""[0-9]+""))"),"35326132814")</f>
        <v>35326132814</v>
      </c>
      <c r="N383" s="2" t="str">
        <f>IF(LEFT(M383,3)="353", RIGHT(M383,LEN(M383)-3),M383)</f>
        <v>26132814</v>
      </c>
      <c r="O383" s="2" t="b">
        <f>IFERROR(__xludf.DUMMYFUNCTION("REGEXMATCH(TO_TEXT(N383), ""^0(83|85|86|87|89)"")"),FALSE)</f>
        <v>0</v>
      </c>
      <c r="P383" s="2">
        <f t="shared" si="177"/>
        <v>8</v>
      </c>
      <c r="Q383" s="9" t="str">
        <f>IF(AND(O383=TRUE, P380=10), "✅ VALID", "❌ INVALID")</f>
        <v>❌ INVALID</v>
      </c>
      <c r="R383" s="10" t="s">
        <v>1177</v>
      </c>
      <c r="S383" s="12">
        <v>45553.0</v>
      </c>
      <c r="T383" s="2" t="str">
        <f>IFERROR(__xludf.DUMMYFUNCTION("IF(ISNUMBER(S383),TEXT(S383,""yyyy-MM-dd""),REGEXREPLACE(REGEXREPLACE(TO_TEXT(S383),""[^0-9a-zA-Z]+"",""-""),""[^0-9]*$"",""""))"),"2024-09-18")</f>
        <v>2024-09-18</v>
      </c>
      <c r="U383" s="2" t="s">
        <v>7101</v>
      </c>
      <c r="Y383" s="10" t="s">
        <v>7101</v>
      </c>
    </row>
    <row r="384" ht="15.75" customHeight="1">
      <c r="A384" s="2" t="s">
        <v>6919</v>
      </c>
      <c r="B384" s="9" t="s">
        <v>7597</v>
      </c>
      <c r="C384" s="2" t="s">
        <v>6715</v>
      </c>
      <c r="D384" s="10" t="str">
        <f>IFERROR(__xludf.DUMMYFUNCTION("PROPER(REGEXREPLACE(TRIM(C384),""\s+"","" ""))"),"Sam Kowalczyk")</f>
        <v>Sam Kowalczyk</v>
      </c>
      <c r="E384" s="2">
        <f>IFERROR(__xludf.DUMMYFUNCTION("IF(LEN(D384:D701),
  COUNTA(SPLIT(D384:D701,"" "")),
 """")"),2.0)</f>
        <v>2</v>
      </c>
      <c r="F384" s="9" t="str">
        <f t="shared" si="167"/>
        <v>✅</v>
      </c>
      <c r="G384" s="2" t="str">
        <f>IFERROR(__xludf.DUMMYFUNCTION("REGEXEXTRACT(PROPER(SUBSTITUTE(TRIM(I384),""."","" "")),""^[^@]+"")"),"Sam Kowalczyk")</f>
        <v>Sam Kowalczyk</v>
      </c>
      <c r="H384" s="10" t="str">
        <f t="shared" si="168"/>
        <v>sam.kowalczyk@outlook.com</v>
      </c>
      <c r="I384" s="2" t="s">
        <v>6716</v>
      </c>
      <c r="J384" s="9" t="str">
        <f>IFERROR(__xludf.DUMMYFUNCTION("IF(REGEXMATCH(TRIM(I384),""^[A-Za-z0-9._%+-]+@[A-Za-z0-9.-]+\.[A-Za-z]{2,}$""),""✅ Valid"",""❌ Invalid"")"),"✅ Valid")</f>
        <v>✅ Valid</v>
      </c>
      <c r="K384" s="13" t="s">
        <v>8182</v>
      </c>
      <c r="L384" s="2" t="str">
        <f>IFERROR(__xludf.DUMMYFUNCTION("IF(OR(K384=""N/A"", K384=""missing"", K384=""none""), """",
 REGEXREPLACE(
  SUBSTITUTE(SUBSTITUTE(SUBSTITUTE(TO_TEXT(K384), CHAR(160),""""), UNICHAR(8239),""""), UNICHAR(8201),""""),""[+\-/(): )]"", """"))"),"4937562306320")</f>
        <v>4937562306320</v>
      </c>
      <c r="M384" s="2" t="str">
        <f>IFERROR(__xludf.DUMMYFUNCTION("IF(L384="""","""", REGEXEXTRACT(REGEXREPLACE(L384,""x"", """"), ""[0-9]+""))"),"4937562306320")</f>
        <v>4937562306320</v>
      </c>
      <c r="N384" s="2" t="str">
        <f t="shared" ref="N384:N385" si="179">IF(LEFT(M384,2)="49", RIGHT(M384,LEN(M384)-2),M384)</f>
        <v>37562306320</v>
      </c>
      <c r="O384" s="2" t="b">
        <f>IFERROR(__xludf.DUMMYFUNCTION("REGEXMATCH(TO_TEXT(N384), ""^0(15|16|17)"")"),FALSE)</f>
        <v>0</v>
      </c>
      <c r="P384" s="2">
        <f t="shared" si="177"/>
        <v>11</v>
      </c>
      <c r="Q384" s="9" t="str">
        <f t="shared" ref="Q384:Q385" si="180">IF(AND(O384=TRUE,OR(P384=10, P384=11)), "✅ VALID", "❌ INVALID")</f>
        <v>❌ INVALID</v>
      </c>
      <c r="R384" s="10" t="s">
        <v>459</v>
      </c>
      <c r="S384" s="12">
        <v>45131.0</v>
      </c>
      <c r="T384" s="2" t="str">
        <f>IFERROR(__xludf.DUMMYFUNCTION("IF(ISNUMBER(S384),TEXT(S384,""yyyy-MM-dd""),REGEXREPLACE(REGEXREPLACE(TO_TEXT(S384),""[^0-9a-zA-Z]+"",""-""),""[^0-9]*$"",""""))"),"2023-07-24")</f>
        <v>2023-07-24</v>
      </c>
      <c r="U384" s="2" t="s">
        <v>745</v>
      </c>
      <c r="Y384" s="10" t="s">
        <v>745</v>
      </c>
    </row>
    <row r="385" ht="15.75" customHeight="1">
      <c r="A385" s="2" t="s">
        <v>1437</v>
      </c>
      <c r="B385" s="9" t="s">
        <v>7597</v>
      </c>
      <c r="C385" s="2" t="s">
        <v>2311</v>
      </c>
      <c r="D385" s="10" t="str">
        <f>IFERROR(__xludf.DUMMYFUNCTION("PROPER(REGEXREPLACE(TRIM(C385),""\s+"","" ""))"),"Sam Williams")</f>
        <v>Sam Williams</v>
      </c>
      <c r="E385" s="2">
        <f>IFERROR(__xludf.DUMMYFUNCTION("IF(LEN(D385:D701),
  COUNTA(SPLIT(D385:D701,"" "")),
 """")"),2.0)</f>
        <v>2</v>
      </c>
      <c r="F385" s="9" t="str">
        <f t="shared" si="167"/>
        <v>❌</v>
      </c>
      <c r="G385" s="2" t="s">
        <v>8183</v>
      </c>
      <c r="H385" s="10" t="str">
        <f t="shared" si="168"/>
        <v>sma.williams@yahoo.com</v>
      </c>
      <c r="I385" s="2" t="s">
        <v>2312</v>
      </c>
      <c r="J385" s="9" t="str">
        <f>IFERROR(__xludf.DUMMYFUNCTION("IF(REGEXMATCH(TRIM(I385),""^[A-Za-z0-9._%+-]+@[A-Za-z0-9.-]+\.[A-Za-z]{2,}$""),""✅ Valid"",""❌ Invalid"")"),"✅ Valid")</f>
        <v>✅ Valid</v>
      </c>
      <c r="K385" s="13" t="s">
        <v>8184</v>
      </c>
      <c r="L385" s="2" t="str">
        <f>IFERROR(__xludf.DUMMYFUNCTION("IF(OR(K385=""N/A"", K385=""missing"", K385=""none""), """",
 REGEXREPLACE(
  SUBSTITUTE(SUBSTITUTE(SUBSTITUTE(TO_TEXT(K385), CHAR(160),""""), UNICHAR(8239),""""), UNICHAR(8201),""""),""[+\-/(): )]"", """"))"),"490494241548")</f>
        <v>490494241548</v>
      </c>
      <c r="M385" s="2" t="str">
        <f>IFERROR(__xludf.DUMMYFUNCTION("IF(L385="""","""", REGEXEXTRACT(REGEXREPLACE(L385,""x"", """"), ""[0-9]+""))"),"490494241548")</f>
        <v>490494241548</v>
      </c>
      <c r="N385" s="2" t="str">
        <f t="shared" si="179"/>
        <v>0494241548</v>
      </c>
      <c r="O385" s="2" t="b">
        <f>IFERROR(__xludf.DUMMYFUNCTION("REGEXMATCH(TO_TEXT(N385), ""^0(15|16|17)"")"),FALSE)</f>
        <v>0</v>
      </c>
      <c r="P385" s="2">
        <f t="shared" si="177"/>
        <v>10</v>
      </c>
      <c r="Q385" s="9" t="str">
        <f t="shared" si="180"/>
        <v>❌ INVALID</v>
      </c>
      <c r="R385" s="10" t="s">
        <v>459</v>
      </c>
      <c r="S385" s="12">
        <v>45131.0</v>
      </c>
      <c r="T385" s="2" t="str">
        <f>IFERROR(__xludf.DUMMYFUNCTION("IF(ISNUMBER(S385),TEXT(S385,""yyyy-MM-dd""),REGEXREPLACE(REGEXREPLACE(TO_TEXT(S385),""[^0-9a-zA-Z]+"",""-""),""[^0-9]*$"",""""))"),"2023-07-24")</f>
        <v>2023-07-24</v>
      </c>
      <c r="U385" s="2" t="s">
        <v>745</v>
      </c>
      <c r="Y385" s="10" t="s">
        <v>745</v>
      </c>
    </row>
    <row r="386" ht="15.75" customHeight="1">
      <c r="A386" s="2" t="s">
        <v>1802</v>
      </c>
      <c r="B386" s="9" t="s">
        <v>7597</v>
      </c>
      <c r="C386" s="2" t="s">
        <v>3300</v>
      </c>
      <c r="D386" s="10" t="str">
        <f>IFERROR(__xludf.DUMMYFUNCTION("PROPER(REGEXREPLACE(TRIM(C386),""\s+"","" ""))"),"Marek Martinez")</f>
        <v>Marek Martinez</v>
      </c>
      <c r="E386" s="2">
        <f>IFERROR(__xludf.DUMMYFUNCTION("IF(LEN(D386:D701),
  COUNTA(SPLIT(D386:D701,"" "")),
 """")"),2.0)</f>
        <v>2</v>
      </c>
      <c r="F386" s="9" t="str">
        <f t="shared" si="167"/>
        <v>✅</v>
      </c>
      <c r="G386" s="2" t="str">
        <f>IFERROR(__xludf.DUMMYFUNCTION("REGEXEXTRACT(PROPER(SUBSTITUTE(TRIM(I386),""."","" "")),""^[^@]+"")"),"Marek Martinez")</f>
        <v>Marek Martinez</v>
      </c>
      <c r="H386" s="10" t="str">
        <f t="shared" si="168"/>
        <v>marek.martinez@otulook.com</v>
      </c>
      <c r="I386" s="2" t="s">
        <v>3301</v>
      </c>
      <c r="J386" s="9" t="str">
        <f>IFERROR(__xludf.DUMMYFUNCTION("IF(REGEXMATCH(TRIM(I386),""^[A-Za-z0-9._%+-]+@[A-Za-z0-9.-]+\.[A-Za-z]{2,}$""),""✅ Valid"",""❌ Invalid"")"),"✅ Valid")</f>
        <v>✅ Valid</v>
      </c>
      <c r="K386" s="17" t="s">
        <v>8185</v>
      </c>
      <c r="L386" s="2" t="str">
        <f>IFERROR(__xludf.DUMMYFUNCTION("IF(K386=""N/A"", """",
 REGEXREPLACE(
  SUBSTITUTE(SUBSTITUTE(SUBSTITUTE(TO_TEXT(K386), CHAR(160),""""), UNICHAR(8239),""""), UNICHAR(8201),""""),""[+\-/(): )]"", """"))"),"48637204126")</f>
        <v>48637204126</v>
      </c>
      <c r="M386" s="2" t="str">
        <f>IFERROR(__xludf.DUMMYFUNCTION("IF(L386="""","""", REGEXEXTRACT(REGEXREPLACE(L386,""x"", """"), ""[0-9]+""))"),"48637204126")</f>
        <v>48637204126</v>
      </c>
      <c r="N386" s="2" t="str">
        <f>IF(LEFT(M386,2)="48", RIGHT(M386,LEN(M386)-2),M386)</f>
        <v>637204126</v>
      </c>
      <c r="O386" s="2" t="b">
        <f>IFERROR(__xludf.DUMMYFUNCTION("REGEXMATCH(TO_TEXT(N386), ""^(5[013679]|6[069]|7[2-9]|88)"")"),FALSE)</f>
        <v>0</v>
      </c>
      <c r="Q386" s="9" t="str">
        <f t="shared" ref="Q386:Q387" si="181">IF(AND(O386=TRUE, P386=9), "✅ VALID", "❌ INVALID")</f>
        <v>❌ INVALID</v>
      </c>
      <c r="R386" s="10" t="s">
        <v>25</v>
      </c>
      <c r="S386" s="12">
        <v>45631.96111111111</v>
      </c>
      <c r="T386" s="2" t="str">
        <f>IFERROR(__xludf.DUMMYFUNCTION("IF(ISNUMBER(S386),TEXT(S386,""yyyy-MM-dd""),REGEXREPLACE(REGEXREPLACE(TO_TEXT(S386),""[^0-9a-zA-Z]+"",""-""),""[^0-9]*$"",""""))"),"2024-12-05")</f>
        <v>2024-12-05</v>
      </c>
      <c r="U386" s="2" t="s">
        <v>6695</v>
      </c>
      <c r="Y386" s="10" t="s">
        <v>6695</v>
      </c>
    </row>
    <row r="387" ht="15.75" customHeight="1">
      <c r="A387" s="2" t="s">
        <v>445</v>
      </c>
      <c r="B387" s="9" t="s">
        <v>7597</v>
      </c>
      <c r="C387" s="2" t="s">
        <v>5270</v>
      </c>
      <c r="D387" s="10" t="str">
        <f>IFERROR(__xludf.DUMMYFUNCTION("PROPER(REGEXREPLACE(TRIM(C387),""\s+"","" ""))"),"Sam King")</f>
        <v>Sam King</v>
      </c>
      <c r="E387" s="2">
        <f>IFERROR(__xludf.DUMMYFUNCTION("IF(LEN(D387:D701),
  COUNTA(SPLIT(D387:D701,"" "")),
 """")"),2.0)</f>
        <v>2</v>
      </c>
      <c r="F387" s="9" t="str">
        <f t="shared" si="167"/>
        <v>✅</v>
      </c>
      <c r="G387" s="2" t="str">
        <f>IFERROR(__xludf.DUMMYFUNCTION("REGEXEXTRACT(PROPER(SUBSTITUTE(TRIM(I387),""."","" "")),""^[^@]+"")"),"Sam King")</f>
        <v>Sam King</v>
      </c>
      <c r="H387" s="10" t="str">
        <f t="shared" si="168"/>
        <v>sam.king@company.co.uk</v>
      </c>
      <c r="I387" s="2" t="s">
        <v>5271</v>
      </c>
      <c r="J387" s="9" t="str">
        <f>IFERROR(__xludf.DUMMYFUNCTION("IF(REGEXMATCH(TRIM(I387),""^[A-Za-z0-9._%+-]+@[A-Za-z0-9.-]+\.[A-Za-z]{2,}$""),""✅ Valid"",""❌ Invalid"")"),"✅ Valid")</f>
        <v>✅ Valid</v>
      </c>
      <c r="K387" s="13" t="s">
        <v>8186</v>
      </c>
      <c r="L387" s="2" t="str">
        <f>IFERROR(__xludf.DUMMYFUNCTION("IF(OR(K387=""N/A"", K387=""missing"", K387=""none""), """",
 REGEXREPLACE(
  SUBSTITUTE(SUBSTITUTE(SUBSTITUTE(TO_TEXT(K387), CHAR(160),""""), UNICHAR(8239),""""), UNICHAR(8201),""""),""[+\-/(): )]"", """"))"),"33044750880")</f>
        <v>33044750880</v>
      </c>
      <c r="M387" s="2" t="str">
        <f>IFERROR(__xludf.DUMMYFUNCTION("IF(L387="""","""", REGEXEXTRACT(REGEXREPLACE(L387,""x"", """"), ""[0-9]+""))"),"33044750880")</f>
        <v>33044750880</v>
      </c>
      <c r="N387" s="2" t="str">
        <f>IF(LEFT(M387,2)="33", RIGHT(M387,LEN(M387)-2),M387)</f>
        <v>044750880</v>
      </c>
      <c r="O387" s="2" t="b">
        <f>IFERROR(__xludf.DUMMYFUNCTION("REGEXMATCH(TO_TEXT(N387), ""^0[67]"")"),FALSE)</f>
        <v>0</v>
      </c>
      <c r="P387" s="2">
        <f t="shared" ref="P387:P399" si="182">LEN(N387)</f>
        <v>9</v>
      </c>
      <c r="Q387" s="9" t="str">
        <f t="shared" si="181"/>
        <v>❌ INVALID</v>
      </c>
      <c r="R387" s="10" t="s">
        <v>58</v>
      </c>
      <c r="S387" s="12">
        <v>44884.0</v>
      </c>
      <c r="T387" s="2" t="str">
        <f>IFERROR(__xludf.DUMMYFUNCTION("IF(ISNUMBER(S387),TEXT(S387,""yyyy-MM-dd""),REGEXREPLACE(REGEXREPLACE(TO_TEXT(S387),""[^0-9a-zA-Z]+"",""-""),""[^0-9]*$"",""""))"),"2022-11-19")</f>
        <v>2022-11-19</v>
      </c>
      <c r="U387" s="2" t="s">
        <v>8187</v>
      </c>
      <c r="Y387" s="10" t="s">
        <v>8187</v>
      </c>
    </row>
    <row r="388" ht="15.75" customHeight="1">
      <c r="A388" s="2" t="s">
        <v>3771</v>
      </c>
      <c r="B388" s="9" t="s">
        <v>7597</v>
      </c>
      <c r="C388" s="2" t="s">
        <v>497</v>
      </c>
      <c r="D388" s="10" t="str">
        <f>IFERROR(__xludf.DUMMYFUNCTION("PROPER(REGEXREPLACE(TRIM(C388),""\s+"","" ""))"),"Ethan Walker")</f>
        <v>Ethan Walker</v>
      </c>
      <c r="E388" s="2">
        <f>IFERROR(__xludf.DUMMYFUNCTION("IF(LEN(D388:D701),
  COUNTA(SPLIT(D388:D701,"" "")),
 """")"),2.0)</f>
        <v>2</v>
      </c>
      <c r="F388" s="9" t="str">
        <f t="shared" si="167"/>
        <v>✅</v>
      </c>
      <c r="G388" s="2" t="str">
        <f>IFERROR(__xludf.DUMMYFUNCTION("REGEXEXTRACT(PROPER(SUBSTITUTE(TRIM(I388),""."","" "")),""^[^@]+"")"),"Ethan Walker")</f>
        <v>Ethan Walker</v>
      </c>
      <c r="H388" s="10" t="str">
        <f t="shared" si="168"/>
        <v>ethan.walker@gmail.ocm</v>
      </c>
      <c r="I388" s="2" t="s">
        <v>3310</v>
      </c>
      <c r="J388" s="9" t="str">
        <f>IFERROR(__xludf.DUMMYFUNCTION("IF(REGEXMATCH(TRIM(I388),""^[A-Za-z0-9._%+-]+@[A-Za-z0-9.-]+\.[A-Za-z]{2,}$""),""✅ Valid"",""❌ Invalid"")"),"✅ Valid")</f>
        <v>✅ Valid</v>
      </c>
      <c r="K388" s="13" t="s">
        <v>8188</v>
      </c>
      <c r="L388" s="2" t="str">
        <f>IFERROR(__xludf.DUMMYFUNCTION("IF(OR(K388=""N/A"", K388=""missing"", K388=""none""), """",
 REGEXREPLACE(
  SUBSTITUTE(SUBSTITUTE(SUBSTITUTE(TO_TEXT(K388), CHAR(160),""""), UNICHAR(8239),""""), UNICHAR(8201),""""),""[+\-/(): )]"", """"))"),"49931722935x")</f>
        <v>49931722935x</v>
      </c>
      <c r="M388" s="2" t="str">
        <f>IFERROR(__xludf.DUMMYFUNCTION("IF(L388="""","""", REGEXEXTRACT(REGEXREPLACE(L388,""x"", """"), ""[0-9]+""))"),"49931722935")</f>
        <v>49931722935</v>
      </c>
      <c r="N388" s="2" t="str">
        <f>IF(LEFT(M388,2)="49", RIGHT(M388,LEN(M388)-2),M388)</f>
        <v>931722935</v>
      </c>
      <c r="O388" s="2" t="b">
        <f>IFERROR(__xludf.DUMMYFUNCTION("REGEXMATCH(TO_TEXT(N388), ""^0(15|16|17)"")"),FALSE)</f>
        <v>0</v>
      </c>
      <c r="P388" s="2">
        <f t="shared" si="182"/>
        <v>9</v>
      </c>
      <c r="Q388" s="9" t="str">
        <f>IF(AND(O388=TRUE,OR(P388=10, P388=11)), "✅ VALID", "❌ INVALID")</f>
        <v>❌ INVALID</v>
      </c>
      <c r="R388" s="10" t="s">
        <v>459</v>
      </c>
      <c r="S388" s="12">
        <v>45000.0</v>
      </c>
      <c r="T388" s="2" t="str">
        <f>IFERROR(__xludf.DUMMYFUNCTION("IF(ISNUMBER(S388),TEXT(S388,""yyyy-MM-dd""),REGEXREPLACE(REGEXREPLACE(TO_TEXT(S388),""[^0-9a-zA-Z]+"",""-""),""[^0-9]*$"",""""))"),"2023-03-15")</f>
        <v>2023-03-15</v>
      </c>
      <c r="U388" s="2" t="s">
        <v>6514</v>
      </c>
      <c r="Y388" s="10" t="s">
        <v>6514</v>
      </c>
    </row>
    <row r="389" ht="15.75" customHeight="1">
      <c r="A389" s="2" t="s">
        <v>6481</v>
      </c>
      <c r="B389" s="9" t="s">
        <v>7597</v>
      </c>
      <c r="C389" s="2" t="s">
        <v>3151</v>
      </c>
      <c r="D389" s="10" t="str">
        <f>IFERROR(__xludf.DUMMYFUNCTION("PROPER(REGEXREPLACE(TRIM(C389),""\s+"","" ""))"),"Hanna Lopez")</f>
        <v>Hanna Lopez</v>
      </c>
      <c r="E389" s="2">
        <f>IFERROR(__xludf.DUMMYFUNCTION("IF(LEN(D389:D701),
  COUNTA(SPLIT(D389:D701,"" "")),
 """")"),2.0)</f>
        <v>2</v>
      </c>
      <c r="F389" s="9" t="str">
        <f t="shared" si="167"/>
        <v>✅</v>
      </c>
      <c r="G389" s="2" t="str">
        <f>IFERROR(__xludf.DUMMYFUNCTION("REGEXEXTRACT(PROPER(SUBSTITUTE(TRIM(I389),""."","" "")),""^[^@]+"")"),"Hanna Lopez")</f>
        <v>Hanna Lopez</v>
      </c>
      <c r="H389" s="10" t="str">
        <f t="shared" si="168"/>
        <v>hanna.lopez@example.com</v>
      </c>
      <c r="I389" s="2" t="s">
        <v>3805</v>
      </c>
      <c r="J389" s="9" t="str">
        <f>IFERROR(__xludf.DUMMYFUNCTION("IF(REGEXMATCH(TRIM(I389),""^[A-Za-z0-9._%+-]+@[A-Za-z0-9.-]+\.[A-Za-z]{2,}$""),""✅ Valid"",""❌ Invalid"")"),"✅ Valid")</f>
        <v>✅ Valid</v>
      </c>
      <c r="K389" s="13" t="s">
        <v>7926</v>
      </c>
      <c r="L389" s="2" t="str">
        <f>IFERROR(__xludf.DUMMYFUNCTION("IF(OR(K389=""N/A"", K389=""missing"", K389=""none""), """",
 REGEXREPLACE(
  SUBSTITUTE(SUBSTITUTE(SUBSTITUTE(TO_TEXT(K389), CHAR(160),""""), UNICHAR(8239),""""), UNICHAR(8201),""""),""[+\-/(): )]"", """"))"),"")</f>
        <v/>
      </c>
      <c r="M389" s="2" t="str">
        <f>IFERROR(__xludf.DUMMYFUNCTION("IF(L389="""","""", REGEXEXTRACT(REGEXREPLACE(L389,""x"", """"), ""[0-9]+""))"),"")</f>
        <v/>
      </c>
      <c r="N389" s="2" t="str">
        <f>IF(LEFT(M389,3)="353", RIGHT(M389,LEN(M389)-3),M389)</f>
        <v/>
      </c>
      <c r="O389" s="2" t="b">
        <f>IFERROR(__xludf.DUMMYFUNCTION("REGEXMATCH(TO_TEXT(N389), ""^0(83|85|86|87|89)"")"),FALSE)</f>
        <v>0</v>
      </c>
      <c r="P389" s="2">
        <f t="shared" si="182"/>
        <v>0</v>
      </c>
      <c r="Q389" s="9" t="str">
        <f>IF(AND(O389=TRUE, P386=10), "✅ VALID", "❌ INVALID")</f>
        <v>❌ INVALID</v>
      </c>
      <c r="R389" s="10" t="s">
        <v>1177</v>
      </c>
      <c r="S389" s="12">
        <v>45364.0</v>
      </c>
      <c r="T389" s="2" t="str">
        <f>IFERROR(__xludf.DUMMYFUNCTION("IF(ISNUMBER(S389),TEXT(S389,""yyyy-MM-dd""),REGEXREPLACE(REGEXREPLACE(TO_TEXT(S389),""[^0-9a-zA-Z]+"",""-""),""[^0-9]*$"",""""))"),"2024-03-13")</f>
        <v>2024-03-13</v>
      </c>
      <c r="U389" s="2" t="s">
        <v>7362</v>
      </c>
      <c r="Y389" s="10" t="s">
        <v>7362</v>
      </c>
    </row>
    <row r="390" ht="15.75" customHeight="1">
      <c r="A390" s="2" t="s">
        <v>6013</v>
      </c>
      <c r="B390" s="9" t="s">
        <v>7597</v>
      </c>
      <c r="C390" s="2" t="s">
        <v>111</v>
      </c>
      <c r="D390" s="10" t="str">
        <f>IFERROR(__xludf.DUMMYFUNCTION("PROPER(REGEXREPLACE(TRIM(C390),""\s+"","" ""))"),"Gabe Garcia")</f>
        <v>Gabe Garcia</v>
      </c>
      <c r="E390" s="2">
        <f>IFERROR(__xludf.DUMMYFUNCTION("IF(LEN(D390:D701),
  COUNTA(SPLIT(D390:D701,"" "")),
 """")"),2.0)</f>
        <v>2</v>
      </c>
      <c r="F390" s="9" t="str">
        <f t="shared" si="167"/>
        <v>✅</v>
      </c>
      <c r="G390" s="2" t="str">
        <f>IFERROR(__xludf.DUMMYFUNCTION("REGEXEXTRACT(PROPER(SUBSTITUTE(TRIM(I390),""."","" "")),""^[^@]+"")"),"Gabe Garcia")</f>
        <v>Gabe Garcia</v>
      </c>
      <c r="H390" s="10" t="str">
        <f t="shared" si="168"/>
        <v>gabe.garcia@example.com</v>
      </c>
      <c r="I390" s="2" t="s">
        <v>112</v>
      </c>
      <c r="J390" s="9" t="str">
        <f>IFERROR(__xludf.DUMMYFUNCTION("IF(REGEXMATCH(TRIM(I390),""^[A-Za-z0-9._%+-]+@[A-Za-z0-9.-]+\.[A-Za-z]{2,}$""),""✅ Valid"",""❌ Invalid"")"),"✅ Valid")</f>
        <v>✅ Valid</v>
      </c>
      <c r="K390" s="13" t="s">
        <v>8189</v>
      </c>
      <c r="L390" s="2" t="str">
        <f>IFERROR(__xludf.DUMMYFUNCTION("IF(OR(K390=""N/A"", K390=""missing"", K390=""none""), """",
 REGEXREPLACE(
  SUBSTITUTE(SUBSTITUTE(SUBSTITUTE(TO_TEXT(K390), CHAR(160),""""), UNICHAR(8239),""""), UNICHAR(8201),""""),""[+\-/(): )]"", """"))"),"3461681068")</f>
        <v>3461681068</v>
      </c>
      <c r="M390" s="2" t="str">
        <f>IFERROR(__xludf.DUMMYFUNCTION("IF(L390="""","""", REGEXEXTRACT(REGEXREPLACE(L390,""x"", """"), ""[0-9]+""))"),"3461681068")</f>
        <v>3461681068</v>
      </c>
      <c r="N390" s="2" t="str">
        <f>IF(LEFT(M390,2)="34", RIGHT(M390,LEN(M390)-2),M390)</f>
        <v>61681068</v>
      </c>
      <c r="O390" s="2" t="b">
        <f>IFERROR(__xludf.DUMMYFUNCTION("REGEXMATCH(TO_TEXT(N390), ""^[67]"")"),TRUE)</f>
        <v>1</v>
      </c>
      <c r="P390" s="2">
        <f t="shared" si="182"/>
        <v>8</v>
      </c>
      <c r="Q390" s="9" t="str">
        <f t="shared" ref="Q390:Q391" si="183">IF(AND(O390=TRUE, P390=9), "✅ VALID", "❌ INVALID")</f>
        <v>❌ INVALID</v>
      </c>
      <c r="R390" s="10" t="s">
        <v>139</v>
      </c>
      <c r="S390" s="12">
        <v>45080.0</v>
      </c>
      <c r="T390" s="2" t="str">
        <f>IFERROR(__xludf.DUMMYFUNCTION("IF(ISNUMBER(S390),TEXT(S390,""yyyy-MM-dd""),REGEXREPLACE(REGEXREPLACE(TO_TEXT(S390),""[^0-9a-zA-Z]+"",""-""),""[^0-9]*$"",""""))"),"2023-06-03")</f>
        <v>2023-06-03</v>
      </c>
      <c r="U390" s="2" t="s">
        <v>8190</v>
      </c>
      <c r="Y390" s="10" t="s">
        <v>8190</v>
      </c>
    </row>
    <row r="391" ht="15.75" customHeight="1">
      <c r="A391" s="2" t="s">
        <v>3944</v>
      </c>
      <c r="B391" s="9" t="s">
        <v>7597</v>
      </c>
      <c r="C391" s="2" t="s">
        <v>2912</v>
      </c>
      <c r="D391" s="10" t="str">
        <f>IFERROR(__xludf.DUMMYFUNCTION("PROPER(REGEXREPLACE(TRIM(C391),""\s+"","" ""))"),"Uma Novak")</f>
        <v>Uma Novak</v>
      </c>
      <c r="E391" s="2">
        <f>IFERROR(__xludf.DUMMYFUNCTION("IF(LEN(D391:D701),
  COUNTA(SPLIT(D391:D701,"" "")),
 """")"),2.0)</f>
        <v>2</v>
      </c>
      <c r="F391" s="9" t="str">
        <f t="shared" si="167"/>
        <v>✅</v>
      </c>
      <c r="G391" s="2" t="str">
        <f>IFERROR(__xludf.DUMMYFUNCTION("REGEXEXTRACT(PROPER(SUBSTITUTE(TRIM(I391),""."","" "")),""^[^@]+"")"),"Uma Novak")</f>
        <v>Uma Novak</v>
      </c>
      <c r="H391" s="10" t="str">
        <f t="shared" si="168"/>
        <v>uma.novak@example.com</v>
      </c>
      <c r="I391" s="2" t="s">
        <v>2913</v>
      </c>
      <c r="J391" s="9" t="str">
        <f>IFERROR(__xludf.DUMMYFUNCTION("IF(REGEXMATCH(TRIM(I391),""^[A-Za-z0-9._%+-]+@[A-Za-z0-9.-]+\.[A-Za-z]{2,}$""),""✅ Valid"",""❌ Invalid"")"),"✅ Valid")</f>
        <v>✅ Valid</v>
      </c>
      <c r="K391" s="13"/>
      <c r="L391" s="2" t="str">
        <f>IFERROR(__xludf.DUMMYFUNCTION("IF(OR(K391=""N/A"", K391=""missing"", K391=""none""), """",
 REGEXREPLACE(
  SUBSTITUTE(SUBSTITUTE(SUBSTITUTE(TO_TEXT(K391), CHAR(160),""""), UNICHAR(8239),""""), UNICHAR(8201),""""),""[+\-/(): )]"", """"))"),"")</f>
        <v/>
      </c>
      <c r="M391" s="2" t="str">
        <f>IFERROR(__xludf.DUMMYFUNCTION("IF(L391="""","""", REGEXEXTRACT(REGEXREPLACE(L391,""x"", """"), ""[0-9]+""))"),"")</f>
        <v/>
      </c>
      <c r="N391" s="2" t="str">
        <f>IF(LEFT(M391,2)="33", RIGHT(M391,LEN(M391)-2),M391)</f>
        <v/>
      </c>
      <c r="O391" s="2" t="b">
        <f>IFERROR(__xludf.DUMMYFUNCTION("REGEXMATCH(TO_TEXT(N391), ""^0[67]"")"),FALSE)</f>
        <v>0</v>
      </c>
      <c r="P391" s="2">
        <f t="shared" si="182"/>
        <v>0</v>
      </c>
      <c r="Q391" s="9" t="str">
        <f t="shared" si="183"/>
        <v>❌ INVALID</v>
      </c>
      <c r="R391" s="10" t="s">
        <v>58</v>
      </c>
      <c r="S391" s="12">
        <v>45642.28472222222</v>
      </c>
      <c r="T391" s="2" t="str">
        <f>IFERROR(__xludf.DUMMYFUNCTION("IF(ISNUMBER(S391),TEXT(S391,""yyyy-MM-dd""),REGEXREPLACE(REGEXREPLACE(TO_TEXT(S391),""[^0-9a-zA-Z]+"",""-""),""[^0-9]*$"",""""))"),"2024-12-16")</f>
        <v>2024-12-16</v>
      </c>
      <c r="U391" s="2" t="s">
        <v>8191</v>
      </c>
      <c r="Y391" s="10" t="s">
        <v>8191</v>
      </c>
    </row>
    <row r="392" ht="15.75" customHeight="1">
      <c r="A392" s="2" t="s">
        <v>1028</v>
      </c>
      <c r="B392" s="9" t="s">
        <v>7597</v>
      </c>
      <c r="C392" s="2" t="s">
        <v>1684</v>
      </c>
      <c r="D392" s="10" t="str">
        <f>IFERROR(__xludf.DUMMYFUNCTION("PROPER(REGEXREPLACE(TRIM(C392),""\s+"","" ""))"),"Ethan Khan")</f>
        <v>Ethan Khan</v>
      </c>
      <c r="E392" s="2">
        <f>IFERROR(__xludf.DUMMYFUNCTION("IF(LEN(D392:D701),
  COUNTA(SPLIT(D392:D701,"" "")),
 """")"),2.0)</f>
        <v>2</v>
      </c>
      <c r="F392" s="9" t="str">
        <f t="shared" si="167"/>
        <v>✅</v>
      </c>
      <c r="G392" s="2" t="str">
        <f>IFERROR(__xludf.DUMMYFUNCTION("REGEXEXTRACT(PROPER(SUBSTITUTE(TRIM(I392),""."","" "")),""^[^@]+"")"),"Ethan Khan")</f>
        <v>Ethan Khan</v>
      </c>
      <c r="H392" s="10" t="str">
        <f t="shared" si="168"/>
        <v>ethan.khan@example.com</v>
      </c>
      <c r="I392" s="2" t="s">
        <v>1685</v>
      </c>
      <c r="J392" s="9" t="str">
        <f>IFERROR(__xludf.DUMMYFUNCTION("IF(REGEXMATCH(TRIM(I392),""^[A-Za-z0-9._%+-]+@[A-Za-z0-9.-]+\.[A-Za-z]{2,}$""),""✅ Valid"",""❌ Invalid"")"),"✅ Valid")</f>
        <v>✅ Valid</v>
      </c>
      <c r="K392" s="13" t="s">
        <v>8192</v>
      </c>
      <c r="L392" s="2" t="str">
        <f>IFERROR(__xludf.DUMMYFUNCTION("IF(OR(K392=""N/A"", K392=""missing"", K392=""none""), """",
 REGEXREPLACE(
  SUBSTITUTE(SUBSTITUTE(SUBSTITUTE(TO_TEXT(K392), CHAR(160),""""), UNICHAR(8239),""""), UNICHAR(8201),""""),""[+\-/(): )]"", """"))"),"4432995550111")</f>
        <v>4432995550111</v>
      </c>
      <c r="M392" s="2" t="str">
        <f>IFERROR(__xludf.DUMMYFUNCTION("IF(L392="""","""", REGEXEXTRACT(REGEXREPLACE(L392,""x"", """"), ""[0-9]+""))"),"4432995550111")</f>
        <v>4432995550111</v>
      </c>
      <c r="N392" s="2" t="str">
        <f t="shared" ref="N392:N393" si="184">IF(LEFT(M392,2)="44", RIGHT(M392,LEN(M392)-2),M392)</f>
        <v>32995550111</v>
      </c>
      <c r="O392" s="2" t="b">
        <f>IFERROR(__xludf.DUMMYFUNCTION("REGEXMATCH(TO_TEXT(N392), ""^07[1-57-9]"")"),FALSE)</f>
        <v>0</v>
      </c>
      <c r="P392" s="2">
        <f t="shared" si="182"/>
        <v>11</v>
      </c>
      <c r="Q392" s="9" t="str">
        <f t="shared" ref="Q392:Q393" si="185">IF(AND(O392=TRUE, P392=11), "✅ VALID", "❌ INVALID")</f>
        <v>❌ INVALID</v>
      </c>
      <c r="R392" s="10" t="s">
        <v>114</v>
      </c>
      <c r="S392" s="12" t="s">
        <v>6821</v>
      </c>
      <c r="T392" s="2" t="str">
        <f>IFERROR(__xludf.DUMMYFUNCTION("IF(ISNUMBER(S392),TEXT(S392,""yyyy-MM-dd""),REGEXREPLACE(REGEXREPLACE(TO_TEXT(S392),""[^0-9a-zA-Z]+"",""-""),""[^0-9]*$"",""""))"),"12-02-2025")</f>
        <v>12-02-2025</v>
      </c>
      <c r="U392" s="2" t="s">
        <v>8193</v>
      </c>
      <c r="Y392" s="10" t="s">
        <v>8193</v>
      </c>
    </row>
    <row r="393" ht="15.75" customHeight="1">
      <c r="A393" s="2" t="s">
        <v>3895</v>
      </c>
      <c r="B393" s="9" t="s">
        <v>7597</v>
      </c>
      <c r="C393" s="2" t="s">
        <v>3904</v>
      </c>
      <c r="D393" s="10" t="str">
        <f>IFERROR(__xludf.DUMMYFUNCTION("PROPER(REGEXREPLACE(TRIM(C393),""\s+"","" ""))"),"Gabe Martinez")</f>
        <v>Gabe Martinez</v>
      </c>
      <c r="E393" s="2">
        <f>IFERROR(__xludf.DUMMYFUNCTION("IF(LEN(D393:D701),
  COUNTA(SPLIT(D393:D701,"" "")),
 """")"),2.0)</f>
        <v>2</v>
      </c>
      <c r="F393" s="9" t="str">
        <f t="shared" si="167"/>
        <v>✅</v>
      </c>
      <c r="G393" s="2" t="str">
        <f>IFERROR(__xludf.DUMMYFUNCTION("REGEXEXTRACT(PROPER(SUBSTITUTE(TRIM(I393),""."","" "")),""^[^@]+"")"),"Gabe Martinez")</f>
        <v>Gabe Martinez</v>
      </c>
      <c r="H393" s="10" t="str">
        <f t="shared" si="168"/>
        <v>gabe.martinez@yahoo.com</v>
      </c>
      <c r="I393" s="2" t="s">
        <v>5252</v>
      </c>
      <c r="J393" s="9" t="str">
        <f>IFERROR(__xludf.DUMMYFUNCTION("IF(REGEXMATCH(TRIM(I393),""^[A-Za-z0-9._%+-]+@[A-Za-z0-9.-]+\.[A-Za-z]{2,}$""),""✅ Valid"",""❌ Invalid"")"),"✅ Valid")</f>
        <v>✅ Valid</v>
      </c>
      <c r="K393" s="11">
        <v>1.4866113649E10</v>
      </c>
      <c r="L393" s="2" t="str">
        <f>IFERROR(__xludf.DUMMYFUNCTION("IF(OR(K393=""N/A"", K393=""missing"", K393=""none""), """",
 REGEXREPLACE(
  SUBSTITUTE(SUBSTITUTE(SUBSTITUTE(TO_TEXT(K393), CHAR(160),""""), UNICHAR(8239),""""), UNICHAR(8201),""""),""[+\-/(): )]"", """"))"),"14866113649")</f>
        <v>14866113649</v>
      </c>
      <c r="M393" s="2" t="str">
        <f>IFERROR(__xludf.DUMMYFUNCTION("IF(L393="""","""", REGEXEXTRACT(REGEXREPLACE(L393,""x"", """"), ""[0-9]+""))"),"14866113649")</f>
        <v>14866113649</v>
      </c>
      <c r="N393" s="2" t="str">
        <f t="shared" si="184"/>
        <v>14866113649</v>
      </c>
      <c r="O393" s="2" t="b">
        <f>IFERROR(__xludf.DUMMYFUNCTION("REGEXMATCH(TO_TEXT(N393), ""^07[1-57-9]"")"),FALSE)</f>
        <v>0</v>
      </c>
      <c r="P393" s="2">
        <f t="shared" si="182"/>
        <v>11</v>
      </c>
      <c r="Q393" s="9" t="str">
        <f t="shared" si="185"/>
        <v>❌ INVALID</v>
      </c>
      <c r="R393" s="10" t="s">
        <v>114</v>
      </c>
      <c r="S393" s="12">
        <v>45927.0</v>
      </c>
      <c r="T393" s="2" t="str">
        <f>IFERROR(__xludf.DUMMYFUNCTION("IF(ISNUMBER(S393),TEXT(S393,""yyyy-MM-dd""),REGEXREPLACE(REGEXREPLACE(TO_TEXT(S393),""[^0-9a-zA-Z]+"",""-""),""[^0-9]*$"",""""))"),"2025-09-27")</f>
        <v>2025-09-27</v>
      </c>
      <c r="U393" s="2" t="s">
        <v>146</v>
      </c>
      <c r="Y393" s="10" t="s">
        <v>146</v>
      </c>
    </row>
    <row r="394" ht="15.75" customHeight="1">
      <c r="A394" s="2" t="s">
        <v>4260</v>
      </c>
      <c r="B394" s="9" t="s">
        <v>7597</v>
      </c>
      <c r="C394" s="2" t="s">
        <v>3911</v>
      </c>
      <c r="D394" s="10" t="str">
        <f>IFERROR(__xludf.DUMMYFUNCTION("PROPER(REGEXREPLACE(TRIM(C394),""\s+"","" ""))"),"Qi Smith")</f>
        <v>Qi Smith</v>
      </c>
      <c r="E394" s="2">
        <f>IFERROR(__xludf.DUMMYFUNCTION("IF(LEN(D394:D701),
  COUNTA(SPLIT(D394:D701,"" "")),
 """")"),2.0)</f>
        <v>2</v>
      </c>
      <c r="F394" s="9" t="str">
        <f t="shared" si="167"/>
        <v>✅</v>
      </c>
      <c r="G394" s="2" t="str">
        <f>IFERROR(__xludf.DUMMYFUNCTION("REGEXEXTRACT(PROPER(SUBSTITUTE(TRIM(I394),""."","" "")),""^[^@]+"")"),"Qi Smith")</f>
        <v>Qi Smith</v>
      </c>
      <c r="H394" s="10" t="str">
        <f t="shared" si="168"/>
        <v>qi.smith@yahoo.com</v>
      </c>
      <c r="I394" s="2" t="s">
        <v>3912</v>
      </c>
      <c r="J394" s="9" t="str">
        <f>IFERROR(__xludf.DUMMYFUNCTION("IF(REGEXMATCH(TRIM(I394),""^[A-Za-z0-9._%+-]+@[A-Za-z0-9.-]+\.[A-Za-z]{2,}$""),""✅ Valid"",""❌ Invalid"")"),"✅ Valid")</f>
        <v>✅ Valid</v>
      </c>
      <c r="K394" s="15" t="s">
        <v>8194</v>
      </c>
      <c r="L394" s="2" t="str">
        <f>IFERROR(__xludf.DUMMYFUNCTION("IF(K394=""N/A"", """",
 REGEXREPLACE(
  SUBSTITUTE(SUBSTITUTE(SUBSTITUTE(TO_TEXT(K394), CHAR(160),""""), UNICHAR(8239),""""), UNICHAR(8201),""""),""[+\-/(): )]"", """"))"),"501852915")</f>
        <v>501852915</v>
      </c>
      <c r="M394" s="2" t="str">
        <f>IFERROR(__xludf.DUMMYFUNCTION("IF(L394="""","""", REGEXEXTRACT(REGEXREPLACE(L394,""x"", """"), ""[0-9]+""))"),"501852915")</f>
        <v>501852915</v>
      </c>
      <c r="N394" s="2" t="str">
        <f>IF(LEFT(M394,2)="48", RIGHT(M394,LEN(M394)-2),M394)</f>
        <v>501852915</v>
      </c>
      <c r="O394" s="2" t="b">
        <f>IFERROR(__xludf.DUMMYFUNCTION("REGEXMATCH(TO_TEXT(N394), ""^(5[013679]|6[069]|7[2-9]|88)"")"),TRUE)</f>
        <v>1</v>
      </c>
      <c r="P394" s="2">
        <f t="shared" si="182"/>
        <v>9</v>
      </c>
      <c r="Q394" s="9" t="str">
        <f>IF(AND(O394=TRUE, P394=9), "✅ VALID", "❌ INVALID")</f>
        <v>✅ VALID</v>
      </c>
      <c r="R394" s="10" t="s">
        <v>25</v>
      </c>
      <c r="S394" s="12">
        <v>44647.0</v>
      </c>
      <c r="T394" s="2" t="str">
        <f>IFERROR(__xludf.DUMMYFUNCTION("IF(ISNUMBER(S394),TEXT(S394,""yyyy-MM-dd""),REGEXREPLACE(REGEXREPLACE(TO_TEXT(S394),""[^0-9a-zA-Z]+"",""-""),""[^0-9]*$"",""""))"),"2022-03-27")</f>
        <v>2022-03-27</v>
      </c>
      <c r="U394" s="2" t="s">
        <v>8195</v>
      </c>
      <c r="Y394" s="10" t="s">
        <v>8195</v>
      </c>
    </row>
    <row r="395" ht="15.75" customHeight="1">
      <c r="A395" s="2" t="s">
        <v>4775</v>
      </c>
      <c r="B395" s="9" t="s">
        <v>7597</v>
      </c>
      <c r="C395" s="2" t="s">
        <v>6920</v>
      </c>
      <c r="D395" s="10" t="str">
        <f>IFERROR(__xludf.DUMMYFUNCTION("PROPER(REGEXREPLACE(TRIM(C395),""\s+"","" ""))"),"Omar Johnson")</f>
        <v>Omar Johnson</v>
      </c>
      <c r="E395" s="2">
        <f>IFERROR(__xludf.DUMMYFUNCTION("IF(LEN(D395:D701),
  COUNTA(SPLIT(D395:D701,"" "")),
 """")"),2.0)</f>
        <v>2</v>
      </c>
      <c r="F395" s="9" t="str">
        <f t="shared" si="167"/>
        <v>✅</v>
      </c>
      <c r="G395" s="2" t="str">
        <f>IFERROR(__xludf.DUMMYFUNCTION("REGEXEXTRACT(PROPER(SUBSTITUTE(TRIM(I395),""."","" "")),""^[^@]+"")"),"Omar Johnson")</f>
        <v>Omar Johnson</v>
      </c>
      <c r="H395" s="10" t="str">
        <f t="shared" si="168"/>
        <v>omar.johnson@examlpe.com</v>
      </c>
      <c r="I395" s="2" t="s">
        <v>6921</v>
      </c>
      <c r="J395" s="9" t="str">
        <f>IFERROR(__xludf.DUMMYFUNCTION("IF(REGEXMATCH(TRIM(I395),""^[A-Za-z0-9._%+-]+@[A-Za-z0-9.-]+\.[A-Za-z]{2,}$""),""✅ Valid"",""❌ Invalid"")"),"✅ Valid")</f>
        <v>✅ Valid</v>
      </c>
      <c r="K395" s="11">
        <v>4.996993080831E12</v>
      </c>
      <c r="L395" s="2" t="str">
        <f>IFERROR(__xludf.DUMMYFUNCTION("IF(OR(K395=""N/A"", K395=""missing"", K395=""none""), """",
 REGEXREPLACE(
  SUBSTITUTE(SUBSTITUTE(SUBSTITUTE(TO_TEXT(K395), CHAR(160),""""), UNICHAR(8239),""""), UNICHAR(8201),""""),""[+\-/(): )]"", """"))"),"4996993080831")</f>
        <v>4996993080831</v>
      </c>
      <c r="M395" s="2" t="str">
        <f>IFERROR(__xludf.DUMMYFUNCTION("IF(L395="""","""", REGEXEXTRACT(REGEXREPLACE(L395,""x"", """"), ""[0-9]+""))"),"4996993080831")</f>
        <v>4996993080831</v>
      </c>
      <c r="N395" s="2" t="str">
        <f>IF(LEFT(M395,2)="49", RIGHT(M395,LEN(M395)-2),M395)</f>
        <v>96993080831</v>
      </c>
      <c r="O395" s="2" t="b">
        <f>IFERROR(__xludf.DUMMYFUNCTION("REGEXMATCH(TO_TEXT(N395), ""^0(15|16|17)"")"),FALSE)</f>
        <v>0</v>
      </c>
      <c r="P395" s="2">
        <f t="shared" si="182"/>
        <v>11</v>
      </c>
      <c r="Q395" s="9" t="str">
        <f>IF(AND(O395=TRUE,OR(P395=10, P395=11)), "✅ VALID", "❌ INVALID")</f>
        <v>❌ INVALID</v>
      </c>
      <c r="R395" s="10" t="s">
        <v>459</v>
      </c>
      <c r="S395" s="12">
        <v>45208.29583333333</v>
      </c>
      <c r="T395" s="2" t="str">
        <f>IFERROR(__xludf.DUMMYFUNCTION("IF(ISNUMBER(S395),TEXT(S395,""yyyy-MM-dd""),REGEXREPLACE(REGEXREPLACE(TO_TEXT(S395),""[^0-9a-zA-Z]+"",""-""),""[^0-9]*$"",""""))"),"2023-10-09")</f>
        <v>2023-10-09</v>
      </c>
      <c r="U395" s="2" t="s">
        <v>1710</v>
      </c>
      <c r="Y395" s="10" t="s">
        <v>1710</v>
      </c>
    </row>
    <row r="396" ht="15.75" customHeight="1">
      <c r="A396" s="2" t="s">
        <v>2548</v>
      </c>
      <c r="B396" s="9" t="s">
        <v>7597</v>
      </c>
      <c r="C396" s="2" t="s">
        <v>1438</v>
      </c>
      <c r="D396" s="10" t="str">
        <f>IFERROR(__xludf.DUMMYFUNCTION("PROPER(REGEXREPLACE(TRIM(C396),""\s+"","" ""))"),"Uma Garcia")</f>
        <v>Uma Garcia</v>
      </c>
      <c r="E396" s="2">
        <f>IFERROR(__xludf.DUMMYFUNCTION("IF(LEN(D396:D701),
  COUNTA(SPLIT(D396:D701,"" "")),
 """")"),2.0)</f>
        <v>2</v>
      </c>
      <c r="F396" s="9" t="str">
        <f t="shared" si="167"/>
        <v>❌</v>
      </c>
      <c r="G396" s="2" t="s">
        <v>8196</v>
      </c>
      <c r="H396" s="10" t="str">
        <f t="shared" si="168"/>
        <v>um.agarcia@gmail.com</v>
      </c>
      <c r="I396" s="2" t="s">
        <v>6190</v>
      </c>
      <c r="J396" s="9" t="str">
        <f>IFERROR(__xludf.DUMMYFUNCTION("IF(REGEXMATCH(TRIM(I396),""^[A-Za-z0-9._%+-]+@[A-Za-z0-9.-]+\.[A-Za-z]{2,}$""),""✅ Valid"",""❌ Invalid"")"),"✅ Valid")</f>
        <v>✅ Valid</v>
      </c>
      <c r="K396" s="13" t="s">
        <v>8197</v>
      </c>
      <c r="L396" s="2" t="str">
        <f>IFERROR(__xludf.DUMMYFUNCTION("IF(OR(K396=""N/A"", K396=""missing"", K396=""none""), """",
 REGEXREPLACE(
  SUBSTITUTE(SUBSTITUTE(SUBSTITUTE(TO_TEXT(K396), CHAR(160),""""), UNICHAR(8239),""""), UNICHAR(8201),""""),""[+\-/(): )]"", """"))"),"10151519600")</f>
        <v>10151519600</v>
      </c>
      <c r="M396" s="2" t="str">
        <f>IFERROR(__xludf.DUMMYFUNCTION("IF(L396="""","""", REGEXEXTRACT(REGEXREPLACE(L396,""x"", """"), ""[0-9]+""))"),"10151519600")</f>
        <v>10151519600</v>
      </c>
      <c r="N396" s="2" t="str">
        <f>IF(LEFT(M396,1)="1", RIGHT(M396,LEN(M396)-1),M396)</f>
        <v>0151519600</v>
      </c>
      <c r="O396" s="2" t="b">
        <f>IFERROR(__xludf.DUMMYFUNCTION("REGEXMATCH(TO_TEXT(N396), ""^[2-9][0-9]{9}$"")"),FALSE)</f>
        <v>0</v>
      </c>
      <c r="P396" s="2">
        <f t="shared" si="182"/>
        <v>10</v>
      </c>
      <c r="Q396" s="9" t="str">
        <f>IF(AND(O396=TRUE, P396=10), "✅ VALID", "❌ INVALID")</f>
        <v>❌ INVALID</v>
      </c>
      <c r="R396" s="10" t="s">
        <v>199</v>
      </c>
      <c r="S396" s="12">
        <v>45428.0</v>
      </c>
      <c r="T396" s="2" t="str">
        <f>IFERROR(__xludf.DUMMYFUNCTION("IF(ISNUMBER(S396),TEXT(S396,""yyyy-MM-dd""),REGEXREPLACE(REGEXREPLACE(TO_TEXT(S396),""[^0-9a-zA-Z]+"",""-""),""[^0-9]*$"",""""))"),"2024-05-16")</f>
        <v>2024-05-16</v>
      </c>
      <c r="U396" s="2" t="s">
        <v>8198</v>
      </c>
      <c r="Y396" s="10" t="s">
        <v>8198</v>
      </c>
    </row>
    <row r="397" ht="15.75" customHeight="1">
      <c r="A397" s="2" t="s">
        <v>6146</v>
      </c>
      <c r="B397" s="9" t="s">
        <v>7597</v>
      </c>
      <c r="C397" s="2" t="s">
        <v>1803</v>
      </c>
      <c r="D397" s="10" t="str">
        <f>IFERROR(__xludf.DUMMYFUNCTION("PROPER(REGEXREPLACE(TRIM(C397),""\s+"","" ""))"),"Daria Rossi")</f>
        <v>Daria Rossi</v>
      </c>
      <c r="E397" s="2">
        <f>IFERROR(__xludf.DUMMYFUNCTION("IF(LEN(D397:D701),
  COUNTA(SPLIT(D397:D701,"" "")),
 """")"),2.0)</f>
        <v>2</v>
      </c>
      <c r="F397" s="9" t="str">
        <f t="shared" si="167"/>
        <v>✅</v>
      </c>
      <c r="G397" s="2" t="str">
        <f>IFERROR(__xludf.DUMMYFUNCTION("REGEXEXTRACT(PROPER(SUBSTITUTE(TRIM(I397),""."","" "")),""^[^@]+"")"),"Daria Rossi")</f>
        <v>Daria Rossi</v>
      </c>
      <c r="H397" s="10" t="str">
        <f t="shared" si="168"/>
        <v>daria.rossi@shop.io</v>
      </c>
      <c r="I397" s="2" t="s">
        <v>1804</v>
      </c>
      <c r="J397" s="9" t="str">
        <f>IFERROR(__xludf.DUMMYFUNCTION("IF(REGEXMATCH(TRIM(I397),""^[A-Za-z0-9._%+-]+@[A-Za-z0-9.-]+\.[A-Za-z]{2,}$""),""✅ Valid"",""❌ Invalid"")"),"✅ Valid")</f>
        <v>✅ Valid</v>
      </c>
      <c r="K397" s="13" t="s">
        <v>8199</v>
      </c>
      <c r="L397" s="2" t="str">
        <f>IFERROR(__xludf.DUMMYFUNCTION("IF(OR(K397=""N/A"", K397=""missing"", K397=""none""), """",
 REGEXREPLACE(
  SUBSTITUTE(SUBSTITUTE(SUBSTITUTE(TO_TEXT(K397), CHAR(160),""""), UNICHAR(8239),""""), UNICHAR(8201),""""),""[+\-/(): )]"", """"))"),"440382082463")</f>
        <v>440382082463</v>
      </c>
      <c r="M397" s="2" t="str">
        <f>IFERROR(__xludf.DUMMYFUNCTION("IF(L397="""","""", REGEXEXTRACT(REGEXREPLACE(L397,""x"", """"), ""[0-9]+""))"),"440382082463")</f>
        <v>440382082463</v>
      </c>
      <c r="N397" s="2" t="str">
        <f>IF(LEFT(M397,2)="44", RIGHT(M397,LEN(M397)-2),M397)</f>
        <v>0382082463</v>
      </c>
      <c r="O397" s="2" t="b">
        <f>IFERROR(__xludf.DUMMYFUNCTION("REGEXMATCH(TO_TEXT(N397), ""^07[1-57-9]"")"),FALSE)</f>
        <v>0</v>
      </c>
      <c r="P397" s="2">
        <f t="shared" si="182"/>
        <v>10</v>
      </c>
      <c r="Q397" s="9" t="str">
        <f>IF(AND(O397=TRUE, P397=11), "✅ VALID", "❌ INVALID")</f>
        <v>❌ INVALID</v>
      </c>
      <c r="R397" s="10" t="s">
        <v>114</v>
      </c>
      <c r="S397" s="12">
        <v>45048.24097222222</v>
      </c>
      <c r="T397" s="2" t="str">
        <f>IFERROR(__xludf.DUMMYFUNCTION("IF(ISNUMBER(S397),TEXT(S397,""yyyy-MM-dd""),REGEXREPLACE(REGEXREPLACE(TO_TEXT(S397),""[^0-9a-zA-Z]+"",""-""),""[^0-9]*$"",""""))"),"2023-05-02")</f>
        <v>2023-05-02</v>
      </c>
      <c r="U397" s="2" t="s">
        <v>8200</v>
      </c>
      <c r="Y397" s="10" t="s">
        <v>8200</v>
      </c>
    </row>
    <row r="398" ht="15.75" customHeight="1">
      <c r="A398" s="2" t="s">
        <v>953</v>
      </c>
      <c r="B398" s="9" t="s">
        <v>7597</v>
      </c>
      <c r="C398" s="2" t="s">
        <v>446</v>
      </c>
      <c r="D398" s="10" t="str">
        <f>IFERROR(__xludf.DUMMYFUNCTION("PROPER(REGEXREPLACE(TRIM(C398),""\s+"","" ""))"),"Sam Rodriguez")</f>
        <v>Sam Rodriguez</v>
      </c>
      <c r="E398" s="2">
        <f>IFERROR(__xludf.DUMMYFUNCTION("IF(LEN(D398:D701),
  COUNTA(SPLIT(D398:D701,"" "")),
 """")"),2.0)</f>
        <v>2</v>
      </c>
      <c r="F398" s="9" t="str">
        <f t="shared" si="167"/>
        <v>✅</v>
      </c>
      <c r="G398" s="2" t="str">
        <f>IFERROR(__xludf.DUMMYFUNCTION("REGEXEXTRACT(PROPER(SUBSTITUTE(TRIM(I398),""."","" "")),""^[^@]+"")"),"Sam Rodriguez")</f>
        <v>Sam Rodriguez</v>
      </c>
      <c r="H398" s="10" t="str">
        <f t="shared" si="168"/>
        <v>sam.rodriguez@shop.io</v>
      </c>
      <c r="I398" s="2" t="s">
        <v>447</v>
      </c>
      <c r="J398" s="9" t="str">
        <f>IFERROR(__xludf.DUMMYFUNCTION("IF(REGEXMATCH(TRIM(I398),""^[A-Za-z0-9._%+-]+@[A-Za-z0-9.-]+\.[A-Za-z]{2,}$""),""✅ Valid"",""❌ Invalid"")"),"✅ Valid")</f>
        <v>✅ Valid</v>
      </c>
      <c r="K398" s="11">
        <v>9210602.0</v>
      </c>
      <c r="L398" s="2" t="str">
        <f>IFERROR(__xludf.DUMMYFUNCTION("IF(OR(K398=""N/A"", K398=""missing"", K398=""none""), """",
 REGEXREPLACE(
  SUBSTITUTE(SUBSTITUTE(SUBSTITUTE(TO_TEXT(K398), CHAR(160),""""), UNICHAR(8239),""""), UNICHAR(8201),""""),""[+\-/(): )]"", """"))"),"9210602")</f>
        <v>9210602</v>
      </c>
      <c r="M398" s="2" t="str">
        <f>IFERROR(__xludf.DUMMYFUNCTION("IF(L398="""","""", REGEXEXTRACT(REGEXREPLACE(L398,""x"", """"), ""[0-9]+""))"),"9210602")</f>
        <v>9210602</v>
      </c>
      <c r="N398" s="2" t="str">
        <f t="shared" ref="N398:N399" si="186">IF(LEFT(M398,3)="353", RIGHT(M398,LEN(M398)-3),M398)</f>
        <v>9210602</v>
      </c>
      <c r="O398" s="2" t="b">
        <f>IFERROR(__xludf.DUMMYFUNCTION("REGEXMATCH(TO_TEXT(N398), ""^0(83|85|86|87|89)"")"),FALSE)</f>
        <v>0</v>
      </c>
      <c r="P398" s="2">
        <f t="shared" si="182"/>
        <v>7</v>
      </c>
      <c r="Q398" s="9" t="str">
        <f t="shared" ref="Q398:Q399" si="187">IF(AND(O398=TRUE, P395=10), "✅ VALID", "❌ INVALID")</f>
        <v>❌ INVALID</v>
      </c>
      <c r="R398" s="10" t="s">
        <v>1177</v>
      </c>
      <c r="S398" s="12">
        <v>44809.0</v>
      </c>
      <c r="T398" s="2" t="str">
        <f>IFERROR(__xludf.DUMMYFUNCTION("IF(ISNUMBER(S398),TEXT(S398,""yyyy-MM-dd""),REGEXREPLACE(REGEXREPLACE(TO_TEXT(S398),""[^0-9a-zA-Z]+"",""-""),""[^0-9]*$"",""""))"),"2022-09-05")</f>
        <v>2022-09-05</v>
      </c>
      <c r="U398" s="2" t="s">
        <v>6979</v>
      </c>
      <c r="Y398" s="10" t="s">
        <v>6979</v>
      </c>
    </row>
    <row r="399" ht="15.75" customHeight="1">
      <c r="A399" s="2" t="s">
        <v>3087</v>
      </c>
      <c r="B399" s="9" t="s">
        <v>7597</v>
      </c>
      <c r="C399" s="2" t="s">
        <v>3772</v>
      </c>
      <c r="D399" s="10" t="s">
        <v>8201</v>
      </c>
      <c r="E399" s="2">
        <f>IFERROR(__xludf.DUMMYFUNCTION("IF(LEN(D399:D701),
  COUNTA(SPLIT(D399:D701,"" "")),
 """")"),2.0)</f>
        <v>2</v>
      </c>
      <c r="F399" s="9" t="str">
        <f t="shared" si="167"/>
        <v>✅</v>
      </c>
      <c r="G399" s="2" t="s">
        <v>8201</v>
      </c>
      <c r="H399" s="10" t="str">
        <f t="shared" si="168"/>
        <v>bella.king@example.com</v>
      </c>
      <c r="I399" s="2" t="s">
        <v>3773</v>
      </c>
      <c r="J399" s="9" t="str">
        <f>IFERROR(__xludf.DUMMYFUNCTION("IF(REGEXMATCH(TRIM(I399),""^[A-Za-z0-9._%+-]+@[A-Za-z0-9.-]+\.[A-Za-z]{2,}$""),""✅ Valid"",""❌ Invalid"")"),"✅ Valid")</f>
        <v>✅ Valid</v>
      </c>
      <c r="K399" s="13" t="s">
        <v>7926</v>
      </c>
      <c r="L399" s="2" t="str">
        <f>IFERROR(__xludf.DUMMYFUNCTION("IF(OR(K399=""N/A"", K399=""missing"", K399=""none""), """",
 REGEXREPLACE(
  SUBSTITUTE(SUBSTITUTE(SUBSTITUTE(TO_TEXT(K399), CHAR(160),""""), UNICHAR(8239),""""), UNICHAR(8201),""""),""[+\-/(): )]"", """"))"),"")</f>
        <v/>
      </c>
      <c r="M399" s="2" t="str">
        <f>IFERROR(__xludf.DUMMYFUNCTION("IF(L399="""","""", REGEXEXTRACT(REGEXREPLACE(L399,""x"", """"), ""[0-9]+""))"),"")</f>
        <v/>
      </c>
      <c r="N399" s="2" t="str">
        <f t="shared" si="186"/>
        <v/>
      </c>
      <c r="O399" s="2" t="b">
        <f>IFERROR(__xludf.DUMMYFUNCTION("REGEXMATCH(TO_TEXT(N399), ""^0(83|85|86|87|89)"")"),FALSE)</f>
        <v>0</v>
      </c>
      <c r="P399" s="2">
        <f t="shared" si="182"/>
        <v>0</v>
      </c>
      <c r="Q399" s="9" t="str">
        <f t="shared" si="187"/>
        <v>❌ INVALID</v>
      </c>
      <c r="R399" s="10" t="s">
        <v>1177</v>
      </c>
      <c r="S399" s="12">
        <v>44809.0</v>
      </c>
      <c r="T399" s="2" t="str">
        <f>IFERROR(__xludf.DUMMYFUNCTION("IF(ISNUMBER(S399),TEXT(S399,""yyyy-MM-dd""),REGEXREPLACE(REGEXREPLACE(TO_TEXT(S399),""[^0-9a-zA-Z]+"",""-""),""[^0-9]*$"",""""))"),"2022-09-05")</f>
        <v>2022-09-05</v>
      </c>
      <c r="U399" s="2" t="s">
        <v>6979</v>
      </c>
      <c r="Y399" s="10" t="s">
        <v>6979</v>
      </c>
    </row>
    <row r="400" ht="15.75" hidden="1" customHeight="1">
      <c r="A400" s="2" t="s">
        <v>2222</v>
      </c>
      <c r="B400" s="9" t="s">
        <v>7597</v>
      </c>
      <c r="C400" s="2" t="s">
        <v>6482</v>
      </c>
      <c r="D400" s="2" t="str">
        <f>IFERROR(__xludf.DUMMYFUNCTION("PROPER(REGEXREPLACE(TRIM(C400),""\s+"","" ""))"),"Qi Young")</f>
        <v>Qi Young</v>
      </c>
      <c r="E400" s="2">
        <f>IFERROR(__xludf.DUMMYFUNCTION("IF(LEN(D400:D701),
  COUNTA(SPLIT(D400:D701,"" "")),
 """")"),2.0)</f>
        <v>2</v>
      </c>
      <c r="K400" s="2" t="s">
        <v>1805</v>
      </c>
      <c r="R400" s="10" t="s">
        <v>114</v>
      </c>
      <c r="S400" s="2" t="s">
        <v>6969</v>
      </c>
    </row>
    <row r="401" ht="15.75" customHeight="1">
      <c r="A401" s="2" t="s">
        <v>2029</v>
      </c>
      <c r="B401" s="9" t="s">
        <v>7597</v>
      </c>
      <c r="C401" s="2" t="s">
        <v>6014</v>
      </c>
      <c r="D401" s="10" t="str">
        <f>IFERROR(__xludf.DUMMYFUNCTION("PROPER(REGEXREPLACE(TRIM(C401),""\s+"","" ""))"),"Paula Garcia")</f>
        <v>Paula Garcia</v>
      </c>
      <c r="E401" s="2">
        <f>IFERROR(__xludf.DUMMYFUNCTION("IF(LEN(D401:D701),
  COUNTA(SPLIT(D401:D701,"" "")),
 """")"),2.0)</f>
        <v>2</v>
      </c>
      <c r="F401" s="9" t="str">
        <f t="shared" ref="F401:F421" si="188">IF(D401=G401,"✅","❌")</f>
        <v>✅</v>
      </c>
      <c r="G401" s="2" t="str">
        <f>IFERROR(__xludf.DUMMYFUNCTION("REGEXEXTRACT(PROPER(SUBSTITUTE(TRIM(I401),""."","" "")),""^[^@]+"")"),"Paula Garcia")</f>
        <v>Paula Garcia</v>
      </c>
      <c r="H401" s="10" t="str">
        <f t="shared" ref="H401:H421" si="189">LOWER(TRIM(I401))</f>
        <v>paula.garcia@yahoo.com</v>
      </c>
      <c r="I401" s="2" t="s">
        <v>6015</v>
      </c>
      <c r="J401" s="9" t="str">
        <f>IFERROR(__xludf.DUMMYFUNCTION("IF(REGEXMATCH(TRIM(I401),""^[A-Za-z0-9._%+-]+@[A-Za-z0-9.-]+\.[A-Za-z]{2,}$""),""✅ Valid"",""❌ Invalid"")"),"✅ Valid")</f>
        <v>✅ Valid</v>
      </c>
      <c r="K401" s="13" t="s">
        <v>8202</v>
      </c>
      <c r="L401" s="2" t="str">
        <f>IFERROR(__xludf.DUMMYFUNCTION("IF(OR(K401=""N/A"", K401=""missing"", K401=""none""), """",
 REGEXREPLACE(
  SUBSTITUTE(SUBSTITUTE(SUBSTITUTE(TO_TEXT(K401), CHAR(160),""""), UNICHAR(8239),""""), UNICHAR(8201),""""),""[+\-/(): )]"", """"))"),"1414591598")</f>
        <v>1414591598</v>
      </c>
      <c r="M401" s="2" t="str">
        <f>IFERROR(__xludf.DUMMYFUNCTION("IF(L401="""","""", REGEXEXTRACT(REGEXREPLACE(L401,""x"", """"), ""[0-9]+""))"),"1414591598")</f>
        <v>1414591598</v>
      </c>
      <c r="N401" s="2" t="str">
        <f>IF(LEFT(M401,1)="1", RIGHT(M401,LEN(M401)-1),M401)</f>
        <v>414591598</v>
      </c>
      <c r="O401" s="2" t="b">
        <f>IFERROR(__xludf.DUMMYFUNCTION("REGEXMATCH(TO_TEXT(N401), ""^[2-9][0-9]{9}$"")"),FALSE)</f>
        <v>0</v>
      </c>
      <c r="P401" s="2">
        <f t="shared" ref="P401:P405" si="190">LEN(N401)</f>
        <v>9</v>
      </c>
      <c r="Q401" s="9" t="str">
        <f>IF(AND(O401=TRUE, P401=10), "✅ VALID", "❌ INVALID")</f>
        <v>❌ INVALID</v>
      </c>
      <c r="R401" s="10" t="s">
        <v>199</v>
      </c>
      <c r="S401" s="12" t="s">
        <v>6822</v>
      </c>
      <c r="T401" s="2" t="str">
        <f>IFERROR(__xludf.DUMMYFUNCTION("IF(ISNUMBER(S401),TEXT(S401,""yyyy-MM-dd""),REGEXREPLACE(REGEXREPLACE(TO_TEXT(S401),""[^0-9a-zA-Z]+"",""-""),""[^0-9]*$"",""""))"),"09-15-2022")</f>
        <v>09-15-2022</v>
      </c>
      <c r="U401" s="2" t="str">
        <f>TEXT(T401,"yyyy-MM-dd")</f>
        <v>09-15-2022</v>
      </c>
      <c r="V401" s="2" t="s">
        <v>8203</v>
      </c>
      <c r="Y401" s="10" t="s">
        <v>8203</v>
      </c>
    </row>
    <row r="402" ht="15.75" customHeight="1">
      <c r="A402" s="2" t="s">
        <v>7363</v>
      </c>
      <c r="B402" s="9" t="s">
        <v>7597</v>
      </c>
      <c r="C402" s="2" t="s">
        <v>3945</v>
      </c>
      <c r="D402" s="10" t="str">
        <f>IFERROR(__xludf.DUMMYFUNCTION("PROPER(REGEXREPLACE(TRIM(C402),""\s+"","" ""))"),"Zack Lee")</f>
        <v>Zack Lee</v>
      </c>
      <c r="E402" s="2">
        <f>IFERROR(__xludf.DUMMYFUNCTION("IF(LEN(D402:D701),
  COUNTA(SPLIT(D402:D701,"" "")),
 """")"),2.0)</f>
        <v>2</v>
      </c>
      <c r="F402" s="9" t="str">
        <f t="shared" si="188"/>
        <v>✅</v>
      </c>
      <c r="G402" s="2" t="str">
        <f>IFERROR(__xludf.DUMMYFUNCTION("REGEXEXTRACT(PROPER(SUBSTITUTE(TRIM(I402),""."","" "")),""^[^@]+"")"),"Zack Lee")</f>
        <v>Zack Lee</v>
      </c>
      <c r="H402" s="10" t="str">
        <f t="shared" si="189"/>
        <v>zack.lee@yahoo.com</v>
      </c>
      <c r="I402" s="2" t="s">
        <v>3946</v>
      </c>
      <c r="J402" s="9" t="str">
        <f>IFERROR(__xludf.DUMMYFUNCTION("IF(REGEXMATCH(TRIM(I402),""^[A-Za-z0-9._%+-]+@[A-Za-z0-9.-]+\.[A-Za-z]{2,}$""),""✅ Valid"",""❌ Invalid"")"),"✅ Valid")</f>
        <v>✅ Valid</v>
      </c>
      <c r="K402" s="13" t="s">
        <v>8204</v>
      </c>
      <c r="L402" s="2" t="str">
        <f>IFERROR(__xludf.DUMMYFUNCTION("IF(OR(K402=""N/A"", K402=""missing"", K402=""none""), """",
 REGEXREPLACE(
  SUBSTITUTE(SUBSTITUTE(SUBSTITUTE(TO_TEXT(K402), CHAR(160),""""), UNICHAR(8239),""""), UNICHAR(8201),""""),""[+\-/(): )]"", """"))"),"494197424789x")</f>
        <v>494197424789x</v>
      </c>
      <c r="M402" s="2" t="str">
        <f>IFERROR(__xludf.DUMMYFUNCTION("IF(L402="""","""", REGEXEXTRACT(REGEXREPLACE(L402,""x"", """"), ""[0-9]+""))"),"494197424789")</f>
        <v>494197424789</v>
      </c>
      <c r="N402" s="2" t="str">
        <f>IF(LEFT(M402,2)="49", RIGHT(M402,LEN(M402)-2),M402)</f>
        <v>4197424789</v>
      </c>
      <c r="O402" s="2" t="b">
        <f>IFERROR(__xludf.DUMMYFUNCTION("REGEXMATCH(TO_TEXT(N402), ""^0(15|16|17)"")"),FALSE)</f>
        <v>0</v>
      </c>
      <c r="P402" s="2">
        <f t="shared" si="190"/>
        <v>10</v>
      </c>
      <c r="Q402" s="9" t="str">
        <f>IF(AND(O402=TRUE,OR(P402=10, P402=11)), "✅ VALID", "❌ INVALID")</f>
        <v>❌ INVALID</v>
      </c>
      <c r="R402" s="10" t="s">
        <v>459</v>
      </c>
      <c r="S402" s="12" t="s">
        <v>6989</v>
      </c>
      <c r="T402" s="2" t="str">
        <f>IFERROR(__xludf.DUMMYFUNCTION("IF(ISNUMBER(S402),TEXT(S402,""yyyy-MM-dd""),REGEXREPLACE(REGEXREPLACE(TO_TEXT(S402),""[^0-9a-zA-Z]+"",""-""),""[^0-9]*$"",""""))"),"26-09-2022")</f>
        <v>26-09-2022</v>
      </c>
      <c r="U402" s="2" t="s">
        <v>8205</v>
      </c>
      <c r="Y402" s="10" t="s">
        <v>8205</v>
      </c>
    </row>
    <row r="403" ht="15.75" customHeight="1">
      <c r="A403" s="2" t="s">
        <v>5221</v>
      </c>
      <c r="B403" s="9" t="s">
        <v>7597</v>
      </c>
      <c r="C403" s="2" t="s">
        <v>1029</v>
      </c>
      <c r="D403" s="10" t="str">
        <f>IFERROR(__xludf.DUMMYFUNCTION("PROPER(REGEXREPLACE(TRIM(C403),""\s+"","" ""))"),"Ken Williams")</f>
        <v>Ken Williams</v>
      </c>
      <c r="E403" s="2">
        <f>IFERROR(__xludf.DUMMYFUNCTION("IF(LEN(D403:D701),
  COUNTA(SPLIT(D403:D701,"" "")),
 """")"),2.0)</f>
        <v>2</v>
      </c>
      <c r="F403" s="9" t="str">
        <f t="shared" si="188"/>
        <v>✅</v>
      </c>
      <c r="G403" s="2" t="str">
        <f>IFERROR(__xludf.DUMMYFUNCTION("REGEXEXTRACT(PROPER(SUBSTITUTE(TRIM(I403),""."","" "")),""^[^@]+"")"),"Ken Williams")</f>
        <v>Ken Williams</v>
      </c>
      <c r="H403" s="10" t="str">
        <f t="shared" si="189"/>
        <v>ken.williams@outlook.com</v>
      </c>
      <c r="I403" s="2" t="s">
        <v>1030</v>
      </c>
      <c r="J403" s="9" t="str">
        <f>IFERROR(__xludf.DUMMYFUNCTION("IF(REGEXMATCH(TRIM(I403),""^[A-Za-z0-9._%+-]+@[A-Za-z0-9.-]+\.[A-Za-z]{2,}$""),""✅ Valid"",""❌ Invalid"")"),"✅ Valid")</f>
        <v>✅ Valid</v>
      </c>
      <c r="K403" s="13" t="s">
        <v>8206</v>
      </c>
      <c r="L403" s="2" t="str">
        <f>IFERROR(__xludf.DUMMYFUNCTION("IF(OR(K403=""N/A"", K403=""missing"", K403=""none""), """",
 REGEXREPLACE(
  SUBSTITUTE(SUBSTITUTE(SUBSTITUTE(TO_TEXT(K403), CHAR(160),""""), UNICHAR(8239),""""), UNICHAR(8201),""""),""[+\-/(): )]"", """"))"),"39936290797")</f>
        <v>39936290797</v>
      </c>
      <c r="M403" s="2" t="str">
        <f>IFERROR(__xludf.DUMMYFUNCTION("IF(L403="""","""", REGEXEXTRACT(REGEXREPLACE(L403,""x"", """"), ""[0-9]+""))"),"39936290797")</f>
        <v>39936290797</v>
      </c>
      <c r="N403" s="2" t="str">
        <f>IF(LEFT(M403,2)="39", RIGHT(M403,LEN(M403)-2),M403)</f>
        <v>936290797</v>
      </c>
      <c r="O403" s="2" t="b">
        <f>IFERROR(__xludf.DUMMYFUNCTION("REGEXMATCH(TO_TEXT(N403), ""^3"")"),FALSE)</f>
        <v>0</v>
      </c>
      <c r="P403" s="2">
        <f t="shared" si="190"/>
        <v>9</v>
      </c>
      <c r="Q403" s="9" t="str">
        <f>IF(AND(O403=TRUE,OR(P403=9, P403=10 )), "✅ VALID", "❌ INVALID")</f>
        <v>❌ INVALID</v>
      </c>
      <c r="R403" s="10" t="s">
        <v>785</v>
      </c>
      <c r="S403" s="12">
        <v>45860.0</v>
      </c>
      <c r="T403" s="2" t="str">
        <f>IFERROR(__xludf.DUMMYFUNCTION("IF(ISNUMBER(S403),TEXT(S403,""yyyy-MM-dd""),REGEXREPLACE(REGEXREPLACE(TO_TEXT(S403),""[^0-9a-zA-Z]+"",""-""),""[^0-9]*$"",""""))"),"2025-07-22")</f>
        <v>2025-07-22</v>
      </c>
      <c r="U403" s="2" t="s">
        <v>8085</v>
      </c>
      <c r="Y403" s="10" t="s">
        <v>8085</v>
      </c>
    </row>
    <row r="404" ht="15.75" customHeight="1">
      <c r="A404" s="2" t="s">
        <v>7319</v>
      </c>
      <c r="B404" s="9" t="s">
        <v>7597</v>
      </c>
      <c r="C404" s="2" t="s">
        <v>3896</v>
      </c>
      <c r="D404" s="10" t="str">
        <f>IFERROR(__xludf.DUMMYFUNCTION("PROPER(REGEXREPLACE(TRIM(C404),""\s+"","" ""))"),"Lia Kowalczyk")</f>
        <v>Lia Kowalczyk</v>
      </c>
      <c r="E404" s="2">
        <f>IFERROR(__xludf.DUMMYFUNCTION("IF(LEN(D404:D701),
  COUNTA(SPLIT(D404:D701,"" "")),
 """")"),2.0)</f>
        <v>2</v>
      </c>
      <c r="F404" s="9" t="str">
        <f t="shared" si="188"/>
        <v>✅</v>
      </c>
      <c r="G404" s="2" t="str">
        <f>IFERROR(__xludf.DUMMYFUNCTION("REGEXEXTRACT(PROPER(SUBSTITUTE(TRIM(I404),""."","" "")),""^[^@]+"")"),"Lia Kowalczyk")</f>
        <v>Lia Kowalczyk</v>
      </c>
      <c r="H404" s="10" t="str">
        <f t="shared" si="189"/>
        <v>lia.kowalczyk@example.com</v>
      </c>
      <c r="I404" s="2" t="s">
        <v>3897</v>
      </c>
      <c r="J404" s="9" t="str">
        <f>IFERROR(__xludf.DUMMYFUNCTION("IF(REGEXMATCH(TRIM(I404),""^[A-Za-z0-9._%+-]+@[A-Za-z0-9.-]+\.[A-Za-z]{2,}$""),""✅ Valid"",""❌ Invalid"")"),"✅ Valid")</f>
        <v>✅ Valid</v>
      </c>
      <c r="K404" s="13" t="s">
        <v>8207</v>
      </c>
      <c r="L404" s="2" t="str">
        <f>IFERROR(__xludf.DUMMYFUNCTION("IF(OR(K404=""N/A"", K404=""missing"", K404=""none""), """",
 REGEXREPLACE(
  SUBSTITUTE(SUBSTITUTE(SUBSTITUTE(TO_TEXT(K404), CHAR(160),""""), UNICHAR(8239),""""), UNICHAR(8201),""""),""[+\-/(): )]"", """"))"),"tel490355418495")</f>
        <v>tel490355418495</v>
      </c>
      <c r="M404" s="2" t="str">
        <f>IFERROR(__xludf.DUMMYFUNCTION("IF(L404="""","""", REGEXEXTRACT(REGEXREPLACE(L404,""x"", """"), ""[0-9]+""))"),"490355418495")</f>
        <v>490355418495</v>
      </c>
      <c r="N404" s="2" t="str">
        <f>IF(LEFT(M404,2)="49", RIGHT(M404,LEN(M404)-2),M404)</f>
        <v>0355418495</v>
      </c>
      <c r="O404" s="2" t="b">
        <f>IFERROR(__xludf.DUMMYFUNCTION("REGEXMATCH(TO_TEXT(N404), ""^0(15|16|17)"")"),FALSE)</f>
        <v>0</v>
      </c>
      <c r="P404" s="2">
        <f t="shared" si="190"/>
        <v>10</v>
      </c>
      <c r="Q404" s="9" t="str">
        <f>IF(AND(O404=TRUE,OR(P404=10, P404=11)), "✅ VALID", "❌ INVALID")</f>
        <v>❌ INVALID</v>
      </c>
      <c r="R404" s="10" t="s">
        <v>459</v>
      </c>
      <c r="S404" s="12">
        <v>45777.4625</v>
      </c>
      <c r="T404" s="2" t="str">
        <f>IFERROR(__xludf.DUMMYFUNCTION("IF(ISNUMBER(S404),TEXT(S404,""yyyy-MM-dd""),REGEXREPLACE(REGEXREPLACE(TO_TEXT(S404),""[^0-9a-zA-Z]+"",""-""),""[^0-9]*$"",""""))"),"2025-04-30")</f>
        <v>2025-04-30</v>
      </c>
      <c r="U404" s="2" t="s">
        <v>4104</v>
      </c>
      <c r="Y404" s="10" t="s">
        <v>4104</v>
      </c>
    </row>
    <row r="405" ht="15.75" customHeight="1">
      <c r="A405" s="2" t="s">
        <v>5434</v>
      </c>
      <c r="B405" s="9" t="s">
        <v>7597</v>
      </c>
      <c r="C405" s="2" t="s">
        <v>4261</v>
      </c>
      <c r="D405" s="10" t="str">
        <f>IFERROR(__xludf.DUMMYFUNCTION("PROPER(REGEXREPLACE(TRIM(C405),""\s+"","" ""))"),"Bella Dubois")</f>
        <v>Bella Dubois</v>
      </c>
      <c r="E405" s="2">
        <f>IFERROR(__xludf.DUMMYFUNCTION("IF(LEN(D405:D701),
  COUNTA(SPLIT(D405:D701,"" "")),
 """")"),2.0)</f>
        <v>2</v>
      </c>
      <c r="F405" s="9" t="str">
        <f t="shared" si="188"/>
        <v>✅</v>
      </c>
      <c r="G405" s="2" t="str">
        <f>IFERROR(__xludf.DUMMYFUNCTION("REGEXEXTRACT(PROPER(SUBSTITUTE(TRIM(I405),""."","" "")),""^[^@]+"")"),"Bella Dubois")</f>
        <v>Bella Dubois</v>
      </c>
      <c r="H405" s="10" t="str">
        <f t="shared" si="189"/>
        <v>bella.dubois@yahoo.com</v>
      </c>
      <c r="I405" s="2" t="s">
        <v>4262</v>
      </c>
      <c r="J405" s="9" t="str">
        <f>IFERROR(__xludf.DUMMYFUNCTION("IF(REGEXMATCH(TRIM(I405),""^[A-Za-z0-9._%+-]+@[A-Za-z0-9.-]+\.[A-Za-z]{2,}$""),""✅ Valid"",""❌ Invalid"")"),"✅ Valid")</f>
        <v>✅ Valid</v>
      </c>
      <c r="K405" s="13" t="s">
        <v>8208</v>
      </c>
      <c r="L405" s="2" t="str">
        <f>IFERROR(__xludf.DUMMYFUNCTION("IF(OR(K405=""N/A"", K405=""missing"", K405=""none""), """",
 REGEXREPLACE(
  SUBSTITUTE(SUBSTITUTE(SUBSTITUTE(TO_TEXT(K405), CHAR(160),""""), UNICHAR(8239),""""), UNICHAR(8201),""""),""[+\-/(): )]"", """"))"),"44709270114")</f>
        <v>44709270114</v>
      </c>
      <c r="M405" s="2" t="str">
        <f>IFERROR(__xludf.DUMMYFUNCTION("IF(L405="""","""", REGEXEXTRACT(REGEXREPLACE(L405,""x"", """"), ""[0-9]+""))"),"44709270114")</f>
        <v>44709270114</v>
      </c>
      <c r="N405" s="2" t="str">
        <f>IF(LEFT(M405,2)="44", RIGHT(M405,LEN(M405)-2),M405)</f>
        <v>709270114</v>
      </c>
      <c r="O405" s="2" t="b">
        <f>IFERROR(__xludf.DUMMYFUNCTION("REGEXMATCH(TO_TEXT(N405), ""^07[1-57-9]"")"),FALSE)</f>
        <v>0</v>
      </c>
      <c r="P405" s="2">
        <f t="shared" si="190"/>
        <v>9</v>
      </c>
      <c r="Q405" s="9" t="str">
        <f>IF(AND(O405=TRUE, P405=11), "✅ VALID", "❌ INVALID")</f>
        <v>❌ INVALID</v>
      </c>
      <c r="R405" s="10" t="s">
        <v>114</v>
      </c>
      <c r="S405" s="12">
        <v>44974.0</v>
      </c>
      <c r="T405" s="2" t="str">
        <f>IFERROR(__xludf.DUMMYFUNCTION("IF(ISNUMBER(S405),TEXT(S405,""yyyy-MM-dd""),REGEXREPLACE(REGEXREPLACE(TO_TEXT(S405),""[^0-9a-zA-Z]+"",""-""),""[^0-9]*$"",""""))"),"2023-02-17")</f>
        <v>2023-02-17</v>
      </c>
      <c r="U405" s="2" t="s">
        <v>5596</v>
      </c>
      <c r="Y405" s="10" t="s">
        <v>5596</v>
      </c>
    </row>
    <row r="406" ht="15.75" customHeight="1">
      <c r="A406" s="2" t="s">
        <v>4707</v>
      </c>
      <c r="B406" s="9" t="s">
        <v>7597</v>
      </c>
      <c r="C406" s="2" t="s">
        <v>3705</v>
      </c>
      <c r="D406" s="10" t="str">
        <f>IFERROR(__xludf.DUMMYFUNCTION("PROPER(REGEXREPLACE(TRIM(C406),""\s+"","" ""))"),"Gabe Davis")</f>
        <v>Gabe Davis</v>
      </c>
      <c r="E406" s="2">
        <f>IFERROR(__xludf.DUMMYFUNCTION("IF(LEN(D406:D701),
  COUNTA(SPLIT(D406:D701,"" "")),
 """")"),2.0)</f>
        <v>2</v>
      </c>
      <c r="F406" s="9" t="str">
        <f t="shared" si="188"/>
        <v>✅</v>
      </c>
      <c r="G406" s="2" t="str">
        <f>IFERROR(__xludf.DUMMYFUNCTION("REGEXEXTRACT(PROPER(SUBSTITUTE(TRIM(I406),""."","" "")),""^[^@]+"")"),"Gabe Davis")</f>
        <v>Gabe Davis</v>
      </c>
      <c r="H406" s="10" t="str">
        <f t="shared" si="189"/>
        <v>gabe.davis@example.com</v>
      </c>
      <c r="I406" s="2" t="s">
        <v>4776</v>
      </c>
      <c r="J406" s="9" t="str">
        <f>IFERROR(__xludf.DUMMYFUNCTION("IF(REGEXMATCH(TRIM(I406),""^[A-Za-z0-9._%+-]+@[A-Za-z0-9.-]+\.[A-Za-z]{2,}$""),""✅ Valid"",""❌ Invalid"")"),"✅ Valid")</f>
        <v>✅ Valid</v>
      </c>
      <c r="K406" s="15" t="s">
        <v>8209</v>
      </c>
      <c r="L406" s="2" t="str">
        <f>IFERROR(__xludf.DUMMYFUNCTION("IF(K406=""N/A"", """",
 REGEXREPLACE(
  SUBSTITUTE(SUBSTITUTE(SUBSTITUTE(TO_TEXT(K406), CHAR(160),""""), UNICHAR(8239),""""), UNICHAR(8201),""""),""[+\-/(): )]"", """"))"),"8556768995")</f>
        <v>8556768995</v>
      </c>
      <c r="M406" s="2" t="str">
        <f>IFERROR(__xludf.DUMMYFUNCTION("IF(L406="""","""", REGEXEXTRACT(REGEXREPLACE(L406,""x"", """"), ""[0-9]+""))"),"8556768995")</f>
        <v>8556768995</v>
      </c>
      <c r="N406" s="2" t="str">
        <f t="shared" ref="N406:N407" si="191">IF(LEFT(M406,2)="48", RIGHT(M406,LEN(M406)-2),M406)</f>
        <v>8556768995</v>
      </c>
      <c r="O406" s="2" t="b">
        <f>IFERROR(__xludf.DUMMYFUNCTION("REGEXMATCH(TO_TEXT(N406), ""^(5[013679]|6[069]|7[2-9]|88)"")"),FALSE)</f>
        <v>0</v>
      </c>
      <c r="Q406" s="9" t="str">
        <f t="shared" ref="Q406:Q407" si="192">IF(AND(O406=TRUE, P406=9), "✅ VALID", "❌ INVALID")</f>
        <v>❌ INVALID</v>
      </c>
      <c r="R406" s="10" t="s">
        <v>25</v>
      </c>
      <c r="S406" s="12">
        <v>44581.0</v>
      </c>
      <c r="T406" s="2" t="str">
        <f>IFERROR(__xludf.DUMMYFUNCTION("IF(ISNUMBER(S406),TEXT(S406,""yyyy-MM-dd""),REGEXREPLACE(REGEXREPLACE(TO_TEXT(S406),""[^0-9a-zA-Z]+"",""-""),""[^0-9]*$"",""""))"),"2022-01-20")</f>
        <v>2022-01-20</v>
      </c>
      <c r="U406" s="2" t="s">
        <v>8210</v>
      </c>
      <c r="Y406" s="10" t="s">
        <v>8210</v>
      </c>
    </row>
    <row r="407" ht="15.75" customHeight="1">
      <c r="A407" s="2" t="s">
        <v>1125</v>
      </c>
      <c r="B407" s="9" t="s">
        <v>7597</v>
      </c>
      <c r="C407" s="2" t="s">
        <v>2549</v>
      </c>
      <c r="D407" s="10" t="s">
        <v>8211</v>
      </c>
      <c r="E407" s="2">
        <f>IFERROR(__xludf.DUMMYFUNCTION("IF(LEN(D407:D701),
  COUNTA(SPLIT(D407:D701,"" "")),
 """")"),2.0)</f>
        <v>2</v>
      </c>
      <c r="F407" s="9" t="str">
        <f t="shared" si="188"/>
        <v>✅</v>
      </c>
      <c r="G407" s="2" t="s">
        <v>8211</v>
      </c>
      <c r="H407" s="10" t="str">
        <f t="shared" si="189"/>
        <v>sam.martinez@example.com</v>
      </c>
      <c r="I407" s="2" t="s">
        <v>2550</v>
      </c>
      <c r="J407" s="9" t="str">
        <f>IFERROR(__xludf.DUMMYFUNCTION("IF(REGEXMATCH(TRIM(I407),""^[A-Za-z0-9._%+-]+@[A-Za-z0-9.-]+\.[A-Za-z]{2,}$""),""✅ Valid"",""❌ Invalid"")"),"✅ Valid")</f>
        <v>✅ Valid</v>
      </c>
      <c r="K407" s="15" t="s">
        <v>8212</v>
      </c>
      <c r="L407" s="2" t="str">
        <f>IFERROR(__xludf.DUMMYFUNCTION("IF(K407=""N/A"", """",
 REGEXREPLACE(
  SUBSTITUTE(SUBSTITUTE(SUBSTITUTE(TO_TEXT(K407), CHAR(160),""""), UNICHAR(8239),""""), UNICHAR(8201),""""),""[+\-/(): )]"", """"))"),"4897569711")</f>
        <v>4897569711</v>
      </c>
      <c r="M407" s="2" t="str">
        <f>IFERROR(__xludf.DUMMYFUNCTION("IF(L407="""","""", REGEXEXTRACT(REGEXREPLACE(L407,""x"", """"), ""[0-9]+""))"),"4897569711")</f>
        <v>4897569711</v>
      </c>
      <c r="N407" s="2" t="str">
        <f t="shared" si="191"/>
        <v>97569711</v>
      </c>
      <c r="O407" s="2" t="b">
        <f>IFERROR(__xludf.DUMMYFUNCTION("REGEXMATCH(TO_TEXT(N407), ""^(5[013679]|6[069]|7[2-9]|88)"")"),FALSE)</f>
        <v>0</v>
      </c>
      <c r="Q407" s="9" t="str">
        <f t="shared" si="192"/>
        <v>❌ INVALID</v>
      </c>
      <c r="R407" s="10" t="s">
        <v>25</v>
      </c>
      <c r="S407" s="12">
        <v>45905.0</v>
      </c>
      <c r="T407" s="2" t="str">
        <f>IFERROR(__xludf.DUMMYFUNCTION("IF(ISNUMBER(S407),TEXT(S407,""yyyy-MM-dd""),REGEXREPLACE(REGEXREPLACE(TO_TEXT(S407),""[^0-9a-zA-Z]+"",""-""),""[^0-9]*$"",""""))"),"2025-09-05")</f>
        <v>2025-09-05</v>
      </c>
      <c r="U407" s="2" t="s">
        <v>8213</v>
      </c>
      <c r="Y407" s="10" t="s">
        <v>8213</v>
      </c>
    </row>
    <row r="408" ht="15.75" customHeight="1">
      <c r="A408" s="2" t="s">
        <v>752</v>
      </c>
      <c r="B408" s="9" t="s">
        <v>7597</v>
      </c>
      <c r="C408" s="2" t="s">
        <v>409</v>
      </c>
      <c r="D408" s="10" t="str">
        <f>IFERROR(__xludf.DUMMYFUNCTION("PROPER(REGEXREPLACE(TRIM(C408),""\s+"","" ""))"),"Sam Young")</f>
        <v>Sam Young</v>
      </c>
      <c r="E408" s="2">
        <f>IFERROR(__xludf.DUMMYFUNCTION("IF(LEN(D408:D701),
  COUNTA(SPLIT(D408:D701,"" "")),
 """")"),2.0)</f>
        <v>2</v>
      </c>
      <c r="F408" s="9" t="str">
        <f t="shared" si="188"/>
        <v>✅</v>
      </c>
      <c r="G408" s="2" t="str">
        <f>IFERROR(__xludf.DUMMYFUNCTION("REGEXEXTRACT(PROPER(SUBSTITUTE(TRIM(I408),""."","" "")),""^[^@]+"")"),"Sam Young")</f>
        <v>Sam Young</v>
      </c>
      <c r="H408" s="10" t="str">
        <f t="shared" si="189"/>
        <v>sam.young@outlook.com</v>
      </c>
      <c r="I408" s="2" t="s">
        <v>6147</v>
      </c>
      <c r="J408" s="9" t="str">
        <f>IFERROR(__xludf.DUMMYFUNCTION("IF(REGEXMATCH(TRIM(I408),""^[A-Za-z0-9._%+-]+@[A-Za-z0-9.-]+\.[A-Za-z]{2,}$""),""✅ Valid"",""❌ Invalid"")"),"✅ Valid")</f>
        <v>✅ Valid</v>
      </c>
      <c r="K408" s="13" t="s">
        <v>8214</v>
      </c>
      <c r="L408" s="2" t="str">
        <f>IFERROR(__xludf.DUMMYFUNCTION("IF(OR(K408=""N/A"", K408=""missing"", K408=""none""), """",
 REGEXREPLACE(
  SUBSTITUTE(SUBSTITUTE(SUBSTITUTE(TO_TEXT(K408), CHAR(160),""""), UNICHAR(8239),""""), UNICHAR(8201),""""),""[+\-/(): )]"", """"))"),"44077012x1ext55")</f>
        <v>44077012x1ext55</v>
      </c>
      <c r="M408" s="2" t="str">
        <f>IFERROR(__xludf.DUMMYFUNCTION("IF(L408="""","""", REGEXEXTRACT(REGEXREPLACE(L408,""x"", """"), ""[0-9]+""))"),"440770121")</f>
        <v>440770121</v>
      </c>
      <c r="N408" s="2" t="str">
        <f t="shared" ref="N408:N409" si="193">IF(LEFT(M408,1)="1", RIGHT(M408,LEN(M408)-1),M408)</f>
        <v>440770121</v>
      </c>
      <c r="O408" s="2" t="b">
        <f>IFERROR(__xludf.DUMMYFUNCTION("REGEXMATCH(TO_TEXT(N408), ""^[2-9][0-9]{9}$"")"),FALSE)</f>
        <v>0</v>
      </c>
      <c r="P408" s="2">
        <f t="shared" ref="P408:P414" si="194">LEN(N408)</f>
        <v>9</v>
      </c>
      <c r="Q408" s="9" t="str">
        <f t="shared" ref="Q408:Q409" si="195">IF(AND(O408=TRUE, P408=10), "✅ VALID", "❌ INVALID")</f>
        <v>❌ INVALID</v>
      </c>
      <c r="R408" s="10" t="s">
        <v>199</v>
      </c>
      <c r="S408" s="12">
        <v>45163.0</v>
      </c>
      <c r="T408" s="2" t="str">
        <f>IFERROR(__xludf.DUMMYFUNCTION("IF(ISNUMBER(S408),TEXT(S408,""yyyy-MM-dd""),REGEXREPLACE(REGEXREPLACE(TO_TEXT(S408),""[^0-9a-zA-Z]+"",""-""),""[^0-9]*$"",""""))"),"2023-08-25")</f>
        <v>2023-08-25</v>
      </c>
      <c r="U408" s="2" t="s">
        <v>7761</v>
      </c>
      <c r="Y408" s="10" t="s">
        <v>7761</v>
      </c>
    </row>
    <row r="409" ht="15.75" customHeight="1">
      <c r="A409" s="2" t="s">
        <v>319</v>
      </c>
      <c r="B409" s="9" t="s">
        <v>7597</v>
      </c>
      <c r="C409" s="2" t="s">
        <v>954</v>
      </c>
      <c r="D409" s="10" t="str">
        <f>IFERROR(__xludf.DUMMYFUNCTION("PROPER(REGEXREPLACE(TRIM(C409),""\s+"","" ""))"),"Bella Dubois")</f>
        <v>Bella Dubois</v>
      </c>
      <c r="E409" s="2">
        <f>IFERROR(__xludf.DUMMYFUNCTION("IF(LEN(D409:D701),
  COUNTA(SPLIT(D409:D701,"" "")),
 """")"),2.0)</f>
        <v>2</v>
      </c>
      <c r="F409" s="9" t="str">
        <f t="shared" si="188"/>
        <v>✅</v>
      </c>
      <c r="G409" s="2" t="str">
        <f>IFERROR(__xludf.DUMMYFUNCTION("REGEXEXTRACT(PROPER(SUBSTITUTE(TRIM(I409),""."","" "")),""^[^@]+"")"),"Bella Dubois")</f>
        <v>Bella Dubois</v>
      </c>
      <c r="H409" s="10" t="str">
        <f t="shared" si="189"/>
        <v>bella.dubois@example.com</v>
      </c>
      <c r="I409" s="2" t="s">
        <v>955</v>
      </c>
      <c r="J409" s="9" t="str">
        <f>IFERROR(__xludf.DUMMYFUNCTION("IF(REGEXMATCH(TRIM(I409),""^[A-Za-z0-9._%+-]+@[A-Za-z0-9.-]+\.[A-Za-z]{2,}$""),""✅ Valid"",""❌ Invalid"")"),"✅ Valid")</f>
        <v>✅ Valid</v>
      </c>
      <c r="K409" s="11">
        <v>2.0427763746E10</v>
      </c>
      <c r="L409" s="2" t="str">
        <f>IFERROR(__xludf.DUMMYFUNCTION("IF(OR(K409=""N/A"", K409=""missing"", K409=""none""), """",
 REGEXREPLACE(
  SUBSTITUTE(SUBSTITUTE(SUBSTITUTE(TO_TEXT(K409), CHAR(160),""""), UNICHAR(8239),""""), UNICHAR(8201),""""),""[+\-/(): )]"", """"))"),"20427763746")</f>
        <v>20427763746</v>
      </c>
      <c r="M409" s="2" t="str">
        <f>IFERROR(__xludf.DUMMYFUNCTION("IF(L409="""","""", REGEXEXTRACT(REGEXREPLACE(L409,""x"", """"), ""[0-9]+""))"),"20427763746")</f>
        <v>20427763746</v>
      </c>
      <c r="N409" s="2" t="str">
        <f t="shared" si="193"/>
        <v>20427763746</v>
      </c>
      <c r="O409" s="2" t="b">
        <f>IFERROR(__xludf.DUMMYFUNCTION("REGEXMATCH(TO_TEXT(N409), ""^[2-9][0-9]{9}$"")"),FALSE)</f>
        <v>0</v>
      </c>
      <c r="P409" s="2">
        <f t="shared" si="194"/>
        <v>11</v>
      </c>
      <c r="Q409" s="9" t="str">
        <f t="shared" si="195"/>
        <v>❌ INVALID</v>
      </c>
      <c r="R409" s="10" t="s">
        <v>199</v>
      </c>
      <c r="S409" s="12">
        <v>44614.0</v>
      </c>
      <c r="T409" s="2" t="str">
        <f>IFERROR(__xludf.DUMMYFUNCTION("IF(ISNUMBER(S409),TEXT(S409,""yyyy-MM-dd""),REGEXREPLACE(REGEXREPLACE(TO_TEXT(S409),""[^0-9a-zA-Z]+"",""-""),""[^0-9]*$"",""""))"),"2022-02-22")</f>
        <v>2022-02-22</v>
      </c>
      <c r="U409" s="2" t="s">
        <v>7296</v>
      </c>
      <c r="Y409" s="10" t="s">
        <v>7296</v>
      </c>
    </row>
    <row r="410" ht="15.75" customHeight="1">
      <c r="A410" s="2" t="s">
        <v>1751</v>
      </c>
      <c r="B410" s="9" t="s">
        <v>7597</v>
      </c>
      <c r="C410" s="2" t="s">
        <v>3088</v>
      </c>
      <c r="D410" s="10" t="str">
        <f>IFERROR(__xludf.DUMMYFUNCTION("PROPER(REGEXREPLACE(TRIM(C410),""\s+"","" ""))"),"Omar Khan")</f>
        <v>Omar Khan</v>
      </c>
      <c r="E410" s="2">
        <f>IFERROR(__xludf.DUMMYFUNCTION("IF(LEN(D410:D701),
  COUNTA(SPLIT(D410:D701,"" "")),
 """")"),2.0)</f>
        <v>2</v>
      </c>
      <c r="F410" s="9" t="str">
        <f t="shared" si="188"/>
        <v>✅</v>
      </c>
      <c r="G410" s="2" t="str">
        <f>IFERROR(__xludf.DUMMYFUNCTION("REGEXEXTRACT(PROPER(SUBSTITUTE(TRIM(I410),""."","" "")),""^[^@]+"")"),"Omar Khan")</f>
        <v>Omar Khan</v>
      </c>
      <c r="H410" s="10" t="str">
        <f t="shared" si="189"/>
        <v>omar.khan@company.co.uk</v>
      </c>
      <c r="I410" s="2" t="s">
        <v>3089</v>
      </c>
      <c r="J410" s="9" t="str">
        <f>IFERROR(__xludf.DUMMYFUNCTION("IF(REGEXMATCH(TRIM(I410),""^[A-Za-z0-9._%+-]+@[A-Za-z0-9.-]+\.[A-Za-z]{2,}$""),""✅ Valid"",""❌ Invalid"")"),"✅ Valid")</f>
        <v>✅ Valid</v>
      </c>
      <c r="K410" s="13" t="s">
        <v>8215</v>
      </c>
      <c r="L410" s="2" t="str">
        <f>IFERROR(__xludf.DUMMYFUNCTION("IF(OR(K410=""N/A"", K410=""missing"", K410=""none""), """",
 REGEXREPLACE(
  SUBSTITUTE(SUBSTITUTE(SUBSTITUTE(TO_TEXT(K410), CHAR(160),""""), UNICHAR(8239),""""), UNICHAR(8201),""""),""[+\-/(): )]"", """"))"),"78311806x1")</f>
        <v>78311806x1</v>
      </c>
      <c r="M410" s="2" t="str">
        <f>IFERROR(__xludf.DUMMYFUNCTION("IF(L410="""","""", REGEXEXTRACT(REGEXREPLACE(L410,""x"", """"), ""[0-9]+""))"),"783118061")</f>
        <v>783118061</v>
      </c>
      <c r="N410" s="2" t="str">
        <f>IF(LEFT(M410,3)="353", RIGHT(M410,LEN(M410)-3),M410)</f>
        <v>783118061</v>
      </c>
      <c r="O410" s="2" t="b">
        <f>IFERROR(__xludf.DUMMYFUNCTION("REGEXMATCH(TO_TEXT(N410), ""^0(83|85|86|87|89)"")"),FALSE)</f>
        <v>0</v>
      </c>
      <c r="P410" s="2">
        <f t="shared" si="194"/>
        <v>9</v>
      </c>
      <c r="Q410" s="9" t="str">
        <f>IF(AND(O410=TRUE, P407=10), "✅ VALID", "❌ INVALID")</f>
        <v>❌ INVALID</v>
      </c>
      <c r="R410" s="10" t="s">
        <v>1177</v>
      </c>
      <c r="S410" s="12">
        <v>45466.0</v>
      </c>
      <c r="T410" s="2" t="str">
        <f>IFERROR(__xludf.DUMMYFUNCTION("IF(ISNUMBER(S410),TEXT(S410,""yyyy-MM-dd""),REGEXREPLACE(REGEXREPLACE(TO_TEXT(S410),""[^0-9a-zA-Z]+"",""-""),""[^0-9]*$"",""""))"),"2024-06-23")</f>
        <v>2024-06-23</v>
      </c>
      <c r="U410" s="2" t="s">
        <v>8216</v>
      </c>
      <c r="Y410" s="10" t="s">
        <v>8216</v>
      </c>
    </row>
    <row r="411" ht="15.75" customHeight="1">
      <c r="A411" s="2" t="s">
        <v>5293</v>
      </c>
      <c r="B411" s="9" t="s">
        <v>7597</v>
      </c>
      <c r="C411" s="2" t="s">
        <v>2223</v>
      </c>
      <c r="D411" s="10" t="s">
        <v>8217</v>
      </c>
      <c r="E411" s="2">
        <f>IFERROR(__xludf.DUMMYFUNCTION("IF(LEN(D411:D701),
  COUNTA(SPLIT(D411:D701,"" "")),
 """")"),2.0)</f>
        <v>2</v>
      </c>
      <c r="F411" s="9" t="str">
        <f t="shared" si="188"/>
        <v>✅</v>
      </c>
      <c r="G411" s="2" t="s">
        <v>8217</v>
      </c>
      <c r="H411" s="10" t="str">
        <f t="shared" si="189"/>
        <v>paula.davis@yahoo.com</v>
      </c>
      <c r="I411" s="2" t="s">
        <v>2224</v>
      </c>
      <c r="J411" s="9" t="str">
        <f>IFERROR(__xludf.DUMMYFUNCTION("IF(REGEXMATCH(TRIM(I411),""^[A-Za-z0-9._%+-]+@[A-Za-z0-9.-]+\.[A-Za-z]{2,}$""),""✅ Valid"",""❌ Invalid"")"),"✅ Valid")</f>
        <v>✅ Valid</v>
      </c>
      <c r="K411" s="13" t="s">
        <v>8218</v>
      </c>
      <c r="L411" s="2" t="str">
        <f>IFERROR(__xludf.DUMMYFUNCTION("IF(OR(K411=""N/A"", K411=""missing"", K411=""none""), """",
 REGEXREPLACE(
  SUBSTITUTE(SUBSTITUTE(SUBSTITUTE(TO_TEXT(K411), CHAR(160),""""), UNICHAR(8239),""""), UNICHAR(8201),""""),""[+\-/(): )]"", """"))"),"3401092380ext790")</f>
        <v>3401092380ext790</v>
      </c>
      <c r="M411" s="2" t="str">
        <f>IFERROR(__xludf.DUMMYFUNCTION("IF(L411="""","""", REGEXEXTRACT(REGEXREPLACE(L411,""x"", """"), ""[0-9]+""))"),"3401092380")</f>
        <v>3401092380</v>
      </c>
      <c r="N411" s="2" t="str">
        <f>IF(LEFT(M411,2)="34", RIGHT(M411,LEN(M411)-2),M411)</f>
        <v>01092380</v>
      </c>
      <c r="O411" s="2" t="b">
        <f>IFERROR(__xludf.DUMMYFUNCTION("REGEXMATCH(TO_TEXT(N411), ""^[67]"")"),FALSE)</f>
        <v>0</v>
      </c>
      <c r="P411" s="2">
        <f t="shared" si="194"/>
        <v>8</v>
      </c>
      <c r="Q411" s="9" t="str">
        <f>IF(AND(O411=TRUE, P411=9), "✅ VALID", "❌ INVALID")</f>
        <v>❌ INVALID</v>
      </c>
      <c r="R411" s="10" t="s">
        <v>139</v>
      </c>
      <c r="S411" s="12" t="s">
        <v>6546</v>
      </c>
      <c r="T411" s="2" t="str">
        <f>IFERROR(__xludf.DUMMYFUNCTION("IF(ISNUMBER(S411),TEXT(S411,""yyyy-MM-dd""),REGEXREPLACE(REGEXREPLACE(TO_TEXT(S411),""[^0-9a-zA-Z]+"",""-""),""[^0-9]*$"",""""))"),"07-16-2022")</f>
        <v>07-16-2022</v>
      </c>
      <c r="U411" s="2" t="str">
        <f>TEXT(T411,"yyyy-MM-dd")</f>
        <v>07-16-2022</v>
      </c>
      <c r="V411" s="2" t="s">
        <v>8219</v>
      </c>
      <c r="Y411" s="10" t="s">
        <v>8219</v>
      </c>
    </row>
    <row r="412" ht="15.75" customHeight="1">
      <c r="A412" s="2" t="s">
        <v>5797</v>
      </c>
      <c r="B412" s="9" t="s">
        <v>7597</v>
      </c>
      <c r="C412" s="2" t="s">
        <v>2030</v>
      </c>
      <c r="D412" s="10" t="str">
        <f>IFERROR(__xludf.DUMMYFUNCTION("PROPER(REGEXREPLACE(TRIM(C412),""\s+"","" ""))"),"Igor Kowalczyk")</f>
        <v>Igor Kowalczyk</v>
      </c>
      <c r="E412" s="2">
        <f>IFERROR(__xludf.DUMMYFUNCTION("IF(LEN(D412:D701),
  COUNTA(SPLIT(D412:D701,"" "")),
 """")"),2.0)</f>
        <v>2</v>
      </c>
      <c r="F412" s="9" t="str">
        <f t="shared" si="188"/>
        <v>✅</v>
      </c>
      <c r="G412" s="2" t="str">
        <f>IFERROR(__xludf.DUMMYFUNCTION("REGEXEXTRACT(PROPER(SUBSTITUTE(TRIM(I412),""."","" "")),""^[^@]+"")"),"Igor Kowalczyk")</f>
        <v>Igor Kowalczyk</v>
      </c>
      <c r="H412" s="10" t="str">
        <f t="shared" si="189"/>
        <v>igor.kowalczyk@example.com</v>
      </c>
      <c r="I412" s="2" t="s">
        <v>2031</v>
      </c>
      <c r="J412" s="9" t="str">
        <f>IFERROR(__xludf.DUMMYFUNCTION("IF(REGEXMATCH(TRIM(I412),""^[A-Za-z0-9._%+-]+@[A-Za-z0-9.-]+\.[A-Za-z]{2,}$""),""✅ Valid"",""❌ Invalid"")"),"✅ Valid")</f>
        <v>✅ Valid</v>
      </c>
      <c r="K412" s="13" t="s">
        <v>8220</v>
      </c>
      <c r="L412" s="2" t="str">
        <f>IFERROR(__xludf.DUMMYFUNCTION("IF(OR(K412=""N/A"", K412=""missing"", K412=""none""), """",
 REGEXREPLACE(
  SUBSTITUTE(SUBSTITUTE(SUBSTITUTE(TO_TEXT(K412), CHAR(160),""""), UNICHAR(8239),""""), UNICHAR(8201),""""),""[+\-/(): )]"", """"))"),"91462x12641x")</f>
        <v>91462x12641x</v>
      </c>
      <c r="M412" s="2" t="str">
        <f>IFERROR(__xludf.DUMMYFUNCTION("IF(L412="""","""", REGEXEXTRACT(REGEXREPLACE(L412,""x"", """"), ""[0-9]+""))"),"9146212641")</f>
        <v>9146212641</v>
      </c>
      <c r="N412" s="2" t="str">
        <f t="shared" ref="N412:N413" si="196">IF(LEFT(M412,2)="44", RIGHT(M412,LEN(M412)-2),M412)</f>
        <v>9146212641</v>
      </c>
      <c r="O412" s="2" t="b">
        <f>IFERROR(__xludf.DUMMYFUNCTION("REGEXMATCH(TO_TEXT(N412), ""^07[1-57-9]"")"),FALSE)</f>
        <v>0</v>
      </c>
      <c r="P412" s="2">
        <f t="shared" si="194"/>
        <v>10</v>
      </c>
      <c r="Q412" s="9" t="str">
        <f t="shared" ref="Q412:Q413" si="197">IF(AND(O412=TRUE, P412=11), "✅ VALID", "❌ INVALID")</f>
        <v>❌ INVALID</v>
      </c>
      <c r="R412" s="10" t="s">
        <v>114</v>
      </c>
      <c r="S412" s="12">
        <v>44957.0</v>
      </c>
      <c r="T412" s="2" t="str">
        <f>IFERROR(__xludf.DUMMYFUNCTION("IF(ISNUMBER(S412),TEXT(S412,""yyyy-MM-dd""),REGEXREPLACE(REGEXREPLACE(TO_TEXT(S412),""[^0-9a-zA-Z]+"",""-""),""[^0-9]*$"",""""))"),"2023-01-31")</f>
        <v>2023-01-31</v>
      </c>
      <c r="U412" s="2" t="s">
        <v>7010</v>
      </c>
      <c r="Y412" s="10" t="s">
        <v>7010</v>
      </c>
    </row>
    <row r="413" ht="15.75" customHeight="1">
      <c r="A413" s="2" t="s">
        <v>1557</v>
      </c>
      <c r="B413" s="9" t="s">
        <v>7597</v>
      </c>
      <c r="C413" s="2" t="s">
        <v>7364</v>
      </c>
      <c r="D413" s="10" t="str">
        <f>IFERROR(__xludf.DUMMYFUNCTION("PROPER(REGEXREPLACE(TRIM(C413),""\s+"","" ""))"),"Vlad Davis")</f>
        <v>Vlad Davis</v>
      </c>
      <c r="E413" s="2">
        <f>IFERROR(__xludf.DUMMYFUNCTION("IF(LEN(D413:D701),
  COUNTA(SPLIT(D413:D701,"" "")),
 """")"),2.0)</f>
        <v>2</v>
      </c>
      <c r="F413" s="9" t="str">
        <f t="shared" si="188"/>
        <v>✅</v>
      </c>
      <c r="G413" s="2" t="str">
        <f>IFERROR(__xludf.DUMMYFUNCTION("REGEXEXTRACT(PROPER(SUBSTITUTE(TRIM(I413),""."","" "")),""^[^@]+"")"),"Vlad Davis")</f>
        <v>Vlad Davis</v>
      </c>
      <c r="H413" s="10" t="str">
        <f t="shared" si="189"/>
        <v>vlad.davis@gmail.com</v>
      </c>
      <c r="I413" s="2" t="s">
        <v>7365</v>
      </c>
      <c r="J413" s="9" t="str">
        <f>IFERROR(__xludf.DUMMYFUNCTION("IF(REGEXMATCH(TRIM(I413),""^[A-Za-z0-9._%+-]+@[A-Za-z0-9.-]+\.[A-Za-z]{2,}$""),""✅ Valid"",""❌ Invalid"")"),"✅ Valid")</f>
        <v>✅ Valid</v>
      </c>
      <c r="K413" s="11">
        <v>4.491059136177E12</v>
      </c>
      <c r="L413" s="2" t="str">
        <f>IFERROR(__xludf.DUMMYFUNCTION("IF(OR(K413=""N/A"", K413=""missing"", K413=""none""), """",
 REGEXREPLACE(
  SUBSTITUTE(SUBSTITUTE(SUBSTITUTE(TO_TEXT(K413), CHAR(160),""""), UNICHAR(8239),""""), UNICHAR(8201),""""),""[+\-/(): )]"", """"))"),"4491059136177")</f>
        <v>4491059136177</v>
      </c>
      <c r="M413" s="2" t="str">
        <f>IFERROR(__xludf.DUMMYFUNCTION("IF(L413="""","""", REGEXEXTRACT(REGEXREPLACE(L413,""x"", """"), ""[0-9]+""))"),"4491059136177")</f>
        <v>4491059136177</v>
      </c>
      <c r="N413" s="2" t="str">
        <f t="shared" si="196"/>
        <v>91059136177</v>
      </c>
      <c r="O413" s="2" t="b">
        <f>IFERROR(__xludf.DUMMYFUNCTION("REGEXMATCH(TO_TEXT(N413), ""^07[1-57-9]"")"),FALSE)</f>
        <v>0</v>
      </c>
      <c r="P413" s="2">
        <f t="shared" si="194"/>
        <v>11</v>
      </c>
      <c r="Q413" s="9" t="str">
        <f t="shared" si="197"/>
        <v>❌ INVALID</v>
      </c>
      <c r="R413" s="10" t="s">
        <v>114</v>
      </c>
      <c r="S413" s="12">
        <v>44869.0</v>
      </c>
      <c r="T413" s="2" t="str">
        <f>IFERROR(__xludf.DUMMYFUNCTION("IF(ISNUMBER(S413),TEXT(S413,""yyyy-MM-dd""),REGEXREPLACE(REGEXREPLACE(TO_TEXT(S413),""[^0-9a-zA-Z]+"",""-""),""[^0-9]*$"",""""))"),"2022-11-04")</f>
        <v>2022-11-04</v>
      </c>
      <c r="U413" s="2" t="s">
        <v>8221</v>
      </c>
      <c r="Y413" s="10" t="s">
        <v>8221</v>
      </c>
    </row>
    <row r="414" ht="15.75" customHeight="1">
      <c r="A414" s="2" t="s">
        <v>242</v>
      </c>
      <c r="B414" s="9" t="s">
        <v>7597</v>
      </c>
      <c r="C414" s="2" t="s">
        <v>5222</v>
      </c>
      <c r="D414" s="10" t="str">
        <f>IFERROR(__xludf.DUMMYFUNCTION("PROPER(REGEXREPLACE(TRIM(C414),""\s+"","" ""))"),"Vlad Rodriguez")</f>
        <v>Vlad Rodriguez</v>
      </c>
      <c r="E414" s="2">
        <f>IFERROR(__xludf.DUMMYFUNCTION("IF(LEN(D414:D701),
  COUNTA(SPLIT(D414:D701,"" "")),
 """")"),2.0)</f>
        <v>2</v>
      </c>
      <c r="F414" s="9" t="str">
        <f t="shared" si="188"/>
        <v>❌</v>
      </c>
      <c r="G414" s="2" t="s">
        <v>8222</v>
      </c>
      <c r="H414" s="10" t="str">
        <f t="shared" si="189"/>
        <v>vla.drodriguez@company.co.uk</v>
      </c>
      <c r="I414" s="2" t="s">
        <v>5223</v>
      </c>
      <c r="J414" s="9" t="str">
        <f>IFERROR(__xludf.DUMMYFUNCTION("IF(REGEXMATCH(TRIM(I414),""^[A-Za-z0-9._%+-]+@[A-Za-z0-9.-]+\.[A-Za-z]{2,}$""),""✅ Valid"",""❌ Invalid"")"),"✅ Valid")</f>
        <v>✅ Valid</v>
      </c>
      <c r="K414" s="13" t="s">
        <v>8223</v>
      </c>
      <c r="L414" s="2" t="str">
        <f>IFERROR(__xludf.DUMMYFUNCTION("IF(OR(K414=""N/A"", K414=""missing"", K414=""none""), """",
 REGEXREPLACE(
  SUBSTITUTE(SUBSTITUTE(SUBSTITUTE(TO_TEXT(K414), CHAR(160),""""), UNICHAR(8239),""""), UNICHAR(8201),""""),""[+\-/(): )]"", """"))"),"495055910024")</f>
        <v>495055910024</v>
      </c>
      <c r="M414" s="2" t="str">
        <f>IFERROR(__xludf.DUMMYFUNCTION("IF(L414="""","""", REGEXEXTRACT(REGEXREPLACE(L414,""x"", """"), ""[0-9]+""))"),"495055910024")</f>
        <v>495055910024</v>
      </c>
      <c r="N414" s="2" t="str">
        <f>IF(LEFT(M414,2)="49", RIGHT(M414,LEN(M414)-2),M414)</f>
        <v>5055910024</v>
      </c>
      <c r="O414" s="2" t="b">
        <f>IFERROR(__xludf.DUMMYFUNCTION("REGEXMATCH(TO_TEXT(N414), ""^0(15|16|17)"")"),FALSE)</f>
        <v>0</v>
      </c>
      <c r="P414" s="2">
        <f t="shared" si="194"/>
        <v>10</v>
      </c>
      <c r="Q414" s="9" t="str">
        <f>IF(AND(O414=TRUE,OR(P414=10, P414=11)), "✅ VALID", "❌ INVALID")</f>
        <v>❌ INVALID</v>
      </c>
      <c r="R414" s="10" t="s">
        <v>459</v>
      </c>
      <c r="S414" s="12">
        <v>45815.32013888889</v>
      </c>
      <c r="T414" s="2" t="str">
        <f>IFERROR(__xludf.DUMMYFUNCTION("IF(ISNUMBER(S414),TEXT(S414,""yyyy-MM-dd""),REGEXREPLACE(REGEXREPLACE(TO_TEXT(S414),""[^0-9a-zA-Z]+"",""-""),""[^0-9]*$"",""""))"),"2025-06-07")</f>
        <v>2025-06-07</v>
      </c>
      <c r="U414" s="2" t="s">
        <v>8224</v>
      </c>
      <c r="Y414" s="10" t="s">
        <v>8224</v>
      </c>
    </row>
    <row r="415" ht="15.75" customHeight="1">
      <c r="A415" s="2" t="s">
        <v>2625</v>
      </c>
      <c r="B415" s="9" t="s">
        <v>7597</v>
      </c>
      <c r="C415" s="2" t="s">
        <v>7320</v>
      </c>
      <c r="D415" s="10" t="str">
        <f>IFERROR(__xludf.DUMMYFUNCTION("PROPER(REGEXREPLACE(TRIM(C415),""\s+"","" ""))"),"Marek Kowalczyk")</f>
        <v>Marek Kowalczyk</v>
      </c>
      <c r="E415" s="2">
        <f>IFERROR(__xludf.DUMMYFUNCTION("IF(LEN(D415:D701),
  COUNTA(SPLIT(D415:D701,"" "")),
 """")"),2.0)</f>
        <v>2</v>
      </c>
      <c r="F415" s="9" t="str">
        <f t="shared" si="188"/>
        <v>✅</v>
      </c>
      <c r="G415" s="2" t="str">
        <f>IFERROR(__xludf.DUMMYFUNCTION("REGEXEXTRACT(PROPER(SUBSTITUTE(TRIM(I415),""."","" "")),""^[^@]+"")"),"Marek Kowalczyk")</f>
        <v>Marek Kowalczyk</v>
      </c>
      <c r="H415" s="10" t="str">
        <f t="shared" si="189"/>
        <v>marek.kowalczyk@outlook.com</v>
      </c>
      <c r="I415" s="2" t="s">
        <v>7321</v>
      </c>
      <c r="J415" s="9" t="str">
        <f>IFERROR(__xludf.DUMMYFUNCTION("IF(REGEXMATCH(TRIM(I415),""^[A-Za-z0-9._%+-]+@[A-Za-z0-9.-]+\.[A-Za-z]{2,}$""),""✅ Valid"",""❌ Invalid"")"),"✅ Valid")</f>
        <v>✅ Valid</v>
      </c>
      <c r="K415" s="15" t="s">
        <v>8225</v>
      </c>
      <c r="L415" s="2" t="str">
        <f>IFERROR(__xludf.DUMMYFUNCTION("IF(K415=""N/A"", """",
 REGEXREPLACE(
  SUBSTITUTE(SUBSTITUTE(SUBSTITUTE(TO_TEXT(K415), CHAR(160),""""), UNICHAR(8239),""""), UNICHAR(8201),""""),""[+\-/(): )]"", """"))"),"4862879126")</f>
        <v>4862879126</v>
      </c>
      <c r="M415" s="2" t="str">
        <f>IFERROR(__xludf.DUMMYFUNCTION("IF(L415="""","""", REGEXEXTRACT(REGEXREPLACE(L415,""x"", """"), ""[0-9]+""))"),"4862879126")</f>
        <v>4862879126</v>
      </c>
      <c r="N415" s="2" t="str">
        <f>IF(LEFT(M415,2)="48", RIGHT(M415,LEN(M415)-2),M415)</f>
        <v>62879126</v>
      </c>
      <c r="O415" s="2" t="b">
        <f>IFERROR(__xludf.DUMMYFUNCTION("REGEXMATCH(TO_TEXT(N415), ""^(5[013679]|6[069]|7[2-9]|88)"")"),FALSE)</f>
        <v>0</v>
      </c>
      <c r="Q415" s="9" t="str">
        <f t="shared" ref="Q415:Q416" si="198">IF(AND(O415=TRUE, P415=9), "✅ VALID", "❌ INVALID")</f>
        <v>❌ INVALID</v>
      </c>
      <c r="R415" s="10" t="s">
        <v>25</v>
      </c>
      <c r="S415" s="12" t="s">
        <v>6249</v>
      </c>
      <c r="T415" s="2" t="str">
        <f>IFERROR(__xludf.DUMMYFUNCTION("IF(ISNUMBER(S415),TEXT(S415,""yyyy-MM-dd""),REGEXREPLACE(REGEXREPLACE(TO_TEXT(S415),""[^0-9a-zA-Z]+"",""-""),""[^0-9]*$"",""""))"),"12-21-2023")</f>
        <v>12-21-2023</v>
      </c>
      <c r="U415" s="2" t="str">
        <f>TEXT(T415,"yyyy-MM-dd")</f>
        <v>12-21-2023</v>
      </c>
      <c r="V415" s="2" t="s">
        <v>7855</v>
      </c>
      <c r="Y415" s="10" t="s">
        <v>7855</v>
      </c>
    </row>
    <row r="416" ht="15.75" customHeight="1">
      <c r="A416" s="2" t="s">
        <v>3226</v>
      </c>
      <c r="B416" s="9" t="s">
        <v>7597</v>
      </c>
      <c r="C416" s="2" t="s">
        <v>5435</v>
      </c>
      <c r="D416" s="10" t="str">
        <f>IFERROR(__xludf.DUMMYFUNCTION("PROPER(REGEXREPLACE(TRIM(C416),""\s+"","" ""))"),"Fiona Muller")</f>
        <v>Fiona Muller</v>
      </c>
      <c r="E416" s="2">
        <f>IFERROR(__xludf.DUMMYFUNCTION("IF(LEN(D416:D701),
  COUNTA(SPLIT(D416:D701,"" "")),
 """")"),2.0)</f>
        <v>2</v>
      </c>
      <c r="F416" s="9" t="str">
        <f t="shared" si="188"/>
        <v>✅</v>
      </c>
      <c r="G416" s="2" t="str">
        <f>IFERROR(__xludf.DUMMYFUNCTION("REGEXEXTRACT(PROPER(SUBSTITUTE(TRIM(I416),""."","" "")),""^[^@]+"")"),"Fiona Muller")</f>
        <v>Fiona Muller</v>
      </c>
      <c r="H416" s="10" t="str">
        <f t="shared" si="189"/>
        <v>fiona.muller@outlook.com</v>
      </c>
      <c r="I416" s="2" t="s">
        <v>5436</v>
      </c>
      <c r="J416" s="9" t="str">
        <f>IFERROR(__xludf.DUMMYFUNCTION("IF(REGEXMATCH(TRIM(I416),""^[A-Za-z0-9._%+-]+@[A-Za-z0-9.-]+\.[A-Za-z]{2,}$""),""✅ Valid"",""❌ Invalid"")"),"✅ Valid")</f>
        <v>✅ Valid</v>
      </c>
      <c r="K416" s="13" t="s">
        <v>8226</v>
      </c>
      <c r="L416" s="2" t="str">
        <f>IFERROR(__xludf.DUMMYFUNCTION("IF(OR(K416=""N/A"", K416=""missing"", K416=""none""), """",
 REGEXREPLACE(
  SUBSTITUTE(SUBSTITUTE(SUBSTITUTE(TO_TEXT(K416), CHAR(160),""""), UNICHAR(8239),""""), UNICHAR(8201),""""),""[+\-/(): )]"", """"))"),"34398793852ext722")</f>
        <v>34398793852ext722</v>
      </c>
      <c r="M416" s="2" t="str">
        <f>IFERROR(__xludf.DUMMYFUNCTION("IF(L416="""","""", REGEXEXTRACT(REGEXREPLACE(L416,""x"", """"), ""[0-9]+""))"),"34398793852")</f>
        <v>34398793852</v>
      </c>
      <c r="N416" s="2" t="str">
        <f>IF(LEFT(M416,2)="34", RIGHT(M416,LEN(M416)-2),M416)</f>
        <v>398793852</v>
      </c>
      <c r="O416" s="2" t="b">
        <f>IFERROR(__xludf.DUMMYFUNCTION("REGEXMATCH(TO_TEXT(N416), ""^[67]"")"),FALSE)</f>
        <v>0</v>
      </c>
      <c r="P416" s="2">
        <f t="shared" ref="P416:P419" si="199">LEN(N416)</f>
        <v>9</v>
      </c>
      <c r="Q416" s="9" t="str">
        <f t="shared" si="198"/>
        <v>❌ INVALID</v>
      </c>
      <c r="R416" s="10" t="s">
        <v>139</v>
      </c>
      <c r="S416" s="12">
        <v>45421.0</v>
      </c>
      <c r="T416" s="2" t="str">
        <f>IFERROR(__xludf.DUMMYFUNCTION("IF(ISNUMBER(S416),TEXT(S416,""yyyy-MM-dd""),REGEXREPLACE(REGEXREPLACE(TO_TEXT(S416),""[^0-9a-zA-Z]+"",""-""),""[^0-9]*$"",""""))"),"2024-05-09")</f>
        <v>2024-05-09</v>
      </c>
      <c r="U416" s="2" t="s">
        <v>1831</v>
      </c>
      <c r="Y416" s="10" t="s">
        <v>1831</v>
      </c>
    </row>
    <row r="417" ht="15.75" customHeight="1">
      <c r="A417" s="2" t="s">
        <v>7326</v>
      </c>
      <c r="B417" s="9" t="s">
        <v>7597</v>
      </c>
      <c r="C417" s="2" t="s">
        <v>3980</v>
      </c>
      <c r="D417" s="10" t="str">
        <f>IFERROR(__xludf.DUMMYFUNCTION("PROPER(REGEXREPLACE(TRIM(C417),""\s+"","" ""))"),"Carlos Kowalski")</f>
        <v>Carlos Kowalski</v>
      </c>
      <c r="E417" s="2">
        <f>IFERROR(__xludf.DUMMYFUNCTION("IF(LEN(D417:D701),
  COUNTA(SPLIT(D417:D701,"" "")),
 """")"),2.0)</f>
        <v>2</v>
      </c>
      <c r="F417" s="9" t="str">
        <f t="shared" si="188"/>
        <v>✅</v>
      </c>
      <c r="G417" s="2" t="str">
        <f>IFERROR(__xludf.DUMMYFUNCTION("REGEXEXTRACT(PROPER(SUBSTITUTE(TRIM(I417),""."","" "")),""^[^@]+"")"),"Carlos Kowalski")</f>
        <v>Carlos Kowalski</v>
      </c>
      <c r="H417" s="10" t="str">
        <f t="shared" si="189"/>
        <v>carlos.kowalski@outlook.com</v>
      </c>
      <c r="I417" s="2" t="s">
        <v>4708</v>
      </c>
      <c r="J417" s="9" t="str">
        <f>IFERROR(__xludf.DUMMYFUNCTION("IF(REGEXMATCH(TRIM(I417),""^[A-Za-z0-9._%+-]+@[A-Za-z0-9.-]+\.[A-Za-z]{2,}$""),""✅ Valid"",""❌ Invalid"")"),"✅ Valid")</f>
        <v>✅ Valid</v>
      </c>
      <c r="K417" s="13" t="s">
        <v>8227</v>
      </c>
      <c r="L417" s="2" t="str">
        <f>IFERROR(__xludf.DUMMYFUNCTION("IF(OR(K417=""N/A"", K417=""missing"", K417=""none""), """",
 REGEXREPLACE(
  SUBSTITUTE(SUBSTITUTE(SUBSTITUTE(TO_TEXT(K417), CHAR(160),""""), UNICHAR(8239),""""), UNICHAR(8201),""""),""[+\-/(): )]"", """"))"),"483869982")</f>
        <v>483869982</v>
      </c>
      <c r="M417" s="2" t="str">
        <f>IFERROR(__xludf.DUMMYFUNCTION("IF(L417="""","""", REGEXEXTRACT(REGEXREPLACE(L417,""x"", """"), ""[0-9]+""))"),"483869982")</f>
        <v>483869982</v>
      </c>
      <c r="N417" s="2" t="str">
        <f>IF(LEFT(M417,3)="353", RIGHT(M417,LEN(M417)-3),M417)</f>
        <v>483869982</v>
      </c>
      <c r="O417" s="2" t="b">
        <f>IFERROR(__xludf.DUMMYFUNCTION("REGEXMATCH(TO_TEXT(N417), ""^0(83|85|86|87|89)"")"),FALSE)</f>
        <v>0</v>
      </c>
      <c r="P417" s="2">
        <f t="shared" si="199"/>
        <v>9</v>
      </c>
      <c r="Q417" s="9" t="str">
        <f>IF(AND(O417=TRUE, P414=10), "✅ VALID", "❌ INVALID")</f>
        <v>❌ INVALID</v>
      </c>
      <c r="R417" s="10" t="s">
        <v>1177</v>
      </c>
      <c r="S417" s="12" t="s">
        <v>6362</v>
      </c>
      <c r="T417" s="2" t="str">
        <f>IFERROR(__xludf.DUMMYFUNCTION("IF(ISNUMBER(S417),TEXT(S417,""yyyy-MM-dd""),REGEXREPLACE(REGEXREPLACE(TO_TEXT(S417),""[^0-9a-zA-Z]+"",""-""),""[^0-9]*$"",""""))"),"04-02-2024")</f>
        <v>04-02-2024</v>
      </c>
      <c r="U417" s="2" t="s">
        <v>8228</v>
      </c>
      <c r="Y417" s="10" t="s">
        <v>8228</v>
      </c>
    </row>
    <row r="418" ht="15.75" customHeight="1">
      <c r="A418" s="2" t="s">
        <v>2366</v>
      </c>
      <c r="B418" s="9" t="s">
        <v>7597</v>
      </c>
      <c r="C418" s="2" t="s">
        <v>1126</v>
      </c>
      <c r="D418" s="10" t="str">
        <f>IFERROR(__xludf.DUMMYFUNCTION("PROPER(REGEXREPLACE(TRIM(C418),""\s+"","" ""))"),"Marek Davis")</f>
        <v>Marek Davis</v>
      </c>
      <c r="E418" s="2">
        <f>IFERROR(__xludf.DUMMYFUNCTION("IF(LEN(D418:D701),
  COUNTA(SPLIT(D418:D701,"" "")),
 """")"),2.0)</f>
        <v>2</v>
      </c>
      <c r="F418" s="9" t="str">
        <f t="shared" si="188"/>
        <v>✅</v>
      </c>
      <c r="G418" s="2" t="str">
        <f>IFERROR(__xludf.DUMMYFUNCTION("REGEXEXTRACT(PROPER(SUBSTITUTE(TRIM(I418),""."","" "")),""^[^@]+"")"),"Marek Davis")</f>
        <v>Marek Davis</v>
      </c>
      <c r="H418" s="10" t="str">
        <f t="shared" si="189"/>
        <v>marek.davis@yahoo.com</v>
      </c>
      <c r="I418" s="2" t="s">
        <v>1127</v>
      </c>
      <c r="J418" s="9" t="str">
        <f>IFERROR(__xludf.DUMMYFUNCTION("IF(REGEXMATCH(TRIM(I418),""^[A-Za-z0-9._%+-]+@[A-Za-z0-9.-]+\.[A-Za-z]{2,}$""),""✅ Valid"",""❌ Invalid"")"),"✅ Valid")</f>
        <v>✅ Valid</v>
      </c>
      <c r="K418" s="13" t="s">
        <v>8229</v>
      </c>
      <c r="L418" s="2" t="str">
        <f>IFERROR(__xludf.DUMMYFUNCTION("IF(OR(K418=""N/A"", K418=""missing"", K418=""none""), """",
 REGEXREPLACE(
  SUBSTITUTE(SUBSTITUTE(SUBSTITUTE(TO_TEXT(K418), CHAR(160),""""), UNICHAR(8239),""""), UNICHAR(8201),""""),""[+\-/(): )]"", """"))"),"tel4999401539791")</f>
        <v>tel4999401539791</v>
      </c>
      <c r="M418" s="2" t="str">
        <f>IFERROR(__xludf.DUMMYFUNCTION("IF(L418="""","""", REGEXEXTRACT(REGEXREPLACE(L418,""x"", """"), ""[0-9]+""))"),"4999401539791")</f>
        <v>4999401539791</v>
      </c>
      <c r="N418" s="2" t="str">
        <f>IF(LEFT(M418,2)="49", RIGHT(M418,LEN(M418)-2),M418)</f>
        <v>99401539791</v>
      </c>
      <c r="O418" s="2" t="b">
        <f>IFERROR(__xludf.DUMMYFUNCTION("REGEXMATCH(TO_TEXT(N418), ""^0(15|16|17)"")"),FALSE)</f>
        <v>0</v>
      </c>
      <c r="P418" s="2">
        <f t="shared" si="199"/>
        <v>11</v>
      </c>
      <c r="Q418" s="9" t="str">
        <f>IF(AND(O418=TRUE,OR(P418=10, P418=11)), "✅ VALID", "❌ INVALID")</f>
        <v>❌ INVALID</v>
      </c>
      <c r="R418" s="10" t="s">
        <v>459</v>
      </c>
      <c r="S418" s="12">
        <v>45637.0</v>
      </c>
      <c r="T418" s="2" t="str">
        <f>IFERROR(__xludf.DUMMYFUNCTION("IF(ISNUMBER(S418),TEXT(S418,""yyyy-MM-dd""),REGEXREPLACE(REGEXREPLACE(TO_TEXT(S418),""[^0-9a-zA-Z]+"",""-""),""[^0-9]*$"",""""))"),"2024-12-11")</f>
        <v>2024-12-11</v>
      </c>
      <c r="U418" s="2" t="s">
        <v>8230</v>
      </c>
      <c r="Y418" s="10" t="s">
        <v>8230</v>
      </c>
    </row>
    <row r="419" ht="15.75" customHeight="1">
      <c r="A419" s="2" t="s">
        <v>1768</v>
      </c>
      <c r="B419" s="9" t="s">
        <v>7597</v>
      </c>
      <c r="C419" s="2" t="s">
        <v>753</v>
      </c>
      <c r="D419" s="10" t="str">
        <f>IFERROR(__xludf.DUMMYFUNCTION("PROPER(REGEXREPLACE(TRIM(C419),""\s+"","" ""))"),"Marek Kowalczyk")</f>
        <v>Marek Kowalczyk</v>
      </c>
      <c r="E419" s="2">
        <f>IFERROR(__xludf.DUMMYFUNCTION("IF(LEN(D419:D701),
  COUNTA(SPLIT(D419:D701,"" "")),
 """")"),2.0)</f>
        <v>2</v>
      </c>
      <c r="F419" s="9" t="str">
        <f t="shared" si="188"/>
        <v>❌</v>
      </c>
      <c r="G419" s="2" t="s">
        <v>8231</v>
      </c>
      <c r="H419" s="10" t="str">
        <f t="shared" si="189"/>
        <v>marek.koawlczyk@outlook.com</v>
      </c>
      <c r="I419" s="2" t="s">
        <v>754</v>
      </c>
      <c r="J419" s="9" t="str">
        <f>IFERROR(__xludf.DUMMYFUNCTION("IF(REGEXMATCH(TRIM(I419),""^[A-Za-z0-9._%+-]+@[A-Za-z0-9.-]+\.[A-Za-z]{2,}$""),""✅ Valid"",""❌ Invalid"")"),"✅ Valid")</f>
        <v>✅ Valid</v>
      </c>
      <c r="K419" s="13" t="s">
        <v>7629</v>
      </c>
      <c r="L419" s="2" t="str">
        <f>IFERROR(__xludf.DUMMYFUNCTION("IF(OR(K419=""N/A"", K419=""missing"", K419=""none""), """",
 REGEXREPLACE(
  SUBSTITUTE(SUBSTITUTE(SUBSTITUTE(TO_TEXT(K419), CHAR(160),""""), UNICHAR(8239),""""), UNICHAR(8201),""""),""[+\-/(): )]"", """"))"),"")</f>
        <v/>
      </c>
      <c r="M419" s="2" t="str">
        <f>IFERROR(__xludf.DUMMYFUNCTION("IF(L419="""","""", REGEXEXTRACT(REGEXREPLACE(L419,""x"", """"), ""[0-9]+""))"),"")</f>
        <v/>
      </c>
      <c r="N419" s="2" t="str">
        <f>IF(LEFT(M419,2)="44", RIGHT(M419,LEN(M419)-2),M419)</f>
        <v/>
      </c>
      <c r="O419" s="2" t="b">
        <f>IFERROR(__xludf.DUMMYFUNCTION("REGEXMATCH(TO_TEXT(N419), ""^07[1-57-9]"")"),FALSE)</f>
        <v>0</v>
      </c>
      <c r="P419" s="2">
        <f t="shared" si="199"/>
        <v>0</v>
      </c>
      <c r="Q419" s="9" t="str">
        <f>IF(AND(O419=TRUE, P419=11), "✅ VALID", "❌ INVALID")</f>
        <v>❌ INVALID</v>
      </c>
      <c r="R419" s="10" t="s">
        <v>114</v>
      </c>
      <c r="S419" s="12" t="s">
        <v>6786</v>
      </c>
      <c r="T419" s="2" t="str">
        <f>IFERROR(__xludf.DUMMYFUNCTION("IF(ISNUMBER(S419),TEXT(S419,""yyyy-MM-dd""),REGEXREPLACE(REGEXREPLACE(TO_TEXT(S419),""[^0-9a-zA-Z]+"",""-""),""[^0-9]*$"",""""))"),"06-04-2023")</f>
        <v>06-04-2023</v>
      </c>
      <c r="U419" s="2" t="s">
        <v>8232</v>
      </c>
      <c r="Y419" s="10" t="s">
        <v>8232</v>
      </c>
    </row>
    <row r="420" ht="15.75" customHeight="1">
      <c r="A420" s="2" t="s">
        <v>4630</v>
      </c>
      <c r="B420" s="9" t="s">
        <v>7597</v>
      </c>
      <c r="C420" s="2" t="s">
        <v>320</v>
      </c>
      <c r="D420" s="10" t="str">
        <f>IFERROR(__xludf.DUMMYFUNCTION("PROPER(REGEXREPLACE(TRIM(C420),""\s+"","" ""))"),"Omar Taylor")</f>
        <v>Omar Taylor</v>
      </c>
      <c r="E420" s="2">
        <f>IFERROR(__xludf.DUMMYFUNCTION("IF(LEN(D420:D701),
  COUNTA(SPLIT(D420:D701,"" "")),
 """")"),2.0)</f>
        <v>2</v>
      </c>
      <c r="F420" s="9" t="str">
        <f t="shared" si="188"/>
        <v>✅</v>
      </c>
      <c r="G420" s="2" t="str">
        <f>IFERROR(__xludf.DUMMYFUNCTION("REGEXEXTRACT(PROPER(SUBSTITUTE(TRIM(I420),""."","" "")),""^[^@]+"")"),"Omar Taylor")</f>
        <v>Omar Taylor</v>
      </c>
      <c r="H420" s="10" t="str">
        <f t="shared" si="189"/>
        <v>omar.taylor@company.co.uk</v>
      </c>
      <c r="I420" s="2" t="s">
        <v>321</v>
      </c>
      <c r="J420" s="9" t="str">
        <f>IFERROR(__xludf.DUMMYFUNCTION("IF(REGEXMATCH(TRIM(I420),""^[A-Za-z0-9._%+-]+@[A-Za-z0-9.-]+\.[A-Za-z]{2,}$""),""✅ Valid"",""❌ Invalid"")"),"✅ Valid")</f>
        <v>✅ Valid</v>
      </c>
      <c r="K420" s="17" t="s">
        <v>8233</v>
      </c>
      <c r="L420" s="2" t="str">
        <f>IFERROR(__xludf.DUMMYFUNCTION("IF(K420=""N/A"", """",
 REGEXREPLACE(
  SUBSTITUTE(SUBSTITUTE(SUBSTITUTE(TO_TEXT(K420), CHAR(160),""""), UNICHAR(8239),""""), UNICHAR(8201),""""),""[+\-/(): )]"", """"))"),"345004183")</f>
        <v>345004183</v>
      </c>
      <c r="M420" s="2" t="str">
        <f>IFERROR(__xludf.DUMMYFUNCTION("IF(L420="""","""", REGEXEXTRACT(REGEXREPLACE(L420,""x"", """"), ""[0-9]+""))"),"345004183")</f>
        <v>345004183</v>
      </c>
      <c r="N420" s="2" t="str">
        <f t="shared" ref="N420:N421" si="200">IF(LEFT(M420,2)="48", RIGHT(M420,LEN(M420)-2),M420)</f>
        <v>345004183</v>
      </c>
      <c r="O420" s="2" t="b">
        <f>IFERROR(__xludf.DUMMYFUNCTION("REGEXMATCH(TO_TEXT(N420), ""^(5[013679]|6[069]|7[2-9]|88)"")"),FALSE)</f>
        <v>0</v>
      </c>
      <c r="Q420" s="9" t="str">
        <f t="shared" ref="Q420:Q421" si="201">IF(AND(O420=TRUE, P420=9), "✅ VALID", "❌ INVALID")</f>
        <v>❌ INVALID</v>
      </c>
      <c r="R420" s="10" t="s">
        <v>25</v>
      </c>
      <c r="S420" s="12">
        <v>45730.0</v>
      </c>
      <c r="T420" s="2" t="str">
        <f>IFERROR(__xludf.DUMMYFUNCTION("IF(ISNUMBER(S420),TEXT(S420,""yyyy-MM-dd""),REGEXREPLACE(REGEXREPLACE(TO_TEXT(S420),""[^0-9a-zA-Z]+"",""-""),""[^0-9]*$"",""""))"),"2025-03-14")</f>
        <v>2025-03-14</v>
      </c>
      <c r="U420" s="2" t="s">
        <v>6978</v>
      </c>
      <c r="Y420" s="10" t="s">
        <v>6978</v>
      </c>
    </row>
    <row r="421" ht="15.75" customHeight="1">
      <c r="A421" s="2" t="s">
        <v>6642</v>
      </c>
      <c r="B421" s="9" t="s">
        <v>7597</v>
      </c>
      <c r="C421" s="2" t="s">
        <v>1752</v>
      </c>
      <c r="D421" s="10" t="str">
        <f>IFERROR(__xludf.DUMMYFUNCTION("PROPER(REGEXREPLACE(TRIM(C421),""\s+"","" ""))"),"Omar Brown")</f>
        <v>Omar Brown</v>
      </c>
      <c r="E421" s="2">
        <f>IFERROR(__xludf.DUMMYFUNCTION("IF(LEN(D421:D701),
  COUNTA(SPLIT(D421:D701,"" "")),
 """")"),2.0)</f>
        <v>2</v>
      </c>
      <c r="F421" s="9" t="str">
        <f t="shared" si="188"/>
        <v>✅</v>
      </c>
      <c r="G421" s="2" t="str">
        <f>IFERROR(__xludf.DUMMYFUNCTION("REGEXEXTRACT(PROPER(SUBSTITUTE(TRIM(I421),""."","" "")),""^[^@]+"")"),"Omar Brown")</f>
        <v>Omar Brown</v>
      </c>
      <c r="H421" s="10" t="str">
        <f t="shared" si="189"/>
        <v>omar.brown@gmail.com</v>
      </c>
      <c r="I421" s="2" t="s">
        <v>1753</v>
      </c>
      <c r="J421" s="9" t="str">
        <f>IFERROR(__xludf.DUMMYFUNCTION("IF(REGEXMATCH(TRIM(I421),""^[A-Za-z0-9._%+-]+@[A-Za-z0-9.-]+\.[A-Za-z]{2,}$""),""✅ Valid"",""❌ Invalid"")"),"✅ Valid")</f>
        <v>✅ Valid</v>
      </c>
      <c r="K421" s="17" t="s">
        <v>8234</v>
      </c>
      <c r="L421" s="2" t="str">
        <f>IFERROR(__xludf.DUMMYFUNCTION("IF(K421=""N/A"", """",
 REGEXREPLACE(
  SUBSTITUTE(SUBSTITUTE(SUBSTITUTE(TO_TEXT(K421), CHAR(160),""""), UNICHAR(8239),""""), UNICHAR(8201),""""),""[+\-/(): )]"", """"))"),"48162231458")</f>
        <v>48162231458</v>
      </c>
      <c r="M421" s="2" t="str">
        <f>IFERROR(__xludf.DUMMYFUNCTION("IF(L421="""","""", REGEXEXTRACT(REGEXREPLACE(L421,""x"", """"), ""[0-9]+""))"),"48162231458")</f>
        <v>48162231458</v>
      </c>
      <c r="N421" s="2" t="str">
        <f t="shared" si="200"/>
        <v>162231458</v>
      </c>
      <c r="O421" s="2" t="b">
        <f>IFERROR(__xludf.DUMMYFUNCTION("REGEXMATCH(TO_TEXT(N421), ""^(5[013679]|6[069]|7[2-9]|88)"")"),FALSE)</f>
        <v>0</v>
      </c>
      <c r="Q421" s="9" t="str">
        <f t="shared" si="201"/>
        <v>❌ INVALID</v>
      </c>
      <c r="R421" s="10" t="s">
        <v>25</v>
      </c>
      <c r="S421" s="12">
        <v>45382.0</v>
      </c>
      <c r="T421" s="2" t="str">
        <f>IFERROR(__xludf.DUMMYFUNCTION("IF(ISNUMBER(S421),TEXT(S421,""yyyy-MM-dd""),REGEXREPLACE(REGEXREPLACE(TO_TEXT(S421),""[^0-9a-zA-Z]+"",""-""),""[^0-9]*$"",""""))"),"2024-03-31")</f>
        <v>2024-03-31</v>
      </c>
      <c r="U421" s="2" t="s">
        <v>6971</v>
      </c>
      <c r="Y421" s="10" t="s">
        <v>6971</v>
      </c>
    </row>
    <row r="422" ht="15.75" hidden="1" customHeight="1">
      <c r="A422" s="2" t="s">
        <v>3376</v>
      </c>
      <c r="B422" s="9" t="s">
        <v>7597</v>
      </c>
      <c r="C422" s="2" t="s">
        <v>5294</v>
      </c>
      <c r="D422" s="2" t="str">
        <f>IFERROR(__xludf.DUMMYFUNCTION("PROPER(REGEXREPLACE(TRIM(C422),""\s+"","" ""))"),"Adam Williams")</f>
        <v>Adam Williams</v>
      </c>
      <c r="E422" s="2">
        <f>IFERROR(__xludf.DUMMYFUNCTION("IF(LEN(D422:D701),
  COUNTA(SPLIT(D422:D701,"" "")),
 """")"),2.0)</f>
        <v>2</v>
      </c>
      <c r="K422" s="2" t="s">
        <v>755</v>
      </c>
      <c r="R422" s="10" t="s">
        <v>58</v>
      </c>
      <c r="S422" s="2" t="s">
        <v>7076</v>
      </c>
    </row>
    <row r="423" ht="15.75" customHeight="1">
      <c r="A423" s="2" t="s">
        <v>2787</v>
      </c>
      <c r="B423" s="9" t="s">
        <v>7597</v>
      </c>
      <c r="C423" s="2" t="s">
        <v>5798</v>
      </c>
      <c r="D423" s="10" t="str">
        <f>IFERROR(__xludf.DUMMYFUNCTION("PROPER(REGEXREPLACE(TRIM(C423),""\s+"","" ""))"),"Ken Garcia")</f>
        <v>Ken Garcia</v>
      </c>
      <c r="E423" s="2">
        <f>IFERROR(__xludf.DUMMYFUNCTION("IF(LEN(D423:D701),
  COUNTA(SPLIT(D423:D701,"" "")),
 """")"),2.0)</f>
        <v>2</v>
      </c>
      <c r="F423" s="9" t="str">
        <f t="shared" ref="F423:F447" si="202">IF(D423=G423,"✅","❌")</f>
        <v>✅</v>
      </c>
      <c r="G423" s="2" t="str">
        <f>IFERROR(__xludf.DUMMYFUNCTION("REGEXEXTRACT(PROPER(SUBSTITUTE(TRIM(I423),""."","" "")),""^[^@]+"")"),"Ken Garcia")</f>
        <v>Ken Garcia</v>
      </c>
      <c r="H423" s="10" t="str">
        <f t="shared" ref="H423:H447" si="203">LOWER(TRIM(I423))</f>
        <v>ken.garcia@shop.io</v>
      </c>
      <c r="I423" s="2" t="s">
        <v>5799</v>
      </c>
      <c r="J423" s="9" t="str">
        <f>IFERROR(__xludf.DUMMYFUNCTION("IF(REGEXMATCH(TRIM(I423),""^[A-Za-z0-9._%+-]+@[A-Za-z0-9.-]+\.[A-Za-z]{2,}$""),""✅ Valid"",""❌ Invalid"")"),"✅ Valid")</f>
        <v>✅ Valid</v>
      </c>
      <c r="K423" s="13" t="s">
        <v>8235</v>
      </c>
      <c r="L423" s="2" t="str">
        <f>IFERROR(__xludf.DUMMYFUNCTION("IF(OR(K423=""N/A"", K423=""missing"", K423=""none""), """",
 REGEXREPLACE(
  SUBSTITUTE(SUBSTITUTE(SUBSTITUTE(TO_TEXT(K423), CHAR(160),""""), UNICHAR(8239),""""), UNICHAR(8201),""""),""[+\-/(): )]"", """"))"),"942269x375")</f>
        <v>942269x375</v>
      </c>
      <c r="M423" s="2" t="str">
        <f>IFERROR(__xludf.DUMMYFUNCTION("IF(L423="""","""", REGEXEXTRACT(REGEXREPLACE(L423,""x"", """"), ""[0-9]+""))"),"942269375")</f>
        <v>942269375</v>
      </c>
      <c r="N423" s="2" t="str">
        <f>IF(LEFT(M423,2)="33", RIGHT(M423,LEN(M423)-2),M423)</f>
        <v>942269375</v>
      </c>
      <c r="O423" s="2" t="b">
        <f>IFERROR(__xludf.DUMMYFUNCTION("REGEXMATCH(TO_TEXT(N423), ""^0[67]"")"),FALSE)</f>
        <v>0</v>
      </c>
      <c r="P423" s="2">
        <f t="shared" ref="P423:P441" si="204">LEN(N423)</f>
        <v>9</v>
      </c>
      <c r="Q423" s="9" t="str">
        <f t="shared" ref="Q423:Q424" si="205">IF(AND(O423=TRUE, P423=9), "✅ VALID", "❌ INVALID")</f>
        <v>❌ INVALID</v>
      </c>
      <c r="R423" s="10" t="s">
        <v>58</v>
      </c>
      <c r="S423" s="12">
        <v>45689.0</v>
      </c>
      <c r="T423" s="2" t="str">
        <f>IFERROR(__xludf.DUMMYFUNCTION("IF(ISNUMBER(S423),TEXT(S423,""yyyy-MM-dd""),REGEXREPLACE(REGEXREPLACE(TO_TEXT(S423),""[^0-9a-zA-Z]+"",""-""),""[^0-9]*$"",""""))"),"2025-02-01")</f>
        <v>2025-02-01</v>
      </c>
      <c r="U423" s="2" t="s">
        <v>8236</v>
      </c>
      <c r="Y423" s="10" t="s">
        <v>8236</v>
      </c>
    </row>
    <row r="424" ht="15.75" customHeight="1">
      <c r="A424" s="2" t="s">
        <v>1922</v>
      </c>
      <c r="B424" s="9" t="s">
        <v>7597</v>
      </c>
      <c r="C424" s="2" t="s">
        <v>1558</v>
      </c>
      <c r="D424" s="10" t="str">
        <f>IFERROR(__xludf.DUMMYFUNCTION("PROPER(REGEXREPLACE(TRIM(C424),""\s+"","" ""))"),"Ken Khan")</f>
        <v>Ken Khan</v>
      </c>
      <c r="E424" s="2">
        <f>IFERROR(__xludf.DUMMYFUNCTION("IF(LEN(D424:D701),
  COUNTA(SPLIT(D424:D701,"" "")),
 """")"),2.0)</f>
        <v>2</v>
      </c>
      <c r="F424" s="9" t="str">
        <f t="shared" si="202"/>
        <v>✅</v>
      </c>
      <c r="G424" s="2" t="str">
        <f>IFERROR(__xludf.DUMMYFUNCTION("REGEXEXTRACT(PROPER(SUBSTITUTE(TRIM(I424),""."","" "")),""^[^@]+"")"),"Ken Khan")</f>
        <v>Ken Khan</v>
      </c>
      <c r="H424" s="10" t="str">
        <f t="shared" si="203"/>
        <v>ken.khan@shop.io</v>
      </c>
      <c r="I424" s="2" t="s">
        <v>1559</v>
      </c>
      <c r="J424" s="9" t="str">
        <f>IFERROR(__xludf.DUMMYFUNCTION("IF(REGEXMATCH(TRIM(I424),""^[A-Za-z0-9._%+-]+@[A-Za-z0-9.-]+\.[A-Za-z]{2,}$""),""✅ Valid"",""❌ Invalid"")"),"✅ Valid")</f>
        <v>✅ Valid</v>
      </c>
      <c r="K424" s="13" t="s">
        <v>8237</v>
      </c>
      <c r="L424" s="2" t="str">
        <f>IFERROR(__xludf.DUMMYFUNCTION("IF(OR(K424=""N/A"", K424=""missing"", K424=""none""), """",
 REGEXREPLACE(
  SUBSTITUTE(SUBSTITUTE(SUBSTITUTE(TO_TEXT(K424), CHAR(160),""""), UNICHAR(8239),""""), UNICHAR(8201),""""),""[+\-/(): )]"", """"))"),"34191531267ext15")</f>
        <v>34191531267ext15</v>
      </c>
      <c r="M424" s="2" t="str">
        <f>IFERROR(__xludf.DUMMYFUNCTION("IF(L424="""","""", REGEXEXTRACT(REGEXREPLACE(L424,""x"", """"), ""[0-9]+""))"),"34191531267")</f>
        <v>34191531267</v>
      </c>
      <c r="N424" s="2" t="str">
        <f>IF(LEFT(M424,2)="34", RIGHT(M424,LEN(M424)-2),M424)</f>
        <v>191531267</v>
      </c>
      <c r="O424" s="2" t="b">
        <f>IFERROR(__xludf.DUMMYFUNCTION("REGEXMATCH(TO_TEXT(N424), ""^[67]"")"),FALSE)</f>
        <v>0</v>
      </c>
      <c r="P424" s="2">
        <f t="shared" si="204"/>
        <v>9</v>
      </c>
      <c r="Q424" s="9" t="str">
        <f t="shared" si="205"/>
        <v>❌ INVALID</v>
      </c>
      <c r="R424" s="10" t="s">
        <v>139</v>
      </c>
      <c r="S424" s="12">
        <v>45331.0</v>
      </c>
      <c r="T424" s="2" t="str">
        <f>IFERROR(__xludf.DUMMYFUNCTION("IF(ISNUMBER(S424),TEXT(S424,""yyyy-MM-dd""),REGEXREPLACE(REGEXREPLACE(TO_TEXT(S424),""[^0-9a-zA-Z]+"",""-""),""[^0-9]*$"",""""))"),"2024-02-09")</f>
        <v>2024-02-09</v>
      </c>
      <c r="U424" s="2" t="s">
        <v>8238</v>
      </c>
      <c r="Y424" s="10" t="s">
        <v>8238</v>
      </c>
    </row>
    <row r="425" ht="15.75" customHeight="1">
      <c r="A425" s="2" t="s">
        <v>6350</v>
      </c>
      <c r="B425" s="9" t="s">
        <v>7597</v>
      </c>
      <c r="C425" s="2" t="s">
        <v>243</v>
      </c>
      <c r="D425" s="10" t="str">
        <f>IFERROR(__xludf.DUMMYFUNCTION("PROPER(REGEXREPLACE(TRIM(C425),""\s+"","" ""))"),"Ken Kowalczyk")</f>
        <v>Ken Kowalczyk</v>
      </c>
      <c r="E425" s="2">
        <f>IFERROR(__xludf.DUMMYFUNCTION("IF(LEN(D425:D701),
  COUNTA(SPLIT(D425:D701,"" "")),
 """")"),2.0)</f>
        <v>2</v>
      </c>
      <c r="F425" s="9" t="str">
        <f t="shared" si="202"/>
        <v>❌</v>
      </c>
      <c r="G425" s="2" t="s">
        <v>8239</v>
      </c>
      <c r="H425" s="10" t="str">
        <f t="shared" si="203"/>
        <v>ken.kowlaczyk@shop.io</v>
      </c>
      <c r="I425" s="2" t="s">
        <v>244</v>
      </c>
      <c r="J425" s="9" t="str">
        <f>IFERROR(__xludf.DUMMYFUNCTION("IF(REGEXMATCH(TRIM(I425),""^[A-Za-z0-9._%+-]+@[A-Za-z0-9.-]+\.[A-Za-z]{2,}$""),""✅ Valid"",""❌ Invalid"")"),"✅ Valid")</f>
        <v>✅ Valid</v>
      </c>
      <c r="K425" s="13" t="s">
        <v>7614</v>
      </c>
      <c r="L425" s="2" t="str">
        <f>IFERROR(__xludf.DUMMYFUNCTION("IF(OR(K425=""N/A"", K425=""missing"", K425=""none""), """",
 REGEXREPLACE(
  SUBSTITUTE(SUBSTITUTE(SUBSTITUTE(TO_TEXT(K425), CHAR(160),""""), UNICHAR(8239),""""), UNICHAR(8201),""""),""[+\-/(): )]"", """"))"),"")</f>
        <v/>
      </c>
      <c r="M425" s="2" t="str">
        <f>IFERROR(__xludf.DUMMYFUNCTION("IF(L425="""","""", REGEXEXTRACT(REGEXREPLACE(L425,""x"", """"), ""[0-9]+""))"),"")</f>
        <v/>
      </c>
      <c r="N425" s="2" t="str">
        <f t="shared" ref="N425:N426" si="206">IF(LEFT(M425,3)="353", RIGHT(M425,LEN(M425)-3),M425)</f>
        <v/>
      </c>
      <c r="O425" s="2" t="b">
        <f>IFERROR(__xludf.DUMMYFUNCTION("REGEXMATCH(TO_TEXT(N425), ""^0(83|85|86|87|89)"")"),FALSE)</f>
        <v>0</v>
      </c>
      <c r="P425" s="2">
        <f t="shared" si="204"/>
        <v>0</v>
      </c>
      <c r="Q425" s="9" t="str">
        <f t="shared" ref="Q425:Q426" si="207">IF(AND(O425=TRUE, P422=10), "✅ VALID", "❌ INVALID")</f>
        <v>❌ INVALID</v>
      </c>
      <c r="R425" s="10" t="s">
        <v>1177</v>
      </c>
      <c r="S425" s="12" t="s">
        <v>6805</v>
      </c>
      <c r="T425" s="2" t="str">
        <f>IFERROR(__xludf.DUMMYFUNCTION("IF(ISNUMBER(S425),TEXT(S425,""yyyy-MM-dd""),REGEXREPLACE(REGEXREPLACE(TO_TEXT(S425),""[^0-9a-zA-Z]+"",""-""),""[^0-9]*$"",""""))"),"07-26-2025")</f>
        <v>07-26-2025</v>
      </c>
      <c r="U425" s="2" t="str">
        <f>TEXT(T425,"yyyy-MM-dd")</f>
        <v>07-26-2025</v>
      </c>
      <c r="V425" s="2" t="s">
        <v>8240</v>
      </c>
      <c r="Y425" s="10" t="s">
        <v>8240</v>
      </c>
    </row>
    <row r="426" ht="15.75" customHeight="1">
      <c r="A426" s="2" t="s">
        <v>1347</v>
      </c>
      <c r="B426" s="9" t="s">
        <v>7597</v>
      </c>
      <c r="C426" s="2" t="s">
        <v>2626</v>
      </c>
      <c r="D426" s="10" t="str">
        <f>IFERROR(__xludf.DUMMYFUNCTION("PROPER(REGEXREPLACE(TRIM(C426),""\s+"","" ""))"),"Zack Novak")</f>
        <v>Zack Novak</v>
      </c>
      <c r="E426" s="2">
        <f>IFERROR(__xludf.DUMMYFUNCTION("IF(LEN(D426:D701),
  COUNTA(SPLIT(D426:D701,"" "")),
 """")"),2.0)</f>
        <v>2</v>
      </c>
      <c r="F426" s="9" t="str">
        <f t="shared" si="202"/>
        <v>✅</v>
      </c>
      <c r="G426" s="2" t="str">
        <f>IFERROR(__xludf.DUMMYFUNCTION("REGEXEXTRACT(PROPER(SUBSTITUTE(TRIM(I426),""."","" "")),""^[^@]+"")"),"Zack Novak")</f>
        <v>Zack Novak</v>
      </c>
      <c r="H426" s="10" t="str">
        <f t="shared" si="203"/>
        <v>zack.novak@outlook.com</v>
      </c>
      <c r="I426" s="2" t="s">
        <v>2627</v>
      </c>
      <c r="J426" s="9" t="str">
        <f>IFERROR(__xludf.DUMMYFUNCTION("IF(REGEXMATCH(TRIM(I426),""^[A-Za-z0-9._%+-]+@[A-Za-z0-9.-]+\.[A-Za-z]{2,}$""),""✅ Valid"",""❌ Invalid"")"),"✅ Valid")</f>
        <v>✅ Valid</v>
      </c>
      <c r="K426" s="13" t="s">
        <v>8241</v>
      </c>
      <c r="L426" s="2" t="str">
        <f>IFERROR(__xludf.DUMMYFUNCTION("IF(OR(K426=""N/A"", K426=""missing"", K426=""none""), """",
 REGEXREPLACE(
  SUBSTITUTE(SUBSTITUTE(SUBSTITUTE(TO_TEXT(K426), CHAR(160),""""), UNICHAR(8239),""""), UNICHAR(8201),""""),""[+\-/(): )]"", """"))"),"tel353815797988")</f>
        <v>tel353815797988</v>
      </c>
      <c r="M426" s="2" t="str">
        <f>IFERROR(__xludf.DUMMYFUNCTION("IF(L426="""","""", REGEXEXTRACT(REGEXREPLACE(L426,""x"", """"), ""[0-9]+""))"),"353815797988")</f>
        <v>353815797988</v>
      </c>
      <c r="N426" s="2" t="str">
        <f t="shared" si="206"/>
        <v>815797988</v>
      </c>
      <c r="O426" s="2" t="b">
        <f>IFERROR(__xludf.DUMMYFUNCTION("REGEXMATCH(TO_TEXT(N426), ""^0(83|85|86|87|89)"")"),FALSE)</f>
        <v>0</v>
      </c>
      <c r="P426" s="2">
        <f t="shared" si="204"/>
        <v>9</v>
      </c>
      <c r="Q426" s="9" t="str">
        <f t="shared" si="207"/>
        <v>❌ INVALID</v>
      </c>
      <c r="R426" s="10" t="s">
        <v>1177</v>
      </c>
      <c r="S426" s="12">
        <v>45002.0</v>
      </c>
      <c r="T426" s="2" t="str">
        <f>IFERROR(__xludf.DUMMYFUNCTION("IF(ISNUMBER(S426),TEXT(S426,""yyyy-MM-dd""),REGEXREPLACE(REGEXREPLACE(TO_TEXT(S426),""[^0-9a-zA-Z]+"",""-""),""[^0-9]*$"",""""))"),"2023-03-17")</f>
        <v>2023-03-17</v>
      </c>
      <c r="U426" s="2" t="s">
        <v>8242</v>
      </c>
      <c r="Y426" s="10" t="s">
        <v>8242</v>
      </c>
    </row>
    <row r="427" ht="15.75" customHeight="1">
      <c r="A427" s="2" t="s">
        <v>4691</v>
      </c>
      <c r="B427" s="9" t="s">
        <v>7597</v>
      </c>
      <c r="C427" s="2" t="s">
        <v>3227</v>
      </c>
      <c r="D427" s="10" t="str">
        <f>IFERROR(__xludf.DUMMYFUNCTION("PROPER(REGEXREPLACE(TRIM(C427),""\s+"","" ""))"),"Qi Muller")</f>
        <v>Qi Muller</v>
      </c>
      <c r="E427" s="2">
        <f>IFERROR(__xludf.DUMMYFUNCTION("IF(LEN(D427:D701),
  COUNTA(SPLIT(D427:D701,"" "")),
 """")"),2.0)</f>
        <v>2</v>
      </c>
      <c r="F427" s="9" t="str">
        <f t="shared" si="202"/>
        <v>✅</v>
      </c>
      <c r="G427" s="2" t="str">
        <f>IFERROR(__xludf.DUMMYFUNCTION("REGEXEXTRACT(PROPER(SUBSTITUTE(TRIM(I427),""."","" "")),""^[^@]+"")"),"Qi Muller")</f>
        <v>Qi Muller</v>
      </c>
      <c r="H427" s="10" t="str">
        <f t="shared" si="203"/>
        <v>qi.muller@outlook.com</v>
      </c>
      <c r="I427" s="2" t="s">
        <v>3228</v>
      </c>
      <c r="J427" s="9" t="str">
        <f>IFERROR(__xludf.DUMMYFUNCTION("IF(REGEXMATCH(TRIM(I427),""^[A-Za-z0-9._%+-]+@[A-Za-z0-9.-]+\.[A-Za-z]{2,}$""),""✅ Valid"",""❌ Invalid"")"),"✅ Valid")</f>
        <v>✅ Valid</v>
      </c>
      <c r="K427" s="13" t="s">
        <v>8243</v>
      </c>
      <c r="L427" s="2" t="str">
        <f>IFERROR(__xludf.DUMMYFUNCTION("IF(OR(K427=""N/A"", K427=""missing"", K427=""none""), """",
 REGEXREPLACE(
  SUBSTITUTE(SUBSTITUTE(SUBSTITUTE(TO_TEXT(K427), CHAR(160),""""), UNICHAR(8239),""""), UNICHAR(8201),""""),""[+\-/(): )]"", """"))"),"68751044252")</f>
        <v>68751044252</v>
      </c>
      <c r="M427" s="2" t="str">
        <f>IFERROR(__xludf.DUMMYFUNCTION("IF(L427="""","""", REGEXEXTRACT(REGEXREPLACE(L427,""x"", """"), ""[0-9]+""))"),"68751044252")</f>
        <v>68751044252</v>
      </c>
      <c r="N427" s="2" t="str">
        <f>IF(LEFT(M427,2)="44", RIGHT(M427,LEN(M427)-2),M427)</f>
        <v>68751044252</v>
      </c>
      <c r="O427" s="2" t="b">
        <f>IFERROR(__xludf.DUMMYFUNCTION("REGEXMATCH(TO_TEXT(N427), ""^07[1-57-9]"")"),FALSE)</f>
        <v>0</v>
      </c>
      <c r="P427" s="2">
        <f t="shared" si="204"/>
        <v>11</v>
      </c>
      <c r="Q427" s="9" t="str">
        <f>IF(AND(O427=TRUE, P427=11), "✅ VALID", "❌ INVALID")</f>
        <v>❌ INVALID</v>
      </c>
      <c r="R427" s="10" t="s">
        <v>114</v>
      </c>
      <c r="S427" s="12">
        <v>45436.0</v>
      </c>
      <c r="T427" s="2" t="str">
        <f>IFERROR(__xludf.DUMMYFUNCTION("IF(ISNUMBER(S427),TEXT(S427,""yyyy-MM-dd""),REGEXREPLACE(REGEXREPLACE(TO_TEXT(S427),""[^0-9a-zA-Z]+"",""-""),""[^0-9]*$"",""""))"),"2024-05-24")</f>
        <v>2024-05-24</v>
      </c>
      <c r="U427" s="2" t="s">
        <v>8244</v>
      </c>
      <c r="Y427" s="10" t="s">
        <v>8244</v>
      </c>
    </row>
    <row r="428" ht="15.75" customHeight="1">
      <c r="A428" s="2" t="s">
        <v>3861</v>
      </c>
      <c r="B428" s="9" t="s">
        <v>7597</v>
      </c>
      <c r="C428" s="2" t="s">
        <v>7327</v>
      </c>
      <c r="D428" s="10" t="str">
        <f>IFERROR(__xludf.DUMMYFUNCTION("PROPER(REGEXREPLACE(TRIM(C428),""\s+"","" ""))"),"Uma Novak")</f>
        <v>Uma Novak</v>
      </c>
      <c r="E428" s="2">
        <f>IFERROR(__xludf.DUMMYFUNCTION("IF(LEN(D428:D701),
  COUNTA(SPLIT(D428:D701,"" "")),
 """")"),2.0)</f>
        <v>2</v>
      </c>
      <c r="F428" s="9" t="str">
        <f t="shared" si="202"/>
        <v>✅</v>
      </c>
      <c r="G428" s="2" t="str">
        <f>IFERROR(__xludf.DUMMYFUNCTION("REGEXEXTRACT(PROPER(SUBSTITUTE(TRIM(I428),""."","" "")),""^[^@]+"")"),"Uma Novak")</f>
        <v>Uma Novak</v>
      </c>
      <c r="H428" s="10" t="str">
        <f t="shared" si="203"/>
        <v>uma.novak@company.co.uk</v>
      </c>
      <c r="I428" s="2" t="s">
        <v>7328</v>
      </c>
      <c r="J428" s="9" t="str">
        <f>IFERROR(__xludf.DUMMYFUNCTION("IF(REGEXMATCH(TRIM(I428),""^[A-Za-z0-9._%+-]+@[A-Za-z0-9.-]+\.[A-Za-z]{2,}$""),""✅ Valid"",""❌ Invalid"")"),"✅ Valid")</f>
        <v>✅ Valid</v>
      </c>
      <c r="K428" s="13" t="s">
        <v>7926</v>
      </c>
      <c r="L428" s="2" t="str">
        <f>IFERROR(__xludf.DUMMYFUNCTION("IF(OR(K428=""N/A"", K428=""missing"", K428=""none""), """",
 REGEXREPLACE(
  SUBSTITUTE(SUBSTITUTE(SUBSTITUTE(TO_TEXT(K428), CHAR(160),""""), UNICHAR(8239),""""), UNICHAR(8201),""""),""[+\-/(): )]"", """"))"),"")</f>
        <v/>
      </c>
      <c r="M428" s="2" t="str">
        <f>IFERROR(__xludf.DUMMYFUNCTION("IF(L428="""","""", REGEXEXTRACT(REGEXREPLACE(L428,""x"", """"), ""[0-9]+""))"),"")</f>
        <v/>
      </c>
      <c r="N428" s="2" t="str">
        <f t="shared" ref="N428:N429" si="208">IF(LEFT(M428,2)="33", RIGHT(M428,LEN(M428)-2),M428)</f>
        <v/>
      </c>
      <c r="O428" s="2" t="b">
        <f>IFERROR(__xludf.DUMMYFUNCTION("REGEXMATCH(TO_TEXT(N428), ""^0[67]"")"),FALSE)</f>
        <v>0</v>
      </c>
      <c r="P428" s="2">
        <f t="shared" si="204"/>
        <v>0</v>
      </c>
      <c r="Q428" s="9" t="str">
        <f t="shared" ref="Q428:Q429" si="209">IF(AND(O428=TRUE, P428=9), "✅ VALID", "❌ INVALID")</f>
        <v>❌ INVALID</v>
      </c>
      <c r="R428" s="10" t="s">
        <v>58</v>
      </c>
      <c r="S428" s="12">
        <v>44787.0</v>
      </c>
      <c r="T428" s="2" t="str">
        <f>IFERROR(__xludf.DUMMYFUNCTION("IF(ISNUMBER(S428),TEXT(S428,""yyyy-MM-dd""),REGEXREPLACE(REGEXREPLACE(TO_TEXT(S428),""[^0-9a-zA-Z]+"",""-""),""[^0-9]*$"",""""))"),"2022-08-14")</f>
        <v>2022-08-14</v>
      </c>
      <c r="U428" s="2" t="s">
        <v>8245</v>
      </c>
      <c r="Y428" s="10" t="s">
        <v>8245</v>
      </c>
    </row>
    <row r="429" ht="15.75" customHeight="1">
      <c r="A429" s="2" t="s">
        <v>1250</v>
      </c>
      <c r="B429" s="9" t="s">
        <v>7597</v>
      </c>
      <c r="C429" s="2" t="s">
        <v>2367</v>
      </c>
      <c r="D429" s="10" t="str">
        <f>IFERROR(__xludf.DUMMYFUNCTION("PROPER(REGEXREPLACE(TRIM(C429),""\s+"","" ""))"),"Ethan Lopez")</f>
        <v>Ethan Lopez</v>
      </c>
      <c r="E429" s="2">
        <f>IFERROR(__xludf.DUMMYFUNCTION("IF(LEN(D429:D701),
  COUNTA(SPLIT(D429:D701,"" "")),
 """")"),2.0)</f>
        <v>2</v>
      </c>
      <c r="F429" s="9" t="str">
        <f t="shared" si="202"/>
        <v>✅</v>
      </c>
      <c r="G429" s="2" t="str">
        <f>IFERROR(__xludf.DUMMYFUNCTION("REGEXEXTRACT(PROPER(SUBSTITUTE(TRIM(I429),""."","" "")),""^[^@]+"")"),"Ethan Lopez")</f>
        <v>Ethan Lopez</v>
      </c>
      <c r="H429" s="10" t="str">
        <f t="shared" si="203"/>
        <v>ethan.lopez@example.com</v>
      </c>
      <c r="I429" s="2" t="s">
        <v>2368</v>
      </c>
      <c r="J429" s="9" t="str">
        <f>IFERROR(__xludf.DUMMYFUNCTION("IF(REGEXMATCH(TRIM(I429),""^[A-Za-z0-9._%+-]+@[A-Za-z0-9.-]+\.[A-Za-z]{2,}$""),""✅ Valid"",""❌ Invalid"")"),"✅ Valid")</f>
        <v>✅ Valid</v>
      </c>
      <c r="K429" s="13" t="s">
        <v>8246</v>
      </c>
      <c r="L429" s="2" t="str">
        <f>IFERROR(__xludf.DUMMYFUNCTION("IF(OR(K429=""N/A"", K429=""missing"", K429=""none""), """",
 REGEXREPLACE(
  SUBSTITUTE(SUBSTITUTE(SUBSTITUTE(TO_TEXT(K429), CHAR(160),""""), UNICHAR(8239),""""), UNICHAR(8201),""""),""[+\-/(): )]"", """"))"),"1453800522")</f>
        <v>1453800522</v>
      </c>
      <c r="M429" s="2" t="str">
        <f>IFERROR(__xludf.DUMMYFUNCTION("IF(L429="""","""", REGEXEXTRACT(REGEXREPLACE(L429,""x"", """"), ""[0-9]+""))"),"1453800522")</f>
        <v>1453800522</v>
      </c>
      <c r="N429" s="2" t="str">
        <f t="shared" si="208"/>
        <v>1453800522</v>
      </c>
      <c r="O429" s="2" t="b">
        <f>IFERROR(__xludf.DUMMYFUNCTION("REGEXMATCH(TO_TEXT(N429), ""^0[67]"")"),FALSE)</f>
        <v>0</v>
      </c>
      <c r="P429" s="2">
        <f t="shared" si="204"/>
        <v>10</v>
      </c>
      <c r="Q429" s="9" t="str">
        <f t="shared" si="209"/>
        <v>❌ INVALID</v>
      </c>
      <c r="R429" s="10" t="s">
        <v>58</v>
      </c>
      <c r="S429" s="12">
        <v>45927.0</v>
      </c>
      <c r="T429" s="2" t="str">
        <f>IFERROR(__xludf.DUMMYFUNCTION("IF(ISNUMBER(S429),TEXT(S429,""yyyy-MM-dd""),REGEXREPLACE(REGEXREPLACE(TO_TEXT(S429),""[^0-9a-zA-Z]+"",""-""),""[^0-9]*$"",""""))"),"2025-09-27")</f>
        <v>2025-09-27</v>
      </c>
      <c r="U429" s="2" t="s">
        <v>146</v>
      </c>
      <c r="Y429" s="10" t="s">
        <v>146</v>
      </c>
    </row>
    <row r="430" ht="15.75" customHeight="1">
      <c r="A430" s="2" t="s">
        <v>2294</v>
      </c>
      <c r="B430" s="9" t="s">
        <v>7597</v>
      </c>
      <c r="C430" s="2" t="s">
        <v>1769</v>
      </c>
      <c r="D430" s="10" t="str">
        <f>IFERROR(__xludf.DUMMYFUNCTION("PROPER(REGEXREPLACE(TRIM(C430),""\s+"","" ""))"),"Igor Muller")</f>
        <v>Igor Muller</v>
      </c>
      <c r="E430" s="2">
        <f>IFERROR(__xludf.DUMMYFUNCTION("IF(LEN(D430:D701),
  COUNTA(SPLIT(D430:D701,"" "")),
 """")"),2.0)</f>
        <v>2</v>
      </c>
      <c r="F430" s="9" t="str">
        <f t="shared" si="202"/>
        <v>✅</v>
      </c>
      <c r="G430" s="2" t="str">
        <f>IFERROR(__xludf.DUMMYFUNCTION("REGEXEXTRACT(PROPER(SUBSTITUTE(TRIM(I430),""."","" "")),""^[^@]+"")"),"Igor Muller")</f>
        <v>Igor Muller</v>
      </c>
      <c r="H430" s="10" t="str">
        <f t="shared" si="203"/>
        <v>igor.muller@yahoo.com</v>
      </c>
      <c r="I430" s="2" t="s">
        <v>1770</v>
      </c>
      <c r="J430" s="9" t="str">
        <f>IFERROR(__xludf.DUMMYFUNCTION("IF(REGEXMATCH(TRIM(I430),""^[A-Za-z0-9._%+-]+@[A-Za-z0-9.-]+\.[A-Za-z]{2,}$""),""✅ Valid"",""❌ Invalid"")"),"✅ Valid")</f>
        <v>✅ Valid</v>
      </c>
      <c r="K430" s="13" t="s">
        <v>8247</v>
      </c>
      <c r="L430" s="2" t="str">
        <f>IFERROR(__xludf.DUMMYFUNCTION("IF(OR(K430=""N/A"", K430=""missing"", K430=""none""), """",
 REGEXREPLACE(
  SUBSTITUTE(SUBSTITUTE(SUBSTITUTE(TO_TEXT(K430), CHAR(160),""""), UNICHAR(8239),""""), UNICHAR(8201),""""),""[+\-/(): )]"", """"))"),"5x340585089ext55")</f>
        <v>5x340585089ext55</v>
      </c>
      <c r="M430" s="2" t="str">
        <f>IFERROR(__xludf.DUMMYFUNCTION("IF(L430="""","""", REGEXEXTRACT(REGEXREPLACE(L430,""x"", """"), ""[0-9]+""))"),"5340585089")</f>
        <v>5340585089</v>
      </c>
      <c r="N430" s="2" t="str">
        <f>IF(LEFT(M430,2)="39", RIGHT(M430,LEN(M430)-2),M430)</f>
        <v>5340585089</v>
      </c>
      <c r="O430" s="2" t="b">
        <f>IFERROR(__xludf.DUMMYFUNCTION("REGEXMATCH(TO_TEXT(N430), ""^3"")"),FALSE)</f>
        <v>0</v>
      </c>
      <c r="P430" s="2">
        <f t="shared" si="204"/>
        <v>10</v>
      </c>
      <c r="Q430" s="9" t="str">
        <f>IF(AND(O430=TRUE,OR(P430=9, P430=10 )), "✅ VALID", "❌ INVALID")</f>
        <v>❌ INVALID</v>
      </c>
      <c r="R430" s="10" t="s">
        <v>785</v>
      </c>
      <c r="S430" s="12">
        <v>45318.0</v>
      </c>
      <c r="T430" s="2" t="str">
        <f>IFERROR(__xludf.DUMMYFUNCTION("IF(ISNUMBER(S430),TEXT(S430,""yyyy-MM-dd""),REGEXREPLACE(REGEXREPLACE(TO_TEXT(S430),""[^0-9a-zA-Z]+"",""-""),""[^0-9]*$"",""""))"),"2024-01-27")</f>
        <v>2024-01-27</v>
      </c>
      <c r="U430" s="2" t="s">
        <v>6515</v>
      </c>
      <c r="Y430" s="10" t="s">
        <v>6515</v>
      </c>
    </row>
    <row r="431" ht="15.75" customHeight="1">
      <c r="A431" s="2" t="s">
        <v>4810</v>
      </c>
      <c r="B431" s="9" t="s">
        <v>7597</v>
      </c>
      <c r="C431" s="2" t="s">
        <v>4631</v>
      </c>
      <c r="D431" s="10" t="str">
        <f>IFERROR(__xludf.DUMMYFUNCTION("PROPER(REGEXREPLACE(TRIM(C431),""\s+"","" ""))"),"Lia Novak")</f>
        <v>Lia Novak</v>
      </c>
      <c r="E431" s="2">
        <f>IFERROR(__xludf.DUMMYFUNCTION("IF(LEN(D431:D701),
  COUNTA(SPLIT(D431:D701,"" "")),
 """")"),2.0)</f>
        <v>2</v>
      </c>
      <c r="F431" s="9" t="str">
        <f t="shared" si="202"/>
        <v>✅</v>
      </c>
      <c r="G431" s="2" t="str">
        <f>IFERROR(__xludf.DUMMYFUNCTION("REGEXEXTRACT(PROPER(SUBSTITUTE(TRIM(I431),""."","" "")),""^[^@]+"")"),"Lia Novak")</f>
        <v>Lia Novak</v>
      </c>
      <c r="H431" s="10" t="str">
        <f t="shared" si="203"/>
        <v>lia.novak@outlook.com</v>
      </c>
      <c r="I431" s="2" t="s">
        <v>4632</v>
      </c>
      <c r="J431" s="9" t="str">
        <f>IFERROR(__xludf.DUMMYFUNCTION("IF(REGEXMATCH(TRIM(I431),""^[A-Za-z0-9._%+-]+@[A-Za-z0-9.-]+\.[A-Za-z]{2,}$""),""✅ Valid"",""❌ Invalid"")"),"✅ Valid")</f>
        <v>✅ Valid</v>
      </c>
      <c r="K431" s="11">
        <v>3.539845315896E12</v>
      </c>
      <c r="L431" s="2" t="str">
        <f>IFERROR(__xludf.DUMMYFUNCTION("IF(OR(K431=""N/A"", K431=""missing"", K431=""none""), """",
 REGEXREPLACE(
  SUBSTITUTE(SUBSTITUTE(SUBSTITUTE(TO_TEXT(K431), CHAR(160),""""), UNICHAR(8239),""""), UNICHAR(8201),""""),""[+\-/(): )]"", """"))"),"3539845315896")</f>
        <v>3539845315896</v>
      </c>
      <c r="M431" s="2" t="str">
        <f>IFERROR(__xludf.DUMMYFUNCTION("IF(L431="""","""", REGEXEXTRACT(REGEXREPLACE(L431,""x"", """"), ""[0-9]+""))"),"3539845315896")</f>
        <v>3539845315896</v>
      </c>
      <c r="N431" s="2" t="str">
        <f>IF(LEFT(M431,3)="353", RIGHT(M431,LEN(M431)-3),M431)</f>
        <v>9845315896</v>
      </c>
      <c r="O431" s="2" t="b">
        <f>IFERROR(__xludf.DUMMYFUNCTION("REGEXMATCH(TO_TEXT(N431), ""^0(83|85|86|87|89)"")"),FALSE)</f>
        <v>0</v>
      </c>
      <c r="P431" s="2">
        <f t="shared" si="204"/>
        <v>10</v>
      </c>
      <c r="Q431" s="9" t="str">
        <f>IF(AND(O431=TRUE, P428=10), "✅ VALID", "❌ INVALID")</f>
        <v>❌ INVALID</v>
      </c>
      <c r="R431" s="10" t="s">
        <v>1177</v>
      </c>
      <c r="S431" s="12">
        <v>44758.0</v>
      </c>
      <c r="T431" s="2" t="str">
        <f>IFERROR(__xludf.DUMMYFUNCTION("IF(ISNUMBER(S431),TEXT(S431,""yyyy-MM-dd""),REGEXREPLACE(REGEXREPLACE(TO_TEXT(S431),""[^0-9a-zA-Z]+"",""-""),""[^0-9]*$"",""""))"),"2022-07-16")</f>
        <v>2022-07-16</v>
      </c>
      <c r="U431" s="2" t="s">
        <v>8219</v>
      </c>
      <c r="Y431" s="10" t="s">
        <v>8219</v>
      </c>
    </row>
    <row r="432" ht="15.75" customHeight="1">
      <c r="A432" s="2" t="s">
        <v>1082</v>
      </c>
      <c r="B432" s="9" t="s">
        <v>7597</v>
      </c>
      <c r="C432" s="2" t="s">
        <v>6643</v>
      </c>
      <c r="D432" s="10" t="str">
        <f>IFERROR(__xludf.DUMMYFUNCTION("PROPER(REGEXREPLACE(TRIM(C432),""\s+"","" ""))"),"Uma Khan")</f>
        <v>Uma Khan</v>
      </c>
      <c r="E432" s="2">
        <f>IFERROR(__xludf.DUMMYFUNCTION("IF(LEN(D432:D701),
  COUNTA(SPLIT(D432:D701,"" "")),
 """")"),2.0)</f>
        <v>2</v>
      </c>
      <c r="F432" s="9" t="str">
        <f t="shared" si="202"/>
        <v>✅</v>
      </c>
      <c r="G432" s="2" t="str">
        <f>IFERROR(__xludf.DUMMYFUNCTION("REGEXEXTRACT(PROPER(SUBSTITUTE(TRIM(I432),""."","" "")),""^[^@]+"")"),"Uma Khan")</f>
        <v>Uma Khan</v>
      </c>
      <c r="H432" s="10" t="str">
        <f t="shared" si="203"/>
        <v>uma.khan@yahoo.com</v>
      </c>
      <c r="I432" s="2" t="s">
        <v>6644</v>
      </c>
      <c r="J432" s="9" t="str">
        <f>IFERROR(__xludf.DUMMYFUNCTION("IF(REGEXMATCH(TRIM(I432),""^[A-Za-z0-9._%+-]+@[A-Za-z0-9.-]+\.[A-Za-z]{2,}$""),""✅ Valid"",""❌ Invalid"")"),"✅ Valid")</f>
        <v>✅ Valid</v>
      </c>
      <c r="K432" s="13" t="s">
        <v>8248</v>
      </c>
      <c r="L432" s="2" t="str">
        <f>IFERROR(__xludf.DUMMYFUNCTION("IF(OR(K432=""N/A"", K432=""missing"", K432=""none""), """",
 REGEXREPLACE(
  SUBSTITUTE(SUBSTITUTE(SUBSTITUTE(TO_TEXT(K432), CHAR(160),""""), UNICHAR(8239),""""), UNICHAR(8201),""""),""[+\-/(): )]"", """"))"),"335619911")</f>
        <v>335619911</v>
      </c>
      <c r="M432" s="2" t="str">
        <f>IFERROR(__xludf.DUMMYFUNCTION("IF(L432="""","""", REGEXEXTRACT(REGEXREPLACE(L432,""x"", """"), ""[0-9]+""))"),"335619911")</f>
        <v>335619911</v>
      </c>
      <c r="N432" s="2" t="str">
        <f t="shared" ref="N432:N433" si="210">IF(LEFT(M432,2)="33", RIGHT(M432,LEN(M432)-2),M432)</f>
        <v>5619911</v>
      </c>
      <c r="O432" s="2" t="b">
        <f>IFERROR(__xludf.DUMMYFUNCTION("REGEXMATCH(TO_TEXT(N432), ""^0[67]"")"),FALSE)</f>
        <v>0</v>
      </c>
      <c r="P432" s="2">
        <f t="shared" si="204"/>
        <v>7</v>
      </c>
      <c r="Q432" s="9" t="str">
        <f t="shared" ref="Q432:Q433" si="211">IF(AND(O432=TRUE, P432=9), "✅ VALID", "❌ INVALID")</f>
        <v>❌ INVALID</v>
      </c>
      <c r="R432" s="10" t="s">
        <v>58</v>
      </c>
      <c r="S432" s="12">
        <v>45740.0</v>
      </c>
      <c r="T432" s="2" t="str">
        <f>IFERROR(__xludf.DUMMYFUNCTION("IF(ISNUMBER(S432),TEXT(S432,""yyyy-MM-dd""),REGEXREPLACE(REGEXREPLACE(TO_TEXT(S432),""[^0-9a-zA-Z]+"",""-""),""[^0-9]*$"",""""))"),"2025-03-24")</f>
        <v>2025-03-24</v>
      </c>
      <c r="U432" s="2" t="s">
        <v>7119</v>
      </c>
      <c r="Y432" s="10" t="s">
        <v>7119</v>
      </c>
    </row>
    <row r="433" ht="15.75" customHeight="1">
      <c r="A433" s="2" t="s">
        <v>5342</v>
      </c>
      <c r="B433" s="9" t="s">
        <v>7597</v>
      </c>
      <c r="C433" s="2" t="s">
        <v>3068</v>
      </c>
      <c r="D433" s="10" t="str">
        <f>IFERROR(__xludf.DUMMYFUNCTION("PROPER(REGEXREPLACE(TRIM(C433),""\s+"","" ""))"),"Bella Williams")</f>
        <v>Bella Williams</v>
      </c>
      <c r="E433" s="2">
        <f>IFERROR(__xludf.DUMMYFUNCTION("IF(LEN(D433:D701),
  COUNTA(SPLIT(D433:D701,"" "")),
 """")"),2.0)</f>
        <v>2</v>
      </c>
      <c r="F433" s="9" t="str">
        <f t="shared" si="202"/>
        <v>✅</v>
      </c>
      <c r="G433" s="2" t="str">
        <f>IFERROR(__xludf.DUMMYFUNCTION("REGEXEXTRACT(PROPER(SUBSTITUTE(TRIM(I433),""."","" "")),""^[^@]+"")"),"Bella Williams")</f>
        <v>Bella Williams</v>
      </c>
      <c r="H433" s="10" t="str">
        <f t="shared" si="203"/>
        <v>bella.williams@example.com</v>
      </c>
      <c r="I433" s="2" t="s">
        <v>3377</v>
      </c>
      <c r="J433" s="9" t="str">
        <f>IFERROR(__xludf.DUMMYFUNCTION("IF(REGEXMATCH(TRIM(I433),""^[A-Za-z0-9._%+-]+@[A-Za-z0-9.-]+\.[A-Za-z]{2,}$""),""✅ Valid"",""❌ Invalid"")"),"✅ Valid")</f>
        <v>✅ Valid</v>
      </c>
      <c r="K433" s="13" t="s">
        <v>8249</v>
      </c>
      <c r="L433" s="2" t="str">
        <f>IFERROR(__xludf.DUMMYFUNCTION("IF(OR(K433=""N/A"", K433=""missing"", K433=""none""), """",
 REGEXREPLACE(
  SUBSTITUTE(SUBSTITUTE(SUBSTITUTE(TO_TEXT(K433), CHAR(160),""""), UNICHAR(8239),""""), UNICHAR(8201),""""),""[+\-/(): )]"", """"))"),"33916256410")</f>
        <v>33916256410</v>
      </c>
      <c r="M433" s="2" t="str">
        <f>IFERROR(__xludf.DUMMYFUNCTION("IF(L433="""","""", REGEXEXTRACT(REGEXREPLACE(L433,""x"", """"), ""[0-9]+""))"),"33916256410")</f>
        <v>33916256410</v>
      </c>
      <c r="N433" s="2" t="str">
        <f t="shared" si="210"/>
        <v>916256410</v>
      </c>
      <c r="O433" s="2" t="b">
        <f>IFERROR(__xludf.DUMMYFUNCTION("REGEXMATCH(TO_TEXT(N433), ""^0[67]"")"),FALSE)</f>
        <v>0</v>
      </c>
      <c r="P433" s="2">
        <f t="shared" si="204"/>
        <v>9</v>
      </c>
      <c r="Q433" s="9" t="str">
        <f t="shared" si="211"/>
        <v>❌ INVALID</v>
      </c>
      <c r="R433" s="10" t="s">
        <v>58</v>
      </c>
      <c r="S433" s="12">
        <v>45751.0</v>
      </c>
      <c r="T433" s="2" t="str">
        <f>IFERROR(__xludf.DUMMYFUNCTION("IF(ISNUMBER(S433),TEXT(S433,""yyyy-MM-dd""),REGEXREPLACE(REGEXREPLACE(TO_TEXT(S433),""[^0-9a-zA-Z]+"",""-""),""[^0-9]*$"",""""))"),"2025-04-04")</f>
        <v>2025-04-04</v>
      </c>
      <c r="U433" s="2" t="s">
        <v>8250</v>
      </c>
      <c r="Y433" s="10" t="s">
        <v>8250</v>
      </c>
    </row>
    <row r="434" ht="15.75" customHeight="1">
      <c r="A434" s="2" t="s">
        <v>667</v>
      </c>
      <c r="B434" s="9" t="s">
        <v>7597</v>
      </c>
      <c r="C434" s="2" t="s">
        <v>2788</v>
      </c>
      <c r="D434" s="10" t="s">
        <v>6795</v>
      </c>
      <c r="E434" s="2">
        <f>IFERROR(__xludf.DUMMYFUNCTION("IF(LEN(D434:D701),
  COUNTA(SPLIT(D434:D701,"" "")),
 """")"),2.0)</f>
        <v>2</v>
      </c>
      <c r="F434" s="9" t="str">
        <f t="shared" si="202"/>
        <v>✅</v>
      </c>
      <c r="G434" s="2" t="s">
        <v>6795</v>
      </c>
      <c r="H434" s="10" t="str">
        <f t="shared" si="203"/>
        <v>xenia.garcia@hsop.io</v>
      </c>
      <c r="I434" s="2" t="s">
        <v>2789</v>
      </c>
      <c r="J434" s="9" t="str">
        <f>IFERROR(__xludf.DUMMYFUNCTION("IF(REGEXMATCH(TRIM(I434),""^[A-Za-z0-9._%+-]+@[A-Za-z0-9.-]+\.[A-Za-z]{2,}$""),""✅ Valid"",""❌ Invalid"")"),"✅ Valid")</f>
        <v>✅ Valid</v>
      </c>
      <c r="K434" s="13" t="s">
        <v>8251</v>
      </c>
      <c r="L434" s="2" t="str">
        <f>IFERROR(__xludf.DUMMYFUNCTION("IF(OR(K434=""N/A"", K434=""missing"", K434=""none""), """",
 REGEXREPLACE(
  SUBSTITUTE(SUBSTITUTE(SUBSTITUTE(TO_TEXT(K434), CHAR(160),""""), UNICHAR(8239),""""), UNICHAR(8201),""""),""[+\-/(): )]"", """"))"),"5549089277")</f>
        <v>5549089277</v>
      </c>
      <c r="M434" s="2" t="str">
        <f>IFERROR(__xludf.DUMMYFUNCTION("IF(L434="""","""", REGEXEXTRACT(REGEXREPLACE(L434,""x"", """"), ""[0-9]+""))"),"5549089277")</f>
        <v>5549089277</v>
      </c>
      <c r="N434" s="2" t="str">
        <f>IF(LEFT(M434,2)="49", RIGHT(M434,LEN(M434)-2),M434)</f>
        <v>5549089277</v>
      </c>
      <c r="O434" s="2" t="b">
        <f>IFERROR(__xludf.DUMMYFUNCTION("REGEXMATCH(TO_TEXT(N434), ""^0(15|16|17)"")"),FALSE)</f>
        <v>0</v>
      </c>
      <c r="P434" s="2">
        <f t="shared" si="204"/>
        <v>10</v>
      </c>
      <c r="Q434" s="9" t="str">
        <f>IF(AND(O434=TRUE,OR(P434=10, P434=11)), "✅ VALID", "❌ INVALID")</f>
        <v>❌ INVALID</v>
      </c>
      <c r="R434" s="10" t="s">
        <v>459</v>
      </c>
      <c r="S434" s="12" t="s">
        <v>6423</v>
      </c>
      <c r="T434" s="2" t="str">
        <f>IFERROR(__xludf.DUMMYFUNCTION("IF(ISNUMBER(S434),TEXT(S434,""yyyy-MM-dd""),REGEXREPLACE(REGEXREPLACE(TO_TEXT(S434),""[^0-9a-zA-Z]+"",""-""),""[^0-9]*$"",""""))"),"21-09-2022")</f>
        <v>21-09-2022</v>
      </c>
      <c r="U434" s="2" t="s">
        <v>8252</v>
      </c>
      <c r="Y434" s="10" t="s">
        <v>8252</v>
      </c>
    </row>
    <row r="435" ht="15.75" customHeight="1">
      <c r="A435" s="2" t="s">
        <v>7052</v>
      </c>
      <c r="B435" s="9" t="s">
        <v>7597</v>
      </c>
      <c r="C435" s="2" t="s">
        <v>1923</v>
      </c>
      <c r="D435" s="10" t="str">
        <f>IFERROR(__xludf.DUMMYFUNCTION("PROPER(REGEXREPLACE(TRIM(C435),""\s+"","" ""))"),"Fiona Garcia")</f>
        <v>Fiona Garcia</v>
      </c>
      <c r="E435" s="2">
        <f>IFERROR(__xludf.DUMMYFUNCTION("IF(LEN(D435:D701),
  COUNTA(SPLIT(D435:D701,"" "")),
 """")"),2.0)</f>
        <v>2</v>
      </c>
      <c r="F435" s="9" t="str">
        <f t="shared" si="202"/>
        <v>✅</v>
      </c>
      <c r="G435" s="2" t="str">
        <f>IFERROR(__xludf.DUMMYFUNCTION("REGEXEXTRACT(PROPER(SUBSTITUTE(TRIM(I435),""."","" "")),""^[^@]+"")"),"Fiona Garcia")</f>
        <v>Fiona Garcia</v>
      </c>
      <c r="H435" s="10" t="str">
        <f t="shared" si="203"/>
        <v>fiona.garcia@outlook.com</v>
      </c>
      <c r="I435" s="2" t="s">
        <v>1924</v>
      </c>
      <c r="J435" s="9" t="str">
        <f>IFERROR(__xludf.DUMMYFUNCTION("IF(REGEXMATCH(TRIM(I435),""^[A-Za-z0-9._%+-]+@[A-Za-z0-9.-]+\.[A-Za-z]{2,}$""),""✅ Valid"",""❌ Invalid"")"),"✅ Valid")</f>
        <v>✅ Valid</v>
      </c>
      <c r="K435" s="13" t="s">
        <v>8253</v>
      </c>
      <c r="L435" s="2" t="str">
        <f>IFERROR(__xludf.DUMMYFUNCTION("IF(OR(K435=""N/A"", K435=""missing"", K435=""none""), """",
 REGEXREPLACE(
  SUBSTITUTE(SUBSTITUTE(SUBSTITUTE(TO_TEXT(K435), CHAR(160),""""), UNICHAR(8239),""""), UNICHAR(8201),""""),""[+\-/(): )]"", """"))"),"tel3532439251873")</f>
        <v>tel3532439251873</v>
      </c>
      <c r="M435" s="2" t="str">
        <f>IFERROR(__xludf.DUMMYFUNCTION("IF(L435="""","""", REGEXEXTRACT(REGEXREPLACE(L435,""x"", """"), ""[0-9]+""))"),"3532439251873")</f>
        <v>3532439251873</v>
      </c>
      <c r="N435" s="2" t="str">
        <f>IF(LEFT(M435,3)="353", RIGHT(M435,LEN(M435)-3),M435)</f>
        <v>2439251873</v>
      </c>
      <c r="O435" s="2" t="b">
        <f>IFERROR(__xludf.DUMMYFUNCTION("REGEXMATCH(TO_TEXT(N435), ""^0(83|85|86|87|89)"")"),FALSE)</f>
        <v>0</v>
      </c>
      <c r="P435" s="2">
        <f t="shared" si="204"/>
        <v>10</v>
      </c>
      <c r="Q435" s="9" t="str">
        <f>IF(AND(O435=TRUE, P432=10), "✅ VALID", "❌ INVALID")</f>
        <v>❌ INVALID</v>
      </c>
      <c r="R435" s="10" t="s">
        <v>1177</v>
      </c>
      <c r="S435" s="12" t="s">
        <v>6646</v>
      </c>
      <c r="T435" s="2" t="str">
        <f>IFERROR(__xludf.DUMMYFUNCTION("IF(ISNUMBER(S435),TEXT(S435,""yyyy-MM-dd""),REGEXREPLACE(REGEXREPLACE(TO_TEXT(S435),""[^0-9a-zA-Z]+"",""-""),""[^0-9]*$"",""""))"),"45319-11-07")</f>
        <v>45319-11-07</v>
      </c>
      <c r="U435" s="2" t="str">
        <f t="shared" ref="U435:U436" si="212">TEXT(T435,"yyyy-MM-dd")</f>
        <v>45319-11-07</v>
      </c>
      <c r="V435" s="2" t="str">
        <f>CONCATENATE(LEFT(U435,5))</f>
        <v>45319</v>
      </c>
      <c r="W435" s="14">
        <f>DATE(1900,1,1) + V435 - 1</f>
        <v>45320</v>
      </c>
      <c r="X435" s="2" t="s">
        <v>8254</v>
      </c>
      <c r="Y435" s="10" t="s">
        <v>8254</v>
      </c>
    </row>
    <row r="436" ht="15.75" customHeight="1">
      <c r="A436" s="2" t="s">
        <v>7277</v>
      </c>
      <c r="B436" s="9" t="s">
        <v>7597</v>
      </c>
      <c r="C436" s="2" t="s">
        <v>6351</v>
      </c>
      <c r="D436" s="10" t="str">
        <f>IFERROR(__xludf.DUMMYFUNCTION("PROPER(REGEXREPLACE(TRIM(C436),""\s+"","" ""))"),"Rita Rossi")</f>
        <v>Rita Rossi</v>
      </c>
      <c r="E436" s="2">
        <f>IFERROR(__xludf.DUMMYFUNCTION("IF(LEN(D436:D701),
  COUNTA(SPLIT(D436:D701,"" "")),
 """")"),2.0)</f>
        <v>2</v>
      </c>
      <c r="F436" s="9" t="str">
        <f t="shared" si="202"/>
        <v>✅</v>
      </c>
      <c r="G436" s="2" t="str">
        <f>IFERROR(__xludf.DUMMYFUNCTION("REGEXEXTRACT(PROPER(SUBSTITUTE(TRIM(I436),""."","" "")),""^[^@]+"")"),"Rita Rossi")</f>
        <v>Rita Rossi</v>
      </c>
      <c r="H436" s="10" t="str">
        <f t="shared" si="203"/>
        <v>rita.rossi@example.com</v>
      </c>
      <c r="I436" s="2" t="s">
        <v>6352</v>
      </c>
      <c r="J436" s="9" t="str">
        <f>IFERROR(__xludf.DUMMYFUNCTION("IF(REGEXMATCH(TRIM(I436),""^[A-Za-z0-9._%+-]+@[A-Za-z0-9.-]+\.[A-Za-z]{2,}$""),""✅ Valid"",""❌ Invalid"")"),"✅ Valid")</f>
        <v>✅ Valid</v>
      </c>
      <c r="K436" s="13" t="s">
        <v>8255</v>
      </c>
      <c r="L436" s="2" t="str">
        <f>IFERROR(__xludf.DUMMYFUNCTION("IF(OR(K436=""N/A"", K436=""missing"", K436=""none""), """",
 REGEXREPLACE(
  SUBSTITUTE(SUBSTITUTE(SUBSTITUTE(TO_TEXT(K436), CHAR(160),""""), UNICHAR(8239),""""), UNICHAR(8201),""""),""[+\-/(): )]"", """"))"),"4481773430973")</f>
        <v>4481773430973</v>
      </c>
      <c r="M436" s="2" t="str">
        <f>IFERROR(__xludf.DUMMYFUNCTION("IF(L436="""","""", REGEXEXTRACT(REGEXREPLACE(L436,""x"", """"), ""[0-9]+""))"),"4481773430973")</f>
        <v>4481773430973</v>
      </c>
      <c r="N436" s="2" t="str">
        <f>IF(LEFT(M436,2)="44", RIGHT(M436,LEN(M436)-2),M436)</f>
        <v>81773430973</v>
      </c>
      <c r="O436" s="2" t="b">
        <f>IFERROR(__xludf.DUMMYFUNCTION("REGEXMATCH(TO_TEXT(N436), ""^07[1-57-9]"")"),FALSE)</f>
        <v>0</v>
      </c>
      <c r="P436" s="2">
        <f t="shared" si="204"/>
        <v>11</v>
      </c>
      <c r="Q436" s="9" t="str">
        <f>IF(AND(O436=TRUE, P436=11), "✅ VALID", "❌ INVALID")</f>
        <v>❌ INVALID</v>
      </c>
      <c r="R436" s="10" t="s">
        <v>114</v>
      </c>
      <c r="S436" s="12" t="s">
        <v>3169</v>
      </c>
      <c r="T436" s="2" t="str">
        <f>IFERROR(__xludf.DUMMYFUNCTION("IF(ISNUMBER(S436),TEXT(S436,""yyyy-MM-dd""),REGEXREPLACE(REGEXREPLACE(TO_TEXT(S436),""[^0-9a-zA-Z]+"",""-""),""[^0-9]*$"",""""))"),"05-28-2023")</f>
        <v>05-28-2023</v>
      </c>
      <c r="U436" s="2" t="str">
        <f t="shared" si="212"/>
        <v>05-28-2023</v>
      </c>
      <c r="V436" s="2" t="s">
        <v>8256</v>
      </c>
      <c r="Y436" s="10" t="s">
        <v>8256</v>
      </c>
    </row>
    <row r="437" ht="15.75" customHeight="1">
      <c r="A437" s="2" t="s">
        <v>1159</v>
      </c>
      <c r="B437" s="9" t="s">
        <v>7597</v>
      </c>
      <c r="C437" s="2" t="s">
        <v>1348</v>
      </c>
      <c r="D437" s="10" t="str">
        <f>IFERROR(__xludf.DUMMYFUNCTION("PROPER(REGEXREPLACE(TRIM(C437),""\s+"","" ""))"),"Fiona Rodriguez")</f>
        <v>Fiona Rodriguez</v>
      </c>
      <c r="E437" s="2">
        <f>IFERROR(__xludf.DUMMYFUNCTION("IF(LEN(D437:D701),
  COUNTA(SPLIT(D437:D701,"" "")),
 """")"),2.0)</f>
        <v>2</v>
      </c>
      <c r="F437" s="9" t="str">
        <f t="shared" si="202"/>
        <v>❌</v>
      </c>
      <c r="G437" s="2" t="s">
        <v>8257</v>
      </c>
      <c r="H437" s="10" t="str">
        <f t="shared" si="203"/>
        <v>fioan.rodriguez@yahoo.com</v>
      </c>
      <c r="I437" s="2" t="s">
        <v>1349</v>
      </c>
      <c r="J437" s="9" t="str">
        <f>IFERROR(__xludf.DUMMYFUNCTION("IF(REGEXMATCH(TRIM(I437),""^[A-Za-z0-9._%+-]+@[A-Za-z0-9.-]+\.[A-Za-z]{2,}$""),""✅ Valid"",""❌ Invalid"")"),"✅ Valid")</f>
        <v>✅ Valid</v>
      </c>
      <c r="K437" s="13" t="s">
        <v>8258</v>
      </c>
      <c r="L437" s="2" t="str">
        <f>IFERROR(__xludf.DUMMYFUNCTION("IF(OR(K437=""N/A"", K437=""missing"", K437=""none""), """",
 REGEXREPLACE(
  SUBSTITUTE(SUBSTITUTE(SUBSTITUTE(TO_TEXT(K437), CHAR(160),""""), UNICHAR(8239),""""), UNICHAR(8201),""""),""[+\-/(): )]"", """"))"),"39683519263")</f>
        <v>39683519263</v>
      </c>
      <c r="M437" s="2" t="str">
        <f>IFERROR(__xludf.DUMMYFUNCTION("IF(L437="""","""", REGEXEXTRACT(REGEXREPLACE(L437,""x"", """"), ""[0-9]+""))"),"39683519263")</f>
        <v>39683519263</v>
      </c>
      <c r="N437" s="2" t="str">
        <f>IF(LEFT(M437,2)="39", RIGHT(M437,LEN(M437)-2),M437)</f>
        <v>683519263</v>
      </c>
      <c r="O437" s="2" t="b">
        <f>IFERROR(__xludf.DUMMYFUNCTION("REGEXMATCH(TO_TEXT(N437), ""^3"")"),FALSE)</f>
        <v>0</v>
      </c>
      <c r="P437" s="2">
        <f t="shared" si="204"/>
        <v>9</v>
      </c>
      <c r="Q437" s="9" t="str">
        <f>IF(AND(O437=TRUE,OR(P437=9, P437=10 )), "✅ VALID", "❌ INVALID")</f>
        <v>❌ INVALID</v>
      </c>
      <c r="R437" s="10" t="s">
        <v>785</v>
      </c>
      <c r="S437" s="12" t="s">
        <v>7238</v>
      </c>
      <c r="T437" s="2" t="str">
        <f>IFERROR(__xludf.DUMMYFUNCTION("IF(ISNUMBER(S437),TEXT(S437,""yyyy-MM-dd""),REGEXREPLACE(REGEXREPLACE(TO_TEXT(S437),""[^0-9a-zA-Z]+"",""-""),""[^0-9]*$"",""""))"),"11-09-2024")</f>
        <v>11-09-2024</v>
      </c>
      <c r="U437" s="2" t="s">
        <v>8259</v>
      </c>
      <c r="Y437" s="10" t="s">
        <v>8259</v>
      </c>
    </row>
    <row r="438" ht="15.75" customHeight="1">
      <c r="A438" s="2" t="s">
        <v>2159</v>
      </c>
      <c r="B438" s="9" t="s">
        <v>7597</v>
      </c>
      <c r="C438" s="2" t="s">
        <v>1500</v>
      </c>
      <c r="D438" s="10" t="str">
        <f>IFERROR(__xludf.DUMMYFUNCTION("PROPER(REGEXREPLACE(TRIM(C438),""\s+"","" ""))"),"Fiona Rodriguez")</f>
        <v>Fiona Rodriguez</v>
      </c>
      <c r="E438" s="2">
        <f>IFERROR(__xludf.DUMMYFUNCTION("IF(LEN(D438:D701),
  COUNTA(SPLIT(D438:D701,"" "")),
 """")"),2.0)</f>
        <v>2</v>
      </c>
      <c r="F438" s="9" t="str">
        <f t="shared" si="202"/>
        <v>❌</v>
      </c>
      <c r="G438" s="2" t="s">
        <v>8257</v>
      </c>
      <c r="H438" s="10" t="str">
        <f t="shared" si="203"/>
        <v>fioan.rodriguez@yahoo.com</v>
      </c>
      <c r="I438" s="2" t="s">
        <v>1349</v>
      </c>
      <c r="J438" s="9" t="str">
        <f>IFERROR(__xludf.DUMMYFUNCTION("IF(REGEXMATCH(TRIM(I438),""^[A-Za-z0-9._%+-]+@[A-Za-z0-9.-]+\.[A-Za-z]{2,}$""),""✅ Valid"",""❌ Invalid"")"),"✅ Valid")</f>
        <v>✅ Valid</v>
      </c>
      <c r="K438" s="11">
        <v>2.5614435E7</v>
      </c>
      <c r="L438" s="2" t="str">
        <f>IFERROR(__xludf.DUMMYFUNCTION("IF(OR(K438=""N/A"", K438=""missing"", K438=""none""), """",
 REGEXREPLACE(
  SUBSTITUTE(SUBSTITUTE(SUBSTITUTE(TO_TEXT(K438), CHAR(160),""""), UNICHAR(8239),""""), UNICHAR(8201),""""),""[+\-/(): )]"", """"))"),"25614435")</f>
        <v>25614435</v>
      </c>
      <c r="M438" s="2" t="str">
        <f>IFERROR(__xludf.DUMMYFUNCTION("IF(L438="""","""", REGEXEXTRACT(REGEXREPLACE(L438,""x"", """"), ""[0-9]+""))"),"25614435")</f>
        <v>25614435</v>
      </c>
      <c r="N438" s="2" t="str">
        <f t="shared" ref="N438:N439" si="213">IF(LEFT(M438,3)="353", RIGHT(M438,LEN(M438)-3),M438)</f>
        <v>25614435</v>
      </c>
      <c r="O438" s="2" t="b">
        <f>IFERROR(__xludf.DUMMYFUNCTION("REGEXMATCH(TO_TEXT(N438), ""^0(83|85|86|87|89)"")"),FALSE)</f>
        <v>0</v>
      </c>
      <c r="P438" s="2">
        <f t="shared" si="204"/>
        <v>8</v>
      </c>
      <c r="Q438" s="9" t="str">
        <f t="shared" ref="Q438:Q439" si="214">IF(AND(O438=TRUE, P435=10), "✅ VALID", "❌ INVALID")</f>
        <v>❌ INVALID</v>
      </c>
      <c r="R438" s="10" t="s">
        <v>1177</v>
      </c>
      <c r="S438" s="12">
        <v>45478.0</v>
      </c>
      <c r="T438" s="2" t="str">
        <f>IFERROR(__xludf.DUMMYFUNCTION("IF(ISNUMBER(S438),TEXT(S438,""yyyy-MM-dd""),REGEXREPLACE(REGEXREPLACE(TO_TEXT(S438),""[^0-9a-zA-Z]+"",""-""),""[^0-9]*$"",""""))"),"2024-07-05")</f>
        <v>2024-07-05</v>
      </c>
      <c r="U438" s="2" t="s">
        <v>6527</v>
      </c>
      <c r="Y438" s="10" t="s">
        <v>6527</v>
      </c>
    </row>
    <row r="439" ht="15.75" customHeight="1">
      <c r="A439" s="2" t="s">
        <v>6689</v>
      </c>
      <c r="B439" s="9" t="s">
        <v>7597</v>
      </c>
      <c r="C439" s="2" t="s">
        <v>4692</v>
      </c>
      <c r="D439" s="10" t="str">
        <f>IFERROR(__xludf.DUMMYFUNCTION("PROPER(REGEXREPLACE(TRIM(C439),""\s+"","" ""))"),"Lia Kowalczyk")</f>
        <v>Lia Kowalczyk</v>
      </c>
      <c r="E439" s="2">
        <f>IFERROR(__xludf.DUMMYFUNCTION("IF(LEN(D439:D701),
  COUNTA(SPLIT(D439:D701,"" "")),
 """")"),2.0)</f>
        <v>2</v>
      </c>
      <c r="F439" s="9" t="str">
        <f t="shared" si="202"/>
        <v>✅</v>
      </c>
      <c r="G439" s="2" t="str">
        <f>IFERROR(__xludf.DUMMYFUNCTION("REGEXEXTRACT(PROPER(SUBSTITUTE(TRIM(I439),""."","" "")),""^[^@]+"")"),"Lia Kowalczyk")</f>
        <v>Lia Kowalczyk</v>
      </c>
      <c r="H439" s="10" t="str">
        <f t="shared" si="203"/>
        <v>lia.kowalczyk@outlook.com</v>
      </c>
      <c r="I439" s="2" t="s">
        <v>4693</v>
      </c>
      <c r="J439" s="9" t="str">
        <f>IFERROR(__xludf.DUMMYFUNCTION("IF(REGEXMATCH(TRIM(I439),""^[A-Za-z0-9._%+-]+@[A-Za-z0-9.-]+\.[A-Za-z]{2,}$""),""✅ Valid"",""❌ Invalid"")"),"✅ Valid")</f>
        <v>✅ Valid</v>
      </c>
      <c r="K439" s="11">
        <v>1.720847228E9</v>
      </c>
      <c r="L439" s="2" t="str">
        <f>IFERROR(__xludf.DUMMYFUNCTION("IF(OR(K439=""N/A"", K439=""missing"", K439=""none""), """",
 REGEXREPLACE(
  SUBSTITUTE(SUBSTITUTE(SUBSTITUTE(TO_TEXT(K439), CHAR(160),""""), UNICHAR(8239),""""), UNICHAR(8201),""""),""[+\-/(): )]"", """"))"),"1720847228")</f>
        <v>1720847228</v>
      </c>
      <c r="M439" s="2" t="str">
        <f>IFERROR(__xludf.DUMMYFUNCTION("IF(L439="""","""", REGEXEXTRACT(REGEXREPLACE(L439,""x"", """"), ""[0-9]+""))"),"1720847228")</f>
        <v>1720847228</v>
      </c>
      <c r="N439" s="2" t="str">
        <f t="shared" si="213"/>
        <v>1720847228</v>
      </c>
      <c r="O439" s="2" t="b">
        <f>IFERROR(__xludf.DUMMYFUNCTION("REGEXMATCH(TO_TEXT(N439), ""^0(83|85|86|87|89)"")"),FALSE)</f>
        <v>0</v>
      </c>
      <c r="P439" s="2">
        <f t="shared" si="204"/>
        <v>10</v>
      </c>
      <c r="Q439" s="9" t="str">
        <f t="shared" si="214"/>
        <v>❌ INVALID</v>
      </c>
      <c r="R439" s="10" t="s">
        <v>1177</v>
      </c>
      <c r="S439" s="12" t="s">
        <v>6354</v>
      </c>
      <c r="T439" s="2" t="str">
        <f>IFERROR(__xludf.DUMMYFUNCTION("IF(ISNUMBER(S439),TEXT(S439,""yyyy-MM-dd""),REGEXREPLACE(REGEXREPLACE(TO_TEXT(S439),""[^0-9a-zA-Z]+"",""-""),""[^0-9]*$"",""""))"),"03-03-2022")</f>
        <v>03-03-2022</v>
      </c>
      <c r="U439" s="2" t="s">
        <v>8260</v>
      </c>
      <c r="Y439" s="10" t="s">
        <v>8260</v>
      </c>
    </row>
    <row r="440" ht="15.75" customHeight="1">
      <c r="A440" s="2" t="s">
        <v>4462</v>
      </c>
      <c r="B440" s="9" t="s">
        <v>7597</v>
      </c>
      <c r="C440" s="2" t="s">
        <v>3862</v>
      </c>
      <c r="D440" s="10" t="s">
        <v>8261</v>
      </c>
      <c r="E440" s="2">
        <f>IFERROR(__xludf.DUMMYFUNCTION("IF(LEN(D440:D701),
  COUNTA(SPLIT(D440:D701,"" "")),
 """")"),2.0)</f>
        <v>2</v>
      </c>
      <c r="F440" s="9" t="str">
        <f t="shared" si="202"/>
        <v>✅</v>
      </c>
      <c r="G440" s="2" t="s">
        <v>8261</v>
      </c>
      <c r="H440" s="10" t="str">
        <f t="shared" si="203"/>
        <v>ethan.young@yahoo.com</v>
      </c>
      <c r="I440" s="2" t="s">
        <v>3863</v>
      </c>
      <c r="J440" s="9" t="str">
        <f>IFERROR(__xludf.DUMMYFUNCTION("IF(REGEXMATCH(TRIM(I440),""^[A-Za-z0-9._%+-]+@[A-Za-z0-9.-]+\.[A-Za-z]{2,}$""),""✅ Valid"",""❌ Invalid"")"),"✅ Valid")</f>
        <v>✅ Valid</v>
      </c>
      <c r="K440" s="13" t="s">
        <v>8262</v>
      </c>
      <c r="L440" s="2" t="str">
        <f>IFERROR(__xludf.DUMMYFUNCTION("IF(OR(K440=""N/A"", K440=""missing"", K440=""none""), """",
 REGEXREPLACE(
  SUBSTITUTE(SUBSTITUTE(SUBSTITUTE(TO_TEXT(K440), CHAR(160),""""), UNICHAR(8239),""""), UNICHAR(8201),""""),""[+\-/(): )]"", """"))"),"3929110674")</f>
        <v>3929110674</v>
      </c>
      <c r="M440" s="2" t="str">
        <f>IFERROR(__xludf.DUMMYFUNCTION("IF(L440="""","""", REGEXEXTRACT(REGEXREPLACE(L440,""x"", """"), ""[0-9]+""))"),"3929110674")</f>
        <v>3929110674</v>
      </c>
      <c r="N440" s="2" t="str">
        <f t="shared" ref="N440:N441" si="215">IF(LEFT(M440,2)="39", RIGHT(M440,LEN(M440)-2),M440)</f>
        <v>29110674</v>
      </c>
      <c r="O440" s="2" t="b">
        <f>IFERROR(__xludf.DUMMYFUNCTION("REGEXMATCH(TO_TEXT(N440), ""^3"")"),FALSE)</f>
        <v>0</v>
      </c>
      <c r="P440" s="2">
        <f t="shared" si="204"/>
        <v>8</v>
      </c>
      <c r="Q440" s="9" t="str">
        <f t="shared" ref="Q440:Q441" si="216">IF(AND(O440=TRUE,OR(P440=9, P440=10 )), "✅ VALID", "❌ INVALID")</f>
        <v>❌ INVALID</v>
      </c>
      <c r="R440" s="10" t="s">
        <v>785</v>
      </c>
      <c r="S440" s="12">
        <v>45133.626388888886</v>
      </c>
      <c r="T440" s="2" t="str">
        <f>IFERROR(__xludf.DUMMYFUNCTION("IF(ISNUMBER(S440),TEXT(S440,""yyyy-MM-dd""),REGEXREPLACE(REGEXREPLACE(TO_TEXT(S440),""[^0-9a-zA-Z]+"",""-""),""[^0-9]*$"",""""))"),"2023-07-26")</f>
        <v>2023-07-26</v>
      </c>
      <c r="U440" s="2" t="s">
        <v>8263</v>
      </c>
      <c r="Y440" s="10" t="s">
        <v>8263</v>
      </c>
    </row>
    <row r="441" ht="15.75" customHeight="1">
      <c r="A441" s="2" t="s">
        <v>2822</v>
      </c>
      <c r="B441" s="9" t="s">
        <v>7597</v>
      </c>
      <c r="C441" s="2" t="s">
        <v>1251</v>
      </c>
      <c r="D441" s="10" t="str">
        <f>IFERROR(__xludf.DUMMYFUNCTION("PROPER(REGEXREPLACE(TRIM(C441),""\s+"","" ""))"),"Wiktor Nowak")</f>
        <v>Wiktor Nowak</v>
      </c>
      <c r="E441" s="2">
        <f>IFERROR(__xludf.DUMMYFUNCTION("IF(LEN(D441:D701),
  COUNTA(SPLIT(D441:D701,"" "")),
 """")"),2.0)</f>
        <v>2</v>
      </c>
      <c r="F441" s="9" t="str">
        <f t="shared" si="202"/>
        <v>✅</v>
      </c>
      <c r="G441" s="2" t="str">
        <f>IFERROR(__xludf.DUMMYFUNCTION("REGEXEXTRACT(PROPER(SUBSTITUTE(TRIM(I441),""."","" "")),""^[^@]+"")"),"Wiktor Nowak")</f>
        <v>Wiktor Nowak</v>
      </c>
      <c r="H441" s="10" t="str">
        <f t="shared" si="203"/>
        <v>wiktor.nowak@shop.io</v>
      </c>
      <c r="I441" s="2" t="s">
        <v>1252</v>
      </c>
      <c r="J441" s="9" t="str">
        <f>IFERROR(__xludf.DUMMYFUNCTION("IF(REGEXMATCH(TRIM(I441),""^[A-Za-z0-9._%+-]+@[A-Za-z0-9.-]+\.[A-Za-z]{2,}$""),""✅ Valid"",""❌ Invalid"")"),"✅ Valid")</f>
        <v>✅ Valid</v>
      </c>
      <c r="K441" s="13" t="s">
        <v>8264</v>
      </c>
      <c r="L441" s="2" t="str">
        <f>IFERROR(__xludf.DUMMYFUNCTION("IF(OR(K441=""N/A"", K441=""missing"", K441=""none""), """",
 REGEXREPLACE(
  SUBSTITUTE(SUBSTITUTE(SUBSTITUTE(TO_TEXT(K441), CHAR(160),""""), UNICHAR(8239),""""), UNICHAR(8201),""""),""[+\-/(): )]"", """"))"),"846x823076")</f>
        <v>846x823076</v>
      </c>
      <c r="M441" s="2" t="str">
        <f>IFERROR(__xludf.DUMMYFUNCTION("IF(L441="""","""", REGEXEXTRACT(REGEXREPLACE(L441,""x"", """"), ""[0-9]+""))"),"846823076")</f>
        <v>846823076</v>
      </c>
      <c r="N441" s="2" t="str">
        <f t="shared" si="215"/>
        <v>846823076</v>
      </c>
      <c r="O441" s="2" t="b">
        <f>IFERROR(__xludf.DUMMYFUNCTION("REGEXMATCH(TO_TEXT(N441), ""^3"")"),FALSE)</f>
        <v>0</v>
      </c>
      <c r="P441" s="2">
        <f t="shared" si="204"/>
        <v>9</v>
      </c>
      <c r="Q441" s="9" t="str">
        <f t="shared" si="216"/>
        <v>❌ INVALID</v>
      </c>
      <c r="R441" s="10" t="s">
        <v>785</v>
      </c>
      <c r="S441" s="12">
        <v>45133.626388888886</v>
      </c>
      <c r="T441" s="2" t="str">
        <f>IFERROR(__xludf.DUMMYFUNCTION("IF(ISNUMBER(S441),TEXT(S441,""yyyy-MM-dd""),REGEXREPLACE(REGEXREPLACE(TO_TEXT(S441),""[^0-9a-zA-Z]+"",""-""),""[^0-9]*$"",""""))"),"2023-07-26")</f>
        <v>2023-07-26</v>
      </c>
      <c r="U441" s="2" t="s">
        <v>8263</v>
      </c>
      <c r="Y441" s="10" t="s">
        <v>8263</v>
      </c>
    </row>
    <row r="442" ht="15.75" customHeight="1">
      <c r="A442" s="2" t="s">
        <v>3788</v>
      </c>
      <c r="B442" s="9" t="s">
        <v>7597</v>
      </c>
      <c r="C442" s="2" t="s">
        <v>2295</v>
      </c>
      <c r="D442" s="10" t="str">
        <f>IFERROR(__xludf.DUMMYFUNCTION("PROPER(REGEXREPLACE(TRIM(C442),""\s+"","" ""))"),"Jade Kowalczyk")</f>
        <v>Jade Kowalczyk</v>
      </c>
      <c r="E442" s="2">
        <f>IFERROR(__xludf.DUMMYFUNCTION("IF(LEN(D442:D701),
  COUNTA(SPLIT(D442:D701,"" "")),
 """")"),2.0)</f>
        <v>2</v>
      </c>
      <c r="F442" s="9" t="str">
        <f t="shared" si="202"/>
        <v>✅</v>
      </c>
      <c r="G442" s="2" t="str">
        <f>IFERROR(__xludf.DUMMYFUNCTION("REGEXEXTRACT(PROPER(SUBSTITUTE(TRIM(I442),""."","" "")),""^[^@]+"")"),"Jade Kowalczyk")</f>
        <v>Jade Kowalczyk</v>
      </c>
      <c r="H442" s="10" t="str">
        <f t="shared" si="203"/>
        <v>jade.kowalczyk@example.com</v>
      </c>
      <c r="I442" s="2" t="s">
        <v>775</v>
      </c>
      <c r="J442" s="9" t="str">
        <f>IFERROR(__xludf.DUMMYFUNCTION("IF(REGEXMATCH(TRIM(I442),""^[A-Za-z0-9._%+-]+@[A-Za-z0-9.-]+\.[A-Za-z]{2,}$""),""✅ Valid"",""❌ Invalid"")"),"✅ Valid")</f>
        <v>✅ Valid</v>
      </c>
      <c r="K442" s="15" t="s">
        <v>8265</v>
      </c>
      <c r="L442" s="2" t="str">
        <f>IFERROR(__xludf.DUMMYFUNCTION("IF(K442=""N/A"", """",
 REGEXREPLACE(
  SUBSTITUTE(SUBSTITUTE(SUBSTITUTE(TO_TEXT(K442), CHAR(160),""""), UNICHAR(8239),""""), UNICHAR(8201),""""),""[+\-/(): )]"", """"))"),"48359158094")</f>
        <v>48359158094</v>
      </c>
      <c r="M442" s="2" t="str">
        <f>IFERROR(__xludf.DUMMYFUNCTION("IF(L442="""","""", REGEXEXTRACT(REGEXREPLACE(L442,""x"", """"), ""[0-9]+""))"),"48359158094")</f>
        <v>48359158094</v>
      </c>
      <c r="N442" s="2" t="str">
        <f t="shared" ref="N442:N443" si="217">IF(LEFT(M442,2)="48", RIGHT(M442,LEN(M442)-2),M442)</f>
        <v>359158094</v>
      </c>
      <c r="O442" s="2" t="b">
        <f>IFERROR(__xludf.DUMMYFUNCTION("REGEXMATCH(TO_TEXT(N442), ""^(5[013679]|6[069]|7[2-9]|88)"")"),FALSE)</f>
        <v>0</v>
      </c>
      <c r="Q442" s="9" t="str">
        <f t="shared" ref="Q442:Q443" si="218">IF(AND(O442=TRUE, P442=9), "✅ VALID", "❌ INVALID")</f>
        <v>❌ INVALID</v>
      </c>
      <c r="R442" s="10" t="s">
        <v>25</v>
      </c>
      <c r="S442" s="12">
        <v>45861.614583333336</v>
      </c>
      <c r="T442" s="2" t="str">
        <f>IFERROR(__xludf.DUMMYFUNCTION("IF(ISNUMBER(S442),TEXT(S442,""yyyy-MM-dd""),REGEXREPLACE(REGEXREPLACE(TO_TEXT(S442),""[^0-9a-zA-Z]+"",""-""),""[^0-9]*$"",""""))"),"2025-07-23")</f>
        <v>2025-07-23</v>
      </c>
      <c r="U442" s="2" t="s">
        <v>8266</v>
      </c>
      <c r="Y442" s="10" t="s">
        <v>8266</v>
      </c>
    </row>
    <row r="443" ht="15.75" customHeight="1">
      <c r="A443" s="2" t="s">
        <v>4501</v>
      </c>
      <c r="B443" s="9" t="s">
        <v>7597</v>
      </c>
      <c r="C443" s="2" t="s">
        <v>4811</v>
      </c>
      <c r="D443" s="10" t="str">
        <f>IFERROR(__xludf.DUMMYFUNCTION("PROPER(REGEXREPLACE(TRIM(C443),""\s+"","" ""))"),"Nina King")</f>
        <v>Nina King</v>
      </c>
      <c r="E443" s="2">
        <f>IFERROR(__xludf.DUMMYFUNCTION("IF(LEN(D443:D701),
  COUNTA(SPLIT(D443:D701,"" "")),
 """")"),2.0)</f>
        <v>2</v>
      </c>
      <c r="F443" s="9" t="str">
        <f t="shared" si="202"/>
        <v>✅</v>
      </c>
      <c r="G443" s="2" t="str">
        <f>IFERROR(__xludf.DUMMYFUNCTION("REGEXEXTRACT(PROPER(SUBSTITUTE(TRIM(I443),""."","" "")),""^[^@]+"")"),"Nina King")</f>
        <v>Nina King</v>
      </c>
      <c r="H443" s="10" t="str">
        <f t="shared" si="203"/>
        <v>nina.king@shop.io</v>
      </c>
      <c r="I443" s="2" t="s">
        <v>4812</v>
      </c>
      <c r="J443" s="9" t="str">
        <f>IFERROR(__xludf.DUMMYFUNCTION("IF(REGEXMATCH(TRIM(I443),""^[A-Za-z0-9._%+-]+@[A-Za-z0-9.-]+\.[A-Za-z]{2,}$""),""✅ Valid"",""❌ Invalid"")"),"✅ Valid")</f>
        <v>✅ Valid</v>
      </c>
      <c r="K443" s="15" t="s">
        <v>8267</v>
      </c>
      <c r="L443" s="2" t="str">
        <f>IFERROR(__xludf.DUMMYFUNCTION("IF(K443=""N/A"", """",
 REGEXREPLACE(
  SUBSTITUTE(SUBSTITUTE(SUBSTITUTE(TO_TEXT(K443), CHAR(160),""""), UNICHAR(8239),""""), UNICHAR(8201),""""),""[+\-/(): )]"", """"))"),"48803094309")</f>
        <v>48803094309</v>
      </c>
      <c r="M443" s="2" t="str">
        <f>IFERROR(__xludf.DUMMYFUNCTION("IF(L443="""","""", REGEXEXTRACT(REGEXREPLACE(L443,""x"", """"), ""[0-9]+""))"),"48803094309")</f>
        <v>48803094309</v>
      </c>
      <c r="N443" s="2" t="str">
        <f t="shared" si="217"/>
        <v>803094309</v>
      </c>
      <c r="O443" s="2" t="b">
        <f>IFERROR(__xludf.DUMMYFUNCTION("REGEXMATCH(TO_TEXT(N443), ""^(5[013679]|6[069]|7[2-9]|88)"")"),FALSE)</f>
        <v>0</v>
      </c>
      <c r="Q443" s="9" t="str">
        <f t="shared" si="218"/>
        <v>❌ INVALID</v>
      </c>
      <c r="R443" s="10" t="s">
        <v>25</v>
      </c>
      <c r="S443" s="12">
        <v>45546.0</v>
      </c>
      <c r="T443" s="2" t="str">
        <f>IFERROR(__xludf.DUMMYFUNCTION("IF(ISNUMBER(S443),TEXT(S443,""yyyy-MM-dd""),REGEXREPLACE(REGEXREPLACE(TO_TEXT(S443),""[^0-9a-zA-Z]+"",""-""),""[^0-9]*$"",""""))"),"2024-09-11")</f>
        <v>2024-09-11</v>
      </c>
      <c r="U443" s="2" t="s">
        <v>8259</v>
      </c>
      <c r="Y443" s="10" t="s">
        <v>8259</v>
      </c>
    </row>
    <row r="444" ht="15.75" customHeight="1">
      <c r="A444" s="2" t="s">
        <v>1550</v>
      </c>
      <c r="B444" s="9" t="s">
        <v>7597</v>
      </c>
      <c r="C444" s="2" t="s">
        <v>867</v>
      </c>
      <c r="D444" s="10" t="str">
        <f>IFERROR(__xludf.DUMMYFUNCTION("PROPER(REGEXREPLACE(TRIM(C444),""\s+"","" ""))"),"Wiktor Lee")</f>
        <v>Wiktor Lee</v>
      </c>
      <c r="E444" s="2">
        <f>IFERROR(__xludf.DUMMYFUNCTION("IF(LEN(D444:D701),
  COUNTA(SPLIT(D444:D701,"" "")),
 """")"),2.0)</f>
        <v>2</v>
      </c>
      <c r="F444" s="9" t="str">
        <f t="shared" si="202"/>
        <v>✅</v>
      </c>
      <c r="G444" s="2" t="str">
        <f>IFERROR(__xludf.DUMMYFUNCTION("REGEXEXTRACT(PROPER(SUBSTITUTE(TRIM(I444),""."","" "")),""^[^@]+"")"),"Wiktor Lee")</f>
        <v>Wiktor Lee</v>
      </c>
      <c r="H444" s="10" t="str">
        <f t="shared" si="203"/>
        <v>wiktor.lee@shop.io</v>
      </c>
      <c r="I444" s="2" t="s">
        <v>1083</v>
      </c>
      <c r="J444" s="9" t="str">
        <f>IFERROR(__xludf.DUMMYFUNCTION("IF(REGEXMATCH(TRIM(I444),""^[A-Za-z0-9._%+-]+@[A-Za-z0-9.-]+\.[A-Za-z]{2,}$""),""✅ Valid"",""❌ Invalid"")"),"✅ Valid")</f>
        <v>✅ Valid</v>
      </c>
      <c r="K444" s="11">
        <v>5.56038082E9</v>
      </c>
      <c r="L444" s="2" t="str">
        <f>IFERROR(__xludf.DUMMYFUNCTION("IF(OR(K444=""N/A"", K444=""missing"", K444=""none""), """",
 REGEXREPLACE(
  SUBSTITUTE(SUBSTITUTE(SUBSTITUTE(TO_TEXT(K444), CHAR(160),""""), UNICHAR(8239),""""), UNICHAR(8201),""""),""[+\-/(): )]"", """"))"),"5560380820")</f>
        <v>5560380820</v>
      </c>
      <c r="M444" s="2" t="str">
        <f>IFERROR(__xludf.DUMMYFUNCTION("IF(L444="""","""", REGEXEXTRACT(REGEXREPLACE(L444,""x"", """"), ""[0-9]+""))"),"5560380820")</f>
        <v>5560380820</v>
      </c>
      <c r="N444" s="2" t="str">
        <f>IF(LEFT(M444,3)="353", RIGHT(M444,LEN(M444)-3),M444)</f>
        <v>5560380820</v>
      </c>
      <c r="O444" s="2" t="b">
        <f>IFERROR(__xludf.DUMMYFUNCTION("REGEXMATCH(TO_TEXT(N444), ""^0(83|85|86|87|89)"")"),FALSE)</f>
        <v>0</v>
      </c>
      <c r="P444" s="2">
        <f t="shared" ref="P444:P445" si="219">LEN(N444)</f>
        <v>10</v>
      </c>
      <c r="Q444" s="9" t="str">
        <f>IF(AND(O444=TRUE, P441=10), "✅ VALID", "❌ INVALID")</f>
        <v>❌ INVALID</v>
      </c>
      <c r="R444" s="10" t="s">
        <v>1177</v>
      </c>
      <c r="S444" s="12">
        <v>45082.0</v>
      </c>
      <c r="T444" s="2" t="str">
        <f>IFERROR(__xludf.DUMMYFUNCTION("IF(ISNUMBER(S444),TEXT(S444,""yyyy-MM-dd""),REGEXREPLACE(REGEXREPLACE(TO_TEXT(S444),""[^0-9a-zA-Z]+"",""-""),""[^0-9]*$"",""""))"),"2023-06-05")</f>
        <v>2023-06-05</v>
      </c>
      <c r="U444" s="2" t="s">
        <v>8268</v>
      </c>
      <c r="Y444" s="10" t="s">
        <v>8268</v>
      </c>
    </row>
    <row r="445" ht="15.75" customHeight="1">
      <c r="A445" s="2" t="s">
        <v>707</v>
      </c>
      <c r="B445" s="9" t="s">
        <v>7597</v>
      </c>
      <c r="C445" s="2" t="s">
        <v>1060</v>
      </c>
      <c r="D445" s="10" t="str">
        <f>IFERROR(__xludf.DUMMYFUNCTION("PROPER(REGEXREPLACE(TRIM(C445),""\s+"","" ""))"),"Ethan Johnson")</f>
        <v>Ethan Johnson</v>
      </c>
      <c r="E445" s="2">
        <f>IFERROR(__xludf.DUMMYFUNCTION("IF(LEN(D445:D701),
  COUNTA(SPLIT(D445:D701,"" "")),
 """")"),2.0)</f>
        <v>2</v>
      </c>
      <c r="F445" s="9" t="str">
        <f t="shared" si="202"/>
        <v>✅</v>
      </c>
      <c r="G445" s="2" t="str">
        <f>IFERROR(__xludf.DUMMYFUNCTION("REGEXEXTRACT(PROPER(SUBSTITUTE(TRIM(I445),""."","" "")),""^[^@]+"")"),"Ethan Johnson")</f>
        <v>Ethan Johnson</v>
      </c>
      <c r="H445" s="10" t="str">
        <f t="shared" si="203"/>
        <v>ethan.johnson@shop.io</v>
      </c>
      <c r="I445" s="2" t="s">
        <v>5343</v>
      </c>
      <c r="J445" s="9" t="str">
        <f>IFERROR(__xludf.DUMMYFUNCTION("IF(REGEXMATCH(TRIM(I445),""^[A-Za-z0-9._%+-]+@[A-Za-z0-9.-]+\.[A-Za-z]{2,}$""),""✅ Valid"",""❌ Invalid"")"),"✅ Valid")</f>
        <v>✅ Valid</v>
      </c>
      <c r="K445" s="13" t="s">
        <v>8269</v>
      </c>
      <c r="L445" s="2" t="str">
        <f>IFERROR(__xludf.DUMMYFUNCTION("IF(OR(K445=""N/A"", K445=""missing"", K445=""none""), """",
 REGEXREPLACE(
  SUBSTITUTE(SUBSTITUTE(SUBSTITUTE(TO_TEXT(K445), CHAR(160),""""), UNICHAR(8239),""""), UNICHAR(8201),""""),""[+\-/(): )]"", """"))"),"33507687081")</f>
        <v>33507687081</v>
      </c>
      <c r="M445" s="2" t="str">
        <f>IFERROR(__xludf.DUMMYFUNCTION("IF(L445="""","""", REGEXEXTRACT(REGEXREPLACE(L445,""x"", """"), ""[0-9]+""))"),"33507687081")</f>
        <v>33507687081</v>
      </c>
      <c r="N445" s="2" t="str">
        <f>IF(LEFT(M445,2)="33", RIGHT(M445,LEN(M445)-2),M445)</f>
        <v>507687081</v>
      </c>
      <c r="O445" s="2" t="b">
        <f>IFERROR(__xludf.DUMMYFUNCTION("REGEXMATCH(TO_TEXT(N445), ""^0[67]"")"),FALSE)</f>
        <v>0</v>
      </c>
      <c r="P445" s="2">
        <f t="shared" si="219"/>
        <v>9</v>
      </c>
      <c r="Q445" s="9" t="str">
        <f t="shared" ref="Q445:Q446" si="220">IF(AND(O445=TRUE, P445=9), "✅ VALID", "❌ INVALID")</f>
        <v>❌ INVALID</v>
      </c>
      <c r="R445" s="10" t="s">
        <v>58</v>
      </c>
      <c r="S445" s="12">
        <v>44843.0</v>
      </c>
      <c r="T445" s="2" t="str">
        <f>IFERROR(__xludf.DUMMYFUNCTION("IF(ISNUMBER(S445),TEXT(S445,""yyyy-MM-dd""),REGEXREPLACE(REGEXREPLACE(TO_TEXT(S445),""[^0-9a-zA-Z]+"",""-""),""[^0-9]*$"",""""))"),"2022-10-09")</f>
        <v>2022-10-09</v>
      </c>
      <c r="U445" s="2" t="s">
        <v>8270</v>
      </c>
      <c r="Y445" s="10" t="s">
        <v>8270</v>
      </c>
    </row>
    <row r="446" ht="15.75" customHeight="1">
      <c r="A446" s="2" t="s">
        <v>4418</v>
      </c>
      <c r="B446" s="9" t="s">
        <v>7597</v>
      </c>
      <c r="C446" s="2" t="s">
        <v>668</v>
      </c>
      <c r="D446" s="10" t="str">
        <f>IFERROR(__xludf.DUMMYFUNCTION("PROPER(REGEXREPLACE(TRIM(C446),""\s+"","" ""))"),"Jade Garcia")</f>
        <v>Jade Garcia</v>
      </c>
      <c r="E446" s="2">
        <f>IFERROR(__xludf.DUMMYFUNCTION("IF(LEN(D446:D701),
  COUNTA(SPLIT(D446:D701,"" "")),
 """")"),2.0)</f>
        <v>2</v>
      </c>
      <c r="F446" s="9" t="str">
        <f t="shared" si="202"/>
        <v>✅</v>
      </c>
      <c r="G446" s="2" t="str">
        <f>IFERROR(__xludf.DUMMYFUNCTION("REGEXEXTRACT(PROPER(SUBSTITUTE(TRIM(I446),""."","" "")),""^[^@]+"")"),"Jade Garcia")</f>
        <v>Jade Garcia</v>
      </c>
      <c r="H446" s="10" t="str">
        <f t="shared" si="203"/>
        <v>jade.garcia@shop.io</v>
      </c>
      <c r="I446" s="2" t="s">
        <v>669</v>
      </c>
      <c r="J446" s="9" t="str">
        <f>IFERROR(__xludf.DUMMYFUNCTION("IF(REGEXMATCH(TRIM(I446),""^[A-Za-z0-9._%+-]+@[A-Za-z0-9.-]+\.[A-Za-z]{2,}$""),""✅ Valid"",""❌ Invalid"")"),"✅ Valid")</f>
        <v>✅ Valid</v>
      </c>
      <c r="K446" s="15" t="s">
        <v>8271</v>
      </c>
      <c r="L446" s="2" t="str">
        <f>IFERROR(__xludf.DUMMYFUNCTION("IF(K446=""N/A"", """",
 REGEXREPLACE(
  SUBSTITUTE(SUBSTITUTE(SUBSTITUTE(TO_TEXT(K446), CHAR(160),""""), UNICHAR(8239),""""), UNICHAR(8201),""""),""[+\-/(): )]"", """"))"),"48284756231")</f>
        <v>48284756231</v>
      </c>
      <c r="M446" s="2" t="str">
        <f>IFERROR(__xludf.DUMMYFUNCTION("IF(L446="""","""", REGEXEXTRACT(REGEXREPLACE(L446,""x"", """"), ""[0-9]+""))"),"48284756231")</f>
        <v>48284756231</v>
      </c>
      <c r="N446" s="2" t="str">
        <f>IF(LEFT(M446,2)="48", RIGHT(M446,LEN(M446)-2),M446)</f>
        <v>284756231</v>
      </c>
      <c r="O446" s="2" t="b">
        <f>IFERROR(__xludf.DUMMYFUNCTION("REGEXMATCH(TO_TEXT(N446), ""^(5[013679]|6[069]|7[2-9]|88)"")"),FALSE)</f>
        <v>0</v>
      </c>
      <c r="Q446" s="9" t="str">
        <f t="shared" si="220"/>
        <v>❌ INVALID</v>
      </c>
      <c r="R446" s="10" t="s">
        <v>25</v>
      </c>
      <c r="S446" s="12" t="s">
        <v>6813</v>
      </c>
      <c r="T446" s="2" t="str">
        <f>IFERROR(__xludf.DUMMYFUNCTION("IF(ISNUMBER(S446),TEXT(S446,""yyyy-MM-dd""),REGEXREPLACE(REGEXREPLACE(TO_TEXT(S446),""[^0-9a-zA-Z]+"",""-""),""[^0-9]*$"",""""))"),"07-18-2024")</f>
        <v>07-18-2024</v>
      </c>
      <c r="U446" s="2" t="str">
        <f>TEXT(T446,"yyyy-MM-dd")</f>
        <v>07-18-2024</v>
      </c>
      <c r="V446" s="2" t="s">
        <v>8272</v>
      </c>
      <c r="Y446" s="10" t="s">
        <v>8272</v>
      </c>
    </row>
    <row r="447" ht="15.75" customHeight="1">
      <c r="A447" s="2" t="s">
        <v>1666</v>
      </c>
      <c r="B447" s="9" t="s">
        <v>7597</v>
      </c>
      <c r="C447" s="2" t="s">
        <v>7053</v>
      </c>
      <c r="D447" s="10" t="str">
        <f>IFERROR(__xludf.DUMMYFUNCTION("PROPER(REGEXREPLACE(TRIM(C447),""\s+"","" ""))"),"Rita Martinez")</f>
        <v>Rita Martinez</v>
      </c>
      <c r="E447" s="2">
        <f>IFERROR(__xludf.DUMMYFUNCTION("IF(LEN(D447:D701),
  COUNTA(SPLIT(D447:D701,"" "")),
 """")"),2.0)</f>
        <v>2</v>
      </c>
      <c r="F447" s="9" t="str">
        <f t="shared" si="202"/>
        <v>✅</v>
      </c>
      <c r="G447" s="2" t="str">
        <f>IFERROR(__xludf.DUMMYFUNCTION("REGEXEXTRACT(PROPER(SUBSTITUTE(TRIM(I447),""."","" "")),""^[^@]+"")"),"Rita Martinez")</f>
        <v>Rita Martinez</v>
      </c>
      <c r="H447" s="10" t="str">
        <f t="shared" si="203"/>
        <v>rita.martinez@gmail.com</v>
      </c>
      <c r="I447" s="2" t="s">
        <v>7054</v>
      </c>
      <c r="J447" s="9" t="str">
        <f>IFERROR(__xludf.DUMMYFUNCTION("IF(REGEXMATCH(TRIM(I447),""^[A-Za-z0-9._%+-]+@[A-Za-z0-9.-]+\.[A-Za-z]{2,}$""),""✅ Valid"",""❌ Invalid"")"),"✅ Valid")</f>
        <v>✅ Valid</v>
      </c>
      <c r="K447" s="11">
        <v>3.98245511516E11</v>
      </c>
      <c r="L447" s="2" t="str">
        <f>IFERROR(__xludf.DUMMYFUNCTION("IF(OR(K447=""N/A"", K447=""missing"", K447=""none""), """",
 REGEXREPLACE(
  SUBSTITUTE(SUBSTITUTE(SUBSTITUTE(TO_TEXT(K447), CHAR(160),""""), UNICHAR(8239),""""), UNICHAR(8201),""""),""[+\-/(): )]"", """"))"),"398245511516")</f>
        <v>398245511516</v>
      </c>
      <c r="M447" s="2" t="str">
        <f>IFERROR(__xludf.DUMMYFUNCTION("IF(L447="""","""", REGEXEXTRACT(REGEXREPLACE(L447,""x"", """"), ""[0-9]+""))"),"398245511516")</f>
        <v>398245511516</v>
      </c>
      <c r="N447" s="2" t="str">
        <f>IF(LEFT(M447,2)="39", RIGHT(M447,LEN(M447)-2),M447)</f>
        <v>8245511516</v>
      </c>
      <c r="O447" s="2" t="b">
        <f>IFERROR(__xludf.DUMMYFUNCTION("REGEXMATCH(TO_TEXT(N447), ""^3"")"),FALSE)</f>
        <v>0</v>
      </c>
      <c r="P447" s="2">
        <f>LEN(N447)</f>
        <v>10</v>
      </c>
      <c r="Q447" s="9" t="str">
        <f>IF(AND(O447=TRUE,OR(P447=9, P447=10 )), "✅ VALID", "❌ INVALID")</f>
        <v>❌ INVALID</v>
      </c>
      <c r="R447" s="10" t="s">
        <v>785</v>
      </c>
      <c r="S447" s="12">
        <v>45710.0</v>
      </c>
      <c r="T447" s="2" t="str">
        <f>IFERROR(__xludf.DUMMYFUNCTION("IF(ISNUMBER(S447),TEXT(S447,""yyyy-MM-dd""),REGEXREPLACE(REGEXREPLACE(TO_TEXT(S447),""[^0-9a-zA-Z]+"",""-""),""[^0-9]*$"",""""))"),"2025-02-22")</f>
        <v>2025-02-22</v>
      </c>
      <c r="U447" s="2" t="s">
        <v>8273</v>
      </c>
      <c r="Y447" s="10" t="s">
        <v>8273</v>
      </c>
    </row>
    <row r="448" ht="15.75" hidden="1" customHeight="1">
      <c r="A448" s="2" t="s">
        <v>6510</v>
      </c>
      <c r="B448" s="9" t="s">
        <v>7597</v>
      </c>
      <c r="C448" s="2" t="s">
        <v>7278</v>
      </c>
      <c r="D448" s="2" t="str">
        <f>IFERROR(__xludf.DUMMYFUNCTION("PROPER(REGEXREPLACE(TRIM(C448),""\s+"","" ""))"),"Bella Lee")</f>
        <v>Bella Lee</v>
      </c>
      <c r="E448" s="2">
        <f>IFERROR(__xludf.DUMMYFUNCTION("IF(LEN(D448:D701),
  COUNTA(SPLIT(D448:D701,"" "")),
 """")"),2.0)</f>
        <v>2</v>
      </c>
      <c r="K448" s="2" t="s">
        <v>5344</v>
      </c>
      <c r="R448" s="10" t="s">
        <v>785</v>
      </c>
      <c r="S448" s="2" t="s">
        <v>6697</v>
      </c>
    </row>
    <row r="449" ht="15.75" customHeight="1">
      <c r="A449" s="2" t="s">
        <v>3618</v>
      </c>
      <c r="B449" s="9" t="s">
        <v>7597</v>
      </c>
      <c r="C449" s="2" t="s">
        <v>1160</v>
      </c>
      <c r="D449" s="10" t="str">
        <f>IFERROR(__xludf.DUMMYFUNCTION("PROPER(REGEXREPLACE(TRIM(C449),""\s+"","" ""))"),"Fiona Davis")</f>
        <v>Fiona Davis</v>
      </c>
      <c r="E449" s="2">
        <f>IFERROR(__xludf.DUMMYFUNCTION("IF(LEN(D449:D701),
  COUNTA(SPLIT(D449:D701,"" "")),
 """")"),2.0)</f>
        <v>2</v>
      </c>
      <c r="F449" s="9" t="str">
        <f t="shared" ref="F449:F463" si="221">IF(D449=G449,"✅","❌")</f>
        <v>✅</v>
      </c>
      <c r="G449" s="2" t="str">
        <f>IFERROR(__xludf.DUMMYFUNCTION("REGEXEXTRACT(PROPER(SUBSTITUTE(TRIM(I449),""."","" "")),""^[^@]+"")"),"Fiona Davis")</f>
        <v>Fiona Davis</v>
      </c>
      <c r="H449" s="10" t="str">
        <f t="shared" ref="H449:H463" si="222">LOWER(TRIM(I449))</f>
        <v>fiona.davis@company.co.uk</v>
      </c>
      <c r="I449" s="2" t="s">
        <v>1161</v>
      </c>
      <c r="J449" s="9" t="str">
        <f>IFERROR(__xludf.DUMMYFUNCTION("IF(REGEXMATCH(TRIM(I449),""^[A-Za-z0-9._%+-]+@[A-Za-z0-9.-]+\.[A-Za-z]{2,}$""),""✅ Valid"",""❌ Invalid"")"),"✅ Valid")</f>
        <v>✅ Valid</v>
      </c>
      <c r="K449" s="13" t="s">
        <v>8274</v>
      </c>
      <c r="L449" s="2" t="str">
        <f>IFERROR(__xludf.DUMMYFUNCTION("IF(OR(K449=""N/A"", K449=""missing"", K449=""none""), """",
 REGEXREPLACE(
  SUBSTITUTE(SUBSTITUTE(SUBSTITUTE(TO_TEXT(K449), CHAR(160),""""), UNICHAR(8239),""""), UNICHAR(8201),""""),""[+\-/(): )]"", """"))"),"39418250455")</f>
        <v>39418250455</v>
      </c>
      <c r="M449" s="2" t="str">
        <f>IFERROR(__xludf.DUMMYFUNCTION("IF(L449="""","""", REGEXEXTRACT(REGEXREPLACE(L449,""x"", """"), ""[0-9]+""))"),"39418250455")</f>
        <v>39418250455</v>
      </c>
      <c r="N449" s="2" t="str">
        <f>IF(LEFT(M449,2)="39", RIGHT(M449,LEN(M449)-2),M449)</f>
        <v>418250455</v>
      </c>
      <c r="O449" s="2" t="b">
        <f>IFERROR(__xludf.DUMMYFUNCTION("REGEXMATCH(TO_TEXT(N449), ""^3"")"),FALSE)</f>
        <v>0</v>
      </c>
      <c r="P449" s="2">
        <f>LEN(N449)</f>
        <v>9</v>
      </c>
      <c r="Q449" s="9" t="str">
        <f>IF(AND(O449=TRUE,OR(P449=9, P449=10 )), "✅ VALID", "❌ INVALID")</f>
        <v>❌ INVALID</v>
      </c>
      <c r="R449" s="10" t="s">
        <v>785</v>
      </c>
      <c r="S449" s="12" t="s">
        <v>7406</v>
      </c>
      <c r="T449" s="2" t="str">
        <f>IFERROR(__xludf.DUMMYFUNCTION("IF(ISNUMBER(S449),TEXT(S449,""yyyy-MM-dd""),REGEXREPLACE(REGEXREPLACE(TO_TEXT(S449),""[^0-9a-zA-Z]+"",""-""),""[^0-9]*$"",""""))"),"15-11-2022")</f>
        <v>15-11-2022</v>
      </c>
      <c r="U449" s="2" t="s">
        <v>8275</v>
      </c>
      <c r="Y449" s="10" t="s">
        <v>8275</v>
      </c>
    </row>
    <row r="450" ht="15.75" customHeight="1">
      <c r="A450" s="2" t="s">
        <v>2569</v>
      </c>
      <c r="B450" s="9" t="s">
        <v>7597</v>
      </c>
      <c r="C450" s="2" t="s">
        <v>2160</v>
      </c>
      <c r="D450" s="10" t="s">
        <v>8276</v>
      </c>
      <c r="E450" s="2">
        <f>IFERROR(__xludf.DUMMYFUNCTION("IF(LEN(D450:D701),
  COUNTA(SPLIT(D450:D701,"" "")),
 """")"),2.0)</f>
        <v>2</v>
      </c>
      <c r="F450" s="9" t="str">
        <f t="shared" si="221"/>
        <v>✅</v>
      </c>
      <c r="G450" s="2" t="s">
        <v>8276</v>
      </c>
      <c r="H450" s="10" t="str">
        <f t="shared" si="222"/>
        <v>tara.lopez@yahoo.com</v>
      </c>
      <c r="I450" s="2" t="s">
        <v>2161</v>
      </c>
      <c r="J450" s="9" t="str">
        <f>IFERROR(__xludf.DUMMYFUNCTION("IF(REGEXMATCH(TRIM(I450),""^[A-Za-z0-9._%+-]+@[A-Za-z0-9.-]+\.[A-Za-z]{2,}$""),""✅ Valid"",""❌ Invalid"")"),"✅ Valid")</f>
        <v>✅ Valid</v>
      </c>
      <c r="K450" s="15" t="s">
        <v>8277</v>
      </c>
      <c r="L450" s="2" t="str">
        <f>IFERROR(__xludf.DUMMYFUNCTION("IF(K450=""N/A"", """",
 REGEXREPLACE(
  SUBSTITUTE(SUBSTITUTE(SUBSTITUTE(TO_TEXT(K450), CHAR(160),""""), UNICHAR(8239),""""), UNICHAR(8201),""""),""[+\-/(): )]"", """"))"),"48496499229")</f>
        <v>48496499229</v>
      </c>
      <c r="M450" s="2" t="str">
        <f>IFERROR(__xludf.DUMMYFUNCTION("IF(L450="""","""", REGEXEXTRACT(REGEXREPLACE(L450,""x"", """"), ""[0-9]+""))"),"48496499229")</f>
        <v>48496499229</v>
      </c>
      <c r="N450" s="2" t="str">
        <f>IF(LEFT(M450,2)="48", RIGHT(M450,LEN(M450)-2),M450)</f>
        <v>496499229</v>
      </c>
      <c r="O450" s="2" t="b">
        <f>IFERROR(__xludf.DUMMYFUNCTION("REGEXMATCH(TO_TEXT(N450), ""^(5[013679]|6[069]|7[2-9]|88)"")"),FALSE)</f>
        <v>0</v>
      </c>
      <c r="Q450" s="9" t="str">
        <f>IF(AND(O450=TRUE, P450=9), "✅ VALID", "❌ INVALID")</f>
        <v>❌ INVALID</v>
      </c>
      <c r="R450" s="10" t="s">
        <v>25</v>
      </c>
      <c r="S450" s="12">
        <v>45454.0</v>
      </c>
      <c r="T450" s="2" t="str">
        <f>IFERROR(__xludf.DUMMYFUNCTION("IF(ISNUMBER(S450),TEXT(S450,""yyyy-MM-dd""),REGEXREPLACE(REGEXREPLACE(TO_TEXT(S450),""[^0-9a-zA-Z]+"",""-""),""[^0-9]*$"",""""))"),"2024-06-11")</f>
        <v>2024-06-11</v>
      </c>
      <c r="U450" s="2" t="s">
        <v>3231</v>
      </c>
      <c r="Y450" s="10" t="s">
        <v>3231</v>
      </c>
    </row>
    <row r="451" ht="15.75" customHeight="1">
      <c r="A451" s="2" t="s">
        <v>5332</v>
      </c>
      <c r="B451" s="9" t="s">
        <v>7597</v>
      </c>
      <c r="C451" s="2" t="s">
        <v>6690</v>
      </c>
      <c r="D451" s="10" t="str">
        <f>IFERROR(__xludf.DUMMYFUNCTION("PROPER(REGEXREPLACE(TRIM(C451),""\s+"","" ""))"),"Sam Kowalczyk")</f>
        <v>Sam Kowalczyk</v>
      </c>
      <c r="E451" s="2">
        <f>IFERROR(__xludf.DUMMYFUNCTION("IF(LEN(D451:D701),
  COUNTA(SPLIT(D451:D701,"" "")),
 """")"),2.0)</f>
        <v>2</v>
      </c>
      <c r="F451" s="9" t="str">
        <f t="shared" si="221"/>
        <v>✅</v>
      </c>
      <c r="G451" s="2" t="str">
        <f>IFERROR(__xludf.DUMMYFUNCTION("REGEXEXTRACT(PROPER(SUBSTITUTE(TRIM(I451),""."","" "")),""^[^@]+"")"),"Sam Kowalczyk")</f>
        <v>Sam Kowalczyk</v>
      </c>
      <c r="H451" s="10" t="str">
        <f t="shared" si="222"/>
        <v>sam.kowalczyk@outlook.com</v>
      </c>
      <c r="I451" s="2" t="s">
        <v>6691</v>
      </c>
      <c r="J451" s="9" t="str">
        <f>IFERROR(__xludf.DUMMYFUNCTION("IF(REGEXMATCH(TRIM(I451),""^[A-Za-z0-9._%+-]+@[A-Za-z0-9.-]+\.[A-Za-z]{2,}$""),""✅ Valid"",""❌ Invalid"")"),"✅ Valid")</f>
        <v>✅ Valid</v>
      </c>
      <c r="K451" s="13" t="s">
        <v>8278</v>
      </c>
      <c r="L451" s="2" t="str">
        <f>IFERROR(__xludf.DUMMYFUNCTION("IF(OR(K451=""N/A"", K451=""missing"", K451=""none""), """",
 REGEXREPLACE(
  SUBSTITUTE(SUBSTITUTE(SUBSTITUTE(TO_TEXT(K451), CHAR(160),""""), UNICHAR(8239),""""), UNICHAR(8201),""""),""[+\-/(): )]"", """"))"),"tel353200589809")</f>
        <v>tel353200589809</v>
      </c>
      <c r="M451" s="2" t="str">
        <f>IFERROR(__xludf.DUMMYFUNCTION("IF(L451="""","""", REGEXEXTRACT(REGEXREPLACE(L451,""x"", """"), ""[0-9]+""))"),"353200589809")</f>
        <v>353200589809</v>
      </c>
      <c r="N451" s="2" t="str">
        <f t="shared" ref="N451:N452" si="223">IF(LEFT(M451,3)="353", RIGHT(M451,LEN(M451)-3),M451)</f>
        <v>200589809</v>
      </c>
      <c r="O451" s="2" t="b">
        <f>IFERROR(__xludf.DUMMYFUNCTION("REGEXMATCH(TO_TEXT(N451), ""^0(83|85|86|87|89)"")"),FALSE)</f>
        <v>0</v>
      </c>
      <c r="P451" s="2">
        <f t="shared" ref="P451:P463" si="224">LEN(N451)</f>
        <v>9</v>
      </c>
      <c r="Q451" s="9" t="str">
        <f t="shared" ref="Q451:Q452" si="225">IF(AND(O451=TRUE, P448=10), "✅ VALID", "❌ INVALID")</f>
        <v>❌ INVALID</v>
      </c>
      <c r="R451" s="10" t="s">
        <v>1177</v>
      </c>
      <c r="S451" s="12">
        <v>44880.0</v>
      </c>
      <c r="T451" s="2" t="str">
        <f>IFERROR(__xludf.DUMMYFUNCTION("IF(ISNUMBER(S451),TEXT(S451,""yyyy-MM-dd""),REGEXREPLACE(REGEXREPLACE(TO_TEXT(S451),""[^0-9a-zA-Z]+"",""-""),""[^0-9]*$"",""""))"),"2022-11-15")</f>
        <v>2022-11-15</v>
      </c>
      <c r="U451" s="2" t="s">
        <v>8275</v>
      </c>
      <c r="Y451" s="10" t="s">
        <v>8275</v>
      </c>
    </row>
    <row r="452" ht="15.75" customHeight="1">
      <c r="A452" s="2" t="s">
        <v>3371</v>
      </c>
      <c r="B452" s="9" t="s">
        <v>7597</v>
      </c>
      <c r="C452" s="2" t="s">
        <v>4463</v>
      </c>
      <c r="D452" s="10" t="str">
        <f>IFERROR(__xludf.DUMMYFUNCTION("PROPER(REGEXREPLACE(TRIM(C452),""\s+"","" ""))"),"Fiona Martinez")</f>
        <v>Fiona Martinez</v>
      </c>
      <c r="E452" s="2">
        <f>IFERROR(__xludf.DUMMYFUNCTION("IF(LEN(D452:D701),
  COUNTA(SPLIT(D452:D701,"" "")),
 """")"),2.0)</f>
        <v>2</v>
      </c>
      <c r="F452" s="9" t="str">
        <f t="shared" si="221"/>
        <v>✅</v>
      </c>
      <c r="G452" s="2" t="str">
        <f>IFERROR(__xludf.DUMMYFUNCTION("REGEXEXTRACT(PROPER(SUBSTITUTE(TRIM(I452),""."","" "")),""^[^@]+"")"),"Fiona Martinez")</f>
        <v>Fiona Martinez</v>
      </c>
      <c r="H452" s="10" t="str">
        <f t="shared" si="222"/>
        <v>fiona.martinez@shopi.o</v>
      </c>
      <c r="I452" s="2" t="s">
        <v>7240</v>
      </c>
      <c r="J452" s="9" t="str">
        <f>IFERROR(__xludf.DUMMYFUNCTION("IF(REGEXMATCH(TRIM(I452),""^[A-Za-z0-9._%+-]+@[A-Za-z0-9.-]+\.[A-Za-z]{2,}$""),""✅ Valid"",""❌ Invalid"")"),"❌ Invalid")</f>
        <v>❌ Invalid</v>
      </c>
      <c r="K452" s="13" t="s">
        <v>8279</v>
      </c>
      <c r="L452" s="2" t="str">
        <f>IFERROR(__xludf.DUMMYFUNCTION("IF(OR(K452=""N/A"", K452=""missing"", K452=""none""), """",
 REGEXREPLACE(
  SUBSTITUTE(SUBSTITUTE(SUBSTITUTE(TO_TEXT(K452), CHAR(160),""""), UNICHAR(8239),""""), UNICHAR(8201),""""),""[+\-/(): )]"", """"))"),"862637251")</f>
        <v>862637251</v>
      </c>
      <c r="M452" s="2" t="str">
        <f>IFERROR(__xludf.DUMMYFUNCTION("IF(L452="""","""", REGEXEXTRACT(REGEXREPLACE(L452,""x"", """"), ""[0-9]+""))"),"862637251")</f>
        <v>862637251</v>
      </c>
      <c r="N452" s="2" t="str">
        <f t="shared" si="223"/>
        <v>862637251</v>
      </c>
      <c r="O452" s="2" t="b">
        <f>IFERROR(__xludf.DUMMYFUNCTION("REGEXMATCH(TO_TEXT(N452), ""^0(83|85|86|87|89)"")"),FALSE)</f>
        <v>0</v>
      </c>
      <c r="P452" s="2">
        <f t="shared" si="224"/>
        <v>9</v>
      </c>
      <c r="Q452" s="9" t="str">
        <f t="shared" si="225"/>
        <v>❌ INVALID</v>
      </c>
      <c r="R452" s="10" t="s">
        <v>1177</v>
      </c>
      <c r="S452" s="12">
        <v>45729.739583333336</v>
      </c>
      <c r="T452" s="2" t="str">
        <f>IFERROR(__xludf.DUMMYFUNCTION("IF(ISNUMBER(S452),TEXT(S452,""yyyy-MM-dd""),REGEXREPLACE(REGEXREPLACE(TO_TEXT(S452),""[^0-9a-zA-Z]+"",""-""),""[^0-9]*$"",""""))"),"2025-03-13")</f>
        <v>2025-03-13</v>
      </c>
      <c r="U452" s="2" t="s">
        <v>8280</v>
      </c>
      <c r="Y452" s="10" t="s">
        <v>8280</v>
      </c>
    </row>
    <row r="453" ht="15.75" customHeight="1">
      <c r="A453" s="2" t="s">
        <v>3548</v>
      </c>
      <c r="B453" s="9" t="s">
        <v>7597</v>
      </c>
      <c r="C453" s="2" t="s">
        <v>2823</v>
      </c>
      <c r="D453" s="10" t="str">
        <f>IFERROR(__xludf.DUMMYFUNCTION("PROPER(REGEXREPLACE(TRIM(C453),""\s+"","" ""))"),"Hanna Muller")</f>
        <v>Hanna Muller</v>
      </c>
      <c r="E453" s="2">
        <f>IFERROR(__xludf.DUMMYFUNCTION("IF(LEN(D453:D701),
  COUNTA(SPLIT(D453:D701,"" "")),
 """")"),2.0)</f>
        <v>2</v>
      </c>
      <c r="F453" s="9" t="str">
        <f t="shared" si="221"/>
        <v>✅</v>
      </c>
      <c r="G453" s="2" t="str">
        <f>IFERROR(__xludf.DUMMYFUNCTION("REGEXEXTRACT(PROPER(SUBSTITUTE(TRIM(I453),""."","" "")),""^[^@]+"")"),"Hanna Muller")</f>
        <v>Hanna Muller</v>
      </c>
      <c r="H453" s="10" t="str">
        <f t="shared" si="222"/>
        <v>hanna.muller@shop.io</v>
      </c>
      <c r="I453" s="2" t="s">
        <v>2824</v>
      </c>
      <c r="J453" s="9" t="str">
        <f>IFERROR(__xludf.DUMMYFUNCTION("IF(REGEXMATCH(TRIM(I453),""^[A-Za-z0-9._%+-]+@[A-Za-z0-9.-]+\.[A-Za-z]{2,}$""),""✅ Valid"",""❌ Invalid"")"),"✅ Valid")</f>
        <v>✅ Valid</v>
      </c>
      <c r="K453" s="13" t="s">
        <v>7629</v>
      </c>
      <c r="L453" s="2" t="str">
        <f>IFERROR(__xludf.DUMMYFUNCTION("IF(OR(K453=""N/A"", K453=""missing"", K453=""none""), """",
 REGEXREPLACE(
  SUBSTITUTE(SUBSTITUTE(SUBSTITUTE(TO_TEXT(K453), CHAR(160),""""), UNICHAR(8239),""""), UNICHAR(8201),""""),""[+\-/(): )]"", """"))"),"")</f>
        <v/>
      </c>
      <c r="M453" s="2" t="str">
        <f>IFERROR(__xludf.DUMMYFUNCTION("IF(L453="""","""", REGEXEXTRACT(REGEXREPLACE(L453,""x"", """"), ""[0-9]+""))"),"")</f>
        <v/>
      </c>
      <c r="N453" s="2" t="str">
        <f t="shared" ref="N453:N455" si="226">IF(LEFT(M453,2)="39", RIGHT(M453,LEN(M453)-2),M453)</f>
        <v/>
      </c>
      <c r="O453" s="2" t="b">
        <f>IFERROR(__xludf.DUMMYFUNCTION("REGEXMATCH(TO_TEXT(N453), ""^3"")"),FALSE)</f>
        <v>0</v>
      </c>
      <c r="P453" s="2">
        <f t="shared" si="224"/>
        <v>0</v>
      </c>
      <c r="Q453" s="9" t="str">
        <f t="shared" ref="Q453:Q455" si="227">IF(AND(O453=TRUE,OR(P453=9, P453=10 )), "✅ VALID", "❌ INVALID")</f>
        <v>❌ INVALID</v>
      </c>
      <c r="R453" s="10" t="s">
        <v>785</v>
      </c>
      <c r="S453" s="12">
        <v>45663.0</v>
      </c>
      <c r="T453" s="2" t="str">
        <f>IFERROR(__xludf.DUMMYFUNCTION("IF(ISNUMBER(S453),TEXT(S453,""yyyy-MM-dd""),REGEXREPLACE(REGEXREPLACE(TO_TEXT(S453),""[^0-9a-zA-Z]+"",""-""),""[^0-9]*$"",""""))"),"2025-01-06")</f>
        <v>2025-01-06</v>
      </c>
      <c r="U453" s="2" t="s">
        <v>8281</v>
      </c>
      <c r="Y453" s="10" t="s">
        <v>8281</v>
      </c>
    </row>
    <row r="454" ht="15.75" customHeight="1">
      <c r="A454" s="2" t="s">
        <v>6005</v>
      </c>
      <c r="B454" s="9" t="s">
        <v>7597</v>
      </c>
      <c r="C454" s="2" t="s">
        <v>3789</v>
      </c>
      <c r="D454" s="10" t="str">
        <f>IFERROR(__xludf.DUMMYFUNCTION("PROPER(REGEXREPLACE(TRIM(C454),""\s+"","" ""))"),"Yara Khan")</f>
        <v>Yara Khan</v>
      </c>
      <c r="E454" s="2">
        <f>IFERROR(__xludf.DUMMYFUNCTION("IF(LEN(D454:D701),
  COUNTA(SPLIT(D454:D701,"" "")),
 """")"),2.0)</f>
        <v>2</v>
      </c>
      <c r="F454" s="9" t="str">
        <f t="shared" si="221"/>
        <v>✅</v>
      </c>
      <c r="G454" s="2" t="str">
        <f>IFERROR(__xludf.DUMMYFUNCTION("REGEXEXTRACT(PROPER(SUBSTITUTE(TRIM(I454),""."","" "")),""^[^@]+"")"),"Yara Khan")</f>
        <v>Yara Khan</v>
      </c>
      <c r="H454" s="10" t="str">
        <f t="shared" si="222"/>
        <v>yara.khan@yahoo.com</v>
      </c>
      <c r="I454" s="2" t="s">
        <v>3790</v>
      </c>
      <c r="J454" s="9" t="str">
        <f>IFERROR(__xludf.DUMMYFUNCTION("IF(REGEXMATCH(TRIM(I454),""^[A-Za-z0-9._%+-]+@[A-Za-z0-9.-]+\.[A-Za-z]{2,}$""),""✅ Valid"",""❌ Invalid"")"),"✅ Valid")</f>
        <v>✅ Valid</v>
      </c>
      <c r="K454" s="13" t="s">
        <v>8282</v>
      </c>
      <c r="L454" s="2" t="str">
        <f>IFERROR(__xludf.DUMMYFUNCTION("IF(OR(K454=""N/A"", K454=""missing"", K454=""none""), """",
 REGEXREPLACE(
  SUBSTITUTE(SUBSTITUTE(SUBSTITUTE(TO_TEXT(K454), CHAR(160),""""), UNICHAR(8239),""""), UNICHAR(8201),""""),""[+\-/(): )]"", """"))"),"3950554637")</f>
        <v>3950554637</v>
      </c>
      <c r="M454" s="2" t="str">
        <f>IFERROR(__xludf.DUMMYFUNCTION("IF(L454="""","""", REGEXEXTRACT(REGEXREPLACE(L454,""x"", """"), ""[0-9]+""))"),"3950554637")</f>
        <v>3950554637</v>
      </c>
      <c r="N454" s="2" t="str">
        <f t="shared" si="226"/>
        <v>50554637</v>
      </c>
      <c r="O454" s="2" t="b">
        <f>IFERROR(__xludf.DUMMYFUNCTION("REGEXMATCH(TO_TEXT(N454), ""^3"")"),FALSE)</f>
        <v>0</v>
      </c>
      <c r="P454" s="2">
        <f t="shared" si="224"/>
        <v>8</v>
      </c>
      <c r="Q454" s="9" t="str">
        <f t="shared" si="227"/>
        <v>❌ INVALID</v>
      </c>
      <c r="R454" s="10" t="s">
        <v>785</v>
      </c>
      <c r="S454" s="12">
        <v>45366.94583333333</v>
      </c>
      <c r="T454" s="2" t="str">
        <f>IFERROR(__xludf.DUMMYFUNCTION("IF(ISNUMBER(S454),TEXT(S454,""yyyy-MM-dd""),REGEXREPLACE(REGEXREPLACE(TO_TEXT(S454),""[^0-9a-zA-Z]+"",""-""),""[^0-9]*$"",""""))"),"2024-03-15")</f>
        <v>2024-03-15</v>
      </c>
      <c r="U454" s="2" t="s">
        <v>7965</v>
      </c>
      <c r="Y454" s="10" t="s">
        <v>7965</v>
      </c>
    </row>
    <row r="455" ht="15.75" customHeight="1">
      <c r="A455" s="2" t="s">
        <v>3755</v>
      </c>
      <c r="B455" s="9" t="s">
        <v>7597</v>
      </c>
      <c r="C455" s="2" t="s">
        <v>4502</v>
      </c>
      <c r="D455" s="10" t="str">
        <f>IFERROR(__xludf.DUMMYFUNCTION("PROPER(REGEXREPLACE(TRIM(C455),""\s+"","" ""))"),"Daria Walker")</f>
        <v>Daria Walker</v>
      </c>
      <c r="E455" s="2">
        <f>IFERROR(__xludf.DUMMYFUNCTION("IF(LEN(D455:D701),
  COUNTA(SPLIT(D455:D701,"" "")),
 """")"),2.0)</f>
        <v>2</v>
      </c>
      <c r="F455" s="9" t="str">
        <f t="shared" si="221"/>
        <v>✅</v>
      </c>
      <c r="G455" s="2" t="str">
        <f>IFERROR(__xludf.DUMMYFUNCTION("REGEXEXTRACT(PROPER(SUBSTITUTE(TRIM(I455),""."","" "")),""^[^@]+"")"),"Daria Walker")</f>
        <v>Daria Walker</v>
      </c>
      <c r="H455" s="10" t="str">
        <f t="shared" si="222"/>
        <v>daria.walker@compayn.co.uk</v>
      </c>
      <c r="I455" s="2" t="s">
        <v>4503</v>
      </c>
      <c r="J455" s="9" t="str">
        <f>IFERROR(__xludf.DUMMYFUNCTION("IF(REGEXMATCH(TRIM(I455),""^[A-Za-z0-9._%+-]+@[A-Za-z0-9.-]+\.[A-Za-z]{2,}$""),""✅ Valid"",""❌ Invalid"")"),"✅ Valid")</f>
        <v>✅ Valid</v>
      </c>
      <c r="K455" s="13" t="s">
        <v>8283</v>
      </c>
      <c r="L455" s="2" t="str">
        <f>IFERROR(__xludf.DUMMYFUNCTION("IF(OR(K455=""N/A"", K455=""missing"", K455=""none""), """",
 REGEXREPLACE(
  SUBSTITUTE(SUBSTITUTE(SUBSTITUTE(TO_TEXT(K455), CHAR(160),""""), UNICHAR(8239),""""), UNICHAR(8201),""""),""[+\-/(): )]"", """"))"),"3926553188")</f>
        <v>3926553188</v>
      </c>
      <c r="M455" s="2" t="str">
        <f>IFERROR(__xludf.DUMMYFUNCTION("IF(L455="""","""", REGEXEXTRACT(REGEXREPLACE(L455,""x"", """"), ""[0-9]+""))"),"3926553188")</f>
        <v>3926553188</v>
      </c>
      <c r="N455" s="2" t="str">
        <f t="shared" si="226"/>
        <v>26553188</v>
      </c>
      <c r="O455" s="2" t="b">
        <f>IFERROR(__xludf.DUMMYFUNCTION("REGEXMATCH(TO_TEXT(N455), ""^3"")"),FALSE)</f>
        <v>0</v>
      </c>
      <c r="P455" s="2">
        <f t="shared" si="224"/>
        <v>8</v>
      </c>
      <c r="Q455" s="9" t="str">
        <f t="shared" si="227"/>
        <v>❌ INVALID</v>
      </c>
      <c r="R455" s="10" t="s">
        <v>785</v>
      </c>
      <c r="S455" s="12">
        <v>45145.85833333333</v>
      </c>
      <c r="T455" s="2" t="str">
        <f>IFERROR(__xludf.DUMMYFUNCTION("IF(ISNUMBER(S455),TEXT(S455,""yyyy-MM-dd""),REGEXREPLACE(REGEXREPLACE(TO_TEXT(S455),""[^0-9a-zA-Z]+"",""-""),""[^0-9]*$"",""""))"),"2023-08-07")</f>
        <v>2023-08-07</v>
      </c>
      <c r="U455" s="2" t="s">
        <v>7979</v>
      </c>
      <c r="Y455" s="10" t="s">
        <v>7979</v>
      </c>
    </row>
    <row r="456" ht="15.75" customHeight="1">
      <c r="A456" s="2" t="s">
        <v>4043</v>
      </c>
      <c r="B456" s="9" t="s">
        <v>7597</v>
      </c>
      <c r="C456" s="2" t="s">
        <v>1551</v>
      </c>
      <c r="D456" s="10" t="str">
        <f>IFERROR(__xludf.DUMMYFUNCTION("PROPER(REGEXREPLACE(TRIM(C456),""\s+"","" ""))"),"Bella Lee")</f>
        <v>Bella Lee</v>
      </c>
      <c r="E456" s="2">
        <f>IFERROR(__xludf.DUMMYFUNCTION("IF(LEN(D456:D701),
  COUNTA(SPLIT(D456:D701,"" "")),
 """")"),2.0)</f>
        <v>2</v>
      </c>
      <c r="F456" s="9" t="str">
        <f t="shared" si="221"/>
        <v>✅</v>
      </c>
      <c r="G456" s="2" t="str">
        <f>IFERROR(__xludf.DUMMYFUNCTION("REGEXEXTRACT(PROPER(SUBSTITUTE(TRIM(I456),""."","" "")),""^[^@]+"")"),"Bella Lee")</f>
        <v>Bella Lee</v>
      </c>
      <c r="H456" s="10" t="str">
        <f t="shared" si="222"/>
        <v>bella.lee@outlook.com</v>
      </c>
      <c r="I456" s="2" t="s">
        <v>1552</v>
      </c>
      <c r="J456" s="9" t="str">
        <f>IFERROR(__xludf.DUMMYFUNCTION("IF(REGEXMATCH(TRIM(I456),""^[A-Za-z0-9._%+-]+@[A-Za-z0-9.-]+\.[A-Za-z]{2,}$""),""✅ Valid"",""❌ Invalid"")"),"✅ Valid")</f>
        <v>✅ Valid</v>
      </c>
      <c r="K456" s="13" t="s">
        <v>8284</v>
      </c>
      <c r="L456" s="2" t="str">
        <f>IFERROR(__xludf.DUMMYFUNCTION("IF(OR(K456=""N/A"", K456=""missing"", K456=""none""), """",
 REGEXREPLACE(
  SUBSTITUTE(SUBSTITUTE(SUBSTITUTE(TO_TEXT(K456), CHAR(160),""""), UNICHAR(8239),""""), UNICHAR(8201),""""),""[+\-/(): )]"", """"))"),"2682871012ext55")</f>
        <v>2682871012ext55</v>
      </c>
      <c r="M456" s="2" t="str">
        <f>IFERROR(__xludf.DUMMYFUNCTION("IF(L456="""","""", REGEXEXTRACT(REGEXREPLACE(L456,""x"", """"), ""[0-9]+""))"),"2682871012")</f>
        <v>2682871012</v>
      </c>
      <c r="N456" s="2" t="str">
        <f>IF(LEFT(M456,2)="49", RIGHT(M456,LEN(M456)-2),M456)</f>
        <v>2682871012</v>
      </c>
      <c r="O456" s="2" t="b">
        <f>IFERROR(__xludf.DUMMYFUNCTION("REGEXMATCH(TO_TEXT(N456), ""^0(15|16|17)"")"),FALSE)</f>
        <v>0</v>
      </c>
      <c r="P456" s="2">
        <f t="shared" si="224"/>
        <v>10</v>
      </c>
      <c r="Q456" s="9" t="str">
        <f>IF(AND(O456=TRUE,OR(P456=10, P456=11)), "✅ VALID", "❌ INVALID")</f>
        <v>❌ INVALID</v>
      </c>
      <c r="R456" s="10" t="s">
        <v>459</v>
      </c>
      <c r="S456" s="12">
        <v>45884.0</v>
      </c>
      <c r="T456" s="2" t="str">
        <f>IFERROR(__xludf.DUMMYFUNCTION("IF(ISNUMBER(S456),TEXT(S456,""yyyy-MM-dd""),REGEXREPLACE(REGEXREPLACE(TO_TEXT(S456),""[^0-9a-zA-Z]+"",""-""),""[^0-9]*$"",""""))"),"2025-08-15")</f>
        <v>2025-08-15</v>
      </c>
      <c r="U456" s="2" t="s">
        <v>8285</v>
      </c>
      <c r="Y456" s="10" t="s">
        <v>8285</v>
      </c>
    </row>
    <row r="457" ht="15.75" customHeight="1">
      <c r="A457" s="2" t="s">
        <v>6799</v>
      </c>
      <c r="B457" s="9" t="s">
        <v>7597</v>
      </c>
      <c r="C457" s="2" t="s">
        <v>708</v>
      </c>
      <c r="D457" s="10" t="str">
        <f>IFERROR(__xludf.DUMMYFUNCTION("PROPER(REGEXREPLACE(TRIM(C457),""\s+"","" ""))"),"Paula Khan")</f>
        <v>Paula Khan</v>
      </c>
      <c r="E457" s="2">
        <f>IFERROR(__xludf.DUMMYFUNCTION("IF(LEN(D457:D701),
  COUNTA(SPLIT(D457:D701,"" "")),
 """")"),2.0)</f>
        <v>2</v>
      </c>
      <c r="F457" s="9" t="str">
        <f t="shared" si="221"/>
        <v>✅</v>
      </c>
      <c r="G457" s="2" t="str">
        <f>IFERROR(__xludf.DUMMYFUNCTION("REGEXEXTRACT(PROPER(SUBSTITUTE(TRIM(I457),""."","" "")),""^[^@]+"")"),"Paula Khan")</f>
        <v>Paula Khan</v>
      </c>
      <c r="H457" s="10" t="str">
        <f t="shared" si="222"/>
        <v>paula.khan@yahoo.com</v>
      </c>
      <c r="I457" s="2" t="s">
        <v>709</v>
      </c>
      <c r="J457" s="9" t="str">
        <f>IFERROR(__xludf.DUMMYFUNCTION("IF(REGEXMATCH(TRIM(I457),""^[A-Za-z0-9._%+-]+@[A-Za-z0-9.-]+\.[A-Za-z]{2,}$""),""✅ Valid"",""❌ Invalid"")"),"✅ Valid")</f>
        <v>✅ Valid</v>
      </c>
      <c r="K457" s="13" t="s">
        <v>8286</v>
      </c>
      <c r="L457" s="2" t="str">
        <f>IFERROR(__xludf.DUMMYFUNCTION("IF(OR(K457=""N/A"", K457=""missing"", K457=""none""), """",
 REGEXREPLACE(
  SUBSTITUTE(SUBSTITUTE(SUBSTITUTE(TO_TEXT(K457), CHAR(160),""""), UNICHAR(8239),""""), UNICHAR(8201),""""),""[+\-/(): )]"", """"))"),"34017251211")</f>
        <v>34017251211</v>
      </c>
      <c r="M457" s="2" t="str">
        <f>IFERROR(__xludf.DUMMYFUNCTION("IF(L457="""","""", REGEXEXTRACT(REGEXREPLACE(L457,""x"", """"), ""[0-9]+""))"),"34017251211")</f>
        <v>34017251211</v>
      </c>
      <c r="N457" s="2" t="str">
        <f>IF(LEFT(M457,2)="34", RIGHT(M457,LEN(M457)-2),M457)</f>
        <v>017251211</v>
      </c>
      <c r="O457" s="2" t="b">
        <f>IFERROR(__xludf.DUMMYFUNCTION("REGEXMATCH(TO_TEXT(N457), ""^[67]"")"),FALSE)</f>
        <v>0</v>
      </c>
      <c r="P457" s="2">
        <f t="shared" si="224"/>
        <v>9</v>
      </c>
      <c r="Q457" s="9" t="str">
        <f>IF(AND(O457=TRUE, P457=9), "✅ VALID", "❌ INVALID")</f>
        <v>❌ INVALID</v>
      </c>
      <c r="R457" s="10" t="s">
        <v>139</v>
      </c>
      <c r="S457" s="12">
        <v>44817.0</v>
      </c>
      <c r="T457" s="2" t="str">
        <f>IFERROR(__xludf.DUMMYFUNCTION("IF(ISNUMBER(S457),TEXT(S457,""yyyy-MM-dd""),REGEXREPLACE(REGEXREPLACE(TO_TEXT(S457),""[^0-9a-zA-Z]+"",""-""),""[^0-9]*$"",""""))"),"2022-09-13")</f>
        <v>2022-09-13</v>
      </c>
      <c r="U457" s="2" t="s">
        <v>8287</v>
      </c>
      <c r="Y457" s="10" t="s">
        <v>8287</v>
      </c>
    </row>
    <row r="458" ht="15.75" customHeight="1">
      <c r="A458" s="2" t="s">
        <v>1276</v>
      </c>
      <c r="B458" s="9" t="s">
        <v>7597</v>
      </c>
      <c r="C458" s="2" t="s">
        <v>4419</v>
      </c>
      <c r="D458" s="10" t="str">
        <f>IFERROR(__xludf.DUMMYFUNCTION("PROPER(REGEXREPLACE(TRIM(C458),""\s+"","" ""))"),"Vlad Young")</f>
        <v>Vlad Young</v>
      </c>
      <c r="E458" s="2">
        <f>IFERROR(__xludf.DUMMYFUNCTION("IF(LEN(D458:D701),
  COUNTA(SPLIT(D458:D701,"" "")),
 """")"),2.0)</f>
        <v>2</v>
      </c>
      <c r="F458" s="9" t="str">
        <f t="shared" si="221"/>
        <v>✅</v>
      </c>
      <c r="G458" s="2" t="str">
        <f>IFERROR(__xludf.DUMMYFUNCTION("REGEXEXTRACT(PROPER(SUBSTITUTE(TRIM(I458),""."","" "")),""^[^@]+"")"),"Vlad Young")</f>
        <v>Vlad Young</v>
      </c>
      <c r="H458" s="10" t="str">
        <f t="shared" si="222"/>
        <v>vlad.young@example.com</v>
      </c>
      <c r="I458" s="2" t="s">
        <v>4420</v>
      </c>
      <c r="J458" s="9" t="str">
        <f>IFERROR(__xludf.DUMMYFUNCTION("IF(REGEXMATCH(TRIM(I458),""^[A-Za-z0-9._%+-]+@[A-Za-z0-9.-]+\.[A-Za-z]{2,}$""),""✅ Valid"",""❌ Invalid"")"),"✅ Valid")</f>
        <v>✅ Valid</v>
      </c>
      <c r="K458" s="13" t="s">
        <v>8288</v>
      </c>
      <c r="L458" s="2" t="str">
        <f>IFERROR(__xludf.DUMMYFUNCTION("IF(OR(K458=""N/A"", K458=""missing"", K458=""none""), """",
 REGEXREPLACE(
  SUBSTITUTE(SUBSTITUTE(SUBSTITUTE(TO_TEXT(K458), CHAR(160),""""), UNICHAR(8239),""""), UNICHAR(8201),""""),""[+\-/(): )]"", """"))"),"44860688521")</f>
        <v>44860688521</v>
      </c>
      <c r="M458" s="2" t="str">
        <f>IFERROR(__xludf.DUMMYFUNCTION("IF(L458="""","""", REGEXEXTRACT(REGEXREPLACE(L458,""x"", """"), ""[0-9]+""))"),"44860688521")</f>
        <v>44860688521</v>
      </c>
      <c r="N458" s="2" t="str">
        <f>IF(LEFT(M458,2)="44", RIGHT(M458,LEN(M458)-2),M458)</f>
        <v>860688521</v>
      </c>
      <c r="O458" s="2" t="b">
        <f>IFERROR(__xludf.DUMMYFUNCTION("REGEXMATCH(TO_TEXT(N458), ""^07[1-57-9]"")"),FALSE)</f>
        <v>0</v>
      </c>
      <c r="P458" s="2">
        <f t="shared" si="224"/>
        <v>9</v>
      </c>
      <c r="Q458" s="9" t="str">
        <f>IF(AND(O458=TRUE, P458=11), "✅ VALID", "❌ INVALID")</f>
        <v>❌ INVALID</v>
      </c>
      <c r="R458" s="10" t="s">
        <v>114</v>
      </c>
      <c r="S458" s="12">
        <v>45647.0</v>
      </c>
      <c r="T458" s="2" t="str">
        <f>IFERROR(__xludf.DUMMYFUNCTION("IF(ISNUMBER(S458),TEXT(S458,""yyyy-MM-dd""),REGEXREPLACE(REGEXREPLACE(TO_TEXT(S458),""[^0-9a-zA-Z]+"",""-""),""[^0-9]*$"",""""))"),"2024-12-21")</f>
        <v>2024-12-21</v>
      </c>
      <c r="U458" s="2" t="s">
        <v>6761</v>
      </c>
      <c r="Y458" s="10" t="s">
        <v>6761</v>
      </c>
    </row>
    <row r="459" ht="15.75" customHeight="1">
      <c r="A459" s="2" t="s">
        <v>4727</v>
      </c>
      <c r="B459" s="9" t="s">
        <v>7597</v>
      </c>
      <c r="C459" s="2" t="s">
        <v>1667</v>
      </c>
      <c r="D459" s="10" t="str">
        <f>IFERROR(__xludf.DUMMYFUNCTION("PROPER(REGEXREPLACE(TRIM(C459),""\s+"","" ""))"),"Lia Nowak")</f>
        <v>Lia Nowak</v>
      </c>
      <c r="E459" s="2">
        <f>IFERROR(__xludf.DUMMYFUNCTION("IF(LEN(D459:D701),
  COUNTA(SPLIT(D459:D701,"" "")),
 """")"),2.0)</f>
        <v>2</v>
      </c>
      <c r="F459" s="9" t="str">
        <f t="shared" si="221"/>
        <v>✅</v>
      </c>
      <c r="G459" s="2" t="str">
        <f>IFERROR(__xludf.DUMMYFUNCTION("REGEXEXTRACT(PROPER(SUBSTITUTE(TRIM(I459),""."","" "")),""^[^@]+"")"),"Lia Nowak")</f>
        <v>Lia Nowak</v>
      </c>
      <c r="H459" s="10" t="str">
        <f t="shared" si="222"/>
        <v>lia.nowak@company.co.uk</v>
      </c>
      <c r="I459" s="2" t="s">
        <v>1668</v>
      </c>
      <c r="J459" s="9" t="str">
        <f>IFERROR(__xludf.DUMMYFUNCTION("IF(REGEXMATCH(TRIM(I459),""^[A-Za-z0-9._%+-]+@[A-Za-z0-9.-]+\.[A-Za-z]{2,}$""),""✅ Valid"",""❌ Invalid"")"),"✅ Valid")</f>
        <v>✅ Valid</v>
      </c>
      <c r="K459" s="13" t="s">
        <v>8289</v>
      </c>
      <c r="L459" s="2" t="str">
        <f>IFERROR(__xludf.DUMMYFUNCTION("IF(OR(K459=""N/A"", K459=""missing"", K459=""none""), """",
 REGEXREPLACE(
  SUBSTITUTE(SUBSTITUTE(SUBSTITUTE(TO_TEXT(K459), CHAR(160),""""), UNICHAR(8239),""""), UNICHAR(8201),""""),""[+\-/(): )]"", """"))"),"499098384188")</f>
        <v>499098384188</v>
      </c>
      <c r="M459" s="2" t="str">
        <f>IFERROR(__xludf.DUMMYFUNCTION("IF(L459="""","""", REGEXEXTRACT(REGEXREPLACE(L459,""x"", """"), ""[0-9]+""))"),"499098384188")</f>
        <v>499098384188</v>
      </c>
      <c r="N459" s="2" t="str">
        <f t="shared" ref="N459:N461" si="228">IF(LEFT(M459,2)="49", RIGHT(M459,LEN(M459)-2),M459)</f>
        <v>9098384188</v>
      </c>
      <c r="O459" s="2" t="b">
        <f>IFERROR(__xludf.DUMMYFUNCTION("REGEXMATCH(TO_TEXT(N459), ""^0(15|16|17)"")"),FALSE)</f>
        <v>0</v>
      </c>
      <c r="P459" s="2">
        <f t="shared" si="224"/>
        <v>10</v>
      </c>
      <c r="Q459" s="9" t="str">
        <f t="shared" ref="Q459:Q461" si="229">IF(AND(O459=TRUE,OR(P459=10, P459=11)), "✅ VALID", "❌ INVALID")</f>
        <v>❌ INVALID</v>
      </c>
      <c r="R459" s="10" t="s">
        <v>459</v>
      </c>
      <c r="S459" s="12">
        <v>45112.0</v>
      </c>
      <c r="T459" s="2" t="str">
        <f>IFERROR(__xludf.DUMMYFUNCTION("IF(ISNUMBER(S459),TEXT(S459,""yyyy-MM-dd""),REGEXREPLACE(REGEXREPLACE(TO_TEXT(S459),""[^0-9a-zA-Z]+"",""-""),""[^0-9]*$"",""""))"),"2023-07-05")</f>
        <v>2023-07-05</v>
      </c>
      <c r="U459" s="2" t="s">
        <v>8290</v>
      </c>
      <c r="Y459" s="10" t="s">
        <v>8290</v>
      </c>
    </row>
    <row r="460" ht="15.75" customHeight="1">
      <c r="A460" s="2" t="s">
        <v>847</v>
      </c>
      <c r="B460" s="9" t="s">
        <v>7597</v>
      </c>
      <c r="C460" s="2" t="s">
        <v>6511</v>
      </c>
      <c r="D460" s="10" t="str">
        <f>IFERROR(__xludf.DUMMYFUNCTION("PROPER(REGEXREPLACE(TRIM(C460),""\s+"","" ""))"),"Rita Williams")</f>
        <v>Rita Williams</v>
      </c>
      <c r="E460" s="2">
        <f>IFERROR(__xludf.DUMMYFUNCTION("IF(LEN(D460:D701),
  COUNTA(SPLIT(D460:D701,"" "")),
 """")"),2.0)</f>
        <v>2</v>
      </c>
      <c r="F460" s="9" t="str">
        <f t="shared" si="221"/>
        <v>✅</v>
      </c>
      <c r="G460" s="2" t="str">
        <f>IFERROR(__xludf.DUMMYFUNCTION("REGEXEXTRACT(PROPER(SUBSTITUTE(TRIM(I460),""."","" "")),""^[^@]+"")"),"Rita Williams")</f>
        <v>Rita Williams</v>
      </c>
      <c r="H460" s="10" t="str">
        <f t="shared" si="222"/>
        <v>rita.williams@yahoo.com</v>
      </c>
      <c r="I460" s="2" t="s">
        <v>6512</v>
      </c>
      <c r="J460" s="9" t="str">
        <f>IFERROR(__xludf.DUMMYFUNCTION("IF(REGEXMATCH(TRIM(I460),""^[A-Za-z0-9._%+-]+@[A-Za-z0-9.-]+\.[A-Za-z]{2,}$""),""✅ Valid"",""❌ Invalid"")"),"✅ Valid")</f>
        <v>✅ Valid</v>
      </c>
      <c r="K460" s="13" t="s">
        <v>8291</v>
      </c>
      <c r="L460" s="2" t="str">
        <f>IFERROR(__xludf.DUMMYFUNCTION("IF(OR(K460=""N/A"", K460=""missing"", K460=""none""), """",
 REGEXREPLACE(
  SUBSTITUTE(SUBSTITUTE(SUBSTITUTE(TO_TEXT(K460), CHAR(160),""""), UNICHAR(8239),""""), UNICHAR(8201),""""),""[+\-/(): )]"", """"))"),"493925648407")</f>
        <v>493925648407</v>
      </c>
      <c r="M460" s="2" t="str">
        <f>IFERROR(__xludf.DUMMYFUNCTION("IF(L460="""","""", REGEXEXTRACT(REGEXREPLACE(L460,""x"", """"), ""[0-9]+""))"),"493925648407")</f>
        <v>493925648407</v>
      </c>
      <c r="N460" s="2" t="str">
        <f t="shared" si="228"/>
        <v>3925648407</v>
      </c>
      <c r="O460" s="2" t="b">
        <f>IFERROR(__xludf.DUMMYFUNCTION("REGEXMATCH(TO_TEXT(N460), ""^0(15|16|17)"")"),FALSE)</f>
        <v>0</v>
      </c>
      <c r="P460" s="2">
        <f t="shared" si="224"/>
        <v>10</v>
      </c>
      <c r="Q460" s="9" t="str">
        <f t="shared" si="229"/>
        <v>❌ INVALID</v>
      </c>
      <c r="R460" s="10" t="s">
        <v>459</v>
      </c>
      <c r="S460" s="12">
        <v>44731.69930555556</v>
      </c>
      <c r="T460" s="2" t="str">
        <f>IFERROR(__xludf.DUMMYFUNCTION("IF(ISNUMBER(S460),TEXT(S460,""yyyy-MM-dd""),REGEXREPLACE(REGEXREPLACE(TO_TEXT(S460),""[^0-9a-zA-Z]+"",""-""),""[^0-9]*$"",""""))"),"2022-06-19")</f>
        <v>2022-06-19</v>
      </c>
      <c r="U460" s="2" t="s">
        <v>8292</v>
      </c>
      <c r="Y460" s="10" t="s">
        <v>8292</v>
      </c>
    </row>
    <row r="461" ht="15.75" customHeight="1">
      <c r="A461" s="2" t="s">
        <v>488</v>
      </c>
      <c r="B461" s="9" t="s">
        <v>7597</v>
      </c>
      <c r="C461" s="2" t="s">
        <v>3619</v>
      </c>
      <c r="D461" s="10" t="str">
        <f>IFERROR(__xludf.DUMMYFUNCTION("PROPER(REGEXREPLACE(TRIM(C461),""\s+"","" ""))"),"Rita Garcia")</f>
        <v>Rita Garcia</v>
      </c>
      <c r="E461" s="2">
        <f>IFERROR(__xludf.DUMMYFUNCTION("IF(LEN(D461:D701),
  COUNTA(SPLIT(D461:D701,"" "")),
 """")"),2.0)</f>
        <v>2</v>
      </c>
      <c r="F461" s="9" t="str">
        <f t="shared" si="221"/>
        <v>✅</v>
      </c>
      <c r="G461" s="2" t="str">
        <f>IFERROR(__xludf.DUMMYFUNCTION("REGEXEXTRACT(PROPER(SUBSTITUTE(TRIM(I461),""."","" "")),""^[^@]+"")"),"Rita Garcia")</f>
        <v>Rita Garcia</v>
      </c>
      <c r="H461" s="10" t="str">
        <f t="shared" si="222"/>
        <v>rita.garcia@gmail.com</v>
      </c>
      <c r="I461" s="2" t="s">
        <v>3620</v>
      </c>
      <c r="J461" s="9" t="str">
        <f>IFERROR(__xludf.DUMMYFUNCTION("IF(REGEXMATCH(TRIM(I461),""^[A-Za-z0-9._%+-]+@[A-Za-z0-9.-]+\.[A-Za-z]{2,}$""),""✅ Valid"",""❌ Invalid"")"),"✅ Valid")</f>
        <v>✅ Valid</v>
      </c>
      <c r="K461" s="13" t="s">
        <v>7926</v>
      </c>
      <c r="L461" s="2" t="str">
        <f>IFERROR(__xludf.DUMMYFUNCTION("IF(OR(K461=""N/A"", K461=""missing"", K461=""none""), """",
 REGEXREPLACE(
  SUBSTITUTE(SUBSTITUTE(SUBSTITUTE(TO_TEXT(K461), CHAR(160),""""), UNICHAR(8239),""""), UNICHAR(8201),""""),""[+\-/(): )]"", """"))"),"")</f>
        <v/>
      </c>
      <c r="M461" s="2" t="str">
        <f>IFERROR(__xludf.DUMMYFUNCTION("IF(L461="""","""", REGEXEXTRACT(REGEXREPLACE(L461,""x"", """"), ""[0-9]+""))"),"")</f>
        <v/>
      </c>
      <c r="N461" s="2" t="str">
        <f t="shared" si="228"/>
        <v/>
      </c>
      <c r="O461" s="2" t="b">
        <f>IFERROR(__xludf.DUMMYFUNCTION("REGEXMATCH(TO_TEXT(N461), ""^0(15|16|17)"")"),FALSE)</f>
        <v>0</v>
      </c>
      <c r="P461" s="2">
        <f t="shared" si="224"/>
        <v>0</v>
      </c>
      <c r="Q461" s="9" t="str">
        <f t="shared" si="229"/>
        <v>❌ INVALID</v>
      </c>
      <c r="R461" s="10" t="s">
        <v>459</v>
      </c>
      <c r="S461" s="12">
        <v>45734.0</v>
      </c>
      <c r="T461" s="2" t="str">
        <f>IFERROR(__xludf.DUMMYFUNCTION("IF(ISNUMBER(S461),TEXT(S461,""yyyy-MM-dd""),REGEXREPLACE(REGEXREPLACE(TO_TEXT(S461),""[^0-9a-zA-Z]+"",""-""),""[^0-9]*$"",""""))"),"2025-03-18")</f>
        <v>2025-03-18</v>
      </c>
      <c r="U461" s="2" t="s">
        <v>8293</v>
      </c>
      <c r="Y461" s="10" t="s">
        <v>8293</v>
      </c>
    </row>
    <row r="462" ht="15.75" customHeight="1">
      <c r="A462" s="2" t="s">
        <v>1405</v>
      </c>
      <c r="B462" s="9" t="s">
        <v>7597</v>
      </c>
      <c r="C462" s="2" t="s">
        <v>2570</v>
      </c>
      <c r="D462" s="10" t="str">
        <f>IFERROR(__xludf.DUMMYFUNCTION("PROPER(REGEXREPLACE(TRIM(C462),""\s+"","" ""))"),"Marek Smith")</f>
        <v>Marek Smith</v>
      </c>
      <c r="E462" s="2">
        <f>IFERROR(__xludf.DUMMYFUNCTION("IF(LEN(D462:D701),
  COUNTA(SPLIT(D462:D701,"" "")),
 """")"),2.0)</f>
        <v>2</v>
      </c>
      <c r="F462" s="9" t="str">
        <f t="shared" si="221"/>
        <v>✅</v>
      </c>
      <c r="G462" s="2" t="str">
        <f>IFERROR(__xludf.DUMMYFUNCTION("REGEXEXTRACT(PROPER(SUBSTITUTE(TRIM(I462),""."","" "")),""^[^@]+"")"),"Marek Smith")</f>
        <v>Marek Smith</v>
      </c>
      <c r="H462" s="10" t="str">
        <f t="shared" si="222"/>
        <v>marek.smith@gmail.com</v>
      </c>
      <c r="I462" s="2" t="s">
        <v>2571</v>
      </c>
      <c r="J462" s="9" t="str">
        <f>IFERROR(__xludf.DUMMYFUNCTION("IF(REGEXMATCH(TRIM(I462),""^[A-Za-z0-9._%+-]+@[A-Za-z0-9.-]+\.[A-Za-z]{2,}$""),""✅ Valid"",""❌ Invalid"")"),"✅ Valid")</f>
        <v>✅ Valid</v>
      </c>
      <c r="K462" s="11">
        <v>4.413419118655E12</v>
      </c>
      <c r="L462" s="2" t="str">
        <f>IFERROR(__xludf.DUMMYFUNCTION("IF(OR(K462=""N/A"", K462=""missing"", K462=""none""), """",
 REGEXREPLACE(
  SUBSTITUTE(SUBSTITUTE(SUBSTITUTE(TO_TEXT(K462), CHAR(160),""""), UNICHAR(8239),""""), UNICHAR(8201),""""),""[+\-/(): )]"", """"))"),"4413419118655")</f>
        <v>4413419118655</v>
      </c>
      <c r="M462" s="2" t="str">
        <f>IFERROR(__xludf.DUMMYFUNCTION("IF(L462="""","""", REGEXEXTRACT(REGEXREPLACE(L462,""x"", """"), ""[0-9]+""))"),"4413419118655")</f>
        <v>4413419118655</v>
      </c>
      <c r="N462" s="2" t="str">
        <f>IF(LEFT(M462,2)="44", RIGHT(M462,LEN(M462)-2),M462)</f>
        <v>13419118655</v>
      </c>
      <c r="O462" s="2" t="b">
        <f>IFERROR(__xludf.DUMMYFUNCTION("REGEXMATCH(TO_TEXT(N462), ""^07[1-57-9]"")"),FALSE)</f>
        <v>0</v>
      </c>
      <c r="P462" s="2">
        <f t="shared" si="224"/>
        <v>11</v>
      </c>
      <c r="Q462" s="9" t="str">
        <f>IF(AND(O462=TRUE, P462=11), "✅ VALID", "❌ INVALID")</f>
        <v>❌ INVALID</v>
      </c>
      <c r="R462" s="10" t="s">
        <v>114</v>
      </c>
      <c r="S462" s="12">
        <v>44636.0</v>
      </c>
      <c r="T462" s="2" t="str">
        <f>IFERROR(__xludf.DUMMYFUNCTION("IF(ISNUMBER(S462),TEXT(S462,""yyyy-MM-dd""),REGEXREPLACE(REGEXREPLACE(TO_TEXT(S462),""[^0-9a-zA-Z]+"",""-""),""[^0-9]*$"",""""))"),"2022-03-16")</f>
        <v>2022-03-16</v>
      </c>
      <c r="U462" s="2" t="s">
        <v>7725</v>
      </c>
      <c r="Y462" s="10" t="s">
        <v>7725</v>
      </c>
    </row>
    <row r="463" ht="15.75" customHeight="1">
      <c r="A463" s="2" t="s">
        <v>1743</v>
      </c>
      <c r="B463" s="9" t="s">
        <v>7597</v>
      </c>
      <c r="C463" s="2" t="s">
        <v>5333</v>
      </c>
      <c r="D463" s="10" t="str">
        <f>IFERROR(__xludf.DUMMYFUNCTION("PROPER(REGEXREPLACE(TRIM(C463),""\s+"","" ""))"),"Xenia Smith")</f>
        <v>Xenia Smith</v>
      </c>
      <c r="E463" s="2">
        <f>IFERROR(__xludf.DUMMYFUNCTION("IF(LEN(D463:D701),
  COUNTA(SPLIT(D463:D701,"" "")),
 """")"),2.0)</f>
        <v>2</v>
      </c>
      <c r="F463" s="9" t="str">
        <f t="shared" si="221"/>
        <v>✅</v>
      </c>
      <c r="G463" s="2" t="str">
        <f>IFERROR(__xludf.DUMMYFUNCTION("REGEXEXTRACT(PROPER(SUBSTITUTE(TRIM(I463),""."","" "")),""^[^@]+"")"),"Xenia Smith")</f>
        <v>Xenia Smith</v>
      </c>
      <c r="H463" s="10" t="str">
        <f t="shared" si="222"/>
        <v>xenia.smith@yahoo.com</v>
      </c>
      <c r="I463" s="2" t="s">
        <v>6598</v>
      </c>
      <c r="J463" s="9" t="str">
        <f>IFERROR(__xludf.DUMMYFUNCTION("IF(REGEXMATCH(TRIM(I463),""^[A-Za-z0-9._%+-]+@[A-Za-z0-9.-]+\.[A-Za-z]{2,}$""),""✅ Valid"",""❌ Invalid"")"),"✅ Valid")</f>
        <v>✅ Valid</v>
      </c>
      <c r="K463" s="11">
        <v>8.29775013E8</v>
      </c>
      <c r="L463" s="2" t="str">
        <f>IFERROR(__xludf.DUMMYFUNCTION("IF(OR(K463=""N/A"", K463=""missing"", K463=""none""), """",
 REGEXREPLACE(
  SUBSTITUTE(SUBSTITUTE(SUBSTITUTE(TO_TEXT(K463), CHAR(160),""""), UNICHAR(8239),""""), UNICHAR(8201),""""),""[+\-/(): )]"", """"))"),"829775013")</f>
        <v>829775013</v>
      </c>
      <c r="M463" s="2" t="str">
        <f>IFERROR(__xludf.DUMMYFUNCTION("IF(L463="""","""", REGEXEXTRACT(REGEXREPLACE(L463,""x"", """"), ""[0-9]+""))"),"829775013")</f>
        <v>829775013</v>
      </c>
      <c r="N463" s="2" t="str">
        <f>IF(LEFT(M463,2)="39", RIGHT(M463,LEN(M463)-2),M463)</f>
        <v>829775013</v>
      </c>
      <c r="O463" s="2" t="b">
        <f>IFERROR(__xludf.DUMMYFUNCTION("REGEXMATCH(TO_TEXT(N463), ""^3"")"),FALSE)</f>
        <v>0</v>
      </c>
      <c r="P463" s="2">
        <f t="shared" si="224"/>
        <v>9</v>
      </c>
      <c r="Q463" s="9" t="str">
        <f>IF(AND(O463=TRUE,OR(P463=9, P463=10 )), "✅ VALID", "❌ INVALID")</f>
        <v>❌ INVALID</v>
      </c>
      <c r="R463" s="10" t="s">
        <v>785</v>
      </c>
      <c r="S463" s="12">
        <v>45000.0</v>
      </c>
      <c r="T463" s="2" t="str">
        <f>IFERROR(__xludf.DUMMYFUNCTION("IF(ISNUMBER(S463),TEXT(S463,""yyyy-MM-dd""),REGEXREPLACE(REGEXREPLACE(TO_TEXT(S463),""[^0-9a-zA-Z]+"",""-""),""[^0-9]*$"",""""))"),"2023-03-15")</f>
        <v>2023-03-15</v>
      </c>
      <c r="U463" s="2" t="s">
        <v>6514</v>
      </c>
      <c r="Y463" s="10" t="s">
        <v>6514</v>
      </c>
    </row>
    <row r="464" ht="15.75" hidden="1" customHeight="1">
      <c r="A464" s="2" t="s">
        <v>4658</v>
      </c>
      <c r="B464" s="9" t="s">
        <v>7597</v>
      </c>
      <c r="C464" s="2" t="s">
        <v>1406</v>
      </c>
      <c r="D464" s="2" t="str">
        <f>IFERROR(__xludf.DUMMYFUNCTION("PROPER(REGEXREPLACE(TRIM(C464),""\s+"","" ""))"),"Omar Muller")</f>
        <v>Omar Muller</v>
      </c>
      <c r="E464" s="2">
        <f>IFERROR(__xludf.DUMMYFUNCTION("IF(LEN(D464:D701),
  COUNTA(SPLIT(D464:D701,"" "")),
 """")"),2.0)</f>
        <v>2</v>
      </c>
      <c r="K464" s="2" t="s">
        <v>3621</v>
      </c>
      <c r="R464" s="10" t="s">
        <v>139</v>
      </c>
      <c r="S464" s="2" t="s">
        <v>6708</v>
      </c>
    </row>
    <row r="465" ht="15.75" customHeight="1">
      <c r="A465" s="2" t="s">
        <v>688</v>
      </c>
      <c r="B465" s="9" t="s">
        <v>7597</v>
      </c>
      <c r="C465" s="2" t="s">
        <v>3549</v>
      </c>
      <c r="D465" s="10" t="str">
        <f>IFERROR(__xludf.DUMMYFUNCTION("PROPER(REGEXREPLACE(TRIM(C465),""\s+"","" ""))"),"Adam Kowalski")</f>
        <v>Adam Kowalski</v>
      </c>
      <c r="E465" s="2">
        <f>IFERROR(__xludf.DUMMYFUNCTION("IF(LEN(D465:D701),
  COUNTA(SPLIT(D465:D701,"" "")),
 """")"),2.0)</f>
        <v>2</v>
      </c>
      <c r="F465" s="9" t="str">
        <f t="shared" ref="F465:F472" si="230">IF(D465=G465,"✅","❌")</f>
        <v>✅</v>
      </c>
      <c r="G465" s="2" t="str">
        <f>IFERROR(__xludf.DUMMYFUNCTION("REGEXEXTRACT(PROPER(SUBSTITUTE(TRIM(I465),""."","" "")),""^[^@]+"")"),"Adam Kowalski")</f>
        <v>Adam Kowalski</v>
      </c>
      <c r="H465" s="10" t="str">
        <f t="shared" ref="H465:H472" si="231">LOWER(TRIM(I465))</f>
        <v>adam.kowalski@outlook.com</v>
      </c>
      <c r="I465" s="2" t="s">
        <v>3550</v>
      </c>
      <c r="J465" s="9" t="str">
        <f>IFERROR(__xludf.DUMMYFUNCTION("IF(REGEXMATCH(TRIM(I465),""^[A-Za-z0-9._%+-]+@[A-Za-z0-9.-]+\.[A-Za-z]{2,}$""),""✅ Valid"",""❌ Invalid"")"),"✅ Valid")</f>
        <v>✅ Valid</v>
      </c>
      <c r="K465" s="15" t="s">
        <v>8294</v>
      </c>
      <c r="L465" s="2" t="str">
        <f>IFERROR(__xludf.DUMMYFUNCTION("IF(K465=""N/A"", """",
 REGEXREPLACE(
  SUBSTITUTE(SUBSTITUTE(SUBSTITUTE(TO_TEXT(K465), CHAR(160),""""), UNICHAR(8239),""""), UNICHAR(8201),""""),""[+\-/(): )]"", """"))"),"5309076218")</f>
        <v>5309076218</v>
      </c>
      <c r="M465" s="2" t="str">
        <f>IFERROR(__xludf.DUMMYFUNCTION("IF(L465="""","""", REGEXEXTRACT(REGEXREPLACE(L465,""x"", """"), ""[0-9]+""))"),"5309076218")</f>
        <v>5309076218</v>
      </c>
      <c r="N465" s="2" t="str">
        <f>IF(LEFT(M465,2)="48", RIGHT(M465,LEN(M465)-2),M465)</f>
        <v>5309076218</v>
      </c>
      <c r="O465" s="2" t="b">
        <f>IFERROR(__xludf.DUMMYFUNCTION("REGEXMATCH(TO_TEXT(N465), ""^(5[013679]|6[069]|7[2-9]|88)"")"),TRUE)</f>
        <v>1</v>
      </c>
      <c r="P465" s="2">
        <f t="shared" ref="P465:P468" si="232">LEN(N465)</f>
        <v>10</v>
      </c>
      <c r="Q465" s="9" t="str">
        <f t="shared" ref="Q465:Q466" si="233">IF(AND(O465=TRUE, P465=9), "✅ VALID", "❌ INVALID")</f>
        <v>❌ INVALID</v>
      </c>
      <c r="R465" s="10" t="s">
        <v>25</v>
      </c>
      <c r="S465" s="12">
        <v>45687.0</v>
      </c>
      <c r="T465" s="2" t="str">
        <f>IFERROR(__xludf.DUMMYFUNCTION("IF(ISNUMBER(S465),TEXT(S465,""yyyy-MM-dd""),REGEXREPLACE(REGEXREPLACE(TO_TEXT(S465),""[^0-9a-zA-Z]+"",""-""),""[^0-9]*$"",""""))"),"2025-01-30")</f>
        <v>2025-01-30</v>
      </c>
      <c r="U465" s="2" t="s">
        <v>8295</v>
      </c>
      <c r="Y465" s="10" t="s">
        <v>8295</v>
      </c>
    </row>
    <row r="466" ht="15.75" customHeight="1">
      <c r="A466" s="2" t="s">
        <v>2588</v>
      </c>
      <c r="B466" s="9" t="s">
        <v>7597</v>
      </c>
      <c r="C466" s="2" t="s">
        <v>3109</v>
      </c>
      <c r="D466" s="10" t="str">
        <f>IFERROR(__xludf.DUMMYFUNCTION("PROPER(REGEXREPLACE(TRIM(C466),""\s+"","" ""))"),"Jade Kowalczyk")</f>
        <v>Jade Kowalczyk</v>
      </c>
      <c r="E466" s="2">
        <f>IFERROR(__xludf.DUMMYFUNCTION("IF(LEN(D466:D701),
  COUNTA(SPLIT(D466:D701,"" "")),
 """")"),2.0)</f>
        <v>2</v>
      </c>
      <c r="F466" s="9" t="str">
        <f t="shared" si="230"/>
        <v>✅</v>
      </c>
      <c r="G466" s="2" t="str">
        <f>IFERROR(__xludf.DUMMYFUNCTION("REGEXEXTRACT(PROPER(SUBSTITUTE(TRIM(I466),""."","" "")),""^[^@]+"")"),"Jade Kowalczyk")</f>
        <v>Jade Kowalczyk</v>
      </c>
      <c r="H466" s="10" t="str">
        <f t="shared" si="231"/>
        <v>jade.kowalczyk@yahoo.com</v>
      </c>
      <c r="I466" s="2" t="s">
        <v>6006</v>
      </c>
      <c r="J466" s="9" t="str">
        <f>IFERROR(__xludf.DUMMYFUNCTION("IF(REGEXMATCH(TRIM(I466),""^[A-Za-z0-9._%+-]+@[A-Za-z0-9.-]+\.[A-Za-z]{2,}$""),""✅ Valid"",""❌ Invalid"")"),"✅ Valid")</f>
        <v>✅ Valid</v>
      </c>
      <c r="K466" s="13" t="s">
        <v>8296</v>
      </c>
      <c r="L466" s="2" t="str">
        <f>IFERROR(__xludf.DUMMYFUNCTION("IF(OR(K466=""N/A"", K466=""missing"", K466=""none""), """",
 REGEXREPLACE(
  SUBSTITUTE(SUBSTITUTE(SUBSTITUTE(TO_TEXT(K466), CHAR(160),""""), UNICHAR(8239),""""), UNICHAR(8201),""""),""[+\-/(): )]"", """"))"),"1956158098")</f>
        <v>1956158098</v>
      </c>
      <c r="M466" s="2" t="str">
        <f>IFERROR(__xludf.DUMMYFUNCTION("IF(L466="""","""", REGEXEXTRACT(REGEXREPLACE(L466,""x"", """"), ""[0-9]+""))"),"1956158098")</f>
        <v>1956158098</v>
      </c>
      <c r="N466" s="2" t="str">
        <f>IF(LEFT(M466,2)="33", RIGHT(M466,LEN(M466)-2),M466)</f>
        <v>1956158098</v>
      </c>
      <c r="O466" s="2" t="b">
        <f>IFERROR(__xludf.DUMMYFUNCTION("REGEXMATCH(TO_TEXT(N466), ""^0[67]"")"),FALSE)</f>
        <v>0</v>
      </c>
      <c r="P466" s="2">
        <f t="shared" si="232"/>
        <v>10</v>
      </c>
      <c r="Q466" s="9" t="str">
        <f t="shared" si="233"/>
        <v>❌ INVALID</v>
      </c>
      <c r="R466" s="10" t="s">
        <v>58</v>
      </c>
      <c r="S466" s="12">
        <v>45560.0</v>
      </c>
      <c r="T466" s="2" t="str">
        <f>IFERROR(__xludf.DUMMYFUNCTION("IF(ISNUMBER(S466),TEXT(S466,""yyyy-MM-dd""),REGEXREPLACE(REGEXREPLACE(TO_TEXT(S466),""[^0-9a-zA-Z]+"",""-""),""[^0-9]*$"",""""))"),"2024-09-25")</f>
        <v>2024-09-25</v>
      </c>
      <c r="U466" s="2" t="s">
        <v>8297</v>
      </c>
      <c r="Y466" s="10" t="s">
        <v>8297</v>
      </c>
    </row>
    <row r="467" ht="15.75" customHeight="1">
      <c r="A467" s="2" t="s">
        <v>2443</v>
      </c>
      <c r="B467" s="9" t="s">
        <v>7597</v>
      </c>
      <c r="C467" s="2" t="s">
        <v>3756</v>
      </c>
      <c r="D467" s="10" t="str">
        <f>IFERROR(__xludf.DUMMYFUNCTION("PROPER(REGEXREPLACE(TRIM(C467),""\s+"","" ""))"),"Daria Taylor")</f>
        <v>Daria Taylor</v>
      </c>
      <c r="E467" s="2">
        <f>IFERROR(__xludf.DUMMYFUNCTION("IF(LEN(D467:D701),
  COUNTA(SPLIT(D467:D701,"" "")),
 """")"),2.0)</f>
        <v>2</v>
      </c>
      <c r="F467" s="9" t="str">
        <f t="shared" si="230"/>
        <v>✅</v>
      </c>
      <c r="G467" s="2" t="str">
        <f>IFERROR(__xludf.DUMMYFUNCTION("REGEXEXTRACT(PROPER(SUBSTITUTE(TRIM(I467),""."","" "")),""^[^@]+"")"),"Daria Taylor")</f>
        <v>Daria Taylor</v>
      </c>
      <c r="H467" s="10" t="str">
        <f t="shared" si="231"/>
        <v>daria.taylor@yahoo.com</v>
      </c>
      <c r="I467" s="2" t="s">
        <v>3757</v>
      </c>
      <c r="J467" s="9" t="str">
        <f>IFERROR(__xludf.DUMMYFUNCTION("IF(REGEXMATCH(TRIM(I467),""^[A-Za-z0-9._%+-]+@[A-Za-z0-9.-]+\.[A-Za-z]{2,}$""),""✅ Valid"",""❌ Invalid"")"),"✅ Valid")</f>
        <v>✅ Valid</v>
      </c>
      <c r="K467" s="13" t="s">
        <v>8298</v>
      </c>
      <c r="L467" s="2" t="str">
        <f>IFERROR(__xludf.DUMMYFUNCTION("IF(OR(K467=""N/A"", K467=""missing"", K467=""none""), """",
 REGEXREPLACE(
  SUBSTITUTE(SUBSTITUTE(SUBSTITUTE(TO_TEXT(K467), CHAR(160),""""), UNICHAR(8239),""""), UNICHAR(8201),""""),""[+\-/(): )]"", """"))"),"353979555858")</f>
        <v>353979555858</v>
      </c>
      <c r="M467" s="2" t="str">
        <f>IFERROR(__xludf.DUMMYFUNCTION("IF(L467="""","""", REGEXEXTRACT(REGEXREPLACE(L467,""x"", """"), ""[0-9]+""))"),"353979555858")</f>
        <v>353979555858</v>
      </c>
      <c r="N467" s="2" t="str">
        <f>IF(LEFT(M467,3)="353", RIGHT(M467,LEN(M467)-3),M467)</f>
        <v>979555858</v>
      </c>
      <c r="O467" s="2" t="b">
        <f>IFERROR(__xludf.DUMMYFUNCTION("REGEXMATCH(TO_TEXT(N467), ""^0(83|85|86|87|89)"")"),FALSE)</f>
        <v>0</v>
      </c>
      <c r="P467" s="2">
        <f t="shared" si="232"/>
        <v>9</v>
      </c>
      <c r="Q467" s="9" t="str">
        <f>IF(AND(O467=TRUE, P464=10), "✅ VALID", "❌ INVALID")</f>
        <v>❌ INVALID</v>
      </c>
      <c r="R467" s="10" t="s">
        <v>1177</v>
      </c>
      <c r="S467" s="12">
        <v>44688.0</v>
      </c>
      <c r="T467" s="2" t="str">
        <f>IFERROR(__xludf.DUMMYFUNCTION("IF(ISNUMBER(S467),TEXT(S467,""yyyy-MM-dd""),REGEXREPLACE(REGEXREPLACE(TO_TEXT(S467),""[^0-9a-zA-Z]+"",""-""),""[^0-9]*$"",""""))"),"2022-05-07")</f>
        <v>2022-05-07</v>
      </c>
      <c r="U467" s="2" t="s">
        <v>8299</v>
      </c>
      <c r="Y467" s="10" t="s">
        <v>8299</v>
      </c>
    </row>
    <row r="468" ht="15.75" customHeight="1">
      <c r="A468" s="2" t="s">
        <v>3499</v>
      </c>
      <c r="B468" s="9" t="s">
        <v>7597</v>
      </c>
      <c r="C468" s="2" t="s">
        <v>4044</v>
      </c>
      <c r="D468" s="10" t="str">
        <f>IFERROR(__xludf.DUMMYFUNCTION("PROPER(REGEXREPLACE(TRIM(C468),""\s+"","" ""))"),"Omar Lopez")</f>
        <v>Omar Lopez</v>
      </c>
      <c r="E468" s="2">
        <f>IFERROR(__xludf.DUMMYFUNCTION("IF(LEN(D468:D701),
  COUNTA(SPLIT(D468:D701,"" "")),
 """")"),2.0)</f>
        <v>2</v>
      </c>
      <c r="F468" s="9" t="str">
        <f t="shared" si="230"/>
        <v>✅</v>
      </c>
      <c r="G468" s="2" t="str">
        <f>IFERROR(__xludf.DUMMYFUNCTION("REGEXEXTRACT(PROPER(SUBSTITUTE(TRIM(I468),""."","" "")),""^[^@]+"")"),"Omar Lopez")</f>
        <v>Omar Lopez</v>
      </c>
      <c r="H468" s="10" t="str">
        <f t="shared" si="231"/>
        <v>omar.lopez@shop.io</v>
      </c>
      <c r="I468" s="2" t="s">
        <v>4045</v>
      </c>
      <c r="J468" s="9" t="str">
        <f>IFERROR(__xludf.DUMMYFUNCTION("IF(REGEXMATCH(TRIM(I468),""^[A-Za-z0-9._%+-]+@[A-Za-z0-9.-]+\.[A-Za-z]{2,}$""),""✅ Valid"",""❌ Invalid"")"),"✅ Valid")</f>
        <v>✅ Valid</v>
      </c>
      <c r="K468" s="11">
        <v>8.375286126E9</v>
      </c>
      <c r="L468" s="2" t="str">
        <f>IFERROR(__xludf.DUMMYFUNCTION("IF(OR(K468=""N/A"", K468=""missing"", K468=""none""), """",
 REGEXREPLACE(
  SUBSTITUTE(SUBSTITUTE(SUBSTITUTE(TO_TEXT(K468), CHAR(160),""""), UNICHAR(8239),""""), UNICHAR(8201),""""),""[+\-/(): )]"", """"))"),"8375286126")</f>
        <v>8375286126</v>
      </c>
      <c r="M468" s="2" t="str">
        <f>IFERROR(__xludf.DUMMYFUNCTION("IF(L468="""","""", REGEXEXTRACT(REGEXREPLACE(L468,""x"", """"), ""[0-9]+""))"),"8375286126")</f>
        <v>8375286126</v>
      </c>
      <c r="N468" s="2" t="str">
        <f>IF(LEFT(M468,1)="1", RIGHT(M468,LEN(M468)-1),M468)</f>
        <v>8375286126</v>
      </c>
      <c r="O468" s="2" t="b">
        <f>IFERROR(__xludf.DUMMYFUNCTION("REGEXMATCH(TO_TEXT(N468), ""^[2-9][0-9]{9}$"")"),TRUE)</f>
        <v>1</v>
      </c>
      <c r="P468" s="2">
        <f t="shared" si="232"/>
        <v>10</v>
      </c>
      <c r="Q468" s="9" t="str">
        <f>IF(AND(O468=TRUE, P468=10), "✅ VALID", "❌ INVALID")</f>
        <v>✅ VALID</v>
      </c>
      <c r="R468" s="10" t="s">
        <v>199</v>
      </c>
      <c r="S468" s="12">
        <v>45340.0</v>
      </c>
      <c r="T468" s="2" t="str">
        <f>IFERROR(__xludf.DUMMYFUNCTION("IF(ISNUMBER(S468),TEXT(S468,""yyyy-MM-dd""),REGEXREPLACE(REGEXREPLACE(TO_TEXT(S468),""[^0-9a-zA-Z]+"",""-""),""[^0-9]*$"",""""))"),"2024-02-18")</f>
        <v>2024-02-18</v>
      </c>
      <c r="U468" s="2" t="s">
        <v>6639</v>
      </c>
      <c r="Y468" s="10" t="s">
        <v>6639</v>
      </c>
    </row>
    <row r="469" ht="15.75" customHeight="1">
      <c r="A469" s="2" t="s">
        <v>5859</v>
      </c>
      <c r="B469" s="9" t="s">
        <v>7597</v>
      </c>
      <c r="C469" s="2" t="s">
        <v>6800</v>
      </c>
      <c r="D469" s="10" t="str">
        <f>IFERROR(__xludf.DUMMYFUNCTION("PROPER(REGEXREPLACE(TRIM(C469),""\s+"","" ""))"),"Omar King")</f>
        <v>Omar King</v>
      </c>
      <c r="E469" s="2">
        <f>IFERROR(__xludf.DUMMYFUNCTION("IF(LEN(D469:D701),
  COUNTA(SPLIT(D469:D701,"" "")),
 """")"),2.0)</f>
        <v>2</v>
      </c>
      <c r="F469" s="9" t="str">
        <f t="shared" si="230"/>
        <v>✅</v>
      </c>
      <c r="G469" s="2" t="str">
        <f>IFERROR(__xludf.DUMMYFUNCTION("REGEXEXTRACT(PROPER(SUBSTITUTE(TRIM(I469),""."","" "")),""^[^@]+"")"),"Omar King")</f>
        <v>Omar King</v>
      </c>
      <c r="H469" s="10" t="str">
        <f t="shared" si="231"/>
        <v>omar.king@gmail.com</v>
      </c>
      <c r="I469" s="2" t="s">
        <v>6801</v>
      </c>
      <c r="J469" s="9" t="str">
        <f>IFERROR(__xludf.DUMMYFUNCTION("IF(REGEXMATCH(TRIM(I469),""^[A-Za-z0-9._%+-]+@[A-Za-z0-9.-]+\.[A-Za-z]{2,}$""),""✅ Valid"",""❌ Invalid"")"),"✅ Valid")</f>
        <v>✅ Valid</v>
      </c>
      <c r="K469" s="15" t="s">
        <v>8300</v>
      </c>
      <c r="L469" s="2" t="str">
        <f>IFERROR(__xludf.DUMMYFUNCTION("IF(K469=""N/A"", """",
 REGEXREPLACE(
  SUBSTITUTE(SUBSTITUTE(SUBSTITUTE(TO_TEXT(K469), CHAR(160),""""), UNICHAR(8239),""""), UNICHAR(8201),""""),""[+\-/(): )]"", """"))"),"48452668921")</f>
        <v>48452668921</v>
      </c>
      <c r="M469" s="2" t="str">
        <f>IFERROR(__xludf.DUMMYFUNCTION("IF(L469="""","""", REGEXEXTRACT(REGEXREPLACE(L469,""x"", """"), ""[0-9]+""))"),"48452668921")</f>
        <v>48452668921</v>
      </c>
      <c r="N469" s="2" t="str">
        <f>IF(LEFT(M469,2)="48", RIGHT(M469,LEN(M469)-2),M469)</f>
        <v>452668921</v>
      </c>
      <c r="O469" s="2" t="b">
        <f>IFERROR(__xludf.DUMMYFUNCTION("REGEXMATCH(TO_TEXT(N469), ""^(5[013679]|6[069]|7[2-9]|88)"")"),FALSE)</f>
        <v>0</v>
      </c>
      <c r="Q469" s="9" t="str">
        <f>IF(AND(O469=TRUE, P469=9), "✅ VALID", "❌ INVALID")</f>
        <v>❌ INVALID</v>
      </c>
      <c r="R469" s="10" t="s">
        <v>25</v>
      </c>
      <c r="S469" s="12" t="s">
        <v>6377</v>
      </c>
      <c r="T469" s="2" t="str">
        <f>IFERROR(__xludf.DUMMYFUNCTION("IF(ISNUMBER(S469),TEXT(S469,""yyyy-MM-dd""),REGEXREPLACE(REGEXREPLACE(TO_TEXT(S469),""[^0-9a-zA-Z]+"",""-""),""[^0-9]*$"",""""))"),"02-16-2023")</f>
        <v>02-16-2023</v>
      </c>
      <c r="U469" s="2" t="str">
        <f>TEXT(T469,"yyyy-MM-dd")</f>
        <v>02-16-2023</v>
      </c>
      <c r="V469" s="2" t="s">
        <v>8301</v>
      </c>
      <c r="Y469" s="10" t="s">
        <v>8301</v>
      </c>
    </row>
    <row r="470" ht="15.75" customHeight="1">
      <c r="A470" s="2" t="s">
        <v>631</v>
      </c>
      <c r="B470" s="9" t="s">
        <v>7597</v>
      </c>
      <c r="C470" s="2" t="s">
        <v>1277</v>
      </c>
      <c r="D470" s="10" t="str">
        <f>IFERROR(__xludf.DUMMYFUNCTION("PROPER(REGEXREPLACE(TRIM(C470),""\s+"","" ""))"),"Sam Muller")</f>
        <v>Sam Muller</v>
      </c>
      <c r="E470" s="2">
        <f>IFERROR(__xludf.DUMMYFUNCTION("IF(LEN(D470:D701),
  COUNTA(SPLIT(D470:D701,"" "")),
 """")"),2.0)</f>
        <v>2</v>
      </c>
      <c r="F470" s="9" t="str">
        <f t="shared" si="230"/>
        <v>✅</v>
      </c>
      <c r="G470" s="2" t="str">
        <f>IFERROR(__xludf.DUMMYFUNCTION("REGEXEXTRACT(PROPER(SUBSTITUTE(TRIM(I470),""."","" "")),""^[^@]+"")"),"Sam Muller")</f>
        <v>Sam Muller</v>
      </c>
      <c r="H470" s="10" t="str">
        <f t="shared" si="231"/>
        <v>sam.muller@shop.io</v>
      </c>
      <c r="I470" s="2" t="s">
        <v>1278</v>
      </c>
      <c r="J470" s="9" t="str">
        <f>IFERROR(__xludf.DUMMYFUNCTION("IF(REGEXMATCH(TRIM(I470),""^[A-Za-z0-9._%+-]+@[A-Za-z0-9.-]+\.[A-Za-z]{2,}$""),""✅ Valid"",""❌ Invalid"")"),"✅ Valid")</f>
        <v>✅ Valid</v>
      </c>
      <c r="K470" s="11">
        <v>5.3763803119E10</v>
      </c>
      <c r="L470" s="2" t="str">
        <f>IFERROR(__xludf.DUMMYFUNCTION("IF(OR(K470=""N/A"", K470=""missing"", K470=""none""), """",
 REGEXREPLACE(
  SUBSTITUTE(SUBSTITUTE(SUBSTITUTE(TO_TEXT(K470), CHAR(160),""""), UNICHAR(8239),""""), UNICHAR(8201),""""),""[+\-/(): )]"", """"))"),"53763803119")</f>
        <v>53763803119</v>
      </c>
      <c r="M470" s="2" t="str">
        <f>IFERROR(__xludf.DUMMYFUNCTION("IF(L470="""","""", REGEXEXTRACT(REGEXREPLACE(L470,""x"", """"), ""[0-9]+""))"),"53763803119")</f>
        <v>53763803119</v>
      </c>
      <c r="N470" s="2" t="str">
        <f>IF(LEFT(M470,2)="44", RIGHT(M470,LEN(M470)-2),M470)</f>
        <v>53763803119</v>
      </c>
      <c r="O470" s="2" t="b">
        <f>IFERROR(__xludf.DUMMYFUNCTION("REGEXMATCH(TO_TEXT(N470), ""^07[1-57-9]"")"),FALSE)</f>
        <v>0</v>
      </c>
      <c r="P470" s="2">
        <f t="shared" ref="P470:P472" si="234">LEN(N470)</f>
        <v>11</v>
      </c>
      <c r="Q470" s="9" t="str">
        <f>IF(AND(O470=TRUE, P470=11), "✅ VALID", "❌ INVALID")</f>
        <v>❌ INVALID</v>
      </c>
      <c r="R470" s="10" t="s">
        <v>114</v>
      </c>
      <c r="S470" s="12">
        <v>44614.0</v>
      </c>
      <c r="T470" s="2" t="str">
        <f>IFERROR(__xludf.DUMMYFUNCTION("IF(ISNUMBER(S470),TEXT(S470,""yyyy-MM-dd""),REGEXREPLACE(REGEXREPLACE(TO_TEXT(S470),""[^0-9a-zA-Z]+"",""-""),""[^0-9]*$"",""""))"),"2022-02-22")</f>
        <v>2022-02-22</v>
      </c>
      <c r="U470" s="2" t="s">
        <v>7296</v>
      </c>
      <c r="Y470" s="10" t="s">
        <v>7296</v>
      </c>
    </row>
    <row r="471" ht="15.75" customHeight="1">
      <c r="A471" s="2" t="s">
        <v>1074</v>
      </c>
      <c r="B471" s="9" t="s">
        <v>7597</v>
      </c>
      <c r="C471" s="2" t="s">
        <v>4728</v>
      </c>
      <c r="D471" s="10" t="str">
        <f>IFERROR(__xludf.DUMMYFUNCTION("PROPER(REGEXREPLACE(TRIM(C471),""\s+"","" ""))"),"Paula King")</f>
        <v>Paula King</v>
      </c>
      <c r="E471" s="2">
        <f>IFERROR(__xludf.DUMMYFUNCTION("IF(LEN(D471:D701),
  COUNTA(SPLIT(D471:D701,"" "")),
 """")"),2.0)</f>
        <v>2</v>
      </c>
      <c r="F471" s="9" t="str">
        <f t="shared" si="230"/>
        <v>❌</v>
      </c>
      <c r="G471" s="2" t="s">
        <v>8302</v>
      </c>
      <c r="H471" s="10" t="str">
        <f t="shared" si="231"/>
        <v>palua.king@outlook.com</v>
      </c>
      <c r="I471" s="2" t="s">
        <v>4729</v>
      </c>
      <c r="J471" s="9" t="str">
        <f>IFERROR(__xludf.DUMMYFUNCTION("IF(REGEXMATCH(TRIM(I471),""^[A-Za-z0-9._%+-]+@[A-Za-z0-9.-]+\.[A-Za-z]{2,}$""),""✅ Valid"",""❌ Invalid"")"),"✅ Valid")</f>
        <v>✅ Valid</v>
      </c>
      <c r="K471" s="13" t="s">
        <v>7926</v>
      </c>
      <c r="L471" s="2" t="str">
        <f>IFERROR(__xludf.DUMMYFUNCTION("IF(OR(K471=""N/A"", K471=""missing"", K471=""none""), """",
 REGEXREPLACE(
  SUBSTITUTE(SUBSTITUTE(SUBSTITUTE(TO_TEXT(K471), CHAR(160),""""), UNICHAR(8239),""""), UNICHAR(8201),""""),""[+\-/(): )]"", """"))"),"")</f>
        <v/>
      </c>
      <c r="M471" s="2" t="str">
        <f>IFERROR(__xludf.DUMMYFUNCTION("IF(L471="""","""", REGEXEXTRACT(REGEXREPLACE(L471,""x"", """"), ""[0-9]+""))"),"")</f>
        <v/>
      </c>
      <c r="N471" s="2" t="str">
        <f>IF(LEFT(M471,2)="49", RIGHT(M471,LEN(M471)-2),M471)</f>
        <v/>
      </c>
      <c r="O471" s="2" t="b">
        <f>IFERROR(__xludf.DUMMYFUNCTION("REGEXMATCH(TO_TEXT(N471), ""^0(15|16|17)"")"),FALSE)</f>
        <v>0</v>
      </c>
      <c r="P471" s="2">
        <f t="shared" si="234"/>
        <v>0</v>
      </c>
      <c r="Q471" s="9" t="str">
        <f>IF(AND(O471=TRUE,OR(P471=10, P471=11)), "✅ VALID", "❌ INVALID")</f>
        <v>❌ INVALID</v>
      </c>
      <c r="R471" s="10" t="s">
        <v>459</v>
      </c>
      <c r="S471" s="12">
        <v>45646.0</v>
      </c>
      <c r="T471" s="2" t="str">
        <f>IFERROR(__xludf.DUMMYFUNCTION("IF(ISNUMBER(S471),TEXT(S471,""yyyy-MM-dd""),REGEXREPLACE(REGEXREPLACE(TO_TEXT(S471),""[^0-9a-zA-Z]+"",""-""),""[^0-9]*$"",""""))"),"2024-12-20")</f>
        <v>2024-12-20</v>
      </c>
      <c r="U471" s="2" t="s">
        <v>8303</v>
      </c>
      <c r="Y471" s="10" t="s">
        <v>8303</v>
      </c>
    </row>
    <row r="472" ht="15.75" customHeight="1">
      <c r="A472" s="2" t="s">
        <v>1726</v>
      </c>
      <c r="B472" s="9" t="s">
        <v>7597</v>
      </c>
      <c r="C472" s="2" t="s">
        <v>848</v>
      </c>
      <c r="D472" s="10" t="str">
        <f>IFERROR(__xludf.DUMMYFUNCTION("PROPER(REGEXREPLACE(TRIM(C472),""\s+"","" ""))"),"Rita Davis")</f>
        <v>Rita Davis</v>
      </c>
      <c r="E472" s="2">
        <f>IFERROR(__xludf.DUMMYFUNCTION("IF(LEN(D472:D701),
  COUNTA(SPLIT(D472:D701,"" "")),
 """")"),2.0)</f>
        <v>2</v>
      </c>
      <c r="F472" s="9" t="str">
        <f t="shared" si="230"/>
        <v>✅</v>
      </c>
      <c r="G472" s="2" t="str">
        <f>IFERROR(__xludf.DUMMYFUNCTION("REGEXEXTRACT(PROPER(SUBSTITUTE(TRIM(I472),""."","" "")),""^[^@]+"")"),"Rita Davis")</f>
        <v>Rita Davis</v>
      </c>
      <c r="H472" s="10" t="str">
        <f t="shared" si="231"/>
        <v>rita.davis@yahoo.com</v>
      </c>
      <c r="I472" s="2" t="s">
        <v>849</v>
      </c>
      <c r="J472" s="9" t="str">
        <f>IFERROR(__xludf.DUMMYFUNCTION("IF(REGEXMATCH(TRIM(I472),""^[A-Za-z0-9._%+-]+@[A-Za-z0-9.-]+\.[A-Za-z]{2,}$""),""✅ Valid"",""❌ Invalid"")"),"✅ Valid")</f>
        <v>✅ Valid</v>
      </c>
      <c r="K472" s="13" t="s">
        <v>8304</v>
      </c>
      <c r="L472" s="2" t="str">
        <f>IFERROR(__xludf.DUMMYFUNCTION("IF(OR(K472=""N/A"", K472=""missing"", K472=""none""), """",
 REGEXREPLACE(
  SUBSTITUTE(SUBSTITUTE(SUBSTITUTE(TO_TEXT(K472), CHAR(160),""""), UNICHAR(8239),""""), UNICHAR(8201),""""),""[+\-/(): )]"", """"))"),"tel448666641555")</f>
        <v>tel448666641555</v>
      </c>
      <c r="M472" s="2" t="str">
        <f>IFERROR(__xludf.DUMMYFUNCTION("IF(L472="""","""", REGEXEXTRACT(REGEXREPLACE(L472,""x"", """"), ""[0-9]+""))"),"448666641555")</f>
        <v>448666641555</v>
      </c>
      <c r="N472" s="2" t="str">
        <f>IF(LEFT(M472,2)="44", RIGHT(M472,LEN(M472)-2),M472)</f>
        <v>8666641555</v>
      </c>
      <c r="O472" s="2" t="b">
        <f>IFERROR(__xludf.DUMMYFUNCTION("REGEXMATCH(TO_TEXT(N472), ""^07[1-57-9]"")"),FALSE)</f>
        <v>0</v>
      </c>
      <c r="P472" s="2">
        <f t="shared" si="234"/>
        <v>10</v>
      </c>
      <c r="Q472" s="9" t="str">
        <f>IF(AND(O472=TRUE, P472=11), "✅ VALID", "❌ INVALID")</f>
        <v>❌ INVALID</v>
      </c>
      <c r="R472" s="10" t="s">
        <v>114</v>
      </c>
      <c r="S472" s="12" t="s">
        <v>6803</v>
      </c>
      <c r="T472" s="2" t="str">
        <f>IFERROR(__xludf.DUMMYFUNCTION("IF(ISNUMBER(S472),TEXT(S472,""yyyy-MM-dd""),REGEXREPLACE(REGEXREPLACE(TO_TEXT(S472),""[^0-9a-zA-Z]+"",""-""),""[^0-9]*$"",""""))"),"01-31-2022-17-23")</f>
        <v>01-31-2022-17-23</v>
      </c>
      <c r="U472" s="2" t="str">
        <f>TEXT(T472,"yyyy-MM-dd")</f>
        <v>01-31-2022-17-23</v>
      </c>
      <c r="V472" s="2" t="str">
        <f>IFERROR(__xludf.DUMMYFUNCTION("REGEXEXTRACT(U472,""^\d{2}-\d{2}-\d{4}"")"),"01-31-2022")</f>
        <v>01-31-2022</v>
      </c>
      <c r="W472" s="2" t="str">
        <f>TEXT(V472,"yyyy-MM-dd")</f>
        <v>01-31-2022</v>
      </c>
      <c r="X472" s="2" t="s">
        <v>8305</v>
      </c>
      <c r="Y472" s="10" t="s">
        <v>8305</v>
      </c>
    </row>
    <row r="473" ht="15.75" hidden="1" customHeight="1">
      <c r="A473" s="2" t="s">
        <v>1104</v>
      </c>
      <c r="B473" s="9" t="s">
        <v>7597</v>
      </c>
      <c r="C473" s="2" t="s">
        <v>489</v>
      </c>
      <c r="D473" s="2" t="str">
        <f>IFERROR(__xludf.DUMMYFUNCTION("PROPER(REGEXREPLACE(TRIM(C473),""\s+"","" ""))"),"Daria Dubois")</f>
        <v>Daria Dubois</v>
      </c>
      <c r="E473" s="2">
        <f>IFERROR(__xludf.DUMMYFUNCTION("IF(LEN(D473:D701),
  COUNTA(SPLIT(D473:D701,"" "")),
 """")"),2.0)</f>
        <v>2</v>
      </c>
      <c r="R473" s="10" t="s">
        <v>199</v>
      </c>
      <c r="S473" s="2" t="s">
        <v>7287</v>
      </c>
    </row>
    <row r="474" ht="15.75" customHeight="1">
      <c r="A474" s="2" t="s">
        <v>761</v>
      </c>
      <c r="B474" s="9" t="s">
        <v>7597</v>
      </c>
      <c r="C474" s="2" t="s">
        <v>1406</v>
      </c>
      <c r="D474" s="10" t="str">
        <f>IFERROR(__xludf.DUMMYFUNCTION("PROPER(REGEXREPLACE(TRIM(C474),""\s+"","" ""))"),"Omar Muller")</f>
        <v>Omar Muller</v>
      </c>
      <c r="E474" s="2">
        <f>IFERROR(__xludf.DUMMYFUNCTION("IF(LEN(D474:D701),
  COUNTA(SPLIT(D474:D701,"" "")),
 """")"),2.0)</f>
        <v>2</v>
      </c>
      <c r="F474" s="9" t="str">
        <f t="shared" ref="F474:F475" si="235">IF(D474=G474,"✅","❌")</f>
        <v>✅</v>
      </c>
      <c r="G474" s="2" t="str">
        <f>IFERROR(__xludf.DUMMYFUNCTION("REGEXEXTRACT(PROPER(SUBSTITUTE(TRIM(I474),""."","" "")),""^[^@]+"")"),"Omar Muller")</f>
        <v>Omar Muller</v>
      </c>
      <c r="H474" s="10" t="str">
        <f t="shared" ref="H474:H475" si="236">LOWER(TRIM(I474))</f>
        <v>omar.muller@gmail.com</v>
      </c>
      <c r="I474" s="2" t="s">
        <v>1407</v>
      </c>
      <c r="J474" s="9" t="str">
        <f>IFERROR(__xludf.DUMMYFUNCTION("IF(REGEXMATCH(TRIM(I474),""^[A-Za-z0-9._%+-]+@[A-Za-z0-9.-]+\.[A-Za-z]{2,}$""),""✅ Valid"",""❌ Invalid"")"),"✅ Valid")</f>
        <v>✅ Valid</v>
      </c>
      <c r="K474" s="13" t="s">
        <v>8306</v>
      </c>
      <c r="L474" s="2" t="str">
        <f>IFERROR(__xludf.DUMMYFUNCTION("IF(OR(K474=""N/A"", K474=""missing"", K474=""none""), """",
 REGEXREPLACE(
  SUBSTITUTE(SUBSTITUTE(SUBSTITUTE(TO_TEXT(K474), CHAR(160),""""), UNICHAR(8239),""""), UNICHAR(8201),""""),""[+\-/(): )]"", """"))"),"891077x949")</f>
        <v>891077x949</v>
      </c>
      <c r="M474" s="2" t="str">
        <f>IFERROR(__xludf.DUMMYFUNCTION("IF(L474="""","""", REGEXEXTRACT(REGEXREPLACE(L474,""x"", """"), ""[0-9]+""))"),"891077949")</f>
        <v>891077949</v>
      </c>
      <c r="N474" s="2" t="str">
        <f>IF(LEFT(M474,2)="39", RIGHT(M474,LEN(M474)-2),M474)</f>
        <v>891077949</v>
      </c>
      <c r="O474" s="2" t="b">
        <f>IFERROR(__xludf.DUMMYFUNCTION("REGEXMATCH(TO_TEXT(N474), ""^3"")"),FALSE)</f>
        <v>0</v>
      </c>
      <c r="P474" s="2">
        <f t="shared" ref="P474:P475" si="237">LEN(N474)</f>
        <v>9</v>
      </c>
      <c r="Q474" s="9" t="str">
        <f>IF(AND(O474=TRUE,OR(P474=9, P474=10 )), "✅ VALID", "❌ INVALID")</f>
        <v>❌ INVALID</v>
      </c>
      <c r="R474" s="10" t="s">
        <v>785</v>
      </c>
      <c r="S474" s="12">
        <v>45898.0</v>
      </c>
      <c r="T474" s="2" t="str">
        <f>IFERROR(__xludf.DUMMYFUNCTION("IF(ISNUMBER(S474),TEXT(S474,""yyyy-MM-dd""),REGEXREPLACE(REGEXREPLACE(TO_TEXT(S474),""[^0-9a-zA-Z]+"",""-""),""[^0-9]*$"",""""))"),"2025-08-29")</f>
        <v>2025-08-29</v>
      </c>
      <c r="U474" s="2" t="s">
        <v>7909</v>
      </c>
      <c r="Y474" s="10" t="s">
        <v>7909</v>
      </c>
    </row>
    <row r="475" ht="15.75" customHeight="1">
      <c r="A475" s="2" t="s">
        <v>6413</v>
      </c>
      <c r="B475" s="9" t="s">
        <v>7597</v>
      </c>
      <c r="C475" s="2" t="s">
        <v>1744</v>
      </c>
      <c r="D475" s="10" t="str">
        <f>IFERROR(__xludf.DUMMYFUNCTION("PROPER(REGEXREPLACE(TRIM(C475),""\s+"","" ""))"),"Ethan Novak")</f>
        <v>Ethan Novak</v>
      </c>
      <c r="E475" s="2">
        <f>IFERROR(__xludf.DUMMYFUNCTION("IF(LEN(D475:D701),
  COUNTA(SPLIT(D475:D701,"" "")),
 """")"),2.0)</f>
        <v>2</v>
      </c>
      <c r="F475" s="9" t="str">
        <f t="shared" si="235"/>
        <v>✅</v>
      </c>
      <c r="G475" s="2" t="str">
        <f>IFERROR(__xludf.DUMMYFUNCTION("REGEXEXTRACT(PROPER(SUBSTITUTE(TRIM(I475),""."","" "")),""^[^@]+"")"),"Ethan Novak")</f>
        <v>Ethan Novak</v>
      </c>
      <c r="H475" s="10" t="str">
        <f t="shared" si="236"/>
        <v>ethan.novak@outlook.com</v>
      </c>
      <c r="I475" s="2" t="s">
        <v>1745</v>
      </c>
      <c r="J475" s="9" t="str">
        <f>IFERROR(__xludf.DUMMYFUNCTION("IF(REGEXMATCH(TRIM(I475),""^[A-Za-z0-9._%+-]+@[A-Za-z0-9.-]+\.[A-Za-z]{2,}$""),""✅ Valid"",""❌ Invalid"")"),"✅ Valid")</f>
        <v>✅ Valid</v>
      </c>
      <c r="K475" s="13" t="s">
        <v>8307</v>
      </c>
      <c r="L475" s="2" t="str">
        <f>IFERROR(__xludf.DUMMYFUNCTION("IF(OR(K475=""N/A"", K475=""missing"", K475=""none""), """",
 REGEXREPLACE(
  SUBSTITUTE(SUBSTITUTE(SUBSTITUTE(TO_TEXT(K475), CHAR(160),""""), UNICHAR(8239),""""), UNICHAR(8201),""""),""[+\-/(): )]"", """"))"),"532363772")</f>
        <v>532363772</v>
      </c>
      <c r="M475" s="2" t="str">
        <f>IFERROR(__xludf.DUMMYFUNCTION("IF(L475="""","""", REGEXEXTRACT(REGEXREPLACE(L475,""x"", """"), ""[0-9]+""))"),"532363772")</f>
        <v>532363772</v>
      </c>
      <c r="N475" s="2" t="str">
        <f>IF(LEFT(M475,2)="49", RIGHT(M475,LEN(M475)-2),M475)</f>
        <v>532363772</v>
      </c>
      <c r="O475" s="2" t="b">
        <f>IFERROR(__xludf.DUMMYFUNCTION("REGEXMATCH(TO_TEXT(N475), ""^0(15|16|17)"")"),FALSE)</f>
        <v>0</v>
      </c>
      <c r="P475" s="2">
        <f t="shared" si="237"/>
        <v>9</v>
      </c>
      <c r="Q475" s="9" t="str">
        <f>IF(AND(O475=TRUE,OR(P475=10, P475=11)), "✅ VALID", "❌ INVALID")</f>
        <v>❌ INVALID</v>
      </c>
      <c r="R475" s="10" t="s">
        <v>459</v>
      </c>
      <c r="S475" s="12">
        <v>44600.0</v>
      </c>
      <c r="T475" s="2" t="str">
        <f>IFERROR(__xludf.DUMMYFUNCTION("IF(ISNUMBER(S475),TEXT(S475,""yyyy-MM-dd""),REGEXREPLACE(REGEXREPLACE(TO_TEXT(S475),""[^0-9a-zA-Z]+"",""-""),""[^0-9]*$"",""""))"),"2022-02-08")</f>
        <v>2022-02-08</v>
      </c>
      <c r="U475" s="2" t="s">
        <v>8308</v>
      </c>
      <c r="Y475" s="10" t="s">
        <v>8308</v>
      </c>
    </row>
    <row r="476" ht="15.75" hidden="1" customHeight="1">
      <c r="A476" s="2" t="s">
        <v>3030</v>
      </c>
      <c r="B476" s="9" t="s">
        <v>7597</v>
      </c>
      <c r="C476" s="2" t="s">
        <v>4659</v>
      </c>
      <c r="D476" s="2" t="str">
        <f>IFERROR(__xludf.DUMMYFUNCTION("PROPER(REGEXREPLACE(TRIM(C476),""\s+"","" ""))"),"Igor Ojhnson")</f>
        <v>Igor Ojhnson</v>
      </c>
      <c r="E476" s="2">
        <f>IFERROR(__xludf.DUMMYFUNCTION("IF(LEN(D476:D701),
  COUNTA(SPLIT(D476:D701,"" "")),
 """")"),2.0)</f>
        <v>2</v>
      </c>
      <c r="K476" s="2" t="s">
        <v>5126</v>
      </c>
      <c r="R476" s="10" t="s">
        <v>199</v>
      </c>
      <c r="S476" s="2" t="s">
        <v>6472</v>
      </c>
    </row>
    <row r="477" ht="15.75" customHeight="1">
      <c r="A477" s="2" t="s">
        <v>1444</v>
      </c>
      <c r="B477" s="9" t="s">
        <v>7597</v>
      </c>
      <c r="C477" s="2" t="s">
        <v>689</v>
      </c>
      <c r="D477" s="10" t="str">
        <f>IFERROR(__xludf.DUMMYFUNCTION("PROPER(REGEXREPLACE(TRIM(C477),""\s+"","" ""))"),"Daria Young")</f>
        <v>Daria Young</v>
      </c>
      <c r="E477" s="2">
        <f>IFERROR(__xludf.DUMMYFUNCTION("IF(LEN(D477:D701),
  COUNTA(SPLIT(D477:D701,"" "")),
 """")"),2.0)</f>
        <v>2</v>
      </c>
      <c r="F477" s="9" t="str">
        <f t="shared" ref="F477:F490" si="238">IF(D477=G477,"✅","❌")</f>
        <v>❌</v>
      </c>
      <c r="G477" s="2" t="s">
        <v>8309</v>
      </c>
      <c r="H477" s="10" t="str">
        <f t="shared" ref="H477:H490" si="239">LOWER(TRIM(I477))</f>
        <v>daria.youn@gyahoo.com</v>
      </c>
      <c r="I477" s="2" t="s">
        <v>690</v>
      </c>
      <c r="J477" s="9" t="str">
        <f>IFERROR(__xludf.DUMMYFUNCTION("IF(REGEXMATCH(TRIM(I477),""^[A-Za-z0-9._%+-]+@[A-Za-z0-9.-]+\.[A-Za-z]{2,}$""),""✅ Valid"",""❌ Invalid"")"),"✅ Valid")</f>
        <v>✅ Valid</v>
      </c>
      <c r="K477" s="13" t="s">
        <v>8310</v>
      </c>
      <c r="L477" s="2" t="str">
        <f>IFERROR(__xludf.DUMMYFUNCTION("IF(OR(K477=""N/A"", K477=""missing"", K477=""none""), """",
 REGEXREPLACE(
  SUBSTITUTE(SUBSTITUTE(SUBSTITUTE(TO_TEXT(K477), CHAR(160),""""), UNICHAR(8239),""""), UNICHAR(8201),""""),""[+\-/(): )]"", """"))"),"39623237762")</f>
        <v>39623237762</v>
      </c>
      <c r="M477" s="2" t="str">
        <f>IFERROR(__xludf.DUMMYFUNCTION("IF(L477="""","""", REGEXEXTRACT(REGEXREPLACE(L477,""x"", """"), ""[0-9]+""))"),"39623237762")</f>
        <v>39623237762</v>
      </c>
      <c r="N477" s="2" t="str">
        <f>IF(LEFT(M477,2)="39", RIGHT(M477,LEN(M477)-2),M477)</f>
        <v>623237762</v>
      </c>
      <c r="O477" s="2" t="b">
        <f>IFERROR(__xludf.DUMMYFUNCTION("REGEXMATCH(TO_TEXT(N477), ""^3"")"),FALSE)</f>
        <v>0</v>
      </c>
      <c r="P477" s="2">
        <f>LEN(N477)</f>
        <v>9</v>
      </c>
      <c r="Q477" s="9" t="str">
        <f>IF(AND(O477=TRUE,OR(P477=9, P477=10 )), "✅ VALID", "❌ INVALID")</f>
        <v>❌ INVALID</v>
      </c>
      <c r="R477" s="10" t="s">
        <v>785</v>
      </c>
      <c r="S477" s="12">
        <v>44825.0</v>
      </c>
      <c r="T477" s="2" t="str">
        <f>IFERROR(__xludf.DUMMYFUNCTION("IF(ISNUMBER(S477),TEXT(S477,""yyyy-MM-dd""),REGEXREPLACE(REGEXREPLACE(TO_TEXT(S477),""[^0-9a-zA-Z]+"",""-""),""[^0-9]*$"",""""))"),"2022-09-21")</f>
        <v>2022-09-21</v>
      </c>
      <c r="U477" s="2" t="s">
        <v>8252</v>
      </c>
      <c r="Y477" s="10" t="s">
        <v>8252</v>
      </c>
    </row>
    <row r="478" ht="15.75" customHeight="1">
      <c r="A478" s="2" t="s">
        <v>866</v>
      </c>
      <c r="B478" s="9" t="s">
        <v>7597</v>
      </c>
      <c r="C478" s="2" t="s">
        <v>2589</v>
      </c>
      <c r="D478" s="10" t="str">
        <f>IFERROR(__xludf.DUMMYFUNCTION("PROPER(REGEXREPLACE(TRIM(C478),""\s+"","" ""))"),"Igor Lee")</f>
        <v>Igor Lee</v>
      </c>
      <c r="E478" s="2">
        <f>IFERROR(__xludf.DUMMYFUNCTION("IF(LEN(D478:D701),
  COUNTA(SPLIT(D478:D701,"" "")),
 """")"),2.0)</f>
        <v>2</v>
      </c>
      <c r="F478" s="9" t="str">
        <f t="shared" si="238"/>
        <v>✅</v>
      </c>
      <c r="G478" s="2" t="str">
        <f>IFERROR(__xludf.DUMMYFUNCTION("REGEXEXTRACT(PROPER(SUBSTITUTE(TRIM(I478),""."","" "")),""^[^@]+"")"),"Igor Lee")</f>
        <v>Igor Lee</v>
      </c>
      <c r="H478" s="10" t="str">
        <f t="shared" si="239"/>
        <v>igor.lee@shop.io</v>
      </c>
      <c r="I478" s="2" t="s">
        <v>2590</v>
      </c>
      <c r="J478" s="9" t="str">
        <f>IFERROR(__xludf.DUMMYFUNCTION("IF(REGEXMATCH(TRIM(I478),""^[A-Za-z0-9._%+-]+@[A-Za-z0-9.-]+\.[A-Za-z]{2,}$""),""✅ Valid"",""❌ Invalid"")"),"✅ Valid")</f>
        <v>✅ Valid</v>
      </c>
      <c r="K478" s="18" t="s">
        <v>7614</v>
      </c>
      <c r="L478" s="2" t="str">
        <f>IFERROR(__xludf.DUMMYFUNCTION("IF(K478=""N/A"", """",
 REGEXREPLACE(
  SUBSTITUTE(SUBSTITUTE(SUBSTITUTE(TO_TEXT(K478), CHAR(160),""""), UNICHAR(8239),""""), UNICHAR(8201),""""),""[+\-/(): )]"", """"))"),"")</f>
        <v/>
      </c>
      <c r="M478" s="2" t="str">
        <f>IFERROR(__xludf.DUMMYFUNCTION("IF(L478="""","""", REGEXEXTRACT(REGEXREPLACE(L478,""x"", """"), ""[0-9]+""))"),"")</f>
        <v/>
      </c>
      <c r="N478" s="2" t="str">
        <f>IF(LEFT(M478,2)="48", RIGHT(M478,LEN(M478)-2),M478)</f>
        <v/>
      </c>
      <c r="O478" s="2" t="b">
        <f>IFERROR(__xludf.DUMMYFUNCTION("REGEXMATCH(TO_TEXT(N478), ""^(5[013679]|6[069]|7[2-9]|88)"")"),FALSE)</f>
        <v>0</v>
      </c>
      <c r="Q478" s="9" t="str">
        <f>IF(AND(O478=TRUE, P478=9), "✅ VALID", "❌ INVALID")</f>
        <v>❌ INVALID</v>
      </c>
      <c r="R478" s="10" t="s">
        <v>25</v>
      </c>
      <c r="S478" s="12">
        <v>45383.529861111114</v>
      </c>
      <c r="T478" s="2" t="str">
        <f>IFERROR(__xludf.DUMMYFUNCTION("IF(ISNUMBER(S478),TEXT(S478,""yyyy-MM-dd""),REGEXREPLACE(REGEXREPLACE(TO_TEXT(S478),""[^0-9a-zA-Z]+"",""-""),""[^0-9]*$"",""""))"),"2024-04-01")</f>
        <v>2024-04-01</v>
      </c>
      <c r="U478" s="2" t="s">
        <v>8311</v>
      </c>
      <c r="Y478" s="10" t="s">
        <v>8311</v>
      </c>
    </row>
    <row r="479" ht="15.75" customHeight="1">
      <c r="A479" s="2" t="s">
        <v>6462</v>
      </c>
      <c r="B479" s="9" t="s">
        <v>7597</v>
      </c>
      <c r="C479" s="2" t="s">
        <v>2444</v>
      </c>
      <c r="D479" s="10" t="s">
        <v>3579</v>
      </c>
      <c r="E479" s="2">
        <f>IFERROR(__xludf.DUMMYFUNCTION("IF(LEN(D479:D701),
  COUNTA(SPLIT(D479:D701,"" "")),
 """")"),2.0)</f>
        <v>2</v>
      </c>
      <c r="F479" s="9" t="str">
        <f t="shared" si="238"/>
        <v>✅</v>
      </c>
      <c r="G479" s="2" t="s">
        <v>3579</v>
      </c>
      <c r="H479" s="10" t="str">
        <f t="shared" si="239"/>
        <v>zack.khan@gmail.com</v>
      </c>
      <c r="I479" s="2" t="s">
        <v>2445</v>
      </c>
      <c r="J479" s="9" t="str">
        <f>IFERROR(__xludf.DUMMYFUNCTION("IF(REGEXMATCH(TRIM(I479),""^[A-Za-z0-9._%+-]+@[A-Za-z0-9.-]+\.[A-Za-z]{2,}$""),""✅ Valid"",""❌ Invalid"")"),"✅ Valid")</f>
        <v>✅ Valid</v>
      </c>
      <c r="K479" s="13" t="s">
        <v>7614</v>
      </c>
      <c r="L479" s="2" t="str">
        <f>IFERROR(__xludf.DUMMYFUNCTION("IF(OR(K479=""N/A"", K479=""missing"", K479=""none""), """",
 REGEXREPLACE(
  SUBSTITUTE(SUBSTITUTE(SUBSTITUTE(TO_TEXT(K479), CHAR(160),""""), UNICHAR(8239),""""), UNICHAR(8201),""""),""[+\-/(): )]"", """"))"),"")</f>
        <v/>
      </c>
      <c r="M479" s="2" t="str">
        <f>IFERROR(__xludf.DUMMYFUNCTION("IF(L479="""","""", REGEXEXTRACT(REGEXREPLACE(L479,""x"", """"), ""[0-9]+""))"),"")</f>
        <v/>
      </c>
      <c r="N479" s="2" t="str">
        <f>IF(LEFT(M479,2)="39", RIGHT(M479,LEN(M479)-2),M479)</f>
        <v/>
      </c>
      <c r="O479" s="2" t="b">
        <f>IFERROR(__xludf.DUMMYFUNCTION("REGEXMATCH(TO_TEXT(N479), ""^3"")"),FALSE)</f>
        <v>0</v>
      </c>
      <c r="P479" s="2">
        <f t="shared" ref="P479:P483" si="240">LEN(N479)</f>
        <v>0</v>
      </c>
      <c r="Q479" s="9" t="str">
        <f>IF(AND(O479=TRUE,OR(P479=9, P479=10 )), "✅ VALID", "❌ INVALID")</f>
        <v>❌ INVALID</v>
      </c>
      <c r="R479" s="10" t="s">
        <v>785</v>
      </c>
      <c r="S479" s="12">
        <v>45503.0</v>
      </c>
      <c r="T479" s="2" t="str">
        <f>IFERROR(__xludf.DUMMYFUNCTION("IF(ISNUMBER(S479),TEXT(S479,""yyyy-MM-dd""),REGEXREPLACE(REGEXREPLACE(TO_TEXT(S479),""[^0-9a-zA-Z]+"",""-""),""[^0-9]*$"",""""))"),"2024-07-30")</f>
        <v>2024-07-30</v>
      </c>
      <c r="U479" s="2" t="s">
        <v>8312</v>
      </c>
      <c r="Y479" s="10" t="s">
        <v>8312</v>
      </c>
    </row>
    <row r="480" ht="15.75" customHeight="1">
      <c r="A480" s="2" t="s">
        <v>3292</v>
      </c>
      <c r="B480" s="9" t="s">
        <v>7597</v>
      </c>
      <c r="C480" s="2" t="s">
        <v>3500</v>
      </c>
      <c r="D480" s="10" t="str">
        <f>IFERROR(__xludf.DUMMYFUNCTION("PROPER(REGEXREPLACE(TRIM(C480),""\s+"","" ""))"),"Bella Young")</f>
        <v>Bella Young</v>
      </c>
      <c r="E480" s="2">
        <f>IFERROR(__xludf.DUMMYFUNCTION("IF(LEN(D480:D701),
  COUNTA(SPLIT(D480:D701,"" "")),
 """")"),2.0)</f>
        <v>2</v>
      </c>
      <c r="F480" s="9" t="str">
        <f t="shared" si="238"/>
        <v>✅</v>
      </c>
      <c r="G480" s="2" t="str">
        <f>IFERROR(__xludf.DUMMYFUNCTION("REGEXEXTRACT(PROPER(SUBSTITUTE(TRIM(I480),""."","" "")),""^[^@]+"")"),"Bella Young")</f>
        <v>Bella Young</v>
      </c>
      <c r="H480" s="10" t="str">
        <f t="shared" si="239"/>
        <v>bella.young@example.com</v>
      </c>
      <c r="I480" s="2" t="s">
        <v>3501</v>
      </c>
      <c r="J480" s="9" t="str">
        <f>IFERROR(__xludf.DUMMYFUNCTION("IF(REGEXMATCH(TRIM(I480),""^[A-Za-z0-9._%+-]+@[A-Za-z0-9.-]+\.[A-Za-z]{2,}$""),""✅ Valid"",""❌ Invalid"")"),"✅ Valid")</f>
        <v>✅ Valid</v>
      </c>
      <c r="K480" s="13" t="s">
        <v>8313</v>
      </c>
      <c r="L480" s="2" t="str">
        <f>IFERROR(__xludf.DUMMYFUNCTION("IF(OR(K480=""N/A"", K480=""missing"", K480=""none""), """",
 REGEXREPLACE(
  SUBSTITUTE(SUBSTITUTE(SUBSTITUTE(TO_TEXT(K480), CHAR(160),""""), UNICHAR(8239),""""), UNICHAR(8201),""""),""[+\-/(): )]"", """"))"),"40x7206429")</f>
        <v>40x7206429</v>
      </c>
      <c r="M480" s="2" t="str">
        <f>IFERROR(__xludf.DUMMYFUNCTION("IF(L480="""","""", REGEXEXTRACT(REGEXREPLACE(L480,""x"", """"), ""[0-9]+""))"),"407206429")</f>
        <v>407206429</v>
      </c>
      <c r="N480" s="2" t="str">
        <f>IF(LEFT(M480,2)="33", RIGHT(M480,LEN(M480)-2),M480)</f>
        <v>407206429</v>
      </c>
      <c r="O480" s="2" t="b">
        <f>IFERROR(__xludf.DUMMYFUNCTION("REGEXMATCH(TO_TEXT(N480), ""^0[67]"")"),FALSE)</f>
        <v>0</v>
      </c>
      <c r="P480" s="2">
        <f t="shared" si="240"/>
        <v>9</v>
      </c>
      <c r="Q480" s="9" t="str">
        <f>IF(AND(O480=TRUE, P480=9), "✅ VALID", "❌ INVALID")</f>
        <v>❌ INVALID</v>
      </c>
      <c r="R480" s="10" t="s">
        <v>58</v>
      </c>
      <c r="S480" s="12">
        <v>45230.0</v>
      </c>
      <c r="T480" s="2" t="str">
        <f>IFERROR(__xludf.DUMMYFUNCTION("IF(ISNUMBER(S480),TEXT(S480,""yyyy-MM-dd""),REGEXREPLACE(REGEXREPLACE(TO_TEXT(S480),""[^0-9a-zA-Z]+"",""-""),""[^0-9]*$"",""""))"),"2023-10-31")</f>
        <v>2023-10-31</v>
      </c>
      <c r="U480" s="2" t="s">
        <v>8314</v>
      </c>
      <c r="Y480" s="10" t="s">
        <v>8314</v>
      </c>
    </row>
    <row r="481" ht="15.75" customHeight="1">
      <c r="A481" s="2" t="s">
        <v>4222</v>
      </c>
      <c r="B481" s="9" t="s">
        <v>7597</v>
      </c>
      <c r="C481" s="2" t="s">
        <v>5860</v>
      </c>
      <c r="D481" s="10" t="str">
        <f>IFERROR(__xludf.DUMMYFUNCTION("PROPER(REGEXREPLACE(TRIM(C481),""\s+"","" ""))"),"Daria Young")</f>
        <v>Daria Young</v>
      </c>
      <c r="E481" s="2">
        <f>IFERROR(__xludf.DUMMYFUNCTION("IF(LEN(D481:D701),
  COUNTA(SPLIT(D481:D701,"" "")),
 """")"),2.0)</f>
        <v>2</v>
      </c>
      <c r="F481" s="9" t="str">
        <f t="shared" si="238"/>
        <v>✅</v>
      </c>
      <c r="G481" s="2" t="str">
        <f>IFERROR(__xludf.DUMMYFUNCTION("REGEXEXTRACT(PROPER(SUBSTITUTE(TRIM(I481),""."","" "")),""^[^@]+"")"),"Daria Young")</f>
        <v>Daria Young</v>
      </c>
      <c r="H481" s="10" t="str">
        <f t="shared" si="239"/>
        <v>daria.young@yahoo.com</v>
      </c>
      <c r="I481" s="2" t="s">
        <v>5861</v>
      </c>
      <c r="J481" s="9" t="str">
        <f>IFERROR(__xludf.DUMMYFUNCTION("IF(REGEXMATCH(TRIM(I481),""^[A-Za-z0-9._%+-]+@[A-Za-z0-9.-]+\.[A-Za-z]{2,}$""),""✅ Valid"",""❌ Invalid"")"),"✅ Valid")</f>
        <v>✅ Valid</v>
      </c>
      <c r="K481" s="11">
        <v>5.0481394855E10</v>
      </c>
      <c r="L481" s="2" t="str">
        <f>IFERROR(__xludf.DUMMYFUNCTION("IF(OR(K481=""N/A"", K481=""missing"", K481=""none""), """",
 REGEXREPLACE(
  SUBSTITUTE(SUBSTITUTE(SUBSTITUTE(TO_TEXT(K481), CHAR(160),""""), UNICHAR(8239),""""), UNICHAR(8201),""""),""[+\-/(): )]"", """"))"),"50481394855")</f>
        <v>50481394855</v>
      </c>
      <c r="M481" s="2" t="str">
        <f>IFERROR(__xludf.DUMMYFUNCTION("IF(L481="""","""", REGEXEXTRACT(REGEXREPLACE(L481,""x"", """"), ""[0-9]+""))"),"50481394855")</f>
        <v>50481394855</v>
      </c>
      <c r="N481" s="2" t="str">
        <f>IF(LEFT(M481,2)="49", RIGHT(M481,LEN(M481)-2),M481)</f>
        <v>50481394855</v>
      </c>
      <c r="O481" s="2" t="b">
        <f>IFERROR(__xludf.DUMMYFUNCTION("REGEXMATCH(TO_TEXT(N481), ""^0(15|16|17)"")"),FALSE)</f>
        <v>0</v>
      </c>
      <c r="P481" s="2">
        <f t="shared" si="240"/>
        <v>11</v>
      </c>
      <c r="Q481" s="9" t="str">
        <f>IF(AND(O481=TRUE,OR(P481=10, P481=11)), "✅ VALID", "❌ INVALID")</f>
        <v>❌ INVALID</v>
      </c>
      <c r="R481" s="10" t="s">
        <v>459</v>
      </c>
      <c r="S481" s="12">
        <v>45001.0</v>
      </c>
      <c r="T481" s="2" t="str">
        <f>IFERROR(__xludf.DUMMYFUNCTION("IF(ISNUMBER(S481),TEXT(S481,""yyyy-MM-dd""),REGEXREPLACE(REGEXREPLACE(TO_TEXT(S481),""[^0-9a-zA-Z]+"",""-""),""[^0-9]*$"",""""))"),"2023-03-16")</f>
        <v>2023-03-16</v>
      </c>
      <c r="U481" s="2" t="s">
        <v>8315</v>
      </c>
      <c r="Y481" s="10" t="s">
        <v>8315</v>
      </c>
    </row>
    <row r="482" ht="15.75" customHeight="1">
      <c r="A482" s="2" t="s">
        <v>4162</v>
      </c>
      <c r="B482" s="9" t="s">
        <v>7597</v>
      </c>
      <c r="C482" s="2" t="s">
        <v>632</v>
      </c>
      <c r="D482" s="10" t="s">
        <v>4120</v>
      </c>
      <c r="E482" s="2">
        <f>IFERROR(__xludf.DUMMYFUNCTION("IF(LEN(D482:D701),
  COUNTA(SPLIT(D482:D701,"" "")),
 """")"),2.0)</f>
        <v>2</v>
      </c>
      <c r="F482" s="9" t="str">
        <f t="shared" si="238"/>
        <v>✅</v>
      </c>
      <c r="G482" s="2" t="s">
        <v>4120</v>
      </c>
      <c r="H482" s="10" t="str">
        <f t="shared" si="239"/>
        <v>sam.taylor@example.com</v>
      </c>
      <c r="I482" s="2" t="s">
        <v>633</v>
      </c>
      <c r="J482" s="9" t="str">
        <f>IFERROR(__xludf.DUMMYFUNCTION("IF(REGEXMATCH(TRIM(I482),""^[A-Za-z0-9._%+-]+@[A-Za-z0-9.-]+\.[A-Za-z]{2,}$""),""✅ Valid"",""❌ Invalid"")"),"✅ Valid")</f>
        <v>✅ Valid</v>
      </c>
      <c r="K482" s="13" t="s">
        <v>8316</v>
      </c>
      <c r="L482" s="2" t="str">
        <f>IFERROR(__xludf.DUMMYFUNCTION("IF(OR(K482=""N/A"", K482=""missing"", K482=""none""), """",
 REGEXREPLACE(
  SUBSTITUTE(SUBSTITUTE(SUBSTITUTE(TO_TEXT(K482), CHAR(160),""""), UNICHAR(8239),""""), UNICHAR(8201),""""),""[+\-/(): )]"", """"))"),"tel39538437807")</f>
        <v>tel39538437807</v>
      </c>
      <c r="M482" s="2" t="str">
        <f>IFERROR(__xludf.DUMMYFUNCTION("IF(L482="""","""", REGEXEXTRACT(REGEXREPLACE(L482,""x"", """"), ""[0-9]+""))"),"39538437807")</f>
        <v>39538437807</v>
      </c>
      <c r="N482" s="2" t="str">
        <f t="shared" ref="N482:N483" si="241">IF(LEFT(M482,2)="39", RIGHT(M482,LEN(M482)-2),M482)</f>
        <v>538437807</v>
      </c>
      <c r="O482" s="2" t="b">
        <f>IFERROR(__xludf.DUMMYFUNCTION("REGEXMATCH(TO_TEXT(N482), ""^3"")"),FALSE)</f>
        <v>0</v>
      </c>
      <c r="P482" s="2">
        <f t="shared" si="240"/>
        <v>9</v>
      </c>
      <c r="Q482" s="9" t="str">
        <f t="shared" ref="Q482:Q483" si="242">IF(AND(O482=TRUE,OR(P482=9, P482=10 )), "✅ VALID", "❌ INVALID")</f>
        <v>❌ INVALID</v>
      </c>
      <c r="R482" s="10" t="s">
        <v>785</v>
      </c>
      <c r="S482" s="12">
        <v>44574.0</v>
      </c>
      <c r="T482" s="2" t="str">
        <f>IFERROR(__xludf.DUMMYFUNCTION("IF(ISNUMBER(S482),TEXT(S482,""yyyy-MM-dd""),REGEXREPLACE(REGEXREPLACE(TO_TEXT(S482),""[^0-9a-zA-Z]+"",""-""),""[^0-9]*$"",""""))"),"2022-01-13")</f>
        <v>2022-01-13</v>
      </c>
      <c r="U482" s="2" t="s">
        <v>8180</v>
      </c>
      <c r="Y482" s="10" t="s">
        <v>8180</v>
      </c>
    </row>
    <row r="483" ht="15.75" customHeight="1">
      <c r="A483" s="2" t="s">
        <v>648</v>
      </c>
      <c r="B483" s="9" t="s">
        <v>7597</v>
      </c>
      <c r="C483" s="2" t="s">
        <v>1075</v>
      </c>
      <c r="D483" s="10" t="s">
        <v>6715</v>
      </c>
      <c r="E483" s="2">
        <f>IFERROR(__xludf.DUMMYFUNCTION("IF(LEN(D483:D701),
  COUNTA(SPLIT(D483:D701,"" "")),
 """")"),2.0)</f>
        <v>2</v>
      </c>
      <c r="F483" s="9" t="str">
        <f t="shared" si="238"/>
        <v>✅</v>
      </c>
      <c r="G483" s="2" t="s">
        <v>6715</v>
      </c>
      <c r="H483" s="10" t="str">
        <f t="shared" si="239"/>
        <v>sam.kowalczyk@gmail.com</v>
      </c>
      <c r="I483" s="2" t="s">
        <v>1076</v>
      </c>
      <c r="J483" s="9" t="str">
        <f>IFERROR(__xludf.DUMMYFUNCTION("IF(REGEXMATCH(TRIM(I483),""^[A-Za-z0-9._%+-]+@[A-Za-z0-9.-]+\.[A-Za-z]{2,}$""),""✅ Valid"",""❌ Invalid"")"),"✅ Valid")</f>
        <v>✅ Valid</v>
      </c>
      <c r="K483" s="13" t="s">
        <v>8317</v>
      </c>
      <c r="L483" s="2" t="str">
        <f>IFERROR(__xludf.DUMMYFUNCTION("IF(OR(K483=""N/A"", K483=""missing"", K483=""none""), """",
 REGEXREPLACE(
  SUBSTITUTE(SUBSTITUTE(SUBSTITUTE(TO_TEXT(K483), CHAR(160),""""), UNICHAR(8239),""""), UNICHAR(8201),""""),""[+\-/(): )]"", """"))"),"646319x3643")</f>
        <v>646319x3643</v>
      </c>
      <c r="M483" s="2" t="str">
        <f>IFERROR(__xludf.DUMMYFUNCTION("IF(L483="""","""", REGEXEXTRACT(REGEXREPLACE(L483,""x"", """"), ""[0-9]+""))"),"6463193643")</f>
        <v>6463193643</v>
      </c>
      <c r="N483" s="2" t="str">
        <f t="shared" si="241"/>
        <v>6463193643</v>
      </c>
      <c r="O483" s="2" t="b">
        <f>IFERROR(__xludf.DUMMYFUNCTION("REGEXMATCH(TO_TEXT(N483), ""^3"")"),FALSE)</f>
        <v>0</v>
      </c>
      <c r="P483" s="2">
        <f t="shared" si="240"/>
        <v>10</v>
      </c>
      <c r="Q483" s="9" t="str">
        <f t="shared" si="242"/>
        <v>❌ INVALID</v>
      </c>
      <c r="R483" s="10" t="s">
        <v>785</v>
      </c>
      <c r="S483" s="12">
        <v>45151.65277777778</v>
      </c>
      <c r="T483" s="2" t="str">
        <f>IFERROR(__xludf.DUMMYFUNCTION("IF(ISNUMBER(S483),TEXT(S483,""yyyy-MM-dd""),REGEXREPLACE(REGEXREPLACE(TO_TEXT(S483),""[^0-9a-zA-Z]+"",""-""),""[^0-9]*$"",""""))"),"2023-08-13")</f>
        <v>2023-08-13</v>
      </c>
      <c r="U483" s="2" t="s">
        <v>8318</v>
      </c>
      <c r="Y483" s="10" t="s">
        <v>8318</v>
      </c>
    </row>
    <row r="484" ht="15.75" customHeight="1">
      <c r="A484" s="2" t="s">
        <v>6313</v>
      </c>
      <c r="B484" s="9" t="s">
        <v>7597</v>
      </c>
      <c r="C484" s="2" t="s">
        <v>1727</v>
      </c>
      <c r="D484" s="10" t="str">
        <f>IFERROR(__xludf.DUMMYFUNCTION("PROPER(REGEXREPLACE(TRIM(C484),""\s+"","" ""))"),"Ethan Muller")</f>
        <v>Ethan Muller</v>
      </c>
      <c r="E484" s="2">
        <f>IFERROR(__xludf.DUMMYFUNCTION("IF(LEN(D484:D701),
  COUNTA(SPLIT(D484:D701,"" "")),
 """")"),2.0)</f>
        <v>2</v>
      </c>
      <c r="F484" s="9" t="str">
        <f t="shared" si="238"/>
        <v>✅</v>
      </c>
      <c r="G484" s="2" t="str">
        <f>IFERROR(__xludf.DUMMYFUNCTION("REGEXEXTRACT(PROPER(SUBSTITUTE(TRIM(I484),""."","" "")),""^[^@]+"")"),"Ethan Muller")</f>
        <v>Ethan Muller</v>
      </c>
      <c r="H484" s="10" t="str">
        <f t="shared" si="239"/>
        <v>ethan.muller@outlook.com</v>
      </c>
      <c r="I484" s="2" t="s">
        <v>1728</v>
      </c>
      <c r="J484" s="9" t="str">
        <f>IFERROR(__xludf.DUMMYFUNCTION("IF(REGEXMATCH(TRIM(I484),""^[A-Za-z0-9._%+-]+@[A-Za-z0-9.-]+\.[A-Za-z]{2,}$""),""✅ Valid"",""❌ Invalid"")"),"✅ Valid")</f>
        <v>✅ Valid</v>
      </c>
      <c r="K484" s="15" t="s">
        <v>8319</v>
      </c>
      <c r="L484" s="2" t="str">
        <f>IFERROR(__xludf.DUMMYFUNCTION("IF(K484=""N/A"", """",
 REGEXREPLACE(
  SUBSTITUTE(SUBSTITUTE(SUBSTITUTE(TO_TEXT(K484), CHAR(160),""""), UNICHAR(8239),""""), UNICHAR(8201),""""),""[+\-/(): )]"", """"))"),"4801632827")</f>
        <v>4801632827</v>
      </c>
      <c r="M484" s="2" t="str">
        <f>IFERROR(__xludf.DUMMYFUNCTION("IF(L484="""","""", REGEXEXTRACT(REGEXREPLACE(L484,""x"", """"), ""[0-9]+""))"),"4801632827")</f>
        <v>4801632827</v>
      </c>
      <c r="N484" s="2" t="str">
        <f>IF(LEFT(M484,2)="48", RIGHT(M484,LEN(M484)-2),M484)</f>
        <v>01632827</v>
      </c>
      <c r="O484" s="2" t="b">
        <f>IFERROR(__xludf.DUMMYFUNCTION("REGEXMATCH(TO_TEXT(N484), ""^(5[013679]|6[069]|7[2-9]|88)"")"),FALSE)</f>
        <v>0</v>
      </c>
      <c r="Q484" s="9" t="str">
        <f>IF(AND(O484=TRUE, P484=9), "✅ VALID", "❌ INVALID")</f>
        <v>❌ INVALID</v>
      </c>
      <c r="R484" s="10" t="s">
        <v>25</v>
      </c>
      <c r="S484" s="12">
        <v>45558.0</v>
      </c>
      <c r="T484" s="2" t="str">
        <f>IFERROR(__xludf.DUMMYFUNCTION("IF(ISNUMBER(S484),TEXT(S484,""yyyy-MM-dd""),REGEXREPLACE(REGEXREPLACE(TO_TEXT(S484),""[^0-9a-zA-Z]+"",""-""),""[^0-9]*$"",""""))"),"2024-09-23")</f>
        <v>2024-09-23</v>
      </c>
      <c r="U484" s="2" t="s">
        <v>3014</v>
      </c>
      <c r="Y484" s="10" t="s">
        <v>3014</v>
      </c>
    </row>
    <row r="485" ht="15.75" customHeight="1">
      <c r="A485" s="2" t="s">
        <v>812</v>
      </c>
      <c r="B485" s="9" t="s">
        <v>7597</v>
      </c>
      <c r="C485" s="2" t="s">
        <v>1105</v>
      </c>
      <c r="D485" s="10" t="str">
        <f>IFERROR(__xludf.DUMMYFUNCTION("PROPER(REGEXREPLACE(TRIM(C485),""\s+"","" ""))"),"Igor Khan")</f>
        <v>Igor Khan</v>
      </c>
      <c r="E485" s="2">
        <f>IFERROR(__xludf.DUMMYFUNCTION("IF(LEN(D485:D701),
  COUNTA(SPLIT(D485:D701,"" "")),
 """")"),2.0)</f>
        <v>2</v>
      </c>
      <c r="F485" s="9" t="str">
        <f t="shared" si="238"/>
        <v>✅</v>
      </c>
      <c r="G485" s="2" t="str">
        <f>IFERROR(__xludf.DUMMYFUNCTION("REGEXEXTRACT(PROPER(SUBSTITUTE(TRIM(I485),""."","" "")),""^[^@]+"")"),"Igor Khan")</f>
        <v>Igor Khan</v>
      </c>
      <c r="H485" s="10" t="str">
        <f t="shared" si="239"/>
        <v>igor.khan@outlook.com</v>
      </c>
      <c r="I485" s="2" t="s">
        <v>1106</v>
      </c>
      <c r="J485" s="9" t="str">
        <f>IFERROR(__xludf.DUMMYFUNCTION("IF(REGEXMATCH(TRIM(I485),""^[A-Za-z0-9._%+-]+@[A-Za-z0-9.-]+\.[A-Za-z]{2,}$""),""✅ Valid"",""❌ Invalid"")"),"✅ Valid")</f>
        <v>✅ Valid</v>
      </c>
      <c r="K485" s="13" t="s">
        <v>8320</v>
      </c>
      <c r="L485" s="2" t="str">
        <f>IFERROR(__xludf.DUMMYFUNCTION("IF(OR(K485=""N/A"", K485=""missing"", K485=""none""), """",
 REGEXREPLACE(
  SUBSTITUTE(SUBSTITUTE(SUBSTITUTE(TO_TEXT(K485), CHAR(160),""""), UNICHAR(8239),""""), UNICHAR(8201),""""),""[+\-/(): )]"", """"))"),"490700757482")</f>
        <v>490700757482</v>
      </c>
      <c r="M485" s="2" t="str">
        <f>IFERROR(__xludf.DUMMYFUNCTION("IF(L485="""","""", REGEXEXTRACT(REGEXREPLACE(L485,""x"", """"), ""[0-9]+""))"),"490700757482")</f>
        <v>490700757482</v>
      </c>
      <c r="N485" s="2" t="str">
        <f t="shared" ref="N485:N486" si="243">IF(LEFT(M485,2)="49", RIGHT(M485,LEN(M485)-2),M485)</f>
        <v>0700757482</v>
      </c>
      <c r="O485" s="2" t="b">
        <f>IFERROR(__xludf.DUMMYFUNCTION("REGEXMATCH(TO_TEXT(N485), ""^0(15|16|17)"")"),FALSE)</f>
        <v>0</v>
      </c>
      <c r="P485" s="2">
        <f t="shared" ref="P485:P490" si="244">LEN(N485)</f>
        <v>10</v>
      </c>
      <c r="Q485" s="9" t="str">
        <f t="shared" ref="Q485:Q486" si="245">IF(AND(O485=TRUE,OR(P485=10, P485=11)), "✅ VALID", "❌ INVALID")</f>
        <v>❌ INVALID</v>
      </c>
      <c r="R485" s="10" t="s">
        <v>459</v>
      </c>
      <c r="S485" s="12">
        <v>44565.36388888889</v>
      </c>
      <c r="T485" s="2" t="str">
        <f>IFERROR(__xludf.DUMMYFUNCTION("IF(ISNUMBER(S485),TEXT(S485,""yyyy-MM-dd""),REGEXREPLACE(REGEXREPLACE(TO_TEXT(S485),""[^0-9a-zA-Z]+"",""-""),""[^0-9]*$"",""""))"),"2022-01-04")</f>
        <v>2022-01-04</v>
      </c>
      <c r="U485" s="2" t="s">
        <v>8321</v>
      </c>
      <c r="Y485" s="10" t="s">
        <v>8321</v>
      </c>
    </row>
    <row r="486" ht="15.75" customHeight="1">
      <c r="A486" s="2" t="s">
        <v>4138</v>
      </c>
      <c r="B486" s="9" t="s">
        <v>7597</v>
      </c>
      <c r="C486" s="2" t="s">
        <v>762</v>
      </c>
      <c r="D486" s="10" t="str">
        <f>IFERROR(__xludf.DUMMYFUNCTION("PROPER(REGEXREPLACE(TRIM(C486),""\s+"","" ""))"),"Ethan King")</f>
        <v>Ethan King</v>
      </c>
      <c r="E486" s="2">
        <f>IFERROR(__xludf.DUMMYFUNCTION("IF(LEN(D486:D701),
  COUNTA(SPLIT(D486:D701,"" "")),
 """")"),2.0)</f>
        <v>2</v>
      </c>
      <c r="F486" s="9" t="str">
        <f t="shared" si="238"/>
        <v>✅</v>
      </c>
      <c r="G486" s="2" t="str">
        <f>IFERROR(__xludf.DUMMYFUNCTION("REGEXEXTRACT(PROPER(SUBSTITUTE(TRIM(I486),""."","" "")),""^[^@]+"")"),"Ethan King")</f>
        <v>Ethan King</v>
      </c>
      <c r="H486" s="10" t="str">
        <f t="shared" si="239"/>
        <v>ethan.king@company.co.uk</v>
      </c>
      <c r="I486" s="2" t="s">
        <v>763</v>
      </c>
      <c r="J486" s="9" t="str">
        <f>IFERROR(__xludf.DUMMYFUNCTION("IF(REGEXMATCH(TRIM(I486),""^[A-Za-z0-9._%+-]+@[A-Za-z0-9.-]+\.[A-Za-z]{2,}$""),""✅ Valid"",""❌ Invalid"")"),"✅ Valid")</f>
        <v>✅ Valid</v>
      </c>
      <c r="K486" s="13" t="s">
        <v>8322</v>
      </c>
      <c r="L486" s="2" t="str">
        <f>IFERROR(__xludf.DUMMYFUNCTION("IF(OR(K486=""N/A"", K486=""missing"", K486=""none""), """",
 REGEXREPLACE(
  SUBSTITUTE(SUBSTITUTE(SUBSTITUTE(TO_TEXT(K486), CHAR(160),""""), UNICHAR(8239),""""), UNICHAR(8201),""""),""[+\-/(): )]"", """"))"),"490946835396")</f>
        <v>490946835396</v>
      </c>
      <c r="M486" s="2" t="str">
        <f>IFERROR(__xludf.DUMMYFUNCTION("IF(L486="""","""", REGEXEXTRACT(REGEXREPLACE(L486,""x"", """"), ""[0-9]+""))"),"490946835396")</f>
        <v>490946835396</v>
      </c>
      <c r="N486" s="2" t="str">
        <f t="shared" si="243"/>
        <v>0946835396</v>
      </c>
      <c r="O486" s="2" t="b">
        <f>IFERROR(__xludf.DUMMYFUNCTION("REGEXMATCH(TO_TEXT(N486), ""^0(15|16|17)"")"),FALSE)</f>
        <v>0</v>
      </c>
      <c r="P486" s="2">
        <f t="shared" si="244"/>
        <v>10</v>
      </c>
      <c r="Q486" s="9" t="str">
        <f t="shared" si="245"/>
        <v>❌ INVALID</v>
      </c>
      <c r="R486" s="10" t="s">
        <v>459</v>
      </c>
      <c r="S486" s="12">
        <v>45235.75208333333</v>
      </c>
      <c r="T486" s="2" t="str">
        <f>IFERROR(__xludf.DUMMYFUNCTION("IF(ISNUMBER(S486),TEXT(S486,""yyyy-MM-dd""),REGEXREPLACE(REGEXREPLACE(TO_TEXT(S486),""[^0-9a-zA-Z]+"",""-""),""[^0-9]*$"",""""))"),"2023-11-05")</f>
        <v>2023-11-05</v>
      </c>
      <c r="U486" s="2" t="s">
        <v>7797</v>
      </c>
      <c r="Y486" s="10" t="s">
        <v>7797</v>
      </c>
    </row>
    <row r="487" ht="15.75" customHeight="1">
      <c r="A487" s="2" t="s">
        <v>6494</v>
      </c>
      <c r="B487" s="9" t="s">
        <v>7597</v>
      </c>
      <c r="C487" s="2" t="s">
        <v>6414</v>
      </c>
      <c r="D487" s="10" t="str">
        <f>IFERROR(__xludf.DUMMYFUNCTION("PROPER(REGEXREPLACE(TRIM(C487),""\s+"","" ""))"),"Jade Khan")</f>
        <v>Jade Khan</v>
      </c>
      <c r="E487" s="2">
        <f>IFERROR(__xludf.DUMMYFUNCTION("IF(LEN(D487:D701),
  COUNTA(SPLIT(D487:D701,"" "")),
 """")"),2.0)</f>
        <v>2</v>
      </c>
      <c r="F487" s="9" t="str">
        <f t="shared" si="238"/>
        <v>✅</v>
      </c>
      <c r="G487" s="2" t="str">
        <f>IFERROR(__xludf.DUMMYFUNCTION("REGEXEXTRACT(PROPER(SUBSTITUTE(TRIM(I487),""."","" "")),""^[^@]+"")"),"Jade Khan")</f>
        <v>Jade Khan</v>
      </c>
      <c r="H487" s="10" t="str">
        <f t="shared" si="239"/>
        <v>jade.khan@yahoo.com</v>
      </c>
      <c r="I487" s="2" t="s">
        <v>6415</v>
      </c>
      <c r="J487" s="9" t="str">
        <f>IFERROR(__xludf.DUMMYFUNCTION("IF(REGEXMATCH(TRIM(I487),""^[A-Za-z0-9._%+-]+@[A-Za-z0-9.-]+\.[A-Za-z]{2,}$""),""✅ Valid"",""❌ Invalid"")"),"✅ Valid")</f>
        <v>✅ Valid</v>
      </c>
      <c r="K487" s="13" t="s">
        <v>8323</v>
      </c>
      <c r="L487" s="2" t="str">
        <f>IFERROR(__xludf.DUMMYFUNCTION("IF(OR(K487=""N/A"", K487=""missing"", K487=""none""), """",
 REGEXREPLACE(
  SUBSTITUTE(SUBSTITUTE(SUBSTITUTE(TO_TEXT(K487), CHAR(160),""""), UNICHAR(8239),""""), UNICHAR(8201),""""),""[+\-/(): )]"", """"))"),"3533115864576")</f>
        <v>3533115864576</v>
      </c>
      <c r="M487" s="2" t="str">
        <f>IFERROR(__xludf.DUMMYFUNCTION("IF(L487="""","""", REGEXEXTRACT(REGEXREPLACE(L487,""x"", """"), ""[0-9]+""))"),"3533115864576")</f>
        <v>3533115864576</v>
      </c>
      <c r="N487" s="2" t="str">
        <f>IF(LEFT(M487,3)="353", RIGHT(M487,LEN(M487)-3),M487)</f>
        <v>3115864576</v>
      </c>
      <c r="O487" s="2" t="b">
        <f>IFERROR(__xludf.DUMMYFUNCTION("REGEXMATCH(TO_TEXT(N487), ""^0(83|85|86|87|89)"")"),FALSE)</f>
        <v>0</v>
      </c>
      <c r="P487" s="2">
        <f t="shared" si="244"/>
        <v>10</v>
      </c>
      <c r="Q487" s="9" t="str">
        <f>IF(AND(O487=TRUE, P484=10), "✅ VALID", "❌ INVALID")</f>
        <v>❌ INVALID</v>
      </c>
      <c r="R487" s="10" t="s">
        <v>1177</v>
      </c>
      <c r="S487" s="12">
        <v>45222.1875</v>
      </c>
      <c r="T487" s="2" t="str">
        <f>IFERROR(__xludf.DUMMYFUNCTION("IF(ISNUMBER(S487),TEXT(S487,""yyyy-MM-dd""),REGEXREPLACE(REGEXREPLACE(TO_TEXT(S487),""[^0-9a-zA-Z]+"",""-""),""[^0-9]*$"",""""))"),"2023-10-23")</f>
        <v>2023-10-23</v>
      </c>
      <c r="U487" s="2" t="s">
        <v>5889</v>
      </c>
      <c r="Y487" s="10" t="s">
        <v>5889</v>
      </c>
    </row>
    <row r="488" ht="15.75" customHeight="1">
      <c r="A488" s="2" t="s">
        <v>2465</v>
      </c>
      <c r="B488" s="9" t="s">
        <v>7597</v>
      </c>
      <c r="C488" s="2" t="s">
        <v>3031</v>
      </c>
      <c r="D488" s="10" t="str">
        <f>IFERROR(__xludf.DUMMYFUNCTION("PROPER(REGEXREPLACE(TRIM(C488),""\s+"","" ""))"),"Carlos Young")</f>
        <v>Carlos Young</v>
      </c>
      <c r="E488" s="2">
        <f>IFERROR(__xludf.DUMMYFUNCTION("IF(LEN(D488:D701),
  COUNTA(SPLIT(D488:D701,"" "")),
 """")"),2.0)</f>
        <v>2</v>
      </c>
      <c r="F488" s="9" t="str">
        <f t="shared" si="238"/>
        <v>✅</v>
      </c>
      <c r="G488" s="2" t="str">
        <f>IFERROR(__xludf.DUMMYFUNCTION("REGEXEXTRACT(PROPER(SUBSTITUTE(TRIM(I488),""."","" "")),""^[^@]+"")"),"Carlos Young")</f>
        <v>Carlos Young</v>
      </c>
      <c r="H488" s="10" t="str">
        <f t="shared" si="239"/>
        <v>carlos.young@yahoo.com</v>
      </c>
      <c r="I488" s="2" t="s">
        <v>3032</v>
      </c>
      <c r="J488" s="9" t="str">
        <f>IFERROR(__xludf.DUMMYFUNCTION("IF(REGEXMATCH(TRIM(I488),""^[A-Za-z0-9._%+-]+@[A-Za-z0-9.-]+\.[A-Za-z]{2,}$""),""✅ Valid"",""❌ Invalid"")"),"✅ Valid")</f>
        <v>✅ Valid</v>
      </c>
      <c r="K488" s="11">
        <v>4.94869862431E11</v>
      </c>
      <c r="L488" s="2" t="str">
        <f>IFERROR(__xludf.DUMMYFUNCTION("IF(OR(K488=""N/A"", K488=""missing"", K488=""none""), """",
 REGEXREPLACE(
  SUBSTITUTE(SUBSTITUTE(SUBSTITUTE(TO_TEXT(K488), CHAR(160),""""), UNICHAR(8239),""""), UNICHAR(8201),""""),""[+\-/(): )]"", """"))"),"494869862431")</f>
        <v>494869862431</v>
      </c>
      <c r="M488" s="2" t="str">
        <f>IFERROR(__xludf.DUMMYFUNCTION("IF(L488="""","""", REGEXEXTRACT(REGEXREPLACE(L488,""x"", """"), ""[0-9]+""))"),"494869862431")</f>
        <v>494869862431</v>
      </c>
      <c r="N488" s="2" t="str">
        <f>IF(LEFT(M488,2)="49", RIGHT(M488,LEN(M488)-2),M488)</f>
        <v>4869862431</v>
      </c>
      <c r="O488" s="2" t="b">
        <f>IFERROR(__xludf.DUMMYFUNCTION("REGEXMATCH(TO_TEXT(N488), ""^0(15|16|17)"")"),FALSE)</f>
        <v>0</v>
      </c>
      <c r="P488" s="2">
        <f t="shared" si="244"/>
        <v>10</v>
      </c>
      <c r="Q488" s="9" t="str">
        <f>IF(AND(O488=TRUE,OR(P488=10, P488=11)), "✅ VALID", "❌ INVALID")</f>
        <v>❌ INVALID</v>
      </c>
      <c r="R488" s="10" t="s">
        <v>459</v>
      </c>
      <c r="S488" s="12">
        <v>44943.0</v>
      </c>
      <c r="T488" s="2" t="str">
        <f>IFERROR(__xludf.DUMMYFUNCTION("IF(ISNUMBER(S488),TEXT(S488,""yyyy-MM-dd""),REGEXREPLACE(REGEXREPLACE(TO_TEXT(S488),""[^0-9a-zA-Z]+"",""-""),""[^0-9]*$"",""""))"),"2023-01-17")</f>
        <v>2023-01-17</v>
      </c>
      <c r="U488" s="2" t="s">
        <v>6621</v>
      </c>
      <c r="Y488" s="10" t="s">
        <v>6621</v>
      </c>
    </row>
    <row r="489" ht="15.75" customHeight="1">
      <c r="A489" s="2" t="s">
        <v>2252</v>
      </c>
      <c r="B489" s="9" t="s">
        <v>7597</v>
      </c>
      <c r="C489" s="2" t="s">
        <v>1445</v>
      </c>
      <c r="D489" s="10" t="str">
        <f>IFERROR(__xludf.DUMMYFUNCTION("PROPER(REGEXREPLACE(TRIM(C489),""\s+"","" ""))"),"Ethan Lee")</f>
        <v>Ethan Lee</v>
      </c>
      <c r="E489" s="2">
        <f>IFERROR(__xludf.DUMMYFUNCTION("IF(LEN(D489:D701),
  COUNTA(SPLIT(D489:D701,"" "")),
 """")"),2.0)</f>
        <v>2</v>
      </c>
      <c r="F489" s="9" t="str">
        <f t="shared" si="238"/>
        <v>✅</v>
      </c>
      <c r="G489" s="2" t="str">
        <f>IFERROR(__xludf.DUMMYFUNCTION("REGEXEXTRACT(PROPER(SUBSTITUTE(TRIM(I489),""."","" "")),""^[^@]+"")"),"Ethan Lee")</f>
        <v>Ethan Lee</v>
      </c>
      <c r="H489" s="10" t="str">
        <f t="shared" si="239"/>
        <v>ethan.lee@outlook.com</v>
      </c>
      <c r="I489" s="2" t="s">
        <v>2141</v>
      </c>
      <c r="J489" s="9" t="str">
        <f>IFERROR(__xludf.DUMMYFUNCTION("IF(REGEXMATCH(TRIM(I489),""^[A-Za-z0-9._%+-]+@[A-Za-z0-9.-]+\.[A-Za-z]{2,}$""),""✅ Valid"",""❌ Invalid"")"),"✅ Valid")</f>
        <v>✅ Valid</v>
      </c>
      <c r="K489" s="13" t="s">
        <v>8324</v>
      </c>
      <c r="L489" s="2" t="str">
        <f>IFERROR(__xludf.DUMMYFUNCTION("IF(OR(K489=""N/A"", K489=""missing"", K489=""none""), """",
 REGEXREPLACE(
  SUBSTITUTE(SUBSTITUTE(SUBSTITUTE(TO_TEXT(K489), CHAR(160),""""), UNICHAR(8239),""""), UNICHAR(8201),""""),""[+\-/(): )]"", """"))"),"311654337ext147")</f>
        <v>311654337ext147</v>
      </c>
      <c r="M489" s="2" t="str">
        <f>IFERROR(__xludf.DUMMYFUNCTION("IF(L489="""","""", REGEXEXTRACT(REGEXREPLACE(L489,""x"", """"), ""[0-9]+""))"),"311654337")</f>
        <v>311654337</v>
      </c>
      <c r="N489" s="2" t="str">
        <f>IF(LEFT(M489,2)="39", RIGHT(M489,LEN(M489)-2),M489)</f>
        <v>311654337</v>
      </c>
      <c r="O489" s="2" t="b">
        <f>IFERROR(__xludf.DUMMYFUNCTION("REGEXMATCH(TO_TEXT(N489), ""^3"")"),TRUE)</f>
        <v>1</v>
      </c>
      <c r="P489" s="2">
        <f t="shared" si="244"/>
        <v>9</v>
      </c>
      <c r="Q489" s="9" t="str">
        <f>IF(AND(O489=TRUE,OR(P489=9, P489=10 )), "✅ VALID", "❌ INVALID")</f>
        <v>✅ VALID</v>
      </c>
      <c r="R489" s="10" t="s">
        <v>785</v>
      </c>
      <c r="S489" s="12" t="s">
        <v>6837</v>
      </c>
      <c r="T489" s="2" t="str">
        <f>IFERROR(__xludf.DUMMYFUNCTION("IF(ISNUMBER(S489),TEXT(S489,""yyyy-MM-dd""),REGEXREPLACE(REGEXREPLACE(TO_TEXT(S489),""[^0-9a-zA-Z]+"",""-""),""[^0-9]*$"",""""))"),"45030-12-23")</f>
        <v>45030-12-23</v>
      </c>
      <c r="U489" s="2" t="str">
        <f>TEXT(T489,"yyyy-MM-dd")</f>
        <v>45030-12-23</v>
      </c>
      <c r="V489" s="2" t="str">
        <f>CONCATENATE(LEFT(U489,5))</f>
        <v>45030</v>
      </c>
      <c r="W489" s="14">
        <f>DATE(1900,1,1) + V489 - 1</f>
        <v>45031</v>
      </c>
      <c r="X489" s="2" t="s">
        <v>8325</v>
      </c>
      <c r="Y489" s="10" t="s">
        <v>8325</v>
      </c>
    </row>
    <row r="490" ht="15.75" customHeight="1">
      <c r="A490" s="2" t="s">
        <v>6228</v>
      </c>
      <c r="B490" s="9" t="s">
        <v>7597</v>
      </c>
      <c r="C490" s="2" t="s">
        <v>867</v>
      </c>
      <c r="D490" s="10" t="str">
        <f>IFERROR(__xludf.DUMMYFUNCTION("PROPER(REGEXREPLACE(TRIM(C490),""\s+"","" ""))"),"Wiktor Lee")</f>
        <v>Wiktor Lee</v>
      </c>
      <c r="E490" s="2">
        <f>IFERROR(__xludf.DUMMYFUNCTION("IF(LEN(D490:D701),
  COUNTA(SPLIT(D490:D701,"" "")),
 """")"),2.0)</f>
        <v>2</v>
      </c>
      <c r="F490" s="9" t="str">
        <f t="shared" si="238"/>
        <v>✅</v>
      </c>
      <c r="G490" s="2" t="str">
        <f>IFERROR(__xludf.DUMMYFUNCTION("REGEXEXTRACT(PROPER(SUBSTITUTE(TRIM(I490),""."","" "")),""^[^@]+"")"),"Wiktor Lee")</f>
        <v>Wiktor Lee</v>
      </c>
      <c r="H490" s="10" t="str">
        <f t="shared" si="239"/>
        <v>wiktor.lee@outlook.com</v>
      </c>
      <c r="I490" s="2" t="s">
        <v>868</v>
      </c>
      <c r="J490" s="9" t="str">
        <f>IFERROR(__xludf.DUMMYFUNCTION("IF(REGEXMATCH(TRIM(I490),""^[A-Za-z0-9._%+-]+@[A-Za-z0-9.-]+\.[A-Za-z]{2,}$""),""✅ Valid"",""❌ Invalid"")"),"✅ Valid")</f>
        <v>✅ Valid</v>
      </c>
      <c r="K490" s="13" t="s">
        <v>8326</v>
      </c>
      <c r="L490" s="2" t="str">
        <f>IFERROR(__xludf.DUMMYFUNCTION("IF(OR(K490=""N/A"", K490=""missing"", K490=""none""), """",
 REGEXREPLACE(
  SUBSTITUTE(SUBSTITUTE(SUBSTITUTE(TO_TEXT(K490), CHAR(160),""""), UNICHAR(8239),""""), UNICHAR(8201),""""),""[+\-/(): )]"", """"))"),"tel353470749715")</f>
        <v>tel353470749715</v>
      </c>
      <c r="M490" s="2" t="str">
        <f>IFERROR(__xludf.DUMMYFUNCTION("IF(L490="""","""", REGEXEXTRACT(REGEXREPLACE(L490,""x"", """"), ""[0-9]+""))"),"353470749715")</f>
        <v>353470749715</v>
      </c>
      <c r="N490" s="2" t="str">
        <f>IF(LEFT(M490,3)="353", RIGHT(M490,LEN(M490)-3),M490)</f>
        <v>470749715</v>
      </c>
      <c r="O490" s="2" t="b">
        <f>IFERROR(__xludf.DUMMYFUNCTION("REGEXMATCH(TO_TEXT(N490), ""^0(83|85|86|87|89)"")"),FALSE)</f>
        <v>0</v>
      </c>
      <c r="P490" s="2">
        <f t="shared" si="244"/>
        <v>9</v>
      </c>
      <c r="Q490" s="9" t="str">
        <f>IF(AND(O490=TRUE, P487=10), "✅ VALID", "❌ INVALID")</f>
        <v>❌ INVALID</v>
      </c>
      <c r="R490" s="10" t="s">
        <v>1177</v>
      </c>
      <c r="S490" s="12">
        <v>45613.0</v>
      </c>
      <c r="T490" s="2" t="str">
        <f>IFERROR(__xludf.DUMMYFUNCTION("IF(ISNUMBER(S490),TEXT(S490,""yyyy-MM-dd""),REGEXREPLACE(REGEXREPLACE(TO_TEXT(S490),""[^0-9a-zA-Z]+"",""-""),""[^0-9]*$"",""""))"),"2024-11-17")</f>
        <v>2024-11-17</v>
      </c>
      <c r="U490" s="2" t="s">
        <v>6416</v>
      </c>
      <c r="Y490" s="10" t="s">
        <v>6416</v>
      </c>
    </row>
    <row r="491" ht="15.75" hidden="1" customHeight="1">
      <c r="A491" s="2" t="s">
        <v>2754</v>
      </c>
      <c r="B491" s="9" t="s">
        <v>7597</v>
      </c>
      <c r="C491" s="2" t="s">
        <v>6463</v>
      </c>
      <c r="D491" s="2" t="str">
        <f>IFERROR(__xludf.DUMMYFUNCTION("PROPER(REGEXREPLACE(TRIM(C491),""\s+"","" ""))"),"Xenia Johnson")</f>
        <v>Xenia Johnson</v>
      </c>
      <c r="E491" s="2">
        <f>IFERROR(__xludf.DUMMYFUNCTION("IF(LEN(D491:D701),
  COUNTA(SPLIT(D491:D701,"" "")),
 """")"),2.0)</f>
        <v>2</v>
      </c>
      <c r="K491" s="2" t="s">
        <v>3033</v>
      </c>
      <c r="R491" s="10" t="s">
        <v>114</v>
      </c>
      <c r="S491" s="2" t="s">
        <v>7286</v>
      </c>
    </row>
    <row r="492" ht="15.75" customHeight="1">
      <c r="A492" s="2" t="s">
        <v>1259</v>
      </c>
      <c r="B492" s="9" t="s">
        <v>7597</v>
      </c>
      <c r="C492" s="2" t="s">
        <v>3293</v>
      </c>
      <c r="D492" s="10" t="str">
        <f>IFERROR(__xludf.DUMMYFUNCTION("PROPER(REGEXREPLACE(TRIM(C492),""\s+"","" ""))"),"Daria Walker")</f>
        <v>Daria Walker</v>
      </c>
      <c r="E492" s="2">
        <f>IFERROR(__xludf.DUMMYFUNCTION("IF(LEN(D492:D701),
  COUNTA(SPLIT(D492:D701,"" "")),
 """")"),2.0)</f>
        <v>2</v>
      </c>
      <c r="F492" s="9" t="str">
        <f t="shared" ref="F492:F496" si="246">IF(D492=G492,"✅","❌")</f>
        <v>✅</v>
      </c>
      <c r="G492" s="2" t="str">
        <f>IFERROR(__xludf.DUMMYFUNCTION("REGEXEXTRACT(PROPER(SUBSTITUTE(TRIM(I492),""."","" "")),""^[^@]+"")"),"Daria Walker")</f>
        <v>Daria Walker</v>
      </c>
      <c r="H492" s="10" t="str">
        <f t="shared" ref="H492:H496" si="247">LOWER(TRIM(I492))</f>
        <v>daria.walker@outlook.com</v>
      </c>
      <c r="I492" s="2" t="s">
        <v>3294</v>
      </c>
      <c r="J492" s="9" t="str">
        <f>IFERROR(__xludf.DUMMYFUNCTION("IF(REGEXMATCH(TRIM(I492),""^[A-Za-z0-9._%+-]+@[A-Za-z0-9.-]+\.[A-Za-z]{2,}$""),""✅ Valid"",""❌ Invalid"")"),"✅ Valid")</f>
        <v>✅ Valid</v>
      </c>
      <c r="K492" s="13" t="s">
        <v>8327</v>
      </c>
      <c r="L492" s="2" t="str">
        <f>IFERROR(__xludf.DUMMYFUNCTION("IF(OR(K492=""N/A"", K492=""missing"", K492=""none""), """",
 REGEXREPLACE(
  SUBSTITUTE(SUBSTITUTE(SUBSTITUTE(TO_TEXT(K492), CHAR(160),""""), UNICHAR(8239),""""), UNICHAR(8201),""""),""[+\-/(): )]"", """"))"),"330686410111")</f>
        <v>330686410111</v>
      </c>
      <c r="M492" s="2" t="str">
        <f>IFERROR(__xludf.DUMMYFUNCTION("IF(L492="""","""", REGEXEXTRACT(REGEXREPLACE(L492,""x"", """"), ""[0-9]+""))"),"330686410111")</f>
        <v>330686410111</v>
      </c>
      <c r="N492" s="2" t="str">
        <f>IF(LEFT(M492,2)="33", RIGHT(M492,LEN(M492)-2),M492)</f>
        <v>0686410111</v>
      </c>
      <c r="O492" s="2" t="b">
        <f>IFERROR(__xludf.DUMMYFUNCTION("REGEXMATCH(TO_TEXT(N492), ""^0[67]"")"),TRUE)</f>
        <v>1</v>
      </c>
      <c r="P492" s="2">
        <f>LEN(N492)</f>
        <v>10</v>
      </c>
      <c r="Q492" s="9" t="str">
        <f t="shared" ref="Q492:Q493" si="248">IF(AND(O492=TRUE, P492=9), "✅ VALID", "❌ INVALID")</f>
        <v>❌ INVALID</v>
      </c>
      <c r="R492" s="10" t="s">
        <v>58</v>
      </c>
      <c r="S492" s="12">
        <v>45893.0</v>
      </c>
      <c r="T492" s="2" t="str">
        <f>IFERROR(__xludf.DUMMYFUNCTION("IF(ISNUMBER(S492),TEXT(S492,""yyyy-MM-dd""),REGEXREPLACE(REGEXREPLACE(TO_TEXT(S492),""[^0-9a-zA-Z]+"",""-""),""[^0-9]*$"",""""))"),"2025-08-24")</f>
        <v>2025-08-24</v>
      </c>
      <c r="U492" s="2" t="s">
        <v>8328</v>
      </c>
      <c r="Y492" s="10" t="s">
        <v>8328</v>
      </c>
    </row>
    <row r="493" ht="15.75" customHeight="1">
      <c r="A493" s="2" t="s">
        <v>7085</v>
      </c>
      <c r="B493" s="9" t="s">
        <v>7597</v>
      </c>
      <c r="C493" s="2" t="s">
        <v>1646</v>
      </c>
      <c r="D493" s="10" t="str">
        <f>IFERROR(__xludf.DUMMYFUNCTION("PROPER(REGEXREPLACE(TRIM(C493),""\s+"","" ""))"),"Adam Rodriguez")</f>
        <v>Adam Rodriguez</v>
      </c>
      <c r="E493" s="2">
        <f>IFERROR(__xludf.DUMMYFUNCTION("IF(LEN(D493:D701),
  COUNTA(SPLIT(D493:D701,"" "")),
 """")"),2.0)</f>
        <v>2</v>
      </c>
      <c r="F493" s="9" t="str">
        <f t="shared" si="246"/>
        <v>✅</v>
      </c>
      <c r="G493" s="2" t="str">
        <f>IFERROR(__xludf.DUMMYFUNCTION("REGEXEXTRACT(PROPER(SUBSTITUTE(TRIM(I493),""."","" "")),""^[^@]+"")"),"Adam Rodriguez")</f>
        <v>Adam Rodriguez</v>
      </c>
      <c r="H493" s="10" t="str">
        <f t="shared" si="247"/>
        <v>adam.rodriguez@gmail.com</v>
      </c>
      <c r="I493" s="2" t="s">
        <v>4223</v>
      </c>
      <c r="J493" s="9" t="str">
        <f>IFERROR(__xludf.DUMMYFUNCTION("IF(REGEXMATCH(TRIM(I493),""^[A-Za-z0-9._%+-]+@[A-Za-z0-9.-]+\.[A-Za-z]{2,}$""),""✅ Valid"",""❌ Invalid"")"),"✅ Valid")</f>
        <v>✅ Valid</v>
      </c>
      <c r="K493" s="15" t="s">
        <v>8329</v>
      </c>
      <c r="L493" s="2" t="str">
        <f>IFERROR(__xludf.DUMMYFUNCTION("IF(K493=""N/A"", """",
 REGEXREPLACE(
  SUBSTITUTE(SUBSTITUTE(SUBSTITUTE(TO_TEXT(K493), CHAR(160),""""), UNICHAR(8239),""""), UNICHAR(8201),""""),""[+\-/(): )]"", """"))"),"48448903250")</f>
        <v>48448903250</v>
      </c>
      <c r="M493" s="2" t="str">
        <f>IFERROR(__xludf.DUMMYFUNCTION("IF(L493="""","""", REGEXEXTRACT(REGEXREPLACE(L493,""x"", """"), ""[0-9]+""))"),"48448903250")</f>
        <v>48448903250</v>
      </c>
      <c r="N493" s="2" t="str">
        <f>IF(LEFT(M493,2)="48", RIGHT(M493,LEN(M493)-2),M493)</f>
        <v>448903250</v>
      </c>
      <c r="O493" s="2" t="b">
        <f>IFERROR(__xludf.DUMMYFUNCTION("REGEXMATCH(TO_TEXT(N493), ""^(5[013679]|6[069]|7[2-9]|88)"")"),FALSE)</f>
        <v>0</v>
      </c>
      <c r="Q493" s="9" t="str">
        <f t="shared" si="248"/>
        <v>❌ INVALID</v>
      </c>
      <c r="R493" s="10" t="s">
        <v>25</v>
      </c>
      <c r="S493" s="12">
        <v>45350.450694444444</v>
      </c>
      <c r="T493" s="2" t="str">
        <f>IFERROR(__xludf.DUMMYFUNCTION("IF(ISNUMBER(S493),TEXT(S493,""yyyy-MM-dd""),REGEXREPLACE(REGEXREPLACE(TO_TEXT(S493),""[^0-9a-zA-Z]+"",""-""),""[^0-9]*$"",""""))"),"2024-02-28")</f>
        <v>2024-02-28</v>
      </c>
      <c r="U493" s="2" t="s">
        <v>8330</v>
      </c>
      <c r="Y493" s="10" t="s">
        <v>8330</v>
      </c>
    </row>
    <row r="494" ht="15.75" customHeight="1">
      <c r="A494" s="2" t="s">
        <v>5348</v>
      </c>
      <c r="B494" s="9" t="s">
        <v>7597</v>
      </c>
      <c r="C494" s="2" t="s">
        <v>4163</v>
      </c>
      <c r="D494" s="10" t="str">
        <f>IFERROR(__xludf.DUMMYFUNCTION("PROPER(REGEXREPLACE(TRIM(C494),""\s+"","" ""))"),"Bella Dubois")</f>
        <v>Bella Dubois</v>
      </c>
      <c r="E494" s="2">
        <f>IFERROR(__xludf.DUMMYFUNCTION("IF(LEN(D494:D701),
  COUNTA(SPLIT(D494:D701,"" "")),
 """")"),2.0)</f>
        <v>2</v>
      </c>
      <c r="F494" s="9" t="str">
        <f t="shared" si="246"/>
        <v>✅</v>
      </c>
      <c r="G494" s="2" t="str">
        <f>IFERROR(__xludf.DUMMYFUNCTION("REGEXEXTRACT(PROPER(SUBSTITUTE(TRIM(I494),""."","" "")),""^[^@]+"")"),"Bella Dubois")</f>
        <v>Bella Dubois</v>
      </c>
      <c r="H494" s="10" t="str">
        <f t="shared" si="247"/>
        <v>bella.dubois@yahoo.com</v>
      </c>
      <c r="I494" s="2" t="s">
        <v>4164</v>
      </c>
      <c r="J494" s="9" t="str">
        <f>IFERROR(__xludf.DUMMYFUNCTION("IF(REGEXMATCH(TRIM(I494),""^[A-Za-z0-9._%+-]+@[A-Za-z0-9.-]+\.[A-Za-z]{2,}$""),""✅ Valid"",""❌ Invalid"")"),"✅ Valid")</f>
        <v>✅ Valid</v>
      </c>
      <c r="K494" s="13" t="s">
        <v>8331</v>
      </c>
      <c r="L494" s="2" t="str">
        <f>IFERROR(__xludf.DUMMYFUNCTION("IF(OR(K494=""N/A"", K494=""missing"", K494=""none""), """",
 REGEXREPLACE(
  SUBSTITUTE(SUBSTITUTE(SUBSTITUTE(TO_TEXT(K494), CHAR(160),""""), UNICHAR(8239),""""), UNICHAR(8201),""""),""[+\-/(): )]"", """"))"),"tel0493694610")</f>
        <v>tel0493694610</v>
      </c>
      <c r="M494" s="2" t="str">
        <f>IFERROR(__xludf.DUMMYFUNCTION("IF(L494="""","""", REGEXEXTRACT(REGEXREPLACE(L494,""x"", """"), ""[0-9]+""))"),"0493694610")</f>
        <v>0493694610</v>
      </c>
      <c r="N494" s="2" t="str">
        <f>IF(LEFT(M494,2)="49", RIGHT(M494,LEN(M494)-2),M494)</f>
        <v>0493694610</v>
      </c>
      <c r="O494" s="2" t="b">
        <f>IFERROR(__xludf.DUMMYFUNCTION("REGEXMATCH(TO_TEXT(N494), ""^0(15|16|17)"")"),FALSE)</f>
        <v>0</v>
      </c>
      <c r="P494" s="2">
        <f>LEN(N494)</f>
        <v>10</v>
      </c>
      <c r="Q494" s="9" t="str">
        <f>IF(AND(O494=TRUE,OR(P494=10, P494=11)), "✅ VALID", "❌ INVALID")</f>
        <v>❌ INVALID</v>
      </c>
      <c r="R494" s="10" t="s">
        <v>459</v>
      </c>
      <c r="S494" s="12">
        <v>45478.89375</v>
      </c>
      <c r="T494" s="2" t="str">
        <f>IFERROR(__xludf.DUMMYFUNCTION("IF(ISNUMBER(S494),TEXT(S494,""yyyy-MM-dd""),REGEXREPLACE(REGEXREPLACE(TO_TEXT(S494),""[^0-9a-zA-Z]+"",""-""),""[^0-9]*$"",""""))"),"2024-07-05")</f>
        <v>2024-07-05</v>
      </c>
      <c r="U494" s="2" t="s">
        <v>6527</v>
      </c>
      <c r="Y494" s="10" t="s">
        <v>6527</v>
      </c>
    </row>
    <row r="495" ht="15.75" customHeight="1">
      <c r="A495" s="2" t="s">
        <v>1362</v>
      </c>
      <c r="B495" s="9" t="s">
        <v>7597</v>
      </c>
      <c r="C495" s="2" t="s">
        <v>649</v>
      </c>
      <c r="D495" s="10" t="str">
        <f>IFERROR(__xludf.DUMMYFUNCTION("PROPER(REGEXREPLACE(TRIM(C495),""\s+"","" ""))"),"Gabe Kowalski")</f>
        <v>Gabe Kowalski</v>
      </c>
      <c r="E495" s="2">
        <f>IFERROR(__xludf.DUMMYFUNCTION("IF(LEN(D495:D701),
  COUNTA(SPLIT(D495:D701,"" "")),
 """")"),2.0)</f>
        <v>2</v>
      </c>
      <c r="F495" s="9" t="str">
        <f t="shared" si="246"/>
        <v>✅</v>
      </c>
      <c r="G495" s="2" t="str">
        <f>IFERROR(__xludf.DUMMYFUNCTION("REGEXEXTRACT(PROPER(SUBSTITUTE(TRIM(I495),""."","" "")),""^[^@]+"")"),"Gabe Kowalski")</f>
        <v>Gabe Kowalski</v>
      </c>
      <c r="H495" s="10" t="str">
        <f t="shared" si="247"/>
        <v>gabe.kowalski@shop.io</v>
      </c>
      <c r="I495" s="2" t="s">
        <v>650</v>
      </c>
      <c r="J495" s="9" t="str">
        <f>IFERROR(__xludf.DUMMYFUNCTION("IF(REGEXMATCH(TRIM(I495),""^[A-Za-z0-9._%+-]+@[A-Za-z0-9.-]+\.[A-Za-z]{2,}$""),""✅ Valid"",""❌ Invalid"")"),"✅ Valid")</f>
        <v>✅ Valid</v>
      </c>
      <c r="K495" s="15" t="s">
        <v>8332</v>
      </c>
      <c r="L495" s="2" t="str">
        <f>IFERROR(__xludf.DUMMYFUNCTION("IF(K495=""N/A"", """",
 REGEXREPLACE(
  SUBSTITUTE(SUBSTITUTE(SUBSTITUTE(TO_TEXT(K495), CHAR(160),""""), UNICHAR(8239),""""), UNICHAR(8201),""""),""[+\-/(): )]"", """"))"),"48612665487ext548x")</f>
        <v>48612665487ext548x</v>
      </c>
      <c r="M495" s="2" t="str">
        <f>IFERROR(__xludf.DUMMYFUNCTION("IF(L495="""","""", REGEXEXTRACT(REGEXREPLACE(L495,""x"", """"), ""[0-9]+""))"),"48612665487")</f>
        <v>48612665487</v>
      </c>
      <c r="N495" s="2" t="str">
        <f>IF(LEFT(M495,2)="48", RIGHT(M495,LEN(M495)-2),M495)</f>
        <v>612665487</v>
      </c>
      <c r="O495" s="2" t="b">
        <f>IFERROR(__xludf.DUMMYFUNCTION("REGEXMATCH(TO_TEXT(N495), ""^(5[013679]|6[069]|7[2-9]|88)"")"),FALSE)</f>
        <v>0</v>
      </c>
      <c r="Q495" s="9" t="str">
        <f t="shared" ref="Q495:Q496" si="249">IF(AND(O495=TRUE, P495=9), "✅ VALID", "❌ INVALID")</f>
        <v>❌ INVALID</v>
      </c>
      <c r="R495" s="10" t="s">
        <v>25</v>
      </c>
      <c r="S495" s="12">
        <v>44818.22777777778</v>
      </c>
      <c r="T495" s="2" t="str">
        <f>IFERROR(__xludf.DUMMYFUNCTION("IF(ISNUMBER(S495),TEXT(S495,""yyyy-MM-dd""),REGEXREPLACE(REGEXREPLACE(TO_TEXT(S495),""[^0-9a-zA-Z]+"",""-""),""[^0-9]*$"",""""))"),"2022-09-14")</f>
        <v>2022-09-14</v>
      </c>
      <c r="U495" s="2" t="s">
        <v>7730</v>
      </c>
      <c r="Y495" s="10" t="s">
        <v>7730</v>
      </c>
    </row>
    <row r="496" ht="15.75" customHeight="1">
      <c r="A496" s="2" t="s">
        <v>7375</v>
      </c>
      <c r="B496" s="9" t="s">
        <v>7597</v>
      </c>
      <c r="C496" s="2" t="s">
        <v>879</v>
      </c>
      <c r="D496" s="10" t="str">
        <f>IFERROR(__xludf.DUMMYFUNCTION("PROPER(REGEXREPLACE(TRIM(C496),""\s+"","" ""))"),"Lia Taylor")</f>
        <v>Lia Taylor</v>
      </c>
      <c r="E496" s="2">
        <f>IFERROR(__xludf.DUMMYFUNCTION("IF(LEN(D496:D701),
  COUNTA(SPLIT(D496:D701,"" "")),
 """")"),2.0)</f>
        <v>2</v>
      </c>
      <c r="F496" s="9" t="str">
        <f t="shared" si="246"/>
        <v>✅</v>
      </c>
      <c r="G496" s="2" t="str">
        <f>IFERROR(__xludf.DUMMYFUNCTION("REGEXEXTRACT(PROPER(SUBSTITUTE(TRIM(I496),""."","" "")),""^[^@]+"")"),"Lia Taylor")</f>
        <v>Lia Taylor</v>
      </c>
      <c r="H496" s="10" t="str">
        <f t="shared" si="247"/>
        <v>lia.taylor@yahoo.com</v>
      </c>
      <c r="I496" s="2" t="s">
        <v>6314</v>
      </c>
      <c r="J496" s="9" t="str">
        <f>IFERROR(__xludf.DUMMYFUNCTION("IF(REGEXMATCH(TRIM(I496),""^[A-Za-z0-9._%+-]+@[A-Za-z0-9.-]+\.[A-Za-z]{2,}$""),""✅ Valid"",""❌ Invalid"")"),"✅ Valid")</f>
        <v>✅ Valid</v>
      </c>
      <c r="K496" s="13" t="s">
        <v>8333</v>
      </c>
      <c r="L496" s="2" t="str">
        <f>IFERROR(__xludf.DUMMYFUNCTION("IF(OR(K496=""N/A"", K496=""missing"", K496=""none""), """",
 REGEXREPLACE(
  SUBSTITUTE(SUBSTITUTE(SUBSTITUTE(TO_TEXT(K496), CHAR(160),""""), UNICHAR(8239),""""), UNICHAR(8201),""""),""[+\-/(): )]"", """"))"),"33513065173")</f>
        <v>33513065173</v>
      </c>
      <c r="M496" s="2" t="str">
        <f>IFERROR(__xludf.DUMMYFUNCTION("IF(L496="""","""", REGEXEXTRACT(REGEXREPLACE(L496,""x"", """"), ""[0-9]+""))"),"33513065173")</f>
        <v>33513065173</v>
      </c>
      <c r="N496" s="2" t="str">
        <f>IF(LEFT(M496,2)="33", RIGHT(M496,LEN(M496)-2),M496)</f>
        <v>513065173</v>
      </c>
      <c r="O496" s="2" t="b">
        <f>IFERROR(__xludf.DUMMYFUNCTION("REGEXMATCH(TO_TEXT(N496), ""^0[67]"")"),FALSE)</f>
        <v>0</v>
      </c>
      <c r="P496" s="2">
        <f>LEN(N496)</f>
        <v>9</v>
      </c>
      <c r="Q496" s="9" t="str">
        <f t="shared" si="249"/>
        <v>❌ INVALID</v>
      </c>
      <c r="R496" s="10" t="s">
        <v>58</v>
      </c>
      <c r="S496" s="12" t="s">
        <v>6454</v>
      </c>
      <c r="T496" s="2" t="str">
        <f>IFERROR(__xludf.DUMMYFUNCTION("IF(ISNUMBER(S496),TEXT(S496,""yyyy-MM-dd""),REGEXREPLACE(REGEXREPLACE(TO_TEXT(S496),""[^0-9a-zA-Z]+"",""-""),""[^0-9]*$"",""""))"),"03-08-2022")</f>
        <v>03-08-2022</v>
      </c>
      <c r="U496" s="2" t="s">
        <v>8334</v>
      </c>
      <c r="Y496" s="10" t="s">
        <v>8334</v>
      </c>
    </row>
    <row r="497" ht="15.75" hidden="1" customHeight="1">
      <c r="A497" s="2" t="s">
        <v>7268</v>
      </c>
      <c r="B497" s="9" t="s">
        <v>7597</v>
      </c>
      <c r="C497" s="2" t="s">
        <v>813</v>
      </c>
      <c r="D497" s="2" t="str">
        <f>IFERROR(__xludf.DUMMYFUNCTION("PROPER(REGEXREPLACE(TRIM(C497),""\s+"","" ""))"),"Gabe King")</f>
        <v>Gabe King</v>
      </c>
      <c r="E497" s="2">
        <f>IFERROR(__xludf.DUMMYFUNCTION("IF(LEN(D497:D701),
  COUNTA(SPLIT(D497:D701,"" "")),
 """")"),2.0)</f>
        <v>2</v>
      </c>
      <c r="K497" s="2" t="s">
        <v>4165</v>
      </c>
      <c r="R497" s="10" t="s">
        <v>25</v>
      </c>
      <c r="S497" s="2" t="s">
        <v>7091</v>
      </c>
    </row>
    <row r="498" ht="15.75" hidden="1" customHeight="1">
      <c r="A498" s="2" t="s">
        <v>5287</v>
      </c>
      <c r="B498" s="9" t="s">
        <v>7597</v>
      </c>
      <c r="C498" s="2" t="s">
        <v>1451</v>
      </c>
      <c r="D498" s="2" t="str">
        <f>IFERROR(__xludf.DUMMYFUNCTION("PROPER(REGEXREPLACE(TRIM(C498),""\s+"","" ""))"),"Zack Rodriguez")</f>
        <v>Zack Rodriguez</v>
      </c>
      <c r="E498" s="2">
        <f>IFERROR(__xludf.DUMMYFUNCTION("IF(LEN(D498:D701),
  COUNTA(SPLIT(D498:D701,"" "")),
 """")"),2.0)</f>
        <v>2</v>
      </c>
      <c r="K498" s="2" t="s">
        <v>651</v>
      </c>
      <c r="R498" s="10" t="s">
        <v>199</v>
      </c>
      <c r="S498" s="2" t="s">
        <v>7340</v>
      </c>
    </row>
    <row r="499" ht="15.75" customHeight="1">
      <c r="A499" s="2" t="s">
        <v>1419</v>
      </c>
      <c r="B499" s="9" t="s">
        <v>7597</v>
      </c>
      <c r="C499" s="2" t="s">
        <v>6495</v>
      </c>
      <c r="D499" s="10" t="str">
        <f>IFERROR(__xludf.DUMMYFUNCTION("PROPER(REGEXREPLACE(TRIM(C499),""\s+"","" ""))"),"Rita Kowalczyk")</f>
        <v>Rita Kowalczyk</v>
      </c>
      <c r="E499" s="2">
        <f>IFERROR(__xludf.DUMMYFUNCTION("IF(LEN(D499:D701),
  COUNTA(SPLIT(D499:D701,"" "")),
 """")"),2.0)</f>
        <v>2</v>
      </c>
      <c r="F499" s="9" t="str">
        <f t="shared" ref="F499:F500" si="250">IF(D499=G499,"✅","❌")</f>
        <v>✅</v>
      </c>
      <c r="G499" s="2" t="str">
        <f>IFERROR(__xludf.DUMMYFUNCTION("REGEXEXTRACT(PROPER(SUBSTITUTE(TRIM(I499),""."","" "")),""^[^@]+"")"),"Rita Kowalczyk")</f>
        <v>Rita Kowalczyk</v>
      </c>
      <c r="H499" s="10" t="str">
        <f t="shared" ref="H499:H500" si="251">LOWER(TRIM(I499))</f>
        <v>rita.kowalczyk@outlook.com</v>
      </c>
      <c r="I499" s="2" t="s">
        <v>6496</v>
      </c>
      <c r="J499" s="9" t="str">
        <f>IFERROR(__xludf.DUMMYFUNCTION("IF(REGEXMATCH(TRIM(I499),""^[A-Za-z0-9._%+-]+@[A-Za-z0-9.-]+\.[A-Za-z]{2,}$""),""✅ Valid"",""❌ Invalid"")"),"✅ Valid")</f>
        <v>✅ Valid</v>
      </c>
      <c r="K499" s="13" t="s">
        <v>8335</v>
      </c>
      <c r="L499" s="2" t="str">
        <f>IFERROR(__xludf.DUMMYFUNCTION("IF(OR(K499=""N/A"", K499=""missing"", K499=""none""), """",
 REGEXREPLACE(
  SUBSTITUTE(SUBSTITUTE(SUBSTITUTE(TO_TEXT(K499), CHAR(160),""""), UNICHAR(8239),""""), UNICHAR(8201),""""),""[+\-/(): )]"", """"))"),"39997x241")</f>
        <v>39997x241</v>
      </c>
      <c r="M499" s="2" t="str">
        <f>IFERROR(__xludf.DUMMYFUNCTION("IF(L499="""","""", REGEXEXTRACT(REGEXREPLACE(L499,""x"", """"), ""[0-9]+""))"),"39997241")</f>
        <v>39997241</v>
      </c>
      <c r="N499" s="2" t="str">
        <f>IF(LEFT(M499,2)="39", RIGHT(M499,LEN(M499)-2),M499)</f>
        <v>997241</v>
      </c>
      <c r="O499" s="2" t="b">
        <f>IFERROR(__xludf.DUMMYFUNCTION("REGEXMATCH(TO_TEXT(N499), ""^3"")"),FALSE)</f>
        <v>0</v>
      </c>
      <c r="P499" s="2">
        <f t="shared" ref="P499:P500" si="252">LEN(N499)</f>
        <v>6</v>
      </c>
      <c r="Q499" s="9" t="str">
        <f>IF(AND(O499=TRUE,OR(P499=9, P499=10 )), "✅ VALID", "❌ INVALID")</f>
        <v>❌ INVALID</v>
      </c>
      <c r="R499" s="10" t="s">
        <v>785</v>
      </c>
      <c r="S499" s="12">
        <v>45041.0</v>
      </c>
      <c r="T499" s="2" t="str">
        <f>IFERROR(__xludf.DUMMYFUNCTION("IF(ISNUMBER(S499),TEXT(S499,""yyyy-MM-dd""),REGEXREPLACE(REGEXREPLACE(TO_TEXT(S499),""[^0-9a-zA-Z]+"",""-""),""[^0-9]*$"",""""))"),"2023-04-25")</f>
        <v>2023-04-25</v>
      </c>
      <c r="U499" s="2" t="s">
        <v>8336</v>
      </c>
      <c r="Y499" s="10" t="s">
        <v>8336</v>
      </c>
    </row>
    <row r="500" ht="15.75" customHeight="1">
      <c r="A500" s="2" t="s">
        <v>6911</v>
      </c>
      <c r="B500" s="9" t="s">
        <v>7597</v>
      </c>
      <c r="C500" s="2" t="s">
        <v>2466</v>
      </c>
      <c r="D500" s="10" t="str">
        <f>IFERROR(__xludf.DUMMYFUNCTION("PROPER(REGEXREPLACE(TRIM(C500),""\s+"","" ""))"),"Daria Rodriguez")</f>
        <v>Daria Rodriguez</v>
      </c>
      <c r="E500" s="2">
        <f>IFERROR(__xludf.DUMMYFUNCTION("IF(LEN(D500:D701),
  COUNTA(SPLIT(D500:D701,"" "")),
 """")"),2.0)</f>
        <v>2</v>
      </c>
      <c r="F500" s="9" t="str">
        <f t="shared" si="250"/>
        <v>✅</v>
      </c>
      <c r="G500" s="2" t="str">
        <f>IFERROR(__xludf.DUMMYFUNCTION("REGEXEXTRACT(PROPER(SUBSTITUTE(TRIM(I500),""."","" "")),""^[^@]+"")"),"Daria Rodriguez")</f>
        <v>Daria Rodriguez</v>
      </c>
      <c r="H500" s="10" t="str">
        <f t="shared" si="251"/>
        <v>daria.rodriguez@gmail.com</v>
      </c>
      <c r="I500" s="2" t="s">
        <v>2467</v>
      </c>
      <c r="J500" s="9" t="str">
        <f>IFERROR(__xludf.DUMMYFUNCTION("IF(REGEXMATCH(TRIM(I500),""^[A-Za-z0-9._%+-]+@[A-Za-z0-9.-]+\.[A-Za-z]{2,}$""),""✅ Valid"",""❌ Invalid"")"),"✅ Valid")</f>
        <v>✅ Valid</v>
      </c>
      <c r="K500" s="13" t="s">
        <v>8337</v>
      </c>
      <c r="L500" s="2" t="str">
        <f>IFERROR(__xludf.DUMMYFUNCTION("IF(OR(K500=""N/A"", K500=""missing"", K500=""none""), """",
 REGEXREPLACE(
  SUBSTITUTE(SUBSTITUTE(SUBSTITUTE(TO_TEXT(K500), CHAR(160),""""), UNICHAR(8239),""""), UNICHAR(8201),""""),""[+\-/(): )]"", """"))"),"7438016724ext510")</f>
        <v>7438016724ext510</v>
      </c>
      <c r="M500" s="2" t="str">
        <f>IFERROR(__xludf.DUMMYFUNCTION("IF(L500="""","""", REGEXEXTRACT(REGEXREPLACE(L500,""x"", """"), ""[0-9]+""))"),"7438016724")</f>
        <v>7438016724</v>
      </c>
      <c r="N500" s="2" t="str">
        <f>IF(LEFT(M500,2)="44", RIGHT(M500,LEN(M500)-2),M500)</f>
        <v>7438016724</v>
      </c>
      <c r="O500" s="2" t="b">
        <f>IFERROR(__xludf.DUMMYFUNCTION("REGEXMATCH(TO_TEXT(N500), ""^07[1-57-9]"")"),FALSE)</f>
        <v>0</v>
      </c>
      <c r="P500" s="2">
        <f t="shared" si="252"/>
        <v>10</v>
      </c>
      <c r="Q500" s="9" t="str">
        <f>IF(AND(O500=TRUE, P500=11), "✅ VALID", "❌ INVALID")</f>
        <v>❌ INVALID</v>
      </c>
      <c r="R500" s="10" t="s">
        <v>114</v>
      </c>
      <c r="S500" s="12">
        <v>45324.0</v>
      </c>
      <c r="T500" s="2" t="str">
        <f>IFERROR(__xludf.DUMMYFUNCTION("IF(ISNUMBER(S500),TEXT(S500,""yyyy-MM-dd""),REGEXREPLACE(REGEXREPLACE(TO_TEXT(S500),""[^0-9a-zA-Z]+"",""-""),""[^0-9]*$"",""""))"),"2024-02-02")</f>
        <v>2024-02-02</v>
      </c>
      <c r="U500" s="2" t="s">
        <v>8338</v>
      </c>
      <c r="Y500" s="10" t="s">
        <v>8338</v>
      </c>
    </row>
    <row r="501" ht="15.75" hidden="1" customHeight="1">
      <c r="A501" s="2" t="s">
        <v>4185</v>
      </c>
      <c r="B501" s="9" t="s">
        <v>7597</v>
      </c>
      <c r="C501" s="2" t="s">
        <v>2253</v>
      </c>
      <c r="D501" s="2" t="str">
        <f>IFERROR(__xludf.DUMMYFUNCTION("PROPER(REGEXREPLACE(TRIM(C501),""\s+"","" ""))"),"Igor Novak")</f>
        <v>Igor Novak</v>
      </c>
      <c r="E501" s="2">
        <f>IFERROR(__xludf.DUMMYFUNCTION("IF(LEN(D501:D701),
  COUNTA(SPLIT(D501:D701,"" "")),
 """")"),2.0)</f>
        <v>2</v>
      </c>
      <c r="K501" s="2" t="s">
        <v>4139</v>
      </c>
      <c r="R501" s="10" t="s">
        <v>199</v>
      </c>
      <c r="S501" s="2" t="s">
        <v>6345</v>
      </c>
    </row>
    <row r="502" ht="15.75" customHeight="1">
      <c r="A502" s="2" t="s">
        <v>4026</v>
      </c>
      <c r="B502" s="9" t="s">
        <v>7597</v>
      </c>
      <c r="C502" s="2" t="s">
        <v>6229</v>
      </c>
      <c r="D502" s="10" t="s">
        <v>848</v>
      </c>
      <c r="E502" s="2">
        <f>IFERROR(__xludf.DUMMYFUNCTION("IF(LEN(D502:D701),
  COUNTA(SPLIT(D502:D701,"" "")),
 """")"),2.0)</f>
        <v>2</v>
      </c>
      <c r="F502" s="9" t="str">
        <f t="shared" ref="F502:F523" si="253">IF(D502=G502,"✅","❌")</f>
        <v>✅</v>
      </c>
      <c r="G502" s="2" t="s">
        <v>848</v>
      </c>
      <c r="H502" s="10" t="str">
        <f t="shared" ref="H502:H523" si="254">LOWER(TRIM(I502))</f>
        <v>rita.davis@outlook.com</v>
      </c>
      <c r="I502" s="2" t="s">
        <v>6230</v>
      </c>
      <c r="J502" s="9" t="str">
        <f>IFERROR(__xludf.DUMMYFUNCTION("IF(REGEXMATCH(TRIM(I502),""^[A-Za-z0-9._%+-]+@[A-Za-z0-9.-]+\.[A-Za-z]{2,}$""),""✅ Valid"",""❌ Invalid"")"),"✅ Valid")</f>
        <v>✅ Valid</v>
      </c>
      <c r="K502" s="13" t="s">
        <v>8339</v>
      </c>
      <c r="L502" s="2" t="str">
        <f>IFERROR(__xludf.DUMMYFUNCTION("IF(OR(K502=""N/A"", K502=""missing"", K502=""none""), """",
 REGEXREPLACE(
  SUBSTITUTE(SUBSTITUTE(SUBSTITUTE(TO_TEXT(K502), CHAR(160),""""), UNICHAR(8239),""""), UNICHAR(8201),""""),""[+\-/(): )]"", """"))"),"4454008878562")</f>
        <v>4454008878562</v>
      </c>
      <c r="M502" s="2" t="str">
        <f>IFERROR(__xludf.DUMMYFUNCTION("IF(L502="""","""", REGEXEXTRACT(REGEXREPLACE(L502,""x"", """"), ""[0-9]+""))"),"4454008878562")</f>
        <v>4454008878562</v>
      </c>
      <c r="N502" s="2" t="str">
        <f>IF(LEFT(M502,2)="44", RIGHT(M502,LEN(M502)-2),M502)</f>
        <v>54008878562</v>
      </c>
      <c r="O502" s="2" t="b">
        <f>IFERROR(__xludf.DUMMYFUNCTION("REGEXMATCH(TO_TEXT(N502), ""^07[1-57-9]"")"),FALSE)</f>
        <v>0</v>
      </c>
      <c r="P502" s="2">
        <f>LEN(N502)</f>
        <v>11</v>
      </c>
      <c r="Q502" s="9" t="str">
        <f>IF(AND(O502=TRUE, P502=11), "✅ VALID", "❌ INVALID")</f>
        <v>❌ INVALID</v>
      </c>
      <c r="R502" s="10" t="s">
        <v>114</v>
      </c>
      <c r="S502" s="12">
        <v>45111.0</v>
      </c>
      <c r="T502" s="2" t="str">
        <f>IFERROR(__xludf.DUMMYFUNCTION("IF(ISNUMBER(S502),TEXT(S502,""yyyy-MM-dd""),REGEXREPLACE(REGEXREPLACE(TO_TEXT(S502),""[^0-9a-zA-Z]+"",""-""),""[^0-9]*$"",""""))"),"2023-07-04")</f>
        <v>2023-07-04</v>
      </c>
      <c r="U502" s="2" t="s">
        <v>8340</v>
      </c>
      <c r="Y502" s="10" t="s">
        <v>8340</v>
      </c>
    </row>
    <row r="503" ht="15.75" customHeight="1">
      <c r="A503" s="2" t="s">
        <v>6779</v>
      </c>
      <c r="B503" s="9" t="s">
        <v>7597</v>
      </c>
      <c r="C503" s="2" t="s">
        <v>2755</v>
      </c>
      <c r="D503" s="10" t="str">
        <f>IFERROR(__xludf.DUMMYFUNCTION("PROPER(REGEXREPLACE(TRIM(C503),""\s+"","" ""))"),"Bella Lee")</f>
        <v>Bella Lee</v>
      </c>
      <c r="E503" s="2">
        <f>IFERROR(__xludf.DUMMYFUNCTION("IF(LEN(D503:D701),
  COUNTA(SPLIT(D503:D701,"" "")),
 """")"),2.0)</f>
        <v>2</v>
      </c>
      <c r="F503" s="9" t="str">
        <f t="shared" si="253"/>
        <v>✅</v>
      </c>
      <c r="G503" s="2" t="str">
        <f>IFERROR(__xludf.DUMMYFUNCTION("REGEXEXTRACT(PROPER(SUBSTITUTE(TRIM(I503),""."","" "")),""^[^@]+"")"),"Bella Lee")</f>
        <v>Bella Lee</v>
      </c>
      <c r="H503" s="10" t="str">
        <f t="shared" si="254"/>
        <v>bella.lee@company.co.uk</v>
      </c>
      <c r="I503" s="2" t="s">
        <v>2756</v>
      </c>
      <c r="J503" s="9" t="str">
        <f>IFERROR(__xludf.DUMMYFUNCTION("IF(REGEXMATCH(TRIM(I503),""^[A-Za-z0-9._%+-]+@[A-Za-z0-9.-]+\.[A-Za-z]{2,}$""),""✅ Valid"",""❌ Invalid"")"),"✅ Valid")</f>
        <v>✅ Valid</v>
      </c>
      <c r="K503" s="15" t="s">
        <v>8341</v>
      </c>
      <c r="L503" s="2" t="str">
        <f>IFERROR(__xludf.DUMMYFUNCTION("IF(K503=""N/A"", """",
 REGEXREPLACE(
  SUBSTITUTE(SUBSTITUTE(SUBSTITUTE(TO_TEXT(K503), CHAR(160),""""), UNICHAR(8239),""""), UNICHAR(8201),""""),""[+\-/(): )]"", """"))"),"4815655134")</f>
        <v>4815655134</v>
      </c>
      <c r="M503" s="2" t="str">
        <f>IFERROR(__xludf.DUMMYFUNCTION("IF(L503="""","""", REGEXEXTRACT(REGEXREPLACE(L503,""x"", """"), ""[0-9]+""))"),"4815655134")</f>
        <v>4815655134</v>
      </c>
      <c r="N503" s="2" t="str">
        <f>IF(LEFT(M503,2)="48", RIGHT(M503,LEN(M503)-2),M503)</f>
        <v>15655134</v>
      </c>
      <c r="O503" s="2" t="b">
        <f>IFERROR(__xludf.DUMMYFUNCTION("REGEXMATCH(TO_TEXT(N503), ""^(5[013679]|6[069]|7[2-9]|88)"")"),FALSE)</f>
        <v>0</v>
      </c>
      <c r="Q503" s="9" t="str">
        <f>IF(AND(O503=TRUE, P503=9), "✅ VALID", "❌ INVALID")</f>
        <v>❌ INVALID</v>
      </c>
      <c r="R503" s="10" t="s">
        <v>25</v>
      </c>
      <c r="S503" s="12">
        <v>45839.0</v>
      </c>
      <c r="T503" s="2" t="str">
        <f>IFERROR(__xludf.DUMMYFUNCTION("IF(ISNUMBER(S503),TEXT(S503,""yyyy-MM-dd""),REGEXREPLACE(REGEXREPLACE(TO_TEXT(S503),""[^0-9a-zA-Z]+"",""-""),""[^0-9]*$"",""""))"),"2025-07-01")</f>
        <v>2025-07-01</v>
      </c>
      <c r="U503" s="2" t="s">
        <v>5720</v>
      </c>
      <c r="Y503" s="10" t="s">
        <v>5720</v>
      </c>
    </row>
    <row r="504" ht="15.75" customHeight="1">
      <c r="A504" s="2" t="s">
        <v>7424</v>
      </c>
      <c r="B504" s="9" t="s">
        <v>7597</v>
      </c>
      <c r="C504" s="2" t="s">
        <v>1260</v>
      </c>
      <c r="D504" s="10" t="str">
        <f>IFERROR(__xludf.DUMMYFUNCTION("PROPER(REGEXREPLACE(TRIM(C504),""\s+"","" ""))"),"Tara Johnson")</f>
        <v>Tara Johnson</v>
      </c>
      <c r="E504" s="2">
        <f>IFERROR(__xludf.DUMMYFUNCTION("IF(LEN(D504:D701),
  COUNTA(SPLIT(D504:D701,"" "")),
 """")"),2.0)</f>
        <v>2</v>
      </c>
      <c r="F504" s="9" t="str">
        <f t="shared" si="253"/>
        <v>✅</v>
      </c>
      <c r="G504" s="2" t="str">
        <f>IFERROR(__xludf.DUMMYFUNCTION("REGEXEXTRACT(PROPER(SUBSTITUTE(TRIM(I504),""."","" "")),""^[^@]+"")"),"Tara Johnson")</f>
        <v>Tara Johnson</v>
      </c>
      <c r="H504" s="10" t="str">
        <f t="shared" si="254"/>
        <v>tara.johnson@gmail.com</v>
      </c>
      <c r="I504" s="2" t="s">
        <v>1261</v>
      </c>
      <c r="J504" s="9" t="str">
        <f>IFERROR(__xludf.DUMMYFUNCTION("IF(REGEXMATCH(TRIM(I504),""^[A-Za-z0-9._%+-]+@[A-Za-z0-9.-]+\.[A-Za-z]{2,}$""),""✅ Valid"",""❌ Invalid"")"),"✅ Valid")</f>
        <v>✅ Valid</v>
      </c>
      <c r="K504" s="13" t="s">
        <v>8342</v>
      </c>
      <c r="L504" s="2" t="str">
        <f>IFERROR(__xludf.DUMMYFUNCTION("IF(OR(K504=""N/A"", K504=""missing"", K504=""none""), """",
 REGEXREPLACE(
  SUBSTITUTE(SUBSTITUTE(SUBSTITUTE(TO_TEXT(K504), CHAR(160),""""), UNICHAR(8239),""""), UNICHAR(8201),""""),""[+\-/(): )]"", """"))"),"35301717495")</f>
        <v>35301717495</v>
      </c>
      <c r="M504" s="2" t="str">
        <f>IFERROR(__xludf.DUMMYFUNCTION("IF(L504="""","""", REGEXEXTRACT(REGEXREPLACE(L504,""x"", """"), ""[0-9]+""))"),"35301717495")</f>
        <v>35301717495</v>
      </c>
      <c r="N504" s="2" t="str">
        <f>IF(LEFT(M504,3)="353", RIGHT(M504,LEN(M504)-3),M504)</f>
        <v>01717495</v>
      </c>
      <c r="O504" s="2" t="b">
        <f>IFERROR(__xludf.DUMMYFUNCTION("REGEXMATCH(TO_TEXT(N504), ""^0(83|85|86|87|89)"")"),FALSE)</f>
        <v>0</v>
      </c>
      <c r="P504" s="2">
        <f t="shared" ref="P504:P507" si="255">LEN(N504)</f>
        <v>8</v>
      </c>
      <c r="Q504" s="9" t="str">
        <f>IF(AND(O504=TRUE, P501=10), "✅ VALID", "❌ INVALID")</f>
        <v>❌ INVALID</v>
      </c>
      <c r="R504" s="10" t="s">
        <v>1177</v>
      </c>
      <c r="S504" s="12">
        <v>44786.0</v>
      </c>
      <c r="T504" s="2" t="str">
        <f>IFERROR(__xludf.DUMMYFUNCTION("IF(ISNUMBER(S504),TEXT(S504,""yyyy-MM-dd""),REGEXREPLACE(REGEXREPLACE(TO_TEXT(S504),""[^0-9a-zA-Z]+"",""-""),""[^0-9]*$"",""""))"),"2022-08-13")</f>
        <v>2022-08-13</v>
      </c>
      <c r="U504" s="2" t="s">
        <v>6607</v>
      </c>
      <c r="Y504" s="10" t="s">
        <v>6607</v>
      </c>
    </row>
    <row r="505" ht="15.75" customHeight="1">
      <c r="A505" s="2" t="s">
        <v>3781</v>
      </c>
      <c r="B505" s="9" t="s">
        <v>7597</v>
      </c>
      <c r="C505" s="2" t="s">
        <v>7086</v>
      </c>
      <c r="D505" s="10" t="str">
        <f>IFERROR(__xludf.DUMMYFUNCTION("PROPER(REGEXREPLACE(TRIM(C505),""\s+"","" ""))"),"Igor Lee")</f>
        <v>Igor Lee</v>
      </c>
      <c r="E505" s="2">
        <f>IFERROR(__xludf.DUMMYFUNCTION("IF(LEN(D505:D701),
  COUNTA(SPLIT(D505:D701,"" "")),
 """")"),2.0)</f>
        <v>2</v>
      </c>
      <c r="F505" s="9" t="str">
        <f t="shared" si="253"/>
        <v>❌</v>
      </c>
      <c r="G505" s="2" t="s">
        <v>8343</v>
      </c>
      <c r="H505" s="10" t="str">
        <f t="shared" si="254"/>
        <v>igorl.ee@example.com</v>
      </c>
      <c r="I505" s="2" t="s">
        <v>7087</v>
      </c>
      <c r="J505" s="9" t="str">
        <f>IFERROR(__xludf.DUMMYFUNCTION("IF(REGEXMATCH(TRIM(I505),""^[A-Za-z0-9._%+-]+@[A-Za-z0-9.-]+\.[A-Za-z]{2,}$""),""✅ Valid"",""❌ Invalid"")"),"✅ Valid")</f>
        <v>✅ Valid</v>
      </c>
      <c r="K505" s="13" t="s">
        <v>8344</v>
      </c>
      <c r="L505" s="2" t="str">
        <f>IFERROR(__xludf.DUMMYFUNCTION("IF(OR(K505=""N/A"", K505=""missing"", K505=""none""), """",
 REGEXREPLACE(
  SUBSTITUTE(SUBSTITUTE(SUBSTITUTE(TO_TEXT(K505), CHAR(160),""""), UNICHAR(8239),""""), UNICHAR(8201),""""),""[+\-/(): )]"", """"))"),"33794736589")</f>
        <v>33794736589</v>
      </c>
      <c r="M505" s="2" t="str">
        <f>IFERROR(__xludf.DUMMYFUNCTION("IF(L505="""","""", REGEXEXTRACT(REGEXREPLACE(L505,""x"", """"), ""[0-9]+""))"),"33794736589")</f>
        <v>33794736589</v>
      </c>
      <c r="N505" s="2" t="str">
        <f>IF(LEFT(M505,2)="33", RIGHT(M505,LEN(M505)-2),M505)</f>
        <v>794736589</v>
      </c>
      <c r="O505" s="2" t="b">
        <f>IFERROR(__xludf.DUMMYFUNCTION("REGEXMATCH(TO_TEXT(N505), ""^0[67]"")"),FALSE)</f>
        <v>0</v>
      </c>
      <c r="P505" s="2">
        <f t="shared" si="255"/>
        <v>9</v>
      </c>
      <c r="Q505" s="9" t="str">
        <f t="shared" ref="Q505:Q508" si="256">IF(AND(O505=TRUE, P505=9), "✅ VALID", "❌ INVALID")</f>
        <v>❌ INVALID</v>
      </c>
      <c r="R505" s="10" t="s">
        <v>58</v>
      </c>
      <c r="S505" s="12">
        <v>44588.279861111114</v>
      </c>
      <c r="T505" s="2" t="str">
        <f>IFERROR(__xludf.DUMMYFUNCTION("IF(ISNUMBER(S505),TEXT(S505,""yyyy-MM-dd""),REGEXREPLACE(REGEXREPLACE(TO_TEXT(S505),""[^0-9a-zA-Z]+"",""-""),""[^0-9]*$"",""""))"),"2022-01-27")</f>
        <v>2022-01-27</v>
      </c>
      <c r="U505" s="2" t="s">
        <v>8345</v>
      </c>
      <c r="Y505" s="10" t="s">
        <v>8345</v>
      </c>
    </row>
    <row r="506" ht="15.75" customHeight="1">
      <c r="A506" s="2" t="s">
        <v>435</v>
      </c>
      <c r="B506" s="9" t="s">
        <v>7597</v>
      </c>
      <c r="C506" s="2" t="s">
        <v>5349</v>
      </c>
      <c r="D506" s="10" t="str">
        <f>IFERROR(__xludf.DUMMYFUNCTION("PROPER(REGEXREPLACE(TRIM(C506),""\s+"","" ""))"),"Jade Kowalski")</f>
        <v>Jade Kowalski</v>
      </c>
      <c r="E506" s="2">
        <f>IFERROR(__xludf.DUMMYFUNCTION("IF(LEN(D506:D701),
  COUNTA(SPLIT(D506:D701,"" "")),
 """")"),2.0)</f>
        <v>2</v>
      </c>
      <c r="F506" s="9" t="str">
        <f t="shared" si="253"/>
        <v>✅</v>
      </c>
      <c r="G506" s="2" t="str">
        <f>IFERROR(__xludf.DUMMYFUNCTION("REGEXEXTRACT(PROPER(SUBSTITUTE(TRIM(I506),""."","" "")),""^[^@]+"")"),"Jade Kowalski")</f>
        <v>Jade Kowalski</v>
      </c>
      <c r="H506" s="10" t="str">
        <f t="shared" si="254"/>
        <v>jade.kowalski@gmail.com</v>
      </c>
      <c r="I506" s="2" t="s">
        <v>5350</v>
      </c>
      <c r="J506" s="9" t="str">
        <f>IFERROR(__xludf.DUMMYFUNCTION("IF(REGEXMATCH(TRIM(I506),""^[A-Za-z0-9._%+-]+@[A-Za-z0-9.-]+\.[A-Za-z]{2,}$""),""✅ Valid"",""❌ Invalid"")"),"✅ Valid")</f>
        <v>✅ Valid</v>
      </c>
      <c r="K506" s="15" t="s">
        <v>8346</v>
      </c>
      <c r="L506" s="2" t="str">
        <f>IFERROR(__xludf.DUMMYFUNCTION("IF(K506=""N/A"", """",
 REGEXREPLACE(
  SUBSTITUTE(SUBSTITUTE(SUBSTITUTE(TO_TEXT(K506), CHAR(160),""""), UNICHAR(8239),""""), UNICHAR(8201),""""),""[+\-/(): )]"", """"))"),"6063009341")</f>
        <v>6063009341</v>
      </c>
      <c r="M506" s="2" t="str">
        <f>IFERROR(__xludf.DUMMYFUNCTION("IF(L506="""","""", REGEXEXTRACT(REGEXREPLACE(L506,""x"", """"), ""[0-9]+""))"),"6063009341")</f>
        <v>6063009341</v>
      </c>
      <c r="N506" s="2" t="str">
        <f>IF(LEFT(M506,2)="48", RIGHT(M506,LEN(M506)-2),M506)</f>
        <v>6063009341</v>
      </c>
      <c r="O506" s="2" t="b">
        <f>IFERROR(__xludf.DUMMYFUNCTION("REGEXMATCH(TO_TEXT(N506), ""^(5[013679]|6[069]|7[2-9]|88)"")"),TRUE)</f>
        <v>1</v>
      </c>
      <c r="P506" s="2">
        <f t="shared" si="255"/>
        <v>10</v>
      </c>
      <c r="Q506" s="9" t="str">
        <f t="shared" si="256"/>
        <v>❌ INVALID</v>
      </c>
      <c r="R506" s="10" t="s">
        <v>25</v>
      </c>
      <c r="S506" s="12">
        <v>44568.0</v>
      </c>
      <c r="T506" s="2" t="str">
        <f>IFERROR(__xludf.DUMMYFUNCTION("IF(ISNUMBER(S506),TEXT(S506,""yyyy-MM-dd""),REGEXREPLACE(REGEXREPLACE(TO_TEXT(S506),""[^0-9a-zA-Z]+"",""-""),""[^0-9]*$"",""""))"),"2022-01-07")</f>
        <v>2022-01-07</v>
      </c>
      <c r="U506" s="2" t="s">
        <v>8347</v>
      </c>
      <c r="Y506" s="10" t="s">
        <v>8347</v>
      </c>
    </row>
    <row r="507" ht="15.75" customHeight="1">
      <c r="A507" s="2" t="s">
        <v>1879</v>
      </c>
      <c r="B507" s="9" t="s">
        <v>7597</v>
      </c>
      <c r="C507" s="2" t="s">
        <v>101</v>
      </c>
      <c r="D507" s="10" t="str">
        <f>IFERROR(__xludf.DUMMYFUNCTION("PROPER(REGEXREPLACE(TRIM(C507),""\s+"","" ""))"),"Sam Lopez")</f>
        <v>Sam Lopez</v>
      </c>
      <c r="E507" s="2">
        <f>IFERROR(__xludf.DUMMYFUNCTION("IF(LEN(D507:D701),
  COUNTA(SPLIT(D507:D701,"" "")),
 """")"),2.0)</f>
        <v>2</v>
      </c>
      <c r="F507" s="9" t="str">
        <f t="shared" si="253"/>
        <v>✅</v>
      </c>
      <c r="G507" s="2" t="str">
        <f>IFERROR(__xludf.DUMMYFUNCTION("REGEXEXTRACT(PROPER(SUBSTITUTE(TRIM(I507),""."","" "")),""^[^@]+"")"),"Sam Lopez")</f>
        <v>Sam Lopez</v>
      </c>
      <c r="H507" s="10" t="str">
        <f t="shared" si="254"/>
        <v>sam.lopez@outlook.com</v>
      </c>
      <c r="I507" s="2" t="s">
        <v>1363</v>
      </c>
      <c r="J507" s="9" t="str">
        <f>IFERROR(__xludf.DUMMYFUNCTION("IF(REGEXMATCH(TRIM(I507),""^[A-Za-z0-9._%+-]+@[A-Za-z0-9.-]+\.[A-Za-z]{2,}$""),""✅ Valid"",""❌ Invalid"")"),"✅ Valid")</f>
        <v>✅ Valid</v>
      </c>
      <c r="K507" s="13" t="s">
        <v>8348</v>
      </c>
      <c r="L507" s="2" t="str">
        <f>IFERROR(__xludf.DUMMYFUNCTION("IF(OR(K507=""N/A"", K507=""missing"", K507=""none""), """",
 REGEXREPLACE(
  SUBSTITUTE(SUBSTITUTE(SUBSTITUTE(TO_TEXT(K507), CHAR(160),""""), UNICHAR(8239),""""), UNICHAR(8201),""""),""[+\-/(): )]"", """"))"),"286741644")</f>
        <v>286741644</v>
      </c>
      <c r="M507" s="2" t="str">
        <f>IFERROR(__xludf.DUMMYFUNCTION("IF(L507="""","""", REGEXEXTRACT(REGEXREPLACE(L507,""x"", """"), ""[0-9]+""))"),"286741644")</f>
        <v>286741644</v>
      </c>
      <c r="N507" s="2" t="str">
        <f>IF(LEFT(M507,2)="33", RIGHT(M507,LEN(M507)-2),M507)</f>
        <v>286741644</v>
      </c>
      <c r="O507" s="2" t="b">
        <f>IFERROR(__xludf.DUMMYFUNCTION("REGEXMATCH(TO_TEXT(N507), ""^0[67]"")"),FALSE)</f>
        <v>0</v>
      </c>
      <c r="P507" s="2">
        <f t="shared" si="255"/>
        <v>9</v>
      </c>
      <c r="Q507" s="9" t="str">
        <f t="shared" si="256"/>
        <v>❌ INVALID</v>
      </c>
      <c r="R507" s="10" t="s">
        <v>58</v>
      </c>
      <c r="S507" s="12">
        <v>45016.0</v>
      </c>
      <c r="T507" s="2" t="str">
        <f>IFERROR(__xludf.DUMMYFUNCTION("IF(ISNUMBER(S507),TEXT(S507,""yyyy-MM-dd""),REGEXREPLACE(REGEXREPLACE(TO_TEXT(S507),""[^0-9a-zA-Z]+"",""-""),""[^0-9]*$"",""""))"),"2023-03-31")</f>
        <v>2023-03-31</v>
      </c>
      <c r="U507" s="2" t="s">
        <v>8006</v>
      </c>
      <c r="Y507" s="10" t="s">
        <v>8006</v>
      </c>
    </row>
    <row r="508" ht="15.75" customHeight="1">
      <c r="A508" s="2" t="s">
        <v>539</v>
      </c>
      <c r="B508" s="9" t="s">
        <v>7597</v>
      </c>
      <c r="C508" s="2" t="s">
        <v>7376</v>
      </c>
      <c r="D508" s="10" t="str">
        <f>IFERROR(__xludf.DUMMYFUNCTION("PROPER(REGEXREPLACE(TRIM(C508),""\s+"","" ""))"),"Omar King")</f>
        <v>Omar King</v>
      </c>
      <c r="E508" s="2">
        <f>IFERROR(__xludf.DUMMYFUNCTION("IF(LEN(D508:D701),
  COUNTA(SPLIT(D508:D701,"" "")),
 """")"),2.0)</f>
        <v>2</v>
      </c>
      <c r="F508" s="9" t="str">
        <f t="shared" si="253"/>
        <v>✅</v>
      </c>
      <c r="G508" s="2" t="str">
        <f>IFERROR(__xludf.DUMMYFUNCTION("REGEXEXTRACT(PROPER(SUBSTITUTE(TRIM(I508),""."","" "")),""^[^@]+"")"),"Omar King")</f>
        <v>Omar King</v>
      </c>
      <c r="H508" s="10" t="str">
        <f t="shared" si="254"/>
        <v>omar.king@gmail.com</v>
      </c>
      <c r="I508" s="2" t="s">
        <v>6801</v>
      </c>
      <c r="J508" s="9" t="str">
        <f>IFERROR(__xludf.DUMMYFUNCTION("IF(REGEXMATCH(TRIM(I508),""^[A-Za-z0-9._%+-]+@[A-Za-z0-9.-]+\.[A-Za-z]{2,}$""),""✅ Valid"",""❌ Invalid"")"),"✅ Valid")</f>
        <v>✅ Valid</v>
      </c>
      <c r="K508" s="15" t="s">
        <v>8349</v>
      </c>
      <c r="L508" s="2" t="str">
        <f>IFERROR(__xludf.DUMMYFUNCTION("IF(K508=""N/A"", """",
 REGEXREPLACE(
  SUBSTITUTE(SUBSTITUTE(SUBSTITUTE(TO_TEXT(K508), CHAR(160),""""), UNICHAR(8239),""""), UNICHAR(8201),""""),""[+\-/(): )]"", """"))"),"48296739141")</f>
        <v>48296739141</v>
      </c>
      <c r="M508" s="2" t="str">
        <f>IFERROR(__xludf.DUMMYFUNCTION("IF(L508="""","""", REGEXEXTRACT(REGEXREPLACE(L508,""x"", """"), ""[0-9]+""))"),"48296739141")</f>
        <v>48296739141</v>
      </c>
      <c r="N508" s="2" t="str">
        <f>IF(LEFT(M508,2)="48", RIGHT(M508,LEN(M508)-2),M508)</f>
        <v>296739141</v>
      </c>
      <c r="O508" s="2" t="b">
        <f>IFERROR(__xludf.DUMMYFUNCTION("REGEXMATCH(TO_TEXT(N508), ""^(5[013679]|6[069]|7[2-9]|88)"")"),FALSE)</f>
        <v>0</v>
      </c>
      <c r="Q508" s="9" t="str">
        <f t="shared" si="256"/>
        <v>❌ INVALID</v>
      </c>
      <c r="R508" s="10" t="s">
        <v>25</v>
      </c>
      <c r="S508" s="12" t="s">
        <v>7089</v>
      </c>
      <c r="T508" s="2" t="str">
        <f>IFERROR(__xludf.DUMMYFUNCTION("IF(ISNUMBER(S508),TEXT(S508,""yyyy-MM-dd""),REGEXREPLACE(REGEXREPLACE(TO_TEXT(S508),""[^0-9a-zA-Z]+"",""-""),""[^0-9]*$"",""""))"),"28-06-2024-01-58")</f>
        <v>28-06-2024-01-58</v>
      </c>
      <c r="U508" s="2" t="str">
        <f>TEXT(T508,"yyyy-MM-dd")</f>
        <v>28-06-2024-01-58</v>
      </c>
      <c r="V508" s="2" t="str">
        <f>IFERROR(__xludf.DUMMYFUNCTION("REGEXEXTRACT(U508,""^\d{2}-\d{2}-\d{4}"")"),"28-06-2024")</f>
        <v>28-06-2024</v>
      </c>
      <c r="W508" s="2" t="s">
        <v>4178</v>
      </c>
      <c r="Y508" s="10" t="s">
        <v>4178</v>
      </c>
    </row>
    <row r="509" ht="15.75" customHeight="1">
      <c r="A509" s="2" t="s">
        <v>219</v>
      </c>
      <c r="B509" s="9" t="s">
        <v>7597</v>
      </c>
      <c r="C509" s="2" t="s">
        <v>5877</v>
      </c>
      <c r="D509" s="10" t="str">
        <f>IFERROR(__xludf.DUMMYFUNCTION("PROPER(REGEXREPLACE(TRIM(C509),""\s+"","" ""))"),"Tara Dubois")</f>
        <v>Tara Dubois</v>
      </c>
      <c r="E509" s="2">
        <f>IFERROR(__xludf.DUMMYFUNCTION("IF(LEN(D509:D701),
  COUNTA(SPLIT(D509:D701,"" "")),
 """")"),2.0)</f>
        <v>2</v>
      </c>
      <c r="F509" s="9" t="str">
        <f t="shared" si="253"/>
        <v>✅</v>
      </c>
      <c r="G509" s="2" t="str">
        <f>IFERROR(__xludf.DUMMYFUNCTION("REGEXEXTRACT(PROPER(SUBSTITUTE(TRIM(I509),""."","" "")),""^[^@]+"")"),"Tara Dubois")</f>
        <v>Tara Dubois</v>
      </c>
      <c r="H509" s="10" t="str">
        <f t="shared" si="254"/>
        <v>tara.dubois@gmail.com</v>
      </c>
      <c r="I509" s="2" t="s">
        <v>7269</v>
      </c>
      <c r="J509" s="9" t="str">
        <f>IFERROR(__xludf.DUMMYFUNCTION("IF(REGEXMATCH(TRIM(I509),""^[A-Za-z0-9._%+-]+@[A-Za-z0-9.-]+\.[A-Za-z]{2,}$""),""✅ Valid"",""❌ Invalid"")"),"✅ Valid")</f>
        <v>✅ Valid</v>
      </c>
      <c r="K509" s="13" t="s">
        <v>8350</v>
      </c>
      <c r="L509" s="2" t="str">
        <f>IFERROR(__xludf.DUMMYFUNCTION("IF(OR(K509=""N/A"", K509=""missing"", K509=""none""), """",
 REGEXREPLACE(
  SUBSTITUTE(SUBSTITUTE(SUBSTITUTE(TO_TEXT(K509), CHAR(160),""""), UNICHAR(8239),""""), UNICHAR(8201),""""),""[+\-/(): )]"", """"))"),"4497865448437")</f>
        <v>4497865448437</v>
      </c>
      <c r="M509" s="2" t="str">
        <f>IFERROR(__xludf.DUMMYFUNCTION("IF(L509="""","""", REGEXEXTRACT(REGEXREPLACE(L509,""x"", """"), ""[0-9]+""))"),"4497865448437")</f>
        <v>4497865448437</v>
      </c>
      <c r="N509" s="2" t="str">
        <f>IF(LEFT(M509,2)="44", RIGHT(M509,LEN(M509)-2),M509)</f>
        <v>97865448437</v>
      </c>
      <c r="O509" s="2" t="b">
        <f>IFERROR(__xludf.DUMMYFUNCTION("REGEXMATCH(TO_TEXT(N509), ""^07[1-57-9]"")"),FALSE)</f>
        <v>0</v>
      </c>
      <c r="P509" s="2">
        <f t="shared" ref="P509:P511" si="257">LEN(N509)</f>
        <v>11</v>
      </c>
      <c r="Q509" s="9" t="str">
        <f>IF(AND(O509=TRUE, P509=11), "✅ VALID", "❌ INVALID")</f>
        <v>❌ INVALID</v>
      </c>
      <c r="R509" s="10" t="s">
        <v>114</v>
      </c>
      <c r="S509" s="12">
        <v>45158.0</v>
      </c>
      <c r="T509" s="2" t="str">
        <f>IFERROR(__xludf.DUMMYFUNCTION("IF(ISNUMBER(S509),TEXT(S509,""yyyy-MM-dd""),REGEXREPLACE(REGEXREPLACE(TO_TEXT(S509),""[^0-9a-zA-Z]+"",""-""),""[^0-9]*$"",""""))"),"2023-08-20")</f>
        <v>2023-08-20</v>
      </c>
      <c r="U509" s="2" t="s">
        <v>8351</v>
      </c>
      <c r="Y509" s="10" t="s">
        <v>8351</v>
      </c>
    </row>
    <row r="510" ht="15.75" customHeight="1">
      <c r="A510" s="2" t="s">
        <v>3591</v>
      </c>
      <c r="B510" s="9" t="s">
        <v>7597</v>
      </c>
      <c r="C510" s="2" t="s">
        <v>1160</v>
      </c>
      <c r="D510" s="10" t="str">
        <f>IFERROR(__xludf.DUMMYFUNCTION("PROPER(REGEXREPLACE(TRIM(C510),""\s+"","" ""))"),"Fiona Davis")</f>
        <v>Fiona Davis</v>
      </c>
      <c r="E510" s="2">
        <f>IFERROR(__xludf.DUMMYFUNCTION("IF(LEN(D510:D701),
  COUNTA(SPLIT(D510:D701,"" "")),
 """")"),2.0)</f>
        <v>2</v>
      </c>
      <c r="F510" s="9" t="str">
        <f t="shared" si="253"/>
        <v>✅</v>
      </c>
      <c r="G510" s="2" t="str">
        <f>IFERROR(__xludf.DUMMYFUNCTION("REGEXEXTRACT(PROPER(SUBSTITUTE(TRIM(I510),""."","" "")),""^[^@]+"")"),"Fiona Davis")</f>
        <v>Fiona Davis</v>
      </c>
      <c r="H510" s="10" t="str">
        <f t="shared" si="254"/>
        <v>fiona.davis@gmail.com</v>
      </c>
      <c r="I510" s="2" t="s">
        <v>5288</v>
      </c>
      <c r="J510" s="9" t="str">
        <f>IFERROR(__xludf.DUMMYFUNCTION("IF(REGEXMATCH(TRIM(I510),""^[A-Za-z0-9._%+-]+@[A-Za-z0-9.-]+\.[A-Za-z]{2,}$""),""✅ Valid"",""❌ Invalid"")"),"✅ Valid")</f>
        <v>✅ Valid</v>
      </c>
      <c r="K510" s="13" t="s">
        <v>8352</v>
      </c>
      <c r="L510" s="2" t="str">
        <f>IFERROR(__xludf.DUMMYFUNCTION("IF(OR(K510=""N/A"", K510=""missing"", K510=""none""), """",
 REGEXREPLACE(
  SUBSTITUTE(SUBSTITUTE(SUBSTITUTE(TO_TEXT(K510), CHAR(160),""""), UNICHAR(8239),""""), UNICHAR(8201),""""),""[+\-/(): )]"", """"))"),"494274525719")</f>
        <v>494274525719</v>
      </c>
      <c r="M510" s="2" t="str">
        <f>IFERROR(__xludf.DUMMYFUNCTION("IF(L510="""","""", REGEXEXTRACT(REGEXREPLACE(L510,""x"", """"), ""[0-9]+""))"),"494274525719")</f>
        <v>494274525719</v>
      </c>
      <c r="N510" s="2" t="str">
        <f>IF(LEFT(M510,2)="49", RIGHT(M510,LEN(M510)-2),M510)</f>
        <v>4274525719</v>
      </c>
      <c r="O510" s="2" t="b">
        <f>IFERROR(__xludf.DUMMYFUNCTION("REGEXMATCH(TO_TEXT(N510), ""^0(15|16|17)"")"),FALSE)</f>
        <v>0</v>
      </c>
      <c r="P510" s="2">
        <f t="shared" si="257"/>
        <v>10</v>
      </c>
      <c r="Q510" s="9" t="str">
        <f>IF(AND(O510=TRUE,OR(P510=10, P510=11)), "✅ VALID", "❌ INVALID")</f>
        <v>❌ INVALID</v>
      </c>
      <c r="R510" s="10" t="s">
        <v>459</v>
      </c>
      <c r="S510" s="12">
        <v>45571.0</v>
      </c>
      <c r="T510" s="2" t="str">
        <f>IFERROR(__xludf.DUMMYFUNCTION("IF(ISNUMBER(S510),TEXT(S510,""yyyy-MM-dd""),REGEXREPLACE(REGEXREPLACE(TO_TEXT(S510),""[^0-9a-zA-Z]+"",""-""),""[^0-9]*$"",""""))"),"2024-10-06")</f>
        <v>2024-10-06</v>
      </c>
      <c r="U510" s="2" t="s">
        <v>8353</v>
      </c>
      <c r="Y510" s="10" t="s">
        <v>8353</v>
      </c>
    </row>
    <row r="511" ht="15.75" customHeight="1">
      <c r="A511" s="2" t="s">
        <v>2745</v>
      </c>
      <c r="B511" s="9" t="s">
        <v>7597</v>
      </c>
      <c r="C511" s="2" t="s">
        <v>1420</v>
      </c>
      <c r="D511" s="10" t="str">
        <f>IFERROR(__xludf.DUMMYFUNCTION("PROPER(REGEXREPLACE(TRIM(C511),""\s+"","" ""))"),"Ken Taylor")</f>
        <v>Ken Taylor</v>
      </c>
      <c r="E511" s="2">
        <f>IFERROR(__xludf.DUMMYFUNCTION("IF(LEN(D511:D701),
  COUNTA(SPLIT(D511:D701,"" "")),
 """")"),2.0)</f>
        <v>2</v>
      </c>
      <c r="F511" s="9" t="str">
        <f t="shared" si="253"/>
        <v>✅</v>
      </c>
      <c r="G511" s="2" t="str">
        <f>IFERROR(__xludf.DUMMYFUNCTION("REGEXEXTRACT(PROPER(SUBSTITUTE(TRIM(I511),""."","" "")),""^[^@]+"")"),"Ken Taylor")</f>
        <v>Ken Taylor</v>
      </c>
      <c r="H511" s="10" t="str">
        <f t="shared" si="254"/>
        <v>ken.taylor@example.com</v>
      </c>
      <c r="I511" s="2" t="s">
        <v>1421</v>
      </c>
      <c r="J511" s="9" t="str">
        <f>IFERROR(__xludf.DUMMYFUNCTION("IF(REGEXMATCH(TRIM(I511),""^[A-Za-z0-9._%+-]+@[A-Za-z0-9.-]+\.[A-Za-z]{2,}$""),""✅ Valid"",""❌ Invalid"")"),"✅ Valid")</f>
        <v>✅ Valid</v>
      </c>
      <c r="K511" s="13" t="s">
        <v>7629</v>
      </c>
      <c r="L511" s="2" t="str">
        <f>IFERROR(__xludf.DUMMYFUNCTION("IF(OR(K511=""N/A"", K511=""missing"", K511=""none""), """",
 REGEXREPLACE(
  SUBSTITUTE(SUBSTITUTE(SUBSTITUTE(TO_TEXT(K511), CHAR(160),""""), UNICHAR(8239),""""), UNICHAR(8201),""""),""[+\-/(): )]"", """"))"),"")</f>
        <v/>
      </c>
      <c r="M511" s="2" t="str">
        <f>IFERROR(__xludf.DUMMYFUNCTION("IF(L511="""","""", REGEXEXTRACT(REGEXREPLACE(L511,""x"", """"), ""[0-9]+""))"),"")</f>
        <v/>
      </c>
      <c r="N511" s="2" t="str">
        <f>IF(LEFT(M511,2)="33", RIGHT(M511,LEN(M511)-2),M511)</f>
        <v/>
      </c>
      <c r="O511" s="2" t="b">
        <f>IFERROR(__xludf.DUMMYFUNCTION("REGEXMATCH(TO_TEXT(N511), ""^0[67]"")"),FALSE)</f>
        <v>0</v>
      </c>
      <c r="P511" s="2">
        <f t="shared" si="257"/>
        <v>0</v>
      </c>
      <c r="Q511" s="9" t="str">
        <f t="shared" ref="Q511:Q512" si="258">IF(AND(O511=TRUE, P511=9), "✅ VALID", "❌ INVALID")</f>
        <v>❌ INVALID</v>
      </c>
      <c r="R511" s="10" t="s">
        <v>58</v>
      </c>
      <c r="S511" s="12" t="s">
        <v>7378</v>
      </c>
      <c r="T511" s="2" t="str">
        <f>IFERROR(__xludf.DUMMYFUNCTION("IF(ISNUMBER(S511),TEXT(S511,""yyyy-MM-dd""),REGEXREPLACE(REGEXREPLACE(TO_TEXT(S511),""[^0-9a-zA-Z]+"",""-""),""[^0-9]*$"",""""))"),"45269-09-06")</f>
        <v>45269-09-06</v>
      </c>
      <c r="U511" s="2" t="str">
        <f>TEXT(T511,"yyyy-MM-dd")</f>
        <v>45269-09-06</v>
      </c>
      <c r="V511" s="2" t="str">
        <f>CONCATENATE(LEFT(U511,5))</f>
        <v>45269</v>
      </c>
      <c r="W511" s="14">
        <f>DATE(1900,1,1) + V511 - 1</f>
        <v>45270</v>
      </c>
      <c r="X511" s="2" t="s">
        <v>8354</v>
      </c>
      <c r="Y511" s="10" t="s">
        <v>8354</v>
      </c>
    </row>
    <row r="512" ht="15.75" customHeight="1">
      <c r="A512" s="2" t="s">
        <v>2179</v>
      </c>
      <c r="B512" s="9" t="s">
        <v>7597</v>
      </c>
      <c r="C512" s="2" t="s">
        <v>4983</v>
      </c>
      <c r="D512" s="10" t="str">
        <f>IFERROR(__xludf.DUMMYFUNCTION("PROPER(REGEXREPLACE(TRIM(C512),""\s+"","" ""))"),"Lia Rodriguez")</f>
        <v>Lia Rodriguez</v>
      </c>
      <c r="E512" s="2">
        <f>IFERROR(__xludf.DUMMYFUNCTION("IF(LEN(D512:D701),
  COUNTA(SPLIT(D512:D701,"" "")),
 """")"),2.0)</f>
        <v>2</v>
      </c>
      <c r="F512" s="9" t="str">
        <f t="shared" si="253"/>
        <v>✅</v>
      </c>
      <c r="G512" s="2" t="str">
        <f>IFERROR(__xludf.DUMMYFUNCTION("REGEXEXTRACT(PROPER(SUBSTITUTE(TRIM(I512),""."","" "")),""^[^@]+"")"),"Lia Rodriguez")</f>
        <v>Lia Rodriguez</v>
      </c>
      <c r="H512" s="10" t="str">
        <f t="shared" si="254"/>
        <v>lia.rodriguez@example.com</v>
      </c>
      <c r="I512" s="2" t="s">
        <v>6912</v>
      </c>
      <c r="J512" s="9" t="str">
        <f>IFERROR(__xludf.DUMMYFUNCTION("IF(REGEXMATCH(TRIM(I512),""^[A-Za-z0-9._%+-]+@[A-Za-z0-9.-]+\.[A-Za-z]{2,}$""),""✅ Valid"",""❌ Invalid"")"),"✅ Valid")</f>
        <v>✅ Valid</v>
      </c>
      <c r="K512" s="15" t="s">
        <v>8355</v>
      </c>
      <c r="L512" s="2" t="str">
        <f>IFERROR(__xludf.DUMMYFUNCTION("IF(K512=""N/A"", """",
 REGEXREPLACE(
  SUBSTITUTE(SUBSTITUTE(SUBSTITUTE(TO_TEXT(K512), CHAR(160),""""), UNICHAR(8239),""""), UNICHAR(8201),""""),""[+\-/(): )]"", """"))"),"48244234054")</f>
        <v>48244234054</v>
      </c>
      <c r="M512" s="2" t="str">
        <f>IFERROR(__xludf.DUMMYFUNCTION("IF(L512="""","""", REGEXEXTRACT(REGEXREPLACE(L512,""x"", """"), ""[0-9]+""))"),"48244234054")</f>
        <v>48244234054</v>
      </c>
      <c r="N512" s="2" t="str">
        <f>IF(LEFT(M512,2)="48", RIGHT(M512,LEN(M512)-2),M512)</f>
        <v>244234054</v>
      </c>
      <c r="O512" s="2" t="b">
        <f>IFERROR(__xludf.DUMMYFUNCTION("REGEXMATCH(TO_TEXT(N512), ""^(5[013679]|6[069]|7[2-9]|88)"")"),FALSE)</f>
        <v>0</v>
      </c>
      <c r="Q512" s="9" t="str">
        <f t="shared" si="258"/>
        <v>❌ INVALID</v>
      </c>
      <c r="R512" s="10" t="s">
        <v>25</v>
      </c>
      <c r="S512" s="12">
        <v>44583.0</v>
      </c>
      <c r="T512" s="2" t="str">
        <f>IFERROR(__xludf.DUMMYFUNCTION("IF(ISNUMBER(S512),TEXT(S512,""yyyy-MM-dd""),REGEXREPLACE(REGEXREPLACE(TO_TEXT(S512),""[^0-9a-zA-Z]+"",""-""),""[^0-9]*$"",""""))"),"2022-01-22")</f>
        <v>2022-01-22</v>
      </c>
      <c r="U512" s="2" t="s">
        <v>8356</v>
      </c>
      <c r="Y512" s="10" t="s">
        <v>8356</v>
      </c>
    </row>
    <row r="513" ht="15.75" customHeight="1">
      <c r="A513" s="2" t="s">
        <v>2692</v>
      </c>
      <c r="B513" s="9" t="s">
        <v>7597</v>
      </c>
      <c r="C513" s="2" t="s">
        <v>4186</v>
      </c>
      <c r="D513" s="10" t="str">
        <f>IFERROR(__xludf.DUMMYFUNCTION("PROPER(REGEXREPLACE(TRIM(C513),""\s+"","" ""))"),"Carlos Smith")</f>
        <v>Carlos Smith</v>
      </c>
      <c r="E513" s="2">
        <f>IFERROR(__xludf.DUMMYFUNCTION("IF(LEN(D513:D701),
  COUNTA(SPLIT(D513:D701,"" "")),
 """")"),2.0)</f>
        <v>2</v>
      </c>
      <c r="F513" s="9" t="str">
        <f t="shared" si="253"/>
        <v>✅</v>
      </c>
      <c r="G513" s="2" t="str">
        <f>IFERROR(__xludf.DUMMYFUNCTION("REGEXEXTRACT(PROPER(SUBSTITUTE(TRIM(I513),""."","" "")),""^[^@]+"")"),"Carlos Smith")</f>
        <v>Carlos Smith</v>
      </c>
      <c r="H513" s="10" t="str">
        <f t="shared" si="254"/>
        <v>carlos.smith@shop.io</v>
      </c>
      <c r="I513" s="2" t="s">
        <v>4187</v>
      </c>
      <c r="J513" s="9" t="str">
        <f>IFERROR(__xludf.DUMMYFUNCTION("IF(REGEXMATCH(TRIM(I513),""^[A-Za-z0-9._%+-]+@[A-Za-z0-9.-]+\.[A-Za-z]{2,}$""),""✅ Valid"",""❌ Invalid"")"),"✅ Valid")</f>
        <v>✅ Valid</v>
      </c>
      <c r="K513" s="13" t="s">
        <v>8357</v>
      </c>
      <c r="L513" s="2" t="str">
        <f>IFERROR(__xludf.DUMMYFUNCTION("IF(OR(K513=""N/A"", K513=""missing"", K513=""none""), """",
 REGEXREPLACE(
  SUBSTITUTE(SUBSTITUTE(SUBSTITUTE(TO_TEXT(K513), CHAR(160),""""), UNICHAR(8239),""""), UNICHAR(8201),""""),""[+\-/(): )]"", """"))"),"16341308x49")</f>
        <v>16341308x49</v>
      </c>
      <c r="M513" s="2" t="str">
        <f>IFERROR(__xludf.DUMMYFUNCTION("IF(L513="""","""", REGEXEXTRACT(REGEXREPLACE(L513,""x"", """"), ""[0-9]+""))"),"1634130849")</f>
        <v>1634130849</v>
      </c>
      <c r="N513" s="2" t="str">
        <f>IF(LEFT(M513,2)="44", RIGHT(M513,LEN(M513)-2),M513)</f>
        <v>1634130849</v>
      </c>
      <c r="O513" s="2" t="b">
        <f>IFERROR(__xludf.DUMMYFUNCTION("REGEXMATCH(TO_TEXT(N513), ""^07[1-57-9]"")"),FALSE)</f>
        <v>0</v>
      </c>
      <c r="P513" s="2">
        <f t="shared" ref="P513:P523" si="259">LEN(N513)</f>
        <v>10</v>
      </c>
      <c r="Q513" s="9" t="str">
        <f>IF(AND(O513=TRUE, P513=11), "✅ VALID", "❌ INVALID")</f>
        <v>❌ INVALID</v>
      </c>
      <c r="R513" s="10" t="s">
        <v>114</v>
      </c>
      <c r="S513" s="12">
        <v>45739.0</v>
      </c>
      <c r="T513" s="2" t="str">
        <f>IFERROR(__xludf.DUMMYFUNCTION("IF(ISNUMBER(S513),TEXT(S513,""yyyy-MM-dd""),REGEXREPLACE(REGEXREPLACE(TO_TEXT(S513),""[^0-9a-zA-Z]+"",""-""),""[^0-9]*$"",""""))"),"2025-03-23")</f>
        <v>2025-03-23</v>
      </c>
      <c r="U513" s="2" t="s">
        <v>7046</v>
      </c>
      <c r="Y513" s="10" t="s">
        <v>7046</v>
      </c>
    </row>
    <row r="514" ht="15.75" customHeight="1">
      <c r="A514" s="2" t="s">
        <v>5821</v>
      </c>
      <c r="B514" s="9" t="s">
        <v>7597</v>
      </c>
      <c r="C514" s="2" t="s">
        <v>4027</v>
      </c>
      <c r="D514" s="10" t="str">
        <f>IFERROR(__xludf.DUMMYFUNCTION("PROPER(REGEXREPLACE(TRIM(C514),""\s+"","" ""))"),"Daria Muller")</f>
        <v>Daria Muller</v>
      </c>
      <c r="E514" s="2">
        <f>IFERROR(__xludf.DUMMYFUNCTION("IF(LEN(D514:D701),
  COUNTA(SPLIT(D514:D701,"" "")),
 """")"),2.0)</f>
        <v>2</v>
      </c>
      <c r="F514" s="9" t="str">
        <f t="shared" si="253"/>
        <v>✅</v>
      </c>
      <c r="G514" s="2" t="str">
        <f>IFERROR(__xludf.DUMMYFUNCTION("REGEXEXTRACT(PROPER(SUBSTITUTE(TRIM(I514),""."","" "")),""^[^@]+"")"),"Daria Muller")</f>
        <v>Daria Muller</v>
      </c>
      <c r="H514" s="10" t="str">
        <f t="shared" si="254"/>
        <v>daria.muller@gmail.com</v>
      </c>
      <c r="I514" s="2" t="s">
        <v>4028</v>
      </c>
      <c r="J514" s="9" t="str">
        <f>IFERROR(__xludf.DUMMYFUNCTION("IF(REGEXMATCH(TRIM(I514),""^[A-Za-z0-9._%+-]+@[A-Za-z0-9.-]+\.[A-Za-z]{2,}$""),""✅ Valid"",""❌ Invalid"")"),"✅ Valid")</f>
        <v>✅ Valid</v>
      </c>
      <c r="K514" s="13" t="s">
        <v>8358</v>
      </c>
      <c r="L514" s="2" t="str">
        <f>IFERROR(__xludf.DUMMYFUNCTION("IF(OR(K514=""N/A"", K514=""missing"", K514=""none""), """",
 REGEXREPLACE(
  SUBSTITUTE(SUBSTITUTE(SUBSTITUTE(TO_TEXT(K514), CHAR(160),""""), UNICHAR(8239),""""), UNICHAR(8201),""""),""[+\-/(): )]"", """"))"),"39314314433")</f>
        <v>39314314433</v>
      </c>
      <c r="M514" s="2" t="str">
        <f>IFERROR(__xludf.DUMMYFUNCTION("IF(L514="""","""", REGEXEXTRACT(REGEXREPLACE(L514,""x"", """"), ""[0-9]+""))"),"39314314433")</f>
        <v>39314314433</v>
      </c>
      <c r="N514" s="2" t="str">
        <f t="shared" ref="N514:N515" si="260">IF(LEFT(M514,2)="39", RIGHT(M514,LEN(M514)-2),M514)</f>
        <v>314314433</v>
      </c>
      <c r="O514" s="2" t="b">
        <f>IFERROR(__xludf.DUMMYFUNCTION("REGEXMATCH(TO_TEXT(N514), ""^3"")"),TRUE)</f>
        <v>1</v>
      </c>
      <c r="P514" s="2">
        <f t="shared" si="259"/>
        <v>9</v>
      </c>
      <c r="Q514" s="9" t="str">
        <f t="shared" ref="Q514:Q515" si="261">IF(AND(O514=TRUE,OR(P514=9, P514=10 )), "✅ VALID", "❌ INVALID")</f>
        <v>✅ VALID</v>
      </c>
      <c r="R514" s="10" t="s">
        <v>785</v>
      </c>
      <c r="S514" s="12">
        <v>45312.0</v>
      </c>
      <c r="T514" s="2" t="str">
        <f>IFERROR(__xludf.DUMMYFUNCTION("IF(ISNUMBER(S514),TEXT(S514,""yyyy-MM-dd""),REGEXREPLACE(REGEXREPLACE(TO_TEXT(S514),""[^0-9a-zA-Z]+"",""-""),""[^0-9]*$"",""""))"),"2024-01-21")</f>
        <v>2024-01-21</v>
      </c>
      <c r="U514" s="2" t="s">
        <v>8146</v>
      </c>
      <c r="Y514" s="10" t="s">
        <v>8146</v>
      </c>
    </row>
    <row r="515" ht="15.75" customHeight="1">
      <c r="A515" s="2" t="s">
        <v>1565</v>
      </c>
      <c r="B515" s="9" t="s">
        <v>7597</v>
      </c>
      <c r="C515" s="2" t="s">
        <v>6780</v>
      </c>
      <c r="D515" s="10" t="str">
        <f>IFERROR(__xludf.DUMMYFUNCTION("PROPER(REGEXREPLACE(TRIM(C515),""\s+"","" ""))"),"Carlos Kowalski")</f>
        <v>Carlos Kowalski</v>
      </c>
      <c r="E515" s="2">
        <f>IFERROR(__xludf.DUMMYFUNCTION("IF(LEN(D515:D701),
  COUNTA(SPLIT(D515:D701,"" "")),
 """")"),2.0)</f>
        <v>2</v>
      </c>
      <c r="F515" s="9" t="str">
        <f t="shared" si="253"/>
        <v>✅</v>
      </c>
      <c r="G515" s="2" t="str">
        <f>IFERROR(__xludf.DUMMYFUNCTION("REGEXEXTRACT(PROPER(SUBSTITUTE(TRIM(I515),""."","" "")),""^[^@]+"")"),"Carlos Kowalski")</f>
        <v>Carlos Kowalski</v>
      </c>
      <c r="H515" s="10" t="str">
        <f t="shared" si="254"/>
        <v>carlos.kowalski@gmali.com</v>
      </c>
      <c r="I515" s="2" t="s">
        <v>6781</v>
      </c>
      <c r="J515" s="9" t="str">
        <f>IFERROR(__xludf.DUMMYFUNCTION("IF(REGEXMATCH(TRIM(I515),""^[A-Za-z0-9._%+-]+@[A-Za-z0-9.-]+\.[A-Za-z]{2,}$""),""✅ Valid"",""❌ Invalid"")"),"✅ Valid")</f>
        <v>✅ Valid</v>
      </c>
      <c r="K515" s="13" t="s">
        <v>8359</v>
      </c>
      <c r="L515" s="2" t="str">
        <f>IFERROR(__xludf.DUMMYFUNCTION("IF(OR(K515=""N/A"", K515=""missing"", K515=""none""), """",
 REGEXREPLACE(
  SUBSTITUTE(SUBSTITUTE(SUBSTITUTE(TO_TEXT(K515), CHAR(160),""""), UNICHAR(8239),""""), UNICHAR(8201),""""),""[+\-/(): )]"", """"))"),"39382454532")</f>
        <v>39382454532</v>
      </c>
      <c r="M515" s="2" t="str">
        <f>IFERROR(__xludf.DUMMYFUNCTION("IF(L515="""","""", REGEXEXTRACT(REGEXREPLACE(L515,""x"", """"), ""[0-9]+""))"),"39382454532")</f>
        <v>39382454532</v>
      </c>
      <c r="N515" s="2" t="str">
        <f t="shared" si="260"/>
        <v>382454532</v>
      </c>
      <c r="O515" s="2" t="b">
        <f>IFERROR(__xludf.DUMMYFUNCTION("REGEXMATCH(TO_TEXT(N515), ""^3"")"),TRUE)</f>
        <v>1</v>
      </c>
      <c r="P515" s="2">
        <f t="shared" si="259"/>
        <v>9</v>
      </c>
      <c r="Q515" s="9" t="str">
        <f t="shared" si="261"/>
        <v>✅ VALID</v>
      </c>
      <c r="R515" s="10" t="s">
        <v>785</v>
      </c>
      <c r="S515" s="12">
        <v>44735.0</v>
      </c>
      <c r="T515" s="2" t="str">
        <f>IFERROR(__xludf.DUMMYFUNCTION("IF(ISNUMBER(S515),TEXT(S515,""yyyy-MM-dd""),REGEXREPLACE(REGEXREPLACE(TO_TEXT(S515),""[^0-9a-zA-Z]+"",""-""),""[^0-9]*$"",""""))"),"2022-06-23")</f>
        <v>2022-06-23</v>
      </c>
      <c r="U515" s="2" t="s">
        <v>6914</v>
      </c>
      <c r="Y515" s="10" t="s">
        <v>6914</v>
      </c>
    </row>
    <row r="516" ht="15.75" customHeight="1">
      <c r="A516" s="2" t="s">
        <v>6290</v>
      </c>
      <c r="B516" s="9" t="s">
        <v>7597</v>
      </c>
      <c r="C516" s="2" t="s">
        <v>7425</v>
      </c>
      <c r="D516" s="10" t="s">
        <v>8360</v>
      </c>
      <c r="E516" s="2">
        <f>IFERROR(__xludf.DUMMYFUNCTION("IF(LEN(D516:D701),
  COUNTA(SPLIT(D516:D701,"" "")),
 """")"),2.0)</f>
        <v>2</v>
      </c>
      <c r="F516" s="9" t="str">
        <f t="shared" si="253"/>
        <v>✅</v>
      </c>
      <c r="G516" s="2" t="s">
        <v>8360</v>
      </c>
      <c r="H516" s="10" t="str">
        <f t="shared" si="254"/>
        <v>xenia.young@yahoo.com</v>
      </c>
      <c r="I516" s="2" t="s">
        <v>7426</v>
      </c>
      <c r="J516" s="9" t="str">
        <f>IFERROR(__xludf.DUMMYFUNCTION("IF(REGEXMATCH(TRIM(I516),""^[A-Za-z0-9._%+-]+@[A-Za-z0-9.-]+\.[A-Za-z]{2,}$""),""✅ Valid"",""❌ Invalid"")"),"✅ Valid")</f>
        <v>✅ Valid</v>
      </c>
      <c r="K516" s="13" t="s">
        <v>8361</v>
      </c>
      <c r="L516" s="2" t="str">
        <f>IFERROR(__xludf.DUMMYFUNCTION("IF(OR(K516=""N/A"", K516=""missing"", K516=""none""), """",
 REGEXREPLACE(
  SUBSTITUTE(SUBSTITUTE(SUBSTITUTE(TO_TEXT(K516), CHAR(160),""""), UNICHAR(8239),""""), UNICHAR(8201),""""),""[+\-/(): )]"", """"))"),"6525099544x6")</f>
        <v>6525099544x6</v>
      </c>
      <c r="M516" s="2" t="str">
        <f>IFERROR(__xludf.DUMMYFUNCTION("IF(L516="""","""", REGEXEXTRACT(REGEXREPLACE(L516,""x"", """"), ""[0-9]+""))"),"65250995446")</f>
        <v>65250995446</v>
      </c>
      <c r="N516" s="2" t="str">
        <f>IF(LEFT(M516,2)="44", RIGHT(M516,LEN(M516)-2),M516)</f>
        <v>65250995446</v>
      </c>
      <c r="O516" s="2" t="b">
        <f>IFERROR(__xludf.DUMMYFUNCTION("REGEXMATCH(TO_TEXT(N516), ""^07[1-57-9]"")"),FALSE)</f>
        <v>0</v>
      </c>
      <c r="P516" s="2">
        <f t="shared" si="259"/>
        <v>11</v>
      </c>
      <c r="Q516" s="9" t="str">
        <f>IF(AND(O516=TRUE, P516=11), "✅ VALID", "❌ INVALID")</f>
        <v>❌ INVALID</v>
      </c>
      <c r="R516" s="10" t="s">
        <v>114</v>
      </c>
      <c r="S516" s="12" t="s">
        <v>6735</v>
      </c>
      <c r="T516" s="2" t="str">
        <f>IFERROR(__xludf.DUMMYFUNCTION("IF(ISNUMBER(S516),TEXT(S516,""yyyy-MM-dd""),REGEXREPLACE(REGEXREPLACE(TO_TEXT(S516),""[^0-9a-zA-Z]+"",""-""),""[^0-9]*$"",""""))"),"10-28-2023-02-41")</f>
        <v>10-28-2023-02-41</v>
      </c>
      <c r="U516" s="2" t="str">
        <f>TEXT(T516,"yyyy-MM-dd")</f>
        <v>10-28-2023-02-41</v>
      </c>
      <c r="V516" s="2" t="str">
        <f>IFERROR(__xludf.DUMMYFUNCTION("REGEXEXTRACT(U516,""^\d{2}-\d{2}-\d{4}"")"),"10-28-2023")</f>
        <v>10-28-2023</v>
      </c>
      <c r="W516" s="2" t="str">
        <f>TEXT(V516,"yyyy-MM-dd")</f>
        <v>10-28-2023</v>
      </c>
      <c r="X516" s="2" t="s">
        <v>8362</v>
      </c>
      <c r="Y516" s="10" t="s">
        <v>8362</v>
      </c>
    </row>
    <row r="517" ht="15.75" customHeight="1">
      <c r="A517" s="2" t="s">
        <v>408</v>
      </c>
      <c r="B517" s="9" t="s">
        <v>7597</v>
      </c>
      <c r="C517" s="2" t="s">
        <v>3782</v>
      </c>
      <c r="D517" s="10" t="str">
        <f>IFERROR(__xludf.DUMMYFUNCTION("PROPER(REGEXREPLACE(TRIM(C517),""\s+"","" ""))"),"Nina Martinez")</f>
        <v>Nina Martinez</v>
      </c>
      <c r="E517" s="2">
        <f>IFERROR(__xludf.DUMMYFUNCTION("IF(LEN(D517:D701),
  COUNTA(SPLIT(D517:D701,"" "")),
 """")"),2.0)</f>
        <v>2</v>
      </c>
      <c r="F517" s="9" t="str">
        <f t="shared" si="253"/>
        <v>✅</v>
      </c>
      <c r="G517" s="2" t="str">
        <f>IFERROR(__xludf.DUMMYFUNCTION("REGEXEXTRACT(PROPER(SUBSTITUTE(TRIM(I517),""."","" "")),""^[^@]+"")"),"Nina Martinez")</f>
        <v>Nina Martinez</v>
      </c>
      <c r="H517" s="10" t="str">
        <f t="shared" si="254"/>
        <v>nina.martinez@outlook.com</v>
      </c>
      <c r="I517" s="2" t="s">
        <v>3783</v>
      </c>
      <c r="J517" s="9" t="str">
        <f>IFERROR(__xludf.DUMMYFUNCTION("IF(REGEXMATCH(TRIM(I517),""^[A-Za-z0-9._%+-]+@[A-Za-z0-9.-]+\.[A-Za-z]{2,}$""),""✅ Valid"",""❌ Invalid"")"),"✅ Valid")</f>
        <v>✅ Valid</v>
      </c>
      <c r="K517" s="13" t="s">
        <v>8363</v>
      </c>
      <c r="L517" s="2" t="str">
        <f>IFERROR(__xludf.DUMMYFUNCTION("IF(OR(K517=""N/A"", K517=""missing"", K517=""none""), """",
 REGEXREPLACE(
  SUBSTITUTE(SUBSTITUTE(SUBSTITUTE(TO_TEXT(K517), CHAR(160),""""), UNICHAR(8239),""""), UNICHAR(8201),""""),""[+\-/(): )]"", """"))"),"3537530323529")</f>
        <v>3537530323529</v>
      </c>
      <c r="M517" s="2" t="str">
        <f>IFERROR(__xludf.DUMMYFUNCTION("IF(L517="""","""", REGEXEXTRACT(REGEXREPLACE(L517,""x"", """"), ""[0-9]+""))"),"3537530323529")</f>
        <v>3537530323529</v>
      </c>
      <c r="N517" s="2" t="str">
        <f>IF(LEFT(M517,3)="353", RIGHT(M517,LEN(M517)-3),M517)</f>
        <v>7530323529</v>
      </c>
      <c r="O517" s="2" t="b">
        <f>IFERROR(__xludf.DUMMYFUNCTION("REGEXMATCH(TO_TEXT(N517), ""^0(83|85|86|87|89)"")"),FALSE)</f>
        <v>0</v>
      </c>
      <c r="P517" s="2">
        <f t="shared" si="259"/>
        <v>10</v>
      </c>
      <c r="Q517" s="9" t="str">
        <f>IF(AND(O517=TRUE, P514=10), "✅ VALID", "❌ INVALID")</f>
        <v>❌ INVALID</v>
      </c>
      <c r="R517" s="10" t="s">
        <v>1177</v>
      </c>
      <c r="S517" s="12">
        <v>44660.0</v>
      </c>
      <c r="T517" s="2" t="str">
        <f>IFERROR(__xludf.DUMMYFUNCTION("IF(ISNUMBER(S517),TEXT(S517,""yyyy-MM-dd""),REGEXREPLACE(REGEXREPLACE(TO_TEXT(S517),""[^0-9a-zA-Z]+"",""-""),""[^0-9]*$"",""""))"),"2022-04-09")</f>
        <v>2022-04-09</v>
      </c>
      <c r="U517" s="2" t="s">
        <v>8364</v>
      </c>
      <c r="Y517" s="10" t="s">
        <v>8364</v>
      </c>
    </row>
    <row r="518" ht="15.75" customHeight="1">
      <c r="A518" s="2" t="s">
        <v>7332</v>
      </c>
      <c r="B518" s="9" t="s">
        <v>7597</v>
      </c>
      <c r="C518" s="2" t="s">
        <v>436</v>
      </c>
      <c r="D518" s="10" t="str">
        <f>IFERROR(__xludf.DUMMYFUNCTION("PROPER(REGEXREPLACE(TRIM(C518),""\s+"","" ""))"),"Qi Nowak")</f>
        <v>Qi Nowak</v>
      </c>
      <c r="E518" s="2">
        <f>IFERROR(__xludf.DUMMYFUNCTION("IF(LEN(D518:D701),
  COUNTA(SPLIT(D518:D701,"" "")),
 """")"),2.0)</f>
        <v>2</v>
      </c>
      <c r="F518" s="9" t="str">
        <f t="shared" si="253"/>
        <v>✅</v>
      </c>
      <c r="G518" s="2" t="str">
        <f>IFERROR(__xludf.DUMMYFUNCTION("REGEXEXTRACT(PROPER(SUBSTITUTE(TRIM(I518),""."","" "")),""^[^@]+"")"),"Qi Nowak")</f>
        <v>Qi Nowak</v>
      </c>
      <c r="H518" s="10" t="str">
        <f t="shared" si="254"/>
        <v>qi.nowak@yahoo.com</v>
      </c>
      <c r="I518" s="2" t="s">
        <v>437</v>
      </c>
      <c r="J518" s="9" t="str">
        <f>IFERROR(__xludf.DUMMYFUNCTION("IF(REGEXMATCH(TRIM(I518),""^[A-Za-z0-9._%+-]+@[A-Za-z0-9.-]+\.[A-Za-z]{2,}$""),""✅ Valid"",""❌ Invalid"")"),"✅ Valid")</f>
        <v>✅ Valid</v>
      </c>
      <c r="K518" s="13" t="s">
        <v>8365</v>
      </c>
      <c r="L518" s="2" t="str">
        <f>IFERROR(__xludf.DUMMYFUNCTION("IF(OR(K518=""N/A"", K518=""missing"", K518=""none""), """",
 REGEXREPLACE(
  SUBSTITUTE(SUBSTITUTE(SUBSTITUTE(TO_TEXT(K518), CHAR(160),""""), UNICHAR(8239),""""), UNICHAR(8201),""""),""[+\-/(): )]"", """"))"),"11317658486")</f>
        <v>11317658486</v>
      </c>
      <c r="M518" s="2" t="str">
        <f>IFERROR(__xludf.DUMMYFUNCTION("IF(L518="""","""", REGEXEXTRACT(REGEXREPLACE(L518,""x"", """"), ""[0-9]+""))"),"11317658486")</f>
        <v>11317658486</v>
      </c>
      <c r="N518" s="2" t="str">
        <f>IF(LEFT(M518,1)="1", RIGHT(M518,LEN(M518)-1),M518)</f>
        <v>1317658486</v>
      </c>
      <c r="O518" s="2" t="b">
        <f>IFERROR(__xludf.DUMMYFUNCTION("REGEXMATCH(TO_TEXT(N518), ""^[2-9][0-9]{9}$"")"),FALSE)</f>
        <v>0</v>
      </c>
      <c r="P518" s="2">
        <f t="shared" si="259"/>
        <v>10</v>
      </c>
      <c r="Q518" s="9" t="str">
        <f>IF(AND(O518=TRUE, P518=10), "✅ VALID", "❌ INVALID")</f>
        <v>❌ INVALID</v>
      </c>
      <c r="R518" s="10" t="s">
        <v>199</v>
      </c>
      <c r="S518" s="12">
        <v>45796.0</v>
      </c>
      <c r="T518" s="2" t="str">
        <f>IFERROR(__xludf.DUMMYFUNCTION("IF(ISNUMBER(S518),TEXT(S518,""yyyy-MM-dd""),REGEXREPLACE(REGEXREPLACE(TO_TEXT(S518),""[^0-9a-zA-Z]+"",""-""),""[^0-9]*$"",""""))"),"2025-05-19")</f>
        <v>2025-05-19</v>
      </c>
      <c r="U518" s="2" t="s">
        <v>8366</v>
      </c>
      <c r="Y518" s="10" t="s">
        <v>8366</v>
      </c>
    </row>
    <row r="519" ht="15.75" customHeight="1">
      <c r="A519" s="2" t="s">
        <v>4487</v>
      </c>
      <c r="B519" s="9" t="s">
        <v>7597</v>
      </c>
      <c r="C519" s="2" t="s">
        <v>1880</v>
      </c>
      <c r="D519" s="10" t="str">
        <f>IFERROR(__xludf.DUMMYFUNCTION("PROPER(REGEXREPLACE(TRIM(C519),""\s+"","" ""))"),"Wiktor Novak")</f>
        <v>Wiktor Novak</v>
      </c>
      <c r="E519" s="2">
        <f>IFERROR(__xludf.DUMMYFUNCTION("IF(LEN(D519:D701),
  COUNTA(SPLIT(D519:D701,"" "")),
 """")"),2.0)</f>
        <v>2</v>
      </c>
      <c r="F519" s="9" t="str">
        <f t="shared" si="253"/>
        <v>✅</v>
      </c>
      <c r="G519" s="2" t="str">
        <f>IFERROR(__xludf.DUMMYFUNCTION("REGEXEXTRACT(PROPER(SUBSTITUTE(TRIM(I519),""."","" "")),""^[^@]+"")"),"Wiktor Novak")</f>
        <v>Wiktor Novak</v>
      </c>
      <c r="H519" s="10" t="str">
        <f t="shared" si="254"/>
        <v>wiktor.novak@example.com</v>
      </c>
      <c r="I519" s="2" t="s">
        <v>1881</v>
      </c>
      <c r="J519" s="9" t="str">
        <f>IFERROR(__xludf.DUMMYFUNCTION("IF(REGEXMATCH(TRIM(I519),""^[A-Za-z0-9._%+-]+@[A-Za-z0-9.-]+\.[A-Za-z]{2,}$""),""✅ Valid"",""❌ Invalid"")"),"✅ Valid")</f>
        <v>✅ Valid</v>
      </c>
      <c r="K519" s="11">
        <v>3.4683185562E10</v>
      </c>
      <c r="L519" s="2" t="str">
        <f>IFERROR(__xludf.DUMMYFUNCTION("IF(OR(K519=""N/A"", K519=""missing"", K519=""none""), """",
 REGEXREPLACE(
  SUBSTITUTE(SUBSTITUTE(SUBSTITUTE(TO_TEXT(K519), CHAR(160),""""), UNICHAR(8239),""""), UNICHAR(8201),""""),""[+\-/(): )]"", """"))"),"34683185562")</f>
        <v>34683185562</v>
      </c>
      <c r="M519" s="2" t="str">
        <f>IFERROR(__xludf.DUMMYFUNCTION("IF(L519="""","""", REGEXEXTRACT(REGEXREPLACE(L519,""x"", """"), ""[0-9]+""))"),"34683185562")</f>
        <v>34683185562</v>
      </c>
      <c r="N519" s="2" t="str">
        <f>IF(LEFT(M519,2)="34", RIGHT(M519,LEN(M519)-2),M519)</f>
        <v>683185562</v>
      </c>
      <c r="O519" s="2" t="b">
        <f>IFERROR(__xludf.DUMMYFUNCTION("REGEXMATCH(TO_TEXT(N519), ""^[67]"")"),TRUE)</f>
        <v>1</v>
      </c>
      <c r="P519" s="2">
        <f t="shared" si="259"/>
        <v>9</v>
      </c>
      <c r="Q519" s="9" t="str">
        <f>IF(AND(O519=TRUE, P519=9), "✅ VALID", "❌ INVALID")</f>
        <v>✅ VALID</v>
      </c>
      <c r="R519" s="10" t="s">
        <v>139</v>
      </c>
      <c r="S519" s="12">
        <v>45487.0</v>
      </c>
      <c r="T519" s="2" t="str">
        <f>IFERROR(__xludf.DUMMYFUNCTION("IF(ISNUMBER(S519),TEXT(S519,""yyyy-MM-dd""),REGEXREPLACE(REGEXREPLACE(TO_TEXT(S519),""[^0-9a-zA-Z]+"",""-""),""[^0-9]*$"",""""))"),"2024-07-14")</f>
        <v>2024-07-14</v>
      </c>
      <c r="U519" s="2" t="s">
        <v>7958</v>
      </c>
      <c r="Y519" s="10" t="s">
        <v>7958</v>
      </c>
    </row>
    <row r="520" ht="15.75" customHeight="1">
      <c r="A520" s="2" t="s">
        <v>2738</v>
      </c>
      <c r="B520" s="9" t="s">
        <v>7597</v>
      </c>
      <c r="C520" s="2" t="s">
        <v>540</v>
      </c>
      <c r="D520" s="10" t="str">
        <f>IFERROR(__xludf.DUMMYFUNCTION("PROPER(REGEXREPLACE(TRIM(C520),""\s+"","" ""))"),"Rita Kowalczyk")</f>
        <v>Rita Kowalczyk</v>
      </c>
      <c r="E520" s="2">
        <f>IFERROR(__xludf.DUMMYFUNCTION("IF(LEN(D520:D701),
  COUNTA(SPLIT(D520:D701,"" "")),
 """")"),2.0)</f>
        <v>2</v>
      </c>
      <c r="F520" s="9" t="str">
        <f t="shared" si="253"/>
        <v>✅</v>
      </c>
      <c r="G520" s="2" t="str">
        <f>IFERROR(__xludf.DUMMYFUNCTION("REGEXEXTRACT(PROPER(SUBSTITUTE(TRIM(I520),""."","" "")),""^[^@]+"")"),"Rita Kowalczyk")</f>
        <v>Rita Kowalczyk</v>
      </c>
      <c r="H520" s="10" t="str">
        <f t="shared" si="254"/>
        <v>rita.kowalczyk@example.com</v>
      </c>
      <c r="I520" s="2" t="s">
        <v>541</v>
      </c>
      <c r="J520" s="9" t="str">
        <f>IFERROR(__xludf.DUMMYFUNCTION("IF(REGEXMATCH(TRIM(I520),""^[A-Za-z0-9._%+-]+@[A-Za-z0-9.-]+\.[A-Za-z]{2,}$""),""✅ Valid"",""❌ Invalid"")"),"✅ Valid")</f>
        <v>✅ Valid</v>
      </c>
      <c r="K520" s="13" t="s">
        <v>8367</v>
      </c>
      <c r="L520" s="2" t="str">
        <f>IFERROR(__xludf.DUMMYFUNCTION("IF(OR(K520=""N/A"", K520=""missing"", K520=""none""), """",
 REGEXREPLACE(
  SUBSTITUTE(SUBSTITUTE(SUBSTITUTE(TO_TEXT(K520), CHAR(160),""""), UNICHAR(8239),""""), UNICHAR(8201),""""),""[+\-/(): )]"", """"))"),"390635109900ext62")</f>
        <v>390635109900ext62</v>
      </c>
      <c r="M520" s="2" t="str">
        <f>IFERROR(__xludf.DUMMYFUNCTION("IF(L520="""","""", REGEXEXTRACT(REGEXREPLACE(L520,""x"", """"), ""[0-9]+""))"),"390635109900")</f>
        <v>390635109900</v>
      </c>
      <c r="N520" s="2" t="str">
        <f>IF(LEFT(M520,2)="39", RIGHT(M520,LEN(M520)-2),M520)</f>
        <v>0635109900</v>
      </c>
      <c r="O520" s="2" t="b">
        <f>IFERROR(__xludf.DUMMYFUNCTION("REGEXMATCH(TO_TEXT(N520), ""^3"")"),FALSE)</f>
        <v>0</v>
      </c>
      <c r="P520" s="2">
        <f t="shared" si="259"/>
        <v>10</v>
      </c>
      <c r="Q520" s="9" t="str">
        <f>IF(AND(O520=TRUE,OR(P520=9, P520=10 )), "✅ VALID", "❌ INVALID")</f>
        <v>❌ INVALID</v>
      </c>
      <c r="R520" s="10" t="s">
        <v>785</v>
      </c>
      <c r="S520" s="12">
        <v>45594.0</v>
      </c>
      <c r="T520" s="2" t="str">
        <f>IFERROR(__xludf.DUMMYFUNCTION("IF(ISNUMBER(S520),TEXT(S520,""yyyy-MM-dd""),REGEXREPLACE(REGEXREPLACE(TO_TEXT(S520),""[^0-9a-zA-Z]+"",""-""),""[^0-9]*$"",""""))"),"2024-10-29")</f>
        <v>2024-10-29</v>
      </c>
      <c r="U520" s="2" t="s">
        <v>7078</v>
      </c>
      <c r="Y520" s="10" t="s">
        <v>7078</v>
      </c>
    </row>
    <row r="521" ht="15.75" customHeight="1">
      <c r="A521" s="2" t="s">
        <v>2864</v>
      </c>
      <c r="B521" s="9" t="s">
        <v>7597</v>
      </c>
      <c r="C521" s="2" t="s">
        <v>220</v>
      </c>
      <c r="D521" s="10" t="str">
        <f>IFERROR(__xludf.DUMMYFUNCTION("PROPER(REGEXREPLACE(TRIM(C521),""\s+"","" ""))"),"Vlad Williams")</f>
        <v>Vlad Williams</v>
      </c>
      <c r="E521" s="2">
        <f>IFERROR(__xludf.DUMMYFUNCTION("IF(LEN(D521:D701),
  COUNTA(SPLIT(D521:D701,"" "")),
 """")"),2.0)</f>
        <v>2</v>
      </c>
      <c r="F521" s="9" t="str">
        <f t="shared" si="253"/>
        <v>✅</v>
      </c>
      <c r="G521" s="2" t="str">
        <f>IFERROR(__xludf.DUMMYFUNCTION("REGEXEXTRACT(PROPER(SUBSTITUTE(TRIM(I521),""."","" "")),""^[^@]+"")"),"Vlad Williams")</f>
        <v>Vlad Williams</v>
      </c>
      <c r="H521" s="10" t="str">
        <f t="shared" si="254"/>
        <v>vlad.williams@gmail.com</v>
      </c>
      <c r="I521" s="2" t="s">
        <v>221</v>
      </c>
      <c r="J521" s="9" t="str">
        <f>IFERROR(__xludf.DUMMYFUNCTION("IF(REGEXMATCH(TRIM(I521),""^[A-Za-z0-9._%+-]+@[A-Za-z0-9.-]+\.[A-Za-z]{2,}$""),""✅ Valid"",""❌ Invalid"")"),"✅ Valid")</f>
        <v>✅ Valid</v>
      </c>
      <c r="K521" s="11">
        <v>3.440706038E9</v>
      </c>
      <c r="L521" s="2" t="str">
        <f>IFERROR(__xludf.DUMMYFUNCTION("IF(OR(K521=""N/A"", K521=""missing"", K521=""none""), """",
 REGEXREPLACE(
  SUBSTITUTE(SUBSTITUTE(SUBSTITUTE(TO_TEXT(K521), CHAR(160),""""), UNICHAR(8239),""""), UNICHAR(8201),""""),""[+\-/(): )]"", """"))"),"3440706038")</f>
        <v>3440706038</v>
      </c>
      <c r="M521" s="2" t="str">
        <f>IFERROR(__xludf.DUMMYFUNCTION("IF(L521="""","""", REGEXEXTRACT(REGEXREPLACE(L521,""x"", """"), ""[0-9]+""))"),"3440706038")</f>
        <v>3440706038</v>
      </c>
      <c r="N521" s="2" t="str">
        <f t="shared" ref="N521:N523" si="262">IF(LEFT(M521,2)="34", RIGHT(M521,LEN(M521)-2),M521)</f>
        <v>40706038</v>
      </c>
      <c r="O521" s="2" t="b">
        <f>IFERROR(__xludf.DUMMYFUNCTION("REGEXMATCH(TO_TEXT(N521), ""^[67]"")"),FALSE)</f>
        <v>0</v>
      </c>
      <c r="P521" s="2">
        <f t="shared" si="259"/>
        <v>8</v>
      </c>
      <c r="Q521" s="9" t="str">
        <f t="shared" ref="Q521:Q523" si="263">IF(AND(O521=TRUE, P521=9), "✅ VALID", "❌ INVALID")</f>
        <v>❌ INVALID</v>
      </c>
      <c r="R521" s="10" t="s">
        <v>139</v>
      </c>
      <c r="S521" s="12">
        <v>45745.0</v>
      </c>
      <c r="T521" s="2" t="str">
        <f>IFERROR(__xludf.DUMMYFUNCTION("IF(ISNUMBER(S521),TEXT(S521,""yyyy-MM-dd""),REGEXREPLACE(REGEXREPLACE(TO_TEXT(S521),""[^0-9a-zA-Z]+"",""-""),""[^0-9]*$"",""""))"),"2025-03-29")</f>
        <v>2025-03-29</v>
      </c>
      <c r="U521" s="2" t="s">
        <v>8368</v>
      </c>
      <c r="Y521" s="10" t="s">
        <v>8368</v>
      </c>
    </row>
    <row r="522" ht="15.75" customHeight="1">
      <c r="A522" s="2" t="s">
        <v>6730</v>
      </c>
      <c r="B522" s="9" t="s">
        <v>7597</v>
      </c>
      <c r="C522" s="2" t="s">
        <v>255</v>
      </c>
      <c r="D522" s="10" t="str">
        <f>IFERROR(__xludf.DUMMYFUNCTION("PROPER(REGEXREPLACE(TRIM(C522),""\s+"","" ""))"),"Daria King")</f>
        <v>Daria King</v>
      </c>
      <c r="E522" s="2">
        <f>IFERROR(__xludf.DUMMYFUNCTION("IF(LEN(D522:D701),
  COUNTA(SPLIT(D522:D701,"" "")),
 """")"),2.0)</f>
        <v>2</v>
      </c>
      <c r="F522" s="9" t="str">
        <f t="shared" si="253"/>
        <v>✅</v>
      </c>
      <c r="G522" s="2" t="str">
        <f>IFERROR(__xludf.DUMMYFUNCTION("REGEXEXTRACT(PROPER(SUBSTITUTE(TRIM(I522),""."","" "")),""^[^@]+"")"),"Daria King")</f>
        <v>Daria King</v>
      </c>
      <c r="H522" s="10" t="str">
        <f t="shared" si="254"/>
        <v>daria.king@outlook.com</v>
      </c>
      <c r="I522" s="2" t="s">
        <v>3592</v>
      </c>
      <c r="J522" s="9" t="str">
        <f>IFERROR(__xludf.DUMMYFUNCTION("IF(REGEXMATCH(TRIM(I522),""^[A-Za-z0-9._%+-]+@[A-Za-z0-9.-]+\.[A-Za-z]{2,}$""),""✅ Valid"",""❌ Invalid"")"),"✅ Valid")</f>
        <v>✅ Valid</v>
      </c>
      <c r="K522" s="13" t="s">
        <v>8369</v>
      </c>
      <c r="L522" s="2" t="str">
        <f>IFERROR(__xludf.DUMMYFUNCTION("IF(OR(K522=""N/A"", K522=""missing"", K522=""none""), """",
 REGEXREPLACE(
  SUBSTITUTE(SUBSTITUTE(SUBSTITUTE(TO_TEXT(K522), CHAR(160),""""), UNICHAR(8239),""""), UNICHAR(8201),""""),""[+\-/(): )]"", """"))"),"42373230")</f>
        <v>42373230</v>
      </c>
      <c r="M522" s="2" t="str">
        <f>IFERROR(__xludf.DUMMYFUNCTION("IF(L522="""","""", REGEXEXTRACT(REGEXREPLACE(L522,""x"", """"), ""[0-9]+""))"),"42373230")</f>
        <v>42373230</v>
      </c>
      <c r="N522" s="2" t="str">
        <f t="shared" si="262"/>
        <v>42373230</v>
      </c>
      <c r="O522" s="2" t="b">
        <f>IFERROR(__xludf.DUMMYFUNCTION("REGEXMATCH(TO_TEXT(N522), ""^[67]"")"),FALSE)</f>
        <v>0</v>
      </c>
      <c r="P522" s="2">
        <f t="shared" si="259"/>
        <v>8</v>
      </c>
      <c r="Q522" s="9" t="str">
        <f t="shared" si="263"/>
        <v>❌ INVALID</v>
      </c>
      <c r="R522" s="10" t="s">
        <v>139</v>
      </c>
      <c r="S522" s="12">
        <v>45321.0</v>
      </c>
      <c r="T522" s="2" t="str">
        <f>IFERROR(__xludf.DUMMYFUNCTION("IF(ISNUMBER(S522),TEXT(S522,""yyyy-MM-dd""),REGEXREPLACE(REGEXREPLACE(TO_TEXT(S522),""[^0-9a-zA-Z]+"",""-""),""[^0-9]*$"",""""))"),"2024-01-30")</f>
        <v>2024-01-30</v>
      </c>
      <c r="U522" s="2" t="s">
        <v>7004</v>
      </c>
      <c r="Y522" s="10" t="s">
        <v>7004</v>
      </c>
    </row>
    <row r="523" ht="15.75" customHeight="1">
      <c r="A523" s="2" t="s">
        <v>7145</v>
      </c>
      <c r="B523" s="9" t="s">
        <v>7597</v>
      </c>
      <c r="C523" s="2" t="s">
        <v>1283</v>
      </c>
      <c r="D523" s="10" t="str">
        <f>IFERROR(__xludf.DUMMYFUNCTION("PROPER(REGEXREPLACE(TRIM(C523),""\s+"","" ""))"),"Xenia Rossi")</f>
        <v>Xenia Rossi</v>
      </c>
      <c r="E523" s="2">
        <f>IFERROR(__xludf.DUMMYFUNCTION("IF(LEN(D523:D701),
  COUNTA(SPLIT(D523:D701,"" "")),
 """")"),2.0)</f>
        <v>2</v>
      </c>
      <c r="F523" s="9" t="str">
        <f t="shared" si="253"/>
        <v>✅</v>
      </c>
      <c r="G523" s="2" t="str">
        <f>IFERROR(__xludf.DUMMYFUNCTION("REGEXEXTRACT(PROPER(SUBSTITUTE(TRIM(I523),""."","" "")),""^[^@]+"")"),"Xenia Rossi")</f>
        <v>Xenia Rossi</v>
      </c>
      <c r="H523" s="10" t="str">
        <f t="shared" si="254"/>
        <v>xenia.rossi@gmail.com</v>
      </c>
      <c r="I523" s="2" t="s">
        <v>2746</v>
      </c>
      <c r="J523" s="9" t="str">
        <f>IFERROR(__xludf.DUMMYFUNCTION("IF(REGEXMATCH(TRIM(I523),""^[A-Za-z0-9._%+-]+@[A-Za-z0-9.-]+\.[A-Za-z]{2,}$""),""✅ Valid"",""❌ Invalid"")"),"✅ Valid")</f>
        <v>✅ Valid</v>
      </c>
      <c r="K523" s="11">
        <v>1.75235603E8</v>
      </c>
      <c r="L523" s="2" t="str">
        <f>IFERROR(__xludf.DUMMYFUNCTION("IF(OR(K523=""N/A"", K523=""missing"", K523=""none""), """",
 REGEXREPLACE(
  SUBSTITUTE(SUBSTITUTE(SUBSTITUTE(TO_TEXT(K523), CHAR(160),""""), UNICHAR(8239),""""), UNICHAR(8201),""""),""[+\-/(): )]"", """"))"),"175235603")</f>
        <v>175235603</v>
      </c>
      <c r="M523" s="2" t="str">
        <f>IFERROR(__xludf.DUMMYFUNCTION("IF(L523="""","""", REGEXEXTRACT(REGEXREPLACE(L523,""x"", """"), ""[0-9]+""))"),"175235603")</f>
        <v>175235603</v>
      </c>
      <c r="N523" s="2" t="str">
        <f t="shared" si="262"/>
        <v>175235603</v>
      </c>
      <c r="O523" s="2" t="b">
        <f>IFERROR(__xludf.DUMMYFUNCTION("REGEXMATCH(TO_TEXT(N523), ""^[67]"")"),FALSE)</f>
        <v>0</v>
      </c>
      <c r="P523" s="2">
        <f t="shared" si="259"/>
        <v>9</v>
      </c>
      <c r="Q523" s="9" t="str">
        <f t="shared" si="263"/>
        <v>❌ INVALID</v>
      </c>
      <c r="R523" s="10" t="s">
        <v>139</v>
      </c>
      <c r="S523" s="12">
        <v>44650.0</v>
      </c>
      <c r="T523" s="2" t="str">
        <f>IFERROR(__xludf.DUMMYFUNCTION("IF(ISNUMBER(S523),TEXT(S523,""yyyy-MM-dd""),REGEXREPLACE(REGEXREPLACE(TO_TEXT(S523),""[^0-9a-zA-Z]+"",""-""),""[^0-9]*$"",""""))"),"2022-03-30")</f>
        <v>2022-03-30</v>
      </c>
      <c r="U523" s="2" t="s">
        <v>7170</v>
      </c>
      <c r="Y523" s="10" t="s">
        <v>7170</v>
      </c>
    </row>
    <row r="524" ht="15.75" hidden="1" customHeight="1">
      <c r="A524" s="2" t="s">
        <v>2061</v>
      </c>
      <c r="B524" s="9" t="s">
        <v>7597</v>
      </c>
      <c r="C524" s="2" t="s">
        <v>2180</v>
      </c>
      <c r="D524" s="2" t="str">
        <f>IFERROR(__xludf.DUMMYFUNCTION("PROPER(REGEXREPLACE(TRIM(C524),""\s+"","" ""))"),"Hanna Brown")</f>
        <v>Hanna Brown</v>
      </c>
      <c r="E524" s="2">
        <f>IFERROR(__xludf.DUMMYFUNCTION("IF(LEN(D524:D701),
  COUNTA(SPLIT(D524:D701,"" "")),
 """")"),2.0)</f>
        <v>2</v>
      </c>
      <c r="K524" s="2" t="s">
        <v>222</v>
      </c>
      <c r="R524" s="10" t="s">
        <v>114</v>
      </c>
      <c r="S524" s="2" t="s">
        <v>3909</v>
      </c>
    </row>
    <row r="525" ht="15.75" customHeight="1">
      <c r="A525" s="2" t="s">
        <v>5450</v>
      </c>
      <c r="B525" s="9" t="s">
        <v>7597</v>
      </c>
      <c r="C525" s="2" t="s">
        <v>2693</v>
      </c>
      <c r="D525" s="10" t="str">
        <f>IFERROR(__xludf.DUMMYFUNCTION("PROPER(REGEXREPLACE(TRIM(C525),""\s+"","" ""))"),"Fiona Martinez")</f>
        <v>Fiona Martinez</v>
      </c>
      <c r="E525" s="2">
        <f>IFERROR(__xludf.DUMMYFUNCTION("IF(LEN(D525:D701),
  COUNTA(SPLIT(D525:D701,"" "")),
 """")"),2.0)</f>
        <v>2</v>
      </c>
      <c r="F525" s="9" t="str">
        <f t="shared" ref="F525:F538" si="264">IF(D525=G525,"✅","❌")</f>
        <v>✅</v>
      </c>
      <c r="G525" s="2" t="str">
        <f>IFERROR(__xludf.DUMMYFUNCTION("REGEXEXTRACT(PROPER(SUBSTITUTE(TRIM(I525),""."","" "")),""^[^@]+"")"),"Fiona Martinez")</f>
        <v>Fiona Martinez</v>
      </c>
      <c r="H525" s="10" t="str">
        <f t="shared" ref="H525:H538" si="265">LOWER(TRIM(I525))</f>
        <v>fiona.martinez@example.com</v>
      </c>
      <c r="I525" s="2" t="s">
        <v>2694</v>
      </c>
      <c r="J525" s="9" t="str">
        <f>IFERROR(__xludf.DUMMYFUNCTION("IF(REGEXMATCH(TRIM(I525),""^[A-Za-z0-9._%+-]+@[A-Za-z0-9.-]+\.[A-Za-z]{2,}$""),""✅ Valid"",""❌ Invalid"")"),"✅ Valid")</f>
        <v>✅ Valid</v>
      </c>
      <c r="K525" s="13" t="s">
        <v>8370</v>
      </c>
      <c r="L525" s="2" t="str">
        <f>IFERROR(__xludf.DUMMYFUNCTION("IF(OR(K525=""N/A"", K525=""missing"", K525=""none""), """",
 REGEXREPLACE(
  SUBSTITUTE(SUBSTITUTE(SUBSTITUTE(TO_TEXT(K525), CHAR(160),""""), UNICHAR(8239),""""), UNICHAR(8201),""""),""[+\-/(): )]"", """"))"),"tel3900443324")</f>
        <v>tel3900443324</v>
      </c>
      <c r="M525" s="2" t="str">
        <f>IFERROR(__xludf.DUMMYFUNCTION("IF(L525="""","""", REGEXEXTRACT(REGEXREPLACE(L525,""x"", """"), ""[0-9]+""))"),"3900443324")</f>
        <v>3900443324</v>
      </c>
      <c r="N525" s="2" t="str">
        <f>IF(LEFT(M525,2)="39", RIGHT(M525,LEN(M525)-2),M525)</f>
        <v>00443324</v>
      </c>
      <c r="O525" s="2" t="b">
        <f>IFERROR(__xludf.DUMMYFUNCTION("REGEXMATCH(TO_TEXT(N525), ""^3"")"),FALSE)</f>
        <v>0</v>
      </c>
      <c r="P525" s="2">
        <f>LEN(N525)</f>
        <v>8</v>
      </c>
      <c r="Q525" s="9" t="str">
        <f>IF(AND(O525=TRUE,OR(P525=9, P525=10 )), "✅ VALID", "❌ INVALID")</f>
        <v>❌ INVALID</v>
      </c>
      <c r="R525" s="10" t="s">
        <v>785</v>
      </c>
      <c r="S525" s="12">
        <v>45819.0</v>
      </c>
      <c r="T525" s="2" t="str">
        <f>IFERROR(__xludf.DUMMYFUNCTION("IF(ISNUMBER(S525),TEXT(S525,""yyyy-MM-dd""),REGEXREPLACE(REGEXREPLACE(TO_TEXT(S525),""[^0-9a-zA-Z]+"",""-""),""[^0-9]*$"",""""))"),"2025-06-11")</f>
        <v>2025-06-11</v>
      </c>
      <c r="U525" s="2" t="s">
        <v>8371</v>
      </c>
      <c r="Y525" s="10" t="s">
        <v>8371</v>
      </c>
    </row>
    <row r="526" ht="15.75" customHeight="1">
      <c r="A526" s="2" t="s">
        <v>21</v>
      </c>
      <c r="B526" s="9" t="s">
        <v>7597</v>
      </c>
      <c r="C526" s="2" t="s">
        <v>5822</v>
      </c>
      <c r="D526" s="10" t="str">
        <f>IFERROR(__xludf.DUMMYFUNCTION("PROPER(REGEXREPLACE(TRIM(C526),""\s+"","" ""))"),"Lia Martinez")</f>
        <v>Lia Martinez</v>
      </c>
      <c r="E526" s="2">
        <f>IFERROR(__xludf.DUMMYFUNCTION("IF(LEN(D526:D701),
  COUNTA(SPLIT(D526:D701,"" "")),
 """")"),2.0)</f>
        <v>2</v>
      </c>
      <c r="F526" s="9" t="str">
        <f t="shared" si="264"/>
        <v>✅</v>
      </c>
      <c r="G526" s="2" t="str">
        <f>IFERROR(__xludf.DUMMYFUNCTION("REGEXEXTRACT(PROPER(SUBSTITUTE(TRIM(I526),""."","" "")),""^[^@]+"")"),"Lia Martinez")</f>
        <v>Lia Martinez</v>
      </c>
      <c r="H526" s="10" t="str">
        <f t="shared" si="265"/>
        <v>lia.martinez@shop.io</v>
      </c>
      <c r="I526" s="2" t="s">
        <v>5823</v>
      </c>
      <c r="J526" s="9" t="str">
        <f>IFERROR(__xludf.DUMMYFUNCTION("IF(REGEXMATCH(TRIM(I526),""^[A-Za-z0-9._%+-]+@[A-Za-z0-9.-]+\.[A-Za-z]{2,}$""),""✅ Valid"",""❌ Invalid"")"),"✅ Valid")</f>
        <v>✅ Valid</v>
      </c>
      <c r="K526" s="15" t="s">
        <v>8372</v>
      </c>
      <c r="L526" s="2" t="str">
        <f>IFERROR(__xludf.DUMMYFUNCTION("IF(K526=""N/A"", """",
 REGEXREPLACE(
  SUBSTITUTE(SUBSTITUTE(SUBSTITUTE(TO_TEXT(K526), CHAR(160),""""), UNICHAR(8239),""""), UNICHAR(8201),""""),""[+\-/(): )]"", """"))"),"4887043155")</f>
        <v>4887043155</v>
      </c>
      <c r="M526" s="2" t="str">
        <f>IFERROR(__xludf.DUMMYFUNCTION("IF(L526="""","""", REGEXEXTRACT(REGEXREPLACE(L526,""x"", """"), ""[0-9]+""))"),"4887043155")</f>
        <v>4887043155</v>
      </c>
      <c r="N526" s="2" t="str">
        <f>IF(LEFT(M526,2)="48", RIGHT(M526,LEN(M526)-2),M526)</f>
        <v>87043155</v>
      </c>
      <c r="O526" s="2" t="b">
        <f>IFERROR(__xludf.DUMMYFUNCTION("REGEXMATCH(TO_TEXT(N526), ""^(5[013679]|6[069]|7[2-9]|88)"")"),FALSE)</f>
        <v>0</v>
      </c>
      <c r="Q526" s="9" t="str">
        <f>IF(AND(O526=TRUE, P526=9), "✅ VALID", "❌ INVALID")</f>
        <v>❌ INVALID</v>
      </c>
      <c r="R526" s="10" t="s">
        <v>25</v>
      </c>
      <c r="S526" s="12">
        <v>44591.0</v>
      </c>
      <c r="T526" s="2" t="str">
        <f>IFERROR(__xludf.DUMMYFUNCTION("IF(ISNUMBER(S526),TEXT(S526,""yyyy-MM-dd""),REGEXREPLACE(REGEXREPLACE(TO_TEXT(S526),""[^0-9a-zA-Z]+"",""-""),""[^0-9]*$"",""""))"),"2022-01-30")</f>
        <v>2022-01-30</v>
      </c>
      <c r="U526" s="2" t="s">
        <v>6764</v>
      </c>
      <c r="Y526" s="10" t="s">
        <v>6764</v>
      </c>
    </row>
    <row r="527" ht="15.75" customHeight="1">
      <c r="A527" s="2" t="s">
        <v>4549</v>
      </c>
      <c r="B527" s="9" t="s">
        <v>7597</v>
      </c>
      <c r="C527" s="2" t="s">
        <v>1029</v>
      </c>
      <c r="D527" s="10" t="str">
        <f>IFERROR(__xludf.DUMMYFUNCTION("PROPER(REGEXREPLACE(TRIM(C527),""\s+"","" ""))"),"Ken Williams")</f>
        <v>Ken Williams</v>
      </c>
      <c r="E527" s="2">
        <f>IFERROR(__xludf.DUMMYFUNCTION("IF(LEN(D527:D701),
  COUNTA(SPLIT(D527:D701,"" "")),
 """")"),2.0)</f>
        <v>2</v>
      </c>
      <c r="F527" s="9" t="str">
        <f t="shared" si="264"/>
        <v>✅</v>
      </c>
      <c r="G527" s="2" t="str">
        <f>IFERROR(__xludf.DUMMYFUNCTION("REGEXEXTRACT(PROPER(SUBSTITUTE(TRIM(I527),""."","" "")),""^[^@]+"")"),"Ken Williams")</f>
        <v>Ken Williams</v>
      </c>
      <c r="H527" s="10" t="str">
        <f t="shared" si="265"/>
        <v>ken.williams@company.co.uk</v>
      </c>
      <c r="I527" s="2" t="s">
        <v>1566</v>
      </c>
      <c r="J527" s="9" t="str">
        <f>IFERROR(__xludf.DUMMYFUNCTION("IF(REGEXMATCH(TRIM(I527),""^[A-Za-z0-9._%+-]+@[A-Za-z0-9.-]+\.[A-Za-z]{2,}$""),""✅ Valid"",""❌ Invalid"")"),"✅ Valid")</f>
        <v>✅ Valid</v>
      </c>
      <c r="K527" s="13" t="s">
        <v>8373</v>
      </c>
      <c r="L527" s="2" t="str">
        <f>IFERROR(__xludf.DUMMYFUNCTION("IF(OR(K527=""N/A"", K527=""missing"", K527=""none""), """",
 REGEXREPLACE(
  SUBSTITUTE(SUBSTITUTE(SUBSTITUTE(TO_TEXT(K527), CHAR(160),""""), UNICHAR(8239),""""), UNICHAR(8201),""""),""[+\-/(): )]"", """"))"),"35334973515")</f>
        <v>35334973515</v>
      </c>
      <c r="M527" s="2" t="str">
        <f>IFERROR(__xludf.DUMMYFUNCTION("IF(L527="""","""", REGEXEXTRACT(REGEXREPLACE(L527,""x"", """"), ""[0-9]+""))"),"35334973515")</f>
        <v>35334973515</v>
      </c>
      <c r="N527" s="2" t="str">
        <f>IF(LEFT(M527,3)="353", RIGHT(M527,LEN(M527)-3),M527)</f>
        <v>34973515</v>
      </c>
      <c r="O527" s="2" t="b">
        <f>IFERROR(__xludf.DUMMYFUNCTION("REGEXMATCH(TO_TEXT(N527), ""^0(83|85|86|87|89)"")"),FALSE)</f>
        <v>0</v>
      </c>
      <c r="P527" s="2">
        <f t="shared" ref="P527:P534" si="266">LEN(N527)</f>
        <v>8</v>
      </c>
      <c r="Q527" s="9" t="str">
        <f>IF(AND(O527=TRUE, P524=10), "✅ VALID", "❌ INVALID")</f>
        <v>❌ INVALID</v>
      </c>
      <c r="R527" s="10" t="s">
        <v>1177</v>
      </c>
      <c r="S527" s="12">
        <v>45929.0</v>
      </c>
      <c r="T527" s="2" t="str">
        <f>IFERROR(__xludf.DUMMYFUNCTION("IF(ISNUMBER(S527),TEXT(S527,""yyyy-MM-dd""),REGEXREPLACE(REGEXREPLACE(TO_TEXT(S527),""[^0-9a-zA-Z]+"",""-""),""[^0-9]*$"",""""))"),"2025-09-29")</f>
        <v>2025-09-29</v>
      </c>
      <c r="U527" s="2" t="s">
        <v>7018</v>
      </c>
      <c r="Y527" s="10" t="s">
        <v>7018</v>
      </c>
    </row>
    <row r="528" ht="15.75" customHeight="1">
      <c r="A528" s="2" t="s">
        <v>6634</v>
      </c>
      <c r="B528" s="9" t="s">
        <v>7597</v>
      </c>
      <c r="C528" s="2" t="s">
        <v>6291</v>
      </c>
      <c r="D528" s="10" t="str">
        <f>IFERROR(__xludf.DUMMYFUNCTION("PROPER(REGEXREPLACE(TRIM(C528),""\s+"","" ""))"),"Jade Davis")</f>
        <v>Jade Davis</v>
      </c>
      <c r="E528" s="2">
        <f>IFERROR(__xludf.DUMMYFUNCTION("IF(LEN(D528:D701),
  COUNTA(SPLIT(D528:D701,"" "")),
 """")"),2.0)</f>
        <v>2</v>
      </c>
      <c r="F528" s="9" t="str">
        <f t="shared" si="264"/>
        <v>✅</v>
      </c>
      <c r="G528" s="2" t="str">
        <f>IFERROR(__xludf.DUMMYFUNCTION("REGEXEXTRACT(PROPER(SUBSTITUTE(TRIM(I528),""."","" "")),""^[^@]+"")"),"Jade Davis")</f>
        <v>Jade Davis</v>
      </c>
      <c r="H528" s="10" t="str">
        <f t="shared" si="265"/>
        <v>jade.davis@company.co.uk</v>
      </c>
      <c r="I528" s="2" t="s">
        <v>6292</v>
      </c>
      <c r="J528" s="9" t="str">
        <f>IFERROR(__xludf.DUMMYFUNCTION("IF(REGEXMATCH(TRIM(I528),""^[A-Za-z0-9._%+-]+@[A-Za-z0-9.-]+\.[A-Za-z]{2,}$""),""✅ Valid"",""❌ Invalid"")"),"✅ Valid")</f>
        <v>✅ Valid</v>
      </c>
      <c r="K528" s="13" t="s">
        <v>8374</v>
      </c>
      <c r="L528" s="2" t="str">
        <f>IFERROR(__xludf.DUMMYFUNCTION("IF(OR(K528=""N/A"", K528=""missing"", K528=""none""), """",
 REGEXREPLACE(
  SUBSTITUTE(SUBSTITUTE(SUBSTITUTE(TO_TEXT(K528), CHAR(160),""""), UNICHAR(8239),""""), UNICHAR(8201),""""),""[+\-/(): )]"", """"))"),"44487613596")</f>
        <v>44487613596</v>
      </c>
      <c r="M528" s="2" t="str">
        <f>IFERROR(__xludf.DUMMYFUNCTION("IF(L528="""","""", REGEXEXTRACT(REGEXREPLACE(L528,""x"", """"), ""[0-9]+""))"),"44487613596")</f>
        <v>44487613596</v>
      </c>
      <c r="N528" s="2" t="str">
        <f>IF(LEFT(M528,2)="44", RIGHT(M528,LEN(M528)-2),M528)</f>
        <v>487613596</v>
      </c>
      <c r="O528" s="2" t="b">
        <f>IFERROR(__xludf.DUMMYFUNCTION("REGEXMATCH(TO_TEXT(N528), ""^07[1-57-9]"")"),FALSE)</f>
        <v>0</v>
      </c>
      <c r="P528" s="2">
        <f t="shared" si="266"/>
        <v>9</v>
      </c>
      <c r="Q528" s="9" t="str">
        <f>IF(AND(O528=TRUE, P528=11), "✅ VALID", "❌ INVALID")</f>
        <v>❌ INVALID</v>
      </c>
      <c r="R528" s="10" t="s">
        <v>114</v>
      </c>
      <c r="S528" s="12">
        <v>44786.0</v>
      </c>
      <c r="T528" s="2" t="str">
        <f>IFERROR(__xludf.DUMMYFUNCTION("IF(ISNUMBER(S528),TEXT(S528,""yyyy-MM-dd""),REGEXREPLACE(REGEXREPLACE(TO_TEXT(S528),""[^0-9a-zA-Z]+"",""-""),""[^0-9]*$"",""""))"),"2022-08-13")</f>
        <v>2022-08-13</v>
      </c>
      <c r="U528" s="2" t="s">
        <v>6607</v>
      </c>
      <c r="Y528" s="10" t="s">
        <v>6607</v>
      </c>
    </row>
    <row r="529" ht="15.75" customHeight="1">
      <c r="A529" s="2" t="s">
        <v>2278</v>
      </c>
      <c r="B529" s="9" t="s">
        <v>7597</v>
      </c>
      <c r="C529" s="2" t="s">
        <v>409</v>
      </c>
      <c r="D529" s="10" t="str">
        <f>IFERROR(__xludf.DUMMYFUNCTION("PROPER(REGEXREPLACE(TRIM(C529),""\s+"","" ""))"),"Sam Young")</f>
        <v>Sam Young</v>
      </c>
      <c r="E529" s="2">
        <f>IFERROR(__xludf.DUMMYFUNCTION("IF(LEN(D529:D701),
  COUNTA(SPLIT(D529:D701,"" "")),
 """")"),2.0)</f>
        <v>2</v>
      </c>
      <c r="F529" s="9" t="str">
        <f t="shared" si="264"/>
        <v>✅</v>
      </c>
      <c r="G529" s="2" t="str">
        <f>IFERROR(__xludf.DUMMYFUNCTION("REGEXEXTRACT(PROPER(SUBSTITUTE(TRIM(I529),""."","" "")),""^[^@]+"")"),"Sam Young")</f>
        <v>Sam Young</v>
      </c>
      <c r="H529" s="10" t="str">
        <f t="shared" si="265"/>
        <v>sam.young@yahoo.com</v>
      </c>
      <c r="I529" s="2" t="s">
        <v>410</v>
      </c>
      <c r="J529" s="9" t="str">
        <f>IFERROR(__xludf.DUMMYFUNCTION("IF(REGEXMATCH(TRIM(I529),""^[A-Za-z0-9._%+-]+@[A-Za-z0-9.-]+\.[A-Za-z]{2,}$""),""✅ Valid"",""❌ Invalid"")"),"✅ Valid")</f>
        <v>✅ Valid</v>
      </c>
      <c r="K529" s="11">
        <v>6.81725035E8</v>
      </c>
      <c r="L529" s="2" t="str">
        <f>IFERROR(__xludf.DUMMYFUNCTION("IF(OR(K529=""N/A"", K529=""missing"", K529=""none""), """",
 REGEXREPLACE(
  SUBSTITUTE(SUBSTITUTE(SUBSTITUTE(TO_TEXT(K529), CHAR(160),""""), UNICHAR(8239),""""), UNICHAR(8201),""""),""[+\-/(): )]"", """"))"),"681725035")</f>
        <v>681725035</v>
      </c>
      <c r="M529" s="2" t="str">
        <f>IFERROR(__xludf.DUMMYFUNCTION("IF(L529="""","""", REGEXEXTRACT(REGEXREPLACE(L529,""x"", """"), ""[0-9]+""))"),"681725035")</f>
        <v>681725035</v>
      </c>
      <c r="N529" s="2" t="str">
        <f>IF(LEFT(M529,2)="49", RIGHT(M529,LEN(M529)-2),M529)</f>
        <v>681725035</v>
      </c>
      <c r="O529" s="2" t="b">
        <f>IFERROR(__xludf.DUMMYFUNCTION("REGEXMATCH(TO_TEXT(N529), ""^0(15|16|17)"")"),FALSE)</f>
        <v>0</v>
      </c>
      <c r="P529" s="2">
        <f t="shared" si="266"/>
        <v>9</v>
      </c>
      <c r="Q529" s="9" t="str">
        <f>IF(AND(O529=TRUE,OR(P529=10, P529=11)), "✅ VALID", "❌ INVALID")</f>
        <v>❌ INVALID</v>
      </c>
      <c r="R529" s="10" t="s">
        <v>459</v>
      </c>
      <c r="S529" s="12">
        <v>45006.0</v>
      </c>
      <c r="T529" s="2" t="str">
        <f>IFERROR(__xludf.DUMMYFUNCTION("IF(ISNUMBER(S529),TEXT(S529,""yyyy-MM-dd""),REGEXREPLACE(REGEXREPLACE(TO_TEXT(S529),""[^0-9a-zA-Z]+"",""-""),""[^0-9]*$"",""""))"),"2023-03-21")</f>
        <v>2023-03-21</v>
      </c>
      <c r="U529" s="2" t="s">
        <v>7404</v>
      </c>
      <c r="Y529" s="10" t="s">
        <v>7404</v>
      </c>
    </row>
    <row r="530" ht="15.75" customHeight="1">
      <c r="A530" s="2" t="s">
        <v>1825</v>
      </c>
      <c r="B530" s="9" t="s">
        <v>7597</v>
      </c>
      <c r="C530" s="2" t="s">
        <v>7333</v>
      </c>
      <c r="D530" s="10" t="str">
        <f>IFERROR(__xludf.DUMMYFUNCTION("PROPER(REGEXREPLACE(TRIM(C530),""\s+"","" ""))"),"Rita Taylor")</f>
        <v>Rita Taylor</v>
      </c>
      <c r="E530" s="2">
        <f>IFERROR(__xludf.DUMMYFUNCTION("IF(LEN(D530:D701),
  COUNTA(SPLIT(D530:D701,"" "")),
 """")"),2.0)</f>
        <v>2</v>
      </c>
      <c r="F530" s="9" t="str">
        <f t="shared" si="264"/>
        <v>✅</v>
      </c>
      <c r="G530" s="2" t="str">
        <f>IFERROR(__xludf.DUMMYFUNCTION("REGEXEXTRACT(PROPER(SUBSTITUTE(TRIM(I530),""."","" "")),""^[^@]+"")"),"Rita Taylor")</f>
        <v>Rita Taylor</v>
      </c>
      <c r="H530" s="10" t="str">
        <f t="shared" si="265"/>
        <v>rita.taylor@shop.io</v>
      </c>
      <c r="I530" s="2" t="s">
        <v>7334</v>
      </c>
      <c r="J530" s="9" t="str">
        <f>IFERROR(__xludf.DUMMYFUNCTION("IF(REGEXMATCH(TRIM(I530),""^[A-Za-z0-9._%+-]+@[A-Za-z0-9.-]+\.[A-Za-z]{2,}$""),""✅ Valid"",""❌ Invalid"")"),"✅ Valid")</f>
        <v>✅ Valid</v>
      </c>
      <c r="K530" s="13" t="s">
        <v>8375</v>
      </c>
      <c r="L530" s="2" t="str">
        <f>IFERROR(__xludf.DUMMYFUNCTION("IF(OR(K530=""N/A"", K530=""missing"", K530=""none""), """",
 REGEXREPLACE(
  SUBSTITUTE(SUBSTITUTE(SUBSTITUTE(TO_TEXT(K530), CHAR(160),""""), UNICHAR(8239),""""), UNICHAR(8201),""""),""[+\-/(): )]"", """"))"),"34233762006")</f>
        <v>34233762006</v>
      </c>
      <c r="M530" s="2" t="str">
        <f>IFERROR(__xludf.DUMMYFUNCTION("IF(L530="""","""", REGEXEXTRACT(REGEXREPLACE(L530,""x"", """"), ""[0-9]+""))"),"34233762006")</f>
        <v>34233762006</v>
      </c>
      <c r="N530" s="2" t="str">
        <f>IF(LEFT(M530,2)="34", RIGHT(M530,LEN(M530)-2),M530)</f>
        <v>233762006</v>
      </c>
      <c r="O530" s="2" t="b">
        <f>IFERROR(__xludf.DUMMYFUNCTION("REGEXMATCH(TO_TEXT(N530), ""^[67]"")"),FALSE)</f>
        <v>0</v>
      </c>
      <c r="P530" s="2">
        <f t="shared" si="266"/>
        <v>9</v>
      </c>
      <c r="Q530" s="9" t="str">
        <f>IF(AND(O530=TRUE, P530=9), "✅ VALID", "❌ INVALID")</f>
        <v>❌ INVALID</v>
      </c>
      <c r="R530" s="10" t="s">
        <v>139</v>
      </c>
      <c r="S530" s="12" t="s">
        <v>6301</v>
      </c>
      <c r="T530" s="2" t="str">
        <f>IFERROR(__xludf.DUMMYFUNCTION("IF(ISNUMBER(S530),TEXT(S530,""yyyy-MM-dd""),REGEXREPLACE(REGEXREPLACE(TO_TEXT(S530),""[^0-9a-zA-Z]+"",""-""),""[^0-9]*$"",""""))"),"19-11-2024")</f>
        <v>19-11-2024</v>
      </c>
      <c r="U530" s="2" t="s">
        <v>8376</v>
      </c>
      <c r="Y530" s="10" t="s">
        <v>8376</v>
      </c>
    </row>
    <row r="531" ht="15.75" customHeight="1">
      <c r="A531" s="2" t="s">
        <v>4903</v>
      </c>
      <c r="B531" s="9" t="s">
        <v>7597</v>
      </c>
      <c r="C531" s="2" t="s">
        <v>894</v>
      </c>
      <c r="D531" s="10" t="str">
        <f>IFERROR(__xludf.DUMMYFUNCTION("PROPER(REGEXREPLACE(TRIM(C531),""\s+"","" ""))"),"Carlos Kowalski")</f>
        <v>Carlos Kowalski</v>
      </c>
      <c r="E531" s="2">
        <f>IFERROR(__xludf.DUMMYFUNCTION("IF(LEN(D531:D701),
  COUNTA(SPLIT(D531:D701,"" "")),
 """")"),2.0)</f>
        <v>2</v>
      </c>
      <c r="F531" s="9" t="str">
        <f t="shared" si="264"/>
        <v>✅</v>
      </c>
      <c r="G531" s="2" t="str">
        <f>IFERROR(__xludf.DUMMYFUNCTION("REGEXEXTRACT(PROPER(SUBSTITUTE(TRIM(I531),""."","" "")),""^[^@]+"")"),"Carlos Kowalski")</f>
        <v>Carlos Kowalski</v>
      </c>
      <c r="H531" s="10" t="str">
        <f t="shared" si="265"/>
        <v>carlos.kowalski@yahoo.com</v>
      </c>
      <c r="I531" s="2" t="s">
        <v>4488</v>
      </c>
      <c r="J531" s="9" t="str">
        <f>IFERROR(__xludf.DUMMYFUNCTION("IF(REGEXMATCH(TRIM(I531),""^[A-Za-z0-9._%+-]+@[A-Za-z0-9.-]+\.[A-Za-z]{2,}$""),""✅ Valid"",""❌ Invalid"")"),"✅ Valid")</f>
        <v>✅ Valid</v>
      </c>
      <c r="K531" s="13" t="s">
        <v>8377</v>
      </c>
      <c r="L531" s="2" t="str">
        <f>IFERROR(__xludf.DUMMYFUNCTION("IF(OR(K531=""N/A"", K531=""missing"", K531=""none""), """",
 REGEXREPLACE(
  SUBSTITUTE(SUBSTITUTE(SUBSTITUTE(TO_TEXT(K531), CHAR(160),""""), UNICHAR(8239),""""), UNICHAR(8201),""""),""[+\-/(): )]"", """"))"),"7090937866")</f>
        <v>7090937866</v>
      </c>
      <c r="M531" s="2" t="str">
        <f>IFERROR(__xludf.DUMMYFUNCTION("IF(L531="""","""", REGEXEXTRACT(REGEXREPLACE(L531,""x"", """"), ""[0-9]+""))"),"7090937866")</f>
        <v>7090937866</v>
      </c>
      <c r="N531" s="2" t="str">
        <f>IF(LEFT(M531,2)="49", RIGHT(M531,LEN(M531)-2),M531)</f>
        <v>7090937866</v>
      </c>
      <c r="O531" s="2" t="b">
        <f>IFERROR(__xludf.DUMMYFUNCTION("REGEXMATCH(TO_TEXT(N531), ""^0(15|16|17)"")"),FALSE)</f>
        <v>0</v>
      </c>
      <c r="P531" s="2">
        <f t="shared" si="266"/>
        <v>10</v>
      </c>
      <c r="Q531" s="9" t="str">
        <f>IF(AND(O531=TRUE,OR(P531=10, P531=11)), "✅ VALID", "❌ INVALID")</f>
        <v>❌ INVALID</v>
      </c>
      <c r="R531" s="10" t="s">
        <v>459</v>
      </c>
      <c r="S531" s="12">
        <v>45847.79375</v>
      </c>
      <c r="T531" s="2" t="str">
        <f>IFERROR(__xludf.DUMMYFUNCTION("IF(ISNUMBER(S531),TEXT(S531,""yyyy-MM-dd""),REGEXREPLACE(REGEXREPLACE(TO_TEXT(S531),""[^0-9a-zA-Z]+"",""-""),""[^0-9]*$"",""""))"),"2025-07-09")</f>
        <v>2025-07-09</v>
      </c>
      <c r="U531" s="2" t="s">
        <v>8378</v>
      </c>
      <c r="Y531" s="10" t="s">
        <v>8378</v>
      </c>
    </row>
    <row r="532" ht="15.75" customHeight="1">
      <c r="A532" s="2" t="s">
        <v>6094</v>
      </c>
      <c r="B532" s="9" t="s">
        <v>7597</v>
      </c>
      <c r="C532" s="2" t="s">
        <v>2739</v>
      </c>
      <c r="D532" s="10" t="str">
        <f>IFERROR(__xludf.DUMMYFUNCTION("PROPER(REGEXREPLACE(TRIM(C532),""\s+"","" ""))"),"Bella King")</f>
        <v>Bella King</v>
      </c>
      <c r="E532" s="2">
        <f>IFERROR(__xludf.DUMMYFUNCTION("IF(LEN(D532:D701),
  COUNTA(SPLIT(D532:D701,"" "")),
 """")"),2.0)</f>
        <v>2</v>
      </c>
      <c r="F532" s="9" t="str">
        <f t="shared" si="264"/>
        <v>✅</v>
      </c>
      <c r="G532" s="2" t="str">
        <f>IFERROR(__xludf.DUMMYFUNCTION("REGEXEXTRACT(PROPER(SUBSTITUTE(TRIM(I532),""."","" "")),""^[^@]+"")"),"Bella King")</f>
        <v>Bella King</v>
      </c>
      <c r="H532" s="10" t="str">
        <f t="shared" si="265"/>
        <v>bella.king@shop.io</v>
      </c>
      <c r="I532" s="2" t="s">
        <v>2740</v>
      </c>
      <c r="J532" s="9" t="str">
        <f>IFERROR(__xludf.DUMMYFUNCTION("IF(REGEXMATCH(TRIM(I532),""^[A-Za-z0-9._%+-]+@[A-Za-z0-9.-]+\.[A-Za-z]{2,}$""),""✅ Valid"",""❌ Invalid"")"),"✅ Valid")</f>
        <v>✅ Valid</v>
      </c>
      <c r="K532" s="13" t="s">
        <v>7614</v>
      </c>
      <c r="L532" s="2" t="str">
        <f>IFERROR(__xludf.DUMMYFUNCTION("IF(OR(K532=""N/A"", K532=""missing"", K532=""none""), """",
 REGEXREPLACE(
  SUBSTITUTE(SUBSTITUTE(SUBSTITUTE(TO_TEXT(K532), CHAR(160),""""), UNICHAR(8239),""""), UNICHAR(8201),""""),""[+\-/(): )]"", """"))"),"")</f>
        <v/>
      </c>
      <c r="M532" s="2" t="str">
        <f>IFERROR(__xludf.DUMMYFUNCTION("IF(L532="""","""", REGEXEXTRACT(REGEXREPLACE(L532,""x"", """"), ""[0-9]+""))"),"")</f>
        <v/>
      </c>
      <c r="N532" s="2" t="str">
        <f>IF(LEFT(M532,2)="33", RIGHT(M532,LEN(M532)-2),M532)</f>
        <v/>
      </c>
      <c r="O532" s="2" t="b">
        <f>IFERROR(__xludf.DUMMYFUNCTION("REGEXMATCH(TO_TEXT(N532), ""^0[67]"")"),FALSE)</f>
        <v>0</v>
      </c>
      <c r="P532" s="2">
        <f t="shared" si="266"/>
        <v>0</v>
      </c>
      <c r="Q532" s="9" t="str">
        <f>IF(AND(O532=TRUE, P532=9), "✅ VALID", "❌ INVALID")</f>
        <v>❌ INVALID</v>
      </c>
      <c r="R532" s="10" t="s">
        <v>58</v>
      </c>
      <c r="S532" s="12">
        <v>45066.0</v>
      </c>
      <c r="T532" s="2" t="str">
        <f>IFERROR(__xludf.DUMMYFUNCTION("IF(ISNUMBER(S532),TEXT(S532,""yyyy-MM-dd""),REGEXREPLACE(REGEXREPLACE(TO_TEXT(S532),""[^0-9a-zA-Z]+"",""-""),""[^0-9]*$"",""""))"),"2023-05-20")</f>
        <v>2023-05-20</v>
      </c>
      <c r="U532" s="2" t="s">
        <v>7045</v>
      </c>
      <c r="Y532" s="10" t="s">
        <v>7045</v>
      </c>
    </row>
    <row r="533" ht="15.75" customHeight="1">
      <c r="A533" s="2" t="s">
        <v>5876</v>
      </c>
      <c r="B533" s="9" t="s">
        <v>7597</v>
      </c>
      <c r="C533" s="2" t="s">
        <v>2865</v>
      </c>
      <c r="D533" s="10" t="str">
        <f>IFERROR(__xludf.DUMMYFUNCTION("PROPER(REGEXREPLACE(TRIM(C533),""\s+"","" ""))"),"Fiona Walker")</f>
        <v>Fiona Walker</v>
      </c>
      <c r="E533" s="2">
        <f>IFERROR(__xludf.DUMMYFUNCTION("IF(LEN(D533:D701),
  COUNTA(SPLIT(D533:D701,"" "")),
 """")"),2.0)</f>
        <v>2</v>
      </c>
      <c r="F533" s="9" t="str">
        <f t="shared" si="264"/>
        <v>✅</v>
      </c>
      <c r="G533" s="2" t="str">
        <f>IFERROR(__xludf.DUMMYFUNCTION("REGEXEXTRACT(PROPER(SUBSTITUTE(TRIM(I533),""."","" "")),""^[^@]+"")"),"Fiona Walker")</f>
        <v>Fiona Walker</v>
      </c>
      <c r="H533" s="10" t="str">
        <f t="shared" si="265"/>
        <v>fiona.walker@company.co.uk</v>
      </c>
      <c r="I533" s="2" t="s">
        <v>2866</v>
      </c>
      <c r="J533" s="9" t="str">
        <f>IFERROR(__xludf.DUMMYFUNCTION("IF(REGEXMATCH(TRIM(I533),""^[A-Za-z0-9._%+-]+@[A-Za-z0-9.-]+\.[A-Za-z]{2,}$""),""✅ Valid"",""❌ Invalid"")"),"✅ Valid")</f>
        <v>✅ Valid</v>
      </c>
      <c r="K533" s="13" t="s">
        <v>8379</v>
      </c>
      <c r="L533" s="2" t="str">
        <f>IFERROR(__xludf.DUMMYFUNCTION("IF(OR(K533=""N/A"", K533=""missing"", K533=""none""), """",
 REGEXREPLACE(
  SUBSTITUTE(SUBSTITUTE(SUBSTITUTE(TO_TEXT(K533), CHAR(160),""""), UNICHAR(8239),""""), UNICHAR(8201),""""),""[+\-/(): )]"", """"))"),"tel446522705489")</f>
        <v>tel446522705489</v>
      </c>
      <c r="M533" s="2" t="str">
        <f>IFERROR(__xludf.DUMMYFUNCTION("IF(L533="""","""", REGEXEXTRACT(REGEXREPLACE(L533,""x"", """"), ""[0-9]+""))"),"446522705489")</f>
        <v>446522705489</v>
      </c>
      <c r="N533" s="2" t="str">
        <f>IF(LEFT(M533,2)="44", RIGHT(M533,LEN(M533)-2),M533)</f>
        <v>6522705489</v>
      </c>
      <c r="O533" s="2" t="b">
        <f>IFERROR(__xludf.DUMMYFUNCTION("REGEXMATCH(TO_TEXT(N533), ""^07[1-57-9]"")"),FALSE)</f>
        <v>0</v>
      </c>
      <c r="P533" s="2">
        <f t="shared" si="266"/>
        <v>10</v>
      </c>
      <c r="Q533" s="9" t="str">
        <f>IF(AND(O533=TRUE, P533=11), "✅ VALID", "❌ INVALID")</f>
        <v>❌ INVALID</v>
      </c>
      <c r="R533" s="10" t="s">
        <v>114</v>
      </c>
      <c r="S533" s="12">
        <v>44688.0</v>
      </c>
      <c r="T533" s="2" t="str">
        <f>IFERROR(__xludf.DUMMYFUNCTION("IF(ISNUMBER(S533),TEXT(S533,""yyyy-MM-dd""),REGEXREPLACE(REGEXREPLACE(TO_TEXT(S533),""[^0-9a-zA-Z]+"",""-""),""[^0-9]*$"",""""))"),"2022-05-07")</f>
        <v>2022-05-07</v>
      </c>
      <c r="U533" s="2" t="s">
        <v>8299</v>
      </c>
      <c r="Y533" s="10" t="s">
        <v>8299</v>
      </c>
    </row>
    <row r="534" ht="15.75" customHeight="1">
      <c r="A534" s="2" t="s">
        <v>3513</v>
      </c>
      <c r="B534" s="9" t="s">
        <v>7597</v>
      </c>
      <c r="C534" s="2" t="s">
        <v>6731</v>
      </c>
      <c r="D534" s="10" t="s">
        <v>649</v>
      </c>
      <c r="E534" s="2">
        <f>IFERROR(__xludf.DUMMYFUNCTION("IF(LEN(D534:D701),
  COUNTA(SPLIT(D534:D701,"" "")),
 """")"),2.0)</f>
        <v>2</v>
      </c>
      <c r="F534" s="9" t="str">
        <f t="shared" si="264"/>
        <v>✅</v>
      </c>
      <c r="G534" s="2" t="s">
        <v>649</v>
      </c>
      <c r="H534" s="10" t="str">
        <f t="shared" si="265"/>
        <v>gabe.kowalski@outlook.com</v>
      </c>
      <c r="I534" s="2" t="s">
        <v>6732</v>
      </c>
      <c r="J534" s="9" t="str">
        <f>IFERROR(__xludf.DUMMYFUNCTION("IF(REGEXMATCH(TRIM(I534),""^[A-Za-z0-9._%+-]+@[A-Za-z0-9.-]+\.[A-Za-z]{2,}$""),""✅ Valid"",""❌ Invalid"")"),"✅ Valid")</f>
        <v>✅ Valid</v>
      </c>
      <c r="K534" s="11">
        <v>6.615459044E9</v>
      </c>
      <c r="L534" s="2" t="str">
        <f>IFERROR(__xludf.DUMMYFUNCTION("IF(OR(K534=""N/A"", K534=""missing"", K534=""none""), """",
 REGEXREPLACE(
  SUBSTITUTE(SUBSTITUTE(SUBSTITUTE(TO_TEXT(K534), CHAR(160),""""), UNICHAR(8239),""""), UNICHAR(8201),""""),""[+\-/(): )]"", """"))"),"6615459044")</f>
        <v>6615459044</v>
      </c>
      <c r="M534" s="2" t="str">
        <f>IFERROR(__xludf.DUMMYFUNCTION("IF(L534="""","""", REGEXEXTRACT(REGEXREPLACE(L534,""x"", """"), ""[0-9]+""))"),"6615459044")</f>
        <v>6615459044</v>
      </c>
      <c r="N534" s="2" t="str">
        <f>IF(LEFT(M534,2)="39", RIGHT(M534,LEN(M534)-2),M534)</f>
        <v>6615459044</v>
      </c>
      <c r="O534" s="2" t="b">
        <f>IFERROR(__xludf.DUMMYFUNCTION("REGEXMATCH(TO_TEXT(N534), ""^3"")"),FALSE)</f>
        <v>0</v>
      </c>
      <c r="P534" s="2">
        <f t="shared" si="266"/>
        <v>10</v>
      </c>
      <c r="Q534" s="9" t="str">
        <f>IF(AND(O534=TRUE,OR(P534=9, P534=10 )), "✅ VALID", "❌ INVALID")</f>
        <v>❌ INVALID</v>
      </c>
      <c r="R534" s="10" t="s">
        <v>785</v>
      </c>
      <c r="S534" s="12">
        <v>44805.0</v>
      </c>
      <c r="T534" s="2" t="str">
        <f>IFERROR(__xludf.DUMMYFUNCTION("IF(ISNUMBER(S534),TEXT(S534,""yyyy-MM-dd""),REGEXREPLACE(REGEXREPLACE(TO_TEXT(S534),""[^0-9a-zA-Z]+"",""-""),""[^0-9]*$"",""""))"),"2022-09-01")</f>
        <v>2022-09-01</v>
      </c>
      <c r="U534" s="2" t="s">
        <v>8380</v>
      </c>
      <c r="Y534" s="10" t="s">
        <v>8380</v>
      </c>
    </row>
    <row r="535" ht="15.75" customHeight="1">
      <c r="A535" s="2" t="s">
        <v>3611</v>
      </c>
      <c r="B535" s="9" t="s">
        <v>7597</v>
      </c>
      <c r="C535" s="2" t="s">
        <v>7146</v>
      </c>
      <c r="D535" s="10" t="str">
        <f>IFERROR(__xludf.DUMMYFUNCTION("PROPER(REGEXREPLACE(TRIM(C535),""\s+"","" ""))"),"Hanna Rossi")</f>
        <v>Hanna Rossi</v>
      </c>
      <c r="E535" s="2">
        <f>IFERROR(__xludf.DUMMYFUNCTION("IF(LEN(D535:D701),
  COUNTA(SPLIT(D535:D701,"" "")),
 """")"),2.0)</f>
        <v>2</v>
      </c>
      <c r="F535" s="9" t="str">
        <f t="shared" si="264"/>
        <v>✅</v>
      </c>
      <c r="G535" s="2" t="str">
        <f>IFERROR(__xludf.DUMMYFUNCTION("REGEXEXTRACT(PROPER(SUBSTITUTE(TRIM(I535),""."","" "")),""^[^@]+"")"),"Hanna Rossi")</f>
        <v>Hanna Rossi</v>
      </c>
      <c r="H535" s="10" t="str">
        <f t="shared" si="265"/>
        <v>hanna.rossi@outlook.ocm</v>
      </c>
      <c r="I535" s="2" t="s">
        <v>7147</v>
      </c>
      <c r="J535" s="9" t="str">
        <f>IFERROR(__xludf.DUMMYFUNCTION("IF(REGEXMATCH(TRIM(I535),""^[A-Za-z0-9._%+-]+@[A-Za-z0-9.-]+\.[A-Za-z]{2,}$""),""✅ Valid"",""❌ Invalid"")"),"✅ Valid")</f>
        <v>✅ Valid</v>
      </c>
      <c r="K535" s="15" t="s">
        <v>8381</v>
      </c>
      <c r="L535" s="2" t="str">
        <f>IFERROR(__xludf.DUMMYFUNCTION("IF(K535=""N/A"", """",
 REGEXREPLACE(
  SUBSTITUTE(SUBSTITUTE(SUBSTITUTE(TO_TEXT(K535), CHAR(160),""""), UNICHAR(8239),""""), UNICHAR(8201),""""),""[+\-/(): )]"", """"))"),"4881737171")</f>
        <v>4881737171</v>
      </c>
      <c r="M535" s="2" t="str">
        <f>IFERROR(__xludf.DUMMYFUNCTION("IF(L535="""","""", REGEXEXTRACT(REGEXREPLACE(L535,""x"", """"), ""[0-9]+""))"),"4881737171")</f>
        <v>4881737171</v>
      </c>
      <c r="N535" s="2" t="str">
        <f t="shared" ref="N535:N536" si="267">IF(LEFT(M535,2)="48", RIGHT(M535,LEN(M535)-2),M535)</f>
        <v>81737171</v>
      </c>
      <c r="O535" s="2" t="b">
        <f>IFERROR(__xludf.DUMMYFUNCTION("REGEXMATCH(TO_TEXT(N535), ""^(5[013679]|6[069]|7[2-9]|88)"")"),FALSE)</f>
        <v>0</v>
      </c>
      <c r="Q535" s="9" t="str">
        <f t="shared" ref="Q535:Q536" si="268">IF(AND(O535=TRUE, P535=9), "✅ VALID", "❌ INVALID")</f>
        <v>❌ INVALID</v>
      </c>
      <c r="R535" s="10" t="s">
        <v>25</v>
      </c>
      <c r="S535" s="12">
        <v>45532.0</v>
      </c>
      <c r="T535" s="2" t="str">
        <f>IFERROR(__xludf.DUMMYFUNCTION("IF(ISNUMBER(S535),TEXT(S535,""yyyy-MM-dd""),REGEXREPLACE(REGEXREPLACE(TO_TEXT(S535),""[^0-9a-zA-Z]+"",""-""),""[^0-9]*$"",""""))"),"2024-08-28")</f>
        <v>2024-08-28</v>
      </c>
      <c r="U535" s="2" t="s">
        <v>8382</v>
      </c>
      <c r="Y535" s="10" t="s">
        <v>8382</v>
      </c>
    </row>
    <row r="536" ht="15.75" customHeight="1">
      <c r="A536" s="2" t="s">
        <v>988</v>
      </c>
      <c r="B536" s="9" t="s">
        <v>7597</v>
      </c>
      <c r="C536" s="2" t="s">
        <v>2062</v>
      </c>
      <c r="D536" s="10" t="str">
        <f>IFERROR(__xludf.DUMMYFUNCTION("PROPER(REGEXREPLACE(TRIM(C536),""\s+"","" ""))"),"Vlad Khan")</f>
        <v>Vlad Khan</v>
      </c>
      <c r="E536" s="2">
        <f>IFERROR(__xludf.DUMMYFUNCTION("IF(LEN(D536:D701),
  COUNTA(SPLIT(D536:D701,"" "")),
 """")"),2.0)</f>
        <v>2</v>
      </c>
      <c r="F536" s="9" t="str">
        <f t="shared" si="264"/>
        <v>✅</v>
      </c>
      <c r="G536" s="2" t="str">
        <f>IFERROR(__xludf.DUMMYFUNCTION("REGEXEXTRACT(PROPER(SUBSTITUTE(TRIM(I536),""."","" "")),""^[^@]+"")"),"Vlad Khan")</f>
        <v>Vlad Khan</v>
      </c>
      <c r="H536" s="10" t="str">
        <f t="shared" si="265"/>
        <v>vlad.khan@company.co.uk</v>
      </c>
      <c r="I536" s="2" t="s">
        <v>2063</v>
      </c>
      <c r="J536" s="9" t="str">
        <f>IFERROR(__xludf.DUMMYFUNCTION("IF(REGEXMATCH(TRIM(I536),""^[A-Za-z0-9._%+-]+@[A-Za-z0-9.-]+\.[A-Za-z]{2,}$""),""✅ Valid"",""❌ Invalid"")"),"✅ Valid")</f>
        <v>✅ Valid</v>
      </c>
      <c r="K536" s="15" t="s">
        <v>8383</v>
      </c>
      <c r="L536" s="2" t="str">
        <f>IFERROR(__xludf.DUMMYFUNCTION("IF(K536=""N/A"", """",
 REGEXREPLACE(
  SUBSTITUTE(SUBSTITUTE(SUBSTITUTE(TO_TEXT(K536), CHAR(160),""""), UNICHAR(8239),""""), UNICHAR(8201),""""),""[+\-/(): )]"", """"))"),"4827591690")</f>
        <v>4827591690</v>
      </c>
      <c r="M536" s="2" t="str">
        <f>IFERROR(__xludf.DUMMYFUNCTION("IF(L536="""","""", REGEXEXTRACT(REGEXREPLACE(L536,""x"", """"), ""[0-9]+""))"),"4827591690")</f>
        <v>4827591690</v>
      </c>
      <c r="N536" s="2" t="str">
        <f t="shared" si="267"/>
        <v>27591690</v>
      </c>
      <c r="O536" s="2" t="b">
        <f>IFERROR(__xludf.DUMMYFUNCTION("REGEXMATCH(TO_TEXT(N536), ""^(5[013679]|6[069]|7[2-9]|88)"")"),FALSE)</f>
        <v>0</v>
      </c>
      <c r="Q536" s="9" t="str">
        <f t="shared" si="268"/>
        <v>❌ INVALID</v>
      </c>
      <c r="R536" s="10" t="s">
        <v>25</v>
      </c>
      <c r="S536" s="12" t="s">
        <v>7159</v>
      </c>
      <c r="T536" s="2" t="str">
        <f>IFERROR(__xludf.DUMMYFUNCTION("IF(ISNUMBER(S536),TEXT(S536,""yyyy-MM-dd""),REGEXREPLACE(REGEXREPLACE(TO_TEXT(S536),""[^0-9a-zA-Z]+"",""-""),""[^0-9]*$"",""""))"),"26-05-2023")</f>
        <v>26-05-2023</v>
      </c>
      <c r="U536" s="2" t="s">
        <v>8384</v>
      </c>
      <c r="Y536" s="10" t="s">
        <v>8384</v>
      </c>
    </row>
    <row r="537" ht="15.75" customHeight="1">
      <c r="A537" s="2" t="s">
        <v>1697</v>
      </c>
      <c r="B537" s="9" t="s">
        <v>7597</v>
      </c>
      <c r="C537" s="2" t="s">
        <v>5451</v>
      </c>
      <c r="D537" s="10" t="str">
        <f>IFERROR(__xludf.DUMMYFUNCTION("PROPER(REGEXREPLACE(TRIM(C537),""\s+"","" ""))"),"Marek Kowalski")</f>
        <v>Marek Kowalski</v>
      </c>
      <c r="E537" s="2">
        <f>IFERROR(__xludf.DUMMYFUNCTION("IF(LEN(D537:D701),
  COUNTA(SPLIT(D537:D701,"" "")),
 """")"),2.0)</f>
        <v>2</v>
      </c>
      <c r="F537" s="9" t="str">
        <f t="shared" si="264"/>
        <v>✅</v>
      </c>
      <c r="G537" s="2" t="str">
        <f>IFERROR(__xludf.DUMMYFUNCTION("REGEXEXTRACT(PROPER(SUBSTITUTE(TRIM(I537),""."","" "")),""^[^@]+"")"),"Marek Kowalski")</f>
        <v>Marek Kowalski</v>
      </c>
      <c r="H537" s="10" t="str">
        <f t="shared" si="265"/>
        <v>marek.kowalski@company.co.uk</v>
      </c>
      <c r="I537" s="2" t="s">
        <v>5452</v>
      </c>
      <c r="J537" s="9" t="str">
        <f>IFERROR(__xludf.DUMMYFUNCTION("IF(REGEXMATCH(TRIM(I537),""^[A-Za-z0-9._%+-]+@[A-Za-z0-9.-]+\.[A-Za-z]{2,}$""),""✅ Valid"",""❌ Invalid"")"),"✅ Valid")</f>
        <v>✅ Valid</v>
      </c>
      <c r="K537" s="11">
        <v>2.605847035E9</v>
      </c>
      <c r="L537" s="2" t="str">
        <f>IFERROR(__xludf.DUMMYFUNCTION("IF(OR(K537=""N/A"", K537=""missing"", K537=""none""), """",
 REGEXREPLACE(
  SUBSTITUTE(SUBSTITUTE(SUBSTITUTE(TO_TEXT(K537), CHAR(160),""""), UNICHAR(8239),""""), UNICHAR(8201),""""),""[+\-/(): )]"", """"))"),"2605847035")</f>
        <v>2605847035</v>
      </c>
      <c r="M537" s="2" t="str">
        <f>IFERROR(__xludf.DUMMYFUNCTION("IF(L537="""","""", REGEXEXTRACT(REGEXREPLACE(L537,""x"", """"), ""[0-9]+""))"),"2605847035")</f>
        <v>2605847035</v>
      </c>
      <c r="N537" s="2" t="str">
        <f>IF(LEFT(M537,3)="353", RIGHT(M537,LEN(M537)-3),M537)</f>
        <v>2605847035</v>
      </c>
      <c r="O537" s="2" t="b">
        <f>IFERROR(__xludf.DUMMYFUNCTION("REGEXMATCH(TO_TEXT(N537), ""^0(83|85|86|87|89)"")"),FALSE)</f>
        <v>0</v>
      </c>
      <c r="P537" s="2">
        <f t="shared" ref="P537:P538" si="269">LEN(N537)</f>
        <v>10</v>
      </c>
      <c r="Q537" s="9" t="str">
        <f>IF(AND(O537=TRUE, P534=10), "✅ VALID", "❌ INVALID")</f>
        <v>❌ INVALID</v>
      </c>
      <c r="R537" s="10" t="s">
        <v>1177</v>
      </c>
      <c r="S537" s="12">
        <v>45742.39027777778</v>
      </c>
      <c r="T537" s="2" t="str">
        <f>IFERROR(__xludf.DUMMYFUNCTION("IF(ISNUMBER(S537),TEXT(S537,""yyyy-MM-dd""),REGEXREPLACE(REGEXREPLACE(TO_TEXT(S537),""[^0-9a-zA-Z]+"",""-""),""[^0-9]*$"",""""))"),"2025-03-26")</f>
        <v>2025-03-26</v>
      </c>
      <c r="U537" s="2" t="s">
        <v>8385</v>
      </c>
      <c r="Y537" s="10" t="s">
        <v>8385</v>
      </c>
    </row>
    <row r="538" ht="15.75" customHeight="1">
      <c r="A538" s="2" t="s">
        <v>6959</v>
      </c>
      <c r="B538" s="9" t="s">
        <v>7597</v>
      </c>
      <c r="C538" s="2" t="s">
        <v>22</v>
      </c>
      <c r="D538" s="10" t="str">
        <f>IFERROR(__xludf.DUMMYFUNCTION("PROPER(REGEXREPLACE(TRIM(C538),""\s+"","" ""))"),"Tara Walker")</f>
        <v>Tara Walker</v>
      </c>
      <c r="E538" s="2">
        <f>IFERROR(__xludf.DUMMYFUNCTION("IF(LEN(D538:D701),
  COUNTA(SPLIT(D538:D701,"" "")),
 """")"),2.0)</f>
        <v>2</v>
      </c>
      <c r="F538" s="9" t="str">
        <f t="shared" si="264"/>
        <v>✅</v>
      </c>
      <c r="G538" s="2" t="str">
        <f>IFERROR(__xludf.DUMMYFUNCTION("REGEXEXTRACT(PROPER(SUBSTITUTE(TRIM(I538),""."","" "")),""^[^@]+"")"),"Tara Walker")</f>
        <v>Tara Walker</v>
      </c>
      <c r="H538" s="10" t="str">
        <f t="shared" si="265"/>
        <v>tara.walker@example.com</v>
      </c>
      <c r="I538" s="2" t="s">
        <v>23</v>
      </c>
      <c r="J538" s="9" t="str">
        <f>IFERROR(__xludf.DUMMYFUNCTION("IF(REGEXMATCH(TRIM(I538),""^[A-Za-z0-9._%+-]+@[A-Za-z0-9.-]+\.[A-Za-z]{2,}$""),""✅ Valid"",""❌ Invalid"")"),"✅ Valid")</f>
        <v>✅ Valid</v>
      </c>
      <c r="K538" s="13" t="s">
        <v>8386</v>
      </c>
      <c r="L538" s="2" t="str">
        <f>IFERROR(__xludf.DUMMYFUNCTION("IF(OR(K538=""N/A"", K538=""missing"", K538=""none""), """",
 REGEXREPLACE(
  SUBSTITUTE(SUBSTITUTE(SUBSTITUTE(TO_TEXT(K538), CHAR(160),""""), UNICHAR(8239),""""), UNICHAR(8201),""""),""[+\-/(): )]"", """"))"),"3945099830")</f>
        <v>3945099830</v>
      </c>
      <c r="M538" s="2" t="str">
        <f>IFERROR(__xludf.DUMMYFUNCTION("IF(L538="""","""", REGEXEXTRACT(REGEXREPLACE(L538,""x"", """"), ""[0-9]+""))"),"3945099830")</f>
        <v>3945099830</v>
      </c>
      <c r="N538" s="2" t="str">
        <f>IF(LEFT(M538,2)="39", RIGHT(M538,LEN(M538)-2),M538)</f>
        <v>45099830</v>
      </c>
      <c r="O538" s="2" t="b">
        <f>IFERROR(__xludf.DUMMYFUNCTION("REGEXMATCH(TO_TEXT(N538), ""^3"")"),FALSE)</f>
        <v>0</v>
      </c>
      <c r="P538" s="2">
        <f t="shared" si="269"/>
        <v>8</v>
      </c>
      <c r="Q538" s="9" t="str">
        <f>IF(AND(O538=TRUE,OR(P538=9, P538=10 )), "✅ VALID", "❌ INVALID")</f>
        <v>❌ INVALID</v>
      </c>
      <c r="R538" s="10" t="s">
        <v>785</v>
      </c>
      <c r="S538" s="12">
        <v>44744.0</v>
      </c>
      <c r="T538" s="2" t="str">
        <f>IFERROR(__xludf.DUMMYFUNCTION("IF(ISNUMBER(S538),TEXT(S538,""yyyy-MM-dd""),REGEXREPLACE(REGEXREPLACE(TO_TEXT(S538),""[^0-9a-zA-Z]+"",""-""),""[^0-9]*$"",""""))"),"2022-07-02")</f>
        <v>2022-07-02</v>
      </c>
      <c r="U538" s="2" t="s">
        <v>8387</v>
      </c>
      <c r="Y538" s="10" t="s">
        <v>8387</v>
      </c>
    </row>
    <row r="539" ht="15.75" hidden="1" customHeight="1">
      <c r="A539" s="2" t="s">
        <v>3868</v>
      </c>
      <c r="B539" s="9" t="s">
        <v>7597</v>
      </c>
      <c r="C539" s="2" t="s">
        <v>4514</v>
      </c>
      <c r="D539" s="2" t="str">
        <f>IFERROR(__xludf.DUMMYFUNCTION("PROPER(REGEXREPLACE(TRIM(C539),""\s+"","" ""))"),"Daria Rossi")</f>
        <v>Daria Rossi</v>
      </c>
      <c r="E539" s="2">
        <f>IFERROR(__xludf.DUMMYFUNCTION("IF(LEN(D539:D701),
  COUNTA(SPLIT(D539:D701,"" "")),
 """")"),2.0)</f>
        <v>2</v>
      </c>
      <c r="K539" s="2" t="s">
        <v>2064</v>
      </c>
      <c r="R539" s="10" t="s">
        <v>25</v>
      </c>
      <c r="S539" s="2" t="s">
        <v>7355</v>
      </c>
    </row>
    <row r="540" ht="15.75" customHeight="1">
      <c r="A540" s="2" t="s">
        <v>1307</v>
      </c>
      <c r="B540" s="9" t="s">
        <v>7597</v>
      </c>
      <c r="C540" s="2" t="s">
        <v>2030</v>
      </c>
      <c r="D540" s="10" t="str">
        <f>IFERROR(__xludf.DUMMYFUNCTION("PROPER(REGEXREPLACE(TRIM(C540),""\s+"","" ""))"),"Igor Kowalczyk")</f>
        <v>Igor Kowalczyk</v>
      </c>
      <c r="E540" s="2">
        <f>IFERROR(__xludf.DUMMYFUNCTION("IF(LEN(D540:D701),
  COUNTA(SPLIT(D540:D701,"" "")),
 """")"),2.0)</f>
        <v>2</v>
      </c>
      <c r="F540" s="9" t="str">
        <f t="shared" ref="F540:F542" si="270">IF(D540=G540,"✅","❌")</f>
        <v>✅</v>
      </c>
      <c r="G540" s="2" t="str">
        <f>IFERROR(__xludf.DUMMYFUNCTION("REGEXEXTRACT(PROPER(SUBSTITUTE(TRIM(I540),""."","" "")),""^[^@]+"")"),"Igor Kowalczyk")</f>
        <v>Igor Kowalczyk</v>
      </c>
      <c r="H540" s="10" t="str">
        <f t="shared" ref="H540:H542" si="271">LOWER(TRIM(I540))</f>
        <v>igor.kowalczyk@example.com</v>
      </c>
      <c r="I540" s="2" t="s">
        <v>6635</v>
      </c>
      <c r="J540" s="9" t="str">
        <f>IFERROR(__xludf.DUMMYFUNCTION("IF(REGEXMATCH(TRIM(I540),""^[A-Za-z0-9._%+-]+@[A-Za-z0-9.-]+\.[A-Za-z]{2,}$""),""✅ Valid"",""❌ Invalid"")"),"✅ Valid")</f>
        <v>✅ Valid</v>
      </c>
      <c r="K540" s="13" t="s">
        <v>8388</v>
      </c>
      <c r="L540" s="2" t="str">
        <f>IFERROR(__xludf.DUMMYFUNCTION("IF(OR(K540=""N/A"", K540=""missing"", K540=""none""), """",
 REGEXREPLACE(
  SUBSTITUTE(SUBSTITUTE(SUBSTITUTE(TO_TEXT(K540), CHAR(160),""""), UNICHAR(8239),""""), UNICHAR(8201),""""),""[+\-/(): )]"", """"))"),"398251232497")</f>
        <v>398251232497</v>
      </c>
      <c r="M540" s="2" t="str">
        <f>IFERROR(__xludf.DUMMYFUNCTION("IF(L540="""","""", REGEXEXTRACT(REGEXREPLACE(L540,""x"", """"), ""[0-9]+""))"),"398251232497")</f>
        <v>398251232497</v>
      </c>
      <c r="N540" s="2" t="str">
        <f>IF(LEFT(M540,2)="39", RIGHT(M540,LEN(M540)-2),M540)</f>
        <v>8251232497</v>
      </c>
      <c r="O540" s="2" t="b">
        <f>IFERROR(__xludf.DUMMYFUNCTION("REGEXMATCH(TO_TEXT(N540), ""^3"")"),FALSE)</f>
        <v>0</v>
      </c>
      <c r="P540" s="2">
        <f>LEN(N540)</f>
        <v>10</v>
      </c>
      <c r="Q540" s="9" t="str">
        <f>IF(AND(O540=TRUE,OR(P540=9, P540=10 )), "✅ VALID", "❌ INVALID")</f>
        <v>❌ INVALID</v>
      </c>
      <c r="R540" s="10" t="s">
        <v>785</v>
      </c>
      <c r="S540" s="12">
        <v>45213.0</v>
      </c>
      <c r="T540" s="2" t="str">
        <f>IFERROR(__xludf.DUMMYFUNCTION("IF(ISNUMBER(S540),TEXT(S540,""yyyy-MM-dd""),REGEXREPLACE(REGEXREPLACE(TO_TEXT(S540),""[^0-9a-zA-Z]+"",""-""),""[^0-9]*$"",""""))"),"2023-10-14")</f>
        <v>2023-10-14</v>
      </c>
      <c r="U540" s="2" t="s">
        <v>8087</v>
      </c>
      <c r="Y540" s="10" t="s">
        <v>8087</v>
      </c>
    </row>
    <row r="541" ht="15.75" customHeight="1">
      <c r="A541" s="2" t="s">
        <v>716</v>
      </c>
      <c r="B541" s="9" t="s">
        <v>7597</v>
      </c>
      <c r="C541" s="2" t="s">
        <v>2279</v>
      </c>
      <c r="D541" s="10" t="str">
        <f>IFERROR(__xludf.DUMMYFUNCTION("PROPER(REGEXREPLACE(TRIM(C541),""\s+"","" ""))"),"Xenia Lee")</f>
        <v>Xenia Lee</v>
      </c>
      <c r="E541" s="2">
        <f>IFERROR(__xludf.DUMMYFUNCTION("IF(LEN(D541:D701),
  COUNTA(SPLIT(D541:D701,"" "")),
 """")"),2.0)</f>
        <v>2</v>
      </c>
      <c r="F541" s="9" t="str">
        <f t="shared" si="270"/>
        <v>✅</v>
      </c>
      <c r="G541" s="2" t="str">
        <f>IFERROR(__xludf.DUMMYFUNCTION("REGEXEXTRACT(PROPER(SUBSTITUTE(TRIM(I541),""."","" "")),""^[^@]+"")"),"Xenia Lee")</f>
        <v>Xenia Lee</v>
      </c>
      <c r="H541" s="10" t="str">
        <f t="shared" si="271"/>
        <v>xenia.lee@example.com</v>
      </c>
      <c r="I541" s="2" t="s">
        <v>2280</v>
      </c>
      <c r="J541" s="9" t="str">
        <f>IFERROR(__xludf.DUMMYFUNCTION("IF(REGEXMATCH(TRIM(I541),""^[A-Za-z0-9._%+-]+@[A-Za-z0-9.-]+\.[A-Za-z]{2,}$""),""✅ Valid"",""❌ Invalid"")"),"✅ Valid")</f>
        <v>✅ Valid</v>
      </c>
      <c r="K541" s="15" t="s">
        <v>8389</v>
      </c>
      <c r="L541" s="2" t="str">
        <f>IFERROR(__xludf.DUMMYFUNCTION("IF(K541=""N/A"", """",
 REGEXREPLACE(
  SUBSTITUTE(SUBSTITUTE(SUBSTITUTE(TO_TEXT(K541), CHAR(160),""""), UNICHAR(8239),""""), UNICHAR(8201),""""),""[+\-/(): )]"", """"))"),"48302608781")</f>
        <v>48302608781</v>
      </c>
      <c r="M541" s="2" t="str">
        <f>IFERROR(__xludf.DUMMYFUNCTION("IF(L541="""","""", REGEXEXTRACT(REGEXREPLACE(L541,""x"", """"), ""[0-9]+""))"),"48302608781")</f>
        <v>48302608781</v>
      </c>
      <c r="N541" s="2" t="str">
        <f>IF(LEFT(M541,2)="48", RIGHT(M541,LEN(M541)-2),M541)</f>
        <v>302608781</v>
      </c>
      <c r="O541" s="2" t="b">
        <f>IFERROR(__xludf.DUMMYFUNCTION("REGEXMATCH(TO_TEXT(N541), ""^(5[013679]|6[069]|7[2-9]|88)"")"),FALSE)</f>
        <v>0</v>
      </c>
      <c r="Q541" s="9" t="str">
        <f>IF(AND(O541=TRUE, P541=9), "✅ VALID", "❌ INVALID")</f>
        <v>❌ INVALID</v>
      </c>
      <c r="R541" s="10" t="s">
        <v>25</v>
      </c>
      <c r="S541" s="12">
        <v>45261.0</v>
      </c>
      <c r="T541" s="2" t="str">
        <f>IFERROR(__xludf.DUMMYFUNCTION("IF(ISNUMBER(S541),TEXT(S541,""yyyy-MM-dd""),REGEXREPLACE(REGEXREPLACE(TO_TEXT(S541),""[^0-9a-zA-Z]+"",""-""),""[^0-9]*$"",""""))"),"2023-12-01")</f>
        <v>2023-12-01</v>
      </c>
      <c r="U541" s="2" t="s">
        <v>8390</v>
      </c>
      <c r="Y541" s="10" t="s">
        <v>8390</v>
      </c>
    </row>
    <row r="542" ht="15.75" customHeight="1">
      <c r="A542" s="2" t="s">
        <v>4295</v>
      </c>
      <c r="B542" s="9" t="s">
        <v>7597</v>
      </c>
      <c r="C542" s="2" t="s">
        <v>1826</v>
      </c>
      <c r="D542" s="10" t="str">
        <f>IFERROR(__xludf.DUMMYFUNCTION("PROPER(REGEXREPLACE(TRIM(C542),""\s+"","" ""))"),"Carlos Walker")</f>
        <v>Carlos Walker</v>
      </c>
      <c r="E542" s="2">
        <f>IFERROR(__xludf.DUMMYFUNCTION("IF(LEN(D542:D701),
  COUNTA(SPLIT(D542:D701,"" "")),
 """")"),2.0)</f>
        <v>2</v>
      </c>
      <c r="F542" s="9" t="str">
        <f t="shared" si="270"/>
        <v>✅</v>
      </c>
      <c r="G542" s="2" t="str">
        <f>IFERROR(__xludf.DUMMYFUNCTION("REGEXEXTRACT(PROPER(SUBSTITUTE(TRIM(I542),""."","" "")),""^[^@]+"")"),"Carlos Walker")</f>
        <v>Carlos Walker</v>
      </c>
      <c r="H542" s="10" t="str">
        <f t="shared" si="271"/>
        <v>carlos.walker@yahoo.com</v>
      </c>
      <c r="I542" s="2" t="s">
        <v>1827</v>
      </c>
      <c r="J542" s="9" t="str">
        <f>IFERROR(__xludf.DUMMYFUNCTION("IF(REGEXMATCH(TRIM(I542),""^[A-Za-z0-9._%+-]+@[A-Za-z0-9.-]+\.[A-Za-z]{2,}$""),""✅ Valid"",""❌ Invalid"")"),"✅ Valid")</f>
        <v>✅ Valid</v>
      </c>
      <c r="K542" s="11">
        <v>5.69712514E8</v>
      </c>
      <c r="L542" s="2" t="str">
        <f>IFERROR(__xludf.DUMMYFUNCTION("IF(OR(K542=""N/A"", K542=""missing"", K542=""none""), """",
 REGEXREPLACE(
  SUBSTITUTE(SUBSTITUTE(SUBSTITUTE(TO_TEXT(K542), CHAR(160),""""), UNICHAR(8239),""""), UNICHAR(8201),""""),""[+\-/(): )]"", """"))"),"569712514")</f>
        <v>569712514</v>
      </c>
      <c r="M542" s="2" t="str">
        <f>IFERROR(__xludf.DUMMYFUNCTION("IF(L542="""","""", REGEXEXTRACT(REGEXREPLACE(L542,""x"", """"), ""[0-9]+""))"),"569712514")</f>
        <v>569712514</v>
      </c>
      <c r="N542" s="2" t="str">
        <f>IF(LEFT(M542,2)="39", RIGHT(M542,LEN(M542)-2),M542)</f>
        <v>569712514</v>
      </c>
      <c r="O542" s="2" t="b">
        <f>IFERROR(__xludf.DUMMYFUNCTION("REGEXMATCH(TO_TEXT(N542), ""^3"")"),FALSE)</f>
        <v>0</v>
      </c>
      <c r="P542" s="2">
        <f>LEN(N542)</f>
        <v>9</v>
      </c>
      <c r="Q542" s="9" t="str">
        <f>IF(AND(O542=TRUE,OR(P542=9, P542=10 )), "✅ VALID", "❌ INVALID")</f>
        <v>❌ INVALID</v>
      </c>
      <c r="R542" s="10" t="s">
        <v>785</v>
      </c>
      <c r="S542" s="12">
        <v>45189.85902777778</v>
      </c>
      <c r="T542" s="2" t="str">
        <f>IFERROR(__xludf.DUMMYFUNCTION("IF(ISNUMBER(S542),TEXT(S542,""yyyy-MM-dd""),REGEXREPLACE(REGEXREPLACE(TO_TEXT(S542),""[^0-9a-zA-Z]+"",""-""),""[^0-9]*$"",""""))"),"2023-09-20")</f>
        <v>2023-09-20</v>
      </c>
      <c r="U542" s="2" t="s">
        <v>8391</v>
      </c>
      <c r="Y542" s="10" t="s">
        <v>8391</v>
      </c>
    </row>
    <row r="543" ht="15.75" hidden="1" customHeight="1">
      <c r="A543" s="2" t="s">
        <v>7064</v>
      </c>
      <c r="B543" s="9" t="s">
        <v>7597</v>
      </c>
      <c r="C543" s="2" t="s">
        <v>4904</v>
      </c>
      <c r="D543" s="2" t="str">
        <f>IFERROR(__xludf.DUMMYFUNCTION("PROPER(REGEXREPLACE(TRIM(C543),""\s+"","" ""))"),"Igor Rodriguez")</f>
        <v>Igor Rodriguez</v>
      </c>
      <c r="E543" s="2">
        <f>IFERROR(__xludf.DUMMYFUNCTION("IF(LEN(D543:D701),
  COUNTA(SPLIT(D543:D701,"" "")),
 """")"),2.0)</f>
        <v>2</v>
      </c>
      <c r="K543" s="2" t="s">
        <v>6636</v>
      </c>
      <c r="R543" s="10" t="s">
        <v>199</v>
      </c>
      <c r="S543" s="2" t="s">
        <v>6637</v>
      </c>
    </row>
    <row r="544" ht="15.75" customHeight="1">
      <c r="A544" s="2" t="s">
        <v>6448</v>
      </c>
      <c r="B544" s="9" t="s">
        <v>7597</v>
      </c>
      <c r="C544" s="2" t="s">
        <v>5333</v>
      </c>
      <c r="D544" s="10" t="str">
        <f>IFERROR(__xludf.DUMMYFUNCTION("PROPER(REGEXREPLACE(TRIM(C544),""\s+"","" ""))"),"Xenia Smith")</f>
        <v>Xenia Smith</v>
      </c>
      <c r="E544" s="2">
        <f>IFERROR(__xludf.DUMMYFUNCTION("IF(LEN(D544:D701),
  COUNTA(SPLIT(D544:D701,"" "")),
 """")"),2.0)</f>
        <v>2</v>
      </c>
      <c r="F544" s="9" t="str">
        <f t="shared" ref="F544:F569" si="272">IF(D544=G544,"✅","❌")</f>
        <v>✅</v>
      </c>
      <c r="G544" s="2" t="str">
        <f>IFERROR(__xludf.DUMMYFUNCTION("REGEXEXTRACT(PROPER(SUBSTITUTE(TRIM(I544),""."","" "")),""^[^@]+"")"),"Xenia Smith")</f>
        <v>Xenia Smith</v>
      </c>
      <c r="H544" s="10" t="str">
        <f t="shared" ref="H544:H569" si="273">LOWER(TRIM(I544))</f>
        <v>xenia.smith@company.co.uk</v>
      </c>
      <c r="I544" s="2" t="s">
        <v>6095</v>
      </c>
      <c r="J544" s="9" t="str">
        <f>IFERROR(__xludf.DUMMYFUNCTION("IF(REGEXMATCH(TRIM(I544),""^[A-Za-z0-9._%+-]+@[A-Za-z0-9.-]+\.[A-Za-z]{2,}$""),""✅ Valid"",""❌ Invalid"")"),"✅ Valid")</f>
        <v>✅ Valid</v>
      </c>
      <c r="K544" s="13" t="s">
        <v>8392</v>
      </c>
      <c r="L544" s="2" t="str">
        <f>IFERROR(__xludf.DUMMYFUNCTION("IF(OR(K544=""N/A"", K544=""missing"", K544=""none""), """",
 REGEXREPLACE(
  SUBSTITUTE(SUBSTITUTE(SUBSTITUTE(TO_TEXT(K544), CHAR(160),""""), UNICHAR(8239),""""), UNICHAR(8201),""""),""[+\-/(): )]"", """"))"),"34403302807ext605")</f>
        <v>34403302807ext605</v>
      </c>
      <c r="M544" s="2" t="str">
        <f>IFERROR(__xludf.DUMMYFUNCTION("IF(L544="""","""", REGEXEXTRACT(REGEXREPLACE(L544,""x"", """"), ""[0-9]+""))"),"34403302807")</f>
        <v>34403302807</v>
      </c>
      <c r="N544" s="2" t="str">
        <f>IF(LEFT(M544,2)="34", RIGHT(M544,LEN(M544)-2),M544)</f>
        <v>403302807</v>
      </c>
      <c r="O544" s="2" t="b">
        <f>IFERROR(__xludf.DUMMYFUNCTION("REGEXMATCH(TO_TEXT(N544), ""^[67]"")"),FALSE)</f>
        <v>0</v>
      </c>
      <c r="P544" s="2">
        <f t="shared" ref="P544:P548" si="274">LEN(N544)</f>
        <v>9</v>
      </c>
      <c r="Q544" s="9" t="str">
        <f>IF(AND(O544=TRUE, P544=9), "✅ VALID", "❌ INVALID")</f>
        <v>❌ INVALID</v>
      </c>
      <c r="R544" s="10" t="s">
        <v>139</v>
      </c>
      <c r="S544" s="12" t="s">
        <v>6932</v>
      </c>
      <c r="T544" s="2" t="str">
        <f>IFERROR(__xludf.DUMMYFUNCTION("IF(ISNUMBER(S544),TEXT(S544,""yyyy-MM-dd""),REGEXREPLACE(REGEXREPLACE(TO_TEXT(S544),""[^0-9a-zA-Z]+"",""-""),""[^0-9]*$"",""""))"),"05-05-2023")</f>
        <v>05-05-2023</v>
      </c>
      <c r="U544" s="2" t="s">
        <v>8393</v>
      </c>
      <c r="Y544" s="10" t="s">
        <v>8393</v>
      </c>
    </row>
    <row r="545" ht="15.75" customHeight="1">
      <c r="A545" s="2" t="s">
        <v>6283</v>
      </c>
      <c r="B545" s="9" t="s">
        <v>7597</v>
      </c>
      <c r="C545" s="2" t="s">
        <v>5877</v>
      </c>
      <c r="D545" s="10" t="str">
        <f>IFERROR(__xludf.DUMMYFUNCTION("PROPER(REGEXREPLACE(TRIM(C545),""\s+"","" ""))"),"Tara Dubois")</f>
        <v>Tara Dubois</v>
      </c>
      <c r="E545" s="2">
        <f>IFERROR(__xludf.DUMMYFUNCTION("IF(LEN(D545:D701),
  COUNTA(SPLIT(D545:D701,"" "")),
 """")"),2.0)</f>
        <v>2</v>
      </c>
      <c r="F545" s="9" t="str">
        <f t="shared" si="272"/>
        <v>✅</v>
      </c>
      <c r="G545" s="2" t="str">
        <f>IFERROR(__xludf.DUMMYFUNCTION("REGEXEXTRACT(PROPER(SUBSTITUTE(TRIM(I545),""."","" "")),""^[^@]+"")"),"Tara Dubois")</f>
        <v>Tara Dubois</v>
      </c>
      <c r="H545" s="10" t="str">
        <f t="shared" si="273"/>
        <v>tara.dubois@examlpe.com</v>
      </c>
      <c r="I545" s="2" t="s">
        <v>5878</v>
      </c>
      <c r="J545" s="9" t="str">
        <f>IFERROR(__xludf.DUMMYFUNCTION("IF(REGEXMATCH(TRIM(I545),""^[A-Za-z0-9._%+-]+@[A-Za-z0-9.-]+\.[A-Za-z]{2,}$""),""✅ Valid"",""❌ Invalid"")"),"✅ Valid")</f>
        <v>✅ Valid</v>
      </c>
      <c r="K545" s="11">
        <v>3.53182549369E11</v>
      </c>
      <c r="L545" s="2" t="str">
        <f>IFERROR(__xludf.DUMMYFUNCTION("IF(OR(K545=""N/A"", K545=""missing"", K545=""none""), """",
 REGEXREPLACE(
  SUBSTITUTE(SUBSTITUTE(SUBSTITUTE(TO_TEXT(K545), CHAR(160),""""), UNICHAR(8239),""""), UNICHAR(8201),""""),""[+\-/(): )]"", """"))"),"353182549369")</f>
        <v>353182549369</v>
      </c>
      <c r="M545" s="2" t="str">
        <f>IFERROR(__xludf.DUMMYFUNCTION("IF(L545="""","""", REGEXEXTRACT(REGEXREPLACE(L545,""x"", """"), ""[0-9]+""))"),"353182549369")</f>
        <v>353182549369</v>
      </c>
      <c r="N545" s="2" t="str">
        <f>IF(LEFT(M545,3)="353", RIGHT(M545,LEN(M545)-3),M545)</f>
        <v>182549369</v>
      </c>
      <c r="O545" s="2" t="b">
        <f>IFERROR(__xludf.DUMMYFUNCTION("REGEXMATCH(TO_TEXT(N545), ""^0(83|85|86|87|89)"")"),FALSE)</f>
        <v>0</v>
      </c>
      <c r="P545" s="2">
        <f t="shared" si="274"/>
        <v>9</v>
      </c>
      <c r="Q545" s="9" t="str">
        <f>IF(AND(O545=TRUE, P542=10), "✅ VALID", "❌ INVALID")</f>
        <v>❌ INVALID</v>
      </c>
      <c r="R545" s="10" t="s">
        <v>1177</v>
      </c>
      <c r="S545" s="12">
        <v>44674.288194444445</v>
      </c>
      <c r="T545" s="2" t="str">
        <f>IFERROR(__xludf.DUMMYFUNCTION("IF(ISNUMBER(S545),TEXT(S545,""yyyy-MM-dd""),REGEXREPLACE(REGEXREPLACE(TO_TEXT(S545),""[^0-9a-zA-Z]+"",""-""),""[^0-9]*$"",""""))"),"2022-04-23")</f>
        <v>2022-04-23</v>
      </c>
      <c r="U545" s="2" t="s">
        <v>8394</v>
      </c>
      <c r="Y545" s="10" t="s">
        <v>8394</v>
      </c>
    </row>
    <row r="546" ht="15.75" customHeight="1">
      <c r="A546" s="2" t="s">
        <v>3818</v>
      </c>
      <c r="B546" s="9" t="s">
        <v>7597</v>
      </c>
      <c r="C546" s="2" t="s">
        <v>1794</v>
      </c>
      <c r="D546" s="10" t="str">
        <f>IFERROR(__xludf.DUMMYFUNCTION("PROPER(REGEXREPLACE(TRIM(C546),""\s+"","" ""))"),"Uma Lee")</f>
        <v>Uma Lee</v>
      </c>
      <c r="E546" s="2">
        <f>IFERROR(__xludf.DUMMYFUNCTION("IF(LEN(D546:D701),
  COUNTA(SPLIT(D546:D701,"" "")),
 """")"),2.0)</f>
        <v>2</v>
      </c>
      <c r="F546" s="9" t="str">
        <f t="shared" si="272"/>
        <v>✅</v>
      </c>
      <c r="G546" s="2" t="str">
        <f>IFERROR(__xludf.DUMMYFUNCTION("REGEXEXTRACT(PROPER(SUBSTITUTE(TRIM(I546),""."","" "")),""^[^@]+"")"),"Uma Lee")</f>
        <v>Uma Lee</v>
      </c>
      <c r="H546" s="10" t="str">
        <f t="shared" si="273"/>
        <v>uma.lee@company.co.uk</v>
      </c>
      <c r="I546" s="2" t="s">
        <v>3514</v>
      </c>
      <c r="J546" s="9" t="str">
        <f>IFERROR(__xludf.DUMMYFUNCTION("IF(REGEXMATCH(TRIM(I546),""^[A-Za-z0-9._%+-]+@[A-Za-z0-9.-]+\.[A-Za-z]{2,}$""),""✅ Valid"",""❌ Invalid"")"),"✅ Valid")</f>
        <v>✅ Valid</v>
      </c>
      <c r="K546" s="11">
        <v>4.98802743537E11</v>
      </c>
      <c r="L546" s="2" t="str">
        <f>IFERROR(__xludf.DUMMYFUNCTION("IF(OR(K546=""N/A"", K546=""missing"", K546=""none""), """",
 REGEXREPLACE(
  SUBSTITUTE(SUBSTITUTE(SUBSTITUTE(TO_TEXT(K546), CHAR(160),""""), UNICHAR(8239),""""), UNICHAR(8201),""""),""[+\-/(): )]"", """"))"),"498802743537")</f>
        <v>498802743537</v>
      </c>
      <c r="M546" s="2" t="str">
        <f>IFERROR(__xludf.DUMMYFUNCTION("IF(L546="""","""", REGEXEXTRACT(REGEXREPLACE(L546,""x"", """"), ""[0-9]+""))"),"498802743537")</f>
        <v>498802743537</v>
      </c>
      <c r="N546" s="2" t="str">
        <f>IF(LEFT(M546,2)="49", RIGHT(M546,LEN(M546)-2),M546)</f>
        <v>8802743537</v>
      </c>
      <c r="O546" s="2" t="b">
        <f>IFERROR(__xludf.DUMMYFUNCTION("REGEXMATCH(TO_TEXT(N546), ""^0(15|16|17)"")"),FALSE)</f>
        <v>0</v>
      </c>
      <c r="P546" s="2">
        <f t="shared" si="274"/>
        <v>10</v>
      </c>
      <c r="Q546" s="9" t="str">
        <f>IF(AND(O546=TRUE,OR(P546=10, P546=11)), "✅ VALID", "❌ INVALID")</f>
        <v>❌ INVALID</v>
      </c>
      <c r="R546" s="10" t="s">
        <v>459</v>
      </c>
      <c r="S546" s="12" t="s">
        <v>7244</v>
      </c>
      <c r="T546" s="2" t="str">
        <f>IFERROR(__xludf.DUMMYFUNCTION("IF(ISNUMBER(S546),TEXT(S546,""yyyy-MM-dd""),REGEXREPLACE(REGEXREPLACE(TO_TEXT(S546),""[^0-9a-zA-Z]+"",""-""),""[^0-9]*$"",""""))"),"27-11-2024")</f>
        <v>27-11-2024</v>
      </c>
      <c r="U546" s="2" t="s">
        <v>8395</v>
      </c>
      <c r="Y546" s="10" t="s">
        <v>8395</v>
      </c>
    </row>
    <row r="547" ht="15.75" customHeight="1">
      <c r="A547" s="2" t="s">
        <v>2983</v>
      </c>
      <c r="B547" s="9" t="s">
        <v>7597</v>
      </c>
      <c r="C547" s="2" t="s">
        <v>3612</v>
      </c>
      <c r="D547" s="10" t="str">
        <f>IFERROR(__xludf.DUMMYFUNCTION("PROPER(REGEXREPLACE(TRIM(C547),""\s+"","" ""))"),"Yara Young")</f>
        <v>Yara Young</v>
      </c>
      <c r="E547" s="2">
        <f>IFERROR(__xludf.DUMMYFUNCTION("IF(LEN(D547:D701),
  COUNTA(SPLIT(D547:D701,"" "")),
 """")"),2.0)</f>
        <v>2</v>
      </c>
      <c r="F547" s="9" t="str">
        <f t="shared" si="272"/>
        <v>✅</v>
      </c>
      <c r="G547" s="2" t="str">
        <f>IFERROR(__xludf.DUMMYFUNCTION("REGEXEXTRACT(PROPER(SUBSTITUTE(TRIM(I547),""."","" "")),""^[^@]+"")"),"Yara Young")</f>
        <v>Yara Young</v>
      </c>
      <c r="H547" s="10" t="str">
        <f t="shared" si="273"/>
        <v>yara.young@company.co.uk</v>
      </c>
      <c r="I547" s="2" t="s">
        <v>3613</v>
      </c>
      <c r="J547" s="9" t="str">
        <f>IFERROR(__xludf.DUMMYFUNCTION("IF(REGEXMATCH(TRIM(I547),""^[A-Za-z0-9._%+-]+@[A-Za-z0-9.-]+\.[A-Za-z]{2,}$""),""✅ Valid"",""❌ Invalid"")"),"✅ Valid")</f>
        <v>✅ Valid</v>
      </c>
      <c r="K547" s="13" t="s">
        <v>8396</v>
      </c>
      <c r="L547" s="2" t="str">
        <f>IFERROR(__xludf.DUMMYFUNCTION("IF(OR(K547=""N/A"", K547=""missing"", K547=""none""), """",
 REGEXREPLACE(
  SUBSTITUTE(SUBSTITUTE(SUBSTITUTE(TO_TEXT(K547), CHAR(160),""""), UNICHAR(8239),""""), UNICHAR(8201),""""),""[+\-/(): )]"", """"))"),"30627085")</f>
        <v>30627085</v>
      </c>
      <c r="M547" s="2" t="str">
        <f>IFERROR(__xludf.DUMMYFUNCTION("IF(L547="""","""", REGEXEXTRACT(REGEXREPLACE(L547,""x"", """"), ""[0-9]+""))"),"30627085")</f>
        <v>30627085</v>
      </c>
      <c r="N547" s="2" t="str">
        <f>IF(LEFT(M547,1)="1", RIGHT(M547,LEN(M547)-1),M547)</f>
        <v>30627085</v>
      </c>
      <c r="O547" s="2" t="b">
        <f>IFERROR(__xludf.DUMMYFUNCTION("REGEXMATCH(TO_TEXT(N547), ""^[2-9][0-9]{9}$"")"),FALSE)</f>
        <v>0</v>
      </c>
      <c r="P547" s="2">
        <f t="shared" si="274"/>
        <v>8</v>
      </c>
      <c r="Q547" s="9" t="str">
        <f>IF(AND(O547=TRUE, P547=10), "✅ VALID", "❌ INVALID")</f>
        <v>❌ INVALID</v>
      </c>
      <c r="R547" s="10" t="s">
        <v>199</v>
      </c>
      <c r="S547" s="12">
        <v>45059.0</v>
      </c>
      <c r="T547" s="2" t="str">
        <f>IFERROR(__xludf.DUMMYFUNCTION("IF(ISNUMBER(S547),TEXT(S547,""yyyy-MM-dd""),REGEXREPLACE(REGEXREPLACE(TO_TEXT(S547),""[^0-9a-zA-Z]+"",""-""),""[^0-9]*$"",""""))"),"2023-05-13")</f>
        <v>2023-05-13</v>
      </c>
      <c r="U547" s="2" t="s">
        <v>6771</v>
      </c>
      <c r="Y547" s="10" t="s">
        <v>6771</v>
      </c>
    </row>
    <row r="548" ht="15.75" customHeight="1">
      <c r="A548" s="2" t="s">
        <v>3554</v>
      </c>
      <c r="B548" s="9" t="s">
        <v>7597</v>
      </c>
      <c r="C548" s="2" t="s">
        <v>989</v>
      </c>
      <c r="D548" s="10" t="str">
        <f>IFERROR(__xludf.DUMMYFUNCTION("PROPER(REGEXREPLACE(TRIM(C548),""\s+"","" ""))"),"Vlad Kowalski")</f>
        <v>Vlad Kowalski</v>
      </c>
      <c r="E548" s="2">
        <f>IFERROR(__xludf.DUMMYFUNCTION("IF(LEN(D548:D701),
  COUNTA(SPLIT(D548:D701,"" "")),
 """")"),2.0)</f>
        <v>2</v>
      </c>
      <c r="F548" s="9" t="str">
        <f t="shared" si="272"/>
        <v>✅</v>
      </c>
      <c r="G548" s="2" t="str">
        <f>IFERROR(__xludf.DUMMYFUNCTION("REGEXEXTRACT(PROPER(SUBSTITUTE(TRIM(I548),""."","" "")),""^[^@]+"")"),"Vlad Kowalski")</f>
        <v>Vlad Kowalski</v>
      </c>
      <c r="H548" s="10" t="str">
        <f t="shared" si="273"/>
        <v>vlad.kowalski@company.co.uk</v>
      </c>
      <c r="I548" s="2" t="s">
        <v>990</v>
      </c>
      <c r="J548" s="9" t="str">
        <f>IFERROR(__xludf.DUMMYFUNCTION("IF(REGEXMATCH(TRIM(I548),""^[A-Za-z0-9._%+-]+@[A-Za-z0-9.-]+\.[A-Za-z]{2,}$""),""✅ Valid"",""❌ Invalid"")"),"✅ Valid")</f>
        <v>✅ Valid</v>
      </c>
      <c r="K548" s="13" t="s">
        <v>8397</v>
      </c>
      <c r="L548" s="2" t="str">
        <f>IFERROR(__xludf.DUMMYFUNCTION("IF(OR(K548=""N/A"", K548=""missing"", K548=""none""), """",
 REGEXREPLACE(
  SUBSTITUTE(SUBSTITUTE(SUBSTITUTE(TO_TEXT(K548), CHAR(160),""""), UNICHAR(8239),""""), UNICHAR(8201),""""),""[+\-/(): )]"", """"))"),"444616794250")</f>
        <v>444616794250</v>
      </c>
      <c r="M548" s="2" t="str">
        <f>IFERROR(__xludf.DUMMYFUNCTION("IF(L548="""","""", REGEXEXTRACT(REGEXREPLACE(L548,""x"", """"), ""[0-9]+""))"),"444616794250")</f>
        <v>444616794250</v>
      </c>
      <c r="N548" s="2" t="str">
        <f>IF(LEFT(M548,2)="44", RIGHT(M548,LEN(M548)-2),M548)</f>
        <v>4616794250</v>
      </c>
      <c r="O548" s="2" t="b">
        <f>IFERROR(__xludf.DUMMYFUNCTION("REGEXMATCH(TO_TEXT(N548), ""^07[1-57-9]"")"),FALSE)</f>
        <v>0</v>
      </c>
      <c r="P548" s="2">
        <f t="shared" si="274"/>
        <v>10</v>
      </c>
      <c r="Q548" s="9" t="str">
        <f>IF(AND(O548=TRUE, P548=11), "✅ VALID", "❌ INVALID")</f>
        <v>❌ INVALID</v>
      </c>
      <c r="R548" s="10" t="s">
        <v>114</v>
      </c>
      <c r="S548" s="12">
        <v>45653.0</v>
      </c>
      <c r="T548" s="2" t="str">
        <f>IFERROR(__xludf.DUMMYFUNCTION("IF(ISNUMBER(S548),TEXT(S548,""yyyy-MM-dd""),REGEXREPLACE(REGEXREPLACE(TO_TEXT(S548),""[^0-9a-zA-Z]+"",""-""),""[^0-9]*$"",""""))"),"2024-12-27")</f>
        <v>2024-12-27</v>
      </c>
      <c r="U548" s="2" t="s">
        <v>8398</v>
      </c>
      <c r="Y548" s="10" t="s">
        <v>8398</v>
      </c>
    </row>
    <row r="549" ht="15.75" customHeight="1">
      <c r="A549" s="2" t="s">
        <v>4612</v>
      </c>
      <c r="B549" s="9" t="s">
        <v>7597</v>
      </c>
      <c r="C549" s="2" t="s">
        <v>1698</v>
      </c>
      <c r="D549" s="10" t="str">
        <f>IFERROR(__xludf.DUMMYFUNCTION("PROPER(REGEXREPLACE(TRIM(C549),""\s+"","" ""))"),"Adam Martinez")</f>
        <v>Adam Martinez</v>
      </c>
      <c r="E549" s="2">
        <f>IFERROR(__xludf.DUMMYFUNCTION("IF(LEN(D549:D701),
  COUNTA(SPLIT(D549:D701,"" "")),
 """")"),2.0)</f>
        <v>2</v>
      </c>
      <c r="F549" s="9" t="str">
        <f t="shared" si="272"/>
        <v>✅</v>
      </c>
      <c r="G549" s="2" t="str">
        <f>IFERROR(__xludf.DUMMYFUNCTION("REGEXEXTRACT(PROPER(SUBSTITUTE(TRIM(I549),""."","" "")),""^[^@]+"")"),"Adam Martinez")</f>
        <v>Adam Martinez</v>
      </c>
      <c r="H549" s="10" t="str">
        <f t="shared" si="273"/>
        <v>adam.martinez@shop.io</v>
      </c>
      <c r="I549" s="2" t="s">
        <v>2518</v>
      </c>
      <c r="J549" s="9" t="str">
        <f>IFERROR(__xludf.DUMMYFUNCTION("IF(REGEXMATCH(TRIM(I549),""^[A-Za-z0-9._%+-]+@[A-Za-z0-9.-]+\.[A-Za-z]{2,}$""),""✅ Valid"",""❌ Invalid"")"),"✅ Valid")</f>
        <v>✅ Valid</v>
      </c>
      <c r="K549" s="15" t="s">
        <v>8399</v>
      </c>
      <c r="L549" s="2" t="str">
        <f>IFERROR(__xludf.DUMMYFUNCTION("IF(K549=""N/A"", """",
 REGEXREPLACE(
  SUBSTITUTE(SUBSTITUTE(SUBSTITUTE(TO_TEXT(K549), CHAR(160),""""), UNICHAR(8239),""""), UNICHAR(8201),""""),""[+\-/(): )]"", """"))"),"48489537892")</f>
        <v>48489537892</v>
      </c>
      <c r="M549" s="2" t="str">
        <f>IFERROR(__xludf.DUMMYFUNCTION("IF(L549="""","""", REGEXEXTRACT(REGEXREPLACE(L549,""x"", """"), ""[0-9]+""))"),"48489537892")</f>
        <v>48489537892</v>
      </c>
      <c r="N549" s="2" t="str">
        <f t="shared" ref="N549:N551" si="275">IF(LEFT(M549,2)="48", RIGHT(M549,LEN(M549)-2),M549)</f>
        <v>489537892</v>
      </c>
      <c r="O549" s="2" t="b">
        <f>IFERROR(__xludf.DUMMYFUNCTION("REGEXMATCH(TO_TEXT(N549), ""^(5[013679]|6[069]|7[2-9]|88)"")"),FALSE)</f>
        <v>0</v>
      </c>
      <c r="Q549" s="9" t="str">
        <f t="shared" ref="Q549:Q551" si="276">IF(AND(O549=TRUE, P549=9), "✅ VALID", "❌ INVALID")</f>
        <v>❌ INVALID</v>
      </c>
      <c r="R549" s="10" t="s">
        <v>25</v>
      </c>
      <c r="S549" s="12">
        <v>45918.0</v>
      </c>
      <c r="T549" s="2" t="str">
        <f>IFERROR(__xludf.DUMMYFUNCTION("IF(ISNUMBER(S549),TEXT(S549,""yyyy-MM-dd""),REGEXREPLACE(REGEXREPLACE(TO_TEXT(S549),""[^0-9a-zA-Z]+"",""-""),""[^0-9]*$"",""""))"),"2025-09-18")</f>
        <v>2025-09-18</v>
      </c>
      <c r="U549" s="2" t="s">
        <v>8400</v>
      </c>
      <c r="Y549" s="10" t="s">
        <v>8400</v>
      </c>
    </row>
    <row r="550" ht="15.75" customHeight="1">
      <c r="A550" s="2" t="s">
        <v>3642</v>
      </c>
      <c r="B550" s="9" t="s">
        <v>7597</v>
      </c>
      <c r="C550" s="2" t="s">
        <v>6960</v>
      </c>
      <c r="D550" s="10" t="str">
        <f>IFERROR(__xludf.DUMMYFUNCTION("PROPER(REGEXREPLACE(TRIM(C550),""\s+"","" ""))"),"Igor Dubois")</f>
        <v>Igor Dubois</v>
      </c>
      <c r="E550" s="2">
        <f>IFERROR(__xludf.DUMMYFUNCTION("IF(LEN(D550:D701),
  COUNTA(SPLIT(D550:D701,"" "")),
 """")"),2.0)</f>
        <v>2</v>
      </c>
      <c r="F550" s="9" t="str">
        <f t="shared" si="272"/>
        <v>✅</v>
      </c>
      <c r="G550" s="2" t="str">
        <f>IFERROR(__xludf.DUMMYFUNCTION("REGEXEXTRACT(PROPER(SUBSTITUTE(TRIM(I550),""."","" "")),""^[^@]+"")"),"Igor Dubois")</f>
        <v>Igor Dubois</v>
      </c>
      <c r="H550" s="10" t="str">
        <f t="shared" si="273"/>
        <v>igor.dubois@yahoo.com</v>
      </c>
      <c r="I550" s="2" t="s">
        <v>6961</v>
      </c>
      <c r="J550" s="9" t="str">
        <f>IFERROR(__xludf.DUMMYFUNCTION("IF(REGEXMATCH(TRIM(I550),""^[A-Za-z0-9._%+-]+@[A-Za-z0-9.-]+\.[A-Za-z]{2,}$""),""✅ Valid"",""❌ Invalid"")"),"✅ Valid")</f>
        <v>✅ Valid</v>
      </c>
      <c r="K550" s="15" t="s">
        <v>8401</v>
      </c>
      <c r="L550" s="2" t="str">
        <f>IFERROR(__xludf.DUMMYFUNCTION("IF(K550=""N/A"", """",
 REGEXREPLACE(
  SUBSTITUTE(SUBSTITUTE(SUBSTITUTE(TO_TEXT(K550), CHAR(160),""""), UNICHAR(8239),""""), UNICHAR(8201),""""),""[+\-/(): )]"", """"))"),"488670314659")</f>
        <v>488670314659</v>
      </c>
      <c r="M550" s="2" t="str">
        <f>IFERROR(__xludf.DUMMYFUNCTION("IF(L550="""","""", REGEXEXTRACT(REGEXREPLACE(L550,""x"", """"), ""[0-9]+""))"),"488670314659")</f>
        <v>488670314659</v>
      </c>
      <c r="N550" s="2" t="str">
        <f t="shared" si="275"/>
        <v>8670314659</v>
      </c>
      <c r="O550" s="2" t="b">
        <f>IFERROR(__xludf.DUMMYFUNCTION("REGEXMATCH(TO_TEXT(N550), ""^(5[013679]|6[069]|7[2-9]|88)"")"),FALSE)</f>
        <v>0</v>
      </c>
      <c r="Q550" s="9" t="str">
        <f t="shared" si="276"/>
        <v>❌ INVALID</v>
      </c>
      <c r="R550" s="10" t="s">
        <v>25</v>
      </c>
      <c r="S550" s="12" t="s">
        <v>6977</v>
      </c>
      <c r="T550" s="2" t="str">
        <f>IFERROR(__xludf.DUMMYFUNCTION("IF(ISNUMBER(S550),TEXT(S550,""yyyy-MM-dd""),REGEXREPLACE(REGEXREPLACE(TO_TEXT(S550),""[^0-9a-zA-Z]+"",""-""),""[^0-9]*$"",""""))"),"02-05-2025")</f>
        <v>02-05-2025</v>
      </c>
      <c r="U550" s="2" t="s">
        <v>7828</v>
      </c>
      <c r="Y550" s="10" t="s">
        <v>7828</v>
      </c>
    </row>
    <row r="551" ht="15.75" customHeight="1">
      <c r="A551" s="2" t="s">
        <v>4713</v>
      </c>
      <c r="B551" s="9" t="s">
        <v>7597</v>
      </c>
      <c r="C551" s="2" t="s">
        <v>3869</v>
      </c>
      <c r="D551" s="10" t="str">
        <f>IFERROR(__xludf.DUMMYFUNCTION("PROPER(REGEXREPLACE(TRIM(C551),""\s+"","" ""))"),"Omar Kowalski")</f>
        <v>Omar Kowalski</v>
      </c>
      <c r="E551" s="2">
        <f>IFERROR(__xludf.DUMMYFUNCTION("IF(LEN(D551:D701),
  COUNTA(SPLIT(D551:D701,"" "")),
 """")"),2.0)</f>
        <v>2</v>
      </c>
      <c r="F551" s="9" t="str">
        <f t="shared" si="272"/>
        <v>✅</v>
      </c>
      <c r="G551" s="2" t="str">
        <f>IFERROR(__xludf.DUMMYFUNCTION("REGEXEXTRACT(PROPER(SUBSTITUTE(TRIM(I551),""."","" "")),""^[^@]+"")"),"Omar Kowalski")</f>
        <v>Omar Kowalski</v>
      </c>
      <c r="H551" s="10" t="str">
        <f t="shared" si="273"/>
        <v>omar.kowalski@exmaple.com</v>
      </c>
      <c r="I551" s="2" t="s">
        <v>3870</v>
      </c>
      <c r="J551" s="9" t="str">
        <f>IFERROR(__xludf.DUMMYFUNCTION("IF(REGEXMATCH(TRIM(I551),""^[A-Za-z0-9._%+-]+@[A-Za-z0-9.-]+\.[A-Za-z]{2,}$""),""✅ Valid"",""❌ Invalid"")"),"✅ Valid")</f>
        <v>✅ Valid</v>
      </c>
      <c r="K551" s="15" t="s">
        <v>8402</v>
      </c>
      <c r="L551" s="2" t="str">
        <f>IFERROR(__xludf.DUMMYFUNCTION("IF(K551=""N/A"", """",
 REGEXREPLACE(
  SUBSTITUTE(SUBSTITUTE(SUBSTITUTE(TO_TEXT(K551), CHAR(160),""""), UNICHAR(8239),""""), UNICHAR(8201),""""),""[+\-/(): )]"", """"))"),"488662706837")</f>
        <v>488662706837</v>
      </c>
      <c r="M551" s="2" t="str">
        <f>IFERROR(__xludf.DUMMYFUNCTION("IF(L551="""","""", REGEXEXTRACT(REGEXREPLACE(L551,""x"", """"), ""[0-9]+""))"),"488662706837")</f>
        <v>488662706837</v>
      </c>
      <c r="N551" s="2" t="str">
        <f t="shared" si="275"/>
        <v>8662706837</v>
      </c>
      <c r="O551" s="2" t="b">
        <f>IFERROR(__xludf.DUMMYFUNCTION("REGEXMATCH(TO_TEXT(N551), ""^(5[013679]|6[069]|7[2-9]|88)"")"),FALSE)</f>
        <v>0</v>
      </c>
      <c r="Q551" s="9" t="str">
        <f t="shared" si="276"/>
        <v>❌ INVALID</v>
      </c>
      <c r="R551" s="10" t="s">
        <v>25</v>
      </c>
      <c r="S551" s="12">
        <v>45067.0</v>
      </c>
      <c r="T551" s="2" t="str">
        <f>IFERROR(__xludf.DUMMYFUNCTION("IF(ISNUMBER(S551),TEXT(S551,""yyyy-MM-dd""),REGEXREPLACE(REGEXREPLACE(TO_TEXT(S551),""[^0-9a-zA-Z]+"",""-""),""[^0-9]*$"",""""))"),"2023-05-21")</f>
        <v>2023-05-21</v>
      </c>
      <c r="U551" s="2" t="s">
        <v>6751</v>
      </c>
      <c r="Y551" s="10" t="s">
        <v>6751</v>
      </c>
    </row>
    <row r="552" ht="15.75" customHeight="1">
      <c r="A552" s="2" t="s">
        <v>5869</v>
      </c>
      <c r="B552" s="9" t="s">
        <v>7597</v>
      </c>
      <c r="C552" s="2" t="s">
        <v>1308</v>
      </c>
      <c r="D552" s="10" t="str">
        <f>IFERROR(__xludf.DUMMYFUNCTION("PROPER(REGEXREPLACE(TRIM(C552),""\s+"","" ""))"),"Adam Walker")</f>
        <v>Adam Walker</v>
      </c>
      <c r="E552" s="2">
        <f>IFERROR(__xludf.DUMMYFUNCTION("IF(LEN(D552:D701),
  COUNTA(SPLIT(D552:D701,"" "")),
 """")"),2.0)</f>
        <v>2</v>
      </c>
      <c r="F552" s="9" t="str">
        <f t="shared" si="272"/>
        <v>❌</v>
      </c>
      <c r="G552" s="2" t="s">
        <v>8403</v>
      </c>
      <c r="H552" s="10" t="str">
        <f t="shared" si="273"/>
        <v>adam.wlaker@shop.io</v>
      </c>
      <c r="I552" s="2" t="s">
        <v>1309</v>
      </c>
      <c r="J552" s="9" t="str">
        <f>IFERROR(__xludf.DUMMYFUNCTION("IF(REGEXMATCH(TRIM(I552),""^[A-Za-z0-9._%+-]+@[A-Za-z0-9.-]+\.[A-Za-z]{2,}$""),""✅ Valid"",""❌ Invalid"")"),"✅ Valid")</f>
        <v>✅ Valid</v>
      </c>
      <c r="K552" s="13" t="s">
        <v>8404</v>
      </c>
      <c r="L552" s="2" t="str">
        <f>IFERROR(__xludf.DUMMYFUNCTION("IF(OR(K552=""N/A"", K552=""missing"", K552=""none""), """",
 REGEXREPLACE(
  SUBSTITUTE(SUBSTITUTE(SUBSTITUTE(TO_TEXT(K552), CHAR(160),""""), UNICHAR(8239),""""), UNICHAR(8201),""""),""[+\-/(): )]"", """"))"),"490929411498")</f>
        <v>490929411498</v>
      </c>
      <c r="M552" s="2" t="str">
        <f>IFERROR(__xludf.DUMMYFUNCTION("IF(L552="""","""", REGEXEXTRACT(REGEXREPLACE(L552,""x"", """"), ""[0-9]+""))"),"490929411498")</f>
        <v>490929411498</v>
      </c>
      <c r="N552" s="2" t="str">
        <f>IF(LEFT(M552,2)="49", RIGHT(M552,LEN(M552)-2),M552)</f>
        <v>0929411498</v>
      </c>
      <c r="O552" s="2" t="b">
        <f>IFERROR(__xludf.DUMMYFUNCTION("REGEXMATCH(TO_TEXT(N552), ""^0(15|16|17)"")"),FALSE)</f>
        <v>0</v>
      </c>
      <c r="P552" s="2">
        <f t="shared" ref="P552:P557" si="277">LEN(N552)</f>
        <v>10</v>
      </c>
      <c r="Q552" s="9" t="str">
        <f>IF(AND(O552=TRUE,OR(P552=10, P552=11)), "✅ VALID", "❌ INVALID")</f>
        <v>❌ INVALID</v>
      </c>
      <c r="R552" s="10" t="s">
        <v>459</v>
      </c>
      <c r="S552" s="12">
        <v>45629.0</v>
      </c>
      <c r="T552" s="2" t="str">
        <f>IFERROR(__xludf.DUMMYFUNCTION("IF(ISNUMBER(S552),TEXT(S552,""yyyy-MM-dd""),REGEXREPLACE(REGEXREPLACE(TO_TEXT(S552),""[^0-9a-zA-Z]+"",""-""),""[^0-9]*$"",""""))"),"2024-12-03")</f>
        <v>2024-12-03</v>
      </c>
      <c r="U552" s="2" t="s">
        <v>8405</v>
      </c>
      <c r="Y552" s="10" t="s">
        <v>8405</v>
      </c>
    </row>
    <row r="553" ht="15.75" customHeight="1">
      <c r="A553" s="2" t="s">
        <v>7081</v>
      </c>
      <c r="B553" s="9" t="s">
        <v>7597</v>
      </c>
      <c r="C553" s="2" t="s">
        <v>717</v>
      </c>
      <c r="D553" s="10" t="str">
        <f>IFERROR(__xludf.DUMMYFUNCTION("PROPER(REGEXREPLACE(TRIM(C553),""\s+"","" ""))"),"Carlos Davis")</f>
        <v>Carlos Davis</v>
      </c>
      <c r="E553" s="2">
        <f>IFERROR(__xludf.DUMMYFUNCTION("IF(LEN(D553:D701),
  COUNTA(SPLIT(D553:D701,"" "")),
 """")"),2.0)</f>
        <v>2</v>
      </c>
      <c r="F553" s="9" t="str">
        <f t="shared" si="272"/>
        <v>✅</v>
      </c>
      <c r="G553" s="2" t="str">
        <f>IFERROR(__xludf.DUMMYFUNCTION("REGEXEXTRACT(PROPER(SUBSTITUTE(TRIM(I553),""."","" "")),""^[^@]+"")"),"Carlos Davis")</f>
        <v>Carlos Davis</v>
      </c>
      <c r="H553" s="10" t="str">
        <f t="shared" si="273"/>
        <v>carlos.davis@outlook.com</v>
      </c>
      <c r="I553" s="2" t="s">
        <v>718</v>
      </c>
      <c r="J553" s="9" t="str">
        <f>IFERROR(__xludf.DUMMYFUNCTION("IF(REGEXMATCH(TRIM(I553),""^[A-Za-z0-9._%+-]+@[A-Za-z0-9.-]+\.[A-Za-z]{2,}$""),""✅ Valid"",""❌ Invalid"")"),"✅ Valid")</f>
        <v>✅ Valid</v>
      </c>
      <c r="K553" s="13" t="s">
        <v>8406</v>
      </c>
      <c r="L553" s="2" t="str">
        <f>IFERROR(__xludf.DUMMYFUNCTION("IF(OR(K553=""N/A"", K553=""missing"", K553=""none""), """",
 REGEXREPLACE(
  SUBSTITUTE(SUBSTITUTE(SUBSTITUTE(TO_TEXT(K553), CHAR(160),""""), UNICHAR(8239),""""), UNICHAR(8201),""""),""[+\-/(): )]"", """"))"),"447029287695")</f>
        <v>447029287695</v>
      </c>
      <c r="M553" s="2" t="str">
        <f>IFERROR(__xludf.DUMMYFUNCTION("IF(L553="""","""", REGEXEXTRACT(REGEXREPLACE(L553,""x"", """"), ""[0-9]+""))"),"447029287695")</f>
        <v>447029287695</v>
      </c>
      <c r="N553" s="2" t="str">
        <f>IF(LEFT(M553,2)="44", RIGHT(M553,LEN(M553)-2),M553)</f>
        <v>7029287695</v>
      </c>
      <c r="O553" s="2" t="b">
        <f>IFERROR(__xludf.DUMMYFUNCTION("REGEXMATCH(TO_TEXT(N553), ""^07[1-57-9]"")"),FALSE)</f>
        <v>0</v>
      </c>
      <c r="P553" s="2">
        <f t="shared" si="277"/>
        <v>10</v>
      </c>
      <c r="Q553" s="9" t="str">
        <f>IF(AND(O553=TRUE, P553=11), "✅ VALID", "❌ INVALID")</f>
        <v>❌ INVALID</v>
      </c>
      <c r="R553" s="10" t="s">
        <v>114</v>
      </c>
      <c r="S553" s="12">
        <v>44814.0</v>
      </c>
      <c r="T553" s="2" t="str">
        <f>IFERROR(__xludf.DUMMYFUNCTION("IF(ISNUMBER(S553),TEXT(S553,""yyyy-MM-dd""),REGEXREPLACE(REGEXREPLACE(TO_TEXT(S553),""[^0-9a-zA-Z]+"",""-""),""[^0-9]*$"",""""))"),"2022-09-10")</f>
        <v>2022-09-10</v>
      </c>
      <c r="U553" s="2" t="s">
        <v>8407</v>
      </c>
      <c r="Y553" s="10" t="s">
        <v>8407</v>
      </c>
    </row>
    <row r="554" ht="15.75" customHeight="1">
      <c r="A554" s="2" t="s">
        <v>3830</v>
      </c>
      <c r="B554" s="9" t="s">
        <v>7597</v>
      </c>
      <c r="C554" s="2" t="s">
        <v>4296</v>
      </c>
      <c r="D554" s="10" t="str">
        <f>IFERROR(__xludf.DUMMYFUNCTION("PROPER(REGEXREPLACE(TRIM(C554),""\s+"","" ""))"),"Ethan Kowalczyk")</f>
        <v>Ethan Kowalczyk</v>
      </c>
      <c r="E554" s="2">
        <f>IFERROR(__xludf.DUMMYFUNCTION("IF(LEN(D554:D701),
  COUNTA(SPLIT(D554:D701,"" "")),
 """")"),2.0)</f>
        <v>2</v>
      </c>
      <c r="F554" s="9" t="str">
        <f t="shared" si="272"/>
        <v>✅</v>
      </c>
      <c r="G554" s="2" t="str">
        <f>IFERROR(__xludf.DUMMYFUNCTION("REGEXEXTRACT(PROPER(SUBSTITUTE(TRIM(I554),""."","" "")),""^[^@]+"")"),"Ethan Kowalczyk")</f>
        <v>Ethan Kowalczyk</v>
      </c>
      <c r="H554" s="10" t="str">
        <f t="shared" si="273"/>
        <v>ethan.kowalczyk@example.com</v>
      </c>
      <c r="I554" s="2" t="s">
        <v>4297</v>
      </c>
      <c r="J554" s="9" t="str">
        <f>IFERROR(__xludf.DUMMYFUNCTION("IF(REGEXMATCH(TRIM(I554),""^[A-Za-z0-9._%+-]+@[A-Za-z0-9.-]+\.[A-Za-z]{2,}$""),""✅ Valid"",""❌ Invalid"")"),"✅ Valid")</f>
        <v>✅ Valid</v>
      </c>
      <c r="K554" s="13" t="s">
        <v>8408</v>
      </c>
      <c r="L554" s="2" t="str">
        <f>IFERROR(__xludf.DUMMYFUNCTION("IF(OR(K554=""N/A"", K554=""missing"", K554=""none""), """",
 REGEXREPLACE(
  SUBSTITUTE(SUBSTITUTE(SUBSTITUTE(TO_TEXT(K554), CHAR(160),""""), UNICHAR(8239),""""), UNICHAR(8201),""""),""[+\-/(): )]"", """"))"),"394355136110")</f>
        <v>394355136110</v>
      </c>
      <c r="M554" s="2" t="str">
        <f>IFERROR(__xludf.DUMMYFUNCTION("IF(L554="""","""", REGEXEXTRACT(REGEXREPLACE(L554,""x"", """"), ""[0-9]+""))"),"394355136110")</f>
        <v>394355136110</v>
      </c>
      <c r="N554" s="2" t="str">
        <f>IF(LEFT(M554,2)="39", RIGHT(M554,LEN(M554)-2),M554)</f>
        <v>4355136110</v>
      </c>
      <c r="O554" s="2" t="b">
        <f>IFERROR(__xludf.DUMMYFUNCTION("REGEXMATCH(TO_TEXT(N554), ""^3"")"),FALSE)</f>
        <v>0</v>
      </c>
      <c r="P554" s="2">
        <f t="shared" si="277"/>
        <v>10</v>
      </c>
      <c r="Q554" s="9" t="str">
        <f>IF(AND(O554=TRUE,OR(P554=9, P554=10 )), "✅ VALID", "❌ INVALID")</f>
        <v>❌ INVALID</v>
      </c>
      <c r="R554" s="10" t="s">
        <v>785</v>
      </c>
      <c r="S554" s="12">
        <v>45207.0</v>
      </c>
      <c r="T554" s="2" t="str">
        <f>IFERROR(__xludf.DUMMYFUNCTION("IF(ISNUMBER(S554),TEXT(S554,""yyyy-MM-dd""),REGEXREPLACE(REGEXREPLACE(TO_TEXT(S554),""[^0-9a-zA-Z]+"",""-""),""[^0-9]*$"",""""))"),"2023-10-08")</f>
        <v>2023-10-08</v>
      </c>
      <c r="U554" s="2" t="s">
        <v>8409</v>
      </c>
      <c r="Y554" s="10" t="s">
        <v>8409</v>
      </c>
    </row>
    <row r="555" ht="15.75" customHeight="1">
      <c r="A555" s="2" t="s">
        <v>6123</v>
      </c>
      <c r="B555" s="9" t="s">
        <v>7597</v>
      </c>
      <c r="C555" s="2" t="s">
        <v>887</v>
      </c>
      <c r="D555" s="10" t="str">
        <f>IFERROR(__xludf.DUMMYFUNCTION("PROPER(REGEXREPLACE(TRIM(C555),""\s+"","" ""))"),"Ken Young")</f>
        <v>Ken Young</v>
      </c>
      <c r="E555" s="2">
        <f>IFERROR(__xludf.DUMMYFUNCTION("IF(LEN(D555:D701),
  COUNTA(SPLIT(D555:D701,"" "")),
 """")"),2.0)</f>
        <v>2</v>
      </c>
      <c r="F555" s="9" t="str">
        <f t="shared" si="272"/>
        <v>✅</v>
      </c>
      <c r="G555" s="2" t="str">
        <f>IFERROR(__xludf.DUMMYFUNCTION("REGEXEXTRACT(PROPER(SUBSTITUTE(TRIM(I555),""."","" "")),""^[^@]+"")"),"Ken Young")</f>
        <v>Ken Young</v>
      </c>
      <c r="H555" s="10" t="str">
        <f t="shared" si="273"/>
        <v>ken.young@shop.io</v>
      </c>
      <c r="I555" s="2" t="s">
        <v>7065</v>
      </c>
      <c r="J555" s="9" t="str">
        <f>IFERROR(__xludf.DUMMYFUNCTION("IF(REGEXMATCH(TRIM(I555),""^[A-Za-z0-9._%+-]+@[A-Za-z0-9.-]+\.[A-Za-z]{2,}$""),""✅ Valid"",""❌ Invalid"")"),"✅ Valid")</f>
        <v>✅ Valid</v>
      </c>
      <c r="K555" s="13" t="s">
        <v>8410</v>
      </c>
      <c r="L555" s="2" t="str">
        <f>IFERROR(__xludf.DUMMYFUNCTION("IF(OR(K555=""N/A"", K555=""missing"", K555=""none""), """",
 REGEXREPLACE(
  SUBSTITUTE(SUBSTITUTE(SUBSTITUTE(TO_TEXT(K555), CHAR(160),""""), UNICHAR(8239),""""), UNICHAR(8201),""""),""[+\-/(): )]"", """"))"),"497670818805")</f>
        <v>497670818805</v>
      </c>
      <c r="M555" s="2" t="str">
        <f>IFERROR(__xludf.DUMMYFUNCTION("IF(L555="""","""", REGEXEXTRACT(REGEXREPLACE(L555,""x"", """"), ""[0-9]+""))"),"497670818805")</f>
        <v>497670818805</v>
      </c>
      <c r="N555" s="2" t="str">
        <f>IF(LEFT(M555,2)="49", RIGHT(M555,LEN(M555)-2),M555)</f>
        <v>7670818805</v>
      </c>
      <c r="O555" s="2" t="b">
        <f>IFERROR(__xludf.DUMMYFUNCTION("REGEXMATCH(TO_TEXT(N555), ""^0(15|16|17)"")"),FALSE)</f>
        <v>0</v>
      </c>
      <c r="P555" s="2">
        <f t="shared" si="277"/>
        <v>10</v>
      </c>
      <c r="Q555" s="9" t="str">
        <f>IF(AND(O555=TRUE,OR(P555=10, P555=11)), "✅ VALID", "❌ INVALID")</f>
        <v>❌ INVALID</v>
      </c>
      <c r="R555" s="10" t="s">
        <v>459</v>
      </c>
      <c r="S555" s="12">
        <v>45536.0</v>
      </c>
      <c r="T555" s="2" t="str">
        <f>IFERROR(__xludf.DUMMYFUNCTION("IF(ISNUMBER(S555),TEXT(S555,""yyyy-MM-dd""),REGEXREPLACE(REGEXREPLACE(TO_TEXT(S555),""[^0-9a-zA-Z]+"",""-""),""[^0-9]*$"",""""))"),"2024-09-01")</f>
        <v>2024-09-01</v>
      </c>
      <c r="U555" s="2" t="s">
        <v>8411</v>
      </c>
      <c r="Y555" s="10" t="s">
        <v>8411</v>
      </c>
    </row>
    <row r="556" ht="15.75" customHeight="1">
      <c r="A556" s="2" t="s">
        <v>54</v>
      </c>
      <c r="B556" s="9" t="s">
        <v>7597</v>
      </c>
      <c r="C556" s="2" t="s">
        <v>6449</v>
      </c>
      <c r="D556" s="10" t="str">
        <f>IFERROR(__xludf.DUMMYFUNCTION("PROPER(REGEXREPLACE(TRIM(C556),""\s+"","" ""))"),"Wiktor Garcia")</f>
        <v>Wiktor Garcia</v>
      </c>
      <c r="E556" s="2">
        <f>IFERROR(__xludf.DUMMYFUNCTION("IF(LEN(D556:D701),
  COUNTA(SPLIT(D556:D701,"" "")),
 """")"),2.0)</f>
        <v>2</v>
      </c>
      <c r="F556" s="9" t="str">
        <f t="shared" si="272"/>
        <v>✅</v>
      </c>
      <c r="G556" s="2" t="str">
        <f>IFERROR(__xludf.DUMMYFUNCTION("REGEXEXTRACT(PROPER(SUBSTITUTE(TRIM(I556),""."","" "")),""^[^@]+"")"),"Wiktor Garcia")</f>
        <v>Wiktor Garcia</v>
      </c>
      <c r="H556" s="10" t="str">
        <f t="shared" si="273"/>
        <v>wiktor.garcia@company.co.uk</v>
      </c>
      <c r="I556" s="2" t="s">
        <v>6450</v>
      </c>
      <c r="J556" s="9" t="str">
        <f>IFERROR(__xludf.DUMMYFUNCTION("IF(REGEXMATCH(TRIM(I556),""^[A-Za-z0-9._%+-]+@[A-Za-z0-9.-]+\.[A-Za-z]{2,}$""),""✅ Valid"",""❌ Invalid"")"),"✅ Valid")</f>
        <v>✅ Valid</v>
      </c>
      <c r="K556" s="13" t="s">
        <v>8412</v>
      </c>
      <c r="L556" s="2" t="str">
        <f>IFERROR(__xludf.DUMMYFUNCTION("IF(OR(K556=""N/A"", K556=""missing"", K556=""none""), """",
 REGEXREPLACE(
  SUBSTITUTE(SUBSTITUTE(SUBSTITUTE(TO_TEXT(K556), CHAR(160),""""), UNICHAR(8239),""""), UNICHAR(8201),""""),""[+\-/(): )]"", """"))"),"353346708015")</f>
        <v>353346708015</v>
      </c>
      <c r="M556" s="2" t="str">
        <f>IFERROR(__xludf.DUMMYFUNCTION("IF(L556="""","""", REGEXEXTRACT(REGEXREPLACE(L556,""x"", """"), ""[0-9]+""))"),"353346708015")</f>
        <v>353346708015</v>
      </c>
      <c r="N556" s="2" t="str">
        <f>IF(LEFT(M556,3)="353", RIGHT(M556,LEN(M556)-3),M556)</f>
        <v>346708015</v>
      </c>
      <c r="O556" s="2" t="b">
        <f>IFERROR(__xludf.DUMMYFUNCTION("REGEXMATCH(TO_TEXT(N556), ""^0(83|85|86|87|89)"")"),FALSE)</f>
        <v>0</v>
      </c>
      <c r="P556" s="2">
        <f t="shared" si="277"/>
        <v>9</v>
      </c>
      <c r="Q556" s="9" t="str">
        <f>IF(AND(O556=TRUE, P553=10), "✅ VALID", "❌ INVALID")</f>
        <v>❌ INVALID</v>
      </c>
      <c r="R556" s="10" t="s">
        <v>1177</v>
      </c>
      <c r="S556" s="12" t="s">
        <v>7169</v>
      </c>
      <c r="T556" s="2" t="str">
        <f>IFERROR(__xludf.DUMMYFUNCTION("IF(ISNUMBER(S556),TEXT(S556,""yyyy-MM-dd""),REGEXREPLACE(REGEXREPLACE(TO_TEXT(S556),""[^0-9a-zA-Z]+"",""-""),""[^0-9]*$"",""""))"),"10-02-2023")</f>
        <v>10-02-2023</v>
      </c>
      <c r="U556" s="2" t="s">
        <v>8043</v>
      </c>
      <c r="Y556" s="10" t="s">
        <v>8043</v>
      </c>
    </row>
    <row r="557" ht="15.75" customHeight="1">
      <c r="A557" s="2" t="s">
        <v>700</v>
      </c>
      <c r="B557" s="9" t="s">
        <v>7597</v>
      </c>
      <c r="C557" s="2" t="s">
        <v>173</v>
      </c>
      <c r="D557" s="10" t="str">
        <f>IFERROR(__xludf.DUMMYFUNCTION("PROPER(REGEXREPLACE(TRIM(C557),""\s+"","" ""))"),"Wiktor Young")</f>
        <v>Wiktor Young</v>
      </c>
      <c r="E557" s="2">
        <f>IFERROR(__xludf.DUMMYFUNCTION("IF(LEN(D557:D701),
  COUNTA(SPLIT(D557:D701,"" "")),
 """")"),2.0)</f>
        <v>2</v>
      </c>
      <c r="F557" s="9" t="str">
        <f t="shared" si="272"/>
        <v>✅</v>
      </c>
      <c r="G557" s="2" t="str">
        <f>IFERROR(__xludf.DUMMYFUNCTION("REGEXEXTRACT(PROPER(SUBSTITUTE(TRIM(I557),""."","" "")),""^[^@]+"")"),"Wiktor Young")</f>
        <v>Wiktor Young</v>
      </c>
      <c r="H557" s="10" t="str">
        <f t="shared" si="273"/>
        <v>wiktor.young@cmopany.co.uk</v>
      </c>
      <c r="I557" s="2" t="s">
        <v>6284</v>
      </c>
      <c r="J557" s="9" t="str">
        <f>IFERROR(__xludf.DUMMYFUNCTION("IF(REGEXMATCH(TRIM(I557),""^[A-Za-z0-9._%+-]+@[A-Za-z0-9.-]+\.[A-Za-z]{2,}$""),""✅ Valid"",""❌ Invalid"")"),"✅ Valid")</f>
        <v>✅ Valid</v>
      </c>
      <c r="K557" s="13" t="s">
        <v>8413</v>
      </c>
      <c r="L557" s="2" t="str">
        <f>IFERROR(__xludf.DUMMYFUNCTION("IF(OR(K557=""N/A"", K557=""missing"", K557=""none""), """",
 REGEXREPLACE(
  SUBSTITUTE(SUBSTITUTE(SUBSTITUTE(TO_TEXT(K557), CHAR(160),""""), UNICHAR(8239),""""), UNICHAR(8201),""""),""[+\-/(): )]"", """"))"),"443999447299")</f>
        <v>443999447299</v>
      </c>
      <c r="M557" s="2" t="str">
        <f>IFERROR(__xludf.DUMMYFUNCTION("IF(L557="""","""", REGEXEXTRACT(REGEXREPLACE(L557,""x"", """"), ""[0-9]+""))"),"443999447299")</f>
        <v>443999447299</v>
      </c>
      <c r="N557" s="2" t="str">
        <f>IF(LEFT(M557,2)="44", RIGHT(M557,LEN(M557)-2),M557)</f>
        <v>3999447299</v>
      </c>
      <c r="O557" s="2" t="b">
        <f>IFERROR(__xludf.DUMMYFUNCTION("REGEXMATCH(TO_TEXT(N557), ""^07[1-57-9]"")"),FALSE)</f>
        <v>0</v>
      </c>
      <c r="P557" s="2">
        <f t="shared" si="277"/>
        <v>10</v>
      </c>
      <c r="Q557" s="9" t="str">
        <f>IF(AND(O557=TRUE, P557=11), "✅ VALID", "❌ INVALID")</f>
        <v>❌ INVALID</v>
      </c>
      <c r="R557" s="10" t="s">
        <v>114</v>
      </c>
      <c r="S557" s="12">
        <v>45196.0</v>
      </c>
      <c r="T557" s="2" t="str">
        <f>IFERROR(__xludf.DUMMYFUNCTION("IF(ISNUMBER(S557),TEXT(S557,""yyyy-MM-dd""),REGEXREPLACE(REGEXREPLACE(TO_TEXT(S557),""[^0-9a-zA-Z]+"",""-""),""[^0-9]*$"",""""))"),"2023-09-27")</f>
        <v>2023-09-27</v>
      </c>
      <c r="U557" s="2" t="s">
        <v>8414</v>
      </c>
      <c r="Y557" s="10" t="s">
        <v>8414</v>
      </c>
    </row>
    <row r="558" ht="15.75" customHeight="1">
      <c r="A558" s="2" t="s">
        <v>6578</v>
      </c>
      <c r="B558" s="9" t="s">
        <v>7597</v>
      </c>
      <c r="C558" s="2" t="s">
        <v>3819</v>
      </c>
      <c r="D558" s="10" t="str">
        <f>IFERROR(__xludf.DUMMYFUNCTION("PROPER(REGEXREPLACE(TRIM(C558),""\s+"","" ""))"),"Marek Novak")</f>
        <v>Marek Novak</v>
      </c>
      <c r="E558" s="2">
        <f>IFERROR(__xludf.DUMMYFUNCTION("IF(LEN(D558:D701),
  COUNTA(SPLIT(D558:D701,"" "")),
 """")"),2.0)</f>
        <v>2</v>
      </c>
      <c r="F558" s="9" t="str">
        <f t="shared" si="272"/>
        <v>✅</v>
      </c>
      <c r="G558" s="2" t="str">
        <f>IFERROR(__xludf.DUMMYFUNCTION("REGEXEXTRACT(PROPER(SUBSTITUTE(TRIM(I558),""."","" "")),""^[^@]+"")"),"Marek Novak")</f>
        <v>Marek Novak</v>
      </c>
      <c r="H558" s="10" t="str">
        <f t="shared" si="273"/>
        <v>marek.novak@yahoo.com</v>
      </c>
      <c r="I558" s="2" t="s">
        <v>6256</v>
      </c>
      <c r="J558" s="9" t="str">
        <f>IFERROR(__xludf.DUMMYFUNCTION("IF(REGEXMATCH(TRIM(I558),""^[A-Za-z0-9._%+-]+@[A-Za-z0-9.-]+\.[A-Za-z]{2,}$""),""✅ Valid"",""❌ Invalid"")"),"✅ Valid")</f>
        <v>✅ Valid</v>
      </c>
      <c r="K558" s="15" t="s">
        <v>8415</v>
      </c>
      <c r="L558" s="2" t="str">
        <f>IFERROR(__xludf.DUMMYFUNCTION("IF(K558=""N/A"", """",
 REGEXREPLACE(
  SUBSTITUTE(SUBSTITUTE(SUBSTITUTE(TO_TEXT(K558), CHAR(160),""""), UNICHAR(8239),""""), UNICHAR(8201),""""),""[+\-/(): )]"", """"))"),"482711664102ext819")</f>
        <v>482711664102ext819</v>
      </c>
      <c r="M558" s="2" t="str">
        <f>IFERROR(__xludf.DUMMYFUNCTION("IF(L558="""","""", REGEXEXTRACT(REGEXREPLACE(L558,""x"", """"), ""[0-9]+""))"),"482711664102")</f>
        <v>482711664102</v>
      </c>
      <c r="N558" s="2" t="str">
        <f>IF(LEFT(M558,2)="48", RIGHT(M558,LEN(M558)-2),M558)</f>
        <v>2711664102</v>
      </c>
      <c r="O558" s="2" t="b">
        <f>IFERROR(__xludf.DUMMYFUNCTION("REGEXMATCH(TO_TEXT(N558), ""^(5[013679]|6[069]|7[2-9]|88)"")"),FALSE)</f>
        <v>0</v>
      </c>
      <c r="Q558" s="9" t="str">
        <f>IF(AND(O558=TRUE, P558=9), "✅ VALID", "❌ INVALID")</f>
        <v>❌ INVALID</v>
      </c>
      <c r="R558" s="10" t="s">
        <v>25</v>
      </c>
      <c r="S558" s="12">
        <v>45610.0</v>
      </c>
      <c r="T558" s="2" t="str">
        <f>IFERROR(__xludf.DUMMYFUNCTION("IF(ISNUMBER(S558),TEXT(S558,""yyyy-MM-dd""),REGEXREPLACE(REGEXREPLACE(TO_TEXT(S558),""[^0-9a-zA-Z]+"",""-""),""[^0-9]*$"",""""))"),"2024-11-14")</f>
        <v>2024-11-14</v>
      </c>
      <c r="U558" s="2" t="s">
        <v>8416</v>
      </c>
      <c r="Y558" s="10" t="s">
        <v>8416</v>
      </c>
    </row>
    <row r="559" ht="15.75" customHeight="1">
      <c r="A559" s="2" t="s">
        <v>3005</v>
      </c>
      <c r="B559" s="9" t="s">
        <v>7597</v>
      </c>
      <c r="C559" s="2" t="s">
        <v>2984</v>
      </c>
      <c r="D559" s="10" t="str">
        <f>IFERROR(__xludf.DUMMYFUNCTION("PROPER(REGEXREPLACE(TRIM(C559),""\s+"","" ""))"),"Lia Taylor")</f>
        <v>Lia Taylor</v>
      </c>
      <c r="E559" s="2">
        <f>IFERROR(__xludf.DUMMYFUNCTION("IF(LEN(D559:D701),
  COUNTA(SPLIT(D559:D701,"" "")),
 """")"),2.0)</f>
        <v>2</v>
      </c>
      <c r="F559" s="9" t="str">
        <f t="shared" si="272"/>
        <v>✅</v>
      </c>
      <c r="G559" s="2" t="str">
        <f>IFERROR(__xludf.DUMMYFUNCTION("REGEXEXTRACT(PROPER(SUBSTITUTE(TRIM(I559),""."","" "")),""^[^@]+"")"),"Lia Taylor")</f>
        <v>Lia Taylor</v>
      </c>
      <c r="H559" s="10" t="str">
        <f t="shared" si="273"/>
        <v>lia.taylor@company.co.uk</v>
      </c>
      <c r="I559" s="2" t="s">
        <v>2985</v>
      </c>
      <c r="J559" s="9" t="str">
        <f>IFERROR(__xludf.DUMMYFUNCTION("IF(REGEXMATCH(TRIM(I559),""^[A-Za-z0-9._%+-]+@[A-Za-z0-9.-]+\.[A-Za-z]{2,}$""),""✅ Valid"",""❌ Invalid"")"),"✅ Valid")</f>
        <v>✅ Valid</v>
      </c>
      <c r="K559" s="13" t="s">
        <v>8417</v>
      </c>
      <c r="L559" s="2" t="str">
        <f>IFERROR(__xludf.DUMMYFUNCTION("IF(OR(K559=""N/A"", K559=""missing"", K559=""none""), """",
 REGEXREPLACE(
  SUBSTITUTE(SUBSTITUTE(SUBSTITUTE(TO_TEXT(K559), CHAR(160),""""), UNICHAR(8239),""""), UNICHAR(8201),""""),""[+\-/(): )]"", """"))"),"3120374952")</f>
        <v>3120374952</v>
      </c>
      <c r="M559" s="2" t="str">
        <f>IFERROR(__xludf.DUMMYFUNCTION("IF(L559="""","""", REGEXEXTRACT(REGEXREPLACE(L559,""x"", """"), ""[0-9]+""))"),"3120374952")</f>
        <v>3120374952</v>
      </c>
      <c r="N559" s="2" t="str">
        <f>IF(LEFT(M559,2)="39", RIGHT(M559,LEN(M559)-2),M559)</f>
        <v>3120374952</v>
      </c>
      <c r="O559" s="2" t="b">
        <f>IFERROR(__xludf.DUMMYFUNCTION("REGEXMATCH(TO_TEXT(N559), ""^3"")"),TRUE)</f>
        <v>1</v>
      </c>
      <c r="P559" s="2">
        <f t="shared" ref="P559:P564" si="278">LEN(N559)</f>
        <v>10</v>
      </c>
      <c r="Q559" s="9" t="str">
        <f>IF(AND(O559=TRUE,OR(P559=9, P559=10 )), "✅ VALID", "❌ INVALID")</f>
        <v>✅ VALID</v>
      </c>
      <c r="R559" s="10" t="s">
        <v>785</v>
      </c>
      <c r="S559" s="12">
        <v>45558.0125</v>
      </c>
      <c r="T559" s="2" t="str">
        <f>IFERROR(__xludf.DUMMYFUNCTION("IF(ISNUMBER(S559),TEXT(S559,""yyyy-MM-dd""),REGEXREPLACE(REGEXREPLACE(TO_TEXT(S559),""[^0-9a-zA-Z]+"",""-""),""[^0-9]*$"",""""))"),"2024-09-23")</f>
        <v>2024-09-23</v>
      </c>
      <c r="U559" s="2" t="s">
        <v>3014</v>
      </c>
      <c r="Y559" s="10" t="s">
        <v>3014</v>
      </c>
    </row>
    <row r="560" ht="15.75" customHeight="1">
      <c r="A560" s="2" t="s">
        <v>1174</v>
      </c>
      <c r="B560" s="9" t="s">
        <v>7597</v>
      </c>
      <c r="C560" s="2" t="s">
        <v>3555</v>
      </c>
      <c r="D560" s="10" t="str">
        <f>IFERROR(__xludf.DUMMYFUNCTION("PROPER(REGEXREPLACE(TRIM(C560),""\s+"","" ""))"),"Omar Young")</f>
        <v>Omar Young</v>
      </c>
      <c r="E560" s="2">
        <f>IFERROR(__xludf.DUMMYFUNCTION("IF(LEN(D560:D701),
  COUNTA(SPLIT(D560:D701,"" "")),
 """")"),2.0)</f>
        <v>2</v>
      </c>
      <c r="F560" s="9" t="str">
        <f t="shared" si="272"/>
        <v>✅</v>
      </c>
      <c r="G560" s="2" t="str">
        <f>IFERROR(__xludf.DUMMYFUNCTION("REGEXEXTRACT(PROPER(SUBSTITUTE(TRIM(I560),""."","" "")),""^[^@]+"")"),"Omar Young")</f>
        <v>Omar Young</v>
      </c>
      <c r="H560" s="10" t="str">
        <f t="shared" si="273"/>
        <v>omar.young@example.com</v>
      </c>
      <c r="I560" s="2" t="s">
        <v>3556</v>
      </c>
      <c r="J560" s="9" t="str">
        <f>IFERROR(__xludf.DUMMYFUNCTION("IF(REGEXMATCH(TRIM(I560),""^[A-Za-z0-9._%+-]+@[A-Za-z0-9.-]+\.[A-Za-z]{2,}$""),""✅ Valid"",""❌ Invalid"")"),"✅ Valid")</f>
        <v>✅ Valid</v>
      </c>
      <c r="K560" s="13" t="s">
        <v>8418</v>
      </c>
      <c r="L560" s="2" t="str">
        <f>IFERROR(__xludf.DUMMYFUNCTION("IF(OR(K560=""N/A"", K560=""missing"", K560=""none""), """",
 REGEXREPLACE(
  SUBSTITUTE(SUBSTITUTE(SUBSTITUTE(TO_TEXT(K560), CHAR(160),""""), UNICHAR(8239),""""), UNICHAR(8201),""""),""[+\-/(): )]"", """"))"),"12470093417")</f>
        <v>12470093417</v>
      </c>
      <c r="M560" s="2" t="str">
        <f>IFERROR(__xludf.DUMMYFUNCTION("IF(L560="""","""", REGEXEXTRACT(REGEXREPLACE(L560,""x"", """"), ""[0-9]+""))"),"12470093417")</f>
        <v>12470093417</v>
      </c>
      <c r="N560" s="2" t="str">
        <f>IF(LEFT(M560,2)="49", RIGHT(M560,LEN(M560)-2),M560)</f>
        <v>12470093417</v>
      </c>
      <c r="O560" s="2" t="b">
        <f>IFERROR(__xludf.DUMMYFUNCTION("REGEXMATCH(TO_TEXT(N560), ""^0(15|16|17)"")"),FALSE)</f>
        <v>0</v>
      </c>
      <c r="P560" s="2">
        <f t="shared" si="278"/>
        <v>11</v>
      </c>
      <c r="Q560" s="9" t="str">
        <f>IF(AND(O560=TRUE,OR(P560=10, P560=11)), "✅ VALID", "❌ INVALID")</f>
        <v>❌ INVALID</v>
      </c>
      <c r="R560" s="10" t="s">
        <v>459</v>
      </c>
      <c r="S560" s="12">
        <v>45130.0</v>
      </c>
      <c r="T560" s="2" t="str">
        <f>IFERROR(__xludf.DUMMYFUNCTION("IF(ISNUMBER(S560),TEXT(S560,""yyyy-MM-dd""),REGEXREPLACE(REGEXREPLACE(TO_TEXT(S560),""[^0-9a-zA-Z]+"",""-""),""[^0-9]*$"",""""))"),"2023-07-23")</f>
        <v>2023-07-23</v>
      </c>
      <c r="U560" s="2" t="s">
        <v>8419</v>
      </c>
      <c r="Y560" s="10" t="s">
        <v>8419</v>
      </c>
    </row>
    <row r="561" ht="15.75" customHeight="1">
      <c r="A561" s="2" t="s">
        <v>4179</v>
      </c>
      <c r="B561" s="9" t="s">
        <v>7597</v>
      </c>
      <c r="C561" s="2" t="s">
        <v>4613</v>
      </c>
      <c r="D561" s="10" t="str">
        <f>IFERROR(__xludf.DUMMYFUNCTION("PROPER(REGEXREPLACE(TRIM(C561),""\s+"","" ""))"),"Carlos Taylor")</f>
        <v>Carlos Taylor</v>
      </c>
      <c r="E561" s="2">
        <f>IFERROR(__xludf.DUMMYFUNCTION("IF(LEN(D561:D701),
  COUNTA(SPLIT(D561:D701,"" "")),
 """")"),2.0)</f>
        <v>2</v>
      </c>
      <c r="F561" s="9" t="str">
        <f t="shared" si="272"/>
        <v>✅</v>
      </c>
      <c r="G561" s="2" t="str">
        <f>IFERROR(__xludf.DUMMYFUNCTION("REGEXEXTRACT(PROPER(SUBSTITUTE(TRIM(I561),""."","" "")),""^[^@]+"")"),"Carlos Taylor")</f>
        <v>Carlos Taylor</v>
      </c>
      <c r="H561" s="10" t="str">
        <f t="shared" si="273"/>
        <v>carlos.taylor@example.com</v>
      </c>
      <c r="I561" s="2" t="s">
        <v>4614</v>
      </c>
      <c r="J561" s="9" t="str">
        <f>IFERROR(__xludf.DUMMYFUNCTION("IF(REGEXMATCH(TRIM(I561),""^[A-Za-z0-9._%+-]+@[A-Za-z0-9.-]+\.[A-Za-z]{2,}$""),""✅ Valid"",""❌ Invalid"")"),"✅ Valid")</f>
        <v>✅ Valid</v>
      </c>
      <c r="K561" s="13" t="s">
        <v>8420</v>
      </c>
      <c r="L561" s="2" t="str">
        <f>IFERROR(__xludf.DUMMYFUNCTION("IF(OR(K561=""N/A"", K561=""missing"", K561=""none""), """",
 REGEXREPLACE(
  SUBSTITUTE(SUBSTITUTE(SUBSTITUTE(TO_TEXT(K561), CHAR(160),""""), UNICHAR(8239),""""), UNICHAR(8201),""""),""[+\-/(): )]"", """"))"),"4603194753")</f>
        <v>4603194753</v>
      </c>
      <c r="M561" s="2" t="str">
        <f>IFERROR(__xludf.DUMMYFUNCTION("IF(L561="""","""", REGEXEXTRACT(REGEXREPLACE(L561,""x"", """"), ""[0-9]+""))"),"4603194753")</f>
        <v>4603194753</v>
      </c>
      <c r="N561" s="2" t="str">
        <f>IF(LEFT(M561,3)="353", RIGHT(M561,LEN(M561)-3),M561)</f>
        <v>4603194753</v>
      </c>
      <c r="O561" s="2" t="b">
        <f>IFERROR(__xludf.DUMMYFUNCTION("REGEXMATCH(TO_TEXT(N561), ""^0(83|85|86|87|89)"")"),FALSE)</f>
        <v>0</v>
      </c>
      <c r="P561" s="2">
        <f t="shared" si="278"/>
        <v>10</v>
      </c>
      <c r="Q561" s="9" t="str">
        <f>IF(AND(O561=TRUE, P558=10), "✅ VALID", "❌ INVALID")</f>
        <v>❌ INVALID</v>
      </c>
      <c r="R561" s="10" t="s">
        <v>1177</v>
      </c>
      <c r="S561" s="12" t="s">
        <v>6257</v>
      </c>
      <c r="T561" s="2" t="str">
        <f>IFERROR(__xludf.DUMMYFUNCTION("IF(ISNUMBER(S561),TEXT(S561,""yyyy-MM-dd""),REGEXREPLACE(REGEXREPLACE(TO_TEXT(S561),""[^0-9a-zA-Z]+"",""-""),""[^0-9]*$"",""""))"),"17-01-2022")</f>
        <v>17-01-2022</v>
      </c>
      <c r="U561" s="2" t="s">
        <v>7882</v>
      </c>
      <c r="Y561" s="10" t="s">
        <v>7882</v>
      </c>
    </row>
    <row r="562" ht="15.75" customHeight="1">
      <c r="A562" s="2" t="s">
        <v>2762</v>
      </c>
      <c r="B562" s="9" t="s">
        <v>7597</v>
      </c>
      <c r="C562" s="2" t="s">
        <v>3643</v>
      </c>
      <c r="D562" s="10" t="s">
        <v>5798</v>
      </c>
      <c r="E562" s="2">
        <f>IFERROR(__xludf.DUMMYFUNCTION("IF(LEN(D562:D701),
  COUNTA(SPLIT(D562:D701,"" "")),
 """")"),2.0)</f>
        <v>2</v>
      </c>
      <c r="F562" s="9" t="str">
        <f t="shared" si="272"/>
        <v>✅</v>
      </c>
      <c r="G562" s="2" t="s">
        <v>5798</v>
      </c>
      <c r="H562" s="10" t="str">
        <f t="shared" si="273"/>
        <v>ken.garcia@gmail.com</v>
      </c>
      <c r="I562" s="2" t="s">
        <v>3644</v>
      </c>
      <c r="J562" s="9" t="str">
        <f>IFERROR(__xludf.DUMMYFUNCTION("IF(REGEXMATCH(TRIM(I562),""^[A-Za-z0-9._%+-]+@[A-Za-z0-9.-]+\.[A-Za-z]{2,}$""),""✅ Valid"",""❌ Invalid"")"),"✅ Valid")</f>
        <v>✅ Valid</v>
      </c>
      <c r="K562" s="11">
        <v>4.908897243E9</v>
      </c>
      <c r="L562" s="2" t="str">
        <f>IFERROR(__xludf.DUMMYFUNCTION("IF(OR(K562=""N/A"", K562=""missing"", K562=""none""), """",
 REGEXREPLACE(
  SUBSTITUTE(SUBSTITUTE(SUBSTITUTE(TO_TEXT(K562), CHAR(160),""""), UNICHAR(8239),""""), UNICHAR(8201),""""),""[+\-/(): )]"", """"))"),"4908897243")</f>
        <v>4908897243</v>
      </c>
      <c r="M562" s="2" t="str">
        <f>IFERROR(__xludf.DUMMYFUNCTION("IF(L562="""","""", REGEXEXTRACT(REGEXREPLACE(L562,""x"", """"), ""[0-9]+""))"),"4908897243")</f>
        <v>4908897243</v>
      </c>
      <c r="N562" s="2" t="str">
        <f>IF(LEFT(M562,1)="1", RIGHT(M562,LEN(M562)-1),M562)</f>
        <v>4908897243</v>
      </c>
      <c r="O562" s="2" t="b">
        <f>IFERROR(__xludf.DUMMYFUNCTION("REGEXMATCH(TO_TEXT(N562), ""^[2-9][0-9]{9}$"")"),TRUE)</f>
        <v>1</v>
      </c>
      <c r="P562" s="2">
        <f t="shared" si="278"/>
        <v>10</v>
      </c>
      <c r="Q562" s="9" t="str">
        <f>IF(AND(O562=TRUE, P562=10), "✅ VALID", "❌ INVALID")</f>
        <v>✅ VALID</v>
      </c>
      <c r="R562" s="10" t="s">
        <v>199</v>
      </c>
      <c r="S562" s="12" t="s">
        <v>6332</v>
      </c>
      <c r="T562" s="2" t="str">
        <f>IFERROR(__xludf.DUMMYFUNCTION("IF(ISNUMBER(S562),TEXT(S562,""yyyy-MM-dd""),REGEXREPLACE(REGEXREPLACE(TO_TEXT(S562),""[^0-9a-zA-Z]+"",""-""),""[^0-9]*$"",""""))"),"08-06-2022")</f>
        <v>08-06-2022</v>
      </c>
      <c r="U562" s="2" t="s">
        <v>8421</v>
      </c>
      <c r="Y562" s="10" t="s">
        <v>8421</v>
      </c>
    </row>
    <row r="563" ht="15.75" customHeight="1">
      <c r="A563" s="2" t="s">
        <v>2152</v>
      </c>
      <c r="B563" s="9" t="s">
        <v>7597</v>
      </c>
      <c r="C563" s="2" t="s">
        <v>4714</v>
      </c>
      <c r="D563" s="10" t="str">
        <f>IFERROR(__xludf.DUMMYFUNCTION("PROPER(REGEXREPLACE(TRIM(C563),""\s+"","" ""))"),"Nina Young")</f>
        <v>Nina Young</v>
      </c>
      <c r="E563" s="2">
        <f>IFERROR(__xludf.DUMMYFUNCTION("IF(LEN(D563:D701),
  COUNTA(SPLIT(D563:D701,"" "")),
 """")"),2.0)</f>
        <v>2</v>
      </c>
      <c r="F563" s="9" t="str">
        <f t="shared" si="272"/>
        <v>✅</v>
      </c>
      <c r="G563" s="2" t="str">
        <f>IFERROR(__xludf.DUMMYFUNCTION("REGEXEXTRACT(PROPER(SUBSTITUTE(TRIM(I563),""."","" "")),""^[^@]+"")"),"Nina Young")</f>
        <v>Nina Young</v>
      </c>
      <c r="H563" s="10" t="str">
        <f t="shared" si="273"/>
        <v>nina.young@outlook.com</v>
      </c>
      <c r="I563" s="2" t="s">
        <v>4715</v>
      </c>
      <c r="J563" s="9" t="str">
        <f>IFERROR(__xludf.DUMMYFUNCTION("IF(REGEXMATCH(TRIM(I563),""^[A-Za-z0-9._%+-]+@[A-Za-z0-9.-]+\.[A-Za-z]{2,}$""),""✅ Valid"",""❌ Invalid"")"),"✅ Valid")</f>
        <v>✅ Valid</v>
      </c>
      <c r="K563" s="13" t="s">
        <v>8422</v>
      </c>
      <c r="L563" s="2" t="str">
        <f>IFERROR(__xludf.DUMMYFUNCTION("IF(OR(K563=""N/A"", K563=""missing"", K563=""none""), """",
 REGEXREPLACE(
  SUBSTITUTE(SUBSTITUTE(SUBSTITUTE(TO_TEXT(K563), CHAR(160),""""), UNICHAR(8239),""""), UNICHAR(8201),""""),""[+\-/(): )]"", """"))"),"018259510")</f>
        <v>018259510</v>
      </c>
      <c r="M563" s="2" t="str">
        <f>IFERROR(__xludf.DUMMYFUNCTION("IF(L563="""","""", REGEXEXTRACT(REGEXREPLACE(L563,""x"", """"), ""[0-9]+""))"),"018259510")</f>
        <v>018259510</v>
      </c>
      <c r="N563" s="2" t="str">
        <f>IF(LEFT(M563,2)="33", RIGHT(M563,LEN(M563)-2),M563)</f>
        <v>018259510</v>
      </c>
      <c r="O563" s="2" t="b">
        <f>IFERROR(__xludf.DUMMYFUNCTION("REGEXMATCH(TO_TEXT(N563), ""^0[67]"")"),FALSE)</f>
        <v>0</v>
      </c>
      <c r="P563" s="2">
        <f t="shared" si="278"/>
        <v>9</v>
      </c>
      <c r="Q563" s="9" t="str">
        <f t="shared" ref="Q563:Q565" si="279">IF(AND(O563=TRUE, P563=9), "✅ VALID", "❌ INVALID")</f>
        <v>❌ INVALID</v>
      </c>
      <c r="R563" s="10" t="s">
        <v>58</v>
      </c>
      <c r="S563" s="12">
        <v>44613.0</v>
      </c>
      <c r="T563" s="2" t="str">
        <f>IFERROR(__xludf.DUMMYFUNCTION("IF(ISNUMBER(S563),TEXT(S563,""yyyy-MM-dd""),REGEXREPLACE(REGEXREPLACE(TO_TEXT(S563),""[^0-9a-zA-Z]+"",""-""),""[^0-9]*$"",""""))"),"2022-02-21")</f>
        <v>2022-02-21</v>
      </c>
      <c r="U563" s="2" t="s">
        <v>8423</v>
      </c>
      <c r="Y563" s="10" t="s">
        <v>8423</v>
      </c>
    </row>
    <row r="564" ht="15.75" customHeight="1">
      <c r="A564" s="2" t="s">
        <v>1638</v>
      </c>
      <c r="B564" s="9" t="s">
        <v>7597</v>
      </c>
      <c r="C564" s="2" t="s">
        <v>5870</v>
      </c>
      <c r="D564" s="10" t="str">
        <f>IFERROR(__xludf.DUMMYFUNCTION("PROPER(REGEXREPLACE(TRIM(C564),""\s+"","" ""))"),"Daria Lopez")</f>
        <v>Daria Lopez</v>
      </c>
      <c r="E564" s="2">
        <f>IFERROR(__xludf.DUMMYFUNCTION("IF(LEN(D564:D701),
  COUNTA(SPLIT(D564:D701,"" "")),
 """")"),2.0)</f>
        <v>2</v>
      </c>
      <c r="F564" s="9" t="str">
        <f t="shared" si="272"/>
        <v>✅</v>
      </c>
      <c r="G564" s="2" t="str">
        <f>IFERROR(__xludf.DUMMYFUNCTION("REGEXEXTRACT(PROPER(SUBSTITUTE(TRIM(I564),""."","" "")),""^[^@]+"")"),"Daria Lopez")</f>
        <v>Daria Lopez</v>
      </c>
      <c r="H564" s="10" t="str">
        <f t="shared" si="273"/>
        <v>daria.lopez@company.co.uk</v>
      </c>
      <c r="I564" s="2" t="s">
        <v>5871</v>
      </c>
      <c r="J564" s="9" t="str">
        <f>IFERROR(__xludf.DUMMYFUNCTION("IF(REGEXMATCH(TRIM(I564),""^[A-Za-z0-9._%+-]+@[A-Za-z0-9.-]+\.[A-Za-z]{2,}$""),""✅ Valid"",""❌ Invalid"")"),"✅ Valid")</f>
        <v>✅ Valid</v>
      </c>
      <c r="K564" s="17" t="s">
        <v>8424</v>
      </c>
      <c r="L564" s="2" t="str">
        <f>IFERROR(__xludf.DUMMYFUNCTION("IF(K564=""N/A"", """",
 REGEXREPLACE(
  SUBSTITUTE(SUBSTITUTE(SUBSTITUTE(TO_TEXT(K564), CHAR(160),""""), UNICHAR(8239),""""), UNICHAR(8201),""""),""[+\-/(): )]"", """"))"),"745987647")</f>
        <v>745987647</v>
      </c>
      <c r="M564" s="2" t="str">
        <f>IFERROR(__xludf.DUMMYFUNCTION("IF(L564="""","""", REGEXEXTRACT(REGEXREPLACE(L564,""x"", """"), ""[0-9]+""))"),"745987647")</f>
        <v>745987647</v>
      </c>
      <c r="N564" s="2" t="str">
        <f t="shared" ref="N564:N565" si="280">IF(LEFT(M564,2)="48", RIGHT(M564,LEN(M564)-2),M564)</f>
        <v>745987647</v>
      </c>
      <c r="O564" s="2" t="b">
        <f>IFERROR(__xludf.DUMMYFUNCTION("REGEXMATCH(TO_TEXT(N564), ""^(5[013679]|6[069]|7[2-9]|88)"")"),TRUE)</f>
        <v>1</v>
      </c>
      <c r="P564" s="2">
        <f t="shared" si="278"/>
        <v>9</v>
      </c>
      <c r="Q564" s="9" t="str">
        <f t="shared" si="279"/>
        <v>✅ VALID</v>
      </c>
      <c r="R564" s="10" t="s">
        <v>25</v>
      </c>
      <c r="S564" s="12">
        <v>45174.0</v>
      </c>
      <c r="T564" s="2" t="str">
        <f>IFERROR(__xludf.DUMMYFUNCTION("IF(ISNUMBER(S564),TEXT(S564,""yyyy-MM-dd""),REGEXREPLACE(REGEXREPLACE(TO_TEXT(S564),""[^0-9a-zA-Z]+"",""-""),""[^0-9]*$"",""""))"),"2023-09-05")</f>
        <v>2023-09-05</v>
      </c>
      <c r="U564" s="2" t="s">
        <v>6312</v>
      </c>
      <c r="Y564" s="10" t="s">
        <v>6312</v>
      </c>
    </row>
    <row r="565" ht="15.75" customHeight="1">
      <c r="A565" s="2" t="s">
        <v>3632</v>
      </c>
      <c r="B565" s="9" t="s">
        <v>7597</v>
      </c>
      <c r="C565" s="2" t="s">
        <v>7082</v>
      </c>
      <c r="D565" s="10" t="str">
        <f>IFERROR(__xludf.DUMMYFUNCTION("PROPER(REGEXREPLACE(TRIM(C565),""\s+"","" ""))"),"Ethan Brown")</f>
        <v>Ethan Brown</v>
      </c>
      <c r="E565" s="2">
        <f>IFERROR(__xludf.DUMMYFUNCTION("IF(LEN(D565:D701),
  COUNTA(SPLIT(D565:D701,"" "")),
 """")"),2.0)</f>
        <v>2</v>
      </c>
      <c r="F565" s="9" t="str">
        <f t="shared" si="272"/>
        <v>✅</v>
      </c>
      <c r="G565" s="2" t="str">
        <f>IFERROR(__xludf.DUMMYFUNCTION("REGEXEXTRACT(PROPER(SUBSTITUTE(TRIM(I565),""."","" "")),""^[^@]+"")"),"Ethan Brown")</f>
        <v>Ethan Brown</v>
      </c>
      <c r="H565" s="10" t="str">
        <f t="shared" si="273"/>
        <v>ethan.brown@company.co.uk</v>
      </c>
      <c r="I565" s="2" t="s">
        <v>7083</v>
      </c>
      <c r="J565" s="9" t="str">
        <f>IFERROR(__xludf.DUMMYFUNCTION("IF(REGEXMATCH(TRIM(I565),""^[A-Za-z0-9._%+-]+@[A-Za-z0-9.-]+\.[A-Za-z]{2,}$""),""✅ Valid"",""❌ Invalid"")"),"✅ Valid")</f>
        <v>✅ Valid</v>
      </c>
      <c r="K565" s="15" t="s">
        <v>8425</v>
      </c>
      <c r="L565" s="2" t="str">
        <f>IFERROR(__xludf.DUMMYFUNCTION("IF(K565=""N/A"", """",
 REGEXREPLACE(
  SUBSTITUTE(SUBSTITUTE(SUBSTITUTE(TO_TEXT(K565), CHAR(160),""""), UNICHAR(8239),""""), UNICHAR(8201),""""),""[+\-/(): )]"", """"))"),"24355170")</f>
        <v>24355170</v>
      </c>
      <c r="M565" s="2" t="str">
        <f>IFERROR(__xludf.DUMMYFUNCTION("IF(L565="""","""", REGEXEXTRACT(REGEXREPLACE(L565,""x"", """"), ""[0-9]+""))"),"24355170")</f>
        <v>24355170</v>
      </c>
      <c r="N565" s="2" t="str">
        <f t="shared" si="280"/>
        <v>24355170</v>
      </c>
      <c r="O565" s="2" t="b">
        <f>IFERROR(__xludf.DUMMYFUNCTION("REGEXMATCH(TO_TEXT(N565), ""^(5[013679]|6[069]|7[2-9]|88)"")"),FALSE)</f>
        <v>0</v>
      </c>
      <c r="Q565" s="9" t="str">
        <f t="shared" si="279"/>
        <v>❌ INVALID</v>
      </c>
      <c r="R565" s="10" t="s">
        <v>25</v>
      </c>
      <c r="S565" s="12">
        <v>45051.0</v>
      </c>
      <c r="T565" s="2" t="str">
        <f>IFERROR(__xludf.DUMMYFUNCTION("IF(ISNUMBER(S565),TEXT(S565,""yyyy-MM-dd""),REGEXREPLACE(REGEXREPLACE(TO_TEXT(S565),""[^0-9a-zA-Z]+"",""-""),""[^0-9]*$"",""""))"),"2023-05-05")</f>
        <v>2023-05-05</v>
      </c>
      <c r="U565" s="2" t="s">
        <v>8393</v>
      </c>
      <c r="Y565" s="10" t="s">
        <v>8393</v>
      </c>
    </row>
    <row r="566" ht="15.75" customHeight="1">
      <c r="A566" s="2" t="s">
        <v>6372</v>
      </c>
      <c r="B566" s="9" t="s">
        <v>7597</v>
      </c>
      <c r="C566" s="2" t="s">
        <v>3831</v>
      </c>
      <c r="D566" s="10" t="str">
        <f>IFERROR(__xludf.DUMMYFUNCTION("PROPER(REGEXREPLACE(TRIM(C566),""\s+"","" ""))"),"Sam Lopez")</f>
        <v>Sam Lopez</v>
      </c>
      <c r="E566" s="2">
        <f>IFERROR(__xludf.DUMMYFUNCTION("IF(LEN(D566:D701),
  COUNTA(SPLIT(D566:D701,"" "")),
 """")"),2.0)</f>
        <v>2</v>
      </c>
      <c r="F566" s="9" t="str">
        <f t="shared" si="272"/>
        <v>✅</v>
      </c>
      <c r="G566" s="2" t="str">
        <f>IFERROR(__xludf.DUMMYFUNCTION("REGEXEXTRACT(PROPER(SUBSTITUTE(TRIM(I566),""."","" "")),""^[^@]+"")"),"Sam Lopez")</f>
        <v>Sam Lopez</v>
      </c>
      <c r="H566" s="10" t="str">
        <f t="shared" si="273"/>
        <v>sam.lopez@gmail.com</v>
      </c>
      <c r="I566" s="2" t="s">
        <v>3126</v>
      </c>
      <c r="J566" s="9" t="str">
        <f>IFERROR(__xludf.DUMMYFUNCTION("IF(REGEXMATCH(TRIM(I566),""^[A-Za-z0-9._%+-]+@[A-Za-z0-9.-]+\.[A-Za-z]{2,}$""),""✅ Valid"",""❌ Invalid"")"),"✅ Valid")</f>
        <v>✅ Valid</v>
      </c>
      <c r="K566" s="13" t="s">
        <v>8426</v>
      </c>
      <c r="L566" s="2" t="str">
        <f>IFERROR(__xludf.DUMMYFUNCTION("IF(OR(K566=""N/A"", K566=""missing"", K566=""none""), """",
 REGEXREPLACE(
  SUBSTITUTE(SUBSTITUTE(SUBSTITUTE(TO_TEXT(K566), CHAR(160),""""), UNICHAR(8239),""""), UNICHAR(8201),""""),""[+\-/(): )]"", """"))"),"35356471097")</f>
        <v>35356471097</v>
      </c>
      <c r="M566" s="2" t="str">
        <f>IFERROR(__xludf.DUMMYFUNCTION("IF(L566="""","""", REGEXEXTRACT(REGEXREPLACE(L566,""x"", """"), ""[0-9]+""))"),"35356471097")</f>
        <v>35356471097</v>
      </c>
      <c r="N566" s="2" t="str">
        <f>IF(LEFT(M566,3)="353", RIGHT(M566,LEN(M566)-3),M566)</f>
        <v>56471097</v>
      </c>
      <c r="O566" s="2" t="b">
        <f>IFERROR(__xludf.DUMMYFUNCTION("REGEXMATCH(TO_TEXT(N566), ""^0(83|85|86|87|89)"")"),FALSE)</f>
        <v>0</v>
      </c>
      <c r="P566" s="2">
        <f t="shared" ref="P566:P569" si="281">LEN(N566)</f>
        <v>8</v>
      </c>
      <c r="Q566" s="9" t="str">
        <f>IF(AND(O566=TRUE, P563=10), "✅ VALID", "❌ INVALID")</f>
        <v>❌ INVALID</v>
      </c>
      <c r="R566" s="10" t="s">
        <v>1177</v>
      </c>
      <c r="S566" s="12">
        <v>44586.0</v>
      </c>
      <c r="T566" s="2" t="str">
        <f>IFERROR(__xludf.DUMMYFUNCTION("IF(ISNUMBER(S566),TEXT(S566,""yyyy-MM-dd""),REGEXREPLACE(REGEXREPLACE(TO_TEXT(S566),""[^0-9a-zA-Z]+"",""-""),""[^0-9]*$"",""""))"),"2022-01-25")</f>
        <v>2022-01-25</v>
      </c>
      <c r="U566" s="2" t="s">
        <v>8427</v>
      </c>
      <c r="Y566" s="10" t="s">
        <v>8427</v>
      </c>
    </row>
    <row r="567" ht="15.75" customHeight="1">
      <c r="A567" s="2" t="s">
        <v>275</v>
      </c>
      <c r="B567" s="9" t="s">
        <v>7597</v>
      </c>
      <c r="C567" s="16" t="s">
        <v>6507</v>
      </c>
      <c r="D567" s="10" t="str">
        <f>IFERROR(__xludf.DUMMYFUNCTION("PROPER(REGEXREPLACE(TRIM(C567),""\s+"","" ""))"),"Wiktor Novak")</f>
        <v>Wiktor Novak</v>
      </c>
      <c r="E567" s="2">
        <f>IFERROR(__xludf.DUMMYFUNCTION("IF(LEN(D567:D701),
  COUNTA(SPLIT(D567:D701,"" "")),
 """")"),2.0)</f>
        <v>2</v>
      </c>
      <c r="F567" s="9" t="str">
        <f t="shared" si="272"/>
        <v>✅</v>
      </c>
      <c r="G567" s="2" t="str">
        <f>IFERROR(__xludf.DUMMYFUNCTION("REGEXEXTRACT(PROPER(SUBSTITUTE(TRIM(I567),""."","" "")),""^[^@]+"")"),"Wiktor Novak")</f>
        <v>Wiktor Novak</v>
      </c>
      <c r="H567" s="10" t="str">
        <f t="shared" si="273"/>
        <v>wiktor.novak@company.co.uk</v>
      </c>
      <c r="I567" s="2" t="s">
        <v>6125</v>
      </c>
      <c r="J567" s="9" t="str">
        <f>IFERROR(__xludf.DUMMYFUNCTION("IF(REGEXMATCH(TRIM(I567),""^[A-Za-z0-9._%+-]+@[A-Za-z0-9.-]+\.[A-Za-z]{2,}$""),""✅ Valid"",""❌ Invalid"")"),"✅ Valid")</f>
        <v>✅ Valid</v>
      </c>
      <c r="K567" s="13" t="s">
        <v>8428</v>
      </c>
      <c r="L567" s="2" t="str">
        <f>IFERROR(__xludf.DUMMYFUNCTION("IF(OR(K567=""N/A"", K567=""missing"", K567=""none""), """",
 REGEXREPLACE(
  SUBSTITUTE(SUBSTITUTE(SUBSTITUTE(TO_TEXT(K567), CHAR(160),""""), UNICHAR(8239),""""), UNICHAR(8201),""""),""[+\-/(): )]"", """"))"),"tel39289324451")</f>
        <v>tel39289324451</v>
      </c>
      <c r="M567" s="2" t="str">
        <f>IFERROR(__xludf.DUMMYFUNCTION("IF(L567="""","""", REGEXEXTRACT(REGEXREPLACE(L567,""x"", """"), ""[0-9]+""))"),"39289324451")</f>
        <v>39289324451</v>
      </c>
      <c r="N567" s="2" t="str">
        <f t="shared" ref="N567:N568" si="282">IF(LEFT(M567,2)="39", RIGHT(M567,LEN(M567)-2),M567)</f>
        <v>289324451</v>
      </c>
      <c r="O567" s="2" t="b">
        <f>IFERROR(__xludf.DUMMYFUNCTION("REGEXMATCH(TO_TEXT(N567), ""^3"")"),FALSE)</f>
        <v>0</v>
      </c>
      <c r="P567" s="2">
        <f t="shared" si="281"/>
        <v>9</v>
      </c>
      <c r="Q567" s="9" t="str">
        <f t="shared" ref="Q567:Q568" si="283">IF(AND(O567=TRUE,OR(P567=9, P567=10 )), "✅ VALID", "❌ INVALID")</f>
        <v>❌ INVALID</v>
      </c>
      <c r="R567" s="10" t="s">
        <v>785</v>
      </c>
      <c r="S567" s="12" t="s">
        <v>7379</v>
      </c>
      <c r="T567" s="2" t="str">
        <f>IFERROR(__xludf.DUMMYFUNCTION("IF(ISNUMBER(S567),TEXT(S567,""yyyy-MM-dd""),REGEXREPLACE(REGEXREPLACE(TO_TEXT(S567),""[^0-9a-zA-Z]+"",""-""),""[^0-9]*$"",""""))"),"27-02-2024")</f>
        <v>27-02-2024</v>
      </c>
      <c r="U567" s="2" t="s">
        <v>8429</v>
      </c>
      <c r="Y567" s="10" t="s">
        <v>8429</v>
      </c>
    </row>
    <row r="568" ht="15.75" customHeight="1">
      <c r="A568" s="2" t="s">
        <v>7282</v>
      </c>
      <c r="B568" s="9" t="s">
        <v>7597</v>
      </c>
      <c r="C568" s="16" t="s">
        <v>6507</v>
      </c>
      <c r="D568" s="10" t="str">
        <f>IFERROR(__xludf.DUMMYFUNCTION("PROPER(REGEXREPLACE(TRIM(C568),""\s+"","" ""))"),"Wiktor Novak")</f>
        <v>Wiktor Novak</v>
      </c>
      <c r="E568" s="2">
        <f>IFERROR(__xludf.DUMMYFUNCTION("IF(LEN(D568:D701),
  COUNTA(SPLIT(D568:D701,"" "")),
 """")"),2.0)</f>
        <v>2</v>
      </c>
      <c r="F568" s="9" t="str">
        <f t="shared" si="272"/>
        <v>✅</v>
      </c>
      <c r="G568" s="2" t="str">
        <f>IFERROR(__xludf.DUMMYFUNCTION("REGEXEXTRACT(PROPER(SUBSTITUTE(TRIM(I568),""."","" "")),""^[^@]+"")"),"Wiktor Novak")</f>
        <v>Wiktor Novak</v>
      </c>
      <c r="H568" s="10" t="str">
        <f t="shared" si="273"/>
        <v>wiktor.novak@company.co.uk</v>
      </c>
      <c r="I568" s="2" t="s">
        <v>6586</v>
      </c>
      <c r="J568" s="9" t="str">
        <f>IFERROR(__xludf.DUMMYFUNCTION("IF(REGEXMATCH(TRIM(I568),""^[A-Za-z0-9._%+-]+@[A-Za-z0-9.-]+\.[A-Za-z]{2,}$""),""✅ Valid"",""❌ Invalid"")"),"✅ Valid")</f>
        <v>✅ Valid</v>
      </c>
      <c r="K568" s="13" t="s">
        <v>8430</v>
      </c>
      <c r="L568" s="2" t="str">
        <f>IFERROR(__xludf.DUMMYFUNCTION("IF(OR(K568=""N/A"", K568=""missing"", K568=""none""), """",
 REGEXREPLACE(
  SUBSTITUTE(SUBSTITUTE(SUBSTITUTE(TO_TEXT(K568), CHAR(160),""""), UNICHAR(8239),""""), UNICHAR(8201),""""),""[+\-/(): )]"", """"))"),"253782222")</f>
        <v>253782222</v>
      </c>
      <c r="M568" s="2" t="str">
        <f>IFERROR(__xludf.DUMMYFUNCTION("IF(L568="""","""", REGEXEXTRACT(REGEXREPLACE(L568,""x"", """"), ""[0-9]+""))"),"253782222")</f>
        <v>253782222</v>
      </c>
      <c r="N568" s="2" t="str">
        <f t="shared" si="282"/>
        <v>253782222</v>
      </c>
      <c r="O568" s="2" t="b">
        <f>IFERROR(__xludf.DUMMYFUNCTION("REGEXMATCH(TO_TEXT(N568), ""^3"")"),FALSE)</f>
        <v>0</v>
      </c>
      <c r="P568" s="2">
        <f t="shared" si="281"/>
        <v>9</v>
      </c>
      <c r="Q568" s="9" t="str">
        <f t="shared" si="283"/>
        <v>❌ INVALID</v>
      </c>
      <c r="R568" s="10" t="s">
        <v>785</v>
      </c>
      <c r="S568" s="12">
        <v>45059.0</v>
      </c>
      <c r="T568" s="2" t="str">
        <f>IFERROR(__xludf.DUMMYFUNCTION("IF(ISNUMBER(S568),TEXT(S568,""yyyy-MM-dd""),REGEXREPLACE(REGEXREPLACE(TO_TEXT(S568),""[^0-9a-zA-Z]+"",""-""),""[^0-9]*$"",""""))"),"2023-05-13")</f>
        <v>2023-05-13</v>
      </c>
      <c r="U568" s="2" t="s">
        <v>6771</v>
      </c>
      <c r="Y568" s="10" t="s">
        <v>6771</v>
      </c>
    </row>
    <row r="569" ht="15.75" customHeight="1">
      <c r="A569" s="2" t="s">
        <v>1867</v>
      </c>
      <c r="B569" s="9" t="s">
        <v>7597</v>
      </c>
      <c r="C569" s="2" t="s">
        <v>55</v>
      </c>
      <c r="D569" s="10" t="str">
        <f>IFERROR(__xludf.DUMMYFUNCTION("PROPER(REGEXREPLACE(TRIM(C569),""\s+"","" ""))"),"Igor Brown")</f>
        <v>Igor Brown</v>
      </c>
      <c r="E569" s="2">
        <f>IFERROR(__xludf.DUMMYFUNCTION("IF(LEN(D569:D701),
  COUNTA(SPLIT(D569:D701,"" "")),
 """")"),2.0)</f>
        <v>2</v>
      </c>
      <c r="F569" s="9" t="str">
        <f t="shared" si="272"/>
        <v>✅</v>
      </c>
      <c r="G569" s="2" t="str">
        <f>IFERROR(__xludf.DUMMYFUNCTION("REGEXEXTRACT(PROPER(SUBSTITUTE(TRIM(I569),""."","" "")),""^[^@]+"")"),"Igor Brown")</f>
        <v>Igor Brown</v>
      </c>
      <c r="H569" s="10" t="str">
        <f t="shared" si="273"/>
        <v>igor.brown@shop.io</v>
      </c>
      <c r="I569" s="2" t="s">
        <v>56</v>
      </c>
      <c r="J569" s="9" t="str">
        <f>IFERROR(__xludf.DUMMYFUNCTION("IF(REGEXMATCH(TRIM(I569),""^[A-Za-z0-9._%+-]+@[A-Za-z0-9.-]+\.[A-Za-z]{2,}$""),""✅ Valid"",""❌ Invalid"")"),"✅ Valid")</f>
        <v>✅ Valid</v>
      </c>
      <c r="K569" s="11">
        <v>3.48623984397E11</v>
      </c>
      <c r="L569" s="2" t="str">
        <f>IFERROR(__xludf.DUMMYFUNCTION("IF(OR(K569=""N/A"", K569=""missing"", K569=""none""), """",
 REGEXREPLACE(
  SUBSTITUTE(SUBSTITUTE(SUBSTITUTE(TO_TEXT(K569), CHAR(160),""""), UNICHAR(8239),""""), UNICHAR(8201),""""),""[+\-/(): )]"", """"))"),"348623984397")</f>
        <v>348623984397</v>
      </c>
      <c r="M569" s="2" t="str">
        <f>IFERROR(__xludf.DUMMYFUNCTION("IF(L569="""","""", REGEXEXTRACT(REGEXREPLACE(L569,""x"", """"), ""[0-9]+""))"),"348623984397")</f>
        <v>348623984397</v>
      </c>
      <c r="N569" s="2" t="str">
        <f>IF(LEFT(M569,2)="34", RIGHT(M569,LEN(M569)-2),M569)</f>
        <v>8623984397</v>
      </c>
      <c r="O569" s="2" t="b">
        <f>IFERROR(__xludf.DUMMYFUNCTION("REGEXMATCH(TO_TEXT(N569), ""^[67]"")"),FALSE)</f>
        <v>0</v>
      </c>
      <c r="P569" s="2">
        <f t="shared" si="281"/>
        <v>10</v>
      </c>
      <c r="Q569" s="9" t="str">
        <f>IF(AND(O569=TRUE, P569=9), "✅ VALID", "❌ INVALID")</f>
        <v>❌ INVALID</v>
      </c>
      <c r="R569" s="10" t="s">
        <v>139</v>
      </c>
      <c r="S569" s="12" t="s">
        <v>6757</v>
      </c>
      <c r="T569" s="2" t="str">
        <f>IFERROR(__xludf.DUMMYFUNCTION("IF(ISNUMBER(S569),TEXT(S569,""yyyy-MM-dd""),REGEXREPLACE(REGEXREPLACE(TO_TEXT(S569),""[^0-9a-zA-Z]+"",""-""),""[^0-9]*$"",""""))"),"05-09-2025")</f>
        <v>05-09-2025</v>
      </c>
      <c r="U569" s="2" t="s">
        <v>8213</v>
      </c>
      <c r="Y569" s="10" t="s">
        <v>8213</v>
      </c>
    </row>
    <row r="570" ht="15.75" hidden="1" customHeight="1">
      <c r="A570" s="2" t="s">
        <v>2329</v>
      </c>
      <c r="B570" s="9" t="s">
        <v>7597</v>
      </c>
      <c r="C570" s="2" t="s">
        <v>701</v>
      </c>
      <c r="D570" s="2" t="str">
        <f>IFERROR(__xludf.DUMMYFUNCTION("PROPER(REGEXREPLACE(TRIM(C570),""\s+"","" ""))"),"Zakc Kowalczyk")</f>
        <v>Zakc Kowalczyk</v>
      </c>
      <c r="E570" s="2">
        <f>IFERROR(__xludf.DUMMYFUNCTION("IF(LEN(D570:D701),
  COUNTA(SPLIT(D570:D701,"" "")),
 """")"),2.0)</f>
        <v>2</v>
      </c>
      <c r="K570" s="2" t="s">
        <v>6126</v>
      </c>
      <c r="R570" s="10" t="s">
        <v>199</v>
      </c>
      <c r="S570" s="2" t="s">
        <v>6347</v>
      </c>
    </row>
    <row r="571" ht="15.75" customHeight="1">
      <c r="A571" s="2" t="s">
        <v>348</v>
      </c>
      <c r="B571" s="9" t="s">
        <v>7597</v>
      </c>
      <c r="C571" s="2" t="s">
        <v>6579</v>
      </c>
      <c r="D571" s="10" t="str">
        <f>IFERROR(__xludf.DUMMYFUNCTION("PROPER(REGEXREPLACE(TRIM(C571),""\s+"","" ""))"),"Adam Walker")</f>
        <v>Adam Walker</v>
      </c>
      <c r="E571" s="2">
        <f>IFERROR(__xludf.DUMMYFUNCTION("IF(LEN(D571:D701),
  COUNTA(SPLIT(D571:D701,"" "")),
 """")"),2.0)</f>
        <v>2</v>
      </c>
      <c r="F571" s="9" t="str">
        <f t="shared" ref="F571:F580" si="284">IF(D571=G571,"✅","❌")</f>
        <v>✅</v>
      </c>
      <c r="G571" s="2" t="str">
        <f>IFERROR(__xludf.DUMMYFUNCTION("REGEXEXTRACT(PROPER(SUBSTITUTE(TRIM(I571),""."","" "")),""^[^@]+"")"),"Adam Walker")</f>
        <v>Adam Walker</v>
      </c>
      <c r="H571" s="10" t="str">
        <f t="shared" ref="H571:H580" si="285">LOWER(TRIM(I571))</f>
        <v>adam.walker@outlook.com</v>
      </c>
      <c r="I571" s="2" t="s">
        <v>6580</v>
      </c>
      <c r="J571" s="9" t="str">
        <f>IFERROR(__xludf.DUMMYFUNCTION("IF(REGEXMATCH(TRIM(I571),""^[A-Za-z0-9._%+-]+@[A-Za-z0-9.-]+\.[A-Za-z]{2,}$""),""✅ Valid"",""❌ Invalid"")"),"✅ Valid")</f>
        <v>✅ Valid</v>
      </c>
      <c r="K571" s="13" t="s">
        <v>8431</v>
      </c>
      <c r="L571" s="2" t="str">
        <f>IFERROR(__xludf.DUMMYFUNCTION("IF(OR(K571=""N/A"", K571=""missing"", K571=""none""), """",
 REGEXREPLACE(
  SUBSTITUTE(SUBSTITUTE(SUBSTITUTE(TO_TEXT(K571), CHAR(160),""""), UNICHAR(8239),""""), UNICHAR(8201),""""),""[+\-/(): )]"", """"))"),"18899474394")</f>
        <v>18899474394</v>
      </c>
      <c r="M571" s="2" t="str">
        <f>IFERROR(__xludf.DUMMYFUNCTION("IF(L571="""","""", REGEXEXTRACT(REGEXREPLACE(L571,""x"", """"), ""[0-9]+""))"),"18899474394")</f>
        <v>18899474394</v>
      </c>
      <c r="N571" s="2" t="str">
        <f>IF(LEFT(M571,1)="1", RIGHT(M571,LEN(M571)-1),M571)</f>
        <v>8899474394</v>
      </c>
      <c r="O571" s="2" t="b">
        <f>IFERROR(__xludf.DUMMYFUNCTION("REGEXMATCH(TO_TEXT(N571), ""^[2-9][0-9]{9}$"")"),TRUE)</f>
        <v>1</v>
      </c>
      <c r="P571" s="2">
        <f t="shared" ref="P571:P580" si="286">LEN(N571)</f>
        <v>10</v>
      </c>
      <c r="Q571" s="9" t="str">
        <f>IF(AND(O571=TRUE, P571=10), "✅ VALID", "❌ INVALID")</f>
        <v>✅ VALID</v>
      </c>
      <c r="R571" s="10" t="s">
        <v>199</v>
      </c>
      <c r="S571" s="12">
        <v>45401.0</v>
      </c>
      <c r="T571" s="2" t="str">
        <f>IFERROR(__xludf.DUMMYFUNCTION("IF(ISNUMBER(S571),TEXT(S571,""yyyy-MM-dd""),REGEXREPLACE(REGEXREPLACE(TO_TEXT(S571),""[^0-9a-zA-Z]+"",""-""),""[^0-9]*$"",""""))"),"2024-04-19")</f>
        <v>2024-04-19</v>
      </c>
      <c r="U571" s="2" t="s">
        <v>8432</v>
      </c>
      <c r="Y571" s="10" t="s">
        <v>8432</v>
      </c>
    </row>
    <row r="572" ht="15.75" customHeight="1">
      <c r="A572" s="2" t="s">
        <v>6116</v>
      </c>
      <c r="B572" s="9" t="s">
        <v>7597</v>
      </c>
      <c r="C572" s="2" t="s">
        <v>3006</v>
      </c>
      <c r="D572" s="10" t="str">
        <f>IFERROR(__xludf.DUMMYFUNCTION("PROPER(REGEXREPLACE(TRIM(C572),""\s+"","" ""))"),"Lia Dubois")</f>
        <v>Lia Dubois</v>
      </c>
      <c r="E572" s="2">
        <f>IFERROR(__xludf.DUMMYFUNCTION("IF(LEN(D572:D701),
  COUNTA(SPLIT(D572:D701,"" "")),
 """")"),2.0)</f>
        <v>2</v>
      </c>
      <c r="F572" s="9" t="str">
        <f t="shared" si="284"/>
        <v>✅</v>
      </c>
      <c r="G572" s="2" t="str">
        <f>IFERROR(__xludf.DUMMYFUNCTION("REGEXEXTRACT(PROPER(SUBSTITUTE(TRIM(I572),""."","" "")),""^[^@]+"")"),"Lia Dubois")</f>
        <v>Lia Dubois</v>
      </c>
      <c r="H572" s="10" t="str">
        <f t="shared" si="285"/>
        <v>lia.dubois@outlook.com</v>
      </c>
      <c r="I572" s="2" t="s">
        <v>3007</v>
      </c>
      <c r="J572" s="9" t="str">
        <f>IFERROR(__xludf.DUMMYFUNCTION("IF(REGEXMATCH(TRIM(I572),""^[A-Za-z0-9._%+-]+@[A-Za-z0-9.-]+\.[A-Za-z]{2,}$""),""✅ Valid"",""❌ Invalid"")"),"✅ Valid")</f>
        <v>✅ Valid</v>
      </c>
      <c r="K572" s="13" t="s">
        <v>8433</v>
      </c>
      <c r="L572" s="2" t="str">
        <f>IFERROR(__xludf.DUMMYFUNCTION("IF(OR(K572=""N/A"", K572=""missing"", K572=""none""), """",
 REGEXREPLACE(
  SUBSTITUTE(SUBSTITUTE(SUBSTITUTE(TO_TEXT(K572), CHAR(160),""""), UNICHAR(8239),""""), UNICHAR(8201),""""),""[+\-/(): )]"", """"))"),"332216865660ext722")</f>
        <v>332216865660ext722</v>
      </c>
      <c r="M572" s="2" t="str">
        <f>IFERROR(__xludf.DUMMYFUNCTION("IF(L572="""","""", REGEXEXTRACT(REGEXREPLACE(L572,""x"", """"), ""[0-9]+""))"),"332216865660")</f>
        <v>332216865660</v>
      </c>
      <c r="N572" s="2" t="str">
        <f>IF(LEFT(M572,2)="33", RIGHT(M572,LEN(M572)-2),M572)</f>
        <v>2216865660</v>
      </c>
      <c r="O572" s="2" t="b">
        <f>IFERROR(__xludf.DUMMYFUNCTION("REGEXMATCH(TO_TEXT(N572), ""^0[67]"")"),FALSE)</f>
        <v>0</v>
      </c>
      <c r="P572" s="2">
        <f t="shared" si="286"/>
        <v>10</v>
      </c>
      <c r="Q572" s="9" t="str">
        <f>IF(AND(O572=TRUE, P572=9), "✅ VALID", "❌ INVALID")</f>
        <v>❌ INVALID</v>
      </c>
      <c r="R572" s="10" t="s">
        <v>58</v>
      </c>
      <c r="S572" s="12">
        <v>45586.0</v>
      </c>
      <c r="T572" s="2" t="str">
        <f>IFERROR(__xludf.DUMMYFUNCTION("IF(ISNUMBER(S572),TEXT(S572,""yyyy-MM-dd""),REGEXREPLACE(REGEXREPLACE(TO_TEXT(S572),""[^0-9a-zA-Z]+"",""-""),""[^0-9]*$"",""""))"),"2024-10-21")</f>
        <v>2024-10-21</v>
      </c>
      <c r="U572" s="2" t="s">
        <v>8434</v>
      </c>
      <c r="Y572" s="10" t="s">
        <v>8434</v>
      </c>
    </row>
    <row r="573" ht="15.75" customHeight="1">
      <c r="A573" s="2" t="s">
        <v>6392</v>
      </c>
      <c r="B573" s="9" t="s">
        <v>7597</v>
      </c>
      <c r="C573" s="2" t="s">
        <v>1175</v>
      </c>
      <c r="D573" s="10" t="str">
        <f>IFERROR(__xludf.DUMMYFUNCTION("PROPER(REGEXREPLACE(TRIM(C573),""\s+"","" ""))"),"Zack Garcia")</f>
        <v>Zack Garcia</v>
      </c>
      <c r="E573" s="2">
        <f>IFERROR(__xludf.DUMMYFUNCTION("IF(LEN(D573:D701),
  COUNTA(SPLIT(D573:D701,"" "")),
 """")"),2.0)</f>
        <v>2</v>
      </c>
      <c r="F573" s="9" t="str">
        <f t="shared" si="284"/>
        <v>✅</v>
      </c>
      <c r="G573" s="2" t="str">
        <f>IFERROR(__xludf.DUMMYFUNCTION("REGEXEXTRACT(PROPER(SUBSTITUTE(TRIM(I573),""."","" "")),""^[^@]+"")"),"Zack Garcia")</f>
        <v>Zack Garcia</v>
      </c>
      <c r="H573" s="10" t="str">
        <f t="shared" si="285"/>
        <v>zack.garcia@yahoo.com</v>
      </c>
      <c r="I573" s="2" t="s">
        <v>1176</v>
      </c>
      <c r="J573" s="9" t="str">
        <f>IFERROR(__xludf.DUMMYFUNCTION("IF(REGEXMATCH(TRIM(I573),""^[A-Za-z0-9._%+-]+@[A-Za-z0-9.-]+\.[A-Za-z]{2,}$""),""✅ Valid"",""❌ Invalid"")"),"✅ Valid")</f>
        <v>✅ Valid</v>
      </c>
      <c r="K573" s="13" t="s">
        <v>8435</v>
      </c>
      <c r="L573" s="2" t="str">
        <f>IFERROR(__xludf.DUMMYFUNCTION("IF(OR(K573=""N/A"", K573=""missing"", K573=""none""), """",
 REGEXREPLACE(
  SUBSTITUTE(SUBSTITUTE(SUBSTITUTE(TO_TEXT(K573), CHAR(160),""""), UNICHAR(8239),""""), UNICHAR(8201),""""),""[+\-/(): )]"", """"))"),"117805816734")</f>
        <v>117805816734</v>
      </c>
      <c r="M573" s="2" t="str">
        <f>IFERROR(__xludf.DUMMYFUNCTION("IF(L573="""","""", REGEXEXTRACT(REGEXREPLACE(L573,""x"", """"), ""[0-9]+""))"),"117805816734")</f>
        <v>117805816734</v>
      </c>
      <c r="N573" s="2" t="str">
        <f t="shared" ref="N573:N574" si="287">IF(LEFT(M573,1)="1", RIGHT(M573,LEN(M573)-1),M573)</f>
        <v>17805816734</v>
      </c>
      <c r="O573" s="2" t="b">
        <f>IFERROR(__xludf.DUMMYFUNCTION("REGEXMATCH(TO_TEXT(N573), ""^[2-9][0-9]{9}$"")"),FALSE)</f>
        <v>0</v>
      </c>
      <c r="P573" s="2">
        <f t="shared" si="286"/>
        <v>11</v>
      </c>
      <c r="Q573" s="9" t="str">
        <f t="shared" ref="Q573:Q574" si="288">IF(AND(O573=TRUE, P573=10), "✅ VALID", "❌ INVALID")</f>
        <v>❌ INVALID</v>
      </c>
      <c r="R573" s="10" t="s">
        <v>199</v>
      </c>
      <c r="S573" s="12">
        <v>45040.0</v>
      </c>
      <c r="T573" s="2" t="str">
        <f>IFERROR(__xludf.DUMMYFUNCTION("IF(ISNUMBER(S573),TEXT(S573,""yyyy-MM-dd""),REGEXREPLACE(REGEXREPLACE(TO_TEXT(S573),""[^0-9a-zA-Z]+"",""-""),""[^0-9]*$"",""""))"),"2023-04-24")</f>
        <v>2023-04-24</v>
      </c>
      <c r="U573" s="2" t="s">
        <v>7779</v>
      </c>
      <c r="Y573" s="10" t="s">
        <v>7779</v>
      </c>
    </row>
    <row r="574" ht="15.75" customHeight="1">
      <c r="A574" s="2" t="s">
        <v>2300</v>
      </c>
      <c r="B574" s="9" t="s">
        <v>7597</v>
      </c>
      <c r="C574" s="2" t="s">
        <v>4180</v>
      </c>
      <c r="D574" s="10" t="str">
        <f>IFERROR(__xludf.DUMMYFUNCTION("PROPER(REGEXREPLACE(TRIM(C574),""\s+"","" ""))"),"Ethan Kowalski")</f>
        <v>Ethan Kowalski</v>
      </c>
      <c r="E574" s="2">
        <f>IFERROR(__xludf.DUMMYFUNCTION("IF(LEN(D574:D701),
  COUNTA(SPLIT(D574:D701,"" "")),
 """")"),2.0)</f>
        <v>2</v>
      </c>
      <c r="F574" s="9" t="str">
        <f t="shared" si="284"/>
        <v>❌</v>
      </c>
      <c r="G574" s="2" t="s">
        <v>8436</v>
      </c>
      <c r="H574" s="10" t="str">
        <f t="shared" si="285"/>
        <v>ehtan.kowalski@shop.io</v>
      </c>
      <c r="I574" s="2" t="s">
        <v>4181</v>
      </c>
      <c r="J574" s="9" t="str">
        <f>IFERROR(__xludf.DUMMYFUNCTION("IF(REGEXMATCH(TRIM(I574),""^[A-Za-z0-9._%+-]+@[A-Za-z0-9.-]+\.[A-Za-z]{2,}$""),""✅ Valid"",""❌ Invalid"")"),"✅ Valid")</f>
        <v>✅ Valid</v>
      </c>
      <c r="K574" s="11">
        <v>9.214270409E9</v>
      </c>
      <c r="L574" s="2" t="str">
        <f>IFERROR(__xludf.DUMMYFUNCTION("IF(OR(K574=""N/A"", K574=""missing"", K574=""none""), """",
 REGEXREPLACE(
  SUBSTITUTE(SUBSTITUTE(SUBSTITUTE(TO_TEXT(K574), CHAR(160),""""), UNICHAR(8239),""""), UNICHAR(8201),""""),""[+\-/(): )]"", """"))"),"9214270409")</f>
        <v>9214270409</v>
      </c>
      <c r="M574" s="2" t="str">
        <f>IFERROR(__xludf.DUMMYFUNCTION("IF(L574="""","""", REGEXEXTRACT(REGEXREPLACE(L574,""x"", """"), ""[0-9]+""))"),"9214270409")</f>
        <v>9214270409</v>
      </c>
      <c r="N574" s="2" t="str">
        <f t="shared" si="287"/>
        <v>9214270409</v>
      </c>
      <c r="O574" s="2" t="b">
        <f>IFERROR(__xludf.DUMMYFUNCTION("REGEXMATCH(TO_TEXT(N574), ""^[2-9][0-9]{9}$"")"),TRUE)</f>
        <v>1</v>
      </c>
      <c r="P574" s="2">
        <f t="shared" si="286"/>
        <v>10</v>
      </c>
      <c r="Q574" s="9" t="str">
        <f t="shared" si="288"/>
        <v>✅ VALID</v>
      </c>
      <c r="R574" s="10" t="s">
        <v>199</v>
      </c>
      <c r="S574" s="12">
        <v>44564.0</v>
      </c>
      <c r="T574" s="2" t="str">
        <f>IFERROR(__xludf.DUMMYFUNCTION("IF(ISNUMBER(S574),TEXT(S574,""yyyy-MM-dd""),REGEXREPLACE(REGEXREPLACE(TO_TEXT(S574),""[^0-9a-zA-Z]+"",""-""),""[^0-9]*$"",""""))"),"2022-01-03")</f>
        <v>2022-01-03</v>
      </c>
      <c r="U574" s="2" t="s">
        <v>8437</v>
      </c>
      <c r="Y574" s="10" t="s">
        <v>8437</v>
      </c>
    </row>
    <row r="575" ht="15.75" customHeight="1">
      <c r="A575" s="2" t="s">
        <v>3744</v>
      </c>
      <c r="B575" s="9" t="s">
        <v>7597</v>
      </c>
      <c r="C575" s="2" t="s">
        <v>2477</v>
      </c>
      <c r="D575" s="10" t="str">
        <f>IFERROR(__xludf.DUMMYFUNCTION("PROPER(REGEXREPLACE(TRIM(C575),""\s+"","" ""))"),"Gabe Rodriguez")</f>
        <v>Gabe Rodriguez</v>
      </c>
      <c r="E575" s="2">
        <f>IFERROR(__xludf.DUMMYFUNCTION("IF(LEN(D575:D701),
  COUNTA(SPLIT(D575:D701,"" "")),
 """")"),2.0)</f>
        <v>2</v>
      </c>
      <c r="F575" s="9" t="str">
        <f t="shared" si="284"/>
        <v>✅</v>
      </c>
      <c r="G575" s="2" t="str">
        <f>IFERROR(__xludf.DUMMYFUNCTION("REGEXEXTRACT(PROPER(SUBSTITUTE(TRIM(I575),""."","" "")),""^[^@]+"")"),"Gabe Rodriguez")</f>
        <v>Gabe Rodriguez</v>
      </c>
      <c r="H575" s="10" t="str">
        <f t="shared" si="285"/>
        <v>gabe.rodriguez@yahoo.com</v>
      </c>
      <c r="I575" s="2" t="s">
        <v>2478</v>
      </c>
      <c r="J575" s="9" t="str">
        <f>IFERROR(__xludf.DUMMYFUNCTION("IF(REGEXMATCH(TRIM(I575),""^[A-Za-z0-9._%+-]+@[A-Za-z0-9.-]+\.[A-Za-z]{2,}$""),""✅ Valid"",""❌ Invalid"")"),"✅ Valid")</f>
        <v>✅ Valid</v>
      </c>
      <c r="K575" s="13" t="s">
        <v>8438</v>
      </c>
      <c r="L575" s="2" t="str">
        <f>IFERROR(__xludf.DUMMYFUNCTION("IF(OR(K575=""N/A"", K575=""missing"", K575=""none""), """",
 REGEXREPLACE(
  SUBSTITUTE(SUBSTITUTE(SUBSTITUTE(TO_TEXT(K575), CHAR(160),""""), UNICHAR(8239),""""), UNICHAR(8201),""""),""[+\-/(): )]"", """"))"),"396401892738")</f>
        <v>396401892738</v>
      </c>
      <c r="M575" s="2" t="str">
        <f>IFERROR(__xludf.DUMMYFUNCTION("IF(L575="""","""", REGEXEXTRACT(REGEXREPLACE(L575,""x"", """"), ""[0-9]+""))"),"396401892738")</f>
        <v>396401892738</v>
      </c>
      <c r="N575" s="2" t="str">
        <f>IF(LEFT(M575,2)="39", RIGHT(M575,LEN(M575)-2),M575)</f>
        <v>6401892738</v>
      </c>
      <c r="O575" s="2" t="b">
        <f>IFERROR(__xludf.DUMMYFUNCTION("REGEXMATCH(TO_TEXT(N575), ""^3"")"),FALSE)</f>
        <v>0</v>
      </c>
      <c r="P575" s="2">
        <f t="shared" si="286"/>
        <v>10</v>
      </c>
      <c r="Q575" s="9" t="str">
        <f>IF(AND(O575=TRUE,OR(P575=9, P575=10 )), "✅ VALID", "❌ INVALID")</f>
        <v>❌ INVALID</v>
      </c>
      <c r="R575" s="10" t="s">
        <v>785</v>
      </c>
      <c r="S575" s="12" t="s">
        <v>7129</v>
      </c>
      <c r="T575" s="2" t="str">
        <f>IFERROR(__xludf.DUMMYFUNCTION("IF(ISNUMBER(S575),TEXT(S575,""yyyy-MM-dd""),REGEXREPLACE(REGEXREPLACE(TO_TEXT(S575),""[^0-9a-zA-Z]+"",""-""),""[^0-9]*$"",""""))"),"20-08-2023")</f>
        <v>20-08-2023</v>
      </c>
      <c r="U575" s="2" t="s">
        <v>8351</v>
      </c>
      <c r="Y575" s="10" t="s">
        <v>8351</v>
      </c>
    </row>
    <row r="576" ht="15.75" customHeight="1">
      <c r="A576" s="2" t="s">
        <v>4172</v>
      </c>
      <c r="B576" s="9" t="s">
        <v>7597</v>
      </c>
      <c r="C576" s="2" t="s">
        <v>2153</v>
      </c>
      <c r="D576" s="10" t="str">
        <f>IFERROR(__xludf.DUMMYFUNCTION("PROPER(REGEXREPLACE(TRIM(C576),""\s+"","" ""))"),"Ethan Garcia")</f>
        <v>Ethan Garcia</v>
      </c>
      <c r="E576" s="2">
        <f>IFERROR(__xludf.DUMMYFUNCTION("IF(LEN(D576:D701),
  COUNTA(SPLIT(D576:D701,"" "")),
 """")"),2.0)</f>
        <v>2</v>
      </c>
      <c r="F576" s="9" t="str">
        <f t="shared" si="284"/>
        <v>✅</v>
      </c>
      <c r="G576" s="2" t="str">
        <f>IFERROR(__xludf.DUMMYFUNCTION("REGEXEXTRACT(PROPER(SUBSTITUTE(TRIM(I576),""."","" "")),""^[^@]+"")"),"Ethan Garcia")</f>
        <v>Ethan Garcia</v>
      </c>
      <c r="H576" s="10" t="str">
        <f t="shared" si="285"/>
        <v>ethan.garcia@gmail.com</v>
      </c>
      <c r="I576" s="2" t="s">
        <v>2154</v>
      </c>
      <c r="J576" s="9" t="str">
        <f>IFERROR(__xludf.DUMMYFUNCTION("IF(REGEXMATCH(TRIM(I576),""^[A-Za-z0-9._%+-]+@[A-Za-z0-9.-]+\.[A-Za-z]{2,}$""),""✅ Valid"",""❌ Invalid"")"),"✅ Valid")</f>
        <v>✅ Valid</v>
      </c>
      <c r="K576" s="11">
        <v>9.46621282E8</v>
      </c>
      <c r="L576" s="2" t="str">
        <f>IFERROR(__xludf.DUMMYFUNCTION("IF(OR(K576=""N/A"", K576=""missing"", K576=""none""), """",
 REGEXREPLACE(
  SUBSTITUTE(SUBSTITUTE(SUBSTITUTE(TO_TEXT(K576), CHAR(160),""""), UNICHAR(8239),""""), UNICHAR(8201),""""),""[+\-/(): )]"", """"))"),"946621282")</f>
        <v>946621282</v>
      </c>
      <c r="M576" s="2" t="str">
        <f>IFERROR(__xludf.DUMMYFUNCTION("IF(L576="""","""", REGEXEXTRACT(REGEXREPLACE(L576,""x"", """"), ""[0-9]+""))"),"946621282")</f>
        <v>946621282</v>
      </c>
      <c r="N576" s="2" t="str">
        <f>IF(LEFT(M576,3)="353", RIGHT(M576,LEN(M576)-3),M576)</f>
        <v>946621282</v>
      </c>
      <c r="O576" s="2" t="b">
        <f>IFERROR(__xludf.DUMMYFUNCTION("REGEXMATCH(TO_TEXT(N576), ""^0(83|85|86|87|89)"")"),FALSE)</f>
        <v>0</v>
      </c>
      <c r="P576" s="2">
        <f t="shared" si="286"/>
        <v>9</v>
      </c>
      <c r="Q576" s="9" t="str">
        <f>IF(AND(O576=TRUE, P573=10), "✅ VALID", "❌ INVALID")</f>
        <v>❌ INVALID</v>
      </c>
      <c r="R576" s="10" t="s">
        <v>1177</v>
      </c>
      <c r="S576" s="12">
        <v>45886.0</v>
      </c>
      <c r="T576" s="2" t="str">
        <f>IFERROR(__xludf.DUMMYFUNCTION("IF(ISNUMBER(S576),TEXT(S576,""yyyy-MM-dd""),REGEXREPLACE(REGEXREPLACE(TO_TEXT(S576),""[^0-9a-zA-Z]+"",""-""),""[^0-9]*$"",""""))"),"2025-08-17")</f>
        <v>2025-08-17</v>
      </c>
      <c r="U576" s="2" t="s">
        <v>6493</v>
      </c>
      <c r="Y576" s="10" t="s">
        <v>6493</v>
      </c>
    </row>
    <row r="577" ht="15.75" customHeight="1">
      <c r="A577" s="2" t="s">
        <v>7209</v>
      </c>
      <c r="B577" s="9" t="s">
        <v>7597</v>
      </c>
      <c r="C577" s="2" t="s">
        <v>954</v>
      </c>
      <c r="D577" s="10" t="str">
        <f>IFERROR(__xludf.DUMMYFUNCTION("PROPER(REGEXREPLACE(TRIM(C577),""\s+"","" ""))"),"Bella Dubois")</f>
        <v>Bella Dubois</v>
      </c>
      <c r="E577" s="2">
        <f>IFERROR(__xludf.DUMMYFUNCTION("IF(LEN(D577:D701),
  COUNTA(SPLIT(D577:D701,"" "")),
 """")"),2.0)</f>
        <v>2</v>
      </c>
      <c r="F577" s="9" t="str">
        <f t="shared" si="284"/>
        <v>✅</v>
      </c>
      <c r="G577" s="2" t="str">
        <f>IFERROR(__xludf.DUMMYFUNCTION("REGEXEXTRACT(PROPER(SUBSTITUTE(TRIM(I577),""."","" "")),""^[^@]+"")"),"Bella Dubois")</f>
        <v>Bella Dubois</v>
      </c>
      <c r="H577" s="10" t="str">
        <f t="shared" si="285"/>
        <v>bella.dubois@shop.io</v>
      </c>
      <c r="I577" s="2" t="s">
        <v>1639</v>
      </c>
      <c r="J577" s="9" t="str">
        <f>IFERROR(__xludf.DUMMYFUNCTION("IF(REGEXMATCH(TRIM(I577),""^[A-Za-z0-9._%+-]+@[A-Za-z0-9.-]+\.[A-Za-z]{2,}$""),""✅ Valid"",""❌ Invalid"")"),"✅ Valid")</f>
        <v>✅ Valid</v>
      </c>
      <c r="K577" s="13" t="s">
        <v>8439</v>
      </c>
      <c r="L577" s="2" t="str">
        <f>IFERROR(__xludf.DUMMYFUNCTION("IF(OR(K577=""N/A"", K577=""missing"", K577=""none""), """",
 REGEXREPLACE(
  SUBSTITUTE(SUBSTITUTE(SUBSTITUTE(TO_TEXT(K577), CHAR(160),""""), UNICHAR(8239),""""), UNICHAR(8201),""""),""[+\-/(): )]"", """"))"),"332005867733ext825")</f>
        <v>332005867733ext825</v>
      </c>
      <c r="M577" s="2" t="str">
        <f>IFERROR(__xludf.DUMMYFUNCTION("IF(L577="""","""", REGEXEXTRACT(REGEXREPLACE(L577,""x"", """"), ""[0-9]+""))"),"332005867733")</f>
        <v>332005867733</v>
      </c>
      <c r="N577" s="2" t="str">
        <f>IF(LEFT(M577,2)="33", RIGHT(M577,LEN(M577)-2),M577)</f>
        <v>2005867733</v>
      </c>
      <c r="O577" s="2" t="b">
        <f>IFERROR(__xludf.DUMMYFUNCTION("REGEXMATCH(TO_TEXT(N577), ""^0[67]"")"),FALSE)</f>
        <v>0</v>
      </c>
      <c r="P577" s="2">
        <f t="shared" si="286"/>
        <v>10</v>
      </c>
      <c r="Q577" s="9" t="str">
        <f>IF(AND(O577=TRUE, P577=9), "✅ VALID", "❌ INVALID")</f>
        <v>❌ INVALID</v>
      </c>
      <c r="R577" s="10" t="s">
        <v>58</v>
      </c>
      <c r="S577" s="12">
        <v>45797.0</v>
      </c>
      <c r="T577" s="2" t="str">
        <f>IFERROR(__xludf.DUMMYFUNCTION("IF(ISNUMBER(S577),TEXT(S577,""yyyy-MM-dd""),REGEXREPLACE(REGEXREPLACE(TO_TEXT(S577),""[^0-9a-zA-Z]+"",""-""),""[^0-9]*$"",""""))"),"2025-05-20")</f>
        <v>2025-05-20</v>
      </c>
      <c r="U577" s="2" t="s">
        <v>8440</v>
      </c>
      <c r="Y577" s="10" t="s">
        <v>8440</v>
      </c>
    </row>
    <row r="578" ht="15.75" customHeight="1">
      <c r="A578" s="2" t="s">
        <v>1133</v>
      </c>
      <c r="B578" s="9" t="s">
        <v>7597</v>
      </c>
      <c r="C578" s="2" t="s">
        <v>3633</v>
      </c>
      <c r="D578" s="10" t="str">
        <f>IFERROR(__xludf.DUMMYFUNCTION("PROPER(REGEXREPLACE(TRIM(C578),""\s+"","" ""))"),"Bella Taylor")</f>
        <v>Bella Taylor</v>
      </c>
      <c r="E578" s="2">
        <f>IFERROR(__xludf.DUMMYFUNCTION("IF(LEN(D578:D701),
  COUNTA(SPLIT(D578:D701,"" "")),
 """")"),2.0)</f>
        <v>2</v>
      </c>
      <c r="F578" s="9" t="str">
        <f t="shared" si="284"/>
        <v>✅</v>
      </c>
      <c r="G578" s="2" t="str">
        <f>IFERROR(__xludf.DUMMYFUNCTION("REGEXEXTRACT(PROPER(SUBSTITUTE(TRIM(I578),""."","" "")),""^[^@]+"")"),"Bella Taylor")</f>
        <v>Bella Taylor</v>
      </c>
      <c r="H578" s="10" t="str">
        <f t="shared" si="285"/>
        <v>bella.taylor@yahoo.com</v>
      </c>
      <c r="I578" s="2" t="s">
        <v>3634</v>
      </c>
      <c r="J578" s="9" t="str">
        <f>IFERROR(__xludf.DUMMYFUNCTION("IF(REGEXMATCH(TRIM(I578),""^[A-Za-z0-9._%+-]+@[A-Za-z0-9.-]+\.[A-Za-z]{2,}$""),""✅ Valid"",""❌ Invalid"")"),"✅ Valid")</f>
        <v>✅ Valid</v>
      </c>
      <c r="K578" s="13" t="s">
        <v>8441</v>
      </c>
      <c r="L578" s="2" t="str">
        <f>IFERROR(__xludf.DUMMYFUNCTION("IF(OR(K578=""N/A"", K578=""missing"", K578=""none""), """",
 REGEXREPLACE(
  SUBSTITUTE(SUBSTITUTE(SUBSTITUTE(TO_TEXT(K578), CHAR(160),""""), UNICHAR(8239),""""), UNICHAR(8201),""""),""[+\-/(): )]"", """"))"),"1037650202")</f>
        <v>1037650202</v>
      </c>
      <c r="M578" s="2" t="str">
        <f>IFERROR(__xludf.DUMMYFUNCTION("IF(L578="""","""", REGEXEXTRACT(REGEXREPLACE(L578,""x"", """"), ""[0-9]+""))"),"1037650202")</f>
        <v>1037650202</v>
      </c>
      <c r="N578" s="2" t="str">
        <f>IF(LEFT(M578,1)="1", RIGHT(M578,LEN(M578)-1),M578)</f>
        <v>037650202</v>
      </c>
      <c r="O578" s="2" t="b">
        <f>IFERROR(__xludf.DUMMYFUNCTION("REGEXMATCH(TO_TEXT(N578), ""^[2-9][0-9]{9}$"")"),FALSE)</f>
        <v>0</v>
      </c>
      <c r="P578" s="2">
        <f t="shared" si="286"/>
        <v>9</v>
      </c>
      <c r="Q578" s="9" t="str">
        <f>IF(AND(O578=TRUE, P578=10), "✅ VALID", "❌ INVALID")</f>
        <v>❌ INVALID</v>
      </c>
      <c r="R578" s="10" t="s">
        <v>199</v>
      </c>
      <c r="S578" s="12">
        <v>45419.0</v>
      </c>
      <c r="T578" s="2" t="str">
        <f>IFERROR(__xludf.DUMMYFUNCTION("IF(ISNUMBER(S578),TEXT(S578,""yyyy-MM-dd""),REGEXREPLACE(REGEXREPLACE(TO_TEXT(S578),""[^0-9a-zA-Z]+"",""-""),""[^0-9]*$"",""""))"),"2024-05-07")</f>
        <v>2024-05-07</v>
      </c>
      <c r="U578" s="2" t="s">
        <v>8442</v>
      </c>
      <c r="Y578" s="10" t="s">
        <v>8442</v>
      </c>
    </row>
    <row r="579" ht="15.75" customHeight="1">
      <c r="A579" s="2" t="s">
        <v>1059</v>
      </c>
      <c r="B579" s="9" t="s">
        <v>7597</v>
      </c>
      <c r="C579" s="2" t="s">
        <v>6373</v>
      </c>
      <c r="D579" s="10" t="str">
        <f>IFERROR(__xludf.DUMMYFUNCTION("PROPER(REGEXREPLACE(TRIM(C579),""\s+"","" ""))"),"Zack Novak")</f>
        <v>Zack Novak</v>
      </c>
      <c r="E579" s="2">
        <f>IFERROR(__xludf.DUMMYFUNCTION("IF(LEN(D579:D701),
  COUNTA(SPLIT(D579:D701,"" "")),
 """")"),2.0)</f>
        <v>2</v>
      </c>
      <c r="F579" s="9" t="str">
        <f t="shared" si="284"/>
        <v>✅</v>
      </c>
      <c r="G579" s="2" t="str">
        <f>IFERROR(__xludf.DUMMYFUNCTION("REGEXEXTRACT(PROPER(SUBSTITUTE(TRIM(I579),""."","" "")),""^[^@]+"")"),"Zack Novak")</f>
        <v>Zack Novak</v>
      </c>
      <c r="H579" s="10" t="str">
        <f t="shared" si="285"/>
        <v>zack.novak@company.co.uk</v>
      </c>
      <c r="I579" s="2" t="s">
        <v>6374</v>
      </c>
      <c r="J579" s="9" t="str">
        <f>IFERROR(__xludf.DUMMYFUNCTION("IF(REGEXMATCH(TRIM(I579),""^[A-Za-z0-9._%+-]+@[A-Za-z0-9.-]+\.[A-Za-z]{2,}$""),""✅ Valid"",""❌ Invalid"")"),"✅ Valid")</f>
        <v>✅ Valid</v>
      </c>
      <c r="K579" s="13" t="s">
        <v>8443</v>
      </c>
      <c r="L579" s="2" t="str">
        <f>IFERROR(__xludf.DUMMYFUNCTION("IF(OR(K579=""N/A"", K579=""missing"", K579=""none""), """",
 REGEXREPLACE(
  SUBSTITUTE(SUBSTITUTE(SUBSTITUTE(TO_TEXT(K579), CHAR(160),""""), UNICHAR(8239),""""), UNICHAR(8201),""""),""[+\-/(): )]"", """"))"),"449150189109")</f>
        <v>449150189109</v>
      </c>
      <c r="M579" s="2" t="str">
        <f>IFERROR(__xludf.DUMMYFUNCTION("IF(L579="""","""", REGEXEXTRACT(REGEXREPLACE(L579,""x"", """"), ""[0-9]+""))"),"449150189109")</f>
        <v>449150189109</v>
      </c>
      <c r="N579" s="2" t="str">
        <f>IF(LEFT(M579,2)="44", RIGHT(M579,LEN(M579)-2),M579)</f>
        <v>9150189109</v>
      </c>
      <c r="O579" s="2" t="b">
        <f>IFERROR(__xludf.DUMMYFUNCTION("REGEXMATCH(TO_TEXT(N579), ""^07[1-57-9]"")"),FALSE)</f>
        <v>0</v>
      </c>
      <c r="P579" s="2">
        <f t="shared" si="286"/>
        <v>10</v>
      </c>
      <c r="Q579" s="9" t="str">
        <f>IF(AND(O579=TRUE, P579=11), "✅ VALID", "❌ INVALID")</f>
        <v>❌ INVALID</v>
      </c>
      <c r="R579" s="10" t="s">
        <v>114</v>
      </c>
      <c r="S579" s="12">
        <v>45883.0</v>
      </c>
      <c r="T579" s="2" t="str">
        <f>IFERROR(__xludf.DUMMYFUNCTION("IF(ISNUMBER(S579),TEXT(S579,""yyyy-MM-dd""),REGEXREPLACE(REGEXREPLACE(TO_TEXT(S579),""[^0-9a-zA-Z]+"",""-""),""[^0-9]*$"",""""))"),"2025-08-14")</f>
        <v>2025-08-14</v>
      </c>
      <c r="U579" s="2" t="s">
        <v>8444</v>
      </c>
      <c r="Y579" s="10" t="s">
        <v>8444</v>
      </c>
    </row>
    <row r="580" ht="15.75" customHeight="1">
      <c r="A580" s="2" t="s">
        <v>2669</v>
      </c>
      <c r="B580" s="9" t="s">
        <v>7597</v>
      </c>
      <c r="C580" s="2" t="s">
        <v>276</v>
      </c>
      <c r="D580" s="10" t="str">
        <f>IFERROR(__xludf.DUMMYFUNCTION("PROPER(REGEXREPLACE(TRIM(C580),""\s+"","" ""))"),"Yara Rossi")</f>
        <v>Yara Rossi</v>
      </c>
      <c r="E580" s="2">
        <f>IFERROR(__xludf.DUMMYFUNCTION("IF(LEN(D580:D701),
  COUNTA(SPLIT(D580:D701,"" "")),
 """")"),2.0)</f>
        <v>2</v>
      </c>
      <c r="F580" s="9" t="str">
        <f t="shared" si="284"/>
        <v>✅</v>
      </c>
      <c r="G580" s="2" t="str">
        <f>IFERROR(__xludf.DUMMYFUNCTION("REGEXEXTRACT(PROPER(SUBSTITUTE(TRIM(I580),""."","" "")),""^[^@]+"")"),"Yara Rossi")</f>
        <v>Yara Rossi</v>
      </c>
      <c r="H580" s="10" t="str">
        <f t="shared" si="285"/>
        <v>yara.rossi@company.co.uk</v>
      </c>
      <c r="I580" s="2" t="s">
        <v>277</v>
      </c>
      <c r="J580" s="9" t="str">
        <f>IFERROR(__xludf.DUMMYFUNCTION("IF(REGEXMATCH(TRIM(I580),""^[A-Za-z0-9._%+-]+@[A-Za-z0-9.-]+\.[A-Za-z]{2,}$""),""✅ Valid"",""❌ Invalid"")"),"✅ Valid")</f>
        <v>✅ Valid</v>
      </c>
      <c r="K580" s="13" t="s">
        <v>8445</v>
      </c>
      <c r="L580" s="2" t="str">
        <f>IFERROR(__xludf.DUMMYFUNCTION("IF(OR(K580=""N/A"", K580=""missing"", K580=""none""), """",
 REGEXREPLACE(
  SUBSTITUTE(SUBSTITUTE(SUBSTITUTE(TO_TEXT(K580), CHAR(160),""""), UNICHAR(8239),""""), UNICHAR(8201),""""),""[+\-/(): )]"", """"))"),"121995291212")</f>
        <v>121995291212</v>
      </c>
      <c r="M580" s="2" t="str">
        <f>IFERROR(__xludf.DUMMYFUNCTION("IF(L580="""","""", REGEXEXTRACT(REGEXREPLACE(L580,""x"", """"), ""[0-9]+""))"),"121995291212")</f>
        <v>121995291212</v>
      </c>
      <c r="N580" s="2" t="str">
        <f>IF(LEFT(M580,1)="1", RIGHT(M580,LEN(M580)-1),M580)</f>
        <v>21995291212</v>
      </c>
      <c r="O580" s="2" t="b">
        <f>IFERROR(__xludf.DUMMYFUNCTION("REGEXMATCH(TO_TEXT(N580), ""^[2-9][0-9]{9}$"")"),FALSE)</f>
        <v>0</v>
      </c>
      <c r="P580" s="2">
        <f t="shared" si="286"/>
        <v>11</v>
      </c>
      <c r="Q580" s="9" t="str">
        <f>IF(AND(O580=TRUE, P580=10), "✅ VALID", "❌ INVALID")</f>
        <v>❌ INVALID</v>
      </c>
      <c r="R580" s="10" t="s">
        <v>199</v>
      </c>
      <c r="S580" s="12">
        <v>44917.84097222222</v>
      </c>
      <c r="T580" s="2" t="str">
        <f>IFERROR(__xludf.DUMMYFUNCTION("IF(ISNUMBER(S580),TEXT(S580,""yyyy-MM-dd""),REGEXREPLACE(REGEXREPLACE(TO_TEXT(S580),""[^0-9a-zA-Z]+"",""-""),""[^0-9]*$"",""""))"),"2022-12-22")</f>
        <v>2022-12-22</v>
      </c>
      <c r="U580" s="2" t="s">
        <v>8446</v>
      </c>
      <c r="Y580" s="10" t="s">
        <v>8446</v>
      </c>
    </row>
    <row r="581" ht="15.75" hidden="1" customHeight="1">
      <c r="A581" s="2" t="s">
        <v>3736</v>
      </c>
      <c r="B581" s="9" t="s">
        <v>7597</v>
      </c>
      <c r="C581" s="2" t="s">
        <v>7283</v>
      </c>
      <c r="D581" s="2" t="str">
        <f>IFERROR(__xludf.DUMMYFUNCTION("PROPER(REGEXREPLACE(TRIM(C581),""\s+"","" ""))"),"Omar Noawk")</f>
        <v>Omar Noawk</v>
      </c>
      <c r="E581" s="2">
        <f>IFERROR(__xludf.DUMMYFUNCTION("IF(LEN(D581:D701),
  COUNTA(SPLIT(D581:D701,"" "")),
 """")"),2.0)</f>
        <v>2</v>
      </c>
      <c r="K581" s="2" t="s">
        <v>3635</v>
      </c>
      <c r="R581" s="10" t="s">
        <v>199</v>
      </c>
      <c r="S581" s="2" t="s">
        <v>6677</v>
      </c>
    </row>
    <row r="582" ht="15.75" hidden="1" customHeight="1">
      <c r="A582" s="2" t="s">
        <v>6600</v>
      </c>
      <c r="B582" s="9" t="s">
        <v>7597</v>
      </c>
      <c r="C582" s="2" t="s">
        <v>1868</v>
      </c>
      <c r="D582" s="2" t="str">
        <f>IFERROR(__xludf.DUMMYFUNCTION("PROPER(REGEXREPLACE(TRIM(C582),""\s+"","" ""))"),"Hanna Young")</f>
        <v>Hanna Young</v>
      </c>
      <c r="E582" s="2">
        <f>IFERROR(__xludf.DUMMYFUNCTION("IF(LEN(D582:D701),
  COUNTA(SPLIT(D582:D701,"" "")),
 """")"),2.0)</f>
        <v>2</v>
      </c>
      <c r="K582" s="2" t="s">
        <v>6375</v>
      </c>
      <c r="R582" s="10" t="s">
        <v>459</v>
      </c>
      <c r="S582" s="2" t="s">
        <v>6376</v>
      </c>
    </row>
    <row r="583" ht="15.75" customHeight="1">
      <c r="A583" s="2" t="s">
        <v>7102</v>
      </c>
      <c r="B583" s="9" t="s">
        <v>7597</v>
      </c>
      <c r="C583" s="2" t="s">
        <v>2330</v>
      </c>
      <c r="D583" s="10" t="str">
        <f>IFERROR(__xludf.DUMMYFUNCTION("PROPER(REGEXREPLACE(TRIM(C583),""\s+"","" ""))"),"Uma Davis")</f>
        <v>Uma Davis</v>
      </c>
      <c r="E583" s="2">
        <f>IFERROR(__xludf.DUMMYFUNCTION("IF(LEN(D583:D701),
  COUNTA(SPLIT(D583:D701,"" "")),
 """")"),2.0)</f>
        <v>2</v>
      </c>
      <c r="F583" s="9" t="str">
        <f t="shared" ref="F583:F606" si="289">IF(D583=G583,"✅","❌")</f>
        <v>✅</v>
      </c>
      <c r="G583" s="2" t="str">
        <f>IFERROR(__xludf.DUMMYFUNCTION("REGEXEXTRACT(PROPER(SUBSTITUTE(TRIM(I583),""."","" "")),""^[^@]+"")"),"Uma Davis")</f>
        <v>Uma Davis</v>
      </c>
      <c r="H583" s="10" t="str">
        <f t="shared" ref="H583:H606" si="290">LOWER(TRIM(I583))</f>
        <v>uma.davis@outlook.com</v>
      </c>
      <c r="I583" s="2" t="s">
        <v>2331</v>
      </c>
      <c r="J583" s="9" t="str">
        <f>IFERROR(__xludf.DUMMYFUNCTION("IF(REGEXMATCH(TRIM(I583),""^[A-Za-z0-9._%+-]+@[A-Za-z0-9.-]+\.[A-Za-z]{2,}$""),""✅ Valid"",""❌ Invalid"")"),"✅ Valid")</f>
        <v>✅ Valid</v>
      </c>
      <c r="K583" s="15" t="s">
        <v>8447</v>
      </c>
      <c r="L583" s="2" t="str">
        <f>IFERROR(__xludf.DUMMYFUNCTION("IF(K583=""N/A"", """",
 REGEXREPLACE(
  SUBSTITUTE(SUBSTITUTE(SUBSTITUTE(TO_TEXT(K583), CHAR(160),""""), UNICHAR(8239),""""), UNICHAR(8201),""""),""[+\-/(): )]"", """"))"),"164185099")</f>
        <v>164185099</v>
      </c>
      <c r="M583" s="2" t="str">
        <f>IFERROR(__xludf.DUMMYFUNCTION("IF(L583="""","""", REGEXEXTRACT(REGEXREPLACE(L583,""x"", """"), ""[0-9]+""))"),"164185099")</f>
        <v>164185099</v>
      </c>
      <c r="N583" s="2" t="str">
        <f>IF(LEFT(M583,2)="48", RIGHT(M583,LEN(M583)-2),M583)</f>
        <v>164185099</v>
      </c>
      <c r="O583" s="2" t="b">
        <f>IFERROR(__xludf.DUMMYFUNCTION("REGEXMATCH(TO_TEXT(N583), ""^(5[013679]|6[069]|7[2-9]|88)"")"),FALSE)</f>
        <v>0</v>
      </c>
      <c r="Q583" s="9" t="str">
        <f t="shared" ref="Q583:Q584" si="291">IF(AND(O583=TRUE, P583=9), "✅ VALID", "❌ INVALID")</f>
        <v>❌ INVALID</v>
      </c>
      <c r="R583" s="10" t="s">
        <v>25</v>
      </c>
      <c r="S583" s="12" t="s">
        <v>6628</v>
      </c>
      <c r="T583" s="2" t="str">
        <f>IFERROR(__xludf.DUMMYFUNCTION("IF(ISNUMBER(S583),TEXT(S583,""yyyy-MM-dd""),REGEXREPLACE(REGEXREPLACE(TO_TEXT(S583),""[^0-9a-zA-Z]+"",""-""),""[^0-9]*$"",""""))"),"14-10-2022-21-13")</f>
        <v>14-10-2022-21-13</v>
      </c>
      <c r="U583" s="2" t="str">
        <f>TEXT(T583,"yyyy-MM-dd")</f>
        <v>14-10-2022-21-13</v>
      </c>
      <c r="V583" s="2" t="str">
        <f>IFERROR(__xludf.DUMMYFUNCTION("REGEXEXTRACT(U583,""^\d{2}-\d{2}-\d{4}"")"),"14-10-2022")</f>
        <v>14-10-2022</v>
      </c>
      <c r="W583" s="2" t="s">
        <v>8158</v>
      </c>
      <c r="Y583" s="10" t="s">
        <v>8158</v>
      </c>
    </row>
    <row r="584" ht="15.75" customHeight="1">
      <c r="A584" s="2" t="s">
        <v>1711</v>
      </c>
      <c r="B584" s="9" t="s">
        <v>7597</v>
      </c>
      <c r="C584" s="2" t="s">
        <v>349</v>
      </c>
      <c r="D584" s="10" t="str">
        <f>IFERROR(__xludf.DUMMYFUNCTION("PROPER(REGEXREPLACE(TRIM(C584),""\s+"","" ""))"),"Ethan Kowalski")</f>
        <v>Ethan Kowalski</v>
      </c>
      <c r="E584" s="2">
        <f>IFERROR(__xludf.DUMMYFUNCTION("IF(LEN(D584:D701),
  COUNTA(SPLIT(D584:D701,"" "")),
 """")"),2.0)</f>
        <v>2</v>
      </c>
      <c r="F584" s="9" t="str">
        <f t="shared" si="289"/>
        <v>✅</v>
      </c>
      <c r="G584" s="2" t="str">
        <f>IFERROR(__xludf.DUMMYFUNCTION("REGEXEXTRACT(PROPER(SUBSTITUTE(TRIM(I584),""."","" "")),""^[^@]+"")"),"Ethan Kowalski")</f>
        <v>Ethan Kowalski</v>
      </c>
      <c r="H584" s="10" t="str">
        <f t="shared" si="290"/>
        <v>ethan.kowalski@example.com</v>
      </c>
      <c r="I584" s="2" t="s">
        <v>350</v>
      </c>
      <c r="J584" s="9" t="str">
        <f>IFERROR(__xludf.DUMMYFUNCTION("IF(REGEXMATCH(TRIM(I584),""^[A-Za-z0-9._%+-]+@[A-Za-z0-9.-]+\.[A-Za-z]{2,}$""),""✅ Valid"",""❌ Invalid"")"),"✅ Valid")</f>
        <v>✅ Valid</v>
      </c>
      <c r="K584" s="11">
        <v>1.591826142E9</v>
      </c>
      <c r="L584" s="2" t="str">
        <f>IFERROR(__xludf.DUMMYFUNCTION("IF(OR(K584=""N/A"", K584=""missing"", K584=""none""), """",
 REGEXREPLACE(
  SUBSTITUTE(SUBSTITUTE(SUBSTITUTE(TO_TEXT(K584), CHAR(160),""""), UNICHAR(8239),""""), UNICHAR(8201),""""),""[+\-/(): )]"", """"))"),"1591826142")</f>
        <v>1591826142</v>
      </c>
      <c r="M584" s="2" t="str">
        <f>IFERROR(__xludf.DUMMYFUNCTION("IF(L584="""","""", REGEXEXTRACT(REGEXREPLACE(L584,""x"", """"), ""[0-9]+""))"),"1591826142")</f>
        <v>1591826142</v>
      </c>
      <c r="N584" s="2" t="str">
        <f>IF(LEFT(M584,2)="33", RIGHT(M584,LEN(M584)-2),M584)</f>
        <v>1591826142</v>
      </c>
      <c r="O584" s="2" t="b">
        <f>IFERROR(__xludf.DUMMYFUNCTION("REGEXMATCH(TO_TEXT(N584), ""^0[67]"")"),FALSE)</f>
        <v>0</v>
      </c>
      <c r="P584" s="2">
        <f t="shared" ref="P584:P586" si="292">LEN(N584)</f>
        <v>10</v>
      </c>
      <c r="Q584" s="9" t="str">
        <f t="shared" si="291"/>
        <v>❌ INVALID</v>
      </c>
      <c r="R584" s="10" t="s">
        <v>58</v>
      </c>
      <c r="S584" s="12">
        <v>44759.0</v>
      </c>
      <c r="T584" s="2" t="str">
        <f>IFERROR(__xludf.DUMMYFUNCTION("IF(ISNUMBER(S584),TEXT(S584,""yyyy-MM-dd""),REGEXREPLACE(REGEXREPLACE(TO_TEXT(S584),""[^0-9a-zA-Z]+"",""-""),""[^0-9]*$"",""""))"),"2022-07-17")</f>
        <v>2022-07-17</v>
      </c>
      <c r="U584" s="2" t="s">
        <v>6461</v>
      </c>
      <c r="Y584" s="10" t="s">
        <v>6461</v>
      </c>
    </row>
    <row r="585" ht="15.75" customHeight="1">
      <c r="A585" s="2" t="s">
        <v>3424</v>
      </c>
      <c r="B585" s="9" t="s">
        <v>7597</v>
      </c>
      <c r="C585" s="2" t="s">
        <v>6117</v>
      </c>
      <c r="D585" s="10" t="str">
        <f>IFERROR(__xludf.DUMMYFUNCTION("PROPER(REGEXREPLACE(TRIM(C585),""\s+"","" ""))"),"Hanna Kowalczyk")</f>
        <v>Hanna Kowalczyk</v>
      </c>
      <c r="E585" s="2">
        <f>IFERROR(__xludf.DUMMYFUNCTION("IF(LEN(D585:D701),
  COUNTA(SPLIT(D585:D701,"" "")),
 """")"),2.0)</f>
        <v>2</v>
      </c>
      <c r="F585" s="9" t="str">
        <f t="shared" si="289"/>
        <v>✅</v>
      </c>
      <c r="G585" s="2" t="str">
        <f>IFERROR(__xludf.DUMMYFUNCTION("REGEXEXTRACT(PROPER(SUBSTITUTE(TRIM(I585),""."","" "")),""^[^@]+"")"),"Hanna Kowalczyk")</f>
        <v>Hanna Kowalczyk</v>
      </c>
      <c r="H585" s="10" t="str">
        <f t="shared" si="290"/>
        <v>hanna.kowalczyk@gmail.com</v>
      </c>
      <c r="I585" s="2" t="s">
        <v>6118</v>
      </c>
      <c r="J585" s="9" t="str">
        <f>IFERROR(__xludf.DUMMYFUNCTION("IF(REGEXMATCH(TRIM(I585),""^[A-Za-z0-9._%+-]+@[A-Za-z0-9.-]+\.[A-Za-z]{2,}$""),""✅ Valid"",""❌ Invalid"")"),"✅ Valid")</f>
        <v>✅ Valid</v>
      </c>
      <c r="K585" s="13" t="s">
        <v>8448</v>
      </c>
      <c r="L585" s="2" t="str">
        <f>IFERROR(__xludf.DUMMYFUNCTION("IF(OR(K585=""N/A"", K585=""missing"", K585=""none""), """",
 REGEXREPLACE(
  SUBSTITUTE(SUBSTITUTE(SUBSTITUTE(TO_TEXT(K585), CHAR(160),""""), UNICHAR(8239),""""), UNICHAR(8201),""""),""[+\-/(): )]"", """"))"),"449785182444")</f>
        <v>449785182444</v>
      </c>
      <c r="M585" s="2" t="str">
        <f>IFERROR(__xludf.DUMMYFUNCTION("IF(L585="""","""", REGEXEXTRACT(REGEXREPLACE(L585,""x"", """"), ""[0-9]+""))"),"449785182444")</f>
        <v>449785182444</v>
      </c>
      <c r="N585" s="2" t="str">
        <f>IF(LEFT(M585,2)="44", RIGHT(M585,LEN(M585)-2),M585)</f>
        <v>9785182444</v>
      </c>
      <c r="O585" s="2" t="b">
        <f>IFERROR(__xludf.DUMMYFUNCTION("REGEXMATCH(TO_TEXT(N585), ""^07[1-57-9]"")"),FALSE)</f>
        <v>0</v>
      </c>
      <c r="P585" s="2">
        <f t="shared" si="292"/>
        <v>10</v>
      </c>
      <c r="Q585" s="9" t="str">
        <f>IF(AND(O585=TRUE, P585=11), "✅ VALID", "❌ INVALID")</f>
        <v>❌ INVALID</v>
      </c>
      <c r="R585" s="10" t="s">
        <v>114</v>
      </c>
      <c r="S585" s="12">
        <v>44744.0</v>
      </c>
      <c r="T585" s="2" t="str">
        <f>IFERROR(__xludf.DUMMYFUNCTION("IF(ISNUMBER(S585),TEXT(S585,""yyyy-MM-dd""),REGEXREPLACE(REGEXREPLACE(TO_TEXT(S585),""[^0-9a-zA-Z]+"",""-""),""[^0-9]*$"",""""))"),"2022-07-02")</f>
        <v>2022-07-02</v>
      </c>
      <c r="U585" s="2" t="s">
        <v>8387</v>
      </c>
      <c r="Y585" s="10" t="s">
        <v>8387</v>
      </c>
    </row>
    <row r="586" ht="15.75" customHeight="1">
      <c r="A586" s="2" t="s">
        <v>935</v>
      </c>
      <c r="B586" s="9" t="s">
        <v>7597</v>
      </c>
      <c r="C586" s="2" t="s">
        <v>876</v>
      </c>
      <c r="D586" s="10" t="str">
        <f>IFERROR(__xludf.DUMMYFUNCTION("PROPER(REGEXREPLACE(TRIM(C586),""\s+"","" ""))"),"Wiktor Young")</f>
        <v>Wiktor Young</v>
      </c>
      <c r="E586" s="2">
        <f>IFERROR(__xludf.DUMMYFUNCTION("IF(LEN(D586:D701),
  COUNTA(SPLIT(D586:D701,"" "")),
 """")"),2.0)</f>
        <v>2</v>
      </c>
      <c r="F586" s="9" t="str">
        <f t="shared" si="289"/>
        <v>✅</v>
      </c>
      <c r="G586" s="2" t="str">
        <f>IFERROR(__xludf.DUMMYFUNCTION("REGEXEXTRACT(PROPER(SUBSTITUTE(TRIM(I586),""."","" "")),""^[^@]+"")"),"Wiktor Young")</f>
        <v>Wiktor Young</v>
      </c>
      <c r="H586" s="10" t="str">
        <f t="shared" si="290"/>
        <v>wiktor.young@yahoo.cmo</v>
      </c>
      <c r="I586" s="2" t="s">
        <v>6393</v>
      </c>
      <c r="J586" s="9" t="str">
        <f>IFERROR(__xludf.DUMMYFUNCTION("IF(REGEXMATCH(TRIM(I586),""^[A-Za-z0-9._%+-]+@[A-Za-z0-9.-]+\.[A-Za-z]{2,}$""),""✅ Valid"",""❌ Invalid"")"),"✅ Valid")</f>
        <v>✅ Valid</v>
      </c>
      <c r="K586" s="13" t="s">
        <v>8449</v>
      </c>
      <c r="L586" s="2" t="str">
        <f>IFERROR(__xludf.DUMMYFUNCTION("IF(OR(K586=""N/A"", K586=""missing"", K586=""none""), """",
 REGEXREPLACE(
  SUBSTITUTE(SUBSTITUTE(SUBSTITUTE(TO_TEXT(K586), CHAR(160),""""), UNICHAR(8239),""""), UNICHAR(8201),""""),""[+\-/(): )]"", """"))"),"265195799")</f>
        <v>265195799</v>
      </c>
      <c r="M586" s="2" t="str">
        <f>IFERROR(__xludf.DUMMYFUNCTION("IF(L586="""","""", REGEXEXTRACT(REGEXREPLACE(L586,""x"", """"), ""[0-9]+""))"),"265195799")</f>
        <v>265195799</v>
      </c>
      <c r="N586" s="2" t="str">
        <f>IF(LEFT(M586,2)="34", RIGHT(M586,LEN(M586)-2),M586)</f>
        <v>265195799</v>
      </c>
      <c r="O586" s="2" t="b">
        <f>IFERROR(__xludf.DUMMYFUNCTION("REGEXMATCH(TO_TEXT(N586), ""^[67]"")"),FALSE)</f>
        <v>0</v>
      </c>
      <c r="P586" s="2">
        <f t="shared" si="292"/>
        <v>9</v>
      </c>
      <c r="Q586" s="9" t="str">
        <f t="shared" ref="Q586:Q588" si="293">IF(AND(O586=TRUE, P586=9), "✅ VALID", "❌ INVALID")</f>
        <v>❌ INVALID</v>
      </c>
      <c r="R586" s="10" t="s">
        <v>139</v>
      </c>
      <c r="S586" s="12">
        <v>45505.0</v>
      </c>
      <c r="T586" s="2" t="str">
        <f>IFERROR(__xludf.DUMMYFUNCTION("IF(ISNUMBER(S586),TEXT(S586,""yyyy-MM-dd""),REGEXREPLACE(REGEXREPLACE(TO_TEXT(S586),""[^0-9a-zA-Z]+"",""-""),""[^0-9]*$"",""""))"),"2024-08-01")</f>
        <v>2024-08-01</v>
      </c>
      <c r="U586" s="2" t="s">
        <v>8450</v>
      </c>
      <c r="Y586" s="10" t="s">
        <v>8450</v>
      </c>
    </row>
    <row r="587" ht="15.75" customHeight="1">
      <c r="A587" s="2" t="s">
        <v>6456</v>
      </c>
      <c r="B587" s="9" t="s">
        <v>7597</v>
      </c>
      <c r="C587" s="2" t="s">
        <v>2301</v>
      </c>
      <c r="D587" s="10" t="str">
        <f>IFERROR(__xludf.DUMMYFUNCTION("PROPER(REGEXREPLACE(TRIM(C587),""\s+"","" ""))"),"Zack Taylor")</f>
        <v>Zack Taylor</v>
      </c>
      <c r="E587" s="2">
        <f>IFERROR(__xludf.DUMMYFUNCTION("IF(LEN(D587:D701),
  COUNTA(SPLIT(D587:D701,"" "")),
 """")"),2.0)</f>
        <v>2</v>
      </c>
      <c r="F587" s="9" t="str">
        <f t="shared" si="289"/>
        <v>✅</v>
      </c>
      <c r="G587" s="2" t="str">
        <f>IFERROR(__xludf.DUMMYFUNCTION("REGEXEXTRACT(PROPER(SUBSTITUTE(TRIM(I587),""."","" "")),""^[^@]+"")"),"Zack Taylor")</f>
        <v>Zack Taylor</v>
      </c>
      <c r="H587" s="10" t="str">
        <f t="shared" si="290"/>
        <v>zack.taylor@outlook.com</v>
      </c>
      <c r="I587" s="2" t="s">
        <v>2302</v>
      </c>
      <c r="J587" s="9" t="str">
        <f>IFERROR(__xludf.DUMMYFUNCTION("IF(REGEXMATCH(TRIM(I587),""^[A-Za-z0-9._%+-]+@[A-Za-z0-9.-]+\.[A-Za-z]{2,}$""),""✅ Valid"",""❌ Invalid"")"),"✅ Valid")</f>
        <v>✅ Valid</v>
      </c>
      <c r="K587" s="15" t="s">
        <v>8451</v>
      </c>
      <c r="L587" s="2" t="str">
        <f>IFERROR(__xludf.DUMMYFUNCTION("IF(K587=""N/A"", """",
 REGEXREPLACE(
  SUBSTITUTE(SUBSTITUTE(SUBSTITUTE(TO_TEXT(K587), CHAR(160),""""), UNICHAR(8239),""""), UNICHAR(8201),""""),""[+\-/(): )]"", """"))"),"489331079")</f>
        <v>489331079</v>
      </c>
      <c r="M587" s="2" t="str">
        <f>IFERROR(__xludf.DUMMYFUNCTION("IF(L587="""","""", REGEXEXTRACT(REGEXREPLACE(L587,""x"", """"), ""[0-9]+""))"),"489331079")</f>
        <v>489331079</v>
      </c>
      <c r="N587" s="2" t="str">
        <f t="shared" ref="N587:N588" si="294">IF(LEFT(M587,2)="48", RIGHT(M587,LEN(M587)-2),M587)</f>
        <v>9331079</v>
      </c>
      <c r="O587" s="2" t="b">
        <f>IFERROR(__xludf.DUMMYFUNCTION("REGEXMATCH(TO_TEXT(N587), ""^(5[013679]|6[069]|7[2-9]|88)"")"),FALSE)</f>
        <v>0</v>
      </c>
      <c r="Q587" s="9" t="str">
        <f t="shared" si="293"/>
        <v>❌ INVALID</v>
      </c>
      <c r="R587" s="10" t="s">
        <v>25</v>
      </c>
      <c r="S587" s="12">
        <v>45674.0</v>
      </c>
      <c r="T587" s="2" t="str">
        <f>IFERROR(__xludf.DUMMYFUNCTION("IF(ISNUMBER(S587),TEXT(S587,""yyyy-MM-dd""),REGEXREPLACE(REGEXREPLACE(TO_TEXT(S587),""[^0-9a-zA-Z]+"",""-""),""[^0-9]*$"",""""))"),"2025-01-17")</f>
        <v>2025-01-17</v>
      </c>
      <c r="U587" s="2" t="s">
        <v>8452</v>
      </c>
      <c r="Y587" s="10" t="s">
        <v>8452</v>
      </c>
    </row>
    <row r="588" ht="15.75" customHeight="1">
      <c r="A588" s="2" t="s">
        <v>4824</v>
      </c>
      <c r="B588" s="9" t="s">
        <v>7597</v>
      </c>
      <c r="C588" s="2" t="s">
        <v>3745</v>
      </c>
      <c r="D588" s="10" t="str">
        <f>IFERROR(__xludf.DUMMYFUNCTION("PROPER(REGEXREPLACE(TRIM(C588),""\s+"","" ""))"),"Rita Lopez")</f>
        <v>Rita Lopez</v>
      </c>
      <c r="E588" s="2">
        <f>IFERROR(__xludf.DUMMYFUNCTION("IF(LEN(D588:D701),
  COUNTA(SPLIT(D588:D701,"" "")),
 """")"),2.0)</f>
        <v>2</v>
      </c>
      <c r="F588" s="9" t="str">
        <f t="shared" si="289"/>
        <v>✅</v>
      </c>
      <c r="G588" s="2" t="str">
        <f>IFERROR(__xludf.DUMMYFUNCTION("REGEXEXTRACT(PROPER(SUBSTITUTE(TRIM(I588),""."","" "")),""^[^@]+"")"),"Rita Lopez")</f>
        <v>Rita Lopez</v>
      </c>
      <c r="H588" s="10" t="str">
        <f t="shared" si="290"/>
        <v>rita.lopez@company.co.uk</v>
      </c>
      <c r="I588" s="2" t="s">
        <v>3746</v>
      </c>
      <c r="J588" s="9" t="str">
        <f>IFERROR(__xludf.DUMMYFUNCTION("IF(REGEXMATCH(TRIM(I588),""^[A-Za-z0-9._%+-]+@[A-Za-z0-9.-]+\.[A-Za-z]{2,}$""),""✅ Valid"",""❌ Invalid"")"),"✅ Valid")</f>
        <v>✅ Valid</v>
      </c>
      <c r="K588" s="15" t="s">
        <v>8453</v>
      </c>
      <c r="L588" s="2" t="str">
        <f>IFERROR(__xludf.DUMMYFUNCTION("IF(K588=""N/A"", """",
 REGEXREPLACE(
  SUBSTITUTE(SUBSTITUTE(SUBSTITUTE(TO_TEXT(K588), CHAR(160),""""), UNICHAR(8239),""""), UNICHAR(8201),""""),""[+\-/(): )]"", """"))"),"24x9254129")</f>
        <v>24x9254129</v>
      </c>
      <c r="M588" s="2" t="str">
        <f>IFERROR(__xludf.DUMMYFUNCTION("IF(L588="""","""", REGEXEXTRACT(REGEXREPLACE(L588,""x"", """"), ""[0-9]+""))"),"249254129")</f>
        <v>249254129</v>
      </c>
      <c r="N588" s="2" t="str">
        <f t="shared" si="294"/>
        <v>249254129</v>
      </c>
      <c r="O588" s="2" t="b">
        <f>IFERROR(__xludf.DUMMYFUNCTION("REGEXMATCH(TO_TEXT(N588), ""^(5[013679]|6[069]|7[2-9]|88)"")"),FALSE)</f>
        <v>0</v>
      </c>
      <c r="Q588" s="9" t="str">
        <f t="shared" si="293"/>
        <v>❌ INVALID</v>
      </c>
      <c r="R588" s="10" t="s">
        <v>25</v>
      </c>
      <c r="S588" s="12">
        <v>44817.135416666664</v>
      </c>
      <c r="T588" s="2" t="str">
        <f>IFERROR(__xludf.DUMMYFUNCTION("IF(ISNUMBER(S588),TEXT(S588,""yyyy-MM-dd""),REGEXREPLACE(REGEXREPLACE(TO_TEXT(S588),""[^0-9a-zA-Z]+"",""-""),""[^0-9]*$"",""""))"),"2022-09-13")</f>
        <v>2022-09-13</v>
      </c>
      <c r="U588" s="2" t="s">
        <v>8287</v>
      </c>
      <c r="Y588" s="10" t="s">
        <v>8287</v>
      </c>
    </row>
    <row r="589" ht="15.75" customHeight="1">
      <c r="A589" s="2" t="s">
        <v>5920</v>
      </c>
      <c r="B589" s="9" t="s">
        <v>7597</v>
      </c>
      <c r="C589" s="2" t="s">
        <v>4173</v>
      </c>
      <c r="D589" s="10" t="str">
        <f>IFERROR(__xludf.DUMMYFUNCTION("PROPER(REGEXREPLACE(TRIM(C589),""\s+"","" ""))"),"Jade Muller")</f>
        <v>Jade Muller</v>
      </c>
      <c r="E589" s="2">
        <f>IFERROR(__xludf.DUMMYFUNCTION("IF(LEN(D589:D701),
  COUNTA(SPLIT(D589:D701,"" "")),
 """")"),2.0)</f>
        <v>2</v>
      </c>
      <c r="F589" s="9" t="str">
        <f t="shared" si="289"/>
        <v>✅</v>
      </c>
      <c r="G589" s="2" t="str">
        <f>IFERROR(__xludf.DUMMYFUNCTION("REGEXEXTRACT(PROPER(SUBSTITUTE(TRIM(I589),""."","" "")),""^[^@]+"")"),"Jade Muller")</f>
        <v>Jade Muller</v>
      </c>
      <c r="H589" s="10" t="str">
        <f t="shared" si="290"/>
        <v>jade.muller@example.com</v>
      </c>
      <c r="I589" s="2" t="s">
        <v>4174</v>
      </c>
      <c r="J589" s="9" t="str">
        <f>IFERROR(__xludf.DUMMYFUNCTION("IF(REGEXMATCH(TRIM(I589),""^[A-Za-z0-9._%+-]+@[A-Za-z0-9.-]+\.[A-Za-z]{2,}$""),""✅ Valid"",""❌ Invalid"")"),"✅ Valid")</f>
        <v>✅ Valid</v>
      </c>
      <c r="K589" s="13" t="s">
        <v>8454</v>
      </c>
      <c r="L589" s="2" t="str">
        <f>IFERROR(__xludf.DUMMYFUNCTION("IF(OR(K589=""N/A"", K589=""missing"", K589=""none""), """",
 REGEXREPLACE(
  SUBSTITUTE(SUBSTITUTE(SUBSTITUTE(TO_TEXT(K589), CHAR(160),""""), UNICHAR(8239),""""), UNICHAR(8201),""""),""[+\-/(): )]"", """"))"),"39213206796")</f>
        <v>39213206796</v>
      </c>
      <c r="M589" s="2" t="str">
        <f>IFERROR(__xludf.DUMMYFUNCTION("IF(L589="""","""", REGEXEXTRACT(REGEXREPLACE(L589,""x"", """"), ""[0-9]+""))"),"39213206796")</f>
        <v>39213206796</v>
      </c>
      <c r="N589" s="2" t="str">
        <f>IF(LEFT(M589,2)="39", RIGHT(M589,LEN(M589)-2),M589)</f>
        <v>213206796</v>
      </c>
      <c r="O589" s="2" t="b">
        <f>IFERROR(__xludf.DUMMYFUNCTION("REGEXMATCH(TO_TEXT(N589), ""^3"")"),FALSE)</f>
        <v>0</v>
      </c>
      <c r="P589" s="2">
        <f t="shared" ref="P589:P598" si="295">LEN(N589)</f>
        <v>9</v>
      </c>
      <c r="Q589" s="9" t="str">
        <f>IF(AND(O589=TRUE,OR(P589=9, P589=10 )), "✅ VALID", "❌ INVALID")</f>
        <v>❌ INVALID</v>
      </c>
      <c r="R589" s="10" t="s">
        <v>785</v>
      </c>
      <c r="S589" s="12">
        <v>44949.0</v>
      </c>
      <c r="T589" s="2" t="str">
        <f>IFERROR(__xludf.DUMMYFUNCTION("IF(ISNUMBER(S589),TEXT(S589,""yyyy-MM-dd""),REGEXREPLACE(REGEXREPLACE(TO_TEXT(S589),""[^0-9a-zA-Z]+"",""-""),""[^0-9]*$"",""""))"),"2023-01-23")</f>
        <v>2023-01-23</v>
      </c>
      <c r="U589" s="2" t="s">
        <v>7704</v>
      </c>
      <c r="Y589" s="10" t="s">
        <v>7704</v>
      </c>
    </row>
    <row r="590" ht="15.75" customHeight="1">
      <c r="A590" s="2" t="s">
        <v>508</v>
      </c>
      <c r="B590" s="9" t="s">
        <v>7597</v>
      </c>
      <c r="C590" s="2" t="s">
        <v>7210</v>
      </c>
      <c r="D590" s="10" t="str">
        <f>IFERROR(__xludf.DUMMYFUNCTION("PROPER(REGEXREPLACE(TRIM(C590),""\s+"","" ""))"),"Sam Lee")</f>
        <v>Sam Lee</v>
      </c>
      <c r="E590" s="2">
        <f>IFERROR(__xludf.DUMMYFUNCTION("IF(LEN(D590:D701),
  COUNTA(SPLIT(D590:D701,"" "")),
 """")"),2.0)</f>
        <v>2</v>
      </c>
      <c r="F590" s="9" t="str">
        <f t="shared" si="289"/>
        <v>✅</v>
      </c>
      <c r="G590" s="2" t="str">
        <f>IFERROR(__xludf.DUMMYFUNCTION("REGEXEXTRACT(PROPER(SUBSTITUTE(TRIM(I590),""."","" "")),""^[^@]+"")"),"Sam Lee")</f>
        <v>Sam Lee</v>
      </c>
      <c r="H590" s="10" t="str">
        <f t="shared" si="290"/>
        <v>sam.lee@outlook.com</v>
      </c>
      <c r="I590" s="2" t="s">
        <v>7211</v>
      </c>
      <c r="J590" s="9" t="str">
        <f>IFERROR(__xludf.DUMMYFUNCTION("IF(REGEXMATCH(TRIM(I590),""^[A-Za-z0-9._%+-]+@[A-Za-z0-9.-]+\.[A-Za-z]{2,}$""),""✅ Valid"",""❌ Invalid"")"),"✅ Valid")</f>
        <v>✅ Valid</v>
      </c>
      <c r="K590" s="13" t="s">
        <v>8455</v>
      </c>
      <c r="L590" s="2" t="str">
        <f>IFERROR(__xludf.DUMMYFUNCTION("IF(OR(K590=""N/A"", K590=""missing"", K590=""none""), """",
 REGEXREPLACE(
  SUBSTITUTE(SUBSTITUTE(SUBSTITUTE(TO_TEXT(K590), CHAR(160),""""), UNICHAR(8239),""""), UNICHAR(8201),""""),""[+\-/(): )]"", """"))"),"4931027812889")</f>
        <v>4931027812889</v>
      </c>
      <c r="M590" s="2" t="str">
        <f>IFERROR(__xludf.DUMMYFUNCTION("IF(L590="""","""", REGEXEXTRACT(REGEXREPLACE(L590,""x"", """"), ""[0-9]+""))"),"4931027812889")</f>
        <v>4931027812889</v>
      </c>
      <c r="N590" s="2" t="str">
        <f>IF(LEFT(M590,2)="49", RIGHT(M590,LEN(M590)-2),M590)</f>
        <v>31027812889</v>
      </c>
      <c r="O590" s="2" t="b">
        <f>IFERROR(__xludf.DUMMYFUNCTION("REGEXMATCH(TO_TEXT(N590), ""^0(15|16|17)"")"),FALSE)</f>
        <v>0</v>
      </c>
      <c r="P590" s="2">
        <f t="shared" si="295"/>
        <v>11</v>
      </c>
      <c r="Q590" s="9" t="str">
        <f>IF(AND(O590=TRUE,OR(P590=10, P590=11)), "✅ VALID", "❌ INVALID")</f>
        <v>❌ INVALID</v>
      </c>
      <c r="R590" s="10" t="s">
        <v>459</v>
      </c>
      <c r="S590" s="12" t="s">
        <v>6812</v>
      </c>
      <c r="T590" s="2" t="str">
        <f>IFERROR(__xludf.DUMMYFUNCTION("IF(ISNUMBER(S590),TEXT(S590,""yyyy-MM-dd""),REGEXREPLACE(REGEXREPLACE(TO_TEXT(S590),""[^0-9a-zA-Z]+"",""-""),""[^0-9]*$"",""""))"),"45427-21-37")</f>
        <v>45427-21-37</v>
      </c>
      <c r="U590" s="2" t="str">
        <f>TEXT(T590,"yyyy-MM-dd")</f>
        <v>45427-21-37</v>
      </c>
      <c r="V590" s="2" t="str">
        <f>CONCATENATE(LEFT(U590,5))</f>
        <v>45427</v>
      </c>
      <c r="W590" s="14">
        <f>DATE(1900,1,1) + V590 - 1</f>
        <v>45428</v>
      </c>
      <c r="X590" s="2" t="s">
        <v>8198</v>
      </c>
      <c r="Y590" s="10" t="s">
        <v>8198</v>
      </c>
    </row>
    <row r="591" ht="15.75" customHeight="1">
      <c r="A591" s="2" t="s">
        <v>2850</v>
      </c>
      <c r="B591" s="9" t="s">
        <v>7597</v>
      </c>
      <c r="C591" s="2" t="s">
        <v>1134</v>
      </c>
      <c r="D591" s="10" t="s">
        <v>8456</v>
      </c>
      <c r="E591" s="2">
        <f>IFERROR(__xludf.DUMMYFUNCTION("IF(LEN(D591:D701),
  COUNTA(SPLIT(D591:D701,"" "")),
 """")"),2.0)</f>
        <v>2</v>
      </c>
      <c r="F591" s="9" t="str">
        <f t="shared" si="289"/>
        <v>✅</v>
      </c>
      <c r="G591" s="2" t="s">
        <v>8456</v>
      </c>
      <c r="H591" s="10" t="str">
        <f t="shared" si="290"/>
        <v>daria.kowalczyk@outlook.com</v>
      </c>
      <c r="I591" s="2" t="s">
        <v>1135</v>
      </c>
      <c r="J591" s="9" t="str">
        <f>IFERROR(__xludf.DUMMYFUNCTION("IF(REGEXMATCH(TRIM(I591),""^[A-Za-z0-9._%+-]+@[A-Za-z0-9.-]+\.[A-Za-z]{2,}$""),""✅ Valid"",""❌ Invalid"")"),"✅ Valid")</f>
        <v>✅ Valid</v>
      </c>
      <c r="K591" s="13" t="s">
        <v>8457</v>
      </c>
      <c r="L591" s="2" t="str">
        <f>IFERROR(__xludf.DUMMYFUNCTION("IF(OR(K591=""N/A"", K591=""missing"", K591=""none""), """",
 REGEXREPLACE(
  SUBSTITUTE(SUBSTITUTE(SUBSTITUTE(TO_TEXT(K591), CHAR(160),""""), UNICHAR(8239),""""), UNICHAR(8201),""""),""[+\-/(): )]"", """"))"),"39350473848ext449")</f>
        <v>39350473848ext449</v>
      </c>
      <c r="M591" s="2" t="str">
        <f>IFERROR(__xludf.DUMMYFUNCTION("IF(L591="""","""", REGEXEXTRACT(REGEXREPLACE(L591,""x"", """"), ""[0-9]+""))"),"39350473848")</f>
        <v>39350473848</v>
      </c>
      <c r="N591" s="2" t="str">
        <f t="shared" ref="N591:N592" si="296">IF(LEFT(M591,2)="39", RIGHT(M591,LEN(M591)-2),M591)</f>
        <v>350473848</v>
      </c>
      <c r="O591" s="2" t="b">
        <f>IFERROR(__xludf.DUMMYFUNCTION("REGEXMATCH(TO_TEXT(N591), ""^3"")"),TRUE)</f>
        <v>1</v>
      </c>
      <c r="P591" s="2">
        <f t="shared" si="295"/>
        <v>9</v>
      </c>
      <c r="Q591" s="9" t="str">
        <f t="shared" ref="Q591:Q592" si="297">IF(AND(O591=TRUE,OR(P591=9, P591=10 )), "✅ VALID", "❌ INVALID")</f>
        <v>✅ VALID</v>
      </c>
      <c r="R591" s="10" t="s">
        <v>785</v>
      </c>
      <c r="S591" s="12" t="s">
        <v>6620</v>
      </c>
      <c r="T591" s="2" t="str">
        <f>IFERROR(__xludf.DUMMYFUNCTION("IF(ISNUMBER(S591),TEXT(S591,""yyyy-MM-dd""),REGEXREPLACE(REGEXREPLACE(TO_TEXT(S591),""[^0-9a-zA-Z]+"",""-""),""[^0-9]*$"",""""))"),"13-01-2024")</f>
        <v>13-01-2024</v>
      </c>
      <c r="U591" s="2" t="s">
        <v>8458</v>
      </c>
      <c r="Y591" s="10" t="s">
        <v>8458</v>
      </c>
    </row>
    <row r="592" ht="15.75" customHeight="1">
      <c r="A592" s="2" t="s">
        <v>2107</v>
      </c>
      <c r="B592" s="9" t="s">
        <v>7597</v>
      </c>
      <c r="C592" s="2" t="s">
        <v>1060</v>
      </c>
      <c r="D592" s="10" t="str">
        <f>IFERROR(__xludf.DUMMYFUNCTION("PROPER(REGEXREPLACE(TRIM(C592),""\s+"","" ""))"),"Ethan Johnson")</f>
        <v>Ethan Johnson</v>
      </c>
      <c r="E592" s="2">
        <f>IFERROR(__xludf.DUMMYFUNCTION("IF(LEN(D592:D701),
  COUNTA(SPLIT(D592:D701,"" "")),
 """")"),2.0)</f>
        <v>2</v>
      </c>
      <c r="F592" s="9" t="str">
        <f t="shared" si="289"/>
        <v>✅</v>
      </c>
      <c r="G592" s="2" t="str">
        <f>IFERROR(__xludf.DUMMYFUNCTION("REGEXEXTRACT(PROPER(SUBSTITUTE(TRIM(I592),""."","" "")),""^[^@]+"")"),"Ethan Johnson")</f>
        <v>Ethan Johnson</v>
      </c>
      <c r="H592" s="10" t="str">
        <f t="shared" si="290"/>
        <v>ethan.johnson@yahoo.com</v>
      </c>
      <c r="I592" s="2" t="s">
        <v>1061</v>
      </c>
      <c r="J592" s="9" t="str">
        <f>IFERROR(__xludf.DUMMYFUNCTION("IF(REGEXMATCH(TRIM(I592),""^[A-Za-z0-9._%+-]+@[A-Za-z0-9.-]+\.[A-Za-z]{2,}$""),""✅ Valid"",""❌ Invalid"")"),"✅ Valid")</f>
        <v>✅ Valid</v>
      </c>
      <c r="K592" s="11">
        <v>8.5974111E7</v>
      </c>
      <c r="L592" s="2" t="str">
        <f>IFERROR(__xludf.DUMMYFUNCTION("IF(OR(K592=""N/A"", K592=""missing"", K592=""none""), """",
 REGEXREPLACE(
  SUBSTITUTE(SUBSTITUTE(SUBSTITUTE(TO_TEXT(K592), CHAR(160),""""), UNICHAR(8239),""""), UNICHAR(8201),""""),""[+\-/(): )]"", """"))"),"85974111")</f>
        <v>85974111</v>
      </c>
      <c r="M592" s="2" t="str">
        <f>IFERROR(__xludf.DUMMYFUNCTION("IF(L592="""","""", REGEXEXTRACT(REGEXREPLACE(L592,""x"", """"), ""[0-9]+""))"),"85974111")</f>
        <v>85974111</v>
      </c>
      <c r="N592" s="2" t="str">
        <f t="shared" si="296"/>
        <v>85974111</v>
      </c>
      <c r="O592" s="2" t="b">
        <f>IFERROR(__xludf.DUMMYFUNCTION("REGEXMATCH(TO_TEXT(N592), ""^3"")"),FALSE)</f>
        <v>0</v>
      </c>
      <c r="P592" s="2">
        <f t="shared" si="295"/>
        <v>8</v>
      </c>
      <c r="Q592" s="9" t="str">
        <f t="shared" si="297"/>
        <v>❌ INVALID</v>
      </c>
      <c r="R592" s="10" t="s">
        <v>785</v>
      </c>
      <c r="S592" s="12">
        <v>45457.0</v>
      </c>
      <c r="T592" s="2" t="str">
        <f>IFERROR(__xludf.DUMMYFUNCTION("IF(ISNUMBER(S592),TEXT(S592,""yyyy-MM-dd""),REGEXREPLACE(REGEXREPLACE(TO_TEXT(S592),""[^0-9a-zA-Z]+"",""-""),""[^0-9]*$"",""""))"),"2024-06-14")</f>
        <v>2024-06-14</v>
      </c>
      <c r="U592" s="2" t="s">
        <v>6631</v>
      </c>
      <c r="Y592" s="10" t="s">
        <v>6631</v>
      </c>
    </row>
    <row r="593" ht="15.75" customHeight="1">
      <c r="A593" s="2" t="s">
        <v>1819</v>
      </c>
      <c r="B593" s="9" t="s">
        <v>7597</v>
      </c>
      <c r="C593" s="2" t="s">
        <v>7108</v>
      </c>
      <c r="D593" s="10" t="s">
        <v>1260</v>
      </c>
      <c r="E593" s="2">
        <f>IFERROR(__xludf.DUMMYFUNCTION("IF(LEN(D593:D701),
  COUNTA(SPLIT(D593:D701,"" "")),
 """")"),2.0)</f>
        <v>2</v>
      </c>
      <c r="F593" s="9" t="str">
        <f t="shared" si="289"/>
        <v>✅</v>
      </c>
      <c r="G593" s="2" t="s">
        <v>1260</v>
      </c>
      <c r="H593" s="10" t="str">
        <f t="shared" si="290"/>
        <v>tara.johnson@gmail.com</v>
      </c>
      <c r="I593" s="2" t="s">
        <v>7109</v>
      </c>
      <c r="J593" s="9" t="str">
        <f>IFERROR(__xludf.DUMMYFUNCTION("IF(REGEXMATCH(TRIM(I593),""^[A-Za-z0-9._%+-]+@[A-Za-z0-9.-]+\.[A-Za-z]{2,}$""),""✅ Valid"",""❌ Invalid"")"),"✅ Valid")</f>
        <v>✅ Valid</v>
      </c>
      <c r="K593" s="13" t="s">
        <v>8459</v>
      </c>
      <c r="L593" s="2" t="str">
        <f>IFERROR(__xludf.DUMMYFUNCTION("IF(OR(K593=""N/A"", K593=""missing"", K593=""none""), """",
 REGEXREPLACE(
  SUBSTITUTE(SUBSTITUTE(SUBSTITUTE(TO_TEXT(K593), CHAR(160),""""), UNICHAR(8239),""""), UNICHAR(8201),""""),""[+\-/(): )]"", """"))"),"353437295330")</f>
        <v>353437295330</v>
      </c>
      <c r="M593" s="2" t="str">
        <f>IFERROR(__xludf.DUMMYFUNCTION("IF(L593="""","""", REGEXEXTRACT(REGEXREPLACE(L593,""x"", """"), ""[0-9]+""))"),"353437295330")</f>
        <v>353437295330</v>
      </c>
      <c r="N593" s="2" t="str">
        <f>IF(LEFT(M593,3)="353", RIGHT(M593,LEN(M593)-3),M593)</f>
        <v>437295330</v>
      </c>
      <c r="O593" s="2" t="b">
        <f>IFERROR(__xludf.DUMMYFUNCTION("REGEXMATCH(TO_TEXT(N593), ""^0(83|85|86|87|89)"")"),FALSE)</f>
        <v>0</v>
      </c>
      <c r="P593" s="2">
        <f t="shared" si="295"/>
        <v>9</v>
      </c>
      <c r="Q593" s="9" t="str">
        <f>IF(AND(O593=TRUE, P590=10), "✅ VALID", "❌ INVALID")</f>
        <v>❌ INVALID</v>
      </c>
      <c r="R593" s="10" t="s">
        <v>1177</v>
      </c>
      <c r="S593" s="12">
        <v>45207.0</v>
      </c>
      <c r="T593" s="2" t="str">
        <f>IFERROR(__xludf.DUMMYFUNCTION("IF(ISNUMBER(S593),TEXT(S593,""yyyy-MM-dd""),REGEXREPLACE(REGEXREPLACE(TO_TEXT(S593),""[^0-9a-zA-Z]+"",""-""),""[^0-9]*$"",""""))"),"2023-10-08")</f>
        <v>2023-10-08</v>
      </c>
      <c r="U593" s="2" t="s">
        <v>8409</v>
      </c>
      <c r="Y593" s="10" t="s">
        <v>8409</v>
      </c>
    </row>
    <row r="594" ht="15.75" customHeight="1">
      <c r="A594" s="2" t="s">
        <v>2946</v>
      </c>
      <c r="B594" s="9" t="s">
        <v>7597</v>
      </c>
      <c r="C594" s="2" t="s">
        <v>1260</v>
      </c>
      <c r="D594" s="10" t="str">
        <f>IFERROR(__xludf.DUMMYFUNCTION("PROPER(REGEXREPLACE(TRIM(C594),""\s+"","" ""))"),"Tara Johnson")</f>
        <v>Tara Johnson</v>
      </c>
      <c r="E594" s="2">
        <f>IFERROR(__xludf.DUMMYFUNCTION("IF(LEN(D594:D701),
  COUNTA(SPLIT(D594:D701,"" "")),
 """")"),2.0)</f>
        <v>2</v>
      </c>
      <c r="F594" s="9" t="str">
        <f t="shared" si="289"/>
        <v>✅</v>
      </c>
      <c r="G594" s="2" t="str">
        <f>IFERROR(__xludf.DUMMYFUNCTION("REGEXEXTRACT(PROPER(SUBSTITUTE(TRIM(I594),""."","" "")),""^[^@]+"")"),"Tara Johnson")</f>
        <v>Tara Johnson</v>
      </c>
      <c r="H594" s="10" t="str">
        <f t="shared" si="290"/>
        <v>tara.johnson@gmail.com</v>
      </c>
      <c r="I594" s="2" t="s">
        <v>2670</v>
      </c>
      <c r="J594" s="9" t="str">
        <f>IFERROR(__xludf.DUMMYFUNCTION("IF(REGEXMATCH(TRIM(I594),""^[A-Za-z0-9._%+-]+@[A-Za-z0-9.-]+\.[A-Za-z]{2,}$""),""✅ Valid"",""❌ Invalid"")"),"✅ Valid")</f>
        <v>✅ Valid</v>
      </c>
      <c r="K594" s="13" t="s">
        <v>8460</v>
      </c>
      <c r="L594" s="2" t="str">
        <f>IFERROR(__xludf.DUMMYFUNCTION("IF(OR(K594=""N/A"", K594=""missing"", K594=""none""), """",
 REGEXREPLACE(
  SUBSTITUTE(SUBSTITUTE(SUBSTITUTE(TO_TEXT(K594), CHAR(160),""""), UNICHAR(8239),""""), UNICHAR(8201),""""),""[+\-/(): )]"", """"))"),"39120209190")</f>
        <v>39120209190</v>
      </c>
      <c r="M594" s="2" t="str">
        <f>IFERROR(__xludf.DUMMYFUNCTION("IF(L594="""","""", REGEXEXTRACT(REGEXREPLACE(L594,""x"", """"), ""[0-9]+""))"),"39120209190")</f>
        <v>39120209190</v>
      </c>
      <c r="N594" s="2" t="str">
        <f>IF(LEFT(M594,2)="39", RIGHT(M594,LEN(M594)-2),M594)</f>
        <v>120209190</v>
      </c>
      <c r="O594" s="2" t="b">
        <f>IFERROR(__xludf.DUMMYFUNCTION("REGEXMATCH(TO_TEXT(N594), ""^3"")"),FALSE)</f>
        <v>0</v>
      </c>
      <c r="P594" s="2">
        <f t="shared" si="295"/>
        <v>9</v>
      </c>
      <c r="Q594" s="9" t="str">
        <f>IF(AND(O594=TRUE,OR(P594=9, P594=10 )), "✅ VALID", "❌ INVALID")</f>
        <v>❌ INVALID</v>
      </c>
      <c r="R594" s="10" t="s">
        <v>785</v>
      </c>
      <c r="S594" s="12">
        <v>45606.4875</v>
      </c>
      <c r="T594" s="2" t="str">
        <f>IFERROR(__xludf.DUMMYFUNCTION("IF(ISNUMBER(S594),TEXT(S594,""yyyy-MM-dd""),REGEXREPLACE(REGEXREPLACE(TO_TEXT(S594),""[^0-9a-zA-Z]+"",""-""),""[^0-9]*$"",""""))"),"2024-11-10")</f>
        <v>2024-11-10</v>
      </c>
      <c r="U594" s="2" t="s">
        <v>8461</v>
      </c>
      <c r="Y594" s="10" t="s">
        <v>8461</v>
      </c>
    </row>
    <row r="595" ht="15.75" customHeight="1">
      <c r="A595" s="2" t="s">
        <v>7113</v>
      </c>
      <c r="B595" s="9" t="s">
        <v>7597</v>
      </c>
      <c r="C595" s="2" t="s">
        <v>3737</v>
      </c>
      <c r="D595" s="10" t="str">
        <f>IFERROR(__xludf.DUMMYFUNCTION("PROPER(REGEXREPLACE(TRIM(C595),""\s+"","" ""))"),"Lia Kowalczyk")</f>
        <v>Lia Kowalczyk</v>
      </c>
      <c r="E595" s="2">
        <f>IFERROR(__xludf.DUMMYFUNCTION("IF(LEN(D595:D701),
  COUNTA(SPLIT(D595:D701,"" "")),
 """")"),2.0)</f>
        <v>2</v>
      </c>
      <c r="F595" s="9" t="str">
        <f t="shared" si="289"/>
        <v>✅</v>
      </c>
      <c r="G595" s="2" t="str">
        <f>IFERROR(__xludf.DUMMYFUNCTION("REGEXEXTRACT(PROPER(SUBSTITUTE(TRIM(I595),""."","" "")),""^[^@]+"")"),"Lia Kowalczyk")</f>
        <v>Lia Kowalczyk</v>
      </c>
      <c r="H595" s="10" t="str">
        <f t="shared" si="290"/>
        <v>lia.kowalczyk@shop.io</v>
      </c>
      <c r="I595" s="2" t="s">
        <v>3738</v>
      </c>
      <c r="J595" s="9" t="str">
        <f>IFERROR(__xludf.DUMMYFUNCTION("IF(REGEXMATCH(TRIM(I595),""^[A-Za-z0-9._%+-]+@[A-Za-z0-9.-]+\.[A-Za-z]{2,}$""),""✅ Valid"",""❌ Invalid"")"),"✅ Valid")</f>
        <v>✅ Valid</v>
      </c>
      <c r="K595" s="13" t="s">
        <v>8462</v>
      </c>
      <c r="L595" s="2" t="str">
        <f>IFERROR(__xludf.DUMMYFUNCTION("IF(OR(K595=""N/A"", K595=""missing"", K595=""none""), """",
 REGEXREPLACE(
  SUBSTITUTE(SUBSTITUTE(SUBSTITUTE(TO_TEXT(K595), CHAR(160),""""), UNICHAR(8239),""""), UNICHAR(8201),""""),""[+\-/(): )]"", """"))"),"362308381x27")</f>
        <v>362308381x27</v>
      </c>
      <c r="M595" s="2" t="str">
        <f>IFERROR(__xludf.DUMMYFUNCTION("IF(L595="""","""", REGEXEXTRACT(REGEXREPLACE(L595,""x"", """"), ""[0-9]+""))"),"36230838127")</f>
        <v>36230838127</v>
      </c>
      <c r="N595" s="2" t="str">
        <f>IF(LEFT(M595,1)="1", RIGHT(M595,LEN(M595)-1),M595)</f>
        <v>36230838127</v>
      </c>
      <c r="O595" s="2" t="b">
        <f>IFERROR(__xludf.DUMMYFUNCTION("REGEXMATCH(TO_TEXT(N595), ""^[2-9][0-9]{9}$"")"),FALSE)</f>
        <v>0</v>
      </c>
      <c r="P595" s="2">
        <f t="shared" si="295"/>
        <v>11</v>
      </c>
      <c r="Q595" s="9" t="str">
        <f>IF(AND(O595=TRUE, P595=10), "✅ VALID", "❌ INVALID")</f>
        <v>❌ INVALID</v>
      </c>
      <c r="R595" s="10" t="s">
        <v>199</v>
      </c>
      <c r="S595" s="12">
        <v>45418.7375</v>
      </c>
      <c r="T595" s="2" t="str">
        <f>IFERROR(__xludf.DUMMYFUNCTION("IF(ISNUMBER(S595),TEXT(S595,""yyyy-MM-dd""),REGEXREPLACE(REGEXREPLACE(TO_TEXT(S595),""[^0-9a-zA-Z]+"",""-""),""[^0-9]*$"",""""))"),"2024-05-06")</f>
        <v>2024-05-06</v>
      </c>
      <c r="U595" s="2" t="s">
        <v>8463</v>
      </c>
      <c r="Y595" s="10" t="s">
        <v>8463</v>
      </c>
    </row>
    <row r="596" ht="15.75" customHeight="1">
      <c r="A596" s="2" t="s">
        <v>1872</v>
      </c>
      <c r="B596" s="9" t="s">
        <v>7597</v>
      </c>
      <c r="C596" s="2" t="s">
        <v>6601</v>
      </c>
      <c r="D596" s="10" t="s">
        <v>1260</v>
      </c>
      <c r="E596" s="2">
        <f>IFERROR(__xludf.DUMMYFUNCTION("IF(LEN(D596:D701),
  COUNTA(SPLIT(D596:D701,"" "")),
 """")"),2.0)</f>
        <v>2</v>
      </c>
      <c r="F596" s="9" t="str">
        <f t="shared" si="289"/>
        <v>✅</v>
      </c>
      <c r="G596" s="2" t="s">
        <v>1260</v>
      </c>
      <c r="H596" s="10" t="str">
        <f t="shared" si="290"/>
        <v>tara.johnson@outlook.com</v>
      </c>
      <c r="I596" s="2" t="s">
        <v>6602</v>
      </c>
      <c r="J596" s="9" t="str">
        <f>IFERROR(__xludf.DUMMYFUNCTION("IF(REGEXMATCH(TRIM(I596),""^[A-Za-z0-9._%+-]+@[A-Za-z0-9.-]+\.[A-Za-z]{2,}$""),""✅ Valid"",""❌ Invalid"")"),"✅ Valid")</f>
        <v>✅ Valid</v>
      </c>
      <c r="K596" s="13" t="s">
        <v>8464</v>
      </c>
      <c r="L596" s="2" t="str">
        <f>IFERROR(__xludf.DUMMYFUNCTION("IF(OR(K596=""N/A"", K596=""missing"", K596=""none""), """",
 REGEXREPLACE(
  SUBSTITUTE(SUBSTITUTE(SUBSTITUTE(TO_TEXT(K596), CHAR(160),""""), UNICHAR(8239),""""), UNICHAR(8201),""""),""[+\-/(): )]"", """"))"),"4273317624")</f>
        <v>4273317624</v>
      </c>
      <c r="M596" s="2" t="str">
        <f>IFERROR(__xludf.DUMMYFUNCTION("IF(L596="""","""", REGEXEXTRACT(REGEXREPLACE(L596,""x"", """"), ""[0-9]+""))"),"4273317624")</f>
        <v>4273317624</v>
      </c>
      <c r="N596" s="2" t="str">
        <f t="shared" ref="N596:N597" si="298">IF(LEFT(M596,2)="39", RIGHT(M596,LEN(M596)-2),M596)</f>
        <v>4273317624</v>
      </c>
      <c r="O596" s="2" t="b">
        <f>IFERROR(__xludf.DUMMYFUNCTION("REGEXMATCH(TO_TEXT(N596), ""^3"")"),FALSE)</f>
        <v>0</v>
      </c>
      <c r="P596" s="2">
        <f t="shared" si="295"/>
        <v>10</v>
      </c>
      <c r="Q596" s="9" t="str">
        <f t="shared" ref="Q596:Q597" si="299">IF(AND(O596=TRUE,OR(P596=9, P596=10 )), "✅ VALID", "❌ INVALID")</f>
        <v>❌ INVALID</v>
      </c>
      <c r="R596" s="10" t="s">
        <v>785</v>
      </c>
      <c r="S596" s="12">
        <v>45115.0</v>
      </c>
      <c r="T596" s="2" t="str">
        <f>IFERROR(__xludf.DUMMYFUNCTION("IF(ISNUMBER(S596),TEXT(S596,""yyyy-MM-dd""),REGEXREPLACE(REGEXREPLACE(TO_TEXT(S596),""[^0-9a-zA-Z]+"",""-""),""[^0-9]*$"",""""))"),"2023-07-08")</f>
        <v>2023-07-08</v>
      </c>
      <c r="U596" s="2" t="s">
        <v>8465</v>
      </c>
      <c r="Y596" s="10" t="s">
        <v>8465</v>
      </c>
    </row>
    <row r="597" ht="15.75" customHeight="1">
      <c r="A597" s="2" t="s">
        <v>476</v>
      </c>
      <c r="B597" s="9" t="s">
        <v>7597</v>
      </c>
      <c r="C597" s="2" t="s">
        <v>7103</v>
      </c>
      <c r="D597" s="10" t="str">
        <f>IFERROR(__xludf.DUMMYFUNCTION("PROPER(REGEXREPLACE(TRIM(C597),""\s+"","" ""))"),"Carlos Martinez")</f>
        <v>Carlos Martinez</v>
      </c>
      <c r="E597" s="2">
        <f>IFERROR(__xludf.DUMMYFUNCTION("IF(LEN(D597:D701),
  COUNTA(SPLIT(D597:D701,"" "")),
 """")"),2.0)</f>
        <v>2</v>
      </c>
      <c r="F597" s="9" t="str">
        <f t="shared" si="289"/>
        <v>✅</v>
      </c>
      <c r="G597" s="2" t="str">
        <f>IFERROR(__xludf.DUMMYFUNCTION("REGEXEXTRACT(PROPER(SUBSTITUTE(TRIM(I597),""."","" "")),""^[^@]+"")"),"Carlos Martinez")</f>
        <v>Carlos Martinez</v>
      </c>
      <c r="H597" s="10" t="str">
        <f t="shared" si="290"/>
        <v>carlos.martinez@company.co.uk</v>
      </c>
      <c r="I597" s="2" t="s">
        <v>7104</v>
      </c>
      <c r="J597" s="9" t="str">
        <f>IFERROR(__xludf.DUMMYFUNCTION("IF(REGEXMATCH(TRIM(I597),""^[A-Za-z0-9._%+-]+@[A-Za-z0-9.-]+\.[A-Za-z]{2,}$""),""✅ Valid"",""❌ Invalid"")"),"✅ Valid")</f>
        <v>✅ Valid</v>
      </c>
      <c r="K597" s="13" t="s">
        <v>8466</v>
      </c>
      <c r="L597" s="2" t="str">
        <f>IFERROR(__xludf.DUMMYFUNCTION("IF(OR(K597=""N/A"", K597=""missing"", K597=""none""), """",
 REGEXREPLACE(
  SUBSTITUTE(SUBSTITUTE(SUBSTITUTE(TO_TEXT(K597), CHAR(160),""""), UNICHAR(8239),""""), UNICHAR(8201),""""),""[+\-/(): )]"", """"))"),"39420638049")</f>
        <v>39420638049</v>
      </c>
      <c r="M597" s="2" t="str">
        <f>IFERROR(__xludf.DUMMYFUNCTION("IF(L597="""","""", REGEXEXTRACT(REGEXREPLACE(L597,""x"", """"), ""[0-9]+""))"),"39420638049")</f>
        <v>39420638049</v>
      </c>
      <c r="N597" s="2" t="str">
        <f t="shared" si="298"/>
        <v>420638049</v>
      </c>
      <c r="O597" s="2" t="b">
        <f>IFERROR(__xludf.DUMMYFUNCTION("REGEXMATCH(TO_TEXT(N597), ""^3"")"),FALSE)</f>
        <v>0</v>
      </c>
      <c r="P597" s="2">
        <f t="shared" si="295"/>
        <v>9</v>
      </c>
      <c r="Q597" s="9" t="str">
        <f t="shared" si="299"/>
        <v>❌ INVALID</v>
      </c>
      <c r="R597" s="10" t="s">
        <v>785</v>
      </c>
      <c r="S597" s="12">
        <v>45115.0</v>
      </c>
      <c r="T597" s="2" t="str">
        <f>IFERROR(__xludf.DUMMYFUNCTION("IF(ISNUMBER(S597),TEXT(S597,""yyyy-MM-dd""),REGEXREPLACE(REGEXREPLACE(TO_TEXT(S597),""[^0-9a-zA-Z]+"",""-""),""[^0-9]*$"",""""))"),"2023-07-08")</f>
        <v>2023-07-08</v>
      </c>
      <c r="U597" s="2" t="s">
        <v>8465</v>
      </c>
      <c r="Y597" s="10" t="s">
        <v>8465</v>
      </c>
    </row>
    <row r="598" ht="15.75" customHeight="1">
      <c r="A598" s="2" t="s">
        <v>3542</v>
      </c>
      <c r="B598" s="9" t="s">
        <v>7597</v>
      </c>
      <c r="C598" s="2" t="s">
        <v>1712</v>
      </c>
      <c r="D598" s="10" t="str">
        <f>IFERROR(__xludf.DUMMYFUNCTION("PROPER(REGEXREPLACE(TRIM(C598),""\s+"","" ""))"),"Gabe Smith")</f>
        <v>Gabe Smith</v>
      </c>
      <c r="E598" s="2">
        <f>IFERROR(__xludf.DUMMYFUNCTION("IF(LEN(D598:D701),
  COUNTA(SPLIT(D598:D701,"" "")),
 """")"),2.0)</f>
        <v>2</v>
      </c>
      <c r="F598" s="9" t="str">
        <f t="shared" si="289"/>
        <v>✅</v>
      </c>
      <c r="G598" s="2" t="str">
        <f>IFERROR(__xludf.DUMMYFUNCTION("REGEXEXTRACT(PROPER(SUBSTITUTE(TRIM(I598),""."","" "")),""^[^@]+"")"),"Gabe Smith")</f>
        <v>Gabe Smith</v>
      </c>
      <c r="H598" s="10" t="str">
        <f t="shared" si="290"/>
        <v>gabe.smith@company.co.uk</v>
      </c>
      <c r="I598" s="2" t="s">
        <v>1713</v>
      </c>
      <c r="J598" s="9" t="str">
        <f>IFERROR(__xludf.DUMMYFUNCTION("IF(REGEXMATCH(TRIM(I598),""^[A-Za-z0-9._%+-]+@[A-Za-z0-9.-]+\.[A-Za-z]{2,}$""),""✅ Valid"",""❌ Invalid"")"),"✅ Valid")</f>
        <v>✅ Valid</v>
      </c>
      <c r="K598" s="13" t="s">
        <v>8467</v>
      </c>
      <c r="L598" s="2" t="str">
        <f>IFERROR(__xludf.DUMMYFUNCTION("IF(OR(K598=""N/A"", K598=""missing"", K598=""none""), """",
 REGEXREPLACE(
  SUBSTITUTE(SUBSTITUTE(SUBSTITUTE(TO_TEXT(K598), CHAR(160),""""), UNICHAR(8239),""""), UNICHAR(8201),""""),""[+\-/(): )]"", """"))"),"45923x487")</f>
        <v>45923x487</v>
      </c>
      <c r="M598" s="2" t="str">
        <f>IFERROR(__xludf.DUMMYFUNCTION("IF(L598="""","""", REGEXEXTRACT(REGEXREPLACE(L598,""x"", """"), ""[0-9]+""))"),"45923487")</f>
        <v>45923487</v>
      </c>
      <c r="N598" s="2" t="str">
        <f>IF(LEFT(M598,2)="33", RIGHT(M598,LEN(M598)-2),M598)</f>
        <v>45923487</v>
      </c>
      <c r="O598" s="2" t="b">
        <f>IFERROR(__xludf.DUMMYFUNCTION("REGEXMATCH(TO_TEXT(N598), ""^0[67]"")"),FALSE)</f>
        <v>0</v>
      </c>
      <c r="P598" s="2">
        <f t="shared" si="295"/>
        <v>8</v>
      </c>
      <c r="Q598" s="9" t="str">
        <f t="shared" ref="Q598:Q602" si="300">IF(AND(O598=TRUE, P598=9), "✅ VALID", "❌ INVALID")</f>
        <v>❌ INVALID</v>
      </c>
      <c r="R598" s="10" t="s">
        <v>58</v>
      </c>
      <c r="S598" s="12">
        <v>45343.0</v>
      </c>
      <c r="T598" s="2" t="str">
        <f>IFERROR(__xludf.DUMMYFUNCTION("IF(ISNUMBER(S598),TEXT(S598,""yyyy-MM-dd""),REGEXREPLACE(REGEXREPLACE(TO_TEXT(S598),""[^0-9a-zA-Z]+"",""-""),""[^0-9]*$"",""""))"),"2024-02-21")</f>
        <v>2024-02-21</v>
      </c>
      <c r="U598" s="2" t="s">
        <v>7423</v>
      </c>
      <c r="Y598" s="10" t="s">
        <v>7423</v>
      </c>
    </row>
    <row r="599" ht="15.75" customHeight="1">
      <c r="A599" s="2" t="s">
        <v>3649</v>
      </c>
      <c r="B599" s="9" t="s">
        <v>7597</v>
      </c>
      <c r="C599" s="2" t="s">
        <v>3425</v>
      </c>
      <c r="D599" s="10" t="s">
        <v>331</v>
      </c>
      <c r="E599" s="2">
        <f>IFERROR(__xludf.DUMMYFUNCTION("IF(LEN(D599:D701),
  COUNTA(SPLIT(D599:D701,"" "")),
 """")"),2.0)</f>
        <v>2</v>
      </c>
      <c r="F599" s="9" t="str">
        <f t="shared" si="289"/>
        <v>✅</v>
      </c>
      <c r="G599" s="2" t="s">
        <v>331</v>
      </c>
      <c r="H599" s="10" t="str">
        <f t="shared" si="290"/>
        <v>marek.smith@shpo.io</v>
      </c>
      <c r="I599" s="2" t="s">
        <v>3426</v>
      </c>
      <c r="J599" s="9" t="str">
        <f>IFERROR(__xludf.DUMMYFUNCTION("IF(REGEXMATCH(TRIM(I599),""^[A-Za-z0-9._%+-]+@[A-Za-z0-9.-]+\.[A-Za-z]{2,}$""),""✅ Valid"",""❌ Invalid"")"),"✅ Valid")</f>
        <v>✅ Valid</v>
      </c>
      <c r="K599" s="17" t="s">
        <v>8468</v>
      </c>
      <c r="L599" s="2" t="str">
        <f>IFERROR(__xludf.DUMMYFUNCTION("IF(K599=""N/A"", """",
 REGEXREPLACE(
  SUBSTITUTE(SUBSTITUTE(SUBSTITUTE(TO_TEXT(K599), CHAR(160),""""), UNICHAR(8239),""""), UNICHAR(8201),""""),""[+\-/(): )]"", """"))"),"2491247422")</f>
        <v>2491247422</v>
      </c>
      <c r="M599" s="2" t="str">
        <f>IFERROR(__xludf.DUMMYFUNCTION("IF(L599="""","""", REGEXEXTRACT(REGEXREPLACE(L599,""x"", """"), ""[0-9]+""))"),"2491247422")</f>
        <v>2491247422</v>
      </c>
      <c r="N599" s="2" t="str">
        <f>IF(LEFT(M599,2)="48", RIGHT(M599,LEN(M599)-2),M599)</f>
        <v>2491247422</v>
      </c>
      <c r="O599" s="2" t="b">
        <f>IFERROR(__xludf.DUMMYFUNCTION("REGEXMATCH(TO_TEXT(N599), ""^(5[013679]|6[069]|7[2-9]|88)"")"),FALSE)</f>
        <v>0</v>
      </c>
      <c r="Q599" s="9" t="str">
        <f t="shared" si="300"/>
        <v>❌ INVALID</v>
      </c>
      <c r="R599" s="10" t="s">
        <v>25</v>
      </c>
      <c r="S599" s="12" t="s">
        <v>6604</v>
      </c>
      <c r="T599" s="2" t="str">
        <f>IFERROR(__xludf.DUMMYFUNCTION("IF(ISNUMBER(S599),TEXT(S599,""yyyy-MM-dd""),REGEXREPLACE(REGEXREPLACE(TO_TEXT(S599),""[^0-9a-zA-Z]+"",""-""),""[^0-9]*$"",""""))"),"23-12-2022-03-52")</f>
        <v>23-12-2022-03-52</v>
      </c>
      <c r="U599" s="2" t="str">
        <f>TEXT(T599,"yyyy-MM-dd")</f>
        <v>23-12-2022-03-52</v>
      </c>
      <c r="V599" s="2" t="str">
        <f>IFERROR(__xludf.DUMMYFUNCTION("REGEXEXTRACT(U599,""^\d{2}-\d{2}-\d{4}"")"),"23-12-2022")</f>
        <v>23-12-2022</v>
      </c>
      <c r="W599" s="2" t="s">
        <v>8469</v>
      </c>
      <c r="Y599" s="10" t="s">
        <v>8469</v>
      </c>
    </row>
    <row r="600" ht="15.75" customHeight="1">
      <c r="A600" s="2" t="s">
        <v>1224</v>
      </c>
      <c r="B600" s="9" t="s">
        <v>7597</v>
      </c>
      <c r="C600" s="2" t="s">
        <v>936</v>
      </c>
      <c r="D600" s="10" t="s">
        <v>8470</v>
      </c>
      <c r="E600" s="2">
        <f>IFERROR(__xludf.DUMMYFUNCTION("IF(LEN(D600:D701),
  COUNTA(SPLIT(D600:D701,"" "")),
 """")"),2.0)</f>
        <v>2</v>
      </c>
      <c r="F600" s="9" t="str">
        <f t="shared" si="289"/>
        <v>✅</v>
      </c>
      <c r="G600" s="2" t="s">
        <v>8470</v>
      </c>
      <c r="H600" s="10" t="str">
        <f t="shared" si="290"/>
        <v>gabe.williams@outlook.com</v>
      </c>
      <c r="I600" s="2" t="s">
        <v>937</v>
      </c>
      <c r="J600" s="9" t="str">
        <f>IFERROR(__xludf.DUMMYFUNCTION("IF(REGEXMATCH(TRIM(I600),""^[A-Za-z0-9._%+-]+@[A-Za-z0-9.-]+\.[A-Za-z]{2,}$""),""✅ Valid"",""❌ Invalid"")"),"✅ Valid")</f>
        <v>✅ Valid</v>
      </c>
      <c r="K600" s="13" t="s">
        <v>8471</v>
      </c>
      <c r="L600" s="2" t="str">
        <f>IFERROR(__xludf.DUMMYFUNCTION("IF(OR(K600=""N/A"", K600=""missing"", K600=""none""), """",
 REGEXREPLACE(
  SUBSTITUTE(SUBSTITUTE(SUBSTITUTE(TO_TEXT(K600), CHAR(160),""""), UNICHAR(8239),""""), UNICHAR(8201),""""),""[+\-/(): )]"", """"))"),"3423531518")</f>
        <v>3423531518</v>
      </c>
      <c r="M600" s="2" t="str">
        <f>IFERROR(__xludf.DUMMYFUNCTION("IF(L600="""","""", REGEXEXTRACT(REGEXREPLACE(L600,""x"", """"), ""[0-9]+""))"),"3423531518")</f>
        <v>3423531518</v>
      </c>
      <c r="N600" s="2" t="str">
        <f>IF(LEFT(M600,2)="34", RIGHT(M600,LEN(M600)-2),M600)</f>
        <v>23531518</v>
      </c>
      <c r="O600" s="2" t="b">
        <f>IFERROR(__xludf.DUMMYFUNCTION("REGEXMATCH(TO_TEXT(N600), ""^[67]"")"),FALSE)</f>
        <v>0</v>
      </c>
      <c r="P600" s="2">
        <f t="shared" ref="P600:P606" si="301">LEN(N600)</f>
        <v>8</v>
      </c>
      <c r="Q600" s="9" t="str">
        <f t="shared" si="300"/>
        <v>❌ INVALID</v>
      </c>
      <c r="R600" s="10" t="s">
        <v>139</v>
      </c>
      <c r="S600" s="12">
        <v>45445.0</v>
      </c>
      <c r="T600" s="2" t="str">
        <f>IFERROR(__xludf.DUMMYFUNCTION("IF(ISNUMBER(S600),TEXT(S600,""yyyy-MM-dd""),REGEXREPLACE(REGEXREPLACE(TO_TEXT(S600),""[^0-9a-zA-Z]+"",""-""),""[^0-9]*$"",""""))"),"2024-06-02")</f>
        <v>2024-06-02</v>
      </c>
      <c r="U600" s="2" t="s">
        <v>8472</v>
      </c>
      <c r="Y600" s="10" t="s">
        <v>8472</v>
      </c>
    </row>
    <row r="601" ht="15.75" customHeight="1">
      <c r="A601" s="2" t="s">
        <v>330</v>
      </c>
      <c r="B601" s="9" t="s">
        <v>7597</v>
      </c>
      <c r="C601" s="2" t="s">
        <v>6457</v>
      </c>
      <c r="D601" s="10" t="str">
        <f>IFERROR(__xludf.DUMMYFUNCTION("PROPER(REGEXREPLACE(TRIM(C601),""\s+"","" ""))"),"Omar Davis")</f>
        <v>Omar Davis</v>
      </c>
      <c r="E601" s="2">
        <f>IFERROR(__xludf.DUMMYFUNCTION("IF(LEN(D601:D701),
  COUNTA(SPLIT(D601:D701,"" "")),
 """")"),2.0)</f>
        <v>2</v>
      </c>
      <c r="F601" s="9" t="str">
        <f t="shared" si="289"/>
        <v>✅</v>
      </c>
      <c r="G601" s="2" t="str">
        <f>IFERROR(__xludf.DUMMYFUNCTION("REGEXEXTRACT(PROPER(SUBSTITUTE(TRIM(I601),""."","" "")),""^[^@]+"")"),"Omar Davis")</f>
        <v>Omar Davis</v>
      </c>
      <c r="H601" s="10" t="str">
        <f t="shared" si="290"/>
        <v>omar.davis@company.co.uk</v>
      </c>
      <c r="I601" s="2" t="s">
        <v>6458</v>
      </c>
      <c r="J601" s="9" t="str">
        <f>IFERROR(__xludf.DUMMYFUNCTION("IF(REGEXMATCH(TRIM(I601),""^[A-Za-z0-9._%+-]+@[A-Za-z0-9.-]+\.[A-Za-z]{2,}$""),""✅ Valid"",""❌ Invalid"")"),"✅ Valid")</f>
        <v>✅ Valid</v>
      </c>
      <c r="K601" s="13" t="s">
        <v>8473</v>
      </c>
      <c r="L601" s="2" t="str">
        <f>IFERROR(__xludf.DUMMYFUNCTION("IF(OR(K601=""N/A"", K601=""missing"", K601=""none""), """",
 REGEXREPLACE(
  SUBSTITUTE(SUBSTITUTE(SUBSTITUTE(TO_TEXT(K601), CHAR(160),""""), UNICHAR(8239),""""), UNICHAR(8201),""""),""[+\-/(): )]"", """"))"),"3360080246")</f>
        <v>3360080246</v>
      </c>
      <c r="M601" s="2" t="str">
        <f>IFERROR(__xludf.DUMMYFUNCTION("IF(L601="""","""", REGEXEXTRACT(REGEXREPLACE(L601,""x"", """"), ""[0-9]+""))"),"3360080246")</f>
        <v>3360080246</v>
      </c>
      <c r="N601" s="2" t="str">
        <f>IF(LEFT(M601,2)="33", RIGHT(M601,LEN(M601)-2),M601)</f>
        <v>60080246</v>
      </c>
      <c r="O601" s="2" t="b">
        <f>IFERROR(__xludf.DUMMYFUNCTION("REGEXMATCH(TO_TEXT(N601), ""^0[67]"")"),FALSE)</f>
        <v>0</v>
      </c>
      <c r="P601" s="2">
        <f t="shared" si="301"/>
        <v>8</v>
      </c>
      <c r="Q601" s="9" t="str">
        <f t="shared" si="300"/>
        <v>❌ INVALID</v>
      </c>
      <c r="R601" s="10" t="s">
        <v>58</v>
      </c>
      <c r="S601" s="12">
        <v>44833.0</v>
      </c>
      <c r="T601" s="2" t="str">
        <f>IFERROR(__xludf.DUMMYFUNCTION("IF(ISNUMBER(S601),TEXT(S601,""yyyy-MM-dd""),REGEXREPLACE(REGEXREPLACE(TO_TEXT(S601),""[^0-9a-zA-Z]+"",""-""),""[^0-9]*$"",""""))"),"2022-09-29")</f>
        <v>2022-09-29</v>
      </c>
      <c r="U601" s="2" t="s">
        <v>8474</v>
      </c>
      <c r="Y601" s="10" t="s">
        <v>8474</v>
      </c>
    </row>
    <row r="602" ht="15.75" customHeight="1">
      <c r="A602" s="2" t="s">
        <v>6139</v>
      </c>
      <c r="B602" s="9" t="s">
        <v>7597</v>
      </c>
      <c r="C602" s="2" t="s">
        <v>4825</v>
      </c>
      <c r="D602" s="10" t="str">
        <f>IFERROR(__xludf.DUMMYFUNCTION("PROPER(REGEXREPLACE(TRIM(C602),""\s+"","" ""))"),"Igor Rodriguez")</f>
        <v>Igor Rodriguez</v>
      </c>
      <c r="E602" s="2">
        <f>IFERROR(__xludf.DUMMYFUNCTION("IF(LEN(D602:D701),
  COUNTA(SPLIT(D602:D701,"" "")),
 """")"),2.0)</f>
        <v>2</v>
      </c>
      <c r="F602" s="9" t="str">
        <f t="shared" si="289"/>
        <v>✅</v>
      </c>
      <c r="G602" s="2" t="str">
        <f>IFERROR(__xludf.DUMMYFUNCTION("REGEXEXTRACT(PROPER(SUBSTITUTE(TRIM(I602),""."","" "")),""^[^@]+"")"),"Igor Rodriguez")</f>
        <v>Igor Rodriguez</v>
      </c>
      <c r="H602" s="10" t="str">
        <f t="shared" si="290"/>
        <v>igor.rodriguez@outlook.com</v>
      </c>
      <c r="I602" s="2" t="s">
        <v>4826</v>
      </c>
      <c r="J602" s="9" t="str">
        <f>IFERROR(__xludf.DUMMYFUNCTION("IF(REGEXMATCH(TRIM(I602),""^[A-Za-z0-9._%+-]+@[A-Za-z0-9.-]+\.[A-Za-z]{2,}$""),""✅ Valid"",""❌ Invalid"")"),"✅ Valid")</f>
        <v>✅ Valid</v>
      </c>
      <c r="K602" s="13" t="s">
        <v>8475</v>
      </c>
      <c r="L602" s="2" t="str">
        <f>IFERROR(__xludf.DUMMYFUNCTION("IF(OR(K602=""N/A"", K602=""missing"", K602=""none""), """",
 REGEXREPLACE(
  SUBSTITUTE(SUBSTITUTE(SUBSTITUTE(TO_TEXT(K602), CHAR(160),""""), UNICHAR(8239),""""), UNICHAR(8201),""""),""[+\-/(): )]"", """"))"),"34102701216")</f>
        <v>34102701216</v>
      </c>
      <c r="M602" s="2" t="str">
        <f>IFERROR(__xludf.DUMMYFUNCTION("IF(L602="""","""", REGEXEXTRACT(REGEXREPLACE(L602,""x"", """"), ""[0-9]+""))"),"34102701216")</f>
        <v>34102701216</v>
      </c>
      <c r="N602" s="2" t="str">
        <f>IF(LEFT(M602,2)="34", RIGHT(M602,LEN(M602)-2),M602)</f>
        <v>102701216</v>
      </c>
      <c r="O602" s="2" t="b">
        <f>IFERROR(__xludf.DUMMYFUNCTION("REGEXMATCH(TO_TEXT(N602), ""^[67]"")"),FALSE)</f>
        <v>0</v>
      </c>
      <c r="P602" s="2">
        <f t="shared" si="301"/>
        <v>9</v>
      </c>
      <c r="Q602" s="9" t="str">
        <f t="shared" si="300"/>
        <v>❌ INVALID</v>
      </c>
      <c r="R602" s="10" t="s">
        <v>139</v>
      </c>
      <c r="S602" s="12">
        <v>45286.0</v>
      </c>
      <c r="T602" s="2" t="str">
        <f>IFERROR(__xludf.DUMMYFUNCTION("IF(ISNUMBER(S602),TEXT(S602,""yyyy-MM-dd""),REGEXREPLACE(REGEXREPLACE(TO_TEXT(S602),""[^0-9a-zA-Z]+"",""-""),""[^0-9]*$"",""""))"),"2023-12-26")</f>
        <v>2023-12-26</v>
      </c>
      <c r="U602" s="2" t="s">
        <v>8476</v>
      </c>
      <c r="Y602" s="10" t="s">
        <v>8476</v>
      </c>
    </row>
    <row r="603" ht="15.75" customHeight="1">
      <c r="A603" s="2" t="s">
        <v>2215</v>
      </c>
      <c r="B603" s="9" t="s">
        <v>7597</v>
      </c>
      <c r="C603" s="2" t="s">
        <v>5921</v>
      </c>
      <c r="D603" s="10" t="str">
        <f>IFERROR(__xludf.DUMMYFUNCTION("PROPER(REGEXREPLACE(TRIM(C603),""\s+"","" ""))"),"Wiktor Lopez")</f>
        <v>Wiktor Lopez</v>
      </c>
      <c r="E603" s="2">
        <f>IFERROR(__xludf.DUMMYFUNCTION("IF(LEN(D603:D701),
  COUNTA(SPLIT(D603:D701,"" "")),
 """")"),2.0)</f>
        <v>2</v>
      </c>
      <c r="F603" s="9" t="str">
        <f t="shared" si="289"/>
        <v>✅</v>
      </c>
      <c r="G603" s="2" t="str">
        <f>IFERROR(__xludf.DUMMYFUNCTION("REGEXEXTRACT(PROPER(SUBSTITUTE(TRIM(I603),""."","" "")),""^[^@]+"")"),"Wiktor Lopez")</f>
        <v>Wiktor Lopez</v>
      </c>
      <c r="H603" s="10" t="str">
        <f t="shared" si="290"/>
        <v>wiktor.lopez@gmail.com</v>
      </c>
      <c r="I603" s="2" t="s">
        <v>5922</v>
      </c>
      <c r="J603" s="9" t="str">
        <f>IFERROR(__xludf.DUMMYFUNCTION("IF(REGEXMATCH(TRIM(I603),""^[A-Za-z0-9._%+-]+@[A-Za-z0-9.-]+\.[A-Za-z]{2,}$""),""✅ Valid"",""❌ Invalid"")"),"✅ Valid")</f>
        <v>✅ Valid</v>
      </c>
      <c r="K603" s="13" t="s">
        <v>8477</v>
      </c>
      <c r="L603" s="2" t="str">
        <f>IFERROR(__xludf.DUMMYFUNCTION("IF(OR(K603=""N/A"", K603=""missing"", K603=""none""), """",
 REGEXREPLACE(
  SUBSTITUTE(SUBSTITUTE(SUBSTITUTE(TO_TEXT(K603), CHAR(160),""""), UNICHAR(8239),""""), UNICHAR(8201),""""),""[+\-/(): )]"", """"))"),"1642485861")</f>
        <v>1642485861</v>
      </c>
      <c r="M603" s="2" t="str">
        <f>IFERROR(__xludf.DUMMYFUNCTION("IF(L603="""","""", REGEXEXTRACT(REGEXREPLACE(L603,""x"", """"), ""[0-9]+""))"),"1642485861")</f>
        <v>1642485861</v>
      </c>
      <c r="N603" s="2" t="str">
        <f>IF(LEFT(M603,1)="1", RIGHT(M603,LEN(M603)-1),M603)</f>
        <v>642485861</v>
      </c>
      <c r="O603" s="2" t="b">
        <f>IFERROR(__xludf.DUMMYFUNCTION("REGEXMATCH(TO_TEXT(N603), ""^[2-9][0-9]{9}$"")"),FALSE)</f>
        <v>0</v>
      </c>
      <c r="P603" s="2">
        <f t="shared" si="301"/>
        <v>9</v>
      </c>
      <c r="Q603" s="9" t="str">
        <f>IF(AND(O603=TRUE, P603=10), "✅ VALID", "❌ INVALID")</f>
        <v>❌ INVALID</v>
      </c>
      <c r="R603" s="10" t="s">
        <v>199</v>
      </c>
      <c r="S603" s="12">
        <v>45616.0</v>
      </c>
      <c r="T603" s="2" t="str">
        <f>IFERROR(__xludf.DUMMYFUNCTION("IF(ISNUMBER(S603),TEXT(S603,""yyyy-MM-dd""),REGEXREPLACE(REGEXREPLACE(TO_TEXT(S603),""[^0-9a-zA-Z]+"",""-""),""[^0-9]*$"",""""))"),"2024-11-20")</f>
        <v>2024-11-20</v>
      </c>
      <c r="U603" s="2" t="s">
        <v>7412</v>
      </c>
      <c r="Y603" s="10" t="s">
        <v>7412</v>
      </c>
    </row>
    <row r="604" ht="15.75" customHeight="1">
      <c r="A604" s="2" t="s">
        <v>2476</v>
      </c>
      <c r="B604" s="9" t="s">
        <v>7597</v>
      </c>
      <c r="C604" s="2" t="s">
        <v>509</v>
      </c>
      <c r="D604" s="10" t="str">
        <f>IFERROR(__xludf.DUMMYFUNCTION("PROPER(REGEXREPLACE(TRIM(C604),""\s+"","" ""))"),"Omar Nowak")</f>
        <v>Omar Nowak</v>
      </c>
      <c r="E604" s="2">
        <f>IFERROR(__xludf.DUMMYFUNCTION("IF(LEN(D604:D701),
  COUNTA(SPLIT(D604:D701,"" "")),
 """")"),2.0)</f>
        <v>2</v>
      </c>
      <c r="F604" s="9" t="str">
        <f t="shared" si="289"/>
        <v>✅</v>
      </c>
      <c r="G604" s="2" t="str">
        <f>IFERROR(__xludf.DUMMYFUNCTION("REGEXEXTRACT(PROPER(SUBSTITUTE(TRIM(I604),""."","" "")),""^[^@]+"")"),"Omar Nowak")</f>
        <v>Omar Nowak</v>
      </c>
      <c r="H604" s="10" t="str">
        <f t="shared" si="290"/>
        <v>omar.nowak@yahoo.com</v>
      </c>
      <c r="I604" s="2" t="s">
        <v>510</v>
      </c>
      <c r="J604" s="9" t="str">
        <f>IFERROR(__xludf.DUMMYFUNCTION("IF(REGEXMATCH(TRIM(I604),""^[A-Za-z0-9._%+-]+@[A-Za-z0-9.-]+\.[A-Za-z]{2,}$""),""✅ Valid"",""❌ Invalid"")"),"✅ Valid")</f>
        <v>✅ Valid</v>
      </c>
      <c r="K604" s="11">
        <v>4.488740291955E12</v>
      </c>
      <c r="L604" s="2" t="str">
        <f>IFERROR(__xludf.DUMMYFUNCTION("IF(OR(K604=""N/A"", K604=""missing"", K604=""none""), """",
 REGEXREPLACE(
  SUBSTITUTE(SUBSTITUTE(SUBSTITUTE(TO_TEXT(K604), CHAR(160),""""), UNICHAR(8239),""""), UNICHAR(8201),""""),""[+\-/(): )]"", """"))"),"4488740291955")</f>
        <v>4488740291955</v>
      </c>
      <c r="M604" s="2" t="str">
        <f>IFERROR(__xludf.DUMMYFUNCTION("IF(L604="""","""", REGEXEXTRACT(REGEXREPLACE(L604,""x"", """"), ""[0-9]+""))"),"4488740291955")</f>
        <v>4488740291955</v>
      </c>
      <c r="N604" s="2" t="str">
        <f>IF(LEFT(M604,2)="44", RIGHT(M604,LEN(M604)-2),M604)</f>
        <v>88740291955</v>
      </c>
      <c r="O604" s="2" t="b">
        <f>IFERROR(__xludf.DUMMYFUNCTION("REGEXMATCH(TO_TEXT(N604), ""^07[1-57-9]"")"),FALSE)</f>
        <v>0</v>
      </c>
      <c r="P604" s="2">
        <f t="shared" si="301"/>
        <v>11</v>
      </c>
      <c r="Q604" s="9" t="str">
        <f>IF(AND(O604=TRUE, P604=11), "✅ VALID", "❌ INVALID")</f>
        <v>❌ INVALID</v>
      </c>
      <c r="R604" s="10" t="s">
        <v>114</v>
      </c>
      <c r="S604" s="12">
        <v>44569.0</v>
      </c>
      <c r="T604" s="2" t="str">
        <f>IFERROR(__xludf.DUMMYFUNCTION("IF(ISNUMBER(S604),TEXT(S604,""yyyy-MM-dd""),REGEXREPLACE(REGEXREPLACE(TO_TEXT(S604),""[^0-9a-zA-Z]+"",""-""),""[^0-9]*$"",""""))"),"2022-01-08")</f>
        <v>2022-01-08</v>
      </c>
      <c r="U604" s="2" t="s">
        <v>8478</v>
      </c>
      <c r="Y604" s="10" t="s">
        <v>8478</v>
      </c>
    </row>
    <row r="605" ht="15.75" customHeight="1">
      <c r="A605" s="2" t="s">
        <v>5527</v>
      </c>
      <c r="B605" s="9" t="s">
        <v>7597</v>
      </c>
      <c r="C605" s="2" t="s">
        <v>2851</v>
      </c>
      <c r="D605" s="10" t="str">
        <f>IFERROR(__xludf.DUMMYFUNCTION("PROPER(REGEXREPLACE(TRIM(C605),""\s+"","" ""))"),"Rita Walker")</f>
        <v>Rita Walker</v>
      </c>
      <c r="E605" s="2">
        <f>IFERROR(__xludf.DUMMYFUNCTION("IF(LEN(D605:D701),
  COUNTA(SPLIT(D605:D701,"" "")),
 """")"),2.0)</f>
        <v>2</v>
      </c>
      <c r="F605" s="9" t="str">
        <f t="shared" si="289"/>
        <v>❌</v>
      </c>
      <c r="G605" s="2" t="s">
        <v>8479</v>
      </c>
      <c r="H605" s="10" t="str">
        <f t="shared" si="290"/>
        <v>rita.walekr@example.com</v>
      </c>
      <c r="I605" s="2" t="s">
        <v>2852</v>
      </c>
      <c r="J605" s="9" t="str">
        <f>IFERROR(__xludf.DUMMYFUNCTION("IF(REGEXMATCH(TRIM(I605),""^[A-Za-z0-9._%+-]+@[A-Za-z0-9.-]+\.[A-Za-z]{2,}$""),""✅ Valid"",""❌ Invalid"")"),"✅ Valid")</f>
        <v>✅ Valid</v>
      </c>
      <c r="K605" s="13" t="s">
        <v>8480</v>
      </c>
      <c r="L605" s="2" t="str">
        <f>IFERROR(__xludf.DUMMYFUNCTION("IF(OR(K605=""N/A"", K605=""missing"", K605=""none""), """",
 REGEXREPLACE(
  SUBSTITUTE(SUBSTITUTE(SUBSTITUTE(TO_TEXT(K605), CHAR(160),""""), UNICHAR(8239),""""), UNICHAR(8201),""""),""[+\-/(): )]"", """"))"),"79775138600")</f>
        <v>79775138600</v>
      </c>
      <c r="M605" s="2" t="str">
        <f>IFERROR(__xludf.DUMMYFUNCTION("IF(L605="""","""", REGEXEXTRACT(REGEXREPLACE(L605,""x"", """"), ""[0-9]+""))"),"79775138600")</f>
        <v>79775138600</v>
      </c>
      <c r="N605" s="2" t="str">
        <f t="shared" ref="N605:N606" si="302">IF(LEFT(M605,2)="49", RIGHT(M605,LEN(M605)-2),M605)</f>
        <v>79775138600</v>
      </c>
      <c r="O605" s="2" t="b">
        <f>IFERROR(__xludf.DUMMYFUNCTION("REGEXMATCH(TO_TEXT(N605), ""^0(15|16|17)"")"),FALSE)</f>
        <v>0</v>
      </c>
      <c r="P605" s="2">
        <f t="shared" si="301"/>
        <v>11</v>
      </c>
      <c r="Q605" s="9" t="str">
        <f t="shared" ref="Q605:Q606" si="303">IF(AND(O605=TRUE,OR(P605=10, P605=11)), "✅ VALID", "❌ INVALID")</f>
        <v>❌ INVALID</v>
      </c>
      <c r="R605" s="10" t="s">
        <v>459</v>
      </c>
      <c r="S605" s="12">
        <v>45246.0</v>
      </c>
      <c r="T605" s="2" t="str">
        <f>IFERROR(__xludf.DUMMYFUNCTION("IF(ISNUMBER(S605),TEXT(S605,""yyyy-MM-dd""),REGEXREPLACE(REGEXREPLACE(TO_TEXT(S605),""[^0-9a-zA-Z]+"",""-""),""[^0-9]*$"",""""))"),"2023-11-16")</f>
        <v>2023-11-16</v>
      </c>
      <c r="U605" s="2" t="s">
        <v>8481</v>
      </c>
      <c r="Y605" s="10" t="s">
        <v>8481</v>
      </c>
    </row>
    <row r="606" ht="15.75" customHeight="1">
      <c r="A606" s="2" t="s">
        <v>1315</v>
      </c>
      <c r="B606" s="9" t="s">
        <v>7597</v>
      </c>
      <c r="C606" s="2" t="s">
        <v>2108</v>
      </c>
      <c r="D606" s="10" t="str">
        <f>IFERROR(__xludf.DUMMYFUNCTION("PROPER(REGEXREPLACE(TRIM(C606),""\s+"","" ""))"),"Gabe Davis")</f>
        <v>Gabe Davis</v>
      </c>
      <c r="E606" s="2">
        <f>IFERROR(__xludf.DUMMYFUNCTION("IF(LEN(D606:D701),
  COUNTA(SPLIT(D606:D701,"" "")),
 """")"),2.0)</f>
        <v>2</v>
      </c>
      <c r="F606" s="9" t="str">
        <f t="shared" si="289"/>
        <v>✅</v>
      </c>
      <c r="G606" s="2" t="str">
        <f>IFERROR(__xludf.DUMMYFUNCTION("REGEXEXTRACT(PROPER(SUBSTITUTE(TRIM(I606),""."","" "")),""^[^@]+"")"),"Gabe Davis")</f>
        <v>Gabe Davis</v>
      </c>
      <c r="H606" s="10" t="str">
        <f t="shared" si="290"/>
        <v>gabe.davis@gmail.com</v>
      </c>
      <c r="I606" s="2" t="s">
        <v>7218</v>
      </c>
      <c r="J606" s="9" t="str">
        <f>IFERROR(__xludf.DUMMYFUNCTION("IF(REGEXMATCH(TRIM(I606),""^[A-Za-z0-9._%+-]+@[A-Za-z0-9.-]+\.[A-Za-z]{2,}$""),""✅ Valid"",""❌ Invalid"")"),"✅ Valid")</f>
        <v>✅ Valid</v>
      </c>
      <c r="K606" s="13" t="s">
        <v>8482</v>
      </c>
      <c r="L606" s="2" t="str">
        <f>IFERROR(__xludf.DUMMYFUNCTION("IF(OR(K606=""N/A"", K606=""missing"", K606=""none""), """",
 REGEXREPLACE(
  SUBSTITUTE(SUBSTITUTE(SUBSTITUTE(TO_TEXT(K606), CHAR(160),""""), UNICHAR(8239),""""), UNICHAR(8201),""""),""[+\-/(): )]"", """"))"),"496962588155ext680")</f>
        <v>496962588155ext680</v>
      </c>
      <c r="M606" s="2" t="str">
        <f>IFERROR(__xludf.DUMMYFUNCTION("IF(L606="""","""", REGEXEXTRACT(REGEXREPLACE(L606,""x"", """"), ""[0-9]+""))"),"496962588155")</f>
        <v>496962588155</v>
      </c>
      <c r="N606" s="2" t="str">
        <f t="shared" si="302"/>
        <v>6962588155</v>
      </c>
      <c r="O606" s="2" t="b">
        <f>IFERROR(__xludf.DUMMYFUNCTION("REGEXMATCH(TO_TEXT(N606), ""^0(15|16|17)"")"),FALSE)</f>
        <v>0</v>
      </c>
      <c r="P606" s="2">
        <f t="shared" si="301"/>
        <v>10</v>
      </c>
      <c r="Q606" s="9" t="str">
        <f t="shared" si="303"/>
        <v>❌ INVALID</v>
      </c>
      <c r="R606" s="10" t="s">
        <v>459</v>
      </c>
      <c r="S606" s="12">
        <v>45761.0</v>
      </c>
      <c r="T606" s="2" t="str">
        <f>IFERROR(__xludf.DUMMYFUNCTION("IF(ISNUMBER(S606),TEXT(S606,""yyyy-MM-dd""),REGEXREPLACE(REGEXREPLACE(TO_TEXT(S606),""[^0-9a-zA-Z]+"",""-""),""[^0-9]*$"",""""))"),"2025-04-14")</f>
        <v>2025-04-14</v>
      </c>
      <c r="U606" s="2" t="s">
        <v>8483</v>
      </c>
      <c r="Y606" s="10" t="s">
        <v>8483</v>
      </c>
    </row>
    <row r="607" ht="15.75" hidden="1" customHeight="1">
      <c r="A607" s="2" t="s">
        <v>6794</v>
      </c>
      <c r="B607" s="9" t="s">
        <v>7597</v>
      </c>
      <c r="C607" s="2" t="s">
        <v>1820</v>
      </c>
      <c r="D607" s="2" t="str">
        <f>IFERROR(__xludf.DUMMYFUNCTION("PROPER(REGEXREPLACE(TRIM(C607),""\s+"","" ""))"),"Wiktor Smith")</f>
        <v>Wiktor Smith</v>
      </c>
      <c r="E607" s="2">
        <f>IFERROR(__xludf.DUMMYFUNCTION("IF(LEN(D607:D701),
  COUNTA(SPLIT(D607:D701,"" "")),
 """")"),2.0)</f>
        <v>2</v>
      </c>
      <c r="K607" s="2" t="s">
        <v>511</v>
      </c>
      <c r="R607" s="10" t="s">
        <v>114</v>
      </c>
      <c r="S607" s="2" t="s">
        <v>7236</v>
      </c>
    </row>
    <row r="608" ht="15.75" customHeight="1">
      <c r="A608" s="2" t="s">
        <v>2040</v>
      </c>
      <c r="B608" s="9" t="s">
        <v>7597</v>
      </c>
      <c r="C608" s="2" t="s">
        <v>148</v>
      </c>
      <c r="D608" s="10" t="str">
        <f>IFERROR(__xludf.DUMMYFUNCTION("PROPER(REGEXREPLACE(TRIM(C608),""\s+"","" ""))"),"Hanna Kowalski")</f>
        <v>Hanna Kowalski</v>
      </c>
      <c r="E608" s="2">
        <f>IFERROR(__xludf.DUMMYFUNCTION("IF(LEN(D608:D701),
  COUNTA(SPLIT(D608:D701,"" "")),
 """")"),2.0)</f>
        <v>2</v>
      </c>
      <c r="F608" s="9" t="str">
        <f t="shared" ref="F608:F625" si="304">IF(D608=G608,"✅","❌")</f>
        <v>✅</v>
      </c>
      <c r="G608" s="2" t="str">
        <f>IFERROR(__xludf.DUMMYFUNCTION("REGEXEXTRACT(PROPER(SUBSTITUTE(TRIM(I608),""."","" "")),""^[^@]+"")"),"Hanna Kowalski")</f>
        <v>Hanna Kowalski</v>
      </c>
      <c r="H608" s="10" t="str">
        <f t="shared" ref="H608:H625" si="305">LOWER(TRIM(I608))</f>
        <v>hanna.kowalski@yahoo.com</v>
      </c>
      <c r="I608" s="2" t="s">
        <v>2947</v>
      </c>
      <c r="J608" s="9" t="str">
        <f>IFERROR(__xludf.DUMMYFUNCTION("IF(REGEXMATCH(TRIM(I608),""^[A-Za-z0-9._%+-]+@[A-Za-z0-9.-]+\.[A-Za-z]{2,}$""),""✅ Valid"",""❌ Invalid"")"),"✅ Valid")</f>
        <v>✅ Valid</v>
      </c>
      <c r="K608" s="13" t="s">
        <v>8484</v>
      </c>
      <c r="L608" s="2" t="str">
        <f>IFERROR(__xludf.DUMMYFUNCTION("IF(OR(K608=""N/A"", K608=""missing"", K608=""none""), """",
 REGEXREPLACE(
  SUBSTITUTE(SUBSTITUTE(SUBSTITUTE(TO_TEXT(K608), CHAR(160),""""), UNICHAR(8239),""""), UNICHAR(8201),""""),""[+\-/(): )]"", """"))"),"392790826645")</f>
        <v>392790826645</v>
      </c>
      <c r="M608" s="2" t="str">
        <f>IFERROR(__xludf.DUMMYFUNCTION("IF(L608="""","""", REGEXEXTRACT(REGEXREPLACE(L608,""x"", """"), ""[0-9]+""))"),"392790826645")</f>
        <v>392790826645</v>
      </c>
      <c r="N608" s="2" t="str">
        <f>IF(LEFT(M608,2)="39", RIGHT(M608,LEN(M608)-2),M608)</f>
        <v>2790826645</v>
      </c>
      <c r="O608" s="2" t="b">
        <f>IFERROR(__xludf.DUMMYFUNCTION("REGEXMATCH(TO_TEXT(N608), ""^3"")"),FALSE)</f>
        <v>0</v>
      </c>
      <c r="P608" s="2">
        <f t="shared" ref="P608:P613" si="306">LEN(N608)</f>
        <v>10</v>
      </c>
      <c r="Q608" s="9" t="str">
        <f>IF(AND(O608=TRUE,OR(P608=9, P608=10 )), "✅ VALID", "❌ INVALID")</f>
        <v>❌ INVALID</v>
      </c>
      <c r="R608" s="10" t="s">
        <v>785</v>
      </c>
      <c r="S608" s="12">
        <v>45551.870833333334</v>
      </c>
      <c r="T608" s="2" t="str">
        <f>IFERROR(__xludf.DUMMYFUNCTION("IF(ISNUMBER(S608),TEXT(S608,""yyyy-MM-dd""),REGEXREPLACE(REGEXREPLACE(TO_TEXT(S608),""[^0-9a-zA-Z]+"",""-""),""[^0-9]*$"",""""))"),"2024-09-16")</f>
        <v>2024-09-16</v>
      </c>
      <c r="U608" s="2" t="s">
        <v>7743</v>
      </c>
      <c r="Y608" s="10" t="s">
        <v>7743</v>
      </c>
    </row>
    <row r="609" ht="15.75" customHeight="1">
      <c r="A609" s="2" t="s">
        <v>4276</v>
      </c>
      <c r="B609" s="9" t="s">
        <v>7597</v>
      </c>
      <c r="C609" s="2" t="s">
        <v>7114</v>
      </c>
      <c r="D609" s="10" t="str">
        <f>IFERROR(__xludf.DUMMYFUNCTION("PROPER(REGEXREPLACE(TRIM(C609),""\s+"","" ""))"),"Lia Smith")</f>
        <v>Lia Smith</v>
      </c>
      <c r="E609" s="2">
        <f>IFERROR(__xludf.DUMMYFUNCTION("IF(LEN(D609:D701),
  COUNTA(SPLIT(D609:D701,"" "")),
 """")"),2.0)</f>
        <v>2</v>
      </c>
      <c r="F609" s="9" t="str">
        <f t="shared" si="304"/>
        <v>✅</v>
      </c>
      <c r="G609" s="2" t="str">
        <f>IFERROR(__xludf.DUMMYFUNCTION("REGEXEXTRACT(PROPER(SUBSTITUTE(TRIM(I609),""."","" "")),""^[^@]+"")"),"Lia Smith")</f>
        <v>Lia Smith</v>
      </c>
      <c r="H609" s="10" t="str">
        <f t="shared" si="305"/>
        <v>lia.smith@example.com</v>
      </c>
      <c r="I609" s="2" t="s">
        <v>7115</v>
      </c>
      <c r="J609" s="9" t="str">
        <f>IFERROR(__xludf.DUMMYFUNCTION("IF(REGEXMATCH(TRIM(I609),""^[A-Za-z0-9._%+-]+@[A-Za-z0-9.-]+\.[A-Za-z]{2,}$""),""✅ Valid"",""❌ Invalid"")"),"✅ Valid")</f>
        <v>✅ Valid</v>
      </c>
      <c r="K609" s="13" t="s">
        <v>8485</v>
      </c>
      <c r="L609" s="2" t="str">
        <f>IFERROR(__xludf.DUMMYFUNCTION("IF(OR(K609=""N/A"", K609=""missing"", K609=""none""), """",
 REGEXREPLACE(
  SUBSTITUTE(SUBSTITUTE(SUBSTITUTE(TO_TEXT(K609), CHAR(160),""""), UNICHAR(8239),""""), UNICHAR(8201),""""),""[+\-/(): )]"", """"))"),"33408257680")</f>
        <v>33408257680</v>
      </c>
      <c r="M609" s="2" t="str">
        <f>IFERROR(__xludf.DUMMYFUNCTION("IF(L609="""","""", REGEXEXTRACT(REGEXREPLACE(L609,""x"", """"), ""[0-9]+""))"),"33408257680")</f>
        <v>33408257680</v>
      </c>
      <c r="N609" s="2" t="str">
        <f t="shared" ref="N609:N610" si="307">IF(LEFT(M609,2)="33", RIGHT(M609,LEN(M609)-2),M609)</f>
        <v>408257680</v>
      </c>
      <c r="O609" s="2" t="b">
        <f>IFERROR(__xludf.DUMMYFUNCTION("REGEXMATCH(TO_TEXT(N609), ""^0[67]"")"),FALSE)</f>
        <v>0</v>
      </c>
      <c r="P609" s="2">
        <f t="shared" si="306"/>
        <v>9</v>
      </c>
      <c r="Q609" s="9" t="str">
        <f t="shared" ref="Q609:Q611" si="308">IF(AND(O609=TRUE, P609=9), "✅ VALID", "❌ INVALID")</f>
        <v>❌ INVALID</v>
      </c>
      <c r="R609" s="10" t="s">
        <v>58</v>
      </c>
      <c r="S609" s="12">
        <v>44956.0</v>
      </c>
      <c r="T609" s="2" t="str">
        <f>IFERROR(__xludf.DUMMYFUNCTION("IF(ISNUMBER(S609),TEXT(S609,""yyyy-MM-dd""),REGEXREPLACE(REGEXREPLACE(TO_TEXT(S609),""[^0-9a-zA-Z]+"",""-""),""[^0-9]*$"",""""))"),"2023-01-30")</f>
        <v>2023-01-30</v>
      </c>
      <c r="U609" s="2" t="s">
        <v>8486</v>
      </c>
      <c r="Y609" s="10" t="s">
        <v>8486</v>
      </c>
    </row>
    <row r="610" ht="15.75" customHeight="1">
      <c r="A610" s="2" t="s">
        <v>1758</v>
      </c>
      <c r="B610" s="9" t="s">
        <v>7597</v>
      </c>
      <c r="C610" s="2" t="s">
        <v>1873</v>
      </c>
      <c r="D610" s="10" t="str">
        <f>IFERROR(__xludf.DUMMYFUNCTION("PROPER(REGEXREPLACE(TRIM(C610),""\s+"","" ""))"),"Nina Kowalczyk")</f>
        <v>Nina Kowalczyk</v>
      </c>
      <c r="E610" s="2">
        <f>IFERROR(__xludf.DUMMYFUNCTION("IF(LEN(D610:D701),
  COUNTA(SPLIT(D610:D701,"" "")),
 """")"),2.0)</f>
        <v>2</v>
      </c>
      <c r="F610" s="9" t="str">
        <f t="shared" si="304"/>
        <v>✅</v>
      </c>
      <c r="G610" s="2" t="str">
        <f>IFERROR(__xludf.DUMMYFUNCTION("REGEXEXTRACT(PROPER(SUBSTITUTE(TRIM(I610),""."","" "")),""^[^@]+"")"),"Nina Kowalczyk")</f>
        <v>Nina Kowalczyk</v>
      </c>
      <c r="H610" s="10" t="str">
        <f t="shared" si="305"/>
        <v>nina.kowalczyk@yahoo.com</v>
      </c>
      <c r="I610" s="2" t="s">
        <v>1874</v>
      </c>
      <c r="J610" s="9" t="str">
        <f>IFERROR(__xludf.DUMMYFUNCTION("IF(REGEXMATCH(TRIM(I610),""^[A-Za-z0-9._%+-]+@[A-Za-z0-9.-]+\.[A-Za-z]{2,}$""),""✅ Valid"",""❌ Invalid"")"),"✅ Valid")</f>
        <v>✅ Valid</v>
      </c>
      <c r="K610" s="13" t="s">
        <v>8487</v>
      </c>
      <c r="L610" s="2" t="str">
        <f>IFERROR(__xludf.DUMMYFUNCTION("IF(OR(K610=""N/A"", K610=""missing"", K610=""none""), """",
 REGEXREPLACE(
  SUBSTITUTE(SUBSTITUTE(SUBSTITUTE(TO_TEXT(K610), CHAR(160),""""), UNICHAR(8239),""""), UNICHAR(8201),""""),""[+\-/(): )]"", """"))"),"338027019913")</f>
        <v>338027019913</v>
      </c>
      <c r="M610" s="2" t="str">
        <f>IFERROR(__xludf.DUMMYFUNCTION("IF(L610="""","""", REGEXEXTRACT(REGEXREPLACE(L610,""x"", """"), ""[0-9]+""))"),"338027019913")</f>
        <v>338027019913</v>
      </c>
      <c r="N610" s="2" t="str">
        <f t="shared" si="307"/>
        <v>8027019913</v>
      </c>
      <c r="O610" s="2" t="b">
        <f>IFERROR(__xludf.DUMMYFUNCTION("REGEXMATCH(TO_TEXT(N610), ""^0[67]"")"),FALSE)</f>
        <v>0</v>
      </c>
      <c r="P610" s="2">
        <f t="shared" si="306"/>
        <v>10</v>
      </c>
      <c r="Q610" s="9" t="str">
        <f t="shared" si="308"/>
        <v>❌ INVALID</v>
      </c>
      <c r="R610" s="10" t="s">
        <v>58</v>
      </c>
      <c r="S610" s="12">
        <v>44742.0</v>
      </c>
      <c r="T610" s="2" t="str">
        <f>IFERROR(__xludf.DUMMYFUNCTION("IF(ISNUMBER(S610),TEXT(S610,""yyyy-MM-dd""),REGEXREPLACE(REGEXREPLACE(TO_TEXT(S610),""[^0-9a-zA-Z]+"",""-""),""[^0-9]*$"",""""))"),"2022-06-30")</f>
        <v>2022-06-30</v>
      </c>
      <c r="U610" s="2" t="s">
        <v>8488</v>
      </c>
      <c r="Y610" s="10" t="s">
        <v>8488</v>
      </c>
    </row>
    <row r="611" ht="15.75" customHeight="1">
      <c r="A611" s="2" t="s">
        <v>6588</v>
      </c>
      <c r="B611" s="9" t="s">
        <v>7597</v>
      </c>
      <c r="C611" s="2" t="s">
        <v>1764</v>
      </c>
      <c r="D611" s="10" t="str">
        <f>IFERROR(__xludf.DUMMYFUNCTION("PROPER(REGEXREPLACE(TRIM(C611),""\s+"","" ""))"),"Wiktor Taylor")</f>
        <v>Wiktor Taylor</v>
      </c>
      <c r="E611" s="2">
        <f>IFERROR(__xludf.DUMMYFUNCTION("IF(LEN(D611:D701),
  COUNTA(SPLIT(D611:D701,"" "")),
 """")"),2.0)</f>
        <v>2</v>
      </c>
      <c r="F611" s="9" t="str">
        <f t="shared" si="304"/>
        <v>❌</v>
      </c>
      <c r="G611" s="2" t="s">
        <v>8489</v>
      </c>
      <c r="H611" s="10" t="str">
        <f t="shared" si="305"/>
        <v>wiktor.tyalor@yahoo.com</v>
      </c>
      <c r="I611" s="2" t="s">
        <v>478</v>
      </c>
      <c r="J611" s="9" t="str">
        <f>IFERROR(__xludf.DUMMYFUNCTION("IF(REGEXMATCH(TRIM(I611),""^[A-Za-z0-9._%+-]+@[A-Za-z0-9.-]+\.[A-Za-z]{2,}$""),""✅ Valid"",""❌ Invalid"")"),"✅ Valid")</f>
        <v>✅ Valid</v>
      </c>
      <c r="K611" s="11">
        <v>7.57626435E8</v>
      </c>
      <c r="L611" s="2" t="str">
        <f>IFERROR(__xludf.DUMMYFUNCTION("IF(OR(K611=""N/A"", K611=""missing"", K611=""none""), """",
 REGEXREPLACE(
  SUBSTITUTE(SUBSTITUTE(SUBSTITUTE(TO_TEXT(K611), CHAR(160),""""), UNICHAR(8239),""""), UNICHAR(8201),""""),""[+\-/(): )]"", """"))"),"757626435")</f>
        <v>757626435</v>
      </c>
      <c r="M611" s="2" t="str">
        <f>IFERROR(__xludf.DUMMYFUNCTION("IF(L611="""","""", REGEXEXTRACT(REGEXREPLACE(L611,""x"", """"), ""[0-9]+""))"),"757626435")</f>
        <v>757626435</v>
      </c>
      <c r="N611" s="2" t="str">
        <f>IF(LEFT(M611,2)="34", RIGHT(M611,LEN(M611)-2),M611)</f>
        <v>757626435</v>
      </c>
      <c r="O611" s="2" t="b">
        <f>IFERROR(__xludf.DUMMYFUNCTION("REGEXMATCH(TO_TEXT(N611), ""^[67]"")"),TRUE)</f>
        <v>1</v>
      </c>
      <c r="P611" s="2">
        <f t="shared" si="306"/>
        <v>9</v>
      </c>
      <c r="Q611" s="9" t="str">
        <f t="shared" si="308"/>
        <v>✅ VALID</v>
      </c>
      <c r="R611" s="10" t="s">
        <v>139</v>
      </c>
      <c r="S611" s="12">
        <v>45893.0</v>
      </c>
      <c r="T611" s="2" t="str">
        <f>IFERROR(__xludf.DUMMYFUNCTION("IF(ISNUMBER(S611),TEXT(S611,""yyyy-MM-dd""),REGEXREPLACE(REGEXREPLACE(TO_TEXT(S611),""[^0-9a-zA-Z]+"",""-""),""[^0-9]*$"",""""))"),"2025-08-24")</f>
        <v>2025-08-24</v>
      </c>
      <c r="U611" s="2" t="s">
        <v>8328</v>
      </c>
      <c r="Y611" s="10" t="s">
        <v>8328</v>
      </c>
    </row>
    <row r="612" ht="15.75" customHeight="1">
      <c r="A612" s="2" t="s">
        <v>4108</v>
      </c>
      <c r="B612" s="9" t="s">
        <v>7597</v>
      </c>
      <c r="C612" s="2" t="s">
        <v>1764</v>
      </c>
      <c r="D612" s="10" t="str">
        <f>IFERROR(__xludf.DUMMYFUNCTION("PROPER(REGEXREPLACE(TRIM(C612),""\s+"","" ""))"),"Wiktor Taylor")</f>
        <v>Wiktor Taylor</v>
      </c>
      <c r="E612" s="2">
        <f>IFERROR(__xludf.DUMMYFUNCTION("IF(LEN(D612:D701),
  COUNTA(SPLIT(D612:D701,"" "")),
 """")"),2.0)</f>
        <v>2</v>
      </c>
      <c r="F612" s="9" t="str">
        <f t="shared" si="304"/>
        <v>✅</v>
      </c>
      <c r="G612" s="2" t="str">
        <f>IFERROR(__xludf.DUMMYFUNCTION("REGEXEXTRACT(PROPER(SUBSTITUTE(TRIM(I612),""."","" "")),""^[^@]+"")"),"Wiktor Taylor")</f>
        <v>Wiktor Taylor</v>
      </c>
      <c r="H612" s="10" t="str">
        <f t="shared" si="305"/>
        <v>wiktor.taylor@yahoo.com</v>
      </c>
      <c r="I612" s="2" t="s">
        <v>7031</v>
      </c>
      <c r="J612" s="9" t="str">
        <f>IFERROR(__xludf.DUMMYFUNCTION("IF(REGEXMATCH(TRIM(I612),""^[A-Za-z0-9._%+-]+@[A-Za-z0-9.-]+\.[A-Za-z]{2,}$""),""✅ Valid"",""❌ Invalid"")"),"✅ Valid")</f>
        <v>✅ Valid</v>
      </c>
      <c r="K612" s="13" t="s">
        <v>8490</v>
      </c>
      <c r="L612" s="2" t="str">
        <f>IFERROR(__xludf.DUMMYFUNCTION("IF(OR(K612=""N/A"", K612=""missing"", K612=""none""), """",
 REGEXREPLACE(
  SUBSTITUTE(SUBSTITUTE(SUBSTITUTE(TO_TEXT(K612), CHAR(160),""""), UNICHAR(8239),""""), UNICHAR(8201),""""),""[+\-/(): )]"", """"))"),"4432732128")</f>
        <v>4432732128</v>
      </c>
      <c r="M612" s="2" t="str">
        <f>IFERROR(__xludf.DUMMYFUNCTION("IF(L612="""","""", REGEXEXTRACT(REGEXREPLACE(L612,""x"", """"), ""[0-9]+""))"),"4432732128")</f>
        <v>4432732128</v>
      </c>
      <c r="N612" s="2" t="str">
        <f>IF(LEFT(M612,2)="44", RIGHT(M612,LEN(M612)-2),M612)</f>
        <v>32732128</v>
      </c>
      <c r="O612" s="2" t="b">
        <f>IFERROR(__xludf.DUMMYFUNCTION("REGEXMATCH(TO_TEXT(N612), ""^07[1-57-9]"")"),FALSE)</f>
        <v>0</v>
      </c>
      <c r="P612" s="2">
        <f t="shared" si="306"/>
        <v>8</v>
      </c>
      <c r="Q612" s="9" t="str">
        <f>IF(AND(O612=TRUE, P612=11), "✅ VALID", "❌ INVALID")</f>
        <v>❌ INVALID</v>
      </c>
      <c r="R612" s="10" t="s">
        <v>114</v>
      </c>
      <c r="S612" s="12">
        <v>45849.0</v>
      </c>
      <c r="T612" s="2" t="str">
        <f>IFERROR(__xludf.DUMMYFUNCTION("IF(ISNUMBER(S612),TEXT(S612,""yyyy-MM-dd""),REGEXREPLACE(REGEXREPLACE(TO_TEXT(S612),""[^0-9a-zA-Z]+"",""-""),""[^0-9]*$"",""""))"),"2025-07-11")</f>
        <v>2025-07-11</v>
      </c>
      <c r="U612" s="2" t="s">
        <v>8491</v>
      </c>
      <c r="Y612" s="10" t="s">
        <v>8491</v>
      </c>
    </row>
    <row r="613" ht="15.75" customHeight="1">
      <c r="A613" s="2" t="s">
        <v>1291</v>
      </c>
      <c r="B613" s="9" t="s">
        <v>7597</v>
      </c>
      <c r="C613" s="2" t="s">
        <v>2260</v>
      </c>
      <c r="D613" s="10" t="str">
        <f>IFERROR(__xludf.DUMMYFUNCTION("PROPER(REGEXREPLACE(TRIM(C613),""\s+"","" ""))"),"Daria Novak")</f>
        <v>Daria Novak</v>
      </c>
      <c r="E613" s="2">
        <f>IFERROR(__xludf.DUMMYFUNCTION("IF(LEN(D613:D701),
  COUNTA(SPLIT(D613:D701,"" "")),
 """")"),2.0)</f>
        <v>2</v>
      </c>
      <c r="F613" s="9" t="str">
        <f t="shared" si="304"/>
        <v>✅</v>
      </c>
      <c r="G613" s="2" t="str">
        <f>IFERROR(__xludf.DUMMYFUNCTION("REGEXEXTRACT(PROPER(SUBSTITUTE(TRIM(I613),""."","" "")),""^[^@]+"")"),"Daria Novak")</f>
        <v>Daria Novak</v>
      </c>
      <c r="H613" s="10" t="str">
        <f t="shared" si="305"/>
        <v>daria.novak@company.co.uk</v>
      </c>
      <c r="I613" s="2" t="s">
        <v>3543</v>
      </c>
      <c r="J613" s="9" t="str">
        <f>IFERROR(__xludf.DUMMYFUNCTION("IF(REGEXMATCH(TRIM(I613),""^[A-Za-z0-9._%+-]+@[A-Za-z0-9.-]+\.[A-Za-z]{2,}$""),""✅ Valid"",""❌ Invalid"")"),"✅ Valid")</f>
        <v>✅ Valid</v>
      </c>
      <c r="K613" s="13" t="s">
        <v>8492</v>
      </c>
      <c r="L613" s="2" t="str">
        <f>IFERROR(__xludf.DUMMYFUNCTION("IF(OR(K613=""N/A"", K613=""missing"", K613=""none""), """",
 REGEXREPLACE(
  SUBSTITUTE(SUBSTITUTE(SUBSTITUTE(TO_TEXT(K613), CHAR(160),""""), UNICHAR(8239),""""), UNICHAR(8201),""""),""[+\-/(): )]"", """"))"),"499475170131")</f>
        <v>499475170131</v>
      </c>
      <c r="M613" s="2" t="str">
        <f>IFERROR(__xludf.DUMMYFUNCTION("IF(L613="""","""", REGEXEXTRACT(REGEXREPLACE(L613,""x"", """"), ""[0-9]+""))"),"499475170131")</f>
        <v>499475170131</v>
      </c>
      <c r="N613" s="2" t="str">
        <f>IF(LEFT(M613,2)="49", RIGHT(M613,LEN(M613)-2),M613)</f>
        <v>9475170131</v>
      </c>
      <c r="O613" s="2" t="b">
        <f>IFERROR(__xludf.DUMMYFUNCTION("REGEXMATCH(TO_TEXT(N613), ""^0(15|16|17)"")"),FALSE)</f>
        <v>0</v>
      </c>
      <c r="P613" s="2">
        <f t="shared" si="306"/>
        <v>10</v>
      </c>
      <c r="Q613" s="9" t="str">
        <f>IF(AND(O613=TRUE,OR(P613=10, P613=11)), "✅ VALID", "❌ INVALID")</f>
        <v>❌ INVALID</v>
      </c>
      <c r="R613" s="10" t="s">
        <v>459</v>
      </c>
      <c r="S613" s="12">
        <v>45741.0</v>
      </c>
      <c r="T613" s="2" t="str">
        <f>IFERROR(__xludf.DUMMYFUNCTION("IF(ISNUMBER(S613),TEXT(S613,""yyyy-MM-dd""),REGEXREPLACE(REGEXREPLACE(TO_TEXT(S613),""[^0-9a-zA-Z]+"",""-""),""[^0-9]*$"",""""))"),"2025-03-25")</f>
        <v>2025-03-25</v>
      </c>
      <c r="U613" s="2" t="s">
        <v>6593</v>
      </c>
      <c r="Y613" s="10" t="s">
        <v>6593</v>
      </c>
    </row>
    <row r="614" ht="15.75" customHeight="1">
      <c r="A614" s="2" t="s">
        <v>3903</v>
      </c>
      <c r="B614" s="9" t="s">
        <v>7597</v>
      </c>
      <c r="C614" s="2" t="s">
        <v>3650</v>
      </c>
      <c r="D614" s="10" t="str">
        <f>IFERROR(__xludf.DUMMYFUNCTION("PROPER(REGEXREPLACE(TRIM(C614),""\s+"","" ""))"),"Carlos Johnson")</f>
        <v>Carlos Johnson</v>
      </c>
      <c r="E614" s="2">
        <f>IFERROR(__xludf.DUMMYFUNCTION("IF(LEN(D614:D701),
  COUNTA(SPLIT(D614:D701,"" "")),
 """")"),2.0)</f>
        <v>2</v>
      </c>
      <c r="F614" s="9" t="str">
        <f t="shared" si="304"/>
        <v>❌</v>
      </c>
      <c r="G614" s="2" t="s">
        <v>8493</v>
      </c>
      <c r="H614" s="10" t="str">
        <f t="shared" si="305"/>
        <v>carlso.johnson@shop.io</v>
      </c>
      <c r="I614" s="2" t="s">
        <v>3651</v>
      </c>
      <c r="J614" s="9" t="str">
        <f>IFERROR(__xludf.DUMMYFUNCTION("IF(REGEXMATCH(TRIM(I614),""^[A-Za-z0-9._%+-]+@[A-Za-z0-9.-]+\.[A-Za-z]{2,}$""),""✅ Valid"",""❌ Invalid"")"),"✅ Valid")</f>
        <v>✅ Valid</v>
      </c>
      <c r="K614" s="15" t="s">
        <v>8494</v>
      </c>
      <c r="L614" s="2" t="str">
        <f>IFERROR(__xludf.DUMMYFUNCTION("IF(K614=""N/A"", """",
 REGEXREPLACE(
  SUBSTITUTE(SUBSTITUTE(SUBSTITUTE(TO_TEXT(K614), CHAR(160),""""), UNICHAR(8239),""""), UNICHAR(8201),""""),""[+\-/(): )]"", """"))"),"tel456290341")</f>
        <v>tel456290341</v>
      </c>
      <c r="M614" s="2" t="str">
        <f>IFERROR(__xludf.DUMMYFUNCTION("IF(L614="""","""", REGEXEXTRACT(REGEXREPLACE(L614,""x"", """"), ""[0-9]+""))"),"456290341")</f>
        <v>456290341</v>
      </c>
      <c r="N614" s="2" t="str">
        <f t="shared" ref="N614:N615" si="309">IF(LEFT(M614,2)="48", RIGHT(M614,LEN(M614)-2),M614)</f>
        <v>456290341</v>
      </c>
      <c r="O614" s="2" t="b">
        <f>IFERROR(__xludf.DUMMYFUNCTION("REGEXMATCH(TO_TEXT(N614), ""^(5[013679]|6[069]|7[2-9]|88)"")"),FALSE)</f>
        <v>0</v>
      </c>
      <c r="Q614" s="9" t="str">
        <f t="shared" ref="Q614:Q616" si="310">IF(AND(O614=TRUE, P614=9), "✅ VALID", "❌ INVALID")</f>
        <v>❌ INVALID</v>
      </c>
      <c r="R614" s="10" t="s">
        <v>25</v>
      </c>
      <c r="S614" s="12" t="s">
        <v>6917</v>
      </c>
      <c r="T614" s="2" t="str">
        <f>IFERROR(__xludf.DUMMYFUNCTION("IF(ISNUMBER(S614),TEXT(S614,""yyyy-MM-dd""),REGEXREPLACE(REGEXREPLACE(TO_TEXT(S614),""[^0-9a-zA-Z]+"",""-""),""[^0-9]*$"",""""))"),"44752-00-04")</f>
        <v>44752-00-04</v>
      </c>
      <c r="U614" s="2" t="str">
        <f t="shared" ref="U614:U615" si="311">TEXT(T614,"yyyy-MM-dd")</f>
        <v>44752-00-04</v>
      </c>
      <c r="V614" s="2" t="str">
        <f t="shared" ref="V614:V615" si="312">CONCATENATE(LEFT(U614,5))</f>
        <v>44752</v>
      </c>
      <c r="W614" s="14">
        <f t="shared" ref="W614:W615" si="313">DATE(1900,1,1) + V614 - 1</f>
        <v>44753</v>
      </c>
      <c r="X614" s="2" t="s">
        <v>6686</v>
      </c>
      <c r="Y614" s="10" t="s">
        <v>6686</v>
      </c>
    </row>
    <row r="615" ht="15.75" customHeight="1">
      <c r="A615" s="2" t="s">
        <v>6990</v>
      </c>
      <c r="B615" s="9" t="s">
        <v>7597</v>
      </c>
      <c r="C615" s="2" t="s">
        <v>1225</v>
      </c>
      <c r="D615" s="10" t="str">
        <f>IFERROR(__xludf.DUMMYFUNCTION("PROPER(REGEXREPLACE(TRIM(C615),""\s+"","" ""))"),"Hanna Nowak")</f>
        <v>Hanna Nowak</v>
      </c>
      <c r="E615" s="2">
        <f>IFERROR(__xludf.DUMMYFUNCTION("IF(LEN(D615:D701),
  COUNTA(SPLIT(D615:D701,"" "")),
 """")"),2.0)</f>
        <v>2</v>
      </c>
      <c r="F615" s="9" t="str">
        <f t="shared" si="304"/>
        <v>✅</v>
      </c>
      <c r="G615" s="2" t="str">
        <f>IFERROR(__xludf.DUMMYFUNCTION("REGEXEXTRACT(PROPER(SUBSTITUTE(TRIM(I615),""."","" "")),""^[^@]+"")"),"Hanna Nowak")</f>
        <v>Hanna Nowak</v>
      </c>
      <c r="H615" s="10" t="str">
        <f t="shared" si="305"/>
        <v>hanna.nowak@outlook.com</v>
      </c>
      <c r="I615" s="2" t="s">
        <v>1226</v>
      </c>
      <c r="J615" s="9" t="str">
        <f>IFERROR(__xludf.DUMMYFUNCTION("IF(REGEXMATCH(TRIM(I615),""^[A-Za-z0-9._%+-]+@[A-Za-z0-9.-]+\.[A-Za-z]{2,}$""),""✅ Valid"",""❌ Invalid"")"),"✅ Valid")</f>
        <v>✅ Valid</v>
      </c>
      <c r="K615" s="15" t="s">
        <v>8495</v>
      </c>
      <c r="L615" s="2" t="str">
        <f>IFERROR(__xludf.DUMMYFUNCTION("IF(K615=""N/A"", """",
 REGEXREPLACE(
  SUBSTITUTE(SUBSTITUTE(SUBSTITUTE(TO_TEXT(K615), CHAR(160),""""), UNICHAR(8239),""""), UNICHAR(8201),""""),""[+\-/(): )]"", """"))"),"48362643521")</f>
        <v>48362643521</v>
      </c>
      <c r="M615" s="2" t="str">
        <f>IFERROR(__xludf.DUMMYFUNCTION("IF(L615="""","""", REGEXEXTRACT(REGEXREPLACE(L615,""x"", """"), ""[0-9]+""))"),"48362643521")</f>
        <v>48362643521</v>
      </c>
      <c r="N615" s="2" t="str">
        <f t="shared" si="309"/>
        <v>362643521</v>
      </c>
      <c r="O615" s="2" t="b">
        <f>IFERROR(__xludf.DUMMYFUNCTION("REGEXMATCH(TO_TEXT(N615), ""^(5[013679]|6[069]|7[2-9]|88)"")"),FALSE)</f>
        <v>0</v>
      </c>
      <c r="Q615" s="9" t="str">
        <f t="shared" si="310"/>
        <v>❌ INVALID</v>
      </c>
      <c r="R615" s="10" t="s">
        <v>25</v>
      </c>
      <c r="S615" s="12" t="s">
        <v>6917</v>
      </c>
      <c r="T615" s="2" t="str">
        <f>IFERROR(__xludf.DUMMYFUNCTION("IF(ISNUMBER(S615),TEXT(S615,""yyyy-MM-dd""),REGEXREPLACE(REGEXREPLACE(TO_TEXT(S615),""[^0-9a-zA-Z]+"",""-""),""[^0-9]*$"",""""))"),"44752-00-04")</f>
        <v>44752-00-04</v>
      </c>
      <c r="U615" s="2" t="str">
        <f t="shared" si="311"/>
        <v>44752-00-04</v>
      </c>
      <c r="V615" s="2" t="str">
        <f t="shared" si="312"/>
        <v>44752</v>
      </c>
      <c r="W615" s="14">
        <f t="shared" si="313"/>
        <v>44753</v>
      </c>
      <c r="X615" s="2" t="s">
        <v>6686</v>
      </c>
      <c r="Y615" s="10" t="s">
        <v>6686</v>
      </c>
    </row>
    <row r="616" ht="15.75" customHeight="1">
      <c r="A616" s="2" t="s">
        <v>6363</v>
      </c>
      <c r="B616" s="9" t="s">
        <v>7597</v>
      </c>
      <c r="C616" s="2" t="s">
        <v>331</v>
      </c>
      <c r="D616" s="10" t="str">
        <f>IFERROR(__xludf.DUMMYFUNCTION("PROPER(REGEXREPLACE(TRIM(C616),""\s+"","" ""))"),"Marek Smith")</f>
        <v>Marek Smith</v>
      </c>
      <c r="E616" s="2">
        <f>IFERROR(__xludf.DUMMYFUNCTION("IF(LEN(D616:D701),
  COUNTA(SPLIT(D616:D701,"" "")),
 """")"),2.0)</f>
        <v>2</v>
      </c>
      <c r="F616" s="9" t="str">
        <f t="shared" si="304"/>
        <v>✅</v>
      </c>
      <c r="G616" s="2" t="str">
        <f>IFERROR(__xludf.DUMMYFUNCTION("REGEXEXTRACT(PROPER(SUBSTITUTE(TRIM(I616),""."","" "")),""^[^@]+"")"),"Marek Smith")</f>
        <v>Marek Smith</v>
      </c>
      <c r="H616" s="10" t="str">
        <f t="shared" si="305"/>
        <v>marek.smith@outloo.kcom</v>
      </c>
      <c r="I616" s="2" t="s">
        <v>332</v>
      </c>
      <c r="J616" s="9" t="str">
        <f>IFERROR(__xludf.DUMMYFUNCTION("IF(REGEXMATCH(TRIM(I616),""^[A-Za-z0-9._%+-]+@[A-Za-z0-9.-]+\.[A-Za-z]{2,}$""),""✅ Valid"",""❌ Invalid"")"),"✅ Valid")</f>
        <v>✅ Valid</v>
      </c>
      <c r="K616" s="13" t="s">
        <v>8496</v>
      </c>
      <c r="L616" s="2" t="str">
        <f>IFERROR(__xludf.DUMMYFUNCTION("IF(OR(K616=""N/A"", K616=""missing"", K616=""none""), """",
 REGEXREPLACE(
  SUBSTITUTE(SUBSTITUTE(SUBSTITUTE(TO_TEXT(K616), CHAR(160),""""), UNICHAR(8239),""""), UNICHAR(8201),""""),""[+\-/(): )]"", """"))"),"3308662090")</f>
        <v>3308662090</v>
      </c>
      <c r="M616" s="2" t="str">
        <f>IFERROR(__xludf.DUMMYFUNCTION("IF(L616="""","""", REGEXEXTRACT(REGEXREPLACE(L616,""x"", """"), ""[0-9]+""))"),"3308662090")</f>
        <v>3308662090</v>
      </c>
      <c r="N616" s="2" t="str">
        <f>IF(LEFT(M616,2)="33", RIGHT(M616,LEN(M616)-2),M616)</f>
        <v>08662090</v>
      </c>
      <c r="O616" s="2" t="b">
        <f>IFERROR(__xludf.DUMMYFUNCTION("REGEXMATCH(TO_TEXT(N616), ""^0[67]"")"),FALSE)</f>
        <v>0</v>
      </c>
      <c r="P616" s="2">
        <f t="shared" ref="P616:P617" si="314">LEN(N616)</f>
        <v>8</v>
      </c>
      <c r="Q616" s="9" t="str">
        <f t="shared" si="310"/>
        <v>❌ INVALID</v>
      </c>
      <c r="R616" s="10" t="s">
        <v>58</v>
      </c>
      <c r="S616" s="12">
        <v>45370.0</v>
      </c>
      <c r="T616" s="2" t="str">
        <f>IFERROR(__xludf.DUMMYFUNCTION("IF(ISNUMBER(S616),TEXT(S616,""yyyy-MM-dd""),REGEXREPLACE(REGEXREPLACE(TO_TEXT(S616),""[^0-9a-zA-Z]+"",""-""),""[^0-9]*$"",""""))"),"2024-03-19")</f>
        <v>2024-03-19</v>
      </c>
      <c r="U616" s="2" t="s">
        <v>8497</v>
      </c>
      <c r="Y616" s="10" t="s">
        <v>8497</v>
      </c>
    </row>
    <row r="617" ht="15.75" customHeight="1">
      <c r="A617" s="2" t="s">
        <v>7417</v>
      </c>
      <c r="B617" s="9" t="s">
        <v>7597</v>
      </c>
      <c r="C617" s="2" t="s">
        <v>6140</v>
      </c>
      <c r="D617" s="10" t="str">
        <f>IFERROR(__xludf.DUMMYFUNCTION("PROPER(REGEXREPLACE(TRIM(C617),""\s+"","" ""))"),"Nina Lee")</f>
        <v>Nina Lee</v>
      </c>
      <c r="E617" s="2">
        <f>IFERROR(__xludf.DUMMYFUNCTION("IF(LEN(D617:D701),
  COUNTA(SPLIT(D617:D701,"" "")),
 """")"),2.0)</f>
        <v>2</v>
      </c>
      <c r="F617" s="9" t="str">
        <f t="shared" si="304"/>
        <v>✅</v>
      </c>
      <c r="G617" s="2" t="str">
        <f>IFERROR(__xludf.DUMMYFUNCTION("REGEXEXTRACT(PROPER(SUBSTITUTE(TRIM(I617),""."","" "")),""^[^@]+"")"),"Nina Lee")</f>
        <v>Nina Lee</v>
      </c>
      <c r="H617" s="10" t="str">
        <f t="shared" si="305"/>
        <v>nina.lee@example.co m</v>
      </c>
      <c r="I617" s="2" t="s">
        <v>6141</v>
      </c>
      <c r="J617" s="9" t="str">
        <f>IFERROR(__xludf.DUMMYFUNCTION("IF(REGEXMATCH(TRIM(I617),""^[A-Za-z0-9._%+-]+@[A-Za-z0-9.-]+\.[A-Za-z]{2,}$""),""✅ Valid"",""❌ Invalid"")"),"❌ Invalid")</f>
        <v>❌ Invalid</v>
      </c>
      <c r="K617" s="13" t="s">
        <v>8498</v>
      </c>
      <c r="L617" s="2" t="str">
        <f>IFERROR(__xludf.DUMMYFUNCTION("IF(OR(K617=""N/A"", K617=""missing"", K617=""none""), """",
 REGEXREPLACE(
  SUBSTITUTE(SUBSTITUTE(SUBSTITUTE(TO_TEXT(K617), CHAR(160),""""), UNICHAR(8239),""""), UNICHAR(8201),""""),""[+\-/(): )]"", """"))"),"39540534519")</f>
        <v>39540534519</v>
      </c>
      <c r="M617" s="2" t="str">
        <f>IFERROR(__xludf.DUMMYFUNCTION("IF(L617="""","""", REGEXEXTRACT(REGEXREPLACE(L617,""x"", """"), ""[0-9]+""))"),"39540534519")</f>
        <v>39540534519</v>
      </c>
      <c r="N617" s="2" t="str">
        <f>IF(LEFT(M617,2)="39", RIGHT(M617,LEN(M617)-2),M617)</f>
        <v>540534519</v>
      </c>
      <c r="O617" s="2" t="b">
        <f>IFERROR(__xludf.DUMMYFUNCTION("REGEXMATCH(TO_TEXT(N617), ""^3"")"),FALSE)</f>
        <v>0</v>
      </c>
      <c r="P617" s="2">
        <f t="shared" si="314"/>
        <v>9</v>
      </c>
      <c r="Q617" s="9" t="str">
        <f>IF(AND(O617=TRUE,OR(P617=9, P617=10 )), "✅ VALID", "❌ INVALID")</f>
        <v>❌ INVALID</v>
      </c>
      <c r="R617" s="10" t="s">
        <v>785</v>
      </c>
      <c r="S617" s="12">
        <v>45070.0</v>
      </c>
      <c r="T617" s="2" t="str">
        <f>IFERROR(__xludf.DUMMYFUNCTION("IF(ISNUMBER(S617),TEXT(S617,""yyyy-MM-dd""),REGEXREPLACE(REGEXREPLACE(TO_TEXT(S617),""[^0-9a-zA-Z]+"",""-""),""[^0-9]*$"",""""))"),"2023-05-24")</f>
        <v>2023-05-24</v>
      </c>
      <c r="U617" s="2" t="s">
        <v>8499</v>
      </c>
      <c r="Y617" s="10" t="s">
        <v>8499</v>
      </c>
    </row>
    <row r="618" ht="15.75" customHeight="1">
      <c r="A618" s="2" t="s">
        <v>6648</v>
      </c>
      <c r="B618" s="9" t="s">
        <v>7597</v>
      </c>
      <c r="C618" s="2" t="s">
        <v>2216</v>
      </c>
      <c r="D618" s="10" t="str">
        <f>IFERROR(__xludf.DUMMYFUNCTION("PROPER(REGEXREPLACE(TRIM(C618),""\s+"","" ""))"),"Gabe Kowalski")</f>
        <v>Gabe Kowalski</v>
      </c>
      <c r="E618" s="2">
        <f>IFERROR(__xludf.DUMMYFUNCTION("IF(LEN(D618:D701),
  COUNTA(SPLIT(D618:D701,"" "")),
 """")"),2.0)</f>
        <v>2</v>
      </c>
      <c r="F618" s="9" t="str">
        <f t="shared" si="304"/>
        <v>✅</v>
      </c>
      <c r="G618" s="2" t="str">
        <f>IFERROR(__xludf.DUMMYFUNCTION("REGEXEXTRACT(PROPER(SUBSTITUTE(TRIM(I618),""."","" "")),""^[^@]+"")"),"Gabe Kowalski")</f>
        <v>Gabe Kowalski</v>
      </c>
      <c r="H618" s="10" t="str">
        <f t="shared" si="305"/>
        <v>gabe.kowalski@yahoo.com</v>
      </c>
      <c r="I618" s="2" t="s">
        <v>2217</v>
      </c>
      <c r="J618" s="9" t="str">
        <f>IFERROR(__xludf.DUMMYFUNCTION("IF(REGEXMATCH(TRIM(I618),""^[A-Za-z0-9._%+-]+@[A-Za-z0-9.-]+\.[A-Za-z]{2,}$""),""✅ Valid"",""❌ Invalid"")"),"✅ Valid")</f>
        <v>✅ Valid</v>
      </c>
      <c r="K618" s="15" t="s">
        <v>8500</v>
      </c>
      <c r="L618" s="2" t="str">
        <f>IFERROR(__xludf.DUMMYFUNCTION("IF(K618=""N/A"", """",
 REGEXREPLACE(
  SUBSTITUTE(SUBSTITUTE(SUBSTITUTE(TO_TEXT(K618), CHAR(160),""""), UNICHAR(8239),""""), UNICHAR(8201),""""),""[+\-/(): )]"", """"))"),"48095241157")</f>
        <v>48095241157</v>
      </c>
      <c r="M618" s="2" t="str">
        <f>IFERROR(__xludf.DUMMYFUNCTION("IF(L618="""","""", REGEXEXTRACT(REGEXREPLACE(L618,""x"", """"), ""[0-9]+""))"),"48095241157")</f>
        <v>48095241157</v>
      </c>
      <c r="N618" s="2" t="str">
        <f>IF(LEFT(M618,2)="48", RIGHT(M618,LEN(M618)-2),M618)</f>
        <v>095241157</v>
      </c>
      <c r="O618" s="2" t="b">
        <f>IFERROR(__xludf.DUMMYFUNCTION("REGEXMATCH(TO_TEXT(N618), ""^(5[013679]|6[069]|7[2-9]|88)"")"),FALSE)</f>
        <v>0</v>
      </c>
      <c r="Q618" s="9" t="str">
        <f t="shared" ref="Q618:Q620" si="315">IF(AND(O618=TRUE, P618=9), "✅ VALID", "❌ INVALID")</f>
        <v>❌ INVALID</v>
      </c>
      <c r="R618" s="10" t="s">
        <v>25</v>
      </c>
      <c r="S618" s="12">
        <v>44753.0</v>
      </c>
      <c r="T618" s="2" t="str">
        <f>IFERROR(__xludf.DUMMYFUNCTION("IF(ISNUMBER(S618),TEXT(S618,""yyyy-MM-dd""),REGEXREPLACE(REGEXREPLACE(TO_TEXT(S618),""[^0-9a-zA-Z]+"",""-""),""[^0-9]*$"",""""))"),"2022-07-11")</f>
        <v>2022-07-11</v>
      </c>
      <c r="U618" s="2" t="s">
        <v>6686</v>
      </c>
      <c r="Y618" s="10" t="s">
        <v>6686</v>
      </c>
    </row>
    <row r="619" ht="15.75" customHeight="1">
      <c r="A619" s="2" t="s">
        <v>2317</v>
      </c>
      <c r="B619" s="9" t="s">
        <v>7597</v>
      </c>
      <c r="C619" s="2" t="s">
        <v>2477</v>
      </c>
      <c r="D619" s="10" t="str">
        <f>IFERROR(__xludf.DUMMYFUNCTION("PROPER(REGEXREPLACE(TRIM(C619),""\s+"","" ""))"),"Gabe Rodriguez")</f>
        <v>Gabe Rodriguez</v>
      </c>
      <c r="E619" s="2">
        <f>IFERROR(__xludf.DUMMYFUNCTION("IF(LEN(D619:D701),
  COUNTA(SPLIT(D619:D701,"" "")),
 """")"),2.0)</f>
        <v>2</v>
      </c>
      <c r="F619" s="9" t="str">
        <f t="shared" si="304"/>
        <v>✅</v>
      </c>
      <c r="G619" s="2" t="str">
        <f>IFERROR(__xludf.DUMMYFUNCTION("REGEXEXTRACT(PROPER(SUBSTITUTE(TRIM(I619),""."","" "")),""^[^@]+"")"),"Gabe Rodriguez")</f>
        <v>Gabe Rodriguez</v>
      </c>
      <c r="H619" s="10" t="str">
        <f t="shared" si="305"/>
        <v>gabe.rodriguez@yahoo.com</v>
      </c>
      <c r="I619" s="2" t="s">
        <v>2478</v>
      </c>
      <c r="J619" s="9" t="str">
        <f>IFERROR(__xludf.DUMMYFUNCTION("IF(REGEXMATCH(TRIM(I619),""^[A-Za-z0-9._%+-]+@[A-Za-z0-9.-]+\.[A-Za-z]{2,}$""),""✅ Valid"",""❌ Invalid"")"),"✅ Valid")</f>
        <v>✅ Valid</v>
      </c>
      <c r="K619" s="13" t="s">
        <v>8501</v>
      </c>
      <c r="L619" s="2" t="str">
        <f>IFERROR(__xludf.DUMMYFUNCTION("IF(OR(K619=""N/A"", K619=""missing"", K619=""none""), """",
 REGEXREPLACE(
  SUBSTITUTE(SUBSTITUTE(SUBSTITUTE(TO_TEXT(K619), CHAR(160),""""), UNICHAR(8239),""""), UNICHAR(8201),""""),""[+\-/(): )]"", """"))"),"3403540843")</f>
        <v>3403540843</v>
      </c>
      <c r="M619" s="2" t="str">
        <f>IFERROR(__xludf.DUMMYFUNCTION("IF(L619="""","""", REGEXEXTRACT(REGEXREPLACE(L619,""x"", """"), ""[0-9]+""))"),"3403540843")</f>
        <v>3403540843</v>
      </c>
      <c r="N619" s="2" t="str">
        <f t="shared" ref="N619:N620" si="316">IF(LEFT(M619,2)="34", RIGHT(M619,LEN(M619)-2),M619)</f>
        <v>03540843</v>
      </c>
      <c r="O619" s="2" t="b">
        <f>IFERROR(__xludf.DUMMYFUNCTION("REGEXMATCH(TO_TEXT(N619), ""^[67]"")"),FALSE)</f>
        <v>0</v>
      </c>
      <c r="P619" s="2">
        <f t="shared" ref="P619:P621" si="317">LEN(N619)</f>
        <v>8</v>
      </c>
      <c r="Q619" s="9" t="str">
        <f t="shared" si="315"/>
        <v>❌ INVALID</v>
      </c>
      <c r="R619" s="10" t="s">
        <v>139</v>
      </c>
      <c r="S619" s="12">
        <v>44800.0</v>
      </c>
      <c r="T619" s="2" t="str">
        <f>IFERROR(__xludf.DUMMYFUNCTION("IF(ISNUMBER(S619),TEXT(S619,""yyyy-MM-dd""),REGEXREPLACE(REGEXREPLACE(TO_TEXT(S619),""[^0-9a-zA-Z]+"",""-""),""[^0-9]*$"",""""))"),"2022-08-27")</f>
        <v>2022-08-27</v>
      </c>
      <c r="U619" s="2" t="s">
        <v>8041</v>
      </c>
      <c r="Y619" s="10" t="s">
        <v>8041</v>
      </c>
    </row>
    <row r="620" ht="15.75" customHeight="1">
      <c r="A620" s="2" t="s">
        <v>5130</v>
      </c>
      <c r="B620" s="9" t="s">
        <v>7597</v>
      </c>
      <c r="C620" s="2" t="s">
        <v>5528</v>
      </c>
      <c r="D620" s="10" t="str">
        <f>IFERROR(__xludf.DUMMYFUNCTION("PROPER(REGEXREPLACE(TRIM(C620),""\s+"","" ""))"),"Ken Johnson")</f>
        <v>Ken Johnson</v>
      </c>
      <c r="E620" s="2">
        <f>IFERROR(__xludf.DUMMYFUNCTION("IF(LEN(D620:D701),
  COUNTA(SPLIT(D620:D701,"" "")),
 """")"),2.0)</f>
        <v>2</v>
      </c>
      <c r="F620" s="9" t="str">
        <f t="shared" si="304"/>
        <v>✅</v>
      </c>
      <c r="G620" s="2" t="str">
        <f>IFERROR(__xludf.DUMMYFUNCTION("REGEXEXTRACT(PROPER(SUBSTITUTE(TRIM(I620),""."","" "")),""^[^@]+"")"),"Ken Johnson")</f>
        <v>Ken Johnson</v>
      </c>
      <c r="H620" s="10" t="str">
        <f t="shared" si="305"/>
        <v>ken.johnson@example.com</v>
      </c>
      <c r="I620" s="2" t="s">
        <v>1622</v>
      </c>
      <c r="J620" s="9" t="str">
        <f>IFERROR(__xludf.DUMMYFUNCTION("IF(REGEXMATCH(TRIM(I620),""^[A-Za-z0-9._%+-]+@[A-Za-z0-9.-]+\.[A-Za-z]{2,}$""),""✅ Valid"",""❌ Invalid"")"),"✅ Valid")</f>
        <v>✅ Valid</v>
      </c>
      <c r="K620" s="13" t="s">
        <v>8502</v>
      </c>
      <c r="L620" s="2" t="str">
        <f>IFERROR(__xludf.DUMMYFUNCTION("IF(OR(K620=""N/A"", K620=""missing"", K620=""none""), """",
 REGEXREPLACE(
  SUBSTITUTE(SUBSTITUTE(SUBSTITUTE(TO_TEXT(K620), CHAR(160),""""), UNICHAR(8239),""""), UNICHAR(8201),""""),""[+\-/(): )]"", """"))"),"1887521160")</f>
        <v>1887521160</v>
      </c>
      <c r="M620" s="2" t="str">
        <f>IFERROR(__xludf.DUMMYFUNCTION("IF(L620="""","""", REGEXEXTRACT(REGEXREPLACE(L620,""x"", """"), ""[0-9]+""))"),"1887521160")</f>
        <v>1887521160</v>
      </c>
      <c r="N620" s="2" t="str">
        <f t="shared" si="316"/>
        <v>1887521160</v>
      </c>
      <c r="O620" s="2" t="b">
        <f>IFERROR(__xludf.DUMMYFUNCTION("REGEXMATCH(TO_TEXT(N620), ""^[67]"")"),FALSE)</f>
        <v>0</v>
      </c>
      <c r="P620" s="2">
        <f t="shared" si="317"/>
        <v>10</v>
      </c>
      <c r="Q620" s="9" t="str">
        <f t="shared" si="315"/>
        <v>❌ INVALID</v>
      </c>
      <c r="R620" s="10" t="s">
        <v>139</v>
      </c>
      <c r="S620" s="12">
        <v>45722.0</v>
      </c>
      <c r="T620" s="2" t="str">
        <f>IFERROR(__xludf.DUMMYFUNCTION("IF(ISNUMBER(S620),TEXT(S620,""yyyy-MM-dd""),REGEXREPLACE(REGEXREPLACE(TO_TEXT(S620),""[^0-9a-zA-Z]+"",""-""),""[^0-9]*$"",""""))"),"2025-03-06")</f>
        <v>2025-03-06</v>
      </c>
      <c r="U620" s="2" t="s">
        <v>8503</v>
      </c>
      <c r="Y620" s="10" t="s">
        <v>8503</v>
      </c>
    </row>
    <row r="621" ht="15.75" customHeight="1">
      <c r="A621" s="2" t="s">
        <v>893</v>
      </c>
      <c r="B621" s="9" t="s">
        <v>7597</v>
      </c>
      <c r="C621" s="2" t="s">
        <v>1316</v>
      </c>
      <c r="D621" s="10" t="str">
        <f>IFERROR(__xludf.DUMMYFUNCTION("PROPER(REGEXREPLACE(TRIM(C621),""\s+"","" ""))"),"Gabe Taylor")</f>
        <v>Gabe Taylor</v>
      </c>
      <c r="E621" s="2">
        <f>IFERROR(__xludf.DUMMYFUNCTION("IF(LEN(D621:D701),
  COUNTA(SPLIT(D621:D701,"" "")),
 """")"),2.0)</f>
        <v>2</v>
      </c>
      <c r="F621" s="9" t="str">
        <f t="shared" si="304"/>
        <v>✅</v>
      </c>
      <c r="G621" s="2" t="str">
        <f>IFERROR(__xludf.DUMMYFUNCTION("REGEXEXTRACT(PROPER(SUBSTITUTE(TRIM(I621),""."","" "")),""^[^@]+"")"),"Gabe Taylor")</f>
        <v>Gabe Taylor</v>
      </c>
      <c r="H621" s="10" t="str">
        <f t="shared" si="305"/>
        <v>gabe.taylor@example.com</v>
      </c>
      <c r="I621" s="2" t="s">
        <v>1317</v>
      </c>
      <c r="J621" s="9" t="str">
        <f>IFERROR(__xludf.DUMMYFUNCTION("IF(REGEXMATCH(TRIM(I621),""^[A-Za-z0-9._%+-]+@[A-Za-z0-9.-]+\.[A-Za-z]{2,}$""),""✅ Valid"",""❌ Invalid"")"),"✅ Valid")</f>
        <v>✅ Valid</v>
      </c>
      <c r="K621" s="13" t="s">
        <v>8504</v>
      </c>
      <c r="L621" s="2" t="str">
        <f>IFERROR(__xludf.DUMMYFUNCTION("IF(OR(K621=""N/A"", K621=""missing"", K621=""none""), """",
 REGEXREPLACE(
  SUBSTITUTE(SUBSTITUTE(SUBSTITUTE(TO_TEXT(K621), CHAR(160),""""), UNICHAR(8239),""""), UNICHAR(8201),""""),""[+\-/(): )]"", """"))"),"395217999836")</f>
        <v>395217999836</v>
      </c>
      <c r="M621" s="2" t="str">
        <f>IFERROR(__xludf.DUMMYFUNCTION("IF(L621="""","""", REGEXEXTRACT(REGEXREPLACE(L621,""x"", """"), ""[0-9]+""))"),"395217999836")</f>
        <v>395217999836</v>
      </c>
      <c r="N621" s="2" t="str">
        <f>IF(LEFT(M621,2)="39", RIGHT(M621,LEN(M621)-2),M621)</f>
        <v>5217999836</v>
      </c>
      <c r="O621" s="2" t="b">
        <f>IFERROR(__xludf.DUMMYFUNCTION("REGEXMATCH(TO_TEXT(N621), ""^3"")"),FALSE)</f>
        <v>0</v>
      </c>
      <c r="P621" s="2">
        <f t="shared" si="317"/>
        <v>10</v>
      </c>
      <c r="Q621" s="9" t="str">
        <f>IF(AND(O621=TRUE,OR(P621=9, P621=10 )), "✅ VALID", "❌ INVALID")</f>
        <v>❌ INVALID</v>
      </c>
      <c r="R621" s="10" t="s">
        <v>785</v>
      </c>
      <c r="S621" s="12" t="s">
        <v>6853</v>
      </c>
      <c r="T621" s="2" t="str">
        <f>IFERROR(__xludf.DUMMYFUNCTION("IF(ISNUMBER(S621),TEXT(S621,""yyyy-MM-dd""),REGEXREPLACE(REGEXREPLACE(TO_TEXT(S621),""[^0-9a-zA-Z]+"",""-""),""[^0-9]*$"",""""))"),"09-15-2025")</f>
        <v>09-15-2025</v>
      </c>
      <c r="U621" s="2" t="str">
        <f>TEXT(T621,"yyyy-MM-dd")</f>
        <v>09-15-2025</v>
      </c>
      <c r="V621" s="2" t="s">
        <v>4712</v>
      </c>
      <c r="Y621" s="10" t="s">
        <v>4712</v>
      </c>
    </row>
    <row r="622" ht="15.75" customHeight="1">
      <c r="A622" s="2" t="s">
        <v>3108</v>
      </c>
      <c r="B622" s="9" t="s">
        <v>7597</v>
      </c>
      <c r="C622" s="2" t="s">
        <v>6795</v>
      </c>
      <c r="D622" s="10" t="str">
        <f>IFERROR(__xludf.DUMMYFUNCTION("PROPER(REGEXREPLACE(TRIM(C622),""\s+"","" ""))"),"Xenia Garcia")</f>
        <v>Xenia Garcia</v>
      </c>
      <c r="E622" s="2">
        <f>IFERROR(__xludf.DUMMYFUNCTION("IF(LEN(D622:D701),
  COUNTA(SPLIT(D622:D701,"" "")),
 """")"),2.0)</f>
        <v>2</v>
      </c>
      <c r="F622" s="9" t="str">
        <f t="shared" si="304"/>
        <v>✅</v>
      </c>
      <c r="G622" s="2" t="str">
        <f>IFERROR(__xludf.DUMMYFUNCTION("REGEXEXTRACT(PROPER(SUBSTITUTE(TRIM(I622),""."","" "")),""^[^@]+"")"),"Xenia Garcia")</f>
        <v>Xenia Garcia</v>
      </c>
      <c r="H622" s="10" t="str">
        <f t="shared" si="305"/>
        <v>xenia.garcia@example.com</v>
      </c>
      <c r="I622" s="2" t="s">
        <v>6796</v>
      </c>
      <c r="J622" s="9" t="str">
        <f>IFERROR(__xludf.DUMMYFUNCTION("IF(REGEXMATCH(TRIM(I622),""^[A-Za-z0-9._%+-]+@[A-Za-z0-9.-]+\.[A-Za-z]{2,}$""),""✅ Valid"",""❌ Invalid"")"),"✅ Valid")</f>
        <v>✅ Valid</v>
      </c>
      <c r="K622" s="15" t="s">
        <v>8505</v>
      </c>
      <c r="L622" s="2" t="str">
        <f>IFERROR(__xludf.DUMMYFUNCTION("IF(K622=""N/A"", """",
 REGEXREPLACE(
  SUBSTITUTE(SUBSTITUTE(SUBSTITUTE(TO_TEXT(K622), CHAR(160),""""), UNICHAR(8239),""""), UNICHAR(8201),""""),""[+\-/(): )]"", """"))"),"916x222253")</f>
        <v>916x222253</v>
      </c>
      <c r="M622" s="2" t="str">
        <f>IFERROR(__xludf.DUMMYFUNCTION("IF(L622="""","""", REGEXEXTRACT(REGEXREPLACE(L622,""x"", """"), ""[0-9]+""))"),"916222253")</f>
        <v>916222253</v>
      </c>
      <c r="N622" s="2" t="str">
        <f>IF(LEFT(M622,2)="48", RIGHT(M622,LEN(M622)-2),M622)</f>
        <v>916222253</v>
      </c>
      <c r="O622" s="2" t="b">
        <f>IFERROR(__xludf.DUMMYFUNCTION("REGEXMATCH(TO_TEXT(N622), ""^(5[013679]|6[069]|7[2-9]|88)"")"),FALSE)</f>
        <v>0</v>
      </c>
      <c r="Q622" s="9" t="str">
        <f>IF(AND(O622=TRUE, P622=9), "✅ VALID", "❌ INVALID")</f>
        <v>❌ INVALID</v>
      </c>
      <c r="R622" s="10" t="s">
        <v>25</v>
      </c>
      <c r="S622" s="12">
        <v>45339.34722222222</v>
      </c>
      <c r="T622" s="2" t="str">
        <f>IFERROR(__xludf.DUMMYFUNCTION("IF(ISNUMBER(S622),TEXT(S622,""yyyy-MM-dd""),REGEXREPLACE(REGEXREPLACE(TO_TEXT(S622),""[^0-9a-zA-Z]+"",""-""),""[^0-9]*$"",""""))"),"2024-02-17")</f>
        <v>2024-02-17</v>
      </c>
      <c r="U622" s="2" t="s">
        <v>8506</v>
      </c>
      <c r="Y622" s="10" t="s">
        <v>8506</v>
      </c>
    </row>
    <row r="623" ht="15.75" customHeight="1">
      <c r="A623" s="2" t="s">
        <v>100</v>
      </c>
      <c r="B623" s="9" t="s">
        <v>7597</v>
      </c>
      <c r="C623" s="2" t="s">
        <v>2041</v>
      </c>
      <c r="D623" s="10" t="str">
        <f>IFERROR(__xludf.DUMMYFUNCTION("PROPER(REGEXREPLACE(TRIM(C623),""\s+"","" ""))"),"Igor Rossi")</f>
        <v>Igor Rossi</v>
      </c>
      <c r="E623" s="2">
        <f>IFERROR(__xludf.DUMMYFUNCTION("IF(LEN(D623:D701),
  COUNTA(SPLIT(D623:D701,"" "")),
 """")"),2.0)</f>
        <v>2</v>
      </c>
      <c r="F623" s="9" t="str">
        <f t="shared" si="304"/>
        <v>✅</v>
      </c>
      <c r="G623" s="2" t="str">
        <f>IFERROR(__xludf.DUMMYFUNCTION("REGEXEXTRACT(PROPER(SUBSTITUTE(TRIM(I623),""."","" "")),""^[^@]+"")"),"Igor Rossi")</f>
        <v>Igor Rossi</v>
      </c>
      <c r="H623" s="10" t="str">
        <f t="shared" si="305"/>
        <v>igor.rossi@yahoo.com</v>
      </c>
      <c r="I623" s="2" t="s">
        <v>2042</v>
      </c>
      <c r="J623" s="9" t="str">
        <f>IFERROR(__xludf.DUMMYFUNCTION("IF(REGEXMATCH(TRIM(I623),""^[A-Za-z0-9._%+-]+@[A-Za-z0-9.-]+\.[A-Za-z]{2,}$""),""✅ Valid"",""❌ Invalid"")"),"✅ Valid")</f>
        <v>✅ Valid</v>
      </c>
      <c r="K623" s="13" t="s">
        <v>8507</v>
      </c>
      <c r="L623" s="2" t="str">
        <f>IFERROR(__xludf.DUMMYFUNCTION("IF(OR(K623=""N/A"", K623=""missing"", K623=""none""), """",
 REGEXREPLACE(
  SUBSTITUTE(SUBSTITUTE(SUBSTITUTE(TO_TEXT(K623), CHAR(160),""""), UNICHAR(8239),""""), UNICHAR(8201),""""),""[+\-/(): )]"", """"))"),"836202140")</f>
        <v>836202140</v>
      </c>
      <c r="M623" s="2" t="str">
        <f>IFERROR(__xludf.DUMMYFUNCTION("IF(L623="""","""", REGEXEXTRACT(REGEXREPLACE(L623,""x"", """"), ""[0-9]+""))"),"836202140")</f>
        <v>836202140</v>
      </c>
      <c r="N623" s="2" t="str">
        <f>IF(LEFT(M623,3)="353", RIGHT(M623,LEN(M623)-3),M623)</f>
        <v>836202140</v>
      </c>
      <c r="O623" s="2" t="b">
        <f>IFERROR(__xludf.DUMMYFUNCTION("REGEXMATCH(TO_TEXT(N623), ""^0(83|85|86|87|89)"")"),FALSE)</f>
        <v>0</v>
      </c>
      <c r="P623" s="2">
        <f t="shared" ref="P623:P625" si="318">LEN(N623)</f>
        <v>9</v>
      </c>
      <c r="Q623" s="9" t="str">
        <f>IF(AND(O623=TRUE, P620=10), "✅ VALID", "❌ INVALID")</f>
        <v>❌ INVALID</v>
      </c>
      <c r="R623" s="10" t="s">
        <v>1177</v>
      </c>
      <c r="S623" s="12">
        <v>44627.0</v>
      </c>
      <c r="T623" s="2" t="str">
        <f>IFERROR(__xludf.DUMMYFUNCTION("IF(ISNUMBER(S623),TEXT(S623,""yyyy-MM-dd""),REGEXREPLACE(REGEXREPLACE(TO_TEXT(S623),""[^0-9a-zA-Z]+"",""-""),""[^0-9]*$"",""""))"),"2022-03-07")</f>
        <v>2022-03-07</v>
      </c>
      <c r="U623" s="2" t="s">
        <v>8508</v>
      </c>
      <c r="Y623" s="10" t="s">
        <v>8508</v>
      </c>
    </row>
    <row r="624" ht="15.75" customHeight="1">
      <c r="A624" s="2" t="s">
        <v>5604</v>
      </c>
      <c r="B624" s="9" t="s">
        <v>7597</v>
      </c>
      <c r="C624" s="2" t="s">
        <v>954</v>
      </c>
      <c r="D624" s="10" t="str">
        <f>IFERROR(__xludf.DUMMYFUNCTION("PROPER(REGEXREPLACE(TRIM(C624),""\s+"","" ""))"),"Bella Dubois")</f>
        <v>Bella Dubois</v>
      </c>
      <c r="E624" s="2">
        <f>IFERROR(__xludf.DUMMYFUNCTION("IF(LEN(D624:D701),
  COUNTA(SPLIT(D624:D701,"" "")),
 """")"),2.0)</f>
        <v>2</v>
      </c>
      <c r="F624" s="9" t="str">
        <f t="shared" si="304"/>
        <v>✅</v>
      </c>
      <c r="G624" s="2" t="str">
        <f>IFERROR(__xludf.DUMMYFUNCTION("REGEXEXTRACT(PROPER(SUBSTITUTE(TRIM(I624),""."","" "")),""^[^@]+"")"),"Bella Dubois")</f>
        <v>Bella Dubois</v>
      </c>
      <c r="H624" s="10" t="str">
        <f t="shared" si="305"/>
        <v>bella.dubois@outlook.com</v>
      </c>
      <c r="I624" s="2" t="s">
        <v>4277</v>
      </c>
      <c r="J624" s="9" t="str">
        <f>IFERROR(__xludf.DUMMYFUNCTION("IF(REGEXMATCH(TRIM(I624),""^[A-Za-z0-9._%+-]+@[A-Za-z0-9.-]+\.[A-Za-z]{2,}$""),""✅ Valid"",""❌ Invalid"")"),"✅ Valid")</f>
        <v>✅ Valid</v>
      </c>
      <c r="K624" s="13" t="s">
        <v>8509</v>
      </c>
      <c r="L624" s="2" t="str">
        <f>IFERROR(__xludf.DUMMYFUNCTION("IF(OR(K624=""N/A"", K624=""missing"", K624=""none""), """",
 REGEXREPLACE(
  SUBSTITUTE(SUBSTITUTE(SUBSTITUTE(TO_TEXT(K624), CHAR(160),""""), UNICHAR(8239),""""), UNICHAR(8201),""""),""[+\-/(): )]"", """"))"),"33074607188")</f>
        <v>33074607188</v>
      </c>
      <c r="M624" s="2" t="str">
        <f>IFERROR(__xludf.DUMMYFUNCTION("IF(L624="""","""", REGEXEXTRACT(REGEXREPLACE(L624,""x"", """"), ""[0-9]+""))"),"33074607188")</f>
        <v>33074607188</v>
      </c>
      <c r="N624" s="2" t="str">
        <f>IF(LEFT(M624,2)="33", RIGHT(M624,LEN(M624)-2),M624)</f>
        <v>074607188</v>
      </c>
      <c r="O624" s="2" t="b">
        <f>IFERROR(__xludf.DUMMYFUNCTION("REGEXMATCH(TO_TEXT(N624), ""^0[67]"")"),TRUE)</f>
        <v>1</v>
      </c>
      <c r="P624" s="2">
        <f t="shared" si="318"/>
        <v>9</v>
      </c>
      <c r="Q624" s="9" t="str">
        <f>IF(AND(O624=TRUE, P624=9), "✅ VALID", "❌ INVALID")</f>
        <v>✅ VALID</v>
      </c>
      <c r="R624" s="10" t="s">
        <v>58</v>
      </c>
      <c r="S624" s="12">
        <v>45097.0</v>
      </c>
      <c r="T624" s="2" t="str">
        <f>IFERROR(__xludf.DUMMYFUNCTION("IF(ISNUMBER(S624),TEXT(S624,""yyyy-MM-dd""),REGEXREPLACE(REGEXREPLACE(TO_TEXT(S624),""[^0-9a-zA-Z]+"",""-""),""[^0-9]*$"",""""))"),"2023-06-20")</f>
        <v>2023-06-20</v>
      </c>
      <c r="U624" s="2" t="s">
        <v>8048</v>
      </c>
      <c r="Y624" s="10" t="s">
        <v>8048</v>
      </c>
    </row>
    <row r="625" ht="15.75" customHeight="1">
      <c r="A625" s="2" t="s">
        <v>1845</v>
      </c>
      <c r="B625" s="9" t="s">
        <v>7597</v>
      </c>
      <c r="C625" s="2" t="s">
        <v>1759</v>
      </c>
      <c r="D625" s="10" t="str">
        <f>IFERROR(__xludf.DUMMYFUNCTION("PROPER(REGEXREPLACE(TRIM(C625),""\s+"","" ""))"),"Nina Muller")</f>
        <v>Nina Muller</v>
      </c>
      <c r="E625" s="2">
        <f>IFERROR(__xludf.DUMMYFUNCTION("IF(LEN(D625:D701),
  COUNTA(SPLIT(D625:D701,"" "")),
 """")"),2.0)</f>
        <v>2</v>
      </c>
      <c r="F625" s="9" t="str">
        <f t="shared" si="304"/>
        <v>✅</v>
      </c>
      <c r="G625" s="2" t="str">
        <f>IFERROR(__xludf.DUMMYFUNCTION("REGEXEXTRACT(PROPER(SUBSTITUTE(TRIM(I625),""."","" "")),""^[^@]+"")"),"Nina Muller")</f>
        <v>Nina Muller</v>
      </c>
      <c r="H625" s="10" t="str">
        <f t="shared" si="305"/>
        <v>nina.muller@example.com</v>
      </c>
      <c r="I625" s="2" t="s">
        <v>1760</v>
      </c>
      <c r="J625" s="9" t="str">
        <f>IFERROR(__xludf.DUMMYFUNCTION("IF(REGEXMATCH(TRIM(I625),""^[A-Za-z0-9._%+-]+@[A-Za-z0-9.-]+\.[A-Za-z]{2,}$""),""✅ Valid"",""❌ Invalid"")"),"✅ Valid")</f>
        <v>✅ Valid</v>
      </c>
      <c r="K625" s="11">
        <v>9.179531279E9</v>
      </c>
      <c r="L625" s="2" t="str">
        <f>IFERROR(__xludf.DUMMYFUNCTION("IF(OR(K625=""N/A"", K625=""missing"", K625=""none""), """",
 REGEXREPLACE(
  SUBSTITUTE(SUBSTITUTE(SUBSTITUTE(TO_TEXT(K625), CHAR(160),""""), UNICHAR(8239),""""), UNICHAR(8201),""""),""[+\-/(): )]"", """"))"),"9179531279")</f>
        <v>9179531279</v>
      </c>
      <c r="M625" s="2" t="str">
        <f>IFERROR(__xludf.DUMMYFUNCTION("IF(L625="""","""", REGEXEXTRACT(REGEXREPLACE(L625,""x"", """"), ""[0-9]+""))"),"9179531279")</f>
        <v>9179531279</v>
      </c>
      <c r="N625" s="2" t="str">
        <f>IF(LEFT(M625,3)="353", RIGHT(M625,LEN(M625)-3),M625)</f>
        <v>9179531279</v>
      </c>
      <c r="O625" s="2" t="b">
        <f>IFERROR(__xludf.DUMMYFUNCTION("REGEXMATCH(TO_TEXT(N625), ""^0(83|85|86|87|89)"")"),FALSE)</f>
        <v>0</v>
      </c>
      <c r="P625" s="2">
        <f t="shared" si="318"/>
        <v>10</v>
      </c>
      <c r="Q625" s="9" t="str">
        <f>IF(AND(O625=TRUE, P622=10), "✅ VALID", "❌ INVALID")</f>
        <v>❌ INVALID</v>
      </c>
      <c r="R625" s="10" t="s">
        <v>1177</v>
      </c>
      <c r="S625" s="12">
        <v>45900.0</v>
      </c>
      <c r="T625" s="2" t="str">
        <f>IFERROR(__xludf.DUMMYFUNCTION("IF(ISNUMBER(S625),TEXT(S625,""yyyy-MM-dd""),REGEXREPLACE(REGEXREPLACE(TO_TEXT(S625),""[^0-9a-zA-Z]+"",""-""),""[^0-9]*$"",""""))"),"2025-08-31")</f>
        <v>2025-08-31</v>
      </c>
      <c r="U625" s="2" t="s">
        <v>8510</v>
      </c>
      <c r="Y625" s="10" t="s">
        <v>8510</v>
      </c>
    </row>
    <row r="626" ht="15.75" hidden="1" customHeight="1">
      <c r="A626" s="2" t="s">
        <v>6516</v>
      </c>
      <c r="B626" s="9" t="s">
        <v>7597</v>
      </c>
      <c r="C626" s="2" t="s">
        <v>6589</v>
      </c>
      <c r="D626" s="2" t="str">
        <f>IFERROR(__xludf.DUMMYFUNCTION("PROPER(REGEXREPLACE(TRIM(C626),""\s+"","" ""))"),"Acrlos Novak")</f>
        <v>Acrlos Novak</v>
      </c>
      <c r="E626" s="2">
        <f>IFERROR(__xludf.DUMMYFUNCTION("IF(LEN(D626:D701),
  COUNTA(SPLIT(D626:D701,"" "")),
 """")"),2.0)</f>
        <v>2</v>
      </c>
      <c r="K626" s="2" t="s">
        <v>2043</v>
      </c>
      <c r="R626" s="10" t="s">
        <v>459</v>
      </c>
      <c r="S626" s="2" t="s">
        <v>6910</v>
      </c>
    </row>
    <row r="627" ht="15.75" customHeight="1">
      <c r="A627" s="2" t="s">
        <v>1203</v>
      </c>
      <c r="B627" s="9" t="s">
        <v>7597</v>
      </c>
      <c r="C627" s="2" t="s">
        <v>4109</v>
      </c>
      <c r="D627" s="10" t="str">
        <f>IFERROR(__xludf.DUMMYFUNCTION("PROPER(REGEXREPLACE(TRIM(C627),""\s+"","" ""))"),"Vlad Rodriguez")</f>
        <v>Vlad Rodriguez</v>
      </c>
      <c r="E627" s="2">
        <f>IFERROR(__xludf.DUMMYFUNCTION("IF(LEN(D627:D701),
  COUNTA(SPLIT(D627:D701,"" "")),
 """")"),2.0)</f>
        <v>2</v>
      </c>
      <c r="F627" s="9" t="str">
        <f t="shared" ref="F627:F701" si="319">IF(D627=G627,"✅","❌")</f>
        <v>✅</v>
      </c>
      <c r="G627" s="2" t="str">
        <f>IFERROR(__xludf.DUMMYFUNCTION("REGEXEXTRACT(PROPER(SUBSTITUTE(TRIM(I627),""."","" "")),""^[^@]+"")"),"Vlad Rodriguez")</f>
        <v>Vlad Rodriguez</v>
      </c>
      <c r="H627" s="10" t="str">
        <f t="shared" ref="H627:H701" si="320">LOWER(TRIM(I627))</f>
        <v>vlad.rodriguez@shop.io</v>
      </c>
      <c r="I627" s="2" t="s">
        <v>4110</v>
      </c>
      <c r="J627" s="9" t="str">
        <f>IFERROR(__xludf.DUMMYFUNCTION("IF(REGEXMATCH(TRIM(I627),""^[A-Za-z0-9._%+-]+@[A-Za-z0-9.-]+\.[A-Za-z]{2,}$""),""✅ Valid"",""❌ Invalid"")"),"✅ Valid")</f>
        <v>✅ Valid</v>
      </c>
      <c r="K627" s="15" t="s">
        <v>8511</v>
      </c>
      <c r="L627" s="2" t="str">
        <f>IFERROR(__xludf.DUMMYFUNCTION("IF(K627=""N/A"", """",
 REGEXREPLACE(
  SUBSTITUTE(SUBSTITUTE(SUBSTITUTE(TO_TEXT(K627), CHAR(160),""""), UNICHAR(8239),""""), UNICHAR(8201),""""),""[+\-/(): )]"", """"))"),"277x47608")</f>
        <v>277x47608</v>
      </c>
      <c r="M627" s="2" t="str">
        <f>IFERROR(__xludf.DUMMYFUNCTION("IF(L627="""","""", REGEXEXTRACT(REGEXREPLACE(L627,""x"", """"), ""[0-9]+""))"),"27747608")</f>
        <v>27747608</v>
      </c>
      <c r="N627" s="2" t="str">
        <f>IF(LEFT(M627,2)="48", RIGHT(M627,LEN(M627)-2),M627)</f>
        <v>27747608</v>
      </c>
      <c r="O627" s="2" t="b">
        <f>IFERROR(__xludf.DUMMYFUNCTION("REGEXMATCH(TO_TEXT(N627), ""^(5[013679]|6[069]|7[2-9]|88)"")"),FALSE)</f>
        <v>0</v>
      </c>
      <c r="Q627" s="9" t="str">
        <f>IF(AND(O627=TRUE, P627=9), "✅ VALID", "❌ INVALID")</f>
        <v>❌ INVALID</v>
      </c>
      <c r="R627" s="10" t="s">
        <v>25</v>
      </c>
      <c r="S627" s="12" t="s">
        <v>6666</v>
      </c>
      <c r="T627" s="2" t="str">
        <f>IFERROR(__xludf.DUMMYFUNCTION("IF(ISNUMBER(S627),TEXT(S627,""yyyy-MM-dd""),REGEXREPLACE(REGEXREPLACE(TO_TEXT(S627),""[^0-9a-zA-Z]+"",""-""),""[^0-9]*$"",""""))"),"45237-01-22")</f>
        <v>45237-01-22</v>
      </c>
      <c r="U627" s="2" t="str">
        <f>TEXT(T627,"yyyy-MM-dd")</f>
        <v>45237-01-22</v>
      </c>
      <c r="V627" s="2" t="str">
        <f>CONCATENATE(LEFT(U627,5))</f>
        <v>45237</v>
      </c>
      <c r="W627" s="14">
        <f>DATE(1900,1,1) + V627 - 1</f>
        <v>45238</v>
      </c>
      <c r="X627" s="2" t="s">
        <v>1514</v>
      </c>
      <c r="Y627" s="10" t="s">
        <v>1514</v>
      </c>
    </row>
    <row r="628" ht="15.75" customHeight="1">
      <c r="A628" s="2" t="s">
        <v>5783</v>
      </c>
      <c r="B628" s="9" t="s">
        <v>7597</v>
      </c>
      <c r="C628" s="2" t="s">
        <v>1292</v>
      </c>
      <c r="D628" s="10" t="str">
        <f>IFERROR(__xludf.DUMMYFUNCTION("PROPER(REGEXREPLACE(TRIM(C628),""\s+"","" ""))"),"Vlad Johnson")</f>
        <v>Vlad Johnson</v>
      </c>
      <c r="E628" s="2">
        <f>IFERROR(__xludf.DUMMYFUNCTION("IF(LEN(D628:D701),
  COUNTA(SPLIT(D628:D701,"" "")),
 """")"),2.0)</f>
        <v>2</v>
      </c>
      <c r="F628" s="9" t="str">
        <f t="shared" si="319"/>
        <v>✅</v>
      </c>
      <c r="G628" s="2" t="str">
        <f>IFERROR(__xludf.DUMMYFUNCTION("REGEXEXTRACT(PROPER(SUBSTITUTE(TRIM(I628),""."","" "")),""^[^@]+"")"),"Vlad Johnson")</f>
        <v>Vlad Johnson</v>
      </c>
      <c r="H628" s="10" t="str">
        <f t="shared" si="320"/>
        <v>vlad.johnson@shop.io</v>
      </c>
      <c r="I628" s="2" t="s">
        <v>1293</v>
      </c>
      <c r="J628" s="9" t="str">
        <f>IFERROR(__xludf.DUMMYFUNCTION("IF(REGEXMATCH(TRIM(I628),""^[A-Za-z0-9._%+-]+@[A-Za-z0-9.-]+\.[A-Za-z]{2,}$""),""✅ Valid"",""❌ Invalid"")"),"✅ Valid")</f>
        <v>✅ Valid</v>
      </c>
      <c r="K628" s="13" t="s">
        <v>8512</v>
      </c>
      <c r="L628" s="2" t="str">
        <f>IFERROR(__xludf.DUMMYFUNCTION("IF(OR(K628=""N/A"", K628=""missing"", K628=""none""), """",
 REGEXREPLACE(
  SUBSTITUTE(SUBSTITUTE(SUBSTITUTE(TO_TEXT(K628), CHAR(160),""""), UNICHAR(8239),""""), UNICHAR(8201),""""),""[+\-/(): )]"", """"))"),"49026486745")</f>
        <v>49026486745</v>
      </c>
      <c r="M628" s="2" t="str">
        <f>IFERROR(__xludf.DUMMYFUNCTION("IF(L628="""","""", REGEXEXTRACT(REGEXREPLACE(L628,""x"", """"), ""[0-9]+""))"),"49026486745")</f>
        <v>49026486745</v>
      </c>
      <c r="N628" s="2" t="str">
        <f>IF(LEFT(M628,2)="49", RIGHT(M628,LEN(M628)-2),M628)</f>
        <v>026486745</v>
      </c>
      <c r="O628" s="2" t="b">
        <f>IFERROR(__xludf.DUMMYFUNCTION("REGEXMATCH(TO_TEXT(N628), ""^0(15|16|17)"")"),FALSE)</f>
        <v>0</v>
      </c>
      <c r="P628" s="2">
        <f t="shared" ref="P628:P642" si="321">LEN(N628)</f>
        <v>9</v>
      </c>
      <c r="Q628" s="9" t="str">
        <f>IF(AND(O628=TRUE,OR(P628=10, P628=11)), "✅ VALID", "❌ INVALID")</f>
        <v>❌ INVALID</v>
      </c>
      <c r="R628" s="10" t="s">
        <v>459</v>
      </c>
      <c r="S628" s="12" t="s">
        <v>7182</v>
      </c>
      <c r="T628" s="2" t="str">
        <f>IFERROR(__xludf.DUMMYFUNCTION("IF(ISNUMBER(S628),TEXT(S628,""yyyy-MM-dd""),REGEXREPLACE(REGEXREPLACE(TO_TEXT(S628),""[^0-9a-zA-Z]+"",""-""),""[^0-9]*$"",""""))"),"25-01-2024")</f>
        <v>25-01-2024</v>
      </c>
      <c r="U628" s="2" t="s">
        <v>8513</v>
      </c>
      <c r="Y628" s="10" t="s">
        <v>8513</v>
      </c>
    </row>
    <row r="629" ht="15.75" customHeight="1">
      <c r="A629" s="2" t="s">
        <v>1042</v>
      </c>
      <c r="B629" s="9" t="s">
        <v>7597</v>
      </c>
      <c r="C629" s="2" t="s">
        <v>3904</v>
      </c>
      <c r="D629" s="10" t="str">
        <f>IFERROR(__xludf.DUMMYFUNCTION("PROPER(REGEXREPLACE(TRIM(C629),""\s+"","" ""))"),"Gabe Martinez")</f>
        <v>Gabe Martinez</v>
      </c>
      <c r="E629" s="2">
        <f>IFERROR(__xludf.DUMMYFUNCTION("IF(LEN(D629:D701),
  COUNTA(SPLIT(D629:D701,"" "")),
 """")"),2.0)</f>
        <v>2</v>
      </c>
      <c r="F629" s="9" t="str">
        <f t="shared" si="319"/>
        <v>✅</v>
      </c>
      <c r="G629" s="2" t="str">
        <f>IFERROR(__xludf.DUMMYFUNCTION("REGEXEXTRACT(PROPER(SUBSTITUTE(TRIM(I629),""."","" "")),""^[^@]+"")"),"Gabe Martinez")</f>
        <v>Gabe Martinez</v>
      </c>
      <c r="H629" s="10" t="str">
        <f t="shared" si="320"/>
        <v>gabe.martinez@shop.io</v>
      </c>
      <c r="I629" s="2" t="s">
        <v>3905</v>
      </c>
      <c r="J629" s="9" t="str">
        <f>IFERROR(__xludf.DUMMYFUNCTION("IF(REGEXMATCH(TRIM(I629),""^[A-Za-z0-9._%+-]+@[A-Za-z0-9.-]+\.[A-Za-z]{2,}$""),""✅ Valid"",""❌ Invalid"")"),"✅ Valid")</f>
        <v>✅ Valid</v>
      </c>
      <c r="K629" s="13" t="s">
        <v>8514</v>
      </c>
      <c r="L629" s="2" t="str">
        <f>IFERROR(__xludf.DUMMYFUNCTION("IF(OR(K629=""N/A"", K629=""missing"", K629=""none""), """",
 REGEXREPLACE(
  SUBSTITUTE(SUBSTITUTE(SUBSTITUTE(TO_TEXT(K629), CHAR(160),""""), UNICHAR(8239),""""), UNICHAR(8201),""""),""[+\-/(): )]"", """"))"),"392776406954")</f>
        <v>392776406954</v>
      </c>
      <c r="M629" s="2" t="str">
        <f>IFERROR(__xludf.DUMMYFUNCTION("IF(L629="""","""", REGEXEXTRACT(REGEXREPLACE(L629,""x"", """"), ""[0-9]+""))"),"392776406954")</f>
        <v>392776406954</v>
      </c>
      <c r="N629" s="2" t="str">
        <f>IF(LEFT(M629,2)="39", RIGHT(M629,LEN(M629)-2),M629)</f>
        <v>2776406954</v>
      </c>
      <c r="O629" s="2" t="b">
        <f>IFERROR(__xludf.DUMMYFUNCTION("REGEXMATCH(TO_TEXT(N629), ""^3"")"),FALSE)</f>
        <v>0</v>
      </c>
      <c r="P629" s="2">
        <f t="shared" si="321"/>
        <v>10</v>
      </c>
      <c r="Q629" s="9" t="str">
        <f>IF(AND(O629=TRUE,OR(P629=9, P629=10 )), "✅ VALID", "❌ INVALID")</f>
        <v>❌ INVALID</v>
      </c>
      <c r="R629" s="10" t="s">
        <v>785</v>
      </c>
      <c r="S629" s="12">
        <v>44579.0</v>
      </c>
      <c r="T629" s="2" t="str">
        <f>IFERROR(__xludf.DUMMYFUNCTION("IF(ISNUMBER(S629),TEXT(S629,""yyyy-MM-dd""),REGEXREPLACE(REGEXREPLACE(TO_TEXT(S629),""[^0-9a-zA-Z]+"",""-""),""[^0-9]*$"",""""))"),"2022-01-18")</f>
        <v>2022-01-18</v>
      </c>
      <c r="U629" s="2" t="s">
        <v>8515</v>
      </c>
      <c r="Y629" s="10" t="s">
        <v>8515</v>
      </c>
    </row>
    <row r="630" ht="15.75" customHeight="1">
      <c r="A630" s="2" t="s">
        <v>2843</v>
      </c>
      <c r="B630" s="9" t="s">
        <v>7597</v>
      </c>
      <c r="C630" s="2" t="s">
        <v>6991</v>
      </c>
      <c r="D630" s="10" t="str">
        <f>IFERROR(__xludf.DUMMYFUNCTION("PROPER(REGEXREPLACE(TRIM(C630),""\s+"","" ""))"),"Qi Kowalski")</f>
        <v>Qi Kowalski</v>
      </c>
      <c r="E630" s="2">
        <f>IFERROR(__xludf.DUMMYFUNCTION("IF(LEN(D630:D701),
  COUNTA(SPLIT(D630:D701,"" "")),
 """")"),2.0)</f>
        <v>2</v>
      </c>
      <c r="F630" s="9" t="str">
        <f t="shared" si="319"/>
        <v>✅</v>
      </c>
      <c r="G630" s="2" t="str">
        <f>IFERROR(__xludf.DUMMYFUNCTION("REGEXEXTRACT(PROPER(SUBSTITUTE(TRIM(I630),""."","" "")),""^[^@]+"")"),"Qi Kowalski")</f>
        <v>Qi Kowalski</v>
      </c>
      <c r="H630" s="10" t="str">
        <f t="shared" si="320"/>
        <v>qi.kowalski@outlook.com</v>
      </c>
      <c r="I630" s="2" t="s">
        <v>6992</v>
      </c>
      <c r="J630" s="9" t="str">
        <f>IFERROR(__xludf.DUMMYFUNCTION("IF(REGEXMATCH(TRIM(I630),""^[A-Za-z0-9._%+-]+@[A-Za-z0-9.-]+\.[A-Za-z]{2,}$""),""✅ Valid"",""❌ Invalid"")"),"✅ Valid")</f>
        <v>✅ Valid</v>
      </c>
      <c r="K630" s="13" t="s">
        <v>8516</v>
      </c>
      <c r="L630" s="2" t="str">
        <f>IFERROR(__xludf.DUMMYFUNCTION("IF(OR(K630=""N/A"", K630=""missing"", K630=""none""), """",
 REGEXREPLACE(
  SUBSTITUTE(SUBSTITUTE(SUBSTITUTE(TO_TEXT(K630), CHAR(160),""""), UNICHAR(8239),""""), UNICHAR(8201),""""),""[+\-/(): )]"", """"))"),"234279358")</f>
        <v>234279358</v>
      </c>
      <c r="M630" s="2" t="str">
        <f>IFERROR(__xludf.DUMMYFUNCTION("IF(L630="""","""", REGEXEXTRACT(REGEXREPLACE(L630,""x"", """"), ""[0-9]+""))"),"234279358")</f>
        <v>234279358</v>
      </c>
      <c r="N630" s="2" t="str">
        <f t="shared" ref="N630:N631" si="322">IF(LEFT(M630,1)="1", RIGHT(M630,LEN(M630)-1),M630)</f>
        <v>234279358</v>
      </c>
      <c r="O630" s="2" t="b">
        <f>IFERROR(__xludf.DUMMYFUNCTION("REGEXMATCH(TO_TEXT(N630), ""^[2-9][0-9]{9}$"")"),FALSE)</f>
        <v>0</v>
      </c>
      <c r="P630" s="2">
        <f t="shared" si="321"/>
        <v>9</v>
      </c>
      <c r="Q630" s="9" t="str">
        <f t="shared" ref="Q630:Q631" si="323">IF(AND(O630=TRUE, P630=10), "✅ VALID", "❌ INVALID")</f>
        <v>❌ INVALID</v>
      </c>
      <c r="R630" s="10" t="s">
        <v>199</v>
      </c>
      <c r="S630" s="12">
        <v>44814.0</v>
      </c>
      <c r="T630" s="2" t="str">
        <f>IFERROR(__xludf.DUMMYFUNCTION("IF(ISNUMBER(S630),TEXT(S630,""yyyy-MM-dd""),REGEXREPLACE(REGEXREPLACE(TO_TEXT(S630),""[^0-9a-zA-Z]+"",""-""),""[^0-9]*$"",""""))"),"2022-09-10")</f>
        <v>2022-09-10</v>
      </c>
      <c r="U630" s="2" t="s">
        <v>8407</v>
      </c>
      <c r="Y630" s="10" t="s">
        <v>8407</v>
      </c>
    </row>
    <row r="631" ht="15.75" customHeight="1">
      <c r="A631" s="2" t="s">
        <v>545</v>
      </c>
      <c r="B631" s="9" t="s">
        <v>7597</v>
      </c>
      <c r="C631" s="2" t="s">
        <v>5198</v>
      </c>
      <c r="D631" s="10" t="str">
        <f>IFERROR(__xludf.DUMMYFUNCTION("PROPER(REGEXREPLACE(TRIM(C631),""\s+"","" ""))"),"Tara Young")</f>
        <v>Tara Young</v>
      </c>
      <c r="E631" s="2">
        <f>IFERROR(__xludf.DUMMYFUNCTION("IF(LEN(D631:D701),
  COUNTA(SPLIT(D631:D701,"" "")),
 """")"),2.0)</f>
        <v>2</v>
      </c>
      <c r="F631" s="9" t="str">
        <f t="shared" si="319"/>
        <v>✅</v>
      </c>
      <c r="G631" s="2" t="str">
        <f>IFERROR(__xludf.DUMMYFUNCTION("REGEXEXTRACT(PROPER(SUBSTITUTE(TRIM(I631),""."","" "")),""^[^@]+"")"),"Tara Young")</f>
        <v>Tara Young</v>
      </c>
      <c r="H631" s="10" t="str">
        <f t="shared" si="320"/>
        <v>tara.young@shop.io</v>
      </c>
      <c r="I631" s="2" t="s">
        <v>6364</v>
      </c>
      <c r="J631" s="9" t="str">
        <f>IFERROR(__xludf.DUMMYFUNCTION("IF(REGEXMATCH(TRIM(I631),""^[A-Za-z0-9._%+-]+@[A-Za-z0-9.-]+\.[A-Za-z]{2,}$""),""✅ Valid"",""❌ Invalid"")"),"✅ Valid")</f>
        <v>✅ Valid</v>
      </c>
      <c r="K631" s="13" t="s">
        <v>8517</v>
      </c>
      <c r="L631" s="2" t="str">
        <f>IFERROR(__xludf.DUMMYFUNCTION("IF(OR(K631=""N/A"", K631=""missing"", K631=""none""), """",
 REGEXREPLACE(
  SUBSTITUTE(SUBSTITUTE(SUBSTITUTE(TO_TEXT(K631), CHAR(160),""""), UNICHAR(8239),""""), UNICHAR(8201),""""),""[+\-/(): )]"", """"))"),"111369661504")</f>
        <v>111369661504</v>
      </c>
      <c r="M631" s="2" t="str">
        <f>IFERROR(__xludf.DUMMYFUNCTION("IF(L631="""","""", REGEXEXTRACT(REGEXREPLACE(L631,""x"", """"), ""[0-9]+""))"),"111369661504")</f>
        <v>111369661504</v>
      </c>
      <c r="N631" s="2" t="str">
        <f t="shared" si="322"/>
        <v>11369661504</v>
      </c>
      <c r="O631" s="2" t="b">
        <f>IFERROR(__xludf.DUMMYFUNCTION("REGEXMATCH(TO_TEXT(N631), ""^[2-9][0-9]{9}$"")"),FALSE)</f>
        <v>0</v>
      </c>
      <c r="P631" s="2">
        <f t="shared" si="321"/>
        <v>11</v>
      </c>
      <c r="Q631" s="9" t="str">
        <f t="shared" si="323"/>
        <v>❌ INVALID</v>
      </c>
      <c r="R631" s="10" t="s">
        <v>199</v>
      </c>
      <c r="S631" s="12">
        <v>45517.0</v>
      </c>
      <c r="T631" s="2" t="str">
        <f>IFERROR(__xludf.DUMMYFUNCTION("IF(ISNUMBER(S631),TEXT(S631,""yyyy-MM-dd""),REGEXREPLACE(REGEXREPLACE(TO_TEXT(S631),""[^0-9a-zA-Z]+"",""-""),""[^0-9]*$"",""""))"),"2024-08-13")</f>
        <v>2024-08-13</v>
      </c>
      <c r="U631" s="2" t="s">
        <v>8518</v>
      </c>
      <c r="Y631" s="10" t="s">
        <v>8518</v>
      </c>
    </row>
    <row r="632" ht="15.75" customHeight="1">
      <c r="A632" s="2" t="s">
        <v>4580</v>
      </c>
      <c r="B632" s="9" t="s">
        <v>7597</v>
      </c>
      <c r="C632" s="2" t="s">
        <v>7418</v>
      </c>
      <c r="D632" s="10" t="str">
        <f>IFERROR(__xludf.DUMMYFUNCTION("PROPER(REGEXREPLACE(TRIM(C632),""\s+"","" ""))"),"Ken Dubois")</f>
        <v>Ken Dubois</v>
      </c>
      <c r="E632" s="2">
        <f>IFERROR(__xludf.DUMMYFUNCTION("IF(LEN(D632:D701),
  COUNTA(SPLIT(D632:D701,"" "")),
 """")"),2.0)</f>
        <v>2</v>
      </c>
      <c r="F632" s="9" t="str">
        <f t="shared" si="319"/>
        <v>✅</v>
      </c>
      <c r="G632" s="2" t="str">
        <f>IFERROR(__xludf.DUMMYFUNCTION("REGEXEXTRACT(PROPER(SUBSTITUTE(TRIM(I632),""."","" "")),""^[^@]+"")"),"Ken Dubois")</f>
        <v>Ken Dubois</v>
      </c>
      <c r="H632" s="10" t="str">
        <f t="shared" si="320"/>
        <v>ken.dubois@shop.io</v>
      </c>
      <c r="I632" s="2" t="s">
        <v>7419</v>
      </c>
      <c r="J632" s="9" t="str">
        <f>IFERROR(__xludf.DUMMYFUNCTION("IF(REGEXMATCH(TRIM(I632),""^[A-Za-z0-9._%+-]+@[A-Za-z0-9.-]+\.[A-Za-z]{2,}$""),""✅ Valid"",""❌ Invalid"")"),"✅ Valid")</f>
        <v>✅ Valid</v>
      </c>
      <c r="K632" s="13" t="s">
        <v>8519</v>
      </c>
      <c r="L632" s="2" t="str">
        <f>IFERROR(__xludf.DUMMYFUNCTION("IF(OR(K632=""N/A"", K632=""missing"", K632=""none""), """",
 REGEXREPLACE(
  SUBSTITUTE(SUBSTITUTE(SUBSTITUTE(TO_TEXT(K632), CHAR(160),""""), UNICHAR(8239),""""), UNICHAR(8201),""""),""[+\-/(): )]"", """"))"),"49496238649ext653ext55")</f>
        <v>49496238649ext653ext55</v>
      </c>
      <c r="M632" s="2" t="str">
        <f>IFERROR(__xludf.DUMMYFUNCTION("IF(L632="""","""", REGEXEXTRACT(REGEXREPLACE(L632,""x"", """"), ""[0-9]+""))"),"49496238649")</f>
        <v>49496238649</v>
      </c>
      <c r="N632" s="2" t="str">
        <f t="shared" ref="N632:N633" si="324">IF(LEFT(M632,2)="49", RIGHT(M632,LEN(M632)-2),M632)</f>
        <v>496238649</v>
      </c>
      <c r="O632" s="2" t="b">
        <f>IFERROR(__xludf.DUMMYFUNCTION("REGEXMATCH(TO_TEXT(N632), ""^0(15|16|17)"")"),FALSE)</f>
        <v>0</v>
      </c>
      <c r="P632" s="2">
        <f t="shared" si="321"/>
        <v>9</v>
      </c>
      <c r="Q632" s="9" t="str">
        <f t="shared" ref="Q632:Q633" si="325">IF(AND(O632=TRUE,OR(P632=10, P632=11)), "✅ VALID", "❌ INVALID")</f>
        <v>❌ INVALID</v>
      </c>
      <c r="R632" s="10" t="s">
        <v>459</v>
      </c>
      <c r="S632" s="12">
        <v>45709.0</v>
      </c>
      <c r="T632" s="2" t="str">
        <f>IFERROR(__xludf.DUMMYFUNCTION("IF(ISNUMBER(S632),TEXT(S632,""yyyy-MM-dd""),REGEXREPLACE(REGEXREPLACE(TO_TEXT(S632),""[^0-9a-zA-Z]+"",""-""),""[^0-9]*$"",""""))"),"2025-02-21")</f>
        <v>2025-02-21</v>
      </c>
      <c r="U632" s="2" t="s">
        <v>6261</v>
      </c>
      <c r="Y632" s="10" t="s">
        <v>6261</v>
      </c>
    </row>
    <row r="633" ht="15.75" customHeight="1">
      <c r="A633" s="2" t="s">
        <v>6163</v>
      </c>
      <c r="B633" s="9" t="s">
        <v>7597</v>
      </c>
      <c r="C633" s="2" t="s">
        <v>6649</v>
      </c>
      <c r="D633" s="10" t="str">
        <f>IFERROR(__xludf.DUMMYFUNCTION("PROPER(REGEXREPLACE(TRIM(C633),""\s+"","" ""))"),"Zack Walker")</f>
        <v>Zack Walker</v>
      </c>
      <c r="E633" s="2">
        <f>IFERROR(__xludf.DUMMYFUNCTION("IF(LEN(D633:D701),
  COUNTA(SPLIT(D633:D701,"" "")),
 """")"),2.0)</f>
        <v>2</v>
      </c>
      <c r="F633" s="9" t="str">
        <f t="shared" si="319"/>
        <v>✅</v>
      </c>
      <c r="G633" s="2" t="str">
        <f>IFERROR(__xludf.DUMMYFUNCTION("REGEXEXTRACT(PROPER(SUBSTITUTE(TRIM(I633),""."","" "")),""^[^@]+"")"),"Zack Walker")</f>
        <v>Zack Walker</v>
      </c>
      <c r="H633" s="10" t="str">
        <f t="shared" si="320"/>
        <v>zack.walker@shop.io</v>
      </c>
      <c r="I633" s="2" t="s">
        <v>6650</v>
      </c>
      <c r="J633" s="9" t="str">
        <f>IFERROR(__xludf.DUMMYFUNCTION("IF(REGEXMATCH(TRIM(I633),""^[A-Za-z0-9._%+-]+@[A-Za-z0-9.-]+\.[A-Za-z]{2,}$""),""✅ Valid"",""❌ Invalid"")"),"✅ Valid")</f>
        <v>✅ Valid</v>
      </c>
      <c r="K633" s="13" t="s">
        <v>8520</v>
      </c>
      <c r="L633" s="2" t="str">
        <f>IFERROR(__xludf.DUMMYFUNCTION("IF(OR(K633=""N/A"", K633=""missing"", K633=""none""), """",
 REGEXREPLACE(
  SUBSTITUTE(SUBSTITUTE(SUBSTITUTE(TO_TEXT(K633), CHAR(160),""""), UNICHAR(8239),""""), UNICHAR(8201),""""),""[+\-/(): )]"", """"))"),"49097433513")</f>
        <v>49097433513</v>
      </c>
      <c r="M633" s="2" t="str">
        <f>IFERROR(__xludf.DUMMYFUNCTION("IF(L633="""","""", REGEXEXTRACT(REGEXREPLACE(L633,""x"", """"), ""[0-9]+""))"),"49097433513")</f>
        <v>49097433513</v>
      </c>
      <c r="N633" s="2" t="str">
        <f t="shared" si="324"/>
        <v>097433513</v>
      </c>
      <c r="O633" s="2" t="b">
        <f>IFERROR(__xludf.DUMMYFUNCTION("REGEXMATCH(TO_TEXT(N633), ""^0(15|16|17)"")"),FALSE)</f>
        <v>0</v>
      </c>
      <c r="P633" s="2">
        <f t="shared" si="321"/>
        <v>9</v>
      </c>
      <c r="Q633" s="9" t="str">
        <f t="shared" si="325"/>
        <v>❌ INVALID</v>
      </c>
      <c r="R633" s="10" t="s">
        <v>459</v>
      </c>
      <c r="S633" s="12">
        <v>45787.0</v>
      </c>
      <c r="T633" s="2" t="str">
        <f>IFERROR(__xludf.DUMMYFUNCTION("IF(ISNUMBER(S633),TEXT(S633,""yyyy-MM-dd""),REGEXREPLACE(REGEXREPLACE(TO_TEXT(S633),""[^0-9a-zA-Z]+"",""-""),""[^0-9]*$"",""""))"),"2025-05-10")</f>
        <v>2025-05-10</v>
      </c>
      <c r="U633" s="2" t="s">
        <v>8521</v>
      </c>
      <c r="Y633" s="10" t="s">
        <v>8521</v>
      </c>
    </row>
    <row r="634" ht="15.75" customHeight="1">
      <c r="A634" s="2" t="s">
        <v>560</v>
      </c>
      <c r="B634" s="9" t="s">
        <v>7597</v>
      </c>
      <c r="C634" s="2" t="s">
        <v>2318</v>
      </c>
      <c r="D634" s="10" t="str">
        <f>IFERROR(__xludf.DUMMYFUNCTION("PROPER(REGEXREPLACE(TRIM(C634),""\s+"","" ""))"),"Bella Rodriguez")</f>
        <v>Bella Rodriguez</v>
      </c>
      <c r="E634" s="2">
        <f>IFERROR(__xludf.DUMMYFUNCTION("IF(LEN(D634:D701),
  COUNTA(SPLIT(D634:D701,"" "")),
 """")"),2.0)</f>
        <v>2</v>
      </c>
      <c r="F634" s="9" t="str">
        <f t="shared" si="319"/>
        <v>✅</v>
      </c>
      <c r="G634" s="2" t="str">
        <f>IFERROR(__xludf.DUMMYFUNCTION("REGEXEXTRACT(PROPER(SUBSTITUTE(TRIM(I634),""."","" "")),""^[^@]+"")"),"Bella Rodriguez")</f>
        <v>Bella Rodriguez</v>
      </c>
      <c r="H634" s="10" t="str">
        <f t="shared" si="320"/>
        <v>bella.rodriguez@gmail.com</v>
      </c>
      <c r="I634" s="2" t="s">
        <v>2319</v>
      </c>
      <c r="J634" s="9" t="str">
        <f>IFERROR(__xludf.DUMMYFUNCTION("IF(REGEXMATCH(TRIM(I634),""^[A-Za-z0-9._%+-]+@[A-Za-z0-9.-]+\.[A-Za-z]{2,}$""),""✅ Valid"",""❌ Invalid"")"),"✅ Valid")</f>
        <v>✅ Valid</v>
      </c>
      <c r="K634" s="11">
        <v>3.375579745E9</v>
      </c>
      <c r="L634" s="2" t="str">
        <f>IFERROR(__xludf.DUMMYFUNCTION("IF(OR(K634=""N/A"", K634=""missing"", K634=""none""), """",
 REGEXREPLACE(
  SUBSTITUTE(SUBSTITUTE(SUBSTITUTE(TO_TEXT(K634), CHAR(160),""""), UNICHAR(8239),""""), UNICHAR(8201),""""),""[+\-/(): )]"", """"))"),"3375579745")</f>
        <v>3375579745</v>
      </c>
      <c r="M634" s="2" t="str">
        <f>IFERROR(__xludf.DUMMYFUNCTION("IF(L634="""","""", REGEXEXTRACT(REGEXREPLACE(L634,""x"", """"), ""[0-9]+""))"),"3375579745")</f>
        <v>3375579745</v>
      </c>
      <c r="N634" s="2" t="str">
        <f t="shared" ref="N634:N635" si="326">IF(LEFT(M634,2)="33", RIGHT(M634,LEN(M634)-2),M634)</f>
        <v>75579745</v>
      </c>
      <c r="O634" s="2" t="b">
        <f>IFERROR(__xludf.DUMMYFUNCTION("REGEXMATCH(TO_TEXT(N634), ""^0[67]"")"),FALSE)</f>
        <v>0</v>
      </c>
      <c r="P634" s="2">
        <f t="shared" si="321"/>
        <v>8</v>
      </c>
      <c r="Q634" s="9" t="str">
        <f t="shared" ref="Q634:Q636" si="327">IF(AND(O634=TRUE, P634=9), "✅ VALID", "❌ INVALID")</f>
        <v>❌ INVALID</v>
      </c>
      <c r="R634" s="10" t="s">
        <v>58</v>
      </c>
      <c r="S634" s="12">
        <v>45627.0</v>
      </c>
      <c r="T634" s="2" t="str">
        <f>IFERROR(__xludf.DUMMYFUNCTION("IF(ISNUMBER(S634),TEXT(S634,""yyyy-MM-dd""),REGEXREPLACE(REGEXREPLACE(TO_TEXT(S634),""[^0-9a-zA-Z]+"",""-""),""[^0-9]*$"",""""))"),"2024-12-01")</f>
        <v>2024-12-01</v>
      </c>
      <c r="U634" s="2" t="s">
        <v>8522</v>
      </c>
      <c r="Y634" s="10" t="s">
        <v>8522</v>
      </c>
    </row>
    <row r="635" ht="15.75" customHeight="1">
      <c r="A635" s="2" t="s">
        <v>6702</v>
      </c>
      <c r="B635" s="9" t="s">
        <v>7597</v>
      </c>
      <c r="C635" s="2" t="s">
        <v>5131</v>
      </c>
      <c r="D635" s="10" t="str">
        <f>IFERROR(__xludf.DUMMYFUNCTION("PROPER(REGEXREPLACE(TRIM(C635),""\s+"","" ""))"),"Daria Smith")</f>
        <v>Daria Smith</v>
      </c>
      <c r="E635" s="2">
        <f>IFERROR(__xludf.DUMMYFUNCTION("IF(LEN(D635:D701),
  COUNTA(SPLIT(D635:D701,"" "")),
 """")"),2.0)</f>
        <v>2</v>
      </c>
      <c r="F635" s="9" t="str">
        <f t="shared" si="319"/>
        <v>✅</v>
      </c>
      <c r="G635" s="2" t="str">
        <f>IFERROR(__xludf.DUMMYFUNCTION("REGEXEXTRACT(PROPER(SUBSTITUTE(TRIM(I635),""."","" "")),""^[^@]+"")"),"Daria Smith")</f>
        <v>Daria Smith</v>
      </c>
      <c r="H635" s="10" t="str">
        <f t="shared" si="320"/>
        <v>daria.smith@company.co.uk</v>
      </c>
      <c r="I635" s="2" t="s">
        <v>5132</v>
      </c>
      <c r="J635" s="9" t="str">
        <f>IFERROR(__xludf.DUMMYFUNCTION("IF(REGEXMATCH(TRIM(I635),""^[A-Za-z0-9._%+-]+@[A-Za-z0-9.-]+\.[A-Za-z]{2,}$""),""✅ Valid"",""❌ Invalid"")"),"✅ Valid")</f>
        <v>✅ Valid</v>
      </c>
      <c r="K635" s="13" t="s">
        <v>8523</v>
      </c>
      <c r="L635" s="2" t="str">
        <f>IFERROR(__xludf.DUMMYFUNCTION("IF(OR(K635=""N/A"", K635=""missing"", K635=""none""), """",
 REGEXREPLACE(
  SUBSTITUTE(SUBSTITUTE(SUBSTITUTE(TO_TEXT(K635), CHAR(160),""""), UNICHAR(8239),""""), UNICHAR(8201),""""),""[+\-/(): )]"", """"))"),"33486275188")</f>
        <v>33486275188</v>
      </c>
      <c r="M635" s="2" t="str">
        <f>IFERROR(__xludf.DUMMYFUNCTION("IF(L635="""","""", REGEXEXTRACT(REGEXREPLACE(L635,""x"", """"), ""[0-9]+""))"),"33486275188")</f>
        <v>33486275188</v>
      </c>
      <c r="N635" s="2" t="str">
        <f t="shared" si="326"/>
        <v>486275188</v>
      </c>
      <c r="O635" s="2" t="b">
        <f>IFERROR(__xludf.DUMMYFUNCTION("REGEXMATCH(TO_TEXT(N635), ""^0[67]"")"),FALSE)</f>
        <v>0</v>
      </c>
      <c r="P635" s="2">
        <f t="shared" si="321"/>
        <v>9</v>
      </c>
      <c r="Q635" s="9" t="str">
        <f t="shared" si="327"/>
        <v>❌ INVALID</v>
      </c>
      <c r="R635" s="10" t="s">
        <v>58</v>
      </c>
      <c r="S635" s="12">
        <v>45208.98263888889</v>
      </c>
      <c r="T635" s="2" t="str">
        <f>IFERROR(__xludf.DUMMYFUNCTION("IF(ISNUMBER(S635),TEXT(S635,""yyyy-MM-dd""),REGEXREPLACE(REGEXREPLACE(TO_TEXT(S635),""[^0-9a-zA-Z]+"",""-""),""[^0-9]*$"",""""))"),"2023-10-09")</f>
        <v>2023-10-09</v>
      </c>
      <c r="U635" s="2" t="s">
        <v>1710</v>
      </c>
      <c r="Y635" s="10" t="s">
        <v>1710</v>
      </c>
    </row>
    <row r="636" ht="15.75" customHeight="1">
      <c r="A636" s="2" t="s">
        <v>3470</v>
      </c>
      <c r="B636" s="9" t="s">
        <v>7597</v>
      </c>
      <c r="C636" s="2" t="s">
        <v>894</v>
      </c>
      <c r="D636" s="10" t="str">
        <f>IFERROR(__xludf.DUMMYFUNCTION("PROPER(REGEXREPLACE(TRIM(C636),""\s+"","" ""))"),"Carlos Kowalski")</f>
        <v>Carlos Kowalski</v>
      </c>
      <c r="E636" s="2">
        <f>IFERROR(__xludf.DUMMYFUNCTION("IF(LEN(D636:D701),
  COUNTA(SPLIT(D636:D701,"" "")),
 """")"),2.0)</f>
        <v>2</v>
      </c>
      <c r="F636" s="9" t="str">
        <f t="shared" si="319"/>
        <v>✅</v>
      </c>
      <c r="G636" s="2" t="str">
        <f>IFERROR(__xludf.DUMMYFUNCTION("REGEXEXTRACT(PROPER(SUBSTITUTE(TRIM(I636),""."","" "")),""^[^@]+"")"),"Carlos Kowalski")</f>
        <v>Carlos Kowalski</v>
      </c>
      <c r="H636" s="10" t="str">
        <f t="shared" si="320"/>
        <v>carlos.kowalski@company.co.uk</v>
      </c>
      <c r="I636" s="2" t="s">
        <v>895</v>
      </c>
      <c r="J636" s="9" t="str">
        <f>IFERROR(__xludf.DUMMYFUNCTION("IF(REGEXMATCH(TRIM(I636),""^[A-Za-z0-9._%+-]+@[A-Za-z0-9.-]+\.[A-Za-z]{2,}$""),""✅ Valid"",""❌ Invalid"")"),"✅ Valid")</f>
        <v>✅ Valid</v>
      </c>
      <c r="K636" s="13" t="s">
        <v>8524</v>
      </c>
      <c r="L636" s="2" t="str">
        <f>IFERROR(__xludf.DUMMYFUNCTION("IF(OR(K636=""N/A"", K636=""missing"", K636=""none""), """",
 REGEXREPLACE(
  SUBSTITUTE(SUBSTITUTE(SUBSTITUTE(TO_TEXT(K636), CHAR(160),""""), UNICHAR(8239),""""), UNICHAR(8201),""""),""[+\-/(): )]"", """"))"),"4602807041")</f>
        <v>4602807041</v>
      </c>
      <c r="M636" s="2" t="str">
        <f>IFERROR(__xludf.DUMMYFUNCTION("IF(L636="""","""", REGEXEXTRACT(REGEXREPLACE(L636,""x"", """"), ""[0-9]+""))"),"4602807041")</f>
        <v>4602807041</v>
      </c>
      <c r="N636" s="2" t="str">
        <f>IF(LEFT(M636,2)="34", RIGHT(M636,LEN(M636)-2),M636)</f>
        <v>4602807041</v>
      </c>
      <c r="O636" s="2" t="b">
        <f>IFERROR(__xludf.DUMMYFUNCTION("REGEXMATCH(TO_TEXT(N636), ""^[67]"")"),FALSE)</f>
        <v>0</v>
      </c>
      <c r="P636" s="2">
        <f t="shared" si="321"/>
        <v>10</v>
      </c>
      <c r="Q636" s="9" t="str">
        <f t="shared" si="327"/>
        <v>❌ INVALID</v>
      </c>
      <c r="R636" s="10" t="s">
        <v>139</v>
      </c>
      <c r="S636" s="12">
        <v>45723.0</v>
      </c>
      <c r="T636" s="2" t="str">
        <f>IFERROR(__xludf.DUMMYFUNCTION("IF(ISNUMBER(S636),TEXT(S636,""yyyy-MM-dd""),REGEXREPLACE(REGEXREPLACE(TO_TEXT(S636),""[^0-9a-zA-Z]+"",""-""),""[^0-9]*$"",""""))"),"2025-03-07")</f>
        <v>2025-03-07</v>
      </c>
      <c r="U636" s="2" t="s">
        <v>8173</v>
      </c>
      <c r="Y636" s="10" t="s">
        <v>8173</v>
      </c>
    </row>
    <row r="637" ht="15.75" customHeight="1">
      <c r="A637" s="2" t="s">
        <v>2894</v>
      </c>
      <c r="B637" s="9" t="s">
        <v>7597</v>
      </c>
      <c r="C637" s="2" t="s">
        <v>3109</v>
      </c>
      <c r="D637" s="10" t="str">
        <f>IFERROR(__xludf.DUMMYFUNCTION("PROPER(REGEXREPLACE(TRIM(C637),""\s+"","" ""))"),"Jade Kowalczyk")</f>
        <v>Jade Kowalczyk</v>
      </c>
      <c r="E637" s="2">
        <f>IFERROR(__xludf.DUMMYFUNCTION("IF(LEN(D637:D701),
  COUNTA(SPLIT(D637:D701,"" "")),
 """")"),2.0)</f>
        <v>2</v>
      </c>
      <c r="F637" s="9" t="str">
        <f t="shared" si="319"/>
        <v>✅</v>
      </c>
      <c r="G637" s="2" t="str">
        <f>IFERROR(__xludf.DUMMYFUNCTION("REGEXEXTRACT(PROPER(SUBSTITUTE(TRIM(I637),""."","" "")),""^[^@]+"")"),"Jade Kowalczyk")</f>
        <v>Jade Kowalczyk</v>
      </c>
      <c r="H637" s="10" t="str">
        <f t="shared" si="320"/>
        <v>jade.kowalczyk@company.co.uk</v>
      </c>
      <c r="I637" s="2" t="s">
        <v>7130</v>
      </c>
      <c r="J637" s="9" t="str">
        <f>IFERROR(__xludf.DUMMYFUNCTION("IF(REGEXMATCH(TRIM(I637),""^[A-Za-z0-9._%+-]+@[A-Za-z0-9.-]+\.[A-Za-z]{2,}$""),""✅ Valid"",""❌ Invalid"")"),"✅ Valid")</f>
        <v>✅ Valid</v>
      </c>
      <c r="K637" s="13" t="s">
        <v>8525</v>
      </c>
      <c r="L637" s="2" t="str">
        <f>IFERROR(__xludf.DUMMYFUNCTION("IF(OR(K637=""N/A"", K637=""missing"", K637=""none""), """",
 REGEXREPLACE(
  SUBSTITUTE(SUBSTITUTE(SUBSTITUTE(TO_TEXT(K637), CHAR(160),""""), UNICHAR(8239),""""), UNICHAR(8201),""""),""[+\-/(): )]"", """"))"),"0191806x61")</f>
        <v>0191806x61</v>
      </c>
      <c r="M637" s="2" t="str">
        <f>IFERROR(__xludf.DUMMYFUNCTION("IF(L637="""","""", REGEXEXTRACT(REGEXREPLACE(L637,""x"", """"), ""[0-9]+""))"),"019180661")</f>
        <v>019180661</v>
      </c>
      <c r="N637" s="2" t="str">
        <f>IF(LEFT(M637,1)="1", RIGHT(M637,LEN(M637)-1),M637)</f>
        <v>019180661</v>
      </c>
      <c r="O637" s="2" t="b">
        <f>IFERROR(__xludf.DUMMYFUNCTION("REGEXMATCH(TO_TEXT(N637), ""^[2-9][0-9]{9}$"")"),FALSE)</f>
        <v>0</v>
      </c>
      <c r="P637" s="2">
        <f t="shared" si="321"/>
        <v>9</v>
      </c>
      <c r="Q637" s="9" t="str">
        <f>IF(AND(O637=TRUE, P637=10), "✅ VALID", "❌ INVALID")</f>
        <v>❌ INVALID</v>
      </c>
      <c r="R637" s="10" t="s">
        <v>199</v>
      </c>
      <c r="S637" s="12">
        <v>44826.0</v>
      </c>
      <c r="T637" s="2" t="str">
        <f>IFERROR(__xludf.DUMMYFUNCTION("IF(ISNUMBER(S637),TEXT(S637,""yyyy-MM-dd""),REGEXREPLACE(REGEXREPLACE(TO_TEXT(S637),""[^0-9a-zA-Z]+"",""-""),""[^0-9]*$"",""""))"),"2022-09-22")</f>
        <v>2022-09-22</v>
      </c>
      <c r="U637" s="2" t="s">
        <v>8526</v>
      </c>
      <c r="Y637" s="10" t="s">
        <v>8526</v>
      </c>
    </row>
    <row r="638" ht="15.75" customHeight="1">
      <c r="A638" s="2" t="s">
        <v>5478</v>
      </c>
      <c r="B638" s="9" t="s">
        <v>7597</v>
      </c>
      <c r="C638" s="2" t="s">
        <v>101</v>
      </c>
      <c r="D638" s="10" t="str">
        <f>IFERROR(__xludf.DUMMYFUNCTION("PROPER(REGEXREPLACE(TRIM(C638),""\s+"","" ""))"),"Sam Lopez")</f>
        <v>Sam Lopez</v>
      </c>
      <c r="E638" s="2">
        <f>IFERROR(__xludf.DUMMYFUNCTION("IF(LEN(D638:D701),
  COUNTA(SPLIT(D638:D701,"" "")),
 """")"),2.0)</f>
        <v>2</v>
      </c>
      <c r="F638" s="9" t="str">
        <f t="shared" si="319"/>
        <v>✅</v>
      </c>
      <c r="G638" s="2" t="str">
        <f>IFERROR(__xludf.DUMMYFUNCTION("REGEXEXTRACT(PROPER(SUBSTITUTE(TRIM(I638),""."","" "")),""^[^@]+"")"),"Sam Lopez")</f>
        <v>Sam Lopez</v>
      </c>
      <c r="H638" s="10" t="str">
        <f t="shared" si="320"/>
        <v>sam.lopez@gmail.com</v>
      </c>
      <c r="I638" s="2" t="s">
        <v>102</v>
      </c>
      <c r="J638" s="9" t="str">
        <f>IFERROR(__xludf.DUMMYFUNCTION("IF(REGEXMATCH(TRIM(I638),""^[A-Za-z0-9._%+-]+@[A-Za-z0-9.-]+\.[A-Za-z]{2,}$""),""✅ Valid"",""❌ Invalid"")"),"✅ Valid")</f>
        <v>✅ Valid</v>
      </c>
      <c r="K638" s="13" t="s">
        <v>8527</v>
      </c>
      <c r="L638" s="2" t="str">
        <f>IFERROR(__xludf.DUMMYFUNCTION("IF(OR(K638=""N/A"", K638=""missing"", K638=""none""), """",
 REGEXREPLACE(
  SUBSTITUTE(SUBSTITUTE(SUBSTITUTE(TO_TEXT(K638), CHAR(160),""""), UNICHAR(8239),""""), UNICHAR(8201),""""),""[+\-/(): )]"", """"))"),"4429327943566")</f>
        <v>4429327943566</v>
      </c>
      <c r="M638" s="2" t="str">
        <f>IFERROR(__xludf.DUMMYFUNCTION("IF(L638="""","""", REGEXEXTRACT(REGEXREPLACE(L638,""x"", """"), ""[0-9]+""))"),"4429327943566")</f>
        <v>4429327943566</v>
      </c>
      <c r="N638" s="2" t="str">
        <f t="shared" ref="N638:N639" si="328">IF(LEFT(M638,2)="44", RIGHT(M638,LEN(M638)-2),M638)</f>
        <v>29327943566</v>
      </c>
      <c r="O638" s="2" t="b">
        <f>IFERROR(__xludf.DUMMYFUNCTION("REGEXMATCH(TO_TEXT(N638), ""^07[1-57-9]"")"),FALSE)</f>
        <v>0</v>
      </c>
      <c r="P638" s="2">
        <f t="shared" si="321"/>
        <v>11</v>
      </c>
      <c r="Q638" s="9" t="str">
        <f t="shared" ref="Q638:Q639" si="329">IF(AND(O638=TRUE, P638=11), "✅ VALID", "❌ INVALID")</f>
        <v>❌ INVALID</v>
      </c>
      <c r="R638" s="10" t="s">
        <v>114</v>
      </c>
      <c r="S638" s="12">
        <v>44947.0</v>
      </c>
      <c r="T638" s="2" t="str">
        <f>IFERROR(__xludf.DUMMYFUNCTION("IF(ISNUMBER(S638),TEXT(S638,""yyyy-MM-dd""),REGEXREPLACE(REGEXREPLACE(TO_TEXT(S638),""[^0-9a-zA-Z]+"",""-""),""[^0-9]*$"",""""))"),"2023-01-21")</f>
        <v>2023-01-21</v>
      </c>
      <c r="U638" s="2" t="s">
        <v>8528</v>
      </c>
      <c r="Y638" s="10" t="s">
        <v>8528</v>
      </c>
    </row>
    <row r="639" ht="15.75" customHeight="1">
      <c r="A639" s="2" t="s">
        <v>7058</v>
      </c>
      <c r="B639" s="9" t="s">
        <v>7597</v>
      </c>
      <c r="C639" s="2" t="s">
        <v>5605</v>
      </c>
      <c r="D639" s="10" t="str">
        <f>IFERROR(__xludf.DUMMYFUNCTION("PROPER(REGEXREPLACE(TRIM(C639),""\s+"","" ""))"),"Uma Khan")</f>
        <v>Uma Khan</v>
      </c>
      <c r="E639" s="2">
        <f>IFERROR(__xludf.DUMMYFUNCTION("IF(LEN(D639:D701),
  COUNTA(SPLIT(D639:D701,"" "")),
 """")"),2.0)</f>
        <v>2</v>
      </c>
      <c r="F639" s="9" t="str">
        <f t="shared" si="319"/>
        <v>✅</v>
      </c>
      <c r="G639" s="2" t="str">
        <f>IFERROR(__xludf.DUMMYFUNCTION("REGEXEXTRACT(PROPER(SUBSTITUTE(TRIM(I639),""."","" "")),""^[^@]+"")"),"Uma Khan")</f>
        <v>Uma Khan</v>
      </c>
      <c r="H639" s="10" t="str">
        <f t="shared" si="320"/>
        <v>uma.khan@yahoo.com</v>
      </c>
      <c r="I639" s="2" t="s">
        <v>5606</v>
      </c>
      <c r="J639" s="9" t="str">
        <f>IFERROR(__xludf.DUMMYFUNCTION("IF(REGEXMATCH(TRIM(I639),""^[A-Za-z0-9._%+-]+@[A-Za-z0-9.-]+\.[A-Za-z]{2,}$""),""✅ Valid"",""❌ Invalid"")"),"✅ Valid")</f>
        <v>✅ Valid</v>
      </c>
      <c r="K639" s="13" t="s">
        <v>8529</v>
      </c>
      <c r="L639" s="2" t="str">
        <f>IFERROR(__xludf.DUMMYFUNCTION("IF(OR(K639=""N/A"", K639=""missing"", K639=""none""), """",
 REGEXREPLACE(
  SUBSTITUTE(SUBSTITUTE(SUBSTITUTE(TO_TEXT(K639), CHAR(160),""""), UNICHAR(8239),""""), UNICHAR(8201),""""),""[+\-/(): )]"", """"))"),"449622401904ext623")</f>
        <v>449622401904ext623</v>
      </c>
      <c r="M639" s="2" t="str">
        <f>IFERROR(__xludf.DUMMYFUNCTION("IF(L639="""","""", REGEXEXTRACT(REGEXREPLACE(L639,""x"", """"), ""[0-9]+""))"),"449622401904")</f>
        <v>449622401904</v>
      </c>
      <c r="N639" s="2" t="str">
        <f t="shared" si="328"/>
        <v>9622401904</v>
      </c>
      <c r="O639" s="2" t="b">
        <f>IFERROR(__xludf.DUMMYFUNCTION("REGEXMATCH(TO_TEXT(N639), ""^07[1-57-9]"")"),FALSE)</f>
        <v>0</v>
      </c>
      <c r="P639" s="2">
        <f t="shared" si="321"/>
        <v>10</v>
      </c>
      <c r="Q639" s="9" t="str">
        <f t="shared" si="329"/>
        <v>❌ INVALID</v>
      </c>
      <c r="R639" s="10" t="s">
        <v>114</v>
      </c>
      <c r="S639" s="12">
        <v>44985.14791666667</v>
      </c>
      <c r="T639" s="2" t="str">
        <f>IFERROR(__xludf.DUMMYFUNCTION("IF(ISNUMBER(S639),TEXT(S639,""yyyy-MM-dd""),REGEXREPLACE(REGEXREPLACE(TO_TEXT(S639),""[^0-9a-zA-Z]+"",""-""),""[^0-9]*$"",""""))"),"2023-02-28")</f>
        <v>2023-02-28</v>
      </c>
      <c r="U639" s="2" t="s">
        <v>7977</v>
      </c>
      <c r="Y639" s="10" t="s">
        <v>7977</v>
      </c>
    </row>
    <row r="640" ht="15.75" customHeight="1">
      <c r="A640" s="2" t="s">
        <v>6938</v>
      </c>
      <c r="B640" s="9" t="s">
        <v>7597</v>
      </c>
      <c r="C640" s="2" t="s">
        <v>1846</v>
      </c>
      <c r="D640" s="10" t="str">
        <f>IFERROR(__xludf.DUMMYFUNCTION("PROPER(REGEXREPLACE(TRIM(C640),""\s+"","" ""))"),"Jade Davis")</f>
        <v>Jade Davis</v>
      </c>
      <c r="E640" s="2">
        <f>IFERROR(__xludf.DUMMYFUNCTION("IF(LEN(D640:D701),
  COUNTA(SPLIT(D640:D701,"" "")),
 """")"),2.0)</f>
        <v>2</v>
      </c>
      <c r="F640" s="9" t="str">
        <f t="shared" si="319"/>
        <v>✅</v>
      </c>
      <c r="G640" s="2" t="str">
        <f>IFERROR(__xludf.DUMMYFUNCTION("REGEXEXTRACT(PROPER(SUBSTITUTE(TRIM(I640),""."","" "")),""^[^@]+"")"),"Jade Davis")</f>
        <v>Jade Davis</v>
      </c>
      <c r="H640" s="10" t="str">
        <f t="shared" si="320"/>
        <v>jade.davis@yahoo.com</v>
      </c>
      <c r="I640" s="2" t="s">
        <v>1847</v>
      </c>
      <c r="J640" s="9" t="str">
        <f>IFERROR(__xludf.DUMMYFUNCTION("IF(REGEXMATCH(TRIM(I640),""^[A-Za-z0-9._%+-]+@[A-Za-z0-9.-]+\.[A-Za-z]{2,}$""),""✅ Valid"",""❌ Invalid"")"),"✅ Valid")</f>
        <v>✅ Valid</v>
      </c>
      <c r="K640" s="13" t="s">
        <v>8530</v>
      </c>
      <c r="L640" s="2" t="str">
        <f>IFERROR(__xludf.DUMMYFUNCTION("IF(OR(K640=""N/A"", K640=""missing"", K640=""none""), """",
 REGEXREPLACE(
  SUBSTITUTE(SUBSTITUTE(SUBSTITUTE(TO_TEXT(K640), CHAR(160),""""), UNICHAR(8239),""""), UNICHAR(8201),""""),""[+\-/(): )]"", """"))"),"353855763158")</f>
        <v>353855763158</v>
      </c>
      <c r="M640" s="2" t="str">
        <f>IFERROR(__xludf.DUMMYFUNCTION("IF(L640="""","""", REGEXEXTRACT(REGEXREPLACE(L640,""x"", """"), ""[0-9]+""))"),"353855763158")</f>
        <v>353855763158</v>
      </c>
      <c r="N640" s="2" t="str">
        <f t="shared" ref="N640:N641" si="330">IF(LEFT(M640,3)="353", RIGHT(M640,LEN(M640)-3),M640)</f>
        <v>855763158</v>
      </c>
      <c r="O640" s="2" t="b">
        <f>IFERROR(__xludf.DUMMYFUNCTION("REGEXMATCH(TO_TEXT(N640), ""^0(83|85|86|87|89)"")"),FALSE)</f>
        <v>0</v>
      </c>
      <c r="P640" s="2">
        <f t="shared" si="321"/>
        <v>9</v>
      </c>
      <c r="Q640" s="9" t="str">
        <f t="shared" ref="Q640:Q641" si="331">IF(AND(O640=TRUE, P637=10), "✅ VALID", "❌ INVALID")</f>
        <v>❌ INVALID</v>
      </c>
      <c r="R640" s="10" t="s">
        <v>1177</v>
      </c>
      <c r="S640" s="12">
        <v>45580.0</v>
      </c>
      <c r="T640" s="2" t="str">
        <f>IFERROR(__xludf.DUMMYFUNCTION("IF(ISNUMBER(S640),TEXT(S640,""yyyy-MM-dd""),REGEXREPLACE(REGEXREPLACE(TO_TEXT(S640),""[^0-9a-zA-Z]+"",""-""),""[^0-9]*$"",""""))"),"2024-10-15")</f>
        <v>2024-10-15</v>
      </c>
      <c r="U640" s="2" t="s">
        <v>8531</v>
      </c>
      <c r="Y640" s="10" t="s">
        <v>8531</v>
      </c>
    </row>
    <row r="641" ht="15.75" customHeight="1">
      <c r="A641" s="2" t="s">
        <v>4752</v>
      </c>
      <c r="B641" s="9" t="s">
        <v>7597</v>
      </c>
      <c r="C641" s="2" t="s">
        <v>6517</v>
      </c>
      <c r="D641" s="10" t="str">
        <f>IFERROR(__xludf.DUMMYFUNCTION("PROPER(REGEXREPLACE(TRIM(C641),""\s+"","" ""))"),"Rita Kowalczyk")</f>
        <v>Rita Kowalczyk</v>
      </c>
      <c r="E641" s="2">
        <f>IFERROR(__xludf.DUMMYFUNCTION("IF(LEN(D641:D701),
  COUNTA(SPLIT(D641:D701,"" "")),
 """")"),2.0)</f>
        <v>2</v>
      </c>
      <c r="F641" s="9" t="str">
        <f t="shared" si="319"/>
        <v>✅</v>
      </c>
      <c r="G641" s="2" t="str">
        <f>IFERROR(__xludf.DUMMYFUNCTION("REGEXEXTRACT(PROPER(SUBSTITUTE(TRIM(I641),""."","" "")),""^[^@]+"")"),"Rita Kowalczyk")</f>
        <v>Rita Kowalczyk</v>
      </c>
      <c r="H641" s="10" t="str">
        <f t="shared" si="320"/>
        <v>rita.kowalczyk@shop.io</v>
      </c>
      <c r="I641" s="2" t="s">
        <v>6518</v>
      </c>
      <c r="J641" s="9" t="str">
        <f>IFERROR(__xludf.DUMMYFUNCTION("IF(REGEXMATCH(TRIM(I641),""^[A-Za-z0-9._%+-]+@[A-Za-z0-9.-]+\.[A-Za-z]{2,}$""),""✅ Valid"",""❌ Invalid"")"),"✅ Valid")</f>
        <v>✅ Valid</v>
      </c>
      <c r="K641" s="13" t="s">
        <v>8532</v>
      </c>
      <c r="L641" s="2" t="str">
        <f>IFERROR(__xludf.DUMMYFUNCTION("IF(OR(K641=""N/A"", K641=""missing"", K641=""none""), """",
 REGEXREPLACE(
  SUBSTITUTE(SUBSTITUTE(SUBSTITUTE(TO_TEXT(K641), CHAR(160),""""), UNICHAR(8239),""""), UNICHAR(8201),""""),""[+\-/(): )]"", """"))"),"35354203902x")</f>
        <v>35354203902x</v>
      </c>
      <c r="M641" s="2" t="str">
        <f>IFERROR(__xludf.DUMMYFUNCTION("IF(L641="""","""", REGEXEXTRACT(REGEXREPLACE(L641,""x"", """"), ""[0-9]+""))"),"35354203902")</f>
        <v>35354203902</v>
      </c>
      <c r="N641" s="2" t="str">
        <f t="shared" si="330"/>
        <v>54203902</v>
      </c>
      <c r="O641" s="2" t="b">
        <f>IFERROR(__xludf.DUMMYFUNCTION("REGEXMATCH(TO_TEXT(N641), ""^0(83|85|86|87|89)"")"),FALSE)</f>
        <v>0</v>
      </c>
      <c r="P641" s="2">
        <f t="shared" si="321"/>
        <v>8</v>
      </c>
      <c r="Q641" s="9" t="str">
        <f t="shared" si="331"/>
        <v>❌ INVALID</v>
      </c>
      <c r="R641" s="10" t="s">
        <v>1177</v>
      </c>
      <c r="S641" s="12">
        <v>45352.0</v>
      </c>
      <c r="T641" s="2" t="str">
        <f>IFERROR(__xludf.DUMMYFUNCTION("IF(ISNUMBER(S641),TEXT(S641,""yyyy-MM-dd""),REGEXREPLACE(REGEXREPLACE(TO_TEXT(S641),""[^0-9a-zA-Z]+"",""-""),""[^0-9]*$"",""""))"),"2024-03-01")</f>
        <v>2024-03-01</v>
      </c>
      <c r="U641" s="2" t="s">
        <v>7150</v>
      </c>
      <c r="Y641" s="10" t="s">
        <v>7150</v>
      </c>
    </row>
    <row r="642" ht="15.75" customHeight="1">
      <c r="A642" s="2" t="s">
        <v>6324</v>
      </c>
      <c r="B642" s="9" t="s">
        <v>7597</v>
      </c>
      <c r="C642" s="2" t="s">
        <v>1204</v>
      </c>
      <c r="D642" s="10" t="str">
        <f>IFERROR(__xludf.DUMMYFUNCTION("PROPER(REGEXREPLACE(TRIM(C642),""\s+"","" ""))"),"Uma Kowalski")</f>
        <v>Uma Kowalski</v>
      </c>
      <c r="E642" s="2">
        <f>IFERROR(__xludf.DUMMYFUNCTION("IF(LEN(D642:D701),
  COUNTA(SPLIT(D642:D701,"" "")),
 """")"),2.0)</f>
        <v>2</v>
      </c>
      <c r="F642" s="9" t="str">
        <f t="shared" si="319"/>
        <v>✅</v>
      </c>
      <c r="G642" s="2" t="str">
        <f>IFERROR(__xludf.DUMMYFUNCTION("REGEXEXTRACT(PROPER(SUBSTITUTE(TRIM(I642),""."","" "")),""^[^@]+"")"),"Uma Kowalski")</f>
        <v>Uma Kowalski</v>
      </c>
      <c r="H642" s="10" t="str">
        <f t="shared" si="320"/>
        <v>uma.kowalski@gmail.com</v>
      </c>
      <c r="I642" s="2" t="s">
        <v>1205</v>
      </c>
      <c r="J642" s="9" t="str">
        <f>IFERROR(__xludf.DUMMYFUNCTION("IF(REGEXMATCH(TRIM(I642),""^[A-Za-z0-9._%+-]+@[A-Za-z0-9.-]+\.[A-Za-z]{2,}$""),""✅ Valid"",""❌ Invalid"")"),"✅ Valid")</f>
        <v>✅ Valid</v>
      </c>
      <c r="K642" s="13" t="s">
        <v>8533</v>
      </c>
      <c r="L642" s="2" t="str">
        <f>IFERROR(__xludf.DUMMYFUNCTION("IF(OR(K642=""N/A"", K642=""missing"", K642=""none""), """",
 REGEXREPLACE(
  SUBSTITUTE(SUBSTITUTE(SUBSTITUTE(TO_TEXT(K642), CHAR(160),""""), UNICHAR(8239),""""), UNICHAR(8201),""""),""[+\-/(): )]"", """"))"),"3936324661")</f>
        <v>3936324661</v>
      </c>
      <c r="M642" s="2" t="str">
        <f>IFERROR(__xludf.DUMMYFUNCTION("IF(L642="""","""", REGEXEXTRACT(REGEXREPLACE(L642,""x"", """"), ""[0-9]+""))"),"3936324661")</f>
        <v>3936324661</v>
      </c>
      <c r="N642" s="2" t="str">
        <f>IF(LEFT(M642,2)="39", RIGHT(M642,LEN(M642)-2),M642)</f>
        <v>36324661</v>
      </c>
      <c r="O642" s="2" t="b">
        <f>IFERROR(__xludf.DUMMYFUNCTION("REGEXMATCH(TO_TEXT(N642), ""^3"")"),TRUE)</f>
        <v>1</v>
      </c>
      <c r="P642" s="2">
        <f t="shared" si="321"/>
        <v>8</v>
      </c>
      <c r="Q642" s="9" t="str">
        <f>IF(AND(O642=TRUE,OR(P642=9, P642=10 )), "✅ VALID", "❌ INVALID")</f>
        <v>❌ INVALID</v>
      </c>
      <c r="R642" s="10" t="s">
        <v>785</v>
      </c>
      <c r="S642" s="12">
        <v>44758.13888888889</v>
      </c>
      <c r="T642" s="2" t="str">
        <f>IFERROR(__xludf.DUMMYFUNCTION("IF(ISNUMBER(S642),TEXT(S642,""yyyy-MM-dd""),REGEXREPLACE(REGEXREPLACE(TO_TEXT(S642),""[^0-9a-zA-Z]+"",""-""),""[^0-9]*$"",""""))"),"2022-07-16")</f>
        <v>2022-07-16</v>
      </c>
      <c r="U642" s="2" t="s">
        <v>8219</v>
      </c>
      <c r="Y642" s="10" t="s">
        <v>8219</v>
      </c>
    </row>
    <row r="643" ht="15.75" customHeight="1">
      <c r="A643" s="2" t="s">
        <v>1491</v>
      </c>
      <c r="B643" s="9" t="s">
        <v>7597</v>
      </c>
      <c r="C643" s="2" t="s">
        <v>5784</v>
      </c>
      <c r="D643" s="10" t="str">
        <f>IFERROR(__xludf.DUMMYFUNCTION("PROPER(REGEXREPLACE(TRIM(C643),""\s+"","" ""))"),"Daria Martinez")</f>
        <v>Daria Martinez</v>
      </c>
      <c r="E643" s="2">
        <f>IFERROR(__xludf.DUMMYFUNCTION("IF(LEN(D643:D701),
  COUNTA(SPLIT(D643:D701,"" "")),
 """")"),2.0)</f>
        <v>2</v>
      </c>
      <c r="F643" s="9" t="str">
        <f t="shared" si="319"/>
        <v>✅</v>
      </c>
      <c r="G643" s="2" t="str">
        <f>IFERROR(__xludf.DUMMYFUNCTION("REGEXEXTRACT(PROPER(SUBSTITUTE(TRIM(I643),""."","" "")),""^[^@]+"")"),"Daria Martinez")</f>
        <v>Daria Martinez</v>
      </c>
      <c r="H643" s="10" t="str">
        <f t="shared" si="320"/>
        <v>daria.martinez@yahoo.com</v>
      </c>
      <c r="I643" s="2" t="s">
        <v>5785</v>
      </c>
      <c r="J643" s="9" t="str">
        <f>IFERROR(__xludf.DUMMYFUNCTION("IF(REGEXMATCH(TRIM(I643),""^[A-Za-z0-9._%+-]+@[A-Za-z0-9.-]+\.[A-Za-z]{2,}$""),""✅ Valid"",""❌ Invalid"")"),"✅ Valid")</f>
        <v>✅ Valid</v>
      </c>
      <c r="K643" s="17" t="s">
        <v>8534</v>
      </c>
      <c r="L643" s="2" t="str">
        <f>IFERROR(__xludf.DUMMYFUNCTION("IF(K643=""N/A"", """",
 REGEXREPLACE(
  SUBSTITUTE(SUBSTITUTE(SUBSTITUTE(TO_TEXT(K643), CHAR(160),""""), UNICHAR(8239),""""), UNICHAR(8201),""""),""[+\-/(): )]"", """"))"),"4842088284")</f>
        <v>4842088284</v>
      </c>
      <c r="M643" s="2" t="str">
        <f>IFERROR(__xludf.DUMMYFUNCTION("IF(L643="""","""", REGEXEXTRACT(REGEXREPLACE(L643,""x"", """"), ""[0-9]+""))"),"4842088284")</f>
        <v>4842088284</v>
      </c>
      <c r="N643" s="2" t="str">
        <f>IF(LEFT(M643,2)="48", RIGHT(M643,LEN(M643)-2),M643)</f>
        <v>42088284</v>
      </c>
      <c r="O643" s="2" t="b">
        <f>IFERROR(__xludf.DUMMYFUNCTION("REGEXMATCH(TO_TEXT(N643), ""^(5[013679]|6[069]|7[2-9]|88)"")"),FALSE)</f>
        <v>0</v>
      </c>
      <c r="Q643" s="9" t="str">
        <f>IF(AND(O643=TRUE, P643=9), "✅ VALID", "❌ INVALID")</f>
        <v>❌ INVALID</v>
      </c>
      <c r="R643" s="10" t="s">
        <v>25</v>
      </c>
      <c r="S643" s="12">
        <v>45108.0</v>
      </c>
      <c r="T643" s="2" t="str">
        <f>IFERROR(__xludf.DUMMYFUNCTION("IF(ISNUMBER(S643),TEXT(S643,""yyyy-MM-dd""),REGEXREPLACE(REGEXREPLACE(TO_TEXT(S643),""[^0-9a-zA-Z]+"",""-""),""[^0-9]*$"",""""))"),"2023-07-01")</f>
        <v>2023-07-01</v>
      </c>
      <c r="U643" s="2" t="s">
        <v>7859</v>
      </c>
      <c r="Y643" s="10" t="s">
        <v>7859</v>
      </c>
    </row>
    <row r="644" ht="15.75" customHeight="1">
      <c r="A644" s="2" t="s">
        <v>2635</v>
      </c>
      <c r="B644" s="9" t="s">
        <v>7597</v>
      </c>
      <c r="C644" s="2" t="s">
        <v>1043</v>
      </c>
      <c r="D644" s="10" t="str">
        <f>IFERROR(__xludf.DUMMYFUNCTION("PROPER(REGEXREPLACE(TRIM(C644),""\s+"","" ""))"),"Yara Khan")</f>
        <v>Yara Khan</v>
      </c>
      <c r="E644" s="2">
        <f>IFERROR(__xludf.DUMMYFUNCTION("IF(LEN(D644:D701),
  COUNTA(SPLIT(D644:D701,"" "")),
 """")"),2.0)</f>
        <v>2</v>
      </c>
      <c r="F644" s="9" t="str">
        <f t="shared" si="319"/>
        <v>✅</v>
      </c>
      <c r="G644" s="2" t="str">
        <f>IFERROR(__xludf.DUMMYFUNCTION("REGEXEXTRACT(PROPER(SUBSTITUTE(TRIM(I644),""."","" "")),""^[^@]+"")"),"Yara Khan")</f>
        <v>Yara Khan</v>
      </c>
      <c r="H644" s="10" t="str">
        <f t="shared" si="320"/>
        <v>yara.khan@company.co.uk</v>
      </c>
      <c r="I644" s="2" t="s">
        <v>1044</v>
      </c>
      <c r="J644" s="9" t="str">
        <f>IFERROR(__xludf.DUMMYFUNCTION("IF(REGEXMATCH(TRIM(I644),""^[A-Za-z0-9._%+-]+@[A-Za-z0-9.-]+\.[A-Za-z]{2,}$""),""✅ Valid"",""❌ Invalid"")"),"✅ Valid")</f>
        <v>✅ Valid</v>
      </c>
      <c r="K644" s="13" t="s">
        <v>8535</v>
      </c>
      <c r="L644" s="2" t="str">
        <f>IFERROR(__xludf.DUMMYFUNCTION("IF(OR(K644=""N/A"", K644=""missing"", K644=""none""), """",
 REGEXREPLACE(
  SUBSTITUTE(SUBSTITUTE(SUBSTITUTE(TO_TEXT(K644), CHAR(160),""""), UNICHAR(8239),""""), UNICHAR(8201),""""),""[+\-/(): )]"", """"))"),"55379369x8")</f>
        <v>55379369x8</v>
      </c>
      <c r="M644" s="2" t="str">
        <f>IFERROR(__xludf.DUMMYFUNCTION("IF(L644="""","""", REGEXEXTRACT(REGEXREPLACE(L644,""x"", """"), ""[0-9]+""))"),"553793698")</f>
        <v>553793698</v>
      </c>
      <c r="N644" s="2" t="str">
        <f t="shared" ref="N644:N645" si="332">IF(LEFT(M644,2)="39", RIGHT(M644,LEN(M644)-2),M644)</f>
        <v>553793698</v>
      </c>
      <c r="O644" s="2" t="b">
        <f>IFERROR(__xludf.DUMMYFUNCTION("REGEXMATCH(TO_TEXT(N644), ""^3"")"),FALSE)</f>
        <v>0</v>
      </c>
      <c r="P644" s="2">
        <f t="shared" ref="P644:P659" si="333">LEN(N644)</f>
        <v>9</v>
      </c>
      <c r="Q644" s="9" t="str">
        <f t="shared" ref="Q644:Q645" si="334">IF(AND(O644=TRUE,OR(P644=9, P644=10 )), "✅ VALID", "❌ INVALID")</f>
        <v>❌ INVALID</v>
      </c>
      <c r="R644" s="10" t="s">
        <v>785</v>
      </c>
      <c r="S644" s="12">
        <v>45223.0</v>
      </c>
      <c r="T644" s="2" t="str">
        <f>IFERROR(__xludf.DUMMYFUNCTION("IF(ISNUMBER(S644),TEXT(S644,""yyyy-MM-dd""),REGEXREPLACE(REGEXREPLACE(TO_TEXT(S644),""[^0-9a-zA-Z]+"",""-""),""[^0-9]*$"",""""))"),"2023-10-24")</f>
        <v>2023-10-24</v>
      </c>
      <c r="U644" s="2" t="s">
        <v>7936</v>
      </c>
      <c r="Y644" s="10" t="s">
        <v>7936</v>
      </c>
    </row>
    <row r="645" ht="15.75" customHeight="1">
      <c r="A645" s="2" t="s">
        <v>6218</v>
      </c>
      <c r="B645" s="9" t="s">
        <v>7597</v>
      </c>
      <c r="C645" s="16" t="s">
        <v>8536</v>
      </c>
      <c r="D645" s="10" t="str">
        <f>IFERROR(__xludf.DUMMYFUNCTION("PROPER(REGEXREPLACE(TRIM(C645),""\s+"","" ""))"),"Qi Lopez")</f>
        <v>Qi Lopez</v>
      </c>
      <c r="E645" s="2">
        <f>IFERROR(__xludf.DUMMYFUNCTION("IF(LEN(D645:D701),
  COUNTA(SPLIT(D645:D701,"" "")),
 """")"),2.0)</f>
        <v>2</v>
      </c>
      <c r="F645" s="9" t="str">
        <f t="shared" si="319"/>
        <v>✅</v>
      </c>
      <c r="G645" s="2" t="str">
        <f>IFERROR(__xludf.DUMMYFUNCTION("REGEXEXTRACT(PROPER(SUBSTITUTE(TRIM(I645),""."","" "")),""^[^@]+"")"),"Qi Lopez")</f>
        <v>Qi Lopez</v>
      </c>
      <c r="H645" s="10" t="str">
        <f t="shared" si="320"/>
        <v>qi.lopez@outlook.com</v>
      </c>
      <c r="I645" s="2" t="s">
        <v>2845</v>
      </c>
      <c r="J645" s="9" t="str">
        <f>IFERROR(__xludf.DUMMYFUNCTION("IF(REGEXMATCH(TRIM(I645),""^[A-Za-z0-9._%+-]+@[A-Za-z0-9.-]+\.[A-Za-z]{2,}$""),""✅ Valid"",""❌ Invalid"")"),"✅ Valid")</f>
        <v>✅ Valid</v>
      </c>
      <c r="K645" s="13" t="s">
        <v>8537</v>
      </c>
      <c r="L645" s="2" t="str">
        <f>IFERROR(__xludf.DUMMYFUNCTION("IF(OR(K645=""N/A"", K645=""missing"", K645=""none""), """",
 REGEXREPLACE(
  SUBSTITUTE(SUBSTITUTE(SUBSTITUTE(TO_TEXT(K645), CHAR(160),""""), UNICHAR(8239),""""), UNICHAR(8201),""""),""[+\-/(): )]"", """"))"),"65942472")</f>
        <v>65942472</v>
      </c>
      <c r="M645" s="2" t="str">
        <f>IFERROR(__xludf.DUMMYFUNCTION("IF(L645="""","""", REGEXEXTRACT(REGEXREPLACE(L645,""x"", """"), ""[0-9]+""))"),"65942472")</f>
        <v>65942472</v>
      </c>
      <c r="N645" s="2" t="str">
        <f t="shared" si="332"/>
        <v>65942472</v>
      </c>
      <c r="O645" s="2" t="b">
        <f>IFERROR(__xludf.DUMMYFUNCTION("REGEXMATCH(TO_TEXT(N645), ""^3"")"),FALSE)</f>
        <v>0</v>
      </c>
      <c r="P645" s="2">
        <f t="shared" si="333"/>
        <v>8</v>
      </c>
      <c r="Q645" s="9" t="str">
        <f t="shared" si="334"/>
        <v>❌ INVALID</v>
      </c>
      <c r="R645" s="10" t="s">
        <v>785</v>
      </c>
      <c r="S645" s="12">
        <v>45867.0</v>
      </c>
      <c r="T645" s="2" t="str">
        <f>IFERROR(__xludf.DUMMYFUNCTION("IF(ISNUMBER(S645),TEXT(S645,""yyyy-MM-dd""),REGEXREPLACE(REGEXREPLACE(TO_TEXT(S645),""[^0-9a-zA-Z]+"",""-""),""[^0-9]*$"",""""))"),"2025-07-29")</f>
        <v>2025-07-29</v>
      </c>
      <c r="U645" s="2" t="s">
        <v>8538</v>
      </c>
      <c r="Y645" s="10" t="s">
        <v>8538</v>
      </c>
    </row>
    <row r="646" ht="15.75" customHeight="1">
      <c r="A646" s="2" t="s">
        <v>1690</v>
      </c>
      <c r="B646" s="9" t="s">
        <v>7597</v>
      </c>
      <c r="C646" s="2" t="s">
        <v>546</v>
      </c>
      <c r="D646" s="10" t="s">
        <v>8539</v>
      </c>
      <c r="E646" s="2">
        <f>IFERROR(__xludf.DUMMYFUNCTION("IF(LEN(D646:D701),
  COUNTA(SPLIT(D646:D701,"" "")),
 """")"),2.0)</f>
        <v>2</v>
      </c>
      <c r="F646" s="9" t="str">
        <f t="shared" si="319"/>
        <v>✅</v>
      </c>
      <c r="G646" s="2" t="s">
        <v>8539</v>
      </c>
      <c r="H646" s="10" t="str">
        <f t="shared" si="320"/>
        <v>qi.johnson@company.co.uk</v>
      </c>
      <c r="I646" s="2" t="s">
        <v>547</v>
      </c>
      <c r="J646" s="9" t="str">
        <f>IFERROR(__xludf.DUMMYFUNCTION("IF(REGEXMATCH(TRIM(I646),""^[A-Za-z0-9._%+-]+@[A-Za-z0-9.-]+\.[A-Za-z]{2,}$""),""✅ Valid"",""❌ Invalid"")"),"✅ Valid")</f>
        <v>✅ Valid</v>
      </c>
      <c r="K646" s="13" t="s">
        <v>8540</v>
      </c>
      <c r="L646" s="2" t="str">
        <f>IFERROR(__xludf.DUMMYFUNCTION("IF(OR(K646=""N/A"", K646=""missing"", K646=""none""), """",
 REGEXREPLACE(
  SUBSTITUTE(SUBSTITUTE(SUBSTITUTE(TO_TEXT(K646), CHAR(160),""""), UNICHAR(8239),""""), UNICHAR(8201),""""),""[+\-/(): )]"", """"))"),"6886331385")</f>
        <v>6886331385</v>
      </c>
      <c r="M646" s="2" t="str">
        <f>IFERROR(__xludf.DUMMYFUNCTION("IF(L646="""","""", REGEXEXTRACT(REGEXREPLACE(L646,""x"", """"), ""[0-9]+""))"),"6886331385")</f>
        <v>6886331385</v>
      </c>
      <c r="N646" s="2" t="str">
        <f>IF(LEFT(M646,3)="353", RIGHT(M646,LEN(M646)-3),M646)</f>
        <v>6886331385</v>
      </c>
      <c r="O646" s="2" t="b">
        <f>IFERROR(__xludf.DUMMYFUNCTION("REGEXMATCH(TO_TEXT(N646), ""^0(83|85|86|87|89)"")"),FALSE)</f>
        <v>0</v>
      </c>
      <c r="P646" s="2">
        <f t="shared" si="333"/>
        <v>10</v>
      </c>
      <c r="Q646" s="9" t="str">
        <f>IF(AND(O646=TRUE, P643=10), "✅ VALID", "❌ INVALID")</f>
        <v>❌ INVALID</v>
      </c>
      <c r="R646" s="10" t="s">
        <v>1177</v>
      </c>
      <c r="S646" s="12">
        <v>45327.0</v>
      </c>
      <c r="T646" s="2" t="str">
        <f>IFERROR(__xludf.DUMMYFUNCTION("IF(ISNUMBER(S646),TEXT(S646,""yyyy-MM-dd""),REGEXREPLACE(REGEXREPLACE(TO_TEXT(S646),""[^0-9a-zA-Z]+"",""-""),""[^0-9]*$"",""""))"),"2024-02-05")</f>
        <v>2024-02-05</v>
      </c>
      <c r="U646" s="2" t="s">
        <v>8541</v>
      </c>
      <c r="Y646" s="10" t="s">
        <v>8541</v>
      </c>
    </row>
    <row r="647" ht="15.75" customHeight="1">
      <c r="A647" s="2" t="s">
        <v>6888</v>
      </c>
      <c r="B647" s="9" t="s">
        <v>7597</v>
      </c>
      <c r="C647" s="2" t="s">
        <v>4581</v>
      </c>
      <c r="D647" s="10" t="str">
        <f>IFERROR(__xludf.DUMMYFUNCTION("PROPER(REGEXREPLACE(TRIM(C647),""\s+"","" ""))"),"Sam King")</f>
        <v>Sam King</v>
      </c>
      <c r="E647" s="2">
        <f>IFERROR(__xludf.DUMMYFUNCTION("IF(LEN(D647:D701),
  COUNTA(SPLIT(D647:D701,"" "")),
 """")"),2.0)</f>
        <v>2</v>
      </c>
      <c r="F647" s="9" t="str">
        <f t="shared" si="319"/>
        <v>✅</v>
      </c>
      <c r="G647" s="2" t="str">
        <f>IFERROR(__xludf.DUMMYFUNCTION("REGEXEXTRACT(PROPER(SUBSTITUTE(TRIM(I647),""."","" "")),""^[^@]+"")"),"Sam King")</f>
        <v>Sam King</v>
      </c>
      <c r="H647" s="10" t="str">
        <f t="shared" si="320"/>
        <v>sam.king@company.co.uk</v>
      </c>
      <c r="I647" s="2" t="s">
        <v>7133</v>
      </c>
      <c r="J647" s="9" t="str">
        <f>IFERROR(__xludf.DUMMYFUNCTION("IF(REGEXMATCH(TRIM(I647),""^[A-Za-z0-9._%+-]+@[A-Za-z0-9.-]+\.[A-Za-z]{2,}$""),""✅ Valid"",""❌ Invalid"")"),"✅ Valid")</f>
        <v>✅ Valid</v>
      </c>
      <c r="K647" s="13" t="s">
        <v>8542</v>
      </c>
      <c r="L647" s="2" t="str">
        <f>IFERROR(__xludf.DUMMYFUNCTION("IF(OR(K647=""N/A"", K647=""missing"", K647=""none""), """",
 REGEXREPLACE(
  SUBSTITUTE(SUBSTITUTE(SUBSTITUTE(TO_TEXT(K647), CHAR(160),""""), UNICHAR(8239),""""), UNICHAR(8201),""""),""[+\-/(): )]"", """"))"),"011061246x6")</f>
        <v>011061246x6</v>
      </c>
      <c r="M647" s="2" t="str">
        <f>IFERROR(__xludf.DUMMYFUNCTION("IF(L647="""","""", REGEXEXTRACT(REGEXREPLACE(L647,""x"", """"), ""[0-9]+""))"),"0110612466")</f>
        <v>0110612466</v>
      </c>
      <c r="N647" s="2" t="str">
        <f>IF(LEFT(M647,2)="44", RIGHT(M647,LEN(M647)-2),M647)</f>
        <v>0110612466</v>
      </c>
      <c r="O647" s="2" t="b">
        <f>IFERROR(__xludf.DUMMYFUNCTION("REGEXMATCH(TO_TEXT(N647), ""^07[1-57-9]"")"),FALSE)</f>
        <v>0</v>
      </c>
      <c r="P647" s="2">
        <f t="shared" si="333"/>
        <v>10</v>
      </c>
      <c r="Q647" s="9" t="str">
        <f>IF(AND(O647=TRUE, P647=11), "✅ VALID", "❌ INVALID")</f>
        <v>❌ INVALID</v>
      </c>
      <c r="R647" s="10" t="s">
        <v>114</v>
      </c>
      <c r="S647" s="12">
        <v>44897.0</v>
      </c>
      <c r="T647" s="2" t="str">
        <f>IFERROR(__xludf.DUMMYFUNCTION("IF(ISNUMBER(S647),TEXT(S647,""yyyy-MM-dd""),REGEXREPLACE(REGEXREPLACE(TO_TEXT(S647),""[^0-9a-zA-Z]+"",""-""),""[^0-9]*$"",""""))"),"2022-12-02")</f>
        <v>2022-12-02</v>
      </c>
      <c r="U647" s="2" t="s">
        <v>6662</v>
      </c>
      <c r="Y647" s="10" t="s">
        <v>6662</v>
      </c>
    </row>
    <row r="648" ht="15.75" customHeight="1">
      <c r="A648" s="2" t="s">
        <v>5004</v>
      </c>
      <c r="B648" s="9" t="s">
        <v>7597</v>
      </c>
      <c r="C648" s="2" t="s">
        <v>6164</v>
      </c>
      <c r="D648" s="10" t="str">
        <f>IFERROR(__xludf.DUMMYFUNCTION("PROPER(REGEXREPLACE(TRIM(C648),""\s+"","" ""))"),"Rita Dubois")</f>
        <v>Rita Dubois</v>
      </c>
      <c r="E648" s="2">
        <f>IFERROR(__xludf.DUMMYFUNCTION("IF(LEN(D648:D701),
  COUNTA(SPLIT(D648:D701,"" "")),
 """")"),2.0)</f>
        <v>2</v>
      </c>
      <c r="F648" s="9" t="str">
        <f t="shared" si="319"/>
        <v>✅</v>
      </c>
      <c r="G648" s="2" t="str">
        <f>IFERROR(__xludf.DUMMYFUNCTION("REGEXEXTRACT(PROPER(SUBSTITUTE(TRIM(I648),""."","" "")),""^[^@]+"")"),"Rita Dubois")</f>
        <v>Rita Dubois</v>
      </c>
      <c r="H648" s="10" t="str">
        <f t="shared" si="320"/>
        <v>rita.dubois@sho.pio</v>
      </c>
      <c r="I648" s="2" t="s">
        <v>6165</v>
      </c>
      <c r="J648" s="9" t="str">
        <f>IFERROR(__xludf.DUMMYFUNCTION("IF(REGEXMATCH(TRIM(I648),""^[A-Za-z0-9._%+-]+@[A-Za-z0-9.-]+\.[A-Za-z]{2,}$""),""✅ Valid"",""❌ Invalid"")"),"✅ Valid")</f>
        <v>✅ Valid</v>
      </c>
      <c r="K648" s="13" t="s">
        <v>8543</v>
      </c>
      <c r="L648" s="2" t="str">
        <f>IFERROR(__xludf.DUMMYFUNCTION("IF(OR(K648=""N/A"", K648=""missing"", K648=""none""), """",
 REGEXREPLACE(
  SUBSTITUTE(SUBSTITUTE(SUBSTITUTE(TO_TEXT(K648), CHAR(160),""""), UNICHAR(8239),""""), UNICHAR(8201),""""),""[+\-/(): )]"", """"))"),"35316022688ext775")</f>
        <v>35316022688ext775</v>
      </c>
      <c r="M648" s="2" t="str">
        <f>IFERROR(__xludf.DUMMYFUNCTION("IF(L648="""","""", REGEXEXTRACT(REGEXREPLACE(L648,""x"", """"), ""[0-9]+""))"),"35316022688")</f>
        <v>35316022688</v>
      </c>
      <c r="N648" s="2" t="str">
        <f>IF(LEFT(M648,3)="353", RIGHT(M648,LEN(M648)-3),M648)</f>
        <v>16022688</v>
      </c>
      <c r="O648" s="2" t="b">
        <f>IFERROR(__xludf.DUMMYFUNCTION("REGEXMATCH(TO_TEXT(N648), ""^0(83|85|86|87|89)"")"),FALSE)</f>
        <v>0</v>
      </c>
      <c r="P648" s="2">
        <f t="shared" si="333"/>
        <v>8</v>
      </c>
      <c r="Q648" s="9" t="str">
        <f>IF(AND(O648=TRUE, P645=10), "✅ VALID", "❌ INVALID")</f>
        <v>❌ INVALID</v>
      </c>
      <c r="R648" s="10" t="s">
        <v>1177</v>
      </c>
      <c r="S648" s="12" t="s">
        <v>7044</v>
      </c>
      <c r="T648" s="2" t="str">
        <f>IFERROR(__xludf.DUMMYFUNCTION("IF(ISNUMBER(S648),TEXT(S648,""yyyy-MM-dd""),REGEXREPLACE(REGEXREPLACE(TO_TEXT(S648),""[^0-9a-zA-Z]+"",""-""),""[^0-9]*$"",""""))"),"22-02-2024-07-05")</f>
        <v>22-02-2024-07-05</v>
      </c>
      <c r="U648" s="2" t="str">
        <f>TEXT(T648,"yyyy-MM-dd")</f>
        <v>22-02-2024-07-05</v>
      </c>
      <c r="V648" s="2" t="str">
        <f>IFERROR(__xludf.DUMMYFUNCTION("REGEXEXTRACT(U648,""^\d{2}-\d{2}-\d{4}"")"),"22-02-2024")</f>
        <v>22-02-2024</v>
      </c>
      <c r="W648" s="2" t="s">
        <v>8544</v>
      </c>
      <c r="Y648" s="10" t="s">
        <v>8544</v>
      </c>
    </row>
    <row r="649" ht="15.75" customHeight="1">
      <c r="A649" s="2" t="s">
        <v>2259</v>
      </c>
      <c r="B649" s="9" t="s">
        <v>7597</v>
      </c>
      <c r="C649" s="2" t="s">
        <v>561</v>
      </c>
      <c r="D649" s="10" t="str">
        <f>IFERROR(__xludf.DUMMYFUNCTION("PROPER(REGEXREPLACE(TRIM(C649),""\s+"","" ""))"),"Omar Rodriguez")</f>
        <v>Omar Rodriguez</v>
      </c>
      <c r="E649" s="2">
        <f>IFERROR(__xludf.DUMMYFUNCTION("IF(LEN(D649:D701),
  COUNTA(SPLIT(D649:D701,"" "")),
 """")"),2.0)</f>
        <v>2</v>
      </c>
      <c r="F649" s="9" t="str">
        <f t="shared" si="319"/>
        <v>❌</v>
      </c>
      <c r="G649" s="2" t="s">
        <v>8545</v>
      </c>
      <c r="H649" s="10" t="str">
        <f t="shared" si="320"/>
        <v>omar.ordriguez@gmail.com</v>
      </c>
      <c r="I649" s="2" t="s">
        <v>562</v>
      </c>
      <c r="J649" s="9" t="str">
        <f>IFERROR(__xludf.DUMMYFUNCTION("IF(REGEXMATCH(TRIM(I649),""^[A-Za-z0-9._%+-]+@[A-Za-z0-9.-]+\.[A-Za-z]{2,}$""),""✅ Valid"",""❌ Invalid"")"),"✅ Valid")</f>
        <v>✅ Valid</v>
      </c>
      <c r="K649" s="13" t="s">
        <v>8546</v>
      </c>
      <c r="L649" s="2" t="str">
        <f>IFERROR(__xludf.DUMMYFUNCTION("IF(OR(K649=""N/A"", K649=""missing"", K649=""none""), """",
 REGEXREPLACE(
  SUBSTITUTE(SUBSTITUTE(SUBSTITUTE(TO_TEXT(K649), CHAR(160),""""), UNICHAR(8239),""""), UNICHAR(8201),""""),""[+\-/(): )]"", """"))"),"33092991996")</f>
        <v>33092991996</v>
      </c>
      <c r="M649" s="2" t="str">
        <f>IFERROR(__xludf.DUMMYFUNCTION("IF(L649="""","""", REGEXEXTRACT(REGEXREPLACE(L649,""x"", """"), ""[0-9]+""))"),"33092991996")</f>
        <v>33092991996</v>
      </c>
      <c r="N649" s="2" t="str">
        <f>IF(LEFT(M649,2)="33", RIGHT(M649,LEN(M649)-2),M649)</f>
        <v>092991996</v>
      </c>
      <c r="O649" s="2" t="b">
        <f>IFERROR(__xludf.DUMMYFUNCTION("REGEXMATCH(TO_TEXT(N649), ""^0[67]"")"),FALSE)</f>
        <v>0</v>
      </c>
      <c r="P649" s="2">
        <f t="shared" si="333"/>
        <v>9</v>
      </c>
      <c r="Q649" s="9" t="str">
        <f t="shared" ref="Q649:Q652" si="335">IF(AND(O649=TRUE, P649=9), "✅ VALID", "❌ INVALID")</f>
        <v>❌ INVALID</v>
      </c>
      <c r="R649" s="10" t="s">
        <v>58</v>
      </c>
      <c r="S649" s="12">
        <v>44689.0</v>
      </c>
      <c r="T649" s="2" t="str">
        <f>IFERROR(__xludf.DUMMYFUNCTION("IF(ISNUMBER(S649),TEXT(S649,""yyyy-MM-dd""),REGEXREPLACE(REGEXREPLACE(TO_TEXT(S649),""[^0-9a-zA-Z]+"",""-""),""[^0-9]*$"",""""))"),"2022-05-08")</f>
        <v>2022-05-08</v>
      </c>
      <c r="U649" s="2" t="s">
        <v>7643</v>
      </c>
      <c r="Y649" s="10" t="s">
        <v>7643</v>
      </c>
    </row>
    <row r="650" ht="15.75" customHeight="1">
      <c r="A650" s="2" t="s">
        <v>6954</v>
      </c>
      <c r="B650" s="9" t="s">
        <v>7597</v>
      </c>
      <c r="C650" s="2" t="s">
        <v>6703</v>
      </c>
      <c r="D650" s="10" t="str">
        <f>IFERROR(__xludf.DUMMYFUNCTION("PROPER(REGEXREPLACE(TRIM(C650),""\s+"","" ""))"),"Yara Martinez")</f>
        <v>Yara Martinez</v>
      </c>
      <c r="E650" s="2">
        <f>IFERROR(__xludf.DUMMYFUNCTION("IF(LEN(D650:D701),
  COUNTA(SPLIT(D650:D701,"" "")),
 """")"),2.0)</f>
        <v>2</v>
      </c>
      <c r="F650" s="9" t="str">
        <f t="shared" si="319"/>
        <v>✅</v>
      </c>
      <c r="G650" s="2" t="str">
        <f>IFERROR(__xludf.DUMMYFUNCTION("REGEXEXTRACT(PROPER(SUBSTITUTE(TRIM(I650),""."","" "")),""^[^@]+"")"),"Yara Martinez")</f>
        <v>Yara Martinez</v>
      </c>
      <c r="H650" s="10" t="str">
        <f t="shared" si="320"/>
        <v>yara.martinez@shop.io</v>
      </c>
      <c r="I650" s="2" t="s">
        <v>6704</v>
      </c>
      <c r="J650" s="9" t="str">
        <f>IFERROR(__xludf.DUMMYFUNCTION("IF(REGEXMATCH(TRIM(I650),""^[A-Za-z0-9._%+-]+@[A-Za-z0-9.-]+\.[A-Za-z]{2,}$""),""✅ Valid"",""❌ Invalid"")"),"✅ Valid")</f>
        <v>✅ Valid</v>
      </c>
      <c r="K650" s="15" t="s">
        <v>8547</v>
      </c>
      <c r="L650" s="2" t="str">
        <f>IFERROR(__xludf.DUMMYFUNCTION("IF(K650=""N/A"", """",
 REGEXREPLACE(
  SUBSTITUTE(SUBSTITUTE(SUBSTITUTE(TO_TEXT(K650), CHAR(160),""""), UNICHAR(8239),""""), UNICHAR(8201),""""),""[+\-/(): )]"", """"))"),"74709997")</f>
        <v>74709997</v>
      </c>
      <c r="M650" s="2" t="str">
        <f>IFERROR(__xludf.DUMMYFUNCTION("IF(L650="""","""", REGEXEXTRACT(REGEXREPLACE(L650,""x"", """"), ""[0-9]+""))"),"74709997")</f>
        <v>74709997</v>
      </c>
      <c r="N650" s="2" t="str">
        <f>IF(LEFT(M650,2)="48", RIGHT(M650,LEN(M650)-2),M650)</f>
        <v>74709997</v>
      </c>
      <c r="O650" s="2" t="b">
        <f>IFERROR(__xludf.DUMMYFUNCTION("REGEXMATCH(TO_TEXT(N650), ""^(5[013679]|6[069]|7[2-9]|88)"")"),TRUE)</f>
        <v>1</v>
      </c>
      <c r="P650" s="2">
        <f t="shared" si="333"/>
        <v>8</v>
      </c>
      <c r="Q650" s="9" t="str">
        <f t="shared" si="335"/>
        <v>❌ INVALID</v>
      </c>
      <c r="R650" s="10" t="s">
        <v>25</v>
      </c>
      <c r="S650" s="12">
        <v>45107.0</v>
      </c>
      <c r="T650" s="2" t="str">
        <f>IFERROR(__xludf.DUMMYFUNCTION("IF(ISNUMBER(S650),TEXT(S650,""yyyy-MM-dd""),REGEXREPLACE(REGEXREPLACE(TO_TEXT(S650),""[^0-9a-zA-Z]+"",""-""),""[^0-9]*$"",""""))"),"2023-06-30")</f>
        <v>2023-06-30</v>
      </c>
      <c r="U650" s="2" t="s">
        <v>6729</v>
      </c>
      <c r="Y650" s="10" t="s">
        <v>6729</v>
      </c>
    </row>
    <row r="651" ht="15.75" customHeight="1">
      <c r="A651" s="2" t="s">
        <v>3463</v>
      </c>
      <c r="B651" s="9" t="s">
        <v>7597</v>
      </c>
      <c r="C651" s="2" t="s">
        <v>867</v>
      </c>
      <c r="D651" s="10" t="str">
        <f>IFERROR(__xludf.DUMMYFUNCTION("PROPER(REGEXREPLACE(TRIM(C651),""\s+"","" ""))"),"Wiktor Lee")</f>
        <v>Wiktor Lee</v>
      </c>
      <c r="E651" s="2">
        <f>IFERROR(__xludf.DUMMYFUNCTION("IF(LEN(D651:D701),
  COUNTA(SPLIT(D651:D701,"" "")),
 """")"),2.0)</f>
        <v>2</v>
      </c>
      <c r="F651" s="9" t="str">
        <f t="shared" si="319"/>
        <v>✅</v>
      </c>
      <c r="G651" s="2" t="str">
        <f>IFERROR(__xludf.DUMMYFUNCTION("REGEXEXTRACT(PROPER(SUBSTITUTE(TRIM(I651),""."","" "")),""^[^@]+"")"),"Wiktor Lee")</f>
        <v>Wiktor Lee</v>
      </c>
      <c r="H651" s="10" t="str">
        <f t="shared" si="320"/>
        <v>wiktor.lee@example.com</v>
      </c>
      <c r="I651" s="2" t="s">
        <v>3471</v>
      </c>
      <c r="J651" s="9" t="str">
        <f>IFERROR(__xludf.DUMMYFUNCTION("IF(REGEXMATCH(TRIM(I651),""^[A-Za-z0-9._%+-]+@[A-Za-z0-9.-]+\.[A-Za-z]{2,}$""),""✅ Valid"",""❌ Invalid"")"),"✅ Valid")</f>
        <v>✅ Valid</v>
      </c>
      <c r="K651" s="13" t="s">
        <v>8548</v>
      </c>
      <c r="L651" s="2" t="str">
        <f>IFERROR(__xludf.DUMMYFUNCTION("IF(OR(K651=""N/A"", K651=""missing"", K651=""none""), """",
 REGEXREPLACE(
  SUBSTITUTE(SUBSTITUTE(SUBSTITUTE(TO_TEXT(K651), CHAR(160),""""), UNICHAR(8239),""""), UNICHAR(8201),""""),""[+\-/(): )]"", """"))"),"39969078")</f>
        <v>39969078</v>
      </c>
      <c r="M651" s="2" t="str">
        <f>IFERROR(__xludf.DUMMYFUNCTION("IF(L651="""","""", REGEXEXTRACT(REGEXREPLACE(L651,""x"", """"), ""[0-9]+""))"),"39969078")</f>
        <v>39969078</v>
      </c>
      <c r="N651" s="2" t="str">
        <f>IF(LEFT(M651,2)="34", RIGHT(M651,LEN(M651)-2),M651)</f>
        <v>39969078</v>
      </c>
      <c r="O651" s="2" t="b">
        <f>IFERROR(__xludf.DUMMYFUNCTION("REGEXMATCH(TO_TEXT(N651), ""^[67]"")"),FALSE)</f>
        <v>0</v>
      </c>
      <c r="P651" s="2">
        <f t="shared" si="333"/>
        <v>8</v>
      </c>
      <c r="Q651" s="9" t="str">
        <f t="shared" si="335"/>
        <v>❌ INVALID</v>
      </c>
      <c r="R651" s="10" t="s">
        <v>139</v>
      </c>
      <c r="S651" s="12">
        <v>44596.0</v>
      </c>
      <c r="T651" s="2" t="str">
        <f>IFERROR(__xludf.DUMMYFUNCTION("IF(ISNUMBER(S651),TEXT(S651,""yyyy-MM-dd""),REGEXREPLACE(REGEXREPLACE(TO_TEXT(S651),""[^0-9a-zA-Z]+"",""-""),""[^0-9]*$"",""""))"),"2022-02-04")</f>
        <v>2022-02-04</v>
      </c>
      <c r="U651" s="2" t="s">
        <v>8549</v>
      </c>
      <c r="Y651" s="10" t="s">
        <v>8549</v>
      </c>
    </row>
    <row r="652" ht="15.75" customHeight="1">
      <c r="A652" s="2" t="s">
        <v>5022</v>
      </c>
      <c r="B652" s="9" t="s">
        <v>7597</v>
      </c>
      <c r="C652" s="2" t="s">
        <v>2895</v>
      </c>
      <c r="D652" s="10" t="str">
        <f>IFERROR(__xludf.DUMMYFUNCTION("PROPER(REGEXREPLACE(TRIM(C652),""\s+"","" ""))"),"Uma Young")</f>
        <v>Uma Young</v>
      </c>
      <c r="E652" s="2">
        <f>IFERROR(__xludf.DUMMYFUNCTION("IF(LEN(D652:D701),
  COUNTA(SPLIT(D652:D701,"" "")),
 """")"),2.0)</f>
        <v>2</v>
      </c>
      <c r="F652" s="9" t="str">
        <f t="shared" si="319"/>
        <v>✅</v>
      </c>
      <c r="G652" s="2" t="str">
        <f>IFERROR(__xludf.DUMMYFUNCTION("REGEXEXTRACT(PROPER(SUBSTITUTE(TRIM(I652),""."","" "")),""^[^@]+"")"),"Uma Young")</f>
        <v>Uma Young</v>
      </c>
      <c r="H652" s="10" t="str">
        <f t="shared" si="320"/>
        <v>uma.young@yahoo.com</v>
      </c>
      <c r="I652" s="2" t="s">
        <v>2896</v>
      </c>
      <c r="J652" s="9" t="str">
        <f>IFERROR(__xludf.DUMMYFUNCTION("IF(REGEXMATCH(TRIM(I652),""^[A-Za-z0-9._%+-]+@[A-Za-z0-9.-]+\.[A-Za-z]{2,}$""),""✅ Valid"",""❌ Invalid"")"),"✅ Valid")</f>
        <v>✅ Valid</v>
      </c>
      <c r="K652" s="15" t="s">
        <v>8550</v>
      </c>
      <c r="L652" s="2" t="str">
        <f>IFERROR(__xludf.DUMMYFUNCTION("IF(K652=""N/A"", """",
 REGEXREPLACE(
  SUBSTITUTE(SUBSTITUTE(SUBSTITUTE(TO_TEXT(K652), CHAR(160),""""), UNICHAR(8239),""""), UNICHAR(8201),""""),""[+\-/(): )]"", """"))"),"50349914x8")</f>
        <v>50349914x8</v>
      </c>
      <c r="M652" s="2" t="str">
        <f>IFERROR(__xludf.DUMMYFUNCTION("IF(L652="""","""", REGEXEXTRACT(REGEXREPLACE(L652,""x"", """"), ""[0-9]+""))"),"503499148")</f>
        <v>503499148</v>
      </c>
      <c r="N652" s="2" t="str">
        <f>IF(LEFT(M652,2)="48", RIGHT(M652,LEN(M652)-2),M652)</f>
        <v>503499148</v>
      </c>
      <c r="O652" s="2" t="b">
        <f>IFERROR(__xludf.DUMMYFUNCTION("REGEXMATCH(TO_TEXT(N652), ""^(5[013679]|6[069]|7[2-9]|88)"")"),TRUE)</f>
        <v>1</v>
      </c>
      <c r="P652" s="2">
        <f t="shared" si="333"/>
        <v>9</v>
      </c>
      <c r="Q652" s="9" t="str">
        <f t="shared" si="335"/>
        <v>✅ VALID</v>
      </c>
      <c r="R652" s="10" t="s">
        <v>25</v>
      </c>
      <c r="S652" s="12">
        <v>45519.0</v>
      </c>
      <c r="T652" s="2" t="str">
        <f>IFERROR(__xludf.DUMMYFUNCTION("IF(ISNUMBER(S652),TEXT(S652,""yyyy-MM-dd""),REGEXREPLACE(REGEXREPLACE(TO_TEXT(S652),""[^0-9a-zA-Z]+"",""-""),""[^0-9]*$"",""""))"),"2024-08-15")</f>
        <v>2024-08-15</v>
      </c>
      <c r="U652" s="2" t="s">
        <v>4275</v>
      </c>
      <c r="Y652" s="10" t="s">
        <v>4275</v>
      </c>
    </row>
    <row r="653" ht="15.75" customHeight="1">
      <c r="A653" s="2" t="s">
        <v>2093</v>
      </c>
      <c r="B653" s="9" t="s">
        <v>7597</v>
      </c>
      <c r="C653" s="2" t="s">
        <v>5479</v>
      </c>
      <c r="D653" s="10" t="str">
        <f>IFERROR(__xludf.DUMMYFUNCTION("PROPER(REGEXREPLACE(TRIM(C653),""\s+"","" ""))"),"Adam Young")</f>
        <v>Adam Young</v>
      </c>
      <c r="E653" s="2">
        <f>IFERROR(__xludf.DUMMYFUNCTION("IF(LEN(D653:D701),
  COUNTA(SPLIT(D653:D701,"" "")),
 """")"),2.0)</f>
        <v>2</v>
      </c>
      <c r="F653" s="9" t="str">
        <f t="shared" si="319"/>
        <v>✅</v>
      </c>
      <c r="G653" s="2" t="str">
        <f>IFERROR(__xludf.DUMMYFUNCTION("REGEXEXTRACT(PROPER(SUBSTITUTE(TRIM(I653),""."","" "")),""^[^@]+"")"),"Adam Young")</f>
        <v>Adam Young</v>
      </c>
      <c r="H653" s="10" t="str">
        <f t="shared" si="320"/>
        <v>adam.young@outlook.com</v>
      </c>
      <c r="I653" s="2" t="s">
        <v>5480</v>
      </c>
      <c r="J653" s="9" t="str">
        <f>IFERROR(__xludf.DUMMYFUNCTION("IF(REGEXMATCH(TRIM(I653),""^[A-Za-z0-9._%+-]+@[A-Za-z0-9.-]+\.[A-Za-z]{2,}$""),""✅ Valid"",""❌ Invalid"")"),"✅ Valid")</f>
        <v>✅ Valid</v>
      </c>
      <c r="K653" s="11">
        <v>4.96184882525E11</v>
      </c>
      <c r="L653" s="2" t="str">
        <f>IFERROR(__xludf.DUMMYFUNCTION("IF(OR(K653=""N/A"", K653=""missing"", K653=""none""), """",
 REGEXREPLACE(
  SUBSTITUTE(SUBSTITUTE(SUBSTITUTE(TO_TEXT(K653), CHAR(160),""""), UNICHAR(8239),""""), UNICHAR(8201),""""),""[+\-/(): )]"", """"))"),"496184882525")</f>
        <v>496184882525</v>
      </c>
      <c r="M653" s="2" t="str">
        <f>IFERROR(__xludf.DUMMYFUNCTION("IF(L653="""","""", REGEXEXTRACT(REGEXREPLACE(L653,""x"", """"), ""[0-9]+""))"),"496184882525")</f>
        <v>496184882525</v>
      </c>
      <c r="N653" s="2" t="str">
        <f>IF(LEFT(M653,2)="49", RIGHT(M653,LEN(M653)-2),M653)</f>
        <v>6184882525</v>
      </c>
      <c r="O653" s="2" t="b">
        <f>IFERROR(__xludf.DUMMYFUNCTION("REGEXMATCH(TO_TEXT(N653), ""^0(15|16|17)"")"),FALSE)</f>
        <v>0</v>
      </c>
      <c r="P653" s="2">
        <f t="shared" si="333"/>
        <v>10</v>
      </c>
      <c r="Q653" s="9" t="str">
        <f>IF(AND(O653=TRUE,OR(P653=10, P653=11)), "✅ VALID", "❌ INVALID")</f>
        <v>❌ INVALID</v>
      </c>
      <c r="R653" s="10" t="s">
        <v>459</v>
      </c>
      <c r="S653" s="12">
        <v>45575.0</v>
      </c>
      <c r="T653" s="2" t="str">
        <f>IFERROR(__xludf.DUMMYFUNCTION("IF(ISNUMBER(S653),TEXT(S653,""yyyy-MM-dd""),REGEXREPLACE(REGEXREPLACE(TO_TEXT(S653),""[^0-9a-zA-Z]+"",""-""),""[^0-9]*$"",""""))"),"2024-10-10")</f>
        <v>2024-10-10</v>
      </c>
      <c r="U653" s="2" t="s">
        <v>8551</v>
      </c>
      <c r="Y653" s="10" t="s">
        <v>8551</v>
      </c>
    </row>
    <row r="654" ht="15.75" customHeight="1">
      <c r="A654" s="2" t="s">
        <v>207</v>
      </c>
      <c r="B654" s="9" t="s">
        <v>7597</v>
      </c>
      <c r="C654" s="2" t="s">
        <v>7059</v>
      </c>
      <c r="D654" s="10" t="str">
        <f>IFERROR(__xludf.DUMMYFUNCTION("PROPER(REGEXREPLACE(TRIM(C654),""\s+"","" ""))"),"Ken Young")</f>
        <v>Ken Young</v>
      </c>
      <c r="E654" s="2">
        <f>IFERROR(__xludf.DUMMYFUNCTION("IF(LEN(D654:D701),
  COUNTA(SPLIT(D654:D701,"" "")),
 """")"),2.0)</f>
        <v>2</v>
      </c>
      <c r="F654" s="9" t="str">
        <f t="shared" si="319"/>
        <v>✅</v>
      </c>
      <c r="G654" s="2" t="str">
        <f>IFERROR(__xludf.DUMMYFUNCTION("REGEXEXTRACT(PROPER(SUBSTITUTE(TRIM(I654),""."","" "")),""^[^@]+"")"),"Ken Young")</f>
        <v>Ken Young</v>
      </c>
      <c r="H654" s="10" t="str">
        <f t="shared" si="320"/>
        <v>ken.young@example.com</v>
      </c>
      <c r="I654" s="2" t="s">
        <v>7060</v>
      </c>
      <c r="J654" s="9" t="str">
        <f>IFERROR(__xludf.DUMMYFUNCTION("IF(REGEXMATCH(TRIM(I654),""^[A-Za-z0-9._%+-]+@[A-Za-z0-9.-]+\.[A-Za-z]{2,}$""),""✅ Valid"",""❌ Invalid"")"),"✅ Valid")</f>
        <v>✅ Valid</v>
      </c>
      <c r="K654" s="13" t="s">
        <v>8552</v>
      </c>
      <c r="L654" s="2" t="str">
        <f>IFERROR(__xludf.DUMMYFUNCTION("IF(OR(K654=""N/A"", K654=""missing"", K654=""none""), """",
 REGEXREPLACE(
  SUBSTITUTE(SUBSTITUTE(SUBSTITUTE(TO_TEXT(K654), CHAR(160),""""), UNICHAR(8239),""""), UNICHAR(8201),""""),""[+\-/(): )]"", """"))"),"44816770778ext55")</f>
        <v>44816770778ext55</v>
      </c>
      <c r="M654" s="2" t="str">
        <f>IFERROR(__xludf.DUMMYFUNCTION("IF(L654="""","""", REGEXEXTRACT(REGEXREPLACE(L654,""x"", """"), ""[0-9]+""))"),"44816770778")</f>
        <v>44816770778</v>
      </c>
      <c r="N654" s="2" t="str">
        <f>IF(LEFT(M654,2)="44", RIGHT(M654,LEN(M654)-2),M654)</f>
        <v>816770778</v>
      </c>
      <c r="O654" s="2" t="b">
        <f>IFERROR(__xludf.DUMMYFUNCTION("REGEXMATCH(TO_TEXT(N654), ""^07[1-57-9]"")"),FALSE)</f>
        <v>0</v>
      </c>
      <c r="P654" s="2">
        <f t="shared" si="333"/>
        <v>9</v>
      </c>
      <c r="Q654" s="9" t="str">
        <f>IF(AND(O654=TRUE, P654=11), "✅ VALID", "❌ INVALID")</f>
        <v>❌ INVALID</v>
      </c>
      <c r="R654" s="10" t="s">
        <v>114</v>
      </c>
      <c r="S654" s="12">
        <v>45204.0</v>
      </c>
      <c r="T654" s="2" t="str">
        <f>IFERROR(__xludf.DUMMYFUNCTION("IF(ISNUMBER(S654),TEXT(S654,""yyyy-MM-dd""),REGEXREPLACE(REGEXREPLACE(TO_TEXT(S654),""[^0-9a-zA-Z]+"",""-""),""[^0-9]*$"",""""))"),"2023-10-05")</f>
        <v>2023-10-05</v>
      </c>
      <c r="U654" s="2" t="s">
        <v>8553</v>
      </c>
      <c r="Y654" s="10" t="s">
        <v>8553</v>
      </c>
    </row>
    <row r="655" ht="15.75" customHeight="1">
      <c r="A655" s="2" t="s">
        <v>1241</v>
      </c>
      <c r="B655" s="9" t="s">
        <v>7597</v>
      </c>
      <c r="C655" s="2" t="s">
        <v>5326</v>
      </c>
      <c r="D655" s="10" t="str">
        <f>IFERROR(__xludf.DUMMYFUNCTION("PROPER(REGEXREPLACE(TRIM(C655),""\s+"","" ""))"),"Ethan Dubois")</f>
        <v>Ethan Dubois</v>
      </c>
      <c r="E655" s="2">
        <f>IFERROR(__xludf.DUMMYFUNCTION("IF(LEN(D655:D701),
  COUNTA(SPLIT(D655:D701,"" "")),
 """")"),2.0)</f>
        <v>2</v>
      </c>
      <c r="F655" s="9" t="str">
        <f t="shared" si="319"/>
        <v>✅</v>
      </c>
      <c r="G655" s="2" t="str">
        <f>IFERROR(__xludf.DUMMYFUNCTION("REGEXEXTRACT(PROPER(SUBSTITUTE(TRIM(I655),""."","" "")),""^[^@]+"")"),"Ethan Dubois")</f>
        <v>Ethan Dubois</v>
      </c>
      <c r="H655" s="10" t="str">
        <f t="shared" si="320"/>
        <v>ethan.dubois@gmail.com</v>
      </c>
      <c r="I655" s="2" t="s">
        <v>6939</v>
      </c>
      <c r="J655" s="9" t="str">
        <f>IFERROR(__xludf.DUMMYFUNCTION("IF(REGEXMATCH(TRIM(I655),""^[A-Za-z0-9._%+-]+@[A-Za-z0-9.-]+\.[A-Za-z]{2,}$""),""✅ Valid"",""❌ Invalid"")"),"✅ Valid")</f>
        <v>✅ Valid</v>
      </c>
      <c r="K655" s="15" t="s">
        <v>8554</v>
      </c>
      <c r="L655" s="2" t="str">
        <f>IFERROR(__xludf.DUMMYFUNCTION("IF(K655=""N/A"", """",
 REGEXREPLACE(
  SUBSTITUTE(SUBSTITUTE(SUBSTITUTE(TO_TEXT(K655), CHAR(160),""""), UNICHAR(8239),""""), UNICHAR(8201),""""),""[+\-/(): )]"", """"))"),"tel50569978")</f>
        <v>tel50569978</v>
      </c>
      <c r="M655" s="2" t="str">
        <f>IFERROR(__xludf.DUMMYFUNCTION("IF(L655="""","""", REGEXEXTRACT(REGEXREPLACE(L655,""x"", """"), ""[0-9]+""))"),"50569978")</f>
        <v>50569978</v>
      </c>
      <c r="N655" s="2" t="str">
        <f>IF(LEFT(M655,2)="48", RIGHT(M655,LEN(M655)-2),M655)</f>
        <v>50569978</v>
      </c>
      <c r="O655" s="2" t="b">
        <f>IFERROR(__xludf.DUMMYFUNCTION("REGEXMATCH(TO_TEXT(N655), ""^(5[013679]|6[069]|7[2-9]|88)"")"),TRUE)</f>
        <v>1</v>
      </c>
      <c r="P655" s="2">
        <f t="shared" si="333"/>
        <v>8</v>
      </c>
      <c r="Q655" s="9" t="str">
        <f t="shared" ref="Q655:Q657" si="336">IF(AND(O655=TRUE, P655=9), "✅ VALID", "❌ INVALID")</f>
        <v>❌ INVALID</v>
      </c>
      <c r="R655" s="10" t="s">
        <v>25</v>
      </c>
      <c r="S655" s="12">
        <v>44758.0</v>
      </c>
      <c r="T655" s="2" t="str">
        <f>IFERROR(__xludf.DUMMYFUNCTION("IF(ISNUMBER(S655),TEXT(S655,""yyyy-MM-dd""),REGEXREPLACE(REGEXREPLACE(TO_TEXT(S655),""[^0-9a-zA-Z]+"",""-""),""[^0-9]*$"",""""))"),"2022-07-16")</f>
        <v>2022-07-16</v>
      </c>
      <c r="U655" s="2" t="s">
        <v>8219</v>
      </c>
      <c r="Y655" s="10" t="s">
        <v>8219</v>
      </c>
    </row>
    <row r="656" ht="15.75" customHeight="1">
      <c r="A656" s="2" t="s">
        <v>3656</v>
      </c>
      <c r="B656" s="9" t="s">
        <v>7597</v>
      </c>
      <c r="C656" s="2" t="s">
        <v>3869</v>
      </c>
      <c r="D656" s="10" t="str">
        <f>IFERROR(__xludf.DUMMYFUNCTION("PROPER(REGEXREPLACE(TRIM(C656),""\s+"","" ""))"),"Omar Kowalski")</f>
        <v>Omar Kowalski</v>
      </c>
      <c r="E656" s="2">
        <f>IFERROR(__xludf.DUMMYFUNCTION("IF(LEN(D656:D701),
  COUNTA(SPLIT(D656:D701,"" "")),
 """")"),2.0)</f>
        <v>2</v>
      </c>
      <c r="F656" s="9" t="str">
        <f t="shared" si="319"/>
        <v>✅</v>
      </c>
      <c r="G656" s="2" t="str">
        <f>IFERROR(__xludf.DUMMYFUNCTION("REGEXEXTRACT(PROPER(SUBSTITUTE(TRIM(I656),""."","" "")),""^[^@]+"")"),"Omar Kowalski")</f>
        <v>Omar Kowalski</v>
      </c>
      <c r="H656" s="10" t="str">
        <f t="shared" si="320"/>
        <v>omar.kowalski@company.co.ku</v>
      </c>
      <c r="I656" s="2" t="s">
        <v>4753</v>
      </c>
      <c r="J656" s="9" t="str">
        <f>IFERROR(__xludf.DUMMYFUNCTION("IF(REGEXMATCH(TRIM(I656),""^[A-Za-z0-9._%+-]+@[A-Za-z0-9.-]+\.[A-Za-z]{2,}$""),""✅ Valid"",""❌ Invalid"")"),"✅ Valid")</f>
        <v>✅ Valid</v>
      </c>
      <c r="K656" s="13" t="s">
        <v>8555</v>
      </c>
      <c r="L656" s="2" t="str">
        <f>IFERROR(__xludf.DUMMYFUNCTION("IF(OR(K656=""N/A"", K656=""missing"", K656=""none""), """",
 REGEXREPLACE(
  SUBSTITUTE(SUBSTITUTE(SUBSTITUTE(TO_TEXT(K656), CHAR(160),""""), UNICHAR(8239),""""), UNICHAR(8201),""""),""[+\-/(): )]"", """"))"),"3x70862825")</f>
        <v>3x70862825</v>
      </c>
      <c r="M656" s="2" t="str">
        <f>IFERROR(__xludf.DUMMYFUNCTION("IF(L656="""","""", REGEXEXTRACT(REGEXREPLACE(L656,""x"", """"), ""[0-9]+""))"),"370862825")</f>
        <v>370862825</v>
      </c>
      <c r="N656" s="2" t="str">
        <f t="shared" ref="N656:N657" si="337">IF(LEFT(M656,2)="33", RIGHT(M656,LEN(M656)-2),M656)</f>
        <v>370862825</v>
      </c>
      <c r="O656" s="2" t="b">
        <f>IFERROR(__xludf.DUMMYFUNCTION("REGEXMATCH(TO_TEXT(N656), ""^0[67]"")"),FALSE)</f>
        <v>0</v>
      </c>
      <c r="P656" s="2">
        <f t="shared" si="333"/>
        <v>9</v>
      </c>
      <c r="Q656" s="9" t="str">
        <f t="shared" si="336"/>
        <v>❌ INVALID</v>
      </c>
      <c r="R656" s="10" t="s">
        <v>58</v>
      </c>
      <c r="S656" s="12">
        <v>44832.0</v>
      </c>
      <c r="T656" s="2" t="str">
        <f>IFERROR(__xludf.DUMMYFUNCTION("IF(ISNUMBER(S656),TEXT(S656,""yyyy-MM-dd""),REGEXREPLACE(REGEXREPLACE(TO_TEXT(S656),""[^0-9a-zA-Z]+"",""-""),""[^0-9]*$"",""""))"),"2022-09-28")</f>
        <v>2022-09-28</v>
      </c>
      <c r="U656" s="2" t="s">
        <v>8556</v>
      </c>
      <c r="Y656" s="10" t="s">
        <v>8556</v>
      </c>
    </row>
    <row r="657" ht="15.75" customHeight="1">
      <c r="A657" s="2" t="s">
        <v>3932</v>
      </c>
      <c r="B657" s="9" t="s">
        <v>7597</v>
      </c>
      <c r="C657" s="2" t="s">
        <v>6325</v>
      </c>
      <c r="D657" s="10" t="str">
        <f>IFERROR(__xludf.DUMMYFUNCTION("PROPER(REGEXREPLACE(TRIM(C657),""\s+"","" ""))"),"Nina Rodriguez")</f>
        <v>Nina Rodriguez</v>
      </c>
      <c r="E657" s="2">
        <f>IFERROR(__xludf.DUMMYFUNCTION("IF(LEN(D657:D701),
  COUNTA(SPLIT(D657:D701,"" "")),
 """")"),2.0)</f>
        <v>2</v>
      </c>
      <c r="F657" s="9" t="str">
        <f t="shared" si="319"/>
        <v>✅</v>
      </c>
      <c r="G657" s="2" t="str">
        <f>IFERROR(__xludf.DUMMYFUNCTION("REGEXEXTRACT(PROPER(SUBSTITUTE(TRIM(I657),""."","" "")),""^[^@]+"")"),"Nina Rodriguez")</f>
        <v>Nina Rodriguez</v>
      </c>
      <c r="H657" s="10" t="str">
        <f t="shared" si="320"/>
        <v>nina.rodriguez@shop.io</v>
      </c>
      <c r="I657" s="2" t="s">
        <v>6326</v>
      </c>
      <c r="J657" s="9" t="str">
        <f>IFERROR(__xludf.DUMMYFUNCTION("IF(REGEXMATCH(TRIM(I657),""^[A-Za-z0-9._%+-]+@[A-Za-z0-9.-]+\.[A-Za-z]{2,}$""),""✅ Valid"",""❌ Invalid"")"),"✅ Valid")</f>
        <v>✅ Valid</v>
      </c>
      <c r="K657" s="13" t="s">
        <v>8557</v>
      </c>
      <c r="L657" s="2" t="str">
        <f>IFERROR(__xludf.DUMMYFUNCTION("IF(OR(K657=""N/A"", K657=""missing"", K657=""none""), """",
 REGEXREPLACE(
  SUBSTITUTE(SUBSTITUTE(SUBSTITUTE(TO_TEXT(K657), CHAR(160),""""), UNICHAR(8239),""""), UNICHAR(8201),""""),""[+\-/(): )]"", """"))"),"33389063623ext77")</f>
        <v>33389063623ext77</v>
      </c>
      <c r="M657" s="2" t="str">
        <f>IFERROR(__xludf.DUMMYFUNCTION("IF(L657="""","""", REGEXEXTRACT(REGEXREPLACE(L657,""x"", """"), ""[0-9]+""))"),"33389063623")</f>
        <v>33389063623</v>
      </c>
      <c r="N657" s="2" t="str">
        <f t="shared" si="337"/>
        <v>389063623</v>
      </c>
      <c r="O657" s="2" t="b">
        <f>IFERROR(__xludf.DUMMYFUNCTION("REGEXMATCH(TO_TEXT(N657), ""^0[67]"")"),FALSE)</f>
        <v>0</v>
      </c>
      <c r="P657" s="2">
        <f t="shared" si="333"/>
        <v>9</v>
      </c>
      <c r="Q657" s="9" t="str">
        <f t="shared" si="336"/>
        <v>❌ INVALID</v>
      </c>
      <c r="R657" s="10" t="s">
        <v>58</v>
      </c>
      <c r="S657" s="12">
        <v>45140.0</v>
      </c>
      <c r="T657" s="2" t="str">
        <f>IFERROR(__xludf.DUMMYFUNCTION("IF(ISNUMBER(S657),TEXT(S657,""yyyy-MM-dd""),REGEXREPLACE(REGEXREPLACE(TO_TEXT(S657),""[^0-9a-zA-Z]+"",""-""),""[^0-9]*$"",""""))"),"2023-08-02")</f>
        <v>2023-08-02</v>
      </c>
      <c r="U657" s="2" t="s">
        <v>8558</v>
      </c>
      <c r="Y657" s="10" t="s">
        <v>8558</v>
      </c>
    </row>
    <row r="658" ht="15.75" customHeight="1">
      <c r="A658" s="2" t="s">
        <v>4481</v>
      </c>
      <c r="B658" s="9" t="s">
        <v>7597</v>
      </c>
      <c r="C658" s="2" t="s">
        <v>1492</v>
      </c>
      <c r="D658" s="10" t="s">
        <v>2589</v>
      </c>
      <c r="E658" s="2">
        <f>IFERROR(__xludf.DUMMYFUNCTION("IF(LEN(D658:D701),
  COUNTA(SPLIT(D658:D701,"" "")),
 """")"),2.0)</f>
        <v>2</v>
      </c>
      <c r="F658" s="9" t="str">
        <f t="shared" si="319"/>
        <v>✅</v>
      </c>
      <c r="G658" s="2" t="s">
        <v>2589</v>
      </c>
      <c r="H658" s="10" t="str">
        <f t="shared" si="320"/>
        <v>igor.lee@yahoo.com</v>
      </c>
      <c r="I658" s="2" t="s">
        <v>1493</v>
      </c>
      <c r="J658" s="9" t="str">
        <f>IFERROR(__xludf.DUMMYFUNCTION("IF(REGEXMATCH(TRIM(I658),""^[A-Za-z0-9._%+-]+@[A-Za-z0-9.-]+\.[A-Za-z]{2,}$""),""✅ Valid"",""❌ Invalid"")"),"✅ Valid")</f>
        <v>✅ Valid</v>
      </c>
      <c r="K658" s="13" t="s">
        <v>8559</v>
      </c>
      <c r="L658" s="2" t="str">
        <f>IFERROR(__xludf.DUMMYFUNCTION("IF(OR(K658=""N/A"", K658=""missing"", K658=""none""), """",
 REGEXREPLACE(
  SUBSTITUTE(SUBSTITUTE(SUBSTITUTE(TO_TEXT(K658), CHAR(160),""""), UNICHAR(8239),""""), UNICHAR(8201),""""),""[+\-/(): )]"", """"))"),"44225767687")</f>
        <v>44225767687</v>
      </c>
      <c r="M658" s="2" t="str">
        <f>IFERROR(__xludf.DUMMYFUNCTION("IF(L658="""","""", REGEXEXTRACT(REGEXREPLACE(L658,""x"", """"), ""[0-9]+""))"),"44225767687")</f>
        <v>44225767687</v>
      </c>
      <c r="N658" s="2" t="str">
        <f t="shared" ref="N658:N659" si="338">IF(LEFT(M658,2)="44", RIGHT(M658,LEN(M658)-2),M658)</f>
        <v>225767687</v>
      </c>
      <c r="O658" s="2" t="b">
        <f>IFERROR(__xludf.DUMMYFUNCTION("REGEXMATCH(TO_TEXT(N658), ""^07[1-57-9]"")"),FALSE)</f>
        <v>0</v>
      </c>
      <c r="P658" s="2">
        <f t="shared" si="333"/>
        <v>9</v>
      </c>
      <c r="Q658" s="9" t="str">
        <f t="shared" ref="Q658:Q659" si="339">IF(AND(O658=TRUE, P658=11), "✅ VALID", "❌ INVALID")</f>
        <v>❌ INVALID</v>
      </c>
      <c r="R658" s="10" t="s">
        <v>114</v>
      </c>
      <c r="S658" s="12">
        <v>45660.0</v>
      </c>
      <c r="T658" s="2" t="str">
        <f>IFERROR(__xludf.DUMMYFUNCTION("IF(ISNUMBER(S658),TEXT(S658,""yyyy-MM-dd""),REGEXREPLACE(REGEXREPLACE(TO_TEXT(S658),""[^0-9a-zA-Z]+"",""-""),""[^0-9]*$"",""""))"),"2025-01-03")</f>
        <v>2025-01-03</v>
      </c>
      <c r="U658" s="2" t="s">
        <v>8560</v>
      </c>
      <c r="Y658" s="10" t="s">
        <v>8560</v>
      </c>
    </row>
    <row r="659" ht="15.75" customHeight="1">
      <c r="A659" s="2" t="s">
        <v>3245</v>
      </c>
      <c r="B659" s="9" t="s">
        <v>7597</v>
      </c>
      <c r="C659" s="2" t="s">
        <v>2636</v>
      </c>
      <c r="D659" s="10" t="str">
        <f>IFERROR(__xludf.DUMMYFUNCTION("PROPER(REGEXREPLACE(TRIM(C659),""\s+"","" ""))"),"Vlad Novak")</f>
        <v>Vlad Novak</v>
      </c>
      <c r="E659" s="2">
        <f>IFERROR(__xludf.DUMMYFUNCTION("IF(LEN(D659:D701),
  COUNTA(SPLIT(D659:D701,"" "")),
 """")"),2.0)</f>
        <v>2</v>
      </c>
      <c r="F659" s="9" t="str">
        <f t="shared" si="319"/>
        <v>✅</v>
      </c>
      <c r="G659" s="2" t="str">
        <f>IFERROR(__xludf.DUMMYFUNCTION("REGEXEXTRACT(PROPER(SUBSTITUTE(TRIM(I659),""."","" "")),""^[^@]+"")"),"Vlad Novak")</f>
        <v>Vlad Novak</v>
      </c>
      <c r="H659" s="10" t="str">
        <f t="shared" si="320"/>
        <v>vlad.novak@company.co.uk</v>
      </c>
      <c r="I659" s="2" t="s">
        <v>2637</v>
      </c>
      <c r="J659" s="9" t="str">
        <f>IFERROR(__xludf.DUMMYFUNCTION("IF(REGEXMATCH(TRIM(I659),""^[A-Za-z0-9._%+-]+@[A-Za-z0-9.-]+\.[A-Za-z]{2,}$""),""✅ Valid"",""❌ Invalid"")"),"✅ Valid")</f>
        <v>✅ Valid</v>
      </c>
      <c r="K659" s="13" t="s">
        <v>8561</v>
      </c>
      <c r="L659" s="2" t="str">
        <f>IFERROR(__xludf.DUMMYFUNCTION("IF(OR(K659=""N/A"", K659=""missing"", K659=""none""), """",
 REGEXREPLACE(
  SUBSTITUTE(SUBSTITUTE(SUBSTITUTE(TO_TEXT(K659), CHAR(160),""""), UNICHAR(8239),""""), UNICHAR(8201),""""),""[+\-/(): )]"", """"))"),"440195218979")</f>
        <v>440195218979</v>
      </c>
      <c r="M659" s="2" t="str">
        <f>IFERROR(__xludf.DUMMYFUNCTION("IF(L659="""","""", REGEXEXTRACT(REGEXREPLACE(L659,""x"", """"), ""[0-9]+""))"),"440195218979")</f>
        <v>440195218979</v>
      </c>
      <c r="N659" s="2" t="str">
        <f t="shared" si="338"/>
        <v>0195218979</v>
      </c>
      <c r="O659" s="2" t="b">
        <f>IFERROR(__xludf.DUMMYFUNCTION("REGEXMATCH(TO_TEXT(N659), ""^07[1-57-9]"")"),FALSE)</f>
        <v>0</v>
      </c>
      <c r="P659" s="2">
        <f t="shared" si="333"/>
        <v>10</v>
      </c>
      <c r="Q659" s="9" t="str">
        <f t="shared" si="339"/>
        <v>❌ INVALID</v>
      </c>
      <c r="R659" s="10" t="s">
        <v>114</v>
      </c>
      <c r="S659" s="12">
        <v>44777.0</v>
      </c>
      <c r="T659" s="2" t="str">
        <f>IFERROR(__xludf.DUMMYFUNCTION("IF(ISNUMBER(S659),TEXT(S659,""yyyy-MM-dd""),REGEXREPLACE(REGEXREPLACE(TO_TEXT(S659),""[^0-9a-zA-Z]+"",""-""),""[^0-9]*$"",""""))"),"2022-08-04")</f>
        <v>2022-08-04</v>
      </c>
      <c r="U659" s="2" t="s">
        <v>8562</v>
      </c>
      <c r="Y659" s="10" t="s">
        <v>8562</v>
      </c>
    </row>
    <row r="660" ht="15.75" customHeight="1">
      <c r="A660" s="2" t="s">
        <v>6083</v>
      </c>
      <c r="B660" s="9" t="s">
        <v>7597</v>
      </c>
      <c r="C660" s="2" t="s">
        <v>6219</v>
      </c>
      <c r="D660" s="10" t="str">
        <f>IFERROR(__xludf.DUMMYFUNCTION("PROPER(REGEXREPLACE(TRIM(C660),""\s+"","" ""))"),"Nina Young")</f>
        <v>Nina Young</v>
      </c>
      <c r="E660" s="2">
        <f>IFERROR(__xludf.DUMMYFUNCTION("IF(LEN(D660:D701),
  COUNTA(SPLIT(D660:D701,"" "")),
 """")"),2.0)</f>
        <v>2</v>
      </c>
      <c r="F660" s="9" t="str">
        <f t="shared" si="319"/>
        <v>✅</v>
      </c>
      <c r="G660" s="2" t="str">
        <f>IFERROR(__xludf.DUMMYFUNCTION("REGEXEXTRACT(PROPER(SUBSTITUTE(TRIM(I660),""."","" "")),""^[^@]+"")"),"Nina Young")</f>
        <v>Nina Young</v>
      </c>
      <c r="H660" s="10" t="str">
        <f t="shared" si="320"/>
        <v>nina.young@gmail.com</v>
      </c>
      <c r="I660" s="2" t="s">
        <v>6220</v>
      </c>
      <c r="J660" s="9" t="str">
        <f>IFERROR(__xludf.DUMMYFUNCTION("IF(REGEXMATCH(TRIM(I660),""^[A-Za-z0-9._%+-]+@[A-Za-z0-9.-]+\.[A-Za-z]{2,}$""),""✅ Valid"",""❌ Invalid"")"),"✅ Valid")</f>
        <v>✅ Valid</v>
      </c>
      <c r="K660" s="15" t="s">
        <v>8563</v>
      </c>
      <c r="L660" s="2" t="str">
        <f>IFERROR(__xludf.DUMMYFUNCTION("IF(K660=""N/A"", """",
 REGEXREPLACE(
  SUBSTITUTE(SUBSTITUTE(SUBSTITUTE(TO_TEXT(K660), CHAR(160),""""), UNICHAR(8239),""""), UNICHAR(8201),""""),""[+\-/(): )]"", """"))"),"384923468")</f>
        <v>384923468</v>
      </c>
      <c r="M660" s="2" t="str">
        <f>IFERROR(__xludf.DUMMYFUNCTION("IF(L660="""","""", REGEXEXTRACT(REGEXREPLACE(L660,""x"", """"), ""[0-9]+""))"),"384923468")</f>
        <v>384923468</v>
      </c>
      <c r="N660" s="2" t="str">
        <f>IF(LEFT(M660,2)="48", RIGHT(M660,LEN(M660)-2),M660)</f>
        <v>384923468</v>
      </c>
      <c r="O660" s="2" t="b">
        <f>IFERROR(__xludf.DUMMYFUNCTION("REGEXMATCH(TO_TEXT(N660), ""^(5[013679]|6[069]|7[2-9]|88)"")"),FALSE)</f>
        <v>0</v>
      </c>
      <c r="Q660" s="9" t="str">
        <f>IF(AND(O660=TRUE, P660=9), "✅ VALID", "❌ INVALID")</f>
        <v>❌ INVALID</v>
      </c>
      <c r="R660" s="10" t="s">
        <v>25</v>
      </c>
      <c r="S660" s="12">
        <v>45864.0</v>
      </c>
      <c r="T660" s="2" t="str">
        <f>IFERROR(__xludf.DUMMYFUNCTION("IF(ISNUMBER(S660),TEXT(S660,""yyyy-MM-dd""),REGEXREPLACE(REGEXREPLACE(TO_TEXT(S660),""[^0-9a-zA-Z]+"",""-""),""[^0-9]*$"",""""))"),"2025-07-26")</f>
        <v>2025-07-26</v>
      </c>
      <c r="U660" s="2" t="s">
        <v>8240</v>
      </c>
      <c r="Y660" s="10" t="s">
        <v>8240</v>
      </c>
    </row>
    <row r="661" ht="15.75" customHeight="1">
      <c r="A661" s="2" t="s">
        <v>6487</v>
      </c>
      <c r="B661" s="9" t="s">
        <v>7597</v>
      </c>
      <c r="C661" s="2" t="s">
        <v>1691</v>
      </c>
      <c r="D661" s="10" t="str">
        <f>IFERROR(__xludf.DUMMYFUNCTION("PROPER(REGEXREPLACE(TRIM(C661),""\s+"","" ""))"),"Tara Rodriguez")</f>
        <v>Tara Rodriguez</v>
      </c>
      <c r="E661" s="2">
        <f>IFERROR(__xludf.DUMMYFUNCTION("IF(LEN(D661:D701),
  COUNTA(SPLIT(D661:D701,"" "")),
 """")"),2.0)</f>
        <v>2</v>
      </c>
      <c r="F661" s="9" t="str">
        <f t="shared" si="319"/>
        <v>✅</v>
      </c>
      <c r="G661" s="2" t="str">
        <f>IFERROR(__xludf.DUMMYFUNCTION("REGEXEXTRACT(PROPER(SUBSTITUTE(TRIM(I661),""."","" "")),""^[^@]+"")"),"Tara Rodriguez")</f>
        <v>Tara Rodriguez</v>
      </c>
      <c r="H661" s="10" t="str">
        <f t="shared" si="320"/>
        <v>tara.rodriguez@shop.io</v>
      </c>
      <c r="I661" s="2" t="s">
        <v>1692</v>
      </c>
      <c r="J661" s="9" t="str">
        <f>IFERROR(__xludf.DUMMYFUNCTION("IF(REGEXMATCH(TRIM(I661),""^[A-Za-z0-9._%+-]+@[A-Za-z0-9.-]+\.[A-Za-z]{2,}$""),""✅ Valid"",""❌ Invalid"")"),"✅ Valid")</f>
        <v>✅ Valid</v>
      </c>
      <c r="K661" s="13" t="s">
        <v>8564</v>
      </c>
      <c r="L661" s="2" t="str">
        <f>IFERROR(__xludf.DUMMYFUNCTION("IF(OR(K661=""N/A"", K661=""missing"", K661=""none""), """",
 REGEXREPLACE(
  SUBSTITUTE(SUBSTITUTE(SUBSTITUTE(TO_TEXT(K661), CHAR(160),""""), UNICHAR(8239),""""), UNICHAR(8201),""""),""[+\-/(): )]"", """"))"),"tel4444658207050")</f>
        <v>tel4444658207050</v>
      </c>
      <c r="M661" s="2" t="str">
        <f>IFERROR(__xludf.DUMMYFUNCTION("IF(L661="""","""", REGEXEXTRACT(REGEXREPLACE(L661,""x"", """"), ""[0-9]+""))"),"4444658207050")</f>
        <v>4444658207050</v>
      </c>
      <c r="N661" s="2" t="str">
        <f>IF(LEFT(M661,2)="44", RIGHT(M661,LEN(M661)-2),M661)</f>
        <v>44658207050</v>
      </c>
      <c r="O661" s="2" t="b">
        <f>IFERROR(__xludf.DUMMYFUNCTION("REGEXMATCH(TO_TEXT(N661), ""^07[1-57-9]"")"),FALSE)</f>
        <v>0</v>
      </c>
      <c r="P661" s="2">
        <f t="shared" ref="P661:P663" si="340">LEN(N661)</f>
        <v>11</v>
      </c>
      <c r="Q661" s="9" t="str">
        <f>IF(AND(O661=TRUE, P661=11), "✅ VALID", "❌ INVALID")</f>
        <v>❌ INVALID</v>
      </c>
      <c r="R661" s="10" t="s">
        <v>114</v>
      </c>
      <c r="S661" s="12">
        <v>45631.0</v>
      </c>
      <c r="T661" s="2" t="str">
        <f>IFERROR(__xludf.DUMMYFUNCTION("IF(ISNUMBER(S661),TEXT(S661,""yyyy-MM-dd""),REGEXREPLACE(REGEXREPLACE(TO_TEXT(S661),""[^0-9a-zA-Z]+"",""-""),""[^0-9]*$"",""""))"),"2024-12-05")</f>
        <v>2024-12-05</v>
      </c>
      <c r="U661" s="2" t="s">
        <v>6695</v>
      </c>
      <c r="Y661" s="10" t="s">
        <v>6695</v>
      </c>
    </row>
    <row r="662" ht="15.75" customHeight="1">
      <c r="A662" s="2" t="s">
        <v>3232</v>
      </c>
      <c r="B662" s="9" t="s">
        <v>7597</v>
      </c>
      <c r="C662" s="2" t="s">
        <v>6889</v>
      </c>
      <c r="D662" s="10" t="str">
        <f>IFERROR(__xludf.DUMMYFUNCTION("PROPER(REGEXREPLACE(TRIM(C662),""\s+"","" ""))"),"Wiktor Smith")</f>
        <v>Wiktor Smith</v>
      </c>
      <c r="E662" s="2">
        <f>IFERROR(__xludf.DUMMYFUNCTION("IF(LEN(D662:D701),
  COUNTA(SPLIT(D662:D701,"" "")),
 """")"),2.0)</f>
        <v>2</v>
      </c>
      <c r="F662" s="9" t="str">
        <f t="shared" si="319"/>
        <v>✅</v>
      </c>
      <c r="G662" s="2" t="str">
        <f>IFERROR(__xludf.DUMMYFUNCTION("REGEXEXTRACT(PROPER(SUBSTITUTE(TRIM(I662),""."","" "")),""^[^@]+"")"),"Wiktor Smith")</f>
        <v>Wiktor Smith</v>
      </c>
      <c r="H662" s="10" t="str">
        <f t="shared" si="320"/>
        <v>wiktor.smith@yahoo.com</v>
      </c>
      <c r="I662" s="2" t="s">
        <v>6890</v>
      </c>
      <c r="J662" s="9" t="str">
        <f>IFERROR(__xludf.DUMMYFUNCTION("IF(REGEXMATCH(TRIM(I662),""^[A-Za-z0-9._%+-]+@[A-Za-z0-9.-]+\.[A-Za-z]{2,}$""),""✅ Valid"",""❌ Invalid"")"),"✅ Valid")</f>
        <v>✅ Valid</v>
      </c>
      <c r="K662" s="13" t="s">
        <v>8565</v>
      </c>
      <c r="L662" s="2" t="str">
        <f>IFERROR(__xludf.DUMMYFUNCTION("IF(OR(K662=""N/A"", K662=""missing"", K662=""none""), """",
 REGEXREPLACE(
  SUBSTITUTE(SUBSTITUTE(SUBSTITUTE(TO_TEXT(K662), CHAR(160),""""), UNICHAR(8239),""""), UNICHAR(8201),""""),""[+\-/(): )]"", """"))"),"8442x7145")</f>
        <v>8442x7145</v>
      </c>
      <c r="M662" s="2" t="str">
        <f>IFERROR(__xludf.DUMMYFUNCTION("IF(L662="""","""", REGEXEXTRACT(REGEXREPLACE(L662,""x"", """"), ""[0-9]+""))"),"84427145")</f>
        <v>84427145</v>
      </c>
      <c r="N662" s="2" t="str">
        <f>IF(LEFT(M662,3)="353", RIGHT(M662,LEN(M662)-3),M662)</f>
        <v>84427145</v>
      </c>
      <c r="O662" s="2" t="b">
        <f>IFERROR(__xludf.DUMMYFUNCTION("REGEXMATCH(TO_TEXT(N662), ""^0(83|85|86|87|89)"")"),FALSE)</f>
        <v>0</v>
      </c>
      <c r="P662" s="2">
        <f t="shared" si="340"/>
        <v>8</v>
      </c>
      <c r="Q662" s="9" t="str">
        <f>IF(AND(O662=TRUE, P659=10), "✅ VALID", "❌ INVALID")</f>
        <v>❌ INVALID</v>
      </c>
      <c r="R662" s="10" t="s">
        <v>1177</v>
      </c>
      <c r="S662" s="12">
        <v>45043.32152777778</v>
      </c>
      <c r="T662" s="2" t="str">
        <f>IFERROR(__xludf.DUMMYFUNCTION("IF(ISNUMBER(S662),TEXT(S662,""yyyy-MM-dd""),REGEXREPLACE(REGEXREPLACE(TO_TEXT(S662),""[^0-9a-zA-Z]+"",""-""),""[^0-9]*$"",""""))"),"2023-04-27")</f>
        <v>2023-04-27</v>
      </c>
      <c r="U662" s="2" t="s">
        <v>8566</v>
      </c>
      <c r="Y662" s="10" t="s">
        <v>8566</v>
      </c>
    </row>
    <row r="663" ht="15.75" customHeight="1">
      <c r="A663" s="2" t="s">
        <v>1089</v>
      </c>
      <c r="B663" s="9" t="s">
        <v>7597</v>
      </c>
      <c r="C663" s="2" t="s">
        <v>5005</v>
      </c>
      <c r="D663" s="10" t="str">
        <f>IFERROR(__xludf.DUMMYFUNCTION("PROPER(REGEXREPLACE(TRIM(C663),""\s+"","" ""))"),"Tara King")</f>
        <v>Tara King</v>
      </c>
      <c r="E663" s="2">
        <f>IFERROR(__xludf.DUMMYFUNCTION("IF(LEN(D663:D701),
  COUNTA(SPLIT(D663:D701,"" "")),
 """")"),2.0)</f>
        <v>2</v>
      </c>
      <c r="F663" s="9" t="str">
        <f t="shared" si="319"/>
        <v>✅</v>
      </c>
      <c r="G663" s="2" t="str">
        <f>IFERROR(__xludf.DUMMYFUNCTION("REGEXEXTRACT(PROPER(SUBSTITUTE(TRIM(I663),""."","" "")),""^[^@]+"")"),"Tara King")</f>
        <v>Tara King</v>
      </c>
      <c r="H663" s="10" t="str">
        <f t="shared" si="320"/>
        <v>tara.king@example.com</v>
      </c>
      <c r="I663" s="2" t="s">
        <v>5006</v>
      </c>
      <c r="J663" s="9" t="str">
        <f>IFERROR(__xludf.DUMMYFUNCTION("IF(REGEXMATCH(TRIM(I663),""^[A-Za-z0-9._%+-]+@[A-Za-z0-9.-]+\.[A-Za-z]{2,}$""),""✅ Valid"",""❌ Invalid"")"),"✅ Valid")</f>
        <v>✅ Valid</v>
      </c>
      <c r="K663" s="13" t="s">
        <v>8567</v>
      </c>
      <c r="L663" s="2" t="str">
        <f>IFERROR(__xludf.DUMMYFUNCTION("IF(OR(K663=""N/A"", K663=""missing"", K663=""none""), """",
 REGEXREPLACE(
  SUBSTITUTE(SUBSTITUTE(SUBSTITUTE(TO_TEXT(K663), CHAR(160),""""), UNICHAR(8239),""""), UNICHAR(8201),""""),""[+\-/(): )]"", """"))"),"522348811")</f>
        <v>522348811</v>
      </c>
      <c r="M663" s="2" t="str">
        <f>IFERROR(__xludf.DUMMYFUNCTION("IF(L663="""","""", REGEXEXTRACT(REGEXREPLACE(L663,""x"", """"), ""[0-9]+""))"),"522348811")</f>
        <v>522348811</v>
      </c>
      <c r="N663" s="2" t="str">
        <f>IF(LEFT(M663,2)="49", RIGHT(M663,LEN(M663)-2),M663)</f>
        <v>522348811</v>
      </c>
      <c r="O663" s="2" t="b">
        <f>IFERROR(__xludf.DUMMYFUNCTION("REGEXMATCH(TO_TEXT(N663), ""^0(15|16|17)"")"),FALSE)</f>
        <v>0</v>
      </c>
      <c r="P663" s="2">
        <f t="shared" si="340"/>
        <v>9</v>
      </c>
      <c r="Q663" s="9" t="str">
        <f>IF(AND(O663=TRUE,OR(P663=10, P663=11)), "✅ VALID", "❌ INVALID")</f>
        <v>❌ INVALID</v>
      </c>
      <c r="R663" s="10" t="s">
        <v>459</v>
      </c>
      <c r="S663" s="12" t="s">
        <v>6576</v>
      </c>
      <c r="T663" s="2" t="str">
        <f>IFERROR(__xludf.DUMMYFUNCTION("IF(ISNUMBER(S663),TEXT(S663,""yyyy-MM-dd""),REGEXREPLACE(REGEXREPLACE(TO_TEXT(S663),""[^0-9a-zA-Z]+"",""-""),""[^0-9]*$"",""""))"),"05-19-2025-07-22")</f>
        <v>05-19-2025-07-22</v>
      </c>
      <c r="U663" s="2" t="str">
        <f>TEXT(T663,"yyyy-MM-dd")</f>
        <v>05-19-2025-07-22</v>
      </c>
      <c r="V663" s="2" t="str">
        <f>IFERROR(__xludf.DUMMYFUNCTION("REGEXEXTRACT(U663,""^\d{2}-\d{2}-\d{4}"")"),"05-19-2025")</f>
        <v>05-19-2025</v>
      </c>
      <c r="W663" s="2" t="str">
        <f>TEXT(V663,"yyyy-MM-dd")</f>
        <v>05-19-2025</v>
      </c>
      <c r="X663" s="2" t="s">
        <v>8366</v>
      </c>
      <c r="Y663" s="10" t="s">
        <v>8366</v>
      </c>
    </row>
    <row r="664" ht="15.75" customHeight="1">
      <c r="A664" s="2" t="s">
        <v>6535</v>
      </c>
      <c r="B664" s="9" t="s">
        <v>7597</v>
      </c>
      <c r="C664" s="2" t="s">
        <v>2260</v>
      </c>
      <c r="D664" s="10" t="str">
        <f>IFERROR(__xludf.DUMMYFUNCTION("PROPER(REGEXREPLACE(TRIM(C664),""\s+"","" ""))"),"Daria Novak")</f>
        <v>Daria Novak</v>
      </c>
      <c r="E664" s="2">
        <f>IFERROR(__xludf.DUMMYFUNCTION("IF(LEN(D664:D701),
  COUNTA(SPLIT(D664:D701,"" "")),
 """")"),2.0)</f>
        <v>2</v>
      </c>
      <c r="F664" s="9" t="str">
        <f t="shared" si="319"/>
        <v>✅</v>
      </c>
      <c r="G664" s="2" t="str">
        <f>IFERROR(__xludf.DUMMYFUNCTION("REGEXEXTRACT(PROPER(SUBSTITUTE(TRIM(I664),""."","" "")),""^[^@]+"")"),"Daria Novak")</f>
        <v>Daria Novak</v>
      </c>
      <c r="H664" s="10" t="str">
        <f t="shared" si="320"/>
        <v>daria.novak@outlook.com</v>
      </c>
      <c r="I664" s="2" t="s">
        <v>2261</v>
      </c>
      <c r="J664" s="9" t="str">
        <f>IFERROR(__xludf.DUMMYFUNCTION("IF(REGEXMATCH(TRIM(I664),""^[A-Za-z0-9._%+-]+@[A-Za-z0-9.-]+\.[A-Za-z]{2,}$""),""✅ Valid"",""❌ Invalid"")"),"✅ Valid")</f>
        <v>✅ Valid</v>
      </c>
      <c r="K664" s="17" t="s">
        <v>8568</v>
      </c>
      <c r="L664" s="2" t="str">
        <f>IFERROR(__xludf.DUMMYFUNCTION("IF(K664=""N/A"", """",
 REGEXREPLACE(
  SUBSTITUTE(SUBSTITUTE(SUBSTITUTE(TO_TEXT(K664), CHAR(160),""""), UNICHAR(8239),""""), UNICHAR(8201),""""),""[+\-/(): )]"", """"))"),"4800940180")</f>
        <v>4800940180</v>
      </c>
      <c r="M664" s="2" t="str">
        <f>IFERROR(__xludf.DUMMYFUNCTION("IF(L664="""","""", REGEXEXTRACT(REGEXREPLACE(L664,""x"", """"), ""[0-9]+""))"),"4800940180")</f>
        <v>4800940180</v>
      </c>
      <c r="N664" s="2" t="str">
        <f t="shared" ref="N664:N665" si="341">IF(LEFT(M664,2)="48", RIGHT(M664,LEN(M664)-2),M664)</f>
        <v>00940180</v>
      </c>
      <c r="O664" s="2" t="b">
        <f>IFERROR(__xludf.DUMMYFUNCTION("REGEXMATCH(TO_TEXT(N664), ""^(5[013679]|6[069]|7[2-9]|88)"")"),FALSE)</f>
        <v>0</v>
      </c>
      <c r="Q664" s="9" t="str">
        <f t="shared" ref="Q664:Q665" si="342">IF(AND(O664=TRUE, P664=9), "✅ VALID", "❌ INVALID")</f>
        <v>❌ INVALID</v>
      </c>
      <c r="R664" s="10" t="s">
        <v>25</v>
      </c>
      <c r="S664" s="12" t="s">
        <v>6619</v>
      </c>
      <c r="T664" s="2" t="str">
        <f>IFERROR(__xludf.DUMMYFUNCTION("IF(ISNUMBER(S664),TEXT(S664,""yyyy-MM-dd""),REGEXREPLACE(REGEXREPLACE(TO_TEXT(S664),""[^0-9a-zA-Z]+"",""-""),""[^0-9]*$"",""""))"),"27-05-2022")</f>
        <v>27-05-2022</v>
      </c>
      <c r="U664" s="2" t="s">
        <v>8569</v>
      </c>
      <c r="Y664" s="10" t="s">
        <v>8569</v>
      </c>
    </row>
    <row r="665" ht="15.75" customHeight="1">
      <c r="A665" s="2" t="s">
        <v>875</v>
      </c>
      <c r="B665" s="9" t="s">
        <v>7597</v>
      </c>
      <c r="C665" s="2" t="s">
        <v>6955</v>
      </c>
      <c r="D665" s="10" t="str">
        <f>IFERROR(__xludf.DUMMYFUNCTION("PROPER(REGEXREPLACE(TRIM(C665),""\s+"","" ""))"),"Igor Davis")</f>
        <v>Igor Davis</v>
      </c>
      <c r="E665" s="2">
        <f>IFERROR(__xludf.DUMMYFUNCTION("IF(LEN(D665:D701),
  COUNTA(SPLIT(D665:D701,"" "")),
 """")"),2.0)</f>
        <v>2</v>
      </c>
      <c r="F665" s="9" t="str">
        <f t="shared" si="319"/>
        <v>✅</v>
      </c>
      <c r="G665" s="2" t="str">
        <f>IFERROR(__xludf.DUMMYFUNCTION("REGEXEXTRACT(PROPER(SUBSTITUTE(TRIM(I665),""."","" "")),""^[^@]+"")"),"Igor Davis")</f>
        <v>Igor Davis</v>
      </c>
      <c r="H665" s="10" t="str">
        <f t="shared" si="320"/>
        <v>igor.davis@example.com</v>
      </c>
      <c r="I665" s="2" t="s">
        <v>6956</v>
      </c>
      <c r="J665" s="9" t="str">
        <f>IFERROR(__xludf.DUMMYFUNCTION("IF(REGEXMATCH(TRIM(I665),""^[A-Za-z0-9._%+-]+@[A-Za-z0-9.-]+\.[A-Za-z]{2,}$""),""✅ Valid"",""❌ Invalid"")"),"✅ Valid")</f>
        <v>✅ Valid</v>
      </c>
      <c r="K665" s="15" t="s">
        <v>8570</v>
      </c>
      <c r="L665" s="2" t="str">
        <f>IFERROR(__xludf.DUMMYFUNCTION("IF(K665=""N/A"", """",
 REGEXREPLACE(
  SUBSTITUTE(SUBSTITUTE(SUBSTITUTE(TO_TEXT(K665), CHAR(160),""""), UNICHAR(8239),""""), UNICHAR(8201),""""),""[+\-/(): )]"", """"))"),"4815051046")</f>
        <v>4815051046</v>
      </c>
      <c r="M665" s="2" t="str">
        <f>IFERROR(__xludf.DUMMYFUNCTION("IF(L665="""","""", REGEXEXTRACT(REGEXREPLACE(L665,""x"", """"), ""[0-9]+""))"),"4815051046")</f>
        <v>4815051046</v>
      </c>
      <c r="N665" s="2" t="str">
        <f t="shared" si="341"/>
        <v>15051046</v>
      </c>
      <c r="O665" s="2" t="b">
        <f>IFERROR(__xludf.DUMMYFUNCTION("REGEXMATCH(TO_TEXT(N665), ""^(5[013679]|6[069]|7[2-9]|88)"")"),FALSE)</f>
        <v>0</v>
      </c>
      <c r="Q665" s="9" t="str">
        <f t="shared" si="342"/>
        <v>❌ INVALID</v>
      </c>
      <c r="R665" s="10" t="s">
        <v>25</v>
      </c>
      <c r="S665" s="12">
        <v>44701.0</v>
      </c>
      <c r="T665" s="2" t="str">
        <f>IFERROR(__xludf.DUMMYFUNCTION("IF(ISNUMBER(S665),TEXT(S665,""yyyy-MM-dd""),REGEXREPLACE(REGEXREPLACE(TO_TEXT(S665),""[^0-9a-zA-Z]+"",""-""),""[^0-9]*$"",""""))"),"2022-05-20")</f>
        <v>2022-05-20</v>
      </c>
      <c r="U665" s="2" t="s">
        <v>8571</v>
      </c>
      <c r="Y665" s="10" t="s">
        <v>8571</v>
      </c>
    </row>
    <row r="666" ht="15.75" customHeight="1">
      <c r="A666" s="2" t="s">
        <v>2359</v>
      </c>
      <c r="B666" s="9" t="s">
        <v>7597</v>
      </c>
      <c r="C666" s="2" t="s">
        <v>3464</v>
      </c>
      <c r="D666" s="10" t="str">
        <f>IFERROR(__xludf.DUMMYFUNCTION("PROPER(REGEXREPLACE(TRIM(C666),""\s+"","" ""))"),"Omar Rodriguez")</f>
        <v>Omar Rodriguez</v>
      </c>
      <c r="E666" s="2">
        <f>IFERROR(__xludf.DUMMYFUNCTION("IF(LEN(D666:D701),
  COUNTA(SPLIT(D666:D701,"" "")),
 """")"),2.0)</f>
        <v>2</v>
      </c>
      <c r="F666" s="9" t="str">
        <f t="shared" si="319"/>
        <v>✅</v>
      </c>
      <c r="G666" s="2" t="str">
        <f>IFERROR(__xludf.DUMMYFUNCTION("REGEXEXTRACT(PROPER(SUBSTITUTE(TRIM(I666),""."","" "")),""^[^@]+"")"),"Omar Rodriguez")</f>
        <v>Omar Rodriguez</v>
      </c>
      <c r="H666" s="10" t="str">
        <f t="shared" si="320"/>
        <v>omar.rodriguez@shop.io</v>
      </c>
      <c r="I666" s="2" t="s">
        <v>5912</v>
      </c>
      <c r="J666" s="9" t="str">
        <f>IFERROR(__xludf.DUMMYFUNCTION("IF(REGEXMATCH(TRIM(I666),""^[A-Za-z0-9._%+-]+@[A-Za-z0-9.-]+\.[A-Za-z]{2,}$""),""✅ Valid"",""❌ Invalid"")"),"✅ Valid")</f>
        <v>✅ Valid</v>
      </c>
      <c r="K666" s="11">
        <v>8.40253572E9</v>
      </c>
      <c r="L666" s="2" t="str">
        <f>IFERROR(__xludf.DUMMYFUNCTION("IF(OR(K666=""N/A"", K666=""missing"", K666=""none""), """",
 REGEXREPLACE(
  SUBSTITUTE(SUBSTITUTE(SUBSTITUTE(TO_TEXT(K666), CHAR(160),""""), UNICHAR(8239),""""), UNICHAR(8201),""""),""[+\-/(): )]"", """"))"),"8402535720")</f>
        <v>8402535720</v>
      </c>
      <c r="M666" s="2" t="str">
        <f>IFERROR(__xludf.DUMMYFUNCTION("IF(L666="""","""", REGEXEXTRACT(REGEXREPLACE(L666,""x"", """"), ""[0-9]+""))"),"8402535720")</f>
        <v>8402535720</v>
      </c>
      <c r="N666" s="2" t="str">
        <f>IF(LEFT(M666,2)="49", RIGHT(M666,LEN(M666)-2),M666)</f>
        <v>8402535720</v>
      </c>
      <c r="O666" s="2" t="b">
        <f>IFERROR(__xludf.DUMMYFUNCTION("REGEXMATCH(TO_TEXT(N666), ""^0(15|16|17)"")"),FALSE)</f>
        <v>0</v>
      </c>
      <c r="P666" s="2">
        <f>LEN(N666)</f>
        <v>10</v>
      </c>
      <c r="Q666" s="9" t="str">
        <f>IF(AND(O666=TRUE,OR(P666=10, P666=11)), "✅ VALID", "❌ INVALID")</f>
        <v>❌ INVALID</v>
      </c>
      <c r="R666" s="10" t="s">
        <v>459</v>
      </c>
      <c r="S666" s="12">
        <v>45609.55486111111</v>
      </c>
      <c r="T666" s="2" t="str">
        <f>IFERROR(__xludf.DUMMYFUNCTION("IF(ISNUMBER(S666),TEXT(S666,""yyyy-MM-dd""),REGEXREPLACE(REGEXREPLACE(TO_TEXT(S666),""[^0-9a-zA-Z]+"",""-""),""[^0-9]*$"",""""))"),"2024-11-13")</f>
        <v>2024-11-13</v>
      </c>
      <c r="U666" s="2" t="s">
        <v>8572</v>
      </c>
      <c r="Y666" s="10" t="s">
        <v>8572</v>
      </c>
    </row>
    <row r="667" ht="15.75" customHeight="1">
      <c r="A667" s="2" t="s">
        <v>4268</v>
      </c>
      <c r="B667" s="9" t="s">
        <v>7597</v>
      </c>
      <c r="C667" s="2" t="s">
        <v>726</v>
      </c>
      <c r="D667" s="10" t="str">
        <f>IFERROR(__xludf.DUMMYFUNCTION("PROPER(REGEXREPLACE(TRIM(C667),""\s+"","" ""))"),"Sam Novak")</f>
        <v>Sam Novak</v>
      </c>
      <c r="E667" s="2">
        <f>IFERROR(__xludf.DUMMYFUNCTION("IF(LEN(D667:D701),
  COUNTA(SPLIT(D667:D701,"" "")),
 """")"),2.0)</f>
        <v>2</v>
      </c>
      <c r="F667" s="9" t="str">
        <f t="shared" si="319"/>
        <v>✅</v>
      </c>
      <c r="G667" s="2" t="str">
        <f>IFERROR(__xludf.DUMMYFUNCTION("REGEXEXTRACT(PROPER(SUBSTITUTE(TRIM(I667),""."","" "")),""^[^@]+"")"),"Sam Novak")</f>
        <v>Sam Novak</v>
      </c>
      <c r="H667" s="10" t="str">
        <f t="shared" si="320"/>
        <v>sam.novak@gmail.com</v>
      </c>
      <c r="I667" s="2" t="s">
        <v>5023</v>
      </c>
      <c r="J667" s="9" t="str">
        <f>IFERROR(__xludf.DUMMYFUNCTION("IF(REGEXMATCH(TRIM(I667),""^[A-Za-z0-9._%+-]+@[A-Za-z0-9.-]+\.[A-Za-z]{2,}$""),""✅ Valid"",""❌ Invalid"")"),"✅ Valid")</f>
        <v>✅ Valid</v>
      </c>
      <c r="K667" s="15" t="s">
        <v>8573</v>
      </c>
      <c r="L667" s="2" t="str">
        <f>IFERROR(__xludf.DUMMYFUNCTION("IF(K667=""N/A"", """",
 REGEXREPLACE(
  SUBSTITUTE(SUBSTITUTE(SUBSTITUTE(TO_TEXT(K667), CHAR(160),""""), UNICHAR(8239),""""), UNICHAR(8201),""""),""[+\-/(): )]"", """"))"),"48496882849")</f>
        <v>48496882849</v>
      </c>
      <c r="M667" s="2" t="str">
        <f>IFERROR(__xludf.DUMMYFUNCTION("IF(L667="""","""", REGEXEXTRACT(REGEXREPLACE(L667,""x"", """"), ""[0-9]+""))"),"48496882849")</f>
        <v>48496882849</v>
      </c>
      <c r="N667" s="2" t="str">
        <f>IF(LEFT(M667,2)="48", RIGHT(M667,LEN(M667)-2),M667)</f>
        <v>496882849</v>
      </c>
      <c r="O667" s="2" t="b">
        <f>IFERROR(__xludf.DUMMYFUNCTION("REGEXMATCH(TO_TEXT(N667), ""^(5[013679]|6[069]|7[2-9]|88)"")"),FALSE)</f>
        <v>0</v>
      </c>
      <c r="Q667" s="9" t="str">
        <f>IF(AND(O667=TRUE, P667=9), "✅ VALID", "❌ INVALID")</f>
        <v>❌ INVALID</v>
      </c>
      <c r="R667" s="10" t="s">
        <v>25</v>
      </c>
      <c r="S667" s="12">
        <v>45047.913194444445</v>
      </c>
      <c r="T667" s="2" t="str">
        <f>IFERROR(__xludf.DUMMYFUNCTION("IF(ISNUMBER(S667),TEXT(S667,""yyyy-MM-dd""),REGEXREPLACE(REGEXREPLACE(TO_TEXT(S667),""[^0-9a-zA-Z]+"",""-""),""[^0-9]*$"",""""))"),"2023-05-01")</f>
        <v>2023-05-01</v>
      </c>
      <c r="U667" s="2" t="s">
        <v>8574</v>
      </c>
      <c r="Y667" s="10" t="s">
        <v>8574</v>
      </c>
    </row>
    <row r="668" ht="15.75" customHeight="1">
      <c r="A668" s="2" t="s">
        <v>6671</v>
      </c>
      <c r="B668" s="9" t="s">
        <v>7597</v>
      </c>
      <c r="C668" s="2" t="s">
        <v>2094</v>
      </c>
      <c r="D668" s="10" t="str">
        <f>IFERROR(__xludf.DUMMYFUNCTION("PROPER(REGEXREPLACE(TRIM(C668),""\s+"","" ""))"),"Wiktor Kowalczyk")</f>
        <v>Wiktor Kowalczyk</v>
      </c>
      <c r="E668" s="2">
        <f>IFERROR(__xludf.DUMMYFUNCTION("IF(LEN(D668:D701),
  COUNTA(SPLIT(D668:D701,"" "")),
 """")"),2.0)</f>
        <v>2</v>
      </c>
      <c r="F668" s="9" t="str">
        <f t="shared" si="319"/>
        <v>✅</v>
      </c>
      <c r="G668" s="2" t="str">
        <f>IFERROR(__xludf.DUMMYFUNCTION("REGEXEXTRACT(PROPER(SUBSTITUTE(TRIM(I668),""."","" "")),""^[^@]+"")"),"Wiktor Kowalczyk")</f>
        <v>Wiktor Kowalczyk</v>
      </c>
      <c r="H668" s="10" t="str">
        <f t="shared" si="320"/>
        <v>wiktor.kowalczyk@example.com</v>
      </c>
      <c r="I668" s="2" t="s">
        <v>2095</v>
      </c>
      <c r="J668" s="9" t="str">
        <f>IFERROR(__xludf.DUMMYFUNCTION("IF(REGEXMATCH(TRIM(I668),""^[A-Za-z0-9._%+-]+@[A-Za-z0-9.-]+\.[A-Za-z]{2,}$""),""✅ Valid"",""❌ Invalid"")"),"✅ Valid")</f>
        <v>✅ Valid</v>
      </c>
      <c r="K668" s="13" t="s">
        <v>8575</v>
      </c>
      <c r="L668" s="2" t="str">
        <f>IFERROR(__xludf.DUMMYFUNCTION("IF(OR(K668=""N/A"", K668=""missing"", K668=""none""), """",
 REGEXREPLACE(
  SUBSTITUTE(SUBSTITUTE(SUBSTITUTE(TO_TEXT(K668), CHAR(160),""""), UNICHAR(8239),""""), UNICHAR(8201),""""),""[+\-/(): )]"", """"))"),"5571720629")</f>
        <v>5571720629</v>
      </c>
      <c r="M668" s="2" t="str">
        <f>IFERROR(__xludf.DUMMYFUNCTION("IF(L668="""","""", REGEXEXTRACT(REGEXREPLACE(L668,""x"", """"), ""[0-9]+""))"),"5571720629")</f>
        <v>5571720629</v>
      </c>
      <c r="N668" s="2" t="str">
        <f>IF(LEFT(M668,1)="1", RIGHT(M668,LEN(M668)-1),M668)</f>
        <v>5571720629</v>
      </c>
      <c r="O668" s="2" t="b">
        <f>IFERROR(__xludf.DUMMYFUNCTION("REGEXMATCH(TO_TEXT(N668), ""^[2-9][0-9]{9}$"")"),TRUE)</f>
        <v>1</v>
      </c>
      <c r="P668" s="2">
        <f t="shared" ref="P668:P692" si="343">LEN(N668)</f>
        <v>10</v>
      </c>
      <c r="Q668" s="9" t="str">
        <f>IF(AND(O668=TRUE, P668=10), "✅ VALID", "❌ INVALID")</f>
        <v>✅ VALID</v>
      </c>
      <c r="R668" s="10" t="s">
        <v>199</v>
      </c>
      <c r="S668" s="12">
        <v>44682.0</v>
      </c>
      <c r="T668" s="2" t="str">
        <f>IFERROR(__xludf.DUMMYFUNCTION("IF(ISNUMBER(S668),TEXT(S668,""yyyy-MM-dd""),REGEXREPLACE(REGEXREPLACE(TO_TEXT(S668),""[^0-9a-zA-Z]+"",""-""),""[^0-9]*$"",""""))"),"2022-05-01")</f>
        <v>2022-05-01</v>
      </c>
      <c r="U668" s="2" t="s">
        <v>8576</v>
      </c>
      <c r="Y668" s="10" t="s">
        <v>8576</v>
      </c>
    </row>
    <row r="669" ht="15.75" customHeight="1">
      <c r="A669" s="2" t="s">
        <v>6613</v>
      </c>
      <c r="B669" s="9" t="s">
        <v>7597</v>
      </c>
      <c r="C669" s="2" t="s">
        <v>208</v>
      </c>
      <c r="D669" s="10" t="str">
        <f>IFERROR(__xludf.DUMMYFUNCTION("PROPER(REGEXREPLACE(TRIM(C669),""\s+"","" ""))"),"Omar Brown")</f>
        <v>Omar Brown</v>
      </c>
      <c r="E669" s="2">
        <f>IFERROR(__xludf.DUMMYFUNCTION("IF(LEN(D669:D701),
  COUNTA(SPLIT(D669:D701,"" "")),
 """")"),2.0)</f>
        <v>2</v>
      </c>
      <c r="F669" s="9" t="str">
        <f t="shared" si="319"/>
        <v>✅</v>
      </c>
      <c r="G669" s="2" t="str">
        <f>IFERROR(__xludf.DUMMYFUNCTION("REGEXEXTRACT(PROPER(SUBSTITUTE(TRIM(I669),""."","" "")),""^[^@]+"")"),"Omar Brown")</f>
        <v>Omar Brown</v>
      </c>
      <c r="H669" s="10" t="str">
        <f t="shared" si="320"/>
        <v>omar.brown@company.co.uk</v>
      </c>
      <c r="I669" s="2" t="s">
        <v>209</v>
      </c>
      <c r="J669" s="9" t="str">
        <f>IFERROR(__xludf.DUMMYFUNCTION("IF(REGEXMATCH(TRIM(I669),""^[A-Za-z0-9._%+-]+@[A-Za-z0-9.-]+\.[A-Za-z]{2,}$""),""✅ Valid"",""❌ Invalid"")"),"✅ Valid")</f>
        <v>✅ Valid</v>
      </c>
      <c r="K669" s="13" t="s">
        <v>8577</v>
      </c>
      <c r="L669" s="2" t="str">
        <f>IFERROR(__xludf.DUMMYFUNCTION("IF(OR(K669=""N/A"", K669=""missing"", K669=""none""), """",
 REGEXREPLACE(
  SUBSTITUTE(SUBSTITUTE(SUBSTITUTE(TO_TEXT(K669), CHAR(160),""""), UNICHAR(8239),""""), UNICHAR(8201),""""),""[+\-/(): )]"", """"))"),"499376566162")</f>
        <v>499376566162</v>
      </c>
      <c r="M669" s="2" t="str">
        <f>IFERROR(__xludf.DUMMYFUNCTION("IF(L669="""","""", REGEXEXTRACT(REGEXREPLACE(L669,""x"", """"), ""[0-9]+""))"),"499376566162")</f>
        <v>499376566162</v>
      </c>
      <c r="N669" s="2" t="str">
        <f>IF(LEFT(M669,2)="49", RIGHT(M669,LEN(M669)-2),M669)</f>
        <v>9376566162</v>
      </c>
      <c r="O669" s="2" t="b">
        <f>IFERROR(__xludf.DUMMYFUNCTION("REGEXMATCH(TO_TEXT(N669), ""^0(15|16|17)"")"),FALSE)</f>
        <v>0</v>
      </c>
      <c r="P669" s="2">
        <f t="shared" si="343"/>
        <v>10</v>
      </c>
      <c r="Q669" s="9" t="str">
        <f>IF(AND(O669=TRUE,OR(P669=10, P669=11)), "✅ VALID", "❌ INVALID")</f>
        <v>❌ INVALID</v>
      </c>
      <c r="R669" s="10" t="s">
        <v>459</v>
      </c>
      <c r="S669" s="12" t="s">
        <v>6849</v>
      </c>
      <c r="T669" s="2" t="str">
        <f>IFERROR(__xludf.DUMMYFUNCTION("IF(ISNUMBER(S669),TEXT(S669,""yyyy-MM-dd""),REGEXREPLACE(REGEXREPLACE(TO_TEXT(S669),""[^0-9a-zA-Z]+"",""-""),""[^0-9]*$"",""""))"),"44727-16-25")</f>
        <v>44727-16-25</v>
      </c>
      <c r="U669" s="2" t="str">
        <f>TEXT(T669,"yyyy-MM-dd")</f>
        <v>44727-16-25</v>
      </c>
      <c r="V669" s="2" t="str">
        <f>CONCATENATE(LEFT(U669,5))</f>
        <v>44727</v>
      </c>
      <c r="W669" s="14">
        <f>DATE(1900,1,1) + V669 - 1</f>
        <v>44728</v>
      </c>
      <c r="X669" s="2" t="s">
        <v>8578</v>
      </c>
      <c r="Y669" s="10" t="s">
        <v>8578</v>
      </c>
    </row>
    <row r="670" ht="15.75" customHeight="1">
      <c r="A670" s="2" t="s">
        <v>5048</v>
      </c>
      <c r="B670" s="9" t="s">
        <v>7597</v>
      </c>
      <c r="C670" s="2" t="s">
        <v>1242</v>
      </c>
      <c r="D670" s="10" t="str">
        <f>IFERROR(__xludf.DUMMYFUNCTION("PROPER(REGEXREPLACE(TRIM(C670),""\s+"","" ""))"),"Ethan Taylor")</f>
        <v>Ethan Taylor</v>
      </c>
      <c r="E670" s="2">
        <f>IFERROR(__xludf.DUMMYFUNCTION("IF(LEN(D670:D701),
  COUNTA(SPLIT(D670:D701,"" "")),
 """")"),2.0)</f>
        <v>2</v>
      </c>
      <c r="F670" s="9" t="str">
        <f t="shared" si="319"/>
        <v>✅</v>
      </c>
      <c r="G670" s="2" t="str">
        <f>IFERROR(__xludf.DUMMYFUNCTION("REGEXEXTRACT(PROPER(SUBSTITUTE(TRIM(I670),""."","" "")),""^[^@]+"")"),"Ethan Taylor")</f>
        <v>Ethan Taylor</v>
      </c>
      <c r="H670" s="10" t="str">
        <f t="shared" si="320"/>
        <v>ethan.taylor@shop.io</v>
      </c>
      <c r="I670" s="2" t="s">
        <v>1243</v>
      </c>
      <c r="J670" s="9" t="str">
        <f>IFERROR(__xludf.DUMMYFUNCTION("IF(REGEXMATCH(TRIM(I670),""^[A-Za-z0-9._%+-]+@[A-Za-z0-9.-]+\.[A-Za-z]{2,}$""),""✅ Valid"",""❌ Invalid"")"),"✅ Valid")</f>
        <v>✅ Valid</v>
      </c>
      <c r="K670" s="13" t="s">
        <v>8579</v>
      </c>
      <c r="L670" s="2" t="str">
        <f>IFERROR(__xludf.DUMMYFUNCTION("IF(OR(K670=""N/A"", K670=""missing"", K670=""none""), """",
 REGEXREPLACE(
  SUBSTITUTE(SUBSTITUTE(SUBSTITUTE(TO_TEXT(K670), CHAR(160),""""), UNICHAR(8239),""""), UNICHAR(8201),""""),""[+\-/(): )]"", """"))"),"15860297604")</f>
        <v>15860297604</v>
      </c>
      <c r="M670" s="2" t="str">
        <f>IFERROR(__xludf.DUMMYFUNCTION("IF(L670="""","""", REGEXEXTRACT(REGEXREPLACE(L670,""x"", """"), ""[0-9]+""))"),"15860297604")</f>
        <v>15860297604</v>
      </c>
      <c r="N670" s="2" t="str">
        <f t="shared" ref="N670:N671" si="344">IF(LEFT(M670,1)="1", RIGHT(M670,LEN(M670)-1),M670)</f>
        <v>5860297604</v>
      </c>
      <c r="O670" s="2" t="b">
        <f>IFERROR(__xludf.DUMMYFUNCTION("REGEXMATCH(TO_TEXT(N670), ""^[2-9][0-9]{9}$"")"),TRUE)</f>
        <v>1</v>
      </c>
      <c r="P670" s="2">
        <f t="shared" si="343"/>
        <v>10</v>
      </c>
      <c r="Q670" s="9" t="str">
        <f t="shared" ref="Q670:Q671" si="345">IF(AND(O670=TRUE, P670=10), "✅ VALID", "❌ INVALID")</f>
        <v>✅ VALID</v>
      </c>
      <c r="R670" s="10" t="s">
        <v>199</v>
      </c>
      <c r="S670" s="12">
        <v>45722.0</v>
      </c>
      <c r="T670" s="2" t="str">
        <f>IFERROR(__xludf.DUMMYFUNCTION("IF(ISNUMBER(S670),TEXT(S670,""yyyy-MM-dd""),REGEXREPLACE(REGEXREPLACE(TO_TEXT(S670),""[^0-9a-zA-Z]+"",""-""),""[^0-9]*$"",""""))"),"2025-03-06")</f>
        <v>2025-03-06</v>
      </c>
      <c r="U670" s="2" t="s">
        <v>8503</v>
      </c>
      <c r="Y670" s="10" t="s">
        <v>8503</v>
      </c>
    </row>
    <row r="671" ht="15.75" customHeight="1">
      <c r="A671" s="2" t="s">
        <v>1371</v>
      </c>
      <c r="B671" s="9" t="s">
        <v>7597</v>
      </c>
      <c r="C671" s="2" t="s">
        <v>3657</v>
      </c>
      <c r="D671" s="10" t="str">
        <f>IFERROR(__xludf.DUMMYFUNCTION("PROPER(REGEXREPLACE(TRIM(C671),""\s+"","" ""))"),"Wiktor Rossi")</f>
        <v>Wiktor Rossi</v>
      </c>
      <c r="E671" s="2">
        <f>IFERROR(__xludf.DUMMYFUNCTION("IF(LEN(D671:D701),
  COUNTA(SPLIT(D671:D701,"" "")),
 """")"),2.0)</f>
        <v>2</v>
      </c>
      <c r="F671" s="9" t="str">
        <f t="shared" si="319"/>
        <v>✅</v>
      </c>
      <c r="G671" s="2" t="str">
        <f>IFERROR(__xludf.DUMMYFUNCTION("REGEXEXTRACT(PROPER(SUBSTITUTE(TRIM(I671),""."","" "")),""^[^@]+"")"),"Wiktor Rossi")</f>
        <v>Wiktor Rossi</v>
      </c>
      <c r="H671" s="10" t="str">
        <f t="shared" si="320"/>
        <v>wiktor.rossi@outlook.com</v>
      </c>
      <c r="I671" s="2" t="s">
        <v>3658</v>
      </c>
      <c r="J671" s="9" t="str">
        <f>IFERROR(__xludf.DUMMYFUNCTION("IF(REGEXMATCH(TRIM(I671),""^[A-Za-z0-9._%+-]+@[A-Za-z0-9.-]+\.[A-Za-z]{2,}$""),""✅ Valid"",""❌ Invalid"")"),"✅ Valid")</f>
        <v>✅ Valid</v>
      </c>
      <c r="K671" s="13" t="s">
        <v>8580</v>
      </c>
      <c r="L671" s="2" t="str">
        <f>IFERROR(__xludf.DUMMYFUNCTION("IF(OR(K671=""N/A"", K671=""missing"", K671=""none""), """",
 REGEXREPLACE(
  SUBSTITUTE(SUBSTITUTE(SUBSTITUTE(TO_TEXT(K671), CHAR(160),""""), UNICHAR(8239),""""), UNICHAR(8201),""""),""[+\-/(): )]"", """"))"),"18370051713")</f>
        <v>18370051713</v>
      </c>
      <c r="M671" s="2" t="str">
        <f>IFERROR(__xludf.DUMMYFUNCTION("IF(L671="""","""", REGEXEXTRACT(REGEXREPLACE(L671,""x"", """"), ""[0-9]+""))"),"18370051713")</f>
        <v>18370051713</v>
      </c>
      <c r="N671" s="2" t="str">
        <f t="shared" si="344"/>
        <v>8370051713</v>
      </c>
      <c r="O671" s="2" t="b">
        <f>IFERROR(__xludf.DUMMYFUNCTION("REGEXMATCH(TO_TEXT(N671), ""^[2-9][0-9]{9}$"")"),TRUE)</f>
        <v>1</v>
      </c>
      <c r="P671" s="2">
        <f t="shared" si="343"/>
        <v>10</v>
      </c>
      <c r="Q671" s="9" t="str">
        <f t="shared" si="345"/>
        <v>✅ VALID</v>
      </c>
      <c r="R671" s="10" t="s">
        <v>199</v>
      </c>
      <c r="S671" s="12">
        <v>45492.46041666667</v>
      </c>
      <c r="T671" s="2" t="str">
        <f>IFERROR(__xludf.DUMMYFUNCTION("IF(ISNUMBER(S671),TEXT(S671,""yyyy-MM-dd""),REGEXREPLACE(REGEXREPLACE(TO_TEXT(S671),""[^0-9a-zA-Z]+"",""-""),""[^0-9]*$"",""""))"),"2024-07-19")</f>
        <v>2024-07-19</v>
      </c>
      <c r="U671" s="2" t="s">
        <v>1339</v>
      </c>
      <c r="Y671" s="10" t="s">
        <v>1339</v>
      </c>
    </row>
    <row r="672" ht="15.75" customHeight="1">
      <c r="A672" s="2" t="s">
        <v>184</v>
      </c>
      <c r="B672" s="9" t="s">
        <v>7597</v>
      </c>
      <c r="C672" s="2" t="s">
        <v>1994</v>
      </c>
      <c r="D672" s="10" t="str">
        <f>IFERROR(__xludf.DUMMYFUNCTION("PROPER(REGEXREPLACE(TRIM(C672),""\s+"","" ""))"),"Marek Young")</f>
        <v>Marek Young</v>
      </c>
      <c r="E672" s="2">
        <f>IFERROR(__xludf.DUMMYFUNCTION("IF(LEN(D672:D701),
  COUNTA(SPLIT(D672:D701,"" "")),
 """")"),2.0)</f>
        <v>2</v>
      </c>
      <c r="F672" s="9" t="str">
        <f t="shared" si="319"/>
        <v>✅</v>
      </c>
      <c r="G672" s="2" t="str">
        <f>IFERROR(__xludf.DUMMYFUNCTION("REGEXEXTRACT(PROPER(SUBSTITUTE(TRIM(I672),""."","" "")),""^[^@]+"")"),"Marek Young")</f>
        <v>Marek Young</v>
      </c>
      <c r="H672" s="10" t="str">
        <f t="shared" si="320"/>
        <v>marek.young@shop.io</v>
      </c>
      <c r="I672" s="2" t="s">
        <v>3933</v>
      </c>
      <c r="J672" s="9" t="str">
        <f>IFERROR(__xludf.DUMMYFUNCTION("IF(REGEXMATCH(TRIM(I672),""^[A-Za-z0-9._%+-]+@[A-Za-z0-9.-]+\.[A-Za-z]{2,}$""),""✅ Valid"",""❌ Invalid"")"),"✅ Valid")</f>
        <v>✅ Valid</v>
      </c>
      <c r="K672" s="13" t="s">
        <v>8581</v>
      </c>
      <c r="L672" s="2" t="str">
        <f>IFERROR(__xludf.DUMMYFUNCTION("IF(OR(K672=""N/A"", K672=""missing"", K672=""none""), """",
 REGEXREPLACE(
  SUBSTITUTE(SUBSTITUTE(SUBSTITUTE(TO_TEXT(K672), CHAR(160),""""), UNICHAR(8239),""""), UNICHAR(8201),""""),""[+\-/(): )]"", """"))"),"3414267289")</f>
        <v>3414267289</v>
      </c>
      <c r="M672" s="2" t="str">
        <f>IFERROR(__xludf.DUMMYFUNCTION("IF(L672="""","""", REGEXEXTRACT(REGEXREPLACE(L672,""x"", """"), ""[0-9]+""))"),"3414267289")</f>
        <v>3414267289</v>
      </c>
      <c r="N672" s="2" t="str">
        <f>IF(LEFT(M672,2)="34", RIGHT(M672,LEN(M672)-2),M672)</f>
        <v>14267289</v>
      </c>
      <c r="O672" s="2" t="b">
        <f>IFERROR(__xludf.DUMMYFUNCTION("REGEXMATCH(TO_TEXT(N672), ""^[67]"")"),FALSE)</f>
        <v>0</v>
      </c>
      <c r="P672" s="2">
        <f t="shared" si="343"/>
        <v>8</v>
      </c>
      <c r="Q672" s="9" t="str">
        <f>IF(AND(O672=TRUE, P672=9), "✅ VALID", "❌ INVALID")</f>
        <v>❌ INVALID</v>
      </c>
      <c r="R672" s="10" t="s">
        <v>139</v>
      </c>
      <c r="S672" s="12">
        <v>45888.245833333334</v>
      </c>
      <c r="T672" s="2" t="str">
        <f>IFERROR(__xludf.DUMMYFUNCTION("IF(ISNUMBER(S672),TEXT(S672,""yyyy-MM-dd""),REGEXREPLACE(REGEXREPLACE(TO_TEXT(S672),""[^0-9a-zA-Z]+"",""-""),""[^0-9]*$"",""""))"),"2025-08-19")</f>
        <v>2025-08-19</v>
      </c>
      <c r="U672" s="2" t="s">
        <v>2644</v>
      </c>
      <c r="Y672" s="10" t="s">
        <v>2644</v>
      </c>
    </row>
    <row r="673" ht="15.75" customHeight="1">
      <c r="A673" s="2" t="s">
        <v>1396</v>
      </c>
      <c r="B673" s="9" t="s">
        <v>7597</v>
      </c>
      <c r="C673" s="2" t="s">
        <v>4482</v>
      </c>
      <c r="D673" s="10" t="str">
        <f>IFERROR(__xludf.DUMMYFUNCTION("PROPER(REGEXREPLACE(TRIM(C673),""\s+"","" ""))"),"Zack Martinez")</f>
        <v>Zack Martinez</v>
      </c>
      <c r="E673" s="2">
        <f>IFERROR(__xludf.DUMMYFUNCTION("IF(LEN(D673:D701),
  COUNTA(SPLIT(D673:D701,"" "")),
 """")"),2.0)</f>
        <v>2</v>
      </c>
      <c r="F673" s="9" t="str">
        <f t="shared" si="319"/>
        <v>✅</v>
      </c>
      <c r="G673" s="2" t="str">
        <f>IFERROR(__xludf.DUMMYFUNCTION("REGEXEXTRACT(PROPER(SUBSTITUTE(TRIM(I673),""."","" "")),""^[^@]+"")"),"Zack Martinez")</f>
        <v>Zack Martinez</v>
      </c>
      <c r="H673" s="10" t="str">
        <f t="shared" si="320"/>
        <v>zack.martinez@companyc.o.uk</v>
      </c>
      <c r="I673" s="2" t="s">
        <v>4483</v>
      </c>
      <c r="J673" s="9" t="str">
        <f>IFERROR(__xludf.DUMMYFUNCTION("IF(REGEXMATCH(TRIM(I673),""^[A-Za-z0-9._%+-]+@[A-Za-z0-9.-]+\.[A-Za-z]{2,}$""),""✅ Valid"",""❌ Invalid"")"),"✅ Valid")</f>
        <v>✅ Valid</v>
      </c>
      <c r="K673" s="13" t="s">
        <v>8582</v>
      </c>
      <c r="L673" s="2" t="str">
        <f>IFERROR(__xludf.DUMMYFUNCTION("IF(OR(K673=""N/A"", K673=""missing"", K673=""none""), """",
 REGEXREPLACE(
  SUBSTITUTE(SUBSTITUTE(SUBSTITUTE(TO_TEXT(K673), CHAR(160),""""), UNICHAR(8239),""""), UNICHAR(8201),""""),""[+\-/(): )]"", """"))"),"495679945486")</f>
        <v>495679945486</v>
      </c>
      <c r="M673" s="2" t="str">
        <f>IFERROR(__xludf.DUMMYFUNCTION("IF(L673="""","""", REGEXEXTRACT(REGEXREPLACE(L673,""x"", """"), ""[0-9]+""))"),"495679945486")</f>
        <v>495679945486</v>
      </c>
      <c r="N673" s="2" t="str">
        <f>IF(LEFT(M673,2)="49", RIGHT(M673,LEN(M673)-2),M673)</f>
        <v>5679945486</v>
      </c>
      <c r="O673" s="2" t="b">
        <f>IFERROR(__xludf.DUMMYFUNCTION("REGEXMATCH(TO_TEXT(N673), ""^0(15|16|17)"")"),FALSE)</f>
        <v>0</v>
      </c>
      <c r="P673" s="2">
        <f t="shared" si="343"/>
        <v>10</v>
      </c>
      <c r="Q673" s="9" t="str">
        <f>IF(AND(O673=TRUE,OR(P673=10, P673=11)), "✅ VALID", "❌ INVALID")</f>
        <v>❌ INVALID</v>
      </c>
      <c r="R673" s="10" t="s">
        <v>459</v>
      </c>
      <c r="S673" s="12">
        <v>45912.0</v>
      </c>
      <c r="T673" s="2" t="str">
        <f>IFERROR(__xludf.DUMMYFUNCTION("IF(ISNUMBER(S673),TEXT(S673,""yyyy-MM-dd""),REGEXREPLACE(REGEXREPLACE(TO_TEXT(S673),""[^0-9a-zA-Z]+"",""-""),""[^0-9]*$"",""""))"),"2025-09-12")</f>
        <v>2025-09-12</v>
      </c>
      <c r="U673" s="2" t="s">
        <v>8583</v>
      </c>
      <c r="Y673" s="10" t="s">
        <v>8583</v>
      </c>
    </row>
    <row r="674" ht="15.75" customHeight="1">
      <c r="A674" s="2" t="s">
        <v>6558</v>
      </c>
      <c r="B674" s="9" t="s">
        <v>7597</v>
      </c>
      <c r="C674" s="2" t="s">
        <v>3246</v>
      </c>
      <c r="D674" s="10" t="str">
        <f>IFERROR(__xludf.DUMMYFUNCTION("PROPER(REGEXREPLACE(TRIM(C674),""\s+"","" ""))"),"Igor Young")</f>
        <v>Igor Young</v>
      </c>
      <c r="E674" s="2">
        <f>IFERROR(__xludf.DUMMYFUNCTION("IF(LEN(D674:D701),
  COUNTA(SPLIT(D674:D701,"" "")),
 """")"),2.0)</f>
        <v>2</v>
      </c>
      <c r="F674" s="9" t="str">
        <f t="shared" si="319"/>
        <v>✅</v>
      </c>
      <c r="G674" s="2" t="str">
        <f>IFERROR(__xludf.DUMMYFUNCTION("REGEXEXTRACT(PROPER(SUBSTITUTE(TRIM(I674),""."","" "")),""^[^@]+"")"),"Igor Young")</f>
        <v>Igor Young</v>
      </c>
      <c r="H674" s="10" t="str">
        <f t="shared" si="320"/>
        <v>igor.young@yahoo.com</v>
      </c>
      <c r="I674" s="2" t="s">
        <v>3247</v>
      </c>
      <c r="J674" s="9" t="str">
        <f>IFERROR(__xludf.DUMMYFUNCTION("IF(REGEXMATCH(TRIM(I674),""^[A-Za-z0-9._%+-]+@[A-Za-z0-9.-]+\.[A-Za-z]{2,}$""),""✅ Valid"",""❌ Invalid"")"),"✅ Valid")</f>
        <v>✅ Valid</v>
      </c>
      <c r="K674" s="13" t="s">
        <v>8584</v>
      </c>
      <c r="L674" s="2" t="str">
        <f>IFERROR(__xludf.DUMMYFUNCTION("IF(OR(K674=""N/A"", K674=""missing"", K674=""none""), """",
 REGEXREPLACE(
  SUBSTITUTE(SUBSTITUTE(SUBSTITUTE(TO_TEXT(K674), CHAR(160),""""), UNICHAR(8239),""""), UNICHAR(8201),""""),""[+\-/(): )]"", """"))"),"39110512260")</f>
        <v>39110512260</v>
      </c>
      <c r="M674" s="2" t="str">
        <f>IFERROR(__xludf.DUMMYFUNCTION("IF(L674="""","""", REGEXEXTRACT(REGEXREPLACE(L674,""x"", """"), ""[0-9]+""))"),"39110512260")</f>
        <v>39110512260</v>
      </c>
      <c r="N674" s="2" t="str">
        <f>IF(LEFT(M674,2)="39", RIGHT(M674,LEN(M674)-2),M674)</f>
        <v>110512260</v>
      </c>
      <c r="O674" s="2" t="b">
        <f>IFERROR(__xludf.DUMMYFUNCTION("REGEXMATCH(TO_TEXT(N674), ""^3"")"),FALSE)</f>
        <v>0</v>
      </c>
      <c r="P674" s="2">
        <f t="shared" si="343"/>
        <v>9</v>
      </c>
      <c r="Q674" s="9" t="str">
        <f>IF(AND(O674=TRUE,OR(P674=9, P674=10 )), "✅ VALID", "❌ INVALID")</f>
        <v>❌ INVALID</v>
      </c>
      <c r="R674" s="10" t="s">
        <v>785</v>
      </c>
      <c r="S674" s="12">
        <v>45225.0</v>
      </c>
      <c r="T674" s="2" t="str">
        <f>IFERROR(__xludf.DUMMYFUNCTION("IF(ISNUMBER(S674),TEXT(S674,""yyyy-MM-dd""),REGEXREPLACE(REGEXREPLACE(TO_TEXT(S674),""[^0-9a-zA-Z]+"",""-""),""[^0-9]*$"",""""))"),"2023-10-26")</f>
        <v>2023-10-26</v>
      </c>
      <c r="U674" s="2" t="s">
        <v>8585</v>
      </c>
      <c r="Y674" s="10" t="s">
        <v>8585</v>
      </c>
    </row>
    <row r="675" ht="15.75" customHeight="1">
      <c r="A675" s="2" t="s">
        <v>5704</v>
      </c>
      <c r="B675" s="9" t="s">
        <v>7597</v>
      </c>
      <c r="C675" s="2" t="s">
        <v>6084</v>
      </c>
      <c r="D675" s="10" t="str">
        <f>IFERROR(__xludf.DUMMYFUNCTION("PROPER(REGEXREPLACE(TRIM(C675),""\s+"","" ""))"),"Paula Muller")</f>
        <v>Paula Muller</v>
      </c>
      <c r="E675" s="2">
        <f>IFERROR(__xludf.DUMMYFUNCTION("IF(LEN(D675:D701),
  COUNTA(SPLIT(D675:D701,"" "")),
 """")"),2.0)</f>
        <v>2</v>
      </c>
      <c r="F675" s="9" t="str">
        <f t="shared" si="319"/>
        <v>✅</v>
      </c>
      <c r="G675" s="2" t="str">
        <f>IFERROR(__xludf.DUMMYFUNCTION("REGEXEXTRACT(PROPER(SUBSTITUTE(TRIM(I675),""."","" "")),""^[^@]+"")"),"Paula Muller")</f>
        <v>Paula Muller</v>
      </c>
      <c r="H675" s="10" t="str">
        <f t="shared" si="320"/>
        <v>paula.muller@example.com</v>
      </c>
      <c r="I675" s="2" t="s">
        <v>6085</v>
      </c>
      <c r="J675" s="9" t="str">
        <f>IFERROR(__xludf.DUMMYFUNCTION("IF(REGEXMATCH(TRIM(I675),""^[A-Za-z0-9._%+-]+@[A-Za-z0-9.-]+\.[A-Za-z]{2,}$""),""✅ Valid"",""❌ Invalid"")"),"✅ Valid")</f>
        <v>✅ Valid</v>
      </c>
      <c r="K675" s="13" t="s">
        <v>8586</v>
      </c>
      <c r="L675" s="2" t="str">
        <f>IFERROR(__xludf.DUMMYFUNCTION("IF(OR(K675=""N/A"", K675=""missing"", K675=""none""), """",
 REGEXREPLACE(
  SUBSTITUTE(SUBSTITUTE(SUBSTITUTE(TO_TEXT(K675), CHAR(160),""""), UNICHAR(8239),""""), UNICHAR(8201),""""),""[+\-/(): )]"", """"))"),"444010590773")</f>
        <v>444010590773</v>
      </c>
      <c r="M675" s="2" t="str">
        <f>IFERROR(__xludf.DUMMYFUNCTION("IF(L675="""","""", REGEXEXTRACT(REGEXREPLACE(L675,""x"", """"), ""[0-9]+""))"),"444010590773")</f>
        <v>444010590773</v>
      </c>
      <c r="N675" s="2" t="str">
        <f>IF(LEFT(M675,2)="44", RIGHT(M675,LEN(M675)-2),M675)</f>
        <v>4010590773</v>
      </c>
      <c r="O675" s="2" t="b">
        <f>IFERROR(__xludf.DUMMYFUNCTION("REGEXMATCH(TO_TEXT(N675), ""^07[1-57-9]"")"),FALSE)</f>
        <v>0</v>
      </c>
      <c r="P675" s="2">
        <f t="shared" si="343"/>
        <v>10</v>
      </c>
      <c r="Q675" s="9" t="str">
        <f>IF(AND(O675=TRUE, P675=11), "✅ VALID", "❌ INVALID")</f>
        <v>❌ INVALID</v>
      </c>
      <c r="R675" s="10" t="s">
        <v>114</v>
      </c>
      <c r="S675" s="12">
        <v>44871.0</v>
      </c>
      <c r="T675" s="2" t="str">
        <f>IFERROR(__xludf.DUMMYFUNCTION("IF(ISNUMBER(S675),TEXT(S675,""yyyy-MM-dd""),REGEXREPLACE(REGEXREPLACE(TO_TEXT(S675),""[^0-9a-zA-Z]+"",""-""),""[^0-9]*$"",""""))"),"2022-11-06")</f>
        <v>2022-11-06</v>
      </c>
      <c r="U675" s="2" t="s">
        <v>8587</v>
      </c>
      <c r="Y675" s="10" t="s">
        <v>8587</v>
      </c>
    </row>
    <row r="676" ht="15.75" customHeight="1">
      <c r="A676" s="2" t="s">
        <v>7301</v>
      </c>
      <c r="B676" s="9" t="s">
        <v>7597</v>
      </c>
      <c r="C676" s="2" t="s">
        <v>6488</v>
      </c>
      <c r="D676" s="10" t="str">
        <f>IFERROR(__xludf.DUMMYFUNCTION("PROPER(REGEXREPLACE(TRIM(C676),""\s+"","" ""))"),"Rita Davis")</f>
        <v>Rita Davis</v>
      </c>
      <c r="E676" s="2">
        <f>IFERROR(__xludf.DUMMYFUNCTION("IF(LEN(D676:D701),
  COUNTA(SPLIT(D676:D701,"" "")),
 """")"),2.0)</f>
        <v>2</v>
      </c>
      <c r="F676" s="9" t="str">
        <f t="shared" si="319"/>
        <v>✅</v>
      </c>
      <c r="G676" s="2" t="str">
        <f>IFERROR(__xludf.DUMMYFUNCTION("REGEXEXTRACT(PROPER(SUBSTITUTE(TRIM(I676),""."","" "")),""^[^@]+"")"),"Rita Davis")</f>
        <v>Rita Davis</v>
      </c>
      <c r="H676" s="10" t="str">
        <f t="shared" si="320"/>
        <v>rita.davis@example.com</v>
      </c>
      <c r="I676" s="2" t="s">
        <v>6489</v>
      </c>
      <c r="J676" s="9" t="str">
        <f>IFERROR(__xludf.DUMMYFUNCTION("IF(REGEXMATCH(TRIM(I676),""^[A-Za-z0-9._%+-]+@[A-Za-z0-9.-]+\.[A-Za-z]{2,}$""),""✅ Valid"",""❌ Invalid"")"),"✅ Valid")</f>
        <v>✅ Valid</v>
      </c>
      <c r="K676" s="13" t="s">
        <v>8588</v>
      </c>
      <c r="L676" s="2" t="str">
        <f>IFERROR(__xludf.DUMMYFUNCTION("IF(OR(K676=""N/A"", K676=""missing"", K676=""none""), """",
 REGEXREPLACE(
  SUBSTITUTE(SUBSTITUTE(SUBSTITUTE(TO_TEXT(K676), CHAR(160),""""), UNICHAR(8239),""""), UNICHAR(8201),""""),""[+\-/(): )]"", """"))"),"337475705842")</f>
        <v>337475705842</v>
      </c>
      <c r="M676" s="2" t="str">
        <f>IFERROR(__xludf.DUMMYFUNCTION("IF(L676="""","""", REGEXEXTRACT(REGEXREPLACE(L676,""x"", """"), ""[0-9]+""))"),"337475705842")</f>
        <v>337475705842</v>
      </c>
      <c r="N676" s="2" t="str">
        <f>IF(LEFT(M676,2)="33", RIGHT(M676,LEN(M676)-2),M676)</f>
        <v>7475705842</v>
      </c>
      <c r="O676" s="2" t="b">
        <f>IFERROR(__xludf.DUMMYFUNCTION("REGEXMATCH(TO_TEXT(N676), ""^0[67]"")"),FALSE)</f>
        <v>0</v>
      </c>
      <c r="P676" s="2">
        <f t="shared" si="343"/>
        <v>10</v>
      </c>
      <c r="Q676" s="9" t="str">
        <f>IF(AND(O676=TRUE, P676=9), "✅ VALID", "❌ INVALID")</f>
        <v>❌ INVALID</v>
      </c>
      <c r="R676" s="10" t="s">
        <v>58</v>
      </c>
      <c r="S676" s="12">
        <v>45605.55625</v>
      </c>
      <c r="T676" s="2" t="str">
        <f>IFERROR(__xludf.DUMMYFUNCTION("IF(ISNUMBER(S676),TEXT(S676,""yyyy-MM-dd""),REGEXREPLACE(REGEXREPLACE(TO_TEXT(S676),""[^0-9a-zA-Z]+"",""-""),""[^0-9]*$"",""""))"),"2024-11-09")</f>
        <v>2024-11-09</v>
      </c>
      <c r="U676" s="2" t="s">
        <v>8589</v>
      </c>
      <c r="Y676" s="10" t="s">
        <v>8589</v>
      </c>
    </row>
    <row r="677" ht="15.75" customHeight="1">
      <c r="A677" s="2" t="s">
        <v>1340</v>
      </c>
      <c r="B677" s="9" t="s">
        <v>7597</v>
      </c>
      <c r="C677" s="2" t="s">
        <v>3233</v>
      </c>
      <c r="D677" s="10" t="str">
        <f>IFERROR(__xludf.DUMMYFUNCTION("PROPER(REGEXREPLACE(TRIM(C677),""\s+"","" ""))"),"Tara Brown")</f>
        <v>Tara Brown</v>
      </c>
      <c r="E677" s="2">
        <f>IFERROR(__xludf.DUMMYFUNCTION("IF(LEN(D677:D701),
  COUNTA(SPLIT(D677:D701,"" "")),
 """")"),2.0)</f>
        <v>2</v>
      </c>
      <c r="F677" s="9" t="str">
        <f t="shared" si="319"/>
        <v>✅</v>
      </c>
      <c r="G677" s="2" t="str">
        <f>IFERROR(__xludf.DUMMYFUNCTION("REGEXEXTRACT(PROPER(SUBSTITUTE(TRIM(I677),""."","" "")),""^[^@]+"")"),"Tara Brown")</f>
        <v>Tara Brown</v>
      </c>
      <c r="H677" s="10" t="str">
        <f t="shared" si="320"/>
        <v>tara.brown@example.com</v>
      </c>
      <c r="I677" s="2" t="s">
        <v>3234</v>
      </c>
      <c r="J677" s="9" t="str">
        <f>IFERROR(__xludf.DUMMYFUNCTION("IF(REGEXMATCH(TRIM(I677),""^[A-Za-z0-9._%+-]+@[A-Za-z0-9.-]+\.[A-Za-z]{2,}$""),""✅ Valid"",""❌ Invalid"")"),"✅ Valid")</f>
        <v>✅ Valid</v>
      </c>
      <c r="K677" s="13" t="s">
        <v>8590</v>
      </c>
      <c r="L677" s="2" t="str">
        <f>IFERROR(__xludf.DUMMYFUNCTION("IF(OR(K677=""N/A"", K677=""missing"", K677=""none""), """",
 REGEXREPLACE(
  SUBSTITUTE(SUBSTITUTE(SUBSTITUTE(TO_TEXT(K677), CHAR(160),""""), UNICHAR(8239),""""), UNICHAR(8201),""""),""[+\-/(): )]"", """"))"),"32411680098")</f>
        <v>32411680098</v>
      </c>
      <c r="M677" s="2" t="str">
        <f>IFERROR(__xludf.DUMMYFUNCTION("IF(L677="""","""", REGEXEXTRACT(REGEXREPLACE(L677,""x"", """"), ""[0-9]+""))"),"32411680098")</f>
        <v>32411680098</v>
      </c>
      <c r="N677" s="2" t="str">
        <f>IF(LEFT(M677,2)="44", RIGHT(M677,LEN(M677)-2),M677)</f>
        <v>32411680098</v>
      </c>
      <c r="O677" s="2" t="b">
        <f>IFERROR(__xludf.DUMMYFUNCTION("REGEXMATCH(TO_TEXT(N677), ""^07[1-57-9]"")"),FALSE)</f>
        <v>0</v>
      </c>
      <c r="P677" s="2">
        <f t="shared" si="343"/>
        <v>11</v>
      </c>
      <c r="Q677" s="9" t="str">
        <f>IF(AND(O677=TRUE, P677=11), "✅ VALID", "❌ INVALID")</f>
        <v>❌ INVALID</v>
      </c>
      <c r="R677" s="10" t="s">
        <v>114</v>
      </c>
      <c r="S677" s="12" t="s">
        <v>6250</v>
      </c>
      <c r="T677" s="2" t="str">
        <f>IFERROR(__xludf.DUMMYFUNCTION("IF(ISNUMBER(S677),TEXT(S677,""yyyy-MM-dd""),REGEXREPLACE(REGEXREPLACE(TO_TEXT(S677),""[^0-9a-zA-Z]+"",""-""),""[^0-9]*$"",""""))"),"05-16-2025")</f>
        <v>05-16-2025</v>
      </c>
      <c r="U677" s="2" t="str">
        <f t="shared" ref="U677:U678" si="346">TEXT(T677,"yyyy-MM-dd")</f>
        <v>05-16-2025</v>
      </c>
      <c r="V677" s="2" t="s">
        <v>8591</v>
      </c>
      <c r="Y677" s="10" t="s">
        <v>8591</v>
      </c>
    </row>
    <row r="678" ht="15.75" customHeight="1">
      <c r="A678" s="2" t="s">
        <v>7204</v>
      </c>
      <c r="B678" s="9" t="s">
        <v>7597</v>
      </c>
      <c r="C678" s="2" t="s">
        <v>1090</v>
      </c>
      <c r="D678" s="10" t="str">
        <f>IFERROR(__xludf.DUMMYFUNCTION("PROPER(REGEXREPLACE(TRIM(C678),""\s+"","" ""))"),"Sam Young")</f>
        <v>Sam Young</v>
      </c>
      <c r="E678" s="2">
        <f>IFERROR(__xludf.DUMMYFUNCTION("IF(LEN(D678:D701),
  COUNTA(SPLIT(D678:D701,"" "")),
 """")"),2.0)</f>
        <v>2</v>
      </c>
      <c r="F678" s="9" t="str">
        <f t="shared" si="319"/>
        <v>✅</v>
      </c>
      <c r="G678" s="2" t="str">
        <f>IFERROR(__xludf.DUMMYFUNCTION("REGEXEXTRACT(PROPER(SUBSTITUTE(TRIM(I678),""."","" "")),""^[^@]+"")"),"Sam Young")</f>
        <v>Sam Young</v>
      </c>
      <c r="H678" s="10" t="str">
        <f t="shared" si="320"/>
        <v>sam.young@company.co.uk</v>
      </c>
      <c r="I678" s="2" t="s">
        <v>1091</v>
      </c>
      <c r="J678" s="9" t="str">
        <f>IFERROR(__xludf.DUMMYFUNCTION("IF(REGEXMATCH(TRIM(I678),""^[A-Za-z0-9._%+-]+@[A-Za-z0-9.-]+\.[A-Za-z]{2,}$""),""✅ Valid"",""❌ Invalid"")"),"✅ Valid")</f>
        <v>✅ Valid</v>
      </c>
      <c r="K678" s="13" t="s">
        <v>8592</v>
      </c>
      <c r="L678" s="2" t="str">
        <f>IFERROR(__xludf.DUMMYFUNCTION("IF(OR(K678=""N/A"", K678=""missing"", K678=""none""), """",
 REGEXREPLACE(
  SUBSTITUTE(SUBSTITUTE(SUBSTITUTE(TO_TEXT(K678), CHAR(160),""""), UNICHAR(8239),""""), UNICHAR(8201),""""),""[+\-/(): )]"", """"))"),"35337652434")</f>
        <v>35337652434</v>
      </c>
      <c r="M678" s="2" t="str">
        <f>IFERROR(__xludf.DUMMYFUNCTION("IF(L678="""","""", REGEXEXTRACT(REGEXREPLACE(L678,""x"", """"), ""[0-9]+""))"),"35337652434")</f>
        <v>35337652434</v>
      </c>
      <c r="N678" s="2" t="str">
        <f>IF(LEFT(M678,3)="353", RIGHT(M678,LEN(M678)-3),M678)</f>
        <v>37652434</v>
      </c>
      <c r="O678" s="2" t="b">
        <f>IFERROR(__xludf.DUMMYFUNCTION("REGEXMATCH(TO_TEXT(N678), ""^0(83|85|86|87|89)"")"),FALSE)</f>
        <v>0</v>
      </c>
      <c r="P678" s="2">
        <f t="shared" si="343"/>
        <v>8</v>
      </c>
      <c r="Q678" s="9" t="str">
        <f>IF(AND(O678=TRUE, P675=10), "✅ VALID", "❌ INVALID")</f>
        <v>❌ INVALID</v>
      </c>
      <c r="R678" s="10" t="s">
        <v>1177</v>
      </c>
      <c r="S678" s="12" t="s">
        <v>7166</v>
      </c>
      <c r="T678" s="2" t="str">
        <f>IFERROR(__xludf.DUMMYFUNCTION("IF(ISNUMBER(S678),TEXT(S678,""yyyy-MM-dd""),REGEXREPLACE(REGEXREPLACE(TO_TEXT(S678),""[^0-9a-zA-Z]+"",""-""),""[^0-9]*$"",""""))"),"45592-10-58")</f>
        <v>45592-10-58</v>
      </c>
      <c r="U678" s="2" t="str">
        <f t="shared" si="346"/>
        <v>45592-10-58</v>
      </c>
      <c r="V678" s="2" t="str">
        <f>CONCATENATE(LEFT(U678,5))</f>
        <v>45592</v>
      </c>
      <c r="W678" s="14">
        <f>DATE(1900,1,1) + V678 - 1</f>
        <v>45593</v>
      </c>
      <c r="X678" s="2" t="s">
        <v>8593</v>
      </c>
      <c r="Y678" s="10" t="s">
        <v>8593</v>
      </c>
    </row>
    <row r="679" ht="15.75" customHeight="1">
      <c r="A679" s="2" t="s">
        <v>6251</v>
      </c>
      <c r="B679" s="9" t="s">
        <v>7597</v>
      </c>
      <c r="C679" s="2" t="s">
        <v>6536</v>
      </c>
      <c r="D679" s="10" t="str">
        <f>IFERROR(__xludf.DUMMYFUNCTION("PROPER(REGEXREPLACE(TRIM(C679),""\s+"","" ""))"),"Qi Rodriguez")</f>
        <v>Qi Rodriguez</v>
      </c>
      <c r="E679" s="2">
        <f>IFERROR(__xludf.DUMMYFUNCTION("IF(LEN(D679:D701),
  COUNTA(SPLIT(D679:D701,"" "")),
 """")"),2.0)</f>
        <v>2</v>
      </c>
      <c r="F679" s="9" t="str">
        <f t="shared" si="319"/>
        <v>✅</v>
      </c>
      <c r="G679" s="2" t="str">
        <f>IFERROR(__xludf.DUMMYFUNCTION("REGEXEXTRACT(PROPER(SUBSTITUTE(TRIM(I679),""."","" "")),""^[^@]+"")"),"Qi Rodriguez")</f>
        <v>Qi Rodriguez</v>
      </c>
      <c r="H679" s="10" t="str">
        <f t="shared" si="320"/>
        <v>qi.rodriguez@yahoo.com</v>
      </c>
      <c r="I679" s="2" t="s">
        <v>6537</v>
      </c>
      <c r="J679" s="9" t="str">
        <f>IFERROR(__xludf.DUMMYFUNCTION("IF(REGEXMATCH(TRIM(I679),""^[A-Za-z0-9._%+-]+@[A-Za-z0-9.-]+\.[A-Za-z]{2,}$""),""✅ Valid"",""❌ Invalid"")"),"✅ Valid")</f>
        <v>✅ Valid</v>
      </c>
      <c r="K679" s="13" t="s">
        <v>8594</v>
      </c>
      <c r="L679" s="2" t="str">
        <f>IFERROR(__xludf.DUMMYFUNCTION("IF(OR(K679=""N/A"", K679=""missing"", K679=""none""), """",
 REGEXREPLACE(
  SUBSTITUTE(SUBSTITUTE(SUBSTITUTE(TO_TEXT(K679), CHAR(160),""""), UNICHAR(8239),""""), UNICHAR(8201),""""),""[+\-/(): )]"", """"))"),"2071x29794")</f>
        <v>2071x29794</v>
      </c>
      <c r="M679" s="2" t="str">
        <f>IFERROR(__xludf.DUMMYFUNCTION("IF(L679="""","""", REGEXEXTRACT(REGEXREPLACE(L679,""x"", """"), ""[0-9]+""))"),"207129794")</f>
        <v>207129794</v>
      </c>
      <c r="N679" s="2" t="str">
        <f>IF(LEFT(M679,2)="39", RIGHT(M679,LEN(M679)-2),M679)</f>
        <v>207129794</v>
      </c>
      <c r="O679" s="2" t="b">
        <f>IFERROR(__xludf.DUMMYFUNCTION("REGEXMATCH(TO_TEXT(N679), ""^3"")"),FALSE)</f>
        <v>0</v>
      </c>
      <c r="P679" s="2">
        <f t="shared" si="343"/>
        <v>9</v>
      </c>
      <c r="Q679" s="9" t="str">
        <f>IF(AND(O679=TRUE,OR(P679=9, P679=10 )), "✅ VALID", "❌ INVALID")</f>
        <v>❌ INVALID</v>
      </c>
      <c r="R679" s="10" t="s">
        <v>785</v>
      </c>
      <c r="S679" s="12">
        <v>45628.0</v>
      </c>
      <c r="T679" s="2" t="str">
        <f>IFERROR(__xludf.DUMMYFUNCTION("IF(ISNUMBER(S679),TEXT(S679,""yyyy-MM-dd""),REGEXREPLACE(REGEXREPLACE(TO_TEXT(S679),""[^0-9a-zA-Z]+"",""-""),""[^0-9]*$"",""""))"),"2024-12-02")</f>
        <v>2024-12-02</v>
      </c>
      <c r="U679" s="2" t="s">
        <v>8595</v>
      </c>
      <c r="Y679" s="10" t="s">
        <v>8595</v>
      </c>
    </row>
    <row r="680" ht="15.75" customHeight="1">
      <c r="A680" s="2" t="s">
        <v>309</v>
      </c>
      <c r="B680" s="9" t="s">
        <v>7597</v>
      </c>
      <c r="C680" s="2" t="s">
        <v>876</v>
      </c>
      <c r="D680" s="10" t="str">
        <f>IFERROR(__xludf.DUMMYFUNCTION("PROPER(REGEXREPLACE(TRIM(C680),""\s+"","" ""))"),"Wiktor Young")</f>
        <v>Wiktor Young</v>
      </c>
      <c r="E680" s="2">
        <f>IFERROR(__xludf.DUMMYFUNCTION("IF(LEN(D680:D701),
  COUNTA(SPLIT(D680:D701,"" "")),
 """")"),2.0)</f>
        <v>2</v>
      </c>
      <c r="F680" s="9" t="str">
        <f t="shared" si="319"/>
        <v>✅</v>
      </c>
      <c r="G680" s="2" t="str">
        <f>IFERROR(__xludf.DUMMYFUNCTION("REGEXEXTRACT(PROPER(SUBSTITUTE(TRIM(I680),""."","" "")),""^[^@]+"")"),"Wiktor Young")</f>
        <v>Wiktor Young</v>
      </c>
      <c r="H680" s="10" t="str">
        <f t="shared" si="320"/>
        <v>wiktor.young@outlook.com</v>
      </c>
      <c r="I680" s="2" t="s">
        <v>2706</v>
      </c>
      <c r="J680" s="9" t="str">
        <f>IFERROR(__xludf.DUMMYFUNCTION("IF(REGEXMATCH(TRIM(I680),""^[A-Za-z0-9._%+-]+@[A-Za-z0-9.-]+\.[A-Za-z]{2,}$""),""✅ Valid"",""❌ Invalid"")"),"✅ Valid")</f>
        <v>✅ Valid</v>
      </c>
      <c r="K680" s="13" t="s">
        <v>8596</v>
      </c>
      <c r="L680" s="2" t="str">
        <f>IFERROR(__xludf.DUMMYFUNCTION("IF(OR(K680=""N/A"", K680=""missing"", K680=""none""), """",
 REGEXREPLACE(
  SUBSTITUTE(SUBSTITUTE(SUBSTITUTE(TO_TEXT(K680), CHAR(160),""""), UNICHAR(8239),""""), UNICHAR(8201),""""),""[+\-/(): )]"", """"))"),"090180893")</f>
        <v>090180893</v>
      </c>
      <c r="M680" s="2" t="str">
        <f>IFERROR(__xludf.DUMMYFUNCTION("IF(L680="""","""", REGEXEXTRACT(REGEXREPLACE(L680,""x"", """"), ""[0-9]+""))"),"090180893")</f>
        <v>090180893</v>
      </c>
      <c r="N680" s="2" t="str">
        <f>IF(LEFT(M680,2)="34", RIGHT(M680,LEN(M680)-2),M680)</f>
        <v>090180893</v>
      </c>
      <c r="O680" s="2" t="b">
        <f>IFERROR(__xludf.DUMMYFUNCTION("REGEXMATCH(TO_TEXT(N680), ""^[67]"")"),FALSE)</f>
        <v>0</v>
      </c>
      <c r="P680" s="2">
        <f t="shared" si="343"/>
        <v>9</v>
      </c>
      <c r="Q680" s="9" t="str">
        <f>IF(AND(O680=TRUE, P680=9), "✅ VALID", "❌ INVALID")</f>
        <v>❌ INVALID</v>
      </c>
      <c r="R680" s="10" t="s">
        <v>139</v>
      </c>
      <c r="S680" s="12">
        <v>45510.0</v>
      </c>
      <c r="T680" s="2" t="str">
        <f>IFERROR(__xludf.DUMMYFUNCTION("IF(ISNUMBER(S680),TEXT(S680,""yyyy-MM-dd""),REGEXREPLACE(REGEXREPLACE(TO_TEXT(S680),""[^0-9a-zA-Z]+"",""-""),""[^0-9]*$"",""""))"),"2024-08-06")</f>
        <v>2024-08-06</v>
      </c>
      <c r="U680" s="2" t="s">
        <v>7312</v>
      </c>
      <c r="Y680" s="10" t="s">
        <v>7312</v>
      </c>
    </row>
    <row r="681" ht="15.75" customHeight="1">
      <c r="A681" s="2" t="s">
        <v>830</v>
      </c>
      <c r="B681" s="9" t="s">
        <v>7597</v>
      </c>
      <c r="C681" s="2" t="s">
        <v>2360</v>
      </c>
      <c r="D681" s="10" t="s">
        <v>1646</v>
      </c>
      <c r="E681" s="2">
        <f>IFERROR(__xludf.DUMMYFUNCTION("IF(LEN(D681:D701),
  COUNTA(SPLIT(D681:D701,"" "")),
 """")"),2.0)</f>
        <v>2</v>
      </c>
      <c r="F681" s="9" t="str">
        <f t="shared" si="319"/>
        <v>✅</v>
      </c>
      <c r="G681" s="2" t="s">
        <v>1646</v>
      </c>
      <c r="H681" s="10" t="str">
        <f t="shared" si="320"/>
        <v>adam.rodriguez@example.com</v>
      </c>
      <c r="I681" s="2" t="s">
        <v>2361</v>
      </c>
      <c r="J681" s="9" t="str">
        <f>IFERROR(__xludf.DUMMYFUNCTION("IF(REGEXMATCH(TRIM(I681),""^[A-Za-z0-9._%+-]+@[A-Za-z0-9.-]+\.[A-Za-z]{2,}$""),""✅ Valid"",""❌ Invalid"")"),"✅ Valid")</f>
        <v>✅ Valid</v>
      </c>
      <c r="K681" s="13" t="s">
        <v>8597</v>
      </c>
      <c r="L681" s="2" t="str">
        <f>IFERROR(__xludf.DUMMYFUNCTION("IF(OR(K681=""N/A"", K681=""missing"", K681=""none""), """",
 REGEXREPLACE(
  SUBSTITUTE(SUBSTITUTE(SUBSTITUTE(TO_TEXT(K681), CHAR(160),""""), UNICHAR(8239),""""), UNICHAR(8201),""""),""[+\-/(): )]"", """"))"),"39992807609")</f>
        <v>39992807609</v>
      </c>
      <c r="M681" s="2" t="str">
        <f>IFERROR(__xludf.DUMMYFUNCTION("IF(L681="""","""", REGEXEXTRACT(REGEXREPLACE(L681,""x"", """"), ""[0-9]+""))"),"39992807609")</f>
        <v>39992807609</v>
      </c>
      <c r="N681" s="2" t="str">
        <f t="shared" ref="N681:N682" si="347">IF(LEFT(M681,2)="39", RIGHT(M681,LEN(M681)-2),M681)</f>
        <v>992807609</v>
      </c>
      <c r="O681" s="2" t="b">
        <f>IFERROR(__xludf.DUMMYFUNCTION("REGEXMATCH(TO_TEXT(N681), ""^3"")"),FALSE)</f>
        <v>0</v>
      </c>
      <c r="P681" s="2">
        <f t="shared" si="343"/>
        <v>9</v>
      </c>
      <c r="Q681" s="9" t="str">
        <f t="shared" ref="Q681:Q682" si="348">IF(AND(O681=TRUE,OR(P681=9, P681=10 )), "✅ VALID", "❌ INVALID")</f>
        <v>❌ INVALID</v>
      </c>
      <c r="R681" s="10" t="s">
        <v>785</v>
      </c>
      <c r="S681" s="12">
        <v>45016.0</v>
      </c>
      <c r="T681" s="2" t="str">
        <f>IFERROR(__xludf.DUMMYFUNCTION("IF(ISNUMBER(S681),TEXT(S681,""yyyy-MM-dd""),REGEXREPLACE(REGEXREPLACE(TO_TEXT(S681),""[^0-9a-zA-Z]+"",""-""),""[^0-9]*$"",""""))"),"2023-03-31")</f>
        <v>2023-03-31</v>
      </c>
      <c r="U681" s="2" t="s">
        <v>8006</v>
      </c>
      <c r="Y681" s="10" t="s">
        <v>8006</v>
      </c>
    </row>
    <row r="682" ht="15.75" customHeight="1">
      <c r="A682" s="2" t="s">
        <v>1975</v>
      </c>
      <c r="B682" s="9" t="s">
        <v>7597</v>
      </c>
      <c r="C682" s="2" t="s">
        <v>4269</v>
      </c>
      <c r="D682" s="10" t="str">
        <f>IFERROR(__xludf.DUMMYFUNCTION("PROPER(REGEXREPLACE(TRIM(C682),""\s+"","" ""))"),"Lia Garcia")</f>
        <v>Lia Garcia</v>
      </c>
      <c r="E682" s="2">
        <f>IFERROR(__xludf.DUMMYFUNCTION("IF(LEN(D682:D701),
  COUNTA(SPLIT(D682:D701,"" "")),
 """")"),2.0)</f>
        <v>2</v>
      </c>
      <c r="F682" s="9" t="str">
        <f t="shared" si="319"/>
        <v>✅</v>
      </c>
      <c r="G682" s="2" t="str">
        <f>IFERROR(__xludf.DUMMYFUNCTION("REGEXEXTRACT(PROPER(SUBSTITUTE(TRIM(I682),""."","" "")),""^[^@]+"")"),"Lia Garcia")</f>
        <v>Lia Garcia</v>
      </c>
      <c r="H682" s="10" t="str">
        <f t="shared" si="320"/>
        <v>lia.garcia@gmail.com</v>
      </c>
      <c r="I682" s="2" t="s">
        <v>4270</v>
      </c>
      <c r="J682" s="9" t="str">
        <f>IFERROR(__xludf.DUMMYFUNCTION("IF(REGEXMATCH(TRIM(I682),""^[A-Za-z0-9._%+-]+@[A-Za-z0-9.-]+\.[A-Za-z]{2,}$""),""✅ Valid"",""❌ Invalid"")"),"✅ Valid")</f>
        <v>✅ Valid</v>
      </c>
      <c r="K682" s="13" t="s">
        <v>8598</v>
      </c>
      <c r="L682" s="2" t="str">
        <f>IFERROR(__xludf.DUMMYFUNCTION("IF(OR(K682=""N/A"", K682=""missing"", K682=""none""), """",
 REGEXREPLACE(
  SUBSTITUTE(SUBSTITUTE(SUBSTITUTE(TO_TEXT(K682), CHAR(160),""""), UNICHAR(8239),""""), UNICHAR(8201),""""),""[+\-/(): )]"", """"))"),"572178198")</f>
        <v>572178198</v>
      </c>
      <c r="M682" s="2" t="str">
        <f>IFERROR(__xludf.DUMMYFUNCTION("IF(L682="""","""", REGEXEXTRACT(REGEXREPLACE(L682,""x"", """"), ""[0-9]+""))"),"572178198")</f>
        <v>572178198</v>
      </c>
      <c r="N682" s="2" t="str">
        <f t="shared" si="347"/>
        <v>572178198</v>
      </c>
      <c r="O682" s="2" t="b">
        <f>IFERROR(__xludf.DUMMYFUNCTION("REGEXMATCH(TO_TEXT(N682), ""^3"")"),FALSE)</f>
        <v>0</v>
      </c>
      <c r="P682" s="2">
        <f t="shared" si="343"/>
        <v>9</v>
      </c>
      <c r="Q682" s="9" t="str">
        <f t="shared" si="348"/>
        <v>❌ INVALID</v>
      </c>
      <c r="R682" s="10" t="s">
        <v>785</v>
      </c>
      <c r="S682" s="12" t="s">
        <v>6539</v>
      </c>
      <c r="T682" s="2" t="str">
        <f>IFERROR(__xludf.DUMMYFUNCTION("IF(ISNUMBER(S682),TEXT(S682,""yyyy-MM-dd""),REGEXREPLACE(REGEXREPLACE(TO_TEXT(S682),""[^0-9a-zA-Z]+"",""-""),""[^0-9]*$"",""""))"),"04-13-2022-05-13")</f>
        <v>04-13-2022-05-13</v>
      </c>
      <c r="U682" s="2" t="str">
        <f>TEXT(T682,"yyyy-MM-dd")</f>
        <v>04-13-2022-05-13</v>
      </c>
      <c r="V682" s="2" t="str">
        <f>IFERROR(__xludf.DUMMYFUNCTION("REGEXEXTRACT(U682,""^\d{2}-\d{2}-\d{4}"")"),"04-13-2022")</f>
        <v>04-13-2022</v>
      </c>
      <c r="W682" s="2" t="str">
        <f>TEXT(V682,"yyyy-MM-dd")</f>
        <v>04-13-2022</v>
      </c>
      <c r="X682" s="2" t="s">
        <v>8599</v>
      </c>
      <c r="Y682" s="10" t="s">
        <v>8599</v>
      </c>
    </row>
    <row r="683" ht="15.75" customHeight="1">
      <c r="A683" s="2" t="s">
        <v>3529</v>
      </c>
      <c r="B683" s="9" t="s">
        <v>7597</v>
      </c>
      <c r="C683" s="2" t="s">
        <v>6672</v>
      </c>
      <c r="D683" s="10" t="str">
        <f>IFERROR(__xludf.DUMMYFUNCTION("PROPER(REGEXREPLACE(TRIM(C683),""\s+"","" ""))"),"Fiona Rodriguez")</f>
        <v>Fiona Rodriguez</v>
      </c>
      <c r="E683" s="2">
        <f>IFERROR(__xludf.DUMMYFUNCTION("IF(LEN(D683:D701),
  COUNTA(SPLIT(D683:D701,"" "")),
 """")"),2.0)</f>
        <v>2</v>
      </c>
      <c r="F683" s="9" t="str">
        <f t="shared" si="319"/>
        <v>✅</v>
      </c>
      <c r="G683" s="2" t="str">
        <f>IFERROR(__xludf.DUMMYFUNCTION("REGEXEXTRACT(PROPER(SUBSTITUTE(TRIM(I683),""."","" "")),""^[^@]+"")"),"Fiona Rodriguez")</f>
        <v>Fiona Rodriguez</v>
      </c>
      <c r="H683" s="10" t="str">
        <f t="shared" si="320"/>
        <v>fiona.rodriguez@shop.io</v>
      </c>
      <c r="I683" s="2" t="s">
        <v>6673</v>
      </c>
      <c r="J683" s="9" t="str">
        <f>IFERROR(__xludf.DUMMYFUNCTION("IF(REGEXMATCH(TRIM(I683),""^[A-Za-z0-9._%+-]+@[A-Za-z0-9.-]+\.[A-Za-z]{2,}$""),""✅ Valid"",""❌ Invalid"")"),"✅ Valid")</f>
        <v>✅ Valid</v>
      </c>
      <c r="K683" s="13" t="s">
        <v>8600</v>
      </c>
      <c r="L683" s="2" t="str">
        <f>IFERROR(__xludf.DUMMYFUNCTION("IF(OR(K683=""N/A"", K683=""missing"", K683=""none""), """",
 REGEXREPLACE(
  SUBSTITUTE(SUBSTITUTE(SUBSTITUTE(TO_TEXT(K683), CHAR(160),""""), UNICHAR(8239),""""), UNICHAR(8201),""""),""[+\-/(): )]"", """"))"),"4473994904044ext669")</f>
        <v>4473994904044ext669</v>
      </c>
      <c r="M683" s="2" t="str">
        <f>IFERROR(__xludf.DUMMYFUNCTION("IF(L683="""","""", REGEXEXTRACT(REGEXREPLACE(L683,""x"", """"), ""[0-9]+""))"),"4473994904044")</f>
        <v>4473994904044</v>
      </c>
      <c r="N683" s="2" t="str">
        <f>IF(LEFT(M683,2)="44", RIGHT(M683,LEN(M683)-2),M683)</f>
        <v>73994904044</v>
      </c>
      <c r="O683" s="2" t="b">
        <f>IFERROR(__xludf.DUMMYFUNCTION("REGEXMATCH(TO_TEXT(N683), ""^07[1-57-9]"")"),FALSE)</f>
        <v>0</v>
      </c>
      <c r="P683" s="2">
        <f t="shared" si="343"/>
        <v>11</v>
      </c>
      <c r="Q683" s="9" t="str">
        <f>IF(AND(O683=TRUE, P683=11), "✅ VALID", "❌ INVALID")</f>
        <v>❌ INVALID</v>
      </c>
      <c r="R683" s="10" t="s">
        <v>114</v>
      </c>
      <c r="S683" s="12">
        <v>44821.0</v>
      </c>
      <c r="T683" s="2" t="str">
        <f>IFERROR(__xludf.DUMMYFUNCTION("IF(ISNUMBER(S683),TEXT(S683,""yyyy-MM-dd""),REGEXREPLACE(REGEXREPLACE(TO_TEXT(S683),""[^0-9a-zA-Z]+"",""-""),""[^0-9]*$"",""""))"),"2022-09-17")</f>
        <v>2022-09-17</v>
      </c>
      <c r="U683" s="2" t="s">
        <v>8601</v>
      </c>
      <c r="Y683" s="10" t="s">
        <v>8601</v>
      </c>
    </row>
    <row r="684" ht="15.75" customHeight="1">
      <c r="A684" s="2" t="s">
        <v>3264</v>
      </c>
      <c r="B684" s="9" t="s">
        <v>7597</v>
      </c>
      <c r="C684" s="2" t="s">
        <v>6614</v>
      </c>
      <c r="D684" s="10" t="str">
        <f>IFERROR(__xludf.DUMMYFUNCTION("PROPER(REGEXREPLACE(TRIM(C684),""\s+"","" ""))"),"Yara Garcia")</f>
        <v>Yara Garcia</v>
      </c>
      <c r="E684" s="2">
        <f>IFERROR(__xludf.DUMMYFUNCTION("IF(LEN(D684:D701),
  COUNTA(SPLIT(D684:D701,"" "")),
 """")"),2.0)</f>
        <v>2</v>
      </c>
      <c r="F684" s="9" t="str">
        <f t="shared" si="319"/>
        <v>✅</v>
      </c>
      <c r="G684" s="2" t="str">
        <f>IFERROR(__xludf.DUMMYFUNCTION("REGEXEXTRACT(PROPER(SUBSTITUTE(TRIM(I684),""."","" "")),""^[^@]+"")"),"Yara Garcia")</f>
        <v>Yara Garcia</v>
      </c>
      <c r="H684" s="10" t="str">
        <f t="shared" si="320"/>
        <v>yara.garcia@example.com</v>
      </c>
      <c r="I684" s="2" t="s">
        <v>6615</v>
      </c>
      <c r="J684" s="9" t="str">
        <f>IFERROR(__xludf.DUMMYFUNCTION("IF(REGEXMATCH(TRIM(I684),""^[A-Za-z0-9._%+-]+@[A-Za-z0-9.-]+\.[A-Za-z]{2,}$""),""✅ Valid"",""❌ Invalid"")"),"✅ Valid")</f>
        <v>✅ Valid</v>
      </c>
      <c r="K684" s="11">
        <v>3.2830292E7</v>
      </c>
      <c r="L684" s="2" t="str">
        <f>IFERROR(__xludf.DUMMYFUNCTION("IF(OR(K684=""N/A"", K684=""missing"", K684=""none""), """",
 REGEXREPLACE(
  SUBSTITUTE(SUBSTITUTE(SUBSTITUTE(TO_TEXT(K684), CHAR(160),""""), UNICHAR(8239),""""), UNICHAR(8201),""""),""[+\-/(): )]"", """"))"),"32830292")</f>
        <v>32830292</v>
      </c>
      <c r="M684" s="2" t="str">
        <f>IFERROR(__xludf.DUMMYFUNCTION("IF(L684="""","""", REGEXEXTRACT(REGEXREPLACE(L684,""x"", """"), ""[0-9]+""))"),"32830292")</f>
        <v>32830292</v>
      </c>
      <c r="N684" s="2" t="str">
        <f>IF(LEFT(M684,3)="353", RIGHT(M684,LEN(M684)-3),M684)</f>
        <v>32830292</v>
      </c>
      <c r="O684" s="2" t="b">
        <f>IFERROR(__xludf.DUMMYFUNCTION("REGEXMATCH(TO_TEXT(N684), ""^0(83|85|86|87|89)"")"),FALSE)</f>
        <v>0</v>
      </c>
      <c r="P684" s="2">
        <f t="shared" si="343"/>
        <v>8</v>
      </c>
      <c r="Q684" s="9" t="str">
        <f>IF(AND(O684=TRUE, P681=10), "✅ VALID", "❌ INVALID")</f>
        <v>❌ INVALID</v>
      </c>
      <c r="R684" s="10" t="s">
        <v>1177</v>
      </c>
      <c r="S684" s="12">
        <v>44791.0</v>
      </c>
      <c r="T684" s="2" t="str">
        <f>IFERROR(__xludf.DUMMYFUNCTION("IF(ISNUMBER(S684),TEXT(S684,""yyyy-MM-dd""),REGEXREPLACE(REGEXREPLACE(TO_TEXT(S684),""[^0-9a-zA-Z]+"",""-""),""[^0-9]*$"",""""))"),"2022-08-18")</f>
        <v>2022-08-18</v>
      </c>
      <c r="U684" s="2" t="s">
        <v>8602</v>
      </c>
      <c r="Y684" s="10" t="s">
        <v>8602</v>
      </c>
    </row>
    <row r="685" ht="15.75" customHeight="1">
      <c r="A685" s="2" t="s">
        <v>6500</v>
      </c>
      <c r="B685" s="9" t="s">
        <v>7597</v>
      </c>
      <c r="C685" s="2" t="s">
        <v>4358</v>
      </c>
      <c r="D685" s="10" t="str">
        <f>IFERROR(__xludf.DUMMYFUNCTION("PROPER(REGEXREPLACE(TRIM(C685),""\s+"","" ""))"),"Bella Kowalczyk")</f>
        <v>Bella Kowalczyk</v>
      </c>
      <c r="E685" s="2">
        <f>IFERROR(__xludf.DUMMYFUNCTION("IF(LEN(D685:D701),
  COUNTA(SPLIT(D685:D701,"" "")),
 """")"),2.0)</f>
        <v>2</v>
      </c>
      <c r="F685" s="9" t="str">
        <f t="shared" si="319"/>
        <v>✅</v>
      </c>
      <c r="G685" s="2" t="str">
        <f>IFERROR(__xludf.DUMMYFUNCTION("REGEXEXTRACT(PROPER(SUBSTITUTE(TRIM(I685),""."","" "")),""^[^@]+"")"),"Bella Kowalczyk")</f>
        <v>Bella Kowalczyk</v>
      </c>
      <c r="H685" s="10" t="str">
        <f t="shared" si="320"/>
        <v>bella.kowalczyk@outlook.com</v>
      </c>
      <c r="I685" s="2" t="s">
        <v>5049</v>
      </c>
      <c r="J685" s="9" t="str">
        <f>IFERROR(__xludf.DUMMYFUNCTION("IF(REGEXMATCH(TRIM(I685),""^[A-Za-z0-9._%+-]+@[A-Za-z0-9.-]+\.[A-Za-z]{2,}$""),""✅ Valid"",""❌ Invalid"")"),"✅ Valid")</f>
        <v>✅ Valid</v>
      </c>
      <c r="K685" s="13" t="s">
        <v>8603</v>
      </c>
      <c r="L685" s="2" t="str">
        <f>IFERROR(__xludf.DUMMYFUNCTION("IF(OR(K685=""N/A"", K685=""missing"", K685=""none""), """",
 REGEXREPLACE(
  SUBSTITUTE(SUBSTITUTE(SUBSTITUTE(TO_TEXT(K685), CHAR(160),""""), UNICHAR(8239),""""), UNICHAR(8201),""""),""[+\-/(): )]"", """"))"),"34507171187")</f>
        <v>34507171187</v>
      </c>
      <c r="M685" s="2" t="str">
        <f>IFERROR(__xludf.DUMMYFUNCTION("IF(L685="""","""", REGEXEXTRACT(REGEXREPLACE(L685,""x"", """"), ""[0-9]+""))"),"34507171187")</f>
        <v>34507171187</v>
      </c>
      <c r="N685" s="2" t="str">
        <f>IF(LEFT(M685,2)="34", RIGHT(M685,LEN(M685)-2),M685)</f>
        <v>507171187</v>
      </c>
      <c r="O685" s="2" t="b">
        <f>IFERROR(__xludf.DUMMYFUNCTION("REGEXMATCH(TO_TEXT(N685), ""^[67]"")"),FALSE)</f>
        <v>0</v>
      </c>
      <c r="P685" s="2">
        <f t="shared" si="343"/>
        <v>9</v>
      </c>
      <c r="Q685" s="9" t="str">
        <f t="shared" ref="Q685:Q686" si="349">IF(AND(O685=TRUE, P685=9), "✅ VALID", "❌ INVALID")</f>
        <v>❌ INVALID</v>
      </c>
      <c r="R685" s="10" t="s">
        <v>139</v>
      </c>
      <c r="S685" s="12">
        <v>45623.0</v>
      </c>
      <c r="T685" s="2" t="str">
        <f>IFERROR(__xludf.DUMMYFUNCTION("IF(ISNUMBER(S685),TEXT(S685,""yyyy-MM-dd""),REGEXREPLACE(REGEXREPLACE(TO_TEXT(S685),""[^0-9a-zA-Z]+"",""-""),""[^0-9]*$"",""""))"),"2024-11-27")</f>
        <v>2024-11-27</v>
      </c>
      <c r="U685" s="2" t="s">
        <v>8395</v>
      </c>
      <c r="Y685" s="10" t="s">
        <v>8395</v>
      </c>
    </row>
    <row r="686" ht="15.75" customHeight="1">
      <c r="A686" s="2" t="s">
        <v>1993</v>
      </c>
      <c r="B686" s="9" t="s">
        <v>7597</v>
      </c>
      <c r="C686" s="2" t="s">
        <v>1372</v>
      </c>
      <c r="D686" s="10" t="str">
        <f>IFERROR(__xludf.DUMMYFUNCTION("PROPER(REGEXREPLACE(TRIM(C686),""\s+"","" ""))"),"Rita Young")</f>
        <v>Rita Young</v>
      </c>
      <c r="E686" s="2">
        <f>IFERROR(__xludf.DUMMYFUNCTION("IF(LEN(D686:D701),
  COUNTA(SPLIT(D686:D701,"" "")),
 """")"),2.0)</f>
        <v>2</v>
      </c>
      <c r="F686" s="9" t="str">
        <f t="shared" si="319"/>
        <v>✅</v>
      </c>
      <c r="G686" s="2" t="str">
        <f>IFERROR(__xludf.DUMMYFUNCTION("REGEXEXTRACT(PROPER(SUBSTITUTE(TRIM(I686),""."","" "")),""^[^@]+"")"),"Rita Young")</f>
        <v>Rita Young</v>
      </c>
      <c r="H686" s="10" t="str">
        <f t="shared" si="320"/>
        <v>rita.young@shop.io</v>
      </c>
      <c r="I686" s="2" t="s">
        <v>1373</v>
      </c>
      <c r="J686" s="9" t="str">
        <f>IFERROR(__xludf.DUMMYFUNCTION("IF(REGEXMATCH(TRIM(I686),""^[A-Za-z0-9._%+-]+@[A-Za-z0-9.-]+\.[A-Za-z]{2,}$""),""✅ Valid"",""❌ Invalid"")"),"✅ Valid")</f>
        <v>✅ Valid</v>
      </c>
      <c r="K686" s="13" t="s">
        <v>8604</v>
      </c>
      <c r="L686" s="2" t="str">
        <f>IFERROR(__xludf.DUMMYFUNCTION("IF(OR(K686=""N/A"", K686=""missing"", K686=""none""), """",
 REGEXREPLACE(
  SUBSTITUTE(SUBSTITUTE(SUBSTITUTE(TO_TEXT(K686), CHAR(160),""""), UNICHAR(8239),""""), UNICHAR(8201),""""),""[+\-/(): )]"", """"))"),"33360402526")</f>
        <v>33360402526</v>
      </c>
      <c r="M686" s="2" t="str">
        <f>IFERROR(__xludf.DUMMYFUNCTION("IF(L686="""","""", REGEXEXTRACT(REGEXREPLACE(L686,""x"", """"), ""[0-9]+""))"),"33360402526")</f>
        <v>33360402526</v>
      </c>
      <c r="N686" s="2" t="str">
        <f>IF(LEFT(M686,2)="33", RIGHT(M686,LEN(M686)-2),M686)</f>
        <v>360402526</v>
      </c>
      <c r="O686" s="2" t="b">
        <f>IFERROR(__xludf.DUMMYFUNCTION("REGEXMATCH(TO_TEXT(N686), ""^0[67]"")"),FALSE)</f>
        <v>0</v>
      </c>
      <c r="P686" s="2">
        <f t="shared" si="343"/>
        <v>9</v>
      </c>
      <c r="Q686" s="9" t="str">
        <f t="shared" si="349"/>
        <v>❌ INVALID</v>
      </c>
      <c r="R686" s="10" t="s">
        <v>58</v>
      </c>
      <c r="S686" s="12">
        <v>45712.333333333336</v>
      </c>
      <c r="T686" s="2" t="str">
        <f>IFERROR(__xludf.DUMMYFUNCTION("IF(ISNUMBER(S686),TEXT(S686,""yyyy-MM-dd""),REGEXREPLACE(REGEXREPLACE(TO_TEXT(S686),""[^0-9a-zA-Z]+"",""-""),""[^0-9]*$"",""""))"),"2025-02-24")</f>
        <v>2025-02-24</v>
      </c>
      <c r="U686" s="2" t="s">
        <v>8605</v>
      </c>
      <c r="Y686" s="10" t="s">
        <v>8605</v>
      </c>
    </row>
    <row r="687" ht="15.75" customHeight="1">
      <c r="A687" s="2" t="s">
        <v>3963</v>
      </c>
      <c r="B687" s="9" t="s">
        <v>7597</v>
      </c>
      <c r="C687" s="2" t="s">
        <v>185</v>
      </c>
      <c r="D687" s="10" t="str">
        <f>IFERROR(__xludf.DUMMYFUNCTION("PROPER(REGEXREPLACE(TRIM(C687),""\s+"","" ""))"),"Ken Novak")</f>
        <v>Ken Novak</v>
      </c>
      <c r="E687" s="2">
        <f>IFERROR(__xludf.DUMMYFUNCTION("IF(LEN(D687:D701),
  COUNTA(SPLIT(D687:D701,"" "")),
 """")"),2.0)</f>
        <v>2</v>
      </c>
      <c r="F687" s="9" t="str">
        <f t="shared" si="319"/>
        <v>✅</v>
      </c>
      <c r="G687" s="2" t="str">
        <f>IFERROR(__xludf.DUMMYFUNCTION("REGEXEXTRACT(PROPER(SUBSTITUTE(TRIM(I687),""."","" "")),""^[^@]+"")"),"Ken Novak")</f>
        <v>Ken Novak</v>
      </c>
      <c r="H687" s="10" t="str">
        <f t="shared" si="320"/>
        <v>ken.novak@company.co.uk</v>
      </c>
      <c r="I687" s="2" t="s">
        <v>186</v>
      </c>
      <c r="J687" s="9" t="str">
        <f>IFERROR(__xludf.DUMMYFUNCTION("IF(REGEXMATCH(TRIM(I687),""^[A-Za-z0-9._%+-]+@[A-Za-z0-9.-]+\.[A-Za-z]{2,}$""),""✅ Valid"",""❌ Invalid"")"),"✅ Valid")</f>
        <v>✅ Valid</v>
      </c>
      <c r="K687" s="13" t="s">
        <v>7614</v>
      </c>
      <c r="L687" s="2" t="str">
        <f>IFERROR(__xludf.DUMMYFUNCTION("IF(OR(K687=""N/A"", K687=""missing"", K687=""none""), """",
 REGEXREPLACE(
  SUBSTITUTE(SUBSTITUTE(SUBSTITUTE(TO_TEXT(K687), CHAR(160),""""), UNICHAR(8239),""""), UNICHAR(8201),""""),""[+\-/(): )]"", """"))"),"")</f>
        <v/>
      </c>
      <c r="M687" s="2" t="str">
        <f>IFERROR(__xludf.DUMMYFUNCTION("IF(L687="""","""", REGEXEXTRACT(REGEXREPLACE(L687,""x"", """"), ""[0-9]+""))"),"")</f>
        <v/>
      </c>
      <c r="N687" s="2" t="str">
        <f>IF(LEFT(M687,2)="49", RIGHT(M687,LEN(M687)-2),M687)</f>
        <v/>
      </c>
      <c r="O687" s="2" t="b">
        <f>IFERROR(__xludf.DUMMYFUNCTION("REGEXMATCH(TO_TEXT(N687), ""^0(15|16|17)"")"),FALSE)</f>
        <v>0</v>
      </c>
      <c r="P687" s="2">
        <f t="shared" si="343"/>
        <v>0</v>
      </c>
      <c r="Q687" s="9" t="str">
        <f>IF(AND(O687=TRUE,OR(P687=10, P687=11)), "✅ VALID", "❌ INVALID")</f>
        <v>❌ INVALID</v>
      </c>
      <c r="R687" s="10" t="s">
        <v>459</v>
      </c>
      <c r="S687" s="12">
        <v>44898.0</v>
      </c>
      <c r="T687" s="2" t="str">
        <f>IFERROR(__xludf.DUMMYFUNCTION("IF(ISNUMBER(S687),TEXT(S687,""yyyy-MM-dd""),REGEXREPLACE(REGEXREPLACE(TO_TEXT(S687),""[^0-9a-zA-Z]+"",""-""),""[^0-9]*$"",""""))"),"2022-12-03")</f>
        <v>2022-12-03</v>
      </c>
      <c r="U687" s="2" t="s">
        <v>8150</v>
      </c>
      <c r="Y687" s="10" t="s">
        <v>8150</v>
      </c>
    </row>
    <row r="688" ht="15.75" customHeight="1">
      <c r="A688" s="2" t="s">
        <v>4282</v>
      </c>
      <c r="B688" s="9" t="s">
        <v>7597</v>
      </c>
      <c r="C688" s="2" t="s">
        <v>1397</v>
      </c>
      <c r="D688" s="10" t="s">
        <v>8606</v>
      </c>
      <c r="E688" s="2">
        <f>IFERROR(__xludf.DUMMYFUNCTION("IF(LEN(D688:D701),
  COUNTA(SPLIT(D688:D701,"" "")),
 """")"),2.0)</f>
        <v>2</v>
      </c>
      <c r="F688" s="9" t="str">
        <f t="shared" si="319"/>
        <v>✅</v>
      </c>
      <c r="G688" s="2" t="s">
        <v>8606</v>
      </c>
      <c r="H688" s="10" t="str">
        <f t="shared" si="320"/>
        <v>bella.davis@shop.io</v>
      </c>
      <c r="I688" s="2" t="s">
        <v>1398</v>
      </c>
      <c r="J688" s="9" t="str">
        <f>IFERROR(__xludf.DUMMYFUNCTION("IF(REGEXMATCH(TRIM(I688),""^[A-Za-z0-9._%+-]+@[A-Za-z0-9.-]+\.[A-Za-z]{2,}$""),""✅ Valid"",""❌ Invalid"")"),"✅ Valid")</f>
        <v>✅ Valid</v>
      </c>
      <c r="K688" s="13" t="s">
        <v>8607</v>
      </c>
      <c r="L688" s="2" t="str">
        <f>IFERROR(__xludf.DUMMYFUNCTION("IF(OR(K688=""N/A"", K688=""missing"", K688=""none""), """",
 REGEXREPLACE(
  SUBSTITUTE(SUBSTITUTE(SUBSTITUTE(TO_TEXT(K688), CHAR(160),""""), UNICHAR(8239),""""), UNICHAR(8201),""""),""[+\-/(): )]"", """"))"),"3997221194")</f>
        <v>3997221194</v>
      </c>
      <c r="M688" s="2" t="str">
        <f>IFERROR(__xludf.DUMMYFUNCTION("IF(L688="""","""", REGEXEXTRACT(REGEXREPLACE(L688,""x"", """"), ""[0-9]+""))"),"3997221194")</f>
        <v>3997221194</v>
      </c>
      <c r="N688" s="2" t="str">
        <f>IF(LEFT(M688,2)="39", RIGHT(M688,LEN(M688)-2),M688)</f>
        <v>97221194</v>
      </c>
      <c r="O688" s="2" t="b">
        <f>IFERROR(__xludf.DUMMYFUNCTION("REGEXMATCH(TO_TEXT(N688), ""^3"")"),FALSE)</f>
        <v>0</v>
      </c>
      <c r="P688" s="2">
        <f t="shared" si="343"/>
        <v>8</v>
      </c>
      <c r="Q688" s="9" t="str">
        <f>IF(AND(O688=TRUE,OR(P688=9, P688=10 )), "✅ VALID", "❌ INVALID")</f>
        <v>❌ INVALID</v>
      </c>
      <c r="R688" s="10" t="s">
        <v>785</v>
      </c>
      <c r="S688" s="12">
        <v>45913.0</v>
      </c>
      <c r="T688" s="2" t="str">
        <f>IFERROR(__xludf.DUMMYFUNCTION("IF(ISNUMBER(S688),TEXT(S688,""yyyy-MM-dd""),REGEXREPLACE(REGEXREPLACE(TO_TEXT(S688),""[^0-9a-zA-Z]+"",""-""),""[^0-9]*$"",""""))"),"2025-09-13")</f>
        <v>2025-09-13</v>
      </c>
      <c r="U688" s="2" t="s">
        <v>8608</v>
      </c>
      <c r="Y688" s="10" t="s">
        <v>8608</v>
      </c>
    </row>
    <row r="689" ht="15.75" customHeight="1">
      <c r="A689" s="2" t="s">
        <v>2618</v>
      </c>
      <c r="B689" s="9" t="s">
        <v>7597</v>
      </c>
      <c r="C689" s="2" t="s">
        <v>5877</v>
      </c>
      <c r="D689" s="10" t="str">
        <f>IFERROR(__xludf.DUMMYFUNCTION("PROPER(REGEXREPLACE(TRIM(C689),""\s+"","" ""))"),"Tara Dubois")</f>
        <v>Tara Dubois</v>
      </c>
      <c r="E689" s="2">
        <f>IFERROR(__xludf.DUMMYFUNCTION("IF(LEN(D689:D701),
  COUNTA(SPLIT(D689:D701,"" "")),
 """")"),2.0)</f>
        <v>2</v>
      </c>
      <c r="F689" s="9" t="str">
        <f t="shared" si="319"/>
        <v>✅</v>
      </c>
      <c r="G689" s="2" t="str">
        <f>IFERROR(__xludf.DUMMYFUNCTION("REGEXEXTRACT(PROPER(SUBSTITUTE(TRIM(I689),""."","" "")),""^[^@]+"")"),"Tara Dubois")</f>
        <v>Tara Dubois</v>
      </c>
      <c r="H689" s="10" t="str">
        <f t="shared" si="320"/>
        <v>tara.dubois@company.co.uk</v>
      </c>
      <c r="I689" s="2" t="s">
        <v>6559</v>
      </c>
      <c r="J689" s="9" t="str">
        <f>IFERROR(__xludf.DUMMYFUNCTION("IF(REGEXMATCH(TRIM(I689),""^[A-Za-z0-9._%+-]+@[A-Za-z0-9.-]+\.[A-Za-z]{2,}$""),""✅ Valid"",""❌ Invalid"")"),"✅ Valid")</f>
        <v>✅ Valid</v>
      </c>
      <c r="K689" s="11">
        <v>3.16943474E8</v>
      </c>
      <c r="L689" s="2" t="str">
        <f>IFERROR(__xludf.DUMMYFUNCTION("IF(OR(K689=""N/A"", K689=""missing"", K689=""none""), """",
 REGEXREPLACE(
  SUBSTITUTE(SUBSTITUTE(SUBSTITUTE(TO_TEXT(K689), CHAR(160),""""), UNICHAR(8239),""""), UNICHAR(8201),""""),""[+\-/(): )]"", """"))"),"316943474")</f>
        <v>316943474</v>
      </c>
      <c r="M689" s="2" t="str">
        <f>IFERROR(__xludf.DUMMYFUNCTION("IF(L689="""","""", REGEXEXTRACT(REGEXREPLACE(L689,""x"", """"), ""[0-9]+""))"),"316943474")</f>
        <v>316943474</v>
      </c>
      <c r="N689" s="2" t="str">
        <f>IF(LEFT(M689,1)="1", RIGHT(M689,LEN(M689)-1),M689)</f>
        <v>316943474</v>
      </c>
      <c r="O689" s="2" t="b">
        <f>IFERROR(__xludf.DUMMYFUNCTION("REGEXMATCH(TO_TEXT(N689), ""^[2-9][0-9]{9}$"")"),FALSE)</f>
        <v>0</v>
      </c>
      <c r="P689" s="2">
        <f t="shared" si="343"/>
        <v>9</v>
      </c>
      <c r="Q689" s="9" t="str">
        <f>IF(AND(O689=TRUE, P689=10), "✅ VALID", "❌ INVALID")</f>
        <v>❌ INVALID</v>
      </c>
      <c r="R689" s="10" t="s">
        <v>199</v>
      </c>
      <c r="S689" s="12">
        <v>44798.5625</v>
      </c>
      <c r="T689" s="2" t="str">
        <f>IFERROR(__xludf.DUMMYFUNCTION("IF(ISNUMBER(S689),TEXT(S689,""yyyy-MM-dd""),REGEXREPLACE(REGEXREPLACE(TO_TEXT(S689),""[^0-9a-zA-Z]+"",""-""),""[^0-9]*$"",""""))"),"2022-08-25")</f>
        <v>2022-08-25</v>
      </c>
      <c r="U689" s="2" t="s">
        <v>7905</v>
      </c>
      <c r="Y689" s="10" t="s">
        <v>7905</v>
      </c>
    </row>
    <row r="690" ht="15.75" customHeight="1">
      <c r="A690" s="2" t="s">
        <v>1620</v>
      </c>
      <c r="B690" s="9" t="s">
        <v>7597</v>
      </c>
      <c r="C690" s="2" t="s">
        <v>3500</v>
      </c>
      <c r="D690" s="10" t="str">
        <f>IFERROR(__xludf.DUMMYFUNCTION("PROPER(REGEXREPLACE(TRIM(C690),""\s+"","" ""))"),"Bella Young")</f>
        <v>Bella Young</v>
      </c>
      <c r="E690" s="2">
        <f>IFERROR(__xludf.DUMMYFUNCTION("IF(LEN(D690:D701),
  COUNTA(SPLIT(D690:D701,"" "")),
 """")"),2.0)</f>
        <v>2</v>
      </c>
      <c r="F690" s="9" t="str">
        <f t="shared" si="319"/>
        <v>✅</v>
      </c>
      <c r="G690" s="2" t="str">
        <f>IFERROR(__xludf.DUMMYFUNCTION("REGEXEXTRACT(PROPER(SUBSTITUTE(TRIM(I690),""."","" "")),""^[^@]+"")"),"Bella Young")</f>
        <v>Bella Young</v>
      </c>
      <c r="H690" s="10" t="str">
        <f t="shared" si="320"/>
        <v>bella.young@gmail.com</v>
      </c>
      <c r="I690" s="2" t="s">
        <v>5705</v>
      </c>
      <c r="J690" s="9" t="str">
        <f>IFERROR(__xludf.DUMMYFUNCTION("IF(REGEXMATCH(TRIM(I690),""^[A-Za-z0-9._%+-]+@[A-Za-z0-9.-]+\.[A-Za-z]{2,}$""),""✅ Valid"",""❌ Invalid"")"),"✅ Valid")</f>
        <v>✅ Valid</v>
      </c>
      <c r="K690" s="13" t="s">
        <v>8609</v>
      </c>
      <c r="L690" s="2" t="str">
        <f>IFERROR(__xludf.DUMMYFUNCTION("IF(OR(K690=""N/A"", K690=""missing"", K690=""none""), """",
 REGEXREPLACE(
  SUBSTITUTE(SUBSTITUTE(SUBSTITUTE(TO_TEXT(K690), CHAR(160),""""), UNICHAR(8239),""""), UNICHAR(8201),""""),""[+\-/(): )]"", """"))"),"34544967131ext413")</f>
        <v>34544967131ext413</v>
      </c>
      <c r="M690" s="2" t="str">
        <f>IFERROR(__xludf.DUMMYFUNCTION("IF(L690="""","""", REGEXEXTRACT(REGEXREPLACE(L690,""x"", """"), ""[0-9]+""))"),"34544967131")</f>
        <v>34544967131</v>
      </c>
      <c r="N690" s="2" t="str">
        <f t="shared" ref="N690:N691" si="350">IF(LEFT(M690,2)="34", RIGHT(M690,LEN(M690)-2),M690)</f>
        <v>544967131</v>
      </c>
      <c r="O690" s="2" t="b">
        <f>IFERROR(__xludf.DUMMYFUNCTION("REGEXMATCH(TO_TEXT(N690), ""^[67]"")"),FALSE)</f>
        <v>0</v>
      </c>
      <c r="P690" s="2">
        <f t="shared" si="343"/>
        <v>9</v>
      </c>
      <c r="Q690" s="9" t="str">
        <f t="shared" ref="Q690:Q691" si="351">IF(AND(O690=TRUE, P690=9), "✅ VALID", "❌ INVALID")</f>
        <v>❌ INVALID</v>
      </c>
      <c r="R690" s="10" t="s">
        <v>139</v>
      </c>
      <c r="S690" s="12">
        <v>45641.0</v>
      </c>
      <c r="T690" s="2" t="str">
        <f>IFERROR(__xludf.DUMMYFUNCTION("IF(ISNUMBER(S690),TEXT(S690,""yyyy-MM-dd""),REGEXREPLACE(REGEXREPLACE(TO_TEXT(S690),""[^0-9a-zA-Z]+"",""-""),""[^0-9]*$"",""""))"),"2024-12-15")</f>
        <v>2024-12-15</v>
      </c>
      <c r="U690" s="2" t="s">
        <v>8610</v>
      </c>
      <c r="Y690" s="10" t="s">
        <v>8610</v>
      </c>
    </row>
    <row r="691" ht="15.75" customHeight="1">
      <c r="A691" s="2" t="s">
        <v>4848</v>
      </c>
      <c r="B691" s="9" t="s">
        <v>7597</v>
      </c>
      <c r="C691" s="2" t="s">
        <v>7302</v>
      </c>
      <c r="D691" s="10" t="str">
        <f>IFERROR(__xludf.DUMMYFUNCTION("PROPER(REGEXREPLACE(TRIM(C691),""\s+"","" ""))"),"Sam Rossi")</f>
        <v>Sam Rossi</v>
      </c>
      <c r="E691" s="2">
        <f>IFERROR(__xludf.DUMMYFUNCTION("IF(LEN(D691:D701),
  COUNTA(SPLIT(D691:D701,"" "")),
 """")"),2.0)</f>
        <v>2</v>
      </c>
      <c r="F691" s="9" t="str">
        <f t="shared" si="319"/>
        <v>✅</v>
      </c>
      <c r="G691" s="2" t="str">
        <f>IFERROR(__xludf.DUMMYFUNCTION("REGEXEXTRACT(PROPER(SUBSTITUTE(TRIM(I691),""."","" "")),""^[^@]+"")"),"Sam Rossi")</f>
        <v>Sam Rossi</v>
      </c>
      <c r="H691" s="10" t="str">
        <f t="shared" si="320"/>
        <v>sam.rossi@yahoo.com</v>
      </c>
      <c r="I691" s="2" t="s">
        <v>7303</v>
      </c>
      <c r="J691" s="9" t="str">
        <f>IFERROR(__xludf.DUMMYFUNCTION("IF(REGEXMATCH(TRIM(I691),""^[A-Za-z0-9._%+-]+@[A-Za-z0-9.-]+\.[A-Za-z]{2,}$""),""✅ Valid"",""❌ Invalid"")"),"✅ Valid")</f>
        <v>✅ Valid</v>
      </c>
      <c r="K691" s="13" t="s">
        <v>8611</v>
      </c>
      <c r="L691" s="2" t="str">
        <f>IFERROR(__xludf.DUMMYFUNCTION("IF(OR(K691=""N/A"", K691=""missing"", K691=""none""), """",
 REGEXREPLACE(
  SUBSTITUTE(SUBSTITUTE(SUBSTITUTE(TO_TEXT(K691), CHAR(160),""""), UNICHAR(8239),""""), UNICHAR(8201),""""),""[+\-/(): )]"", """"))"),"118139155")</f>
        <v>118139155</v>
      </c>
      <c r="M691" s="2" t="str">
        <f>IFERROR(__xludf.DUMMYFUNCTION("IF(L691="""","""", REGEXEXTRACT(REGEXREPLACE(L691,""x"", """"), ""[0-9]+""))"),"118139155")</f>
        <v>118139155</v>
      </c>
      <c r="N691" s="2" t="str">
        <f t="shared" si="350"/>
        <v>118139155</v>
      </c>
      <c r="O691" s="2" t="b">
        <f>IFERROR(__xludf.DUMMYFUNCTION("REGEXMATCH(TO_TEXT(N691), ""^[67]"")"),FALSE)</f>
        <v>0</v>
      </c>
      <c r="P691" s="2">
        <f t="shared" si="343"/>
        <v>9</v>
      </c>
      <c r="Q691" s="9" t="str">
        <f t="shared" si="351"/>
        <v>❌ INVALID</v>
      </c>
      <c r="R691" s="10" t="s">
        <v>139</v>
      </c>
      <c r="S691" s="12">
        <v>45784.0</v>
      </c>
      <c r="T691" s="2" t="str">
        <f>IFERROR(__xludf.DUMMYFUNCTION("IF(ISNUMBER(S691),TEXT(S691,""yyyy-MM-dd""),REGEXREPLACE(REGEXREPLACE(TO_TEXT(S691),""[^0-9a-zA-Z]+"",""-""),""[^0-9]*$"",""""))"),"2025-05-07")</f>
        <v>2025-05-07</v>
      </c>
      <c r="U691" s="2" t="s">
        <v>8612</v>
      </c>
      <c r="Y691" s="10" t="s">
        <v>8612</v>
      </c>
    </row>
    <row r="692" ht="15.75" customHeight="1">
      <c r="A692" s="2" t="s">
        <v>945</v>
      </c>
      <c r="B692" s="9" t="s">
        <v>7597</v>
      </c>
      <c r="C692" s="2" t="s">
        <v>1341</v>
      </c>
      <c r="D692" s="10" t="str">
        <f>IFERROR(__xludf.DUMMYFUNCTION("PROPER(REGEXREPLACE(TRIM(C692),""\s+"","" ""))"),"Fiona Kowalczyk")</f>
        <v>Fiona Kowalczyk</v>
      </c>
      <c r="E692" s="2">
        <f>IFERROR(__xludf.DUMMYFUNCTION("IF(LEN(D692:D701),
  COUNTA(SPLIT(D692:D701,"" "")),
 """")"),2.0)</f>
        <v>2</v>
      </c>
      <c r="F692" s="9" t="str">
        <f t="shared" si="319"/>
        <v>✅</v>
      </c>
      <c r="G692" s="2" t="str">
        <f>IFERROR(__xludf.DUMMYFUNCTION("REGEXEXTRACT(PROPER(SUBSTITUTE(TRIM(I692),""."","" "")),""^[^@]+"")"),"Fiona Kowalczyk")</f>
        <v>Fiona Kowalczyk</v>
      </c>
      <c r="H692" s="10" t="str">
        <f t="shared" si="320"/>
        <v>fiona.kowalczyk@example.com</v>
      </c>
      <c r="I692" s="2" t="s">
        <v>1342</v>
      </c>
      <c r="J692" s="9" t="str">
        <f>IFERROR(__xludf.DUMMYFUNCTION("IF(REGEXMATCH(TRIM(I692),""^[A-Za-z0-9._%+-]+@[A-Za-z0-9.-]+\.[A-Za-z]{2,}$""),""✅ Valid"",""❌ Invalid"")"),"✅ Valid")</f>
        <v>✅ Valid</v>
      </c>
      <c r="K692" s="13" t="s">
        <v>8613</v>
      </c>
      <c r="L692" s="2" t="str">
        <f>IFERROR(__xludf.DUMMYFUNCTION("IF(OR(K692=""N/A"", K692=""missing"", K692=""none""), """",
 REGEXREPLACE(
  SUBSTITUTE(SUBSTITUTE(SUBSTITUTE(TO_TEXT(K692), CHAR(160),""""), UNICHAR(8239),""""), UNICHAR(8201),""""),""[+\-/(): )]"", """"))"),"496769401510ext715")</f>
        <v>496769401510ext715</v>
      </c>
      <c r="M692" s="2" t="str">
        <f>IFERROR(__xludf.DUMMYFUNCTION("IF(L692="""","""", REGEXEXTRACT(REGEXREPLACE(L692,""x"", """"), ""[0-9]+""))"),"496769401510")</f>
        <v>496769401510</v>
      </c>
      <c r="N692" s="2" t="str">
        <f>IF(LEFT(M692,2)="49", RIGHT(M692,LEN(M692)-2),M692)</f>
        <v>6769401510</v>
      </c>
      <c r="O692" s="2" t="b">
        <f>IFERROR(__xludf.DUMMYFUNCTION("REGEXMATCH(TO_TEXT(N692), ""^0(15|16|17)"")"),FALSE)</f>
        <v>0</v>
      </c>
      <c r="P692" s="2">
        <f t="shared" si="343"/>
        <v>10</v>
      </c>
      <c r="Q692" s="9" t="str">
        <f>IF(AND(O692=TRUE,OR(P692=10, P692=11)), "✅ VALID", "❌ INVALID")</f>
        <v>❌ INVALID</v>
      </c>
      <c r="R692" s="10" t="s">
        <v>459</v>
      </c>
      <c r="S692" s="12">
        <v>44648.0</v>
      </c>
      <c r="T692" s="2" t="str">
        <f>IFERROR(__xludf.DUMMYFUNCTION("IF(ISNUMBER(S692),TEXT(S692,""yyyy-MM-dd""),REGEXREPLACE(REGEXREPLACE(TO_TEXT(S692),""[^0-9a-zA-Z]+"",""-""),""[^0-9]*$"",""""))"),"2022-03-28")</f>
        <v>2022-03-28</v>
      </c>
      <c r="U692" s="2" t="s">
        <v>8614</v>
      </c>
      <c r="Y692" s="10" t="s">
        <v>8614</v>
      </c>
    </row>
    <row r="693" ht="15.75" customHeight="1">
      <c r="A693" s="2" t="s">
        <v>4894</v>
      </c>
      <c r="B693" s="9" t="s">
        <v>7597</v>
      </c>
      <c r="C693" s="2" t="s">
        <v>7205</v>
      </c>
      <c r="D693" s="10" t="str">
        <f>IFERROR(__xludf.DUMMYFUNCTION("PROPER(REGEXREPLACE(TRIM(C693),""\s+"","" ""))"),"Hanna Taylor")</f>
        <v>Hanna Taylor</v>
      </c>
      <c r="E693" s="2">
        <f>IFERROR(__xludf.DUMMYFUNCTION("IF(LEN(D693:D701),
  COUNTA(SPLIT(D693:D701,"" "")),
 """")"),2.0)</f>
        <v>2</v>
      </c>
      <c r="F693" s="9" t="str">
        <f t="shared" si="319"/>
        <v>✅</v>
      </c>
      <c r="G693" s="2" t="str">
        <f>IFERROR(__xludf.DUMMYFUNCTION("REGEXEXTRACT(PROPER(SUBSTITUTE(TRIM(I693),""."","" "")),""^[^@]+"")"),"Hanna Taylor")</f>
        <v>Hanna Taylor</v>
      </c>
      <c r="H693" s="10" t="str">
        <f t="shared" si="320"/>
        <v>hanna.taylor@outlook.com</v>
      </c>
      <c r="I693" s="2" t="s">
        <v>7206</v>
      </c>
      <c r="J693" s="9" t="str">
        <f>IFERROR(__xludf.DUMMYFUNCTION("IF(REGEXMATCH(TRIM(I693),""^[A-Za-z0-9._%+-]+@[A-Za-z0-9.-]+\.[A-Za-z]{2,}$""),""✅ Valid"",""❌ Invalid"")"),"✅ Valid")</f>
        <v>✅ Valid</v>
      </c>
      <c r="K693" s="15" t="s">
        <v>8615</v>
      </c>
      <c r="L693" s="2" t="str">
        <f>IFERROR(__xludf.DUMMYFUNCTION("IF(K693=""N/A"", """",
 REGEXREPLACE(
  SUBSTITUTE(SUBSTITUTE(SUBSTITUTE(TO_TEXT(K693), CHAR(160),""""), UNICHAR(8239),""""), UNICHAR(8201),""""),""[+\-/(): )]"", """"))"),"412799211")</f>
        <v>412799211</v>
      </c>
      <c r="M693" s="2" t="str">
        <f>IFERROR(__xludf.DUMMYFUNCTION("IF(L693="""","""", REGEXEXTRACT(REGEXREPLACE(L693,""x"", """"), ""[0-9]+""))"),"412799211")</f>
        <v>412799211</v>
      </c>
      <c r="N693" s="2" t="str">
        <f>IF(LEFT(M693,2)="48", RIGHT(M693,LEN(M693)-2),M693)</f>
        <v>412799211</v>
      </c>
      <c r="O693" s="2" t="b">
        <f>IFERROR(__xludf.DUMMYFUNCTION("REGEXMATCH(TO_TEXT(N693), ""^(5[013679]|6[069]|7[2-9]|88)"")"),FALSE)</f>
        <v>0</v>
      </c>
      <c r="Q693" s="9" t="str">
        <f>IF(AND(O693=TRUE, P693=9), "✅ VALID", "❌ INVALID")</f>
        <v>❌ INVALID</v>
      </c>
      <c r="R693" s="10" t="s">
        <v>25</v>
      </c>
      <c r="S693" s="12" t="s">
        <v>6437</v>
      </c>
      <c r="T693" s="2" t="str">
        <f>IFERROR(__xludf.DUMMYFUNCTION("IF(ISNUMBER(S693),TEXT(S693,""yyyy-MM-dd""),REGEXREPLACE(REGEXREPLACE(TO_TEXT(S693),""[^0-9a-zA-Z]+"",""-""),""[^0-9]*$"",""""))"),"23-01-2022")</f>
        <v>23-01-2022</v>
      </c>
      <c r="U693" s="2" t="s">
        <v>8616</v>
      </c>
      <c r="Y693" s="10" t="s">
        <v>8616</v>
      </c>
    </row>
    <row r="694" ht="15.75" customHeight="1">
      <c r="A694" s="2" t="s">
        <v>577</v>
      </c>
      <c r="B694" s="9" t="s">
        <v>7597</v>
      </c>
      <c r="C694" s="2" t="s">
        <v>668</v>
      </c>
      <c r="D694" s="10" t="str">
        <f>IFERROR(__xludf.DUMMYFUNCTION("PROPER(REGEXREPLACE(TRIM(C694),""\s+"","" ""))"),"Jade Garcia")</f>
        <v>Jade Garcia</v>
      </c>
      <c r="E694" s="2">
        <f>IFERROR(__xludf.DUMMYFUNCTION("IF(LEN(D694:D701),
  COUNTA(SPLIT(D694:D701,"" "")),
 """")"),2.0)</f>
        <v>2</v>
      </c>
      <c r="F694" s="9" t="str">
        <f t="shared" si="319"/>
        <v>✅</v>
      </c>
      <c r="G694" s="2" t="str">
        <f>IFERROR(__xludf.DUMMYFUNCTION("REGEXEXTRACT(PROPER(SUBSTITUTE(TRIM(I694),""."","" "")),""^[^@]+"")"),"Jade Garcia")</f>
        <v>Jade Garcia</v>
      </c>
      <c r="H694" s="10" t="str">
        <f t="shared" si="320"/>
        <v>jade.garcia@company.co.uk</v>
      </c>
      <c r="I694" s="2" t="s">
        <v>6252</v>
      </c>
      <c r="J694" s="9" t="str">
        <f>IFERROR(__xludf.DUMMYFUNCTION("IF(REGEXMATCH(TRIM(I694),""^[A-Za-z0-9._%+-]+@[A-Za-z0-9.-]+\.[A-Za-z]{2,}$""),""✅ Valid"",""❌ Invalid"")"),"✅ Valid")</f>
        <v>✅ Valid</v>
      </c>
      <c r="K694" s="13" t="s">
        <v>8617</v>
      </c>
      <c r="L694" s="2" t="str">
        <f>IFERROR(__xludf.DUMMYFUNCTION("IF(OR(K694=""N/A"", K694=""missing"", K694=""none""), """",
 REGEXREPLACE(
  SUBSTITUTE(SUBSTITUTE(SUBSTITUTE(TO_TEXT(K694), CHAR(160),""""), UNICHAR(8239),""""), UNICHAR(8201),""""),""[+\-/(): )]"", """"))"),"31848518")</f>
        <v>31848518</v>
      </c>
      <c r="M694" s="2" t="str">
        <f>IFERROR(__xludf.DUMMYFUNCTION("IF(L694="""","""", REGEXEXTRACT(REGEXREPLACE(L694,""x"", """"), ""[0-9]+""))"),"31848518")</f>
        <v>31848518</v>
      </c>
      <c r="N694" s="2" t="str">
        <f t="shared" ref="N694:N695" si="352">IF(LEFT(M694,3)="353", RIGHT(M694,LEN(M694)-3),M694)</f>
        <v>31848518</v>
      </c>
      <c r="O694" s="2" t="b">
        <f>IFERROR(__xludf.DUMMYFUNCTION("REGEXMATCH(TO_TEXT(N694), ""^0(83|85|86|87|89)"")"),FALSE)</f>
        <v>0</v>
      </c>
      <c r="P694" s="2">
        <f t="shared" ref="P694:P701" si="353">LEN(N694)</f>
        <v>8</v>
      </c>
      <c r="Q694" s="9" t="str">
        <f t="shared" ref="Q694:Q695" si="354">IF(AND(O694=TRUE, P691=10), "✅ VALID", "❌ INVALID")</f>
        <v>❌ INVALID</v>
      </c>
      <c r="R694" s="10" t="s">
        <v>1177</v>
      </c>
      <c r="S694" s="12">
        <v>45194.4125</v>
      </c>
      <c r="T694" s="2" t="str">
        <f>IFERROR(__xludf.DUMMYFUNCTION("IF(ISNUMBER(S694),TEXT(S694,""yyyy-MM-dd""),REGEXREPLACE(REGEXREPLACE(TO_TEXT(S694),""[^0-9a-zA-Z]+"",""-""),""[^0-9]*$"",""""))"),"2023-09-25")</f>
        <v>2023-09-25</v>
      </c>
      <c r="U694" s="2" t="s">
        <v>8618</v>
      </c>
      <c r="Y694" s="10" t="s">
        <v>8618</v>
      </c>
    </row>
    <row r="695" ht="15.75" customHeight="1">
      <c r="A695" s="2" t="s">
        <v>3024</v>
      </c>
      <c r="B695" s="9" t="s">
        <v>7597</v>
      </c>
      <c r="C695" s="2" t="s">
        <v>310</v>
      </c>
      <c r="D695" s="10" t="str">
        <f>IFERROR(__xludf.DUMMYFUNCTION("PROPER(REGEXREPLACE(TRIM(C695),""\s+"","" ""))"),"Yara Walker")</f>
        <v>Yara Walker</v>
      </c>
      <c r="E695" s="2">
        <f>IFERROR(__xludf.DUMMYFUNCTION("IF(LEN(D695:D701),
  COUNTA(SPLIT(D695:D701,"" "")),
 """")"),2.0)</f>
        <v>2</v>
      </c>
      <c r="F695" s="9" t="str">
        <f t="shared" si="319"/>
        <v>✅</v>
      </c>
      <c r="G695" s="2" t="str">
        <f>IFERROR(__xludf.DUMMYFUNCTION("REGEXEXTRACT(PROPER(SUBSTITUTE(TRIM(I695),""."","" "")),""^[^@]+"")"),"Yara Walker")</f>
        <v>Yara Walker</v>
      </c>
      <c r="H695" s="10" t="str">
        <f t="shared" si="320"/>
        <v>yara.walker@gmail.com</v>
      </c>
      <c r="I695" s="2" t="s">
        <v>5306</v>
      </c>
      <c r="J695" s="9" t="str">
        <f>IFERROR(__xludf.DUMMYFUNCTION("IF(REGEXMATCH(TRIM(I695),""^[A-Za-z0-9._%+-]+@[A-Za-z0-9.-]+\.[A-Za-z]{2,}$""),""✅ Valid"",""❌ Invalid"")"),"✅ Valid")</f>
        <v>✅ Valid</v>
      </c>
      <c r="K695" s="11">
        <v>9.47668721E8</v>
      </c>
      <c r="L695" s="2" t="str">
        <f>IFERROR(__xludf.DUMMYFUNCTION("IF(OR(K695=""N/A"", K695=""missing"", K695=""none""), """",
 REGEXREPLACE(
  SUBSTITUTE(SUBSTITUTE(SUBSTITUTE(TO_TEXT(K695), CHAR(160),""""), UNICHAR(8239),""""), UNICHAR(8201),""""),""[+\-/(): )]"", """"))"),"947668721")</f>
        <v>947668721</v>
      </c>
      <c r="M695" s="2" t="str">
        <f>IFERROR(__xludf.DUMMYFUNCTION("IF(L695="""","""", REGEXEXTRACT(REGEXREPLACE(L695,""x"", """"), ""[0-9]+""))"),"947668721")</f>
        <v>947668721</v>
      </c>
      <c r="N695" s="2" t="str">
        <f t="shared" si="352"/>
        <v>947668721</v>
      </c>
      <c r="O695" s="2" t="b">
        <f>IFERROR(__xludf.DUMMYFUNCTION("REGEXMATCH(TO_TEXT(N695), ""^0(83|85|86|87|89)"")"),FALSE)</f>
        <v>0</v>
      </c>
      <c r="P695" s="2">
        <f t="shared" si="353"/>
        <v>9</v>
      </c>
      <c r="Q695" s="9" t="str">
        <f t="shared" si="354"/>
        <v>❌ INVALID</v>
      </c>
      <c r="R695" s="10" t="s">
        <v>1177</v>
      </c>
      <c r="S695" s="12" t="s">
        <v>6626</v>
      </c>
      <c r="T695" s="2" t="str">
        <f>IFERROR(__xludf.DUMMYFUNCTION("IF(ISNUMBER(S695),TEXT(S695,""yyyy-MM-dd""),REGEXREPLACE(REGEXREPLACE(TO_TEXT(S695),""[^0-9a-zA-Z]+"",""-""),""[^0-9]*$"",""""))"),"44914-03-28")</f>
        <v>44914-03-28</v>
      </c>
      <c r="U695" s="2" t="str">
        <f>TEXT(T695,"yyyy-MM-dd")</f>
        <v>44914-03-28</v>
      </c>
      <c r="V695" s="2" t="str">
        <f>CONCATENATE(LEFT(U695,5))</f>
        <v>44914</v>
      </c>
      <c r="W695" s="14">
        <f>DATE(1900,1,1) + V695 - 1</f>
        <v>44915</v>
      </c>
      <c r="X695" s="2" t="s">
        <v>8619</v>
      </c>
      <c r="Y695" s="10" t="s">
        <v>8619</v>
      </c>
    </row>
    <row r="696" ht="15.75" customHeight="1">
      <c r="A696" s="2" t="s">
        <v>5765</v>
      </c>
      <c r="B696" s="9" t="s">
        <v>7597</v>
      </c>
      <c r="C696" s="2" t="s">
        <v>831</v>
      </c>
      <c r="D696" s="10" t="str">
        <f>IFERROR(__xludf.DUMMYFUNCTION("PROPER(REGEXREPLACE(TRIM(C696),""\s+"","" ""))"),"Lia Taylor")</f>
        <v>Lia Taylor</v>
      </c>
      <c r="E696" s="2">
        <f>IFERROR(__xludf.DUMMYFUNCTION("IF(LEN(D696:D701),
  COUNTA(SPLIT(D696:D701,"" "")),
 """")"),2.0)</f>
        <v>2</v>
      </c>
      <c r="F696" s="9" t="str">
        <f t="shared" si="319"/>
        <v>✅</v>
      </c>
      <c r="G696" s="2" t="str">
        <f>IFERROR(__xludf.DUMMYFUNCTION("REGEXEXTRACT(PROPER(SUBSTITUTE(TRIM(I696),""."","" "")),""^[^@]+"")"),"Lia Taylor")</f>
        <v>Lia Taylor</v>
      </c>
      <c r="H696" s="10" t="str">
        <f t="shared" si="320"/>
        <v>lia.taylor@shop.io</v>
      </c>
      <c r="I696" s="2" t="s">
        <v>832</v>
      </c>
      <c r="J696" s="9" t="str">
        <f>IFERROR(__xludf.DUMMYFUNCTION("IF(REGEXMATCH(TRIM(I696),""^[A-Za-z0-9._%+-]+@[A-Za-z0-9.-]+\.[A-Za-z]{2,}$""),""✅ Valid"",""❌ Invalid"")"),"✅ Valid")</f>
        <v>✅ Valid</v>
      </c>
      <c r="K696" s="15" t="s">
        <v>8620</v>
      </c>
      <c r="L696" s="2" t="str">
        <f>IFERROR(__xludf.DUMMYFUNCTION("IF(K696=""N/A"", """",
 REGEXREPLACE(
  SUBSTITUTE(SUBSTITUTE(SUBSTITUTE(TO_TEXT(K696), CHAR(160),""""), UNICHAR(8239),""""), UNICHAR(8201),""""),""[+\-/(): )]"", """"))"),"485751151198")</f>
        <v>485751151198</v>
      </c>
      <c r="M696" s="2" t="str">
        <f>IFERROR(__xludf.DUMMYFUNCTION("IF(L696="""","""", REGEXEXTRACT(REGEXREPLACE(L696,""x"", """"), ""[0-9]+""))"),"485751151198")</f>
        <v>485751151198</v>
      </c>
      <c r="N696" s="2" t="str">
        <f>IF(LEFT(M696,2)="48", RIGHT(M696,LEN(M696)-2),M696)</f>
        <v>5751151198</v>
      </c>
      <c r="O696" s="2" t="b">
        <f>IFERROR(__xludf.DUMMYFUNCTION("REGEXMATCH(TO_TEXT(N696), ""^(5[013679]|6[069]|7[2-9]|88)"")"),TRUE)</f>
        <v>1</v>
      </c>
      <c r="P696" s="2">
        <f t="shared" si="353"/>
        <v>10</v>
      </c>
      <c r="Q696" s="9" t="str">
        <f>IF(AND(O696=TRUE, P696=9), "✅ VALID", "❌ INVALID")</f>
        <v>❌ INVALID</v>
      </c>
      <c r="R696" s="10" t="s">
        <v>25</v>
      </c>
      <c r="S696" s="12">
        <v>45774.0</v>
      </c>
      <c r="T696" s="2" t="str">
        <f>IFERROR(__xludf.DUMMYFUNCTION("IF(ISNUMBER(S696),TEXT(S696,""yyyy-MM-dd""),REGEXREPLACE(REGEXREPLACE(TO_TEXT(S696),""[^0-9a-zA-Z]+"",""-""),""[^0-9]*$"",""""))"),"2025-04-27")</f>
        <v>2025-04-27</v>
      </c>
      <c r="U696" s="2" t="s">
        <v>3564</v>
      </c>
      <c r="Y696" s="10" t="s">
        <v>3564</v>
      </c>
    </row>
    <row r="697" ht="15.75" customHeight="1">
      <c r="A697" s="2" t="s">
        <v>2340</v>
      </c>
      <c r="B697" s="9" t="s">
        <v>7597</v>
      </c>
      <c r="C697" s="16" t="s">
        <v>8621</v>
      </c>
      <c r="D697" s="10" t="str">
        <f>IFERROR(__xludf.DUMMYFUNCTION("PROPER(REGEXREPLACE(TRIM(C697),""\s+"","" ""))"),"Qi King")</f>
        <v>Qi King</v>
      </c>
      <c r="E697" s="2">
        <f>IFERROR(__xludf.DUMMYFUNCTION("IF(LEN(D697:D701),
  COUNTA(SPLIT(D697:D701,"" "")),
 """")"),2.0)</f>
        <v>2</v>
      </c>
      <c r="F697" s="9" t="str">
        <f t="shared" si="319"/>
        <v>✅</v>
      </c>
      <c r="G697" s="2" t="str">
        <f>IFERROR(__xludf.DUMMYFUNCTION("REGEXEXTRACT(PROPER(SUBSTITUTE(TRIM(I697),""."","" "")),""^[^@]+"")"),"Qi King")</f>
        <v>Qi King</v>
      </c>
      <c r="H697" s="10" t="str">
        <f t="shared" si="320"/>
        <v>qi.king@company.co.uk</v>
      </c>
      <c r="I697" s="2" t="s">
        <v>1977</v>
      </c>
      <c r="J697" s="9" t="str">
        <f>IFERROR(__xludf.DUMMYFUNCTION("IF(REGEXMATCH(TRIM(I697),""^[A-Za-z0-9._%+-]+@[A-Za-z0-9.-]+\.[A-Za-z]{2,}$""),""✅ Valid"",""❌ Invalid"")"),"✅ Valid")</f>
        <v>✅ Valid</v>
      </c>
      <c r="K697" s="11">
        <v>8.324677305E9</v>
      </c>
      <c r="L697" s="2" t="str">
        <f>IFERROR(__xludf.DUMMYFUNCTION("IF(OR(K697=""N/A"", K697=""missing"", K697=""none""), """",
 REGEXREPLACE(
  SUBSTITUTE(SUBSTITUTE(SUBSTITUTE(TO_TEXT(K697), CHAR(160),""""), UNICHAR(8239),""""), UNICHAR(8201),""""),""[+\-/(): )]"", """"))"),"8324677305")</f>
        <v>8324677305</v>
      </c>
      <c r="M697" s="2" t="str">
        <f>IFERROR(__xludf.DUMMYFUNCTION("IF(L697="""","""", REGEXEXTRACT(REGEXREPLACE(L697,""x"", """"), ""[0-9]+""))"),"8324677305")</f>
        <v>8324677305</v>
      </c>
      <c r="N697" s="2" t="str">
        <f>IF(LEFT(M697,2)="44", RIGHT(M697,LEN(M697)-2),M697)</f>
        <v>8324677305</v>
      </c>
      <c r="O697" s="2" t="b">
        <f>IFERROR(__xludf.DUMMYFUNCTION("REGEXMATCH(TO_TEXT(N697), ""^07[1-57-9]"")"),FALSE)</f>
        <v>0</v>
      </c>
      <c r="P697" s="2">
        <f t="shared" si="353"/>
        <v>10</v>
      </c>
      <c r="Q697" s="9" t="str">
        <f>IF(AND(O697=TRUE, P697=11), "✅ VALID", "❌ INVALID")</f>
        <v>❌ INVALID</v>
      </c>
      <c r="R697" s="10" t="s">
        <v>114</v>
      </c>
      <c r="S697" s="12">
        <v>45606.0</v>
      </c>
      <c r="T697" s="2" t="str">
        <f>IFERROR(__xludf.DUMMYFUNCTION("IF(ISNUMBER(S697),TEXT(S697,""yyyy-MM-dd""),REGEXREPLACE(REGEXREPLACE(TO_TEXT(S697),""[^0-9a-zA-Z]+"",""-""),""[^0-9]*$"",""""))"),"2024-11-10")</f>
        <v>2024-11-10</v>
      </c>
      <c r="U697" s="2" t="s">
        <v>8461</v>
      </c>
      <c r="Y697" s="10" t="s">
        <v>8461</v>
      </c>
    </row>
    <row r="698" ht="15.75" customHeight="1">
      <c r="A698" s="2" t="s">
        <v>6864</v>
      </c>
      <c r="B698" s="9" t="s">
        <v>7597</v>
      </c>
      <c r="C698" s="2" t="s">
        <v>3530</v>
      </c>
      <c r="D698" s="10" t="str">
        <f>IFERROR(__xludf.DUMMYFUNCTION("PROPER(REGEXREPLACE(TRIM(C698),""\s+"","" ""))"),"Bella Johnson")</f>
        <v>Bella Johnson</v>
      </c>
      <c r="E698" s="2">
        <f>IFERROR(__xludf.DUMMYFUNCTION("IF(LEN(D698:D701),
  COUNTA(SPLIT(D698:D701,"" "")),
 """")"),2.0)</f>
        <v>2</v>
      </c>
      <c r="F698" s="9" t="str">
        <f t="shared" si="319"/>
        <v>✅</v>
      </c>
      <c r="G698" s="2" t="str">
        <f>IFERROR(__xludf.DUMMYFUNCTION("REGEXEXTRACT(PROPER(SUBSTITUTE(TRIM(I698),""."","" "")),""^[^@]+"")"),"Bella Johnson")</f>
        <v>Bella Johnson</v>
      </c>
      <c r="H698" s="10" t="str">
        <f t="shared" si="320"/>
        <v>bella.johnson@yahoo.com</v>
      </c>
      <c r="I698" s="2" t="s">
        <v>3531</v>
      </c>
      <c r="J698" s="9" t="str">
        <f>IFERROR(__xludf.DUMMYFUNCTION("IF(REGEXMATCH(TRIM(I698),""^[A-Za-z0-9._%+-]+@[A-Za-z0-9.-]+\.[A-Za-z]{2,}$""),""✅ Valid"",""❌ Invalid"")"),"✅ Valid")</f>
        <v>✅ Valid</v>
      </c>
      <c r="K698" s="13" t="s">
        <v>8622</v>
      </c>
      <c r="L698" s="2" t="str">
        <f>IFERROR(__xludf.DUMMYFUNCTION("IF(OR(K698=""N/A"", K698=""missing"", K698=""none""), """",
 REGEXREPLACE(
  SUBSTITUTE(SUBSTITUTE(SUBSTITUTE(TO_TEXT(K698), CHAR(160),""""), UNICHAR(8239),""""), UNICHAR(8201),""""),""[+\-/(): )]"", """"))"),"1123953669")</f>
        <v>1123953669</v>
      </c>
      <c r="M698" s="2" t="str">
        <f>IFERROR(__xludf.DUMMYFUNCTION("IF(L698="""","""", REGEXEXTRACT(REGEXREPLACE(L698,""x"", """"), ""[0-9]+""))"),"1123953669")</f>
        <v>1123953669</v>
      </c>
      <c r="N698" s="2" t="str">
        <f>IF(LEFT(M698,1)="1", RIGHT(M698,LEN(M698)-1),M698)</f>
        <v>123953669</v>
      </c>
      <c r="O698" s="2" t="b">
        <f>IFERROR(__xludf.DUMMYFUNCTION("REGEXMATCH(TO_TEXT(N698), ""^[2-9][0-9]{9}$"")"),FALSE)</f>
        <v>0</v>
      </c>
      <c r="P698" s="2">
        <f t="shared" si="353"/>
        <v>9</v>
      </c>
      <c r="Q698" s="9" t="str">
        <f>IF(AND(O698=TRUE, P698=10), "✅ VALID", "❌ INVALID")</f>
        <v>❌ INVALID</v>
      </c>
      <c r="R698" s="10" t="s">
        <v>199</v>
      </c>
      <c r="S698" s="12">
        <v>45232.0</v>
      </c>
      <c r="T698" s="2" t="str">
        <f>IFERROR(__xludf.DUMMYFUNCTION("IF(ISNUMBER(S698),TEXT(S698,""yyyy-MM-dd""),REGEXREPLACE(REGEXREPLACE(TO_TEXT(S698),""[^0-9a-zA-Z]+"",""-""),""[^0-9]*$"",""""))"),"2023-11-02")</f>
        <v>2023-11-02</v>
      </c>
      <c r="U698" s="2" t="s">
        <v>8623</v>
      </c>
      <c r="Y698" s="10" t="s">
        <v>8623</v>
      </c>
    </row>
    <row r="699" ht="15.75" customHeight="1">
      <c r="A699" s="2" t="s">
        <v>3163</v>
      </c>
      <c r="B699" s="9" t="s">
        <v>7597</v>
      </c>
      <c r="C699" s="2" t="s">
        <v>3265</v>
      </c>
      <c r="D699" s="10" t="str">
        <f>IFERROR(__xludf.DUMMYFUNCTION("PROPER(REGEXREPLACE(TRIM(C699),""\s+"","" ""))"),"Gabe King")</f>
        <v>Gabe King</v>
      </c>
      <c r="E699" s="2">
        <f>IFERROR(__xludf.DUMMYFUNCTION("IF(LEN(D699:D701),
  COUNTA(SPLIT(D699:D701,"" "")),
 """")"),2.0)</f>
        <v>2</v>
      </c>
      <c r="F699" s="9" t="str">
        <f t="shared" si="319"/>
        <v>✅</v>
      </c>
      <c r="G699" s="2" t="str">
        <f>IFERROR(__xludf.DUMMYFUNCTION("REGEXEXTRACT(PROPER(SUBSTITUTE(TRIM(I699),""."","" "")),""^[^@]+"")"),"Gabe King")</f>
        <v>Gabe King</v>
      </c>
      <c r="H699" s="10" t="str">
        <f t="shared" si="320"/>
        <v>gabe.king@shop.io</v>
      </c>
      <c r="I699" s="2" t="s">
        <v>3266</v>
      </c>
      <c r="J699" s="9" t="str">
        <f>IFERROR(__xludf.DUMMYFUNCTION("IF(REGEXMATCH(TRIM(I699),""^[A-Za-z0-9._%+-]+@[A-Za-z0-9.-]+\.[A-Za-z]{2,}$""),""✅ Valid"",""❌ Invalid"")"),"✅ Valid")</f>
        <v>✅ Valid</v>
      </c>
      <c r="K699" s="13" t="s">
        <v>8624</v>
      </c>
      <c r="L699" s="2" t="str">
        <f>IFERROR(__xludf.DUMMYFUNCTION("IF(OR(K699=""N/A"", K699=""missing"", K699=""none""), """",
 REGEXREPLACE(
  SUBSTITUTE(SUBSTITUTE(SUBSTITUTE(TO_TEXT(K699), CHAR(160),""""), UNICHAR(8239),""""), UNICHAR(8201),""""),""[+\-/(): )]"", """"))"),"33709001521ext134")</f>
        <v>33709001521ext134</v>
      </c>
      <c r="M699" s="2" t="str">
        <f>IFERROR(__xludf.DUMMYFUNCTION("IF(L699="""","""", REGEXEXTRACT(REGEXREPLACE(L699,""x"", """"), ""[0-9]+""))"),"33709001521")</f>
        <v>33709001521</v>
      </c>
      <c r="N699" s="2" t="str">
        <f>IF(LEFT(M699,2)="33", RIGHT(M699,LEN(M699)-2),M699)</f>
        <v>709001521</v>
      </c>
      <c r="O699" s="2" t="b">
        <f>IFERROR(__xludf.DUMMYFUNCTION("REGEXMATCH(TO_TEXT(N699), ""^0[67]"")"),FALSE)</f>
        <v>0</v>
      </c>
      <c r="P699" s="2">
        <f t="shared" si="353"/>
        <v>9</v>
      </c>
      <c r="Q699" s="9" t="str">
        <f>IF(AND(O699=TRUE, P699=9), "✅ VALID", "❌ INVALID")</f>
        <v>❌ INVALID</v>
      </c>
      <c r="R699" s="10" t="s">
        <v>58</v>
      </c>
      <c r="S699" s="12">
        <v>44831.71875</v>
      </c>
      <c r="T699" s="2" t="str">
        <f>IFERROR(__xludf.DUMMYFUNCTION("IF(ISNUMBER(S699),TEXT(S699,""yyyy-MM-dd""),REGEXREPLACE(REGEXREPLACE(TO_TEXT(S699),""[^0-9a-zA-Z]+"",""-""),""[^0-9]*$"",""""))"),"2022-09-27")</f>
        <v>2022-09-27</v>
      </c>
      <c r="U699" s="2" t="s">
        <v>8625</v>
      </c>
      <c r="Y699" s="10" t="s">
        <v>8625</v>
      </c>
    </row>
    <row r="700" ht="15.75" customHeight="1">
      <c r="A700" s="2" t="s">
        <v>3443</v>
      </c>
      <c r="B700" s="9" t="s">
        <v>7597</v>
      </c>
      <c r="C700" s="2" t="s">
        <v>6501</v>
      </c>
      <c r="D700" s="10" t="str">
        <f>IFERROR(__xludf.DUMMYFUNCTION("PROPER(REGEXREPLACE(TRIM(C700),""\s+"","" ""))"),"Ken Walker")</f>
        <v>Ken Walker</v>
      </c>
      <c r="E700" s="2">
        <f>IFERROR(__xludf.DUMMYFUNCTION("IF(LEN(D700:D701),
  COUNTA(SPLIT(D700:D701,"" "")),
 """")"),2.0)</f>
        <v>2</v>
      </c>
      <c r="F700" s="9" t="str">
        <f t="shared" si="319"/>
        <v>✅</v>
      </c>
      <c r="G700" s="2" t="str">
        <f>IFERROR(__xludf.DUMMYFUNCTION("REGEXEXTRACT(PROPER(SUBSTITUTE(TRIM(I700),""."","" "")),""^[^@]+"")"),"Ken Walker")</f>
        <v>Ken Walker</v>
      </c>
      <c r="H700" s="10" t="str">
        <f t="shared" si="320"/>
        <v>ken.walker@outlook.com</v>
      </c>
      <c r="I700" s="2" t="s">
        <v>6502</v>
      </c>
      <c r="J700" s="9" t="str">
        <f>IFERROR(__xludf.DUMMYFUNCTION("IF(REGEXMATCH(TRIM(I700),""^[A-Za-z0-9._%+-]+@[A-Za-z0-9.-]+\.[A-Za-z]{2,}$""),""✅ Valid"",""❌ Invalid"")"),"✅ Valid")</f>
        <v>✅ Valid</v>
      </c>
      <c r="K700" s="13" t="s">
        <v>8626</v>
      </c>
      <c r="L700" s="2" t="str">
        <f>IFERROR(__xludf.DUMMYFUNCTION("IF(OR(K700=""N/A"", K700=""missing"", K700=""none""), """",
 REGEXREPLACE(
  SUBSTITUTE(SUBSTITUTE(SUBSTITUTE(TO_TEXT(K700), CHAR(160),""""), UNICHAR(8239),""""), UNICHAR(8201),""""),""[+\-/(): )]"", """"))"),"37576636023")</f>
        <v>37576636023</v>
      </c>
      <c r="M700" s="2" t="str">
        <f>IFERROR(__xludf.DUMMYFUNCTION("IF(L700="""","""", REGEXEXTRACT(REGEXREPLACE(L700,""x"", """"), ""[0-9]+""))"),"37576636023")</f>
        <v>37576636023</v>
      </c>
      <c r="N700" s="2" t="str">
        <f>IF(LEFT(M700,2)="49", RIGHT(M700,LEN(M700)-2),M700)</f>
        <v>37576636023</v>
      </c>
      <c r="O700" s="2" t="b">
        <f>IFERROR(__xludf.DUMMYFUNCTION("REGEXMATCH(TO_TEXT(N700), ""^0(15|16|17)"")"),FALSE)</f>
        <v>0</v>
      </c>
      <c r="P700" s="2">
        <f t="shared" si="353"/>
        <v>11</v>
      </c>
      <c r="Q700" s="9" t="str">
        <f>IF(AND(O700=TRUE,OR(P700=10, P700=11)), "✅ VALID", "❌ INVALID")</f>
        <v>❌ INVALID</v>
      </c>
      <c r="R700" s="10" t="s">
        <v>459</v>
      </c>
      <c r="S700" s="12">
        <v>45424.0</v>
      </c>
      <c r="T700" s="2" t="str">
        <f>IFERROR(__xludf.DUMMYFUNCTION("IF(ISNUMBER(S700),TEXT(S700,""yyyy-MM-dd""),REGEXREPLACE(REGEXREPLACE(TO_TEXT(S700),""[^0-9a-zA-Z]+"",""-""),""[^0-9]*$"",""""))"),"2024-05-12")</f>
        <v>2024-05-12</v>
      </c>
      <c r="U700" s="2" t="s">
        <v>3104</v>
      </c>
      <c r="Y700" s="10" t="s">
        <v>3104</v>
      </c>
    </row>
    <row r="701" ht="15.75" customHeight="1">
      <c r="A701" s="2" t="s">
        <v>4357</v>
      </c>
      <c r="B701" s="9" t="s">
        <v>7597</v>
      </c>
      <c r="C701" s="2" t="s">
        <v>1994</v>
      </c>
      <c r="D701" s="10" t="str">
        <f>IFERROR(__xludf.DUMMYFUNCTION("PROPER(REGEXREPLACE(TRIM(C701),""\s+"","" ""))"),"Marek Young")</f>
        <v>Marek Young</v>
      </c>
      <c r="E701" s="2">
        <f>IFERROR(__xludf.DUMMYFUNCTION("IF(LEN(D701),
  COUNTA(SPLIT(D701,"" "")),
 """")"),2.0)</f>
        <v>2</v>
      </c>
      <c r="F701" s="9" t="str">
        <f t="shared" si="319"/>
        <v>✅</v>
      </c>
      <c r="G701" s="2" t="str">
        <f>IFERROR(__xludf.DUMMYFUNCTION("REGEXEXTRACT(PROPER(SUBSTITUTE(TRIM(I701),""."","" "")),""^[^@]+"")"),"Marek Young")</f>
        <v>Marek Young</v>
      </c>
      <c r="H701" s="10" t="str">
        <f t="shared" si="320"/>
        <v>marek.young@gmail.com</v>
      </c>
      <c r="I701" s="2" t="s">
        <v>1995</v>
      </c>
      <c r="J701" s="9" t="str">
        <f>IFERROR(__xludf.DUMMYFUNCTION("IF(REGEXMATCH(TRIM(I701),""^[A-Za-z0-9._%+-]+@[A-Za-z0-9.-]+\.[A-Za-z]{2,}$""),""✅ Valid"",""❌ Invalid"")"),"✅ Valid")</f>
        <v>✅ Valid</v>
      </c>
      <c r="K701" s="13" t="s">
        <v>8627</v>
      </c>
      <c r="L701" s="2" t="str">
        <f>IFERROR(__xludf.DUMMYFUNCTION("IF(OR(K701=""N/A"", K701=""missing"", K701=""none""), """",
 REGEXREPLACE(
  SUBSTITUTE(SUBSTITUTE(SUBSTITUTE(TO_TEXT(K701), CHAR(160),""""), UNICHAR(8239),""""), UNICHAR(8201),""""),""[+\-/(): )]"", """"))"),"3271708358")</f>
        <v>3271708358</v>
      </c>
      <c r="M701" s="2" t="str">
        <f>IFERROR(__xludf.DUMMYFUNCTION("IF(L701="""","""", REGEXEXTRACT(REGEXREPLACE(L701,""x"", """"), ""[0-9]+""))"),"3271708358")</f>
        <v>3271708358</v>
      </c>
      <c r="N701" s="2" t="str">
        <f>IF(LEFT(M701,1)="1", RIGHT(M701,LEN(M701)-1),M701)</f>
        <v>3271708358</v>
      </c>
      <c r="O701" s="2" t="b">
        <f>IFERROR(__xludf.DUMMYFUNCTION("REGEXMATCH(TO_TEXT(N701), ""^[2-9][0-9]{9}$"")"),TRUE)</f>
        <v>1</v>
      </c>
      <c r="P701" s="2">
        <f t="shared" si="353"/>
        <v>10</v>
      </c>
      <c r="Q701" s="9" t="str">
        <f>IF(AND(O701=TRUE, P701=10), "✅ VALID", "❌ INVALID")</f>
        <v>✅ VALID</v>
      </c>
      <c r="R701" s="10" t="s">
        <v>199</v>
      </c>
      <c r="S701" s="12">
        <v>45040.0</v>
      </c>
      <c r="T701" s="2" t="str">
        <f>IFERROR(__xludf.DUMMYFUNCTION("IF(ISNUMBER(S701),TEXT(S701,""yyyy-MM-dd""),REGEXREPLACE(REGEXREPLACE(TO_TEXT(S701),""[^0-9a-zA-Z]+"",""-""),""[^0-9]*$"",""""))"),"2023-04-24")</f>
        <v>2023-04-24</v>
      </c>
      <c r="U701" s="2" t="s">
        <v>7779</v>
      </c>
      <c r="Y701" s="10" t="s">
        <v>7779</v>
      </c>
    </row>
  </sheetData>
  <autoFilter ref="$A$1:$AR$701">
    <filterColumn colId="8">
      <filters>
        <filter val="tara.johnson@gmail.com"/>
        <filter val="yara.dubois@gmail.com"/>
        <filter val="zack.novak@company.co.uk"/>
        <filter val="omar.garcia@outlook.com"/>
        <filter val="VLAD.WALKER@YAHOO.COM"/>
        <filter val="xenia.rossi@gmail.com"/>
        <filter val="marek.davis@yahoo.com"/>
        <filter val="bella.young@example.com"/>
        <filter val="IGORL.EE@EXAMPLE.COM"/>
        <filter val="lia.novak@yahoo.com"/>
        <filter val="bella.lee@outlook.com"/>
        <filter val="ken.novak@company.co.uk"/>
        <filter val="ethan.lee@outlook.com"/>
        <filter val="VLAD.KHAN@COMPANY.CO.UK"/>
        <filter val="Yara.Davis@Example.Com"/>
        <filter val="carlos.dubois@gmail.com"/>
        <filter val="OMAR.RODRIGUEZ@SHOP.IO"/>
        <filter val="vlad.young@example.com"/>
        <filter val="carlos.kowalski@company.co.uk"/>
        <filter val="xenia.johnson@outlook.com"/>
        <filter val="daria.lee@gmail.com"/>
        <filter val="ken.dubois@shop.io"/>
        <filter val="bella.lee@company.co.uk"/>
        <filter val="hanna.lopez@example.com"/>
        <filter val="yara.khan@yahoo.com"/>
        <filter val="Carlos.Garcia@Shop.Io"/>
        <filter val="adam.kowalski@outlook.com"/>
        <filter val="fiona.kowalczyk@example.com"/>
        <filter val="LIA.DAVIS@YAHOO.COM"/>
        <filter val="vlad.lee@shop.io"/>
        <filter val="gabe.williams@outlook.com"/>
        <filter val="hanna.brown@shop.io"/>
        <filter val="rita.martinez@gmail.com"/>
        <filter val="sam.lopez@outlook.com"/>
        <filter val="gabe.rodriguez@yahoo.com"/>
        <filter val="omar.kowalski@company.co.ku"/>
        <filter val="adam.rodriguez@company.co.uk"/>
        <filter val="qi.king@company.co.uk"/>
        <filter val="paula.brown@example.com"/>
        <filter val="NINA.TAYLOR@COMPANY.CO.UK"/>
        <filter val="xenia.garcia@example.com"/>
        <filter val="marek.rossi@yahoo.com"/>
        <filter val="wiktor.muller@shop.io"/>
        <filter val="Ken.Dubois@Gmail.Com"/>
        <filter val="vlad.dubois@yahoo.com"/>
        <filter val="igor.young@shop.io"/>
        <filter val="CARLOS.DAVIS@YAHOO.COM"/>
        <filter val="carlos.kowalcyzk@shop.io"/>
        <filter val="igor.king@gmail.com"/>
        <filter val="XENIA.ROSSI@SHOP.IO"/>
        <filter val="nina.rodriguez@shop.io"/>
        <filter val="paula.nowak@example.com"/>
        <filter val="Fiona.Johnson@Gmail.Com"/>
        <filter val="fiona.davis@company.co.uk"/>
        <filter val="fiona.martinez@shop.io"/>
        <filter val="vlad.kowalski@company.co.uk"/>
        <filter val="omar.lopez@yahoo.com"/>
        <filter val="daria.rodriguez@gmail.com"/>
        <filter val="jade.garcia@shop.io"/>
        <filter val="YARA.WALKER@GMAIL.COM"/>
        <filter val="UMA.LEE@COMPANY.CO.UK"/>
        <filter val="uma.davis@outlook.com"/>
        <filter val="sam.king@company.co.uk"/>
        <filter val="ethan.taylor@shop.io"/>
        <filter val="ZACK.GARCIA@GMAIL.COM"/>
        <filter val="yara.nowak@yahoo.com"/>
        <filter val="adam.wlaker@shop.io"/>
        <filter val="daria.williams@outlook.com"/>
        <filter val="uma.muller@outlook.com"/>
        <filter val="Nina.Smith@Gmail.Com"/>
        <filter val="ethan.muller@company.co.uk"/>
        <filter val="Gabe.Novak@Yahoo.Com"/>
        <filter val="carlos.walker@yahoo.com"/>
        <filter val="PAULA.JOHNSON@EXAMPLE.COM"/>
        <filter val="ethan.johnson@shop.io"/>
        <filter val="Ethan.Khan@Company.Co.Uk"/>
        <filter val="fiona.martinez@example.com"/>
        <filter val="bella.dubois@shop.io"/>
        <filter val="ethan.johnson@yahoo.com"/>
        <filter val="Igor.Brown@Shop.Io"/>
        <filter val="zack.garcia@yahoo.com"/>
        <filter val="Marek.King@Company.Co.Uk"/>
        <filter val="carlos.lee@company.co.uk"/>
        <filter val="Uma.Lopez@Company.Co.Uk"/>
        <filter val="rita.walekr@example.com"/>
        <filter val="hanna.kowalczyk@example.com"/>
        <filter val="ken.garcia@gmail.com"/>
        <filter val="rita.williams@yahoo.com"/>
        <filter val="hanna.williams@yahoo.com"/>
        <filter val="marek.smith@shop.io"/>
        <filter val="yara.young@company.co.uk"/>
        <filter val="ETHAN.TAYLOR@SHPO.IO"/>
        <filter val="yara.johnson@gmail.com"/>
        <filter val="Igor.Taylor@Example.Com"/>
        <filter val="daria.youn@gyahoo.com"/>
        <filter val="vlad.rodriguez@outlook.com"/>
        <filter val="MAREK.MARTINEZ@OTULOOK.COM"/>
        <filter val="daria.young@yahoo.com"/>
        <filter val="ken.muller@gmail.com"/>
        <filter val="vlad.johnson@shop.io"/>
        <filter val="qi.lopez@outlook.com"/>
        <filter val="wiktor.lee@example.com"/>
        <filter val="vlad.kowalski@yahoo.com"/>
        <filter val="bella.king@yahoo.com"/>
        <filter val="Bella.Davis@Yahoo.Com"/>
        <filter val="EHTAN.KOWALSKI@SHOP.IO"/>
        <filter val="igor.muller@outlook.com"/>
        <filter val="paula.martinez@yahoo.com"/>
        <filter val="adaml.opez@yahoo.com"/>
        <filter val="gabe.kowalski@shop.io"/>
        <filter val="rita.novak@outlook.com"/>
        <filter val="marek.smith@shpo.io"/>
        <filter val="vlad.rodriguez@shop.io"/>
        <filter val="nina.young@yahoo.com"/>
        <filter val="ethan.taylor@companyc.o.uk"/>
        <filter val="gabe.davis@yahoo.com"/>
        <filter val="paula.davis@yahoo.com"/>
        <filter val="Ken.Davis@Yahoo.Com"/>
        <filter val="wiktor.martinez@gmail.com"/>
        <filter val="marek.king@gmail.com"/>
        <filter val="omar.lee@yahoo.com"/>
        <filter val="RITA.GARCIA@GMAIL.COM"/>
        <filter val="Rita.Kowalczyk@Example.Com"/>
        <filter val="SAM.MARTINEZ@YAHOO.COM"/>
        <filter val="Paula.Khan@Example.Com"/>
        <filter val="LIA.KOWALSKI@COMPANY.CO.UK"/>
        <filter val="marek.garcia@shop.io"/>
        <filter val="omar.king@gmail.com"/>
        <filter val="PAULA.MARTINEZ@EXAMPLE.COM"/>
        <filter val="KEN.DUBOIS@SHOP.IO"/>
        <filter val="igor.dubois@company.co.uk"/>
        <filter val="Zack.Muller@Shop.Io"/>
        <filter val="sam.novak@yahoo.com"/>
        <filter val="palua.king@outlook.com"/>
        <filter val="carlos.kowalski@outlook.com"/>
        <filter val="Yara.Taylor@Outlook.Com"/>
        <filter val="daria.walker@compayn.co.uk"/>
        <filter val="lia.lee@example.com"/>
        <filter val="lia.williams@gmail.com"/>
        <filter val="Adam.Johnson@Outloo.kCom"/>
        <filter val="gabe.lopez@shop.io"/>
        <filter val="daria.khan@shop.io"/>
        <filter val="Tara.Muller@Example.Com"/>
        <filter val="lia.garcia@gmail.com"/>
        <filter val="zack.smith@outlookc.om"/>
        <filter val="lia.rodriguez@yahoo.com"/>
        <filter val="wiktor.novak@example.com"/>
        <filter val="zack.khan@example.com"/>
        <filter val="Carlos.Young@Gmail.Com"/>
        <filter val="fioan.rodriguez@yahoo.com"/>
        <filter val="ken.williams@yahoo.com"/>
        <filter val="fiona.rodriguez@gmail.com"/>
        <filter val="fiona.dubois@yahoo.com"/>
        <filter val="daria.martinez@yahoo.com"/>
        <filter val="nina.lee@example.co m"/>
        <filter val="Yara.Garcia@Example.Com"/>
        <filter val="zack.kowalczyk@company.co.uk"/>
        <filter val="paula.lopez@company.co.uk"/>
        <filter val="daria.lopez@company.co.uk"/>
        <filter val="paula.garcia@yahoo.com"/>
        <filter val="hanna.nowak@outlook.com"/>
        <filter val="zack.taylor@company.co.uk"/>
        <filter val="adam.williams@shop.io"/>
        <filter val="gabe.davis@example.com"/>
        <filter val="uma.lopez@gmail.com"/>
        <filter val="JADE.DAVIS@COMPANY.CO.UK"/>
        <filter val="uma.khan@gmail.com"/>
        <filter val="bella.dubois@outlook.com"/>
        <filter val="uma.novak@company.co.uk"/>
        <filter val="Hanna.Dubois@Shop.Io"/>
        <filter val="sam.muller@gmail.com"/>
        <filter val="marek.kowalczyk@outlook.com"/>
        <filter val="nina.garcia@yahoo.com"/>
        <filter val="witkor.young@yahoo.com"/>
        <filter val="fiona.kowalczyk@yahoo.com"/>
        <filter val="ethan.khan@example.com"/>
        <filter val="jade.williams@gmail.com"/>
        <filter val="Paula.King@Shop.Io"/>
        <filter val="ethan.novak@outlook.com"/>
        <filter val="sam.young@yahoo.com"/>
        <filter val="hanna.muller@shop.io"/>
        <filter val="tara.khan@company.co.uk"/>
        <filter val="marek.kowalczyk@yahoo.com"/>
        <filter val="bella.king@example.com"/>
        <filter val="lia.kowalczyk@shop.io"/>
        <filter val="carlos.davis@outlook.com"/>
        <filter val="JAD.EBROWN@COMPANY.CO.UK"/>
        <filter val="Vlad.Rodriguez@Example.Com"/>
        <filter val="wiktor.lopez@gmail.com"/>
        <filter val="sam.williams@outolok.com"/>
        <filter val="ETHAN.MULLER@OUTLOOK.COM"/>
        <filter val="yara.muller@outlook.com"/>
        <filter val="adam.king@company.co.uk"/>
        <filter val="gabe.johnson@yahoo.com"/>
        <filter val="nina.rossi@company.co.uk"/>
        <filter val="rita.lopez@company.co.uk"/>
        <filter val="UMA.DAVIS@OUTLOOK.COM"/>
        <filter val="marek.dubois@company.co.uk"/>
        <filter val="rita.rodriguez@company.co.uk"/>
        <filter val="Zack.Walker@Company.Co.Uk"/>
        <filter val="daria.king@yahoo.com"/>
        <filter val="MAREK.JOHNSON@SHOP.IO"/>
        <filter val="marek.kowalski@company.co.uk"/>
        <filter val="daria.nowak@gmail.com"/>
        <filter val="lia.novak@outlook.com"/>
        <filter val="KEN.YOUNG@SHOP.IO"/>
        <filter val="marek.garcia@company.co.uk"/>
        <filter val="Daria.Muller@Gmail.Com"/>
        <filter val="ethan.brown@company.co.uk"/>
        <filter val="SAM.YOUNG@COMPANY.CO.UK"/>
        <filter val="lia.kowalczyk@example.com"/>
        <filter val="Daria.Walker@Outlook.Com"/>
        <filter val="Ethan.Khan@Yahoo.Com"/>
        <filter val="paula.novak@gmail.com"/>
        <filter val="rita.kowalczyk@outlook.com"/>
        <filter val="Ethan.Martinez@Gmail.Com"/>
        <filter val="carlos.smith@shop.io"/>
        <filter val="zack.dubois@yahoo.com"/>
        <filter val="Fiona.Dubois@Yahoo.Com"/>
        <filter val="adam.dubois@yahoo.com"/>
        <filter val="Wiktor.Lee@Company.Co.Uk"/>
        <filter val="Marek.Koawlczyk@Outlook.Com"/>
        <filter val="Fiona.Davis@Gmail.Com"/>
        <filter val="paula.muller@example.com"/>
        <filter val="ken.nowak@company.co.uk"/>
        <filter val="igor.brown@outlook.com"/>
        <filter val="OMAR.DUBOIS@GMAI.LCOM"/>
        <filter val="lia.dubois@outlook.com"/>
        <filter val="jade.kowalczyk@example.com"/>
        <filter val="IGOR.KHAN@OUTLOOK.COM"/>
        <filter val="ken.taylor@example.com"/>
        <filter val="jade.king@exapmle.com"/>
        <filter val="marek.knig@yahoo.com"/>
        <filter val="paula.lee@shop.io"/>
        <filter val="Xenia.Young@Yahoo.Com"/>
        <filter val="jade.muller@example.com"/>
        <filter val="ken.williams@company.co.uk"/>
        <filter val="daria.young@company.co.uk"/>
        <filter val="ZACK.KOWALSKI@EXAMPLE.COM"/>
        <filter val="uma.brown@outlook.com"/>
        <filter val="ethan.walker@company.co.uk"/>
        <filter val="TARA.KING@EXAMPLE.COM"/>
        <filter val="Bella.King@Gmail.Com"/>
        <filter val="gabe.king@shop.io"/>
        <filter val="bella.muller@gmail.com"/>
        <filter val="yara.williams@gmail.com"/>
        <filter val="daria.johnson@shop.io"/>
        <filter val="hanna.taylor@outlook.com"/>
        <filter val="zack.taylor@outlook.com"/>
        <filter val="lia.taylor@yahoo.com"/>
        <filter val="zack.brown@gmail.com"/>
        <filter val="Daria.Garcia@Company.Co.Uk"/>
        <filter val="qi.rodriguez@yahoo.com"/>
        <filter val="marke.lopez@outlook.com"/>
        <filter val="carlos.williams@yahoo.com"/>
        <filter val="rita.taylor@shop.io"/>
        <filter val="WIKTOR.NOWAK@SHOP.IO"/>
        <filter val="ZACK.RODRIGUEZ@OUTLOOK.COM"/>
        <filter val="wiktor.tyalor@yahoo.com"/>
        <filter val="adam.lopez@yahoo.com"/>
        <filter val="um.agarcia@gmail.com"/>
        <filter val="omar.johnson@examlpe.com"/>
        <filter val="CARLOS.KOWALSKI@GMALI.COM"/>
        <filter val="lia.novak@shop.io"/>
        <filter val="xenia.lopez@yahoo.com"/>
        <filter val="rita.king@example.com"/>
        <filter val="tara.kowalski@example.com"/>
        <filter val="tara.dubois@gmail.com"/>
        <filter val="Lia.Taylor@Example.Com"/>
        <filter val="adam.rodriguez@example.com"/>
        <filter val="gabe.kowalski@outlook.com"/>
        <filter val="omar.rodriguez@yahoo.com"/>
        <filter val="sam.kowalczyk@outlook.com"/>
        <filter val="Rita.Kowalczyk@Shop.Io"/>
        <filter val="BELLA.DUBOIS@EXAMPLE.COM"/>
        <filter val="Fiona.Rodriguez@Shop.Io"/>
        <filter val="ethan.taylor@outlook.com"/>
        <filter val="ken.martinez@example.com"/>
        <filter val="qi.davis@yahoo.com"/>
        <filter val="yara.khan@company.co.uk"/>
        <filter val="tara.rodriguez@shop.io"/>
        <filter val="marek.smith@gmail.com"/>
        <filter val="sam.muller@shop.io"/>
        <filter val="JADE.KOWALCZYK@COMPANY.CO.UK"/>
        <filter val="fiona.garcia@outlook.com"/>
        <filter val="carlos.brown@outlook.com"/>
        <filter val="Omar.Khan@Shop.Io"/>
        <filter val="ken.khan@shop.io"/>
        <filter val="Lia.Taylor@Company.Co.Uk"/>
        <filter val="zack.davis@gmail.com"/>
        <filter val="Ken.Taylor@Example.Com"/>
        <filter val="ken.young@outlook.com"/>
        <filter val="Nina.Martinez@Outlook.Com"/>
        <filter val="qi.davis@gmail.com"/>
        <filter val="wiktor.rossi@outlook.com"/>
        <filter val="OMAR.ROSSI@GMAIL.COM"/>
        <filter val="lia.young@example.com"/>
        <filter val="Carlos.Martinez@Company.Co.Uk"/>
        <filter val="QI.TAYLOR@EXAMPLE.COM"/>
        <filter val="ethan.garcia@gmail.com"/>
        <filter val="gabe.martinez@yahoo.com"/>
        <filter val="omar.novak@yahoo.com"/>
        <filter val="ZACK.KHAN@GMAIL.COM"/>
        <filter val="gabe.lopez@gmail.com"/>
        <filter val="vla.drodriguez@company.co.uk"/>
        <filter val="lia.khan@outlook.com"/>
        <filter val="DARIA.ROSSI@OUTLOOK.COM"/>
        <filter val="lia.nowak@company.co.uk"/>
        <filter val="omar.kowalski@exmaple.com"/>
        <filter val="gabe.smith@example.com"/>
        <filter val="calros.johnson@outlook.com"/>
        <filter val="Sam.Young@Outlook.Com"/>
        <filter val="wiktor.young@cmopany.co.uk"/>
        <filter val="Rita.Garcia@Example.Com"/>
        <filter val="fiona.muller@outlook.com"/>
        <filter val="hanna.kowalski@yahoo.com"/>
        <filter val="uma.williams@shop.io"/>
        <filter val="fiona.lee@outlook.com"/>
        <filter val="vlad.brown@shop.io"/>
        <filter val="bella.rodriguez@outlook.com"/>
        <filter val="adam.wililams@shop.io"/>
        <filter val="fiona.kowalczyk@outlook.com"/>
        <filter val="carlos.young@yahoo.com"/>
        <filter val="bella.wililams@gmail.com"/>
        <filter val="marek.johnson@yahoo.com"/>
        <filter val="omar.khan@company.co.uk"/>
        <filter val="ken.young@company.co.uk"/>
        <filter val="Adam.Lee@Shop.Io"/>
        <filter val="carlso.johnson@shop.io"/>
        <filter val="Nina.Khan@Example.Com"/>
        <filter val="igor.johnson@example.com"/>
        <filter val="Wiktor.Novak@Company.Co.Uk"/>
        <filter val="zack.martinez@companyc.o.uk"/>
        <filter val="xenia.rossi@company.co.uk"/>
        <filter val="gabe.kowalczyk@company.co.uk"/>
        <filter val="bella.lee@example.com"/>
        <filter val="paula.khan@gmail.com"/>
        <filter val="ken.young@yahoo.com"/>
        <filter val="omar.brown@gmail.com"/>
        <filter val="sam.martinez@example.com"/>
        <filter val="Rita.Davis@Outlook.Com"/>
        <filter val="adam.martinez@shop.io"/>
        <filter val="wiktor.dubois@company.co.uk"/>
        <filter val="nina.young@gmail.com"/>
        <filter val="daria.khan@yahoo.com"/>
        <filter val="nina.martinez@shop.io"/>
        <filter val="qi.muller@outlook.com"/>
        <filter val="WIKTOR.LEE@SHOP.IO"/>
        <filter val="Ethan.Dubois@Outlook.Com"/>
        <filter val="Hanna.Muller@Shop.Io"/>
        <filter val="jade.lopez@outlook.com"/>
        <filter val="sam.garcia@yahoo.com"/>
        <filter val="fiona.martinez@shopi.o"/>
        <filter val="gabe.novak@outlook.com"/>
        <filter val="TARA.LEE@EXAMPLE.COM"/>
        <filter val="nina.muller@example.com"/>
        <filter val="marek.davis@gmail.com"/>
        <filter val="hanna.kowalski@company.co.uk"/>
        <filter val="ethan.king@company.co.uk"/>
        <filter val="WIKTOR.SMITH@YAHOO.COM"/>
        <filter val="ETHAN.MULLER@COMPANY.CO.KU"/>
        <filter val="XENIA.BROWN@OUTLOOK.COM"/>
        <filter val="gabe.khan@company.co.uk"/>
        <filter val="ethan.walker@gmail.ocm"/>
        <filter val="uma.novak@example.com"/>
        <filter val="adam.davis@company.co.uk"/>
        <filter val="hanna.johnson@shop.io"/>
        <filter val="Nina.Taylor@Yahoo.Com"/>
        <filter val="vlad.muller@shop.io"/>
        <filter val="sam.taylor@yahoo.com"/>
        <filter val="daria.smith@company.co.uk"/>
        <filter val="daria.novak@outlook.com"/>
        <filter val="bella.williams@example.com"/>
        <filter val="jade.walker@gmail.com"/>
        <filter val="Adam.Walker@Outlook.Com"/>
        <filter val="omar.martinez@outlook.com"/>
        <filter val="lia.rodriguez@example.com"/>
        <filter val="daria.king@outlook.com"/>
        <filter val="wiktor.young@outlook.com"/>
        <filter val="Omar.Davis@Company.Co.Uk"/>
        <filter val="NINA.KOWALSKI@GMAIL.COM"/>
        <filter val="uma.kowalczyk@example.com"/>
        <filter val="JADE.KOWALSKI@GMAIL.COM"/>
        <filter val="qi.martinez@yahoo.com"/>
        <filter val="MAREK.DAVIS@SHOP.IO"/>
        <filter val="Omar.Nowak@Yahoo.Com"/>
        <filter val="omar.ordriguez@gmail.com"/>
        <filter val="uma.khan@yahoo.com"/>
        <filter val="adam.lopez@company.co.uk"/>
        <filter val="vlad.young@yahoo.com"/>
        <filter val="igor.lee@shop.io"/>
        <filter val="NINA.YOUNG@OUTLOOK.COM"/>
        <filter val="yara.rossi@company.co.uk"/>
        <filter val="vlad.kowalczyk@outlook.com"/>
        <filter val="ken.rossi@gmail.com"/>
        <filter val="adam.young@outlook.com"/>
        <filter val="FIONA.YOUNG@YAHOO.COM"/>
        <filter val="jade.garcia@company.co.uk"/>
        <filter val="ken.garcia@shop.io"/>
        <filter val="qi.nowak@yahoo.com"/>
        <filter val="Jade.Khan@Yahoo.Com"/>
        <filter val="bella.king@shop.io"/>
        <filter val="lia.king@company.co.uk"/>
        <filter val="Daria.Kowalczyk@Outlook.Com"/>
        <filter val="xenia.smith@yahoo.com"/>
        <filter val="uma.rodriguez@shop.io"/>
        <filter val="adam.rodriguez@gmail.com"/>
        <filter val="JADE.KOWALCZYK@YAHOO.COM"/>
        <filter val="Qi.Kowalski@Outlook.Com"/>
        <filter val="gabe.nowak@company.co.uk"/>
        <filter val="GABE.KING@EXAMPLE.COM"/>
        <filter val="rita.khan@yahoo.com"/>
        <filter val="tara.young@yahoo.com"/>
        <filter val="fiona.king@outlook.com"/>
        <filter val="OMAR.SMITH@SHOP.IO"/>
        <filter val="Nina.King@Shop.Io"/>
        <filter val="sam.novak@gmail.com"/>
        <filter val="ken.williams@outlook.com"/>
        <filter val="rita.davis@example.com"/>
        <filter val="NINA.KOWALCZYK@YAHOO.COM"/>
        <filter val="lia.novak@gmail.com"/>
        <filter val="adam.garcia@outlook.com"/>
        <filter val="uma.lee@gmail.ocm"/>
        <filter val="gabe.garcia@example.com"/>
        <filter val="IGOR.ROSSI@GMAIL.COM"/>
        <filter val="sam.lee@outlook.com"/>
        <filter val="JADE.NOWAK@EXAPMLE.COM"/>
        <filter val="qi.kowalczyk@example.com"/>
        <filter val="sma.williams@yahoo.com"/>
        <filter val="Qi.Johnson@Outlook.Com"/>
        <filter val="gabe.davis@gmail.com"/>
        <filter val="omar.young@example.com"/>
        <filter val="lia.garcia@example.com"/>
        <filter val="fiona.novak@company.co.uk"/>
        <filter val="igor.williams@shop.io"/>
        <filter val="yara.kowalski@company.co.uk"/>
        <filter val="omar.brown@company.co.uk"/>
        <filter val="Lia.Kowalczyk@Outlook.Com"/>
        <filter val="bella.johnson@yahoo.com"/>
        <filter val="igor.kowalczyk@example.com"/>
        <filter val="qi.johnson@company.co.uk"/>
        <filter val="sam.novak@outlook.com"/>
        <filter val="hanna.martinez@example.com"/>
        <filter val="ethan.garcia@company.co.uk"/>
        <filter val="xenia.rossi@yahoo.com"/>
        <filter val="yara.smith@example.com"/>
        <filter val="Adam.Kowalczyk@Outlook.Com"/>
        <filter val="omar.lee@gmail.com"/>
        <filter val="igor.rodriguez@outlook.com"/>
        <filter val="vlad.williams@gmail.com"/>
        <filter val="ZACK.KOWALCZYK@COMPANY.CO.UK"/>
        <filter val="wiktor.taylor@yahoo.com"/>
        <filter val="LIA.BROWN@EXAMPLE.COM"/>
        <filter val="Omar.Martinez@Company.Co.Uk"/>
        <filter val="lia.martinez@shop.io"/>
        <filter val="marek.novak@example.com"/>
        <filter val="PAULA.SMITH@EXAMPLE.COM"/>
        <filter val="lia.taylor@shop.io"/>
        <filter val="TARA.YOUNG@OUTLOOK.COM"/>
        <filter val="nina.rossi@shop.io"/>
        <filter val="TARA.YOUNG@SHOP.IO"/>
        <filter val="rita.dubois@sho.pio"/>
        <filter val="IGOR.YOUNG@YAHOO.COM"/>
        <filter val="gabe.taylor@example.com"/>
        <filter val="Ethan.Walker@Company.Co.Uk"/>
        <filter val="wiktor.nowak@company.co.uk"/>
        <filter val="ethan.king@shop.i o"/>
        <filter val="wiktor.williams@example.com"/>
        <filter val="ZACK.NOVAK@OUTLOOK.COM"/>
        <filter val="daria.taylor@yahoo.com"/>
        <filter val="sam.johnson@yahoo.com"/>
        <filter val="Daria.Young@Comapny.Co.Uk"/>
        <filter val="bella.davis@shop.io"/>
        <filter val="sam.kowalczyk@gmail.com"/>
        <filter val="ken.johnson@example.com"/>
        <filter val="ethan.dubois@yahoo.com"/>
        <filter val="omar.rodriguez@example.com"/>
        <filter val="nina.taylor@company.co.uk"/>
        <filter val="PAULA.MARTINEZ@GMAIL.COM"/>
        <filter val="zack.johnson@example.com"/>
        <filter val="omar.king@yahoo.com"/>
        <filter val="bella.kowalczyk@outlook.com"/>
        <filter val="lia.muller@yahoo.com"/>
        <filter val="Marek.Khan@Company.Co.Uk"/>
        <filter val="rita.khan@gmail.com"/>
        <filter val="GABE.MARTINEZ@SHOP.IO"/>
        <filter val="rita.rossi@example.com"/>
        <filter val="sam.williams@outlook.com"/>
        <filter val="hanna.muller@outlook.com"/>
        <filter val="ken.young@example.com"/>
        <filter val="ken.kowalski@outlook.com"/>
        <filter val="zack.lopez@company.co.uk"/>
        <filter val="SAM.RODRIGUEZ@SHOP.IO"/>
        <filter val="tara.dubois@examlpe.com"/>
        <filter val="UMA.WALKER@YAHOO.COM"/>
        <filter val="xenia.kowalczyk@gmail.com"/>
        <filter val="vlad.garcia@outlook.com"/>
        <filter val="Ethan.Kowalski@Example.Com"/>
        <filter val="adam.khna@shop.io"/>
        <filter val="bella.dubois@yahoo.com"/>
        <filter val="IGOR.MARTINEZ@COMPANY.CO.UK"/>
        <filter val="Sam.Davis@Yahoo.Com"/>
        <filter val="Marek.Rodriguez@Shop.Io"/>
        <filter val="WIKTOR.NOVAK@COMPANY.CO.UK"/>
        <filter val="uma.king@gmail.com"/>
        <filter val="daria.rossi@shop.io"/>
        <filter val="ethan.kowalski@example.com"/>
        <filter val="daria.dubois@outlook.com"/>
        <filter val="wiktor.lee@outlook.com"/>
        <filter val="vlad.lee@outlook.com"/>
        <filter val="Ethan.Young@Yahoo.Com"/>
        <filter val="hanna.johnson@gmail.com"/>
        <filter val="igor.lee@yahoo.com"/>
        <filter val="bella.kowalski@outlook.com"/>
        <filter val="wiktor.rodriguez@example.com"/>
        <filter val="lia.kowalski@example.com"/>
        <filter val="igor.davis@example.com"/>
        <filter val="uma.kowalski@example.com"/>
        <filter val="hanna.kowalczyk@gmail.com"/>
        <filter val="ken.king@outlook.com"/>
        <filter val="igor.rossi@yahoo.com"/>
        <filter val="paula.walker@outlook.com"/>
        <filter val="vlad.davis@gmail.com"/>
        <filter val="omar.lopez@shop.io"/>
        <filter val="sam.taylor@example.com"/>
        <filter val="ken.davis@yahoo.com"/>
        <filter val="e than.lee@outlook.com"/>
        <filter val="zack.lee@yahoo.com"/>
        <filter val="uma.novak@shop.io"/>
        <filter val="bella.young@gmail.com"/>
        <filter val="yara.williams@example.com"/>
        <filter val="Igor.Dubois@Yahoo.Com"/>
        <filter val="RITA.LOPZE@COMPANY.CO.UK"/>
        <filter val="qi.johnson@gmail.com"/>
        <filter val="TARA.KOWALSKI@OUTLOOK.COM"/>
        <filter val="ken.lee@example.com"/>
        <filter val="gabe.kowalczyk@outlook.com"/>
        <filter val="GABE.KOWALSKI@YAHOO.COM"/>
        <filter val="sam.dubois@shop.io"/>
        <filter val="ZACK.BROWN@YAHOO.COM"/>
        <filter val="tara.muller@gmail.com"/>
        <filter val="adam.king@gmail.com"/>
        <filter val="ethan.lopez@example.com"/>
        <filter val="WIKTOR.KOWALCZYK@EXAMPLE.COM"/>
        <filter val="lia.lopez@outlook.com"/>
        <filter val="omar.taylor@company.co.uk"/>
        <filter val="jadek.ing@outlook.com"/>
        <filter val="wiktor.young@yahoo.cmo"/>
        <filter val="igor.muller@yahoo.com"/>
        <filter val="fiona.walker@company.co.uk"/>
        <filter val="Xenia.Smith@Company.Co.Uk"/>
        <filter val="fiona.taylor@outlook.com"/>
        <filter val="daria.kowalski@outlook.com"/>
        <filter val="rita.rodriguez@gmail.com"/>
        <filter val="ethan.lee@exampel.com"/>
        <filter val="hanna.rossi@outlook.ocm"/>
        <filter val="xenia.dubois@shop.io"/>
        <filter val="sam.lopez@gmail.com"/>
        <filter val="qi.smith@yahoo.com"/>
        <filter val="rita.dubois@yahoo.com"/>
        <filter val="OMAR.MULLER@GMAIL.COM"/>
        <filter val="zack.taylor@outloo.kcom"/>
        <filter val="xenia.garcia@hsop.io"/>
        <filter val="Nina.Rodriguez@Gamil.Com"/>
        <filter val="DARIA.NOVAK@COMPANY.CO.UK"/>
        <filter val="adam.kowalczyk@example.com"/>
        <filter val="marek.young@shop.io"/>
        <filter val="ken.kowalczyk@company.co.uk"/>
        <filter val="xenia.lee@example.com"/>
        <filter val="rita.williams@outlook.com"/>
        <filter val="tara.johnson@outlook.com"/>
        <filter val="bella.rodriguez@gmail.com"/>
        <filter val="QI.YOUNG@OUTLOOK.COM"/>
        <filter val="uma.kowalski@gmail.com"/>
        <filter val="wiktor.rossi@example.com"/>
        <filter val="Fiona.TaylorY@ahoo.Com"/>
        <filter val="yara.brown@company.co.uk"/>
        <filter val="ken.nowak@outlook.com"/>
        <filter val="gabe.smith@company.co.uk"/>
        <filter val="paula.khan@yahoo.com"/>
        <filter val="ethan.kowalczyk@example.com"/>
        <filter val="RITA.YOUNG@SHOP.IO"/>
        <filter val="wiktor.garcia@company.co.uk"/>
        <filter val="rita.davis@yahoo.com"/>
        <filter val="Vlad.Taylor@Example.Com"/>
        <filter val="yara.martinez@shop.io"/>
        <filter val="tara.walker@example.com"/>
        <filter val="LIA.SMITH@EXAMPLE.COM"/>
        <filter val="carlos.lopez@shop.io"/>
        <filter val="jade.davis@yahoo.com"/>
        <filter val="igor.garcia@gmail.com"/>
        <filter val="paula.williams@yahoo.com"/>
        <filter val="marek.novak@yahoo.com"/>
        <filter val="Marek.Smith@Outloo.kCom"/>
        <filter val="ken.walker@outlook.com"/>
        <filter val="Igor.Martinez@Yahoo.Com"/>
        <filter val="zack.walker@shop.io"/>
        <filter val="adam.martinez@outlook.com"/>
        <filter val="lia.davis@company.co.uk"/>
        <filter val="carlos.taylor@example.com"/>
        <filter val="UMA.YOUNG@YAHOO.COM"/>
        <filter val="adam.johnson@example.com"/>
        <filter val="Bella.Martinez@Shop.Io"/>
        <filter val="wiktor.smith@company.co.uk"/>
        <filter val="sam.rossi@yahoo.com"/>
        <filter val="Uma.Rodriguez@Yahoo.Com"/>
        <filter val="Omar.Rodriguez@Yahoo.Com"/>
        <filter val="ethan.lee@shop.io"/>
        <filter val="carlos.brown@example.com"/>
        <filter val="omar.young@company.co.uk"/>
        <filter val="nina.davis@outlook.com"/>
        <filter val="marek.davis@outlook.com"/>
        <filter val="TARA.BROWN@EXAMPLE.COM"/>
        <filter val="marek.young@gmail.com"/>
        <filter val="Uma.Khan@Yahoo.Com"/>
        <filter val="tara.lopez@yahoo.com"/>
        <filter val="carlos.kowalski@yahoo.com"/>
        <filter val="bella.taylor@yahoo.com"/>
        <filter val="qi.smith@gmail.com"/>
        <filter val="ken.kowlaczyk@shop.io"/>
        <filter val="daria.taylor@outlook.com"/>
        <filter val="vlad.novak@company.co.uk"/>
        <filter val="tara.dubois@company.co.uk"/>
        <filter val="ethan.dubois@gmail.com"/>
      </filters>
    </filterColumn>
    <sortState ref="A1:AR701">
      <sortCondition ref="A1:A701"/>
    </sortState>
  </autoFilter>
  <conditionalFormatting sqref="E1:E701">
    <cfRule type="cellIs" dxfId="0" priority="1" operator="greaterThan">
      <formula>2</formula>
    </cfRule>
  </conditionalFormatting>
  <conditionalFormatting sqref="U1:U701 Y696:Y701">
    <cfRule type="expression" dxfId="0" priority="2">
      <formula>REGEXMATCH(U1,"^\d{2}-\d{2}-\d{4}$")</formula>
    </cfRule>
  </conditionalFormatting>
  <conditionalFormatting sqref="U1:U701 Y696:Y701">
    <cfRule type="expression" dxfId="1" priority="3">
      <formula>REGEXMATCH(U1,"^\d{5}-")</formula>
    </cfRule>
  </conditionalFormatting>
  <conditionalFormatting sqref="U1:U701 Y696:Y701">
    <cfRule type="expression" dxfId="2" priority="4">
      <formula>REGEXMATCH(U1,"^\d{2}-\d{2}-\d{4}-\d{2}-\d{2}$")</formula>
    </cfRule>
  </conditionalFormatting>
  <conditionalFormatting sqref="W1:W31 W649:W701">
    <cfRule type="expression" dxfId="0" priority="5">
      <formula>REGEXMATCH(W1,"^\d{2}-")</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hidden="1" min="2" max="2" width="16.57"/>
    <col customWidth="1" hidden="1" min="3" max="4" width="16.43"/>
    <col customWidth="1" hidden="1" min="5" max="5" width="10.86"/>
    <col customWidth="1" hidden="1" min="6" max="6" width="11.29"/>
    <col customWidth="1" hidden="1" min="7" max="7" width="10.86"/>
    <col customWidth="1" min="8" max="8" width="15.71"/>
    <col customWidth="1" min="9" max="9" width="14.86"/>
    <col customWidth="1" min="10" max="10" width="19.0"/>
    <col customWidth="1" hidden="1" min="11" max="11" width="25.29"/>
    <col customWidth="1" min="12" max="12" width="20.14"/>
    <col customWidth="1" hidden="1" min="13" max="13" width="33.71"/>
    <col customWidth="1" min="14" max="14" width="33.71"/>
    <col customWidth="1" min="15" max="15" width="13.0"/>
    <col customWidth="1" hidden="1" min="16" max="16" width="26.29"/>
    <col customWidth="1" min="17" max="18" width="17.71"/>
    <col customWidth="1" min="19" max="19" width="11.57"/>
    <col customWidth="1" hidden="1" min="20" max="20" width="16.14"/>
    <col customWidth="1" hidden="1" min="21" max="21" width="11.0"/>
    <col customWidth="1" min="22" max="22" width="9.43"/>
    <col customWidth="1" min="23" max="23" width="11.14"/>
    <col customWidth="1" min="24" max="24" width="30.0"/>
    <col customWidth="1" hidden="1" min="25" max="25" width="13.29"/>
    <col customWidth="1" min="26" max="26" width="13.29"/>
    <col customWidth="1" min="27" max="27" width="11.29"/>
    <col customWidth="1" min="28" max="28" width="15.57"/>
    <col customWidth="1" min="29" max="29" width="18.14"/>
    <col customWidth="1" min="30" max="30" width="23.14"/>
    <col customWidth="1" min="31" max="31" width="14.86"/>
    <col customWidth="1" min="32" max="32" width="20.0"/>
    <col customWidth="1" min="33" max="33" width="18.14"/>
    <col customWidth="1" hidden="1" min="34" max="34" width="19.29"/>
    <col customWidth="1" min="35" max="35" width="21.29"/>
    <col customWidth="1" hidden="1" min="36" max="36" width="16.57"/>
    <col customWidth="1" min="37" max="37" width="18.71"/>
    <col customWidth="1" min="38" max="38" width="8.86"/>
    <col customWidth="1" min="39" max="45" width="8.71"/>
  </cols>
  <sheetData>
    <row r="1">
      <c r="A1" s="1" t="s">
        <v>0</v>
      </c>
      <c r="B1" s="8" t="s">
        <v>1</v>
      </c>
      <c r="C1" s="19" t="s">
        <v>8628</v>
      </c>
      <c r="D1" s="19" t="s">
        <v>8629</v>
      </c>
      <c r="E1" s="20" t="s">
        <v>8630</v>
      </c>
      <c r="F1" s="19" t="s">
        <v>8631</v>
      </c>
      <c r="G1" s="19" t="s">
        <v>8632</v>
      </c>
      <c r="H1" s="4" t="s">
        <v>8633</v>
      </c>
      <c r="I1" s="1" t="s">
        <v>2</v>
      </c>
      <c r="J1" s="3" t="s">
        <v>7582</v>
      </c>
      <c r="K1" s="5" t="s">
        <v>8634</v>
      </c>
      <c r="L1" s="4" t="s">
        <v>8635</v>
      </c>
      <c r="M1" s="5" t="s">
        <v>8636</v>
      </c>
      <c r="N1" s="4" t="s">
        <v>7587</v>
      </c>
      <c r="O1" s="3" t="s">
        <v>7588</v>
      </c>
      <c r="P1" s="5" t="s">
        <v>5</v>
      </c>
      <c r="Q1" s="4" t="s">
        <v>8637</v>
      </c>
      <c r="R1" s="3" t="s">
        <v>7589</v>
      </c>
      <c r="S1" s="4" t="s">
        <v>8638</v>
      </c>
      <c r="T1" s="1" t="s">
        <v>7</v>
      </c>
      <c r="U1" s="1" t="s">
        <v>8</v>
      </c>
      <c r="V1" s="1" t="s">
        <v>9</v>
      </c>
      <c r="W1" s="3" t="s">
        <v>8639</v>
      </c>
      <c r="X1" s="1" t="s">
        <v>10</v>
      </c>
      <c r="Y1" s="1" t="s">
        <v>11</v>
      </c>
      <c r="Z1" s="4" t="s">
        <v>8640</v>
      </c>
      <c r="AA1" s="21" t="s">
        <v>13</v>
      </c>
      <c r="AB1" s="3" t="s">
        <v>8641</v>
      </c>
      <c r="AC1" s="22" t="s">
        <v>8642</v>
      </c>
      <c r="AD1" s="22" t="s">
        <v>8643</v>
      </c>
      <c r="AE1" s="22" t="s">
        <v>8644</v>
      </c>
      <c r="AF1" s="23" t="s">
        <v>8645</v>
      </c>
      <c r="AG1" s="24" t="s">
        <v>8646</v>
      </c>
      <c r="AH1" s="1" t="s">
        <v>16</v>
      </c>
      <c r="AI1" s="4" t="s">
        <v>8647</v>
      </c>
      <c r="AJ1" s="1" t="s">
        <v>17</v>
      </c>
      <c r="AK1" s="4" t="s">
        <v>8648</v>
      </c>
      <c r="AL1" s="1" t="s">
        <v>18</v>
      </c>
    </row>
    <row r="2">
      <c r="A2" s="2" t="s">
        <v>1716</v>
      </c>
      <c r="B2" s="12" t="s">
        <v>1717</v>
      </c>
      <c r="C2" s="2" t="str">
        <f>IFERROR(__xludf.DUMMYFUNCTION("IF(ISNUMBER(B2),TEXT(B2,""yyyy-MM-dd""),REGEXREPLACE(REGEXREPLACE(TO_TEXT(B2),""[^0-9a-zA-Z]+"",""-""),""[^0-9]*$"",""""))"),"45612-15-59")</f>
        <v>45612-15-59</v>
      </c>
      <c r="D2" s="2" t="str">
        <f t="shared" ref="D2:D3" si="1">TEXT(C2,"yyyy-MM-dd")</f>
        <v>45612-15-59</v>
      </c>
      <c r="E2" s="25" t="str">
        <f>CONCATENATE(LEFT(D2,5))</f>
        <v>45612</v>
      </c>
      <c r="F2" s="12">
        <f>DATE(1900,1,1) + E2 - 1</f>
        <v>45613</v>
      </c>
      <c r="G2" s="2" t="s">
        <v>6416</v>
      </c>
      <c r="H2" s="10" t="s">
        <v>6416</v>
      </c>
      <c r="I2" s="2" t="s">
        <v>1718</v>
      </c>
      <c r="J2" s="26" t="str">
        <f t="array" ref="J2">IF(ISNA(XLOOKUP(I2,customers_clean!$A$2:$A$701,customers_clean!$A$2:$A$701, NA()) ),
   "❌ MISSING CUSTOMER", "✅")</f>
        <v>✅</v>
      </c>
      <c r="K2" s="2" t="str">
        <f t="array" ref="K2">XLOOKUP(I2,customers_clean!$A$2:$A$701,customers_clean!$C$2:$C$701)</f>
        <v>Ethan King</v>
      </c>
      <c r="L2" s="10" t="str">
        <f t="array" ref="L2">XLOOKUP(I2,customers_clean!$A$2:$A$701,customers_clean!$D$2:$D$701)</f>
        <v>Ethan King</v>
      </c>
      <c r="M2" s="2" t="str">
        <f t="array" ref="M2">XLOOKUP(I2,customers_clean!$A$2:$A$701,customers_clean!$I$2:$I$701)</f>
        <v>ethan.king@shop.i o</v>
      </c>
      <c r="N2" s="10" t="str">
        <f t="array" ref="N2">XLOOKUP(I2,customers_clean!$A$2:$A$701,customers_clean!$H$2:$H$701)</f>
        <v>ethan.king@shop.i o</v>
      </c>
      <c r="O2" s="9" t="str">
        <f>IFERROR(__xludf.DUMMYFUNCTION("IF(REGEXMATCH(TRIM(N2),""^[A-Za-z0-9._%+-]+@[A-Za-z0-9.-]+\.[A-Za-z]{2,}$""),""✅ Valid"",""❌ Invalid"")"),"❌ Invalid")</f>
        <v>❌ Invalid</v>
      </c>
      <c r="P2" s="2">
        <f t="array" ref="P2">XLOOKUP(I2,customers_clean!$A$2:$A$701,customers_clean!$K$2:$K$701)</f>
        <v>18912177948</v>
      </c>
      <c r="Q2" s="10" t="str">
        <f t="array" ref="Q2">XLOOKUP(I2,customers_clean!$A$2:$A$701,customers_clean!$N$2:$N$701)</f>
        <v>8912177948</v>
      </c>
      <c r="R2" s="9" t="str">
        <f t="array" ref="R2">XLOOKUP(I2,customers_clean!$A$2:$A$701,customers_clean!$Q$2:$Q$701)</f>
        <v>✅ VALID</v>
      </c>
      <c r="S2" s="10" t="s">
        <v>448</v>
      </c>
      <c r="T2" s="2" t="s">
        <v>42</v>
      </c>
      <c r="U2" s="2" t="s">
        <v>480</v>
      </c>
      <c r="V2" s="2" t="s">
        <v>1722</v>
      </c>
      <c r="W2" s="9" t="str">
        <f t="array" ref="W2">IF(ISNA(XLOOKUP(V2,products_master_corrected!$A$2:$A$151,products_master_corrected!$A$2:$A$151, NA())),
    "❌ MISSING SKU", "✅")</f>
        <v>✅</v>
      </c>
      <c r="X2" s="2" t="s">
        <v>804</v>
      </c>
      <c r="Y2" s="2" t="s">
        <v>368</v>
      </c>
      <c r="Z2" s="10" t="s">
        <v>368</v>
      </c>
      <c r="AA2" s="27">
        <v>2.0</v>
      </c>
      <c r="AB2" s="9" t="str">
        <f t="array" ref="AB2:AB1151">IF(ISBLANK(AA2:AA1151), "❌ Missing", "✅ OK")</f>
        <v>✅ OK</v>
      </c>
      <c r="AC2" s="28">
        <f t="array" ref="AC2">XLOOKUP(V2,products_master_corrected!$A$2:$A$151,products_master_corrected!$E$2:$E$151)</f>
        <v>13.05</v>
      </c>
      <c r="AD2" s="28">
        <f t="shared" ref="AD2:AD42" si="2">AA2*AC2</f>
        <v>26.1</v>
      </c>
      <c r="AE2" s="28">
        <f t="array" ref="AE2">XLOOKUP(V2,products_master_corrected!$A$2:$A$151,products_master_corrected!$M$2:$M$151)</f>
        <v>15.79</v>
      </c>
      <c r="AF2" s="29">
        <f t="shared" ref="AF2:AF42" si="3">AA2*AE2</f>
        <v>31.58</v>
      </c>
      <c r="AG2" s="30" t="s">
        <v>48</v>
      </c>
      <c r="AH2" s="2" t="s">
        <v>526</v>
      </c>
      <c r="AI2" s="10" t="s">
        <v>49</v>
      </c>
      <c r="AJ2" s="2" t="s">
        <v>144</v>
      </c>
      <c r="AK2" s="10" t="s">
        <v>818</v>
      </c>
      <c r="AL2" s="2" t="s">
        <v>51</v>
      </c>
    </row>
    <row r="3">
      <c r="A3" s="2" t="s">
        <v>1851</v>
      </c>
      <c r="B3" s="12" t="s">
        <v>1852</v>
      </c>
      <c r="C3" s="2" t="str">
        <f>IFERROR(__xludf.DUMMYFUNCTION("IF(ISNUMBER(B3),TEXT(B3,""yyyy-MM-dd""),REGEXREPLACE(REGEXREPLACE(TO_TEXT(B3),""[^0-9a-zA-Z]+"",""-""),""[^0-9]*$"",""""))"),"04-14-2025")</f>
        <v>04-14-2025</v>
      </c>
      <c r="D3" s="2" t="str">
        <f t="shared" si="1"/>
        <v>04-14-2025</v>
      </c>
      <c r="E3" s="2" t="s">
        <v>8483</v>
      </c>
      <c r="H3" s="10" t="s">
        <v>8483</v>
      </c>
      <c r="I3" s="2" t="s">
        <v>1718</v>
      </c>
      <c r="J3" s="26" t="str">
        <f t="array" ref="J3">IF(ISNA(XLOOKUP(I3,customers_clean!$A$2:$A$701,customers_clean!$A$2:$A$701, NA()) ),
   "❌ MISSING CUSTOMER", "✅")</f>
        <v>✅</v>
      </c>
      <c r="K3" s="2" t="str">
        <f t="array" ref="K3">XLOOKUP(I3,customers_clean!$A$2:$A$701,customers_clean!$C$2:$C$701)</f>
        <v>Ethan King</v>
      </c>
      <c r="L3" s="10" t="str">
        <f t="array" ref="L3">XLOOKUP(I3,customers_clean!$A$2:$A$701,customers_clean!$D$2:$D$701)</f>
        <v>Ethan King</v>
      </c>
      <c r="M3" s="2" t="str">
        <f t="array" ref="M3">XLOOKUP(I3,customers_clean!$A$2:$A$701,customers_clean!$I$2:$I$701)</f>
        <v>ethan.king@shop.i o</v>
      </c>
      <c r="N3" s="10" t="str">
        <f t="array" ref="N3">XLOOKUP(I3,customers_clean!$A$2:$A$701,customers_clean!$H$2:$H$701)</f>
        <v>ethan.king@shop.i o</v>
      </c>
      <c r="O3" s="9" t="str">
        <f>IFERROR(__xludf.DUMMYFUNCTION("IF(REGEXMATCH(TRIM(N3),""^[A-Za-z0-9._%+-]+@[A-Za-z0-9.-]+\.[A-Za-z]{2,}$""),""✅ Valid"",""❌ Invalid"")"),"❌ Invalid")</f>
        <v>❌ Invalid</v>
      </c>
      <c r="P3" s="2">
        <f t="array" ref="P3">XLOOKUP(I3,customers_clean!$A$2:$A$701,customers_clean!$K$2:$K$701)</f>
        <v>18912177948</v>
      </c>
      <c r="Q3" s="10" t="str">
        <f t="array" ref="Q3">XLOOKUP(I3,customers_clean!$A$2:$A$701,customers_clean!$N$2:$N$701)</f>
        <v>8912177948</v>
      </c>
      <c r="R3" s="9" t="str">
        <f t="array" ref="R3">XLOOKUP(I3,customers_clean!$A$2:$A$701,customers_clean!$Q$2:$Q$701)</f>
        <v>✅ VALID</v>
      </c>
      <c r="S3" s="10" t="s">
        <v>448</v>
      </c>
      <c r="T3" s="2" t="s">
        <v>301</v>
      </c>
      <c r="U3" s="2" t="s">
        <v>365</v>
      </c>
      <c r="V3" s="2" t="s">
        <v>91</v>
      </c>
      <c r="W3" s="9" t="str">
        <f t="array" ref="W3">IF(ISNA(XLOOKUP(V3,products_master_corrected!$A$2:$A$151,products_master_corrected!$A$2:$A$151, NA())),
    "❌ MISSING SKU", "✅")</f>
        <v>✅</v>
      </c>
      <c r="X3" s="2" t="s">
        <v>259</v>
      </c>
      <c r="Y3" s="2" t="s">
        <v>93</v>
      </c>
      <c r="Z3" s="10" t="s">
        <v>368</v>
      </c>
      <c r="AA3" s="27">
        <v>2.0</v>
      </c>
      <c r="AB3" s="9" t="s">
        <v>8649</v>
      </c>
      <c r="AC3" s="28">
        <f t="array" ref="AC3">XLOOKUP(V3,products_master_corrected!$A$2:$A$151,products_master_corrected!$E$2:$E$151)</f>
        <v>30.17</v>
      </c>
      <c r="AD3" s="28">
        <f t="shared" si="2"/>
        <v>60.34</v>
      </c>
      <c r="AE3" s="28">
        <f t="array" ref="AE3">XLOOKUP(V3,products_master_corrected!$A$2:$A$151,products_master_corrected!$M$2:$M$151)</f>
        <v>36.49</v>
      </c>
      <c r="AF3" s="29">
        <f t="shared" si="3"/>
        <v>72.98</v>
      </c>
      <c r="AG3" s="30" t="s">
        <v>48</v>
      </c>
      <c r="AH3" s="2" t="s">
        <v>181</v>
      </c>
      <c r="AI3" s="10" t="s">
        <v>181</v>
      </c>
      <c r="AJ3" s="2" t="s">
        <v>1171</v>
      </c>
      <c r="AK3" s="10" t="s">
        <v>80</v>
      </c>
      <c r="AL3" s="2" t="s">
        <v>133</v>
      </c>
    </row>
    <row r="4">
      <c r="A4" s="2" t="s">
        <v>5320</v>
      </c>
      <c r="B4" s="12">
        <v>45071.0</v>
      </c>
      <c r="C4" s="2" t="str">
        <f>IFERROR(__xludf.DUMMYFUNCTION("IF(ISNUMBER(B4),TEXT(B4,""yyyy-MM-dd""),REGEXREPLACE(REGEXREPLACE(TO_TEXT(B4),""[^0-9a-zA-Z]+"",""-""),""[^0-9]*$"",""""))"),"2023-05-25")</f>
        <v>2023-05-25</v>
      </c>
      <c r="D4" s="2" t="s">
        <v>8650</v>
      </c>
      <c r="H4" s="10" t="s">
        <v>8650</v>
      </c>
      <c r="I4" s="2" t="s">
        <v>1718</v>
      </c>
      <c r="J4" s="26" t="str">
        <f t="array" ref="J4">IF(ISNA(XLOOKUP(I4,customers_clean!$A$2:$A$701,customers_clean!$A$2:$A$701, NA()) ),
   "❌ MISSING CUSTOMER", "✅")</f>
        <v>✅</v>
      </c>
      <c r="K4" s="2" t="str">
        <f t="array" ref="K4">XLOOKUP(I4,customers_clean!$A$2:$A$701,customers_clean!$C$2:$C$701)</f>
        <v>Ethan King</v>
      </c>
      <c r="L4" s="10" t="str">
        <f t="array" ref="L4">XLOOKUP(I4,customers_clean!$A$2:$A$701,customers_clean!$D$2:$D$701)</f>
        <v>Ethan King</v>
      </c>
      <c r="M4" s="2" t="str">
        <f t="array" ref="M4">XLOOKUP(I4,customers_clean!$A$2:$A$701,customers_clean!$I$2:$I$701)</f>
        <v>ethan.king@shop.i o</v>
      </c>
      <c r="N4" s="10" t="str">
        <f t="array" ref="N4">XLOOKUP(I4,customers_clean!$A$2:$A$701,customers_clean!$H$2:$H$701)</f>
        <v>ethan.king@shop.i o</v>
      </c>
      <c r="O4" s="9" t="str">
        <f>IFERROR(__xludf.DUMMYFUNCTION("IF(REGEXMATCH(TRIM(N4),""^[A-Za-z0-9._%+-]+@[A-Za-z0-9.-]+\.[A-Za-z]{2,}$""),""✅ Valid"",""❌ Invalid"")"),"❌ Invalid")</f>
        <v>❌ Invalid</v>
      </c>
      <c r="P4" s="2">
        <f t="array" ref="P4">XLOOKUP(I4,customers_clean!$A$2:$A$701,customers_clean!$K$2:$K$701)</f>
        <v>18912177948</v>
      </c>
      <c r="Q4" s="10" t="str">
        <f t="array" ref="Q4">XLOOKUP(I4,customers_clean!$A$2:$A$701,customers_clean!$N$2:$N$701)</f>
        <v>8912177948</v>
      </c>
      <c r="R4" s="9" t="str">
        <f t="array" ref="R4">XLOOKUP(I4,customers_clean!$A$2:$A$701,customers_clean!$Q$2:$Q$701)</f>
        <v>✅ VALID</v>
      </c>
      <c r="S4" s="10" t="s">
        <v>448</v>
      </c>
      <c r="T4" s="2" t="s">
        <v>59</v>
      </c>
      <c r="U4" s="2" t="s">
        <v>480</v>
      </c>
      <c r="V4" s="2" t="s">
        <v>3596</v>
      </c>
      <c r="W4" s="9" t="str">
        <f t="array" ref="W4">IF(ISNA(XLOOKUP(V4,products_master_corrected!$A$2:$A$151,products_master_corrected!$A$2:$A$151, NA())),
    "❌ MISSING SKU", "✅")</f>
        <v>✅</v>
      </c>
      <c r="X4" s="2" t="s">
        <v>3597</v>
      </c>
      <c r="Y4" s="2" t="s">
        <v>63</v>
      </c>
      <c r="Z4" s="10" t="s">
        <v>63</v>
      </c>
      <c r="AA4" s="27">
        <v>1.0</v>
      </c>
      <c r="AB4" s="9" t="s">
        <v>8649</v>
      </c>
      <c r="AC4" s="28">
        <f t="array" ref="AC4">XLOOKUP(V4,products_master_corrected!$A$2:$A$151,products_master_corrected!$E$2:$E$151)</f>
        <v>160.36</v>
      </c>
      <c r="AD4" s="28">
        <f t="shared" si="2"/>
        <v>160.36</v>
      </c>
      <c r="AE4" s="28">
        <f t="array" ref="AE4">XLOOKUP(V4,products_master_corrected!$A$2:$A$151,products_master_corrected!$M$2:$M$151)</f>
        <v>193.97</v>
      </c>
      <c r="AF4" s="29">
        <f t="shared" si="3"/>
        <v>193.97</v>
      </c>
      <c r="AG4" s="30" t="s">
        <v>48</v>
      </c>
      <c r="AH4" s="2" t="s">
        <v>370</v>
      </c>
      <c r="AI4" s="10" t="s">
        <v>143</v>
      </c>
      <c r="AJ4" s="2" t="s">
        <v>192</v>
      </c>
      <c r="AK4" s="10" t="s">
        <v>192</v>
      </c>
    </row>
    <row r="5">
      <c r="A5" s="2" t="s">
        <v>2499</v>
      </c>
      <c r="B5" s="12" t="s">
        <v>2500</v>
      </c>
      <c r="C5" s="2" t="str">
        <f>IFERROR(__xludf.DUMMYFUNCTION("IF(ISNUMBER(B5),TEXT(B5,""yyyy-MM-dd""),REGEXREPLACE(REGEXREPLACE(TO_TEXT(B5),""[^0-9a-zA-Z]+"",""-""),""[^0-9]*$"",""""))"),"02-14-2024")</f>
        <v>02-14-2024</v>
      </c>
      <c r="D5" s="2" t="str">
        <f>TEXT(C5,"yyyy-MM-dd")</f>
        <v>02-14-2024</v>
      </c>
      <c r="E5" s="2" t="s">
        <v>8651</v>
      </c>
      <c r="H5" s="10" t="s">
        <v>8651</v>
      </c>
      <c r="I5" s="2" t="s">
        <v>2501</v>
      </c>
      <c r="J5" s="26" t="str">
        <f t="array" ref="J5">IF(ISNA(XLOOKUP(I5,customers_clean!$A$2:$A$701,customers_clean!$A$2:$A$701, NA()) ),
   "❌ MISSING CUSTOMER", "✅")</f>
        <v>✅</v>
      </c>
      <c r="K5" s="2" t="str">
        <f t="array" ref="K5">XLOOKUP(I5,customers_clean!$A$2:$A$701,customers_clean!$C$2:$C$701)</f>
        <v>Wiktor  Muller</v>
      </c>
      <c r="L5" s="10" t="str">
        <f t="array" ref="L5">XLOOKUP(I5,customers_clean!$A$2:$A$701,customers_clean!$D$2:$D$701)</f>
        <v>Wiktor Muller</v>
      </c>
      <c r="M5" s="2" t="str">
        <f t="array" ref="M5">XLOOKUP(I5,customers_clean!$A$2:$A$701,customers_clean!$I$2:$I$701)</f>
        <v>wiktor.muller@shop.io</v>
      </c>
      <c r="N5" s="10" t="str">
        <f t="array" ref="N5">XLOOKUP(I5,customers_clean!$A$2:$A$701,customers_clean!$H$2:$H$701)</f>
        <v>wiktor.muller@shop.io</v>
      </c>
      <c r="O5" s="9" t="str">
        <f>IFERROR(__xludf.DUMMYFUNCTION("IF(REGEXMATCH(TRIM(N5),""^[A-Za-z0-9._%+-]+@[A-Za-z0-9.-]+\.[A-Za-z]{2,}$""),""✅ Valid"",""❌ Invalid"")"),"✅ Valid")</f>
        <v>✅ Valid</v>
      </c>
      <c r="P5" s="2" t="str">
        <f t="array" ref="P5">XLOOKUP(I5,customers_clean!$A$2:$A$701,customers_clean!$K$2:$K$701)</f>
        <v/>
      </c>
      <c r="Q5" s="10" t="str">
        <f t="array" ref="Q5">XLOOKUP(I5,customers_clean!$A$2:$A$701,customers_clean!$N$2:$N$701)</f>
        <v/>
      </c>
      <c r="R5" s="9" t="str">
        <f t="array" ref="R5">XLOOKUP(I5,customers_clean!$A$2:$A$701,customers_clean!$Q$2:$Q$701)</f>
        <v>❌ INVALID</v>
      </c>
      <c r="S5" s="10" t="s">
        <v>448</v>
      </c>
      <c r="T5" s="2" t="s">
        <v>234</v>
      </c>
      <c r="U5" s="2" t="s">
        <v>480</v>
      </c>
      <c r="V5" s="2" t="s">
        <v>1109</v>
      </c>
      <c r="W5" s="9" t="str">
        <f t="array" ref="W5">IF(ISNA(XLOOKUP(V5,products_master_corrected!$A$2:$A$151,products_master_corrected!$A$2:$A$151, NA())),
    "❌ MISSING SKU", "✅")</f>
        <v>✅</v>
      </c>
      <c r="X5" s="2" t="s">
        <v>62</v>
      </c>
      <c r="Y5" s="2" t="s">
        <v>826</v>
      </c>
      <c r="Z5" s="10" t="s">
        <v>63</v>
      </c>
      <c r="AA5" s="27">
        <v>1.0</v>
      </c>
      <c r="AB5" s="9" t="s">
        <v>8649</v>
      </c>
      <c r="AC5" s="28">
        <f t="array" ref="AC5">XLOOKUP(V5,products_master_corrected!$A$2:$A$151,products_master_corrected!$E$2:$E$151)</f>
        <v>115.14</v>
      </c>
      <c r="AD5" s="28">
        <f t="shared" si="2"/>
        <v>115.14</v>
      </c>
      <c r="AE5" s="28">
        <f t="array" ref="AE5">XLOOKUP(V5,products_master_corrected!$A$2:$A$151,products_master_corrected!$M$2:$M$151)</f>
        <v>139.27</v>
      </c>
      <c r="AF5" s="29">
        <f t="shared" si="3"/>
        <v>139.27</v>
      </c>
      <c r="AG5" s="30" t="s">
        <v>48</v>
      </c>
      <c r="AH5" s="2" t="s">
        <v>526</v>
      </c>
      <c r="AI5" s="10" t="s">
        <v>49</v>
      </c>
      <c r="AJ5" s="2" t="s">
        <v>818</v>
      </c>
      <c r="AK5" s="10" t="s">
        <v>818</v>
      </c>
    </row>
    <row r="6">
      <c r="A6" s="2" t="s">
        <v>5813</v>
      </c>
      <c r="B6" s="12">
        <v>45359.0</v>
      </c>
      <c r="C6" s="2" t="str">
        <f>IFERROR(__xludf.DUMMYFUNCTION("IF(ISNUMBER(B6),TEXT(B6,""yyyy-MM-dd""),REGEXREPLACE(REGEXREPLACE(TO_TEXT(B6),""[^0-9a-zA-Z]+"",""-""),""[^0-9]*$"",""""))"),"2024-03-08")</f>
        <v>2024-03-08</v>
      </c>
      <c r="D6" s="2" t="s">
        <v>8652</v>
      </c>
      <c r="H6" s="10" t="s">
        <v>8652</v>
      </c>
      <c r="I6" s="2" t="s">
        <v>2501</v>
      </c>
      <c r="J6" s="26" t="str">
        <f t="array" ref="J6">IF(ISNA(XLOOKUP(I6,customers_clean!$A$2:$A$701,customers_clean!$A$2:$A$701, NA()) ),
   "❌ MISSING CUSTOMER", "✅")</f>
        <v>✅</v>
      </c>
      <c r="K6" s="2" t="str">
        <f t="array" ref="K6">XLOOKUP(I6,customers_clean!$A$2:$A$701,customers_clean!$C$2:$C$701)</f>
        <v>Wiktor  Muller</v>
      </c>
      <c r="L6" s="10" t="str">
        <f t="array" ref="L6">XLOOKUP(I6,customers_clean!$A$2:$A$701,customers_clean!$D$2:$D$701)</f>
        <v>Wiktor Muller</v>
      </c>
      <c r="M6" s="2" t="str">
        <f t="array" ref="M6">XLOOKUP(I6,customers_clean!$A$2:$A$701,customers_clean!$I$2:$I$701)</f>
        <v>wiktor.muller@shop.io</v>
      </c>
      <c r="N6" s="10" t="str">
        <f t="array" ref="N6">XLOOKUP(I6,customers_clean!$A$2:$A$701,customers_clean!$H$2:$H$701)</f>
        <v>wiktor.muller@shop.io</v>
      </c>
      <c r="O6" s="9" t="str">
        <f>IFERROR(__xludf.DUMMYFUNCTION("IF(REGEXMATCH(TRIM(N6),""^[A-Za-z0-9._%+-]+@[A-Za-z0-9.-]+\.[A-Za-z]{2,}$""),""✅ Valid"",""❌ Invalid"")"),"✅ Valid")</f>
        <v>✅ Valid</v>
      </c>
      <c r="P6" s="2" t="str">
        <f t="array" ref="P6">XLOOKUP(I6,customers_clean!$A$2:$A$701,customers_clean!$K$2:$K$701)</f>
        <v/>
      </c>
      <c r="Q6" s="10" t="str">
        <f t="array" ref="Q6">XLOOKUP(I6,customers_clean!$A$2:$A$701,customers_clean!$N$2:$N$701)</f>
        <v/>
      </c>
      <c r="R6" s="9" t="str">
        <f t="array" ref="R6">XLOOKUP(I6,customers_clean!$A$2:$A$701,customers_clean!$Q$2:$Q$701)</f>
        <v>❌ INVALID</v>
      </c>
      <c r="S6" s="10" t="s">
        <v>448</v>
      </c>
      <c r="T6" s="2" t="s">
        <v>5814</v>
      </c>
      <c r="U6" s="2" t="s">
        <v>401</v>
      </c>
      <c r="V6" s="2" t="s">
        <v>4497</v>
      </c>
      <c r="W6" s="9" t="str">
        <f t="array" ref="W6">IF(ISNA(XLOOKUP(V6,products_master_corrected!$A$2:$A$151,products_master_corrected!$A$2:$A$151, NA())),
    "❌ MISSING SKU", "✅")</f>
        <v>✅</v>
      </c>
      <c r="X6" s="2" t="s">
        <v>403</v>
      </c>
      <c r="Y6" s="2" t="s">
        <v>995</v>
      </c>
      <c r="Z6" s="10" t="s">
        <v>355</v>
      </c>
      <c r="AA6" s="27">
        <v>3.0</v>
      </c>
      <c r="AB6" s="9" t="s">
        <v>8649</v>
      </c>
      <c r="AC6" s="28">
        <f t="array" ref="AC6">XLOOKUP(V6,products_master_corrected!$A$2:$A$151,products_master_corrected!$E$2:$E$151)</f>
        <v>23.53</v>
      </c>
      <c r="AD6" s="28">
        <f t="shared" si="2"/>
        <v>70.59</v>
      </c>
      <c r="AE6" s="28">
        <f t="array" ref="AE6">XLOOKUP(V6,products_master_corrected!$A$2:$A$151,products_master_corrected!$M$2:$M$151)</f>
        <v>28.46</v>
      </c>
      <c r="AF6" s="29">
        <f t="shared" si="3"/>
        <v>85.38</v>
      </c>
      <c r="AG6" s="30" t="s">
        <v>48</v>
      </c>
      <c r="AH6" s="2" t="s">
        <v>238</v>
      </c>
      <c r="AI6" s="10" t="s">
        <v>66</v>
      </c>
      <c r="AJ6" s="2" t="s">
        <v>3223</v>
      </c>
      <c r="AK6" s="10" t="s">
        <v>261</v>
      </c>
      <c r="AL6" s="2" t="s">
        <v>67</v>
      </c>
    </row>
    <row r="7">
      <c r="A7" s="2" t="s">
        <v>5017</v>
      </c>
      <c r="B7" s="12">
        <v>45829.0</v>
      </c>
      <c r="C7" s="2" t="str">
        <f>IFERROR(__xludf.DUMMYFUNCTION("IF(ISNUMBER(B7),TEXT(B7,""yyyy-MM-dd""),REGEXREPLACE(REGEXREPLACE(TO_TEXT(B7),""[^0-9a-zA-Z]+"",""-""),""[^0-9]*$"",""""))"),"2025-06-21")</f>
        <v>2025-06-21</v>
      </c>
      <c r="D7" s="2" t="s">
        <v>5018</v>
      </c>
      <c r="H7" s="10" t="s">
        <v>5018</v>
      </c>
      <c r="I7" s="2" t="s">
        <v>2008</v>
      </c>
      <c r="J7" s="26" t="str">
        <f t="array" ref="J7">IF(ISNA(XLOOKUP(I7,customers_clean!$A$2:$A$701,customers_clean!$A$2:$A$701, NA()) ),
   "❌ MISSING CUSTOMER", "✅")</f>
        <v>✅</v>
      </c>
      <c r="K7" s="2" t="str">
        <f t="array" ref="K7">XLOOKUP(I7,customers_clean!$A$2:$A$701,customers_clean!$C$2:$C$701)</f>
        <v>Lia Novak</v>
      </c>
      <c r="L7" s="10" t="str">
        <f t="array" ref="L7">XLOOKUP(I7,customers_clean!$A$2:$A$701,customers_clean!$D$2:$D$701)</f>
        <v>Lia Novak</v>
      </c>
      <c r="M7" s="2" t="str">
        <f t="array" ref="M7">XLOOKUP(I7,customers_clean!$A$2:$A$701,customers_clean!$I$2:$I$701)</f>
        <v>lia.novak@gmail.com</v>
      </c>
      <c r="N7" s="10" t="str">
        <f t="array" ref="N7">XLOOKUP(I7,customers_clean!$A$2:$A$701,customers_clean!$H$2:$H$701)</f>
        <v>lia.novak@gmail.com</v>
      </c>
      <c r="O7" s="9" t="str">
        <f>IFERROR(__xludf.DUMMYFUNCTION("IF(REGEXMATCH(TRIM(N7),""^[A-Za-z0-9._%+-]+@[A-Za-z0-9.-]+\.[A-Za-z]{2,}$""),""✅ Valid"",""❌ Invalid"")"),"✅ Valid")</f>
        <v>✅ Valid</v>
      </c>
      <c r="P7" s="2" t="str">
        <f t="array" ref="P7">XLOOKUP(I7,customers_clean!$A$2:$A$701,customers_clean!$K$2:$K$701)</f>
        <v>+441895238062 ext 644</v>
      </c>
      <c r="Q7" s="10" t="str">
        <f t="array" ref="Q7">XLOOKUP(I7,customers_clean!$A$2:$A$701,customers_clean!$N$2:$N$701)</f>
        <v>1895238062</v>
      </c>
      <c r="R7" s="9" t="str">
        <f t="array" ref="R7">XLOOKUP(I7,customers_clean!$A$2:$A$701,customers_clean!$Q$2:$Q$701)</f>
        <v>❌ INVALID</v>
      </c>
      <c r="S7" s="10" t="s">
        <v>114</v>
      </c>
      <c r="T7" s="2" t="s">
        <v>683</v>
      </c>
      <c r="U7" s="2" t="s">
        <v>60</v>
      </c>
      <c r="V7" s="2" t="s">
        <v>3053</v>
      </c>
      <c r="W7" s="9" t="str">
        <f t="array" ref="W7">IF(ISNA(XLOOKUP(V7,products_master_corrected!$A$2:$A$151,products_master_corrected!$A$2:$A$151, NA())),
    "❌ MISSING SKU", "✅")</f>
        <v>✅</v>
      </c>
      <c r="X7" s="2" t="s">
        <v>741</v>
      </c>
      <c r="Y7" s="2" t="s">
        <v>63</v>
      </c>
      <c r="Z7" s="10" t="s">
        <v>63</v>
      </c>
      <c r="AA7" s="27">
        <v>2.0</v>
      </c>
      <c r="AB7" s="9" t="s">
        <v>8649</v>
      </c>
      <c r="AC7" s="28">
        <f t="array" ref="AC7">XLOOKUP(V7,products_master_corrected!$A$2:$A$151,products_master_corrected!$E$2:$E$151)</f>
        <v>15.82</v>
      </c>
      <c r="AD7" s="28">
        <f t="shared" si="2"/>
        <v>31.64</v>
      </c>
      <c r="AE7" s="28">
        <f t="array" ref="AE7">XLOOKUP(V7,products_master_corrected!$A$2:$A$151,products_master_corrected!$F$2:$F$151)</f>
        <v>15.82</v>
      </c>
      <c r="AF7" s="29">
        <f t="shared" si="3"/>
        <v>31.64</v>
      </c>
      <c r="AG7" s="30" t="s">
        <v>65</v>
      </c>
      <c r="AH7" s="2" t="s">
        <v>526</v>
      </c>
      <c r="AI7" s="10" t="s">
        <v>49</v>
      </c>
      <c r="AJ7" s="2" t="s">
        <v>80</v>
      </c>
      <c r="AK7" s="10" t="s">
        <v>80</v>
      </c>
    </row>
    <row r="8">
      <c r="A8" s="2" t="s">
        <v>5849</v>
      </c>
      <c r="B8" s="12">
        <v>45141.0</v>
      </c>
      <c r="C8" s="2" t="str">
        <f>IFERROR(__xludf.DUMMYFUNCTION("IF(ISNUMBER(B8),TEXT(B8,""yyyy-MM-dd""),REGEXREPLACE(REGEXREPLACE(TO_TEXT(B8),""[^0-9a-zA-Z]+"",""-""),""[^0-9]*$"",""""))"),"2023-08-03")</f>
        <v>2023-08-03</v>
      </c>
      <c r="D8" s="2" t="s">
        <v>8653</v>
      </c>
      <c r="H8" s="10" t="s">
        <v>8653</v>
      </c>
      <c r="I8" s="2" t="s">
        <v>2008</v>
      </c>
      <c r="J8" s="26" t="str">
        <f t="array" ref="J8">IF(ISNA(XLOOKUP(I8,customers_clean!$A$2:$A$701,customers_clean!$A$2:$A$701, NA()) ),
   "❌ MISSING CUSTOMER", "✅")</f>
        <v>✅</v>
      </c>
      <c r="K8" s="2" t="str">
        <f t="array" ref="K8">XLOOKUP(I8,customers_clean!$A$2:$A$701,customers_clean!$C$2:$C$701)</f>
        <v>Lia Novak</v>
      </c>
      <c r="L8" s="10" t="str">
        <f t="array" ref="L8">XLOOKUP(I8,customers_clean!$A$2:$A$701,customers_clean!$D$2:$D$701)</f>
        <v>Lia Novak</v>
      </c>
      <c r="M8" s="2" t="str">
        <f t="array" ref="M8">XLOOKUP(I8,customers_clean!$A$2:$A$701,customers_clean!$I$2:$I$701)</f>
        <v>lia.novak@gmail.com</v>
      </c>
      <c r="N8" s="10" t="str">
        <f t="array" ref="N8">XLOOKUP(I8,customers_clean!$A$2:$A$701,customers_clean!$H$2:$H$701)</f>
        <v>lia.novak@gmail.com</v>
      </c>
      <c r="O8" s="9" t="str">
        <f>IFERROR(__xludf.DUMMYFUNCTION("IF(REGEXMATCH(TRIM(N8),""^[A-Za-z0-9._%+-]+@[A-Za-z0-9.-]+\.[A-Za-z]{2,}$""),""✅ Valid"",""❌ Invalid"")"),"✅ Valid")</f>
        <v>✅ Valid</v>
      </c>
      <c r="P8" s="2" t="str">
        <f t="array" ref="P8">XLOOKUP(I8,customers_clean!$A$2:$A$701,customers_clean!$K$2:$K$701)</f>
        <v>+441895238062 ext 644</v>
      </c>
      <c r="Q8" s="10" t="str">
        <f t="array" ref="Q8">XLOOKUP(I8,customers_clean!$A$2:$A$701,customers_clean!$N$2:$N$701)</f>
        <v>1895238062</v>
      </c>
      <c r="R8" s="9" t="str">
        <f t="array" ref="R8">XLOOKUP(I8,customers_clean!$A$2:$A$701,customers_clean!$Q$2:$Q$701)</f>
        <v>❌ INVALID</v>
      </c>
      <c r="S8" s="10" t="s">
        <v>114</v>
      </c>
      <c r="T8" s="2" t="s">
        <v>223</v>
      </c>
      <c r="U8" s="2" t="s">
        <v>176</v>
      </c>
      <c r="V8" s="2" t="s">
        <v>2273</v>
      </c>
      <c r="W8" s="9" t="str">
        <f t="array" ref="W8">IF(ISNA(XLOOKUP(V8,products_master_corrected!$A$2:$A$151,products_master_corrected!$A$2:$A$151, NA())),
    "❌ MISSING SKU", "✅")</f>
        <v>✅</v>
      </c>
      <c r="X8" s="2" t="s">
        <v>2274</v>
      </c>
      <c r="Y8" s="2" t="s">
        <v>1328</v>
      </c>
      <c r="Z8" s="10" t="s">
        <v>179</v>
      </c>
      <c r="AA8" s="27">
        <v>1.0</v>
      </c>
      <c r="AB8" s="9" t="s">
        <v>8649</v>
      </c>
      <c r="AC8" s="28">
        <f t="array" ref="AC8">XLOOKUP(V8,products_master_corrected!$A$2:$A$151,products_master_corrected!$E$2:$E$151)</f>
        <v>142.55</v>
      </c>
      <c r="AD8" s="28">
        <f t="shared" si="2"/>
        <v>142.55</v>
      </c>
      <c r="AE8" s="28">
        <f t="array" ref="AE8">XLOOKUP(V8,products_master_corrected!$A$2:$A$151,products_master_corrected!$F$2:$F$151)</f>
        <v>142.55</v>
      </c>
      <c r="AF8" s="29">
        <f t="shared" si="3"/>
        <v>142.55</v>
      </c>
      <c r="AG8" s="30" t="s">
        <v>65</v>
      </c>
      <c r="AH8" s="2" t="s">
        <v>66</v>
      </c>
      <c r="AI8" s="10" t="s">
        <v>66</v>
      </c>
      <c r="AJ8" s="2" t="s">
        <v>227</v>
      </c>
      <c r="AK8" s="10" t="s">
        <v>80</v>
      </c>
      <c r="AL8" s="2" t="s">
        <v>67</v>
      </c>
    </row>
    <row r="9">
      <c r="A9" s="2" t="s">
        <v>2006</v>
      </c>
      <c r="B9" s="12" t="s">
        <v>2007</v>
      </c>
      <c r="C9" s="2" t="str">
        <f>IFERROR(__xludf.DUMMYFUNCTION("IF(ISNUMBER(B9),TEXT(B9,""yyyy-MM-dd""),REGEXREPLACE(REGEXREPLACE(TO_TEXT(B9),""[^0-9a-zA-Z]+"",""-""),""[^0-9]*$"",""""))"),"16-10-2023")</f>
        <v>16-10-2023</v>
      </c>
      <c r="D9" s="2" t="s">
        <v>8654</v>
      </c>
      <c r="H9" s="10" t="s">
        <v>8654</v>
      </c>
      <c r="I9" s="2" t="s">
        <v>2008</v>
      </c>
      <c r="J9" s="26" t="str">
        <f t="array" ref="J9">IF(ISNA(XLOOKUP(I9,customers_clean!$A$2:$A$701,customers_clean!$A$2:$A$701, NA()) ),
   "❌ MISSING CUSTOMER", "✅")</f>
        <v>✅</v>
      </c>
      <c r="K9" s="2" t="str">
        <f t="array" ref="K9">XLOOKUP(I9,customers_clean!$A$2:$A$701,customers_clean!$C$2:$C$701)</f>
        <v>Lia Novak</v>
      </c>
      <c r="L9" s="10" t="str">
        <f t="array" ref="L9">XLOOKUP(I9,customers_clean!$A$2:$A$701,customers_clean!$D$2:$D$701)</f>
        <v>Lia Novak</v>
      </c>
      <c r="M9" s="2" t="str">
        <f t="array" ref="M9">XLOOKUP(I9,customers_clean!$A$2:$A$701,customers_clean!$I$2:$I$701)</f>
        <v>lia.novak@gmail.com</v>
      </c>
      <c r="N9" s="10" t="str">
        <f t="array" ref="N9">XLOOKUP(I9,customers_clean!$A$2:$A$701,customers_clean!$H$2:$H$701)</f>
        <v>lia.novak@gmail.com</v>
      </c>
      <c r="O9" s="9" t="str">
        <f>IFERROR(__xludf.DUMMYFUNCTION("IF(REGEXMATCH(TRIM(N9),""^[A-Za-z0-9._%+-]+@[A-Za-z0-9.-]+\.[A-Za-z]{2,}$""),""✅ Valid"",""❌ Invalid"")"),"✅ Valid")</f>
        <v>✅ Valid</v>
      </c>
      <c r="P9" s="2" t="str">
        <f t="array" ref="P9">XLOOKUP(I9,customers_clean!$A$2:$A$701,customers_clean!$K$2:$K$701)</f>
        <v>+441895238062 ext 644</v>
      </c>
      <c r="Q9" s="10" t="str">
        <f t="array" ref="Q9">XLOOKUP(I9,customers_clean!$A$2:$A$701,customers_clean!$N$2:$N$701)</f>
        <v>1895238062</v>
      </c>
      <c r="R9" s="9" t="str">
        <f t="array" ref="R9">XLOOKUP(I9,customers_clean!$A$2:$A$701,customers_clean!$Q$2:$Q$701)</f>
        <v>❌ INVALID</v>
      </c>
      <c r="S9" s="10" t="s">
        <v>114</v>
      </c>
      <c r="T9" s="2" t="s">
        <v>234</v>
      </c>
      <c r="U9" s="2" t="s">
        <v>312</v>
      </c>
      <c r="V9" s="2" t="s">
        <v>2012</v>
      </c>
      <c r="W9" s="9" t="str">
        <f t="array" ref="W9">IF(ISNA(XLOOKUP(V9,products_master_corrected!$A$2:$A$151,products_master_corrected!$A$2:$A$151, NA())),
    "❌ MISSING SKU", "✅")</f>
        <v>✅</v>
      </c>
      <c r="X9" s="2" t="s">
        <v>741</v>
      </c>
      <c r="Y9" s="2" t="s">
        <v>514</v>
      </c>
      <c r="Z9" s="10" t="s">
        <v>514</v>
      </c>
      <c r="AA9" s="27">
        <v>1.0</v>
      </c>
      <c r="AB9" s="9" t="s">
        <v>8649</v>
      </c>
      <c r="AC9" s="28">
        <f t="array" ref="AC9">XLOOKUP(V9,products_master_corrected!$A$2:$A$151,products_master_corrected!$E$2:$E$151)</f>
        <v>40.87</v>
      </c>
      <c r="AD9" s="28">
        <f t="shared" si="2"/>
        <v>40.87</v>
      </c>
      <c r="AE9" s="28">
        <f t="array" ref="AE9">XLOOKUP(V9,products_master_corrected!$A$2:$A$151,products_master_corrected!$F$2:$F$151)</f>
        <v>40.87</v>
      </c>
      <c r="AF9" s="29">
        <f t="shared" si="3"/>
        <v>40.87</v>
      </c>
      <c r="AG9" s="30" t="s">
        <v>65</v>
      </c>
      <c r="AH9" s="2" t="s">
        <v>204</v>
      </c>
      <c r="AI9" s="10" t="s">
        <v>143</v>
      </c>
      <c r="AJ9" s="2" t="s">
        <v>432</v>
      </c>
      <c r="AK9" s="10" t="s">
        <v>80</v>
      </c>
      <c r="AL9" s="2" t="s">
        <v>81</v>
      </c>
    </row>
    <row r="10">
      <c r="A10" s="2" t="s">
        <v>5235</v>
      </c>
      <c r="B10" s="12" t="s">
        <v>5236</v>
      </c>
      <c r="C10" s="2" t="str">
        <f>IFERROR(__xludf.DUMMYFUNCTION("IF(ISNUMBER(B10),TEXT(B10,""yyyy-MM-dd""),REGEXREPLACE(REGEXREPLACE(TO_TEXT(B10),""[^0-9a-zA-Z]+"",""-""),""[^0-9]*$"",""""))"),"29-07-2023")</f>
        <v>29-07-2023</v>
      </c>
      <c r="D10" s="2" t="s">
        <v>8655</v>
      </c>
      <c r="H10" s="10" t="s">
        <v>8655</v>
      </c>
      <c r="I10" s="2" t="s">
        <v>5237</v>
      </c>
      <c r="J10" s="26" t="str">
        <f t="array" ref="J10">IF(ISNA(XLOOKUP(I10,customers_clean!$A$2:$A$701,customers_clean!$A$2:$A$701, NA()) ),
   "❌ MISSING CUSTOMER", "✅")</f>
        <v>✅</v>
      </c>
      <c r="K10" s="2" t="str">
        <f t="array" ref="K10">XLOOKUP(I10,customers_clean!$A$2:$A$701,customers_clean!$C$2:$C$701)</f>
        <v>Vlad Lee</v>
      </c>
      <c r="L10" s="10" t="str">
        <f t="array" ref="L10">XLOOKUP(I10,customers_clean!$A$2:$A$701,customers_clean!$D$2:$D$701)</f>
        <v>Vlad Lee</v>
      </c>
      <c r="M10" s="2" t="str">
        <f t="array" ref="M10">XLOOKUP(I10,customers_clean!$A$2:$A$701,customers_clean!$I$2:$I$701)</f>
        <v> vlad.lee@outlook.com</v>
      </c>
      <c r="N10" s="10" t="str">
        <f t="array" ref="N10">XLOOKUP(I10,customers_clean!$A$2:$A$701,customers_clean!$H$2:$H$701)</f>
        <v>vlad.lee@outlook.com</v>
      </c>
      <c r="O10" s="9" t="str">
        <f>IFERROR(__xludf.DUMMYFUNCTION("IF(REGEXMATCH(TRIM(N10),""^[A-Za-z0-9._%+-]+@[A-Za-z0-9.-]+\.[A-Za-z]{2,}$""),""✅ Valid"",""❌ Invalid"")"),"✅ Valid")</f>
        <v>✅ Valid</v>
      </c>
      <c r="P10" s="2" t="str">
        <f t="array" ref="P10">XLOOKUP(I10,customers_clean!$A$2:$A$701,customers_clean!$K$2:$K$701)</f>
        <v>228-667-113</v>
      </c>
      <c r="Q10" s="10" t="str">
        <f t="array" ref="Q10">XLOOKUP(I10,customers_clean!$A$2:$A$701,customers_clean!$N$2:$N$701)</f>
        <v>228667113</v>
      </c>
      <c r="R10" s="9" t="str">
        <f t="array" ref="R10">XLOOKUP(I10,customers_clean!$A$2:$A$701,customers_clean!$Q$2:$Q$701)</f>
        <v>❌ INVALID</v>
      </c>
      <c r="S10" s="31" t="s">
        <v>671</v>
      </c>
      <c r="T10" s="2" t="s">
        <v>223</v>
      </c>
      <c r="U10" s="2" t="s">
        <v>5241</v>
      </c>
      <c r="V10" s="2" t="s">
        <v>1856</v>
      </c>
      <c r="W10" s="9" t="str">
        <f t="array" ref="W10">IF(ISNA(XLOOKUP(V10,products_master_corrected!$A$2:$A$151,products_master_corrected!$A$2:$A$151, NA())),
    "❌ MISSING SKU", "✅")</f>
        <v>✅</v>
      </c>
      <c r="X10" s="2" t="s">
        <v>259</v>
      </c>
      <c r="Y10" s="2" t="s">
        <v>167</v>
      </c>
      <c r="Z10" s="10" t="str">
        <f>PROPER(TRIM(Y10))</f>
        <v>Monitors</v>
      </c>
      <c r="AA10" s="27">
        <v>1.0</v>
      </c>
      <c r="AB10" s="9" t="s">
        <v>8649</v>
      </c>
      <c r="AC10" s="28">
        <f t="array" ref="AC10">XLOOKUP(V10,products_master_corrected!$A$2:$A$151,products_master_corrected!$E$2:$E$151)</f>
        <v>13.34</v>
      </c>
      <c r="AD10" s="28">
        <f t="shared" si="2"/>
        <v>13.34</v>
      </c>
      <c r="AE10" s="28">
        <f t="array" ref="AE10">XLOOKUP(V10,products_master_corrected!$A$2:$A$151,products_master_corrected!$J$2:$J$151)</f>
        <v>15.56</v>
      </c>
      <c r="AF10" s="29">
        <f t="shared" si="3"/>
        <v>15.56</v>
      </c>
      <c r="AG10" s="32" t="s">
        <v>8656</v>
      </c>
      <c r="AH10" s="2" t="s">
        <v>49</v>
      </c>
      <c r="AI10" s="10" t="s">
        <v>49</v>
      </c>
      <c r="AJ10" s="2" t="s">
        <v>3718</v>
      </c>
      <c r="AK10" s="10" t="s">
        <v>80</v>
      </c>
    </row>
    <row r="11">
      <c r="A11" s="2" t="s">
        <v>3533</v>
      </c>
      <c r="B11" s="12">
        <v>44961.0</v>
      </c>
      <c r="C11" s="2" t="str">
        <f>IFERROR(__xludf.DUMMYFUNCTION("IF(ISNUMBER(B11),TEXT(B11,""yyyy-MM-dd""),REGEXREPLACE(REGEXREPLACE(TO_TEXT(B11),""[^0-9a-zA-Z]+"",""-""),""[^0-9]*$"",""""))"),"2023-02-04")</f>
        <v>2023-02-04</v>
      </c>
      <c r="D11" s="2" t="s">
        <v>8657</v>
      </c>
      <c r="H11" s="10" t="s">
        <v>8657</v>
      </c>
      <c r="I11" s="2" t="s">
        <v>3535</v>
      </c>
      <c r="J11" s="26" t="str">
        <f t="array" ref="J11">IF(ISNA(XLOOKUP(I11,customers_clean!$A$2:$A$701,customers_clean!$A$2:$A$701, NA()) ),
   "❌ MISSING CUSTOMER", "✅")</f>
        <v>✅</v>
      </c>
      <c r="K11" s="2" t="str">
        <f t="array" ref="K11">XLOOKUP(I11,customers_clean!$A$2:$A$701,customers_clean!$C$2:$C$701)</f>
        <v> Zack Smith</v>
      </c>
      <c r="L11" s="10" t="str">
        <f t="array" ref="L11">XLOOKUP(I11,customers_clean!$A$2:$A$701,customers_clean!$D$2:$D$701)</f>
        <v>Zack Smith</v>
      </c>
      <c r="M11" s="2" t="str">
        <f t="array" ref="M11">XLOOKUP(I11,customers_clean!$A$2:$A$701,customers_clean!$I$2:$I$701)</f>
        <v>zack.smith@outlookc.om </v>
      </c>
      <c r="N11" s="10" t="str">
        <f t="array" ref="N11">XLOOKUP(I11,customers_clean!$A$2:$A$701,customers_clean!$H$2:$H$701)</f>
        <v>zack.smith@outlookc.om</v>
      </c>
      <c r="O11" s="9" t="str">
        <f>IFERROR(__xludf.DUMMYFUNCTION("IF(REGEXMATCH(TRIM(N11),""^[A-Za-z0-9._%+-]+@[A-Za-z0-9.-]+\.[A-Za-z]{2,}$""),""✅ Valid"",""❌ Invalid"")"),"✅ Valid")</f>
        <v>✅ Valid</v>
      </c>
      <c r="P11" s="2" t="str">
        <f t="array" ref="P11">XLOOKUP(I11,customers_clean!$A$2:$A$701,customers_clean!$K$2:$K$701)</f>
        <v>tel:+497822452005</v>
      </c>
      <c r="Q11" s="10" t="str">
        <f t="array" ref="Q11">XLOOKUP(I11,customers_clean!$A$2:$A$701,customers_clean!$N$2:$N$701)</f>
        <v>7822452005</v>
      </c>
      <c r="R11" s="9" t="str">
        <f t="array" ref="R11">XLOOKUP(I11,customers_clean!$A$2:$A$701,customers_clean!$Q$2:$Q$701)</f>
        <v>❌ INVALID</v>
      </c>
      <c r="S11" s="10" t="s">
        <v>608</v>
      </c>
      <c r="T11" s="2" t="s">
        <v>42</v>
      </c>
      <c r="U11" s="2" t="s">
        <v>75</v>
      </c>
      <c r="V11" s="2" t="s">
        <v>3053</v>
      </c>
      <c r="W11" s="9" t="str">
        <f t="array" ref="W11">IF(ISNA(XLOOKUP(V11,products_master_corrected!$A$2:$A$151,products_master_corrected!$A$2:$A$151, NA())),
    "❌ MISSING SKU", "✅")</f>
        <v>✅</v>
      </c>
      <c r="X11" s="2" t="s">
        <v>741</v>
      </c>
      <c r="Y11" s="2" t="s">
        <v>63</v>
      </c>
      <c r="Z11" s="10" t="s">
        <v>63</v>
      </c>
      <c r="AA11" s="27">
        <v>1.0</v>
      </c>
      <c r="AB11" s="9" t="s">
        <v>8649</v>
      </c>
      <c r="AC11" s="28">
        <f t="array" ref="AC11">XLOOKUP(V11,products_master_corrected!$A$2:$A$151,products_master_corrected!$E$2:$E$151)</f>
        <v>15.82</v>
      </c>
      <c r="AD11" s="28">
        <f t="shared" si="2"/>
        <v>15.82</v>
      </c>
      <c r="AE11" s="28">
        <f t="array" ref="AE11">XLOOKUP(V11,products_master_corrected!$A$2:$A$151,products_master_corrected!$H$2:$H$151)</f>
        <v>17.77</v>
      </c>
      <c r="AF11" s="29">
        <f t="shared" si="3"/>
        <v>17.77</v>
      </c>
      <c r="AG11" s="32" t="s">
        <v>8658</v>
      </c>
      <c r="AH11" s="2" t="s">
        <v>526</v>
      </c>
      <c r="AI11" s="10" t="s">
        <v>49</v>
      </c>
      <c r="AJ11" s="2" t="s">
        <v>144</v>
      </c>
      <c r="AK11" s="10" t="s">
        <v>818</v>
      </c>
      <c r="AL11" s="2" t="s">
        <v>133</v>
      </c>
    </row>
    <row r="12">
      <c r="A12" s="2" t="s">
        <v>1775</v>
      </c>
      <c r="B12" s="12">
        <v>45120.0</v>
      </c>
      <c r="C12" s="2" t="str">
        <f>IFERROR(__xludf.DUMMYFUNCTION("IF(ISNUMBER(B12),TEXT(B12,""yyyy-MM-dd""),REGEXREPLACE(REGEXREPLACE(TO_TEXT(B12),""[^0-9a-zA-Z]+"",""-""),""[^0-9]*$"",""""))"),"2023-07-13")</f>
        <v>2023-07-13</v>
      </c>
      <c r="D12" s="2" t="s">
        <v>8156</v>
      </c>
      <c r="H12" s="10" t="s">
        <v>8156</v>
      </c>
      <c r="I12" s="2" t="s">
        <v>1777</v>
      </c>
      <c r="J12" s="26" t="str">
        <f t="array" ref="J12">IF(ISNA(XLOOKUP(I12,customers_clean!$A$2:$A$701,customers_clean!$A$2:$A$701, NA()) ),
   "❌ MISSING CUSTOMER", "✅")</f>
        <v>✅</v>
      </c>
      <c r="K12" s="2" t="str">
        <f t="array" ref="K12">XLOOKUP(I12,customers_clean!$A$2:$A$701,customers_clean!$C$2:$C$701)</f>
        <v>Rita  Rodriguez</v>
      </c>
      <c r="L12" s="10" t="str">
        <f t="array" ref="L12">XLOOKUP(I12,customers_clean!$A$2:$A$701,customers_clean!$D$2:$D$701)</f>
        <v>Rita Rodriguez</v>
      </c>
      <c r="M12" s="2" t="str">
        <f t="array" ref="M12">XLOOKUP(I12,customers_clean!$A$2:$A$701,customers_clean!$I$2:$I$701)</f>
        <v>rita.rodriguez@gmail.com </v>
      </c>
      <c r="N12" s="10" t="str">
        <f t="array" ref="N12">XLOOKUP(I12,customers_clean!$A$2:$A$701,customers_clean!$H$2:$H$701)</f>
        <v>rita.rodriguez@gmail.com</v>
      </c>
      <c r="O12" s="9" t="str">
        <f>IFERROR(__xludf.DUMMYFUNCTION("IF(REGEXMATCH(TRIM(N12),""^[A-Za-z0-9._%+-]+@[A-Za-z0-9.-]+\.[A-Za-z]{2,}$""),""✅ Valid"",""❌ Invalid"")"),"✅ Valid")</f>
        <v>✅ Valid</v>
      </c>
      <c r="P12" s="2">
        <f t="array" ref="P12">XLOOKUP(I12,customers_clean!$A$2:$A$701,customers_clean!$K$2:$K$701)</f>
        <v>9808647248</v>
      </c>
      <c r="Q12" s="10" t="str">
        <f t="array" ref="Q12">XLOOKUP(I12,customers_clean!$A$2:$A$701,customers_clean!$N$2:$N$701)</f>
        <v>9808647248</v>
      </c>
      <c r="R12" s="9" t="str">
        <f t="array" ref="R12">XLOOKUP(I12,customers_clean!$A$2:$A$701,customers_clean!$Q$2:$Q$701)</f>
        <v>✅ VALID</v>
      </c>
      <c r="S12" s="10" t="s">
        <v>448</v>
      </c>
      <c r="T12" s="2" t="s">
        <v>210</v>
      </c>
      <c r="U12" s="2" t="s">
        <v>1782</v>
      </c>
      <c r="V12" s="2" t="s">
        <v>1783</v>
      </c>
      <c r="W12" s="9" t="str">
        <f t="array" ref="W12">IF(ISNA(XLOOKUP(V12,products_master_corrected!$A$2:$A$151,products_master_corrected!$A$2:$A$151, NA())),
    "❌ MISSING SKU", "✅")</f>
        <v>✅</v>
      </c>
      <c r="X12" s="2" t="s">
        <v>966</v>
      </c>
      <c r="Y12" s="2" t="s">
        <v>514</v>
      </c>
      <c r="Z12" s="10" t="s">
        <v>514</v>
      </c>
      <c r="AA12" s="27">
        <v>2.0</v>
      </c>
      <c r="AB12" s="9" t="s">
        <v>8649</v>
      </c>
      <c r="AC12" s="28">
        <f t="array" ref="AC12">XLOOKUP(V12,products_master_corrected!$A$2:$A$151,products_master_corrected!$E$2:$E$151)</f>
        <v>23.25</v>
      </c>
      <c r="AD12" s="28">
        <f t="shared" si="2"/>
        <v>46.5</v>
      </c>
      <c r="AE12" s="28">
        <f t="array" ref="AE12">XLOOKUP(V12,products_master_corrected!$A$2:$A$151,products_master_corrected!$M$2:$M$151)</f>
        <v>28.12</v>
      </c>
      <c r="AF12" s="29">
        <f t="shared" si="3"/>
        <v>56.24</v>
      </c>
      <c r="AG12" s="30" t="s">
        <v>48</v>
      </c>
      <c r="AH12" s="2" t="s">
        <v>33</v>
      </c>
      <c r="AI12" s="10" t="s">
        <v>181</v>
      </c>
      <c r="AJ12" s="2" t="s">
        <v>192</v>
      </c>
      <c r="AK12" s="10" t="s">
        <v>192</v>
      </c>
      <c r="AL12" s="2" t="s">
        <v>133</v>
      </c>
    </row>
    <row r="13">
      <c r="A13" s="2" t="s">
        <v>5384</v>
      </c>
      <c r="B13" s="12">
        <v>45058.0</v>
      </c>
      <c r="C13" s="2" t="str">
        <f>IFERROR(__xludf.DUMMYFUNCTION("IF(ISNUMBER(B13),TEXT(B13,""yyyy-MM-dd""),REGEXREPLACE(REGEXREPLACE(TO_TEXT(B13),""[^0-9a-zA-Z]+"",""-""),""[^0-9]*$"",""""))"),"2023-05-12")</f>
        <v>2023-05-12</v>
      </c>
      <c r="D13" s="2" t="s">
        <v>8659</v>
      </c>
      <c r="H13" s="10" t="s">
        <v>8659</v>
      </c>
      <c r="I13" s="2" t="s">
        <v>5386</v>
      </c>
      <c r="J13" s="26" t="str">
        <f t="array" ref="J13">IF(ISNA(XLOOKUP(I13,customers_clean!$A$2:$A$701,customers_clean!$A$2:$A$701, NA()) ),
   "❌ MISSING CUSTOMER", "✅")</f>
        <v>✅</v>
      </c>
      <c r="K13" s="2" t="str">
        <f t="array" ref="K13">XLOOKUP(I13,customers_clean!$A$2:$A$701,customers_clean!$C$2:$C$701)</f>
        <v>Vlad Young</v>
      </c>
      <c r="L13" s="10" t="str">
        <f t="array" ref="L13">XLOOKUP(I13,customers_clean!$A$2:$A$701,customers_clean!$D$2:$D$701)</f>
        <v>Vlad Young</v>
      </c>
      <c r="M13" s="2" t="str">
        <f t="array" ref="M13">XLOOKUP(I13,customers_clean!$A$2:$A$701,customers_clean!$I$2:$I$701)</f>
        <v>vlad.young@example.com</v>
      </c>
      <c r="N13" s="10" t="str">
        <f t="array" ref="N13">XLOOKUP(I13,customers_clean!$A$2:$A$701,customers_clean!$H$2:$H$701)</f>
        <v>vlad.young@example.com</v>
      </c>
      <c r="O13" s="9" t="str">
        <f>IFERROR(__xludf.DUMMYFUNCTION("IF(REGEXMATCH(TRIM(N13),""^[A-Za-z0-9._%+-]+@[A-Za-z0-9.-]+\.[A-Za-z]{2,}$""),""✅ Valid"",""❌ Invalid"")"),"✅ Valid")</f>
        <v>✅ Valid</v>
      </c>
      <c r="P13" s="2" t="str">
        <f t="array" ref="P13">XLOOKUP(I13,customers_clean!$A$2:$A$701,customers_clean!$K$2:$K$701)</f>
        <v>(713) 490434</v>
      </c>
      <c r="Q13" s="10" t="str">
        <f t="array" ref="Q13">XLOOKUP(I13,customers_clean!$A$2:$A$701,customers_clean!$N$2:$N$701)</f>
        <v>713490434</v>
      </c>
      <c r="R13" s="9" t="str">
        <f t="array" ref="R13">XLOOKUP(I13,customers_clean!$A$2:$A$701,customers_clean!$Q$2:$Q$701)</f>
        <v>❌ INVALID</v>
      </c>
      <c r="S13" s="10" t="s">
        <v>88</v>
      </c>
      <c r="T13" s="2" t="s">
        <v>42</v>
      </c>
      <c r="U13" s="2" t="s">
        <v>103</v>
      </c>
      <c r="V13" s="2" t="s">
        <v>3454</v>
      </c>
      <c r="W13" s="9" t="str">
        <f t="array" ref="W13">IF(ISNA(XLOOKUP(V13,products_master_corrected!$A$2:$A$151,products_master_corrected!$A$2:$A$151, NA())),
    "❌ MISSING SKU", "✅")</f>
        <v>✅</v>
      </c>
      <c r="X13" s="2" t="s">
        <v>524</v>
      </c>
      <c r="Y13" s="2" t="s">
        <v>179</v>
      </c>
      <c r="Z13" s="10" t="s">
        <v>179</v>
      </c>
      <c r="AA13" s="27">
        <v>1.0</v>
      </c>
      <c r="AB13" s="9" t="s">
        <v>8649</v>
      </c>
      <c r="AC13" s="28">
        <f t="array" ref="AC13">XLOOKUP(V13,products_master_corrected!$A$2:$A$151,products_master_corrected!$E$2:$E$151)</f>
        <v>270.01</v>
      </c>
      <c r="AD13" s="28">
        <f t="shared" si="2"/>
        <v>270.01</v>
      </c>
      <c r="AE13" s="28">
        <f t="array" ref="AE13">XLOOKUP(V13,products_master_corrected!$A$2:$A$151,products_master_corrected!$I$2:$I$151)</f>
        <v>297.66</v>
      </c>
      <c r="AF13" s="29">
        <f t="shared" si="3"/>
        <v>297.66</v>
      </c>
      <c r="AG13" s="32" t="s">
        <v>8660</v>
      </c>
      <c r="AH13" s="2" t="s">
        <v>66</v>
      </c>
      <c r="AI13" s="10" t="s">
        <v>66</v>
      </c>
      <c r="AJ13" s="2" t="s">
        <v>144</v>
      </c>
      <c r="AK13" s="10" t="s">
        <v>818</v>
      </c>
      <c r="AL13" s="2" t="s">
        <v>81</v>
      </c>
    </row>
    <row r="14">
      <c r="A14" s="2" t="s">
        <v>3073</v>
      </c>
      <c r="B14" s="12">
        <v>45323.0</v>
      </c>
      <c r="C14" s="2" t="str">
        <f>IFERROR(__xludf.DUMMYFUNCTION("IF(ISNUMBER(B14),TEXT(B14,""yyyy-MM-dd""),REGEXREPLACE(REGEXREPLACE(TO_TEXT(B14),""[^0-9a-zA-Z]+"",""-""),""[^0-9]*$"",""""))"),"2024-02-01")</f>
        <v>2024-02-01</v>
      </c>
      <c r="D14" s="2" t="s">
        <v>3074</v>
      </c>
      <c r="H14" s="10" t="s">
        <v>3074</v>
      </c>
      <c r="I14" s="2" t="s">
        <v>3075</v>
      </c>
      <c r="J14" s="26" t="str">
        <f t="array" ref="J14">IF(ISNA(XLOOKUP(I14,customers_clean!$A$2:$A$701,customers_clean!$A$2:$A$701, NA()) ),
   "❌ MISSING CUSTOMER", "✅")</f>
        <v>✅</v>
      </c>
      <c r="K14" s="2" t="str">
        <f t="array" ref="K14">XLOOKUP(I14,customers_clean!$A$2:$A$701,customers_clean!$C$2:$C$701)</f>
        <v>Marek Davis</v>
      </c>
      <c r="L14" s="10" t="str">
        <f t="array" ref="L14">XLOOKUP(I14,customers_clean!$A$2:$A$701,customers_clean!$D$2:$D$701)</f>
        <v>Marek Davis</v>
      </c>
      <c r="M14" s="2" t="str">
        <f t="array" ref="M14">XLOOKUP(I14,customers_clean!$A$2:$A$701,customers_clean!$I$2:$I$701)</f>
        <v>marek.davis@gmail.com</v>
      </c>
      <c r="N14" s="10" t="str">
        <f t="array" ref="N14">XLOOKUP(I14,customers_clean!$A$2:$A$701,customers_clean!$H$2:$H$701)</f>
        <v>marek.davis@gmail.com</v>
      </c>
      <c r="O14" s="9" t="str">
        <f>IFERROR(__xludf.DUMMYFUNCTION("IF(REGEXMATCH(TRIM(N14),""^[A-Za-z0-9._%+-]+@[A-Za-z0-9.-]+\.[A-Za-z]{2,}$""),""✅ Valid"",""❌ Invalid"")"),"✅ Valid")</f>
        <v>✅ Valid</v>
      </c>
      <c r="P14" s="2" t="str">
        <f t="array" ref="P14">XLOOKUP(I14,customers_clean!$A$2:$A$701,customers_clean!$K$2:$K$701)</f>
        <v>+44-498-57112876</v>
      </c>
      <c r="Q14" s="10" t="str">
        <f t="array" ref="Q14">XLOOKUP(I14,customers_clean!$A$2:$A$701,customers_clean!$N$2:$N$701)</f>
        <v>49857112876</v>
      </c>
      <c r="R14" s="9" t="str">
        <f t="array" ref="R14">XLOOKUP(I14,customers_clean!$A$2:$A$701,customers_clean!$Q$2:$Q$701)</f>
        <v>❌ INVALID</v>
      </c>
      <c r="S14" s="10" t="s">
        <v>114</v>
      </c>
      <c r="T14" s="2" t="s">
        <v>460</v>
      </c>
      <c r="U14" s="2" t="s">
        <v>90</v>
      </c>
      <c r="V14" s="2" t="s">
        <v>692</v>
      </c>
      <c r="W14" s="9" t="str">
        <f t="array" ref="W14">IF(ISNA(XLOOKUP(V14,products_master_corrected!$A$2:$A$151,products_master_corrected!$A$2:$A$151, NA())),
    "❌ MISSING SKU", "✅")</f>
        <v>✅</v>
      </c>
      <c r="X14" s="2" t="s">
        <v>8661</v>
      </c>
      <c r="Y14" s="2" t="s">
        <v>368</v>
      </c>
      <c r="Z14" s="10" t="s">
        <v>368</v>
      </c>
      <c r="AA14" s="27">
        <v>3.0</v>
      </c>
      <c r="AB14" s="9" t="s">
        <v>8649</v>
      </c>
      <c r="AC14" s="28">
        <f t="array" ref="AC14">XLOOKUP(V14,products_master_corrected!$A$2:$A$151,products_master_corrected!$E$2:$E$151)</f>
        <v>65.53</v>
      </c>
      <c r="AD14" s="28">
        <f t="shared" si="2"/>
        <v>196.59</v>
      </c>
      <c r="AE14" s="28">
        <f t="array" ref="AE14">XLOOKUP(V14,products_master_corrected!$A$2:$A$151,products_master_corrected!$F$2:$F$151)</f>
        <v>65.53</v>
      </c>
      <c r="AF14" s="29">
        <f t="shared" si="3"/>
        <v>196.59</v>
      </c>
      <c r="AG14" s="30" t="s">
        <v>65</v>
      </c>
      <c r="AH14" s="2" t="s">
        <v>181</v>
      </c>
      <c r="AI14" s="10" t="s">
        <v>181</v>
      </c>
      <c r="AJ14" s="2" t="s">
        <v>192</v>
      </c>
      <c r="AK14" s="10" t="s">
        <v>192</v>
      </c>
      <c r="AL14" s="2" t="s">
        <v>51</v>
      </c>
    </row>
    <row r="15">
      <c r="A15" s="2" t="s">
        <v>2934</v>
      </c>
      <c r="B15" s="12" t="s">
        <v>2935</v>
      </c>
      <c r="C15" s="2" t="str">
        <f>IFERROR(__xludf.DUMMYFUNCTION("IF(ISNUMBER(B15),TEXT(B15,""yyyy-MM-dd""),REGEXREPLACE(REGEXREPLACE(TO_TEXT(B15),""[^0-9a-zA-Z]+"",""-""),""[^0-9]*$"",""""))"),"02-01-2024-00-06")</f>
        <v>02-01-2024-00-06</v>
      </c>
      <c r="D15" s="2" t="str">
        <f>TEXT(C15,"yyyy-MM-dd")</f>
        <v>02-01-2024-00-06</v>
      </c>
      <c r="E15" s="12" t="str">
        <f>IFERROR(__xludf.DUMMYFUNCTION("REGEXEXTRACT(D15,""^\d{2}-\d{2}-\d{4}"")"),"02-01-2024")</f>
        <v>02-01-2024</v>
      </c>
      <c r="F15" s="2" t="s">
        <v>8662</v>
      </c>
      <c r="H15" s="10" t="s">
        <v>8662</v>
      </c>
      <c r="I15" s="2" t="s">
        <v>147</v>
      </c>
      <c r="J15" s="26" t="str">
        <f t="array" ref="J15">IF(ISNA(XLOOKUP(I15,customers_clean!$A$2:$A$701,customers_clean!$A$2:$A$701, NA()) ),
   "❌ MISSING CUSTOMER", "✅")</f>
        <v>✅</v>
      </c>
      <c r="K15" s="2" t="str">
        <f t="array" ref="K15">XLOOKUP(I15,customers_clean!$A$2:$A$701,customers_clean!$C$2:$C$701)</f>
        <v>Hanna Kowalski</v>
      </c>
      <c r="L15" s="10" t="str">
        <f t="array" ref="L15">XLOOKUP(I15,customers_clean!$A$2:$A$701,customers_clean!$D$2:$D$701)</f>
        <v>Hanna Kowalski</v>
      </c>
      <c r="M15" s="2" t="str">
        <f t="array" ref="M15">XLOOKUP(I15,customers_clean!$A$2:$A$701,customers_clean!$I$2:$I$701)</f>
        <v>hanna.kowalski@company.co.uk </v>
      </c>
      <c r="N15" s="10" t="str">
        <f t="array" ref="N15">XLOOKUP(I15,customers_clean!$A$2:$A$701,customers_clean!$H$2:$H$701)</f>
        <v>hanna.kowalski@company.co.uk</v>
      </c>
      <c r="O15" s="9" t="str">
        <f>IFERROR(__xludf.DUMMYFUNCTION("IF(REGEXMATCH(TRIM(N15),""^[A-Za-z0-9._%+-]+@[A-Za-z0-9.-]+\.[A-Za-z]{2,}$""),""✅ Valid"",""❌ Invalid"")"),"✅ Valid")</f>
        <v>✅ Valid</v>
      </c>
      <c r="P15" s="2" t="str">
        <f t="array" ref="P15">XLOOKUP(I15,customers_clean!$A$2:$A$701,customers_clean!$K$2:$K$701)</f>
        <v>5x243474533</v>
      </c>
      <c r="Q15" s="10" t="str">
        <f t="array" ref="Q15">XLOOKUP(I15,customers_clean!$A$2:$A$701,customers_clean!$N$2:$N$701)</f>
        <v>5243474533</v>
      </c>
      <c r="R15" s="9" t="str">
        <f t="array" ref="R15">XLOOKUP(I15,customers_clean!$A$2:$A$701,customers_clean!$Q$2:$Q$701)</f>
        <v>✅ VALID</v>
      </c>
      <c r="S15" s="10" t="s">
        <v>448</v>
      </c>
      <c r="T15" s="2" t="s">
        <v>234</v>
      </c>
      <c r="U15" s="2" t="s">
        <v>103</v>
      </c>
      <c r="V15" s="2" t="s">
        <v>1109</v>
      </c>
      <c r="W15" s="9" t="str">
        <f t="array" ref="W15">IF(ISNA(XLOOKUP(V15,products_master_corrected!$A$2:$A$151,products_master_corrected!$A$2:$A$151, NA())),
    "❌ MISSING SKU", "✅")</f>
        <v>✅</v>
      </c>
      <c r="X15" s="2" t="s">
        <v>62</v>
      </c>
      <c r="Y15" s="2" t="s">
        <v>826</v>
      </c>
      <c r="Z15" s="10" t="s">
        <v>63</v>
      </c>
      <c r="AA15" s="27">
        <v>1.0</v>
      </c>
      <c r="AB15" s="9" t="s">
        <v>8649</v>
      </c>
      <c r="AC15" s="28">
        <f t="array" ref="AC15">XLOOKUP(V15,products_master_corrected!$A$2:$A$151,products_master_corrected!$E$2:$E$151)</f>
        <v>115.14</v>
      </c>
      <c r="AD15" s="28">
        <f t="shared" si="2"/>
        <v>115.14</v>
      </c>
      <c r="AE15" s="28">
        <f t="array" ref="AE15">XLOOKUP(V15,products_master_corrected!$A$2:$A$151,products_master_corrected!$M$2:$M$151)</f>
        <v>139.27</v>
      </c>
      <c r="AF15" s="29">
        <f t="shared" si="3"/>
        <v>139.27</v>
      </c>
      <c r="AG15" s="30" t="s">
        <v>48</v>
      </c>
      <c r="AH15" s="2" t="s">
        <v>2937</v>
      </c>
      <c r="AI15" s="10" t="s">
        <v>143</v>
      </c>
      <c r="AJ15" s="2" t="s">
        <v>132</v>
      </c>
      <c r="AK15" s="10" t="s">
        <v>192</v>
      </c>
    </row>
    <row r="16">
      <c r="A16" s="2" t="s">
        <v>145</v>
      </c>
      <c r="B16" s="12">
        <v>45927.0</v>
      </c>
      <c r="C16" s="2" t="str">
        <f>IFERROR(__xludf.DUMMYFUNCTION("IF(ISNUMBER(B16),TEXT(B16,""yyyy-MM-dd""),REGEXREPLACE(REGEXREPLACE(TO_TEXT(B16),""[^0-9a-zA-Z]+"",""-""),""[^0-9]*$"",""""))"),"2025-09-27")</f>
        <v>2025-09-27</v>
      </c>
      <c r="D16" s="2" t="s">
        <v>146</v>
      </c>
      <c r="H16" s="10" t="s">
        <v>146</v>
      </c>
      <c r="I16" s="2" t="s">
        <v>147</v>
      </c>
      <c r="J16" s="26" t="str">
        <f t="array" ref="J16">IF(ISNA(XLOOKUP(I16,customers_clean!$A$2:$A$701,customers_clean!$A$2:$A$701, NA()) ),
   "❌ MISSING CUSTOMER", "✅")</f>
        <v>✅</v>
      </c>
      <c r="K16" s="2" t="str">
        <f t="array" ref="K16">XLOOKUP(I16,customers_clean!$A$2:$A$701,customers_clean!$C$2:$C$701)</f>
        <v>Hanna Kowalski</v>
      </c>
      <c r="L16" s="10" t="str">
        <f t="array" ref="L16">XLOOKUP(I16,customers_clean!$A$2:$A$701,customers_clean!$D$2:$D$701)</f>
        <v>Hanna Kowalski</v>
      </c>
      <c r="M16" s="2" t="str">
        <f t="array" ref="M16">XLOOKUP(I16,customers_clean!$A$2:$A$701,customers_clean!$I$2:$I$701)</f>
        <v>hanna.kowalski@company.co.uk </v>
      </c>
      <c r="N16" s="10" t="str">
        <f t="array" ref="N16">XLOOKUP(I16,customers_clean!$A$2:$A$701,customers_clean!$H$2:$H$701)</f>
        <v>hanna.kowalski@company.co.uk</v>
      </c>
      <c r="O16" s="9" t="str">
        <f>IFERROR(__xludf.DUMMYFUNCTION("IF(REGEXMATCH(TRIM(N16),""^[A-Za-z0-9._%+-]+@[A-Za-z0-9.-]+\.[A-Za-z]{2,}$""),""✅ Valid"",""❌ Invalid"")"),"✅ Valid")</f>
        <v>✅ Valid</v>
      </c>
      <c r="P16" s="2" t="str">
        <f t="array" ref="P16">XLOOKUP(I16,customers_clean!$A$2:$A$701,customers_clean!$K$2:$K$701)</f>
        <v>5x243474533</v>
      </c>
      <c r="Q16" s="10" t="str">
        <f t="array" ref="Q16">XLOOKUP(I16,customers_clean!$A$2:$A$701,customers_clean!$N$2:$N$701)</f>
        <v>5243474533</v>
      </c>
      <c r="R16" s="9" t="str">
        <f t="array" ref="R16">XLOOKUP(I16,customers_clean!$A$2:$A$701,customers_clean!$Q$2:$Q$701)</f>
        <v>✅ VALID</v>
      </c>
      <c r="S16" s="10" t="s">
        <v>448</v>
      </c>
      <c r="T16" s="2" t="s">
        <v>152</v>
      </c>
      <c r="U16" s="2" t="s">
        <v>153</v>
      </c>
      <c r="V16" s="2" t="s">
        <v>154</v>
      </c>
      <c r="W16" s="9" t="str">
        <f t="array" ref="W16">IF(ISNA(XLOOKUP(V16,products_master_corrected!$A$2:$A$151,products_master_corrected!$A$2:$A$151, NA())),
    "❌ MISSING SKU", "✅")</f>
        <v>✅</v>
      </c>
      <c r="X16" s="2" t="s">
        <v>62</v>
      </c>
      <c r="Y16" s="2" t="s">
        <v>155</v>
      </c>
      <c r="Z16" s="10" t="s">
        <v>368</v>
      </c>
      <c r="AA16" s="27">
        <v>1.0</v>
      </c>
      <c r="AB16" s="9" t="s">
        <v>8649</v>
      </c>
      <c r="AC16" s="28">
        <f t="array" ref="AC16">XLOOKUP(V16,products_master_corrected!$A$2:$A$151,products_master_corrected!$E$2:$E$151)</f>
        <v>74.1</v>
      </c>
      <c r="AD16" s="28">
        <f t="shared" si="2"/>
        <v>74.1</v>
      </c>
      <c r="AE16" s="28">
        <f t="array" ref="AE16">XLOOKUP(V16,products_master_corrected!$A$2:$A$151,products_master_corrected!$M$2:$M$151)</f>
        <v>89.63</v>
      </c>
      <c r="AF16" s="29">
        <f t="shared" si="3"/>
        <v>89.63</v>
      </c>
      <c r="AG16" s="30" t="s">
        <v>48</v>
      </c>
      <c r="AH16" s="2" t="s">
        <v>157</v>
      </c>
      <c r="AI16" s="10" t="s">
        <v>143</v>
      </c>
      <c r="AJ16" s="2" t="s">
        <v>158</v>
      </c>
      <c r="AK16" s="10" t="s">
        <v>818</v>
      </c>
      <c r="AL16" s="2" t="s">
        <v>133</v>
      </c>
    </row>
    <row r="17">
      <c r="A17" s="2" t="s">
        <v>3669</v>
      </c>
      <c r="B17" s="12">
        <v>45619.93819444445</v>
      </c>
      <c r="C17" s="2" t="str">
        <f>IFERROR(__xludf.DUMMYFUNCTION("IF(ISNUMBER(B17),TEXT(B17,""yyyy-MM-dd""),REGEXREPLACE(REGEXREPLACE(TO_TEXT(B17),""[^0-9a-zA-Z]+"",""-""),""[^0-9]*$"",""""))"),"2024-11-23")</f>
        <v>2024-11-23</v>
      </c>
      <c r="D17" s="2" t="s">
        <v>7947</v>
      </c>
      <c r="H17" s="10" t="s">
        <v>7947</v>
      </c>
      <c r="I17" s="2" t="s">
        <v>3671</v>
      </c>
      <c r="J17" s="26" t="str">
        <f t="array" ref="J17">IF(ISNA(XLOOKUP(I17,customers_clean!$A$2:$A$701,customers_clean!$A$2:$A$701, NA()) ),
   "❌ MISSING CUSTOMER", "✅")</f>
        <v>✅</v>
      </c>
      <c r="K17" s="2" t="str">
        <f t="array" ref="K17">XLOOKUP(I17,customers_clean!$A$2:$A$701,customers_clean!$C$2:$C$701)</f>
        <v>Lia Brown</v>
      </c>
      <c r="L17" s="10" t="str">
        <f t="array" ref="L17">XLOOKUP(I17,customers_clean!$A$2:$A$701,customers_clean!$D$2:$D$701)</f>
        <v>Lia Brown</v>
      </c>
      <c r="M17" s="2" t="str">
        <f t="array" ref="M17">XLOOKUP(I17,customers_clean!$A$2:$A$701,customers_clean!$I$2:$I$701)</f>
        <v>LIA.BROWN@EXAMPLE.COM</v>
      </c>
      <c r="N17" s="10" t="str">
        <f t="array" ref="N17">XLOOKUP(I17,customers_clean!$A$2:$A$701,customers_clean!$H$2:$H$701)</f>
        <v>lia.brown@example.com</v>
      </c>
      <c r="O17" s="9" t="str">
        <f>IFERROR(__xludf.DUMMYFUNCTION("IF(REGEXMATCH(TRIM(N17),""^[A-Za-z0-9._%+-]+@[A-Za-z0-9.-]+\.[A-Za-z]{2,}$""),""✅ Valid"",""❌ Invalid"")"),"✅ Valid")</f>
        <v>✅ Valid</v>
      </c>
      <c r="P17" s="2" t="str">
        <f t="array" ref="P17">XLOOKUP(I17,customers_clean!$A$2:$A$701,customers_clean!$K$2:$K$701)</f>
        <v>N/A</v>
      </c>
      <c r="Q17" s="10" t="str">
        <f t="array" ref="Q17">XLOOKUP(I17,customers_clean!$A$2:$A$701,customers_clean!$N$2:$N$701)</f>
        <v/>
      </c>
      <c r="R17" s="9" t="str">
        <f t="array" ref="R17">XLOOKUP(I17,customers_clean!$A$2:$A$701,customers_clean!$Q$2:$Q$701)</f>
        <v>❌ INVALID</v>
      </c>
      <c r="S17" s="10" t="s">
        <v>58</v>
      </c>
      <c r="T17" s="2" t="s">
        <v>3675</v>
      </c>
      <c r="U17" s="2" t="s">
        <v>312</v>
      </c>
      <c r="V17" s="2" t="s">
        <v>2024</v>
      </c>
      <c r="W17" s="9" t="str">
        <f t="array" ref="W17">IF(ISNA(XLOOKUP(V17,products_master_corrected!$A$2:$A$151,products_master_corrected!$A$2:$A$151, NA())),
    "❌ MISSING SKU", "✅")</f>
        <v>✅</v>
      </c>
      <c r="X17" s="2" t="s">
        <v>2025</v>
      </c>
      <c r="Y17" s="2" t="s">
        <v>63</v>
      </c>
      <c r="Z17" s="10" t="s">
        <v>63</v>
      </c>
      <c r="AA17" s="27">
        <v>3.0</v>
      </c>
      <c r="AB17" s="9" t="s">
        <v>8649</v>
      </c>
      <c r="AC17" s="28">
        <f t="array" ref="AC17">XLOOKUP(V17,products_master_corrected!$A$2:$A$151,products_master_corrected!$E$2:$E$151)</f>
        <v>1358.96</v>
      </c>
      <c r="AD17" s="28">
        <f t="shared" si="2"/>
        <v>4076.88</v>
      </c>
      <c r="AE17" s="28">
        <f t="array" ref="AE17">XLOOKUP(V17,products_master_corrected!$A$2:$A$151,products_master_corrected!$G$2:$G$151)</f>
        <v>1555.74</v>
      </c>
      <c r="AF17" s="29">
        <f t="shared" si="3"/>
        <v>4667.22</v>
      </c>
      <c r="AG17" s="32" t="s">
        <v>8663</v>
      </c>
      <c r="AH17" s="2" t="s">
        <v>573</v>
      </c>
      <c r="AI17" s="10" t="s">
        <v>66</v>
      </c>
      <c r="AJ17" s="2" t="s">
        <v>818</v>
      </c>
      <c r="AK17" s="10" t="s">
        <v>818</v>
      </c>
    </row>
    <row r="18">
      <c r="A18" s="2" t="s">
        <v>677</v>
      </c>
      <c r="B18" s="12">
        <v>45411.0</v>
      </c>
      <c r="C18" s="2" t="str">
        <f>IFERROR(__xludf.DUMMYFUNCTION("IF(ISNUMBER(B18),TEXT(B18,""yyyy-MM-dd""),REGEXREPLACE(REGEXREPLACE(TO_TEXT(B18),""[^0-9a-zA-Z]+"",""-""),""[^0-9]*$"",""""))"),"2024-04-29")</f>
        <v>2024-04-29</v>
      </c>
      <c r="D18" s="2" t="s">
        <v>8664</v>
      </c>
      <c r="H18" s="10" t="s">
        <v>8664</v>
      </c>
      <c r="I18" s="2" t="s">
        <v>679</v>
      </c>
      <c r="J18" s="26" t="str">
        <f t="array" ref="J18">IF(ISNA(XLOOKUP(I18,customers_clean!$A$2:$A$701,customers_clean!$A$2:$A$701, NA()) ),
   "❌ MISSING CUSTOMER", "✅")</f>
        <v>✅</v>
      </c>
      <c r="K18" s="2" t="str">
        <f t="array" ref="K18">XLOOKUP(I18,customers_clean!$A$2:$A$701,customers_clean!$C$2:$C$701)</f>
        <v>MAREK DAVIS</v>
      </c>
      <c r="L18" s="10" t="str">
        <f t="array" ref="L18">XLOOKUP(I18,customers_clean!$A$2:$A$701,customers_clean!$D$2:$D$701)</f>
        <v>Marek Davis</v>
      </c>
      <c r="M18" s="2" t="str">
        <f t="array" ref="M18">XLOOKUP(I18,customers_clean!$A$2:$A$701,customers_clean!$I$2:$I$701)</f>
        <v>marek.davis@outlook.com</v>
      </c>
      <c r="N18" s="10" t="str">
        <f t="array" ref="N18">XLOOKUP(I18,customers_clean!$A$2:$A$701,customers_clean!$H$2:$H$701)</f>
        <v>marek.davis@outlook.com</v>
      </c>
      <c r="O18" s="9" t="str">
        <f>IFERROR(__xludf.DUMMYFUNCTION("IF(REGEXMATCH(TRIM(N18),""^[A-Za-z0-9._%+-]+@[A-Za-z0-9.-]+\.[A-Za-z]{2,}$""),""✅ Valid"",""❌ Invalid"")"),"✅ Valid")</f>
        <v>✅ Valid</v>
      </c>
      <c r="P18" s="2" t="str">
        <f t="array" ref="P18">XLOOKUP(I18,customers_clean!$A$2:$A$701,customers_clean!$K$2:$K$701)</f>
        <v>+1 899 081892</v>
      </c>
      <c r="Q18" s="10" t="str">
        <f t="array" ref="Q18">XLOOKUP(I18,customers_clean!$A$2:$A$701,customers_clean!$N$2:$N$701)</f>
        <v>899081892</v>
      </c>
      <c r="R18" s="9" t="str">
        <f t="array" ref="R18">XLOOKUP(I18,customers_clean!$A$2:$A$701,customers_clean!$Q$2:$Q$701)</f>
        <v>❌ INVALID</v>
      </c>
      <c r="S18" s="10" t="s">
        <v>448</v>
      </c>
      <c r="T18" s="2" t="s">
        <v>683</v>
      </c>
      <c r="U18" s="2" t="s">
        <v>333</v>
      </c>
      <c r="V18" s="2" t="s">
        <v>449</v>
      </c>
      <c r="W18" s="9" t="str">
        <f t="array" ref="W18">IF(ISNA(XLOOKUP(V18,products_master_corrected!$A$2:$A$151,products_master_corrected!$A$2:$A$151, NA())),
    "❌ MISSING SKU", "✅")</f>
        <v>✅</v>
      </c>
      <c r="X18" s="2" t="s">
        <v>213</v>
      </c>
      <c r="Y18" s="2" t="s">
        <v>315</v>
      </c>
      <c r="Z18" s="10" t="s">
        <v>179</v>
      </c>
      <c r="AA18" s="27">
        <v>1.0</v>
      </c>
      <c r="AB18" s="9" t="s">
        <v>8649</v>
      </c>
      <c r="AC18" s="28">
        <f t="array" ref="AC18">XLOOKUP(V18,products_master_corrected!$A$2:$A$151,products_master_corrected!$E$2:$E$151)</f>
        <v>1404.25</v>
      </c>
      <c r="AD18" s="28">
        <f t="shared" si="2"/>
        <v>1404.25</v>
      </c>
      <c r="AE18" s="28">
        <f t="array" ref="AE18">XLOOKUP(V18,products_master_corrected!$A$2:$A$151,products_master_corrected!$M$2:$M$151)</f>
        <v>1698.58</v>
      </c>
      <c r="AF18" s="29">
        <f t="shared" si="3"/>
        <v>1698.58</v>
      </c>
      <c r="AG18" s="30" t="s">
        <v>48</v>
      </c>
      <c r="AH18" s="2" t="s">
        <v>685</v>
      </c>
      <c r="AI18" s="10" t="s">
        <v>143</v>
      </c>
      <c r="AJ18" s="2" t="s">
        <v>676</v>
      </c>
      <c r="AK18" s="10" t="s">
        <v>80</v>
      </c>
    </row>
    <row r="19">
      <c r="A19" s="2" t="s">
        <v>4125</v>
      </c>
      <c r="B19" s="12" t="s">
        <v>4126</v>
      </c>
      <c r="C19" s="2" t="str">
        <f>IFERROR(__xludf.DUMMYFUNCTION("IF(ISNUMBER(B19),TEXT(B19,""yyyy-MM-dd""),REGEXREPLACE(REGEXREPLACE(TO_TEXT(B19),""[^0-9a-zA-Z]+"",""-""),""[^0-9]*$"",""""))"),"25-05-2023")</f>
        <v>25-05-2023</v>
      </c>
      <c r="D19" s="2" t="s">
        <v>8650</v>
      </c>
      <c r="H19" s="10" t="s">
        <v>8650</v>
      </c>
      <c r="I19" s="2" t="s">
        <v>679</v>
      </c>
      <c r="J19" s="26" t="str">
        <f t="array" ref="J19">IF(ISNA(XLOOKUP(I19,customers_clean!$A$2:$A$701,customers_clean!$A$2:$A$701, NA()) ),
   "❌ MISSING CUSTOMER", "✅")</f>
        <v>✅</v>
      </c>
      <c r="K19" s="2" t="str">
        <f t="array" ref="K19">XLOOKUP(I19,customers_clean!$A$2:$A$701,customers_clean!$C$2:$C$701)</f>
        <v>MAREK DAVIS</v>
      </c>
      <c r="L19" s="10" t="str">
        <f t="array" ref="L19">XLOOKUP(I19,customers_clean!$A$2:$A$701,customers_clean!$D$2:$D$701)</f>
        <v>Marek Davis</v>
      </c>
      <c r="M19" s="2" t="str">
        <f t="array" ref="M19">XLOOKUP(I19,customers_clean!$A$2:$A$701,customers_clean!$I$2:$I$701)</f>
        <v>marek.davis@outlook.com</v>
      </c>
      <c r="N19" s="10" t="str">
        <f t="array" ref="N19">XLOOKUP(I19,customers_clean!$A$2:$A$701,customers_clean!$H$2:$H$701)</f>
        <v>marek.davis@outlook.com</v>
      </c>
      <c r="O19" s="9" t="str">
        <f>IFERROR(__xludf.DUMMYFUNCTION("IF(REGEXMATCH(TRIM(N19),""^[A-Za-z0-9._%+-]+@[A-Za-z0-9.-]+\.[A-Za-z]{2,}$""),""✅ Valid"",""❌ Invalid"")"),"✅ Valid")</f>
        <v>✅ Valid</v>
      </c>
      <c r="P19" s="2" t="str">
        <f t="array" ref="P19">XLOOKUP(I19,customers_clean!$A$2:$A$701,customers_clean!$K$2:$K$701)</f>
        <v>+1 899 081892</v>
      </c>
      <c r="Q19" s="10" t="str">
        <f t="array" ref="Q19">XLOOKUP(I19,customers_clean!$A$2:$A$701,customers_clean!$N$2:$N$701)</f>
        <v>899081892</v>
      </c>
      <c r="R19" s="9" t="str">
        <f t="array" ref="R19">XLOOKUP(I19,customers_clean!$A$2:$A$701,customers_clean!$Q$2:$Q$701)</f>
        <v>❌ INVALID</v>
      </c>
      <c r="S19" s="10" t="s">
        <v>448</v>
      </c>
      <c r="T19" s="2" t="s">
        <v>59</v>
      </c>
      <c r="U19" s="2" t="s">
        <v>1423</v>
      </c>
      <c r="V19" s="2" t="s">
        <v>2483</v>
      </c>
      <c r="W19" s="9" t="str">
        <f t="array" ref="W19">IF(ISNA(XLOOKUP(V19,products_master_corrected!$A$2:$A$151,products_master_corrected!$A$2:$A$151, NA())),
    "❌ MISSING SKU", "✅")</f>
        <v>✅</v>
      </c>
      <c r="X19" s="2" t="s">
        <v>280</v>
      </c>
      <c r="Y19" s="2" t="s">
        <v>503</v>
      </c>
      <c r="Z19" s="10" t="str">
        <f>PROPER(TRIM(Y19))</f>
        <v>Monitors</v>
      </c>
      <c r="AA19" s="27">
        <v>5.0</v>
      </c>
      <c r="AB19" s="9" t="s">
        <v>8649</v>
      </c>
      <c r="AC19" s="28">
        <f t="array" ref="AC19">XLOOKUP(V19,products_master_corrected!$A$2:$A$151,products_master_corrected!$E$2:$E$151)</f>
        <v>76.81</v>
      </c>
      <c r="AD19" s="28">
        <f t="shared" si="2"/>
        <v>384.05</v>
      </c>
      <c r="AE19" s="28">
        <f t="array" ref="AE19">XLOOKUP(V19,products_master_corrected!$A$2:$A$151,products_master_corrected!$M$2:$M$151)</f>
        <v>92.91</v>
      </c>
      <c r="AF19" s="29">
        <f t="shared" si="3"/>
        <v>464.55</v>
      </c>
      <c r="AG19" s="30" t="s">
        <v>48</v>
      </c>
      <c r="AH19" s="2" t="s">
        <v>49</v>
      </c>
      <c r="AI19" s="10" t="s">
        <v>49</v>
      </c>
      <c r="AJ19" s="2" t="s">
        <v>452</v>
      </c>
      <c r="AK19" s="10" t="s">
        <v>261</v>
      </c>
    </row>
    <row r="20">
      <c r="A20" s="2" t="s">
        <v>3973</v>
      </c>
      <c r="B20" s="12">
        <v>45164.0</v>
      </c>
      <c r="C20" s="2" t="str">
        <f>IFERROR(__xludf.DUMMYFUNCTION("IF(ISNUMBER(B20),TEXT(B20,""yyyy-MM-dd""),REGEXREPLACE(REGEXREPLACE(TO_TEXT(B20),""[^0-9a-zA-Z]+"",""-""),""[^0-9]*$"",""""))"),"2023-08-26")</f>
        <v>2023-08-26</v>
      </c>
      <c r="D20" s="2" t="s">
        <v>3274</v>
      </c>
      <c r="H20" s="10" t="s">
        <v>3274</v>
      </c>
      <c r="I20" s="2" t="s">
        <v>679</v>
      </c>
      <c r="J20" s="26" t="str">
        <f t="array" ref="J20">IF(ISNA(XLOOKUP(I20,customers_clean!$A$2:$A$701,customers_clean!$A$2:$A$701, NA()) ),
   "❌ MISSING CUSTOMER", "✅")</f>
        <v>✅</v>
      </c>
      <c r="K20" s="2" t="str">
        <f t="array" ref="K20">XLOOKUP(I20,customers_clean!$A$2:$A$701,customers_clean!$C$2:$C$701)</f>
        <v>MAREK DAVIS</v>
      </c>
      <c r="L20" s="10" t="str">
        <f t="array" ref="L20">XLOOKUP(I20,customers_clean!$A$2:$A$701,customers_clean!$D$2:$D$701)</f>
        <v>Marek Davis</v>
      </c>
      <c r="M20" s="2" t="str">
        <f t="array" ref="M20">XLOOKUP(I20,customers_clean!$A$2:$A$701,customers_clean!$I$2:$I$701)</f>
        <v>marek.davis@outlook.com</v>
      </c>
      <c r="N20" s="10" t="str">
        <f t="array" ref="N20">XLOOKUP(I20,customers_clean!$A$2:$A$701,customers_clean!$H$2:$H$701)</f>
        <v>marek.davis@outlook.com</v>
      </c>
      <c r="O20" s="9" t="str">
        <f>IFERROR(__xludf.DUMMYFUNCTION("IF(REGEXMATCH(TRIM(N20),""^[A-Za-z0-9._%+-]+@[A-Za-z0-9.-]+\.[A-Za-z]{2,}$""),""✅ Valid"",""❌ Invalid"")"),"✅ Valid")</f>
        <v>✅ Valid</v>
      </c>
      <c r="P20" s="2" t="str">
        <f t="array" ref="P20">XLOOKUP(I20,customers_clean!$A$2:$A$701,customers_clean!$K$2:$K$701)</f>
        <v>+1 899 081892</v>
      </c>
      <c r="Q20" s="10" t="str">
        <f t="array" ref="Q20">XLOOKUP(I20,customers_clean!$A$2:$A$701,customers_clean!$N$2:$N$701)</f>
        <v>899081892</v>
      </c>
      <c r="R20" s="9" t="str">
        <f t="array" ref="R20">XLOOKUP(I20,customers_clean!$A$2:$A$701,customers_clean!$Q$2:$Q$701)</f>
        <v>❌ INVALID</v>
      </c>
      <c r="S20" s="10" t="s">
        <v>448</v>
      </c>
      <c r="T20" s="2" t="s">
        <v>74</v>
      </c>
      <c r="U20" s="2" t="s">
        <v>176</v>
      </c>
      <c r="V20" s="2" t="s">
        <v>1733</v>
      </c>
      <c r="W20" s="9" t="str">
        <f t="array" ref="W20">IF(ISNA(XLOOKUP(V20,products_master_corrected!$A$2:$A$151,products_master_corrected!$A$2:$A$151, NA())),
    "❌ MISSING SKU", "✅")</f>
        <v>✅</v>
      </c>
      <c r="X20" s="2" t="s">
        <v>440</v>
      </c>
      <c r="Y20" s="2" t="s">
        <v>315</v>
      </c>
      <c r="Z20" s="10" t="s">
        <v>179</v>
      </c>
      <c r="AA20" s="27">
        <v>1.0</v>
      </c>
      <c r="AB20" s="9" t="s">
        <v>8649</v>
      </c>
      <c r="AC20" s="28">
        <f t="array" ref="AC20">XLOOKUP(V20,products_master_corrected!$A$2:$A$151,products_master_corrected!$E$2:$E$151)</f>
        <v>35.69</v>
      </c>
      <c r="AD20" s="28">
        <f t="shared" si="2"/>
        <v>35.69</v>
      </c>
      <c r="AE20" s="28">
        <f t="array" ref="AE20">XLOOKUP(V20,products_master_corrected!$A$2:$A$151,products_master_corrected!$M$2:$M$151)</f>
        <v>43.17</v>
      </c>
      <c r="AF20" s="29">
        <f t="shared" si="3"/>
        <v>43.17</v>
      </c>
      <c r="AG20" s="30" t="s">
        <v>48</v>
      </c>
      <c r="AH20" s="2" t="s">
        <v>3976</v>
      </c>
      <c r="AI20" s="10" t="s">
        <v>66</v>
      </c>
      <c r="AJ20" s="2" t="s">
        <v>294</v>
      </c>
      <c r="AK20" s="10" t="s">
        <v>80</v>
      </c>
      <c r="AL20" s="2" t="s">
        <v>51</v>
      </c>
    </row>
    <row r="21" ht="15.75" customHeight="1">
      <c r="A21" s="2" t="s">
        <v>3683</v>
      </c>
      <c r="B21" s="12">
        <v>45886.075694444444</v>
      </c>
      <c r="C21" s="2" t="str">
        <f>IFERROR(__xludf.DUMMYFUNCTION("IF(ISNUMBER(B21),TEXT(B21,""yyyy-MM-dd""),REGEXREPLACE(REGEXREPLACE(TO_TEXT(B21),""[^0-9a-zA-Z]+"",""-""),""[^0-9]*$"",""""))"),"2025-08-17")</f>
        <v>2025-08-17</v>
      </c>
      <c r="D21" s="2" t="s">
        <v>6493</v>
      </c>
      <c r="H21" s="10" t="s">
        <v>6493</v>
      </c>
      <c r="I21" s="2" t="s">
        <v>679</v>
      </c>
      <c r="J21" s="26" t="str">
        <f t="array" ref="J21">IF(ISNA(XLOOKUP(I21,customers_clean!$A$2:$A$701,customers_clean!$A$2:$A$701, NA()) ),
   "❌ MISSING CUSTOMER", "✅")</f>
        <v>✅</v>
      </c>
      <c r="K21" s="2" t="str">
        <f t="array" ref="K21">XLOOKUP(I21,customers_clean!$A$2:$A$701,customers_clean!$C$2:$C$701)</f>
        <v>MAREK DAVIS</v>
      </c>
      <c r="L21" s="10" t="str">
        <f t="array" ref="L21">XLOOKUP(I21,customers_clean!$A$2:$A$701,customers_clean!$D$2:$D$701)</f>
        <v>Marek Davis</v>
      </c>
      <c r="M21" s="2" t="str">
        <f t="array" ref="M21">XLOOKUP(I21,customers_clean!$A$2:$A$701,customers_clean!$I$2:$I$701)</f>
        <v>marek.davis@outlook.com</v>
      </c>
      <c r="N21" s="10" t="str">
        <f t="array" ref="N21">XLOOKUP(I21,customers_clean!$A$2:$A$701,customers_clean!$H$2:$H$701)</f>
        <v>marek.davis@outlook.com</v>
      </c>
      <c r="O21" s="9" t="str">
        <f>IFERROR(__xludf.DUMMYFUNCTION("IF(REGEXMATCH(TRIM(N21),""^[A-Za-z0-9._%+-]+@[A-Za-z0-9.-]+\.[A-Za-z]{2,}$""),""✅ Valid"",""❌ Invalid"")"),"✅ Valid")</f>
        <v>✅ Valid</v>
      </c>
      <c r="P21" s="2" t="str">
        <f t="array" ref="P21">XLOOKUP(I21,customers_clean!$A$2:$A$701,customers_clean!$K$2:$K$701)</f>
        <v>+1 899 081892</v>
      </c>
      <c r="Q21" s="10" t="str">
        <f t="array" ref="Q21">XLOOKUP(I21,customers_clean!$A$2:$A$701,customers_clean!$N$2:$N$701)</f>
        <v>899081892</v>
      </c>
      <c r="R21" s="9" t="str">
        <f t="array" ref="R21">XLOOKUP(I21,customers_clean!$A$2:$A$701,customers_clean!$Q$2:$Q$701)</f>
        <v>❌ INVALID</v>
      </c>
      <c r="S21" s="10" t="s">
        <v>448</v>
      </c>
      <c r="T21" s="2" t="s">
        <v>59</v>
      </c>
      <c r="U21" s="2" t="s">
        <v>1207</v>
      </c>
      <c r="V21" s="2" t="s">
        <v>28</v>
      </c>
      <c r="W21" s="9" t="str">
        <f t="array" ref="W21">IF(ISNA(XLOOKUP(V21,products_master_corrected!$A$2:$A$151,products_master_corrected!$A$2:$A$151, NA())),
    "❌ MISSING SKU", "✅")</f>
        <v>✅</v>
      </c>
      <c r="X21" s="2" t="s">
        <v>29</v>
      </c>
      <c r="Y21" s="2" t="s">
        <v>30</v>
      </c>
      <c r="Z21" s="10" t="s">
        <v>179</v>
      </c>
      <c r="AA21" s="27">
        <v>5.0</v>
      </c>
      <c r="AB21" s="9" t="s">
        <v>8649</v>
      </c>
      <c r="AC21" s="28">
        <f t="array" ref="AC21">XLOOKUP(V21,products_master_corrected!$A$2:$A$151,products_master_corrected!$E$2:$E$151)</f>
        <v>145.2</v>
      </c>
      <c r="AD21" s="28">
        <f t="shared" si="2"/>
        <v>726</v>
      </c>
      <c r="AE21" s="28">
        <f t="array" ref="AE21">XLOOKUP(V21,products_master_corrected!$A$2:$A$151,products_master_corrected!$M$2:$M$151)</f>
        <v>175.63</v>
      </c>
      <c r="AF21" s="29">
        <f t="shared" si="3"/>
        <v>878.15</v>
      </c>
      <c r="AG21" s="30" t="s">
        <v>48</v>
      </c>
      <c r="AH21" s="2" t="s">
        <v>143</v>
      </c>
      <c r="AI21" s="10" t="s">
        <v>143</v>
      </c>
      <c r="AJ21" s="2" t="s">
        <v>192</v>
      </c>
      <c r="AK21" s="10" t="s">
        <v>192</v>
      </c>
      <c r="AL21" s="2" t="s">
        <v>81</v>
      </c>
    </row>
    <row r="22" ht="15.75" customHeight="1">
      <c r="A22" s="2" t="s">
        <v>1182</v>
      </c>
      <c r="B22" s="12">
        <v>45418.87708333333</v>
      </c>
      <c r="C22" s="2" t="str">
        <f>IFERROR(__xludf.DUMMYFUNCTION("IF(ISNUMBER(B22),TEXT(B22,""yyyy-MM-dd""),REGEXREPLACE(REGEXREPLACE(TO_TEXT(B22),""[^0-9a-zA-Z]+"",""-""),""[^0-9]*$"",""""))"),"2024-05-06")</f>
        <v>2024-05-06</v>
      </c>
      <c r="D22" s="2" t="s">
        <v>8463</v>
      </c>
      <c r="H22" s="10" t="s">
        <v>8463</v>
      </c>
      <c r="I22" s="2" t="s">
        <v>679</v>
      </c>
      <c r="J22" s="26" t="str">
        <f t="array" ref="J22">IF(ISNA(XLOOKUP(I22,customers_clean!$A$2:$A$701,customers_clean!$A$2:$A$701, NA()) ),
   "❌ MISSING CUSTOMER", "✅")</f>
        <v>✅</v>
      </c>
      <c r="K22" s="2" t="str">
        <f t="array" ref="K22">XLOOKUP(I22,customers_clean!$A$2:$A$701,customers_clean!$C$2:$C$701)</f>
        <v>MAREK DAVIS</v>
      </c>
      <c r="L22" s="10" t="str">
        <f t="array" ref="L22">XLOOKUP(I22,customers_clean!$A$2:$A$701,customers_clean!$D$2:$D$701)</f>
        <v>Marek Davis</v>
      </c>
      <c r="M22" s="2" t="str">
        <f t="array" ref="M22">XLOOKUP(I22,customers_clean!$A$2:$A$701,customers_clean!$I$2:$I$701)</f>
        <v>marek.davis@outlook.com</v>
      </c>
      <c r="N22" s="10" t="str">
        <f t="array" ref="N22">XLOOKUP(I22,customers_clean!$A$2:$A$701,customers_clean!$H$2:$H$701)</f>
        <v>marek.davis@outlook.com</v>
      </c>
      <c r="O22" s="9" t="str">
        <f>IFERROR(__xludf.DUMMYFUNCTION("IF(REGEXMATCH(TRIM(N22),""^[A-Za-z0-9._%+-]+@[A-Za-z0-9.-]+\.[A-Za-z]{2,}$""),""✅ Valid"",""❌ Invalid"")"),"✅ Valid")</f>
        <v>✅ Valid</v>
      </c>
      <c r="P22" s="2" t="str">
        <f t="array" ref="P22">XLOOKUP(I22,customers_clean!$A$2:$A$701,customers_clean!$K$2:$K$701)</f>
        <v>+1 899 081892</v>
      </c>
      <c r="Q22" s="10" t="str">
        <f t="array" ref="Q22">XLOOKUP(I22,customers_clean!$A$2:$A$701,customers_clean!$N$2:$N$701)</f>
        <v>899081892</v>
      </c>
      <c r="R22" s="9" t="str">
        <f t="array" ref="R22">XLOOKUP(I22,customers_clean!$A$2:$A$701,customers_clean!$Q$2:$Q$701)</f>
        <v>❌ INVALID</v>
      </c>
      <c r="S22" s="10" t="s">
        <v>448</v>
      </c>
      <c r="T22" s="2" t="s">
        <v>1184</v>
      </c>
      <c r="U22" s="2" t="s">
        <v>289</v>
      </c>
      <c r="V22" s="2" t="s">
        <v>76</v>
      </c>
      <c r="W22" s="9" t="str">
        <f t="array" ref="W22">IF(ISNA(XLOOKUP(V22,products_master_corrected!$A$2:$A$151,products_master_corrected!$A$2:$A$151, NA())),
    "❌ MISSING SKU", "✅")</f>
        <v>✅</v>
      </c>
      <c r="X22" s="2" t="s">
        <v>77</v>
      </c>
      <c r="Y22" s="2" t="s">
        <v>78</v>
      </c>
      <c r="Z22" s="10" t="s">
        <v>355</v>
      </c>
      <c r="AA22" s="27">
        <v>1.0</v>
      </c>
      <c r="AB22" s="9" t="s">
        <v>8649</v>
      </c>
      <c r="AC22" s="28">
        <f t="array" ref="AC22">XLOOKUP(V22,products_master_corrected!$A$2:$A$151,products_master_corrected!$E$2:$E$151)</f>
        <v>153.16</v>
      </c>
      <c r="AD22" s="28">
        <f t="shared" si="2"/>
        <v>153.16</v>
      </c>
      <c r="AE22" s="28">
        <f t="array" ref="AE22">XLOOKUP(V22,products_master_corrected!$A$2:$A$151,products_master_corrected!$M$2:$M$151)</f>
        <v>185.26</v>
      </c>
      <c r="AF22" s="29">
        <f t="shared" si="3"/>
        <v>185.26</v>
      </c>
      <c r="AG22" s="30" t="s">
        <v>48</v>
      </c>
      <c r="AH22" s="2" t="s">
        <v>305</v>
      </c>
      <c r="AI22" s="10" t="s">
        <v>49</v>
      </c>
      <c r="AJ22" s="2" t="s">
        <v>294</v>
      </c>
      <c r="AK22" s="10" t="s">
        <v>80</v>
      </c>
      <c r="AL22" s="2" t="s">
        <v>133</v>
      </c>
    </row>
    <row r="23" ht="15.75" customHeight="1">
      <c r="A23" s="2" t="s">
        <v>1540</v>
      </c>
      <c r="B23" s="12">
        <v>45497.0</v>
      </c>
      <c r="C23" s="2" t="str">
        <f>IFERROR(__xludf.DUMMYFUNCTION("IF(ISNUMBER(B23),TEXT(B23,""yyyy-MM-dd""),REGEXREPLACE(REGEXREPLACE(TO_TEXT(B23),""[^0-9a-zA-Z]+"",""-""),""[^0-9]*$"",""""))"),"2024-07-24")</f>
        <v>2024-07-24</v>
      </c>
      <c r="D23" s="2" t="s">
        <v>7687</v>
      </c>
      <c r="H23" s="10" t="s">
        <v>7687</v>
      </c>
      <c r="I23" s="2" t="s">
        <v>1542</v>
      </c>
      <c r="J23" s="26" t="str">
        <f t="array" ref="J23">IF(ISNA(XLOOKUP(I23,customers_clean!$A$2:$A$701,customers_clean!$A$2:$A$701, NA()) ),
   "❌ MISSING CUSTOMER", "✅")</f>
        <v>✅</v>
      </c>
      <c r="K23" s="2" t="str">
        <f t="array" ref="K23">XLOOKUP(I23,customers_clean!$A$2:$A$701,customers_clean!$C$2:$C$701)</f>
        <v>Lia Lee</v>
      </c>
      <c r="L23" s="10" t="str">
        <f t="array" ref="L23">XLOOKUP(I23,customers_clean!$A$2:$A$701,customers_clean!$D$2:$D$701)</f>
        <v>Lia Lee</v>
      </c>
      <c r="M23" s="2" t="str">
        <f t="array" ref="M23">XLOOKUP(I23,customers_clean!$A$2:$A$701,customers_clean!$I$2:$I$701)</f>
        <v>lia.lee@example.com</v>
      </c>
      <c r="N23" s="10" t="str">
        <f t="array" ref="N23">XLOOKUP(I23,customers_clean!$A$2:$A$701,customers_clean!$H$2:$H$701)</f>
        <v>lia.lee@example.com</v>
      </c>
      <c r="O23" s="9" t="str">
        <f>IFERROR(__xludf.DUMMYFUNCTION("IF(REGEXMATCH(TRIM(N23),""^[A-Za-z0-9._%+-]+@[A-Za-z0-9.-]+\.[A-Za-z]{2,}$""),""✅ Valid"",""❌ Invalid"")"),"✅ Valid")</f>
        <v>✅ Valid</v>
      </c>
      <c r="P23" s="2">
        <f t="array" ref="P23">XLOOKUP(I23,customers_clean!$A$2:$A$701,customers_clean!$K$2:$K$701)</f>
        <v>734961588</v>
      </c>
      <c r="Q23" s="10" t="str">
        <f t="array" ref="Q23">XLOOKUP(I23,customers_clean!$A$2:$A$701,customers_clean!$N$2:$N$701)</f>
        <v>734961588</v>
      </c>
      <c r="R23" s="9" t="str">
        <f t="array" ref="R23">XLOOKUP(I23,customers_clean!$A$2:$A$701,customers_clean!$Q$2:$Q$701)</f>
        <v>❌ INVALID</v>
      </c>
      <c r="S23" s="31" t="s">
        <v>671</v>
      </c>
      <c r="T23" s="2" t="s">
        <v>26</v>
      </c>
      <c r="U23" s="2" t="s">
        <v>312</v>
      </c>
      <c r="V23" s="2" t="s">
        <v>581</v>
      </c>
      <c r="W23" s="9" t="str">
        <f t="array" ref="W23">IF(ISNA(XLOOKUP(V23,products_master_corrected!$A$2:$A$151,products_master_corrected!$A$2:$A$151, NA())),
    "❌ MISSING SKU", "✅")</f>
        <v>✅</v>
      </c>
      <c r="X23" s="2" t="s">
        <v>280</v>
      </c>
      <c r="Y23" s="2" t="s">
        <v>582</v>
      </c>
      <c r="Z23" s="10" t="s">
        <v>63</v>
      </c>
      <c r="AA23" s="27">
        <v>1.0</v>
      </c>
      <c r="AB23" s="9" t="s">
        <v>8649</v>
      </c>
      <c r="AC23" s="28">
        <f t="array" ref="AC23">XLOOKUP(V23,products_master_corrected!$A$2:$A$151,products_master_corrected!$E$2:$E$151)</f>
        <v>120.1</v>
      </c>
      <c r="AD23" s="28">
        <f t="shared" si="2"/>
        <v>120.1</v>
      </c>
      <c r="AE23" s="28">
        <f t="array" ref="AE23">XLOOKUP(V23,products_master_corrected!$A$2:$A$151,products_master_corrected!$J$2:$J$151)</f>
        <v>140.07</v>
      </c>
      <c r="AF23" s="29">
        <f t="shared" si="3"/>
        <v>140.07</v>
      </c>
      <c r="AG23" s="32" t="s">
        <v>8656</v>
      </c>
      <c r="AH23" s="2" t="s">
        <v>49</v>
      </c>
      <c r="AI23" s="10" t="s">
        <v>49</v>
      </c>
      <c r="AJ23" s="2" t="s">
        <v>1547</v>
      </c>
      <c r="AK23" s="10" t="s">
        <v>261</v>
      </c>
      <c r="AL23" s="2" t="s">
        <v>133</v>
      </c>
    </row>
    <row r="24" ht="15.75" customHeight="1">
      <c r="A24" s="2" t="s">
        <v>5985</v>
      </c>
      <c r="B24" s="12">
        <v>45078.0</v>
      </c>
      <c r="C24" s="2" t="str">
        <f>IFERROR(__xludf.DUMMYFUNCTION("IF(ISNUMBER(B24),TEXT(B24,""yyyy-MM-dd""),REGEXREPLACE(REGEXREPLACE(TO_TEXT(B24),""[^0-9a-zA-Z]+"",""-""),""[^0-9]*$"",""""))"),"2023-06-01")</f>
        <v>2023-06-01</v>
      </c>
      <c r="D24" s="2" t="s">
        <v>570</v>
      </c>
      <c r="H24" s="10" t="s">
        <v>570</v>
      </c>
      <c r="I24" s="2" t="s">
        <v>5325</v>
      </c>
      <c r="J24" s="26" t="str">
        <f t="array" ref="J24">IF(ISNA(XLOOKUP(I24,customers_clean!$A$2:$A$701,customers_clean!$A$2:$A$701, NA()) ),
   "❌ MISSING CUSTOMER", "✅")</f>
        <v>✅</v>
      </c>
      <c r="K24" s="2" t="str">
        <f t="array" ref="K24">XLOOKUP(I24,customers_clean!$A$2:$A$701,customers_clean!$C$2:$C$701)</f>
        <v>Ethan Dubois</v>
      </c>
      <c r="L24" s="10" t="str">
        <f t="array" ref="L24">XLOOKUP(I24,customers_clean!$A$2:$A$701,customers_clean!$D$2:$D$701)</f>
        <v>Ethan Dubois</v>
      </c>
      <c r="M24" s="2" t="str">
        <f t="array" ref="M24">XLOOKUP(I24,customers_clean!$A$2:$A$701,customers_clean!$I$2:$I$701)</f>
        <v>ethan.dubois@yahoo.com</v>
      </c>
      <c r="N24" s="10" t="str">
        <f t="array" ref="N24">XLOOKUP(I24,customers_clean!$A$2:$A$701,customers_clean!$H$2:$H$701)</f>
        <v>ethan.dubois@yahoo.com</v>
      </c>
      <c r="O24" s="9" t="str">
        <f>IFERROR(__xludf.DUMMYFUNCTION("IF(REGEXMATCH(TRIM(N24),""^[A-Za-z0-9._%+-]+@[A-Za-z0-9.-]+\.[A-Za-z]{2,}$""),""✅ Valid"",""❌ Invalid"")"),"✅ Valid")</f>
        <v>✅ Valid</v>
      </c>
      <c r="P24" s="2" t="str">
        <f t="array" ref="P24">XLOOKUP(I24,customers_clean!$A$2:$A$701,customers_clean!$K$2:$K$701)</f>
        <v>+34 948 7174624</v>
      </c>
      <c r="Q24" s="10" t="str">
        <f t="array" ref="Q24">XLOOKUP(I24,customers_clean!$A$2:$A$701,customers_clean!$N$2:$N$701)</f>
        <v>9487174624</v>
      </c>
      <c r="R24" s="9" t="str">
        <f t="array" ref="R24">XLOOKUP(I24,customers_clean!$A$2:$A$701,customers_clean!$Q$2:$Q$701)</f>
        <v>❌ INVALID</v>
      </c>
      <c r="S24" s="10" t="s">
        <v>139</v>
      </c>
      <c r="T24" s="2" t="s">
        <v>59</v>
      </c>
      <c r="U24" s="2" t="s">
        <v>480</v>
      </c>
      <c r="V24" s="2" t="s">
        <v>302</v>
      </c>
      <c r="W24" s="9" t="str">
        <f t="array" ref="W24">IF(ISNA(XLOOKUP(V24,products_master_corrected!$A$2:$A$151,products_master_corrected!$A$2:$A$151, NA())),
    "❌ MISSING SKU", "✅")</f>
        <v>✅</v>
      </c>
      <c r="X24" s="2" t="s">
        <v>303</v>
      </c>
      <c r="Y24" s="2" t="s">
        <v>248</v>
      </c>
      <c r="Z24" s="10" t="s">
        <v>248</v>
      </c>
      <c r="AA24" s="27">
        <v>1.0</v>
      </c>
      <c r="AB24" s="9" t="s">
        <v>8649</v>
      </c>
      <c r="AC24" s="28">
        <f t="array" ref="AC24">XLOOKUP(V24,products_master_corrected!$A$2:$A$151,products_master_corrected!$E$2:$E$151)</f>
        <v>172.22</v>
      </c>
      <c r="AD24" s="28">
        <f t="shared" si="2"/>
        <v>172.22</v>
      </c>
      <c r="AE24" s="28">
        <f t="array" ref="AE24">XLOOKUP(V24,products_master_corrected!$A$2:$A$151,products_master_corrected!$L$2:$L$151)</f>
        <v>186.26</v>
      </c>
      <c r="AF24" s="29">
        <f t="shared" si="3"/>
        <v>186.26</v>
      </c>
      <c r="AG24" s="32" t="s">
        <v>8665</v>
      </c>
      <c r="AH24" s="2" t="s">
        <v>143</v>
      </c>
      <c r="AI24" s="10" t="s">
        <v>143</v>
      </c>
      <c r="AJ24" s="2" t="s">
        <v>120</v>
      </c>
      <c r="AK24" s="10" t="s">
        <v>818</v>
      </c>
      <c r="AL24" s="2" t="s">
        <v>51</v>
      </c>
    </row>
    <row r="25" ht="15.75" customHeight="1">
      <c r="A25" s="2" t="s">
        <v>5323</v>
      </c>
      <c r="B25" s="12">
        <v>45889.0</v>
      </c>
      <c r="C25" s="2" t="str">
        <f>IFERROR(__xludf.DUMMYFUNCTION("IF(ISNUMBER(B25),TEXT(B25,""yyyy-MM-dd""),REGEXREPLACE(REGEXREPLACE(TO_TEXT(B25),""[^0-9a-zA-Z]+"",""-""),""[^0-9]*$"",""""))"),"2025-08-20")</f>
        <v>2025-08-20</v>
      </c>
      <c r="D25" s="2" t="s">
        <v>8666</v>
      </c>
      <c r="H25" s="10" t="s">
        <v>8666</v>
      </c>
      <c r="I25" s="2" t="s">
        <v>5325</v>
      </c>
      <c r="J25" s="26" t="str">
        <f t="array" ref="J25">IF(ISNA(XLOOKUP(I25,customers_clean!$A$2:$A$701,customers_clean!$A$2:$A$701, NA()) ),
   "❌ MISSING CUSTOMER", "✅")</f>
        <v>✅</v>
      </c>
      <c r="K25" s="2" t="str">
        <f t="array" ref="K25">XLOOKUP(I25,customers_clean!$A$2:$A$701,customers_clean!$C$2:$C$701)</f>
        <v>Ethan Dubois</v>
      </c>
      <c r="L25" s="10" t="str">
        <f t="array" ref="L25">XLOOKUP(I25,customers_clean!$A$2:$A$701,customers_clean!$D$2:$D$701)</f>
        <v>Ethan Dubois</v>
      </c>
      <c r="M25" s="2" t="str">
        <f t="array" ref="M25">XLOOKUP(I25,customers_clean!$A$2:$A$701,customers_clean!$I$2:$I$701)</f>
        <v>ethan.dubois@yahoo.com</v>
      </c>
      <c r="N25" s="10" t="str">
        <f t="array" ref="N25">XLOOKUP(I25,customers_clean!$A$2:$A$701,customers_clean!$H$2:$H$701)</f>
        <v>ethan.dubois@yahoo.com</v>
      </c>
      <c r="O25" s="9" t="str">
        <f>IFERROR(__xludf.DUMMYFUNCTION("IF(REGEXMATCH(TRIM(N25),""^[A-Za-z0-9._%+-]+@[A-Za-z0-9.-]+\.[A-Za-z]{2,}$""),""✅ Valid"",""❌ Invalid"")"),"✅ Valid")</f>
        <v>✅ Valid</v>
      </c>
      <c r="P25" s="2" t="str">
        <f t="array" ref="P25">XLOOKUP(I25,customers_clean!$A$2:$A$701,customers_clean!$K$2:$K$701)</f>
        <v>+34 948 7174624</v>
      </c>
      <c r="Q25" s="10" t="str">
        <f t="array" ref="Q25">XLOOKUP(I25,customers_clean!$A$2:$A$701,customers_clean!$N$2:$N$701)</f>
        <v>9487174624</v>
      </c>
      <c r="R25" s="9" t="str">
        <f t="array" ref="R25">XLOOKUP(I25,customers_clean!$A$2:$A$701,customers_clean!$Q$2:$Q$701)</f>
        <v>❌ INVALID</v>
      </c>
      <c r="S25" s="10" t="s">
        <v>139</v>
      </c>
      <c r="T25" s="2" t="s">
        <v>59</v>
      </c>
      <c r="U25" s="2" t="s">
        <v>512</v>
      </c>
      <c r="V25" s="2" t="s">
        <v>1085</v>
      </c>
      <c r="W25" s="9" t="str">
        <f t="array" ref="W25">IF(ISNA(XLOOKUP(V25,products_master_corrected!$A$2:$A$151,products_master_corrected!$A$2:$A$151, NA())),
    "❌ MISSING SKU", "✅")</f>
        <v>✅</v>
      </c>
      <c r="X25" s="2" t="s">
        <v>29</v>
      </c>
      <c r="Y25" s="2" t="s">
        <v>368</v>
      </c>
      <c r="Z25" s="10" t="s">
        <v>368</v>
      </c>
      <c r="AA25" s="27">
        <v>2.0</v>
      </c>
      <c r="AB25" s="9" t="s">
        <v>8649</v>
      </c>
      <c r="AC25" s="28">
        <f t="array" ref="AC25">XLOOKUP(V25,products_master_corrected!$A$2:$A$151,products_master_corrected!$E$2:$E$151)</f>
        <v>171.42</v>
      </c>
      <c r="AD25" s="28">
        <f t="shared" si="2"/>
        <v>342.84</v>
      </c>
      <c r="AE25" s="28">
        <f t="array" ref="AE25">XLOOKUP(V25,products_master_corrected!$A$2:$A$151,products_master_corrected!$L$2:$L$151)</f>
        <v>185.39</v>
      </c>
      <c r="AF25" s="29">
        <f t="shared" si="3"/>
        <v>370.78</v>
      </c>
      <c r="AG25" s="32" t="s">
        <v>8665</v>
      </c>
      <c r="AH25" s="2" t="s">
        <v>131</v>
      </c>
      <c r="AI25" s="10" t="s">
        <v>181</v>
      </c>
      <c r="AJ25" s="2" t="s">
        <v>294</v>
      </c>
      <c r="AK25" s="10" t="s">
        <v>80</v>
      </c>
    </row>
    <row r="26" ht="15.75" customHeight="1">
      <c r="A26" s="2" t="s">
        <v>4641</v>
      </c>
      <c r="B26" s="12">
        <v>45354.0</v>
      </c>
      <c r="C26" s="2" t="str">
        <f>IFERROR(__xludf.DUMMYFUNCTION("IF(ISNUMBER(B26),TEXT(B26,""yyyy-MM-dd""),REGEXREPLACE(REGEXREPLACE(TO_TEXT(B26),""[^0-9a-zA-Z]+"",""-""),""[^0-9]*$"",""""))"),"2024-03-03")</f>
        <v>2024-03-03</v>
      </c>
      <c r="D26" s="2" t="s">
        <v>8667</v>
      </c>
      <c r="H26" s="10" t="s">
        <v>8667</v>
      </c>
      <c r="I26" s="2" t="s">
        <v>3522</v>
      </c>
      <c r="J26" s="26" t="str">
        <f t="array" ref="J26">IF(ISNA(XLOOKUP(I26,customers_clean!$A$2:$A$701,customers_clean!$A$2:$A$701, NA()) ),
   "❌ MISSING CUSTOMER", "✅")</f>
        <v>✅</v>
      </c>
      <c r="K26" s="2" t="str">
        <f t="array" ref="K26">XLOOKUP(I26,customers_clean!$A$2:$A$701,customers_clean!$C$2:$C$701)</f>
        <v>Nina Khan</v>
      </c>
      <c r="L26" s="10" t="str">
        <f t="array" ref="L26">XLOOKUP(I26,customers_clean!$A$2:$A$701,customers_clean!$D$2:$D$701)</f>
        <v>Nina Khan</v>
      </c>
      <c r="M26" s="2" t="str">
        <f t="array" ref="M26">XLOOKUP(I26,customers_clean!$A$2:$A$701,customers_clean!$I$2:$I$701)</f>
        <v>Nina.Khan@Example.Com</v>
      </c>
      <c r="N26" s="10" t="str">
        <f t="array" ref="N26">XLOOKUP(I26,customers_clean!$A$2:$A$701,customers_clean!$H$2:$H$701)</f>
        <v>nina.khan@example.com</v>
      </c>
      <c r="O26" s="9" t="str">
        <f>IFERROR(__xludf.DUMMYFUNCTION("IF(REGEXMATCH(TRIM(N26),""^[A-Za-z0-9._%+-]+@[A-Za-z0-9.-]+\.[A-Za-z]{2,}$""),""✅ Valid"",""❌ Invalid"")"),"✅ Valid")</f>
        <v>✅ Valid</v>
      </c>
      <c r="P26" s="2" t="str">
        <f t="array" ref="P26">XLOOKUP(I26,customers_clean!$A$2:$A$701,customers_clean!$K$2:$K$701)</f>
        <v>+3920245354</v>
      </c>
      <c r="Q26" s="10" t="str">
        <f t="array" ref="Q26">XLOOKUP(I26,customers_clean!$A$2:$A$701,customers_clean!$N$2:$N$701)</f>
        <v>20245354</v>
      </c>
      <c r="R26" s="9" t="str">
        <f t="array" ref="R26">XLOOKUP(I26,customers_clean!$A$2:$A$701,customers_clean!$Q$2:$Q$701)</f>
        <v>❌ INVALID</v>
      </c>
      <c r="S26" s="31" t="s">
        <v>671</v>
      </c>
      <c r="T26" s="2" t="s">
        <v>42</v>
      </c>
      <c r="U26" s="2" t="s">
        <v>43</v>
      </c>
      <c r="V26" s="2" t="s">
        <v>556</v>
      </c>
      <c r="W26" s="9" t="str">
        <f t="array" ref="W26">IF(ISNA(XLOOKUP(V26,products_master_corrected!$A$2:$A$151,products_master_corrected!$A$2:$A$151, NA())),
    "❌ MISSING SKU", "✅")</f>
        <v>✅</v>
      </c>
      <c r="X26" s="2" t="s">
        <v>502</v>
      </c>
      <c r="Y26" s="2" t="s">
        <v>355</v>
      </c>
      <c r="Z26" s="10" t="s">
        <v>355</v>
      </c>
      <c r="AA26" s="27">
        <v>2.0</v>
      </c>
      <c r="AB26" s="9" t="s">
        <v>8649</v>
      </c>
      <c r="AC26" s="28">
        <f t="array" ref="AC26">XLOOKUP(V26,products_master_corrected!$A$2:$A$151,products_master_corrected!$E$2:$E$151)</f>
        <v>879.27</v>
      </c>
      <c r="AD26" s="28">
        <f t="shared" si="2"/>
        <v>1758.54</v>
      </c>
      <c r="AE26" s="28">
        <f t="array" ref="AE26">XLOOKUP(V26,products_master_corrected!$A$2:$A$151,products_master_corrected!$J$2:$J$151)</f>
        <v>1025.49</v>
      </c>
      <c r="AF26" s="29">
        <f t="shared" si="3"/>
        <v>2050.98</v>
      </c>
      <c r="AG26" s="32" t="s">
        <v>8656</v>
      </c>
      <c r="AH26" s="2" t="s">
        <v>49</v>
      </c>
      <c r="AI26" s="10" t="s">
        <v>49</v>
      </c>
      <c r="AJ26" s="2" t="s">
        <v>294</v>
      </c>
      <c r="AK26" s="10" t="s">
        <v>80</v>
      </c>
      <c r="AL26" s="2" t="s">
        <v>133</v>
      </c>
    </row>
    <row r="27" ht="15.75" customHeight="1">
      <c r="A27" s="2" t="s">
        <v>3520</v>
      </c>
      <c r="B27" s="12" t="s">
        <v>3521</v>
      </c>
      <c r="C27" s="2" t="str">
        <f>IFERROR(__xludf.DUMMYFUNCTION("IF(ISNUMBER(B27),TEXT(B27,""yyyy-MM-dd""),REGEXREPLACE(REGEXREPLACE(TO_TEXT(B27),""[^0-9a-zA-Z]+"",""-""),""[^0-9]*$"",""""))"),"01-03-2023")</f>
        <v>01-03-2023</v>
      </c>
      <c r="D27" s="2" t="s">
        <v>8668</v>
      </c>
      <c r="H27" s="10" t="s">
        <v>8668</v>
      </c>
      <c r="I27" s="2" t="s">
        <v>3522</v>
      </c>
      <c r="J27" s="26" t="str">
        <f t="array" ref="J27">IF(ISNA(XLOOKUP(I27,customers_clean!$A$2:$A$701,customers_clean!$A$2:$A$701, NA()) ),
   "❌ MISSING CUSTOMER", "✅")</f>
        <v>✅</v>
      </c>
      <c r="K27" s="2" t="str">
        <f t="array" ref="K27">XLOOKUP(I27,customers_clean!$A$2:$A$701,customers_clean!$C$2:$C$701)</f>
        <v>Nina Khan</v>
      </c>
      <c r="L27" s="10" t="str">
        <f t="array" ref="L27">XLOOKUP(I27,customers_clean!$A$2:$A$701,customers_clean!$D$2:$D$701)</f>
        <v>Nina Khan</v>
      </c>
      <c r="M27" s="2" t="str">
        <f t="array" ref="M27">XLOOKUP(I27,customers_clean!$A$2:$A$701,customers_clean!$I$2:$I$701)</f>
        <v>Nina.Khan@Example.Com</v>
      </c>
      <c r="N27" s="10" t="str">
        <f t="array" ref="N27">XLOOKUP(I27,customers_clean!$A$2:$A$701,customers_clean!$H$2:$H$701)</f>
        <v>nina.khan@example.com</v>
      </c>
      <c r="O27" s="9" t="str">
        <f>IFERROR(__xludf.DUMMYFUNCTION("IF(REGEXMATCH(TRIM(N27),""^[A-Za-z0-9._%+-]+@[A-Za-z0-9.-]+\.[A-Za-z]{2,}$""),""✅ Valid"",""❌ Invalid"")"),"✅ Valid")</f>
        <v>✅ Valid</v>
      </c>
      <c r="P27" s="2" t="str">
        <f t="array" ref="P27">XLOOKUP(I27,customers_clean!$A$2:$A$701,customers_clean!$K$2:$K$701)</f>
        <v>+3920245354</v>
      </c>
      <c r="Q27" s="10" t="str">
        <f t="array" ref="Q27">XLOOKUP(I27,customers_clean!$A$2:$A$701,customers_clean!$N$2:$N$701)</f>
        <v>20245354</v>
      </c>
      <c r="R27" s="9" t="str">
        <f t="array" ref="R27">XLOOKUP(I27,customers_clean!$A$2:$A$701,customers_clean!$Q$2:$Q$701)</f>
        <v>❌ INVALID</v>
      </c>
      <c r="S27" s="31" t="s">
        <v>671</v>
      </c>
      <c r="T27" s="2" t="s">
        <v>802</v>
      </c>
      <c r="U27" s="2" t="s">
        <v>60</v>
      </c>
      <c r="V27" s="2" t="s">
        <v>200</v>
      </c>
      <c r="W27" s="9" t="str">
        <f t="array" ref="W27">IF(ISNA(XLOOKUP(V27,products_master_corrected!$A$2:$A$151,products_master_corrected!$A$2:$A$151, NA())),
    "❌ MISSING SKU", "✅")</f>
        <v>✅</v>
      </c>
      <c r="X27" s="2" t="s">
        <v>190</v>
      </c>
      <c r="Y27" s="2" t="s">
        <v>202</v>
      </c>
      <c r="Z27" s="10" t="s">
        <v>63</v>
      </c>
      <c r="AA27" s="27">
        <v>1.0</v>
      </c>
      <c r="AB27" s="9" t="s">
        <v>8649</v>
      </c>
      <c r="AC27" s="28">
        <f t="array" ref="AC27">XLOOKUP(V27,products_master_corrected!$A$2:$A$151,products_master_corrected!$E$2:$E$151)</f>
        <v>61.21</v>
      </c>
      <c r="AD27" s="28">
        <f t="shared" si="2"/>
        <v>61.21</v>
      </c>
      <c r="AE27" s="28">
        <f t="array" ref="AE27">XLOOKUP(V27,products_master_corrected!$A$2:$A$151,products_master_corrected!$J$2:$J$151)</f>
        <v>71.39</v>
      </c>
      <c r="AF27" s="29">
        <f t="shared" si="3"/>
        <v>71.39</v>
      </c>
      <c r="AG27" s="32" t="s">
        <v>8656</v>
      </c>
      <c r="AH27" s="2" t="s">
        <v>66</v>
      </c>
      <c r="AI27" s="10" t="s">
        <v>66</v>
      </c>
      <c r="AJ27" s="2" t="s">
        <v>80</v>
      </c>
      <c r="AK27" s="10" t="s">
        <v>80</v>
      </c>
      <c r="AL27" s="2" t="s">
        <v>81</v>
      </c>
    </row>
    <row r="28" ht="15.75" customHeight="1">
      <c r="A28" s="2" t="s">
        <v>5264</v>
      </c>
      <c r="B28" s="12" t="s">
        <v>5265</v>
      </c>
      <c r="C28" s="2" t="str">
        <f>IFERROR(__xludf.DUMMYFUNCTION("IF(ISNUMBER(B28),TEXT(B28,""yyyy-MM-dd""),REGEXREPLACE(REGEXREPLACE(TO_TEXT(B28),""[^0-9a-zA-Z]+"",""-""),""[^0-9]*$"",""""))"),"31-07-2025-13-55")</f>
        <v>31-07-2025-13-55</v>
      </c>
      <c r="D28" s="2" t="str">
        <f>TEXT(C28,"yyyy-MM-dd")</f>
        <v>31-07-2025-13-55</v>
      </c>
      <c r="E28" s="12" t="str">
        <f>IFERROR(__xludf.DUMMYFUNCTION("REGEXEXTRACT(D28,""^\d{2}-\d{2}-\d{4}"")"),"31-07-2025")</f>
        <v>31-07-2025</v>
      </c>
      <c r="F28" s="2" t="s">
        <v>5401</v>
      </c>
      <c r="H28" s="10" t="s">
        <v>5401</v>
      </c>
      <c r="I28" s="2" t="s">
        <v>2576</v>
      </c>
      <c r="J28" s="26" t="str">
        <f t="array" ref="J28">IF(ISNA(XLOOKUP(I28,customers_clean!$A$2:$A$701,customers_clean!$A$2:$A$701, NA()) ),
   "❌ MISSING CUSTOMER", "✅")</f>
        <v>✅</v>
      </c>
      <c r="K28" s="2" t="str">
        <f t="array" ref="K28">XLOOKUP(I28,customers_clean!$A$2:$A$701,customers_clean!$C$2:$C$701)</f>
        <v> Rita Lopez</v>
      </c>
      <c r="L28" s="10" t="str">
        <f t="array" ref="L28">XLOOKUP(I28,customers_clean!$A$2:$A$701,customers_clean!$D$2:$D$701)</f>
        <v>Rita Lopez</v>
      </c>
      <c r="M28" s="2" t="str">
        <f t="array" ref="M28">XLOOKUP(I28,customers_clean!$A$2:$A$701,customers_clean!$I$2:$I$701)</f>
        <v>RITA.LOPZE@COMPANY.CO.UK</v>
      </c>
      <c r="N28" s="10" t="str">
        <f t="array" ref="N28">XLOOKUP(I28,customers_clean!$A$2:$A$701,customers_clean!$H$2:$H$701)</f>
        <v>rita.lopze@company.co.uk</v>
      </c>
      <c r="O28" s="9" t="str">
        <f>IFERROR(__xludf.DUMMYFUNCTION("IF(REGEXMATCH(TRIM(N28),""^[A-Za-z0-9._%+-]+@[A-Za-z0-9.-]+\.[A-Za-z]{2,}$""),""✅ Valid"",""❌ Invalid"")"),"✅ Valid")</f>
        <v>✅ Valid</v>
      </c>
      <c r="P28" s="2" t="str">
        <f t="array" ref="P28">XLOOKUP(I28,customers_clean!$A$2:$A$701,customers_clean!$K$2:$K$701)</f>
        <v>+353+55796762</v>
      </c>
      <c r="Q28" s="10" t="str">
        <f t="array" ref="Q28">XLOOKUP(I28,customers_clean!$A$2:$A$701,customers_clean!$N$2:$N$701)</f>
        <v>55796762</v>
      </c>
      <c r="R28" s="9" t="str">
        <f t="array" ref="R28">XLOOKUP(I28,customers_clean!$A$2:$A$701,customers_clean!$Q$2:$Q$701)</f>
        <v>❌ INVALID</v>
      </c>
      <c r="S28" s="10" t="s">
        <v>88</v>
      </c>
      <c r="T28" s="2" t="s">
        <v>59</v>
      </c>
      <c r="U28" s="2" t="s">
        <v>103</v>
      </c>
      <c r="V28" s="2" t="s">
        <v>1109</v>
      </c>
      <c r="W28" s="9" t="str">
        <f t="array" ref="W28">IF(ISNA(XLOOKUP(V28,products_master_corrected!$A$2:$A$151,products_master_corrected!$A$2:$A$151, NA())),
    "❌ MISSING SKU", "✅")</f>
        <v>✅</v>
      </c>
      <c r="X28" s="2" t="s">
        <v>62</v>
      </c>
      <c r="Y28" s="2" t="s">
        <v>826</v>
      </c>
      <c r="Z28" s="10" t="s">
        <v>63</v>
      </c>
      <c r="AA28" s="27">
        <v>1.0</v>
      </c>
      <c r="AB28" s="9" t="s">
        <v>8649</v>
      </c>
      <c r="AC28" s="28">
        <f t="array" ref="AC28">XLOOKUP(V28,products_master_corrected!$A$2:$A$151,products_master_corrected!$E$2:$E$151)</f>
        <v>115.14</v>
      </c>
      <c r="AD28" s="28">
        <f t="shared" si="2"/>
        <v>115.14</v>
      </c>
      <c r="AE28" s="28">
        <f t="array" ref="AE28">XLOOKUP(V28,products_master_corrected!$A$2:$A$151,products_master_corrected!$I$2:$I$151)</f>
        <v>126.93</v>
      </c>
      <c r="AF28" s="29">
        <f t="shared" si="3"/>
        <v>126.93</v>
      </c>
      <c r="AG28" s="32" t="s">
        <v>8660</v>
      </c>
      <c r="AH28" s="2" t="s">
        <v>664</v>
      </c>
      <c r="AI28" s="10" t="s">
        <v>66</v>
      </c>
      <c r="AJ28" s="2" t="s">
        <v>192</v>
      </c>
      <c r="AK28" s="10" t="s">
        <v>192</v>
      </c>
    </row>
    <row r="29" ht="15.75" customHeight="1">
      <c r="A29" s="2" t="s">
        <v>2574</v>
      </c>
      <c r="B29" s="12">
        <v>45907.0</v>
      </c>
      <c r="C29" s="2" t="str">
        <f>IFERROR(__xludf.DUMMYFUNCTION("IF(ISNUMBER(B29),TEXT(B29,""yyyy-MM-dd""),REGEXREPLACE(REGEXREPLACE(TO_TEXT(B29),""[^0-9a-zA-Z]+"",""-""),""[^0-9]*$"",""""))"),"2025-09-07")</f>
        <v>2025-09-07</v>
      </c>
      <c r="D29" s="2" t="s">
        <v>8669</v>
      </c>
      <c r="H29" s="10" t="s">
        <v>8669</v>
      </c>
      <c r="I29" s="2" t="s">
        <v>2576</v>
      </c>
      <c r="J29" s="26" t="str">
        <f t="array" ref="J29">IF(ISNA(XLOOKUP(I29,customers_clean!$A$2:$A$701,customers_clean!$A$2:$A$701, NA()) ),
   "❌ MISSING CUSTOMER", "✅")</f>
        <v>✅</v>
      </c>
      <c r="K29" s="2" t="str">
        <f t="array" ref="K29">XLOOKUP(I29,customers_clean!$A$2:$A$701,customers_clean!$C$2:$C$701)</f>
        <v> Rita Lopez</v>
      </c>
      <c r="L29" s="10" t="str">
        <f t="array" ref="L29">XLOOKUP(I29,customers_clean!$A$2:$A$701,customers_clean!$D$2:$D$701)</f>
        <v>Rita Lopez</v>
      </c>
      <c r="M29" s="2" t="str">
        <f t="array" ref="M29">XLOOKUP(I29,customers_clean!$A$2:$A$701,customers_clean!$I$2:$I$701)</f>
        <v>RITA.LOPZE@COMPANY.CO.UK</v>
      </c>
      <c r="N29" s="10" t="str">
        <f t="array" ref="N29">XLOOKUP(I29,customers_clean!$A$2:$A$701,customers_clean!$H$2:$H$701)</f>
        <v>rita.lopze@company.co.uk</v>
      </c>
      <c r="O29" s="9" t="str">
        <f>IFERROR(__xludf.DUMMYFUNCTION("IF(REGEXMATCH(TRIM(N29),""^[A-Za-z0-9._%+-]+@[A-Za-z0-9.-]+\.[A-Za-z]{2,}$""),""✅ Valid"",""❌ Invalid"")"),"✅ Valid")</f>
        <v>✅ Valid</v>
      </c>
      <c r="P29" s="2" t="str">
        <f t="array" ref="P29">XLOOKUP(I29,customers_clean!$A$2:$A$701,customers_clean!$K$2:$K$701)</f>
        <v>+353+55796762</v>
      </c>
      <c r="Q29" s="10" t="str">
        <f t="array" ref="Q29">XLOOKUP(I29,customers_clean!$A$2:$A$701,customers_clean!$N$2:$N$701)</f>
        <v>55796762</v>
      </c>
      <c r="R29" s="9" t="str">
        <f t="array" ref="R29">XLOOKUP(I29,customers_clean!$A$2:$A$701,customers_clean!$Q$2:$Q$701)</f>
        <v>❌ INVALID</v>
      </c>
      <c r="S29" s="10" t="s">
        <v>88</v>
      </c>
      <c r="T29" s="2" t="s">
        <v>323</v>
      </c>
      <c r="U29" s="2" t="s">
        <v>365</v>
      </c>
      <c r="V29" s="2" t="s">
        <v>353</v>
      </c>
      <c r="W29" s="9" t="str">
        <f t="array" ref="W29">IF(ISNA(XLOOKUP(V29,products_master_corrected!$A$2:$A$151,products_master_corrected!$A$2:$A$151, NA())),
    "❌ MISSING SKU", "✅")</f>
        <v>✅</v>
      </c>
      <c r="X29" s="2" t="s">
        <v>62</v>
      </c>
      <c r="Y29" s="2" t="s">
        <v>355</v>
      </c>
      <c r="Z29" s="10" t="s">
        <v>355</v>
      </c>
      <c r="AA29" s="27">
        <v>2.0</v>
      </c>
      <c r="AB29" s="9" t="s">
        <v>8649</v>
      </c>
      <c r="AC29" s="28">
        <f t="array" ref="AC29">XLOOKUP(V29,products_master_corrected!$A$2:$A$151,products_master_corrected!$E$2:$E$151)</f>
        <v>106.56</v>
      </c>
      <c r="AD29" s="28">
        <f t="shared" si="2"/>
        <v>213.12</v>
      </c>
      <c r="AE29" s="28">
        <f t="array" ref="AE29">XLOOKUP(V29,products_master_corrected!$A$2:$A$151,products_master_corrected!$I$2:$I$151)</f>
        <v>117.47</v>
      </c>
      <c r="AF29" s="29">
        <f t="shared" si="3"/>
        <v>234.94</v>
      </c>
      <c r="AG29" s="32" t="s">
        <v>8660</v>
      </c>
      <c r="AH29" s="2" t="s">
        <v>2581</v>
      </c>
      <c r="AI29" s="10" t="s">
        <v>181</v>
      </c>
      <c r="AJ29" s="2" t="s">
        <v>50</v>
      </c>
      <c r="AK29" s="10" t="s">
        <v>261</v>
      </c>
    </row>
    <row r="30" ht="15.75" customHeight="1">
      <c r="A30" s="2" t="s">
        <v>5375</v>
      </c>
      <c r="B30" s="12" t="s">
        <v>5376</v>
      </c>
      <c r="C30" s="2" t="str">
        <f>IFERROR(__xludf.DUMMYFUNCTION("IF(ISNUMBER(B30),TEXT(B30,""yyyy-MM-dd""),REGEXREPLACE(REGEXREPLACE(TO_TEXT(B30),""[^0-9a-zA-Z]+"",""-""),""[^0-9]*$"",""""))"),"30-11-2024")</f>
        <v>30-11-2024</v>
      </c>
      <c r="D30" s="2" t="s">
        <v>8670</v>
      </c>
      <c r="H30" s="10" t="s">
        <v>8670</v>
      </c>
      <c r="I30" s="2" t="s">
        <v>2346</v>
      </c>
      <c r="J30" s="26" t="str">
        <f t="array" ref="J30">IF(ISNA(XLOOKUP(I30,customers_clean!$A$2:$A$701,customers_clean!$A$2:$A$701, NA()) ),
   "❌ MISSING CUSTOMER", "✅")</f>
        <v>✅</v>
      </c>
      <c r="K30" s="2" t="str">
        <f t="array" ref="K30">XLOOKUP(I30,customers_clean!$A$2:$A$701,customers_clean!$C$2:$C$701)</f>
        <v>KEN MULLER</v>
      </c>
      <c r="L30" s="10" t="str">
        <f t="array" ref="L30">XLOOKUP(I30,customers_clean!$A$2:$A$701,customers_clean!$D$2:$D$701)</f>
        <v>Ken Muller</v>
      </c>
      <c r="M30" s="2" t="str">
        <f t="array" ref="M30">XLOOKUP(I30,customers_clean!$A$2:$A$701,customers_clean!$I$2:$I$701)</f>
        <v>ken.muller@gmail.com</v>
      </c>
      <c r="N30" s="10" t="str">
        <f t="array" ref="N30">XLOOKUP(I30,customers_clean!$A$2:$A$701,customers_clean!$H$2:$H$701)</f>
        <v>ken.muller@gmail.com</v>
      </c>
      <c r="O30" s="9" t="str">
        <f>IFERROR(__xludf.DUMMYFUNCTION("IF(REGEXMATCH(TRIM(N30),""^[A-Za-z0-9._%+-]+@[A-Za-z0-9.-]+\.[A-Za-z]{2,}$""),""✅ Valid"",""❌ Invalid"")"),"✅ Valid")</f>
        <v>✅ Valid</v>
      </c>
      <c r="P30" s="33" t="str">
        <f t="array" ref="P30">XLOOKUP(I30,customers_clean!$A$2:$A$701,customers_clean!$K$2:$K$701)</f>
        <v>+48286084601</v>
      </c>
      <c r="Q30" s="10" t="str">
        <f t="array" ref="Q30">XLOOKUP(I30,customers_clean!$A$2:$A$701,customers_clean!$N$2:$N$701)</f>
        <v>286084601</v>
      </c>
      <c r="R30" s="9" t="str">
        <f t="array" ref="R30">XLOOKUP(I30,customers_clean!$A$2:$A$701,customers_clean!$Q$2:$Q$701)</f>
        <v>❌ INVALID</v>
      </c>
      <c r="S30" s="10" t="s">
        <v>25</v>
      </c>
      <c r="T30" s="2" t="s">
        <v>115</v>
      </c>
      <c r="U30" s="2" t="s">
        <v>90</v>
      </c>
      <c r="V30" s="2" t="s">
        <v>721</v>
      </c>
      <c r="W30" s="9" t="str">
        <f t="array" ref="W30">IF(ISNA(XLOOKUP(V30,products_master_corrected!$A$2:$A$151,products_master_corrected!$A$2:$A$151, NA())),
    "❌ MISSING SKU", "✅")</f>
        <v>✅</v>
      </c>
      <c r="X30" s="2" t="s">
        <v>259</v>
      </c>
      <c r="Y30" s="2" t="s">
        <v>179</v>
      </c>
      <c r="Z30" s="10" t="s">
        <v>179</v>
      </c>
      <c r="AA30" s="27">
        <v>3.0</v>
      </c>
      <c r="AB30" s="9" t="s">
        <v>8649</v>
      </c>
      <c r="AC30" s="28">
        <f t="array" ref="AC30">XLOOKUP(V30,products_master_corrected!$A$2:$A$151,products_master_corrected!$E$2:$E$151)</f>
        <v>20.42</v>
      </c>
      <c r="AD30" s="28">
        <f t="shared" si="2"/>
        <v>61.26</v>
      </c>
      <c r="AE30" s="28">
        <f t="array" ref="AE30">XLOOKUP(V30,products_master_corrected!$A$2:$A$151,products_master_corrected!$K$2:$K$151)</f>
        <v>105.06</v>
      </c>
      <c r="AF30" s="29">
        <f t="shared" si="3"/>
        <v>315.18</v>
      </c>
      <c r="AG30" s="30" t="s">
        <v>95</v>
      </c>
      <c r="AH30" s="2" t="s">
        <v>414</v>
      </c>
      <c r="AI30" s="10" t="s">
        <v>49</v>
      </c>
      <c r="AJ30" s="2" t="s">
        <v>818</v>
      </c>
      <c r="AK30" s="10" t="s">
        <v>818</v>
      </c>
    </row>
    <row r="31" ht="15.75" customHeight="1">
      <c r="A31" s="2" t="s">
        <v>2344</v>
      </c>
      <c r="B31" s="12">
        <v>45001.0</v>
      </c>
      <c r="C31" s="2" t="str">
        <f>IFERROR(__xludf.DUMMYFUNCTION("IF(ISNUMBER(B31),TEXT(B31,""yyyy-MM-dd""),REGEXREPLACE(REGEXREPLACE(TO_TEXT(B31),""[^0-9a-zA-Z]+"",""-""),""[^0-9]*$"",""""))"),"2023-03-16")</f>
        <v>2023-03-16</v>
      </c>
      <c r="D31" s="2" t="s">
        <v>8315</v>
      </c>
      <c r="H31" s="10" t="s">
        <v>8315</v>
      </c>
      <c r="I31" s="2" t="s">
        <v>2346</v>
      </c>
      <c r="J31" s="26" t="str">
        <f t="array" ref="J31">IF(ISNA(XLOOKUP(I31,customers_clean!$A$2:$A$701,customers_clean!$A$2:$A$701, NA()) ),
   "❌ MISSING CUSTOMER", "✅")</f>
        <v>✅</v>
      </c>
      <c r="K31" s="2" t="str">
        <f t="array" ref="K31">XLOOKUP(I31,customers_clean!$A$2:$A$701,customers_clean!$C$2:$C$701)</f>
        <v>KEN MULLER</v>
      </c>
      <c r="L31" s="10" t="str">
        <f t="array" ref="L31">XLOOKUP(I31,customers_clean!$A$2:$A$701,customers_clean!$D$2:$D$701)</f>
        <v>Ken Muller</v>
      </c>
      <c r="M31" s="2" t="str">
        <f t="array" ref="M31">XLOOKUP(I31,customers_clean!$A$2:$A$701,customers_clean!$I$2:$I$701)</f>
        <v>ken.muller@gmail.com</v>
      </c>
      <c r="N31" s="10" t="str">
        <f t="array" ref="N31">XLOOKUP(I31,customers_clean!$A$2:$A$701,customers_clean!$H$2:$H$701)</f>
        <v>ken.muller@gmail.com</v>
      </c>
      <c r="O31" s="9" t="str">
        <f>IFERROR(__xludf.DUMMYFUNCTION("IF(REGEXMATCH(TRIM(N31),""^[A-Za-z0-9._%+-]+@[A-Za-z0-9.-]+\.[A-Za-z]{2,}$""),""✅ Valid"",""❌ Invalid"")"),"✅ Valid")</f>
        <v>✅ Valid</v>
      </c>
      <c r="P31" s="33" t="str">
        <f t="array" ref="P31">XLOOKUP(I31,customers_clean!$A$2:$A$701,customers_clean!$K$2:$K$701)</f>
        <v>+48286084601</v>
      </c>
      <c r="Q31" s="10" t="str">
        <f t="array" ref="Q31">XLOOKUP(I31,customers_clean!$A$2:$A$701,customers_clean!$N$2:$N$701)</f>
        <v>286084601</v>
      </c>
      <c r="R31" s="9" t="str">
        <f t="array" ref="R31">XLOOKUP(I31,customers_clean!$A$2:$A$701,customers_clean!$Q$2:$Q$701)</f>
        <v>❌ INVALID</v>
      </c>
      <c r="S31" s="10" t="s">
        <v>25</v>
      </c>
      <c r="T31" s="2" t="s">
        <v>1167</v>
      </c>
      <c r="U31" s="2" t="s">
        <v>312</v>
      </c>
      <c r="V31" s="2" t="s">
        <v>246</v>
      </c>
      <c r="W31" s="9" t="str">
        <f t="array" ref="W31">IF(ISNA(XLOOKUP(V31,products_master_corrected!$A$2:$A$151,products_master_corrected!$A$2:$A$151, NA())),
    "❌ MISSING SKU", "✅")</f>
        <v>✅</v>
      </c>
      <c r="X31" s="2" t="s">
        <v>1138</v>
      </c>
      <c r="Y31" s="2" t="s">
        <v>248</v>
      </c>
      <c r="Z31" s="10" t="s">
        <v>248</v>
      </c>
      <c r="AA31" s="27">
        <v>1.0</v>
      </c>
      <c r="AB31" s="9" t="s">
        <v>8649</v>
      </c>
      <c r="AC31" s="28">
        <f t="array" ref="AC31">XLOOKUP(V31,products_master_corrected!$A$2:$A$151,products_master_corrected!$E$2:$E$151)</f>
        <v>259.62</v>
      </c>
      <c r="AD31" s="28">
        <f t="shared" si="2"/>
        <v>259.62</v>
      </c>
      <c r="AE31" s="28">
        <f t="array" ref="AE31">XLOOKUP(V31,products_master_corrected!$A$2:$A$151,products_master_corrected!$K$2:$K$151)</f>
        <v>1335.74</v>
      </c>
      <c r="AF31" s="29">
        <f t="shared" si="3"/>
        <v>1335.74</v>
      </c>
      <c r="AG31" s="30" t="s">
        <v>95</v>
      </c>
      <c r="AH31" s="2" t="s">
        <v>181</v>
      </c>
      <c r="AI31" s="10" t="s">
        <v>181</v>
      </c>
      <c r="AJ31" s="2" t="s">
        <v>80</v>
      </c>
      <c r="AK31" s="10" t="s">
        <v>80</v>
      </c>
      <c r="AL31" s="2" t="s">
        <v>133</v>
      </c>
    </row>
    <row r="32" ht="15.75" customHeight="1">
      <c r="A32" s="2" t="s">
        <v>2967</v>
      </c>
      <c r="B32" s="12">
        <v>45634.0</v>
      </c>
      <c r="C32" s="2" t="str">
        <f>IFERROR(__xludf.DUMMYFUNCTION("IF(ISNUMBER(B32),TEXT(B32,""yyyy-MM-dd""),REGEXREPLACE(REGEXREPLACE(TO_TEXT(B32),""[^0-9a-zA-Z]+"",""-""),""[^0-9]*$"",""""))"),"2024-12-08")</f>
        <v>2024-12-08</v>
      </c>
      <c r="D32" s="2" t="s">
        <v>8671</v>
      </c>
      <c r="H32" s="10" t="s">
        <v>8671</v>
      </c>
      <c r="I32" s="2" t="s">
        <v>2969</v>
      </c>
      <c r="J32" s="26" t="str">
        <f t="array" ref="J32">IF(ISNA(XLOOKUP(I32,customers_clean!$A$2:$A$701,customers_clean!$A$2:$A$701, NA()) ),
   "❌ MISSING CUSTOMER", "✅")</f>
        <v>✅</v>
      </c>
      <c r="K32" s="2" t="str">
        <f t="array" ref="K32">XLOOKUP(I32,customers_clean!$A$2:$A$701,customers_clean!$C$2:$C$701)</f>
        <v>Gabe Khan</v>
      </c>
      <c r="L32" s="10" t="str">
        <f t="array" ref="L32">XLOOKUP(I32,customers_clean!$A$2:$A$701,customers_clean!$D$2:$D$701)</f>
        <v>Gabe Khan</v>
      </c>
      <c r="M32" s="2" t="str">
        <f t="array" ref="M32">XLOOKUP(I32,customers_clean!$A$2:$A$701,customers_clean!$I$2:$I$701)</f>
        <v>gabe.khan@company.co.uk</v>
      </c>
      <c r="N32" s="10" t="str">
        <f t="array" ref="N32">XLOOKUP(I32,customers_clean!$A$2:$A$701,customers_clean!$H$2:$H$701)</f>
        <v>gabe.khan@company.co.uk</v>
      </c>
      <c r="O32" s="9" t="str">
        <f>IFERROR(__xludf.DUMMYFUNCTION("IF(REGEXMATCH(TRIM(N32),""^[A-Za-z0-9._%+-]+@[A-Za-z0-9.-]+\.[A-Za-z]{2,}$""),""✅ Valid"",""❌ Invalid"")"),"✅ Valid")</f>
        <v>✅ Valid</v>
      </c>
      <c r="P32" s="2">
        <f t="array" ref="P32">XLOOKUP(I32,customers_clean!$A$2:$A$701,customers_clean!$K$2:$K$701)</f>
        <v>759927642</v>
      </c>
      <c r="Q32" s="10" t="str">
        <f t="array" ref="Q32">XLOOKUP(I32,customers_clean!$A$2:$A$701,customers_clean!$N$2:$N$701)</f>
        <v>759927642</v>
      </c>
      <c r="R32" s="9" t="str">
        <f t="array" ref="R32">XLOOKUP(I32,customers_clean!$A$2:$A$701,customers_clean!$Q$2:$Q$701)</f>
        <v>❌ INVALID</v>
      </c>
      <c r="S32" s="10" t="s">
        <v>608</v>
      </c>
      <c r="T32" s="2" t="s">
        <v>400</v>
      </c>
      <c r="U32" s="2" t="s">
        <v>401</v>
      </c>
      <c r="V32" s="2" t="s">
        <v>803</v>
      </c>
      <c r="W32" s="9" t="str">
        <f t="array" ref="W32">IF(ISNA(XLOOKUP(V32,products_master_corrected!$A$2:$A$151,products_master_corrected!$A$2:$A$151, NA())),
    "❌ MISSING SKU", "✅")</f>
        <v>✅</v>
      </c>
      <c r="X32" s="2" t="s">
        <v>804</v>
      </c>
      <c r="Y32" s="2" t="s">
        <v>805</v>
      </c>
      <c r="Z32" s="10" t="s">
        <v>355</v>
      </c>
      <c r="AA32" s="27">
        <v>2.0</v>
      </c>
      <c r="AB32" s="9" t="s">
        <v>8649</v>
      </c>
      <c r="AC32" s="28">
        <f t="array" ref="AC32">XLOOKUP(V32,products_master_corrected!$A$2:$A$151,products_master_corrected!$E$2:$E$151)</f>
        <v>20.39</v>
      </c>
      <c r="AD32" s="28">
        <f t="shared" si="2"/>
        <v>40.78</v>
      </c>
      <c r="AE32" s="28">
        <f t="array" ref="AE32">XLOOKUP(V32,products_master_corrected!$A$2:$A$151,products_master_corrected!$H$2:$H$151)</f>
        <v>22.91</v>
      </c>
      <c r="AF32" s="29">
        <f t="shared" si="3"/>
        <v>45.82</v>
      </c>
      <c r="AG32" s="32" t="s">
        <v>8658</v>
      </c>
      <c r="AH32" s="2" t="s">
        <v>181</v>
      </c>
      <c r="AI32" s="10" t="s">
        <v>181</v>
      </c>
      <c r="AJ32" s="2" t="s">
        <v>306</v>
      </c>
      <c r="AK32" s="10" t="s">
        <v>192</v>
      </c>
    </row>
    <row r="33" ht="15.75" customHeight="1">
      <c r="A33" s="2" t="s">
        <v>5516</v>
      </c>
      <c r="B33" s="12">
        <v>45682.0</v>
      </c>
      <c r="C33" s="2" t="str">
        <f>IFERROR(__xludf.DUMMYFUNCTION("IF(ISNUMBER(B33),TEXT(B33,""yyyy-MM-dd""),REGEXREPLACE(REGEXREPLACE(TO_TEXT(B33),""[^0-9a-zA-Z]+"",""-""),""[^0-9]*$"",""""))"),"2025-01-25")</f>
        <v>2025-01-25</v>
      </c>
      <c r="D33" s="2" t="s">
        <v>8672</v>
      </c>
      <c r="H33" s="10" t="s">
        <v>8672</v>
      </c>
      <c r="I33" s="2" t="s">
        <v>5518</v>
      </c>
      <c r="J33" s="26" t="str">
        <f t="array" ref="J33">IF(ISNA(XLOOKUP(I33,customers_clean!$A$2:$A$701,customers_clean!$A$2:$A$701, NA()) ),
   "❌ MISSING CUSTOMER", "✅")</f>
        <v>✅</v>
      </c>
      <c r="K33" s="2" t="str">
        <f t="array" ref="K33">XLOOKUP(I33,customers_clean!$A$2:$A$701,customers_clean!$C$2:$C$701)</f>
        <v>Adam Johnson</v>
      </c>
      <c r="L33" s="10" t="str">
        <f t="array" ref="L33">XLOOKUP(I33,customers_clean!$A$2:$A$701,customers_clean!$D$2:$D$701)</f>
        <v>Adam Johnson</v>
      </c>
      <c r="M33" s="2" t="str">
        <f t="array" ref="M33">XLOOKUP(I33,customers_clean!$A$2:$A$701,customers_clean!$I$2:$I$701)</f>
        <v/>
      </c>
      <c r="N33" s="10" t="str">
        <f t="array" ref="N33">XLOOKUP(I33,customers_clean!$A$2:$A$701,customers_clean!$H$2:$H$701)</f>
        <v/>
      </c>
      <c r="O33" s="9" t="str">
        <f>IFERROR(__xludf.DUMMYFUNCTION("IF(REGEXMATCH(TRIM(N33),""^[A-Za-z0-9._%+-]+@[A-Za-z0-9.-]+\.[A-Za-z]{2,}$""),""✅ Valid"",""❌ Invalid"")"),"❌ Invalid")</f>
        <v>❌ Invalid</v>
      </c>
      <c r="P33" s="2" t="str">
        <f t="array" ref="P33">XLOOKUP(I33,customers_clean!$A$2:$A$701,customers_clean!$K$2:$K$701)</f>
        <v>04528 214 956</v>
      </c>
      <c r="Q33" s="10" t="str">
        <f t="array" ref="Q33">XLOOKUP(I33,customers_clean!$A$2:$A$701,customers_clean!$N$2:$N$701)</f>
        <v/>
      </c>
      <c r="R33" s="9" t="str">
        <f t="array" ref="R33">XLOOKUP(I33,customers_clean!$A$2:$A$701,customers_clean!$Q$2:$Q$701)</f>
        <v/>
      </c>
      <c r="S33" s="10" t="s">
        <v>25</v>
      </c>
      <c r="T33" s="2" t="s">
        <v>210</v>
      </c>
      <c r="U33" s="2" t="s">
        <v>176</v>
      </c>
      <c r="V33" s="2" t="s">
        <v>1168</v>
      </c>
      <c r="W33" s="9" t="str">
        <f t="array" ref="W33">IF(ISNA(XLOOKUP(V33,products_master_corrected!$A$2:$A$151,products_master_corrected!$A$2:$A$151, NA())),
    "❌ MISSING SKU", "✅")</f>
        <v>✅</v>
      </c>
      <c r="X33" s="2" t="s">
        <v>423</v>
      </c>
      <c r="Y33" s="2" t="s">
        <v>63</v>
      </c>
      <c r="Z33" s="10" t="s">
        <v>63</v>
      </c>
      <c r="AA33" s="27">
        <v>3.0</v>
      </c>
      <c r="AB33" s="9" t="s">
        <v>8649</v>
      </c>
      <c r="AC33" s="28">
        <f t="array" ref="AC33">XLOOKUP(V33,products_master_corrected!$A$2:$A$151,products_master_corrected!$E$2:$E$151)</f>
        <v>106.64</v>
      </c>
      <c r="AD33" s="28">
        <f t="shared" si="2"/>
        <v>319.92</v>
      </c>
      <c r="AE33" s="28">
        <f t="array" ref="AE33">XLOOKUP(V33,products_master_corrected!$A$2:$A$151,products_master_corrected!$K$2:$K$151)</f>
        <v>548.66</v>
      </c>
      <c r="AF33" s="29">
        <f t="shared" si="3"/>
        <v>1645.98</v>
      </c>
      <c r="AG33" s="30" t="s">
        <v>95</v>
      </c>
      <c r="AH33" s="2" t="s">
        <v>181</v>
      </c>
      <c r="AI33" s="10" t="s">
        <v>181</v>
      </c>
      <c r="AJ33" s="2" t="s">
        <v>1312</v>
      </c>
      <c r="AK33" s="10" t="s">
        <v>818</v>
      </c>
    </row>
    <row r="34" ht="15.75" customHeight="1">
      <c r="A34" s="2" t="s">
        <v>6169</v>
      </c>
      <c r="B34" s="12" t="s">
        <v>6170</v>
      </c>
      <c r="C34" s="2" t="str">
        <f>IFERROR(__xludf.DUMMYFUNCTION("IF(ISNUMBER(B34),TEXT(B34,""yyyy-MM-dd""),REGEXREPLACE(REGEXREPLACE(TO_TEXT(B34),""[^0-9a-zA-Z]+"",""-""),""[^0-9]*$"",""""))"),"08-24-2023")</f>
        <v>08-24-2023</v>
      </c>
      <c r="D34" s="2" t="str">
        <f t="shared" ref="D34:D35" si="4">TEXT(C34,"yyyy-MM-dd")</f>
        <v>08-24-2023</v>
      </c>
      <c r="E34" s="2" t="s">
        <v>987</v>
      </c>
      <c r="H34" s="10" t="s">
        <v>987</v>
      </c>
      <c r="I34" s="2" t="s">
        <v>6171</v>
      </c>
      <c r="J34" s="26" t="str">
        <f t="array" ref="J34">IF(ISNA(XLOOKUP(I34,customers_clean!$A$2:$A$701,customers_clean!$A$2:$A$701, NA()) ),
   "❌ MISSING CUSTOMER", "✅")</f>
        <v>✅</v>
      </c>
      <c r="K34" s="2" t="str">
        <f t="array" ref="K34">XLOOKUP(I34,customers_clean!$A$2:$A$701,customers_clean!$C$2:$C$701)</f>
        <v>Jade King</v>
      </c>
      <c r="L34" s="10" t="str">
        <f t="array" ref="L34">XLOOKUP(I34,customers_clean!$A$2:$A$701,customers_clean!$D$2:$D$701)</f>
        <v>Jade King</v>
      </c>
      <c r="M34" s="2" t="str">
        <f t="array" ref="M34">XLOOKUP(I34,customers_clean!$A$2:$A$701,customers_clean!$I$2:$I$701)</f>
        <v> jadek.ing@outlook.com</v>
      </c>
      <c r="N34" s="10" t="str">
        <f t="array" ref="N34">XLOOKUP(I34,customers_clean!$A$2:$A$701,customers_clean!$H$2:$H$701)</f>
        <v>jadek.ing@outlook.com</v>
      </c>
      <c r="O34" s="9" t="str">
        <f>IFERROR(__xludf.DUMMYFUNCTION("IF(REGEXMATCH(TRIM(N34),""^[A-Za-z0-9._%+-]+@[A-Za-z0-9.-]+\.[A-Za-z]{2,}$""),""✅ Valid"",""❌ Invalid"")"),"✅ Valid")</f>
        <v>✅ Valid</v>
      </c>
      <c r="P34" s="33" t="str">
        <f t="array" ref="P34">XLOOKUP(I34,customers_clean!$A$2:$A$701,customers_clean!$K$2:$K$701)</f>
        <v>+48-946-661012</v>
      </c>
      <c r="Q34" s="10" t="str">
        <f t="array" ref="Q34">XLOOKUP(I34,customers_clean!$A$2:$A$701,customers_clean!$N$2:$N$701)</f>
        <v>946661012</v>
      </c>
      <c r="R34" s="9" t="str">
        <f t="array" ref="R34">XLOOKUP(I34,customers_clean!$A$2:$A$701,customers_clean!$Q$2:$Q$701)</f>
        <v>❌ INVALID</v>
      </c>
      <c r="S34" s="10" t="s">
        <v>25</v>
      </c>
      <c r="T34" s="2" t="s">
        <v>115</v>
      </c>
      <c r="U34" s="2" t="s">
        <v>1245</v>
      </c>
      <c r="V34" s="2" t="s">
        <v>390</v>
      </c>
      <c r="W34" s="9" t="str">
        <f t="array" ref="W34">IF(ISNA(XLOOKUP(V34,products_master_corrected!$A$2:$A$151,products_master_corrected!$A$2:$A$151, NA())),
    "❌ MISSING SKU", "✅")</f>
        <v>✅</v>
      </c>
      <c r="X34" s="2" t="s">
        <v>8673</v>
      </c>
      <c r="Y34" s="2" t="s">
        <v>248</v>
      </c>
      <c r="Z34" s="10" t="s">
        <v>248</v>
      </c>
      <c r="AA34" s="27">
        <v>3.0</v>
      </c>
      <c r="AB34" s="9" t="s">
        <v>8649</v>
      </c>
      <c r="AC34" s="28">
        <f t="array" ref="AC34">XLOOKUP(V34,products_master_corrected!$A$2:$A$151,products_master_corrected!$E$2:$E$151)</f>
        <v>310.34</v>
      </c>
      <c r="AD34" s="28">
        <f t="shared" si="2"/>
        <v>931.02</v>
      </c>
      <c r="AE34" s="28">
        <f t="array" ref="AE34">XLOOKUP(V34,products_master_corrected!$A$2:$A$151,products_master_corrected!$K$2:$K$151)</f>
        <v>1596.7</v>
      </c>
      <c r="AF34" s="29">
        <f t="shared" si="3"/>
        <v>4790.1</v>
      </c>
      <c r="AG34" s="30" t="s">
        <v>95</v>
      </c>
      <c r="AH34" s="2" t="s">
        <v>143</v>
      </c>
      <c r="AI34" s="10" t="s">
        <v>143</v>
      </c>
      <c r="AJ34" s="2" t="s">
        <v>294</v>
      </c>
      <c r="AK34" s="10" t="s">
        <v>80</v>
      </c>
      <c r="AL34" s="2" t="s">
        <v>51</v>
      </c>
    </row>
    <row r="35" ht="15.75" customHeight="1">
      <c r="A35" s="2" t="s">
        <v>5534</v>
      </c>
      <c r="B35" s="12" t="s">
        <v>5535</v>
      </c>
      <c r="C35" s="2" t="str">
        <f>IFERROR(__xludf.DUMMYFUNCTION("IF(ISNUMBER(B35),TEXT(B35,""yyyy-MM-dd""),REGEXREPLACE(REGEXREPLACE(TO_TEXT(B35),""[^0-9a-zA-Z]+"",""-""),""[^0-9]*$"",""""))"),"44928-11-02")</f>
        <v>44928-11-02</v>
      </c>
      <c r="D35" s="2" t="str">
        <f t="shared" si="4"/>
        <v>44928-11-02</v>
      </c>
      <c r="E35" s="25" t="str">
        <f>CONCATENATE(LEFT(D35,5))</f>
        <v>44928</v>
      </c>
      <c r="F35" s="12">
        <f>DATE(1900,1,1) + E35 - 1</f>
        <v>44929</v>
      </c>
      <c r="G35" s="2" t="s">
        <v>7923</v>
      </c>
      <c r="H35" s="10" t="s">
        <v>7923</v>
      </c>
      <c r="I35" s="2" t="s">
        <v>2127</v>
      </c>
      <c r="J35" s="26" t="str">
        <f t="array" ref="J35">IF(ISNA(XLOOKUP(I35,customers_clean!$A$2:$A$701,customers_clean!$A$2:$A$701, NA()) ),
   "❌ MISSING CUSTOMER", "✅")</f>
        <v>✅</v>
      </c>
      <c r="K35" s="2" t="str">
        <f t="array" ref="K35">XLOOKUP(I35,customers_clean!$A$2:$A$701,customers_clean!$C$2:$C$701)</f>
        <v>Omar Martinez</v>
      </c>
      <c r="L35" s="10" t="str">
        <f t="array" ref="L35">XLOOKUP(I35,customers_clean!$A$2:$A$701,customers_clean!$D$2:$D$701)</f>
        <v>Omar Martinez</v>
      </c>
      <c r="M35" s="2" t="str">
        <f t="array" ref="M35">XLOOKUP(I35,customers_clean!$A$2:$A$701,customers_clean!$I$2:$I$701)</f>
        <v>Omar.Martinez@Company.Co.Uk</v>
      </c>
      <c r="N35" s="10" t="str">
        <f t="array" ref="N35">XLOOKUP(I35,customers_clean!$A$2:$A$701,customers_clean!$H$2:$H$701)</f>
        <v>omar.martinez@company.co.uk</v>
      </c>
      <c r="O35" s="9" t="str">
        <f>IFERROR(__xludf.DUMMYFUNCTION("IF(REGEXMATCH(TRIM(N35),""^[A-Za-z0-9._%+-]+@[A-Za-z0-9.-]+\.[A-Za-z]{2,}$""),""✅ Valid"",""❌ Invalid"")"),"✅ Valid")</f>
        <v>✅ Valid</v>
      </c>
      <c r="P35" s="2" t="str">
        <f t="array" ref="P35">XLOOKUP(I35,customers_clean!$A$2:$A$701,customers_clean!$K$2:$K$701)</f>
        <v>+49-753-01379</v>
      </c>
      <c r="Q35" s="10" t="str">
        <f t="array" ref="Q35">XLOOKUP(I35,customers_clean!$A$2:$A$701,customers_clean!$N$2:$N$701)</f>
        <v>75301379</v>
      </c>
      <c r="R35" s="9" t="str">
        <f t="array" ref="R35">XLOOKUP(I35,customers_clean!$A$2:$A$701,customers_clean!$Q$2:$Q$701)</f>
        <v>❌ INVALID</v>
      </c>
      <c r="S35" s="10" t="s">
        <v>608</v>
      </c>
      <c r="T35" s="2" t="s">
        <v>59</v>
      </c>
      <c r="U35" s="2" t="s">
        <v>43</v>
      </c>
      <c r="V35" s="2" t="s">
        <v>471</v>
      </c>
      <c r="W35" s="9" t="str">
        <f t="array" ref="W35">IF(ISNA(XLOOKUP(V35,products_master_corrected!$A$2:$A$151,products_master_corrected!$A$2:$A$151, NA())),
    "❌ MISSING SKU", "✅")</f>
        <v>✅</v>
      </c>
      <c r="X35" s="2" t="s">
        <v>29</v>
      </c>
      <c r="Y35" s="2" t="s">
        <v>179</v>
      </c>
      <c r="Z35" s="10" t="s">
        <v>179</v>
      </c>
      <c r="AA35" s="27">
        <v>2.0</v>
      </c>
      <c r="AB35" s="9" t="s">
        <v>8649</v>
      </c>
      <c r="AC35" s="28">
        <f t="array" ref="AC35">XLOOKUP(V35,products_master_corrected!$A$2:$A$151,products_master_corrected!$E$2:$E$151)</f>
        <v>71.8</v>
      </c>
      <c r="AD35" s="28">
        <f t="shared" si="2"/>
        <v>143.6</v>
      </c>
      <c r="AE35" s="28">
        <f t="array" ref="AE35">XLOOKUP(V35,products_master_corrected!$A$2:$A$151,products_master_corrected!$H$2:$H$151)</f>
        <v>80.67</v>
      </c>
      <c r="AF35" s="29">
        <f t="shared" si="3"/>
        <v>161.34</v>
      </c>
      <c r="AG35" s="32" t="s">
        <v>8658</v>
      </c>
      <c r="AH35" s="2" t="s">
        <v>66</v>
      </c>
      <c r="AI35" s="10" t="s">
        <v>66</v>
      </c>
      <c r="AJ35" s="2" t="s">
        <v>80</v>
      </c>
      <c r="AK35" s="10" t="s">
        <v>80</v>
      </c>
    </row>
    <row r="36" ht="15.75" customHeight="1">
      <c r="A36" s="2" t="s">
        <v>2125</v>
      </c>
      <c r="B36" s="12">
        <v>45524.0</v>
      </c>
      <c r="C36" s="2" t="str">
        <f>IFERROR(__xludf.DUMMYFUNCTION("IF(ISNUMBER(B36),TEXT(B36,""yyyy-MM-dd""),REGEXREPLACE(REGEXREPLACE(TO_TEXT(B36),""[^0-9a-zA-Z]+"",""-""),""[^0-9]*$"",""""))"),"2024-08-20")</f>
        <v>2024-08-20</v>
      </c>
      <c r="D36" s="2" t="s">
        <v>7734</v>
      </c>
      <c r="H36" s="10" t="s">
        <v>7734</v>
      </c>
      <c r="I36" s="2" t="s">
        <v>2127</v>
      </c>
      <c r="J36" s="26" t="str">
        <f t="array" ref="J36">IF(ISNA(XLOOKUP(I36,customers_clean!$A$2:$A$701,customers_clean!$A$2:$A$701, NA()) ),
   "❌ MISSING CUSTOMER", "✅")</f>
        <v>✅</v>
      </c>
      <c r="K36" s="2" t="str">
        <f t="array" ref="K36">XLOOKUP(I36,customers_clean!$A$2:$A$701,customers_clean!$C$2:$C$701)</f>
        <v>Omar Martinez</v>
      </c>
      <c r="L36" s="10" t="str">
        <f t="array" ref="L36">XLOOKUP(I36,customers_clean!$A$2:$A$701,customers_clean!$D$2:$D$701)</f>
        <v>Omar Martinez</v>
      </c>
      <c r="M36" s="2" t="str">
        <f t="array" ref="M36">XLOOKUP(I36,customers_clean!$A$2:$A$701,customers_clean!$I$2:$I$701)</f>
        <v>Omar.Martinez@Company.Co.Uk</v>
      </c>
      <c r="N36" s="10" t="str">
        <f t="array" ref="N36">XLOOKUP(I36,customers_clean!$A$2:$A$701,customers_clean!$H$2:$H$701)</f>
        <v>omar.martinez@company.co.uk</v>
      </c>
      <c r="O36" s="9" t="str">
        <f>IFERROR(__xludf.DUMMYFUNCTION("IF(REGEXMATCH(TRIM(N36),""^[A-Za-z0-9._%+-]+@[A-Za-z0-9.-]+\.[A-Za-z]{2,}$""),""✅ Valid"",""❌ Invalid"")"),"✅ Valid")</f>
        <v>✅ Valid</v>
      </c>
      <c r="P36" s="2" t="str">
        <f t="array" ref="P36">XLOOKUP(I36,customers_clean!$A$2:$A$701,customers_clean!$K$2:$K$701)</f>
        <v>+49-753-01379</v>
      </c>
      <c r="Q36" s="10" t="str">
        <f t="array" ref="Q36">XLOOKUP(I36,customers_clean!$A$2:$A$701,customers_clean!$N$2:$N$701)</f>
        <v>75301379</v>
      </c>
      <c r="R36" s="9" t="str">
        <f t="array" ref="R36">XLOOKUP(I36,customers_clean!$A$2:$A$701,customers_clean!$Q$2:$Q$701)</f>
        <v>❌ INVALID</v>
      </c>
      <c r="S36" s="10" t="s">
        <v>608</v>
      </c>
      <c r="T36" s="2" t="s">
        <v>42</v>
      </c>
      <c r="U36" s="2" t="s">
        <v>103</v>
      </c>
      <c r="V36" s="2" t="s">
        <v>1632</v>
      </c>
      <c r="W36" s="9" t="str">
        <f t="array" ref="W36">IF(ISNA(XLOOKUP(V36,products_master_corrected!$A$2:$A$151,products_master_corrected!$A$2:$A$151, NA())),
    "❌ MISSING SKU", "✅")</f>
        <v>✅</v>
      </c>
      <c r="X36" s="2" t="s">
        <v>994</v>
      </c>
      <c r="Y36" s="2" t="s">
        <v>742</v>
      </c>
      <c r="Z36" s="10" t="s">
        <v>355</v>
      </c>
      <c r="AA36" s="27">
        <v>2.0</v>
      </c>
      <c r="AB36" s="9" t="s">
        <v>8649</v>
      </c>
      <c r="AC36" s="28">
        <f t="array" ref="AC36">XLOOKUP(V36,products_master_corrected!$A$2:$A$151,products_master_corrected!$E$2:$E$151)</f>
        <v>362.35</v>
      </c>
      <c r="AD36" s="28">
        <f t="shared" si="2"/>
        <v>724.7</v>
      </c>
      <c r="AE36" s="28">
        <f t="array" ref="AE36">XLOOKUP(V36,products_master_corrected!$A$2:$A$151,products_master_corrected!$H$2:$H$151)</f>
        <v>407.1</v>
      </c>
      <c r="AF36" s="29">
        <f t="shared" si="3"/>
        <v>814.2</v>
      </c>
      <c r="AG36" s="32" t="s">
        <v>8658</v>
      </c>
      <c r="AH36" s="2" t="s">
        <v>505</v>
      </c>
      <c r="AI36" s="10" t="s">
        <v>181</v>
      </c>
      <c r="AJ36" s="2" t="s">
        <v>432</v>
      </c>
      <c r="AK36" s="10" t="s">
        <v>80</v>
      </c>
    </row>
    <row r="37" ht="15.75" customHeight="1">
      <c r="A37" s="2" t="s">
        <v>5379</v>
      </c>
      <c r="B37" s="12">
        <v>45595.0</v>
      </c>
      <c r="C37" s="2" t="str">
        <f>IFERROR(__xludf.DUMMYFUNCTION("IF(ISNUMBER(B37),TEXT(B37,""yyyy-MM-dd""),REGEXREPLACE(REGEXREPLACE(TO_TEXT(B37),""[^0-9a-zA-Z]+"",""-""),""[^0-9]*$"",""""))"),"2024-10-30")</f>
        <v>2024-10-30</v>
      </c>
      <c r="D37" s="2" t="s">
        <v>8674</v>
      </c>
      <c r="H37" s="10" t="s">
        <v>8674</v>
      </c>
      <c r="I37" s="2" t="s">
        <v>1887</v>
      </c>
      <c r="J37" s="26" t="str">
        <f t="array" ref="J37">IF(ISNA(XLOOKUP(I37,customers_clean!$A$2:$A$701,customers_clean!$A$2:$A$701, NA()) ),
   "❌ MISSING CUSTOMER", "✅")</f>
        <v>✅</v>
      </c>
      <c r="K37" s="2" t="str">
        <f t="array" ref="K37">XLOOKUP(I37,customers_clean!$A$2:$A$701,customers_clean!$C$2:$C$701)</f>
        <v>Qi Kowalczyk</v>
      </c>
      <c r="L37" s="10" t="str">
        <f t="array" ref="L37">XLOOKUP(I37,customers_clean!$A$2:$A$701,customers_clean!$D$2:$D$701)</f>
        <v>Qi Kowalczyk</v>
      </c>
      <c r="M37" s="2" t="str">
        <f t="array" ref="M37">XLOOKUP(I37,customers_clean!$A$2:$A$701,customers_clean!$I$2:$I$701)</f>
        <v>qi.kowalczyk@example.com</v>
      </c>
      <c r="N37" s="10" t="str">
        <f t="array" ref="N37">XLOOKUP(I37,customers_clean!$A$2:$A$701,customers_clean!$H$2:$H$701)</f>
        <v>qi.kowalczyk@example.com</v>
      </c>
      <c r="O37" s="9" t="str">
        <f>IFERROR(__xludf.DUMMYFUNCTION("IF(REGEXMATCH(TRIM(N37),""^[A-Za-z0-9._%+-]+@[A-Za-z0-9.-]+\.[A-Za-z]{2,}$""),""✅ Valid"",""❌ Invalid"")"),"✅ Valid")</f>
        <v>✅ Valid</v>
      </c>
      <c r="P37" s="2" t="str">
        <f t="array" ref="P37">XLOOKUP(I37,customers_clean!$A$2:$A$701,customers_clean!$K$2:$K$701)</f>
        <v>tel:+1769121343</v>
      </c>
      <c r="Q37" s="10" t="str">
        <f t="array" ref="Q37">XLOOKUP(I37,customers_clean!$A$2:$A$701,customers_clean!$N$2:$N$701)</f>
        <v>769121343</v>
      </c>
      <c r="R37" s="9" t="str">
        <f t="array" ref="R37">XLOOKUP(I37,customers_clean!$A$2:$A$701,customers_clean!$Q$2:$Q$701)</f>
        <v>❌ INVALID</v>
      </c>
      <c r="S37" s="10" t="s">
        <v>448</v>
      </c>
      <c r="T37" s="2" t="s">
        <v>802</v>
      </c>
      <c r="U37" s="2" t="s">
        <v>43</v>
      </c>
      <c r="V37" s="2" t="s">
        <v>290</v>
      </c>
      <c r="W37" s="9" t="str">
        <f t="array" ref="W37">IF(ISNA(XLOOKUP(V37,products_master_corrected!$A$2:$A$151,products_master_corrected!$A$2:$A$151, NA())),
    "❌ MISSING SKU", "✅")</f>
        <v>✅</v>
      </c>
      <c r="X37" s="2" t="s">
        <v>291</v>
      </c>
      <c r="Y37" s="2" t="s">
        <v>292</v>
      </c>
      <c r="Z37" s="10" t="s">
        <v>63</v>
      </c>
      <c r="AA37" s="27">
        <v>1.0</v>
      </c>
      <c r="AB37" s="9" t="s">
        <v>8649</v>
      </c>
      <c r="AC37" s="28">
        <f t="array" ref="AC37">XLOOKUP(V37,products_master_corrected!$A$2:$A$151,products_master_corrected!$E$2:$E$151)</f>
        <v>118.56</v>
      </c>
      <c r="AD37" s="28">
        <f t="shared" si="2"/>
        <v>118.56</v>
      </c>
      <c r="AE37" s="28">
        <f t="array" ref="AE37">XLOOKUP(V37,products_master_corrected!$A$2:$A$151,products_master_corrected!$M$2:$M$151)</f>
        <v>143.41</v>
      </c>
      <c r="AF37" s="29">
        <f t="shared" si="3"/>
        <v>143.41</v>
      </c>
      <c r="AG37" s="30" t="s">
        <v>48</v>
      </c>
      <c r="AH37" s="2" t="s">
        <v>33</v>
      </c>
      <c r="AI37" s="10" t="s">
        <v>181</v>
      </c>
      <c r="AJ37" s="2" t="s">
        <v>34</v>
      </c>
      <c r="AK37" s="10" t="s">
        <v>80</v>
      </c>
    </row>
    <row r="38" ht="15.75" customHeight="1">
      <c r="A38" s="2" t="s">
        <v>1885</v>
      </c>
      <c r="B38" s="12">
        <v>45925.0</v>
      </c>
      <c r="C38" s="2" t="str">
        <f>IFERROR(__xludf.DUMMYFUNCTION("IF(ISNUMBER(B38),TEXT(B38,""yyyy-MM-dd""),REGEXREPLACE(REGEXREPLACE(TO_TEXT(B38),""[^0-9a-zA-Z]+"",""-""),""[^0-9]*$"",""""))"),"2025-09-25")</f>
        <v>2025-09-25</v>
      </c>
      <c r="D38" s="2" t="s">
        <v>6244</v>
      </c>
      <c r="H38" s="10" t="s">
        <v>6244</v>
      </c>
      <c r="I38" s="2" t="s">
        <v>1887</v>
      </c>
      <c r="J38" s="26" t="str">
        <f t="array" ref="J38">IF(ISNA(XLOOKUP(I38,customers_clean!$A$2:$A$701,customers_clean!$A$2:$A$701, NA()) ),
   "❌ MISSING CUSTOMER", "✅")</f>
        <v>✅</v>
      </c>
      <c r="K38" s="2" t="str">
        <f t="array" ref="K38">XLOOKUP(I38,customers_clean!$A$2:$A$701,customers_clean!$C$2:$C$701)</f>
        <v>Qi Kowalczyk</v>
      </c>
      <c r="L38" s="10" t="str">
        <f t="array" ref="L38">XLOOKUP(I38,customers_clean!$A$2:$A$701,customers_clean!$D$2:$D$701)</f>
        <v>Qi Kowalczyk</v>
      </c>
      <c r="M38" s="2" t="str">
        <f t="array" ref="M38">XLOOKUP(I38,customers_clean!$A$2:$A$701,customers_clean!$I$2:$I$701)</f>
        <v>qi.kowalczyk@example.com</v>
      </c>
      <c r="N38" s="10" t="str">
        <f t="array" ref="N38">XLOOKUP(I38,customers_clean!$A$2:$A$701,customers_clean!$H$2:$H$701)</f>
        <v>qi.kowalczyk@example.com</v>
      </c>
      <c r="O38" s="9" t="str">
        <f>IFERROR(__xludf.DUMMYFUNCTION("IF(REGEXMATCH(TRIM(N38),""^[A-Za-z0-9._%+-]+@[A-Za-z0-9.-]+\.[A-Za-z]{2,}$""),""✅ Valid"",""❌ Invalid"")"),"✅ Valid")</f>
        <v>✅ Valid</v>
      </c>
      <c r="P38" s="2" t="str">
        <f t="array" ref="P38">XLOOKUP(I38,customers_clean!$A$2:$A$701,customers_clean!$K$2:$K$701)</f>
        <v>tel:+1769121343</v>
      </c>
      <c r="Q38" s="10" t="str">
        <f t="array" ref="Q38">XLOOKUP(I38,customers_clean!$A$2:$A$701,customers_clean!$N$2:$N$701)</f>
        <v>769121343</v>
      </c>
      <c r="R38" s="9" t="str">
        <f t="array" ref="R38">XLOOKUP(I38,customers_clean!$A$2:$A$701,customers_clean!$Q$2:$Q$701)</f>
        <v>❌ INVALID</v>
      </c>
      <c r="S38" s="10" t="s">
        <v>448</v>
      </c>
      <c r="T38" s="2" t="s">
        <v>1891</v>
      </c>
      <c r="U38" s="2" t="s">
        <v>312</v>
      </c>
      <c r="V38" s="2" t="s">
        <v>513</v>
      </c>
      <c r="W38" s="9" t="str">
        <f t="array" ref="W38">IF(ISNA(XLOOKUP(V38,products_master_corrected!$A$2:$A$151,products_master_corrected!$A$2:$A$151, NA())),
    "❌ MISSING SKU", "✅")</f>
        <v>✅</v>
      </c>
      <c r="X38" s="2" t="s">
        <v>8673</v>
      </c>
      <c r="Y38" s="2" t="s">
        <v>514</v>
      </c>
      <c r="Z38" s="10" t="s">
        <v>514</v>
      </c>
      <c r="AA38" s="27">
        <v>5.0</v>
      </c>
      <c r="AB38" s="9" t="s">
        <v>8649</v>
      </c>
      <c r="AC38" s="28">
        <f t="array" ref="AC38">XLOOKUP(V38,products_master_corrected!$A$2:$A$151,products_master_corrected!$E$2:$E$151)</f>
        <v>275.56</v>
      </c>
      <c r="AD38" s="28">
        <f t="shared" si="2"/>
        <v>1377.8</v>
      </c>
      <c r="AE38" s="28">
        <f t="array" ref="AE38">XLOOKUP(V38,products_master_corrected!$A$2:$A$151,products_master_corrected!$M$2:$M$151)</f>
        <v>333.32</v>
      </c>
      <c r="AF38" s="29">
        <f t="shared" si="3"/>
        <v>1666.6</v>
      </c>
      <c r="AG38" s="30" t="s">
        <v>48</v>
      </c>
      <c r="AH38" s="2" t="s">
        <v>33</v>
      </c>
      <c r="AI38" s="10" t="s">
        <v>181</v>
      </c>
      <c r="AJ38" s="2" t="s">
        <v>132</v>
      </c>
      <c r="AK38" s="10" t="s">
        <v>192</v>
      </c>
      <c r="AL38" s="2" t="s">
        <v>81</v>
      </c>
    </row>
    <row r="39" ht="15.75" customHeight="1">
      <c r="A39" s="2" t="s">
        <v>4593</v>
      </c>
      <c r="B39" s="12" t="s">
        <v>4594</v>
      </c>
      <c r="C39" s="2" t="str">
        <f>IFERROR(__xludf.DUMMYFUNCTION("IF(ISNUMBER(B39),TEXT(B39,""yyyy-MM-dd""),REGEXREPLACE(REGEXREPLACE(TO_TEXT(B39),""[^0-9a-zA-Z]+"",""-""),""[^0-9]*$"",""""))"),"25-06-2025")</f>
        <v>25-06-2025</v>
      </c>
      <c r="D39" s="2" t="s">
        <v>8675</v>
      </c>
      <c r="H39" s="10" t="s">
        <v>8675</v>
      </c>
      <c r="I39" s="2" t="s">
        <v>1887</v>
      </c>
      <c r="J39" s="26" t="str">
        <f t="array" ref="J39">IF(ISNA(XLOOKUP(I39,customers_clean!$A$2:$A$701,customers_clean!$A$2:$A$701, NA()) ),
   "❌ MISSING CUSTOMER", "✅")</f>
        <v>✅</v>
      </c>
      <c r="K39" s="2" t="str">
        <f t="array" ref="K39">XLOOKUP(I39,customers_clean!$A$2:$A$701,customers_clean!$C$2:$C$701)</f>
        <v>Qi Kowalczyk</v>
      </c>
      <c r="L39" s="10" t="str">
        <f t="array" ref="L39">XLOOKUP(I39,customers_clean!$A$2:$A$701,customers_clean!$D$2:$D$701)</f>
        <v>Qi Kowalczyk</v>
      </c>
      <c r="M39" s="2" t="str">
        <f t="array" ref="M39">XLOOKUP(I39,customers_clean!$A$2:$A$701,customers_clean!$I$2:$I$701)</f>
        <v>qi.kowalczyk@example.com</v>
      </c>
      <c r="N39" s="10" t="str">
        <f t="array" ref="N39">XLOOKUP(I39,customers_clean!$A$2:$A$701,customers_clean!$H$2:$H$701)</f>
        <v>qi.kowalczyk@example.com</v>
      </c>
      <c r="O39" s="9" t="str">
        <f>IFERROR(__xludf.DUMMYFUNCTION("IF(REGEXMATCH(TRIM(N39),""^[A-Za-z0-9._%+-]+@[A-Za-z0-9.-]+\.[A-Za-z]{2,}$""),""✅ Valid"",""❌ Invalid"")"),"✅ Valid")</f>
        <v>✅ Valid</v>
      </c>
      <c r="P39" s="2" t="str">
        <f t="array" ref="P39">XLOOKUP(I39,customers_clean!$A$2:$A$701,customers_clean!$K$2:$K$701)</f>
        <v>tel:+1769121343</v>
      </c>
      <c r="Q39" s="10" t="str">
        <f t="array" ref="Q39">XLOOKUP(I39,customers_clean!$A$2:$A$701,customers_clean!$N$2:$N$701)</f>
        <v>769121343</v>
      </c>
      <c r="R39" s="9" t="str">
        <f t="array" ref="R39">XLOOKUP(I39,customers_clean!$A$2:$A$701,customers_clean!$Q$2:$Q$701)</f>
        <v>❌ INVALID</v>
      </c>
      <c r="S39" s="10" t="s">
        <v>448</v>
      </c>
      <c r="T39" s="2" t="s">
        <v>59</v>
      </c>
      <c r="U39" s="2" t="s">
        <v>60</v>
      </c>
      <c r="V39" s="2" t="s">
        <v>513</v>
      </c>
      <c r="W39" s="9" t="str">
        <f t="array" ref="W39">IF(ISNA(XLOOKUP(V39,products_master_corrected!$A$2:$A$151,products_master_corrected!$A$2:$A$151, NA())),
    "❌ MISSING SKU", "✅")</f>
        <v>✅</v>
      </c>
      <c r="X39" s="2" t="s">
        <v>8673</v>
      </c>
      <c r="Y39" s="2" t="s">
        <v>514</v>
      </c>
      <c r="Z39" s="10" t="s">
        <v>514</v>
      </c>
      <c r="AA39" s="27">
        <v>3.0</v>
      </c>
      <c r="AB39" s="9" t="s">
        <v>8649</v>
      </c>
      <c r="AC39" s="28">
        <f t="array" ref="AC39">XLOOKUP(V39,products_master_corrected!$A$2:$A$151,products_master_corrected!$E$2:$E$151)</f>
        <v>275.56</v>
      </c>
      <c r="AD39" s="28">
        <f t="shared" si="2"/>
        <v>826.68</v>
      </c>
      <c r="AE39" s="28">
        <f t="array" ref="AE39">XLOOKUP(V39,products_master_corrected!$A$2:$A$151,products_master_corrected!$M$2:$M$151)</f>
        <v>333.32</v>
      </c>
      <c r="AF39" s="29">
        <f t="shared" si="3"/>
        <v>999.96</v>
      </c>
      <c r="AG39" s="30" t="s">
        <v>48</v>
      </c>
      <c r="AH39" s="2" t="s">
        <v>2521</v>
      </c>
      <c r="AI39" s="10" t="s">
        <v>49</v>
      </c>
      <c r="AJ39" s="2" t="s">
        <v>818</v>
      </c>
      <c r="AK39" s="10" t="s">
        <v>818</v>
      </c>
      <c r="AL39" s="2" t="s">
        <v>133</v>
      </c>
    </row>
    <row r="40" ht="15.75" customHeight="1">
      <c r="A40" s="2" t="s">
        <v>3677</v>
      </c>
      <c r="B40" s="12">
        <v>45384.0</v>
      </c>
      <c r="C40" s="2" t="str">
        <f>IFERROR(__xludf.DUMMYFUNCTION("IF(ISNUMBER(B40),TEXT(B40,""yyyy-MM-dd""),REGEXREPLACE(REGEXREPLACE(TO_TEXT(B40),""[^0-9a-zA-Z]+"",""-""),""[^0-9]*$"",""""))"),"2024-04-02")</f>
        <v>2024-04-02</v>
      </c>
      <c r="D40" s="2" t="s">
        <v>7837</v>
      </c>
      <c r="H40" s="10" t="s">
        <v>7837</v>
      </c>
      <c r="I40" s="2" t="s">
        <v>1036</v>
      </c>
      <c r="J40" s="26" t="str">
        <f t="array" ref="J40">IF(ISNA(XLOOKUP(I40,customers_clean!$A$2:$A$701,customers_clean!$A$2:$A$701, NA()) ),
   "❌ MISSING CUSTOMER", "✅")</f>
        <v>✅</v>
      </c>
      <c r="K40" s="2" t="str">
        <f t="array" ref="K40">XLOOKUP(I40,customers_clean!$A$2:$A$701,customers_clean!$C$2:$C$701)</f>
        <v> Adam King</v>
      </c>
      <c r="L40" s="10" t="str">
        <f t="array" ref="L40">XLOOKUP(I40,customers_clean!$A$2:$A$701,customers_clean!$D$2:$D$701)</f>
        <v>Adam King</v>
      </c>
      <c r="M40" s="2" t="str">
        <f t="array" ref="M40">XLOOKUP(I40,customers_clean!$A$2:$A$701,customers_clean!$I$2:$I$701)</f>
        <v>adam.king@company.co.uk</v>
      </c>
      <c r="N40" s="10" t="str">
        <f t="array" ref="N40">XLOOKUP(I40,customers_clean!$A$2:$A$701,customers_clean!$H$2:$H$701)</f>
        <v>adam.king@company.co.uk</v>
      </c>
      <c r="O40" s="9" t="str">
        <f>IFERROR(__xludf.DUMMYFUNCTION("IF(REGEXMATCH(TRIM(N40),""^[A-Za-z0-9._%+-]+@[A-Za-z0-9.-]+\.[A-Za-z]{2,}$""),""✅ Valid"",""❌ Invalid"")"),"✅ Valid")</f>
        <v>✅ Valid</v>
      </c>
      <c r="P40" s="2" t="str">
        <f t="array" ref="P40">XLOOKUP(I40,customers_clean!$A$2:$A$701,customers_clean!$K$2:$K$701)</f>
        <v>46192x638</v>
      </c>
      <c r="Q40" s="10" t="str">
        <f t="array" ref="Q40">XLOOKUP(I40,customers_clean!$A$2:$A$701,customers_clean!$N$2:$N$701)</f>
        <v>46192638</v>
      </c>
      <c r="R40" s="9" t="str">
        <f t="array" ref="R40">XLOOKUP(I40,customers_clean!$A$2:$A$701,customers_clean!$Q$2:$Q$701)</f>
        <v>❌ INVALID</v>
      </c>
      <c r="S40" s="10" t="s">
        <v>58</v>
      </c>
      <c r="T40" s="2" t="s">
        <v>400</v>
      </c>
      <c r="U40" s="2" t="s">
        <v>43</v>
      </c>
      <c r="V40" s="2" t="s">
        <v>1722</v>
      </c>
      <c r="W40" s="9" t="str">
        <f t="array" ref="W40">IF(ISNA(XLOOKUP(V40,products_master_corrected!$A$2:$A$151,products_master_corrected!$A$2:$A$151, NA())),
    "❌ MISSING SKU", "✅")</f>
        <v>✅</v>
      </c>
      <c r="X40" s="2" t="s">
        <v>804</v>
      </c>
      <c r="Y40" s="2" t="s">
        <v>368</v>
      </c>
      <c r="Z40" s="10" t="s">
        <v>368</v>
      </c>
      <c r="AA40" s="27">
        <v>2.0</v>
      </c>
      <c r="AB40" s="9" t="s">
        <v>8649</v>
      </c>
      <c r="AC40" s="28">
        <f t="array" ref="AC40">XLOOKUP(V40,products_master_corrected!$A$2:$A$151,products_master_corrected!$E$2:$E$151)</f>
        <v>13.05</v>
      </c>
      <c r="AD40" s="28">
        <f t="shared" si="2"/>
        <v>26.1</v>
      </c>
      <c r="AE40" s="28">
        <f t="array" ref="AE40">XLOOKUP(V40,products_master_corrected!$A$2:$A$151,products_master_corrected!$G$2:$G$151)</f>
        <v>14.94</v>
      </c>
      <c r="AF40" s="29">
        <f t="shared" si="3"/>
        <v>29.88</v>
      </c>
      <c r="AG40" s="32" t="s">
        <v>8663</v>
      </c>
      <c r="AH40" s="2" t="s">
        <v>2937</v>
      </c>
      <c r="AI40" s="10" t="s">
        <v>143</v>
      </c>
      <c r="AJ40" s="2" t="s">
        <v>169</v>
      </c>
      <c r="AK40" s="10" t="s">
        <v>261</v>
      </c>
    </row>
    <row r="41" ht="15.75" customHeight="1">
      <c r="A41" s="2" t="s">
        <v>2708</v>
      </c>
      <c r="B41" s="12">
        <v>45056.0</v>
      </c>
      <c r="C41" s="2" t="str">
        <f>IFERROR(__xludf.DUMMYFUNCTION("IF(ISNUMBER(B41),TEXT(B41,""yyyy-MM-dd""),REGEXREPLACE(REGEXREPLACE(TO_TEXT(B41),""[^0-9a-zA-Z]+"",""-""),""[^0-9]*$"",""""))"),"2023-05-10")</f>
        <v>2023-05-10</v>
      </c>
      <c r="D41" s="2" t="s">
        <v>8073</v>
      </c>
      <c r="H41" s="10" t="s">
        <v>8073</v>
      </c>
      <c r="I41" s="2" t="s">
        <v>1036</v>
      </c>
      <c r="J41" s="26" t="str">
        <f t="array" ref="J41">IF(ISNA(XLOOKUP(I41,customers_clean!$A$2:$A$701,customers_clean!$A$2:$A$701, NA()) ),
   "❌ MISSING CUSTOMER", "✅")</f>
        <v>✅</v>
      </c>
      <c r="K41" s="2" t="str">
        <f t="array" ref="K41">XLOOKUP(I41,customers_clean!$A$2:$A$701,customers_clean!$C$2:$C$701)</f>
        <v> Adam King</v>
      </c>
      <c r="L41" s="10" t="str">
        <f t="array" ref="L41">XLOOKUP(I41,customers_clean!$A$2:$A$701,customers_clean!$D$2:$D$701)</f>
        <v>Adam King</v>
      </c>
      <c r="M41" s="2" t="str">
        <f t="array" ref="M41">XLOOKUP(I41,customers_clean!$A$2:$A$701,customers_clean!$I$2:$I$701)</f>
        <v>adam.king@company.co.uk</v>
      </c>
      <c r="N41" s="10" t="str">
        <f t="array" ref="N41">XLOOKUP(I41,customers_clean!$A$2:$A$701,customers_clean!$H$2:$H$701)</f>
        <v>adam.king@company.co.uk</v>
      </c>
      <c r="O41" s="9" t="str">
        <f>IFERROR(__xludf.DUMMYFUNCTION("IF(REGEXMATCH(TRIM(N41),""^[A-Za-z0-9._%+-]+@[A-Za-z0-9.-]+\.[A-Za-z]{2,}$""),""✅ Valid"",""❌ Invalid"")"),"✅ Valid")</f>
        <v>✅ Valid</v>
      </c>
      <c r="P41" s="2" t="str">
        <f t="array" ref="P41">XLOOKUP(I41,customers_clean!$A$2:$A$701,customers_clean!$K$2:$K$701)</f>
        <v>46192x638</v>
      </c>
      <c r="Q41" s="10" t="str">
        <f t="array" ref="Q41">XLOOKUP(I41,customers_clean!$A$2:$A$701,customers_clean!$N$2:$N$701)</f>
        <v>46192638</v>
      </c>
      <c r="R41" s="9" t="str">
        <f t="array" ref="R41">XLOOKUP(I41,customers_clean!$A$2:$A$701,customers_clean!$Q$2:$Q$701)</f>
        <v>❌ INVALID</v>
      </c>
      <c r="S41" s="10" t="s">
        <v>58</v>
      </c>
      <c r="T41" s="2" t="s">
        <v>59</v>
      </c>
      <c r="U41" s="2" t="s">
        <v>103</v>
      </c>
      <c r="V41" s="2" t="s">
        <v>2539</v>
      </c>
      <c r="W41" s="9" t="str">
        <f t="array" ref="W41">IF(ISNA(XLOOKUP(V41,products_master_corrected!$A$2:$A$151,products_master_corrected!$A$2:$A$151, NA())),
    "❌ MISSING SKU", "✅")</f>
        <v>✅</v>
      </c>
      <c r="X41" s="2" t="s">
        <v>403</v>
      </c>
      <c r="Y41" s="2" t="s">
        <v>1328</v>
      </c>
      <c r="Z41" s="10" t="s">
        <v>179</v>
      </c>
      <c r="AA41" s="27">
        <v>1.0</v>
      </c>
      <c r="AB41" s="9" t="s">
        <v>8649</v>
      </c>
      <c r="AC41" s="28">
        <f t="array" ref="AC41">XLOOKUP(V41,products_master_corrected!$A$2:$A$151,products_master_corrected!$E$2:$E$151)</f>
        <v>25.41</v>
      </c>
      <c r="AD41" s="28">
        <f t="shared" si="2"/>
        <v>25.41</v>
      </c>
      <c r="AE41" s="28">
        <f t="array" ref="AE41">XLOOKUP(V41,products_master_corrected!$A$2:$A$151,products_master_corrected!$G$2:$G$151)</f>
        <v>29.09</v>
      </c>
      <c r="AF41" s="29">
        <f t="shared" si="3"/>
        <v>29.09</v>
      </c>
      <c r="AG41" s="32" t="s">
        <v>8663</v>
      </c>
      <c r="AH41" s="2" t="s">
        <v>131</v>
      </c>
      <c r="AI41" s="10" t="s">
        <v>181</v>
      </c>
      <c r="AJ41" s="2" t="s">
        <v>818</v>
      </c>
      <c r="AK41" s="10" t="s">
        <v>818</v>
      </c>
      <c r="AL41" s="2" t="s">
        <v>81</v>
      </c>
    </row>
    <row r="42" ht="15.75" customHeight="1">
      <c r="A42" s="2" t="s">
        <v>1034</v>
      </c>
      <c r="B42" s="12">
        <v>44972.0</v>
      </c>
      <c r="C42" s="2" t="str">
        <f>IFERROR(__xludf.DUMMYFUNCTION("IF(ISNUMBER(B42),TEXT(B42,""yyyy-MM-dd""),REGEXREPLACE(REGEXREPLACE(TO_TEXT(B42),""[^0-9a-zA-Z]+"",""-""),""[^0-9]*$"",""""))"),"2023-02-15")</f>
        <v>2023-02-15</v>
      </c>
      <c r="D42" s="2" t="s">
        <v>8676</v>
      </c>
      <c r="H42" s="10" t="s">
        <v>8676</v>
      </c>
      <c r="I42" s="2" t="s">
        <v>1036</v>
      </c>
      <c r="J42" s="26" t="str">
        <f t="array" ref="J42">IF(ISNA(XLOOKUP(I42,customers_clean!$A$2:$A$701,customers_clean!$A$2:$A$701, NA()) ),
   "❌ MISSING CUSTOMER", "✅")</f>
        <v>✅</v>
      </c>
      <c r="K42" s="2" t="str">
        <f t="array" ref="K42">XLOOKUP(I42,customers_clean!$A$2:$A$701,customers_clean!$C$2:$C$701)</f>
        <v> Adam King</v>
      </c>
      <c r="L42" s="10" t="str">
        <f t="array" ref="L42">XLOOKUP(I42,customers_clean!$A$2:$A$701,customers_clean!$D$2:$D$701)</f>
        <v>Adam King</v>
      </c>
      <c r="M42" s="2" t="str">
        <f t="array" ref="M42">XLOOKUP(I42,customers_clean!$A$2:$A$701,customers_clean!$I$2:$I$701)</f>
        <v>adam.king@company.co.uk</v>
      </c>
      <c r="N42" s="10" t="str">
        <f t="array" ref="N42">XLOOKUP(I42,customers_clean!$A$2:$A$701,customers_clean!$H$2:$H$701)</f>
        <v>adam.king@company.co.uk</v>
      </c>
      <c r="O42" s="9" t="str">
        <f>IFERROR(__xludf.DUMMYFUNCTION("IF(REGEXMATCH(TRIM(N42),""^[A-Za-z0-9._%+-]+@[A-Za-z0-9.-]+\.[A-Za-z]{2,}$""),""✅ Valid"",""❌ Invalid"")"),"✅ Valid")</f>
        <v>✅ Valid</v>
      </c>
      <c r="P42" s="2" t="str">
        <f t="array" ref="P42">XLOOKUP(I42,customers_clean!$A$2:$A$701,customers_clean!$K$2:$K$701)</f>
        <v>46192x638</v>
      </c>
      <c r="Q42" s="10" t="str">
        <f t="array" ref="Q42">XLOOKUP(I42,customers_clean!$A$2:$A$701,customers_clean!$N$2:$N$701)</f>
        <v>46192638</v>
      </c>
      <c r="R42" s="9" t="str">
        <f t="array" ref="R42">XLOOKUP(I42,customers_clean!$A$2:$A$701,customers_clean!$Q$2:$Q$701)</f>
        <v>❌ INVALID</v>
      </c>
      <c r="S42" s="10" t="s">
        <v>58</v>
      </c>
      <c r="T42" s="2" t="s">
        <v>683</v>
      </c>
      <c r="U42" s="2" t="s">
        <v>512</v>
      </c>
      <c r="V42" s="2" t="s">
        <v>481</v>
      </c>
      <c r="W42" s="9" t="str">
        <f t="array" ref="W42">IF(ISNA(XLOOKUP(V42,products_master_corrected!$A$2:$A$151,products_master_corrected!$A$2:$A$151, NA())),
    "❌ MISSING SKU", "✅")</f>
        <v>✅</v>
      </c>
      <c r="X42" s="2" t="s">
        <v>291</v>
      </c>
      <c r="Y42" s="2" t="s">
        <v>482</v>
      </c>
      <c r="Z42" s="10" t="s">
        <v>63</v>
      </c>
      <c r="AA42" s="27">
        <v>1.0</v>
      </c>
      <c r="AB42" s="9" t="s">
        <v>8649</v>
      </c>
      <c r="AC42" s="28">
        <f t="array" ref="AC42">XLOOKUP(V42,products_master_corrected!$A$2:$A$151,products_master_corrected!$E$2:$E$151)</f>
        <v>190.18</v>
      </c>
      <c r="AD42" s="28">
        <f t="shared" si="2"/>
        <v>190.18</v>
      </c>
      <c r="AE42" s="28">
        <f t="array" ref="AE42">XLOOKUP(V42,products_master_corrected!$A$2:$A$151,products_master_corrected!$G$2:$G$151)</f>
        <v>217.72</v>
      </c>
      <c r="AF42" s="29">
        <f t="shared" si="3"/>
        <v>217.72</v>
      </c>
      <c r="AG42" s="32" t="s">
        <v>8663</v>
      </c>
      <c r="AH42" s="2" t="s">
        <v>505</v>
      </c>
      <c r="AI42" s="10" t="s">
        <v>181</v>
      </c>
      <c r="AJ42" s="2" t="s">
        <v>144</v>
      </c>
      <c r="AK42" s="10" t="s">
        <v>818</v>
      </c>
    </row>
    <row r="43" ht="15.75" customHeight="1">
      <c r="A43" s="2" t="s">
        <v>786</v>
      </c>
      <c r="B43" s="12">
        <v>45926.43125</v>
      </c>
      <c r="C43" s="2" t="str">
        <f>IFERROR(__xludf.DUMMYFUNCTION("IF(ISNUMBER(B43),TEXT(B43,""yyyy-MM-dd""),REGEXREPLACE(REGEXREPLACE(TO_TEXT(B43),""[^0-9a-zA-Z]+"",""-""),""[^0-9]*$"",""""))"),"2025-09-26")</f>
        <v>2025-09-26</v>
      </c>
      <c r="D43" s="2" t="s">
        <v>8175</v>
      </c>
      <c r="H43" s="10" t="s">
        <v>8175</v>
      </c>
      <c r="I43" s="2" t="s">
        <v>788</v>
      </c>
      <c r="J43" s="26" t="str">
        <f t="array" ref="J43">IF(ISNA(XLOOKUP(I43,customers_clean!$A$2:$A$701,customers_clean!$A$2:$A$701, NA()) ),
   "❌ MISSING CUSTOMER", "✅")</f>
        <v>✅</v>
      </c>
      <c r="K43" s="2" t="str">
        <f t="array" ref="K43">XLOOKUP(I43,customers_clean!$A$2:$A$701,customers_clean!$C$2:$C$701)</f>
        <v>Daria  Kowalski</v>
      </c>
      <c r="L43" s="10" t="str">
        <f t="array" ref="L43">XLOOKUP(I43,customers_clean!$A$2:$A$701,customers_clean!$D$2:$D$701)</f>
        <v>Daria Kowalski</v>
      </c>
      <c r="M43" s="2" t="str">
        <f t="array" ref="M43">XLOOKUP(I43,customers_clean!$A$2:$A$701,customers_clean!$I$2:$I$701)</f>
        <v>daria.kowalski@outlook.com</v>
      </c>
      <c r="N43" s="10" t="str">
        <f t="array" ref="N43">XLOOKUP(I43,customers_clean!$A$2:$A$701,customers_clean!$H$2:$H$701)</f>
        <v>daria.kowalski@outlook.com</v>
      </c>
      <c r="O43" s="9" t="str">
        <f>IFERROR(__xludf.DUMMYFUNCTION("IF(REGEXMATCH(TRIM(N43),""^[A-Za-z0-9._%+-]+@[A-Za-z0-9.-]+\.[A-Za-z]{2,}$""),""✅ Valid"",""❌ Invalid"")"),"✅ Valid")</f>
        <v>✅ Valid</v>
      </c>
      <c r="P43" s="2" t="str">
        <f t="array" ref="P43">XLOOKUP(I43,customers_clean!$A$2:$A$701,customers_clean!$K$2:$K$701)</f>
        <v>+1 682 62568391</v>
      </c>
      <c r="Q43" s="10" t="str">
        <f t="array" ref="Q43">XLOOKUP(I43,customers_clean!$A$2:$A$701,customers_clean!$N$2:$N$701)</f>
        <v>68262568391</v>
      </c>
      <c r="R43" s="9" t="str">
        <f t="array" ref="R43">XLOOKUP(I43,customers_clean!$A$2:$A$701,customers_clean!$Q$2:$Q$701)</f>
        <v>❌ INVALID</v>
      </c>
      <c r="S43" s="10" t="s">
        <v>448</v>
      </c>
      <c r="T43" s="2" t="s">
        <v>42</v>
      </c>
      <c r="U43" s="2" t="s">
        <v>176</v>
      </c>
      <c r="V43" s="2" t="s">
        <v>792</v>
      </c>
      <c r="W43" s="9" t="str">
        <f t="array" ref="W43">IF(ISNA(XLOOKUP(V43,products_master_corrected!$A$2:$A$151,products_master_corrected!$A$2:$A$151, NA())),
    "❌ MISSING SKU", "✅")</f>
        <v>✅</v>
      </c>
      <c r="X43" s="2" t="s">
        <v>768</v>
      </c>
      <c r="Y43" s="2" t="s">
        <v>742</v>
      </c>
      <c r="Z43" s="10" t="s">
        <v>355</v>
      </c>
      <c r="AA43" s="27"/>
      <c r="AB43" s="9" t="s">
        <v>8677</v>
      </c>
      <c r="AC43" s="34"/>
      <c r="AD43" s="34"/>
      <c r="AE43" s="34"/>
      <c r="AF43" s="35"/>
      <c r="AG43" s="36" t="s">
        <v>95</v>
      </c>
      <c r="AH43" s="2" t="s">
        <v>131</v>
      </c>
      <c r="AI43" s="10" t="s">
        <v>181</v>
      </c>
      <c r="AJ43" s="2" t="s">
        <v>794</v>
      </c>
      <c r="AK43" s="10" t="s">
        <v>192</v>
      </c>
      <c r="AL43" s="2" t="s">
        <v>133</v>
      </c>
    </row>
    <row r="44" ht="15.75" customHeight="1">
      <c r="A44" s="2" t="s">
        <v>5997</v>
      </c>
      <c r="B44" s="12">
        <v>45214.0</v>
      </c>
      <c r="C44" s="2" t="str">
        <f>IFERROR(__xludf.DUMMYFUNCTION("IF(ISNUMBER(B44),TEXT(B44,""yyyy-MM-dd""),REGEXREPLACE(REGEXREPLACE(TO_TEXT(B44),""[^0-9a-zA-Z]+"",""-""),""[^0-9]*$"",""""))"),"2023-10-15")</f>
        <v>2023-10-15</v>
      </c>
      <c r="D44" s="2" t="s">
        <v>8678</v>
      </c>
      <c r="H44" s="10" t="s">
        <v>8678</v>
      </c>
      <c r="I44" s="2" t="s">
        <v>788</v>
      </c>
      <c r="J44" s="26" t="str">
        <f t="array" ref="J44">IF(ISNA(XLOOKUP(I44,customers_clean!$A$2:$A$701,customers_clean!$A$2:$A$701, NA()) ),
   "❌ MISSING CUSTOMER", "✅")</f>
        <v>✅</v>
      </c>
      <c r="K44" s="2" t="str">
        <f t="array" ref="K44">XLOOKUP(I44,customers_clean!$A$2:$A$701,customers_clean!$C$2:$C$701)</f>
        <v>Daria  Kowalski</v>
      </c>
      <c r="L44" s="10" t="str">
        <f t="array" ref="L44">XLOOKUP(I44,customers_clean!$A$2:$A$701,customers_clean!$D$2:$D$701)</f>
        <v>Daria Kowalski</v>
      </c>
      <c r="M44" s="2" t="str">
        <f t="array" ref="M44">XLOOKUP(I44,customers_clean!$A$2:$A$701,customers_clean!$I$2:$I$701)</f>
        <v>daria.kowalski@outlook.com</v>
      </c>
      <c r="N44" s="10" t="str">
        <f t="array" ref="N44">XLOOKUP(I44,customers_clean!$A$2:$A$701,customers_clean!$H$2:$H$701)</f>
        <v>daria.kowalski@outlook.com</v>
      </c>
      <c r="O44" s="9" t="str">
        <f>IFERROR(__xludf.DUMMYFUNCTION("IF(REGEXMATCH(TRIM(N44),""^[A-Za-z0-9._%+-]+@[A-Za-z0-9.-]+\.[A-Za-z]{2,}$""),""✅ Valid"",""❌ Invalid"")"),"✅ Valid")</f>
        <v>✅ Valid</v>
      </c>
      <c r="P44" s="2" t="str">
        <f t="array" ref="P44">XLOOKUP(I44,customers_clean!$A$2:$A$701,customers_clean!$K$2:$K$701)</f>
        <v>+1 682 62568391</v>
      </c>
      <c r="Q44" s="10" t="str">
        <f t="array" ref="Q44">XLOOKUP(I44,customers_clean!$A$2:$A$701,customers_clean!$N$2:$N$701)</f>
        <v>68262568391</v>
      </c>
      <c r="R44" s="9" t="str">
        <f t="array" ref="R44">XLOOKUP(I44,customers_clean!$A$2:$A$701,customers_clean!$Q$2:$Q$701)</f>
        <v>❌ INVALID</v>
      </c>
      <c r="S44" s="10" t="s">
        <v>448</v>
      </c>
      <c r="T44" s="2" t="s">
        <v>802</v>
      </c>
      <c r="U44" s="2" t="s">
        <v>480</v>
      </c>
      <c r="V44" s="2" t="s">
        <v>481</v>
      </c>
      <c r="W44" s="9" t="str">
        <f t="array" ref="W44">IF(ISNA(XLOOKUP(V44,products_master_corrected!$A$2:$A$151,products_master_corrected!$A$2:$A$151, NA())),
    "❌ MISSING SKU", "✅")</f>
        <v>✅</v>
      </c>
      <c r="X44" s="2" t="s">
        <v>291</v>
      </c>
      <c r="Y44" s="2" t="s">
        <v>482</v>
      </c>
      <c r="Z44" s="10" t="s">
        <v>63</v>
      </c>
      <c r="AA44" s="27">
        <v>5.0</v>
      </c>
      <c r="AB44" s="9" t="s">
        <v>8649</v>
      </c>
      <c r="AC44" s="28">
        <f t="array" ref="AC44">XLOOKUP(V44,products_master_corrected!$A$2:$A$151,products_master_corrected!$E$2:$E$151)</f>
        <v>190.18</v>
      </c>
      <c r="AD44" s="28">
        <f t="shared" ref="AD44:AD70" si="5">AA44*AC44</f>
        <v>950.9</v>
      </c>
      <c r="AE44" s="28">
        <f t="array" ref="AE44">XLOOKUP(V44,products_master_corrected!$A$2:$A$151,products_master_corrected!$M$2:$M$151)</f>
        <v>230.04</v>
      </c>
      <c r="AF44" s="29">
        <f t="shared" ref="AF44:AF70" si="6">AA44*AE44</f>
        <v>1150.2</v>
      </c>
      <c r="AG44" s="30" t="s">
        <v>48</v>
      </c>
      <c r="AH44" s="2" t="s">
        <v>49</v>
      </c>
      <c r="AI44" s="10" t="s">
        <v>49</v>
      </c>
      <c r="AJ44" s="2" t="s">
        <v>442</v>
      </c>
      <c r="AK44" s="10" t="s">
        <v>80</v>
      </c>
      <c r="AL44" s="2" t="s">
        <v>51</v>
      </c>
    </row>
    <row r="45" ht="15.75" customHeight="1">
      <c r="A45" s="2" t="s">
        <v>2882</v>
      </c>
      <c r="B45" s="12">
        <v>45346.19236111111</v>
      </c>
      <c r="C45" s="2" t="str">
        <f>IFERROR(__xludf.DUMMYFUNCTION("IF(ISNUMBER(B45),TEXT(B45,""yyyy-MM-dd""),REGEXREPLACE(REGEXREPLACE(TO_TEXT(B45),""[^0-9a-zA-Z]+"",""-""),""[^0-9]*$"",""""))"),"2024-02-24")</f>
        <v>2024-02-24</v>
      </c>
      <c r="D45" s="2" t="s">
        <v>8679</v>
      </c>
      <c r="H45" s="10" t="s">
        <v>8679</v>
      </c>
      <c r="I45" s="2" t="s">
        <v>2388</v>
      </c>
      <c r="J45" s="26" t="str">
        <f t="array" ref="J45">IF(ISNA(XLOOKUP(I45,customers_clean!$A$2:$A$701,customers_clean!$A$2:$A$701, NA()) ),
   "❌ MISSING CUSTOMER", "✅")</f>
        <v>✅</v>
      </c>
      <c r="K45" s="2" t="str">
        <f t="array" ref="K45">XLOOKUP(I45,customers_clean!$A$2:$A$701,customers_clean!$C$2:$C$701)</f>
        <v>Vlad Kowalski </v>
      </c>
      <c r="L45" s="10" t="str">
        <f t="array" ref="L45">XLOOKUP(I45,customers_clean!$A$2:$A$701,customers_clean!$D$2:$D$701)</f>
        <v>Vlad Kowalski</v>
      </c>
      <c r="M45" s="2" t="str">
        <f t="array" ref="M45">XLOOKUP(I45,customers_clean!$A$2:$A$701,customers_clean!$I$2:$I$701)</f>
        <v> vlad.kowalski@yahoo.com</v>
      </c>
      <c r="N45" s="10" t="str">
        <f t="array" ref="N45">XLOOKUP(I45,customers_clean!$A$2:$A$701,customers_clean!$H$2:$H$701)</f>
        <v>vlad.kowalski@yahoo.com</v>
      </c>
      <c r="O45" s="9" t="str">
        <f>IFERROR(__xludf.DUMMYFUNCTION("IF(REGEXMATCH(TRIM(N45),""^[A-Za-z0-9._%+-]+@[A-Za-z0-9.-]+\.[A-Za-z]{2,}$""),""✅ Valid"",""❌ Invalid"")"),"✅ Valid")</f>
        <v>✅ Valid</v>
      </c>
      <c r="P45" s="2" t="str">
        <f t="array" ref="P45">XLOOKUP(I45,customers_clean!$A$2:$A$701,customers_clean!$K$2:$K$701)</f>
        <v>+1-943-2396635</v>
      </c>
      <c r="Q45" s="10" t="str">
        <f t="array" ref="Q45">XLOOKUP(I45,customers_clean!$A$2:$A$701,customers_clean!$N$2:$N$701)</f>
        <v>9432396635</v>
      </c>
      <c r="R45" s="9" t="str">
        <f t="array" ref="R45">XLOOKUP(I45,customers_clean!$A$2:$A$701,customers_clean!$Q$2:$Q$701)</f>
        <v>✅ VALID</v>
      </c>
      <c r="S45" s="10" t="s">
        <v>448</v>
      </c>
      <c r="T45" s="2" t="s">
        <v>59</v>
      </c>
      <c r="U45" s="2" t="s">
        <v>289</v>
      </c>
      <c r="V45" s="2" t="s">
        <v>177</v>
      </c>
      <c r="W45" s="9" t="str">
        <f t="array" ref="W45">IF(ISNA(XLOOKUP(V45,products_master_corrected!$A$2:$A$151,products_master_corrected!$A$2:$A$151, NA())),
    "❌ MISSING SKU", "✅")</f>
        <v>✅</v>
      </c>
      <c r="X45" s="2" t="s">
        <v>8680</v>
      </c>
      <c r="Y45" s="2" t="s">
        <v>179</v>
      </c>
      <c r="Z45" s="10" t="s">
        <v>179</v>
      </c>
      <c r="AA45" s="27">
        <v>2.0</v>
      </c>
      <c r="AB45" s="9" t="s">
        <v>8649</v>
      </c>
      <c r="AC45" s="28">
        <f t="array" ref="AC45">XLOOKUP(V45,products_master_corrected!$A$2:$A$151,products_master_corrected!$E$2:$E$151)</f>
        <v>272.72</v>
      </c>
      <c r="AD45" s="28">
        <f t="shared" si="5"/>
        <v>545.44</v>
      </c>
      <c r="AE45" s="28">
        <f t="array" ref="AE45">XLOOKUP(V45,products_master_corrected!$A$2:$A$151,products_master_corrected!$M$2:$M$151)</f>
        <v>329.88</v>
      </c>
      <c r="AF45" s="29">
        <f t="shared" si="6"/>
        <v>659.76</v>
      </c>
      <c r="AG45" s="30" t="s">
        <v>48</v>
      </c>
      <c r="AH45" s="2" t="s">
        <v>238</v>
      </c>
      <c r="AI45" s="10" t="s">
        <v>66</v>
      </c>
      <c r="AJ45" s="2" t="s">
        <v>80</v>
      </c>
      <c r="AK45" s="10" t="s">
        <v>80</v>
      </c>
    </row>
    <row r="46" ht="15.75" customHeight="1">
      <c r="A46" s="2" t="s">
        <v>2386</v>
      </c>
      <c r="B46" s="12">
        <v>45416.0</v>
      </c>
      <c r="C46" s="2" t="str">
        <f>IFERROR(__xludf.DUMMYFUNCTION("IF(ISNUMBER(B46),TEXT(B46,""yyyy-MM-dd""),REGEXREPLACE(REGEXREPLACE(TO_TEXT(B46),""[^0-9a-zA-Z]+"",""-""),""[^0-9]*$"",""""))"),"2024-05-04")</f>
        <v>2024-05-04</v>
      </c>
      <c r="D46" s="2" t="s">
        <v>8681</v>
      </c>
      <c r="H46" s="10" t="s">
        <v>8681</v>
      </c>
      <c r="I46" s="2" t="s">
        <v>2388</v>
      </c>
      <c r="J46" s="26" t="str">
        <f t="array" ref="J46">IF(ISNA(XLOOKUP(I46,customers_clean!$A$2:$A$701,customers_clean!$A$2:$A$701, NA()) ),
   "❌ MISSING CUSTOMER", "✅")</f>
        <v>✅</v>
      </c>
      <c r="K46" s="2" t="str">
        <f t="array" ref="K46">XLOOKUP(I46,customers_clean!$A$2:$A$701,customers_clean!$C$2:$C$701)</f>
        <v>Vlad Kowalski </v>
      </c>
      <c r="L46" s="10" t="str">
        <f t="array" ref="L46">XLOOKUP(I46,customers_clean!$A$2:$A$701,customers_clean!$D$2:$D$701)</f>
        <v>Vlad Kowalski</v>
      </c>
      <c r="M46" s="2" t="str">
        <f t="array" ref="M46">XLOOKUP(I46,customers_clean!$A$2:$A$701,customers_clean!$I$2:$I$701)</f>
        <v> vlad.kowalski@yahoo.com</v>
      </c>
      <c r="N46" s="10" t="str">
        <f t="array" ref="N46">XLOOKUP(I46,customers_clean!$A$2:$A$701,customers_clean!$H$2:$H$701)</f>
        <v>vlad.kowalski@yahoo.com</v>
      </c>
      <c r="O46" s="9" t="str">
        <f>IFERROR(__xludf.DUMMYFUNCTION("IF(REGEXMATCH(TRIM(N46),""^[A-Za-z0-9._%+-]+@[A-Za-z0-9.-]+\.[A-Za-z]{2,}$""),""✅ Valid"",""❌ Invalid"")"),"✅ Valid")</f>
        <v>✅ Valid</v>
      </c>
      <c r="P46" s="2" t="str">
        <f t="array" ref="P46">XLOOKUP(I46,customers_clean!$A$2:$A$701,customers_clean!$K$2:$K$701)</f>
        <v>+1-943-2396635</v>
      </c>
      <c r="Q46" s="10" t="str">
        <f t="array" ref="Q46">XLOOKUP(I46,customers_clean!$A$2:$A$701,customers_clean!$N$2:$N$701)</f>
        <v>9432396635</v>
      </c>
      <c r="R46" s="9" t="str">
        <f t="array" ref="R46">XLOOKUP(I46,customers_clean!$A$2:$A$701,customers_clean!$Q$2:$Q$701)</f>
        <v>✅ VALID</v>
      </c>
      <c r="S46" s="10" t="s">
        <v>448</v>
      </c>
      <c r="T46" s="2" t="s">
        <v>460</v>
      </c>
      <c r="U46" s="2" t="s">
        <v>333</v>
      </c>
      <c r="V46" s="2" t="s">
        <v>258</v>
      </c>
      <c r="W46" s="9" t="str">
        <f t="array" ref="W46">IF(ISNA(XLOOKUP(V46,products_master_corrected!$A$2:$A$151,products_master_corrected!$A$2:$A$151, NA())),
    "❌ MISSING SKU", "✅")</f>
        <v>✅</v>
      </c>
      <c r="X46" s="2" t="s">
        <v>259</v>
      </c>
      <c r="Y46" s="2" t="s">
        <v>214</v>
      </c>
      <c r="Z46" s="10" t="s">
        <v>368</v>
      </c>
      <c r="AA46" s="27">
        <v>5.0</v>
      </c>
      <c r="AB46" s="9" t="s">
        <v>8649</v>
      </c>
      <c r="AC46" s="28">
        <f t="array" ref="AC46">XLOOKUP(V46,products_master_corrected!$A$2:$A$151,products_master_corrected!$E$2:$E$151)</f>
        <v>15.73</v>
      </c>
      <c r="AD46" s="28">
        <f t="shared" si="5"/>
        <v>78.65</v>
      </c>
      <c r="AE46" s="28">
        <f t="array" ref="AE46">XLOOKUP(V46,products_master_corrected!$A$2:$A$151,products_master_corrected!$M$2:$M$151)</f>
        <v>19.03</v>
      </c>
      <c r="AF46" s="29">
        <f t="shared" si="6"/>
        <v>95.15</v>
      </c>
      <c r="AG46" s="30" t="s">
        <v>48</v>
      </c>
      <c r="AH46" s="2" t="s">
        <v>2037</v>
      </c>
      <c r="AI46" s="10" t="s">
        <v>66</v>
      </c>
      <c r="AJ46" s="2" t="s">
        <v>1171</v>
      </c>
      <c r="AK46" s="10" t="s">
        <v>80</v>
      </c>
    </row>
    <row r="47" ht="15.75" customHeight="1">
      <c r="A47" s="2" t="s">
        <v>5096</v>
      </c>
      <c r="B47" s="12">
        <v>45327.0</v>
      </c>
      <c r="C47" s="2" t="str">
        <f>IFERROR(__xludf.DUMMYFUNCTION("IF(ISNUMBER(B47),TEXT(B47,""yyyy-MM-dd""),REGEXREPLACE(REGEXREPLACE(TO_TEXT(B47),""[^0-9a-zA-Z]+"",""-""),""[^0-9]*$"",""""))"),"2024-02-05")</f>
        <v>2024-02-05</v>
      </c>
      <c r="D47" s="2" t="s">
        <v>8541</v>
      </c>
      <c r="H47" s="10" t="s">
        <v>8541</v>
      </c>
      <c r="I47" s="2" t="s">
        <v>4115</v>
      </c>
      <c r="J47" s="26" t="str">
        <f t="array" ref="J47">IF(ISNA(XLOOKUP(I47,customers_clean!$A$2:$A$701,customers_clean!$A$2:$A$701, NA()) ),
   "❌ MISSING CUSTOMER", "✅")</f>
        <v>✅</v>
      </c>
      <c r="K47" s="2" t="str">
        <f t="array" ref="K47">XLOOKUP(I47,customers_clean!$A$2:$A$701,customers_clean!$C$2:$C$701)</f>
        <v>Sam Johnson</v>
      </c>
      <c r="L47" s="10" t="str">
        <f t="array" ref="L47">XLOOKUP(I47,customers_clean!$A$2:$A$701,customers_clean!$D$2:$D$701)</f>
        <v>Sam Johnson</v>
      </c>
      <c r="M47" s="2" t="str">
        <f t="array" ref="M47">XLOOKUP(I47,customers_clean!$A$2:$A$701,customers_clean!$I$2:$I$701)</f>
        <v> sam.johnson@yahoo.com</v>
      </c>
      <c r="N47" s="10" t="str">
        <f t="array" ref="N47">XLOOKUP(I47,customers_clean!$A$2:$A$701,customers_clean!$H$2:$H$701)</f>
        <v>sam.johnson@yahoo.com</v>
      </c>
      <c r="O47" s="9" t="str">
        <f>IFERROR(__xludf.DUMMYFUNCTION("IF(REGEXMATCH(TRIM(N47),""^[A-Za-z0-9._%+-]+@[A-Za-z0-9.-]+\.[A-Za-z]{2,}$""),""✅ Valid"",""❌ Invalid"")"),"✅ Valid")</f>
        <v>✅ Valid</v>
      </c>
      <c r="P47" s="2" t="str">
        <f t="array" ref="P47">XLOOKUP(I47,customers_clean!$A$2:$A$701,customers_clean!$K$2:$K$701)</f>
        <v>(404) 87661</v>
      </c>
      <c r="Q47" s="10" t="str">
        <f t="array" ref="Q47">XLOOKUP(I47,customers_clean!$A$2:$A$701,customers_clean!$N$2:$N$701)</f>
        <v>40487661</v>
      </c>
      <c r="R47" s="9" t="str">
        <f t="array" ref="R47">XLOOKUP(I47,customers_clean!$A$2:$A$701,customers_clean!$Q$2:$Q$701)</f>
        <v>❌ INVALID</v>
      </c>
      <c r="S47" s="10" t="s">
        <v>88</v>
      </c>
      <c r="T47" s="2" t="s">
        <v>115</v>
      </c>
      <c r="U47" s="2" t="s">
        <v>103</v>
      </c>
      <c r="V47" s="2" t="s">
        <v>1495</v>
      </c>
      <c r="W47" s="9" t="str">
        <f t="array" ref="W47">IF(ISNA(XLOOKUP(V47,products_master_corrected!$A$2:$A$151,products_master_corrected!$A$2:$A$151, NA())),
    "❌ MISSING SKU", "✅")</f>
        <v>✅</v>
      </c>
      <c r="X47" s="2" t="s">
        <v>1138</v>
      </c>
      <c r="Y47" s="2" t="s">
        <v>248</v>
      </c>
      <c r="Z47" s="10" t="s">
        <v>248</v>
      </c>
      <c r="AA47" s="27">
        <v>1.0</v>
      </c>
      <c r="AB47" s="9" t="s">
        <v>8649</v>
      </c>
      <c r="AC47" s="28">
        <f t="array" ref="AC47">XLOOKUP(V47,products_master_corrected!$A$2:$A$151,products_master_corrected!$E$2:$E$151)</f>
        <v>248.14</v>
      </c>
      <c r="AD47" s="28">
        <f t="shared" si="5"/>
        <v>248.14</v>
      </c>
      <c r="AE47" s="28">
        <f t="array" ref="AE47">XLOOKUP(V47,products_master_corrected!$A$2:$A$151,products_master_corrected!$I$2:$I$151)</f>
        <v>273.55</v>
      </c>
      <c r="AF47" s="29">
        <f t="shared" si="6"/>
        <v>273.55</v>
      </c>
      <c r="AG47" s="32" t="s">
        <v>8660</v>
      </c>
      <c r="AH47" s="2" t="s">
        <v>5099</v>
      </c>
      <c r="AI47" s="10" t="s">
        <v>143</v>
      </c>
      <c r="AJ47" s="2" t="s">
        <v>251</v>
      </c>
      <c r="AK47" s="10" t="s">
        <v>192</v>
      </c>
    </row>
    <row r="48" ht="15.75" customHeight="1">
      <c r="A48" s="2" t="s">
        <v>5372</v>
      </c>
      <c r="B48" s="12">
        <v>45312.0</v>
      </c>
      <c r="C48" s="2" t="str">
        <f>IFERROR(__xludf.DUMMYFUNCTION("IF(ISNUMBER(B48),TEXT(B48,""yyyy-MM-dd""),REGEXREPLACE(REGEXREPLACE(TO_TEXT(B48),""[^0-9a-zA-Z]+"",""-""),""[^0-9]*$"",""""))"),"2024-01-21")</f>
        <v>2024-01-21</v>
      </c>
      <c r="D48" s="2" t="s">
        <v>8146</v>
      </c>
      <c r="H48" s="10" t="s">
        <v>8146</v>
      </c>
      <c r="I48" s="2" t="s">
        <v>4115</v>
      </c>
      <c r="J48" s="26" t="str">
        <f t="array" ref="J48">IF(ISNA(XLOOKUP(I48,customers_clean!$A$2:$A$701,customers_clean!$A$2:$A$701, NA()) ),
   "❌ MISSING CUSTOMER", "✅")</f>
        <v>✅</v>
      </c>
      <c r="K48" s="2" t="str">
        <f t="array" ref="K48">XLOOKUP(I48,customers_clean!$A$2:$A$701,customers_clean!$C$2:$C$701)</f>
        <v>Sam Johnson</v>
      </c>
      <c r="L48" s="10" t="str">
        <f t="array" ref="L48">XLOOKUP(I48,customers_clean!$A$2:$A$701,customers_clean!$D$2:$D$701)</f>
        <v>Sam Johnson</v>
      </c>
      <c r="M48" s="2" t="str">
        <f t="array" ref="M48">XLOOKUP(I48,customers_clean!$A$2:$A$701,customers_clean!$I$2:$I$701)</f>
        <v> sam.johnson@yahoo.com</v>
      </c>
      <c r="N48" s="10" t="str">
        <f t="array" ref="N48">XLOOKUP(I48,customers_clean!$A$2:$A$701,customers_clean!$H$2:$H$701)</f>
        <v>sam.johnson@yahoo.com</v>
      </c>
      <c r="O48" s="9" t="str">
        <f>IFERROR(__xludf.DUMMYFUNCTION("IF(REGEXMATCH(TRIM(N48),""^[A-Za-z0-9._%+-]+@[A-Za-z0-9.-]+\.[A-Za-z]{2,}$""),""✅ Valid"",""❌ Invalid"")"),"✅ Valid")</f>
        <v>✅ Valid</v>
      </c>
      <c r="P48" s="2" t="str">
        <f t="array" ref="P48">XLOOKUP(I48,customers_clean!$A$2:$A$701,customers_clean!$K$2:$K$701)</f>
        <v>(404) 87661</v>
      </c>
      <c r="Q48" s="10" t="str">
        <f t="array" ref="Q48">XLOOKUP(I48,customers_clean!$A$2:$A$701,customers_clean!$N$2:$N$701)</f>
        <v>40487661</v>
      </c>
      <c r="R48" s="9" t="str">
        <f t="array" ref="R48">XLOOKUP(I48,customers_clean!$A$2:$A$701,customers_clean!$Q$2:$Q$701)</f>
        <v>❌ INVALID</v>
      </c>
      <c r="S48" s="10" t="s">
        <v>88</v>
      </c>
      <c r="T48" s="2" t="s">
        <v>59</v>
      </c>
      <c r="U48" s="2" t="s">
        <v>43</v>
      </c>
      <c r="V48" s="2" t="s">
        <v>871</v>
      </c>
      <c r="W48" s="9" t="str">
        <f t="array" ref="W48">IF(ISNA(XLOOKUP(V48,products_master_corrected!$A$2:$A$151,products_master_corrected!$A$2:$A$151, NA())),
    "❌ MISSING SKU", "✅")</f>
        <v>✅</v>
      </c>
      <c r="X48" s="2" t="s">
        <v>29</v>
      </c>
      <c r="Y48" s="2" t="s">
        <v>292</v>
      </c>
      <c r="Z48" s="10" t="s">
        <v>63</v>
      </c>
      <c r="AA48" s="27">
        <v>1.0</v>
      </c>
      <c r="AB48" s="9" t="s">
        <v>8649</v>
      </c>
      <c r="AC48" s="28">
        <f t="array" ref="AC48">XLOOKUP(V48,products_master_corrected!$A$2:$A$151,products_master_corrected!$E$2:$E$151)</f>
        <v>178.58</v>
      </c>
      <c r="AD48" s="28">
        <f t="shared" si="5"/>
        <v>178.58</v>
      </c>
      <c r="AE48" s="28">
        <f t="array" ref="AE48">XLOOKUP(V48,products_master_corrected!$A$2:$A$151,products_master_corrected!$I$2:$I$151)</f>
        <v>196.87</v>
      </c>
      <c r="AF48" s="29">
        <f t="shared" si="6"/>
        <v>196.87</v>
      </c>
      <c r="AG48" s="32" t="s">
        <v>8660</v>
      </c>
      <c r="AH48" s="2" t="s">
        <v>573</v>
      </c>
      <c r="AI48" s="10" t="s">
        <v>66</v>
      </c>
      <c r="AJ48" s="2" t="s">
        <v>192</v>
      </c>
      <c r="AK48" s="10" t="s">
        <v>192</v>
      </c>
    </row>
    <row r="49" ht="15.75" customHeight="1">
      <c r="A49" s="2" t="s">
        <v>5865</v>
      </c>
      <c r="B49" s="12">
        <v>45054.0</v>
      </c>
      <c r="C49" s="2" t="str">
        <f>IFERROR(__xludf.DUMMYFUNCTION("IF(ISNUMBER(B49),TEXT(B49,""yyyy-MM-dd""),REGEXREPLACE(REGEXREPLACE(TO_TEXT(B49),""[^0-9a-zA-Z]+"",""-""),""[^0-9]*$"",""""))"),"2023-05-08")</f>
        <v>2023-05-08</v>
      </c>
      <c r="D49" s="2" t="s">
        <v>8682</v>
      </c>
      <c r="H49" s="10" t="s">
        <v>8682</v>
      </c>
      <c r="I49" s="2" t="s">
        <v>4115</v>
      </c>
      <c r="J49" s="26" t="str">
        <f t="array" ref="J49">IF(ISNA(XLOOKUP(I49,customers_clean!$A$2:$A$701,customers_clean!$A$2:$A$701, NA()) ),
   "❌ MISSING CUSTOMER", "✅")</f>
        <v>✅</v>
      </c>
      <c r="K49" s="2" t="str">
        <f t="array" ref="K49">XLOOKUP(I49,customers_clean!$A$2:$A$701,customers_clean!$C$2:$C$701)</f>
        <v>Sam Johnson</v>
      </c>
      <c r="L49" s="10" t="str">
        <f t="array" ref="L49">XLOOKUP(I49,customers_clean!$A$2:$A$701,customers_clean!$D$2:$D$701)</f>
        <v>Sam Johnson</v>
      </c>
      <c r="M49" s="2" t="str">
        <f t="array" ref="M49">XLOOKUP(I49,customers_clean!$A$2:$A$701,customers_clean!$I$2:$I$701)</f>
        <v> sam.johnson@yahoo.com</v>
      </c>
      <c r="N49" s="10" t="str">
        <f t="array" ref="N49">XLOOKUP(I49,customers_clean!$A$2:$A$701,customers_clean!$H$2:$H$701)</f>
        <v>sam.johnson@yahoo.com</v>
      </c>
      <c r="O49" s="9" t="str">
        <f>IFERROR(__xludf.DUMMYFUNCTION("IF(REGEXMATCH(TRIM(N49),""^[A-Za-z0-9._%+-]+@[A-Za-z0-9.-]+\.[A-Za-z]{2,}$""),""✅ Valid"",""❌ Invalid"")"),"✅ Valid")</f>
        <v>✅ Valid</v>
      </c>
      <c r="P49" s="2" t="str">
        <f t="array" ref="P49">XLOOKUP(I49,customers_clean!$A$2:$A$701,customers_clean!$K$2:$K$701)</f>
        <v>(404) 87661</v>
      </c>
      <c r="Q49" s="10" t="str">
        <f t="array" ref="Q49">XLOOKUP(I49,customers_clean!$A$2:$A$701,customers_clean!$N$2:$N$701)</f>
        <v>40487661</v>
      </c>
      <c r="R49" s="9" t="str">
        <f t="array" ref="R49">XLOOKUP(I49,customers_clean!$A$2:$A$701,customers_clean!$Q$2:$Q$701)</f>
        <v>❌ INVALID</v>
      </c>
      <c r="S49" s="10" t="s">
        <v>88</v>
      </c>
      <c r="T49" s="2" t="s">
        <v>400</v>
      </c>
      <c r="U49" s="2" t="s">
        <v>43</v>
      </c>
      <c r="V49" s="2" t="s">
        <v>692</v>
      </c>
      <c r="W49" s="9" t="str">
        <f t="array" ref="W49">IF(ISNA(XLOOKUP(V49,products_master_corrected!$A$2:$A$151,products_master_corrected!$A$2:$A$151, NA())),
    "❌ MISSING SKU", "✅")</f>
        <v>✅</v>
      </c>
      <c r="X49" s="2" t="s">
        <v>8661</v>
      </c>
      <c r="Y49" s="2" t="s">
        <v>368</v>
      </c>
      <c r="Z49" s="10" t="s">
        <v>368</v>
      </c>
      <c r="AA49" s="27">
        <v>1.0</v>
      </c>
      <c r="AB49" s="9" t="s">
        <v>8649</v>
      </c>
      <c r="AC49" s="28">
        <f t="array" ref="AC49">XLOOKUP(V49,products_master_corrected!$A$2:$A$151,products_master_corrected!$E$2:$E$151)</f>
        <v>65.53</v>
      </c>
      <c r="AD49" s="28">
        <f t="shared" si="5"/>
        <v>65.53</v>
      </c>
      <c r="AE49" s="28">
        <f t="array" ref="AE49">XLOOKUP(V49,products_master_corrected!$A$2:$A$151,products_master_corrected!$I$2:$I$151)</f>
        <v>72.24</v>
      </c>
      <c r="AF49" s="29">
        <f t="shared" si="6"/>
        <v>72.24</v>
      </c>
      <c r="AG49" s="32" t="s">
        <v>8660</v>
      </c>
      <c r="AH49" s="2" t="s">
        <v>505</v>
      </c>
      <c r="AI49" s="10" t="s">
        <v>181</v>
      </c>
      <c r="AJ49" s="2" t="s">
        <v>452</v>
      </c>
      <c r="AK49" s="10" t="s">
        <v>261</v>
      </c>
      <c r="AL49" s="2" t="s">
        <v>67</v>
      </c>
    </row>
    <row r="50" ht="15.75" customHeight="1">
      <c r="A50" s="2" t="s">
        <v>4113</v>
      </c>
      <c r="B50" s="12">
        <v>45192.89791666667</v>
      </c>
      <c r="C50" s="2" t="str">
        <f>IFERROR(__xludf.DUMMYFUNCTION("IF(ISNUMBER(B50),TEXT(B50,""yyyy-MM-dd""),REGEXREPLACE(REGEXREPLACE(TO_TEXT(B50),""[^0-9a-zA-Z]+"",""-""),""[^0-9]*$"",""""))"),"2023-09-23")</f>
        <v>2023-09-23</v>
      </c>
      <c r="D50" s="2" t="s">
        <v>1658</v>
      </c>
      <c r="H50" s="10" t="s">
        <v>1658</v>
      </c>
      <c r="I50" s="2" t="s">
        <v>4115</v>
      </c>
      <c r="J50" s="26" t="str">
        <f t="array" ref="J50">IF(ISNA(XLOOKUP(I50,customers_clean!$A$2:$A$701,customers_clean!$A$2:$A$701, NA()) ),
   "❌ MISSING CUSTOMER", "✅")</f>
        <v>✅</v>
      </c>
      <c r="K50" s="2" t="str">
        <f t="array" ref="K50">XLOOKUP(I50,customers_clean!$A$2:$A$701,customers_clean!$C$2:$C$701)</f>
        <v>Sam Johnson</v>
      </c>
      <c r="L50" s="10" t="str">
        <f t="array" ref="L50">XLOOKUP(I50,customers_clean!$A$2:$A$701,customers_clean!$D$2:$D$701)</f>
        <v>Sam Johnson</v>
      </c>
      <c r="M50" s="2" t="str">
        <f t="array" ref="M50">XLOOKUP(I50,customers_clean!$A$2:$A$701,customers_clean!$I$2:$I$701)</f>
        <v> sam.johnson@yahoo.com</v>
      </c>
      <c r="N50" s="10" t="str">
        <f t="array" ref="N50">XLOOKUP(I50,customers_clean!$A$2:$A$701,customers_clean!$H$2:$H$701)</f>
        <v>sam.johnson@yahoo.com</v>
      </c>
      <c r="O50" s="9" t="str">
        <f>IFERROR(__xludf.DUMMYFUNCTION("IF(REGEXMATCH(TRIM(N50),""^[A-Za-z0-9._%+-]+@[A-Za-z0-9.-]+\.[A-Za-z]{2,}$""),""✅ Valid"",""❌ Invalid"")"),"✅ Valid")</f>
        <v>✅ Valid</v>
      </c>
      <c r="P50" s="2" t="str">
        <f t="array" ref="P50">XLOOKUP(I50,customers_clean!$A$2:$A$701,customers_clean!$K$2:$K$701)</f>
        <v>(404) 87661</v>
      </c>
      <c r="Q50" s="10" t="str">
        <f t="array" ref="Q50">XLOOKUP(I50,customers_clean!$A$2:$A$701,customers_clean!$N$2:$N$701)</f>
        <v>40487661</v>
      </c>
      <c r="R50" s="9" t="str">
        <f t="array" ref="R50">XLOOKUP(I50,customers_clean!$A$2:$A$701,customers_clean!$Q$2:$Q$701)</f>
        <v>❌ INVALID</v>
      </c>
      <c r="S50" s="10" t="s">
        <v>88</v>
      </c>
      <c r="T50" s="2" t="s">
        <v>2472</v>
      </c>
      <c r="U50" s="2" t="s">
        <v>289</v>
      </c>
      <c r="V50" s="2" t="s">
        <v>353</v>
      </c>
      <c r="W50" s="9" t="str">
        <f t="array" ref="W50">IF(ISNA(XLOOKUP(V50,products_master_corrected!$A$2:$A$151,products_master_corrected!$A$2:$A$151, NA())),
    "❌ MISSING SKU", "✅")</f>
        <v>✅</v>
      </c>
      <c r="X50" s="2" t="s">
        <v>62</v>
      </c>
      <c r="Y50" s="2" t="s">
        <v>355</v>
      </c>
      <c r="Z50" s="10" t="s">
        <v>355</v>
      </c>
      <c r="AA50" s="27">
        <v>1.0</v>
      </c>
      <c r="AB50" s="9" t="s">
        <v>8649</v>
      </c>
      <c r="AC50" s="28">
        <f t="array" ref="AC50">XLOOKUP(V50,products_master_corrected!$A$2:$A$151,products_master_corrected!$E$2:$E$151)</f>
        <v>106.56</v>
      </c>
      <c r="AD50" s="28">
        <f t="shared" si="5"/>
        <v>106.56</v>
      </c>
      <c r="AE50" s="28">
        <f t="array" ref="AE50">XLOOKUP(V50,products_master_corrected!$A$2:$A$151,products_master_corrected!$I$2:$I$151)</f>
        <v>117.47</v>
      </c>
      <c r="AF50" s="29">
        <f t="shared" si="6"/>
        <v>117.47</v>
      </c>
      <c r="AG50" s="32" t="s">
        <v>8660</v>
      </c>
      <c r="AH50" s="2" t="s">
        <v>664</v>
      </c>
      <c r="AI50" s="10" t="s">
        <v>66</v>
      </c>
      <c r="AJ50" s="2" t="s">
        <v>306</v>
      </c>
      <c r="AK50" s="10" t="s">
        <v>192</v>
      </c>
      <c r="AL50" s="2" t="s">
        <v>133</v>
      </c>
    </row>
    <row r="51" ht="15.75" customHeight="1">
      <c r="A51" s="2" t="s">
        <v>5625</v>
      </c>
      <c r="B51" s="12">
        <v>45481.0</v>
      </c>
      <c r="C51" s="2" t="str">
        <f>IFERROR(__xludf.DUMMYFUNCTION("IF(ISNUMBER(B51),TEXT(B51,""yyyy-MM-dd""),REGEXREPLACE(REGEXREPLACE(TO_TEXT(B51),""[^0-9a-zA-Z]+"",""-""),""[^0-9]*$"",""""))"),"2024-07-08")</f>
        <v>2024-07-08</v>
      </c>
      <c r="D51" s="2" t="s">
        <v>8683</v>
      </c>
      <c r="H51" s="10" t="s">
        <v>8683</v>
      </c>
      <c r="I51" s="2" t="s">
        <v>5627</v>
      </c>
      <c r="J51" s="26" t="str">
        <f t="array" ref="J51">IF(ISNA(XLOOKUP(I51,customers_clean!$A$2:$A$701,customers_clean!$A$2:$A$701, NA()) ),
   "❌ MISSING CUSTOMER", "✅")</f>
        <v>✅</v>
      </c>
      <c r="K51" s="2" t="str">
        <f t="array" ref="K51">XLOOKUP(I51,customers_clean!$A$2:$A$701,customers_clean!$C$2:$C$701)</f>
        <v>Ken Nowak </v>
      </c>
      <c r="L51" s="10" t="str">
        <f t="array" ref="L51">XLOOKUP(I51,customers_clean!$A$2:$A$701,customers_clean!$D$2:$D$701)</f>
        <v>Ken Nowak</v>
      </c>
      <c r="M51" s="2" t="str">
        <f t="array" ref="M51">XLOOKUP(I51,customers_clean!$A$2:$A$701,customers_clean!$I$2:$I$701)</f>
        <v>ken.nowak@company.co.uk</v>
      </c>
      <c r="N51" s="10" t="str">
        <f t="array" ref="N51">XLOOKUP(I51,customers_clean!$A$2:$A$701,customers_clean!$H$2:$H$701)</f>
        <v>ken.nowak@company.co.uk</v>
      </c>
      <c r="O51" s="9" t="str">
        <f>IFERROR(__xludf.DUMMYFUNCTION("IF(REGEXMATCH(TRIM(N51),""^[A-Za-z0-9._%+-]+@[A-Za-z0-9.-]+\.[A-Za-z]{2,}$""),""✅ Valid"",""❌ Invalid"")"),"✅ Valid")</f>
        <v>✅ Valid</v>
      </c>
      <c r="P51" s="2" t="str">
        <f t="array" ref="P51">XLOOKUP(I51,customers_clean!$A$2:$A$701,customers_clean!$K$2:$K$701)</f>
        <v>858835x482</v>
      </c>
      <c r="Q51" s="10" t="str">
        <f t="array" ref="Q51">XLOOKUP(I51,customers_clean!$A$2:$A$701,customers_clean!$N$2:$N$701)</f>
        <v>858835482</v>
      </c>
      <c r="R51" s="9" t="str">
        <f t="array" ref="R51">XLOOKUP(I51,customers_clean!$A$2:$A$701,customers_clean!$Q$2:$Q$701)</f>
        <v>❌ INVALID</v>
      </c>
      <c r="S51" s="10" t="s">
        <v>88</v>
      </c>
      <c r="T51" s="2" t="s">
        <v>5631</v>
      </c>
      <c r="U51" s="2" t="s">
        <v>312</v>
      </c>
      <c r="V51" s="2" t="s">
        <v>2605</v>
      </c>
      <c r="W51" s="9" t="str">
        <f t="array" ref="W51">IF(ISNA(XLOOKUP(V51,products_master_corrected!$A$2:$A$151,products_master_corrected!$A$2:$A$151, NA())),
    "❌ MISSING SKU", "✅")</f>
        <v>✅</v>
      </c>
      <c r="X51" s="2" t="s">
        <v>280</v>
      </c>
      <c r="Y51" s="2" t="s">
        <v>292</v>
      </c>
      <c r="Z51" s="10" t="s">
        <v>63</v>
      </c>
      <c r="AA51" s="27">
        <v>2.0</v>
      </c>
      <c r="AB51" s="9" t="s">
        <v>8649</v>
      </c>
      <c r="AC51" s="28">
        <f t="array" ref="AC51">XLOOKUP(V51,products_master_corrected!$A$2:$A$151,products_master_corrected!$E$2:$E$151)</f>
        <v>142.47</v>
      </c>
      <c r="AD51" s="28">
        <f t="shared" si="5"/>
        <v>284.94</v>
      </c>
      <c r="AE51" s="28">
        <f t="array" ref="AE51">XLOOKUP(V51,products_master_corrected!$A$2:$A$151,products_master_corrected!$I$2:$I$151)</f>
        <v>157.06</v>
      </c>
      <c r="AF51" s="29">
        <f t="shared" si="6"/>
        <v>314.12</v>
      </c>
      <c r="AG51" s="32" t="s">
        <v>8660</v>
      </c>
      <c r="AH51" s="2" t="s">
        <v>143</v>
      </c>
      <c r="AI51" s="10" t="s">
        <v>143</v>
      </c>
      <c r="AJ51" s="2" t="s">
        <v>818</v>
      </c>
      <c r="AK51" s="10" t="s">
        <v>818</v>
      </c>
    </row>
    <row r="52" ht="15.75" customHeight="1">
      <c r="A52" s="2" t="s">
        <v>6089</v>
      </c>
      <c r="B52" s="12">
        <v>45661.0</v>
      </c>
      <c r="C52" s="2" t="str">
        <f>IFERROR(__xludf.DUMMYFUNCTION("IF(ISNUMBER(B52),TEXT(B52,""yyyy-MM-dd""),REGEXREPLACE(REGEXREPLACE(TO_TEXT(B52),""[^0-9a-zA-Z]+"",""-""),""[^0-9]*$"",""""))"),"2025-01-04")</f>
        <v>2025-01-04</v>
      </c>
      <c r="D52" s="2" t="s">
        <v>6090</v>
      </c>
      <c r="H52" s="10" t="s">
        <v>6090</v>
      </c>
      <c r="I52" s="2" t="s">
        <v>5627</v>
      </c>
      <c r="J52" s="26" t="str">
        <f t="array" ref="J52">IF(ISNA(XLOOKUP(I52,customers_clean!$A$2:$A$701,customers_clean!$A$2:$A$701, NA()) ),
   "❌ MISSING CUSTOMER", "✅")</f>
        <v>✅</v>
      </c>
      <c r="K52" s="2" t="str">
        <f t="array" ref="K52">XLOOKUP(I52,customers_clean!$A$2:$A$701,customers_clean!$C$2:$C$701)</f>
        <v>Ken Nowak </v>
      </c>
      <c r="L52" s="10" t="str">
        <f t="array" ref="L52">XLOOKUP(I52,customers_clean!$A$2:$A$701,customers_clean!$D$2:$D$701)</f>
        <v>Ken Nowak</v>
      </c>
      <c r="M52" s="2" t="str">
        <f t="array" ref="M52">XLOOKUP(I52,customers_clean!$A$2:$A$701,customers_clean!$I$2:$I$701)</f>
        <v>ken.nowak@company.co.uk</v>
      </c>
      <c r="N52" s="10" t="str">
        <f t="array" ref="N52">XLOOKUP(I52,customers_clean!$A$2:$A$701,customers_clean!$H$2:$H$701)</f>
        <v>ken.nowak@company.co.uk</v>
      </c>
      <c r="O52" s="9" t="str">
        <f>IFERROR(__xludf.DUMMYFUNCTION("IF(REGEXMATCH(TRIM(N52),""^[A-Za-z0-9._%+-]+@[A-Za-z0-9.-]+\.[A-Za-z]{2,}$""),""✅ Valid"",""❌ Invalid"")"),"✅ Valid")</f>
        <v>✅ Valid</v>
      </c>
      <c r="P52" s="2" t="str">
        <f t="array" ref="P52">XLOOKUP(I52,customers_clean!$A$2:$A$701,customers_clean!$K$2:$K$701)</f>
        <v>858835x482</v>
      </c>
      <c r="Q52" s="10" t="str">
        <f t="array" ref="Q52">XLOOKUP(I52,customers_clean!$A$2:$A$701,customers_clean!$N$2:$N$701)</f>
        <v>858835482</v>
      </c>
      <c r="R52" s="9" t="str">
        <f t="array" ref="R52">XLOOKUP(I52,customers_clean!$A$2:$A$701,customers_clean!$Q$2:$Q$701)</f>
        <v>❌ INVALID</v>
      </c>
      <c r="S52" s="10" t="s">
        <v>88</v>
      </c>
      <c r="T52" s="2" t="s">
        <v>323</v>
      </c>
      <c r="U52" s="2" t="s">
        <v>176</v>
      </c>
      <c r="V52" s="2" t="s">
        <v>1529</v>
      </c>
      <c r="W52" s="9" t="str">
        <f t="array" ref="W52">IF(ISNA(XLOOKUP(V52,products_master_corrected!$A$2:$A$151,products_master_corrected!$A$2:$A$151, NA())),
    "❌ MISSING SKU", "✅")</f>
        <v>✅</v>
      </c>
      <c r="X52" s="2" t="s">
        <v>280</v>
      </c>
      <c r="Y52" s="2" t="s">
        <v>368</v>
      </c>
      <c r="Z52" s="10" t="s">
        <v>368</v>
      </c>
      <c r="AA52" s="27">
        <v>2.0</v>
      </c>
      <c r="AB52" s="9" t="s">
        <v>8649</v>
      </c>
      <c r="AC52" s="28">
        <f t="array" ref="AC52">XLOOKUP(V52,products_master_corrected!$A$2:$A$151,products_master_corrected!$E$2:$E$151)</f>
        <v>83.6</v>
      </c>
      <c r="AD52" s="28">
        <f t="shared" si="5"/>
        <v>167.2</v>
      </c>
      <c r="AE52" s="28">
        <f t="array" ref="AE52">XLOOKUP(V52,products_master_corrected!$A$2:$A$151,products_master_corrected!$I$2:$I$151)</f>
        <v>92.16</v>
      </c>
      <c r="AF52" s="29">
        <f t="shared" si="6"/>
        <v>184.32</v>
      </c>
      <c r="AG52" s="32" t="s">
        <v>8660</v>
      </c>
      <c r="AH52" s="2" t="s">
        <v>414</v>
      </c>
      <c r="AI52" s="10" t="s">
        <v>49</v>
      </c>
      <c r="AJ52" s="2" t="s">
        <v>432</v>
      </c>
      <c r="AK52" s="10" t="s">
        <v>80</v>
      </c>
      <c r="AL52" s="2" t="s">
        <v>133</v>
      </c>
    </row>
    <row r="53" ht="15.75" customHeight="1">
      <c r="A53" s="2" t="s">
        <v>4732</v>
      </c>
      <c r="B53" s="12">
        <v>44963.0</v>
      </c>
      <c r="C53" s="2" t="str">
        <f>IFERROR(__xludf.DUMMYFUNCTION("IF(ISNUMBER(B53),TEXT(B53,""yyyy-MM-dd""),REGEXREPLACE(REGEXREPLACE(TO_TEXT(B53),""[^0-9a-zA-Z]+"",""-""),""[^0-9]*$"",""""))"),"2023-02-06")</f>
        <v>2023-02-06</v>
      </c>
      <c r="D53" s="2" t="s">
        <v>8684</v>
      </c>
      <c r="H53" s="10" t="s">
        <v>8684</v>
      </c>
      <c r="I53" s="2" t="s">
        <v>4734</v>
      </c>
      <c r="J53" s="26" t="str">
        <f t="array" ref="J53">IF(ISNA(XLOOKUP(I53,customers_clean!$A$2:$A$701,customers_clean!$A$2:$A$701, NA()) ),
   "❌ MISSING CUSTOMER", "✅")</f>
        <v>✅</v>
      </c>
      <c r="K53" s="2" t="str">
        <f t="array" ref="K53">XLOOKUP(I53,customers_clean!$A$2:$A$701,customers_clean!$C$2:$C$701)</f>
        <v>Wiktor Rodriguez </v>
      </c>
      <c r="L53" s="10" t="str">
        <f t="array" ref="L53">XLOOKUP(I53,customers_clean!$A$2:$A$701,customers_clean!$D$2:$D$701)</f>
        <v>Wiktor Rodriguez</v>
      </c>
      <c r="M53" s="2" t="str">
        <f t="array" ref="M53">XLOOKUP(I53,customers_clean!$A$2:$A$701,customers_clean!$I$2:$I$701)</f>
        <v>wiktor.rodriguez@example.com </v>
      </c>
      <c r="N53" s="10" t="str">
        <f t="array" ref="N53">XLOOKUP(I53,customers_clean!$A$2:$A$701,customers_clean!$H$2:$H$701)</f>
        <v>wiktor.rodriguez@example.com</v>
      </c>
      <c r="O53" s="9" t="str">
        <f>IFERROR(__xludf.DUMMYFUNCTION("IF(REGEXMATCH(TRIM(N53),""^[A-Za-z0-9._%+-]+@[A-Za-z0-9.-]+\.[A-Za-z]{2,}$""),""✅ Valid"",""❌ Invalid"")"),"✅ Valid")</f>
        <v>✅ Valid</v>
      </c>
      <c r="P53" s="2" t="str">
        <f t="array" ref="P53">XLOOKUP(I53,customers_clean!$A$2:$A$701,customers_clean!$K$2:$K$701)</f>
        <v>+44 309 8554497</v>
      </c>
      <c r="Q53" s="10" t="str">
        <f t="array" ref="Q53">XLOOKUP(I53,customers_clean!$A$2:$A$701,customers_clean!$N$2:$N$701)</f>
        <v>3098554497</v>
      </c>
      <c r="R53" s="9" t="str">
        <f t="array" ref="R53">XLOOKUP(I53,customers_clean!$A$2:$A$701,customers_clean!$Q$2:$Q$701)</f>
        <v>❌ INVALID</v>
      </c>
      <c r="S53" s="10" t="s">
        <v>114</v>
      </c>
      <c r="T53" s="2" t="s">
        <v>223</v>
      </c>
      <c r="U53" s="2" t="s">
        <v>365</v>
      </c>
      <c r="V53" s="2" t="s">
        <v>1063</v>
      </c>
      <c r="W53" s="9" t="str">
        <f t="array" ref="W53">IF(ISNA(XLOOKUP(V53,products_master_corrected!$A$2:$A$151,products_master_corrected!$A$2:$A$151, NA())),
    "❌ MISSING SKU", "✅")</f>
        <v>✅</v>
      </c>
      <c r="X53" s="2" t="s">
        <v>291</v>
      </c>
      <c r="Y53" s="2" t="s">
        <v>167</v>
      </c>
      <c r="Z53" s="10" t="str">
        <f>PROPER(TRIM(Y53))</f>
        <v>Monitors</v>
      </c>
      <c r="AA53" s="27">
        <v>5.0</v>
      </c>
      <c r="AB53" s="9" t="s">
        <v>8649</v>
      </c>
      <c r="AC53" s="28">
        <f t="array" ref="AC53">XLOOKUP(V53,products_master_corrected!$A$2:$A$151,products_master_corrected!$E$2:$E$151)</f>
        <v>136.55</v>
      </c>
      <c r="AD53" s="28">
        <f t="shared" si="5"/>
        <v>682.75</v>
      </c>
      <c r="AE53" s="28">
        <f t="array" ref="AE53">XLOOKUP(V53,products_master_corrected!$A$2:$A$151,products_master_corrected!$F$2:$F$151)</f>
        <v>136.55</v>
      </c>
      <c r="AF53" s="29">
        <f t="shared" si="6"/>
        <v>682.75</v>
      </c>
      <c r="AG53" s="30" t="s">
        <v>65</v>
      </c>
      <c r="AH53" s="2" t="s">
        <v>143</v>
      </c>
      <c r="AI53" s="10" t="s">
        <v>143</v>
      </c>
      <c r="AJ53" s="2" t="s">
        <v>442</v>
      </c>
      <c r="AK53" s="10" t="s">
        <v>80</v>
      </c>
    </row>
    <row r="54" ht="15.75" customHeight="1">
      <c r="A54" s="2" t="s">
        <v>4837</v>
      </c>
      <c r="B54" s="12">
        <v>45325.0</v>
      </c>
      <c r="C54" s="2" t="str">
        <f>IFERROR(__xludf.DUMMYFUNCTION("IF(ISNUMBER(B54),TEXT(B54,""yyyy-MM-dd""),REGEXREPLACE(REGEXREPLACE(TO_TEXT(B54),""[^0-9a-zA-Z]+"",""-""),""[^0-9]*$"",""""))"),"2024-02-03")</f>
        <v>2024-02-03</v>
      </c>
      <c r="D54" s="2" t="s">
        <v>5796</v>
      </c>
      <c r="H54" s="10" t="s">
        <v>5796</v>
      </c>
      <c r="I54" s="2" t="s">
        <v>4734</v>
      </c>
      <c r="J54" s="26" t="str">
        <f t="array" ref="J54">IF(ISNA(XLOOKUP(I54,customers_clean!$A$2:$A$701,customers_clean!$A$2:$A$701, NA()) ),
   "❌ MISSING CUSTOMER", "✅")</f>
        <v>✅</v>
      </c>
      <c r="K54" s="2" t="str">
        <f t="array" ref="K54">XLOOKUP(I54,customers_clean!$A$2:$A$701,customers_clean!$C$2:$C$701)</f>
        <v>Wiktor Rodriguez </v>
      </c>
      <c r="L54" s="10" t="str">
        <f t="array" ref="L54">XLOOKUP(I54,customers_clean!$A$2:$A$701,customers_clean!$D$2:$D$701)</f>
        <v>Wiktor Rodriguez</v>
      </c>
      <c r="M54" s="2" t="str">
        <f t="array" ref="M54">XLOOKUP(I54,customers_clean!$A$2:$A$701,customers_clean!$I$2:$I$701)</f>
        <v>wiktor.rodriguez@example.com </v>
      </c>
      <c r="N54" s="10" t="str">
        <f t="array" ref="N54">XLOOKUP(I54,customers_clean!$A$2:$A$701,customers_clean!$H$2:$H$701)</f>
        <v>wiktor.rodriguez@example.com</v>
      </c>
      <c r="O54" s="9" t="str">
        <f>IFERROR(__xludf.DUMMYFUNCTION("IF(REGEXMATCH(TRIM(N54),""^[A-Za-z0-9._%+-]+@[A-Za-z0-9.-]+\.[A-Za-z]{2,}$""),""✅ Valid"",""❌ Invalid"")"),"✅ Valid")</f>
        <v>✅ Valid</v>
      </c>
      <c r="P54" s="2" t="str">
        <f t="array" ref="P54">XLOOKUP(I54,customers_clean!$A$2:$A$701,customers_clean!$K$2:$K$701)</f>
        <v>+44 309 8554497</v>
      </c>
      <c r="Q54" s="10" t="str">
        <f t="array" ref="Q54">XLOOKUP(I54,customers_clean!$A$2:$A$701,customers_clean!$N$2:$N$701)</f>
        <v>3098554497</v>
      </c>
      <c r="R54" s="9" t="str">
        <f t="array" ref="R54">XLOOKUP(I54,customers_clean!$A$2:$A$701,customers_clean!$Q$2:$Q$701)</f>
        <v>❌ INVALID</v>
      </c>
      <c r="S54" s="10" t="s">
        <v>114</v>
      </c>
      <c r="T54" s="2" t="s">
        <v>152</v>
      </c>
      <c r="U54" s="2" t="s">
        <v>401</v>
      </c>
      <c r="V54" s="2" t="s">
        <v>2321</v>
      </c>
      <c r="W54" s="9" t="str">
        <f t="array" ref="W54">IF(ISNA(XLOOKUP(V54,products_master_corrected!$A$2:$A$151,products_master_corrected!$A$2:$A$151, NA())),
    "❌ MISSING SKU", "✅")</f>
        <v>✅</v>
      </c>
      <c r="X54" s="2" t="s">
        <v>2322</v>
      </c>
      <c r="Y54" s="2" t="s">
        <v>368</v>
      </c>
      <c r="Z54" s="10" t="s">
        <v>368</v>
      </c>
      <c r="AA54" s="27">
        <v>1.0</v>
      </c>
      <c r="AB54" s="9" t="s">
        <v>8649</v>
      </c>
      <c r="AC54" s="28">
        <f t="array" ref="AC54">XLOOKUP(V54,products_master_corrected!$A$2:$A$151,products_master_corrected!$E$2:$E$151)</f>
        <v>23.95</v>
      </c>
      <c r="AD54" s="28">
        <f t="shared" si="5"/>
        <v>23.95</v>
      </c>
      <c r="AE54" s="28">
        <f t="array" ref="AE54">XLOOKUP(V54,products_master_corrected!$A$2:$A$151,products_master_corrected!$F$2:$F$151)</f>
        <v>23.95</v>
      </c>
      <c r="AF54" s="29">
        <f t="shared" si="6"/>
        <v>23.95</v>
      </c>
      <c r="AG54" s="30" t="s">
        <v>65</v>
      </c>
      <c r="AH54" s="2" t="s">
        <v>379</v>
      </c>
      <c r="AI54" s="10" t="s">
        <v>143</v>
      </c>
      <c r="AJ54" s="2" t="s">
        <v>169</v>
      </c>
      <c r="AK54" s="10" t="s">
        <v>261</v>
      </c>
      <c r="AL54" s="2" t="s">
        <v>81</v>
      </c>
    </row>
    <row r="55" ht="15.75" customHeight="1">
      <c r="A55" s="2" t="s">
        <v>1410</v>
      </c>
      <c r="B55" s="12">
        <v>45898.0</v>
      </c>
      <c r="C55" s="2" t="str">
        <f>IFERROR(__xludf.DUMMYFUNCTION("IF(ISNUMBER(B55),TEXT(B55,""yyyy-MM-dd""),REGEXREPLACE(REGEXREPLACE(TO_TEXT(B55),""[^0-9a-zA-Z]+"",""-""),""[^0-9]*$"",""""))"),"2025-08-29")</f>
        <v>2025-08-29</v>
      </c>
      <c r="D55" s="2" t="s">
        <v>7909</v>
      </c>
      <c r="H55" s="10" t="s">
        <v>7909</v>
      </c>
      <c r="I55" s="2" t="s">
        <v>1411</v>
      </c>
      <c r="J55" s="26" t="str">
        <f t="array" ref="J55">IF(ISNA(XLOOKUP(I55,customers_clean!$A$2:$A$701,customers_clean!$A$2:$A$701, NA()) ),
   "❌ MISSING CUSTOMER", "✅")</f>
        <v>✅</v>
      </c>
      <c r="K55" s="2" t="str">
        <f t="array" ref="K55">XLOOKUP(I55,customers_clean!$A$2:$A$701,customers_clean!$C$2:$C$701)</f>
        <v>Omar Rodriguez </v>
      </c>
      <c r="L55" s="10" t="str">
        <f t="array" ref="L55">XLOOKUP(I55,customers_clean!$A$2:$A$701,customers_clean!$D$2:$D$701)</f>
        <v>Omar Rodriguez</v>
      </c>
      <c r="M55" s="2" t="str">
        <f t="array" ref="M55">XLOOKUP(I55,customers_clean!$A$2:$A$701,customers_clean!$I$2:$I$701)</f>
        <v>omar.rodriguez@example.com </v>
      </c>
      <c r="N55" s="10" t="str">
        <f t="array" ref="N55">XLOOKUP(I55,customers_clean!$A$2:$A$701,customers_clean!$H$2:$H$701)</f>
        <v>omar.rodriguez@example.com</v>
      </c>
      <c r="O55" s="9" t="str">
        <f>IFERROR(__xludf.DUMMYFUNCTION("IF(REGEXMATCH(TRIM(N55),""^[A-Za-z0-9._%+-]+@[A-Za-z0-9.-]+\.[A-Za-z]{2,}$""),""✅ Valid"",""❌ Invalid"")"),"✅ Valid")</f>
        <v>✅ Valid</v>
      </c>
      <c r="P55" s="2" t="str">
        <f t="array" ref="P55">XLOOKUP(I55,customers_clean!$A$2:$A$701,customers_clean!$K$2:$K$701)</f>
        <v>(496) 820240</v>
      </c>
      <c r="Q55" s="10" t="str">
        <f t="array" ref="Q55">XLOOKUP(I55,customers_clean!$A$2:$A$701,customers_clean!$N$2:$N$701)</f>
        <v>496820240</v>
      </c>
      <c r="R55" s="9" t="str">
        <f t="array" ref="R55">XLOOKUP(I55,customers_clean!$A$2:$A$701,customers_clean!$Q$2:$Q$701)</f>
        <v>❌ INVALID</v>
      </c>
      <c r="S55" s="10" t="s">
        <v>58</v>
      </c>
      <c r="T55" s="2" t="s">
        <v>1415</v>
      </c>
      <c r="U55" s="2" t="s">
        <v>401</v>
      </c>
      <c r="V55" s="2" t="s">
        <v>269</v>
      </c>
      <c r="W55" s="9" t="str">
        <f t="array" ref="W55">IF(ISNA(XLOOKUP(V55,products_master_corrected!$A$2:$A$151,products_master_corrected!$A$2:$A$151, NA())),
    "❌ MISSING SKU", "✅")</f>
        <v>✅</v>
      </c>
      <c r="X55" s="2" t="s">
        <v>524</v>
      </c>
      <c r="Y55" s="2" t="s">
        <v>271</v>
      </c>
      <c r="Z55" s="10" t="s">
        <v>368</v>
      </c>
      <c r="AA55" s="27">
        <v>2.0</v>
      </c>
      <c r="AB55" s="9" t="s">
        <v>8649</v>
      </c>
      <c r="AC55" s="28">
        <f t="array" ref="AC55">XLOOKUP(V55,products_master_corrected!$A$2:$A$151,products_master_corrected!$E$2:$E$151)</f>
        <v>219.29</v>
      </c>
      <c r="AD55" s="28">
        <f t="shared" si="5"/>
        <v>438.58</v>
      </c>
      <c r="AE55" s="28">
        <f t="array" ref="AE55">XLOOKUP(V55,products_master_corrected!$A$2:$A$151,products_master_corrected!$G$2:$G$151)</f>
        <v>251.04</v>
      </c>
      <c r="AF55" s="29">
        <f t="shared" si="6"/>
        <v>502.08</v>
      </c>
      <c r="AG55" s="32" t="s">
        <v>8663</v>
      </c>
      <c r="AH55" s="2" t="s">
        <v>181</v>
      </c>
      <c r="AI55" s="10" t="s">
        <v>181</v>
      </c>
      <c r="AJ55" s="2" t="s">
        <v>442</v>
      </c>
      <c r="AK55" s="10" t="s">
        <v>80</v>
      </c>
      <c r="AL55" s="2" t="s">
        <v>133</v>
      </c>
    </row>
    <row r="56" ht="15.75" customHeight="1">
      <c r="A56" s="2" t="s">
        <v>2052</v>
      </c>
      <c r="B56" s="12">
        <v>45689.0</v>
      </c>
      <c r="C56" s="2" t="str">
        <f>IFERROR(__xludf.DUMMYFUNCTION("IF(ISNUMBER(B56),TEXT(B56,""yyyy-MM-dd""),REGEXREPLACE(REGEXREPLACE(TO_TEXT(B56),""[^0-9a-zA-Z]+"",""-""),""[^0-9]*$"",""""))"),"2025-02-01")</f>
        <v>2025-02-01</v>
      </c>
      <c r="D56" s="2" t="s">
        <v>8236</v>
      </c>
      <c r="H56" s="10" t="s">
        <v>8236</v>
      </c>
      <c r="I56" s="2" t="s">
        <v>2054</v>
      </c>
      <c r="J56" s="26" t="str">
        <f t="array" ref="J56">IF(ISNA(XLOOKUP(I56,customers_clean!$A$2:$A$701,customers_clean!$A$2:$A$701, NA()) ),
   "❌ MISSING CUSTOMER", "✅")</f>
        <v>✅</v>
      </c>
      <c r="K56" s="2" t="str">
        <f t="array" ref="K56">XLOOKUP(I56,customers_clean!$A$2:$A$701,customers_clean!$C$2:$C$701)</f>
        <v>Ken Nowak</v>
      </c>
      <c r="L56" s="10" t="str">
        <f t="array" ref="L56">XLOOKUP(I56,customers_clean!$A$2:$A$701,customers_clean!$D$2:$D$701)</f>
        <v>Ken Nowak</v>
      </c>
      <c r="M56" s="2" t="str">
        <f t="array" ref="M56">XLOOKUP(I56,customers_clean!$A$2:$A$701,customers_clean!$I$2:$I$701)</f>
        <v>ken.nowak@outlook.com</v>
      </c>
      <c r="N56" s="10" t="str">
        <f t="array" ref="N56">XLOOKUP(I56,customers_clean!$A$2:$A$701,customers_clean!$H$2:$H$701)</f>
        <v>ken.nowak@outlook.com</v>
      </c>
      <c r="O56" s="9" t="str">
        <f>IFERROR(__xludf.DUMMYFUNCTION("IF(REGEXMATCH(TRIM(N56),""^[A-Za-z0-9._%+-]+@[A-Za-z0-9.-]+\.[A-Za-z]{2,}$""),""✅ Valid"",""❌ Invalid"")"),"✅ Valid")</f>
        <v>✅ Valid</v>
      </c>
      <c r="P56" s="2" t="str">
        <f t="array" ref="P56">XLOOKUP(I56,customers_clean!$A$2:$A$701,customers_clean!$K$2:$K$701)</f>
        <v>+353-876-052466</v>
      </c>
      <c r="Q56" s="10" t="str">
        <f t="array" ref="Q56">XLOOKUP(I56,customers_clean!$A$2:$A$701,customers_clean!$N$2:$N$701)</f>
        <v>876052466</v>
      </c>
      <c r="R56" s="9" t="str">
        <f t="array" ref="R56">XLOOKUP(I56,customers_clean!$A$2:$A$701,customers_clean!$Q$2:$Q$701)</f>
        <v>❌ INVALID</v>
      </c>
      <c r="S56" s="10" t="s">
        <v>88</v>
      </c>
      <c r="T56" s="2" t="s">
        <v>26</v>
      </c>
      <c r="U56" s="2" t="s">
        <v>43</v>
      </c>
      <c r="V56" s="2" t="s">
        <v>1815</v>
      </c>
      <c r="W56" s="9" t="str">
        <f t="array" ref="W56">IF(ISNA(XLOOKUP(V56,products_master_corrected!$A$2:$A$151,products_master_corrected!$A$2:$A$151, NA())),
    "❌ MISSING SKU", "✅")</f>
        <v>✅</v>
      </c>
      <c r="X56" s="2" t="s">
        <v>768</v>
      </c>
      <c r="Y56" s="2" t="s">
        <v>368</v>
      </c>
      <c r="Z56" s="10" t="s">
        <v>368</v>
      </c>
      <c r="AA56" s="27">
        <v>1.0</v>
      </c>
      <c r="AB56" s="9" t="s">
        <v>8649</v>
      </c>
      <c r="AC56" s="28">
        <f t="array" ref="AC56">XLOOKUP(V56,products_master_corrected!$A$2:$A$151,products_master_corrected!$E$2:$E$151)</f>
        <v>42.65</v>
      </c>
      <c r="AD56" s="28">
        <f t="shared" si="5"/>
        <v>42.65</v>
      </c>
      <c r="AE56" s="28">
        <f t="array" ref="AE56">XLOOKUP(V56,products_master_corrected!$A$2:$A$151,products_master_corrected!$I$2:$I$151)</f>
        <v>47.02</v>
      </c>
      <c r="AF56" s="29">
        <f t="shared" si="6"/>
        <v>47.02</v>
      </c>
      <c r="AG56" s="32" t="s">
        <v>8660</v>
      </c>
      <c r="AH56" s="2" t="s">
        <v>131</v>
      </c>
      <c r="AI56" s="10" t="s">
        <v>181</v>
      </c>
      <c r="AJ56" s="2" t="s">
        <v>345</v>
      </c>
      <c r="AK56" s="10" t="s">
        <v>261</v>
      </c>
    </row>
    <row r="57" ht="15.75" customHeight="1">
      <c r="A57" s="2" t="s">
        <v>4051</v>
      </c>
      <c r="B57" s="12">
        <v>45369.0</v>
      </c>
      <c r="C57" s="2" t="str">
        <f>IFERROR(__xludf.DUMMYFUNCTION("IF(ISNUMBER(B57),TEXT(B57,""yyyy-MM-dd""),REGEXREPLACE(REGEXREPLACE(TO_TEXT(B57),""[^0-9a-zA-Z]+"",""-""),""[^0-9]*$"",""""))"),"2024-03-18")</f>
        <v>2024-03-18</v>
      </c>
      <c r="D57" s="2" t="s">
        <v>8685</v>
      </c>
      <c r="H57" s="10" t="s">
        <v>8685</v>
      </c>
      <c r="I57" s="2" t="s">
        <v>4053</v>
      </c>
      <c r="J57" s="26" t="str">
        <f t="array" ref="J57">IF(ISNA(XLOOKUP(I57,customers_clean!$A$2:$A$701,customers_clean!$A$2:$A$701, NA()) ),
   "❌ MISSING CUSTOMER", "✅")</f>
        <v>✅</v>
      </c>
      <c r="K57" s="2" t="str">
        <f t="array" ref="K57">XLOOKUP(I57,customers_clean!$A$2:$A$701,customers_clean!$C$2:$C$701)</f>
        <v>Lia  Novak</v>
      </c>
      <c r="L57" s="10" t="str">
        <f t="array" ref="L57">XLOOKUP(I57,customers_clean!$A$2:$A$701,customers_clean!$D$2:$D$701)</f>
        <v>Lia Novak</v>
      </c>
      <c r="M57" s="2" t="str">
        <f t="array" ref="M57">XLOOKUP(I57,customers_clean!$A$2:$A$701,customers_clean!$I$2:$I$701)</f>
        <v>lia.novak@yahoo.com </v>
      </c>
      <c r="N57" s="10" t="str">
        <f t="array" ref="N57">XLOOKUP(I57,customers_clean!$A$2:$A$701,customers_clean!$H$2:$H$701)</f>
        <v>lia.novak@yahoo.com</v>
      </c>
      <c r="O57" s="9" t="str">
        <f>IFERROR(__xludf.DUMMYFUNCTION("IF(REGEXMATCH(TRIM(N57),""^[A-Za-z0-9._%+-]+@[A-Za-z0-9.-]+\.[A-Za-z]{2,}$""),""✅ Valid"",""❌ Invalid"")"),"✅ Valid")</f>
        <v>✅ Valid</v>
      </c>
      <c r="P57" s="2" t="str">
        <f t="array" ref="P57">XLOOKUP(I57,customers_clean!$A$2:$A$701,customers_clean!$K$2:$K$701)</f>
        <v>609-367-23</v>
      </c>
      <c r="Q57" s="10" t="str">
        <f t="array" ref="Q57">XLOOKUP(I57,customers_clean!$A$2:$A$701,customers_clean!$N$2:$N$701)</f>
        <v>60936723</v>
      </c>
      <c r="R57" s="9" t="str">
        <f t="array" ref="R57">XLOOKUP(I57,customers_clean!$A$2:$A$701,customers_clean!$Q$2:$Q$701)</f>
        <v>❌ INVALID</v>
      </c>
      <c r="S57" s="10" t="s">
        <v>114</v>
      </c>
      <c r="T57" s="2" t="s">
        <v>223</v>
      </c>
      <c r="U57" s="2" t="s">
        <v>43</v>
      </c>
      <c r="V57" s="2" t="s">
        <v>711</v>
      </c>
      <c r="W57" s="9" t="str">
        <f t="array" ref="W57">IF(ISNA(XLOOKUP(V57,products_master_corrected!$A$2:$A$151,products_master_corrected!$A$2:$A$151, NA())),
    "❌ MISSING SKU", "✅")</f>
        <v>✅</v>
      </c>
      <c r="X57" s="2" t="s">
        <v>403</v>
      </c>
      <c r="Y57" s="2" t="s">
        <v>637</v>
      </c>
      <c r="Z57" s="10" t="s">
        <v>514</v>
      </c>
      <c r="AA57" s="27">
        <v>3.0</v>
      </c>
      <c r="AB57" s="9" t="s">
        <v>8649</v>
      </c>
      <c r="AC57" s="28">
        <f t="array" ref="AC57">XLOOKUP(V57,products_master_corrected!$A$2:$A$151,products_master_corrected!$E$2:$E$151)</f>
        <v>43.64</v>
      </c>
      <c r="AD57" s="28">
        <f t="shared" si="5"/>
        <v>130.92</v>
      </c>
      <c r="AE57" s="28">
        <f t="array" ref="AE57">XLOOKUP(V57,products_master_corrected!$A$2:$A$151,products_master_corrected!$F$2:$F$151)</f>
        <v>43.64</v>
      </c>
      <c r="AF57" s="29">
        <f t="shared" si="6"/>
        <v>130.92</v>
      </c>
      <c r="AG57" s="30" t="s">
        <v>65</v>
      </c>
      <c r="AH57" s="2" t="s">
        <v>664</v>
      </c>
      <c r="AI57" s="10" t="s">
        <v>66</v>
      </c>
      <c r="AJ57" s="2" t="s">
        <v>80</v>
      </c>
      <c r="AK57" s="10" t="s">
        <v>80</v>
      </c>
      <c r="AL57" s="2" t="s">
        <v>133</v>
      </c>
    </row>
    <row r="58" ht="15.75" customHeight="1">
      <c r="A58" s="2" t="s">
        <v>262</v>
      </c>
      <c r="B58" s="12" t="s">
        <v>263</v>
      </c>
      <c r="C58" s="2" t="str">
        <f>IFERROR(__xludf.DUMMYFUNCTION("IF(ISNUMBER(B58),TEXT(B58,""yyyy-MM-dd""),REGEXREPLACE(REGEXREPLACE(TO_TEXT(B58),""[^0-9a-zA-Z]+"",""-""),""[^0-9]*$"",""""))"),"07-17-2023-20-01")</f>
        <v>07-17-2023-20-01</v>
      </c>
      <c r="D58" s="2" t="str">
        <f>TEXT(C58,"yyyy-MM-dd")</f>
        <v>07-17-2023-20-01</v>
      </c>
      <c r="E58" s="12" t="str">
        <f>IFERROR(__xludf.DUMMYFUNCTION("REGEXEXTRACT(D58,""^\d{2}-\d{2}-\d{4}"")"),"07-17-2023")</f>
        <v>07-17-2023</v>
      </c>
      <c r="F58" s="2" t="str">
        <f>TEXT(E58,"yyyy-MM-dd")</f>
        <v>07-17-2023</v>
      </c>
      <c r="G58" s="2" t="s">
        <v>8686</v>
      </c>
      <c r="H58" s="10" t="s">
        <v>8686</v>
      </c>
      <c r="I58" s="2" t="s">
        <v>264</v>
      </c>
      <c r="J58" s="26" t="str">
        <f t="array" ref="J58">IF(ISNA(XLOOKUP(I58,customers_clean!$A$2:$A$701,customers_clean!$A$2:$A$701, NA()) ),
   "❌ MISSING CUSTOMER", "✅")</f>
        <v>✅</v>
      </c>
      <c r="K58" s="2" t="str">
        <f t="array" ref="K58">XLOOKUP(I58,customers_clean!$A$2:$A$701,customers_clean!$C$2:$C$701)</f>
        <v>Omar Young </v>
      </c>
      <c r="L58" s="10" t="str">
        <f t="array" ref="L58">XLOOKUP(I58,customers_clean!$A$2:$A$701,customers_clean!$D$2:$D$701)</f>
        <v>Omar Young</v>
      </c>
      <c r="M58" s="2" t="str">
        <f t="array" ref="M58">XLOOKUP(I58,customers_clean!$A$2:$A$701,customers_clean!$I$2:$I$701)</f>
        <v>omar.young@company.co.uk</v>
      </c>
      <c r="N58" s="10" t="str">
        <f t="array" ref="N58">XLOOKUP(I58,customers_clean!$A$2:$A$701,customers_clean!$H$2:$H$701)</f>
        <v>omar.young@company.co.uk</v>
      </c>
      <c r="O58" s="9" t="str">
        <f>IFERROR(__xludf.DUMMYFUNCTION("IF(REGEXMATCH(TRIM(N58),""^[A-Za-z0-9._%+-]+@[A-Za-z0-9.-]+\.[A-Za-z]{2,}$""),""✅ Valid"",""❌ Invalid"")"),"✅ Valid")</f>
        <v>✅ Valid</v>
      </c>
      <c r="P58" s="2" t="str">
        <f t="array" ref="P58">XLOOKUP(I58,customers_clean!$A$2:$A$701,customers_clean!$K$2:$K$701)</f>
        <v>+44-412-8260468</v>
      </c>
      <c r="Q58" s="10" t="str">
        <f t="array" ref="Q58">XLOOKUP(I58,customers_clean!$A$2:$A$701,customers_clean!$N$2:$N$701)</f>
        <v>4128260468</v>
      </c>
      <c r="R58" s="9" t="str">
        <f t="array" ref="R58">XLOOKUP(I58,customers_clean!$A$2:$A$701,customers_clean!$Q$2:$Q$701)</f>
        <v>❌ INVALID</v>
      </c>
      <c r="S58" s="10" t="s">
        <v>114</v>
      </c>
      <c r="T58" s="2" t="s">
        <v>42</v>
      </c>
      <c r="U58" s="2" t="s">
        <v>268</v>
      </c>
      <c r="V58" s="2" t="s">
        <v>269</v>
      </c>
      <c r="W58" s="9" t="str">
        <f t="array" ref="W58">IF(ISNA(XLOOKUP(V58,products_master_corrected!$A$2:$A$151,products_master_corrected!$A$2:$A$151, NA())),
    "❌ MISSING SKU", "✅")</f>
        <v>✅</v>
      </c>
      <c r="X58" s="2" t="s">
        <v>524</v>
      </c>
      <c r="Y58" s="2" t="s">
        <v>271</v>
      </c>
      <c r="Z58" s="10" t="s">
        <v>368</v>
      </c>
      <c r="AA58" s="27">
        <v>1.0</v>
      </c>
      <c r="AB58" s="9" t="s">
        <v>8649</v>
      </c>
      <c r="AC58" s="28">
        <f t="array" ref="AC58">XLOOKUP(V58,products_master_corrected!$A$2:$A$151,products_master_corrected!$E$2:$E$151)</f>
        <v>219.29</v>
      </c>
      <c r="AD58" s="28">
        <f t="shared" si="5"/>
        <v>219.29</v>
      </c>
      <c r="AE58" s="28">
        <f t="array" ref="AE58">XLOOKUP(V58,products_master_corrected!$A$2:$A$151,products_master_corrected!$F$2:$F$151)</f>
        <v>219.29</v>
      </c>
      <c r="AF58" s="29">
        <f t="shared" si="6"/>
        <v>219.29</v>
      </c>
      <c r="AG58" s="30" t="s">
        <v>65</v>
      </c>
      <c r="AH58" s="2" t="s">
        <v>143</v>
      </c>
      <c r="AI58" s="10" t="s">
        <v>143</v>
      </c>
      <c r="AJ58" s="2" t="s">
        <v>169</v>
      </c>
      <c r="AK58" s="10" t="s">
        <v>261</v>
      </c>
      <c r="AL58" s="2" t="s">
        <v>67</v>
      </c>
    </row>
    <row r="59" ht="15.75" customHeight="1">
      <c r="A59" s="2" t="s">
        <v>2951</v>
      </c>
      <c r="B59" s="12">
        <v>45375.0</v>
      </c>
      <c r="C59" s="2" t="str">
        <f>IFERROR(__xludf.DUMMYFUNCTION("IF(ISNUMBER(B59),TEXT(B59,""yyyy-MM-dd""),REGEXREPLACE(REGEXREPLACE(TO_TEXT(B59),""[^0-9a-zA-Z]+"",""-""),""[^0-9]*$"",""""))"),"2024-03-24")</f>
        <v>2024-03-24</v>
      </c>
      <c r="D59" s="2" t="s">
        <v>5844</v>
      </c>
      <c r="H59" s="10" t="s">
        <v>5844</v>
      </c>
      <c r="I59" s="2" t="s">
        <v>264</v>
      </c>
      <c r="J59" s="26" t="str">
        <f t="array" ref="J59">IF(ISNA(XLOOKUP(I59,customers_clean!$A$2:$A$701,customers_clean!$A$2:$A$701, NA()) ),
   "❌ MISSING CUSTOMER", "✅")</f>
        <v>✅</v>
      </c>
      <c r="K59" s="2" t="str">
        <f t="array" ref="K59">XLOOKUP(I59,customers_clean!$A$2:$A$701,customers_clean!$C$2:$C$701)</f>
        <v>Omar Young </v>
      </c>
      <c r="L59" s="10" t="str">
        <f t="array" ref="L59">XLOOKUP(I59,customers_clean!$A$2:$A$701,customers_clean!$D$2:$D$701)</f>
        <v>Omar Young</v>
      </c>
      <c r="M59" s="2" t="str">
        <f t="array" ref="M59">XLOOKUP(I59,customers_clean!$A$2:$A$701,customers_clean!$I$2:$I$701)</f>
        <v>omar.young@company.co.uk</v>
      </c>
      <c r="N59" s="10" t="str">
        <f t="array" ref="N59">XLOOKUP(I59,customers_clean!$A$2:$A$701,customers_clean!$H$2:$H$701)</f>
        <v>omar.young@company.co.uk</v>
      </c>
      <c r="O59" s="9" t="str">
        <f>IFERROR(__xludf.DUMMYFUNCTION("IF(REGEXMATCH(TRIM(N59),""^[A-Za-z0-9._%+-]+@[A-Za-z0-9.-]+\.[A-Za-z]{2,}$""),""✅ Valid"",""❌ Invalid"")"),"✅ Valid")</f>
        <v>✅ Valid</v>
      </c>
      <c r="P59" s="2" t="str">
        <f t="array" ref="P59">XLOOKUP(I59,customers_clean!$A$2:$A$701,customers_clean!$K$2:$K$701)</f>
        <v>+44-412-8260468</v>
      </c>
      <c r="Q59" s="10" t="str">
        <f t="array" ref="Q59">XLOOKUP(I59,customers_clean!$A$2:$A$701,customers_clean!$N$2:$N$701)</f>
        <v>4128260468</v>
      </c>
      <c r="R59" s="9" t="str">
        <f t="array" ref="R59">XLOOKUP(I59,customers_clean!$A$2:$A$701,customers_clean!$Q$2:$Q$701)</f>
        <v>❌ INVALID</v>
      </c>
      <c r="S59" s="10" t="s">
        <v>114</v>
      </c>
      <c r="T59" s="2" t="s">
        <v>234</v>
      </c>
      <c r="U59" s="2" t="s">
        <v>1245</v>
      </c>
      <c r="V59" s="2" t="s">
        <v>673</v>
      </c>
      <c r="W59" s="9" t="str">
        <f t="array" ref="W59">IF(ISNA(XLOOKUP(V59,products_master_corrected!$A$2:$A$151,products_master_corrected!$A$2:$A$151, NA())),
    "❌ MISSING SKU", "✅")</f>
        <v>✅</v>
      </c>
      <c r="X59" s="2" t="s">
        <v>259</v>
      </c>
      <c r="Y59" s="2" t="s">
        <v>674</v>
      </c>
      <c r="Z59" s="10" t="s">
        <v>514</v>
      </c>
      <c r="AA59" s="27">
        <v>1.0</v>
      </c>
      <c r="AB59" s="9" t="s">
        <v>8649</v>
      </c>
      <c r="AC59" s="28">
        <f t="array" ref="AC59">XLOOKUP(V59,products_master_corrected!$A$2:$A$151,products_master_corrected!$E$2:$E$151)</f>
        <v>38.5</v>
      </c>
      <c r="AD59" s="28">
        <f t="shared" si="5"/>
        <v>38.5</v>
      </c>
      <c r="AE59" s="28">
        <f t="array" ref="AE59">XLOOKUP(V59,products_master_corrected!$A$2:$A$151,products_master_corrected!$F$2:$F$151)</f>
        <v>38.5</v>
      </c>
      <c r="AF59" s="29">
        <f t="shared" si="6"/>
        <v>38.5</v>
      </c>
      <c r="AG59" s="30" t="s">
        <v>65</v>
      </c>
      <c r="AH59" s="2" t="s">
        <v>181</v>
      </c>
      <c r="AI59" s="10" t="s">
        <v>181</v>
      </c>
      <c r="AJ59" s="2" t="s">
        <v>294</v>
      </c>
      <c r="AK59" s="10" t="s">
        <v>80</v>
      </c>
      <c r="AL59" s="2" t="s">
        <v>51</v>
      </c>
    </row>
    <row r="60" ht="15.75" customHeight="1">
      <c r="A60" s="2" t="s">
        <v>5460</v>
      </c>
      <c r="B60" s="12" t="s">
        <v>5461</v>
      </c>
      <c r="C60" s="2" t="str">
        <f>IFERROR(__xludf.DUMMYFUNCTION("IF(ISNUMBER(B60),TEXT(B60,""yyyy-MM-dd""),REGEXREPLACE(REGEXREPLACE(TO_TEXT(B60),""[^0-9a-zA-Z]+"",""-""),""[^0-9]*$"",""""))"),"16-06-2024-21-12")</f>
        <v>16-06-2024-21-12</v>
      </c>
      <c r="D60" s="2" t="str">
        <f>TEXT(C60,"yyyy-MM-dd")</f>
        <v>16-06-2024-21-12</v>
      </c>
      <c r="E60" s="12" t="str">
        <f>IFERROR(__xludf.DUMMYFUNCTION("REGEXEXTRACT(D60,""^\d{2}-\d{2}-\d{4}"")"),"16-06-2024")</f>
        <v>16-06-2024</v>
      </c>
      <c r="F60" s="2" t="s">
        <v>7673</v>
      </c>
      <c r="H60" s="10" t="s">
        <v>7673</v>
      </c>
      <c r="I60" s="2" t="s">
        <v>3568</v>
      </c>
      <c r="J60" s="26" t="str">
        <f t="array" ref="J60">IF(ISNA(XLOOKUP(I60,customers_clean!$A$2:$A$701,customers_clean!$A$2:$A$701, NA()) ),
   "❌ MISSING CUSTOMER", "✅")</f>
        <v>✅</v>
      </c>
      <c r="K60" s="2" t="str">
        <f t="array" ref="K60">XLOOKUP(I60,customers_clean!$A$2:$A$701,customers_clean!$C$2:$C$701)</f>
        <v>Ken  Williams</v>
      </c>
      <c r="L60" s="10" t="str">
        <f t="array" ref="L60">XLOOKUP(I60,customers_clean!$A$2:$A$701,customers_clean!$D$2:$D$701)</f>
        <v>Ken Williams</v>
      </c>
      <c r="M60" s="2" t="str">
        <f t="array" ref="M60">XLOOKUP(I60,customers_clean!$A$2:$A$701,customers_clean!$I$2:$I$701)</f>
        <v>ken.williams@company.co.uk </v>
      </c>
      <c r="N60" s="10" t="str">
        <f t="array" ref="N60">XLOOKUP(I60,customers_clean!$A$2:$A$701,customers_clean!$H$2:$H$701)</f>
        <v>ken.williams@company.co.uk</v>
      </c>
      <c r="O60" s="9" t="str">
        <f>IFERROR(__xludf.DUMMYFUNCTION("IF(REGEXMATCH(TRIM(N60),""^[A-Za-z0-9._%+-]+@[A-Za-z0-9.-]+\.[A-Za-z]{2,}$""),""✅ Valid"",""❌ Invalid"")"),"✅ Valid")</f>
        <v>✅ Valid</v>
      </c>
      <c r="P60" s="2" t="str">
        <f t="array" ref="P60">XLOOKUP(I60,customers_clean!$A$2:$A$701,customers_clean!$K$2:$K$701)</f>
        <v>23x012131</v>
      </c>
      <c r="Q60" s="10" t="str">
        <f t="array" ref="Q60">XLOOKUP(I60,customers_clean!$A$2:$A$701,customers_clean!$N$2:$N$701)</f>
        <v>23012131</v>
      </c>
      <c r="R60" s="9" t="str">
        <f t="array" ref="R60">XLOOKUP(I60,customers_clean!$A$2:$A$701,customers_clean!$Q$2:$Q$701)</f>
        <v>❌ INVALID</v>
      </c>
      <c r="S60" s="10" t="s">
        <v>139</v>
      </c>
      <c r="T60" s="2" t="s">
        <v>778</v>
      </c>
      <c r="U60" s="2" t="s">
        <v>43</v>
      </c>
      <c r="V60" s="2" t="s">
        <v>411</v>
      </c>
      <c r="W60" s="9" t="str">
        <f t="array" ref="W60">IF(ISNA(XLOOKUP(V60,products_master_corrected!$A$2:$A$151,products_master_corrected!$A$2:$A$151, NA())),
    "❌ MISSING SKU", "✅")</f>
        <v>✅</v>
      </c>
      <c r="X60" s="2" t="s">
        <v>412</v>
      </c>
      <c r="Y60" s="2" t="s">
        <v>167</v>
      </c>
      <c r="Z60" s="10" t="str">
        <f>PROPER(TRIM(Y60))</f>
        <v>Monitors</v>
      </c>
      <c r="AA60" s="27">
        <v>1.0</v>
      </c>
      <c r="AB60" s="9" t="s">
        <v>8649</v>
      </c>
      <c r="AC60" s="28">
        <f t="array" ref="AC60">XLOOKUP(V60,products_master_corrected!$A$2:$A$151,products_master_corrected!$E$2:$E$151)</f>
        <v>363.33</v>
      </c>
      <c r="AD60" s="28">
        <f t="shared" si="5"/>
        <v>363.33</v>
      </c>
      <c r="AE60" s="28">
        <f t="array" ref="AE60">XLOOKUP(V60,products_master_corrected!$A$2:$A$151,products_master_corrected!$L$2:$L$151)</f>
        <v>392.94</v>
      </c>
      <c r="AF60" s="29">
        <f t="shared" si="6"/>
        <v>392.94</v>
      </c>
      <c r="AG60" s="32" t="s">
        <v>8665</v>
      </c>
      <c r="AH60" s="2" t="s">
        <v>96</v>
      </c>
      <c r="AI60" s="10" t="s">
        <v>143</v>
      </c>
      <c r="AJ60" s="2" t="s">
        <v>169</v>
      </c>
      <c r="AK60" s="10" t="s">
        <v>261</v>
      </c>
    </row>
    <row r="61" ht="15.75" customHeight="1">
      <c r="A61" s="2" t="s">
        <v>3566</v>
      </c>
      <c r="B61" s="12">
        <v>45378.0</v>
      </c>
      <c r="C61" s="2" t="str">
        <f>IFERROR(__xludf.DUMMYFUNCTION("IF(ISNUMBER(B61),TEXT(B61,""yyyy-MM-dd""),REGEXREPLACE(REGEXREPLACE(TO_TEXT(B61),""[^0-9a-zA-Z]+"",""-""),""[^0-9]*$"",""""))"),"2024-03-27")</f>
        <v>2024-03-27</v>
      </c>
      <c r="D61" s="2" t="s">
        <v>7864</v>
      </c>
      <c r="H61" s="10" t="s">
        <v>7864</v>
      </c>
      <c r="I61" s="2" t="s">
        <v>3568</v>
      </c>
      <c r="J61" s="26" t="str">
        <f t="array" ref="J61">IF(ISNA(XLOOKUP(I61,customers_clean!$A$2:$A$701,customers_clean!$A$2:$A$701, NA()) ),
   "❌ MISSING CUSTOMER", "✅")</f>
        <v>✅</v>
      </c>
      <c r="K61" s="2" t="str">
        <f t="array" ref="K61">XLOOKUP(I61,customers_clean!$A$2:$A$701,customers_clean!$C$2:$C$701)</f>
        <v>Ken  Williams</v>
      </c>
      <c r="L61" s="10" t="str">
        <f t="array" ref="L61">XLOOKUP(I61,customers_clean!$A$2:$A$701,customers_clean!$D$2:$D$701)</f>
        <v>Ken Williams</v>
      </c>
      <c r="M61" s="2" t="str">
        <f t="array" ref="M61">XLOOKUP(I61,customers_clean!$A$2:$A$701,customers_clean!$I$2:$I$701)</f>
        <v>ken.williams@company.co.uk </v>
      </c>
      <c r="N61" s="10" t="str">
        <f t="array" ref="N61">XLOOKUP(I61,customers_clean!$A$2:$A$701,customers_clean!$H$2:$H$701)</f>
        <v>ken.williams@company.co.uk</v>
      </c>
      <c r="O61" s="9" t="str">
        <f>IFERROR(__xludf.DUMMYFUNCTION("IF(REGEXMATCH(TRIM(N61),""^[A-Za-z0-9._%+-]+@[A-Za-z0-9.-]+\.[A-Za-z]{2,}$""),""✅ Valid"",""❌ Invalid"")"),"✅ Valid")</f>
        <v>✅ Valid</v>
      </c>
      <c r="P61" s="2" t="str">
        <f t="array" ref="P61">XLOOKUP(I61,customers_clean!$A$2:$A$701,customers_clean!$K$2:$K$701)</f>
        <v>23x012131</v>
      </c>
      <c r="Q61" s="10" t="str">
        <f t="array" ref="Q61">XLOOKUP(I61,customers_clean!$A$2:$A$701,customers_clean!$N$2:$N$701)</f>
        <v>23012131</v>
      </c>
      <c r="R61" s="9" t="str">
        <f t="array" ref="R61">XLOOKUP(I61,customers_clean!$A$2:$A$701,customers_clean!$Q$2:$Q$701)</f>
        <v>❌ INVALID</v>
      </c>
      <c r="S61" s="10" t="s">
        <v>139</v>
      </c>
      <c r="T61" s="2" t="s">
        <v>400</v>
      </c>
      <c r="U61" s="2" t="s">
        <v>43</v>
      </c>
      <c r="V61" s="2" t="s">
        <v>334</v>
      </c>
      <c r="W61" s="9" t="str">
        <f t="array" ref="W61">IF(ISNA(XLOOKUP(V61,products_master_corrected!$A$2:$A$151,products_master_corrected!$A$2:$A$151, NA())),
    "❌ MISSING SKU", "✅")</f>
        <v>✅</v>
      </c>
      <c r="X61" s="2" t="s">
        <v>29</v>
      </c>
      <c r="Y61" s="2" t="s">
        <v>248</v>
      </c>
      <c r="Z61" s="10" t="s">
        <v>248</v>
      </c>
      <c r="AA61" s="27">
        <v>2.0</v>
      </c>
      <c r="AB61" s="9" t="s">
        <v>8649</v>
      </c>
      <c r="AC61" s="28">
        <f t="array" ref="AC61">XLOOKUP(V61,products_master_corrected!$A$2:$A$151,products_master_corrected!$E$2:$E$151)</f>
        <v>75.62</v>
      </c>
      <c r="AD61" s="28">
        <f t="shared" si="5"/>
        <v>151.24</v>
      </c>
      <c r="AE61" s="28">
        <f t="array" ref="AE61">XLOOKUP(V61,products_master_corrected!$A$2:$A$151,products_master_corrected!$L$2:$L$151)</f>
        <v>81.78</v>
      </c>
      <c r="AF61" s="29">
        <f t="shared" si="6"/>
        <v>163.56</v>
      </c>
      <c r="AG61" s="32" t="s">
        <v>8665</v>
      </c>
      <c r="AH61" s="2" t="s">
        <v>3572</v>
      </c>
      <c r="AI61" s="10" t="s">
        <v>143</v>
      </c>
      <c r="AJ61" s="2" t="s">
        <v>1171</v>
      </c>
      <c r="AK61" s="10" t="s">
        <v>80</v>
      </c>
    </row>
    <row r="62" ht="15.75" customHeight="1">
      <c r="A62" s="2" t="s">
        <v>2334</v>
      </c>
      <c r="B62" s="12">
        <v>45493.0</v>
      </c>
      <c r="C62" s="2" t="str">
        <f>IFERROR(__xludf.DUMMYFUNCTION("IF(ISNUMBER(B62),TEXT(B62,""yyyy-MM-dd""),REGEXREPLACE(REGEXREPLACE(TO_TEXT(B62),""[^0-9a-zA-Z]+"",""-""),""[^0-9]*$"",""""))"),"2024-07-20")</f>
        <v>2024-07-20</v>
      </c>
      <c r="D62" s="2" t="s">
        <v>8687</v>
      </c>
      <c r="H62" s="10" t="s">
        <v>8687</v>
      </c>
      <c r="I62" s="2" t="s">
        <v>530</v>
      </c>
      <c r="J62" s="26" t="str">
        <f t="array" ref="J62">IF(ISNA(XLOOKUP(I62,customers_clean!$A$2:$A$701,customers_clean!$A$2:$A$701, NA()) ),
   "❌ MISSING CUSTOMER", "✅")</f>
        <v>✅</v>
      </c>
      <c r="K62" s="2" t="str">
        <f t="array" ref="K62">XLOOKUP(I62,customers_clean!$A$2:$A$701,customers_clean!$C$2:$C$701)</f>
        <v>Igor Dubois</v>
      </c>
      <c r="L62" s="10" t="str">
        <f t="array" ref="L62">XLOOKUP(I62,customers_clean!$A$2:$A$701,customers_clean!$D$2:$D$701)</f>
        <v>Igor Dubois</v>
      </c>
      <c r="M62" s="2" t="str">
        <f t="array" ref="M62">XLOOKUP(I62,customers_clean!$A$2:$A$701,customers_clean!$I$2:$I$701)</f>
        <v>igor.dubois@company.co.uk </v>
      </c>
      <c r="N62" s="10" t="str">
        <f t="array" ref="N62">XLOOKUP(I62,customers_clean!$A$2:$A$701,customers_clean!$H$2:$H$701)</f>
        <v>igor.dubois@company.co.uk</v>
      </c>
      <c r="O62" s="9" t="str">
        <f>IFERROR(__xludf.DUMMYFUNCTION("IF(REGEXMATCH(TRIM(N62),""^[A-Za-z0-9._%+-]+@[A-Za-z0-9.-]+\.[A-Za-z]{2,}$""),""✅ Valid"",""❌ Invalid"")"),"✅ Valid")</f>
        <v>✅ Valid</v>
      </c>
      <c r="P62" s="2" t="str">
        <f t="array" ref="P62">XLOOKUP(I62,customers_clean!$A$2:$A$701,customers_clean!$K$2:$K$701)</f>
        <v>tel:+1333089616</v>
      </c>
      <c r="Q62" s="10" t="str">
        <f t="array" ref="Q62">XLOOKUP(I62,customers_clean!$A$2:$A$701,customers_clean!$N$2:$N$701)</f>
        <v>333089616</v>
      </c>
      <c r="R62" s="9" t="str">
        <f t="array" ref="R62">XLOOKUP(I62,customers_clean!$A$2:$A$701,customers_clean!$Q$2:$Q$701)</f>
        <v>❌ INVALID</v>
      </c>
      <c r="S62" s="10" t="s">
        <v>448</v>
      </c>
      <c r="T62" s="2" t="s">
        <v>234</v>
      </c>
      <c r="U62" s="2" t="s">
        <v>365</v>
      </c>
      <c r="V62" s="2" t="s">
        <v>2336</v>
      </c>
      <c r="W62" s="9" t="str">
        <f t="array" ref="W62">IF(ISNA(XLOOKUP(V62,products_master_corrected!$A$2:$A$151,products_master_corrected!$A$2:$A$151, NA())),
    "❌ MISSING SKU", "✅")</f>
        <v>✅</v>
      </c>
      <c r="X62" s="2" t="s">
        <v>440</v>
      </c>
      <c r="Y62" s="2" t="s">
        <v>179</v>
      </c>
      <c r="Z62" s="10" t="s">
        <v>179</v>
      </c>
      <c r="AA62" s="27">
        <v>1.0</v>
      </c>
      <c r="AB62" s="9" t="s">
        <v>8649</v>
      </c>
      <c r="AC62" s="28">
        <f t="array" ref="AC62">XLOOKUP(V62,products_master_corrected!$A$2:$A$151,products_master_corrected!$E$2:$E$151)</f>
        <v>30.01</v>
      </c>
      <c r="AD62" s="28">
        <f t="shared" si="5"/>
        <v>30.01</v>
      </c>
      <c r="AE62" s="28">
        <f t="array" ref="AE62">XLOOKUP(V62,products_master_corrected!$A$2:$A$151,products_master_corrected!$M$2:$M$151)</f>
        <v>36.3</v>
      </c>
      <c r="AF62" s="29">
        <f t="shared" si="6"/>
        <v>36.3</v>
      </c>
      <c r="AG62" s="30" t="s">
        <v>48</v>
      </c>
      <c r="AH62" s="2" t="s">
        <v>49</v>
      </c>
      <c r="AI62" s="10" t="s">
        <v>49</v>
      </c>
      <c r="AJ62" s="2" t="s">
        <v>192</v>
      </c>
      <c r="AK62" s="10" t="s">
        <v>192</v>
      </c>
      <c r="AL62" s="2" t="s">
        <v>81</v>
      </c>
    </row>
    <row r="63" ht="15.75" customHeight="1">
      <c r="A63" s="2" t="s">
        <v>528</v>
      </c>
      <c r="B63" s="12" t="s">
        <v>529</v>
      </c>
      <c r="C63" s="2" t="str">
        <f>IFERROR(__xludf.DUMMYFUNCTION("IF(ISNUMBER(B63),TEXT(B63,""yyyy-MM-dd""),REGEXREPLACE(REGEXREPLACE(TO_TEXT(B63),""[^0-9a-zA-Z]+"",""-""),""[^0-9]*$"",""""))"),"20-03-2024")</f>
        <v>20-03-2024</v>
      </c>
      <c r="D63" s="2" t="s">
        <v>8688</v>
      </c>
      <c r="H63" s="10" t="s">
        <v>8688</v>
      </c>
      <c r="I63" s="2" t="s">
        <v>530</v>
      </c>
      <c r="J63" s="26" t="str">
        <f t="array" ref="J63">IF(ISNA(XLOOKUP(I63,customers_clean!$A$2:$A$701,customers_clean!$A$2:$A$701, NA()) ),
   "❌ MISSING CUSTOMER", "✅")</f>
        <v>✅</v>
      </c>
      <c r="K63" s="2" t="str">
        <f t="array" ref="K63">XLOOKUP(I63,customers_clean!$A$2:$A$701,customers_clean!$C$2:$C$701)</f>
        <v>Igor Dubois</v>
      </c>
      <c r="L63" s="10" t="str">
        <f t="array" ref="L63">XLOOKUP(I63,customers_clean!$A$2:$A$701,customers_clean!$D$2:$D$701)</f>
        <v>Igor Dubois</v>
      </c>
      <c r="M63" s="2" t="str">
        <f t="array" ref="M63">XLOOKUP(I63,customers_clean!$A$2:$A$701,customers_clean!$I$2:$I$701)</f>
        <v>igor.dubois@company.co.uk </v>
      </c>
      <c r="N63" s="10" t="str">
        <f t="array" ref="N63">XLOOKUP(I63,customers_clean!$A$2:$A$701,customers_clean!$H$2:$H$701)</f>
        <v>igor.dubois@company.co.uk</v>
      </c>
      <c r="O63" s="9" t="str">
        <f>IFERROR(__xludf.DUMMYFUNCTION("IF(REGEXMATCH(TRIM(N63),""^[A-Za-z0-9._%+-]+@[A-Za-z0-9.-]+\.[A-Za-z]{2,}$""),""✅ Valid"",""❌ Invalid"")"),"✅ Valid")</f>
        <v>✅ Valid</v>
      </c>
      <c r="P63" s="2" t="str">
        <f t="array" ref="P63">XLOOKUP(I63,customers_clean!$A$2:$A$701,customers_clean!$K$2:$K$701)</f>
        <v>tel:+1333089616</v>
      </c>
      <c r="Q63" s="10" t="str">
        <f t="array" ref="Q63">XLOOKUP(I63,customers_clean!$A$2:$A$701,customers_clean!$N$2:$N$701)</f>
        <v>333089616</v>
      </c>
      <c r="R63" s="9" t="str">
        <f t="array" ref="R63">XLOOKUP(I63,customers_clean!$A$2:$A$701,customers_clean!$Q$2:$Q$701)</f>
        <v>❌ INVALID</v>
      </c>
      <c r="S63" s="10" t="s">
        <v>448</v>
      </c>
      <c r="T63" s="2" t="s">
        <v>223</v>
      </c>
      <c r="U63" s="2" t="s">
        <v>401</v>
      </c>
      <c r="V63" s="2" t="s">
        <v>534</v>
      </c>
      <c r="W63" s="9" t="str">
        <f t="array" ref="W63">IF(ISNA(XLOOKUP(V63,products_master_corrected!$A$2:$A$151,products_master_corrected!$A$2:$A$151, NA())),
    "❌ MISSING SKU", "✅")</f>
        <v>✅</v>
      </c>
      <c r="X63" s="2" t="s">
        <v>535</v>
      </c>
      <c r="Y63" s="2" t="s">
        <v>30</v>
      </c>
      <c r="Z63" s="10" t="s">
        <v>179</v>
      </c>
      <c r="AA63" s="27">
        <v>3.0</v>
      </c>
      <c r="AB63" s="9" t="s">
        <v>8649</v>
      </c>
      <c r="AC63" s="28">
        <f t="array" ref="AC63">XLOOKUP(V63,products_master_corrected!$A$2:$A$151,products_master_corrected!$E$2:$E$151)</f>
        <v>113.92</v>
      </c>
      <c r="AD63" s="28">
        <f t="shared" si="5"/>
        <v>341.76</v>
      </c>
      <c r="AE63" s="28">
        <f t="array" ref="AE63">XLOOKUP(V63,products_master_corrected!$A$2:$A$151,products_master_corrected!$M$2:$M$151)</f>
        <v>137.8</v>
      </c>
      <c r="AF63" s="29">
        <f t="shared" si="6"/>
        <v>413.4</v>
      </c>
      <c r="AG63" s="30" t="s">
        <v>48</v>
      </c>
      <c r="AH63" s="2" t="s">
        <v>204</v>
      </c>
      <c r="AI63" s="10" t="s">
        <v>143</v>
      </c>
      <c r="AJ63" s="2" t="s">
        <v>294</v>
      </c>
      <c r="AK63" s="10" t="s">
        <v>80</v>
      </c>
    </row>
    <row r="64" ht="15.75" customHeight="1">
      <c r="A64" s="2" t="s">
        <v>3366</v>
      </c>
      <c r="B64" s="12">
        <v>45327.27847222222</v>
      </c>
      <c r="C64" s="2" t="str">
        <f>IFERROR(__xludf.DUMMYFUNCTION("IF(ISNUMBER(B64),TEXT(B64,""yyyy-MM-dd""),REGEXREPLACE(REGEXREPLACE(TO_TEXT(B64),""[^0-9a-zA-Z]+"",""-""),""[^0-9]*$"",""""))"),"2024-02-05")</f>
        <v>2024-02-05</v>
      </c>
      <c r="D64" s="2" t="s">
        <v>8541</v>
      </c>
      <c r="H64" s="10" t="s">
        <v>8541</v>
      </c>
      <c r="I64" s="2" t="s">
        <v>530</v>
      </c>
      <c r="J64" s="26" t="str">
        <f t="array" ref="J64">IF(ISNA(XLOOKUP(I64,customers_clean!$A$2:$A$701,customers_clean!$A$2:$A$701, NA()) ),
   "❌ MISSING CUSTOMER", "✅")</f>
        <v>✅</v>
      </c>
      <c r="K64" s="2" t="str">
        <f t="array" ref="K64">XLOOKUP(I64,customers_clean!$A$2:$A$701,customers_clean!$C$2:$C$701)</f>
        <v>Igor Dubois</v>
      </c>
      <c r="L64" s="10" t="str">
        <f t="array" ref="L64">XLOOKUP(I64,customers_clean!$A$2:$A$701,customers_clean!$D$2:$D$701)</f>
        <v>Igor Dubois</v>
      </c>
      <c r="M64" s="2" t="str">
        <f t="array" ref="M64">XLOOKUP(I64,customers_clean!$A$2:$A$701,customers_clean!$I$2:$I$701)</f>
        <v>igor.dubois@company.co.uk </v>
      </c>
      <c r="N64" s="10" t="str">
        <f t="array" ref="N64">XLOOKUP(I64,customers_clean!$A$2:$A$701,customers_clean!$H$2:$H$701)</f>
        <v>igor.dubois@company.co.uk</v>
      </c>
      <c r="O64" s="9" t="str">
        <f>IFERROR(__xludf.DUMMYFUNCTION("IF(REGEXMATCH(TRIM(N64),""^[A-Za-z0-9._%+-]+@[A-Za-z0-9.-]+\.[A-Za-z]{2,}$""),""✅ Valid"",""❌ Invalid"")"),"✅ Valid")</f>
        <v>✅ Valid</v>
      </c>
      <c r="P64" s="2" t="str">
        <f t="array" ref="P64">XLOOKUP(I64,customers_clean!$A$2:$A$701,customers_clean!$K$2:$K$701)</f>
        <v>tel:+1333089616</v>
      </c>
      <c r="Q64" s="10" t="str">
        <f t="array" ref="Q64">XLOOKUP(I64,customers_clean!$A$2:$A$701,customers_clean!$N$2:$N$701)</f>
        <v>333089616</v>
      </c>
      <c r="R64" s="9" t="str">
        <f t="array" ref="R64">XLOOKUP(I64,customers_clean!$A$2:$A$701,customers_clean!$Q$2:$Q$701)</f>
        <v>❌ INVALID</v>
      </c>
      <c r="S64" s="10" t="s">
        <v>448</v>
      </c>
      <c r="T64" s="2" t="s">
        <v>210</v>
      </c>
      <c r="U64" s="2" t="s">
        <v>1245</v>
      </c>
      <c r="V64" s="2" t="s">
        <v>1529</v>
      </c>
      <c r="W64" s="9" t="str">
        <f t="array" ref="W64">IF(ISNA(XLOOKUP(V64,products_master_corrected!$A$2:$A$151,products_master_corrected!$A$2:$A$151, NA())),
    "❌ MISSING SKU", "✅")</f>
        <v>✅</v>
      </c>
      <c r="X64" s="2" t="s">
        <v>280</v>
      </c>
      <c r="Y64" s="2" t="s">
        <v>368</v>
      </c>
      <c r="Z64" s="10" t="s">
        <v>368</v>
      </c>
      <c r="AA64" s="27">
        <v>2.0</v>
      </c>
      <c r="AB64" s="9" t="s">
        <v>8649</v>
      </c>
      <c r="AC64" s="28">
        <f t="array" ref="AC64">XLOOKUP(V64,products_master_corrected!$A$2:$A$151,products_master_corrected!$E$2:$E$151)</f>
        <v>83.6</v>
      </c>
      <c r="AD64" s="28">
        <f t="shared" si="5"/>
        <v>167.2</v>
      </c>
      <c r="AE64" s="28">
        <f t="array" ref="AE64">XLOOKUP(V64,products_master_corrected!$A$2:$A$151,products_master_corrected!$M$2:$M$151)</f>
        <v>101.12</v>
      </c>
      <c r="AF64" s="29">
        <f t="shared" si="6"/>
        <v>202.24</v>
      </c>
      <c r="AG64" s="30" t="s">
        <v>48</v>
      </c>
      <c r="AH64" s="2" t="s">
        <v>143</v>
      </c>
      <c r="AI64" s="10" t="s">
        <v>143</v>
      </c>
      <c r="AJ64" s="2" t="s">
        <v>294</v>
      </c>
      <c r="AK64" s="10" t="s">
        <v>80</v>
      </c>
      <c r="AL64" s="2" t="s">
        <v>67</v>
      </c>
    </row>
    <row r="65" ht="15.75" customHeight="1">
      <c r="A65" s="2" t="s">
        <v>2228</v>
      </c>
      <c r="B65" s="12" t="s">
        <v>2229</v>
      </c>
      <c r="C65" s="2" t="str">
        <f>IFERROR(__xludf.DUMMYFUNCTION("IF(ISNUMBER(B65),TEXT(B65,""yyyy-MM-dd""),REGEXREPLACE(REGEXREPLACE(TO_TEXT(B65),""[^0-9a-zA-Z]+"",""-""),""[^0-9]*$"",""""))"),"45759-11-08")</f>
        <v>45759-11-08</v>
      </c>
      <c r="D65" s="2" t="str">
        <f>TEXT(C65,"yyyy-MM-dd")</f>
        <v>45759-11-08</v>
      </c>
      <c r="E65" s="25" t="str">
        <f>CONCATENATE(LEFT(D65,5))</f>
        <v>45759</v>
      </c>
      <c r="F65" s="12">
        <f>DATE(1900,1,1) + E65 - 1</f>
        <v>45760</v>
      </c>
      <c r="G65" s="2" t="s">
        <v>8689</v>
      </c>
      <c r="H65" s="10" t="s">
        <v>8689</v>
      </c>
      <c r="I65" s="2" t="s">
        <v>2230</v>
      </c>
      <c r="J65" s="26" t="str">
        <f t="array" ref="J65">IF(ISNA(XLOOKUP(I65,customers_clean!$A$2:$A$701,customers_clean!$A$2:$A$701, NA()) ),
   "❌ MISSING CUSTOMER", "✅")</f>
        <v>✅</v>
      </c>
      <c r="K65" s="2" t="str">
        <f t="array" ref="K65">XLOOKUP(I65,customers_clean!$A$2:$A$701,customers_clean!$C$2:$C$701)</f>
        <v>Daria Young</v>
      </c>
      <c r="L65" s="10" t="str">
        <f t="array" ref="L65">XLOOKUP(I65,customers_clean!$A$2:$A$701,customers_clean!$D$2:$D$701)</f>
        <v>Daria Young</v>
      </c>
      <c r="M65" s="2" t="str">
        <f t="array" ref="M65">XLOOKUP(I65,customers_clean!$A$2:$A$701,customers_clean!$I$2:$I$701)</f>
        <v>Daria.Young@Comapny.Co.Uk</v>
      </c>
      <c r="N65" s="10" t="str">
        <f t="array" ref="N65">XLOOKUP(I65,customers_clean!$A$2:$A$701,customers_clean!$H$2:$H$701)</f>
        <v>daria.young@comapny.co.uk</v>
      </c>
      <c r="O65" s="9" t="str">
        <f>IFERROR(__xludf.DUMMYFUNCTION("IF(REGEXMATCH(TRIM(N65),""^[A-Za-z0-9._%+-]+@[A-Za-z0-9.-]+\.[A-Za-z]{2,}$""),""✅ Valid"",""❌ Invalid"")"),"✅ Valid")</f>
        <v>✅ Valid</v>
      </c>
      <c r="P65" s="2" t="str">
        <f t="array" ref="P65">XLOOKUP(I65,customers_clean!$A$2:$A$701,customers_clean!$K$2:$K$701)</f>
        <v>091-063-6077</v>
      </c>
      <c r="Q65" s="10" t="str">
        <f t="array" ref="Q65">XLOOKUP(I65,customers_clean!$A$2:$A$701,customers_clean!$N$2:$N$701)</f>
        <v>0910636077</v>
      </c>
      <c r="R65" s="9" t="str">
        <f t="array" ref="R65">XLOOKUP(I65,customers_clean!$A$2:$A$701,customers_clean!$Q$2:$Q$701)</f>
        <v>❌ INVALID</v>
      </c>
      <c r="S65" s="10" t="s">
        <v>88</v>
      </c>
      <c r="T65" s="2" t="s">
        <v>323</v>
      </c>
      <c r="U65" s="2" t="s">
        <v>90</v>
      </c>
      <c r="V65" s="2" t="s">
        <v>815</v>
      </c>
      <c r="W65" s="9" t="str">
        <f t="array" ref="W65">IF(ISNA(XLOOKUP(V65,products_master_corrected!$A$2:$A$151,products_master_corrected!$A$2:$A$151, NA())),
    "❌ MISSING SKU", "✅")</f>
        <v>✅</v>
      </c>
      <c r="X65" s="2" t="s">
        <v>816</v>
      </c>
      <c r="Y65" s="2" t="s">
        <v>179</v>
      </c>
      <c r="Z65" s="10" t="s">
        <v>179</v>
      </c>
      <c r="AA65" s="27">
        <v>1.0</v>
      </c>
      <c r="AB65" s="9" t="s">
        <v>8649</v>
      </c>
      <c r="AC65" s="28">
        <f t="array" ref="AC65">XLOOKUP(V65,products_master_corrected!$A$2:$A$151,products_master_corrected!$E$2:$E$151)</f>
        <v>328.22</v>
      </c>
      <c r="AD65" s="28">
        <f t="shared" si="5"/>
        <v>328.22</v>
      </c>
      <c r="AE65" s="28">
        <f t="array" ref="AE65">XLOOKUP(V65,products_master_corrected!$A$2:$A$151,products_master_corrected!$I$2:$I$151)</f>
        <v>361.83</v>
      </c>
      <c r="AF65" s="29">
        <f t="shared" si="6"/>
        <v>361.83</v>
      </c>
      <c r="AG65" s="32" t="s">
        <v>8660</v>
      </c>
      <c r="AH65" s="2" t="s">
        <v>131</v>
      </c>
      <c r="AI65" s="10" t="s">
        <v>181</v>
      </c>
      <c r="AJ65" s="2" t="s">
        <v>442</v>
      </c>
      <c r="AK65" s="10" t="s">
        <v>80</v>
      </c>
    </row>
    <row r="66" ht="15.75" customHeight="1">
      <c r="A66" s="2" t="s">
        <v>4969</v>
      </c>
      <c r="B66" s="12">
        <v>45890.0</v>
      </c>
      <c r="C66" s="2" t="str">
        <f>IFERROR(__xludf.DUMMYFUNCTION("IF(ISNUMBER(B66),TEXT(B66,""yyyy-MM-dd""),REGEXREPLACE(REGEXREPLACE(TO_TEXT(B66),""[^0-9a-zA-Z]+"",""-""),""[^0-9]*$"",""""))"),"2025-08-21")</f>
        <v>2025-08-21</v>
      </c>
      <c r="D66" s="2" t="s">
        <v>8690</v>
      </c>
      <c r="H66" s="10" t="s">
        <v>8690</v>
      </c>
      <c r="I66" s="2" t="s">
        <v>2230</v>
      </c>
      <c r="J66" s="26" t="str">
        <f t="array" ref="J66">IF(ISNA(XLOOKUP(I66,customers_clean!$A$2:$A$701,customers_clean!$A$2:$A$701, NA()) ),
   "❌ MISSING CUSTOMER", "✅")</f>
        <v>✅</v>
      </c>
      <c r="K66" s="2" t="str">
        <f t="array" ref="K66">XLOOKUP(I66,customers_clean!$A$2:$A$701,customers_clean!$C$2:$C$701)</f>
        <v>Daria Young</v>
      </c>
      <c r="L66" s="10" t="str">
        <f t="array" ref="L66">XLOOKUP(I66,customers_clean!$A$2:$A$701,customers_clean!$D$2:$D$701)</f>
        <v>Daria Young</v>
      </c>
      <c r="M66" s="2" t="str">
        <f t="array" ref="M66">XLOOKUP(I66,customers_clean!$A$2:$A$701,customers_clean!$I$2:$I$701)</f>
        <v>Daria.Young@Comapny.Co.Uk</v>
      </c>
      <c r="N66" s="10" t="str">
        <f t="array" ref="N66">XLOOKUP(I66,customers_clean!$A$2:$A$701,customers_clean!$H$2:$H$701)</f>
        <v>daria.young@comapny.co.uk</v>
      </c>
      <c r="O66" s="9" t="str">
        <f>IFERROR(__xludf.DUMMYFUNCTION("IF(REGEXMATCH(TRIM(N66),""^[A-Za-z0-9._%+-]+@[A-Za-z0-9.-]+\.[A-Za-z]{2,}$""),""✅ Valid"",""❌ Invalid"")"),"✅ Valid")</f>
        <v>✅ Valid</v>
      </c>
      <c r="P66" s="2" t="str">
        <f t="array" ref="P66">XLOOKUP(I66,customers_clean!$A$2:$A$701,customers_clean!$K$2:$K$701)</f>
        <v>091-063-6077</v>
      </c>
      <c r="Q66" s="10" t="str">
        <f t="array" ref="Q66">XLOOKUP(I66,customers_clean!$A$2:$A$701,customers_clean!$N$2:$N$701)</f>
        <v>0910636077</v>
      </c>
      <c r="R66" s="9" t="str">
        <f t="array" ref="R66">XLOOKUP(I66,customers_clean!$A$2:$A$701,customers_clean!$Q$2:$Q$701)</f>
        <v>❌ INVALID</v>
      </c>
      <c r="S66" s="10" t="s">
        <v>88</v>
      </c>
      <c r="T66" s="2" t="s">
        <v>115</v>
      </c>
      <c r="U66" s="2" t="s">
        <v>176</v>
      </c>
      <c r="V66" s="2" t="s">
        <v>939</v>
      </c>
      <c r="W66" s="9" t="str">
        <f t="array" ref="W66">IF(ISNA(XLOOKUP(V66,products_master_corrected!$A$2:$A$151,products_master_corrected!$A$2:$A$151, NA())),
    "❌ MISSING SKU", "✅")</f>
        <v>✅</v>
      </c>
      <c r="X66" s="2" t="s">
        <v>940</v>
      </c>
      <c r="Y66" s="2" t="s">
        <v>941</v>
      </c>
      <c r="Z66" s="10" t="str">
        <f t="shared" ref="Z66:Z67" si="7">PROPER(TRIM(Y66))</f>
        <v>Monitors</v>
      </c>
      <c r="AA66" s="27">
        <v>2.0</v>
      </c>
      <c r="AB66" s="9" t="s">
        <v>8649</v>
      </c>
      <c r="AC66" s="28">
        <f t="array" ref="AC66">XLOOKUP(V66,products_master_corrected!$A$2:$A$151,products_master_corrected!$E$2:$E$151)</f>
        <v>215.15</v>
      </c>
      <c r="AD66" s="28">
        <f t="shared" si="5"/>
        <v>430.3</v>
      </c>
      <c r="AE66" s="28">
        <f t="array" ref="AE66">XLOOKUP(V66,products_master_corrected!$A$2:$A$151,products_master_corrected!$I$2:$I$151)</f>
        <v>237.18</v>
      </c>
      <c r="AF66" s="29">
        <f t="shared" si="6"/>
        <v>474.36</v>
      </c>
      <c r="AG66" s="32" t="s">
        <v>8660</v>
      </c>
      <c r="AH66" s="2" t="s">
        <v>238</v>
      </c>
      <c r="AI66" s="10" t="s">
        <v>66</v>
      </c>
      <c r="AJ66" s="2" t="s">
        <v>818</v>
      </c>
      <c r="AK66" s="10" t="s">
        <v>818</v>
      </c>
      <c r="AL66" s="2" t="s">
        <v>133</v>
      </c>
    </row>
    <row r="67" ht="15.75" customHeight="1">
      <c r="A67" s="2" t="s">
        <v>5741</v>
      </c>
      <c r="B67" s="12">
        <v>45004.0</v>
      </c>
      <c r="C67" s="2" t="str">
        <f>IFERROR(__xludf.DUMMYFUNCTION("IF(ISNUMBER(B67),TEXT(B67,""yyyy-MM-dd""),REGEXREPLACE(REGEXREPLACE(TO_TEXT(B67),""[^0-9a-zA-Z]+"",""-""),""[^0-9]*$"",""""))"),"2023-03-19")</f>
        <v>2023-03-19</v>
      </c>
      <c r="D67" s="2" t="s">
        <v>8691</v>
      </c>
      <c r="H67" s="10" t="s">
        <v>8691</v>
      </c>
      <c r="I67" s="2" t="s">
        <v>2230</v>
      </c>
      <c r="J67" s="26" t="str">
        <f t="array" ref="J67">IF(ISNA(XLOOKUP(I67,customers_clean!$A$2:$A$701,customers_clean!$A$2:$A$701, NA()) ),
   "❌ MISSING CUSTOMER", "✅")</f>
        <v>✅</v>
      </c>
      <c r="K67" s="2" t="str">
        <f t="array" ref="K67">XLOOKUP(I67,customers_clean!$A$2:$A$701,customers_clean!$C$2:$C$701)</f>
        <v>Daria Young</v>
      </c>
      <c r="L67" s="10" t="str">
        <f t="array" ref="L67">XLOOKUP(I67,customers_clean!$A$2:$A$701,customers_clean!$D$2:$D$701)</f>
        <v>Daria Young</v>
      </c>
      <c r="M67" s="2" t="str">
        <f t="array" ref="M67">XLOOKUP(I67,customers_clean!$A$2:$A$701,customers_clean!$I$2:$I$701)</f>
        <v>Daria.Young@Comapny.Co.Uk</v>
      </c>
      <c r="N67" s="10" t="str">
        <f t="array" ref="N67">XLOOKUP(I67,customers_clean!$A$2:$A$701,customers_clean!$H$2:$H$701)</f>
        <v>daria.young@comapny.co.uk</v>
      </c>
      <c r="O67" s="9" t="str">
        <f>IFERROR(__xludf.DUMMYFUNCTION("IF(REGEXMATCH(TRIM(N67),""^[A-Za-z0-9._%+-]+@[A-Za-z0-9.-]+\.[A-Za-z]{2,}$""),""✅ Valid"",""❌ Invalid"")"),"✅ Valid")</f>
        <v>✅ Valid</v>
      </c>
      <c r="P67" s="2" t="str">
        <f t="array" ref="P67">XLOOKUP(I67,customers_clean!$A$2:$A$701,customers_clean!$K$2:$K$701)</f>
        <v>091-063-6077</v>
      </c>
      <c r="Q67" s="10" t="str">
        <f t="array" ref="Q67">XLOOKUP(I67,customers_clean!$A$2:$A$701,customers_clean!$N$2:$N$701)</f>
        <v>0910636077</v>
      </c>
      <c r="R67" s="9" t="str">
        <f t="array" ref="R67">XLOOKUP(I67,customers_clean!$A$2:$A$701,customers_clean!$Q$2:$Q$701)</f>
        <v>❌ INVALID</v>
      </c>
      <c r="S67" s="10" t="s">
        <v>88</v>
      </c>
      <c r="T67" s="2" t="s">
        <v>683</v>
      </c>
      <c r="U67" s="2" t="s">
        <v>512</v>
      </c>
      <c r="V67" s="2" t="s">
        <v>939</v>
      </c>
      <c r="W67" s="9" t="str">
        <f t="array" ref="W67">IF(ISNA(XLOOKUP(V67,products_master_corrected!$A$2:$A$151,products_master_corrected!$A$2:$A$151, NA())),
    "❌ MISSING SKU", "✅")</f>
        <v>✅</v>
      </c>
      <c r="X67" s="2" t="s">
        <v>940</v>
      </c>
      <c r="Y67" s="2" t="s">
        <v>941</v>
      </c>
      <c r="Z67" s="10" t="str">
        <f t="shared" si="7"/>
        <v>Monitors</v>
      </c>
      <c r="AA67" s="27">
        <v>2.0</v>
      </c>
      <c r="AB67" s="9" t="s">
        <v>8649</v>
      </c>
      <c r="AC67" s="28">
        <f t="array" ref="AC67">XLOOKUP(V67,products_master_corrected!$A$2:$A$151,products_master_corrected!$E$2:$E$151)</f>
        <v>215.15</v>
      </c>
      <c r="AD67" s="28">
        <f t="shared" si="5"/>
        <v>430.3</v>
      </c>
      <c r="AE67" s="28">
        <f t="array" ref="AE67">XLOOKUP(V67,products_master_corrected!$A$2:$A$151,products_master_corrected!$I$2:$I$151)</f>
        <v>237.18</v>
      </c>
      <c r="AF67" s="29">
        <f t="shared" si="6"/>
        <v>474.36</v>
      </c>
      <c r="AG67" s="32" t="s">
        <v>8660</v>
      </c>
      <c r="AH67" s="2" t="s">
        <v>66</v>
      </c>
      <c r="AI67" s="10" t="s">
        <v>66</v>
      </c>
      <c r="AJ67" s="2" t="s">
        <v>294</v>
      </c>
      <c r="AK67" s="10" t="s">
        <v>80</v>
      </c>
    </row>
    <row r="68" ht="15.75" customHeight="1">
      <c r="A68" s="2" t="s">
        <v>3196</v>
      </c>
      <c r="B68" s="12">
        <v>45428.10555555556</v>
      </c>
      <c r="C68" s="2" t="str">
        <f>IFERROR(__xludf.DUMMYFUNCTION("IF(ISNUMBER(B68),TEXT(B68,""yyyy-MM-dd""),REGEXREPLACE(REGEXREPLACE(TO_TEXT(B68),""[^0-9a-zA-Z]+"",""-""),""[^0-9]*$"",""""))"),"2024-05-16")</f>
        <v>2024-05-16</v>
      </c>
      <c r="D68" s="2" t="s">
        <v>8198</v>
      </c>
      <c r="H68" s="10" t="s">
        <v>8198</v>
      </c>
      <c r="I68" s="2" t="s">
        <v>2230</v>
      </c>
      <c r="J68" s="26" t="str">
        <f t="array" ref="J68">IF(ISNA(XLOOKUP(I68,customers_clean!$A$2:$A$701,customers_clean!$A$2:$A$701, NA()) ),
   "❌ MISSING CUSTOMER", "✅")</f>
        <v>✅</v>
      </c>
      <c r="K68" s="2" t="str">
        <f t="array" ref="K68">XLOOKUP(I68,customers_clean!$A$2:$A$701,customers_clean!$C$2:$C$701)</f>
        <v>Daria Young</v>
      </c>
      <c r="L68" s="10" t="str">
        <f t="array" ref="L68">XLOOKUP(I68,customers_clean!$A$2:$A$701,customers_clean!$D$2:$D$701)</f>
        <v>Daria Young</v>
      </c>
      <c r="M68" s="2" t="str">
        <f t="array" ref="M68">XLOOKUP(I68,customers_clean!$A$2:$A$701,customers_clean!$I$2:$I$701)</f>
        <v>Daria.Young@Comapny.Co.Uk</v>
      </c>
      <c r="N68" s="10" t="str">
        <f t="array" ref="N68">XLOOKUP(I68,customers_clean!$A$2:$A$701,customers_clean!$H$2:$H$701)</f>
        <v>daria.young@comapny.co.uk</v>
      </c>
      <c r="O68" s="9" t="str">
        <f>IFERROR(__xludf.DUMMYFUNCTION("IF(REGEXMATCH(TRIM(N68),""^[A-Za-z0-9._%+-]+@[A-Za-z0-9.-]+\.[A-Za-z]{2,}$""),""✅ Valid"",""❌ Invalid"")"),"✅ Valid")</f>
        <v>✅ Valid</v>
      </c>
      <c r="P68" s="2" t="str">
        <f t="array" ref="P68">XLOOKUP(I68,customers_clean!$A$2:$A$701,customers_clean!$K$2:$K$701)</f>
        <v>091-063-6077</v>
      </c>
      <c r="Q68" s="10" t="str">
        <f t="array" ref="Q68">XLOOKUP(I68,customers_clean!$A$2:$A$701,customers_clean!$N$2:$N$701)</f>
        <v>0910636077</v>
      </c>
      <c r="R68" s="9" t="str">
        <f t="array" ref="R68">XLOOKUP(I68,customers_clean!$A$2:$A$701,customers_clean!$Q$2:$Q$701)</f>
        <v>❌ INVALID</v>
      </c>
      <c r="S68" s="10" t="s">
        <v>88</v>
      </c>
      <c r="T68" s="2" t="s">
        <v>26</v>
      </c>
      <c r="U68" s="2" t="s">
        <v>401</v>
      </c>
      <c r="V68" s="2" t="s">
        <v>3101</v>
      </c>
      <c r="W68" s="9" t="str">
        <f t="array" ref="W68">IF(ISNA(XLOOKUP(V68,products_master_corrected!$A$2:$A$151,products_master_corrected!$A$2:$A$151, NA())),
    "❌ MISSING SKU", "✅")</f>
        <v>✅</v>
      </c>
      <c r="X68" s="2" t="s">
        <v>804</v>
      </c>
      <c r="Y68" s="2" t="s">
        <v>248</v>
      </c>
      <c r="Z68" s="10" t="s">
        <v>248</v>
      </c>
      <c r="AA68" s="27">
        <v>5.0</v>
      </c>
      <c r="AB68" s="9" t="s">
        <v>8649</v>
      </c>
      <c r="AC68" s="28">
        <f t="array" ref="AC68">XLOOKUP(V68,products_master_corrected!$A$2:$A$151,products_master_corrected!$E$2:$E$151)</f>
        <v>23.37</v>
      </c>
      <c r="AD68" s="28">
        <f t="shared" si="5"/>
        <v>116.85</v>
      </c>
      <c r="AE68" s="28">
        <f t="array" ref="AE68">XLOOKUP(V68,products_master_corrected!$A$2:$A$151,products_master_corrected!$I$2:$I$151)</f>
        <v>25.76</v>
      </c>
      <c r="AF68" s="29">
        <f t="shared" si="6"/>
        <v>128.8</v>
      </c>
      <c r="AG68" s="32" t="s">
        <v>8660</v>
      </c>
      <c r="AH68" s="2" t="s">
        <v>664</v>
      </c>
      <c r="AI68" s="10" t="s">
        <v>66</v>
      </c>
      <c r="AJ68" s="2" t="s">
        <v>393</v>
      </c>
      <c r="AK68" s="10" t="s">
        <v>80</v>
      </c>
    </row>
    <row r="69" ht="15.75" customHeight="1">
      <c r="A69" s="2" t="s">
        <v>3123</v>
      </c>
      <c r="B69" s="12" t="s">
        <v>3124</v>
      </c>
      <c r="C69" s="2" t="str">
        <f>IFERROR(__xludf.DUMMYFUNCTION("IF(ISNUMBER(B69),TEXT(B69,""yyyy-MM-dd""),REGEXREPLACE(REGEXREPLACE(TO_TEXT(B69),""[^0-9a-zA-Z]+"",""-""),""[^0-9]*$"",""""))"),"05-03-2025")</f>
        <v>05-03-2025</v>
      </c>
      <c r="D69" s="2" t="s">
        <v>8692</v>
      </c>
      <c r="H69" s="10" t="s">
        <v>8692</v>
      </c>
      <c r="I69" s="2" t="s">
        <v>3125</v>
      </c>
      <c r="J69" s="26" t="str">
        <f t="array" ref="J69">IF(ISNA(XLOOKUP(I69,customers_clean!$A$2:$A$701,customers_clean!$A$2:$A$701, NA()) ),
   "❌ MISSING CUSTOMER", "✅")</f>
        <v>✅</v>
      </c>
      <c r="K69" s="2" t="str">
        <f t="array" ref="K69">XLOOKUP(I69,customers_clean!$A$2:$A$701,customers_clean!$C$2:$C$701)</f>
        <v>Sam Lopez</v>
      </c>
      <c r="L69" s="10" t="str">
        <f t="array" ref="L69">XLOOKUP(I69,customers_clean!$A$2:$A$701,customers_clean!$D$2:$D$701)</f>
        <v>Sam Lopez</v>
      </c>
      <c r="M69" s="2" t="str">
        <f t="array" ref="M69">XLOOKUP(I69,customers_clean!$A$2:$A$701,customers_clean!$I$2:$I$701)</f>
        <v>sam.lopez@gmail.com</v>
      </c>
      <c r="N69" s="10" t="str">
        <f t="array" ref="N69">XLOOKUP(I69,customers_clean!$A$2:$A$701,customers_clean!$H$2:$H$701)</f>
        <v>sam.lopez@gmail.com</v>
      </c>
      <c r="O69" s="9" t="str">
        <f>IFERROR(__xludf.DUMMYFUNCTION("IF(REGEXMATCH(TRIM(N69),""^[A-Za-z0-9._%+-]+@[A-Za-z0-9.-]+\.[A-Za-z]{2,}$""),""✅ Valid"",""❌ Invalid"")"),"✅ Valid")</f>
        <v>✅ Valid</v>
      </c>
      <c r="P69" s="2" t="str">
        <f t="array" ref="P69">XLOOKUP(I69,customers_clean!$A$2:$A$701,customers_clean!$K$2:$K$701)</f>
        <v>517-931-223</v>
      </c>
      <c r="Q69" s="10" t="str">
        <f t="array" ref="Q69">XLOOKUP(I69,customers_clean!$A$2:$A$701,customers_clean!$N$2:$N$701)</f>
        <v>517931223</v>
      </c>
      <c r="R69" s="9" t="str">
        <f t="array" ref="R69">XLOOKUP(I69,customers_clean!$A$2:$A$701,customers_clean!$Q$2:$Q$701)</f>
        <v>❌ INVALID</v>
      </c>
      <c r="S69" s="31" t="s">
        <v>671</v>
      </c>
      <c r="T69" s="2" t="s">
        <v>42</v>
      </c>
      <c r="U69" s="2" t="s">
        <v>870</v>
      </c>
      <c r="V69" s="2" t="s">
        <v>366</v>
      </c>
      <c r="W69" s="9" t="str">
        <f t="array" ref="W69">IF(ISNA(XLOOKUP(V69,products_master_corrected!$A$2:$A$151,products_master_corrected!$A$2:$A$151, NA())),
    "❌ MISSING SKU", "✅")</f>
        <v>✅</v>
      </c>
      <c r="X69" s="2" t="s">
        <v>367</v>
      </c>
      <c r="Y69" s="2" t="s">
        <v>368</v>
      </c>
      <c r="Z69" s="10" t="s">
        <v>368</v>
      </c>
      <c r="AA69" s="27">
        <v>2.0</v>
      </c>
      <c r="AB69" s="9" t="s">
        <v>8649</v>
      </c>
      <c r="AC69" s="28">
        <f t="array" ref="AC69">XLOOKUP(V69,products_master_corrected!$A$2:$A$151,products_master_corrected!$E$2:$E$151)</f>
        <v>1117.67</v>
      </c>
      <c r="AD69" s="28">
        <f t="shared" si="5"/>
        <v>2235.34</v>
      </c>
      <c r="AE69" s="28">
        <f t="array" ref="AE69">XLOOKUP(V69,products_master_corrected!$A$2:$A$151,products_master_corrected!$J$2:$J$151)</f>
        <v>1303.54</v>
      </c>
      <c r="AF69" s="29">
        <f t="shared" si="6"/>
        <v>2607.08</v>
      </c>
      <c r="AG69" s="32" t="s">
        <v>8656</v>
      </c>
      <c r="AH69" s="2" t="s">
        <v>664</v>
      </c>
      <c r="AI69" s="10" t="s">
        <v>66</v>
      </c>
      <c r="AJ69" s="2" t="s">
        <v>144</v>
      </c>
      <c r="AK69" s="10" t="s">
        <v>818</v>
      </c>
      <c r="AL69" s="2" t="s">
        <v>51</v>
      </c>
    </row>
    <row r="70" ht="15.75" customHeight="1">
      <c r="A70" s="2" t="s">
        <v>5537</v>
      </c>
      <c r="B70" s="12">
        <v>44981.0</v>
      </c>
      <c r="C70" s="2" t="str">
        <f>IFERROR(__xludf.DUMMYFUNCTION("IF(ISNUMBER(B70),TEXT(B70,""yyyy-MM-dd""),REGEXREPLACE(REGEXREPLACE(TO_TEXT(B70),""[^0-9a-zA-Z]+"",""-""),""[^0-9]*$"",""""))"),"2023-02-24")</f>
        <v>2023-02-24</v>
      </c>
      <c r="D70" s="2" t="s">
        <v>8693</v>
      </c>
      <c r="H70" s="10" t="s">
        <v>8693</v>
      </c>
      <c r="I70" s="2" t="s">
        <v>3125</v>
      </c>
      <c r="J70" s="26" t="str">
        <f t="array" ref="J70">IF(ISNA(XLOOKUP(I70,customers_clean!$A$2:$A$701,customers_clean!$A$2:$A$701, NA()) ),
   "❌ MISSING CUSTOMER", "✅")</f>
        <v>✅</v>
      </c>
      <c r="K70" s="2" t="str">
        <f t="array" ref="K70">XLOOKUP(I70,customers_clean!$A$2:$A$701,customers_clean!$C$2:$C$701)</f>
        <v>Sam Lopez</v>
      </c>
      <c r="L70" s="10" t="str">
        <f t="array" ref="L70">XLOOKUP(I70,customers_clean!$A$2:$A$701,customers_clean!$D$2:$D$701)</f>
        <v>Sam Lopez</v>
      </c>
      <c r="M70" s="2" t="str">
        <f t="array" ref="M70">XLOOKUP(I70,customers_clean!$A$2:$A$701,customers_clean!$I$2:$I$701)</f>
        <v>sam.lopez@gmail.com</v>
      </c>
      <c r="N70" s="10" t="str">
        <f t="array" ref="N70">XLOOKUP(I70,customers_clean!$A$2:$A$701,customers_clean!$H$2:$H$701)</f>
        <v>sam.lopez@gmail.com</v>
      </c>
      <c r="O70" s="9" t="str">
        <f>IFERROR(__xludf.DUMMYFUNCTION("IF(REGEXMATCH(TRIM(N70),""^[A-Za-z0-9._%+-]+@[A-Za-z0-9.-]+\.[A-Za-z]{2,}$""),""✅ Valid"",""❌ Invalid"")"),"✅ Valid")</f>
        <v>✅ Valid</v>
      </c>
      <c r="P70" s="2" t="str">
        <f t="array" ref="P70">XLOOKUP(I70,customers_clean!$A$2:$A$701,customers_clean!$K$2:$K$701)</f>
        <v>517-931-223</v>
      </c>
      <c r="Q70" s="10" t="str">
        <f t="array" ref="Q70">XLOOKUP(I70,customers_clean!$A$2:$A$701,customers_clean!$N$2:$N$701)</f>
        <v>517931223</v>
      </c>
      <c r="R70" s="9" t="str">
        <f t="array" ref="R70">XLOOKUP(I70,customers_clean!$A$2:$A$701,customers_clean!$Q$2:$Q$701)</f>
        <v>❌ INVALID</v>
      </c>
      <c r="S70" s="31" t="s">
        <v>671</v>
      </c>
      <c r="T70" s="2" t="s">
        <v>115</v>
      </c>
      <c r="U70" s="2" t="s">
        <v>512</v>
      </c>
      <c r="V70" s="2" t="s">
        <v>1271</v>
      </c>
      <c r="W70" s="9" t="str">
        <f t="array" ref="W70">IF(ISNA(XLOOKUP(V70,products_master_corrected!$A$2:$A$151,products_master_corrected!$A$2:$A$151, NA())),
    "❌ MISSING SKU", "✅")</f>
        <v>✅</v>
      </c>
      <c r="X70" s="2" t="s">
        <v>1272</v>
      </c>
      <c r="Y70" s="2" t="s">
        <v>167</v>
      </c>
      <c r="Z70" s="10" t="str">
        <f>PROPER(TRIM(Y70))</f>
        <v>Monitors</v>
      </c>
      <c r="AA70" s="27">
        <v>1.0</v>
      </c>
      <c r="AB70" s="9" t="s">
        <v>8649</v>
      </c>
      <c r="AC70" s="28">
        <f t="array" ref="AC70">XLOOKUP(V70,products_master_corrected!$A$2:$A$151,products_master_corrected!$E$2:$E$151)</f>
        <v>78.18</v>
      </c>
      <c r="AD70" s="28">
        <f t="shared" si="5"/>
        <v>78.18</v>
      </c>
      <c r="AE70" s="28">
        <f t="array" ref="AE70">XLOOKUP(V70,products_master_corrected!$A$2:$A$151,products_master_corrected!$J$2:$J$151)</f>
        <v>91.18</v>
      </c>
      <c r="AF70" s="29">
        <f t="shared" si="6"/>
        <v>91.18</v>
      </c>
      <c r="AG70" s="32" t="s">
        <v>8656</v>
      </c>
      <c r="AH70" s="2" t="s">
        <v>204</v>
      </c>
      <c r="AI70" s="10" t="s">
        <v>143</v>
      </c>
      <c r="AJ70" s="2" t="s">
        <v>192</v>
      </c>
      <c r="AK70" s="10" t="s">
        <v>192</v>
      </c>
    </row>
    <row r="71" ht="15.75" customHeight="1">
      <c r="A71" s="2" t="s">
        <v>3346</v>
      </c>
      <c r="B71" s="12">
        <v>45760.0</v>
      </c>
      <c r="C71" s="2" t="str">
        <f>IFERROR(__xludf.DUMMYFUNCTION("IF(ISNUMBER(B71),TEXT(B71,""yyyy-MM-dd""),REGEXREPLACE(REGEXREPLACE(TO_TEXT(B71),""[^0-9a-zA-Z]+"",""-""),""[^0-9]*$"",""""))"),"2025-04-13")</f>
        <v>2025-04-13</v>
      </c>
      <c r="D71" s="2" t="s">
        <v>8689</v>
      </c>
      <c r="H71" s="10" t="s">
        <v>8689</v>
      </c>
      <c r="I71" s="2" t="s">
        <v>3348</v>
      </c>
      <c r="J71" s="26" t="str">
        <f t="array" ref="J71">IF(ISNA(XLOOKUP(I71,customers_clean!$A$2:$A$701,customers_clean!$A$2:$A$701, NA()) ),
   "❌ MISSING CUSTOMER", "✅")</f>
        <v>✅</v>
      </c>
      <c r="K71" s="2" t="str">
        <f t="array" ref="K71">XLOOKUP(I71,customers_clean!$A$2:$A$701,customers_clean!$C$2:$C$701)</f>
        <v> Gabe Davis</v>
      </c>
      <c r="L71" s="10" t="str">
        <f t="array" ref="L71">XLOOKUP(I71,customers_clean!$A$2:$A$701,customers_clean!$D$2:$D$701)</f>
        <v>Gabe Davis</v>
      </c>
      <c r="M71" s="2" t="str">
        <f t="array" ref="M71">XLOOKUP(I71,customers_clean!$A$2:$A$701,customers_clean!$I$2:$I$701)</f>
        <v> gabe.davis@example.com</v>
      </c>
      <c r="N71" s="10" t="str">
        <f t="array" ref="N71">XLOOKUP(I71,customers_clean!$A$2:$A$701,customers_clean!$H$2:$H$701)</f>
        <v>gabe.davis@example.com</v>
      </c>
      <c r="O71" s="9" t="str">
        <f>IFERROR(__xludf.DUMMYFUNCTION("IF(REGEXMATCH(TRIM(N71),""^[A-Za-z0-9._%+-]+@[A-Za-z0-9.-]+\.[A-Za-z]{2,}$""),""✅ Valid"",""❌ Invalid"")"),"✅ Valid")</f>
        <v>✅ Valid</v>
      </c>
      <c r="P71" s="2" t="str">
        <f t="array" ref="P71">XLOOKUP(I71,customers_clean!$A$2:$A$701,customers_clean!$K$2:$K$701)</f>
        <v>+440412651844</v>
      </c>
      <c r="Q71" s="10" t="str">
        <f t="array" ref="Q71">XLOOKUP(I71,customers_clean!$A$2:$A$701,customers_clean!$N$2:$N$701)</f>
        <v>0412651844</v>
      </c>
      <c r="R71" s="9" t="str">
        <f t="array" ref="R71">XLOOKUP(I71,customers_clean!$A$2:$A$701,customers_clean!$Q$2:$Q$701)</f>
        <v>❌ INVALID</v>
      </c>
      <c r="S71" s="10" t="s">
        <v>114</v>
      </c>
      <c r="T71" s="2" t="s">
        <v>323</v>
      </c>
      <c r="U71" s="2" t="s">
        <v>312</v>
      </c>
      <c r="V71" s="2" t="s">
        <v>919</v>
      </c>
      <c r="W71" s="9" t="str">
        <f t="array" ref="W71">IF(ISNA(XLOOKUP(V71,products_master_corrected!$A$2:$A$151,products_master_corrected!$A$2:$A$151, NA())),
    "❌ MISSING SKU", "✅")</f>
        <v>✅</v>
      </c>
      <c r="X71" s="2" t="s">
        <v>423</v>
      </c>
      <c r="Y71" s="2" t="s">
        <v>179</v>
      </c>
      <c r="Z71" s="10" t="s">
        <v>179</v>
      </c>
      <c r="AA71" s="27"/>
      <c r="AB71" s="9" t="s">
        <v>8677</v>
      </c>
      <c r="AC71" s="34"/>
      <c r="AD71" s="34"/>
      <c r="AE71" s="34"/>
      <c r="AF71" s="35"/>
      <c r="AG71" s="36" t="s">
        <v>32</v>
      </c>
      <c r="AH71" s="2" t="s">
        <v>96</v>
      </c>
      <c r="AI71" s="10" t="s">
        <v>143</v>
      </c>
      <c r="AJ71" s="2" t="s">
        <v>818</v>
      </c>
      <c r="AK71" s="10" t="s">
        <v>818</v>
      </c>
    </row>
    <row r="72" ht="15.75" customHeight="1">
      <c r="A72" s="2" t="s">
        <v>4575</v>
      </c>
      <c r="B72" s="12" t="s">
        <v>4576</v>
      </c>
      <c r="C72" s="2" t="str">
        <f>IFERROR(__xludf.DUMMYFUNCTION("IF(ISNUMBER(B72),TEXT(B72,""yyyy-MM-dd""),REGEXREPLACE(REGEXREPLACE(TO_TEXT(B72),""[^0-9a-zA-Z]+"",""-""),""[^0-9]*$"",""""))"),"45396-17-26")</f>
        <v>45396-17-26</v>
      </c>
      <c r="D72" s="2" t="str">
        <f t="shared" ref="D72:D73" si="8">TEXT(C72,"yyyy-MM-dd")</f>
        <v>45396-17-26</v>
      </c>
      <c r="E72" s="25" t="str">
        <f>CONCATENATE(LEFT(D72,5))</f>
        <v>45396</v>
      </c>
      <c r="F72" s="12">
        <f>DATE(1900,1,1) + E72 - 1</f>
        <v>45397</v>
      </c>
      <c r="G72" s="2" t="s">
        <v>7701</v>
      </c>
      <c r="H72" s="10" t="s">
        <v>7701</v>
      </c>
      <c r="I72" s="2" t="s">
        <v>3348</v>
      </c>
      <c r="J72" s="26" t="str">
        <f t="array" ref="J72">IF(ISNA(XLOOKUP(I72,customers_clean!$A$2:$A$701,customers_clean!$A$2:$A$701, NA()) ),
   "❌ MISSING CUSTOMER", "✅")</f>
        <v>✅</v>
      </c>
      <c r="K72" s="2" t="str">
        <f t="array" ref="K72">XLOOKUP(I72,customers_clean!$A$2:$A$701,customers_clean!$C$2:$C$701)</f>
        <v> Gabe Davis</v>
      </c>
      <c r="L72" s="10" t="str">
        <f t="array" ref="L72">XLOOKUP(I72,customers_clean!$A$2:$A$701,customers_clean!$D$2:$D$701)</f>
        <v>Gabe Davis</v>
      </c>
      <c r="M72" s="2" t="str">
        <f t="array" ref="M72">XLOOKUP(I72,customers_clean!$A$2:$A$701,customers_clean!$I$2:$I$701)</f>
        <v> gabe.davis@example.com</v>
      </c>
      <c r="N72" s="10" t="str">
        <f t="array" ref="N72">XLOOKUP(I72,customers_clean!$A$2:$A$701,customers_clean!$H$2:$H$701)</f>
        <v>gabe.davis@example.com</v>
      </c>
      <c r="O72" s="9" t="str">
        <f>IFERROR(__xludf.DUMMYFUNCTION("IF(REGEXMATCH(TRIM(N72),""^[A-Za-z0-9._%+-]+@[A-Za-z0-9.-]+\.[A-Za-z]{2,}$""),""✅ Valid"",""❌ Invalid"")"),"✅ Valid")</f>
        <v>✅ Valid</v>
      </c>
      <c r="P72" s="2" t="str">
        <f t="array" ref="P72">XLOOKUP(I72,customers_clean!$A$2:$A$701,customers_clean!$K$2:$K$701)</f>
        <v>+440412651844</v>
      </c>
      <c r="Q72" s="10" t="str">
        <f t="array" ref="Q72">XLOOKUP(I72,customers_clean!$A$2:$A$701,customers_clean!$N$2:$N$701)</f>
        <v>0412651844</v>
      </c>
      <c r="R72" s="9" t="str">
        <f t="array" ref="R72">XLOOKUP(I72,customers_clean!$A$2:$A$701,customers_clean!$Q$2:$Q$701)</f>
        <v>❌ INVALID</v>
      </c>
      <c r="S72" s="10" t="s">
        <v>114</v>
      </c>
      <c r="T72" s="2" t="s">
        <v>223</v>
      </c>
      <c r="U72" s="2" t="s">
        <v>116</v>
      </c>
      <c r="V72" s="2" t="s">
        <v>746</v>
      </c>
      <c r="W72" s="9" t="str">
        <f t="array" ref="W72">IF(ISNA(XLOOKUP(V72,products_master_corrected!$A$2:$A$151,products_master_corrected!$A$2:$A$151, NA())),
    "❌ MISSING SKU", "✅")</f>
        <v>✅</v>
      </c>
      <c r="X72" s="2" t="s">
        <v>747</v>
      </c>
      <c r="Y72" s="2" t="s">
        <v>748</v>
      </c>
      <c r="Z72" s="10" t="s">
        <v>355</v>
      </c>
      <c r="AA72" s="27">
        <v>5.0</v>
      </c>
      <c r="AB72" s="9" t="s">
        <v>8649</v>
      </c>
      <c r="AC72" s="28">
        <f t="array" ref="AC72">XLOOKUP(V72,products_master_corrected!$A$2:$A$151,products_master_corrected!$E$2:$E$151)</f>
        <v>346</v>
      </c>
      <c r="AD72" s="28">
        <f t="shared" ref="AD72:AD78" si="9">AA72*AC72</f>
        <v>1730</v>
      </c>
      <c r="AE72" s="28">
        <f t="array" ref="AE72">XLOOKUP(V72,products_master_corrected!$A$2:$A$151,products_master_corrected!$F$2:$F$151)</f>
        <v>346</v>
      </c>
      <c r="AF72" s="29">
        <f t="shared" ref="AF72:AF78" si="10">AA72*AE72</f>
        <v>1730</v>
      </c>
      <c r="AG72" s="30" t="s">
        <v>65</v>
      </c>
      <c r="AH72" s="2" t="s">
        <v>573</v>
      </c>
      <c r="AI72" s="10" t="s">
        <v>66</v>
      </c>
      <c r="AJ72" s="2" t="s">
        <v>50</v>
      </c>
      <c r="AK72" s="10" t="s">
        <v>261</v>
      </c>
      <c r="AL72" s="2" t="s">
        <v>133</v>
      </c>
    </row>
    <row r="73" ht="15.75" customHeight="1">
      <c r="A73" s="2" t="s">
        <v>4974</v>
      </c>
      <c r="B73" s="12" t="s">
        <v>4975</v>
      </c>
      <c r="C73" s="2" t="str">
        <f>IFERROR(__xludf.DUMMYFUNCTION("IF(ISNUMBER(B73),TEXT(B73,""yyyy-MM-dd""),REGEXREPLACE(REGEXREPLACE(TO_TEXT(B73),""[^0-9a-zA-Z]+"",""-""),""[^0-9]*$"",""""))"),"04-04-2024-21-19")</f>
        <v>04-04-2024-21-19</v>
      </c>
      <c r="D73" s="2" t="str">
        <f t="shared" si="8"/>
        <v>04-04-2024-21-19</v>
      </c>
      <c r="E73" s="12" t="str">
        <f>IFERROR(__xludf.DUMMYFUNCTION("REGEXEXTRACT(D73,""^\d{2}-\d{2}-\d{4}"")"),"04-04-2024")</f>
        <v>04-04-2024</v>
      </c>
      <c r="F73" s="2" t="s">
        <v>8694</v>
      </c>
      <c r="H73" s="10" t="s">
        <v>8694</v>
      </c>
      <c r="I73" s="2" t="s">
        <v>3348</v>
      </c>
      <c r="J73" s="26" t="str">
        <f t="array" ref="J73">IF(ISNA(XLOOKUP(I73,customers_clean!$A$2:$A$701,customers_clean!$A$2:$A$701, NA()) ),
   "❌ MISSING CUSTOMER", "✅")</f>
        <v>✅</v>
      </c>
      <c r="K73" s="2" t="str">
        <f t="array" ref="K73">XLOOKUP(I73,customers_clean!$A$2:$A$701,customers_clean!$C$2:$C$701)</f>
        <v> Gabe Davis</v>
      </c>
      <c r="L73" s="10" t="str">
        <f t="array" ref="L73">XLOOKUP(I73,customers_clean!$A$2:$A$701,customers_clean!$D$2:$D$701)</f>
        <v>Gabe Davis</v>
      </c>
      <c r="M73" s="2" t="str">
        <f t="array" ref="M73">XLOOKUP(I73,customers_clean!$A$2:$A$701,customers_clean!$I$2:$I$701)</f>
        <v> gabe.davis@example.com</v>
      </c>
      <c r="N73" s="10" t="str">
        <f t="array" ref="N73">XLOOKUP(I73,customers_clean!$A$2:$A$701,customers_clean!$H$2:$H$701)</f>
        <v>gabe.davis@example.com</v>
      </c>
      <c r="O73" s="9" t="str">
        <f>IFERROR(__xludf.DUMMYFUNCTION("IF(REGEXMATCH(TRIM(N73),""^[A-Za-z0-9._%+-]+@[A-Za-z0-9.-]+\.[A-Za-z]{2,}$""),""✅ Valid"",""❌ Invalid"")"),"✅ Valid")</f>
        <v>✅ Valid</v>
      </c>
      <c r="P73" s="2" t="str">
        <f t="array" ref="P73">XLOOKUP(I73,customers_clean!$A$2:$A$701,customers_clean!$K$2:$K$701)</f>
        <v>+440412651844</v>
      </c>
      <c r="Q73" s="10" t="str">
        <f t="array" ref="Q73">XLOOKUP(I73,customers_clean!$A$2:$A$701,customers_clean!$N$2:$N$701)</f>
        <v>0412651844</v>
      </c>
      <c r="R73" s="9" t="str">
        <f t="array" ref="R73">XLOOKUP(I73,customers_clean!$A$2:$A$701,customers_clean!$Q$2:$Q$701)</f>
        <v>❌ INVALID</v>
      </c>
      <c r="S73" s="10" t="s">
        <v>114</v>
      </c>
      <c r="T73" s="2" t="s">
        <v>42</v>
      </c>
      <c r="U73" s="2" t="s">
        <v>43</v>
      </c>
      <c r="V73" s="2" t="s">
        <v>534</v>
      </c>
      <c r="W73" s="9" t="str">
        <f t="array" ref="W73">IF(ISNA(XLOOKUP(V73,products_master_corrected!$A$2:$A$151,products_master_corrected!$A$2:$A$151, NA())),
    "❌ MISSING SKU", "✅")</f>
        <v>✅</v>
      </c>
      <c r="X73" s="2" t="s">
        <v>535</v>
      </c>
      <c r="Y73" s="2" t="s">
        <v>30</v>
      </c>
      <c r="Z73" s="10" t="s">
        <v>179</v>
      </c>
      <c r="AA73" s="27">
        <v>3.0</v>
      </c>
      <c r="AB73" s="9" t="s">
        <v>8649</v>
      </c>
      <c r="AC73" s="28">
        <f t="array" ref="AC73">XLOOKUP(V73,products_master_corrected!$A$2:$A$151,products_master_corrected!$E$2:$E$151)</f>
        <v>113.92</v>
      </c>
      <c r="AD73" s="28">
        <f t="shared" si="9"/>
        <v>341.76</v>
      </c>
      <c r="AE73" s="28">
        <f t="array" ref="AE73">XLOOKUP(V73,products_master_corrected!$A$2:$A$151,products_master_corrected!$F$2:$F$151)</f>
        <v>113.92</v>
      </c>
      <c r="AF73" s="29">
        <f t="shared" si="10"/>
        <v>341.76</v>
      </c>
      <c r="AG73" s="30" t="s">
        <v>65</v>
      </c>
      <c r="AH73" s="2" t="s">
        <v>664</v>
      </c>
      <c r="AI73" s="10" t="s">
        <v>66</v>
      </c>
      <c r="AJ73" s="2" t="s">
        <v>169</v>
      </c>
      <c r="AK73" s="10" t="s">
        <v>261</v>
      </c>
      <c r="AL73" s="2" t="s">
        <v>67</v>
      </c>
    </row>
    <row r="74" ht="15.75" customHeight="1">
      <c r="A74" s="2" t="s">
        <v>4543</v>
      </c>
      <c r="B74" s="12">
        <v>45913.0</v>
      </c>
      <c r="C74" s="2" t="str">
        <f>IFERROR(__xludf.DUMMYFUNCTION("IF(ISNUMBER(B74),TEXT(B74,""yyyy-MM-dd""),REGEXREPLACE(REGEXREPLACE(TO_TEXT(B74),""[^0-9a-zA-Z]+"",""-""),""[^0-9]*$"",""""))"),"2025-09-13")</f>
        <v>2025-09-13</v>
      </c>
      <c r="D74" s="2" t="s">
        <v>8608</v>
      </c>
      <c r="H74" s="10" t="s">
        <v>8608</v>
      </c>
      <c r="I74" s="2" t="s">
        <v>3348</v>
      </c>
      <c r="J74" s="26" t="str">
        <f t="array" ref="J74">IF(ISNA(XLOOKUP(I74,customers_clean!$A$2:$A$701,customers_clean!$A$2:$A$701, NA()) ),
   "❌ MISSING CUSTOMER", "✅")</f>
        <v>✅</v>
      </c>
      <c r="K74" s="2" t="str">
        <f t="array" ref="K74">XLOOKUP(I74,customers_clean!$A$2:$A$701,customers_clean!$C$2:$C$701)</f>
        <v> Gabe Davis</v>
      </c>
      <c r="L74" s="10" t="str">
        <f t="array" ref="L74">XLOOKUP(I74,customers_clean!$A$2:$A$701,customers_clean!$D$2:$D$701)</f>
        <v>Gabe Davis</v>
      </c>
      <c r="M74" s="2" t="str">
        <f t="array" ref="M74">XLOOKUP(I74,customers_clean!$A$2:$A$701,customers_clean!$I$2:$I$701)</f>
        <v> gabe.davis@example.com</v>
      </c>
      <c r="N74" s="10" t="str">
        <f t="array" ref="N74">XLOOKUP(I74,customers_clean!$A$2:$A$701,customers_clean!$H$2:$H$701)</f>
        <v>gabe.davis@example.com</v>
      </c>
      <c r="O74" s="9" t="str">
        <f>IFERROR(__xludf.DUMMYFUNCTION("IF(REGEXMATCH(TRIM(N74),""^[A-Za-z0-9._%+-]+@[A-Za-z0-9.-]+\.[A-Za-z]{2,}$""),""✅ Valid"",""❌ Invalid"")"),"✅ Valid")</f>
        <v>✅ Valid</v>
      </c>
      <c r="P74" s="2" t="str">
        <f t="array" ref="P74">XLOOKUP(I74,customers_clean!$A$2:$A$701,customers_clean!$K$2:$K$701)</f>
        <v>+440412651844</v>
      </c>
      <c r="Q74" s="10" t="str">
        <f t="array" ref="Q74">XLOOKUP(I74,customers_clean!$A$2:$A$701,customers_clean!$N$2:$N$701)</f>
        <v>0412651844</v>
      </c>
      <c r="R74" s="9" t="str">
        <f t="array" ref="R74">XLOOKUP(I74,customers_clean!$A$2:$A$701,customers_clean!$Q$2:$Q$701)</f>
        <v>❌ INVALID</v>
      </c>
      <c r="S74" s="10" t="s">
        <v>114</v>
      </c>
      <c r="T74" s="2" t="s">
        <v>152</v>
      </c>
      <c r="U74" s="2" t="s">
        <v>176</v>
      </c>
      <c r="V74" s="2" t="s">
        <v>2012</v>
      </c>
      <c r="W74" s="9" t="str">
        <f t="array" ref="W74">IF(ISNA(XLOOKUP(V74,products_master_corrected!$A$2:$A$151,products_master_corrected!$A$2:$A$151, NA())),
    "❌ MISSING SKU", "✅")</f>
        <v>✅</v>
      </c>
      <c r="X74" s="2" t="s">
        <v>741</v>
      </c>
      <c r="Y74" s="2" t="s">
        <v>514</v>
      </c>
      <c r="Z74" s="10" t="s">
        <v>514</v>
      </c>
      <c r="AA74" s="27">
        <v>5.0</v>
      </c>
      <c r="AB74" s="9" t="s">
        <v>8649</v>
      </c>
      <c r="AC74" s="28">
        <f t="array" ref="AC74">XLOOKUP(V74,products_master_corrected!$A$2:$A$151,products_master_corrected!$E$2:$E$151)</f>
        <v>40.87</v>
      </c>
      <c r="AD74" s="28">
        <f t="shared" si="9"/>
        <v>204.35</v>
      </c>
      <c r="AE74" s="28">
        <f t="array" ref="AE74">XLOOKUP(V74,products_master_corrected!$A$2:$A$151,products_master_corrected!$F$2:$F$151)</f>
        <v>40.87</v>
      </c>
      <c r="AF74" s="29">
        <f t="shared" si="10"/>
        <v>204.35</v>
      </c>
      <c r="AG74" s="30" t="s">
        <v>65</v>
      </c>
      <c r="AH74" s="2" t="s">
        <v>4546</v>
      </c>
      <c r="AI74" s="10" t="s">
        <v>66</v>
      </c>
      <c r="AJ74" s="2" t="s">
        <v>294</v>
      </c>
      <c r="AK74" s="10" t="s">
        <v>80</v>
      </c>
    </row>
    <row r="75" ht="15.75" customHeight="1">
      <c r="A75" s="2" t="s">
        <v>3949</v>
      </c>
      <c r="B75" s="12">
        <v>45376.0</v>
      </c>
      <c r="C75" s="2" t="str">
        <f>IFERROR(__xludf.DUMMYFUNCTION("IF(ISNUMBER(B75),TEXT(B75,""yyyy-MM-dd""),REGEXREPLACE(REGEXREPLACE(TO_TEXT(B75),""[^0-9a-zA-Z]+"",""-""),""[^0-9]*$"",""""))"),"2024-03-25")</f>
        <v>2024-03-25</v>
      </c>
      <c r="D75" s="2" t="s">
        <v>8695</v>
      </c>
      <c r="H75" s="10" t="s">
        <v>8695</v>
      </c>
      <c r="I75" s="2" t="s">
        <v>3704</v>
      </c>
      <c r="J75" s="26" t="str">
        <f t="array" ref="J75">IF(ISNA(XLOOKUP(I75,customers_clean!$A$2:$A$701,customers_clean!$A$2:$A$701, NA()) ),
   "❌ MISSING CUSTOMER", "✅")</f>
        <v>✅</v>
      </c>
      <c r="K75" s="2" t="str">
        <f t="array" ref="K75">XLOOKUP(I75,customers_clean!$A$2:$A$701,customers_clean!$C$2:$C$701)</f>
        <v>Gabe Davis </v>
      </c>
      <c r="L75" s="10" t="str">
        <f t="array" ref="L75">XLOOKUP(I75,customers_clean!$A$2:$A$701,customers_clean!$D$2:$D$701)</f>
        <v>Gabe Davis</v>
      </c>
      <c r="M75" s="2" t="str">
        <f t="array" ref="M75">XLOOKUP(I75,customers_clean!$A$2:$A$701,customers_clean!$I$2:$I$701)</f>
        <v>gabe.davis@example.com</v>
      </c>
      <c r="N75" s="10" t="str">
        <f t="array" ref="N75">XLOOKUP(I75,customers_clean!$A$2:$A$701,customers_clean!$H$2:$H$701)</f>
        <v>gabe.davis@example.com</v>
      </c>
      <c r="O75" s="9" t="str">
        <f>IFERROR(__xludf.DUMMYFUNCTION("IF(REGEXMATCH(TRIM(N75),""^[A-Za-z0-9._%+-]+@[A-Za-z0-9.-]+\.[A-Za-z]{2,}$""),""✅ Valid"",""❌ Invalid"")"),"✅ Valid")</f>
        <v>✅ Valid</v>
      </c>
      <c r="P75" s="2" t="str">
        <f t="array" ref="P75">XLOOKUP(I75,customers_clean!$A$2:$A$701,customers_clean!$K$2:$K$701)</f>
        <v>missing</v>
      </c>
      <c r="Q75" s="10" t="str">
        <f t="array" ref="Q75">XLOOKUP(I75,customers_clean!$A$2:$A$701,customers_clean!$N$2:$N$701)</f>
        <v/>
      </c>
      <c r="R75" s="9" t="str">
        <f t="array" ref="R75">XLOOKUP(I75,customers_clean!$A$2:$A$701,customers_clean!$Q$2:$Q$701)</f>
        <v>❌ INVALID</v>
      </c>
      <c r="S75" s="10" t="s">
        <v>608</v>
      </c>
      <c r="T75" s="2" t="s">
        <v>42</v>
      </c>
      <c r="U75" s="2" t="s">
        <v>480</v>
      </c>
      <c r="V75" s="2" t="s">
        <v>1358</v>
      </c>
      <c r="W75" s="9" t="str">
        <f t="array" ref="W75">IF(ISNA(XLOOKUP(V75,products_master_corrected!$A$2:$A$151,products_master_corrected!$A$2:$A$151, NA())),
    "❌ MISSING SKU", "✅")</f>
        <v>✅</v>
      </c>
      <c r="X75" s="2" t="s">
        <v>259</v>
      </c>
      <c r="Y75" s="2" t="s">
        <v>941</v>
      </c>
      <c r="Z75" s="10" t="str">
        <f>PROPER(TRIM(Y75))</f>
        <v>Monitors</v>
      </c>
      <c r="AA75" s="27">
        <v>5.0</v>
      </c>
      <c r="AB75" s="9" t="s">
        <v>8649</v>
      </c>
      <c r="AC75" s="28">
        <f t="array" ref="AC75">XLOOKUP(V75,products_master_corrected!$A$2:$A$151,products_master_corrected!$E$2:$E$151)</f>
        <v>36.44</v>
      </c>
      <c r="AD75" s="28">
        <f t="shared" si="9"/>
        <v>182.2</v>
      </c>
      <c r="AE75" s="28">
        <f t="array" ref="AE75">XLOOKUP(V75,products_master_corrected!$A$2:$A$151,products_master_corrected!$H$2:$H$151)</f>
        <v>40.94</v>
      </c>
      <c r="AF75" s="29">
        <f t="shared" si="10"/>
        <v>204.7</v>
      </c>
      <c r="AG75" s="32" t="s">
        <v>8658</v>
      </c>
      <c r="AH75" s="2" t="s">
        <v>143</v>
      </c>
      <c r="AI75" s="10" t="s">
        <v>143</v>
      </c>
      <c r="AJ75" s="2" t="s">
        <v>169</v>
      </c>
      <c r="AK75" s="10" t="s">
        <v>261</v>
      </c>
      <c r="AL75" s="2" t="s">
        <v>81</v>
      </c>
    </row>
    <row r="76" ht="15.75" customHeight="1">
      <c r="A76" s="2" t="s">
        <v>3702</v>
      </c>
      <c r="B76" s="12" t="s">
        <v>3703</v>
      </c>
      <c r="C76" s="2" t="str">
        <f>IFERROR(__xludf.DUMMYFUNCTION("IF(ISNUMBER(B76),TEXT(B76,""yyyy-MM-dd""),REGEXREPLACE(REGEXREPLACE(TO_TEXT(B76),""[^0-9a-zA-Z]+"",""-""),""[^0-9]*$"",""""))"),"09-30-2023")</f>
        <v>09-30-2023</v>
      </c>
      <c r="D76" s="2" t="str">
        <f t="shared" ref="D76:D77" si="11">TEXT(C76,"yyyy-MM-dd")</f>
        <v>09-30-2023</v>
      </c>
      <c r="E76" s="2" t="s">
        <v>8696</v>
      </c>
      <c r="H76" s="10" t="s">
        <v>8696</v>
      </c>
      <c r="I76" s="2" t="s">
        <v>3704</v>
      </c>
      <c r="J76" s="26" t="str">
        <f t="array" ref="J76">IF(ISNA(XLOOKUP(I76,customers_clean!$A$2:$A$701,customers_clean!$A$2:$A$701, NA()) ),
   "❌ MISSING CUSTOMER", "✅")</f>
        <v>✅</v>
      </c>
      <c r="K76" s="2" t="str">
        <f t="array" ref="K76">XLOOKUP(I76,customers_clean!$A$2:$A$701,customers_clean!$C$2:$C$701)</f>
        <v>Gabe Davis </v>
      </c>
      <c r="L76" s="10" t="str">
        <f t="array" ref="L76">XLOOKUP(I76,customers_clean!$A$2:$A$701,customers_clean!$D$2:$D$701)</f>
        <v>Gabe Davis</v>
      </c>
      <c r="M76" s="2" t="str">
        <f t="array" ref="M76">XLOOKUP(I76,customers_clean!$A$2:$A$701,customers_clean!$I$2:$I$701)</f>
        <v>gabe.davis@example.com</v>
      </c>
      <c r="N76" s="10" t="str">
        <f t="array" ref="N76">XLOOKUP(I76,customers_clean!$A$2:$A$701,customers_clean!$H$2:$H$701)</f>
        <v>gabe.davis@example.com</v>
      </c>
      <c r="O76" s="9" t="str">
        <f>IFERROR(__xludf.DUMMYFUNCTION("IF(REGEXMATCH(TRIM(N76),""^[A-Za-z0-9._%+-]+@[A-Za-z0-9.-]+\.[A-Za-z]{2,}$""),""✅ Valid"",""❌ Invalid"")"),"✅ Valid")</f>
        <v>✅ Valid</v>
      </c>
      <c r="P76" s="2" t="str">
        <f t="array" ref="P76">XLOOKUP(I76,customers_clean!$A$2:$A$701,customers_clean!$K$2:$K$701)</f>
        <v>missing</v>
      </c>
      <c r="Q76" s="10" t="str">
        <f t="array" ref="Q76">XLOOKUP(I76,customers_clean!$A$2:$A$701,customers_clean!$N$2:$N$701)</f>
        <v/>
      </c>
      <c r="R76" s="9" t="str">
        <f t="array" ref="R76">XLOOKUP(I76,customers_clean!$A$2:$A$701,customers_clean!$Q$2:$Q$701)</f>
        <v>❌ INVALID</v>
      </c>
      <c r="S76" s="10" t="s">
        <v>608</v>
      </c>
      <c r="T76" s="2" t="s">
        <v>210</v>
      </c>
      <c r="U76" s="2" t="s">
        <v>480</v>
      </c>
      <c r="V76" s="2" t="s">
        <v>279</v>
      </c>
      <c r="W76" s="9" t="str">
        <f t="array" ref="W76">IF(ISNA(XLOOKUP(V76,products_master_corrected!$A$2:$A$151,products_master_corrected!$A$2:$A$151, NA())),
    "❌ MISSING SKU", "✅")</f>
        <v>✅</v>
      </c>
      <c r="X76" s="2" t="s">
        <v>280</v>
      </c>
      <c r="Y76" s="2" t="s">
        <v>281</v>
      </c>
      <c r="Z76" s="10" t="s">
        <v>248</v>
      </c>
      <c r="AA76" s="27">
        <v>1.0</v>
      </c>
      <c r="AB76" s="9" t="s">
        <v>8649</v>
      </c>
      <c r="AC76" s="28">
        <f t="array" ref="AC76">XLOOKUP(V76,products_master_corrected!$A$2:$A$151,products_master_corrected!$E$2:$E$151)</f>
        <v>95.88</v>
      </c>
      <c r="AD76" s="28">
        <f t="shared" si="9"/>
        <v>95.88</v>
      </c>
      <c r="AE76" s="28">
        <f t="array" ref="AE76">XLOOKUP(V76,products_master_corrected!$A$2:$A$151,products_master_corrected!$H$2:$H$151)</f>
        <v>107.72</v>
      </c>
      <c r="AF76" s="29">
        <f t="shared" si="10"/>
        <v>107.72</v>
      </c>
      <c r="AG76" s="32" t="s">
        <v>8658</v>
      </c>
      <c r="AH76" s="2" t="s">
        <v>573</v>
      </c>
      <c r="AI76" s="10" t="s">
        <v>66</v>
      </c>
      <c r="AJ76" s="2" t="s">
        <v>192</v>
      </c>
      <c r="AK76" s="10" t="s">
        <v>192</v>
      </c>
      <c r="AL76" s="2" t="s">
        <v>133</v>
      </c>
    </row>
    <row r="77" ht="15.75" customHeight="1">
      <c r="A77" s="2" t="s">
        <v>4532</v>
      </c>
      <c r="B77" s="12" t="s">
        <v>4533</v>
      </c>
      <c r="C77" s="2" t="str">
        <f>IFERROR(__xludf.DUMMYFUNCTION("IF(ISNUMBER(B77),TEXT(B77,""yyyy-MM-dd""),REGEXREPLACE(REGEXREPLACE(TO_TEXT(B77),""[^0-9a-zA-Z]+"",""-""),""[^0-9]*$"",""""))"),"44958-06-50")</f>
        <v>44958-06-50</v>
      </c>
      <c r="D77" s="2" t="str">
        <f t="shared" si="11"/>
        <v>44958-06-50</v>
      </c>
      <c r="E77" s="25" t="str">
        <f>CONCATENATE(LEFT(D77,5))</f>
        <v>44958</v>
      </c>
      <c r="F77" s="12">
        <f>DATE(1900,1,1) + E77 - 1</f>
        <v>44959</v>
      </c>
      <c r="G77" s="2" t="s">
        <v>7749</v>
      </c>
      <c r="H77" s="10" t="s">
        <v>7749</v>
      </c>
      <c r="I77" s="2" t="s">
        <v>4534</v>
      </c>
      <c r="J77" s="26" t="str">
        <f t="array" ref="J77">IF(ISNA(XLOOKUP(I77,customers_clean!$A$2:$A$701,customers_clean!$A$2:$A$701, NA()) ),
   "❌ MISSING CUSTOMER", "✅")</f>
        <v>✅</v>
      </c>
      <c r="K77" s="2" t="str">
        <f t="array" ref="K77">XLOOKUP(I77,customers_clean!$A$2:$A$701,customers_clean!$C$2:$C$701)</f>
        <v>Omar Rodriguez</v>
      </c>
      <c r="L77" s="10" t="str">
        <f t="array" ref="L77">XLOOKUP(I77,customers_clean!$A$2:$A$701,customers_clean!$D$2:$D$701)</f>
        <v>Omar Rodriguez</v>
      </c>
      <c r="M77" s="2" t="str">
        <f t="array" ref="M77">XLOOKUP(I77,customers_clean!$A$2:$A$701,customers_clean!$I$2:$I$701)</f>
        <v> omar.rodriguez@yahoo.com</v>
      </c>
      <c r="N77" s="10" t="str">
        <f t="array" ref="N77">XLOOKUP(I77,customers_clean!$A$2:$A$701,customers_clean!$H$2:$H$701)</f>
        <v>omar.rodriguez@yahoo.com</v>
      </c>
      <c r="O77" s="9" t="str">
        <f>IFERROR(__xludf.DUMMYFUNCTION("IF(REGEXMATCH(TRIM(N77),""^[A-Za-z0-9._%+-]+@[A-Za-z0-9.-]+\.[A-Za-z]{2,}$""),""✅ Valid"",""❌ Invalid"")"),"✅ Valid")</f>
        <v>✅ Valid</v>
      </c>
      <c r="P77" s="2" t="str">
        <f t="array" ref="P77">XLOOKUP(I77,customers_clean!$A$2:$A$701,customers_clean!$K$2:$K$701)</f>
        <v/>
      </c>
      <c r="Q77" s="10" t="str">
        <f t="array" ref="Q77">XLOOKUP(I77,customers_clean!$A$2:$A$701,customers_clean!$N$2:$N$701)</f>
        <v/>
      </c>
      <c r="R77" s="9" t="str">
        <f t="array" ref="R77">XLOOKUP(I77,customers_clean!$A$2:$A$701,customers_clean!$Q$2:$Q$701)</f>
        <v>❌ INVALID</v>
      </c>
      <c r="S77" s="10" t="s">
        <v>58</v>
      </c>
      <c r="T77" s="2" t="s">
        <v>210</v>
      </c>
      <c r="U77" s="2" t="s">
        <v>522</v>
      </c>
      <c r="V77" s="2" t="s">
        <v>1302</v>
      </c>
      <c r="W77" s="9" t="str">
        <f t="array" ref="W77">IF(ISNA(XLOOKUP(V77,products_master_corrected!$A$2:$A$151,products_master_corrected!$A$2:$A$151, NA())),
    "❌ MISSING SKU", "✅")</f>
        <v>✅</v>
      </c>
      <c r="X77" s="2" t="s">
        <v>440</v>
      </c>
      <c r="Y77" s="2" t="s">
        <v>179</v>
      </c>
      <c r="Z77" s="10" t="s">
        <v>179</v>
      </c>
      <c r="AA77" s="27">
        <v>1.0</v>
      </c>
      <c r="AB77" s="9" t="s">
        <v>8649</v>
      </c>
      <c r="AC77" s="28">
        <f t="array" ref="AC77">XLOOKUP(V77,products_master_corrected!$A$2:$A$151,products_master_corrected!$E$2:$E$151)</f>
        <v>28.97</v>
      </c>
      <c r="AD77" s="28">
        <f t="shared" si="9"/>
        <v>28.97</v>
      </c>
      <c r="AE77" s="28">
        <f t="array" ref="AE77">XLOOKUP(V77,products_master_corrected!$A$2:$A$151,products_master_corrected!$G$2:$G$151)</f>
        <v>33.16</v>
      </c>
      <c r="AF77" s="29">
        <f t="shared" si="10"/>
        <v>33.16</v>
      </c>
      <c r="AG77" s="32" t="s">
        <v>8663</v>
      </c>
      <c r="AH77" s="2" t="s">
        <v>370</v>
      </c>
      <c r="AI77" s="10" t="s">
        <v>143</v>
      </c>
      <c r="AJ77" s="2" t="s">
        <v>442</v>
      </c>
      <c r="AK77" s="10" t="s">
        <v>80</v>
      </c>
      <c r="AL77" s="2" t="s">
        <v>51</v>
      </c>
    </row>
    <row r="78" ht="15.75" customHeight="1">
      <c r="A78" s="2" t="s">
        <v>1967</v>
      </c>
      <c r="B78" s="12">
        <v>45140.0</v>
      </c>
      <c r="C78" s="2" t="str">
        <f>IFERROR(__xludf.DUMMYFUNCTION("IF(ISNUMBER(B78),TEXT(B78,""yyyy-MM-dd""),REGEXREPLACE(REGEXREPLACE(TO_TEXT(B78),""[^0-9a-zA-Z]+"",""-""),""[^0-9]*$"",""""))"),"2023-08-02")</f>
        <v>2023-08-02</v>
      </c>
      <c r="D78" s="2" t="s">
        <v>8558</v>
      </c>
      <c r="H78" s="10" t="s">
        <v>8558</v>
      </c>
      <c r="I78" s="2" t="s">
        <v>1969</v>
      </c>
      <c r="J78" s="26" t="str">
        <f t="array" ref="J78">IF(ISNA(XLOOKUP(I78,customers_clean!$A$2:$A$701,customers_clean!$A$2:$A$701, NA()) ),
   "❌ MISSING CUSTOMER", "✅")</f>
        <v>✅</v>
      </c>
      <c r="K78" s="2" t="str">
        <f t="array" ref="K78">XLOOKUP(I78,customers_clean!$A$2:$A$701,customers_clean!$C$2:$C$701)</f>
        <v>Daria Dubois</v>
      </c>
      <c r="L78" s="10" t="str">
        <f t="array" ref="L78">XLOOKUP(I78,customers_clean!$A$2:$A$701,customers_clean!$D$2:$D$701)</f>
        <v>Daria Dubois</v>
      </c>
      <c r="M78" s="2" t="str">
        <f t="array" ref="M78">XLOOKUP(I78,customers_clean!$A$2:$A$701,customers_clean!$I$2:$I$701)</f>
        <v> daria.dubois@outlook.com</v>
      </c>
      <c r="N78" s="10" t="str">
        <f t="array" ref="N78">XLOOKUP(I78,customers_clean!$A$2:$A$701,customers_clean!$H$2:$H$701)</f>
        <v>daria.dubois@outlook.com</v>
      </c>
      <c r="O78" s="9" t="str">
        <f>IFERROR(__xludf.DUMMYFUNCTION("IF(REGEXMATCH(TRIM(N78),""^[A-Za-z0-9._%+-]+@[A-Za-z0-9.-]+\.[A-Za-z]{2,}$""),""✅ Valid"",""❌ Invalid"")"),"✅ Valid")</f>
        <v>✅ Valid</v>
      </c>
      <c r="P78" s="33" t="str">
        <f t="array" ref="P78">XLOOKUP(I78,customers_clean!$A$2:$A$701,customers_clean!$K$2:$K$701)</f>
        <v>+4800345674</v>
      </c>
      <c r="Q78" s="10" t="str">
        <f t="array" ref="Q78">XLOOKUP(I78,customers_clean!$A$2:$A$701,customers_clean!$N$2:$N$701)</f>
        <v>00345674</v>
      </c>
      <c r="R78" s="9" t="str">
        <f t="array" ref="R78">XLOOKUP(I78,customers_clean!$A$2:$A$701,customers_clean!$Q$2:$Q$701)</f>
        <v>❌ INVALID</v>
      </c>
      <c r="S78" s="10" t="s">
        <v>25</v>
      </c>
      <c r="T78" s="2" t="s">
        <v>42</v>
      </c>
      <c r="U78" s="2" t="s">
        <v>103</v>
      </c>
      <c r="V78" s="2" t="s">
        <v>740</v>
      </c>
      <c r="W78" s="9" t="str">
        <f t="array" ref="W78">IF(ISNA(XLOOKUP(V78,products_master_corrected!$A$2:$A$151,products_master_corrected!$A$2:$A$151, NA())),
    "❌ MISSING SKU", "✅")</f>
        <v>✅</v>
      </c>
      <c r="X78" s="2" t="s">
        <v>741</v>
      </c>
      <c r="Y78" s="2" t="s">
        <v>742</v>
      </c>
      <c r="Z78" s="10" t="s">
        <v>355</v>
      </c>
      <c r="AA78" s="27">
        <v>1.0</v>
      </c>
      <c r="AB78" s="9" t="s">
        <v>8649</v>
      </c>
      <c r="AC78" s="28">
        <f t="array" ref="AC78">XLOOKUP(V78,products_master_corrected!$A$2:$A$151,products_master_corrected!$E$2:$E$151)</f>
        <v>35.77</v>
      </c>
      <c r="AD78" s="28">
        <f t="shared" si="9"/>
        <v>35.77</v>
      </c>
      <c r="AE78" s="28">
        <f t="array" ref="AE78">XLOOKUP(V78,products_master_corrected!$A$2:$A$151,products_master_corrected!$K$2:$K$151)</f>
        <v>184.04</v>
      </c>
      <c r="AF78" s="29">
        <f t="shared" si="10"/>
        <v>184.04</v>
      </c>
      <c r="AG78" s="30" t="s">
        <v>95</v>
      </c>
      <c r="AH78" s="2" t="s">
        <v>143</v>
      </c>
      <c r="AI78" s="10" t="s">
        <v>143</v>
      </c>
      <c r="AJ78" s="2" t="s">
        <v>294</v>
      </c>
      <c r="AK78" s="10" t="s">
        <v>80</v>
      </c>
    </row>
    <row r="79" ht="15.75" customHeight="1">
      <c r="A79" s="2" t="s">
        <v>4121</v>
      </c>
      <c r="B79" s="12">
        <v>45303.535416666666</v>
      </c>
      <c r="C79" s="2" t="str">
        <f>IFERROR(__xludf.DUMMYFUNCTION("IF(ISNUMBER(B79),TEXT(B79,""yyyy-MM-dd""),REGEXREPLACE(REGEXREPLACE(TO_TEXT(B79),""[^0-9a-zA-Z]+"",""-""),""[^0-9]*$"",""""))"),"2024-01-12")</f>
        <v>2024-01-12</v>
      </c>
      <c r="D79" s="2" t="s">
        <v>8697</v>
      </c>
      <c r="H79" s="10" t="s">
        <v>8697</v>
      </c>
      <c r="I79" s="2" t="s">
        <v>1969</v>
      </c>
      <c r="J79" s="26" t="str">
        <f t="array" ref="J79">IF(ISNA(XLOOKUP(I79,customers_clean!$A$2:$A$701,customers_clean!$A$2:$A$701, NA()) ),
   "❌ MISSING CUSTOMER", "✅")</f>
        <v>✅</v>
      </c>
      <c r="K79" s="2" t="str">
        <f t="array" ref="K79">XLOOKUP(I79,customers_clean!$A$2:$A$701,customers_clean!$C$2:$C$701)</f>
        <v>Daria Dubois</v>
      </c>
      <c r="L79" s="10" t="str">
        <f t="array" ref="L79">XLOOKUP(I79,customers_clean!$A$2:$A$701,customers_clean!$D$2:$D$701)</f>
        <v>Daria Dubois</v>
      </c>
      <c r="M79" s="2" t="str">
        <f t="array" ref="M79">XLOOKUP(I79,customers_clean!$A$2:$A$701,customers_clean!$I$2:$I$701)</f>
        <v> daria.dubois@outlook.com</v>
      </c>
      <c r="N79" s="10" t="str">
        <f t="array" ref="N79">XLOOKUP(I79,customers_clean!$A$2:$A$701,customers_clean!$H$2:$H$701)</f>
        <v>daria.dubois@outlook.com</v>
      </c>
      <c r="O79" s="9" t="str">
        <f>IFERROR(__xludf.DUMMYFUNCTION("IF(REGEXMATCH(TRIM(N79),""^[A-Za-z0-9._%+-]+@[A-Za-z0-9.-]+\.[A-Za-z]{2,}$""),""✅ Valid"",""❌ Invalid"")"),"✅ Valid")</f>
        <v>✅ Valid</v>
      </c>
      <c r="P79" s="33" t="str">
        <f t="array" ref="P79">XLOOKUP(I79,customers_clean!$A$2:$A$701,customers_clean!$K$2:$K$701)</f>
        <v>+4800345674</v>
      </c>
      <c r="Q79" s="10" t="str">
        <f t="array" ref="Q79">XLOOKUP(I79,customers_clean!$A$2:$A$701,customers_clean!$N$2:$N$701)</f>
        <v>00345674</v>
      </c>
      <c r="R79" s="9" t="str">
        <f t="array" ref="R79">XLOOKUP(I79,customers_clean!$A$2:$A$701,customers_clean!$Q$2:$Q$701)</f>
        <v>❌ INVALID</v>
      </c>
      <c r="S79" s="10" t="s">
        <v>25</v>
      </c>
      <c r="T79" s="2" t="s">
        <v>301</v>
      </c>
      <c r="U79" s="2" t="s">
        <v>60</v>
      </c>
      <c r="V79" s="2" t="s">
        <v>2240</v>
      </c>
      <c r="W79" s="9" t="str">
        <f t="array" ref="W79">IF(ISNA(XLOOKUP(V79,products_master_corrected!$A$2:$A$151,products_master_corrected!$A$2:$A$151, NA())),
    "❌ MISSING SKU", "✅")</f>
        <v>✅</v>
      </c>
      <c r="X79" s="2" t="s">
        <v>403</v>
      </c>
      <c r="Y79" s="2" t="s">
        <v>742</v>
      </c>
      <c r="Z79" s="10" t="s">
        <v>355</v>
      </c>
      <c r="AA79" s="27"/>
      <c r="AB79" s="9" t="s">
        <v>8677</v>
      </c>
      <c r="AC79" s="34"/>
      <c r="AD79" s="34"/>
      <c r="AE79" s="34"/>
      <c r="AF79" s="35"/>
      <c r="AG79" s="36" t="s">
        <v>65</v>
      </c>
      <c r="AH79" s="2" t="s">
        <v>4124</v>
      </c>
      <c r="AI79" s="10" t="s">
        <v>49</v>
      </c>
      <c r="AJ79" s="2" t="s">
        <v>380</v>
      </c>
      <c r="AK79" s="10" t="s">
        <v>80</v>
      </c>
    </row>
    <row r="80" ht="15.75" customHeight="1">
      <c r="A80" s="2" t="s">
        <v>3429</v>
      </c>
      <c r="B80" s="12" t="s">
        <v>3430</v>
      </c>
      <c r="C80" s="2" t="str">
        <f>IFERROR(__xludf.DUMMYFUNCTION("IF(ISNUMBER(B80),TEXT(B80,""yyyy-MM-dd""),REGEXREPLACE(REGEXREPLACE(TO_TEXT(B80),""[^0-9a-zA-Z]+"",""-""),""[^0-9]*$"",""""))"),"11-30-2024")</f>
        <v>11-30-2024</v>
      </c>
      <c r="D80" s="2" t="str">
        <f t="shared" ref="D80:D81" si="12">TEXT(C80,"yyyy-MM-dd")</f>
        <v>11-30-2024</v>
      </c>
      <c r="E80" s="2" t="s">
        <v>8670</v>
      </c>
      <c r="H80" s="10" t="s">
        <v>8670</v>
      </c>
      <c r="I80" s="2" t="s">
        <v>1969</v>
      </c>
      <c r="J80" s="26" t="str">
        <f t="array" ref="J80">IF(ISNA(XLOOKUP(I80,customers_clean!$A$2:$A$701,customers_clean!$A$2:$A$701, NA()) ),
   "❌ MISSING CUSTOMER", "✅")</f>
        <v>✅</v>
      </c>
      <c r="K80" s="2" t="str">
        <f t="array" ref="K80">XLOOKUP(I80,customers_clean!$A$2:$A$701,customers_clean!$C$2:$C$701)</f>
        <v>Daria Dubois</v>
      </c>
      <c r="L80" s="10" t="str">
        <f t="array" ref="L80">XLOOKUP(I80,customers_clean!$A$2:$A$701,customers_clean!$D$2:$D$701)</f>
        <v>Daria Dubois</v>
      </c>
      <c r="M80" s="2" t="str">
        <f t="array" ref="M80">XLOOKUP(I80,customers_clean!$A$2:$A$701,customers_clean!$I$2:$I$701)</f>
        <v> daria.dubois@outlook.com</v>
      </c>
      <c r="N80" s="10" t="str">
        <f t="array" ref="N80">XLOOKUP(I80,customers_clean!$A$2:$A$701,customers_clean!$H$2:$H$701)</f>
        <v>daria.dubois@outlook.com</v>
      </c>
      <c r="O80" s="9" t="str">
        <f>IFERROR(__xludf.DUMMYFUNCTION("IF(REGEXMATCH(TRIM(N80),""^[A-Za-z0-9._%+-]+@[A-Za-z0-9.-]+\.[A-Za-z]{2,}$""),""✅ Valid"",""❌ Invalid"")"),"✅ Valid")</f>
        <v>✅ Valid</v>
      </c>
      <c r="P80" s="33" t="str">
        <f t="array" ref="P80">XLOOKUP(I80,customers_clean!$A$2:$A$701,customers_clean!$K$2:$K$701)</f>
        <v>+4800345674</v>
      </c>
      <c r="Q80" s="10" t="str">
        <f t="array" ref="Q80">XLOOKUP(I80,customers_clean!$A$2:$A$701,customers_clean!$N$2:$N$701)</f>
        <v>00345674</v>
      </c>
      <c r="R80" s="9" t="str">
        <f t="array" ref="R80">XLOOKUP(I80,customers_clean!$A$2:$A$701,customers_clean!$Q$2:$Q$701)</f>
        <v>❌ INVALID</v>
      </c>
      <c r="S80" s="10" t="s">
        <v>25</v>
      </c>
      <c r="T80" s="2" t="s">
        <v>460</v>
      </c>
      <c r="U80" s="2" t="s">
        <v>43</v>
      </c>
      <c r="V80" s="2" t="s">
        <v>224</v>
      </c>
      <c r="W80" s="9" t="str">
        <f t="array" ref="W80">IF(ISNA(XLOOKUP(V80,products_master_corrected!$A$2:$A$151,products_master_corrected!$A$2:$A$151, NA())),
    "❌ MISSING SKU", "✅")</f>
        <v>✅</v>
      </c>
      <c r="X80" s="2" t="s">
        <v>225</v>
      </c>
      <c r="Y80" s="2" t="s">
        <v>214</v>
      </c>
      <c r="Z80" s="10" t="s">
        <v>368</v>
      </c>
      <c r="AA80" s="27">
        <v>1.0</v>
      </c>
      <c r="AB80" s="9" t="s">
        <v>8649</v>
      </c>
      <c r="AC80" s="28">
        <f t="array" ref="AC80">XLOOKUP(V80,products_master_corrected!$A$2:$A$151,products_master_corrected!$E$2:$E$151)</f>
        <v>19.28</v>
      </c>
      <c r="AD80" s="28">
        <f t="shared" ref="AD80:AD87" si="13">AA80*AC80</f>
        <v>19.28</v>
      </c>
      <c r="AE80" s="28">
        <f t="array" ref="AE80">XLOOKUP(V80,products_master_corrected!$A$2:$A$151,products_master_corrected!$K$2:$K$151)</f>
        <v>99.2</v>
      </c>
      <c r="AF80" s="29">
        <f t="shared" ref="AF80:AF87" si="14">AA80*AE80</f>
        <v>99.2</v>
      </c>
      <c r="AG80" s="30" t="s">
        <v>95</v>
      </c>
      <c r="AH80" s="2" t="s">
        <v>305</v>
      </c>
      <c r="AI80" s="10" t="s">
        <v>49</v>
      </c>
      <c r="AJ80" s="2" t="s">
        <v>432</v>
      </c>
      <c r="AK80" s="10" t="s">
        <v>80</v>
      </c>
    </row>
    <row r="81" ht="15.75" customHeight="1">
      <c r="A81" s="2" t="s">
        <v>4352</v>
      </c>
      <c r="B81" s="12" t="s">
        <v>4353</v>
      </c>
      <c r="C81" s="2" t="str">
        <f>IFERROR(__xludf.DUMMYFUNCTION("IF(ISNUMBER(B81),TEXT(B81,""yyyy-MM-dd""),REGEXREPLACE(REGEXREPLACE(TO_TEXT(B81),""[^0-9a-zA-Z]+"",""-""),""[^0-9]*$"",""""))"),"12-22-2023")</f>
        <v>12-22-2023</v>
      </c>
      <c r="D81" s="2" t="str">
        <f t="shared" si="12"/>
        <v>12-22-2023</v>
      </c>
      <c r="E81" s="2" t="s">
        <v>8698</v>
      </c>
      <c r="H81" s="10" t="s">
        <v>8698</v>
      </c>
      <c r="I81" s="2" t="s">
        <v>1969</v>
      </c>
      <c r="J81" s="26" t="str">
        <f t="array" ref="J81">IF(ISNA(XLOOKUP(I81,customers_clean!$A$2:$A$701,customers_clean!$A$2:$A$701, NA()) ),
   "❌ MISSING CUSTOMER", "✅")</f>
        <v>✅</v>
      </c>
      <c r="K81" s="2" t="str">
        <f t="array" ref="K81">XLOOKUP(I81,customers_clean!$A$2:$A$701,customers_clean!$C$2:$C$701)</f>
        <v>Daria Dubois</v>
      </c>
      <c r="L81" s="10" t="str">
        <f t="array" ref="L81">XLOOKUP(I81,customers_clean!$A$2:$A$701,customers_clean!$D$2:$D$701)</f>
        <v>Daria Dubois</v>
      </c>
      <c r="M81" s="2" t="str">
        <f t="array" ref="M81">XLOOKUP(I81,customers_clean!$A$2:$A$701,customers_clean!$I$2:$I$701)</f>
        <v> daria.dubois@outlook.com</v>
      </c>
      <c r="N81" s="10" t="str">
        <f t="array" ref="N81">XLOOKUP(I81,customers_clean!$A$2:$A$701,customers_clean!$H$2:$H$701)</f>
        <v>daria.dubois@outlook.com</v>
      </c>
      <c r="O81" s="9" t="str">
        <f>IFERROR(__xludf.DUMMYFUNCTION("IF(REGEXMATCH(TRIM(N81),""^[A-Za-z0-9._%+-]+@[A-Za-z0-9.-]+\.[A-Za-z]{2,}$""),""✅ Valid"",""❌ Invalid"")"),"✅ Valid")</f>
        <v>✅ Valid</v>
      </c>
      <c r="P81" s="33" t="str">
        <f t="array" ref="P81">XLOOKUP(I81,customers_clean!$A$2:$A$701,customers_clean!$K$2:$K$701)</f>
        <v>+4800345674</v>
      </c>
      <c r="Q81" s="10" t="str">
        <f t="array" ref="Q81">XLOOKUP(I81,customers_clean!$A$2:$A$701,customers_clean!$N$2:$N$701)</f>
        <v>00345674</v>
      </c>
      <c r="R81" s="9" t="str">
        <f t="array" ref="R81">XLOOKUP(I81,customers_clean!$A$2:$A$701,customers_clean!$Q$2:$Q$701)</f>
        <v>❌ INVALID</v>
      </c>
      <c r="S81" s="10" t="s">
        <v>25</v>
      </c>
      <c r="T81" s="2" t="s">
        <v>210</v>
      </c>
      <c r="U81" s="2" t="s">
        <v>401</v>
      </c>
      <c r="V81" s="2" t="s">
        <v>2425</v>
      </c>
      <c r="W81" s="9" t="str">
        <f t="array" ref="W81">IF(ISNA(XLOOKUP(V81,products_master_corrected!$A$2:$A$151,products_master_corrected!$A$2:$A$151, NA())),
    "❌ MISSING SKU", "✅")</f>
        <v>✅</v>
      </c>
      <c r="X81" s="2" t="s">
        <v>2426</v>
      </c>
      <c r="Y81" s="2" t="s">
        <v>2427</v>
      </c>
      <c r="Z81" s="10" t="s">
        <v>248</v>
      </c>
      <c r="AA81" s="27">
        <v>1.0</v>
      </c>
      <c r="AB81" s="9" t="s">
        <v>8649</v>
      </c>
      <c r="AC81" s="28">
        <f t="array" ref="AC81">XLOOKUP(V81,products_master_corrected!$A$2:$A$151,products_master_corrected!$E$2:$E$151)</f>
        <v>1071.06</v>
      </c>
      <c r="AD81" s="28">
        <f t="shared" si="13"/>
        <v>1071.06</v>
      </c>
      <c r="AE81" s="28">
        <f t="array" ref="AE81">XLOOKUP(V81,products_master_corrected!$A$2:$A$151,products_master_corrected!$K$2:$K$151)</f>
        <v>5510.6</v>
      </c>
      <c r="AF81" s="29">
        <f t="shared" si="14"/>
        <v>5510.6</v>
      </c>
      <c r="AG81" s="30" t="s">
        <v>95</v>
      </c>
      <c r="AH81" s="2" t="s">
        <v>370</v>
      </c>
      <c r="AI81" s="10" t="s">
        <v>143</v>
      </c>
      <c r="AJ81" s="2" t="s">
        <v>294</v>
      </c>
      <c r="AK81" s="10" t="s">
        <v>80</v>
      </c>
      <c r="AL81" s="2" t="s">
        <v>81</v>
      </c>
    </row>
    <row r="82" ht="15.75" customHeight="1">
      <c r="A82" s="2" t="s">
        <v>3114</v>
      </c>
      <c r="B82" s="12">
        <v>45089.0</v>
      </c>
      <c r="C82" s="2" t="str">
        <f>IFERROR(__xludf.DUMMYFUNCTION("IF(ISNUMBER(B82),TEXT(B82,""yyyy-MM-dd""),REGEXREPLACE(REGEXREPLACE(TO_TEXT(B82),""[^0-9a-zA-Z]+"",""-""),""[^0-9]*$"",""""))"),"2023-06-12")</f>
        <v>2023-06-12</v>
      </c>
      <c r="D82" s="2" t="s">
        <v>7980</v>
      </c>
      <c r="H82" s="10" t="s">
        <v>7980</v>
      </c>
      <c r="I82" s="2" t="s">
        <v>1645</v>
      </c>
      <c r="J82" s="26" t="str">
        <f t="array" ref="J82">IF(ISNA(XLOOKUP(I82,customers_clean!$A$2:$A$701,customers_clean!$A$2:$A$701, NA()) ),
   "❌ MISSING CUSTOMER", "✅")</f>
        <v>✅</v>
      </c>
      <c r="K82" s="2" t="str">
        <f t="array" ref="K82">XLOOKUP(I82,customers_clean!$A$2:$A$701,customers_clean!$C$2:$C$701)</f>
        <v>Adam Rodriguez</v>
      </c>
      <c r="L82" s="10" t="str">
        <f t="array" ref="L82">XLOOKUP(I82,customers_clean!$A$2:$A$701,customers_clean!$D$2:$D$701)</f>
        <v>Adam Rodriguez</v>
      </c>
      <c r="M82" s="2" t="str">
        <f t="array" ref="M82">XLOOKUP(I82,customers_clean!$A$2:$A$701,customers_clean!$I$2:$I$701)</f>
        <v>adam.rodriguez@company.co.uk</v>
      </c>
      <c r="N82" s="10" t="str">
        <f t="array" ref="N82">XLOOKUP(I82,customers_clean!$A$2:$A$701,customers_clean!$H$2:$H$701)</f>
        <v>adam.rodriguez@company.co.uk</v>
      </c>
      <c r="O82" s="9" t="str">
        <f>IFERROR(__xludf.DUMMYFUNCTION("IF(REGEXMATCH(TRIM(N82),""^[A-Za-z0-9._%+-]+@[A-Za-z0-9.-]+\.[A-Za-z]{2,}$""),""✅ Valid"",""❌ Invalid"")"),"✅ Valid")</f>
        <v>✅ Valid</v>
      </c>
      <c r="P82" s="2" t="str">
        <f t="array" ref="P82">XLOOKUP(I82,customers_clean!$A$2:$A$701,customers_clean!$K$2:$K$701)</f>
        <v>+44 31-99-94-89-82-3</v>
      </c>
      <c r="Q82" s="10" t="str">
        <f t="array" ref="Q82">XLOOKUP(I82,customers_clean!$A$2:$A$701,customers_clean!$N$2:$N$701)</f>
        <v>31999489823</v>
      </c>
      <c r="R82" s="9" t="str">
        <f t="array" ref="R82">XLOOKUP(I82,customers_clean!$A$2:$A$701,customers_clean!$Q$2:$Q$701)</f>
        <v>❌ INVALID</v>
      </c>
      <c r="S82" s="10" t="s">
        <v>114</v>
      </c>
      <c r="T82" s="2" t="s">
        <v>59</v>
      </c>
      <c r="U82" s="2" t="s">
        <v>480</v>
      </c>
      <c r="V82" s="2" t="s">
        <v>2417</v>
      </c>
      <c r="W82" s="9" t="str">
        <f t="array" ref="W82">IF(ISNA(XLOOKUP(V82,products_master_corrected!$A$2:$A$151,products_master_corrected!$A$2:$A$151, NA())),
    "❌ MISSING SKU", "✅")</f>
        <v>✅</v>
      </c>
      <c r="X82" s="2" t="s">
        <v>225</v>
      </c>
      <c r="Y82" s="2" t="s">
        <v>503</v>
      </c>
      <c r="Z82" s="10" t="str">
        <f>PROPER(TRIM(Y82))</f>
        <v>Monitors</v>
      </c>
      <c r="AA82" s="27">
        <v>2.0</v>
      </c>
      <c r="AB82" s="9" t="s">
        <v>8649</v>
      </c>
      <c r="AC82" s="28">
        <f t="array" ref="AC82">XLOOKUP(V82,products_master_corrected!$A$2:$A$151,products_master_corrected!$E$2:$E$151)</f>
        <v>45.55</v>
      </c>
      <c r="AD82" s="28">
        <f t="shared" si="13"/>
        <v>91.1</v>
      </c>
      <c r="AE82" s="28">
        <f t="array" ref="AE82">XLOOKUP(V82,products_master_corrected!$A$2:$A$151,products_master_corrected!$F$2:$F$151)</f>
        <v>45.55</v>
      </c>
      <c r="AF82" s="29">
        <f t="shared" si="14"/>
        <v>91.1</v>
      </c>
      <c r="AG82" s="30" t="s">
        <v>65</v>
      </c>
      <c r="AH82" s="2" t="s">
        <v>143</v>
      </c>
      <c r="AI82" s="10" t="s">
        <v>143</v>
      </c>
      <c r="AJ82" s="2" t="s">
        <v>294</v>
      </c>
      <c r="AK82" s="10" t="s">
        <v>80</v>
      </c>
      <c r="AL82" s="2" t="s">
        <v>51</v>
      </c>
    </row>
    <row r="83" ht="15.75" customHeight="1">
      <c r="A83" s="2" t="s">
        <v>4252</v>
      </c>
      <c r="B83" s="12">
        <v>44935.0</v>
      </c>
      <c r="C83" s="2" t="str">
        <f>IFERROR(__xludf.DUMMYFUNCTION("IF(ISNUMBER(B83),TEXT(B83,""yyyy-MM-dd""),REGEXREPLACE(REGEXREPLACE(TO_TEXT(B83),""[^0-9a-zA-Z]+"",""-""),""[^0-9]*$"",""""))"),"2023-01-09")</f>
        <v>2023-01-09</v>
      </c>
      <c r="D83" s="2" t="s">
        <v>7885</v>
      </c>
      <c r="H83" s="10" t="s">
        <v>7885</v>
      </c>
      <c r="I83" s="2" t="s">
        <v>1645</v>
      </c>
      <c r="J83" s="26" t="str">
        <f t="array" ref="J83">IF(ISNA(XLOOKUP(I83,customers_clean!$A$2:$A$701,customers_clean!$A$2:$A$701, NA()) ),
   "❌ MISSING CUSTOMER", "✅")</f>
        <v>✅</v>
      </c>
      <c r="K83" s="2" t="str">
        <f t="array" ref="K83">XLOOKUP(I83,customers_clean!$A$2:$A$701,customers_clean!$C$2:$C$701)</f>
        <v>Adam Rodriguez</v>
      </c>
      <c r="L83" s="10" t="str">
        <f t="array" ref="L83">XLOOKUP(I83,customers_clean!$A$2:$A$701,customers_clean!$D$2:$D$701)</f>
        <v>Adam Rodriguez</v>
      </c>
      <c r="M83" s="2" t="str">
        <f t="array" ref="M83">XLOOKUP(I83,customers_clean!$A$2:$A$701,customers_clean!$I$2:$I$701)</f>
        <v>adam.rodriguez@company.co.uk</v>
      </c>
      <c r="N83" s="10" t="str">
        <f t="array" ref="N83">XLOOKUP(I83,customers_clean!$A$2:$A$701,customers_clean!$H$2:$H$701)</f>
        <v>adam.rodriguez@company.co.uk</v>
      </c>
      <c r="O83" s="9" t="str">
        <f>IFERROR(__xludf.DUMMYFUNCTION("IF(REGEXMATCH(TRIM(N83),""^[A-Za-z0-9._%+-]+@[A-Za-z0-9.-]+\.[A-Za-z]{2,}$""),""✅ Valid"",""❌ Invalid"")"),"✅ Valid")</f>
        <v>✅ Valid</v>
      </c>
      <c r="P83" s="2" t="str">
        <f t="array" ref="P83">XLOOKUP(I83,customers_clean!$A$2:$A$701,customers_clean!$K$2:$K$701)</f>
        <v>+44 31-99-94-89-82-3</v>
      </c>
      <c r="Q83" s="10" t="str">
        <f t="array" ref="Q83">XLOOKUP(I83,customers_clean!$A$2:$A$701,customers_clean!$N$2:$N$701)</f>
        <v>31999489823</v>
      </c>
      <c r="R83" s="9" t="str">
        <f t="array" ref="R83">XLOOKUP(I83,customers_clean!$A$2:$A$701,customers_clean!$Q$2:$Q$701)</f>
        <v>❌ INVALID</v>
      </c>
      <c r="S83" s="10" t="s">
        <v>114</v>
      </c>
      <c r="T83" s="2" t="s">
        <v>323</v>
      </c>
      <c r="U83" s="2" t="s">
        <v>116</v>
      </c>
      <c r="V83" s="2" t="s">
        <v>2033</v>
      </c>
      <c r="W83" s="9" t="str">
        <f t="array" ref="W83">IF(ISNA(XLOOKUP(V83,products_master_corrected!$A$2:$A$151,products_master_corrected!$A$2:$A$151, NA())),
    "❌ MISSING SKU", "✅")</f>
        <v>✅</v>
      </c>
      <c r="X83" s="2" t="s">
        <v>2034</v>
      </c>
      <c r="Y83" s="2" t="s">
        <v>1016</v>
      </c>
      <c r="Z83" s="10" t="s">
        <v>355</v>
      </c>
      <c r="AA83" s="27">
        <v>1.0</v>
      </c>
      <c r="AB83" s="9" t="s">
        <v>8649</v>
      </c>
      <c r="AC83" s="28">
        <f t="array" ref="AC83">XLOOKUP(V83,products_master_corrected!$A$2:$A$151,products_master_corrected!$E$2:$E$151)</f>
        <v>938.62</v>
      </c>
      <c r="AD83" s="28">
        <f t="shared" si="13"/>
        <v>938.62</v>
      </c>
      <c r="AE83" s="28">
        <f t="array" ref="AE83">XLOOKUP(V83,products_master_corrected!$A$2:$A$151,products_master_corrected!$F$2:$F$151)</f>
        <v>938.62</v>
      </c>
      <c r="AF83" s="29">
        <f t="shared" si="14"/>
        <v>938.62</v>
      </c>
      <c r="AG83" s="30" t="s">
        <v>65</v>
      </c>
      <c r="AH83" s="2" t="s">
        <v>49</v>
      </c>
      <c r="AI83" s="10" t="s">
        <v>49</v>
      </c>
      <c r="AJ83" s="2" t="s">
        <v>251</v>
      </c>
      <c r="AK83" s="10" t="s">
        <v>192</v>
      </c>
      <c r="AL83" s="2" t="s">
        <v>67</v>
      </c>
    </row>
    <row r="84" ht="15.75" customHeight="1">
      <c r="A84" s="2" t="s">
        <v>1643</v>
      </c>
      <c r="B84" s="12" t="s">
        <v>1644</v>
      </c>
      <c r="C84" s="2" t="str">
        <f>IFERROR(__xludf.DUMMYFUNCTION("IF(ISNUMBER(B84),TEXT(B84,""yyyy-MM-dd""),REGEXREPLACE(REGEXREPLACE(TO_TEXT(B84),""[^0-9a-zA-Z]+"",""-""),""[^0-9]*$"",""""))"),"11-02-2023")</f>
        <v>11-02-2023</v>
      </c>
      <c r="D84" s="2" t="s">
        <v>8699</v>
      </c>
      <c r="H84" s="10" t="s">
        <v>8699</v>
      </c>
      <c r="I84" s="2" t="s">
        <v>1645</v>
      </c>
      <c r="J84" s="26" t="str">
        <f t="array" ref="J84">IF(ISNA(XLOOKUP(I84,customers_clean!$A$2:$A$701,customers_clean!$A$2:$A$701, NA()) ),
   "❌ MISSING CUSTOMER", "✅")</f>
        <v>✅</v>
      </c>
      <c r="K84" s="2" t="str">
        <f t="array" ref="K84">XLOOKUP(I84,customers_clean!$A$2:$A$701,customers_clean!$C$2:$C$701)</f>
        <v>Adam Rodriguez</v>
      </c>
      <c r="L84" s="10" t="str">
        <f t="array" ref="L84">XLOOKUP(I84,customers_clean!$A$2:$A$701,customers_clean!$D$2:$D$701)</f>
        <v>Adam Rodriguez</v>
      </c>
      <c r="M84" s="2" t="str">
        <f t="array" ref="M84">XLOOKUP(I84,customers_clean!$A$2:$A$701,customers_clean!$I$2:$I$701)</f>
        <v>adam.rodriguez@company.co.uk</v>
      </c>
      <c r="N84" s="10" t="str">
        <f t="array" ref="N84">XLOOKUP(I84,customers_clean!$A$2:$A$701,customers_clean!$H$2:$H$701)</f>
        <v>adam.rodriguez@company.co.uk</v>
      </c>
      <c r="O84" s="9" t="str">
        <f>IFERROR(__xludf.DUMMYFUNCTION("IF(REGEXMATCH(TRIM(N84),""^[A-Za-z0-9._%+-]+@[A-Za-z0-9.-]+\.[A-Za-z]{2,}$""),""✅ Valid"",""❌ Invalid"")"),"✅ Valid")</f>
        <v>✅ Valid</v>
      </c>
      <c r="P84" s="2" t="str">
        <f t="array" ref="P84">XLOOKUP(I84,customers_clean!$A$2:$A$701,customers_clean!$K$2:$K$701)</f>
        <v>+44 31-99-94-89-82-3</v>
      </c>
      <c r="Q84" s="10" t="str">
        <f t="array" ref="Q84">XLOOKUP(I84,customers_clean!$A$2:$A$701,customers_clean!$N$2:$N$701)</f>
        <v>31999489823</v>
      </c>
      <c r="R84" s="9" t="str">
        <f t="array" ref="R84">XLOOKUP(I84,customers_clean!$A$2:$A$701,customers_clean!$Q$2:$Q$701)</f>
        <v>❌ INVALID</v>
      </c>
      <c r="S84" s="10" t="s">
        <v>114</v>
      </c>
      <c r="T84" s="2" t="s">
        <v>42</v>
      </c>
      <c r="U84" s="2" t="s">
        <v>103</v>
      </c>
      <c r="V84" s="2" t="s">
        <v>1114</v>
      </c>
      <c r="W84" s="9" t="str">
        <f t="array" ref="W84">IF(ISNA(XLOOKUP(V84,products_master_corrected!$A$2:$A$151,products_master_corrected!$A$2:$A$151, NA())),
    "❌ MISSING SKU", "✅")</f>
        <v>✅</v>
      </c>
      <c r="X84" s="2" t="s">
        <v>1147</v>
      </c>
      <c r="Y84" s="2" t="s">
        <v>248</v>
      </c>
      <c r="Z84" s="10" t="s">
        <v>248</v>
      </c>
      <c r="AA84" s="27">
        <v>1.0</v>
      </c>
      <c r="AB84" s="9" t="s">
        <v>8649</v>
      </c>
      <c r="AC84" s="28">
        <f t="array" ref="AC84">XLOOKUP(V84,products_master_corrected!$A$2:$A$151,products_master_corrected!$E$2:$E$151)</f>
        <v>116.16</v>
      </c>
      <c r="AD84" s="28">
        <f t="shared" si="13"/>
        <v>116.16</v>
      </c>
      <c r="AE84" s="28">
        <f t="array" ref="AE84">XLOOKUP(V84,products_master_corrected!$A$2:$A$151,products_master_corrected!$F$2:$F$151)</f>
        <v>116.16</v>
      </c>
      <c r="AF84" s="29">
        <f t="shared" si="14"/>
        <v>116.16</v>
      </c>
      <c r="AG84" s="30" t="s">
        <v>65</v>
      </c>
      <c r="AH84" s="2" t="s">
        <v>33</v>
      </c>
      <c r="AI84" s="10" t="s">
        <v>181</v>
      </c>
      <c r="AJ84" s="2" t="s">
        <v>1650</v>
      </c>
      <c r="AK84" s="10" t="s">
        <v>192</v>
      </c>
      <c r="AL84" s="2" t="s">
        <v>67</v>
      </c>
    </row>
    <row r="85" ht="15.75" customHeight="1">
      <c r="A85" s="2" t="s">
        <v>3951</v>
      </c>
      <c r="B85" s="12" t="s">
        <v>3952</v>
      </c>
      <c r="C85" s="2" t="str">
        <f>IFERROR(__xludf.DUMMYFUNCTION("IF(ISNUMBER(B85),TEXT(B85,""yyyy-MM-dd""),REGEXREPLACE(REGEXREPLACE(TO_TEXT(B85),""[^0-9a-zA-Z]+"",""-""),""[^0-9]*$"",""""))"),"07-19-2025")</f>
        <v>07-19-2025</v>
      </c>
      <c r="D85" s="2" t="str">
        <f>TEXT(C85,"yyyy-MM-dd")</f>
        <v>07-19-2025</v>
      </c>
      <c r="E85" s="2" t="s">
        <v>8700</v>
      </c>
      <c r="H85" s="10" t="s">
        <v>8700</v>
      </c>
      <c r="I85" s="2" t="s">
        <v>1481</v>
      </c>
      <c r="J85" s="26" t="str">
        <f t="array" ref="J85">IF(ISNA(XLOOKUP(I85,customers_clean!$A$2:$A$701,customers_clean!$A$2:$A$701, NA()) ),
   "❌ MISSING CUSTOMER", "✅")</f>
        <v>✅</v>
      </c>
      <c r="K85" s="2" t="str">
        <f t="array" ref="K85">XLOOKUP(I85,customers_clean!$A$2:$A$701,customers_clean!$C$2:$C$701)</f>
        <v> Hanna Muller</v>
      </c>
      <c r="L85" s="10" t="str">
        <f t="array" ref="L85">XLOOKUP(I85,customers_clean!$A$2:$A$701,customers_clean!$D$2:$D$701)</f>
        <v>Hanna Muller</v>
      </c>
      <c r="M85" s="2" t="str">
        <f t="array" ref="M85">XLOOKUP(I85,customers_clean!$A$2:$A$701,customers_clean!$I$2:$I$701)</f>
        <v> hanna.muller@shop.io</v>
      </c>
      <c r="N85" s="10" t="str">
        <f t="array" ref="N85">XLOOKUP(I85,customers_clean!$A$2:$A$701,customers_clean!$H$2:$H$701)</f>
        <v>hanna.muller@shop.io</v>
      </c>
      <c r="O85" s="9" t="str">
        <f>IFERROR(__xludf.DUMMYFUNCTION("IF(REGEXMATCH(TRIM(N85),""^[A-Za-z0-9._%+-]+@[A-Za-z0-9.-]+\.[A-Za-z]{2,}$""),""✅ Valid"",""❌ Invalid"")"),"✅ Valid")</f>
        <v>✅ Valid</v>
      </c>
      <c r="P85" s="2" t="str">
        <f t="array" ref="P85">XLOOKUP(I85,customers_clean!$A$2:$A$701,customers_clean!$K$2:$K$701)</f>
        <v>+353 415 419 920 7</v>
      </c>
      <c r="Q85" s="10" t="str">
        <f t="array" ref="Q85">XLOOKUP(I85,customers_clean!$A$2:$A$701,customers_clean!$N$2:$N$701)</f>
        <v>4154199207</v>
      </c>
      <c r="R85" s="9" t="str">
        <f t="array" ref="R85">XLOOKUP(I85,customers_clean!$A$2:$A$701,customers_clean!$Q$2:$Q$701)</f>
        <v>❌ INVALID</v>
      </c>
      <c r="S85" s="10" t="s">
        <v>88</v>
      </c>
      <c r="T85" s="2" t="s">
        <v>42</v>
      </c>
      <c r="U85" s="2" t="s">
        <v>522</v>
      </c>
      <c r="V85" s="2" t="s">
        <v>189</v>
      </c>
      <c r="W85" s="9" t="str">
        <f t="array" ref="W85">IF(ISNA(XLOOKUP(V85,products_master_corrected!$A$2:$A$151,products_master_corrected!$A$2:$A$151, NA())),
    "❌ MISSING SKU", "✅")</f>
        <v>✅</v>
      </c>
      <c r="X85" s="2" t="s">
        <v>190</v>
      </c>
      <c r="Y85" s="2" t="s">
        <v>167</v>
      </c>
      <c r="Z85" s="10" t="str">
        <f>PROPER(TRIM(Y85))</f>
        <v>Monitors</v>
      </c>
      <c r="AA85" s="27">
        <v>2.0</v>
      </c>
      <c r="AB85" s="9" t="s">
        <v>8649</v>
      </c>
      <c r="AC85" s="28">
        <f t="array" ref="AC85">XLOOKUP(V85,products_master_corrected!$A$2:$A$151,products_master_corrected!$E$2:$E$151)</f>
        <v>57.69</v>
      </c>
      <c r="AD85" s="28">
        <f t="shared" si="13"/>
        <v>115.38</v>
      </c>
      <c r="AE85" s="28">
        <f t="array" ref="AE85">XLOOKUP(V85,products_master_corrected!$A$2:$A$151,products_master_corrected!$I$2:$I$151)</f>
        <v>63.6</v>
      </c>
      <c r="AF85" s="29">
        <f t="shared" si="14"/>
        <v>127.2</v>
      </c>
      <c r="AG85" s="32" t="s">
        <v>8660</v>
      </c>
      <c r="AH85" s="2" t="s">
        <v>143</v>
      </c>
      <c r="AI85" s="10" t="s">
        <v>143</v>
      </c>
      <c r="AJ85" s="2" t="s">
        <v>169</v>
      </c>
      <c r="AK85" s="10" t="s">
        <v>261</v>
      </c>
      <c r="AL85" s="2" t="s">
        <v>81</v>
      </c>
    </row>
    <row r="86" ht="15.75" customHeight="1">
      <c r="A86" s="2" t="s">
        <v>4526</v>
      </c>
      <c r="B86" s="12">
        <v>45760.0</v>
      </c>
      <c r="C86" s="2" t="str">
        <f>IFERROR(__xludf.DUMMYFUNCTION("IF(ISNUMBER(B86),TEXT(B86,""yyyy-MM-dd""),REGEXREPLACE(REGEXREPLACE(TO_TEXT(B86),""[^0-9a-zA-Z]+"",""-""),""[^0-9]*$"",""""))"),"2025-04-13")</f>
        <v>2025-04-13</v>
      </c>
      <c r="D86" s="2" t="s">
        <v>8689</v>
      </c>
      <c r="H86" s="10" t="s">
        <v>8689</v>
      </c>
      <c r="I86" s="2" t="s">
        <v>1481</v>
      </c>
      <c r="J86" s="26" t="str">
        <f t="array" ref="J86">IF(ISNA(XLOOKUP(I86,customers_clean!$A$2:$A$701,customers_clean!$A$2:$A$701, NA()) ),
   "❌ MISSING CUSTOMER", "✅")</f>
        <v>✅</v>
      </c>
      <c r="K86" s="2" t="str">
        <f t="array" ref="K86">XLOOKUP(I86,customers_clean!$A$2:$A$701,customers_clean!$C$2:$C$701)</f>
        <v> Hanna Muller</v>
      </c>
      <c r="L86" s="10" t="str">
        <f t="array" ref="L86">XLOOKUP(I86,customers_clean!$A$2:$A$701,customers_clean!$D$2:$D$701)</f>
        <v>Hanna Muller</v>
      </c>
      <c r="M86" s="2" t="str">
        <f t="array" ref="M86">XLOOKUP(I86,customers_clean!$A$2:$A$701,customers_clean!$I$2:$I$701)</f>
        <v> hanna.muller@shop.io</v>
      </c>
      <c r="N86" s="10" t="str">
        <f t="array" ref="N86">XLOOKUP(I86,customers_clean!$A$2:$A$701,customers_clean!$H$2:$H$701)</f>
        <v>hanna.muller@shop.io</v>
      </c>
      <c r="O86" s="9" t="str">
        <f>IFERROR(__xludf.DUMMYFUNCTION("IF(REGEXMATCH(TRIM(N86),""^[A-Za-z0-9._%+-]+@[A-Za-z0-9.-]+\.[A-Za-z]{2,}$""),""✅ Valid"",""❌ Invalid"")"),"✅ Valid")</f>
        <v>✅ Valid</v>
      </c>
      <c r="P86" s="2" t="str">
        <f t="array" ref="P86">XLOOKUP(I86,customers_clean!$A$2:$A$701,customers_clean!$K$2:$K$701)</f>
        <v>+353 415 419 920 7</v>
      </c>
      <c r="Q86" s="10" t="str">
        <f t="array" ref="Q86">XLOOKUP(I86,customers_clean!$A$2:$A$701,customers_clean!$N$2:$N$701)</f>
        <v>4154199207</v>
      </c>
      <c r="R86" s="9" t="str">
        <f t="array" ref="R86">XLOOKUP(I86,customers_clean!$A$2:$A$701,customers_clean!$Q$2:$Q$701)</f>
        <v>❌ INVALID</v>
      </c>
      <c r="S86" s="10" t="s">
        <v>88</v>
      </c>
      <c r="T86" s="2" t="s">
        <v>26</v>
      </c>
      <c r="U86" s="2" t="s">
        <v>480</v>
      </c>
      <c r="V86" s="2" t="s">
        <v>746</v>
      </c>
      <c r="W86" s="9" t="str">
        <f t="array" ref="W86">IF(ISNA(XLOOKUP(V86,products_master_corrected!$A$2:$A$151,products_master_corrected!$A$2:$A$151, NA())),
    "❌ MISSING SKU", "✅")</f>
        <v>✅</v>
      </c>
      <c r="X86" s="2" t="s">
        <v>747</v>
      </c>
      <c r="Y86" s="2" t="s">
        <v>748</v>
      </c>
      <c r="Z86" s="10" t="s">
        <v>355</v>
      </c>
      <c r="AA86" s="27">
        <v>1.0</v>
      </c>
      <c r="AB86" s="9" t="s">
        <v>8649</v>
      </c>
      <c r="AC86" s="28">
        <f t="array" ref="AC86">XLOOKUP(V86,products_master_corrected!$A$2:$A$151,products_master_corrected!$E$2:$E$151)</f>
        <v>346</v>
      </c>
      <c r="AD86" s="28">
        <f t="shared" si="13"/>
        <v>346</v>
      </c>
      <c r="AE86" s="28">
        <f t="array" ref="AE86">XLOOKUP(V86,products_master_corrected!$A$2:$A$151,products_master_corrected!$I$2:$I$151)</f>
        <v>381.43</v>
      </c>
      <c r="AF86" s="29">
        <f t="shared" si="14"/>
        <v>381.43</v>
      </c>
      <c r="AG86" s="32" t="s">
        <v>8660</v>
      </c>
      <c r="AH86" s="2" t="s">
        <v>96</v>
      </c>
      <c r="AI86" s="10" t="s">
        <v>143</v>
      </c>
      <c r="AJ86" s="2" t="s">
        <v>4528</v>
      </c>
      <c r="AK86" s="10" t="s">
        <v>192</v>
      </c>
      <c r="AL86" s="2" t="s">
        <v>81</v>
      </c>
    </row>
    <row r="87" ht="15.75" customHeight="1">
      <c r="A87" s="2" t="s">
        <v>1479</v>
      </c>
      <c r="B87" s="12" t="s">
        <v>1480</v>
      </c>
      <c r="C87" s="2" t="str">
        <f>IFERROR(__xludf.DUMMYFUNCTION("IF(ISNUMBER(B87),TEXT(B87,""yyyy-MM-dd""),REGEXREPLACE(REGEXREPLACE(TO_TEXT(B87),""[^0-9a-zA-Z]+"",""-""),""[^0-9]*$"",""""))"),"45815-03-31")</f>
        <v>45815-03-31</v>
      </c>
      <c r="D87" s="2" t="str">
        <f>TEXT(C87,"yyyy-MM-dd")</f>
        <v>45815-03-31</v>
      </c>
      <c r="E87" s="25" t="str">
        <f>CONCATENATE(LEFT(D87,5))</f>
        <v>45815</v>
      </c>
      <c r="F87" s="12">
        <f>DATE(1900,1,1) + E87 - 1</f>
        <v>45816</v>
      </c>
      <c r="G87" s="2" t="s">
        <v>733</v>
      </c>
      <c r="H87" s="10" t="s">
        <v>733</v>
      </c>
      <c r="I87" s="2" t="s">
        <v>1481</v>
      </c>
      <c r="J87" s="26" t="str">
        <f t="array" ref="J87">IF(ISNA(XLOOKUP(I87,customers_clean!$A$2:$A$701,customers_clean!$A$2:$A$701, NA()) ),
   "❌ MISSING CUSTOMER", "✅")</f>
        <v>✅</v>
      </c>
      <c r="K87" s="2" t="str">
        <f t="array" ref="K87">XLOOKUP(I87,customers_clean!$A$2:$A$701,customers_clean!$C$2:$C$701)</f>
        <v> Hanna Muller</v>
      </c>
      <c r="L87" s="10" t="str">
        <f t="array" ref="L87">XLOOKUP(I87,customers_clean!$A$2:$A$701,customers_clean!$D$2:$D$701)</f>
        <v>Hanna Muller</v>
      </c>
      <c r="M87" s="2" t="str">
        <f t="array" ref="M87">XLOOKUP(I87,customers_clean!$A$2:$A$701,customers_clean!$I$2:$I$701)</f>
        <v> hanna.muller@shop.io</v>
      </c>
      <c r="N87" s="10" t="str">
        <f t="array" ref="N87">XLOOKUP(I87,customers_clean!$A$2:$A$701,customers_clean!$H$2:$H$701)</f>
        <v>hanna.muller@shop.io</v>
      </c>
      <c r="O87" s="9" t="str">
        <f>IFERROR(__xludf.DUMMYFUNCTION("IF(REGEXMATCH(TRIM(N87),""^[A-Za-z0-9._%+-]+@[A-Za-z0-9.-]+\.[A-Za-z]{2,}$""),""✅ Valid"",""❌ Invalid"")"),"✅ Valid")</f>
        <v>✅ Valid</v>
      </c>
      <c r="P87" s="2" t="str">
        <f t="array" ref="P87">XLOOKUP(I87,customers_clean!$A$2:$A$701,customers_clean!$K$2:$K$701)</f>
        <v>+353 415 419 920 7</v>
      </c>
      <c r="Q87" s="10" t="str">
        <f t="array" ref="Q87">XLOOKUP(I87,customers_clean!$A$2:$A$701,customers_clean!$N$2:$N$701)</f>
        <v>4154199207</v>
      </c>
      <c r="R87" s="9" t="str">
        <f t="array" ref="R87">XLOOKUP(I87,customers_clean!$A$2:$A$701,customers_clean!$Q$2:$Q$701)</f>
        <v>❌ INVALID</v>
      </c>
      <c r="S87" s="10" t="s">
        <v>88</v>
      </c>
      <c r="T87" s="2" t="s">
        <v>802</v>
      </c>
      <c r="U87" s="2" t="s">
        <v>289</v>
      </c>
      <c r="V87" s="2" t="s">
        <v>61</v>
      </c>
      <c r="W87" s="9" t="str">
        <f t="array" ref="W87">IF(ISNA(XLOOKUP(V87,products_master_corrected!$A$2:$A$151,products_master_corrected!$A$2:$A$151, NA())),
    "❌ MISSING SKU", "✅")</f>
        <v>✅</v>
      </c>
      <c r="X87" s="2" t="s">
        <v>62</v>
      </c>
      <c r="Y87" s="2" t="s">
        <v>63</v>
      </c>
      <c r="Z87" s="10" t="s">
        <v>63</v>
      </c>
      <c r="AA87" s="27">
        <v>3.0</v>
      </c>
      <c r="AB87" s="9" t="s">
        <v>8649</v>
      </c>
      <c r="AC87" s="28">
        <f t="array" ref="AC87">XLOOKUP(V87,products_master_corrected!$A$2:$A$151,products_master_corrected!$E$2:$E$151)</f>
        <v>62.81</v>
      </c>
      <c r="AD87" s="28">
        <f t="shared" si="13"/>
        <v>188.43</v>
      </c>
      <c r="AE87" s="28">
        <f t="array" ref="AE87">XLOOKUP(V87,products_master_corrected!$A$2:$A$151,products_master_corrected!$I$2:$I$151)</f>
        <v>69.24</v>
      </c>
      <c r="AF87" s="29">
        <f t="shared" si="14"/>
        <v>207.72</v>
      </c>
      <c r="AG87" s="32" t="s">
        <v>8660</v>
      </c>
      <c r="AH87" s="2" t="s">
        <v>505</v>
      </c>
      <c r="AI87" s="10" t="s">
        <v>181</v>
      </c>
      <c r="AJ87" s="2" t="s">
        <v>169</v>
      </c>
      <c r="AK87" s="10" t="s">
        <v>261</v>
      </c>
      <c r="AL87" s="2" t="s">
        <v>81</v>
      </c>
    </row>
    <row r="88" ht="15.75" customHeight="1">
      <c r="A88" s="2" t="s">
        <v>5076</v>
      </c>
      <c r="B88" s="12" t="s">
        <v>5077</v>
      </c>
      <c r="C88" s="2" t="str">
        <f>IFERROR(__xludf.DUMMYFUNCTION("IF(ISNUMBER(B88),TEXT(B88,""yyyy-MM-dd""),REGEXREPLACE(REGEXREPLACE(TO_TEXT(B88),""[^0-9a-zA-Z]+"",""-""),""[^0-9]*$"",""""))"),"19-10-2023")</f>
        <v>19-10-2023</v>
      </c>
      <c r="D88" s="2" t="s">
        <v>5827</v>
      </c>
      <c r="H88" s="10" t="s">
        <v>5827</v>
      </c>
      <c r="I88" s="2" t="s">
        <v>5078</v>
      </c>
      <c r="J88" s="26" t="str">
        <f t="array" ref="J88">IF(ISNA(XLOOKUP(I88,customers_clean!$A$2:$A$701,customers_clean!$A$2:$A$701, NA()) ),
   "❌ MISSING CUSTOMER", "✅")</f>
        <v>✅</v>
      </c>
      <c r="K88" s="2" t="str">
        <f t="array" ref="K88">XLOOKUP(I88,customers_clean!$A$2:$A$701,customers_clean!$C$2:$C$701)</f>
        <v>Gabe Kowalczyk</v>
      </c>
      <c r="L88" s="10" t="str">
        <f t="array" ref="L88">XLOOKUP(I88,customers_clean!$A$2:$A$701,customers_clean!$D$2:$D$701)</f>
        <v>Gabe Kowalczyk</v>
      </c>
      <c r="M88" s="2" t="str">
        <f t="array" ref="M88">XLOOKUP(I88,customers_clean!$A$2:$A$701,customers_clean!$I$2:$I$701)</f>
        <v>gabe.kowalczyk@company.co.uk </v>
      </c>
      <c r="N88" s="10" t="str">
        <f t="array" ref="N88">XLOOKUP(I88,customers_clean!$A$2:$A$701,customers_clean!$H$2:$H$701)</f>
        <v>gabe.kowalczyk@company.co.uk</v>
      </c>
      <c r="O88" s="9" t="str">
        <f>IFERROR(__xludf.DUMMYFUNCTION("IF(REGEXMATCH(TRIM(N88),""^[A-Za-z0-9._%+-]+@[A-Za-z0-9.-]+\.[A-Za-z]{2,}$""),""✅ Valid"",""❌ Invalid"")"),"✅ Valid")</f>
        <v>✅ Valid</v>
      </c>
      <c r="P88" s="2" t="str">
        <f t="array" ref="P88">XLOOKUP(I88,customers_clean!$A$2:$A$701,customers_clean!$K$2:$K$701)</f>
        <v>+44 0226 8109 4</v>
      </c>
      <c r="Q88" s="10" t="str">
        <f t="array" ref="Q88">XLOOKUP(I88,customers_clean!$A$2:$A$701,customers_clean!$N$2:$N$701)</f>
        <v>022681094</v>
      </c>
      <c r="R88" s="9" t="str">
        <f t="array" ref="R88">XLOOKUP(I88,customers_clean!$A$2:$A$701,customers_clean!$Q$2:$Q$701)</f>
        <v>❌ INVALID</v>
      </c>
      <c r="S88" s="10" t="s">
        <v>114</v>
      </c>
      <c r="T88" s="2" t="s">
        <v>223</v>
      </c>
      <c r="U88" s="2" t="s">
        <v>5081</v>
      </c>
      <c r="V88" s="2" t="s">
        <v>1358</v>
      </c>
      <c r="W88" s="9" t="str">
        <f t="array" ref="W88">IF(ISNA(XLOOKUP(V88,products_master_corrected!$A$2:$A$151,products_master_corrected!$A$2:$A$151, NA())),
    "❌ MISSING SKU", "✅")</f>
        <v>✅</v>
      </c>
      <c r="X88" s="2" t="s">
        <v>259</v>
      </c>
      <c r="Y88" s="2" t="s">
        <v>941</v>
      </c>
      <c r="Z88" s="10" t="str">
        <f>PROPER(TRIM(Y88))</f>
        <v>Monitors</v>
      </c>
      <c r="AA88" s="27"/>
      <c r="AB88" s="9" t="s">
        <v>8677</v>
      </c>
      <c r="AC88" s="34"/>
      <c r="AD88" s="34"/>
      <c r="AE88" s="34"/>
      <c r="AF88" s="35"/>
      <c r="AG88" s="36" t="s">
        <v>48</v>
      </c>
      <c r="AH88" s="2" t="s">
        <v>370</v>
      </c>
      <c r="AI88" s="10" t="s">
        <v>143</v>
      </c>
      <c r="AJ88" s="2" t="s">
        <v>251</v>
      </c>
      <c r="AK88" s="10" t="s">
        <v>192</v>
      </c>
    </row>
    <row r="89" ht="15.75" customHeight="1">
      <c r="A89" s="2" t="s">
        <v>5495</v>
      </c>
      <c r="B89" s="12" t="s">
        <v>5496</v>
      </c>
      <c r="C89" s="2" t="str">
        <f>IFERROR(__xludf.DUMMYFUNCTION("IF(ISNUMBER(B89),TEXT(B89,""yyyy-MM-dd""),REGEXREPLACE(REGEXREPLACE(TO_TEXT(B89),""[^0-9a-zA-Z]+"",""-""),""[^0-9]*$"",""""))"),"45146-11-19")</f>
        <v>45146-11-19</v>
      </c>
      <c r="D89" s="2" t="str">
        <f>TEXT(C89,"yyyy-MM-dd")</f>
        <v>45146-11-19</v>
      </c>
      <c r="E89" s="25" t="str">
        <f>CONCATENATE(LEFT(D89,5))</f>
        <v>45146</v>
      </c>
      <c r="F89" s="12">
        <f>DATE(1900,1,1) + E89 - 1</f>
        <v>45147</v>
      </c>
      <c r="G89" s="2" t="s">
        <v>7767</v>
      </c>
      <c r="H89" s="10" t="s">
        <v>7767</v>
      </c>
      <c r="I89" s="2" t="s">
        <v>5497</v>
      </c>
      <c r="J89" s="26" t="str">
        <f t="array" ref="J89">IF(ISNA(XLOOKUP(I89,customers_clean!$A$2:$A$701,customers_clean!$A$2:$A$701, NA()) ),
   "❌ MISSING CUSTOMER", "✅")</f>
        <v>✅</v>
      </c>
      <c r="K89" s="2" t="str">
        <f t="array" ref="K89">XLOOKUP(I89,customers_clean!$A$2:$A$701,customers_clean!$C$2:$C$701)</f>
        <v>Omar Novak</v>
      </c>
      <c r="L89" s="10" t="str">
        <f t="array" ref="L89">XLOOKUP(I89,customers_clean!$A$2:$A$701,customers_clean!$D$2:$D$701)</f>
        <v>Omar Novak</v>
      </c>
      <c r="M89" s="2" t="str">
        <f t="array" ref="M89">XLOOKUP(I89,customers_clean!$A$2:$A$701,customers_clean!$I$2:$I$701)</f>
        <v>omar.novak@yahoo.com</v>
      </c>
      <c r="N89" s="10" t="str">
        <f t="array" ref="N89">XLOOKUP(I89,customers_clean!$A$2:$A$701,customers_clean!$H$2:$H$701)</f>
        <v>omar.novak@yahoo.com</v>
      </c>
      <c r="O89" s="9" t="str">
        <f>IFERROR(__xludf.DUMMYFUNCTION("IF(REGEXMATCH(TRIM(N89),""^[A-Za-z0-9._%+-]+@[A-Za-z0-9.-]+\.[A-Za-z]{2,}$""),""✅ Valid"",""❌ Invalid"")"),"✅ Valid")</f>
        <v>✅ Valid</v>
      </c>
      <c r="P89" s="2" t="str">
        <f t="array" ref="P89">XLOOKUP(I89,customers_clean!$A$2:$A$701,customers_clean!$K$2:$K$701)</f>
        <v>+175558712905</v>
      </c>
      <c r="Q89" s="10" t="str">
        <f t="array" ref="Q89">XLOOKUP(I89,customers_clean!$A$2:$A$701,customers_clean!$N$2:$N$701)</f>
        <v>75558712905</v>
      </c>
      <c r="R89" s="9" t="str">
        <f t="array" ref="R89">XLOOKUP(I89,customers_clean!$A$2:$A$701,customers_clean!$Q$2:$Q$701)</f>
        <v>❌ INVALID</v>
      </c>
      <c r="S89" s="10" t="s">
        <v>448</v>
      </c>
      <c r="T89" s="2" t="s">
        <v>59</v>
      </c>
      <c r="U89" s="2" t="s">
        <v>289</v>
      </c>
      <c r="V89" s="2" t="s">
        <v>1632</v>
      </c>
      <c r="W89" s="9" t="str">
        <f t="array" ref="W89">IF(ISNA(XLOOKUP(V89,products_master_corrected!$A$2:$A$151,products_master_corrected!$A$2:$A$151, NA())),
    "❌ MISSING SKU", "✅")</f>
        <v>✅</v>
      </c>
      <c r="X89" s="2" t="s">
        <v>994</v>
      </c>
      <c r="Y89" s="2" t="s">
        <v>742</v>
      </c>
      <c r="Z89" s="10" t="s">
        <v>355</v>
      </c>
      <c r="AA89" s="27">
        <v>1.0</v>
      </c>
      <c r="AB89" s="9" t="s">
        <v>8649</v>
      </c>
      <c r="AC89" s="28">
        <f t="array" ref="AC89">XLOOKUP(V89,products_master_corrected!$A$2:$A$151,products_master_corrected!$E$2:$E$151)</f>
        <v>362.35</v>
      </c>
      <c r="AD89" s="28">
        <f t="shared" ref="AD89:AD106" si="15">AA89*AC89</f>
        <v>362.35</v>
      </c>
      <c r="AE89" s="28">
        <f t="array" ref="AE89">XLOOKUP(V89,products_master_corrected!$A$2:$A$151,products_master_corrected!$M$2:$M$151)</f>
        <v>438.3</v>
      </c>
      <c r="AF89" s="29">
        <f t="shared" ref="AF89:AF106" si="16">AA89*AE89</f>
        <v>438.3</v>
      </c>
      <c r="AG89" s="30" t="s">
        <v>48</v>
      </c>
      <c r="AH89" s="2" t="s">
        <v>66</v>
      </c>
      <c r="AI89" s="10" t="s">
        <v>66</v>
      </c>
      <c r="AJ89" s="2" t="s">
        <v>1312</v>
      </c>
      <c r="AK89" s="10" t="s">
        <v>818</v>
      </c>
    </row>
    <row r="90" ht="15.75" customHeight="1">
      <c r="A90" s="2" t="s">
        <v>4561</v>
      </c>
      <c r="B90" s="12">
        <v>45114.0</v>
      </c>
      <c r="C90" s="2" t="str">
        <f>IFERROR(__xludf.DUMMYFUNCTION("IF(ISNUMBER(B90),TEXT(B90,""yyyy-MM-dd""),REGEXREPLACE(REGEXREPLACE(TO_TEXT(B90),""[^0-9a-zA-Z]+"",""-""),""[^0-9]*$"",""""))"),"2023-07-07")</f>
        <v>2023-07-07</v>
      </c>
      <c r="D90" s="2" t="s">
        <v>8701</v>
      </c>
      <c r="H90" s="10" t="s">
        <v>8701</v>
      </c>
      <c r="I90" s="2" t="s">
        <v>1534</v>
      </c>
      <c r="J90" s="26" t="str">
        <f t="array" ref="J90">IF(ISNA(XLOOKUP(I90,customers_clean!$A$2:$A$701,customers_clean!$A$2:$A$701, NA()) ),
   "❌ MISSING CUSTOMER", "✅")</f>
        <v>✅</v>
      </c>
      <c r="K90" s="2" t="str">
        <f t="array" ref="K90">XLOOKUP(I90,customers_clean!$A$2:$A$701,customers_clean!$C$2:$C$701)</f>
        <v>Zack Kowalczyk</v>
      </c>
      <c r="L90" s="10" t="str">
        <f t="array" ref="L90">XLOOKUP(I90,customers_clean!$A$2:$A$701,customers_clean!$D$2:$D$701)</f>
        <v>Zack Kowalczyk</v>
      </c>
      <c r="M90" s="2" t="str">
        <f t="array" ref="M90">XLOOKUP(I90,customers_clean!$A$2:$A$701,customers_clean!$I$2:$I$701)</f>
        <v>ZACK.KOWALCZYK@COMPANY.CO.UK</v>
      </c>
      <c r="N90" s="10" t="str">
        <f t="array" ref="N90">XLOOKUP(I90,customers_clean!$A$2:$A$701,customers_clean!$H$2:$H$701)</f>
        <v>zack.kowalczyk@company.co.uk</v>
      </c>
      <c r="O90" s="9" t="str">
        <f>IFERROR(__xludf.DUMMYFUNCTION("IF(REGEXMATCH(TRIM(N90),""^[A-Za-z0-9._%+-]+@[A-Za-z0-9.-]+\.[A-Za-z]{2,}$""),""✅ Valid"",""❌ Invalid"")"),"✅ Valid")</f>
        <v>✅ Valid</v>
      </c>
      <c r="P90" s="2" t="str">
        <f t="array" ref="P90">XLOOKUP(I90,customers_clean!$A$2:$A$701,customers_clean!$K$2:$K$701)</f>
        <v>tel:+39442504542</v>
      </c>
      <c r="Q90" s="10" t="str">
        <f t="array" ref="Q90">XLOOKUP(I90,customers_clean!$A$2:$A$701,customers_clean!$N$2:$N$701)</f>
        <v>442504542</v>
      </c>
      <c r="R90" s="9" t="str">
        <f t="array" ref="R90">XLOOKUP(I90,customers_clean!$A$2:$A$701,customers_clean!$Q$2:$Q$701)</f>
        <v>❌ INVALID</v>
      </c>
      <c r="S90" s="31" t="s">
        <v>671</v>
      </c>
      <c r="T90" s="2" t="s">
        <v>26</v>
      </c>
      <c r="U90" s="2" t="s">
        <v>365</v>
      </c>
      <c r="V90" s="2" t="s">
        <v>2483</v>
      </c>
      <c r="W90" s="9" t="str">
        <f t="array" ref="W90">IF(ISNA(XLOOKUP(V90,products_master_corrected!$A$2:$A$151,products_master_corrected!$A$2:$A$151, NA())),
    "❌ MISSING SKU", "✅")</f>
        <v>✅</v>
      </c>
      <c r="X90" s="2" t="s">
        <v>280</v>
      </c>
      <c r="Y90" s="2" t="s">
        <v>503</v>
      </c>
      <c r="Z90" s="10" t="str">
        <f>PROPER(TRIM(Y90))</f>
        <v>Monitors</v>
      </c>
      <c r="AA90" s="27">
        <v>2.0</v>
      </c>
      <c r="AB90" s="9" t="s">
        <v>8649</v>
      </c>
      <c r="AC90" s="28">
        <f t="array" ref="AC90">XLOOKUP(V90,products_master_corrected!$A$2:$A$151,products_master_corrected!$E$2:$E$151)</f>
        <v>76.81</v>
      </c>
      <c r="AD90" s="28">
        <f t="shared" si="15"/>
        <v>153.62</v>
      </c>
      <c r="AE90" s="28">
        <f t="array" ref="AE90">XLOOKUP(V90,products_master_corrected!$A$2:$A$151,products_master_corrected!$J$2:$J$151)</f>
        <v>89.58</v>
      </c>
      <c r="AF90" s="29">
        <f t="shared" si="16"/>
        <v>179.16</v>
      </c>
      <c r="AG90" s="32" t="s">
        <v>8656</v>
      </c>
      <c r="AH90" s="2" t="s">
        <v>49</v>
      </c>
      <c r="AI90" s="10" t="s">
        <v>49</v>
      </c>
      <c r="AJ90" s="2" t="s">
        <v>227</v>
      </c>
      <c r="AK90" s="10" t="s">
        <v>80</v>
      </c>
      <c r="AL90" s="2" t="s">
        <v>81</v>
      </c>
    </row>
    <row r="91" ht="15.75" customHeight="1">
      <c r="A91" s="2" t="s">
        <v>1532</v>
      </c>
      <c r="B91" s="12">
        <v>45622.0</v>
      </c>
      <c r="C91" s="2" t="str">
        <f>IFERROR(__xludf.DUMMYFUNCTION("IF(ISNUMBER(B91),TEXT(B91,""yyyy-MM-dd""),REGEXREPLACE(REGEXREPLACE(TO_TEXT(B91),""[^0-9a-zA-Z]+"",""-""),""[^0-9]*$"",""""))"),"2024-11-26")</f>
        <v>2024-11-26</v>
      </c>
      <c r="D91" s="2" t="s">
        <v>8702</v>
      </c>
      <c r="H91" s="10" t="s">
        <v>8702</v>
      </c>
      <c r="I91" s="2" t="s">
        <v>1534</v>
      </c>
      <c r="J91" s="26" t="str">
        <f t="array" ref="J91">IF(ISNA(XLOOKUP(I91,customers_clean!$A$2:$A$701,customers_clean!$A$2:$A$701, NA()) ),
   "❌ MISSING CUSTOMER", "✅")</f>
        <v>✅</v>
      </c>
      <c r="K91" s="2" t="str">
        <f t="array" ref="K91">XLOOKUP(I91,customers_clean!$A$2:$A$701,customers_clean!$C$2:$C$701)</f>
        <v>Zack Kowalczyk</v>
      </c>
      <c r="L91" s="10" t="str">
        <f t="array" ref="L91">XLOOKUP(I91,customers_clean!$A$2:$A$701,customers_clean!$D$2:$D$701)</f>
        <v>Zack Kowalczyk</v>
      </c>
      <c r="M91" s="2" t="str">
        <f t="array" ref="M91">XLOOKUP(I91,customers_clean!$A$2:$A$701,customers_clean!$I$2:$I$701)</f>
        <v>ZACK.KOWALCZYK@COMPANY.CO.UK</v>
      </c>
      <c r="N91" s="10" t="str">
        <f t="array" ref="N91">XLOOKUP(I91,customers_clean!$A$2:$A$701,customers_clean!$H$2:$H$701)</f>
        <v>zack.kowalczyk@company.co.uk</v>
      </c>
      <c r="O91" s="9" t="str">
        <f>IFERROR(__xludf.DUMMYFUNCTION("IF(REGEXMATCH(TRIM(N91),""^[A-Za-z0-9._%+-]+@[A-Za-z0-9.-]+\.[A-Za-z]{2,}$""),""✅ Valid"",""❌ Invalid"")"),"✅ Valid")</f>
        <v>✅ Valid</v>
      </c>
      <c r="P91" s="2" t="str">
        <f t="array" ref="P91">XLOOKUP(I91,customers_clean!$A$2:$A$701,customers_clean!$K$2:$K$701)</f>
        <v>tel:+39442504542</v>
      </c>
      <c r="Q91" s="10" t="str">
        <f t="array" ref="Q91">XLOOKUP(I91,customers_clean!$A$2:$A$701,customers_clean!$N$2:$N$701)</f>
        <v>442504542</v>
      </c>
      <c r="R91" s="9" t="str">
        <f t="array" ref="R91">XLOOKUP(I91,customers_clean!$A$2:$A$701,customers_clean!$Q$2:$Q$701)</f>
        <v>❌ INVALID</v>
      </c>
      <c r="S91" s="31" t="s">
        <v>671</v>
      </c>
      <c r="T91" s="2" t="s">
        <v>74</v>
      </c>
      <c r="U91" s="2" t="s">
        <v>176</v>
      </c>
      <c r="V91" s="2" t="s">
        <v>334</v>
      </c>
      <c r="W91" s="9" t="str">
        <f t="array" ref="W91">IF(ISNA(XLOOKUP(V91,products_master_corrected!$A$2:$A$151,products_master_corrected!$A$2:$A$151, NA())),
    "❌ MISSING SKU", "✅")</f>
        <v>✅</v>
      </c>
      <c r="X91" s="2" t="s">
        <v>29</v>
      </c>
      <c r="Y91" s="2" t="s">
        <v>248</v>
      </c>
      <c r="Z91" s="10" t="s">
        <v>248</v>
      </c>
      <c r="AA91" s="27">
        <v>1.0</v>
      </c>
      <c r="AB91" s="9" t="s">
        <v>8649</v>
      </c>
      <c r="AC91" s="28">
        <f t="array" ref="AC91">XLOOKUP(V91,products_master_corrected!$A$2:$A$151,products_master_corrected!$E$2:$E$151)</f>
        <v>75.62</v>
      </c>
      <c r="AD91" s="28">
        <f t="shared" si="15"/>
        <v>75.62</v>
      </c>
      <c r="AE91" s="28">
        <f t="array" ref="AE91">XLOOKUP(V91,products_master_corrected!$A$2:$A$151,products_master_corrected!$J$2:$J$151)</f>
        <v>88.2</v>
      </c>
      <c r="AF91" s="29">
        <f t="shared" si="16"/>
        <v>88.2</v>
      </c>
      <c r="AG91" s="32" t="s">
        <v>8656</v>
      </c>
      <c r="AH91" s="2" t="s">
        <v>1539</v>
      </c>
      <c r="AI91" s="10" t="s">
        <v>181</v>
      </c>
      <c r="AJ91" s="2" t="s">
        <v>158</v>
      </c>
      <c r="AK91" s="10" t="s">
        <v>818</v>
      </c>
      <c r="AL91" s="2" t="s">
        <v>51</v>
      </c>
    </row>
    <row r="92" ht="15.75" customHeight="1">
      <c r="A92" s="2" t="s">
        <v>4236</v>
      </c>
      <c r="B92" s="12" t="s">
        <v>4237</v>
      </c>
      <c r="C92" s="2" t="str">
        <f>IFERROR(__xludf.DUMMYFUNCTION("IF(ISNUMBER(B92),TEXT(B92,""yyyy-MM-dd""),REGEXREPLACE(REGEXREPLACE(TO_TEXT(B92),""[^0-9a-zA-Z]+"",""-""),""[^0-9]*$"",""""))"),"10-03-2023")</f>
        <v>10-03-2023</v>
      </c>
      <c r="D92" s="2" t="s">
        <v>6763</v>
      </c>
      <c r="H92" s="10" t="s">
        <v>6763</v>
      </c>
      <c r="I92" s="2" t="s">
        <v>4238</v>
      </c>
      <c r="J92" s="26" t="str">
        <f t="array" ref="J92">IF(ISNA(XLOOKUP(I92,customers_clean!$A$2:$A$701,customers_clean!$A$2:$A$701, NA()) ),
   "❌ MISSING CUSTOMER", "✅")</f>
        <v>✅</v>
      </c>
      <c r="K92" s="2" t="str">
        <f t="array" ref="K92">XLOOKUP(I92,customers_clean!$A$2:$A$701,customers_clean!$C$2:$C$701)</f>
        <v>Qi Martinez</v>
      </c>
      <c r="L92" s="10" t="str">
        <f t="array" ref="L92">XLOOKUP(I92,customers_clean!$A$2:$A$701,customers_clean!$D$2:$D$701)</f>
        <v>Qi Martinez</v>
      </c>
      <c r="M92" s="2" t="str">
        <f t="array" ref="M92">XLOOKUP(I92,customers_clean!$A$2:$A$701,customers_clean!$I$2:$I$701)</f>
        <v>qi.martinez@yahoo.com </v>
      </c>
      <c r="N92" s="10" t="str">
        <f t="array" ref="N92">XLOOKUP(I92,customers_clean!$A$2:$A$701,customers_clean!$H$2:$H$701)</f>
        <v>qi.martinez@yahoo.com</v>
      </c>
      <c r="O92" s="9" t="str">
        <f>IFERROR(__xludf.DUMMYFUNCTION("IF(REGEXMATCH(TRIM(N92),""^[A-Za-z0-9._%+-]+@[A-Za-z0-9.-]+\.[A-Za-z]{2,}$""),""✅ Valid"",""❌ Invalid"")"),"✅ Valid")</f>
        <v>✅ Valid</v>
      </c>
      <c r="P92" s="2" t="str">
        <f t="array" ref="P92">XLOOKUP(I92,customers_clean!$A$2:$A$701,customers_clean!$K$2:$K$701)</f>
        <v>+49+176536364</v>
      </c>
      <c r="Q92" s="10" t="str">
        <f t="array" ref="Q92">XLOOKUP(I92,customers_clean!$A$2:$A$701,customers_clean!$N$2:$N$701)</f>
        <v>176536364</v>
      </c>
      <c r="R92" s="9" t="str">
        <f t="array" ref="R92">XLOOKUP(I92,customers_clean!$A$2:$A$701,customers_clean!$Q$2:$Q$701)</f>
        <v>❌ INVALID</v>
      </c>
      <c r="S92" s="10" t="s">
        <v>608</v>
      </c>
      <c r="T92" s="2" t="s">
        <v>26</v>
      </c>
      <c r="U92" s="2" t="s">
        <v>289</v>
      </c>
      <c r="V92" s="2" t="s">
        <v>104</v>
      </c>
      <c r="W92" s="9" t="str">
        <f t="array" ref="W92">IF(ISNA(XLOOKUP(V92,products_master_corrected!$A$2:$A$151,products_master_corrected!$A$2:$A$151, NA())),
    "❌ MISSING SKU", "✅")</f>
        <v>✅</v>
      </c>
      <c r="X92" s="2" t="s">
        <v>8703</v>
      </c>
      <c r="Y92" s="2" t="s">
        <v>106</v>
      </c>
      <c r="Z92" s="10" t="s">
        <v>368</v>
      </c>
      <c r="AA92" s="27">
        <v>2.0</v>
      </c>
      <c r="AB92" s="9" t="s">
        <v>8649</v>
      </c>
      <c r="AC92" s="28">
        <f t="array" ref="AC92">XLOOKUP(V92,products_master_corrected!$A$2:$A$151,products_master_corrected!$E$2:$E$151)</f>
        <v>135.16</v>
      </c>
      <c r="AD92" s="28">
        <f t="shared" si="15"/>
        <v>270.32</v>
      </c>
      <c r="AE92" s="28">
        <f t="array" ref="AE92">XLOOKUP(V92,products_master_corrected!$A$2:$A$151,products_master_corrected!$H$2:$H$151)</f>
        <v>151.85</v>
      </c>
      <c r="AF92" s="29">
        <f t="shared" si="16"/>
        <v>303.7</v>
      </c>
      <c r="AG92" s="32" t="s">
        <v>8658</v>
      </c>
      <c r="AH92" s="2" t="s">
        <v>96</v>
      </c>
      <c r="AI92" s="10" t="s">
        <v>143</v>
      </c>
      <c r="AJ92" s="2" t="s">
        <v>432</v>
      </c>
      <c r="AK92" s="10" t="s">
        <v>80</v>
      </c>
      <c r="AL92" s="2" t="s">
        <v>133</v>
      </c>
    </row>
    <row r="93" ht="15.75" customHeight="1">
      <c r="A93" s="2" t="s">
        <v>4584</v>
      </c>
      <c r="B93" s="12">
        <v>45939.0</v>
      </c>
      <c r="C93" s="2" t="str">
        <f>IFERROR(__xludf.DUMMYFUNCTION("IF(ISNUMBER(B93),TEXT(B93,""yyyy-MM-dd""),REGEXREPLACE(REGEXREPLACE(TO_TEXT(B93),""[^0-9a-zA-Z]+"",""-""),""[^0-9]*$"",""""))"),"2025-10-09")</f>
        <v>2025-10-09</v>
      </c>
      <c r="D93" s="2" t="s">
        <v>8704</v>
      </c>
      <c r="H93" s="10" t="s">
        <v>8704</v>
      </c>
      <c r="I93" s="2" t="s">
        <v>4238</v>
      </c>
      <c r="J93" s="26" t="str">
        <f t="array" ref="J93">IF(ISNA(XLOOKUP(I93,customers_clean!$A$2:$A$701,customers_clean!$A$2:$A$701, NA()) ),
   "❌ MISSING CUSTOMER", "✅")</f>
        <v>✅</v>
      </c>
      <c r="K93" s="2" t="str">
        <f t="array" ref="K93">XLOOKUP(I93,customers_clean!$A$2:$A$701,customers_clean!$C$2:$C$701)</f>
        <v>Qi Martinez</v>
      </c>
      <c r="L93" s="10" t="str">
        <f t="array" ref="L93">XLOOKUP(I93,customers_clean!$A$2:$A$701,customers_clean!$D$2:$D$701)</f>
        <v>Qi Martinez</v>
      </c>
      <c r="M93" s="2" t="str">
        <f t="array" ref="M93">XLOOKUP(I93,customers_clean!$A$2:$A$701,customers_clean!$I$2:$I$701)</f>
        <v>qi.martinez@yahoo.com </v>
      </c>
      <c r="N93" s="10" t="str">
        <f t="array" ref="N93">XLOOKUP(I93,customers_clean!$A$2:$A$701,customers_clean!$H$2:$H$701)</f>
        <v>qi.martinez@yahoo.com</v>
      </c>
      <c r="O93" s="9" t="str">
        <f>IFERROR(__xludf.DUMMYFUNCTION("IF(REGEXMATCH(TRIM(N93),""^[A-Za-z0-9._%+-]+@[A-Za-z0-9.-]+\.[A-Za-z]{2,}$""),""✅ Valid"",""❌ Invalid"")"),"✅ Valid")</f>
        <v>✅ Valid</v>
      </c>
      <c r="P93" s="2" t="str">
        <f t="array" ref="P93">XLOOKUP(I93,customers_clean!$A$2:$A$701,customers_clean!$K$2:$K$701)</f>
        <v>+49+176536364</v>
      </c>
      <c r="Q93" s="10" t="str">
        <f t="array" ref="Q93">XLOOKUP(I93,customers_clean!$A$2:$A$701,customers_clean!$N$2:$N$701)</f>
        <v>176536364</v>
      </c>
      <c r="R93" s="9" t="str">
        <f t="array" ref="R93">XLOOKUP(I93,customers_clean!$A$2:$A$701,customers_clean!$Q$2:$Q$701)</f>
        <v>❌ INVALID</v>
      </c>
      <c r="S93" s="10" t="s">
        <v>608</v>
      </c>
      <c r="T93" s="2" t="s">
        <v>460</v>
      </c>
      <c r="U93" s="2" t="s">
        <v>43</v>
      </c>
      <c r="V93" s="2" t="s">
        <v>1063</v>
      </c>
      <c r="W93" s="9" t="str">
        <f t="array" ref="W93">IF(ISNA(XLOOKUP(V93,products_master_corrected!$A$2:$A$151,products_master_corrected!$A$2:$A$151, NA())),
    "❌ MISSING SKU", "✅")</f>
        <v>✅</v>
      </c>
      <c r="X93" s="2" t="s">
        <v>291</v>
      </c>
      <c r="Y93" s="2" t="s">
        <v>167</v>
      </c>
      <c r="Z93" s="10" t="str">
        <f>PROPER(TRIM(Y93))</f>
        <v>Monitors</v>
      </c>
      <c r="AA93" s="27">
        <v>1.0</v>
      </c>
      <c r="AB93" s="9" t="s">
        <v>8649</v>
      </c>
      <c r="AC93" s="28">
        <f t="array" ref="AC93">XLOOKUP(V93,products_master_corrected!$A$2:$A$151,products_master_corrected!$E$2:$E$151)</f>
        <v>136.55</v>
      </c>
      <c r="AD93" s="28">
        <f t="shared" si="15"/>
        <v>136.55</v>
      </c>
      <c r="AE93" s="28">
        <f t="array" ref="AE93">XLOOKUP(V93,products_master_corrected!$A$2:$A$151,products_master_corrected!$H$2:$H$151)</f>
        <v>153.41</v>
      </c>
      <c r="AF93" s="29">
        <f t="shared" si="16"/>
        <v>153.41</v>
      </c>
      <c r="AG93" s="32" t="s">
        <v>8658</v>
      </c>
      <c r="AH93" s="2" t="s">
        <v>204</v>
      </c>
      <c r="AI93" s="10" t="s">
        <v>143</v>
      </c>
      <c r="AJ93" s="2" t="s">
        <v>442</v>
      </c>
      <c r="AK93" s="10" t="s">
        <v>80</v>
      </c>
    </row>
    <row r="94" ht="15.75" customHeight="1">
      <c r="A94" s="2" t="s">
        <v>4886</v>
      </c>
      <c r="B94" s="12" t="s">
        <v>4887</v>
      </c>
      <c r="C94" s="2" t="str">
        <f>IFERROR(__xludf.DUMMYFUNCTION("IF(ISNUMBER(B94),TEXT(B94,""yyyy-MM-dd""),REGEXREPLACE(REGEXREPLACE(TO_TEXT(B94),""[^0-9a-zA-Z]+"",""-""),""[^0-9]*$"",""""))"),"45117-09-07")</f>
        <v>45117-09-07</v>
      </c>
      <c r="D94" s="2" t="str">
        <f>TEXT(C94,"yyyy-MM-dd")</f>
        <v>45117-09-07</v>
      </c>
      <c r="E94" s="25" t="str">
        <f>CONCATENATE(LEFT(D94,5))</f>
        <v>45117</v>
      </c>
      <c r="F94" s="12">
        <f>DATE(1900,1,1) + E94 - 1</f>
        <v>45118</v>
      </c>
      <c r="G94" s="2" t="s">
        <v>4455</v>
      </c>
      <c r="H94" s="10" t="s">
        <v>4455</v>
      </c>
      <c r="I94" s="2" t="s">
        <v>4238</v>
      </c>
      <c r="J94" s="26" t="str">
        <f t="array" ref="J94">IF(ISNA(XLOOKUP(I94,customers_clean!$A$2:$A$701,customers_clean!$A$2:$A$701, NA()) ),
   "❌ MISSING CUSTOMER", "✅")</f>
        <v>✅</v>
      </c>
      <c r="K94" s="2" t="str">
        <f t="array" ref="K94">XLOOKUP(I94,customers_clean!$A$2:$A$701,customers_clean!$C$2:$C$701)</f>
        <v>Qi Martinez</v>
      </c>
      <c r="L94" s="10" t="str">
        <f t="array" ref="L94">XLOOKUP(I94,customers_clean!$A$2:$A$701,customers_clean!$D$2:$D$701)</f>
        <v>Qi Martinez</v>
      </c>
      <c r="M94" s="2" t="str">
        <f t="array" ref="M94">XLOOKUP(I94,customers_clean!$A$2:$A$701,customers_clean!$I$2:$I$701)</f>
        <v>qi.martinez@yahoo.com </v>
      </c>
      <c r="N94" s="10" t="str">
        <f t="array" ref="N94">XLOOKUP(I94,customers_clean!$A$2:$A$701,customers_clean!$H$2:$H$701)</f>
        <v>qi.martinez@yahoo.com</v>
      </c>
      <c r="O94" s="9" t="str">
        <f>IFERROR(__xludf.DUMMYFUNCTION("IF(REGEXMATCH(TRIM(N94),""^[A-Za-z0-9._%+-]+@[A-Za-z0-9.-]+\.[A-Za-z]{2,}$""),""✅ Valid"",""❌ Invalid"")"),"✅ Valid")</f>
        <v>✅ Valid</v>
      </c>
      <c r="P94" s="2" t="str">
        <f t="array" ref="P94">XLOOKUP(I94,customers_clean!$A$2:$A$701,customers_clean!$K$2:$K$701)</f>
        <v>+49+176536364</v>
      </c>
      <c r="Q94" s="10" t="str">
        <f t="array" ref="Q94">XLOOKUP(I94,customers_clean!$A$2:$A$701,customers_clean!$N$2:$N$701)</f>
        <v>176536364</v>
      </c>
      <c r="R94" s="9" t="str">
        <f t="array" ref="R94">XLOOKUP(I94,customers_clean!$A$2:$A$701,customers_clean!$Q$2:$Q$701)</f>
        <v>❌ INVALID</v>
      </c>
      <c r="S94" s="10" t="s">
        <v>608</v>
      </c>
      <c r="T94" s="2" t="s">
        <v>26</v>
      </c>
      <c r="U94" s="2" t="s">
        <v>571</v>
      </c>
      <c r="V94" s="2" t="s">
        <v>1679</v>
      </c>
      <c r="W94" s="9" t="str">
        <f t="array" ref="W94">IF(ISNA(XLOOKUP(V94,products_master_corrected!$A$2:$A$151,products_master_corrected!$A$2:$A$151, NA())),
    "❌ MISSING SKU", "✅")</f>
        <v>✅</v>
      </c>
      <c r="X94" s="2" t="s">
        <v>280</v>
      </c>
      <c r="Y94" s="2" t="s">
        <v>514</v>
      </c>
      <c r="Z94" s="10" t="s">
        <v>514</v>
      </c>
      <c r="AA94" s="27">
        <v>5.0</v>
      </c>
      <c r="AB94" s="9" t="s">
        <v>8649</v>
      </c>
      <c r="AC94" s="28">
        <f t="array" ref="AC94">XLOOKUP(V94,products_master_corrected!$A$2:$A$151,products_master_corrected!$E$2:$E$151)</f>
        <v>130.95</v>
      </c>
      <c r="AD94" s="28">
        <f t="shared" si="15"/>
        <v>654.75</v>
      </c>
      <c r="AE94" s="28">
        <f t="array" ref="AE94">XLOOKUP(V94,products_master_corrected!$A$2:$A$151,products_master_corrected!$H$2:$H$151)</f>
        <v>147.12</v>
      </c>
      <c r="AF94" s="29">
        <f t="shared" si="16"/>
        <v>735.6</v>
      </c>
      <c r="AG94" s="32" t="s">
        <v>8658</v>
      </c>
      <c r="AH94" s="2" t="s">
        <v>414</v>
      </c>
      <c r="AI94" s="10" t="s">
        <v>49</v>
      </c>
      <c r="AJ94" s="2" t="s">
        <v>294</v>
      </c>
      <c r="AK94" s="10" t="s">
        <v>80</v>
      </c>
    </row>
    <row r="95" ht="15.75" customHeight="1">
      <c r="A95" s="2" t="s">
        <v>1280</v>
      </c>
      <c r="B95" s="12">
        <v>45222.0</v>
      </c>
      <c r="C95" s="2" t="str">
        <f>IFERROR(__xludf.DUMMYFUNCTION("IF(ISNUMBER(B95),TEXT(B95,""yyyy-MM-dd""),REGEXREPLACE(REGEXREPLACE(TO_TEXT(B95),""[^0-9a-zA-Z]+"",""-""),""[^0-9]*$"",""""))"),"2023-10-23")</f>
        <v>2023-10-23</v>
      </c>
      <c r="D95" s="2" t="s">
        <v>5889</v>
      </c>
      <c r="H95" s="10" t="s">
        <v>5889</v>
      </c>
      <c r="I95" s="2" t="s">
        <v>1282</v>
      </c>
      <c r="J95" s="26" t="str">
        <f t="array" ref="J95">IF(ISNA(XLOOKUP(I95,customers_clean!$A$2:$A$701,customers_clean!$A$2:$A$701, NA()) ),
   "❌ MISSING CUSTOMER", "✅")</f>
        <v>✅</v>
      </c>
      <c r="K95" s="2" t="str">
        <f t="array" ref="K95">XLOOKUP(I95,customers_clean!$A$2:$A$701,customers_clean!$C$2:$C$701)</f>
        <v>Xenia Rossi</v>
      </c>
      <c r="L95" s="10" t="str">
        <f t="array" ref="L95">XLOOKUP(I95,customers_clean!$A$2:$A$701,customers_clean!$D$2:$D$701)</f>
        <v>Xenia Rossi</v>
      </c>
      <c r="M95" s="2" t="str">
        <f t="array" ref="M95">XLOOKUP(I95,customers_clean!$A$2:$A$701,customers_clean!$I$2:$I$701)</f>
        <v>xenia.rossi@company.co.uk</v>
      </c>
      <c r="N95" s="10" t="str">
        <f t="array" ref="N95">XLOOKUP(I95,customers_clean!$A$2:$A$701,customers_clean!$H$2:$H$701)</f>
        <v>xenia.rossi@company.co.uk</v>
      </c>
      <c r="O95" s="9" t="str">
        <f>IFERROR(__xludf.DUMMYFUNCTION("IF(REGEXMATCH(TRIM(N95),""^[A-Za-z0-9._%+-]+@[A-Za-z0-9.-]+\.[A-Za-z]{2,}$""),""✅ Valid"",""❌ Invalid"")"),"✅ Valid")</f>
        <v>✅ Valid</v>
      </c>
      <c r="P95" s="33" t="str">
        <f t="array" ref="P95">XLOOKUP(I95,customers_clean!$A$2:$A$701,customers_clean!$K$2:$K$701)</f>
        <v>+48 196 677212</v>
      </c>
      <c r="Q95" s="10" t="str">
        <f t="array" ref="Q95">XLOOKUP(I95,customers_clean!$A$2:$A$701,customers_clean!$N$2:$N$701)</f>
        <v>196677212</v>
      </c>
      <c r="R95" s="9" t="str">
        <f t="array" ref="R95">XLOOKUP(I95,customers_clean!$A$2:$A$701,customers_clean!$Q$2:$Q$701)</f>
        <v>❌ INVALID</v>
      </c>
      <c r="S95" s="10" t="s">
        <v>25</v>
      </c>
      <c r="T95" s="2" t="s">
        <v>778</v>
      </c>
      <c r="U95" s="2" t="s">
        <v>480</v>
      </c>
      <c r="V95" s="2" t="s">
        <v>44</v>
      </c>
      <c r="W95" s="9" t="str">
        <f t="array" ref="W95">IF(ISNA(XLOOKUP(V95,products_master_corrected!$A$2:$A$151,products_master_corrected!$A$2:$A$151, NA())),
    "❌ MISSING SKU", "✅")</f>
        <v>✅</v>
      </c>
      <c r="X95" s="2" t="s">
        <v>502</v>
      </c>
      <c r="Y95" s="2" t="s">
        <v>46</v>
      </c>
      <c r="Z95" s="10" t="s">
        <v>248</v>
      </c>
      <c r="AA95" s="27">
        <v>1.0</v>
      </c>
      <c r="AB95" s="9" t="s">
        <v>8649</v>
      </c>
      <c r="AC95" s="28">
        <f t="array" ref="AC95">XLOOKUP(V95,products_master_corrected!$A$2:$A$151,products_master_corrected!$E$2:$E$151)</f>
        <v>755.05</v>
      </c>
      <c r="AD95" s="28">
        <f t="shared" si="15"/>
        <v>755.05</v>
      </c>
      <c r="AE95" s="28">
        <f t="array" ref="AE95">XLOOKUP(V95,products_master_corrected!$A$2:$A$151,products_master_corrected!$K$2:$K$151)</f>
        <v>3884.73</v>
      </c>
      <c r="AF95" s="29">
        <f t="shared" si="16"/>
        <v>3884.73</v>
      </c>
      <c r="AG95" s="30" t="s">
        <v>95</v>
      </c>
      <c r="AH95" s="2" t="s">
        <v>1287</v>
      </c>
      <c r="AI95" s="10" t="s">
        <v>49</v>
      </c>
      <c r="AJ95" s="2" t="s">
        <v>1288</v>
      </c>
      <c r="AK95" s="10" t="s">
        <v>818</v>
      </c>
      <c r="AL95" s="2" t="s">
        <v>67</v>
      </c>
    </row>
    <row r="96" ht="15.75" customHeight="1">
      <c r="A96" s="2" t="s">
        <v>1911</v>
      </c>
      <c r="B96" s="12">
        <v>45370.0</v>
      </c>
      <c r="C96" s="2" t="str">
        <f>IFERROR(__xludf.DUMMYFUNCTION("IF(ISNUMBER(B96),TEXT(B96,""yyyy-MM-dd""),REGEXREPLACE(REGEXREPLACE(TO_TEXT(B96),""[^0-9a-zA-Z]+"",""-""),""[^0-9]*$"",""""))"),"2024-03-19")</f>
        <v>2024-03-19</v>
      </c>
      <c r="D96" s="2" t="s">
        <v>8497</v>
      </c>
      <c r="H96" s="10" t="s">
        <v>8497</v>
      </c>
      <c r="I96" s="2" t="s">
        <v>1913</v>
      </c>
      <c r="J96" s="26" t="str">
        <f t="array" ref="J96">IF(ISNA(XLOOKUP(I96,customers_clean!$A$2:$A$701,customers_clean!$A$2:$A$701, NA()) ),
   "❌ MISSING CUSTOMER", "✅")</f>
        <v>✅</v>
      </c>
      <c r="K96" s="2" t="str">
        <f t="array" ref="K96">XLOOKUP(I96,customers_clean!$A$2:$A$701,customers_clean!$C$2:$C$701)</f>
        <v>Jade Loepz </v>
      </c>
      <c r="L96" s="10" t="str">
        <f t="array" ref="L96">XLOOKUP(I96,customers_clean!$A$2:$A$701,customers_clean!$D$2:$D$701)</f>
        <v>Jade Loepz</v>
      </c>
      <c r="M96" s="2" t="str">
        <f t="array" ref="M96">XLOOKUP(I96,customers_clean!$A$2:$A$701,customers_clean!$I$2:$I$701)</f>
        <v/>
      </c>
      <c r="N96" s="10" t="str">
        <f t="array" ref="N96">XLOOKUP(I96,customers_clean!$A$2:$A$701,customers_clean!$H$2:$H$701)</f>
        <v/>
      </c>
      <c r="O96" s="9" t="str">
        <f>IFERROR(__xludf.DUMMYFUNCTION("IF(REGEXMATCH(TRIM(N96),""^[A-Za-z0-9._%+-]+@[A-Za-z0-9.-]+\.[A-Za-z]{2,}$""),""✅ Valid"",""❌ Invalid"")"),"❌ Invalid")</f>
        <v>❌ Invalid</v>
      </c>
      <c r="P96" s="2" t="str">
        <f t="array" ref="P96">XLOOKUP(I96,customers_clean!$A$2:$A$701,customers_clean!$K$2:$K$701)</f>
        <v>+1-423-203-8499</v>
      </c>
      <c r="Q96" s="10" t="str">
        <f t="array" ref="Q96">XLOOKUP(I96,customers_clean!$A$2:$A$701,customers_clean!$N$2:$N$701)</f>
        <v/>
      </c>
      <c r="R96" s="9" t="str">
        <f t="array" ref="R96">XLOOKUP(I96,customers_clean!$A$2:$A$701,customers_clean!$Q$2:$Q$701)</f>
        <v/>
      </c>
      <c r="S96" s="31" t="s">
        <v>671</v>
      </c>
      <c r="T96" s="2" t="s">
        <v>26</v>
      </c>
      <c r="U96" s="2" t="s">
        <v>103</v>
      </c>
      <c r="V96" s="2" t="s">
        <v>792</v>
      </c>
      <c r="W96" s="9" t="str">
        <f t="array" ref="W96">IF(ISNA(XLOOKUP(V96,products_master_corrected!$A$2:$A$151,products_master_corrected!$A$2:$A$151, NA())),
    "❌ MISSING SKU", "✅")</f>
        <v>✅</v>
      </c>
      <c r="X96" s="2" t="s">
        <v>768</v>
      </c>
      <c r="Y96" s="2" t="s">
        <v>742</v>
      </c>
      <c r="Z96" s="10" t="s">
        <v>355</v>
      </c>
      <c r="AA96" s="27">
        <v>1.0</v>
      </c>
      <c r="AB96" s="9" t="s">
        <v>8649</v>
      </c>
      <c r="AC96" s="28">
        <f t="array" ref="AC96">XLOOKUP(V96,products_master_corrected!$A$2:$A$151,products_master_corrected!$E$2:$E$151)</f>
        <v>20.12</v>
      </c>
      <c r="AD96" s="28">
        <f t="shared" si="15"/>
        <v>20.12</v>
      </c>
      <c r="AE96" s="28">
        <f t="array" ref="AE96">XLOOKUP(V96,products_master_corrected!$A$2:$A$151,products_master_corrected!$J$2:$J$151)</f>
        <v>23.47</v>
      </c>
      <c r="AF96" s="29">
        <f t="shared" si="16"/>
        <v>23.47</v>
      </c>
      <c r="AG96" s="32" t="s">
        <v>8656</v>
      </c>
      <c r="AH96" s="2" t="s">
        <v>66</v>
      </c>
      <c r="AI96" s="10" t="s">
        <v>66</v>
      </c>
      <c r="AJ96" s="2" t="s">
        <v>227</v>
      </c>
      <c r="AK96" s="10" t="s">
        <v>80</v>
      </c>
    </row>
    <row r="97" ht="15.75" customHeight="1">
      <c r="A97" s="2" t="s">
        <v>6064</v>
      </c>
      <c r="B97" s="12" t="s">
        <v>6065</v>
      </c>
      <c r="C97" s="2" t="str">
        <f>IFERROR(__xludf.DUMMYFUNCTION("IF(ISNUMBER(B97),TEXT(B97,""yyyy-MM-dd""),REGEXREPLACE(REGEXREPLACE(TO_TEXT(B97),""[^0-9a-zA-Z]+"",""-""),""[^0-9]*$"",""""))"),"15-07-2025")</f>
        <v>15-07-2025</v>
      </c>
      <c r="D97" s="2" t="s">
        <v>7871</v>
      </c>
      <c r="H97" s="10" t="s">
        <v>7871</v>
      </c>
      <c r="I97" s="2" t="s">
        <v>195</v>
      </c>
      <c r="J97" s="26" t="str">
        <f t="array" ref="J97">IF(ISNA(XLOOKUP(I97,customers_clean!$A$2:$A$701,customers_clean!$A$2:$A$701, NA()) ),
   "❌ MISSING CUSTOMER", "✅")</f>
        <v>✅</v>
      </c>
      <c r="K97" s="2" t="str">
        <f t="array" ref="K97">XLOOKUP(I97,customers_clean!$A$2:$A$701,customers_clean!$C$2:$C$701)</f>
        <v>Zack Muller </v>
      </c>
      <c r="L97" s="10" t="str">
        <f t="array" ref="L97">XLOOKUP(I97,customers_clean!$A$2:$A$701,customers_clean!$D$2:$D$701)</f>
        <v>Zack Muller</v>
      </c>
      <c r="M97" s="2" t="str">
        <f t="array" ref="M97">XLOOKUP(I97,customers_clean!$A$2:$A$701,customers_clean!$I$2:$I$701)</f>
        <v>Zack.Muller@Shop.Io</v>
      </c>
      <c r="N97" s="10" t="str">
        <f t="array" ref="N97">XLOOKUP(I97,customers_clean!$A$2:$A$701,customers_clean!$H$2:$H$701)</f>
        <v>zack.muller@shop.io</v>
      </c>
      <c r="O97" s="9" t="str">
        <f>IFERROR(__xludf.DUMMYFUNCTION("IF(REGEXMATCH(TRIM(N97),""^[A-Za-z0-9._%+-]+@[A-Za-z0-9.-]+\.[A-Za-z]{2,}$""),""✅ Valid"",""❌ Invalid"")"),"✅ Valid")</f>
        <v>✅ Valid</v>
      </c>
      <c r="P97" s="2" t="str">
        <f t="array" ref="P97">XLOOKUP(I97,customers_clean!$A$2:$A$701,customers_clean!$K$2:$K$701)</f>
        <v>+1 554 46009220</v>
      </c>
      <c r="Q97" s="10" t="str">
        <f t="array" ref="Q97">XLOOKUP(I97,customers_clean!$A$2:$A$701,customers_clean!$N$2:$N$701)</f>
        <v>55446009220</v>
      </c>
      <c r="R97" s="9" t="str">
        <f t="array" ref="R97">XLOOKUP(I97,customers_clean!$A$2:$A$701,customers_clean!$Q$2:$Q$701)</f>
        <v>❌ INVALID</v>
      </c>
      <c r="S97" s="10" t="s">
        <v>448</v>
      </c>
      <c r="T97" s="2" t="s">
        <v>223</v>
      </c>
      <c r="U97" s="2" t="s">
        <v>176</v>
      </c>
      <c r="V97" s="2" t="s">
        <v>1255</v>
      </c>
      <c r="W97" s="9" t="str">
        <f t="array" ref="W97">IF(ISNA(XLOOKUP(V97,products_master_corrected!$A$2:$A$151,products_master_corrected!$A$2:$A$151, NA())),
    "❌ MISSING SKU", "✅")</f>
        <v>✅</v>
      </c>
      <c r="X97" s="2" t="s">
        <v>29</v>
      </c>
      <c r="Y97" s="2" t="s">
        <v>271</v>
      </c>
      <c r="Z97" s="10" t="s">
        <v>368</v>
      </c>
      <c r="AA97" s="27">
        <v>2.0</v>
      </c>
      <c r="AB97" s="9" t="s">
        <v>8649</v>
      </c>
      <c r="AC97" s="28">
        <f t="array" ref="AC97">XLOOKUP(V97,products_master_corrected!$A$2:$A$151,products_master_corrected!$E$2:$E$151)</f>
        <v>161.4</v>
      </c>
      <c r="AD97" s="28">
        <f t="shared" si="15"/>
        <v>322.8</v>
      </c>
      <c r="AE97" s="28">
        <f t="array" ref="AE97">XLOOKUP(V97,products_master_corrected!$A$2:$A$151,products_master_corrected!$M$2:$M$151)</f>
        <v>195.23</v>
      </c>
      <c r="AF97" s="29">
        <f t="shared" si="16"/>
        <v>390.46</v>
      </c>
      <c r="AG97" s="30" t="s">
        <v>48</v>
      </c>
      <c r="AH97" s="2" t="s">
        <v>664</v>
      </c>
      <c r="AI97" s="10" t="s">
        <v>66</v>
      </c>
      <c r="AJ97" s="2" t="s">
        <v>80</v>
      </c>
      <c r="AK97" s="10" t="s">
        <v>80</v>
      </c>
      <c r="AL97" s="2" t="s">
        <v>133</v>
      </c>
    </row>
    <row r="98" ht="15.75" customHeight="1">
      <c r="A98" s="2" t="s">
        <v>193</v>
      </c>
      <c r="B98" s="12">
        <v>45386.75625</v>
      </c>
      <c r="C98" s="2" t="str">
        <f>IFERROR(__xludf.DUMMYFUNCTION("IF(ISNUMBER(B98),TEXT(B98,""yyyy-MM-dd""),REGEXREPLACE(REGEXREPLACE(TO_TEXT(B98),""[^0-9a-zA-Z]+"",""-""),""[^0-9]*$"",""""))"),"2024-04-04")</f>
        <v>2024-04-04</v>
      </c>
      <c r="D98" s="2" t="s">
        <v>8694</v>
      </c>
      <c r="H98" s="10" t="s">
        <v>8694</v>
      </c>
      <c r="I98" s="2" t="s">
        <v>195</v>
      </c>
      <c r="J98" s="26" t="str">
        <f t="array" ref="J98">IF(ISNA(XLOOKUP(I98,customers_clean!$A$2:$A$701,customers_clean!$A$2:$A$701, NA()) ),
   "❌ MISSING CUSTOMER", "✅")</f>
        <v>✅</v>
      </c>
      <c r="K98" s="2" t="str">
        <f t="array" ref="K98">XLOOKUP(I98,customers_clean!$A$2:$A$701,customers_clean!$C$2:$C$701)</f>
        <v>Zack Muller </v>
      </c>
      <c r="L98" s="10" t="str">
        <f t="array" ref="L98">XLOOKUP(I98,customers_clean!$A$2:$A$701,customers_clean!$D$2:$D$701)</f>
        <v>Zack Muller</v>
      </c>
      <c r="M98" s="2" t="str">
        <f t="array" ref="M98">XLOOKUP(I98,customers_clean!$A$2:$A$701,customers_clean!$I$2:$I$701)</f>
        <v>Zack.Muller@Shop.Io</v>
      </c>
      <c r="N98" s="10" t="str">
        <f t="array" ref="N98">XLOOKUP(I98,customers_clean!$A$2:$A$701,customers_clean!$H$2:$H$701)</f>
        <v>zack.muller@shop.io</v>
      </c>
      <c r="O98" s="9" t="str">
        <f>IFERROR(__xludf.DUMMYFUNCTION("IF(REGEXMATCH(TRIM(N98),""^[A-Za-z0-9._%+-]+@[A-Za-z0-9.-]+\.[A-Za-z]{2,}$""),""✅ Valid"",""❌ Invalid"")"),"✅ Valid")</f>
        <v>✅ Valid</v>
      </c>
      <c r="P98" s="2" t="str">
        <f t="array" ref="P98">XLOOKUP(I98,customers_clean!$A$2:$A$701,customers_clean!$K$2:$K$701)</f>
        <v>+1 554 46009220</v>
      </c>
      <c r="Q98" s="10" t="str">
        <f t="array" ref="Q98">XLOOKUP(I98,customers_clean!$A$2:$A$701,customers_clean!$N$2:$N$701)</f>
        <v>55446009220</v>
      </c>
      <c r="R98" s="9" t="str">
        <f t="array" ref="R98">XLOOKUP(I98,customers_clean!$A$2:$A$701,customers_clean!$Q$2:$Q$701)</f>
        <v>❌ INVALID</v>
      </c>
      <c r="S98" s="10" t="s">
        <v>448</v>
      </c>
      <c r="T98" s="2" t="s">
        <v>26</v>
      </c>
      <c r="U98" s="2" t="s">
        <v>103</v>
      </c>
      <c r="V98" s="2" t="s">
        <v>200</v>
      </c>
      <c r="W98" s="9" t="str">
        <f t="array" ref="W98">IF(ISNA(XLOOKUP(V98,products_master_corrected!$A$2:$A$151,products_master_corrected!$A$2:$A$151, NA())),
    "❌ MISSING SKU", "✅")</f>
        <v>✅</v>
      </c>
      <c r="X98" s="2" t="s">
        <v>190</v>
      </c>
      <c r="Y98" s="2" t="s">
        <v>202</v>
      </c>
      <c r="Z98" s="10" t="s">
        <v>63</v>
      </c>
      <c r="AA98" s="27">
        <v>1.0</v>
      </c>
      <c r="AB98" s="9" t="s">
        <v>8649</v>
      </c>
      <c r="AC98" s="28">
        <f t="array" ref="AC98">XLOOKUP(V98,products_master_corrected!$A$2:$A$151,products_master_corrected!$E$2:$E$151)</f>
        <v>61.21</v>
      </c>
      <c r="AD98" s="28">
        <f t="shared" si="15"/>
        <v>61.21</v>
      </c>
      <c r="AE98" s="28">
        <f t="array" ref="AE98">XLOOKUP(V98,products_master_corrected!$A$2:$A$151,products_master_corrected!$M$2:$M$151)</f>
        <v>74.04</v>
      </c>
      <c r="AF98" s="29">
        <f t="shared" si="16"/>
        <v>74.04</v>
      </c>
      <c r="AG98" s="30" t="s">
        <v>48</v>
      </c>
      <c r="AH98" s="2" t="s">
        <v>204</v>
      </c>
      <c r="AI98" s="10" t="s">
        <v>143</v>
      </c>
      <c r="AJ98" s="2" t="s">
        <v>169</v>
      </c>
      <c r="AK98" s="10" t="s">
        <v>261</v>
      </c>
      <c r="AL98" s="2" t="s">
        <v>81</v>
      </c>
    </row>
    <row r="99" ht="15.75" customHeight="1">
      <c r="A99" s="2" t="s">
        <v>4635</v>
      </c>
      <c r="B99" s="12">
        <v>44992.0</v>
      </c>
      <c r="C99" s="2" t="str">
        <f>IFERROR(__xludf.DUMMYFUNCTION("IF(ISNUMBER(B99),TEXT(B99,""yyyy-MM-dd""),REGEXREPLACE(REGEXREPLACE(TO_TEXT(B99),""[^0-9a-zA-Z]+"",""-""),""[^0-9]*$"",""""))"),"2023-03-07")</f>
        <v>2023-03-07</v>
      </c>
      <c r="D99" s="2" t="s">
        <v>8705</v>
      </c>
      <c r="H99" s="10" t="s">
        <v>8705</v>
      </c>
      <c r="I99" s="2" t="s">
        <v>1472</v>
      </c>
      <c r="J99" s="26" t="str">
        <f t="array" ref="J99">IF(ISNA(XLOOKUP(I99,customers_clean!$A$2:$A$701,customers_clean!$A$2:$A$701, NA()) ),
   "❌ MISSING CUSTOMER", "✅")</f>
        <v>✅</v>
      </c>
      <c r="K99" s="2" t="str">
        <f t="array" ref="K99">XLOOKUP(I99,customers_clean!$A$2:$A$701,customers_clean!$C$2:$C$701)</f>
        <v> Carlos Lee</v>
      </c>
      <c r="L99" s="10" t="str">
        <f t="array" ref="L99">XLOOKUP(I99,customers_clean!$A$2:$A$701,customers_clean!$D$2:$D$701)</f>
        <v>Carlos Lee</v>
      </c>
      <c r="M99" s="2" t="str">
        <f t="array" ref="M99">XLOOKUP(I99,customers_clean!$A$2:$A$701,customers_clean!$I$2:$I$701)</f>
        <v>carlos.lee@company.co.uk</v>
      </c>
      <c r="N99" s="10" t="str">
        <f t="array" ref="N99">XLOOKUP(I99,customers_clean!$A$2:$A$701,customers_clean!$H$2:$H$701)</f>
        <v>carlos.lee@company.co.uk</v>
      </c>
      <c r="O99" s="9" t="str">
        <f>IFERROR(__xludf.DUMMYFUNCTION("IF(REGEXMATCH(TRIM(N99),""^[A-Za-z0-9._%+-]+@[A-Za-z0-9.-]+\.[A-Za-z]{2,}$""),""✅ Valid"",""❌ Invalid"")"),"✅ Valid")</f>
        <v>✅ Valid</v>
      </c>
      <c r="P99" s="2">
        <f t="array" ref="P99">XLOOKUP(I99,customers_clean!$A$2:$A$701,customers_clean!$K$2:$K$701)</f>
        <v>4443668488407</v>
      </c>
      <c r="Q99" s="10" t="str">
        <f t="array" ref="Q99">XLOOKUP(I99,customers_clean!$A$2:$A$701,customers_clean!$N$2:$N$701)</f>
        <v>43668488407</v>
      </c>
      <c r="R99" s="9" t="str">
        <f t="array" ref="R99">XLOOKUP(I99,customers_clean!$A$2:$A$701,customers_clean!$Q$2:$Q$701)</f>
        <v>❌ INVALID</v>
      </c>
      <c r="S99" s="10" t="s">
        <v>114</v>
      </c>
      <c r="T99" s="2" t="s">
        <v>26</v>
      </c>
      <c r="U99" s="2" t="s">
        <v>103</v>
      </c>
      <c r="V99" s="2" t="s">
        <v>2631</v>
      </c>
      <c r="W99" s="9" t="str">
        <f t="array" ref="W99">IF(ISNA(XLOOKUP(V99,products_master_corrected!$A$2:$A$151,products_master_corrected!$A$2:$A$151, NA())),
    "❌ MISSING SKU", "✅")</f>
        <v>✅</v>
      </c>
      <c r="X99" s="2" t="s">
        <v>905</v>
      </c>
      <c r="Y99" s="2" t="s">
        <v>248</v>
      </c>
      <c r="Z99" s="10" t="s">
        <v>248</v>
      </c>
      <c r="AA99" s="27">
        <v>1.0</v>
      </c>
      <c r="AB99" s="9" t="s">
        <v>8649</v>
      </c>
      <c r="AC99" s="28">
        <f t="array" ref="AC99">XLOOKUP(V99,products_master_corrected!$A$2:$A$151,products_master_corrected!$E$2:$E$151)</f>
        <v>143.88</v>
      </c>
      <c r="AD99" s="28">
        <f t="shared" si="15"/>
        <v>143.88</v>
      </c>
      <c r="AE99" s="28">
        <f t="array" ref="AE99">XLOOKUP(V99,products_master_corrected!$A$2:$A$151,products_master_corrected!$F$2:$F$151)</f>
        <v>143.88</v>
      </c>
      <c r="AF99" s="29">
        <f t="shared" si="16"/>
        <v>143.88</v>
      </c>
      <c r="AG99" s="30" t="s">
        <v>65</v>
      </c>
      <c r="AH99" s="2" t="s">
        <v>66</v>
      </c>
      <c r="AI99" s="10" t="s">
        <v>66</v>
      </c>
      <c r="AJ99" s="2" t="s">
        <v>192</v>
      </c>
      <c r="AK99" s="10" t="s">
        <v>192</v>
      </c>
    </row>
    <row r="100" ht="15.75" customHeight="1">
      <c r="A100" s="2" t="s">
        <v>4966</v>
      </c>
      <c r="B100" s="12">
        <v>45387.0</v>
      </c>
      <c r="C100" s="2" t="str">
        <f>IFERROR(__xludf.DUMMYFUNCTION("IF(ISNUMBER(B100),TEXT(B100,""yyyy-MM-dd""),REGEXREPLACE(REGEXREPLACE(TO_TEXT(B100),""[^0-9a-zA-Z]+"",""-""),""[^0-9]*$"",""""))"),"2024-04-05")</f>
        <v>2024-04-05</v>
      </c>
      <c r="D100" s="2" t="s">
        <v>8706</v>
      </c>
      <c r="H100" s="10" t="s">
        <v>8706</v>
      </c>
      <c r="I100" s="2" t="s">
        <v>1472</v>
      </c>
      <c r="J100" s="26" t="str">
        <f t="array" ref="J100">IF(ISNA(XLOOKUP(I100,customers_clean!$A$2:$A$701,customers_clean!$A$2:$A$701, NA()) ),
   "❌ MISSING CUSTOMER", "✅")</f>
        <v>✅</v>
      </c>
      <c r="K100" s="2" t="str">
        <f t="array" ref="K100">XLOOKUP(I100,customers_clean!$A$2:$A$701,customers_clean!$C$2:$C$701)</f>
        <v> Carlos Lee</v>
      </c>
      <c r="L100" s="10" t="str">
        <f t="array" ref="L100">XLOOKUP(I100,customers_clean!$A$2:$A$701,customers_clean!$D$2:$D$701)</f>
        <v>Carlos Lee</v>
      </c>
      <c r="M100" s="2" t="str">
        <f t="array" ref="M100">XLOOKUP(I100,customers_clean!$A$2:$A$701,customers_clean!$I$2:$I$701)</f>
        <v>carlos.lee@company.co.uk</v>
      </c>
      <c r="N100" s="10" t="str">
        <f t="array" ref="N100">XLOOKUP(I100,customers_clean!$A$2:$A$701,customers_clean!$H$2:$H$701)</f>
        <v>carlos.lee@company.co.uk</v>
      </c>
      <c r="O100" s="9" t="str">
        <f>IFERROR(__xludf.DUMMYFUNCTION("IF(REGEXMATCH(TRIM(N100),""^[A-Za-z0-9._%+-]+@[A-Za-z0-9.-]+\.[A-Za-z]{2,}$""),""✅ Valid"",""❌ Invalid"")"),"✅ Valid")</f>
        <v>✅ Valid</v>
      </c>
      <c r="P100" s="2">
        <f t="array" ref="P100">XLOOKUP(I100,customers_clean!$A$2:$A$701,customers_clean!$K$2:$K$701)</f>
        <v>4443668488407</v>
      </c>
      <c r="Q100" s="10" t="str">
        <f t="array" ref="Q100">XLOOKUP(I100,customers_clean!$A$2:$A$701,customers_clean!$N$2:$N$701)</f>
        <v>43668488407</v>
      </c>
      <c r="R100" s="9" t="str">
        <f t="array" ref="R100">XLOOKUP(I100,customers_clean!$A$2:$A$701,customers_clean!$Q$2:$Q$701)</f>
        <v>❌ INVALID</v>
      </c>
      <c r="S100" s="10" t="s">
        <v>114</v>
      </c>
      <c r="T100" s="2" t="s">
        <v>223</v>
      </c>
      <c r="U100" s="2" t="s">
        <v>176</v>
      </c>
      <c r="V100" s="2" t="s">
        <v>815</v>
      </c>
      <c r="W100" s="9" t="str">
        <f t="array" ref="W100">IF(ISNA(XLOOKUP(V100,products_master_corrected!$A$2:$A$151,products_master_corrected!$A$2:$A$151, NA())),
    "❌ MISSING SKU", "✅")</f>
        <v>✅</v>
      </c>
      <c r="X100" s="2" t="s">
        <v>816</v>
      </c>
      <c r="Y100" s="2" t="s">
        <v>179</v>
      </c>
      <c r="Z100" s="10" t="s">
        <v>179</v>
      </c>
      <c r="AA100" s="27">
        <v>3.0</v>
      </c>
      <c r="AB100" s="9" t="s">
        <v>8649</v>
      </c>
      <c r="AC100" s="28">
        <f t="array" ref="AC100">XLOOKUP(V100,products_master_corrected!$A$2:$A$151,products_master_corrected!$E$2:$E$151)</f>
        <v>328.22</v>
      </c>
      <c r="AD100" s="28">
        <f t="shared" si="15"/>
        <v>984.66</v>
      </c>
      <c r="AE100" s="28">
        <f t="array" ref="AE100">XLOOKUP(V100,products_master_corrected!$A$2:$A$151,products_master_corrected!$F$2:$F$151)</f>
        <v>328.22</v>
      </c>
      <c r="AF100" s="29">
        <f t="shared" si="16"/>
        <v>984.66</v>
      </c>
      <c r="AG100" s="30" t="s">
        <v>65</v>
      </c>
      <c r="AH100" s="2" t="s">
        <v>181</v>
      </c>
      <c r="AI100" s="10" t="s">
        <v>181</v>
      </c>
      <c r="AJ100" s="2" t="s">
        <v>393</v>
      </c>
      <c r="AK100" s="10" t="s">
        <v>80</v>
      </c>
      <c r="AL100" s="2" t="s">
        <v>133</v>
      </c>
    </row>
    <row r="101" ht="15.75" customHeight="1">
      <c r="A101" s="2" t="s">
        <v>5829</v>
      </c>
      <c r="B101" s="12">
        <v>45007.87569444445</v>
      </c>
      <c r="C101" s="2" t="str">
        <f>IFERROR(__xludf.DUMMYFUNCTION("IF(ISNUMBER(B101),TEXT(B101,""yyyy-MM-dd""),REGEXREPLACE(REGEXREPLACE(TO_TEXT(B101),""[^0-9a-zA-Z]+"",""-""),""[^0-9]*$"",""""))"),"2023-03-22")</f>
        <v>2023-03-22</v>
      </c>
      <c r="D101" s="2" t="s">
        <v>8707</v>
      </c>
      <c r="H101" s="10" t="s">
        <v>8707</v>
      </c>
      <c r="I101" s="2" t="s">
        <v>1472</v>
      </c>
      <c r="J101" s="26" t="str">
        <f t="array" ref="J101">IF(ISNA(XLOOKUP(I101,customers_clean!$A$2:$A$701,customers_clean!$A$2:$A$701, NA()) ),
   "❌ MISSING CUSTOMER", "✅")</f>
        <v>✅</v>
      </c>
      <c r="K101" s="2" t="str">
        <f t="array" ref="K101">XLOOKUP(I101,customers_clean!$A$2:$A$701,customers_clean!$C$2:$C$701)</f>
        <v> Carlos Lee</v>
      </c>
      <c r="L101" s="10" t="str">
        <f t="array" ref="L101">XLOOKUP(I101,customers_clean!$A$2:$A$701,customers_clean!$D$2:$D$701)</f>
        <v>Carlos Lee</v>
      </c>
      <c r="M101" s="2" t="str">
        <f t="array" ref="M101">XLOOKUP(I101,customers_clean!$A$2:$A$701,customers_clean!$I$2:$I$701)</f>
        <v>carlos.lee@company.co.uk</v>
      </c>
      <c r="N101" s="10" t="str">
        <f t="array" ref="N101">XLOOKUP(I101,customers_clean!$A$2:$A$701,customers_clean!$H$2:$H$701)</f>
        <v>carlos.lee@company.co.uk</v>
      </c>
      <c r="O101" s="9" t="str">
        <f>IFERROR(__xludf.DUMMYFUNCTION("IF(REGEXMATCH(TRIM(N101),""^[A-Za-z0-9._%+-]+@[A-Za-z0-9.-]+\.[A-Za-z]{2,}$""),""✅ Valid"",""❌ Invalid"")"),"✅ Valid")</f>
        <v>✅ Valid</v>
      </c>
      <c r="P101" s="2">
        <f t="array" ref="P101">XLOOKUP(I101,customers_clean!$A$2:$A$701,customers_clean!$K$2:$K$701)</f>
        <v>4443668488407</v>
      </c>
      <c r="Q101" s="10" t="str">
        <f t="array" ref="Q101">XLOOKUP(I101,customers_clean!$A$2:$A$701,customers_clean!$N$2:$N$701)</f>
        <v>43668488407</v>
      </c>
      <c r="R101" s="9" t="str">
        <f t="array" ref="R101">XLOOKUP(I101,customers_clean!$A$2:$A$701,customers_clean!$Q$2:$Q$701)</f>
        <v>❌ INVALID</v>
      </c>
      <c r="S101" s="10" t="s">
        <v>114</v>
      </c>
      <c r="T101" s="2" t="s">
        <v>26</v>
      </c>
      <c r="U101" s="2" t="s">
        <v>43</v>
      </c>
      <c r="V101" s="2" t="s">
        <v>2420</v>
      </c>
      <c r="W101" s="9" t="str">
        <f t="array" ref="W101">IF(ISNA(XLOOKUP(V101,products_master_corrected!$A$2:$A$151,products_master_corrected!$A$2:$A$151, NA())),
    "❌ MISSING SKU", "✅")</f>
        <v>✅</v>
      </c>
      <c r="X101" s="2" t="s">
        <v>804</v>
      </c>
      <c r="Y101" s="2" t="s">
        <v>2421</v>
      </c>
      <c r="Z101" s="10" t="s">
        <v>248</v>
      </c>
      <c r="AA101" s="27">
        <v>3.0</v>
      </c>
      <c r="AB101" s="9" t="s">
        <v>8649</v>
      </c>
      <c r="AC101" s="28">
        <f t="array" ref="AC101">XLOOKUP(V101,products_master_corrected!$A$2:$A$151,products_master_corrected!$E$2:$E$151)</f>
        <v>21.44</v>
      </c>
      <c r="AD101" s="28">
        <f t="shared" si="15"/>
        <v>64.32</v>
      </c>
      <c r="AE101" s="28">
        <f t="array" ref="AE101">XLOOKUP(V101,products_master_corrected!$A$2:$A$151,products_master_corrected!$F$2:$F$151)</f>
        <v>21.44</v>
      </c>
      <c r="AF101" s="29">
        <f t="shared" si="16"/>
        <v>64.32</v>
      </c>
      <c r="AG101" s="30" t="s">
        <v>65</v>
      </c>
      <c r="AH101" s="2" t="s">
        <v>305</v>
      </c>
      <c r="AI101" s="10" t="s">
        <v>49</v>
      </c>
      <c r="AJ101" s="2" t="s">
        <v>345</v>
      </c>
      <c r="AK101" s="10" t="s">
        <v>261</v>
      </c>
    </row>
    <row r="102" ht="15.75" customHeight="1">
      <c r="A102" s="2" t="s">
        <v>2436</v>
      </c>
      <c r="B102" s="12">
        <v>45551.603472222225</v>
      </c>
      <c r="C102" s="2" t="str">
        <f>IFERROR(__xludf.DUMMYFUNCTION("IF(ISNUMBER(B102),TEXT(B102,""yyyy-MM-dd""),REGEXREPLACE(REGEXREPLACE(TO_TEXT(B102),""[^0-9a-zA-Z]+"",""-""),""[^0-9]*$"",""""))"),"2024-09-16")</f>
        <v>2024-09-16</v>
      </c>
      <c r="D102" s="2" t="s">
        <v>7743</v>
      </c>
      <c r="H102" s="10" t="s">
        <v>7743</v>
      </c>
      <c r="I102" s="2" t="s">
        <v>1472</v>
      </c>
      <c r="J102" s="26" t="str">
        <f t="array" ref="J102">IF(ISNA(XLOOKUP(I102,customers_clean!$A$2:$A$701,customers_clean!$A$2:$A$701, NA()) ),
   "❌ MISSING CUSTOMER", "✅")</f>
        <v>✅</v>
      </c>
      <c r="K102" s="2" t="str">
        <f t="array" ref="K102">XLOOKUP(I102,customers_clean!$A$2:$A$701,customers_clean!$C$2:$C$701)</f>
        <v> Carlos Lee</v>
      </c>
      <c r="L102" s="10" t="str">
        <f t="array" ref="L102">XLOOKUP(I102,customers_clean!$A$2:$A$701,customers_clean!$D$2:$D$701)</f>
        <v>Carlos Lee</v>
      </c>
      <c r="M102" s="2" t="str">
        <f t="array" ref="M102">XLOOKUP(I102,customers_clean!$A$2:$A$701,customers_clean!$I$2:$I$701)</f>
        <v>carlos.lee@company.co.uk</v>
      </c>
      <c r="N102" s="10" t="str">
        <f t="array" ref="N102">XLOOKUP(I102,customers_clean!$A$2:$A$701,customers_clean!$H$2:$H$701)</f>
        <v>carlos.lee@company.co.uk</v>
      </c>
      <c r="O102" s="9" t="str">
        <f>IFERROR(__xludf.DUMMYFUNCTION("IF(REGEXMATCH(TRIM(N102),""^[A-Za-z0-9._%+-]+@[A-Za-z0-9.-]+\.[A-Za-z]{2,}$""),""✅ Valid"",""❌ Invalid"")"),"✅ Valid")</f>
        <v>✅ Valid</v>
      </c>
      <c r="P102" s="2">
        <f t="array" ref="P102">XLOOKUP(I102,customers_clean!$A$2:$A$701,customers_clean!$K$2:$K$701)</f>
        <v>4443668488407</v>
      </c>
      <c r="Q102" s="10" t="str">
        <f t="array" ref="Q102">XLOOKUP(I102,customers_clean!$A$2:$A$701,customers_clean!$N$2:$N$701)</f>
        <v>43668488407</v>
      </c>
      <c r="R102" s="9" t="str">
        <f t="array" ref="R102">XLOOKUP(I102,customers_clean!$A$2:$A$701,customers_clean!$Q$2:$Q$701)</f>
        <v>❌ INVALID</v>
      </c>
      <c r="S102" s="10" t="s">
        <v>114</v>
      </c>
      <c r="T102" s="2" t="s">
        <v>115</v>
      </c>
      <c r="U102" s="2" t="s">
        <v>75</v>
      </c>
      <c r="V102" s="2" t="s">
        <v>2398</v>
      </c>
      <c r="W102" s="9" t="str">
        <f t="array" ref="W102">IF(ISNA(XLOOKUP(V102,products_master_corrected!$A$2:$A$151,products_master_corrected!$A$2:$A$151, NA())),
    "❌ MISSING SKU", "✅")</f>
        <v>✅</v>
      </c>
      <c r="X102" s="2" t="s">
        <v>225</v>
      </c>
      <c r="Y102" s="2" t="s">
        <v>179</v>
      </c>
      <c r="Z102" s="10" t="s">
        <v>179</v>
      </c>
      <c r="AA102" s="27">
        <v>2.0</v>
      </c>
      <c r="AB102" s="9" t="s">
        <v>8649</v>
      </c>
      <c r="AC102" s="28">
        <f t="array" ref="AC102">XLOOKUP(V102,products_master_corrected!$A$2:$A$151,products_master_corrected!$E$2:$E$151)</f>
        <v>40.55</v>
      </c>
      <c r="AD102" s="28">
        <f t="shared" si="15"/>
        <v>81.1</v>
      </c>
      <c r="AE102" s="28">
        <f t="array" ref="AE102">XLOOKUP(V102,products_master_corrected!$A$2:$A$151,products_master_corrected!$F$2:$F$151)</f>
        <v>40.55</v>
      </c>
      <c r="AF102" s="29">
        <f t="shared" si="16"/>
        <v>81.1</v>
      </c>
      <c r="AG102" s="30" t="s">
        <v>65</v>
      </c>
      <c r="AH102" s="2" t="s">
        <v>573</v>
      </c>
      <c r="AI102" s="10" t="s">
        <v>66</v>
      </c>
      <c r="AJ102" s="2" t="s">
        <v>345</v>
      </c>
      <c r="AK102" s="10" t="s">
        <v>261</v>
      </c>
    </row>
    <row r="103" ht="15.75" customHeight="1">
      <c r="A103" s="2" t="s">
        <v>5149</v>
      </c>
      <c r="B103" s="12">
        <v>45308.0</v>
      </c>
      <c r="C103" s="2" t="str">
        <f>IFERROR(__xludf.DUMMYFUNCTION("IF(ISNUMBER(B103),TEXT(B103,""yyyy-MM-dd""),REGEXREPLACE(REGEXREPLACE(TO_TEXT(B103),""[^0-9a-zA-Z]+"",""-""),""[^0-9]*$"",""""))"),"2024-01-17")</f>
        <v>2024-01-17</v>
      </c>
      <c r="D103" s="2" t="s">
        <v>5150</v>
      </c>
      <c r="H103" s="10" t="s">
        <v>5150</v>
      </c>
      <c r="I103" s="2" t="s">
        <v>1472</v>
      </c>
      <c r="J103" s="26" t="str">
        <f t="array" ref="J103">IF(ISNA(XLOOKUP(I103,customers_clean!$A$2:$A$701,customers_clean!$A$2:$A$701, NA()) ),
   "❌ MISSING CUSTOMER", "✅")</f>
        <v>✅</v>
      </c>
      <c r="K103" s="2" t="str">
        <f t="array" ref="K103">XLOOKUP(I103,customers_clean!$A$2:$A$701,customers_clean!$C$2:$C$701)</f>
        <v> Carlos Lee</v>
      </c>
      <c r="L103" s="10" t="str">
        <f t="array" ref="L103">XLOOKUP(I103,customers_clean!$A$2:$A$701,customers_clean!$D$2:$D$701)</f>
        <v>Carlos Lee</v>
      </c>
      <c r="M103" s="2" t="str">
        <f t="array" ref="M103">XLOOKUP(I103,customers_clean!$A$2:$A$701,customers_clean!$I$2:$I$701)</f>
        <v>carlos.lee@company.co.uk</v>
      </c>
      <c r="N103" s="10" t="str">
        <f t="array" ref="N103">XLOOKUP(I103,customers_clean!$A$2:$A$701,customers_clean!$H$2:$H$701)</f>
        <v>carlos.lee@company.co.uk</v>
      </c>
      <c r="O103" s="9" t="str">
        <f>IFERROR(__xludf.DUMMYFUNCTION("IF(REGEXMATCH(TRIM(N103),""^[A-Za-z0-9._%+-]+@[A-Za-z0-9.-]+\.[A-Za-z]{2,}$""),""✅ Valid"",""❌ Invalid"")"),"✅ Valid")</f>
        <v>✅ Valid</v>
      </c>
      <c r="P103" s="2">
        <f t="array" ref="P103">XLOOKUP(I103,customers_clean!$A$2:$A$701,customers_clean!$K$2:$K$701)</f>
        <v>4443668488407</v>
      </c>
      <c r="Q103" s="10" t="str">
        <f t="array" ref="Q103">XLOOKUP(I103,customers_clean!$A$2:$A$701,customers_clean!$N$2:$N$701)</f>
        <v>43668488407</v>
      </c>
      <c r="R103" s="9" t="str">
        <f t="array" ref="R103">XLOOKUP(I103,customers_clean!$A$2:$A$701,customers_clean!$Q$2:$Q$701)</f>
        <v>❌ INVALID</v>
      </c>
      <c r="S103" s="10" t="s">
        <v>114</v>
      </c>
      <c r="T103" s="2" t="s">
        <v>223</v>
      </c>
      <c r="U103" s="2" t="s">
        <v>312</v>
      </c>
      <c r="V103" s="2" t="s">
        <v>2483</v>
      </c>
      <c r="W103" s="9" t="str">
        <f t="array" ref="W103">IF(ISNA(XLOOKUP(V103,products_master_corrected!$A$2:$A$151,products_master_corrected!$A$2:$A$151, NA())),
    "❌ MISSING SKU", "✅")</f>
        <v>✅</v>
      </c>
      <c r="X103" s="2" t="s">
        <v>280</v>
      </c>
      <c r="Y103" s="2" t="s">
        <v>503</v>
      </c>
      <c r="Z103" s="10" t="str">
        <f>PROPER(TRIM(Y103))</f>
        <v>Monitors</v>
      </c>
      <c r="AA103" s="27">
        <v>3.0</v>
      </c>
      <c r="AB103" s="9" t="s">
        <v>8649</v>
      </c>
      <c r="AC103" s="28">
        <f t="array" ref="AC103">XLOOKUP(V103,products_master_corrected!$A$2:$A$151,products_master_corrected!$E$2:$E$151)</f>
        <v>76.81</v>
      </c>
      <c r="AD103" s="28">
        <f t="shared" si="15"/>
        <v>230.43</v>
      </c>
      <c r="AE103" s="28">
        <f t="array" ref="AE103">XLOOKUP(V103,products_master_corrected!$A$2:$A$151,products_master_corrected!$F$2:$F$151)</f>
        <v>76.81</v>
      </c>
      <c r="AF103" s="29">
        <f t="shared" si="16"/>
        <v>230.43</v>
      </c>
      <c r="AG103" s="30" t="s">
        <v>65</v>
      </c>
      <c r="AH103" s="2" t="s">
        <v>33</v>
      </c>
      <c r="AI103" s="10" t="s">
        <v>181</v>
      </c>
      <c r="AJ103" s="2" t="s">
        <v>80</v>
      </c>
      <c r="AK103" s="10" t="s">
        <v>80</v>
      </c>
      <c r="AL103" s="2" t="s">
        <v>51</v>
      </c>
    </row>
    <row r="104" ht="15.75" customHeight="1">
      <c r="A104" s="2" t="s">
        <v>1470</v>
      </c>
      <c r="B104" s="12">
        <v>45167.0</v>
      </c>
      <c r="C104" s="2" t="str">
        <f>IFERROR(__xludf.DUMMYFUNCTION("IF(ISNUMBER(B104),TEXT(B104,""yyyy-MM-dd""),REGEXREPLACE(REGEXREPLACE(TO_TEXT(B104),""[^0-9a-zA-Z]+"",""-""),""[^0-9]*$"",""""))"),"2023-08-29")</f>
        <v>2023-08-29</v>
      </c>
      <c r="D104" s="2" t="s">
        <v>8708</v>
      </c>
      <c r="H104" s="10" t="s">
        <v>8708</v>
      </c>
      <c r="I104" s="2" t="s">
        <v>1472</v>
      </c>
      <c r="J104" s="26" t="str">
        <f t="array" ref="J104">IF(ISNA(XLOOKUP(I104,customers_clean!$A$2:$A$701,customers_clean!$A$2:$A$701, NA()) ),
   "❌ MISSING CUSTOMER", "✅")</f>
        <v>✅</v>
      </c>
      <c r="K104" s="2" t="str">
        <f t="array" ref="K104">XLOOKUP(I104,customers_clean!$A$2:$A$701,customers_clean!$C$2:$C$701)</f>
        <v> Carlos Lee</v>
      </c>
      <c r="L104" s="10" t="str">
        <f t="array" ref="L104">XLOOKUP(I104,customers_clean!$A$2:$A$701,customers_clean!$D$2:$D$701)</f>
        <v>Carlos Lee</v>
      </c>
      <c r="M104" s="2" t="str">
        <f t="array" ref="M104">XLOOKUP(I104,customers_clean!$A$2:$A$701,customers_clean!$I$2:$I$701)</f>
        <v>carlos.lee@company.co.uk</v>
      </c>
      <c r="N104" s="10" t="str">
        <f t="array" ref="N104">XLOOKUP(I104,customers_clean!$A$2:$A$701,customers_clean!$H$2:$H$701)</f>
        <v>carlos.lee@company.co.uk</v>
      </c>
      <c r="O104" s="9" t="str">
        <f>IFERROR(__xludf.DUMMYFUNCTION("IF(REGEXMATCH(TRIM(N104),""^[A-Za-z0-9._%+-]+@[A-Za-z0-9.-]+\.[A-Za-z]{2,}$""),""✅ Valid"",""❌ Invalid"")"),"✅ Valid")</f>
        <v>✅ Valid</v>
      </c>
      <c r="P104" s="2">
        <f t="array" ref="P104">XLOOKUP(I104,customers_clean!$A$2:$A$701,customers_clean!$K$2:$K$701)</f>
        <v>4443668488407</v>
      </c>
      <c r="Q104" s="10" t="str">
        <f t="array" ref="Q104">XLOOKUP(I104,customers_clean!$A$2:$A$701,customers_clean!$N$2:$N$701)</f>
        <v>43668488407</v>
      </c>
      <c r="R104" s="9" t="str">
        <f t="array" ref="R104">XLOOKUP(I104,customers_clean!$A$2:$A$701,customers_clean!$Q$2:$Q$701)</f>
        <v>❌ INVALID</v>
      </c>
      <c r="S104" s="10" t="s">
        <v>114</v>
      </c>
      <c r="T104" s="2" t="s">
        <v>26</v>
      </c>
      <c r="U104" s="2" t="s">
        <v>1475</v>
      </c>
      <c r="V104" s="2" t="s">
        <v>1476</v>
      </c>
      <c r="W104" s="9" t="str">
        <f t="array" ref="W104">IF(ISNA(XLOOKUP(V104,products_master_corrected!$A$2:$A$151,products_master_corrected!$A$2:$A$151, NA())),
    "❌ MISSING SKU", "✅")</f>
        <v>✅</v>
      </c>
      <c r="X104" s="2" t="s">
        <v>1147</v>
      </c>
      <c r="Y104" s="2" t="s">
        <v>1477</v>
      </c>
      <c r="Z104" s="10" t="s">
        <v>248</v>
      </c>
      <c r="AA104" s="27">
        <v>1.0</v>
      </c>
      <c r="AB104" s="9" t="s">
        <v>8649</v>
      </c>
      <c r="AC104" s="28">
        <f t="array" ref="AC104">XLOOKUP(V104,products_master_corrected!$A$2:$A$151,products_master_corrected!$E$2:$E$151)</f>
        <v>147.92</v>
      </c>
      <c r="AD104" s="28">
        <f t="shared" si="15"/>
        <v>147.92</v>
      </c>
      <c r="AE104" s="28">
        <f t="array" ref="AE104">XLOOKUP(V104,products_master_corrected!$A$2:$A$151,products_master_corrected!$F$2:$F$151)</f>
        <v>147.92</v>
      </c>
      <c r="AF104" s="29">
        <f t="shared" si="16"/>
        <v>147.92</v>
      </c>
      <c r="AG104" s="30" t="s">
        <v>65</v>
      </c>
      <c r="AH104" s="2" t="s">
        <v>573</v>
      </c>
      <c r="AI104" s="10" t="s">
        <v>66</v>
      </c>
      <c r="AJ104" s="2" t="s">
        <v>261</v>
      </c>
      <c r="AK104" s="10" t="s">
        <v>261</v>
      </c>
      <c r="AL104" s="2" t="s">
        <v>51</v>
      </c>
    </row>
    <row r="105" ht="15.75" customHeight="1">
      <c r="A105" s="2" t="s">
        <v>4153</v>
      </c>
      <c r="B105" s="12">
        <v>45130.0</v>
      </c>
      <c r="C105" s="2" t="str">
        <f>IFERROR(__xludf.DUMMYFUNCTION("IF(ISNUMBER(B105),TEXT(B105,""yyyy-MM-dd""),REGEXREPLACE(REGEXREPLACE(TO_TEXT(B105),""[^0-9a-zA-Z]+"",""-""),""[^0-9]*$"",""""))"),"2023-07-23")</f>
        <v>2023-07-23</v>
      </c>
      <c r="D105" s="2" t="s">
        <v>8419</v>
      </c>
      <c r="H105" s="10" t="s">
        <v>8419</v>
      </c>
      <c r="I105" s="2" t="s">
        <v>1472</v>
      </c>
      <c r="J105" s="26" t="str">
        <f t="array" ref="J105">IF(ISNA(XLOOKUP(I105,customers_clean!$A$2:$A$701,customers_clean!$A$2:$A$701, NA()) ),
   "❌ MISSING CUSTOMER", "✅")</f>
        <v>✅</v>
      </c>
      <c r="K105" s="2" t="str">
        <f t="array" ref="K105">XLOOKUP(I105,customers_clean!$A$2:$A$701,customers_clean!$C$2:$C$701)</f>
        <v> Carlos Lee</v>
      </c>
      <c r="L105" s="10" t="str">
        <f t="array" ref="L105">XLOOKUP(I105,customers_clean!$A$2:$A$701,customers_clean!$D$2:$D$701)</f>
        <v>Carlos Lee</v>
      </c>
      <c r="M105" s="2" t="str">
        <f t="array" ref="M105">XLOOKUP(I105,customers_clean!$A$2:$A$701,customers_clean!$I$2:$I$701)</f>
        <v>carlos.lee@company.co.uk</v>
      </c>
      <c r="N105" s="10" t="str">
        <f t="array" ref="N105">XLOOKUP(I105,customers_clean!$A$2:$A$701,customers_clean!$H$2:$H$701)</f>
        <v>carlos.lee@company.co.uk</v>
      </c>
      <c r="O105" s="9" t="str">
        <f>IFERROR(__xludf.DUMMYFUNCTION("IF(REGEXMATCH(TRIM(N105),""^[A-Za-z0-9._%+-]+@[A-Za-z0-9.-]+\.[A-Za-z]{2,}$""),""✅ Valid"",""❌ Invalid"")"),"✅ Valid")</f>
        <v>✅ Valid</v>
      </c>
      <c r="P105" s="2">
        <f t="array" ref="P105">XLOOKUP(I105,customers_clean!$A$2:$A$701,customers_clean!$K$2:$K$701)</f>
        <v>4443668488407</v>
      </c>
      <c r="Q105" s="10" t="str">
        <f t="array" ref="Q105">XLOOKUP(I105,customers_clean!$A$2:$A$701,customers_clean!$N$2:$N$701)</f>
        <v>43668488407</v>
      </c>
      <c r="R105" s="9" t="str">
        <f t="array" ref="R105">XLOOKUP(I105,customers_clean!$A$2:$A$701,customers_clean!$Q$2:$Q$701)</f>
        <v>❌ INVALID</v>
      </c>
      <c r="S105" s="10" t="s">
        <v>114</v>
      </c>
      <c r="T105" s="2" t="s">
        <v>59</v>
      </c>
      <c r="U105" s="2" t="s">
        <v>333</v>
      </c>
      <c r="V105" s="2" t="s">
        <v>1849</v>
      </c>
      <c r="W105" s="9" t="str">
        <f t="array" ref="W105">IF(ISNA(XLOOKUP(V105,products_master_corrected!$A$2:$A$151,products_master_corrected!$A$2:$A$151, NA())),
    "❌ MISSING SKU", "✅")</f>
        <v>✅</v>
      </c>
      <c r="X105" s="2" t="s">
        <v>403</v>
      </c>
      <c r="Y105" s="2" t="s">
        <v>248</v>
      </c>
      <c r="Z105" s="10" t="s">
        <v>248</v>
      </c>
      <c r="AA105" s="27">
        <v>5.0</v>
      </c>
      <c r="AB105" s="9" t="s">
        <v>8649</v>
      </c>
      <c r="AC105" s="28">
        <f t="array" ref="AC105">XLOOKUP(V105,products_master_corrected!$A$2:$A$151,products_master_corrected!$E$2:$E$151)</f>
        <v>46.23</v>
      </c>
      <c r="AD105" s="28">
        <f t="shared" si="15"/>
        <v>231.15</v>
      </c>
      <c r="AE105" s="28">
        <f t="array" ref="AE105">XLOOKUP(V105,products_master_corrected!$A$2:$A$151,products_master_corrected!$F$2:$F$151)</f>
        <v>46.23</v>
      </c>
      <c r="AF105" s="29">
        <f t="shared" si="16"/>
        <v>231.15</v>
      </c>
      <c r="AG105" s="30" t="s">
        <v>65</v>
      </c>
      <c r="AH105" s="2" t="s">
        <v>96</v>
      </c>
      <c r="AI105" s="10" t="s">
        <v>143</v>
      </c>
      <c r="AJ105" s="2" t="s">
        <v>432</v>
      </c>
      <c r="AK105" s="10" t="s">
        <v>80</v>
      </c>
      <c r="AL105" s="2" t="s">
        <v>133</v>
      </c>
    </row>
    <row r="106" ht="15.75" customHeight="1">
      <c r="A106" s="2" t="s">
        <v>4762</v>
      </c>
      <c r="B106" s="12">
        <v>44956.4625</v>
      </c>
      <c r="C106" s="2" t="str">
        <f>IFERROR(__xludf.DUMMYFUNCTION("IF(ISNUMBER(B106),TEXT(B106,""yyyy-MM-dd""),REGEXREPLACE(REGEXREPLACE(TO_TEXT(B106),""[^0-9a-zA-Z]+"",""-""),""[^0-9]*$"",""""))"),"2023-01-30")</f>
        <v>2023-01-30</v>
      </c>
      <c r="D106" s="2" t="s">
        <v>8486</v>
      </c>
      <c r="H106" s="10" t="s">
        <v>8486</v>
      </c>
      <c r="I106" s="2" t="s">
        <v>1472</v>
      </c>
      <c r="J106" s="26" t="str">
        <f t="array" ref="J106">IF(ISNA(XLOOKUP(I106,customers_clean!$A$2:$A$701,customers_clean!$A$2:$A$701, NA()) ),
   "❌ MISSING CUSTOMER", "✅")</f>
        <v>✅</v>
      </c>
      <c r="K106" s="2" t="str">
        <f t="array" ref="K106">XLOOKUP(I106,customers_clean!$A$2:$A$701,customers_clean!$C$2:$C$701)</f>
        <v> Carlos Lee</v>
      </c>
      <c r="L106" s="10" t="str">
        <f t="array" ref="L106">XLOOKUP(I106,customers_clean!$A$2:$A$701,customers_clean!$D$2:$D$701)</f>
        <v>Carlos Lee</v>
      </c>
      <c r="M106" s="2" t="str">
        <f t="array" ref="M106">XLOOKUP(I106,customers_clean!$A$2:$A$701,customers_clean!$I$2:$I$701)</f>
        <v>carlos.lee@company.co.uk</v>
      </c>
      <c r="N106" s="10" t="str">
        <f t="array" ref="N106">XLOOKUP(I106,customers_clean!$A$2:$A$701,customers_clean!$H$2:$H$701)</f>
        <v>carlos.lee@company.co.uk</v>
      </c>
      <c r="O106" s="9" t="str">
        <f>IFERROR(__xludf.DUMMYFUNCTION("IF(REGEXMATCH(TRIM(N106),""^[A-Za-z0-9._%+-]+@[A-Za-z0-9.-]+\.[A-Za-z]{2,}$""),""✅ Valid"",""❌ Invalid"")"),"✅ Valid")</f>
        <v>✅ Valid</v>
      </c>
      <c r="P106" s="2">
        <f t="array" ref="P106">XLOOKUP(I106,customers_clean!$A$2:$A$701,customers_clean!$K$2:$K$701)</f>
        <v>4443668488407</v>
      </c>
      <c r="Q106" s="10" t="str">
        <f t="array" ref="Q106">XLOOKUP(I106,customers_clean!$A$2:$A$701,customers_clean!$N$2:$N$701)</f>
        <v>43668488407</v>
      </c>
      <c r="R106" s="9" t="str">
        <f t="array" ref="R106">XLOOKUP(I106,customers_clean!$A$2:$A$701,customers_clean!$Q$2:$Q$701)</f>
        <v>❌ INVALID</v>
      </c>
      <c r="S106" s="10" t="s">
        <v>114</v>
      </c>
      <c r="T106" s="2" t="s">
        <v>301</v>
      </c>
      <c r="U106" s="2" t="s">
        <v>522</v>
      </c>
      <c r="V106" s="2" t="s">
        <v>2033</v>
      </c>
      <c r="W106" s="9" t="str">
        <f t="array" ref="W106">IF(ISNA(XLOOKUP(V106,products_master_corrected!$A$2:$A$151,products_master_corrected!$A$2:$A$151, NA())),
    "❌ MISSING SKU", "✅")</f>
        <v>✅</v>
      </c>
      <c r="X106" s="2" t="s">
        <v>2034</v>
      </c>
      <c r="Y106" s="2" t="s">
        <v>1016</v>
      </c>
      <c r="Z106" s="10" t="s">
        <v>355</v>
      </c>
      <c r="AA106" s="27">
        <v>1.0</v>
      </c>
      <c r="AB106" s="9" t="s">
        <v>8649</v>
      </c>
      <c r="AC106" s="28">
        <f t="array" ref="AC106">XLOOKUP(V106,products_master_corrected!$A$2:$A$151,products_master_corrected!$E$2:$E$151)</f>
        <v>938.62</v>
      </c>
      <c r="AD106" s="28">
        <f t="shared" si="15"/>
        <v>938.62</v>
      </c>
      <c r="AE106" s="28">
        <f t="array" ref="AE106">XLOOKUP(V106,products_master_corrected!$A$2:$A$151,products_master_corrected!$F$2:$F$151)</f>
        <v>938.62</v>
      </c>
      <c r="AF106" s="29">
        <f t="shared" si="16"/>
        <v>938.62</v>
      </c>
      <c r="AG106" s="30" t="s">
        <v>65</v>
      </c>
      <c r="AH106" s="2" t="s">
        <v>49</v>
      </c>
      <c r="AI106" s="10" t="s">
        <v>49</v>
      </c>
      <c r="AJ106" s="2" t="s">
        <v>818</v>
      </c>
      <c r="AK106" s="10" t="s">
        <v>818</v>
      </c>
      <c r="AL106" s="2" t="s">
        <v>51</v>
      </c>
    </row>
    <row r="107" ht="15.75" customHeight="1">
      <c r="A107" s="2" t="s">
        <v>4338</v>
      </c>
      <c r="B107" s="12">
        <v>45773.17013888889</v>
      </c>
      <c r="C107" s="2" t="str">
        <f>IFERROR(__xludf.DUMMYFUNCTION("IF(ISNUMBER(B107),TEXT(B107,""yyyy-MM-dd""),REGEXREPLACE(REGEXREPLACE(TO_TEXT(B107),""[^0-9a-zA-Z]+"",""-""),""[^0-9]*$"",""""))"),"2025-04-26")</f>
        <v>2025-04-26</v>
      </c>
      <c r="D107" s="2" t="s">
        <v>8709</v>
      </c>
      <c r="H107" s="10" t="s">
        <v>8709</v>
      </c>
      <c r="I107" s="2" t="s">
        <v>1472</v>
      </c>
      <c r="J107" s="26" t="str">
        <f t="array" ref="J107">IF(ISNA(XLOOKUP(I107,customers_clean!$A$2:$A$701,customers_clean!$A$2:$A$701, NA()) ),
   "❌ MISSING CUSTOMER", "✅")</f>
        <v>✅</v>
      </c>
      <c r="K107" s="2" t="str">
        <f t="array" ref="K107">XLOOKUP(I107,customers_clean!$A$2:$A$701,customers_clean!$C$2:$C$701)</f>
        <v> Carlos Lee</v>
      </c>
      <c r="L107" s="10" t="str">
        <f t="array" ref="L107">XLOOKUP(I107,customers_clean!$A$2:$A$701,customers_clean!$D$2:$D$701)</f>
        <v>Carlos Lee</v>
      </c>
      <c r="M107" s="2" t="str">
        <f t="array" ref="M107">XLOOKUP(I107,customers_clean!$A$2:$A$701,customers_clean!$I$2:$I$701)</f>
        <v>carlos.lee@company.co.uk</v>
      </c>
      <c r="N107" s="10" t="str">
        <f t="array" ref="N107">XLOOKUP(I107,customers_clean!$A$2:$A$701,customers_clean!$H$2:$H$701)</f>
        <v>carlos.lee@company.co.uk</v>
      </c>
      <c r="O107" s="9" t="str">
        <f>IFERROR(__xludf.DUMMYFUNCTION("IF(REGEXMATCH(TRIM(N107),""^[A-Za-z0-9._%+-]+@[A-Za-z0-9.-]+\.[A-Za-z]{2,}$""),""✅ Valid"",""❌ Invalid"")"),"✅ Valid")</f>
        <v>✅ Valid</v>
      </c>
      <c r="P107" s="2">
        <f t="array" ref="P107">XLOOKUP(I107,customers_clean!$A$2:$A$701,customers_clean!$K$2:$K$701)</f>
        <v>4443668488407</v>
      </c>
      <c r="Q107" s="10" t="str">
        <f t="array" ref="Q107">XLOOKUP(I107,customers_clean!$A$2:$A$701,customers_clean!$N$2:$N$701)</f>
        <v>43668488407</v>
      </c>
      <c r="R107" s="9" t="str">
        <f t="array" ref="R107">XLOOKUP(I107,customers_clean!$A$2:$A$701,customers_clean!$Q$2:$Q$701)</f>
        <v>❌ INVALID</v>
      </c>
      <c r="S107" s="10" t="s">
        <v>114</v>
      </c>
      <c r="T107" s="2" t="s">
        <v>42</v>
      </c>
      <c r="U107" s="2" t="s">
        <v>870</v>
      </c>
      <c r="V107" s="2" t="s">
        <v>1197</v>
      </c>
      <c r="W107" s="9" t="str">
        <f t="array" ref="W107">IF(ISNA(XLOOKUP(V107,products_master_corrected!$A$2:$A$151,products_master_corrected!$A$2:$A$151, NA())),
    "❌ MISSING SKU", "✅")</f>
        <v>✅</v>
      </c>
      <c r="X107" s="2" t="s">
        <v>1138</v>
      </c>
      <c r="Y107" s="2" t="s">
        <v>1199</v>
      </c>
      <c r="Z107" s="10" t="s">
        <v>179</v>
      </c>
      <c r="AA107" s="27"/>
      <c r="AB107" s="9" t="s">
        <v>8677</v>
      </c>
      <c r="AC107" s="34"/>
      <c r="AD107" s="34"/>
      <c r="AE107" s="34"/>
      <c r="AF107" s="35"/>
      <c r="AG107" s="36" t="s">
        <v>65</v>
      </c>
      <c r="AH107" s="2" t="s">
        <v>370</v>
      </c>
      <c r="AI107" s="10" t="s">
        <v>143</v>
      </c>
      <c r="AJ107" s="2" t="s">
        <v>345</v>
      </c>
      <c r="AK107" s="10" t="s">
        <v>261</v>
      </c>
      <c r="AL107" s="2" t="s">
        <v>81</v>
      </c>
    </row>
    <row r="108" ht="15.75" customHeight="1">
      <c r="A108" s="2" t="s">
        <v>3202</v>
      </c>
      <c r="B108" s="12">
        <v>45345.0</v>
      </c>
      <c r="C108" s="2" t="str">
        <f>IFERROR(__xludf.DUMMYFUNCTION("IF(ISNUMBER(B108),TEXT(B108,""yyyy-MM-dd""),REGEXREPLACE(REGEXREPLACE(TO_TEXT(B108),""[^0-9a-zA-Z]+"",""-""),""[^0-9]*$"",""""))"),"2024-02-23")</f>
        <v>2024-02-23</v>
      </c>
      <c r="D108" s="2" t="s">
        <v>8710</v>
      </c>
      <c r="H108" s="10" t="s">
        <v>8710</v>
      </c>
      <c r="I108" s="2" t="s">
        <v>3204</v>
      </c>
      <c r="J108" s="26" t="str">
        <f t="array" ref="J108">IF(ISNA(XLOOKUP(I108,customers_clean!$A$2:$A$701,customers_clean!$A$2:$A$701, NA()) ),
   "❌ MISSING CUSTOMER", "✅")</f>
        <v>✅</v>
      </c>
      <c r="K108" s="2" t="str">
        <f t="array" ref="K108">XLOOKUP(I108,customers_clean!$A$2:$A$701,customers_clean!$C$2:$C$701)</f>
        <v>Zack Taylor</v>
      </c>
      <c r="L108" s="10" t="str">
        <f t="array" ref="L108">XLOOKUP(I108,customers_clean!$A$2:$A$701,customers_clean!$D$2:$D$701)</f>
        <v>Zack Taylor</v>
      </c>
      <c r="M108" s="2" t="str">
        <f t="array" ref="M108">XLOOKUP(I108,customers_clean!$A$2:$A$701,customers_clean!$I$2:$I$701)</f>
        <v>zack.taylor@outloo.kcom</v>
      </c>
      <c r="N108" s="10" t="str">
        <f t="array" ref="N108">XLOOKUP(I108,customers_clean!$A$2:$A$701,customers_clean!$H$2:$H$701)</f>
        <v>zack.taylor@outloo.kcom</v>
      </c>
      <c r="O108" s="9" t="str">
        <f>IFERROR(__xludf.DUMMYFUNCTION("IF(REGEXMATCH(TRIM(N108),""^[A-Za-z0-9._%+-]+@[A-Za-z0-9.-]+\.[A-Za-z]{2,}$""),""✅ Valid"",""❌ Invalid"")"),"✅ Valid")</f>
        <v>✅ Valid</v>
      </c>
      <c r="P108" s="2" t="str">
        <f t="array" ref="P108">XLOOKUP(I108,customers_clean!$A$2:$A$701,customers_clean!$K$2:$K$701)</f>
        <v>+353+59277378</v>
      </c>
      <c r="Q108" s="10" t="str">
        <f t="array" ref="Q108">XLOOKUP(I108,customers_clean!$A$2:$A$701,customers_clean!$N$2:$N$701)</f>
        <v>59277378</v>
      </c>
      <c r="R108" s="9" t="str">
        <f t="array" ref="R108">XLOOKUP(I108,customers_clean!$A$2:$A$701,customers_clean!$Q$2:$Q$701)</f>
        <v>❌ INVALID</v>
      </c>
      <c r="S108" s="10" t="s">
        <v>25</v>
      </c>
      <c r="T108" s="2" t="s">
        <v>1365</v>
      </c>
      <c r="U108" s="2" t="s">
        <v>401</v>
      </c>
      <c r="V108" s="2" t="s">
        <v>325</v>
      </c>
      <c r="W108" s="9" t="str">
        <f t="array" ref="W108">IF(ISNA(XLOOKUP(V108,products_master_corrected!$A$2:$A$151,products_master_corrected!$A$2:$A$151, NA())),
    "❌ MISSING SKU", "✅")</f>
        <v>✅</v>
      </c>
      <c r="X108" s="2" t="s">
        <v>280</v>
      </c>
      <c r="Y108" s="2" t="s">
        <v>315</v>
      </c>
      <c r="Z108" s="10" t="s">
        <v>179</v>
      </c>
      <c r="AA108" s="27">
        <v>1.0</v>
      </c>
      <c r="AB108" s="9" t="s">
        <v>8649</v>
      </c>
      <c r="AC108" s="28">
        <f t="array" ref="AC108">XLOOKUP(V108,products_master_corrected!$A$2:$A$151,products_master_corrected!$E$2:$E$151)</f>
        <v>145.23</v>
      </c>
      <c r="AD108" s="28">
        <f t="shared" ref="AD108:AD122" si="17">AA108*AC108</f>
        <v>145.23</v>
      </c>
      <c r="AE108" s="28">
        <f t="array" ref="AE108">XLOOKUP(V108,products_master_corrected!$A$2:$A$151,products_master_corrected!$K$2:$K$151)</f>
        <v>747.21</v>
      </c>
      <c r="AF108" s="29">
        <f t="shared" ref="AF108:AF122" si="18">AA108*AE108</f>
        <v>747.21</v>
      </c>
      <c r="AG108" s="30" t="s">
        <v>95</v>
      </c>
      <c r="AH108" s="2" t="s">
        <v>66</v>
      </c>
      <c r="AI108" s="10" t="s">
        <v>66</v>
      </c>
      <c r="AJ108" s="2" t="s">
        <v>158</v>
      </c>
      <c r="AK108" s="10" t="s">
        <v>818</v>
      </c>
      <c r="AL108" s="2" t="s">
        <v>133</v>
      </c>
    </row>
    <row r="109" ht="15.75" customHeight="1">
      <c r="A109" s="2" t="s">
        <v>4739</v>
      </c>
      <c r="B109" s="12">
        <v>45441.0</v>
      </c>
      <c r="C109" s="2" t="str">
        <f>IFERROR(__xludf.DUMMYFUNCTION("IF(ISNUMBER(B109),TEXT(B109,""yyyy-MM-dd""),REGEXREPLACE(REGEXREPLACE(TO_TEXT(B109),""[^0-9a-zA-Z]+"",""-""),""[^0-9]*$"",""""))"),"2024-05-29")</f>
        <v>2024-05-29</v>
      </c>
      <c r="D109" s="2" t="s">
        <v>8711</v>
      </c>
      <c r="H109" s="10" t="s">
        <v>8711</v>
      </c>
      <c r="I109" s="2" t="s">
        <v>4741</v>
      </c>
      <c r="J109" s="26" t="str">
        <f t="array" ref="J109">IF(ISNA(XLOOKUP(I109,customers_clean!$A$2:$A$701,customers_clean!$A$2:$A$701, NA()) ),
   "❌ MISSING CUSTOMER", "✅")</f>
        <v>✅</v>
      </c>
      <c r="K109" s="2" t="str">
        <f t="array" ref="K109">XLOOKUP(I109,customers_clean!$A$2:$A$701,customers_clean!$C$2:$C$701)</f>
        <v>Hanna Dubois</v>
      </c>
      <c r="L109" s="10" t="str">
        <f t="array" ref="L109">XLOOKUP(I109,customers_clean!$A$2:$A$701,customers_clean!$D$2:$D$701)</f>
        <v>Hanna Dubois</v>
      </c>
      <c r="M109" s="2" t="str">
        <f t="array" ref="M109">XLOOKUP(I109,customers_clean!$A$2:$A$701,customers_clean!$I$2:$I$701)</f>
        <v>Hanna.Dubois@Shop.Io</v>
      </c>
      <c r="N109" s="10" t="str">
        <f t="array" ref="N109">XLOOKUP(I109,customers_clean!$A$2:$A$701,customers_clean!$H$2:$H$701)</f>
        <v>hanna.dubois@shop.io</v>
      </c>
      <c r="O109" s="9" t="str">
        <f>IFERROR(__xludf.DUMMYFUNCTION("IF(REGEXMATCH(TRIM(N109),""^[A-Za-z0-9._%+-]+@[A-Za-z0-9.-]+\.[A-Za-z]{2,}$""),""✅ Valid"",""❌ Invalid"")"),"✅ Valid")</f>
        <v>✅ Valid</v>
      </c>
      <c r="P109" s="2" t="str">
        <f t="array" ref="P109">XLOOKUP(I109,customers_clean!$A$2:$A$701,customers_clean!$K$2:$K$701)</f>
        <v>+4407459439187</v>
      </c>
      <c r="Q109" s="10" t="str">
        <f t="array" ref="Q109">XLOOKUP(I109,customers_clean!$A$2:$A$701,customers_clean!$N$2:$N$701)</f>
        <v>07459439187</v>
      </c>
      <c r="R109" s="9" t="str">
        <f t="array" ref="R109">XLOOKUP(I109,customers_clean!$A$2:$A$701,customers_clean!$Q$2:$Q$701)</f>
        <v>✅ VALID</v>
      </c>
      <c r="S109" s="10" t="s">
        <v>88</v>
      </c>
      <c r="T109" s="2" t="s">
        <v>4745</v>
      </c>
      <c r="U109" s="2" t="s">
        <v>512</v>
      </c>
      <c r="V109" s="2" t="s">
        <v>325</v>
      </c>
      <c r="W109" s="9" t="str">
        <f t="array" ref="W109">IF(ISNA(XLOOKUP(V109,products_master_corrected!$A$2:$A$151,products_master_corrected!$A$2:$A$151, NA())),
    "❌ MISSING SKU", "✅")</f>
        <v>✅</v>
      </c>
      <c r="X109" s="2" t="s">
        <v>280</v>
      </c>
      <c r="Y109" s="2" t="s">
        <v>315</v>
      </c>
      <c r="Z109" s="10" t="s">
        <v>179</v>
      </c>
      <c r="AA109" s="27">
        <v>3.0</v>
      </c>
      <c r="AB109" s="9" t="s">
        <v>8649</v>
      </c>
      <c r="AC109" s="28">
        <f t="array" ref="AC109">XLOOKUP(V109,products_master_corrected!$A$2:$A$151,products_master_corrected!$E$2:$E$151)</f>
        <v>145.23</v>
      </c>
      <c r="AD109" s="28">
        <f t="shared" si="17"/>
        <v>435.69</v>
      </c>
      <c r="AE109" s="28">
        <f t="array" ref="AE109">XLOOKUP(V109,products_master_corrected!$A$2:$A$151,products_master_corrected!$I$2:$I$151)</f>
        <v>160.1</v>
      </c>
      <c r="AF109" s="29">
        <f t="shared" si="18"/>
        <v>480.3</v>
      </c>
      <c r="AG109" s="32" t="s">
        <v>8660</v>
      </c>
      <c r="AH109" s="2" t="s">
        <v>143</v>
      </c>
      <c r="AI109" s="10" t="s">
        <v>143</v>
      </c>
      <c r="AJ109" s="2" t="s">
        <v>380</v>
      </c>
      <c r="AK109" s="10" t="s">
        <v>80</v>
      </c>
      <c r="AL109" s="2" t="s">
        <v>133</v>
      </c>
    </row>
    <row r="110" ht="15.75" customHeight="1">
      <c r="A110" s="2" t="s">
        <v>5595</v>
      </c>
      <c r="B110" s="12">
        <v>44974.0</v>
      </c>
      <c r="C110" s="2" t="str">
        <f>IFERROR(__xludf.DUMMYFUNCTION("IF(ISNUMBER(B110),TEXT(B110,""yyyy-MM-dd""),REGEXREPLACE(REGEXREPLACE(TO_TEXT(B110),""[^0-9a-zA-Z]+"",""-""),""[^0-9]*$"",""""))"),"2023-02-17")</f>
        <v>2023-02-17</v>
      </c>
      <c r="D110" s="2" t="s">
        <v>5596</v>
      </c>
      <c r="H110" s="10" t="s">
        <v>5596</v>
      </c>
      <c r="I110" s="2" t="s">
        <v>4741</v>
      </c>
      <c r="J110" s="26" t="str">
        <f t="array" ref="J110">IF(ISNA(XLOOKUP(I110,customers_clean!$A$2:$A$701,customers_clean!$A$2:$A$701, NA()) ),
   "❌ MISSING CUSTOMER", "✅")</f>
        <v>✅</v>
      </c>
      <c r="K110" s="2" t="str">
        <f t="array" ref="K110">XLOOKUP(I110,customers_clean!$A$2:$A$701,customers_clean!$C$2:$C$701)</f>
        <v>Hanna Dubois</v>
      </c>
      <c r="L110" s="10" t="str">
        <f t="array" ref="L110">XLOOKUP(I110,customers_clean!$A$2:$A$701,customers_clean!$D$2:$D$701)</f>
        <v>Hanna Dubois</v>
      </c>
      <c r="M110" s="2" t="str">
        <f t="array" ref="M110">XLOOKUP(I110,customers_clean!$A$2:$A$701,customers_clean!$I$2:$I$701)</f>
        <v>Hanna.Dubois@Shop.Io</v>
      </c>
      <c r="N110" s="10" t="str">
        <f t="array" ref="N110">XLOOKUP(I110,customers_clean!$A$2:$A$701,customers_clean!$H$2:$H$701)</f>
        <v>hanna.dubois@shop.io</v>
      </c>
      <c r="O110" s="9" t="str">
        <f>IFERROR(__xludf.DUMMYFUNCTION("IF(REGEXMATCH(TRIM(N110),""^[A-Za-z0-9._%+-]+@[A-Za-z0-9.-]+\.[A-Za-z]{2,}$""),""✅ Valid"",""❌ Invalid"")"),"✅ Valid")</f>
        <v>✅ Valid</v>
      </c>
      <c r="P110" s="2" t="str">
        <f t="array" ref="P110">XLOOKUP(I110,customers_clean!$A$2:$A$701,customers_clean!$K$2:$K$701)</f>
        <v>+4407459439187</v>
      </c>
      <c r="Q110" s="10" t="str">
        <f t="array" ref="Q110">XLOOKUP(I110,customers_clean!$A$2:$A$701,customers_clean!$N$2:$N$701)</f>
        <v>07459439187</v>
      </c>
      <c r="R110" s="9" t="str">
        <f t="array" ref="R110">XLOOKUP(I110,customers_clean!$A$2:$A$701,customers_clean!$Q$2:$Q$701)</f>
        <v>✅ VALID</v>
      </c>
      <c r="S110" s="10" t="s">
        <v>88</v>
      </c>
      <c r="T110" s="2" t="s">
        <v>42</v>
      </c>
      <c r="U110" s="2" t="s">
        <v>75</v>
      </c>
      <c r="V110" s="2" t="s">
        <v>2680</v>
      </c>
      <c r="W110" s="9" t="str">
        <f t="array" ref="W110">IF(ISNA(XLOOKUP(V110,products_master_corrected!$A$2:$A$151,products_master_corrected!$A$2:$A$151, NA())),
    "❌ MISSING SKU", "✅")</f>
        <v>✅</v>
      </c>
      <c r="X110" s="2" t="s">
        <v>303</v>
      </c>
      <c r="Y110" s="2" t="s">
        <v>2421</v>
      </c>
      <c r="Z110" s="10" t="s">
        <v>248</v>
      </c>
      <c r="AA110" s="27">
        <v>2.0</v>
      </c>
      <c r="AB110" s="9" t="s">
        <v>8649</v>
      </c>
      <c r="AC110" s="28">
        <f t="array" ref="AC110">XLOOKUP(V110,products_master_corrected!$A$2:$A$151,products_master_corrected!$E$2:$E$151)</f>
        <v>121.47</v>
      </c>
      <c r="AD110" s="28">
        <f t="shared" si="17"/>
        <v>242.94</v>
      </c>
      <c r="AE110" s="28">
        <f t="array" ref="AE110">XLOOKUP(V110,products_master_corrected!$A$2:$A$151,products_master_corrected!$I$2:$I$151)</f>
        <v>133.91</v>
      </c>
      <c r="AF110" s="29">
        <f t="shared" si="18"/>
        <v>267.82</v>
      </c>
      <c r="AG110" s="32" t="s">
        <v>8660</v>
      </c>
      <c r="AH110" s="2" t="s">
        <v>143</v>
      </c>
      <c r="AI110" s="10" t="s">
        <v>143</v>
      </c>
      <c r="AJ110" s="2" t="s">
        <v>192</v>
      </c>
      <c r="AK110" s="10" t="s">
        <v>192</v>
      </c>
    </row>
    <row r="111" ht="15.75" customHeight="1">
      <c r="A111" s="2" t="s">
        <v>5975</v>
      </c>
      <c r="B111" s="12">
        <v>45620.0</v>
      </c>
      <c r="C111" s="2" t="str">
        <f>IFERROR(__xludf.DUMMYFUNCTION("IF(ISNUMBER(B111),TEXT(B111,""yyyy-MM-dd""),REGEXREPLACE(REGEXREPLACE(TO_TEXT(B111),""[^0-9a-zA-Z]+"",""-""),""[^0-9]*$"",""""))"),"2024-11-24")</f>
        <v>2024-11-24</v>
      </c>
      <c r="D111" s="2" t="s">
        <v>5976</v>
      </c>
      <c r="H111" s="10" t="s">
        <v>5976</v>
      </c>
      <c r="I111" s="2" t="s">
        <v>5977</v>
      </c>
      <c r="J111" s="26" t="str">
        <f t="array" ref="J111">IF(ISNA(XLOOKUP(I111,customers_clean!$A$2:$A$701,customers_clean!$A$2:$A$701, NA()) ),
   "❌ MISSING CUSTOMER", "✅")</f>
        <v>✅</v>
      </c>
      <c r="K111" s="2" t="str">
        <f t="array" ref="K111">XLOOKUP(I111,customers_clean!$A$2:$A$701,customers_clean!$C$2:$C$701)</f>
        <v>Wiktor Nowak </v>
      </c>
      <c r="L111" s="10" t="str">
        <f t="array" ref="L111">XLOOKUP(I111,customers_clean!$A$2:$A$701,customers_clean!$D$2:$D$701)</f>
        <v>Wiktor Nowak</v>
      </c>
      <c r="M111" s="2" t="str">
        <f t="array" ref="M111">XLOOKUP(I111,customers_clean!$A$2:$A$701,customers_clean!$I$2:$I$701)</f>
        <v>wiktor.nowak@company.co.uk</v>
      </c>
      <c r="N111" s="10" t="str">
        <f t="array" ref="N111">XLOOKUP(I111,customers_clean!$A$2:$A$701,customers_clean!$H$2:$H$701)</f>
        <v>wiktor.nowak@company.co.uk</v>
      </c>
      <c r="O111" s="9" t="str">
        <f>IFERROR(__xludf.DUMMYFUNCTION("IF(REGEXMATCH(TRIM(N111),""^[A-Za-z0-9._%+-]+@[A-Za-z0-9.-]+\.[A-Za-z]{2,}$""),""✅ Valid"",""❌ Invalid"")"),"✅ Valid")</f>
        <v>✅ Valid</v>
      </c>
      <c r="P111" s="2" t="str">
        <f t="array" ref="P111">XLOOKUP(I111,customers_clean!$A$2:$A$701,customers_clean!$K$2:$K$701)</f>
        <v>+49 05-62-19-14-8</v>
      </c>
      <c r="Q111" s="10" t="str">
        <f t="array" ref="Q111">XLOOKUP(I111,customers_clean!$A$2:$A$701,customers_clean!$N$2:$N$701)</f>
        <v>056219148</v>
      </c>
      <c r="R111" s="9" t="str">
        <f t="array" ref="R111">XLOOKUP(I111,customers_clean!$A$2:$A$701,customers_clean!$Q$2:$Q$701)</f>
        <v>❌ INVALID</v>
      </c>
      <c r="S111" s="10" t="s">
        <v>25</v>
      </c>
      <c r="T111" s="2" t="s">
        <v>223</v>
      </c>
      <c r="U111" s="2" t="s">
        <v>1178</v>
      </c>
      <c r="V111" s="2" t="s">
        <v>246</v>
      </c>
      <c r="W111" s="9" t="str">
        <f t="array" ref="W111">IF(ISNA(XLOOKUP(V111,products_master_corrected!$A$2:$A$151,products_master_corrected!$A$2:$A$151, NA())),
    "❌ MISSING SKU", "✅")</f>
        <v>✅</v>
      </c>
      <c r="X111" s="2" t="s">
        <v>1138</v>
      </c>
      <c r="Y111" s="2" t="s">
        <v>248</v>
      </c>
      <c r="Z111" s="10" t="s">
        <v>248</v>
      </c>
      <c r="AA111" s="27">
        <v>2.0</v>
      </c>
      <c r="AB111" s="9" t="s">
        <v>8649</v>
      </c>
      <c r="AC111" s="28">
        <f t="array" ref="AC111">XLOOKUP(V111,products_master_corrected!$A$2:$A$151,products_master_corrected!$E$2:$E$151)</f>
        <v>259.62</v>
      </c>
      <c r="AD111" s="28">
        <f t="shared" si="17"/>
        <v>519.24</v>
      </c>
      <c r="AE111" s="28">
        <f t="array" ref="AE111">XLOOKUP(V111,products_master_corrected!$A$2:$A$151,products_master_corrected!$K$2:$K$151)</f>
        <v>1335.74</v>
      </c>
      <c r="AF111" s="29">
        <f t="shared" si="18"/>
        <v>2671.48</v>
      </c>
      <c r="AG111" s="30" t="s">
        <v>95</v>
      </c>
      <c r="AH111" s="2" t="s">
        <v>379</v>
      </c>
      <c r="AI111" s="10" t="s">
        <v>143</v>
      </c>
      <c r="AJ111" s="2" t="s">
        <v>251</v>
      </c>
      <c r="AK111" s="10" t="s">
        <v>192</v>
      </c>
      <c r="AL111" s="2" t="s">
        <v>133</v>
      </c>
    </row>
    <row r="112" ht="15.75" customHeight="1">
      <c r="A112" s="2" t="s">
        <v>4141</v>
      </c>
      <c r="B112" s="12" t="s">
        <v>4142</v>
      </c>
      <c r="C112" s="2" t="str">
        <f>IFERROR(__xludf.DUMMYFUNCTION("IF(ISNUMBER(B112),TEXT(B112,""yyyy-MM-dd""),REGEXREPLACE(REGEXREPLACE(TO_TEXT(B112),""[^0-9a-zA-Z]+"",""-""),""[^0-9]*$"",""""))"),"27-01-2025-17-12")</f>
        <v>27-01-2025-17-12</v>
      </c>
      <c r="D112" s="2" t="str">
        <f>TEXT(C112,"yyyy-MM-dd")</f>
        <v>27-01-2025-17-12</v>
      </c>
      <c r="E112" s="12" t="str">
        <f>IFERROR(__xludf.DUMMYFUNCTION("REGEXEXTRACT(D112,""^\d{2}-\d{2}-\d{4}"")"),"27-01-2025")</f>
        <v>27-01-2025</v>
      </c>
      <c r="F112" s="2" t="s">
        <v>6281</v>
      </c>
      <c r="H112" s="10" t="s">
        <v>6281</v>
      </c>
      <c r="I112" s="2" t="s">
        <v>1507</v>
      </c>
      <c r="J112" s="26" t="str">
        <f t="array" ref="J112">IF(ISNA(XLOOKUP(I112,customers_clean!$A$2:$A$701,customers_clean!$A$2:$A$701, NA()) ),
   "❌ MISSING CUSTOMER", "✅")</f>
        <v>✅</v>
      </c>
      <c r="K112" s="2" t="str">
        <f t="array" ref="K112">XLOOKUP(I112,customers_clean!$A$2:$A$701,customers_clean!$C$2:$C$701)</f>
        <v>Carlos Johnson </v>
      </c>
      <c r="L112" s="10" t="str">
        <f t="array" ref="L112">XLOOKUP(I112,customers_clean!$A$2:$A$701,customers_clean!$D$2:$D$701)</f>
        <v>Carlos Johnson</v>
      </c>
      <c r="M112" s="2" t="str">
        <f t="array" ref="M112">XLOOKUP(I112,customers_clean!$A$2:$A$701,customers_clean!$I$2:$I$701)</f>
        <v>calros.johnson@outlook.com</v>
      </c>
      <c r="N112" s="10" t="str">
        <f t="array" ref="N112">XLOOKUP(I112,customers_clean!$A$2:$A$701,customers_clean!$H$2:$H$701)</f>
        <v>calros.johnson@outlook.com</v>
      </c>
      <c r="O112" s="9" t="str">
        <f>IFERROR(__xludf.DUMMYFUNCTION("IF(REGEXMATCH(TRIM(N112),""^[A-Za-z0-9._%+-]+@[A-Za-z0-9.-]+\.[A-Za-z]{2,}$""),""✅ Valid"",""❌ Invalid"")"),"✅ Valid")</f>
        <v>✅ Valid</v>
      </c>
      <c r="P112" s="33" t="str">
        <f t="array" ref="P112">XLOOKUP(I112,customers_clean!$A$2:$A$701,customers_clean!$K$2:$K$701)</f>
        <v>+48 6785 4897</v>
      </c>
      <c r="Q112" s="10" t="str">
        <f t="array" ref="Q112">XLOOKUP(I112,customers_clean!$A$2:$A$701,customers_clean!$N$2:$N$701)</f>
        <v>67854897</v>
      </c>
      <c r="R112" s="9" t="str">
        <f t="array" ref="R112">XLOOKUP(I112,customers_clean!$A$2:$A$701,customers_clean!$Q$2:$Q$701)</f>
        <v>❌ INVALID</v>
      </c>
      <c r="S112" s="10" t="s">
        <v>58</v>
      </c>
      <c r="T112" s="2" t="s">
        <v>115</v>
      </c>
      <c r="U112" s="2" t="s">
        <v>103</v>
      </c>
      <c r="V112" s="2" t="s">
        <v>3210</v>
      </c>
      <c r="W112" s="9" t="str">
        <f t="array" ref="W112">IF(ISNA(XLOOKUP(V112,products_master_corrected!$A$2:$A$151,products_master_corrected!$A$2:$A$151, NA())),
    "❌ MISSING SKU", "✅")</f>
        <v>✅</v>
      </c>
      <c r="X112" s="2" t="s">
        <v>3597</v>
      </c>
      <c r="Y112" s="2" t="s">
        <v>167</v>
      </c>
      <c r="Z112" s="10" t="str">
        <f>PROPER(TRIM(Y112))</f>
        <v>Monitors</v>
      </c>
      <c r="AA112" s="27">
        <v>3.0</v>
      </c>
      <c r="AB112" s="9" t="s">
        <v>8649</v>
      </c>
      <c r="AC112" s="28">
        <f t="array" ref="AC112">XLOOKUP(V112,products_master_corrected!$A$2:$A$151,products_master_corrected!$E$2:$E$151)</f>
        <v>253.27</v>
      </c>
      <c r="AD112" s="28">
        <f t="shared" si="17"/>
        <v>759.81</v>
      </c>
      <c r="AE112" s="28">
        <f t="array" ref="AE112">XLOOKUP(V112,products_master_corrected!$A$2:$A$151,products_master_corrected!$G$2:$G$151)</f>
        <v>289.94</v>
      </c>
      <c r="AF112" s="29">
        <f t="shared" si="18"/>
        <v>869.82</v>
      </c>
      <c r="AG112" s="32" t="s">
        <v>8663</v>
      </c>
      <c r="AH112" s="2" t="s">
        <v>238</v>
      </c>
      <c r="AI112" s="10" t="s">
        <v>66</v>
      </c>
      <c r="AJ112" s="2" t="s">
        <v>192</v>
      </c>
      <c r="AK112" s="10" t="s">
        <v>192</v>
      </c>
    </row>
    <row r="113" ht="15.75" customHeight="1">
      <c r="A113" s="2" t="s">
        <v>1505</v>
      </c>
      <c r="B113" s="12">
        <v>45588.0</v>
      </c>
      <c r="C113" s="2" t="str">
        <f>IFERROR(__xludf.DUMMYFUNCTION("IF(ISNUMBER(B113),TEXT(B113,""yyyy-MM-dd""),REGEXREPLACE(REGEXREPLACE(TO_TEXT(B113),""[^0-9a-zA-Z]+"",""-""),""[^0-9]*$"",""""))"),"2024-10-23")</f>
        <v>2024-10-23</v>
      </c>
      <c r="D113" s="2" t="s">
        <v>6238</v>
      </c>
      <c r="H113" s="10" t="s">
        <v>6238</v>
      </c>
      <c r="I113" s="2" t="s">
        <v>1507</v>
      </c>
      <c r="J113" s="26" t="str">
        <f t="array" ref="J113">IF(ISNA(XLOOKUP(I113,customers_clean!$A$2:$A$701,customers_clean!$A$2:$A$701, NA()) ),
   "❌ MISSING CUSTOMER", "✅")</f>
        <v>✅</v>
      </c>
      <c r="K113" s="2" t="str">
        <f t="array" ref="K113">XLOOKUP(I113,customers_clean!$A$2:$A$701,customers_clean!$C$2:$C$701)</f>
        <v>Carlos Johnson </v>
      </c>
      <c r="L113" s="10" t="str">
        <f t="array" ref="L113">XLOOKUP(I113,customers_clean!$A$2:$A$701,customers_clean!$D$2:$D$701)</f>
        <v>Carlos Johnson</v>
      </c>
      <c r="M113" s="2" t="str">
        <f t="array" ref="M113">XLOOKUP(I113,customers_clean!$A$2:$A$701,customers_clean!$I$2:$I$701)</f>
        <v>calros.johnson@outlook.com</v>
      </c>
      <c r="N113" s="10" t="str">
        <f t="array" ref="N113">XLOOKUP(I113,customers_clean!$A$2:$A$701,customers_clean!$H$2:$H$701)</f>
        <v>calros.johnson@outlook.com</v>
      </c>
      <c r="O113" s="9" t="str">
        <f>IFERROR(__xludf.DUMMYFUNCTION("IF(REGEXMATCH(TRIM(N113),""^[A-Za-z0-9._%+-]+@[A-Za-z0-9.-]+\.[A-Za-z]{2,}$""),""✅ Valid"",""❌ Invalid"")"),"✅ Valid")</f>
        <v>✅ Valid</v>
      </c>
      <c r="P113" s="33" t="str">
        <f t="array" ref="P113">XLOOKUP(I113,customers_clean!$A$2:$A$701,customers_clean!$K$2:$K$701)</f>
        <v>+48 6785 4897</v>
      </c>
      <c r="Q113" s="10" t="str">
        <f t="array" ref="Q113">XLOOKUP(I113,customers_clean!$A$2:$A$701,customers_clean!$N$2:$N$701)</f>
        <v>67854897</v>
      </c>
      <c r="R113" s="9" t="str">
        <f t="array" ref="R113">XLOOKUP(I113,customers_clean!$A$2:$A$701,customers_clean!$Q$2:$Q$701)</f>
        <v>❌ INVALID</v>
      </c>
      <c r="S113" s="10" t="s">
        <v>58</v>
      </c>
      <c r="T113" s="2" t="s">
        <v>1511</v>
      </c>
      <c r="U113" s="2" t="s">
        <v>312</v>
      </c>
      <c r="V113" s="2" t="s">
        <v>61</v>
      </c>
      <c r="W113" s="9" t="str">
        <f t="array" ref="W113">IF(ISNA(XLOOKUP(V113,products_master_corrected!$A$2:$A$151,products_master_corrected!$A$2:$A$151, NA())),
    "❌ MISSING SKU", "✅")</f>
        <v>✅</v>
      </c>
      <c r="X113" s="2" t="s">
        <v>62</v>
      </c>
      <c r="Y113" s="2" t="s">
        <v>63</v>
      </c>
      <c r="Z113" s="10" t="s">
        <v>63</v>
      </c>
      <c r="AA113" s="27">
        <v>2.0</v>
      </c>
      <c r="AB113" s="9" t="s">
        <v>8649</v>
      </c>
      <c r="AC113" s="28">
        <f t="array" ref="AC113">XLOOKUP(V113,products_master_corrected!$A$2:$A$151,products_master_corrected!$E$2:$E$151)</f>
        <v>62.81</v>
      </c>
      <c r="AD113" s="28">
        <f t="shared" si="17"/>
        <v>125.62</v>
      </c>
      <c r="AE113" s="28">
        <f t="array" ref="AE113">XLOOKUP(V113,products_master_corrected!$A$2:$A$151,products_master_corrected!$G$2:$G$151)</f>
        <v>71.9</v>
      </c>
      <c r="AF113" s="29">
        <f t="shared" si="18"/>
        <v>143.8</v>
      </c>
      <c r="AG113" s="32" t="s">
        <v>8663</v>
      </c>
      <c r="AH113" s="2" t="s">
        <v>664</v>
      </c>
      <c r="AI113" s="10" t="s">
        <v>66</v>
      </c>
      <c r="AJ113" s="2" t="s">
        <v>818</v>
      </c>
      <c r="AK113" s="10" t="s">
        <v>818</v>
      </c>
    </row>
    <row r="114" ht="15.75" customHeight="1">
      <c r="A114" s="2" t="s">
        <v>5403</v>
      </c>
      <c r="B114" s="12">
        <v>45734.0</v>
      </c>
      <c r="C114" s="2" t="str">
        <f>IFERROR(__xludf.DUMMYFUNCTION("IF(ISNUMBER(B114),TEXT(B114,""yyyy-MM-dd""),REGEXREPLACE(REGEXREPLACE(TO_TEXT(B114),""[^0-9a-zA-Z]+"",""-""),""[^0-9]*$"",""""))"),"2025-03-18")</f>
        <v>2025-03-18</v>
      </c>
      <c r="D114" s="2" t="s">
        <v>8293</v>
      </c>
      <c r="H114" s="10" t="s">
        <v>8293</v>
      </c>
      <c r="I114" s="2" t="s">
        <v>5405</v>
      </c>
      <c r="J114" s="26" t="str">
        <f t="array" ref="J114">IF(ISNA(XLOOKUP(I114,customers_clean!$A$2:$A$701,customers_clean!$A$2:$A$701, NA()) ),
   "❌ MISSING CUSTOMER", "✅")</f>
        <v>✅</v>
      </c>
      <c r="K114" s="2" t="str">
        <f t="array" ref="K114">XLOOKUP(I114,customers_clean!$A$2:$A$701,customers_clean!$C$2:$C$701)</f>
        <v>Zack Lopez</v>
      </c>
      <c r="L114" s="10" t="str">
        <f t="array" ref="L114">XLOOKUP(I114,customers_clean!$A$2:$A$701,customers_clean!$D$2:$D$701)</f>
        <v>Zack Lopez</v>
      </c>
      <c r="M114" s="2" t="str">
        <f t="array" ref="M114">XLOOKUP(I114,customers_clean!$A$2:$A$701,customers_clean!$I$2:$I$701)</f>
        <v>zack.lopez@company.co.uk</v>
      </c>
      <c r="N114" s="10" t="str">
        <f t="array" ref="N114">XLOOKUP(I114,customers_clean!$A$2:$A$701,customers_clean!$H$2:$H$701)</f>
        <v>zack.lopez@company.co.uk</v>
      </c>
      <c r="O114" s="9" t="str">
        <f>IFERROR(__xludf.DUMMYFUNCTION("IF(REGEXMATCH(TRIM(N114),""^[A-Za-z0-9._%+-]+@[A-Za-z0-9.-]+\.[A-Za-z]{2,}$""),""✅ Valid"",""❌ Invalid"")"),"✅ Valid")</f>
        <v>✅ Valid</v>
      </c>
      <c r="P114" s="33" t="str">
        <f t="array" ref="P114">XLOOKUP(I114,customers_clean!$A$2:$A$701,customers_clean!$K$2:$K$701)</f>
        <v>23866267</v>
      </c>
      <c r="Q114" s="10" t="str">
        <f t="array" ref="Q114">XLOOKUP(I114,customers_clean!$A$2:$A$701,customers_clean!$N$2:$N$701)</f>
        <v>23866267</v>
      </c>
      <c r="R114" s="9" t="str">
        <f t="array" ref="R114">XLOOKUP(I114,customers_clean!$A$2:$A$701,customers_clean!$Q$2:$Q$701)</f>
        <v>❌ INVALID</v>
      </c>
      <c r="S114" s="10" t="s">
        <v>58</v>
      </c>
      <c r="T114" s="2" t="s">
        <v>74</v>
      </c>
      <c r="U114" s="2" t="s">
        <v>176</v>
      </c>
      <c r="V114" s="2" t="s">
        <v>44</v>
      </c>
      <c r="W114" s="9" t="str">
        <f t="array" ref="W114">IF(ISNA(XLOOKUP(V114,products_master_corrected!$A$2:$A$151,products_master_corrected!$A$2:$A$151, NA())),
    "❌ MISSING SKU", "✅")</f>
        <v>✅</v>
      </c>
      <c r="X114" s="2" t="s">
        <v>502</v>
      </c>
      <c r="Y114" s="2" t="s">
        <v>46</v>
      </c>
      <c r="Z114" s="10" t="s">
        <v>248</v>
      </c>
      <c r="AA114" s="27">
        <v>1.0</v>
      </c>
      <c r="AB114" s="9" t="s">
        <v>8649</v>
      </c>
      <c r="AC114" s="28">
        <f t="array" ref="AC114">XLOOKUP(V114,products_master_corrected!$A$2:$A$151,products_master_corrected!$E$2:$E$151)</f>
        <v>755.05</v>
      </c>
      <c r="AD114" s="28">
        <f t="shared" si="17"/>
        <v>755.05</v>
      </c>
      <c r="AE114" s="28">
        <f t="array" ref="AE114">XLOOKUP(V114,products_master_corrected!$A$2:$A$151,products_master_corrected!$G$2:$G$151)</f>
        <v>864.38</v>
      </c>
      <c r="AF114" s="29">
        <f t="shared" si="18"/>
        <v>864.38</v>
      </c>
      <c r="AG114" s="32" t="s">
        <v>8663</v>
      </c>
      <c r="AH114" s="2" t="s">
        <v>5410</v>
      </c>
      <c r="AI114" s="10" t="s">
        <v>181</v>
      </c>
      <c r="AJ114" s="2" t="s">
        <v>192</v>
      </c>
      <c r="AK114" s="10" t="s">
        <v>192</v>
      </c>
      <c r="AL114" s="2" t="s">
        <v>133</v>
      </c>
    </row>
    <row r="115" ht="15.75" customHeight="1">
      <c r="A115" s="2" t="s">
        <v>6042</v>
      </c>
      <c r="B115" s="12">
        <v>45719.0</v>
      </c>
      <c r="C115" s="2" t="str">
        <f>IFERROR(__xludf.DUMMYFUNCTION("IF(ISNUMBER(B115),TEXT(B115,""yyyy-MM-dd""),REGEXREPLACE(REGEXREPLACE(TO_TEXT(B115),""[^0-9a-zA-Z]+"",""-""),""[^0-9]*$"",""""))"),"2025-03-03")</f>
        <v>2025-03-03</v>
      </c>
      <c r="D115" s="2" t="s">
        <v>4706</v>
      </c>
      <c r="H115" s="10" t="s">
        <v>4706</v>
      </c>
      <c r="I115" s="2" t="s">
        <v>1456</v>
      </c>
      <c r="J115" s="26" t="str">
        <f t="array" ref="J115">IF(ISNA(XLOOKUP(I115,customers_clean!$A$2:$A$701,customers_clean!$A$2:$A$701, NA()) ),
   "❌ MISSING CUSTOMER", "✅")</f>
        <v>✅</v>
      </c>
      <c r="K115" s="2" t="str">
        <f t="array" ref="K115">XLOOKUP(I115,customers_clean!$A$2:$A$701,customers_clean!$C$2:$C$701)</f>
        <v>Omar Lopez</v>
      </c>
      <c r="L115" s="10" t="str">
        <f t="array" ref="L115">XLOOKUP(I115,customers_clean!$A$2:$A$701,customers_clean!$D$2:$D$701)</f>
        <v>Omar Lopez</v>
      </c>
      <c r="M115" s="2" t="str">
        <f t="array" ref="M115">XLOOKUP(I115,customers_clean!$A$2:$A$701,customers_clean!$I$2:$I$701)</f>
        <v>omar.lopez@yahoo.com</v>
      </c>
      <c r="N115" s="10" t="str">
        <f t="array" ref="N115">XLOOKUP(I115,customers_clean!$A$2:$A$701,customers_clean!$H$2:$H$701)</f>
        <v>omar.lopez@yahoo.com</v>
      </c>
      <c r="O115" s="9" t="str">
        <f>IFERROR(__xludf.DUMMYFUNCTION("IF(REGEXMATCH(TRIM(N115),""^[A-Za-z0-9._%+-]+@[A-Za-z0-9.-]+\.[A-Za-z]{2,}$""),""✅ Valid"",""❌ Invalid"")"),"✅ Valid")</f>
        <v>✅ Valid</v>
      </c>
      <c r="P115" s="2">
        <f t="array" ref="P115">XLOOKUP(I115,customers_clean!$A$2:$A$701,customers_clean!$K$2:$K$701)</f>
        <v>686511739</v>
      </c>
      <c r="Q115" s="10" t="str">
        <f t="array" ref="Q115">XLOOKUP(I115,customers_clean!$A$2:$A$701,customers_clean!$N$2:$N$701)</f>
        <v>686511739</v>
      </c>
      <c r="R115" s="9" t="str">
        <f t="array" ref="R115">XLOOKUP(I115,customers_clean!$A$2:$A$701,customers_clean!$Q$2:$Q$701)</f>
        <v>❌ INVALID</v>
      </c>
      <c r="S115" s="10" t="s">
        <v>608</v>
      </c>
      <c r="T115" s="2" t="s">
        <v>234</v>
      </c>
      <c r="U115" s="2" t="s">
        <v>480</v>
      </c>
      <c r="V115" s="2" t="s">
        <v>1432</v>
      </c>
      <c r="W115" s="9" t="str">
        <f t="array" ref="W115">IF(ISNA(XLOOKUP(V115,products_master_corrected!$A$2:$A$151,products_master_corrected!$A$2:$A$151, NA())),
    "❌ MISSING SKU", "✅")</f>
        <v>✅</v>
      </c>
      <c r="X115" s="2" t="s">
        <v>994</v>
      </c>
      <c r="Y115" s="2" t="s">
        <v>1328</v>
      </c>
      <c r="Z115" s="10" t="s">
        <v>179</v>
      </c>
      <c r="AA115" s="27">
        <v>1.0</v>
      </c>
      <c r="AB115" s="9" t="s">
        <v>8649</v>
      </c>
      <c r="AC115" s="28">
        <f t="array" ref="AC115">XLOOKUP(V115,products_master_corrected!$A$2:$A$151,products_master_corrected!$E$2:$E$151)</f>
        <v>513.1</v>
      </c>
      <c r="AD115" s="28">
        <f t="shared" si="17"/>
        <v>513.1</v>
      </c>
      <c r="AE115" s="28">
        <f t="array" ref="AE115">XLOOKUP(V115,products_master_corrected!$A$2:$A$151,products_master_corrected!$H$2:$H$151)</f>
        <v>576.47</v>
      </c>
      <c r="AF115" s="29">
        <f t="shared" si="18"/>
        <v>576.47</v>
      </c>
      <c r="AG115" s="32" t="s">
        <v>8658</v>
      </c>
      <c r="AH115" s="2" t="s">
        <v>526</v>
      </c>
      <c r="AI115" s="10" t="s">
        <v>49</v>
      </c>
      <c r="AJ115" s="2" t="s">
        <v>144</v>
      </c>
      <c r="AK115" s="10" t="s">
        <v>818</v>
      </c>
      <c r="AL115" s="2" t="s">
        <v>81</v>
      </c>
    </row>
    <row r="116" ht="15.75" customHeight="1">
      <c r="A116" s="2" t="s">
        <v>2470</v>
      </c>
      <c r="B116" s="12" t="s">
        <v>2471</v>
      </c>
      <c r="C116" s="2" t="str">
        <f>IFERROR(__xludf.DUMMYFUNCTION("IF(ISNUMBER(B116),TEXT(B116,""yyyy-MM-dd""),REGEXREPLACE(REGEXREPLACE(TO_TEXT(B116),""[^0-9a-zA-Z]+"",""-""),""[^0-9]*$"",""""))"),"25-12-2024")</f>
        <v>25-12-2024</v>
      </c>
      <c r="D116" s="2" t="s">
        <v>8712</v>
      </c>
      <c r="H116" s="10" t="s">
        <v>8712</v>
      </c>
      <c r="I116" s="2" t="s">
        <v>1456</v>
      </c>
      <c r="J116" s="26" t="str">
        <f t="array" ref="J116">IF(ISNA(XLOOKUP(I116,customers_clean!$A$2:$A$701,customers_clean!$A$2:$A$701, NA()) ),
   "❌ MISSING CUSTOMER", "✅")</f>
        <v>✅</v>
      </c>
      <c r="K116" s="2" t="str">
        <f t="array" ref="K116">XLOOKUP(I116,customers_clean!$A$2:$A$701,customers_clean!$C$2:$C$701)</f>
        <v>Omar Lopez</v>
      </c>
      <c r="L116" s="10" t="str">
        <f t="array" ref="L116">XLOOKUP(I116,customers_clean!$A$2:$A$701,customers_clean!$D$2:$D$701)</f>
        <v>Omar Lopez</v>
      </c>
      <c r="M116" s="2" t="str">
        <f t="array" ref="M116">XLOOKUP(I116,customers_clean!$A$2:$A$701,customers_clean!$I$2:$I$701)</f>
        <v>omar.lopez@yahoo.com</v>
      </c>
      <c r="N116" s="10" t="str">
        <f t="array" ref="N116">XLOOKUP(I116,customers_clean!$A$2:$A$701,customers_clean!$H$2:$H$701)</f>
        <v>omar.lopez@yahoo.com</v>
      </c>
      <c r="O116" s="9" t="str">
        <f>IFERROR(__xludf.DUMMYFUNCTION("IF(REGEXMATCH(TRIM(N116),""^[A-Za-z0-9._%+-]+@[A-Za-z0-9.-]+\.[A-Za-z]{2,}$""),""✅ Valid"",""❌ Invalid"")"),"✅ Valid")</f>
        <v>✅ Valid</v>
      </c>
      <c r="P116" s="2">
        <f t="array" ref="P116">XLOOKUP(I116,customers_clean!$A$2:$A$701,customers_clean!$K$2:$K$701)</f>
        <v>686511739</v>
      </c>
      <c r="Q116" s="10" t="str">
        <f t="array" ref="Q116">XLOOKUP(I116,customers_clean!$A$2:$A$701,customers_clean!$N$2:$N$701)</f>
        <v>686511739</v>
      </c>
      <c r="R116" s="9" t="str">
        <f t="array" ref="R116">XLOOKUP(I116,customers_clean!$A$2:$A$701,customers_clean!$Q$2:$Q$701)</f>
        <v>❌ INVALID</v>
      </c>
      <c r="S116" s="10" t="s">
        <v>608</v>
      </c>
      <c r="T116" s="2" t="s">
        <v>2472</v>
      </c>
      <c r="U116" s="2" t="s">
        <v>176</v>
      </c>
      <c r="V116" s="2" t="s">
        <v>1085</v>
      </c>
      <c r="W116" s="9" t="str">
        <f t="array" ref="W116">IF(ISNA(XLOOKUP(V116,products_master_corrected!$A$2:$A$151,products_master_corrected!$A$2:$A$151, NA())),
    "❌ MISSING SKU", "✅")</f>
        <v>✅</v>
      </c>
      <c r="X116" s="2" t="s">
        <v>29</v>
      </c>
      <c r="Y116" s="2" t="s">
        <v>368</v>
      </c>
      <c r="Z116" s="10" t="s">
        <v>368</v>
      </c>
      <c r="AA116" s="27">
        <v>2.0</v>
      </c>
      <c r="AB116" s="9" t="s">
        <v>8649</v>
      </c>
      <c r="AC116" s="28">
        <f t="array" ref="AC116">XLOOKUP(V116,products_master_corrected!$A$2:$A$151,products_master_corrected!$E$2:$E$151)</f>
        <v>171.42</v>
      </c>
      <c r="AD116" s="28">
        <f t="shared" si="17"/>
        <v>342.84</v>
      </c>
      <c r="AE116" s="28">
        <f t="array" ref="AE116">XLOOKUP(V116,products_master_corrected!$A$2:$A$151,products_master_corrected!$H$2:$H$151)</f>
        <v>192.59</v>
      </c>
      <c r="AF116" s="29">
        <f t="shared" si="18"/>
        <v>385.18</v>
      </c>
      <c r="AG116" s="32" t="s">
        <v>8658</v>
      </c>
      <c r="AH116" s="2" t="s">
        <v>49</v>
      </c>
      <c r="AI116" s="10" t="s">
        <v>49</v>
      </c>
      <c r="AJ116" s="2" t="s">
        <v>50</v>
      </c>
      <c r="AK116" s="10" t="s">
        <v>261</v>
      </c>
    </row>
    <row r="117" ht="15.75" customHeight="1">
      <c r="A117" s="2" t="s">
        <v>1454</v>
      </c>
      <c r="B117" s="12">
        <v>45329.0</v>
      </c>
      <c r="C117" s="2" t="str">
        <f>IFERROR(__xludf.DUMMYFUNCTION("IF(ISNUMBER(B117),TEXT(B117,""yyyy-MM-dd""),REGEXREPLACE(REGEXREPLACE(TO_TEXT(B117),""[^0-9a-zA-Z]+"",""-""),""[^0-9]*$"",""""))"),"2024-02-07")</f>
        <v>2024-02-07</v>
      </c>
      <c r="D117" s="2" t="s">
        <v>8713</v>
      </c>
      <c r="H117" s="10" t="s">
        <v>8713</v>
      </c>
      <c r="I117" s="2" t="s">
        <v>1456</v>
      </c>
      <c r="J117" s="26" t="str">
        <f t="array" ref="J117">IF(ISNA(XLOOKUP(I117,customers_clean!$A$2:$A$701,customers_clean!$A$2:$A$701, NA()) ),
   "❌ MISSING CUSTOMER", "✅")</f>
        <v>✅</v>
      </c>
      <c r="K117" s="2" t="str">
        <f t="array" ref="K117">XLOOKUP(I117,customers_clean!$A$2:$A$701,customers_clean!$C$2:$C$701)</f>
        <v>Omar Lopez</v>
      </c>
      <c r="L117" s="10" t="str">
        <f t="array" ref="L117">XLOOKUP(I117,customers_clean!$A$2:$A$701,customers_clean!$D$2:$D$701)</f>
        <v>Omar Lopez</v>
      </c>
      <c r="M117" s="2" t="str">
        <f t="array" ref="M117">XLOOKUP(I117,customers_clean!$A$2:$A$701,customers_clean!$I$2:$I$701)</f>
        <v>omar.lopez@yahoo.com</v>
      </c>
      <c r="N117" s="10" t="str">
        <f t="array" ref="N117">XLOOKUP(I117,customers_clean!$A$2:$A$701,customers_clean!$H$2:$H$701)</f>
        <v>omar.lopez@yahoo.com</v>
      </c>
      <c r="O117" s="9" t="str">
        <f>IFERROR(__xludf.DUMMYFUNCTION("IF(REGEXMATCH(TRIM(N117),""^[A-Za-z0-9._%+-]+@[A-Za-z0-9.-]+\.[A-Za-z]{2,}$""),""✅ Valid"",""❌ Invalid"")"),"✅ Valid")</f>
        <v>✅ Valid</v>
      </c>
      <c r="P117" s="2">
        <f t="array" ref="P117">XLOOKUP(I117,customers_clean!$A$2:$A$701,customers_clean!$K$2:$K$701)</f>
        <v>686511739</v>
      </c>
      <c r="Q117" s="10" t="str">
        <f t="array" ref="Q117">XLOOKUP(I117,customers_clean!$A$2:$A$701,customers_clean!$N$2:$N$701)</f>
        <v>686511739</v>
      </c>
      <c r="R117" s="9" t="str">
        <f t="array" ref="R117">XLOOKUP(I117,customers_clean!$A$2:$A$701,customers_clean!$Q$2:$Q$701)</f>
        <v>❌ INVALID</v>
      </c>
      <c r="S117" s="10" t="s">
        <v>608</v>
      </c>
      <c r="T117" s="2" t="s">
        <v>400</v>
      </c>
      <c r="U117" s="2" t="s">
        <v>480</v>
      </c>
      <c r="V117" s="2" t="s">
        <v>1460</v>
      </c>
      <c r="W117" s="9" t="str">
        <f t="array" ref="W117">IF(ISNA(XLOOKUP(V117,products_master_corrected!$A$2:$A$151,products_master_corrected!$A$2:$A$151, NA())),
    "❌ MISSING SKU", "✅")</f>
        <v>✅</v>
      </c>
      <c r="X117" s="2" t="s">
        <v>1138</v>
      </c>
      <c r="Y117" s="2" t="s">
        <v>368</v>
      </c>
      <c r="Z117" s="10" t="s">
        <v>368</v>
      </c>
      <c r="AA117" s="27">
        <v>5.0</v>
      </c>
      <c r="AB117" s="9" t="s">
        <v>8649</v>
      </c>
      <c r="AC117" s="28">
        <f t="array" ref="AC117">XLOOKUP(V117,products_master_corrected!$A$2:$A$151,products_master_corrected!$E$2:$E$151)</f>
        <v>271.81</v>
      </c>
      <c r="AD117" s="28">
        <f t="shared" si="17"/>
        <v>1359.05</v>
      </c>
      <c r="AE117" s="28">
        <f t="array" ref="AE117">XLOOKUP(V117,products_master_corrected!$A$2:$A$151,products_master_corrected!$H$2:$H$151)</f>
        <v>305.38</v>
      </c>
      <c r="AF117" s="29">
        <f t="shared" si="18"/>
        <v>1526.9</v>
      </c>
      <c r="AG117" s="32" t="s">
        <v>8658</v>
      </c>
      <c r="AH117" s="2" t="s">
        <v>49</v>
      </c>
      <c r="AI117" s="10" t="s">
        <v>49</v>
      </c>
      <c r="AJ117" s="2" t="s">
        <v>1463</v>
      </c>
      <c r="AK117" s="10" t="s">
        <v>80</v>
      </c>
      <c r="AL117" s="2" t="s">
        <v>67</v>
      </c>
    </row>
    <row r="118" ht="15.75" customHeight="1">
      <c r="A118" s="2" t="s">
        <v>3146</v>
      </c>
      <c r="B118" s="12" t="s">
        <v>3147</v>
      </c>
      <c r="C118" s="2" t="str">
        <f>IFERROR(__xludf.DUMMYFUNCTION("IF(ISNUMBER(B118),TEXT(B118,""yyyy-MM-dd""),REGEXREPLACE(REGEXREPLACE(TO_TEXT(B118),""[^0-9a-zA-Z]+"",""-""),""[^0-9]*$"",""""))"),"21-01-2023-00-37")</f>
        <v>21-01-2023-00-37</v>
      </c>
      <c r="D118" s="2" t="str">
        <f>TEXT(C118,"yyyy-MM-dd")</f>
        <v>21-01-2023-00-37</v>
      </c>
      <c r="E118" s="12" t="str">
        <f>IFERROR(__xludf.DUMMYFUNCTION("REGEXEXTRACT(D118,""^\d{2}-\d{2}-\d{4}"")"),"21-01-2023")</f>
        <v>21-01-2023</v>
      </c>
      <c r="F118" s="2" t="s">
        <v>8528</v>
      </c>
      <c r="H118" s="10" t="s">
        <v>8528</v>
      </c>
      <c r="I118" s="2" t="s">
        <v>2414</v>
      </c>
      <c r="J118" s="26" t="str">
        <f t="array" ref="J118">IF(ISNA(XLOOKUP(I118,customers_clean!$A$2:$A$701,customers_clean!$A$2:$A$701, NA()) ),
   "❌ MISSING CUSTOMER", "✅")</f>
        <v>✅</v>
      </c>
      <c r="K118" s="2" t="str">
        <f t="array" ref="K118">XLOOKUP(I118,customers_clean!$A$2:$A$701,customers_clean!$C$2:$C$701)</f>
        <v>ZACK KOWALCZYK</v>
      </c>
      <c r="L118" s="10" t="str">
        <f t="array" ref="L118">XLOOKUP(I118,customers_clean!$A$2:$A$701,customers_clean!$D$2:$D$701)</f>
        <v>Zack Kowalczyk</v>
      </c>
      <c r="M118" s="2" t="str">
        <f t="array" ref="M118">XLOOKUP(I118,customers_clean!$A$2:$A$701,customers_clean!$I$2:$I$701)</f>
        <v>zack.kowalczyk@company.co.uk </v>
      </c>
      <c r="N118" s="10" t="str">
        <f t="array" ref="N118">XLOOKUP(I118,customers_clean!$A$2:$A$701,customers_clean!$H$2:$H$701)</f>
        <v>zack.kowalczyk@company.co.uk</v>
      </c>
      <c r="O118" s="9" t="str">
        <f>IFERROR(__xludf.DUMMYFUNCTION("IF(REGEXMATCH(TRIM(N118),""^[A-Za-z0-9._%+-]+@[A-Za-z0-9.-]+\.[A-Za-z]{2,}$""),""✅ Valid"",""❌ Invalid"")"),"✅ Valid")</f>
        <v>✅ Valid</v>
      </c>
      <c r="P118" s="33" t="str">
        <f t="array" ref="P118">XLOOKUP(I118,customers_clean!$A$2:$A$701,customers_clean!$K$2:$K$701)</f>
        <v>4831399994</v>
      </c>
      <c r="Q118" s="10" t="str">
        <f t="array" ref="Q118">XLOOKUP(I118,customers_clean!$A$2:$A$701,customers_clean!$N$2:$N$701)</f>
        <v>31399994</v>
      </c>
      <c r="R118" s="9" t="str">
        <f t="array" ref="R118">XLOOKUP(I118,customers_clean!$A$2:$A$701,customers_clean!$Q$2:$Q$701)</f>
        <v>❌ INVALID</v>
      </c>
      <c r="S118" s="31" t="s">
        <v>671</v>
      </c>
      <c r="T118" s="2" t="s">
        <v>223</v>
      </c>
      <c r="U118" s="2" t="s">
        <v>211</v>
      </c>
      <c r="V118" s="2" t="s">
        <v>1722</v>
      </c>
      <c r="W118" s="9" t="str">
        <f t="array" ref="W118">IF(ISNA(XLOOKUP(V118,products_master_corrected!$A$2:$A$151,products_master_corrected!$A$2:$A$151, NA())),
    "❌ MISSING SKU", "✅")</f>
        <v>✅</v>
      </c>
      <c r="X118" s="2" t="s">
        <v>804</v>
      </c>
      <c r="Y118" s="2" t="s">
        <v>368</v>
      </c>
      <c r="Z118" s="10" t="s">
        <v>368</v>
      </c>
      <c r="AA118" s="27">
        <v>1.0</v>
      </c>
      <c r="AB118" s="9" t="s">
        <v>8649</v>
      </c>
      <c r="AC118" s="28">
        <f t="array" ref="AC118">XLOOKUP(V118,products_master_corrected!$A$2:$A$151,products_master_corrected!$E$2:$E$151)</f>
        <v>13.05</v>
      </c>
      <c r="AD118" s="28">
        <f t="shared" si="17"/>
        <v>13.05</v>
      </c>
      <c r="AE118" s="28">
        <f t="array" ref="AE118">XLOOKUP(V118,products_master_corrected!$A$2:$A$151,products_master_corrected!$J$2:$J$151)</f>
        <v>15.22</v>
      </c>
      <c r="AF118" s="29">
        <f t="shared" si="18"/>
        <v>15.22</v>
      </c>
      <c r="AG118" s="32" t="s">
        <v>8656</v>
      </c>
      <c r="AH118" s="2" t="s">
        <v>305</v>
      </c>
      <c r="AI118" s="10" t="s">
        <v>49</v>
      </c>
      <c r="AJ118" s="2" t="s">
        <v>34</v>
      </c>
      <c r="AK118" s="10" t="s">
        <v>80</v>
      </c>
      <c r="AL118" s="2" t="s">
        <v>133</v>
      </c>
    </row>
    <row r="119" ht="15.75" customHeight="1">
      <c r="A119" s="2" t="s">
        <v>2412</v>
      </c>
      <c r="B119" s="12">
        <v>45270.0</v>
      </c>
      <c r="C119" s="2" t="str">
        <f>IFERROR(__xludf.DUMMYFUNCTION("IF(ISNUMBER(B119),TEXT(B119,""yyyy-MM-dd""),REGEXREPLACE(REGEXREPLACE(TO_TEXT(B119),""[^0-9a-zA-Z]+"",""-""),""[^0-9]*$"",""""))"),"2023-12-10")</f>
        <v>2023-12-10</v>
      </c>
      <c r="D119" s="2" t="s">
        <v>8354</v>
      </c>
      <c r="H119" s="10" t="s">
        <v>8354</v>
      </c>
      <c r="I119" s="2" t="s">
        <v>2414</v>
      </c>
      <c r="J119" s="26" t="str">
        <f t="array" ref="J119">IF(ISNA(XLOOKUP(I119,customers_clean!$A$2:$A$701,customers_clean!$A$2:$A$701, NA()) ),
   "❌ MISSING CUSTOMER", "✅")</f>
        <v>✅</v>
      </c>
      <c r="K119" s="2" t="str">
        <f t="array" ref="K119">XLOOKUP(I119,customers_clean!$A$2:$A$701,customers_clean!$C$2:$C$701)</f>
        <v>ZACK KOWALCZYK</v>
      </c>
      <c r="L119" s="10" t="str">
        <f t="array" ref="L119">XLOOKUP(I119,customers_clean!$A$2:$A$701,customers_clean!$D$2:$D$701)</f>
        <v>Zack Kowalczyk</v>
      </c>
      <c r="M119" s="2" t="str">
        <f t="array" ref="M119">XLOOKUP(I119,customers_clean!$A$2:$A$701,customers_clean!$I$2:$I$701)</f>
        <v>zack.kowalczyk@company.co.uk </v>
      </c>
      <c r="N119" s="10" t="str">
        <f t="array" ref="N119">XLOOKUP(I119,customers_clean!$A$2:$A$701,customers_clean!$H$2:$H$701)</f>
        <v>zack.kowalczyk@company.co.uk</v>
      </c>
      <c r="O119" s="9" t="str">
        <f>IFERROR(__xludf.DUMMYFUNCTION("IF(REGEXMATCH(TRIM(N119),""^[A-Za-z0-9._%+-]+@[A-Za-z0-9.-]+\.[A-Za-z]{2,}$""),""✅ Valid"",""❌ Invalid"")"),"✅ Valid")</f>
        <v>✅ Valid</v>
      </c>
      <c r="P119" s="33" t="str">
        <f t="array" ref="P119">XLOOKUP(I119,customers_clean!$A$2:$A$701,customers_clean!$K$2:$K$701)</f>
        <v>4831399994</v>
      </c>
      <c r="Q119" s="10" t="str">
        <f t="array" ref="Q119">XLOOKUP(I119,customers_clean!$A$2:$A$701,customers_clean!$N$2:$N$701)</f>
        <v>31399994</v>
      </c>
      <c r="R119" s="9" t="str">
        <f t="array" ref="R119">XLOOKUP(I119,customers_clean!$A$2:$A$701,customers_clean!$Q$2:$Q$701)</f>
        <v>❌ INVALID</v>
      </c>
      <c r="S119" s="31" t="s">
        <v>671</v>
      </c>
      <c r="T119" s="2" t="s">
        <v>778</v>
      </c>
      <c r="U119" s="2" t="s">
        <v>500</v>
      </c>
      <c r="V119" s="2" t="s">
        <v>2417</v>
      </c>
      <c r="W119" s="9" t="str">
        <f t="array" ref="W119">IF(ISNA(XLOOKUP(V119,products_master_corrected!$A$2:$A$151,products_master_corrected!$A$2:$A$151, NA())),
    "❌ MISSING SKU", "✅")</f>
        <v>✅</v>
      </c>
      <c r="X119" s="2" t="s">
        <v>225</v>
      </c>
      <c r="Y119" s="2" t="s">
        <v>503</v>
      </c>
      <c r="Z119" s="10" t="str">
        <f>PROPER(TRIM(Y119))</f>
        <v>Monitors</v>
      </c>
      <c r="AA119" s="27">
        <v>3.0</v>
      </c>
      <c r="AB119" s="9" t="s">
        <v>8649</v>
      </c>
      <c r="AC119" s="28">
        <f t="array" ref="AC119">XLOOKUP(V119,products_master_corrected!$A$2:$A$151,products_master_corrected!$E$2:$E$151)</f>
        <v>45.55</v>
      </c>
      <c r="AD119" s="28">
        <f t="shared" si="17"/>
        <v>136.65</v>
      </c>
      <c r="AE119" s="28">
        <f t="array" ref="AE119">XLOOKUP(V119,products_master_corrected!$A$2:$A$151,products_master_corrected!$J$2:$J$151)</f>
        <v>53.12</v>
      </c>
      <c r="AF119" s="29">
        <f t="shared" si="18"/>
        <v>159.36</v>
      </c>
      <c r="AG119" s="32" t="s">
        <v>8656</v>
      </c>
      <c r="AH119" s="2" t="s">
        <v>181</v>
      </c>
      <c r="AI119" s="10" t="s">
        <v>181</v>
      </c>
      <c r="AJ119" s="2" t="s">
        <v>120</v>
      </c>
      <c r="AK119" s="10" t="s">
        <v>818</v>
      </c>
      <c r="AL119" s="2" t="s">
        <v>81</v>
      </c>
    </row>
    <row r="120" ht="15.75" customHeight="1">
      <c r="A120" s="2" t="s">
        <v>5115</v>
      </c>
      <c r="B120" s="12">
        <v>45650.0</v>
      </c>
      <c r="C120" s="2" t="str">
        <f>IFERROR(__xludf.DUMMYFUNCTION("IF(ISNUMBER(B120),TEXT(B120,""yyyy-MM-dd""),REGEXREPLACE(REGEXREPLACE(TO_TEXT(B120),""[^0-9a-zA-Z]+"",""-""),""[^0-9]*$"",""""))"),"2024-12-24")</f>
        <v>2024-12-24</v>
      </c>
      <c r="D120" s="2" t="s">
        <v>5116</v>
      </c>
      <c r="H120" s="10" t="s">
        <v>5116</v>
      </c>
      <c r="I120" s="2" t="s">
        <v>2414</v>
      </c>
      <c r="J120" s="26" t="str">
        <f t="array" ref="J120">IF(ISNA(XLOOKUP(I120,customers_clean!$A$2:$A$701,customers_clean!$A$2:$A$701, NA()) ),
   "❌ MISSING CUSTOMER", "✅")</f>
        <v>✅</v>
      </c>
      <c r="K120" s="2" t="str">
        <f t="array" ref="K120">XLOOKUP(I120,customers_clean!$A$2:$A$701,customers_clean!$C$2:$C$701)</f>
        <v>ZACK KOWALCZYK</v>
      </c>
      <c r="L120" s="10" t="str">
        <f t="array" ref="L120">XLOOKUP(I120,customers_clean!$A$2:$A$701,customers_clean!$D$2:$D$701)</f>
        <v>Zack Kowalczyk</v>
      </c>
      <c r="M120" s="2" t="str">
        <f t="array" ref="M120">XLOOKUP(I120,customers_clean!$A$2:$A$701,customers_clean!$I$2:$I$701)</f>
        <v>zack.kowalczyk@company.co.uk </v>
      </c>
      <c r="N120" s="10" t="str">
        <f t="array" ref="N120">XLOOKUP(I120,customers_clean!$A$2:$A$701,customers_clean!$H$2:$H$701)</f>
        <v>zack.kowalczyk@company.co.uk</v>
      </c>
      <c r="O120" s="9" t="str">
        <f>IFERROR(__xludf.DUMMYFUNCTION("IF(REGEXMATCH(TRIM(N120),""^[A-Za-z0-9._%+-]+@[A-Za-z0-9.-]+\.[A-Za-z]{2,}$""),""✅ Valid"",""❌ Invalid"")"),"✅ Valid")</f>
        <v>✅ Valid</v>
      </c>
      <c r="P120" s="33" t="str">
        <f t="array" ref="P120">XLOOKUP(I120,customers_clean!$A$2:$A$701,customers_clean!$K$2:$K$701)</f>
        <v>4831399994</v>
      </c>
      <c r="Q120" s="10" t="str">
        <f t="array" ref="Q120">XLOOKUP(I120,customers_clean!$A$2:$A$701,customers_clean!$N$2:$N$701)</f>
        <v>31399994</v>
      </c>
      <c r="R120" s="9" t="str">
        <f t="array" ref="R120">XLOOKUP(I120,customers_clean!$A$2:$A$701,customers_clean!$Q$2:$Q$701)</f>
        <v>❌ INVALID</v>
      </c>
      <c r="S120" s="31" t="s">
        <v>671</v>
      </c>
      <c r="T120" s="2" t="s">
        <v>115</v>
      </c>
      <c r="U120" s="2" t="s">
        <v>103</v>
      </c>
      <c r="V120" s="2" t="s">
        <v>1197</v>
      </c>
      <c r="W120" s="9" t="str">
        <f t="array" ref="W120">IF(ISNA(XLOOKUP(V120,products_master_corrected!$A$2:$A$151,products_master_corrected!$A$2:$A$151, NA())),
    "❌ MISSING SKU", "✅")</f>
        <v>✅</v>
      </c>
      <c r="X120" s="2" t="s">
        <v>1138</v>
      </c>
      <c r="Y120" s="2" t="s">
        <v>1199</v>
      </c>
      <c r="Z120" s="10" t="s">
        <v>179</v>
      </c>
      <c r="AA120" s="27">
        <v>1.0</v>
      </c>
      <c r="AB120" s="9" t="s">
        <v>8649</v>
      </c>
      <c r="AC120" s="28">
        <f t="array" ref="AC120">XLOOKUP(V120,products_master_corrected!$A$2:$A$151,products_master_corrected!$E$2:$E$151)</f>
        <v>80.95</v>
      </c>
      <c r="AD120" s="28">
        <f t="shared" si="17"/>
        <v>80.95</v>
      </c>
      <c r="AE120" s="28">
        <f t="array" ref="AE120">XLOOKUP(V120,products_master_corrected!$A$2:$A$151,products_master_corrected!$J$2:$J$151)</f>
        <v>94.41</v>
      </c>
      <c r="AF120" s="29">
        <f t="shared" si="18"/>
        <v>94.41</v>
      </c>
      <c r="AG120" s="32" t="s">
        <v>8656</v>
      </c>
      <c r="AH120" s="2" t="s">
        <v>66</v>
      </c>
      <c r="AI120" s="10" t="s">
        <v>66</v>
      </c>
      <c r="AJ120" s="2" t="s">
        <v>294</v>
      </c>
      <c r="AK120" s="10" t="s">
        <v>80</v>
      </c>
      <c r="AL120" s="2" t="s">
        <v>133</v>
      </c>
    </row>
    <row r="121" ht="15.75" customHeight="1">
      <c r="A121" s="2" t="s">
        <v>170</v>
      </c>
      <c r="B121" s="12">
        <v>45716.0</v>
      </c>
      <c r="C121" s="2" t="str">
        <f>IFERROR(__xludf.DUMMYFUNCTION("IF(ISNUMBER(B121),TEXT(B121,""yyyy-MM-dd""),REGEXREPLACE(REGEXREPLACE(TO_TEXT(B121),""[^0-9a-zA-Z]+"",""-""),""[^0-9]*$"",""""))"),"2025-02-28")</f>
        <v>2025-02-28</v>
      </c>
      <c r="D121" s="2" t="s">
        <v>171</v>
      </c>
      <c r="H121" s="10" t="s">
        <v>171</v>
      </c>
      <c r="I121" s="2" t="s">
        <v>172</v>
      </c>
      <c r="J121" s="26" t="str">
        <f t="array" ref="J121">IF(ISNA(XLOOKUP(I121,customers_clean!$A$2:$A$701,customers_clean!$A$2:$A$701, NA()) ),
   "❌ MISSING CUSTOMER", "✅")</f>
        <v>✅</v>
      </c>
      <c r="K121" s="2" t="str">
        <f t="array" ref="K121">XLOOKUP(I121,customers_clean!$A$2:$A$701,customers_clean!$C$2:$C$701)</f>
        <v>CARLOS MULLER</v>
      </c>
      <c r="L121" s="10" t="str">
        <f t="array" ref="L121">XLOOKUP(I121,customers_clean!$A$2:$A$701,customers_clean!$D$2:$D$701)</f>
        <v>Carlos Muller</v>
      </c>
      <c r="M121" s="2" t="str">
        <f t="array" ref="M121">XLOOKUP(I121,customers_clean!$A$2:$A$701,customers_clean!$I$2:$I$701)</f>
        <v/>
      </c>
      <c r="N121" s="10" t="str">
        <f t="array" ref="N121">XLOOKUP(I121,customers_clean!$A$2:$A$701,customers_clean!$H$2:$H$701)</f>
        <v/>
      </c>
      <c r="O121" s="9" t="str">
        <f>IFERROR(__xludf.DUMMYFUNCTION("IF(REGEXMATCH(TRIM(N121),""^[A-Za-z0-9._%+-]+@[A-Za-z0-9.-]+\.[A-Za-z]{2,}$""),""✅ Valid"",""❌ Invalid"")"),"❌ Invalid")</f>
        <v>❌ Invalid</v>
      </c>
      <c r="P121" s="2" t="str">
        <f t="array" ref="P121">XLOOKUP(I121,customers_clean!$A$2:$A$701,customers_clean!$K$2:$K$701)</f>
        <v>+1-796-665-6440</v>
      </c>
      <c r="Q121" s="10" t="str">
        <f t="array" ref="Q121">XLOOKUP(I121,customers_clean!$A$2:$A$701,customers_clean!$N$2:$N$701)</f>
        <v/>
      </c>
      <c r="R121" s="9" t="str">
        <f t="array" ref="R121">XLOOKUP(I121,customers_clean!$A$2:$A$701,customers_clean!$Q$2:$Q$701)</f>
        <v/>
      </c>
      <c r="S121" s="10" t="s">
        <v>58</v>
      </c>
      <c r="T121" s="2" t="s">
        <v>42</v>
      </c>
      <c r="U121" s="2" t="s">
        <v>176</v>
      </c>
      <c r="V121" s="2" t="s">
        <v>177</v>
      </c>
      <c r="W121" s="9" t="str">
        <f t="array" ref="W121">IF(ISNA(XLOOKUP(V121,products_master_corrected!$A$2:$A$151,products_master_corrected!$A$2:$A$151, NA())),
    "❌ MISSING SKU", "✅")</f>
        <v>✅</v>
      </c>
      <c r="X121" s="2" t="s">
        <v>8680</v>
      </c>
      <c r="Y121" s="2" t="s">
        <v>179</v>
      </c>
      <c r="Z121" s="10" t="s">
        <v>179</v>
      </c>
      <c r="AA121" s="27">
        <v>3.0</v>
      </c>
      <c r="AB121" s="9" t="s">
        <v>8649</v>
      </c>
      <c r="AC121" s="28">
        <f t="array" ref="AC121">XLOOKUP(V121,products_master_corrected!$A$2:$A$151,products_master_corrected!$E$2:$E$151)</f>
        <v>272.72</v>
      </c>
      <c r="AD121" s="28">
        <f t="shared" si="17"/>
        <v>818.16</v>
      </c>
      <c r="AE121" s="28">
        <f t="array" ref="AE121">XLOOKUP(V121,products_master_corrected!$A$2:$A$151,products_master_corrected!$G$2:$G$151)</f>
        <v>312.21</v>
      </c>
      <c r="AF121" s="29">
        <f t="shared" si="18"/>
        <v>936.63</v>
      </c>
      <c r="AG121" s="32" t="s">
        <v>8663</v>
      </c>
      <c r="AH121" s="2" t="s">
        <v>181</v>
      </c>
      <c r="AI121" s="10" t="s">
        <v>181</v>
      </c>
      <c r="AJ121" s="2" t="s">
        <v>34</v>
      </c>
      <c r="AK121" s="10" t="s">
        <v>80</v>
      </c>
      <c r="AL121" s="2" t="s">
        <v>133</v>
      </c>
    </row>
    <row r="122" ht="15.75" customHeight="1">
      <c r="A122" s="2" t="s">
        <v>4144</v>
      </c>
      <c r="B122" s="12" t="s">
        <v>4145</v>
      </c>
      <c r="C122" s="2" t="str">
        <f>IFERROR(__xludf.DUMMYFUNCTION("IF(ISNUMBER(B122),TEXT(B122,""yyyy-MM-dd""),REGEXREPLACE(REGEXREPLACE(TO_TEXT(B122),""[^0-9a-zA-Z]+"",""-""),""[^0-9]*$"",""""))"),"12-01-2023")</f>
        <v>12-01-2023</v>
      </c>
      <c r="D122" s="2" t="s">
        <v>8714</v>
      </c>
      <c r="H122" s="10" t="s">
        <v>8714</v>
      </c>
      <c r="I122" s="2" t="s">
        <v>4146</v>
      </c>
      <c r="J122" s="26" t="str">
        <f t="array" ref="J122">IF(ISNA(XLOOKUP(I122,customers_clean!$A$2:$A$701,customers_clean!$A$2:$A$701, NA()) ),
   "❌ MISSING CUSTOMER", "✅")</f>
        <v>✅</v>
      </c>
      <c r="K122" s="2" t="str">
        <f t="array" ref="K122">XLOOKUP(I122,customers_clean!$A$2:$A$701,customers_clean!$C$2:$C$701)</f>
        <v>Wiktor Young</v>
      </c>
      <c r="L122" s="10" t="str">
        <f t="array" ref="L122">XLOOKUP(I122,customers_clean!$A$2:$A$701,customers_clean!$D$2:$D$701)</f>
        <v>Wiktor Young</v>
      </c>
      <c r="M122" s="2" t="str">
        <f t="array" ref="M122">XLOOKUP(I122,customers_clean!$A$2:$A$701,customers_clean!$I$2:$I$701)</f>
        <v>witkor.young@yahoo.com </v>
      </c>
      <c r="N122" s="10" t="str">
        <f t="array" ref="N122">XLOOKUP(I122,customers_clean!$A$2:$A$701,customers_clean!$H$2:$H$701)</f>
        <v>witkor.young@yahoo.com</v>
      </c>
      <c r="O122" s="9" t="str">
        <f>IFERROR(__xludf.DUMMYFUNCTION("IF(REGEXMATCH(TRIM(N122),""^[A-Za-z0-9._%+-]+@[A-Za-z0-9.-]+\.[A-Za-z]{2,}$""),""✅ Valid"",""❌ Invalid"")"),"✅ Valid")</f>
        <v>✅ Valid</v>
      </c>
      <c r="P122" s="2">
        <f t="array" ref="P122">XLOOKUP(I122,customers_clean!$A$2:$A$701,customers_clean!$K$2:$K$701)</f>
        <v>3346058891</v>
      </c>
      <c r="Q122" s="10" t="str">
        <f t="array" ref="Q122">XLOOKUP(I122,customers_clean!$A$2:$A$701,customers_clean!$N$2:$N$701)</f>
        <v>46058891</v>
      </c>
      <c r="R122" s="9" t="str">
        <f t="array" ref="R122">XLOOKUP(I122,customers_clean!$A$2:$A$701,customers_clean!$Q$2:$Q$701)</f>
        <v>❌ INVALID</v>
      </c>
      <c r="S122" s="10" t="s">
        <v>448</v>
      </c>
      <c r="T122" s="2" t="s">
        <v>59</v>
      </c>
      <c r="U122" s="2" t="s">
        <v>116</v>
      </c>
      <c r="V122" s="2" t="s">
        <v>2012</v>
      </c>
      <c r="W122" s="9" t="str">
        <f t="array" ref="W122">IF(ISNA(XLOOKUP(V122,products_master_corrected!$A$2:$A$151,products_master_corrected!$A$2:$A$151, NA())),
    "❌ MISSING SKU", "✅")</f>
        <v>✅</v>
      </c>
      <c r="X122" s="2" t="s">
        <v>741</v>
      </c>
      <c r="Y122" s="2" t="s">
        <v>514</v>
      </c>
      <c r="Z122" s="10" t="s">
        <v>514</v>
      </c>
      <c r="AA122" s="27">
        <v>2.0</v>
      </c>
      <c r="AB122" s="9" t="s">
        <v>8649</v>
      </c>
      <c r="AC122" s="28">
        <f t="array" ref="AC122">XLOOKUP(V122,products_master_corrected!$A$2:$A$151,products_master_corrected!$E$2:$E$151)</f>
        <v>40.87</v>
      </c>
      <c r="AD122" s="28">
        <f t="shared" si="17"/>
        <v>81.74</v>
      </c>
      <c r="AE122" s="28">
        <f t="array" ref="AE122">XLOOKUP(V122,products_master_corrected!$A$2:$A$151,products_master_corrected!$M$2:$M$151)</f>
        <v>49.44</v>
      </c>
      <c r="AF122" s="29">
        <f t="shared" si="18"/>
        <v>98.88</v>
      </c>
      <c r="AG122" s="30" t="s">
        <v>48</v>
      </c>
      <c r="AH122" s="2" t="s">
        <v>664</v>
      </c>
      <c r="AI122" s="10" t="s">
        <v>66</v>
      </c>
      <c r="AJ122" s="2" t="s">
        <v>818</v>
      </c>
      <c r="AK122" s="10" t="s">
        <v>818</v>
      </c>
    </row>
    <row r="123" ht="15.75" customHeight="1">
      <c r="A123" s="2" t="s">
        <v>4511</v>
      </c>
      <c r="B123" s="12">
        <v>45440.59097222222</v>
      </c>
      <c r="C123" s="2" t="str">
        <f>IFERROR(__xludf.DUMMYFUNCTION("IF(ISNUMBER(B123),TEXT(B123,""yyyy-MM-dd""),REGEXREPLACE(REGEXREPLACE(TO_TEXT(B123),""[^0-9a-zA-Z]+"",""-""),""[^0-9]*$"",""""))"),"2024-05-28")</f>
        <v>2024-05-28</v>
      </c>
      <c r="D123" s="2" t="s">
        <v>8715</v>
      </c>
      <c r="H123" s="10" t="s">
        <v>8715</v>
      </c>
      <c r="I123" s="2" t="s">
        <v>4513</v>
      </c>
      <c r="J123" s="26" t="str">
        <f t="array" ref="J123">IF(ISNA(XLOOKUP(I123,customers_clean!$A$2:$A$701,customers_clean!$A$2:$A$701, NA()) ),
   "❌ MISSING CUSTOMER", "✅")</f>
        <v>✅</v>
      </c>
      <c r="K123" s="2" t="str">
        <f t="array" ref="K123">XLOOKUP(I123,customers_clean!$A$2:$A$701,customers_clean!$C$2:$C$701)</f>
        <v>Bella  Kowalski</v>
      </c>
      <c r="L123" s="10" t="str">
        <f t="array" ref="L123">XLOOKUP(I123,customers_clean!$A$2:$A$701,customers_clean!$D$2:$D$701)</f>
        <v>Bella Kowalski</v>
      </c>
      <c r="M123" s="2" t="str">
        <f t="array" ref="M123">XLOOKUP(I123,customers_clean!$A$2:$A$701,customers_clean!$I$2:$I$701)</f>
        <v>bella.kowalski@outlook.com </v>
      </c>
      <c r="N123" s="10" t="str">
        <f t="array" ref="N123">XLOOKUP(I123,customers_clean!$A$2:$A$701,customers_clean!$H$2:$H$701)</f>
        <v>bella.kowalski@outlook.com</v>
      </c>
      <c r="O123" s="9" t="str">
        <f>IFERROR(__xludf.DUMMYFUNCTION("IF(REGEXMATCH(TRIM(N123),""^[A-Za-z0-9._%+-]+@[A-Za-z0-9.-]+\.[A-Za-z]{2,}$""),""✅ Valid"",""❌ Invalid"")"),"✅ Valid")</f>
        <v>✅ Valid</v>
      </c>
      <c r="P123" s="2" t="str">
        <f t="array" ref="P123">XLOOKUP(I123,customers_clean!$A$2:$A$701,customers_clean!$K$2:$K$701)</f>
        <v>341x2756733</v>
      </c>
      <c r="Q123" s="10" t="str">
        <f t="array" ref="Q123">XLOOKUP(I123,customers_clean!$A$2:$A$701,customers_clean!$N$2:$N$701)</f>
        <v>3412756733</v>
      </c>
      <c r="R123" s="9" t="str">
        <f t="array" ref="R123">XLOOKUP(I123,customers_clean!$A$2:$A$701,customers_clean!$Q$2:$Q$701)</f>
        <v>✅ VALID</v>
      </c>
      <c r="S123" s="10" t="s">
        <v>88</v>
      </c>
      <c r="T123" s="2" t="s">
        <v>4517</v>
      </c>
      <c r="U123" s="2" t="s">
        <v>312</v>
      </c>
      <c r="V123" s="2" t="s">
        <v>1302</v>
      </c>
      <c r="W123" s="9" t="str">
        <f t="array" ref="W123">IF(ISNA(XLOOKUP(V123,products_master_corrected!$A$2:$A$151,products_master_corrected!$A$2:$A$151, NA())),
    "❌ MISSING SKU", "✅")</f>
        <v>✅</v>
      </c>
      <c r="X123" s="2" t="s">
        <v>440</v>
      </c>
      <c r="Y123" s="2" t="s">
        <v>179</v>
      </c>
      <c r="Z123" s="10" t="s">
        <v>179</v>
      </c>
      <c r="AA123" s="27"/>
      <c r="AB123" s="9" t="s">
        <v>8677</v>
      </c>
      <c r="AC123" s="34"/>
      <c r="AD123" s="34"/>
      <c r="AE123" s="34"/>
      <c r="AF123" s="35"/>
      <c r="AG123" s="36" t="s">
        <v>48</v>
      </c>
      <c r="AH123" s="2" t="s">
        <v>131</v>
      </c>
      <c r="AI123" s="10" t="s">
        <v>181</v>
      </c>
      <c r="AJ123" s="2" t="s">
        <v>818</v>
      </c>
      <c r="AK123" s="10" t="s">
        <v>818</v>
      </c>
    </row>
    <row r="124" ht="15.75" customHeight="1">
      <c r="A124" s="2" t="s">
        <v>2720</v>
      </c>
      <c r="B124" s="12">
        <v>45428.61597222222</v>
      </c>
      <c r="C124" s="2" t="str">
        <f>IFERROR(__xludf.DUMMYFUNCTION("IF(ISNUMBER(B124),TEXT(B124,""yyyy-MM-dd""),REGEXREPLACE(REGEXREPLACE(TO_TEXT(B124),""[^0-9a-zA-Z]+"",""-""),""[^0-9]*$"",""""))"),"2024-05-16")</f>
        <v>2024-05-16</v>
      </c>
      <c r="D124" s="2" t="s">
        <v>8198</v>
      </c>
      <c r="H124" s="10" t="s">
        <v>8198</v>
      </c>
      <c r="I124" s="2" t="s">
        <v>2722</v>
      </c>
      <c r="J124" s="26" t="str">
        <f t="array" ref="J124">IF(ISNA(XLOOKUP(I124,customers_clean!$A$2:$A$701,customers_clean!$A$2:$A$701, NA()) ),
   "❌ MISSING CUSTOMER", "✅")</f>
        <v>✅</v>
      </c>
      <c r="K124" s="2" t="str">
        <f t="array" ref="K124">XLOOKUP(I124,customers_clean!$A$2:$A$701,customers_clean!$C$2:$C$701)</f>
        <v>ETHAN GARCIA</v>
      </c>
      <c r="L124" s="10" t="str">
        <f t="array" ref="L124">XLOOKUP(I124,customers_clean!$A$2:$A$701,customers_clean!$D$2:$D$701)</f>
        <v>Ethan Garcia</v>
      </c>
      <c r="M124" s="2" t="str">
        <f t="array" ref="M124">XLOOKUP(I124,customers_clean!$A$2:$A$701,customers_clean!$I$2:$I$701)</f>
        <v>ethan.garcia@company.co.uk</v>
      </c>
      <c r="N124" s="10" t="str">
        <f t="array" ref="N124">XLOOKUP(I124,customers_clean!$A$2:$A$701,customers_clean!$H$2:$H$701)</f>
        <v>ethan.garcia@company.co.uk</v>
      </c>
      <c r="O124" s="9" t="str">
        <f>IFERROR(__xludf.DUMMYFUNCTION("IF(REGEXMATCH(TRIM(N124),""^[A-Za-z0-9._%+-]+@[A-Za-z0-9.-]+\.[A-Za-z]{2,}$""),""✅ Valid"",""❌ Invalid"")"),"✅ Valid")</f>
        <v>✅ Valid</v>
      </c>
      <c r="P124" s="2" t="str">
        <f t="array" ref="P124">XLOOKUP(I124,customers_clean!$A$2:$A$701,customers_clean!$K$2:$K$701)</f>
        <v>+33 647 944 770</v>
      </c>
      <c r="Q124" s="10" t="str">
        <f t="array" ref="Q124">XLOOKUP(I124,customers_clean!$A$2:$A$701,customers_clean!$N$2:$N$701)</f>
        <v>647944770</v>
      </c>
      <c r="R124" s="9" t="str">
        <f t="array" ref="R124">XLOOKUP(I124,customers_clean!$A$2:$A$701,customers_clean!$Q$2:$Q$701)</f>
        <v>❌ INVALID</v>
      </c>
      <c r="S124" s="10" t="s">
        <v>114</v>
      </c>
      <c r="T124" s="2" t="s">
        <v>1167</v>
      </c>
      <c r="U124" s="2" t="s">
        <v>333</v>
      </c>
      <c r="V124" s="2" t="s">
        <v>235</v>
      </c>
      <c r="W124" s="9" t="str">
        <f t="array" ref="W124">IF(ISNA(XLOOKUP(V124,products_master_corrected!$A$2:$A$151,products_master_corrected!$A$2:$A$151, NA())),
    "❌ MISSING SKU", "✅")</f>
        <v>✅</v>
      </c>
      <c r="X124" s="2" t="s">
        <v>768</v>
      </c>
      <c r="Y124" s="2" t="s">
        <v>30</v>
      </c>
      <c r="Z124" s="10" t="s">
        <v>179</v>
      </c>
      <c r="AA124" s="27">
        <v>1.0</v>
      </c>
      <c r="AB124" s="9" t="s">
        <v>8649</v>
      </c>
      <c r="AC124" s="28">
        <f t="array" ref="AC124">XLOOKUP(V124,products_master_corrected!$A$2:$A$151,products_master_corrected!$E$2:$E$151)</f>
        <v>10.17</v>
      </c>
      <c r="AD124" s="28">
        <f t="shared" ref="AD124:AD126" si="19">AA124*AC124</f>
        <v>10.17</v>
      </c>
      <c r="AE124" s="28">
        <f t="array" ref="AE124">XLOOKUP(V124,products_master_corrected!$A$2:$A$151,products_master_corrected!$F$2:$F$151)</f>
        <v>10.17</v>
      </c>
      <c r="AF124" s="29">
        <f t="shared" ref="AF124:AF126" si="20">AA124*AE124</f>
        <v>10.17</v>
      </c>
      <c r="AG124" s="30" t="s">
        <v>65</v>
      </c>
      <c r="AH124" s="2" t="s">
        <v>49</v>
      </c>
      <c r="AI124" s="10" t="s">
        <v>49</v>
      </c>
      <c r="AJ124" s="2" t="s">
        <v>818</v>
      </c>
      <c r="AK124" s="10" t="s">
        <v>818</v>
      </c>
      <c r="AL124" s="2" t="s">
        <v>81</v>
      </c>
    </row>
    <row r="125" ht="15.75" customHeight="1">
      <c r="A125" s="2" t="s">
        <v>3890</v>
      </c>
      <c r="B125" s="12">
        <v>45096.0</v>
      </c>
      <c r="C125" s="2" t="str">
        <f>IFERROR(__xludf.DUMMYFUNCTION("IF(ISNUMBER(B125),TEXT(B125,""yyyy-MM-dd""),REGEXREPLACE(REGEXREPLACE(TO_TEXT(B125),""[^0-9a-zA-Z]+"",""-""),""[^0-9]*$"",""""))"),"2023-06-19")</f>
        <v>2023-06-19</v>
      </c>
      <c r="D125" s="2" t="s">
        <v>7723</v>
      </c>
      <c r="H125" s="10" t="s">
        <v>7723</v>
      </c>
      <c r="I125" s="2" t="s">
        <v>2722</v>
      </c>
      <c r="J125" s="26" t="str">
        <f t="array" ref="J125">IF(ISNA(XLOOKUP(I125,customers_clean!$A$2:$A$701,customers_clean!$A$2:$A$701, NA()) ),
   "❌ MISSING CUSTOMER", "✅")</f>
        <v>✅</v>
      </c>
      <c r="K125" s="2" t="str">
        <f t="array" ref="K125">XLOOKUP(I125,customers_clean!$A$2:$A$701,customers_clean!$C$2:$C$701)</f>
        <v>ETHAN GARCIA</v>
      </c>
      <c r="L125" s="10" t="str">
        <f t="array" ref="L125">XLOOKUP(I125,customers_clean!$A$2:$A$701,customers_clean!$D$2:$D$701)</f>
        <v>Ethan Garcia</v>
      </c>
      <c r="M125" s="2" t="str">
        <f t="array" ref="M125">XLOOKUP(I125,customers_clean!$A$2:$A$701,customers_clean!$I$2:$I$701)</f>
        <v>ethan.garcia@company.co.uk</v>
      </c>
      <c r="N125" s="10" t="str">
        <f t="array" ref="N125">XLOOKUP(I125,customers_clean!$A$2:$A$701,customers_clean!$H$2:$H$701)</f>
        <v>ethan.garcia@company.co.uk</v>
      </c>
      <c r="O125" s="9" t="str">
        <f>IFERROR(__xludf.DUMMYFUNCTION("IF(REGEXMATCH(TRIM(N125),""^[A-Za-z0-9._%+-]+@[A-Za-z0-9.-]+\.[A-Za-z]{2,}$""),""✅ Valid"",""❌ Invalid"")"),"✅ Valid")</f>
        <v>✅ Valid</v>
      </c>
      <c r="P125" s="2" t="str">
        <f t="array" ref="P125">XLOOKUP(I125,customers_clean!$A$2:$A$701,customers_clean!$K$2:$K$701)</f>
        <v>+33 647 944 770</v>
      </c>
      <c r="Q125" s="10" t="str">
        <f t="array" ref="Q125">XLOOKUP(I125,customers_clean!$A$2:$A$701,customers_clean!$N$2:$N$701)</f>
        <v>647944770</v>
      </c>
      <c r="R125" s="9" t="str">
        <f t="array" ref="R125">XLOOKUP(I125,customers_clean!$A$2:$A$701,customers_clean!$Q$2:$Q$701)</f>
        <v>❌ INVALID</v>
      </c>
      <c r="S125" s="10" t="s">
        <v>114</v>
      </c>
      <c r="T125" s="2" t="s">
        <v>115</v>
      </c>
      <c r="U125" s="2" t="s">
        <v>401</v>
      </c>
      <c r="V125" s="2" t="s">
        <v>1014</v>
      </c>
      <c r="W125" s="9" t="str">
        <f t="array" ref="W125">IF(ISNA(XLOOKUP(V125,products_master_corrected!$A$2:$A$151,products_master_corrected!$A$2:$A$151, NA())),
    "❌ MISSING SKU", "✅")</f>
        <v>✅</v>
      </c>
      <c r="X125" s="2" t="s">
        <v>1015</v>
      </c>
      <c r="Y125" s="2" t="s">
        <v>1016</v>
      </c>
      <c r="Z125" s="10" t="s">
        <v>355</v>
      </c>
      <c r="AA125" s="27">
        <v>2.0</v>
      </c>
      <c r="AB125" s="9" t="s">
        <v>8649</v>
      </c>
      <c r="AC125" s="28">
        <f t="array" ref="AC125">XLOOKUP(V125,products_master_corrected!$A$2:$A$151,products_master_corrected!$E$2:$E$151)</f>
        <v>162.1</v>
      </c>
      <c r="AD125" s="28">
        <f t="shared" si="19"/>
        <v>324.2</v>
      </c>
      <c r="AE125" s="28">
        <f t="array" ref="AE125">XLOOKUP(V125,products_master_corrected!$A$2:$A$151,products_master_corrected!$F$2:$F$151)</f>
        <v>162.1</v>
      </c>
      <c r="AF125" s="29">
        <f t="shared" si="20"/>
        <v>324.2</v>
      </c>
      <c r="AG125" s="30" t="s">
        <v>65</v>
      </c>
      <c r="AH125" s="2" t="s">
        <v>181</v>
      </c>
      <c r="AI125" s="10" t="s">
        <v>181</v>
      </c>
      <c r="AJ125" s="2" t="s">
        <v>306</v>
      </c>
      <c r="AK125" s="10" t="s">
        <v>192</v>
      </c>
      <c r="AL125" s="2" t="s">
        <v>133</v>
      </c>
    </row>
    <row r="126" ht="15.75" customHeight="1">
      <c r="A126" s="2" t="s">
        <v>3967</v>
      </c>
      <c r="B126" s="12">
        <v>45887.0</v>
      </c>
      <c r="C126" s="2" t="str">
        <f>IFERROR(__xludf.DUMMYFUNCTION("IF(ISNUMBER(B126),TEXT(B126,""yyyy-MM-dd""),REGEXREPLACE(REGEXREPLACE(TO_TEXT(B126),""[^0-9a-zA-Z]+"",""-""),""[^0-9]*$"",""""))"),"2025-08-18")</f>
        <v>2025-08-18</v>
      </c>
      <c r="D126" s="2" t="s">
        <v>8716</v>
      </c>
      <c r="H126" s="10" t="s">
        <v>8716</v>
      </c>
      <c r="I126" s="2" t="s">
        <v>2722</v>
      </c>
      <c r="J126" s="26" t="str">
        <f t="array" ref="J126">IF(ISNA(XLOOKUP(I126,customers_clean!$A$2:$A$701,customers_clean!$A$2:$A$701, NA()) ),
   "❌ MISSING CUSTOMER", "✅")</f>
        <v>✅</v>
      </c>
      <c r="K126" s="2" t="str">
        <f t="array" ref="K126">XLOOKUP(I126,customers_clean!$A$2:$A$701,customers_clean!$C$2:$C$701)</f>
        <v>ETHAN GARCIA</v>
      </c>
      <c r="L126" s="10" t="str">
        <f t="array" ref="L126">XLOOKUP(I126,customers_clean!$A$2:$A$701,customers_clean!$D$2:$D$701)</f>
        <v>Ethan Garcia</v>
      </c>
      <c r="M126" s="2" t="str">
        <f t="array" ref="M126">XLOOKUP(I126,customers_clean!$A$2:$A$701,customers_clean!$I$2:$I$701)</f>
        <v>ethan.garcia@company.co.uk</v>
      </c>
      <c r="N126" s="10" t="str">
        <f t="array" ref="N126">XLOOKUP(I126,customers_clean!$A$2:$A$701,customers_clean!$H$2:$H$701)</f>
        <v>ethan.garcia@company.co.uk</v>
      </c>
      <c r="O126" s="9" t="str">
        <f>IFERROR(__xludf.DUMMYFUNCTION("IF(REGEXMATCH(TRIM(N126),""^[A-Za-z0-9._%+-]+@[A-Za-z0-9.-]+\.[A-Za-z]{2,}$""),""✅ Valid"",""❌ Invalid"")"),"✅ Valid")</f>
        <v>✅ Valid</v>
      </c>
      <c r="P126" s="2" t="str">
        <f t="array" ref="P126">XLOOKUP(I126,customers_clean!$A$2:$A$701,customers_clean!$K$2:$K$701)</f>
        <v>+33 647 944 770</v>
      </c>
      <c r="Q126" s="10" t="str">
        <f t="array" ref="Q126">XLOOKUP(I126,customers_clean!$A$2:$A$701,customers_clean!$N$2:$N$701)</f>
        <v>647944770</v>
      </c>
      <c r="R126" s="9" t="str">
        <f t="array" ref="R126">XLOOKUP(I126,customers_clean!$A$2:$A$701,customers_clean!$Q$2:$Q$701)</f>
        <v>❌ INVALID</v>
      </c>
      <c r="S126" s="10" t="s">
        <v>114</v>
      </c>
      <c r="T126" s="2" t="s">
        <v>26</v>
      </c>
      <c r="U126" s="2" t="s">
        <v>401</v>
      </c>
      <c r="V126" s="2" t="s">
        <v>246</v>
      </c>
      <c r="W126" s="9" t="str">
        <f t="array" ref="W126">IF(ISNA(XLOOKUP(V126,products_master_corrected!$A$2:$A$151,products_master_corrected!$A$2:$A$151, NA())),
    "❌ MISSING SKU", "✅")</f>
        <v>✅</v>
      </c>
      <c r="X126" s="2" t="s">
        <v>1138</v>
      </c>
      <c r="Y126" s="2" t="s">
        <v>248</v>
      </c>
      <c r="Z126" s="10" t="s">
        <v>248</v>
      </c>
      <c r="AA126" s="27">
        <v>5.0</v>
      </c>
      <c r="AB126" s="9" t="s">
        <v>8649</v>
      </c>
      <c r="AC126" s="28">
        <f t="array" ref="AC126">XLOOKUP(V126,products_master_corrected!$A$2:$A$151,products_master_corrected!$E$2:$E$151)</f>
        <v>259.62</v>
      </c>
      <c r="AD126" s="28">
        <f t="shared" si="19"/>
        <v>1298.1</v>
      </c>
      <c r="AE126" s="28">
        <f t="array" ref="AE126">XLOOKUP(V126,products_master_corrected!$A$2:$A$151,products_master_corrected!$F$2:$F$151)</f>
        <v>259.62</v>
      </c>
      <c r="AF126" s="29">
        <f t="shared" si="20"/>
        <v>1298.1</v>
      </c>
      <c r="AG126" s="30" t="s">
        <v>65</v>
      </c>
      <c r="AH126" s="2" t="s">
        <v>66</v>
      </c>
      <c r="AI126" s="10" t="s">
        <v>66</v>
      </c>
      <c r="AJ126" s="2" t="s">
        <v>1312</v>
      </c>
      <c r="AK126" s="10" t="s">
        <v>818</v>
      </c>
      <c r="AL126" s="2" t="s">
        <v>133</v>
      </c>
    </row>
    <row r="127" ht="15.75" customHeight="1">
      <c r="A127" s="2" t="s">
        <v>569</v>
      </c>
      <c r="B127" s="12">
        <v>45078.0</v>
      </c>
      <c r="C127" s="2" t="str">
        <f>IFERROR(__xludf.DUMMYFUNCTION("IF(ISNUMBER(B127),TEXT(B127,""yyyy-MM-dd""),REGEXREPLACE(REGEXREPLACE(TO_TEXT(B127),""[^0-9a-zA-Z]+"",""-""),""[^0-9]*$"",""""))"),"2023-06-01")</f>
        <v>2023-06-01</v>
      </c>
      <c r="D127" s="2" t="s">
        <v>570</v>
      </c>
      <c r="H127" s="10" t="s">
        <v>570</v>
      </c>
      <c r="I127" s="2" t="s">
        <v>123</v>
      </c>
      <c r="J127" s="26" t="str">
        <f t="array" ref="J127">IF(ISNA(XLOOKUP(I127,customers_clean!$A$2:$A$701,customers_clean!$A$2:$A$701, NA()) ),
   "❌ MISSING CUSTOMER", "✅")</f>
        <v>✅</v>
      </c>
      <c r="K127" s="2" t="str">
        <f t="array" ref="K127">XLOOKUP(I127,customers_clean!$A$2:$A$701,customers_clean!$C$2:$C$701)</f>
        <v>Carlos Davis</v>
      </c>
      <c r="L127" s="10" t="str">
        <f t="array" ref="L127">XLOOKUP(I127,customers_clean!$A$2:$A$701,customers_clean!$D$2:$D$701)</f>
        <v>Carlos Davis</v>
      </c>
      <c r="M127" s="2" t="str">
        <f t="array" ref="M127">XLOOKUP(I127,customers_clean!$A$2:$A$701,customers_clean!$I$2:$I$701)</f>
        <v>CARLOS.DAVIS@YAHOO.COM</v>
      </c>
      <c r="N127" s="10" t="str">
        <f t="array" ref="N127">XLOOKUP(I127,customers_clean!$A$2:$A$701,customers_clean!$H$2:$H$701)</f>
        <v>carlos.davis@yahoo.com</v>
      </c>
      <c r="O127" s="9" t="str">
        <f>IFERROR(__xludf.DUMMYFUNCTION("IF(REGEXMATCH(TRIM(N127),""^[A-Za-z0-9._%+-]+@[A-Za-z0-9.-]+\.[A-Za-z]{2,}$""),""✅ Valid"",""❌ Invalid"")"),"✅ Valid")</f>
        <v>✅ Valid</v>
      </c>
      <c r="P127" s="2" t="str">
        <f t="array" ref="P127">XLOOKUP(I127,customers_clean!$A$2:$A$701,customers_clean!$K$2:$K$701)</f>
        <v>missing</v>
      </c>
      <c r="Q127" s="10" t="str">
        <f t="array" ref="Q127">XLOOKUP(I127,customers_clean!$A$2:$A$701,customers_clean!$N$2:$N$701)</f>
        <v/>
      </c>
      <c r="R127" s="9" t="str">
        <f t="array" ref="R127">XLOOKUP(I127,customers_clean!$A$2:$A$701,customers_clean!$Q$2:$Q$701)</f>
        <v>❌ INVALID</v>
      </c>
      <c r="S127" s="10" t="s">
        <v>88</v>
      </c>
      <c r="T127" s="2" t="s">
        <v>210</v>
      </c>
      <c r="U127" s="2" t="s">
        <v>571</v>
      </c>
      <c r="V127" s="2" t="s">
        <v>117</v>
      </c>
      <c r="W127" s="9" t="str">
        <f t="array" ref="W127">IF(ISNA(XLOOKUP(V127,products_master_corrected!$A$2:$A$151,products_master_corrected!$A$2:$A$151, NA())),
    "❌ MISSING SKU", "✅")</f>
        <v>✅</v>
      </c>
      <c r="X127" s="2" t="s">
        <v>259</v>
      </c>
      <c r="Y127" s="2" t="s">
        <v>63</v>
      </c>
      <c r="Z127" s="10" t="s">
        <v>63</v>
      </c>
      <c r="AA127" s="27"/>
      <c r="AB127" s="9" t="s">
        <v>8677</v>
      </c>
      <c r="AC127" s="34"/>
      <c r="AD127" s="34"/>
      <c r="AE127" s="34"/>
      <c r="AF127" s="35"/>
      <c r="AG127" s="36" t="s">
        <v>32</v>
      </c>
      <c r="AH127" s="2" t="s">
        <v>573</v>
      </c>
      <c r="AI127" s="10" t="s">
        <v>66</v>
      </c>
      <c r="AJ127" s="2" t="s">
        <v>574</v>
      </c>
      <c r="AK127" s="10" t="s">
        <v>261</v>
      </c>
      <c r="AL127" s="2" t="s">
        <v>51</v>
      </c>
    </row>
    <row r="128" ht="15.75" customHeight="1">
      <c r="A128" s="2" t="s">
        <v>121</v>
      </c>
      <c r="B128" s="12">
        <v>45819.0</v>
      </c>
      <c r="C128" s="2" t="str">
        <f>IFERROR(__xludf.DUMMYFUNCTION("IF(ISNUMBER(B128),TEXT(B128,""yyyy-MM-dd""),REGEXREPLACE(REGEXREPLACE(TO_TEXT(B128),""[^0-9a-zA-Z]+"",""-""),""[^0-9]*$"",""""))"),"2025-06-11")</f>
        <v>2025-06-11</v>
      </c>
      <c r="D128" s="2" t="s">
        <v>8371</v>
      </c>
      <c r="H128" s="10" t="s">
        <v>8371</v>
      </c>
      <c r="I128" s="2" t="s">
        <v>123</v>
      </c>
      <c r="J128" s="26" t="str">
        <f t="array" ref="J128">IF(ISNA(XLOOKUP(I128,customers_clean!$A$2:$A$701,customers_clean!$A$2:$A$701, NA()) ),
   "❌ MISSING CUSTOMER", "✅")</f>
        <v>✅</v>
      </c>
      <c r="K128" s="2" t="str">
        <f t="array" ref="K128">XLOOKUP(I128,customers_clean!$A$2:$A$701,customers_clean!$C$2:$C$701)</f>
        <v>Carlos Davis</v>
      </c>
      <c r="L128" s="10" t="str">
        <f t="array" ref="L128">XLOOKUP(I128,customers_clean!$A$2:$A$701,customers_clean!$D$2:$D$701)</f>
        <v>Carlos Davis</v>
      </c>
      <c r="M128" s="2" t="str">
        <f t="array" ref="M128">XLOOKUP(I128,customers_clean!$A$2:$A$701,customers_clean!$I$2:$I$701)</f>
        <v>CARLOS.DAVIS@YAHOO.COM</v>
      </c>
      <c r="N128" s="10" t="str">
        <f t="array" ref="N128">XLOOKUP(I128,customers_clean!$A$2:$A$701,customers_clean!$H$2:$H$701)</f>
        <v>carlos.davis@yahoo.com</v>
      </c>
      <c r="O128" s="9" t="str">
        <f>IFERROR(__xludf.DUMMYFUNCTION("IF(REGEXMATCH(TRIM(N128),""^[A-Za-z0-9._%+-]+@[A-Za-z0-9.-]+\.[A-Za-z]{2,}$""),""✅ Valid"",""❌ Invalid"")"),"✅ Valid")</f>
        <v>✅ Valid</v>
      </c>
      <c r="P128" s="2" t="str">
        <f t="array" ref="P128">XLOOKUP(I128,customers_clean!$A$2:$A$701,customers_clean!$K$2:$K$701)</f>
        <v>missing</v>
      </c>
      <c r="Q128" s="10" t="str">
        <f t="array" ref="Q128">XLOOKUP(I128,customers_clean!$A$2:$A$701,customers_clean!$N$2:$N$701)</f>
        <v/>
      </c>
      <c r="R128" s="9" t="str">
        <f t="array" ref="R128">XLOOKUP(I128,customers_clean!$A$2:$A$701,customers_clean!$Q$2:$Q$701)</f>
        <v>❌ INVALID</v>
      </c>
      <c r="S128" s="10" t="s">
        <v>88</v>
      </c>
      <c r="T128" s="2" t="s">
        <v>59</v>
      </c>
      <c r="U128" s="2" t="s">
        <v>75</v>
      </c>
      <c r="V128" s="2" t="s">
        <v>127</v>
      </c>
      <c r="W128" s="9" t="str">
        <f t="array" ref="W128">IF(ISNA(XLOOKUP(V128,products_master_corrected!$A$2:$A$151,products_master_corrected!$A$2:$A$151, NA())),
    "❌ MISSING SKU", "✅")</f>
        <v>✅</v>
      </c>
      <c r="X128" s="2" t="s">
        <v>8717</v>
      </c>
      <c r="Y128" s="2" t="s">
        <v>129</v>
      </c>
      <c r="Z128" s="10" t="s">
        <v>514</v>
      </c>
      <c r="AA128" s="27">
        <v>2.0</v>
      </c>
      <c r="AB128" s="9" t="s">
        <v>8649</v>
      </c>
      <c r="AC128" s="28">
        <f t="array" ref="AC128">XLOOKUP(V128,products_master_corrected!$A$2:$A$151,products_master_corrected!$E$2:$E$151)</f>
        <v>79.06</v>
      </c>
      <c r="AD128" s="28">
        <f t="shared" ref="AD128:AD172" si="21">AA128*AC128</f>
        <v>158.12</v>
      </c>
      <c r="AE128" s="28">
        <f t="array" ref="AE128">XLOOKUP(V128,products_master_corrected!$A$2:$A$151,products_master_corrected!$I$2:$I$151)</f>
        <v>87.16</v>
      </c>
      <c r="AF128" s="29">
        <f t="shared" ref="AF128:AF172" si="22">AA128*AE128</f>
        <v>174.32</v>
      </c>
      <c r="AG128" s="32" t="s">
        <v>8660</v>
      </c>
      <c r="AH128" s="2" t="s">
        <v>131</v>
      </c>
      <c r="AI128" s="10" t="s">
        <v>181</v>
      </c>
      <c r="AJ128" s="2" t="s">
        <v>132</v>
      </c>
      <c r="AK128" s="10" t="s">
        <v>192</v>
      </c>
      <c r="AL128" s="2" t="s">
        <v>133</v>
      </c>
    </row>
    <row r="129" ht="15.75" customHeight="1">
      <c r="A129" s="2" t="s">
        <v>1502</v>
      </c>
      <c r="B129" s="12">
        <v>45334.0</v>
      </c>
      <c r="C129" s="2" t="str">
        <f>IFERROR(__xludf.DUMMYFUNCTION("IF(ISNUMBER(B129),TEXT(B129,""yyyy-MM-dd""),REGEXREPLACE(REGEXREPLACE(TO_TEXT(B129),""[^0-9a-zA-Z]+"",""-""),""[^0-9]*$"",""""))"),"2024-02-12")</f>
        <v>2024-02-12</v>
      </c>
      <c r="D129" s="2" t="s">
        <v>8718</v>
      </c>
      <c r="H129" s="10" t="s">
        <v>8718</v>
      </c>
      <c r="I129" s="2" t="s">
        <v>123</v>
      </c>
      <c r="J129" s="26" t="str">
        <f t="array" ref="J129">IF(ISNA(XLOOKUP(I129,customers_clean!$A$2:$A$701,customers_clean!$A$2:$A$701, NA()) ),
   "❌ MISSING CUSTOMER", "✅")</f>
        <v>✅</v>
      </c>
      <c r="K129" s="2" t="str">
        <f t="array" ref="K129">XLOOKUP(I129,customers_clean!$A$2:$A$701,customers_clean!$C$2:$C$701)</f>
        <v>Carlos Davis</v>
      </c>
      <c r="L129" s="10" t="str">
        <f t="array" ref="L129">XLOOKUP(I129,customers_clean!$A$2:$A$701,customers_clean!$D$2:$D$701)</f>
        <v>Carlos Davis</v>
      </c>
      <c r="M129" s="2" t="str">
        <f t="array" ref="M129">XLOOKUP(I129,customers_clean!$A$2:$A$701,customers_clean!$I$2:$I$701)</f>
        <v>CARLOS.DAVIS@YAHOO.COM</v>
      </c>
      <c r="N129" s="10" t="str">
        <f t="array" ref="N129">XLOOKUP(I129,customers_clean!$A$2:$A$701,customers_clean!$H$2:$H$701)</f>
        <v>carlos.davis@yahoo.com</v>
      </c>
      <c r="O129" s="9" t="str">
        <f>IFERROR(__xludf.DUMMYFUNCTION("IF(REGEXMATCH(TRIM(N129),""^[A-Za-z0-9._%+-]+@[A-Za-z0-9.-]+\.[A-Za-z]{2,}$""),""✅ Valid"",""❌ Invalid"")"),"✅ Valid")</f>
        <v>✅ Valid</v>
      </c>
      <c r="P129" s="2" t="str">
        <f t="array" ref="P129">XLOOKUP(I129,customers_clean!$A$2:$A$701,customers_clean!$K$2:$K$701)</f>
        <v>missing</v>
      </c>
      <c r="Q129" s="10" t="str">
        <f t="array" ref="Q129">XLOOKUP(I129,customers_clean!$A$2:$A$701,customers_clean!$N$2:$N$701)</f>
        <v/>
      </c>
      <c r="R129" s="9" t="str">
        <f t="array" ref="R129">XLOOKUP(I129,customers_clean!$A$2:$A$701,customers_clean!$Q$2:$Q$701)</f>
        <v>❌ INVALID</v>
      </c>
      <c r="S129" s="10" t="s">
        <v>88</v>
      </c>
      <c r="T129" s="2" t="s">
        <v>931</v>
      </c>
      <c r="U129" s="2" t="s">
        <v>401</v>
      </c>
      <c r="V129" s="2" t="s">
        <v>1137</v>
      </c>
      <c r="W129" s="9" t="str">
        <f t="array" ref="W129">IF(ISNA(XLOOKUP(V129,products_master_corrected!$A$2:$A$151,products_master_corrected!$A$2:$A$151, NA())),
    "❌ MISSING SKU", "✅")</f>
        <v>✅</v>
      </c>
      <c r="X129" s="2" t="s">
        <v>1138</v>
      </c>
      <c r="Y129" s="2" t="s">
        <v>30</v>
      </c>
      <c r="Z129" s="10" t="s">
        <v>179</v>
      </c>
      <c r="AA129" s="27">
        <v>2.0</v>
      </c>
      <c r="AB129" s="9" t="s">
        <v>8649</v>
      </c>
      <c r="AC129" s="28">
        <f t="array" ref="AC129">XLOOKUP(V129,products_master_corrected!$A$2:$A$151,products_master_corrected!$E$2:$E$151)</f>
        <v>305.43</v>
      </c>
      <c r="AD129" s="28">
        <f t="shared" si="21"/>
        <v>610.86</v>
      </c>
      <c r="AE129" s="28">
        <f t="array" ref="AE129">XLOOKUP(V129,products_master_corrected!$A$2:$A$151,products_master_corrected!$I$2:$I$151)</f>
        <v>336.71</v>
      </c>
      <c r="AF129" s="29">
        <f t="shared" si="22"/>
        <v>673.42</v>
      </c>
      <c r="AG129" s="32" t="s">
        <v>8660</v>
      </c>
      <c r="AH129" s="2" t="s">
        <v>96</v>
      </c>
      <c r="AI129" s="10" t="s">
        <v>143</v>
      </c>
      <c r="AJ129" s="2" t="s">
        <v>132</v>
      </c>
      <c r="AK129" s="10" t="s">
        <v>192</v>
      </c>
      <c r="AL129" s="2" t="s">
        <v>67</v>
      </c>
    </row>
    <row r="130" ht="15.75" customHeight="1">
      <c r="A130" s="2" t="s">
        <v>4429</v>
      </c>
      <c r="B130" s="12" t="s">
        <v>4430</v>
      </c>
      <c r="C130" s="2" t="str">
        <f>IFERROR(__xludf.DUMMYFUNCTION("IF(ISNUMBER(B130),TEXT(B130,""yyyy-MM-dd""),REGEXREPLACE(REGEXREPLACE(TO_TEXT(B130),""[^0-9a-zA-Z]+"",""-""),""[^0-9]*$"",""""))"),"45201-20-48")</f>
        <v>45201-20-48</v>
      </c>
      <c r="D130" s="2" t="str">
        <f>TEXT(C130,"yyyy-MM-dd")</f>
        <v>45201-20-48</v>
      </c>
      <c r="E130" s="25" t="str">
        <f>CONCATENATE(LEFT(D130,5))</f>
        <v>45201</v>
      </c>
      <c r="F130" s="12">
        <f>DATE(1900,1,1) + E130 - 1</f>
        <v>45202</v>
      </c>
      <c r="G130" s="2" t="s">
        <v>8719</v>
      </c>
      <c r="H130" s="10" t="s">
        <v>8719</v>
      </c>
      <c r="I130" s="2" t="s">
        <v>3688</v>
      </c>
      <c r="J130" s="26" t="str">
        <f t="array" ref="J130">IF(ISNA(XLOOKUP(I130,customers_clean!$A$2:$A$701,customers_clean!$A$2:$A$701, NA()) ),
   "❌ MISSING CUSTOMER", "✅")</f>
        <v>✅</v>
      </c>
      <c r="K130" s="2" t="str">
        <f t="array" ref="K130">XLOOKUP(I130,customers_clean!$A$2:$A$701,customers_clean!$C$2:$C$701)</f>
        <v>Tara Khan</v>
      </c>
      <c r="L130" s="10" t="str">
        <f t="array" ref="L130">XLOOKUP(I130,customers_clean!$A$2:$A$701,customers_clean!$D$2:$D$701)</f>
        <v>Tara Khan</v>
      </c>
      <c r="M130" s="2" t="str">
        <f t="array" ref="M130">XLOOKUP(I130,customers_clean!$A$2:$A$701,customers_clean!$I$2:$I$701)</f>
        <v>tara.khan@company.co.uk</v>
      </c>
      <c r="N130" s="10" t="str">
        <f t="array" ref="N130">XLOOKUP(I130,customers_clean!$A$2:$A$701,customers_clean!$H$2:$H$701)</f>
        <v>tara.khan@company.co.uk</v>
      </c>
      <c r="O130" s="9" t="str">
        <f>IFERROR(__xludf.DUMMYFUNCTION("IF(REGEXMATCH(TRIM(N130),""^[A-Za-z0-9._%+-]+@[A-Za-z0-9.-]+\.[A-Za-z]{2,}$""),""✅ Valid"",""❌ Invalid"")"),"✅ Valid")</f>
        <v>✅ Valid</v>
      </c>
      <c r="P130" s="2" t="str">
        <f t="array" ref="P130">XLOOKUP(I130,customers_clean!$A$2:$A$701,customers_clean!$K$2:$K$701)</f>
        <v>+3538375201287</v>
      </c>
      <c r="Q130" s="10" t="str">
        <f t="array" ref="Q130">XLOOKUP(I130,customers_clean!$A$2:$A$701,customers_clean!$N$2:$N$701)</f>
        <v>8375201287</v>
      </c>
      <c r="R130" s="9" t="str">
        <f t="array" ref="R130">XLOOKUP(I130,customers_clean!$A$2:$A$701,customers_clean!$Q$2:$Q$701)</f>
        <v>❌ INVALID</v>
      </c>
      <c r="S130" s="31" t="s">
        <v>671</v>
      </c>
      <c r="T130" s="2" t="s">
        <v>234</v>
      </c>
      <c r="U130" s="2" t="s">
        <v>522</v>
      </c>
      <c r="V130" s="2" t="s">
        <v>993</v>
      </c>
      <c r="W130" s="9" t="str">
        <f t="array" ref="W130">IF(ISNA(XLOOKUP(V130,products_master_corrected!$A$2:$A$151,products_master_corrected!$A$2:$A$151, NA())),
    "❌ MISSING SKU", "✅")</f>
        <v>✅</v>
      </c>
      <c r="X130" s="2" t="s">
        <v>994</v>
      </c>
      <c r="Y130" s="2" t="s">
        <v>995</v>
      </c>
      <c r="Z130" s="10" t="s">
        <v>355</v>
      </c>
      <c r="AA130" s="27">
        <v>5.0</v>
      </c>
      <c r="AB130" s="9" t="s">
        <v>8649</v>
      </c>
      <c r="AC130" s="28">
        <f t="array" ref="AC130">XLOOKUP(V130,products_master_corrected!$A$2:$A$151,products_master_corrected!$E$2:$E$151)</f>
        <v>566.38</v>
      </c>
      <c r="AD130" s="28">
        <f t="shared" si="21"/>
        <v>2831.9</v>
      </c>
      <c r="AE130" s="28">
        <f t="array" ref="AE130">XLOOKUP(V130,products_master_corrected!$A$2:$A$151,products_master_corrected!$J$2:$J$151)</f>
        <v>660.57</v>
      </c>
      <c r="AF130" s="29">
        <f t="shared" si="22"/>
        <v>3302.85</v>
      </c>
      <c r="AG130" s="32" t="s">
        <v>8656</v>
      </c>
      <c r="AH130" s="2" t="s">
        <v>505</v>
      </c>
      <c r="AI130" s="10" t="s">
        <v>181</v>
      </c>
      <c r="AJ130" s="2" t="s">
        <v>169</v>
      </c>
      <c r="AK130" s="10" t="s">
        <v>261</v>
      </c>
      <c r="AL130" s="2" t="s">
        <v>67</v>
      </c>
    </row>
    <row r="131" ht="15.75" customHeight="1">
      <c r="A131" s="2" t="s">
        <v>5540</v>
      </c>
      <c r="B131" s="12" t="s">
        <v>5541</v>
      </c>
      <c r="C131" s="2" t="str">
        <f>IFERROR(__xludf.DUMMYFUNCTION("IF(ISNUMBER(B131),TEXT(B131,""yyyy-MM-dd""),REGEXREPLACE(REGEXREPLACE(TO_TEXT(B131),""[^0-9a-zA-Z]+"",""-""),""[^0-9]*$"",""""))"),"06-09-2023")</f>
        <v>06-09-2023</v>
      </c>
      <c r="D131" s="2" t="s">
        <v>8720</v>
      </c>
      <c r="H131" s="10" t="s">
        <v>8720</v>
      </c>
      <c r="I131" s="2" t="s">
        <v>3688</v>
      </c>
      <c r="J131" s="26" t="str">
        <f t="array" ref="J131">IF(ISNA(XLOOKUP(I131,customers_clean!$A$2:$A$701,customers_clean!$A$2:$A$701, NA()) ),
   "❌ MISSING CUSTOMER", "✅")</f>
        <v>✅</v>
      </c>
      <c r="K131" s="2" t="str">
        <f t="array" ref="K131">XLOOKUP(I131,customers_clean!$A$2:$A$701,customers_clean!$C$2:$C$701)</f>
        <v>Tara Khan</v>
      </c>
      <c r="L131" s="10" t="str">
        <f t="array" ref="L131">XLOOKUP(I131,customers_clean!$A$2:$A$701,customers_clean!$D$2:$D$701)</f>
        <v>Tara Khan</v>
      </c>
      <c r="M131" s="2" t="str">
        <f t="array" ref="M131">XLOOKUP(I131,customers_clean!$A$2:$A$701,customers_clean!$I$2:$I$701)</f>
        <v>tara.khan@company.co.uk</v>
      </c>
      <c r="N131" s="10" t="str">
        <f t="array" ref="N131">XLOOKUP(I131,customers_clean!$A$2:$A$701,customers_clean!$H$2:$H$701)</f>
        <v>tara.khan@company.co.uk</v>
      </c>
      <c r="O131" s="9" t="str">
        <f>IFERROR(__xludf.DUMMYFUNCTION("IF(REGEXMATCH(TRIM(N131),""^[A-Za-z0-9._%+-]+@[A-Za-z0-9.-]+\.[A-Za-z]{2,}$""),""✅ Valid"",""❌ Invalid"")"),"✅ Valid")</f>
        <v>✅ Valid</v>
      </c>
      <c r="P131" s="2" t="str">
        <f t="array" ref="P131">XLOOKUP(I131,customers_clean!$A$2:$A$701,customers_clean!$K$2:$K$701)</f>
        <v>+3538375201287</v>
      </c>
      <c r="Q131" s="10" t="str">
        <f t="array" ref="Q131">XLOOKUP(I131,customers_clean!$A$2:$A$701,customers_clean!$N$2:$N$701)</f>
        <v>8375201287</v>
      </c>
      <c r="R131" s="9" t="str">
        <f t="array" ref="R131">XLOOKUP(I131,customers_clean!$A$2:$A$701,customers_clean!$Q$2:$Q$701)</f>
        <v>❌ INVALID</v>
      </c>
      <c r="S131" s="31" t="s">
        <v>671</v>
      </c>
      <c r="T131" s="2" t="s">
        <v>26</v>
      </c>
      <c r="U131" s="2" t="s">
        <v>480</v>
      </c>
      <c r="V131" s="2" t="s">
        <v>976</v>
      </c>
      <c r="W131" s="9" t="str">
        <f t="array" ref="W131">IF(ISNA(XLOOKUP(V131,products_master_corrected!$A$2:$A$151,products_master_corrected!$A$2:$A$151, NA())),
    "❌ MISSING SKU", "✅")</f>
        <v>✅</v>
      </c>
      <c r="X131" s="2" t="s">
        <v>29</v>
      </c>
      <c r="Y131" s="2" t="s">
        <v>214</v>
      </c>
      <c r="Z131" s="10" t="s">
        <v>368</v>
      </c>
      <c r="AA131" s="27">
        <v>1.0</v>
      </c>
      <c r="AB131" s="9" t="s">
        <v>8649</v>
      </c>
      <c r="AC131" s="28">
        <f t="array" ref="AC131">XLOOKUP(V131,products_master_corrected!$A$2:$A$151,products_master_corrected!$E$2:$E$151)</f>
        <v>107.91</v>
      </c>
      <c r="AD131" s="28">
        <f t="shared" si="21"/>
        <v>107.91</v>
      </c>
      <c r="AE131" s="28">
        <f t="array" ref="AE131">XLOOKUP(V131,products_master_corrected!$A$2:$A$151,products_master_corrected!$J$2:$J$151)</f>
        <v>125.86</v>
      </c>
      <c r="AF131" s="29">
        <f t="shared" si="22"/>
        <v>125.86</v>
      </c>
      <c r="AG131" s="32" t="s">
        <v>8656</v>
      </c>
      <c r="AH131" s="2" t="s">
        <v>66</v>
      </c>
      <c r="AI131" s="10" t="s">
        <v>66</v>
      </c>
      <c r="AJ131" s="2" t="s">
        <v>80</v>
      </c>
      <c r="AK131" s="10" t="s">
        <v>80</v>
      </c>
      <c r="AL131" s="2" t="s">
        <v>51</v>
      </c>
    </row>
    <row r="132" ht="15.75" customHeight="1">
      <c r="A132" s="2" t="s">
        <v>4381</v>
      </c>
      <c r="B132" s="12">
        <v>44928.0</v>
      </c>
      <c r="C132" s="2" t="str">
        <f>IFERROR(__xludf.DUMMYFUNCTION("IF(ISNUMBER(B132),TEXT(B132,""yyyy-MM-dd""),REGEXREPLACE(REGEXREPLACE(TO_TEXT(B132),""[^0-9a-zA-Z]+"",""-""),""[^0-9]*$"",""""))"),"2023-01-02")</f>
        <v>2023-01-02</v>
      </c>
      <c r="D132" s="2" t="s">
        <v>4382</v>
      </c>
      <c r="H132" s="10" t="s">
        <v>4382</v>
      </c>
      <c r="I132" s="2" t="s">
        <v>3688</v>
      </c>
      <c r="J132" s="26" t="str">
        <f t="array" ref="J132">IF(ISNA(XLOOKUP(I132,customers_clean!$A$2:$A$701,customers_clean!$A$2:$A$701, NA()) ),
   "❌ MISSING CUSTOMER", "✅")</f>
        <v>✅</v>
      </c>
      <c r="K132" s="2" t="str">
        <f t="array" ref="K132">XLOOKUP(I132,customers_clean!$A$2:$A$701,customers_clean!$C$2:$C$701)</f>
        <v>Tara Khan</v>
      </c>
      <c r="L132" s="10" t="str">
        <f t="array" ref="L132">XLOOKUP(I132,customers_clean!$A$2:$A$701,customers_clean!$D$2:$D$701)</f>
        <v>Tara Khan</v>
      </c>
      <c r="M132" s="2" t="str">
        <f t="array" ref="M132">XLOOKUP(I132,customers_clean!$A$2:$A$701,customers_clean!$I$2:$I$701)</f>
        <v>tara.khan@company.co.uk</v>
      </c>
      <c r="N132" s="10" t="str">
        <f t="array" ref="N132">XLOOKUP(I132,customers_clean!$A$2:$A$701,customers_clean!$H$2:$H$701)</f>
        <v>tara.khan@company.co.uk</v>
      </c>
      <c r="O132" s="9" t="str">
        <f>IFERROR(__xludf.DUMMYFUNCTION("IF(REGEXMATCH(TRIM(N132),""^[A-Za-z0-9._%+-]+@[A-Za-z0-9.-]+\.[A-Za-z]{2,}$""),""✅ Valid"",""❌ Invalid"")"),"✅ Valid")</f>
        <v>✅ Valid</v>
      </c>
      <c r="P132" s="2" t="str">
        <f t="array" ref="P132">XLOOKUP(I132,customers_clean!$A$2:$A$701,customers_clean!$K$2:$K$701)</f>
        <v>+3538375201287</v>
      </c>
      <c r="Q132" s="10" t="str">
        <f t="array" ref="Q132">XLOOKUP(I132,customers_clean!$A$2:$A$701,customers_clean!$N$2:$N$701)</f>
        <v>8375201287</v>
      </c>
      <c r="R132" s="9" t="str">
        <f t="array" ref="R132">XLOOKUP(I132,customers_clean!$A$2:$A$701,customers_clean!$Q$2:$Q$701)</f>
        <v>❌ INVALID</v>
      </c>
      <c r="S132" s="31" t="s">
        <v>671</v>
      </c>
      <c r="T132" s="2" t="s">
        <v>115</v>
      </c>
      <c r="U132" s="2" t="s">
        <v>103</v>
      </c>
      <c r="V132" s="2" t="s">
        <v>534</v>
      </c>
      <c r="W132" s="9" t="str">
        <f t="array" ref="W132">IF(ISNA(XLOOKUP(V132,products_master_corrected!$A$2:$A$151,products_master_corrected!$A$2:$A$151, NA())),
    "❌ MISSING SKU", "✅")</f>
        <v>✅</v>
      </c>
      <c r="X132" s="2" t="s">
        <v>535</v>
      </c>
      <c r="Y132" s="2" t="s">
        <v>30</v>
      </c>
      <c r="Z132" s="10" t="s">
        <v>179</v>
      </c>
      <c r="AA132" s="27">
        <v>1.0</v>
      </c>
      <c r="AB132" s="9" t="s">
        <v>8649</v>
      </c>
      <c r="AC132" s="28">
        <f t="array" ref="AC132">XLOOKUP(V132,products_master_corrected!$A$2:$A$151,products_master_corrected!$E$2:$E$151)</f>
        <v>113.92</v>
      </c>
      <c r="AD132" s="28">
        <f t="shared" si="21"/>
        <v>113.92</v>
      </c>
      <c r="AE132" s="28">
        <f t="array" ref="AE132">XLOOKUP(V132,products_master_corrected!$A$2:$A$151,products_master_corrected!$J$2:$J$151)</f>
        <v>132.86</v>
      </c>
      <c r="AF132" s="29">
        <f t="shared" si="22"/>
        <v>132.86</v>
      </c>
      <c r="AG132" s="32" t="s">
        <v>8656</v>
      </c>
      <c r="AH132" s="2" t="s">
        <v>49</v>
      </c>
      <c r="AI132" s="10" t="s">
        <v>49</v>
      </c>
      <c r="AJ132" s="2" t="s">
        <v>192</v>
      </c>
      <c r="AK132" s="10" t="s">
        <v>192</v>
      </c>
      <c r="AL132" s="2" t="s">
        <v>51</v>
      </c>
    </row>
    <row r="133" ht="15.75" customHeight="1">
      <c r="A133" s="2" t="s">
        <v>3686</v>
      </c>
      <c r="B133" s="12">
        <v>45139.74375</v>
      </c>
      <c r="C133" s="2" t="str">
        <f>IFERROR(__xludf.DUMMYFUNCTION("IF(ISNUMBER(B133),TEXT(B133,""yyyy-MM-dd""),REGEXREPLACE(REGEXREPLACE(TO_TEXT(B133),""[^0-9a-zA-Z]+"",""-""),""[^0-9]*$"",""""))"),"2023-08-01")</f>
        <v>2023-08-01</v>
      </c>
      <c r="D133" s="2" t="s">
        <v>8141</v>
      </c>
      <c r="H133" s="10" t="s">
        <v>8141</v>
      </c>
      <c r="I133" s="2" t="s">
        <v>3688</v>
      </c>
      <c r="J133" s="26" t="str">
        <f t="array" ref="J133">IF(ISNA(XLOOKUP(I133,customers_clean!$A$2:$A$701,customers_clean!$A$2:$A$701, NA()) ),
   "❌ MISSING CUSTOMER", "✅")</f>
        <v>✅</v>
      </c>
      <c r="K133" s="2" t="str">
        <f t="array" ref="K133">XLOOKUP(I133,customers_clean!$A$2:$A$701,customers_clean!$C$2:$C$701)</f>
        <v>Tara Khan</v>
      </c>
      <c r="L133" s="10" t="str">
        <f t="array" ref="L133">XLOOKUP(I133,customers_clean!$A$2:$A$701,customers_clean!$D$2:$D$701)</f>
        <v>Tara Khan</v>
      </c>
      <c r="M133" s="2" t="str">
        <f t="array" ref="M133">XLOOKUP(I133,customers_clean!$A$2:$A$701,customers_clean!$I$2:$I$701)</f>
        <v>tara.khan@company.co.uk</v>
      </c>
      <c r="N133" s="10" t="str">
        <f t="array" ref="N133">XLOOKUP(I133,customers_clean!$A$2:$A$701,customers_clean!$H$2:$H$701)</f>
        <v>tara.khan@company.co.uk</v>
      </c>
      <c r="O133" s="9" t="str">
        <f>IFERROR(__xludf.DUMMYFUNCTION("IF(REGEXMATCH(TRIM(N133),""^[A-Za-z0-9._%+-]+@[A-Za-z0-9.-]+\.[A-Za-z]{2,}$""),""✅ Valid"",""❌ Invalid"")"),"✅ Valid")</f>
        <v>✅ Valid</v>
      </c>
      <c r="P133" s="2" t="str">
        <f t="array" ref="P133">XLOOKUP(I133,customers_clean!$A$2:$A$701,customers_clean!$K$2:$K$701)</f>
        <v>+3538375201287</v>
      </c>
      <c r="Q133" s="10" t="str">
        <f t="array" ref="Q133">XLOOKUP(I133,customers_clean!$A$2:$A$701,customers_clean!$N$2:$N$701)</f>
        <v>8375201287</v>
      </c>
      <c r="R133" s="9" t="str">
        <f t="array" ref="R133">XLOOKUP(I133,customers_clean!$A$2:$A$701,customers_clean!$Q$2:$Q$701)</f>
        <v>❌ INVALID</v>
      </c>
      <c r="S133" s="31" t="s">
        <v>671</v>
      </c>
      <c r="T133" s="2" t="s">
        <v>223</v>
      </c>
      <c r="U133" s="2" t="s">
        <v>365</v>
      </c>
      <c r="V133" s="2" t="s">
        <v>1632</v>
      </c>
      <c r="W133" s="9" t="str">
        <f t="array" ref="W133">IF(ISNA(XLOOKUP(V133,products_master_corrected!$A$2:$A$151,products_master_corrected!$A$2:$A$151, NA())),
    "❌ MISSING SKU", "✅")</f>
        <v>✅</v>
      </c>
      <c r="X133" s="2" t="s">
        <v>994</v>
      </c>
      <c r="Y133" s="2" t="s">
        <v>742</v>
      </c>
      <c r="Z133" s="10" t="s">
        <v>355</v>
      </c>
      <c r="AA133" s="27">
        <v>1.0</v>
      </c>
      <c r="AB133" s="9" t="s">
        <v>8649</v>
      </c>
      <c r="AC133" s="28">
        <f t="array" ref="AC133">XLOOKUP(V133,products_master_corrected!$A$2:$A$151,products_master_corrected!$E$2:$E$151)</f>
        <v>362.35</v>
      </c>
      <c r="AD133" s="28">
        <f t="shared" si="21"/>
        <v>362.35</v>
      </c>
      <c r="AE133" s="28">
        <f t="array" ref="AE133">XLOOKUP(V133,products_master_corrected!$A$2:$A$151,products_master_corrected!$J$2:$J$151)</f>
        <v>422.61</v>
      </c>
      <c r="AF133" s="29">
        <f t="shared" si="22"/>
        <v>422.61</v>
      </c>
      <c r="AG133" s="32" t="s">
        <v>8656</v>
      </c>
      <c r="AH133" s="2" t="s">
        <v>66</v>
      </c>
      <c r="AI133" s="10" t="s">
        <v>66</v>
      </c>
      <c r="AJ133" s="2" t="s">
        <v>80</v>
      </c>
      <c r="AK133" s="10" t="s">
        <v>80</v>
      </c>
    </row>
    <row r="134" ht="15.75" customHeight="1">
      <c r="A134" s="2" t="s">
        <v>2646</v>
      </c>
      <c r="B134" s="12">
        <v>45747.0</v>
      </c>
      <c r="C134" s="2" t="str">
        <f>IFERROR(__xludf.DUMMYFUNCTION("IF(ISNUMBER(B134),TEXT(B134,""yyyy-MM-dd""),REGEXREPLACE(REGEXREPLACE(TO_TEXT(B134),""[^0-9a-zA-Z]+"",""-""),""[^0-9]*$"",""""))"),"2025-03-31")</f>
        <v>2025-03-31</v>
      </c>
      <c r="D134" s="2" t="s">
        <v>2647</v>
      </c>
      <c r="H134" s="10" t="s">
        <v>2647</v>
      </c>
      <c r="I134" s="2" t="s">
        <v>2648</v>
      </c>
      <c r="J134" s="26" t="str">
        <f t="array" ref="J134">IF(ISNA(XLOOKUP(I134,customers_clean!$A$2:$A$701,customers_clean!$A$2:$A$701, NA()) ),
   "❌ MISSING CUSTOMER", "✅")</f>
        <v>✅</v>
      </c>
      <c r="K134" s="2" t="str">
        <f t="array" ref="K134">XLOOKUP(I134,customers_clean!$A$2:$A$701,customers_clean!$C$2:$C$701)</f>
        <v>Adam Kowalczyk</v>
      </c>
      <c r="L134" s="10" t="str">
        <f t="array" ref="L134">XLOOKUP(I134,customers_clean!$A$2:$A$701,customers_clean!$D$2:$D$701)</f>
        <v>Adam Kowalczyk</v>
      </c>
      <c r="M134" s="2" t="str">
        <f t="array" ref="M134">XLOOKUP(I134,customers_clean!$A$2:$A$701,customers_clean!$I$2:$I$701)</f>
        <v>adam.kowalczyk@example.com</v>
      </c>
      <c r="N134" s="10" t="str">
        <f t="array" ref="N134">XLOOKUP(I134,customers_clean!$A$2:$A$701,customers_clean!$H$2:$H$701)</f>
        <v>adam.kowalczyk@example.com</v>
      </c>
      <c r="O134" s="9" t="str">
        <f>IFERROR(__xludf.DUMMYFUNCTION("IF(REGEXMATCH(TRIM(N134),""^[A-Za-z0-9._%+-]+@[A-Za-z0-9.-]+\.[A-Za-z]{2,}$""),""✅ Valid"",""❌ Invalid"")"),"✅ Valid")</f>
        <v>✅ Valid</v>
      </c>
      <c r="P134" s="2" t="str">
        <f t="array" ref="P134">XLOOKUP(I134,customers_clean!$A$2:$A$701,customers_clean!$K$2:$K$701)</f>
        <v>(350) 382681-</v>
      </c>
      <c r="Q134" s="10" t="str">
        <f t="array" ref="Q134">XLOOKUP(I134,customers_clean!$A$2:$A$701,customers_clean!$N$2:$N$701)</f>
        <v>350382681</v>
      </c>
      <c r="R134" s="9" t="str">
        <f t="array" ref="R134">XLOOKUP(I134,customers_clean!$A$2:$A$701,customers_clean!$Q$2:$Q$701)</f>
        <v>✅ VALID</v>
      </c>
      <c r="S134" s="10" t="s">
        <v>25</v>
      </c>
      <c r="T134" s="2" t="s">
        <v>59</v>
      </c>
      <c r="U134" s="2" t="s">
        <v>176</v>
      </c>
      <c r="V134" s="2" t="s">
        <v>635</v>
      </c>
      <c r="W134" s="9" t="str">
        <f t="array" ref="W134">IF(ISNA(XLOOKUP(V134,products_master_corrected!$A$2:$A$151,products_master_corrected!$A$2:$A$151, NA())),
    "❌ MISSING SKU", "✅")</f>
        <v>✅</v>
      </c>
      <c r="X134" s="2" t="s">
        <v>636</v>
      </c>
      <c r="Y134" s="2" t="s">
        <v>637</v>
      </c>
      <c r="Z134" s="10" t="s">
        <v>514</v>
      </c>
      <c r="AA134" s="27">
        <v>1.0</v>
      </c>
      <c r="AB134" s="9" t="s">
        <v>8649</v>
      </c>
      <c r="AC134" s="28">
        <f t="array" ref="AC134">XLOOKUP(V134,products_master_corrected!$A$2:$A$151,products_master_corrected!$E$2:$E$151)</f>
        <v>30.93</v>
      </c>
      <c r="AD134" s="28">
        <f t="shared" si="21"/>
        <v>30.93</v>
      </c>
      <c r="AE134" s="28">
        <f t="array" ref="AE134">XLOOKUP(V134,products_master_corrected!$A$2:$A$151,products_master_corrected!$K$2:$K$151)</f>
        <v>159.13</v>
      </c>
      <c r="AF134" s="29">
        <f t="shared" si="22"/>
        <v>159.13</v>
      </c>
      <c r="AG134" s="30" t="s">
        <v>95</v>
      </c>
      <c r="AH134" s="2" t="s">
        <v>664</v>
      </c>
      <c r="AI134" s="10" t="s">
        <v>66</v>
      </c>
      <c r="AJ134" s="2" t="s">
        <v>192</v>
      </c>
      <c r="AK134" s="10" t="s">
        <v>192</v>
      </c>
    </row>
    <row r="135" ht="15.75" customHeight="1">
      <c r="A135" s="2" t="s">
        <v>3237</v>
      </c>
      <c r="B135" s="12" t="s">
        <v>3238</v>
      </c>
      <c r="C135" s="2" t="str">
        <f>IFERROR(__xludf.DUMMYFUNCTION("IF(ISNUMBER(B135),TEXT(B135,""yyyy-MM-dd""),REGEXREPLACE(REGEXREPLACE(TO_TEXT(B135),""[^0-9a-zA-Z]+"",""-""),""[^0-9]*$"",""""))"),"45498-00-25")</f>
        <v>45498-00-25</v>
      </c>
      <c r="D135" s="2" t="str">
        <f>TEXT(C135,"yyyy-MM-dd")</f>
        <v>45498-00-25</v>
      </c>
      <c r="E135" s="25" t="str">
        <f>CONCATENATE(LEFT(D135,5))</f>
        <v>45498</v>
      </c>
      <c r="F135" s="12">
        <f>DATE(1900,1,1) + E135 - 1</f>
        <v>45499</v>
      </c>
      <c r="G135" s="2" t="s">
        <v>8721</v>
      </c>
      <c r="H135" s="10" t="s">
        <v>8721</v>
      </c>
      <c r="I135" s="2" t="s">
        <v>2648</v>
      </c>
      <c r="J135" s="26" t="str">
        <f t="array" ref="J135">IF(ISNA(XLOOKUP(I135,customers_clean!$A$2:$A$701,customers_clean!$A$2:$A$701, NA()) ),
   "❌ MISSING CUSTOMER", "✅")</f>
        <v>✅</v>
      </c>
      <c r="K135" s="2" t="str">
        <f t="array" ref="K135">XLOOKUP(I135,customers_clean!$A$2:$A$701,customers_clean!$C$2:$C$701)</f>
        <v>Adam Kowalczyk</v>
      </c>
      <c r="L135" s="10" t="str">
        <f t="array" ref="L135">XLOOKUP(I135,customers_clean!$A$2:$A$701,customers_clean!$D$2:$D$701)</f>
        <v>Adam Kowalczyk</v>
      </c>
      <c r="M135" s="2" t="str">
        <f t="array" ref="M135">XLOOKUP(I135,customers_clean!$A$2:$A$701,customers_clean!$I$2:$I$701)</f>
        <v>adam.kowalczyk@example.com</v>
      </c>
      <c r="N135" s="10" t="str">
        <f t="array" ref="N135">XLOOKUP(I135,customers_clean!$A$2:$A$701,customers_clean!$H$2:$H$701)</f>
        <v>adam.kowalczyk@example.com</v>
      </c>
      <c r="O135" s="9" t="str">
        <f>IFERROR(__xludf.DUMMYFUNCTION("IF(REGEXMATCH(TRIM(N135),""^[A-Za-z0-9._%+-]+@[A-Za-z0-9.-]+\.[A-Za-z]{2,}$""),""✅ Valid"",""❌ Invalid"")"),"✅ Valid")</f>
        <v>✅ Valid</v>
      </c>
      <c r="P135" s="2" t="str">
        <f t="array" ref="P135">XLOOKUP(I135,customers_clean!$A$2:$A$701,customers_clean!$K$2:$K$701)</f>
        <v>(350) 382681-</v>
      </c>
      <c r="Q135" s="10" t="str">
        <f t="array" ref="Q135">XLOOKUP(I135,customers_clean!$A$2:$A$701,customers_clean!$N$2:$N$701)</f>
        <v>350382681</v>
      </c>
      <c r="R135" s="9" t="str">
        <f t="array" ref="R135">XLOOKUP(I135,customers_clean!$A$2:$A$701,customers_clean!$Q$2:$Q$701)</f>
        <v>✅ VALID</v>
      </c>
      <c r="S135" s="10" t="s">
        <v>25</v>
      </c>
      <c r="T135" s="2" t="s">
        <v>42</v>
      </c>
      <c r="U135" s="2" t="s">
        <v>500</v>
      </c>
      <c r="V135" s="2" t="s">
        <v>729</v>
      </c>
      <c r="W135" s="9" t="str">
        <f t="array" ref="W135">IF(ISNA(XLOOKUP(V135,products_master_corrected!$A$2:$A$151,products_master_corrected!$A$2:$A$151, NA())),
    "❌ MISSING SKU", "✅")</f>
        <v>✅</v>
      </c>
      <c r="X135" s="2" t="s">
        <v>62</v>
      </c>
      <c r="Y135" s="2" t="s">
        <v>730</v>
      </c>
      <c r="Z135" s="10" t="s">
        <v>63</v>
      </c>
      <c r="AA135" s="27">
        <v>5.0</v>
      </c>
      <c r="AB135" s="9" t="s">
        <v>8649</v>
      </c>
      <c r="AC135" s="28">
        <f t="array" ref="AC135">XLOOKUP(V135,products_master_corrected!$A$2:$A$151,products_master_corrected!$E$2:$E$151)</f>
        <v>59.89</v>
      </c>
      <c r="AD135" s="28">
        <f t="shared" si="21"/>
        <v>299.45</v>
      </c>
      <c r="AE135" s="28">
        <f t="array" ref="AE135">XLOOKUP(V135,products_master_corrected!$A$2:$A$151,products_master_corrected!$K$2:$K$151)</f>
        <v>308.13</v>
      </c>
      <c r="AF135" s="29">
        <f t="shared" si="22"/>
        <v>1540.65</v>
      </c>
      <c r="AG135" s="30" t="s">
        <v>95</v>
      </c>
      <c r="AH135" s="2" t="s">
        <v>664</v>
      </c>
      <c r="AI135" s="10" t="s">
        <v>66</v>
      </c>
      <c r="AJ135" s="2" t="s">
        <v>120</v>
      </c>
      <c r="AK135" s="10" t="s">
        <v>818</v>
      </c>
    </row>
    <row r="136" ht="15.75" customHeight="1">
      <c r="A136" s="2" t="s">
        <v>5308</v>
      </c>
      <c r="B136" s="12">
        <v>45351.0</v>
      </c>
      <c r="C136" s="2" t="str">
        <f>IFERROR(__xludf.DUMMYFUNCTION("IF(ISNUMBER(B136),TEXT(B136,""yyyy-MM-dd""),REGEXREPLACE(REGEXREPLACE(TO_TEXT(B136),""[^0-9a-zA-Z]+"",""-""),""[^0-9]*$"",""""))"),"2024-02-29")</f>
        <v>2024-02-29</v>
      </c>
      <c r="D136" s="2" t="s">
        <v>8111</v>
      </c>
      <c r="H136" s="10" t="s">
        <v>8111</v>
      </c>
      <c r="I136" s="2" t="s">
        <v>2648</v>
      </c>
      <c r="J136" s="26" t="str">
        <f t="array" ref="J136">IF(ISNA(XLOOKUP(I136,customers_clean!$A$2:$A$701,customers_clean!$A$2:$A$701, NA()) ),
   "❌ MISSING CUSTOMER", "✅")</f>
        <v>✅</v>
      </c>
      <c r="K136" s="2" t="str">
        <f t="array" ref="K136">XLOOKUP(I136,customers_clean!$A$2:$A$701,customers_clean!$C$2:$C$701)</f>
        <v>Adam Kowalczyk</v>
      </c>
      <c r="L136" s="10" t="str">
        <f t="array" ref="L136">XLOOKUP(I136,customers_clean!$A$2:$A$701,customers_clean!$D$2:$D$701)</f>
        <v>Adam Kowalczyk</v>
      </c>
      <c r="M136" s="2" t="str">
        <f t="array" ref="M136">XLOOKUP(I136,customers_clean!$A$2:$A$701,customers_clean!$I$2:$I$701)</f>
        <v>adam.kowalczyk@example.com</v>
      </c>
      <c r="N136" s="10" t="str">
        <f t="array" ref="N136">XLOOKUP(I136,customers_clean!$A$2:$A$701,customers_clean!$H$2:$H$701)</f>
        <v>adam.kowalczyk@example.com</v>
      </c>
      <c r="O136" s="9" t="str">
        <f>IFERROR(__xludf.DUMMYFUNCTION("IF(REGEXMATCH(TRIM(N136),""^[A-Za-z0-9._%+-]+@[A-Za-z0-9.-]+\.[A-Za-z]{2,}$""),""✅ Valid"",""❌ Invalid"")"),"✅ Valid")</f>
        <v>✅ Valid</v>
      </c>
      <c r="P136" s="2" t="str">
        <f t="array" ref="P136">XLOOKUP(I136,customers_clean!$A$2:$A$701,customers_clean!$K$2:$K$701)</f>
        <v>(350) 382681-</v>
      </c>
      <c r="Q136" s="10" t="str">
        <f t="array" ref="Q136">XLOOKUP(I136,customers_clean!$A$2:$A$701,customers_clean!$N$2:$N$701)</f>
        <v>350382681</v>
      </c>
      <c r="R136" s="9" t="str">
        <f t="array" ref="R136">XLOOKUP(I136,customers_clean!$A$2:$A$701,customers_clean!$Q$2:$Q$701)</f>
        <v>✅ VALID</v>
      </c>
      <c r="S136" s="10" t="s">
        <v>25</v>
      </c>
      <c r="T136" s="2" t="s">
        <v>210</v>
      </c>
      <c r="U136" s="2" t="s">
        <v>1032</v>
      </c>
      <c r="V136" s="2" t="s">
        <v>212</v>
      </c>
      <c r="W136" s="9" t="str">
        <f t="array" ref="W136">IF(ISNA(XLOOKUP(V136,products_master_corrected!$A$2:$A$151,products_master_corrected!$A$2:$A$151, NA())),
    "❌ MISSING SKU", "✅")</f>
        <v>✅</v>
      </c>
      <c r="X136" s="2" t="s">
        <v>213</v>
      </c>
      <c r="Y136" s="2" t="s">
        <v>214</v>
      </c>
      <c r="Z136" s="10" t="s">
        <v>368</v>
      </c>
      <c r="AA136" s="27">
        <v>3.0</v>
      </c>
      <c r="AB136" s="9" t="s">
        <v>8649</v>
      </c>
      <c r="AC136" s="28">
        <f t="array" ref="AC136">XLOOKUP(V136,products_master_corrected!$A$2:$A$151,products_master_corrected!$E$2:$E$151)</f>
        <v>1464.12</v>
      </c>
      <c r="AD136" s="28">
        <f t="shared" si="21"/>
        <v>4392.36</v>
      </c>
      <c r="AE136" s="28">
        <f t="array" ref="AE136">XLOOKUP(V136,products_master_corrected!$A$2:$A$151,products_master_corrected!$K$2:$K$151)</f>
        <v>7532.9</v>
      </c>
      <c r="AF136" s="29">
        <f t="shared" si="22"/>
        <v>22598.7</v>
      </c>
      <c r="AG136" s="30" t="s">
        <v>95</v>
      </c>
      <c r="AH136" s="2" t="s">
        <v>131</v>
      </c>
      <c r="AI136" s="10" t="s">
        <v>181</v>
      </c>
      <c r="AJ136" s="2" t="s">
        <v>144</v>
      </c>
      <c r="AK136" s="10" t="s">
        <v>818</v>
      </c>
    </row>
    <row r="137" ht="15.75" customHeight="1">
      <c r="A137" s="2" t="s">
        <v>3013</v>
      </c>
      <c r="B137" s="12">
        <v>45558.0</v>
      </c>
      <c r="C137" s="2" t="str">
        <f>IFERROR(__xludf.DUMMYFUNCTION("IF(ISNUMBER(B137),TEXT(B137,""yyyy-MM-dd""),REGEXREPLACE(REGEXREPLACE(TO_TEXT(B137),""[^0-9a-zA-Z]+"",""-""),""[^0-9]*$"",""""))"),"2024-09-23")</f>
        <v>2024-09-23</v>
      </c>
      <c r="D137" s="2" t="s">
        <v>3014</v>
      </c>
      <c r="H137" s="10" t="s">
        <v>3014</v>
      </c>
      <c r="I137" s="2" t="s">
        <v>2648</v>
      </c>
      <c r="J137" s="26" t="str">
        <f t="array" ref="J137">IF(ISNA(XLOOKUP(I137,customers_clean!$A$2:$A$701,customers_clean!$A$2:$A$701, NA()) ),
   "❌ MISSING CUSTOMER", "✅")</f>
        <v>✅</v>
      </c>
      <c r="K137" s="2" t="str">
        <f t="array" ref="K137">XLOOKUP(I137,customers_clean!$A$2:$A$701,customers_clean!$C$2:$C$701)</f>
        <v>Adam Kowalczyk</v>
      </c>
      <c r="L137" s="10" t="str">
        <f t="array" ref="L137">XLOOKUP(I137,customers_clean!$A$2:$A$701,customers_clean!$D$2:$D$701)</f>
        <v>Adam Kowalczyk</v>
      </c>
      <c r="M137" s="2" t="str">
        <f t="array" ref="M137">XLOOKUP(I137,customers_clean!$A$2:$A$701,customers_clean!$I$2:$I$701)</f>
        <v>adam.kowalczyk@example.com</v>
      </c>
      <c r="N137" s="10" t="str">
        <f t="array" ref="N137">XLOOKUP(I137,customers_clean!$A$2:$A$701,customers_clean!$H$2:$H$701)</f>
        <v>adam.kowalczyk@example.com</v>
      </c>
      <c r="O137" s="9" t="str">
        <f>IFERROR(__xludf.DUMMYFUNCTION("IF(REGEXMATCH(TRIM(N137),""^[A-Za-z0-9._%+-]+@[A-Za-z0-9.-]+\.[A-Za-z]{2,}$""),""✅ Valid"",""❌ Invalid"")"),"✅ Valid")</f>
        <v>✅ Valid</v>
      </c>
      <c r="P137" s="2" t="str">
        <f t="array" ref="P137">XLOOKUP(I137,customers_clean!$A$2:$A$701,customers_clean!$K$2:$K$701)</f>
        <v>(350) 382681-</v>
      </c>
      <c r="Q137" s="10" t="str">
        <f t="array" ref="Q137">XLOOKUP(I137,customers_clean!$A$2:$A$701,customers_clean!$N$2:$N$701)</f>
        <v>350382681</v>
      </c>
      <c r="R137" s="9" t="str">
        <f t="array" ref="R137">XLOOKUP(I137,customers_clean!$A$2:$A$701,customers_clean!$Q$2:$Q$701)</f>
        <v>✅ VALID</v>
      </c>
      <c r="S137" s="10" t="s">
        <v>25</v>
      </c>
      <c r="T137" s="2" t="s">
        <v>400</v>
      </c>
      <c r="U137" s="2" t="s">
        <v>401</v>
      </c>
      <c r="V137" s="2" t="s">
        <v>1085</v>
      </c>
      <c r="W137" s="9" t="str">
        <f t="array" ref="W137">IF(ISNA(XLOOKUP(V137,products_master_corrected!$A$2:$A$151,products_master_corrected!$A$2:$A$151, NA())),
    "❌ MISSING SKU", "✅")</f>
        <v>✅</v>
      </c>
      <c r="X137" s="2" t="s">
        <v>29</v>
      </c>
      <c r="Y137" s="2" t="s">
        <v>368</v>
      </c>
      <c r="Z137" s="10" t="s">
        <v>368</v>
      </c>
      <c r="AA137" s="27">
        <v>1.0</v>
      </c>
      <c r="AB137" s="9" t="s">
        <v>8649</v>
      </c>
      <c r="AC137" s="28">
        <f t="array" ref="AC137">XLOOKUP(V137,products_master_corrected!$A$2:$A$151,products_master_corrected!$E$2:$E$151)</f>
        <v>171.42</v>
      </c>
      <c r="AD137" s="28">
        <f t="shared" si="21"/>
        <v>171.42</v>
      </c>
      <c r="AE137" s="28">
        <f t="array" ref="AE137">XLOOKUP(V137,products_master_corrected!$A$2:$A$151,products_master_corrected!$K$2:$K$151)</f>
        <v>881.96</v>
      </c>
      <c r="AF137" s="29">
        <f t="shared" si="22"/>
        <v>881.96</v>
      </c>
      <c r="AG137" s="30" t="s">
        <v>95</v>
      </c>
      <c r="AH137" s="2" t="s">
        <v>181</v>
      </c>
      <c r="AI137" s="10" t="s">
        <v>181</v>
      </c>
      <c r="AJ137" s="2" t="s">
        <v>380</v>
      </c>
      <c r="AK137" s="10" t="s">
        <v>80</v>
      </c>
      <c r="AL137" s="2" t="s">
        <v>133</v>
      </c>
    </row>
    <row r="138" ht="15.75" customHeight="1">
      <c r="A138" s="2" t="s">
        <v>5641</v>
      </c>
      <c r="B138" s="12">
        <v>45423.211805555555</v>
      </c>
      <c r="C138" s="2" t="str">
        <f>IFERROR(__xludf.DUMMYFUNCTION("IF(ISNUMBER(B138),TEXT(B138,""yyyy-MM-dd""),REGEXREPLACE(REGEXREPLACE(TO_TEXT(B138),""[^0-9a-zA-Z]+"",""-""),""[^0-9]*$"",""""))"),"2024-05-11")</f>
        <v>2024-05-11</v>
      </c>
      <c r="D138" s="2" t="s">
        <v>8722</v>
      </c>
      <c r="H138" s="10" t="s">
        <v>8722</v>
      </c>
      <c r="I138" s="2" t="s">
        <v>2648</v>
      </c>
      <c r="J138" s="26" t="str">
        <f t="array" ref="J138">IF(ISNA(XLOOKUP(I138,customers_clean!$A$2:$A$701,customers_clean!$A$2:$A$701, NA()) ),
   "❌ MISSING CUSTOMER", "✅")</f>
        <v>✅</v>
      </c>
      <c r="K138" s="2" t="str">
        <f t="array" ref="K138">XLOOKUP(I138,customers_clean!$A$2:$A$701,customers_clean!$C$2:$C$701)</f>
        <v>Adam Kowalczyk</v>
      </c>
      <c r="L138" s="10" t="str">
        <f t="array" ref="L138">XLOOKUP(I138,customers_clean!$A$2:$A$701,customers_clean!$D$2:$D$701)</f>
        <v>Adam Kowalczyk</v>
      </c>
      <c r="M138" s="2" t="str">
        <f t="array" ref="M138">XLOOKUP(I138,customers_clean!$A$2:$A$701,customers_clean!$I$2:$I$701)</f>
        <v>adam.kowalczyk@example.com</v>
      </c>
      <c r="N138" s="10" t="str">
        <f t="array" ref="N138">XLOOKUP(I138,customers_clean!$A$2:$A$701,customers_clean!$H$2:$H$701)</f>
        <v>adam.kowalczyk@example.com</v>
      </c>
      <c r="O138" s="9" t="str">
        <f>IFERROR(__xludf.DUMMYFUNCTION("IF(REGEXMATCH(TRIM(N138),""^[A-Za-z0-9._%+-]+@[A-Za-z0-9.-]+\.[A-Za-z]{2,}$""),""✅ Valid"",""❌ Invalid"")"),"✅ Valid")</f>
        <v>✅ Valid</v>
      </c>
      <c r="P138" s="2" t="str">
        <f t="array" ref="P138">XLOOKUP(I138,customers_clean!$A$2:$A$701,customers_clean!$K$2:$K$701)</f>
        <v>(350) 382681-</v>
      </c>
      <c r="Q138" s="10" t="str">
        <f t="array" ref="Q138">XLOOKUP(I138,customers_clean!$A$2:$A$701,customers_clean!$N$2:$N$701)</f>
        <v>350382681</v>
      </c>
      <c r="R138" s="9" t="str">
        <f t="array" ref="R138">XLOOKUP(I138,customers_clean!$A$2:$A$701,customers_clean!$Q$2:$Q$701)</f>
        <v>✅ VALID</v>
      </c>
      <c r="S138" s="10" t="s">
        <v>25</v>
      </c>
      <c r="T138" s="2" t="s">
        <v>26</v>
      </c>
      <c r="U138" s="2" t="s">
        <v>176</v>
      </c>
      <c r="V138" s="2" t="s">
        <v>4784</v>
      </c>
      <c r="W138" s="9" t="str">
        <f t="array" ref="W138">IF(ISNA(XLOOKUP(V138,products_master_corrected!$A$2:$A$151,products_master_corrected!$A$2:$A$151, NA())),
    "❌ MISSING SKU", "✅")</f>
        <v>✅</v>
      </c>
      <c r="X138" s="2" t="s">
        <v>2322</v>
      </c>
      <c r="Y138" s="2" t="s">
        <v>167</v>
      </c>
      <c r="Z138" s="10" t="str">
        <f>PROPER(TRIM(Y138))</f>
        <v>Monitors</v>
      </c>
      <c r="AA138" s="27">
        <v>1.0</v>
      </c>
      <c r="AB138" s="9" t="s">
        <v>8649</v>
      </c>
      <c r="AC138" s="28">
        <f t="array" ref="AC138">XLOOKUP(V138,products_master_corrected!$A$2:$A$151,products_master_corrected!$E$2:$E$151)</f>
        <v>22.87</v>
      </c>
      <c r="AD138" s="28">
        <f t="shared" si="21"/>
        <v>22.87</v>
      </c>
      <c r="AE138" s="28">
        <f t="array" ref="AE138">XLOOKUP(V138,products_master_corrected!$A$2:$A$151,products_master_corrected!$K$2:$K$151)</f>
        <v>117.67</v>
      </c>
      <c r="AF138" s="29">
        <f t="shared" si="22"/>
        <v>117.67</v>
      </c>
      <c r="AG138" s="30" t="s">
        <v>95</v>
      </c>
      <c r="AH138" s="2" t="s">
        <v>49</v>
      </c>
      <c r="AI138" s="10" t="s">
        <v>49</v>
      </c>
      <c r="AJ138" s="2" t="s">
        <v>345</v>
      </c>
      <c r="AK138" s="10" t="s">
        <v>261</v>
      </c>
    </row>
    <row r="139" ht="15.75" customHeight="1">
      <c r="A139" s="2" t="s">
        <v>4840</v>
      </c>
      <c r="B139" s="12">
        <v>45810.17013888889</v>
      </c>
      <c r="C139" s="2" t="str">
        <f>IFERROR(__xludf.DUMMYFUNCTION("IF(ISNUMBER(B139),TEXT(B139,""yyyy-MM-dd""),REGEXREPLACE(REGEXREPLACE(TO_TEXT(B139),""[^0-9a-zA-Z]+"",""-""),""[^0-9]*$"",""""))"),"2025-06-02")</f>
        <v>2025-06-02</v>
      </c>
      <c r="D139" s="2" t="s">
        <v>8723</v>
      </c>
      <c r="H139" s="10" t="s">
        <v>8723</v>
      </c>
      <c r="I139" s="2" t="s">
        <v>2648</v>
      </c>
      <c r="J139" s="26" t="str">
        <f t="array" ref="J139">IF(ISNA(XLOOKUP(I139,customers_clean!$A$2:$A$701,customers_clean!$A$2:$A$701, NA()) ),
   "❌ MISSING CUSTOMER", "✅")</f>
        <v>✅</v>
      </c>
      <c r="K139" s="2" t="str">
        <f t="array" ref="K139">XLOOKUP(I139,customers_clean!$A$2:$A$701,customers_clean!$C$2:$C$701)</f>
        <v>Adam Kowalczyk</v>
      </c>
      <c r="L139" s="10" t="str">
        <f t="array" ref="L139">XLOOKUP(I139,customers_clean!$A$2:$A$701,customers_clean!$D$2:$D$701)</f>
        <v>Adam Kowalczyk</v>
      </c>
      <c r="M139" s="2" t="str">
        <f t="array" ref="M139">XLOOKUP(I139,customers_clean!$A$2:$A$701,customers_clean!$I$2:$I$701)</f>
        <v>adam.kowalczyk@example.com</v>
      </c>
      <c r="N139" s="10" t="str">
        <f t="array" ref="N139">XLOOKUP(I139,customers_clean!$A$2:$A$701,customers_clean!$H$2:$H$701)</f>
        <v>adam.kowalczyk@example.com</v>
      </c>
      <c r="O139" s="9" t="str">
        <f>IFERROR(__xludf.DUMMYFUNCTION("IF(REGEXMATCH(TRIM(N139),""^[A-Za-z0-9._%+-]+@[A-Za-z0-9.-]+\.[A-Za-z]{2,}$""),""✅ Valid"",""❌ Invalid"")"),"✅ Valid")</f>
        <v>✅ Valid</v>
      </c>
      <c r="P139" s="2" t="str">
        <f t="array" ref="P139">XLOOKUP(I139,customers_clean!$A$2:$A$701,customers_clean!$K$2:$K$701)</f>
        <v>(350) 382681-</v>
      </c>
      <c r="Q139" s="10" t="str">
        <f t="array" ref="Q139">XLOOKUP(I139,customers_clean!$A$2:$A$701,customers_clean!$N$2:$N$701)</f>
        <v>350382681</v>
      </c>
      <c r="R139" s="9" t="str">
        <f t="array" ref="R139">XLOOKUP(I139,customers_clean!$A$2:$A$701,customers_clean!$Q$2:$Q$701)</f>
        <v>✅ VALID</v>
      </c>
      <c r="S139" s="10" t="s">
        <v>25</v>
      </c>
      <c r="T139" s="2" t="s">
        <v>460</v>
      </c>
      <c r="U139" s="2" t="s">
        <v>103</v>
      </c>
      <c r="V139" s="2" t="s">
        <v>3596</v>
      </c>
      <c r="W139" s="9" t="str">
        <f t="array" ref="W139">IF(ISNA(XLOOKUP(V139,products_master_corrected!$A$2:$A$151,products_master_corrected!$A$2:$A$151, NA())),
    "❌ MISSING SKU", "✅")</f>
        <v>✅</v>
      </c>
      <c r="X139" s="2" t="s">
        <v>3597</v>
      </c>
      <c r="Y139" s="2" t="s">
        <v>63</v>
      </c>
      <c r="Z139" s="10" t="s">
        <v>63</v>
      </c>
      <c r="AA139" s="27">
        <v>2.0</v>
      </c>
      <c r="AB139" s="9" t="s">
        <v>8649</v>
      </c>
      <c r="AC139" s="28">
        <f t="array" ref="AC139">XLOOKUP(V139,products_master_corrected!$A$2:$A$151,products_master_corrected!$E$2:$E$151)</f>
        <v>160.36</v>
      </c>
      <c r="AD139" s="28">
        <f t="shared" si="21"/>
        <v>320.72</v>
      </c>
      <c r="AE139" s="28">
        <f t="array" ref="AE139">XLOOKUP(V139,products_master_corrected!$A$2:$A$151,products_master_corrected!$K$2:$K$151)</f>
        <v>825.05</v>
      </c>
      <c r="AF139" s="29">
        <f t="shared" si="22"/>
        <v>1650.1</v>
      </c>
      <c r="AG139" s="30" t="s">
        <v>95</v>
      </c>
      <c r="AH139" s="2" t="s">
        <v>143</v>
      </c>
      <c r="AI139" s="10" t="s">
        <v>143</v>
      </c>
      <c r="AJ139" s="2" t="s">
        <v>192</v>
      </c>
      <c r="AK139" s="10" t="s">
        <v>192</v>
      </c>
    </row>
    <row r="140" ht="15.75" customHeight="1">
      <c r="A140" s="2" t="s">
        <v>6185</v>
      </c>
      <c r="B140" s="12">
        <v>45752.0</v>
      </c>
      <c r="C140" s="2" t="str">
        <f>IFERROR(__xludf.DUMMYFUNCTION("IF(ISNUMBER(B140),TEXT(B140,""yyyy-MM-dd""),REGEXREPLACE(REGEXREPLACE(TO_TEXT(B140),""[^0-9a-zA-Z]+"",""-""),""[^0-9]*$"",""""))"),"2025-04-05")</f>
        <v>2025-04-05</v>
      </c>
      <c r="D140" s="2" t="s">
        <v>8724</v>
      </c>
      <c r="H140" s="10" t="s">
        <v>8724</v>
      </c>
      <c r="I140" s="2" t="s">
        <v>5944</v>
      </c>
      <c r="J140" s="26" t="str">
        <f t="array" ref="J140">IF(ISNA(XLOOKUP(I140,customers_clean!$A$2:$A$701,customers_clean!$A$2:$A$701, NA()) ),
   "❌ MISSING CUSTOMER", "✅")</f>
        <v>✅</v>
      </c>
      <c r="K140" s="2" t="str">
        <f t="array" ref="K140">XLOOKUP(I140,customers_clean!$A$2:$A$701,customers_clean!$C$2:$C$701)</f>
        <v>Hanna Johnson</v>
      </c>
      <c r="L140" s="10" t="str">
        <f t="array" ref="L140">XLOOKUP(I140,customers_clean!$A$2:$A$701,customers_clean!$D$2:$D$701)</f>
        <v>Hanna Johnson</v>
      </c>
      <c r="M140" s="2" t="str">
        <f t="array" ref="M140">XLOOKUP(I140,customers_clean!$A$2:$A$701,customers_clean!$I$2:$I$701)</f>
        <v>hanna.johnson@shop.io </v>
      </c>
      <c r="N140" s="10" t="str">
        <f t="array" ref="N140">XLOOKUP(I140,customers_clean!$A$2:$A$701,customers_clean!$H$2:$H$701)</f>
        <v>hanna.johnson@shop.io</v>
      </c>
      <c r="O140" s="9" t="str">
        <f>IFERROR(__xludf.DUMMYFUNCTION("IF(REGEXMATCH(TRIM(N140),""^[A-Za-z0-9._%+-]+@[A-Za-z0-9.-]+\.[A-Za-z]{2,}$""),""✅ Valid"",""❌ Invalid"")"),"✅ Valid")</f>
        <v>✅ Valid</v>
      </c>
      <c r="P140" s="33" t="str">
        <f t="array" ref="P140">XLOOKUP(I140,customers_clean!$A$2:$A$701,customers_clean!$K$2:$K$701)</f>
        <v>+4859490742</v>
      </c>
      <c r="Q140" s="10" t="str">
        <f t="array" ref="Q140">XLOOKUP(I140,customers_clean!$A$2:$A$701,customers_clean!$N$2:$N$701)</f>
        <v>59490742</v>
      </c>
      <c r="R140" s="9" t="str">
        <f t="array" ref="R140">XLOOKUP(I140,customers_clean!$A$2:$A$701,customers_clean!$Q$2:$Q$701)</f>
        <v>❌ INVALID</v>
      </c>
      <c r="S140" s="10" t="s">
        <v>448</v>
      </c>
      <c r="T140" s="2" t="s">
        <v>42</v>
      </c>
      <c r="U140" s="2" t="s">
        <v>1032</v>
      </c>
      <c r="V140" s="2" t="s">
        <v>957</v>
      </c>
      <c r="W140" s="9" t="str">
        <f t="array" ref="W140">IF(ISNA(XLOOKUP(V140,products_master_corrected!$A$2:$A$151,products_master_corrected!$A$2:$A$151, NA())),
    "❌ MISSING SKU", "✅")</f>
        <v>✅</v>
      </c>
      <c r="X140" s="2" t="s">
        <v>403</v>
      </c>
      <c r="Y140" s="2" t="s">
        <v>167</v>
      </c>
      <c r="Z140" s="10" t="str">
        <f>PROPER(TRIM(Y140))</f>
        <v>Monitors</v>
      </c>
      <c r="AA140" s="27">
        <v>1.0</v>
      </c>
      <c r="AB140" s="9" t="s">
        <v>8649</v>
      </c>
      <c r="AC140" s="28">
        <f t="array" ref="AC140">XLOOKUP(V140,products_master_corrected!$A$2:$A$151,products_master_corrected!$E$2:$E$151)</f>
        <v>55.87</v>
      </c>
      <c r="AD140" s="28">
        <f t="shared" si="21"/>
        <v>55.87</v>
      </c>
      <c r="AE140" s="28">
        <f t="array" ref="AE140">XLOOKUP(V140,products_master_corrected!$A$2:$A$151,products_master_corrected!$M$2:$M$151)</f>
        <v>67.58</v>
      </c>
      <c r="AF140" s="29">
        <f t="shared" si="22"/>
        <v>67.58</v>
      </c>
      <c r="AG140" s="30" t="s">
        <v>48</v>
      </c>
      <c r="AH140" s="2" t="s">
        <v>181</v>
      </c>
      <c r="AI140" s="10" t="s">
        <v>181</v>
      </c>
      <c r="AJ140" s="2" t="s">
        <v>132</v>
      </c>
      <c r="AK140" s="10" t="s">
        <v>192</v>
      </c>
      <c r="AL140" s="2" t="s">
        <v>81</v>
      </c>
    </row>
    <row r="141" ht="15.75" customHeight="1">
      <c r="A141" s="2" t="s">
        <v>5942</v>
      </c>
      <c r="B141" s="12">
        <v>45635.79375</v>
      </c>
      <c r="C141" s="2" t="str">
        <f>IFERROR(__xludf.DUMMYFUNCTION("IF(ISNUMBER(B141),TEXT(B141,""yyyy-MM-dd""),REGEXREPLACE(REGEXREPLACE(TO_TEXT(B141),""[^0-9a-zA-Z]+"",""-""),""[^0-9]*$"",""""))"),"2024-12-09")</f>
        <v>2024-12-09</v>
      </c>
      <c r="D141" s="2" t="s">
        <v>3710</v>
      </c>
      <c r="H141" s="10" t="s">
        <v>3710</v>
      </c>
      <c r="I141" s="2" t="s">
        <v>5944</v>
      </c>
      <c r="J141" s="26" t="str">
        <f t="array" ref="J141">IF(ISNA(XLOOKUP(I141,customers_clean!$A$2:$A$701,customers_clean!$A$2:$A$701, NA()) ),
   "❌ MISSING CUSTOMER", "✅")</f>
        <v>✅</v>
      </c>
      <c r="K141" s="2" t="str">
        <f t="array" ref="K141">XLOOKUP(I141,customers_clean!$A$2:$A$701,customers_clean!$C$2:$C$701)</f>
        <v>Hanna Johnson</v>
      </c>
      <c r="L141" s="10" t="str">
        <f t="array" ref="L141">XLOOKUP(I141,customers_clean!$A$2:$A$701,customers_clean!$D$2:$D$701)</f>
        <v>Hanna Johnson</v>
      </c>
      <c r="M141" s="2" t="str">
        <f t="array" ref="M141">XLOOKUP(I141,customers_clean!$A$2:$A$701,customers_clean!$I$2:$I$701)</f>
        <v>hanna.johnson@shop.io </v>
      </c>
      <c r="N141" s="10" t="str">
        <f t="array" ref="N141">XLOOKUP(I141,customers_clean!$A$2:$A$701,customers_clean!$H$2:$H$701)</f>
        <v>hanna.johnson@shop.io</v>
      </c>
      <c r="O141" s="9" t="str">
        <f>IFERROR(__xludf.DUMMYFUNCTION("IF(REGEXMATCH(TRIM(N141),""^[A-Za-z0-9._%+-]+@[A-Za-z0-9.-]+\.[A-Za-z]{2,}$""),""✅ Valid"",""❌ Invalid"")"),"✅ Valid")</f>
        <v>✅ Valid</v>
      </c>
      <c r="P141" s="33" t="str">
        <f t="array" ref="P141">XLOOKUP(I141,customers_clean!$A$2:$A$701,customers_clean!$K$2:$K$701)</f>
        <v>+4859490742</v>
      </c>
      <c r="Q141" s="10" t="str">
        <f t="array" ref="Q141">XLOOKUP(I141,customers_clean!$A$2:$A$701,customers_clean!$N$2:$N$701)</f>
        <v>59490742</v>
      </c>
      <c r="R141" s="9" t="str">
        <f t="array" ref="R141">XLOOKUP(I141,customers_clean!$A$2:$A$701,customers_clean!$Q$2:$Q$701)</f>
        <v>❌ INVALID</v>
      </c>
      <c r="S141" s="10" t="s">
        <v>448</v>
      </c>
      <c r="T141" s="2" t="s">
        <v>59</v>
      </c>
      <c r="U141" s="2" t="s">
        <v>401</v>
      </c>
      <c r="V141" s="2" t="s">
        <v>3582</v>
      </c>
      <c r="W141" s="9" t="str">
        <f t="array" ref="W141">IF(ISNA(XLOOKUP(V141,products_master_corrected!$A$2:$A$151,products_master_corrected!$A$2:$A$151, NA())),
    "❌ MISSING SKU", "✅")</f>
        <v>✅</v>
      </c>
      <c r="X141" s="2" t="s">
        <v>741</v>
      </c>
      <c r="Y141" s="2" t="s">
        <v>248</v>
      </c>
      <c r="Z141" s="10" t="s">
        <v>248</v>
      </c>
      <c r="AA141" s="27">
        <v>5.0</v>
      </c>
      <c r="AB141" s="9" t="s">
        <v>8649</v>
      </c>
      <c r="AC141" s="28">
        <f t="array" ref="AC141">XLOOKUP(V141,products_master_corrected!$A$2:$A$151,products_master_corrected!$E$2:$E$151)</f>
        <v>23.62</v>
      </c>
      <c r="AD141" s="28">
        <f t="shared" si="21"/>
        <v>118.1</v>
      </c>
      <c r="AE141" s="28">
        <f t="array" ref="AE141">XLOOKUP(V141,products_master_corrected!$A$2:$A$151,products_master_corrected!$M$2:$M$151)</f>
        <v>28.57</v>
      </c>
      <c r="AF141" s="29">
        <f t="shared" si="22"/>
        <v>142.85</v>
      </c>
      <c r="AG141" s="30" t="s">
        <v>48</v>
      </c>
      <c r="AH141" s="2" t="s">
        <v>49</v>
      </c>
      <c r="AI141" s="10" t="s">
        <v>49</v>
      </c>
      <c r="AJ141" s="2" t="s">
        <v>80</v>
      </c>
      <c r="AK141" s="10" t="s">
        <v>80</v>
      </c>
    </row>
    <row r="142" ht="15.75" customHeight="1">
      <c r="A142" s="2" t="s">
        <v>2878</v>
      </c>
      <c r="B142" s="12" t="s">
        <v>2879</v>
      </c>
      <c r="C142" s="2" t="str">
        <f>IFERROR(__xludf.DUMMYFUNCTION("IF(ISNUMBER(B142),TEXT(B142,""yyyy-MM-dd""),REGEXREPLACE(REGEXREPLACE(TO_TEXT(B142),""[^0-9a-zA-Z]+"",""-""),""[^0-9]*$"",""""))"),"27-08-2024")</f>
        <v>27-08-2024</v>
      </c>
      <c r="D142" s="2" t="s">
        <v>8725</v>
      </c>
      <c r="H142" s="10" t="s">
        <v>8725</v>
      </c>
      <c r="I142" s="2" t="s">
        <v>2601</v>
      </c>
      <c r="J142" s="26" t="str">
        <f t="array" ref="J142">IF(ISNA(XLOOKUP(I142,customers_clean!$A$2:$A$701,customers_clean!$A$2:$A$701, NA()) ),
   "❌ MISSING CUSTOMER", "✅")</f>
        <v>✅</v>
      </c>
      <c r="K142" s="2" t="str">
        <f t="array" ref="K142">XLOOKUP(I142,customers_clean!$A$2:$A$701,customers_clean!$C$2:$C$701)</f>
        <v>Carlos Garcia</v>
      </c>
      <c r="L142" s="10" t="str">
        <f t="array" ref="L142">XLOOKUP(I142,customers_clean!$A$2:$A$701,customers_clean!$D$2:$D$701)</f>
        <v>Carlos Garcia</v>
      </c>
      <c r="M142" s="2" t="str">
        <f t="array" ref="M142">XLOOKUP(I142,customers_clean!$A$2:$A$701,customers_clean!$I$2:$I$701)</f>
        <v>Carlos.Garcia@Shop.Io</v>
      </c>
      <c r="N142" s="10" t="str">
        <f t="array" ref="N142">XLOOKUP(I142,customers_clean!$A$2:$A$701,customers_clean!$H$2:$H$701)</f>
        <v>carlos.garcia@shop.io</v>
      </c>
      <c r="O142" s="9" t="str">
        <f>IFERROR(__xludf.DUMMYFUNCTION("IF(REGEXMATCH(TRIM(N142),""^[A-Za-z0-9._%+-]+@[A-Za-z0-9.-]+\.[A-Za-z]{2,}$""),""✅ Valid"",""❌ Invalid"")"),"✅ Valid")</f>
        <v>✅ Valid</v>
      </c>
      <c r="P142" s="2" t="str">
        <f t="array" ref="P142">XLOOKUP(I142,customers_clean!$A$2:$A$701,customers_clean!$K$2:$K$701)</f>
        <v>+1-985-55230927</v>
      </c>
      <c r="Q142" s="10" t="str">
        <f t="array" ref="Q142">XLOOKUP(I142,customers_clean!$A$2:$A$701,customers_clean!$N$2:$N$701)</f>
        <v>98555230927</v>
      </c>
      <c r="R142" s="9" t="str">
        <f t="array" ref="R142">XLOOKUP(I142,customers_clean!$A$2:$A$701,customers_clean!$Q$2:$Q$701)</f>
        <v>❌ INVALID</v>
      </c>
      <c r="S142" s="10" t="s">
        <v>58</v>
      </c>
      <c r="T142" s="2" t="s">
        <v>2880</v>
      </c>
      <c r="U142" s="2" t="s">
        <v>480</v>
      </c>
      <c r="V142" s="2" t="s">
        <v>471</v>
      </c>
      <c r="W142" s="9" t="str">
        <f t="array" ref="W142">IF(ISNA(XLOOKUP(V142,products_master_corrected!$A$2:$A$151,products_master_corrected!$A$2:$A$151, NA())),
    "❌ MISSING SKU", "✅")</f>
        <v>✅</v>
      </c>
      <c r="X142" s="2" t="s">
        <v>29</v>
      </c>
      <c r="Y142" s="2" t="s">
        <v>179</v>
      </c>
      <c r="Z142" s="10" t="s">
        <v>179</v>
      </c>
      <c r="AA142" s="27">
        <v>1.0</v>
      </c>
      <c r="AB142" s="9" t="s">
        <v>8649</v>
      </c>
      <c r="AC142" s="28">
        <f t="array" ref="AC142">XLOOKUP(V142,products_master_corrected!$A$2:$A$151,products_master_corrected!$E$2:$E$151)</f>
        <v>71.8</v>
      </c>
      <c r="AD142" s="28">
        <f t="shared" si="21"/>
        <v>71.8</v>
      </c>
      <c r="AE142" s="28">
        <f t="array" ref="AE142">XLOOKUP(V142,products_master_corrected!$A$2:$A$151,products_master_corrected!$G$2:$G$151)</f>
        <v>82.2</v>
      </c>
      <c r="AF142" s="29">
        <f t="shared" si="22"/>
        <v>82.2</v>
      </c>
      <c r="AG142" s="32" t="s">
        <v>8663</v>
      </c>
      <c r="AH142" s="2" t="s">
        <v>49</v>
      </c>
      <c r="AI142" s="10" t="s">
        <v>49</v>
      </c>
      <c r="AJ142" s="2" t="s">
        <v>169</v>
      </c>
      <c r="AK142" s="10" t="s">
        <v>261</v>
      </c>
      <c r="AL142" s="2" t="s">
        <v>133</v>
      </c>
    </row>
    <row r="143" ht="15.75" customHeight="1">
      <c r="A143" s="2" t="s">
        <v>6210</v>
      </c>
      <c r="B143" s="12" t="s">
        <v>6211</v>
      </c>
      <c r="C143" s="2" t="str">
        <f>IFERROR(__xludf.DUMMYFUNCTION("IF(ISNUMBER(B143),TEXT(B143,""yyyy-MM-dd""),REGEXREPLACE(REGEXREPLACE(TO_TEXT(B143),""[^0-9a-zA-Z]+"",""-""),""[^0-9]*$"",""""))"),"25-03-2024-21-29")</f>
        <v>25-03-2024-21-29</v>
      </c>
      <c r="D143" s="2" t="str">
        <f>TEXT(C143,"yyyy-MM-dd")</f>
        <v>25-03-2024-21-29</v>
      </c>
      <c r="E143" s="12" t="str">
        <f>IFERROR(__xludf.DUMMYFUNCTION("REGEXEXTRACT(D143,""^\d{2}-\d{2}-\d{4}"")"),"25-03-2024")</f>
        <v>25-03-2024</v>
      </c>
      <c r="F143" s="2" t="s">
        <v>8695</v>
      </c>
      <c r="H143" s="10" t="s">
        <v>8695</v>
      </c>
      <c r="I143" s="2" t="s">
        <v>2601</v>
      </c>
      <c r="J143" s="26" t="str">
        <f t="array" ref="J143">IF(ISNA(XLOOKUP(I143,customers_clean!$A$2:$A$701,customers_clean!$A$2:$A$701, NA()) ),
   "❌ MISSING CUSTOMER", "✅")</f>
        <v>✅</v>
      </c>
      <c r="K143" s="2" t="str">
        <f t="array" ref="K143">XLOOKUP(I143,customers_clean!$A$2:$A$701,customers_clean!$C$2:$C$701)</f>
        <v>Carlos Garcia</v>
      </c>
      <c r="L143" s="10" t="str">
        <f t="array" ref="L143">XLOOKUP(I143,customers_clean!$A$2:$A$701,customers_clean!$D$2:$D$701)</f>
        <v>Carlos Garcia</v>
      </c>
      <c r="M143" s="2" t="str">
        <f t="array" ref="M143">XLOOKUP(I143,customers_clean!$A$2:$A$701,customers_clean!$I$2:$I$701)</f>
        <v>Carlos.Garcia@Shop.Io</v>
      </c>
      <c r="N143" s="10" t="str">
        <f t="array" ref="N143">XLOOKUP(I143,customers_clean!$A$2:$A$701,customers_clean!$H$2:$H$701)</f>
        <v>carlos.garcia@shop.io</v>
      </c>
      <c r="O143" s="9" t="str">
        <f>IFERROR(__xludf.DUMMYFUNCTION("IF(REGEXMATCH(TRIM(N143),""^[A-Za-z0-9._%+-]+@[A-Za-z0-9.-]+\.[A-Za-z]{2,}$""),""✅ Valid"",""❌ Invalid"")"),"✅ Valid")</f>
        <v>✅ Valid</v>
      </c>
      <c r="P143" s="2" t="str">
        <f t="array" ref="P143">XLOOKUP(I143,customers_clean!$A$2:$A$701,customers_clean!$K$2:$K$701)</f>
        <v>+1-985-55230927</v>
      </c>
      <c r="Q143" s="10" t="str">
        <f t="array" ref="Q143">XLOOKUP(I143,customers_clean!$A$2:$A$701,customers_clean!$N$2:$N$701)</f>
        <v>98555230927</v>
      </c>
      <c r="R143" s="9" t="str">
        <f t="array" ref="R143">XLOOKUP(I143,customers_clean!$A$2:$A$701,customers_clean!$Q$2:$Q$701)</f>
        <v>❌ INVALID</v>
      </c>
      <c r="S143" s="10" t="s">
        <v>58</v>
      </c>
      <c r="T143" s="2" t="s">
        <v>223</v>
      </c>
      <c r="U143" s="2" t="s">
        <v>312</v>
      </c>
      <c r="V143" s="2" t="s">
        <v>792</v>
      </c>
      <c r="W143" s="9" t="str">
        <f t="array" ref="W143">IF(ISNA(XLOOKUP(V143,products_master_corrected!$A$2:$A$151,products_master_corrected!$A$2:$A$151, NA())),
    "❌ MISSING SKU", "✅")</f>
        <v>✅</v>
      </c>
      <c r="X143" s="2" t="s">
        <v>768</v>
      </c>
      <c r="Y143" s="2" t="s">
        <v>742</v>
      </c>
      <c r="Z143" s="10" t="s">
        <v>355</v>
      </c>
      <c r="AA143" s="27">
        <v>2.0</v>
      </c>
      <c r="AB143" s="9" t="s">
        <v>8649</v>
      </c>
      <c r="AC143" s="28">
        <f t="array" ref="AC143">XLOOKUP(V143,products_master_corrected!$A$2:$A$151,products_master_corrected!$E$2:$E$151)</f>
        <v>20.12</v>
      </c>
      <c r="AD143" s="28">
        <f t="shared" si="21"/>
        <v>40.24</v>
      </c>
      <c r="AE143" s="28">
        <f t="array" ref="AE143">XLOOKUP(V143,products_master_corrected!$A$2:$A$151,products_master_corrected!$G$2:$G$151)</f>
        <v>23.03</v>
      </c>
      <c r="AF143" s="29">
        <f t="shared" si="22"/>
        <v>46.06</v>
      </c>
      <c r="AG143" s="32" t="s">
        <v>8663</v>
      </c>
      <c r="AH143" s="2" t="s">
        <v>66</v>
      </c>
      <c r="AI143" s="10" t="s">
        <v>66</v>
      </c>
      <c r="AJ143" s="2" t="s">
        <v>380</v>
      </c>
      <c r="AK143" s="10" t="s">
        <v>80</v>
      </c>
    </row>
    <row r="144" ht="15.75" customHeight="1">
      <c r="A144" s="2" t="s">
        <v>2599</v>
      </c>
      <c r="B144" s="12">
        <v>45468.0</v>
      </c>
      <c r="C144" s="2" t="str">
        <f>IFERROR(__xludf.DUMMYFUNCTION("IF(ISNUMBER(B144),TEXT(B144,""yyyy-MM-dd""),REGEXREPLACE(REGEXREPLACE(TO_TEXT(B144),""[^0-9a-zA-Z]+"",""-""),""[^0-9]*$"",""""))"),"2024-06-25")</f>
        <v>2024-06-25</v>
      </c>
      <c r="D144" s="2" t="s">
        <v>475</v>
      </c>
      <c r="H144" s="10" t="s">
        <v>475</v>
      </c>
      <c r="I144" s="2" t="s">
        <v>2601</v>
      </c>
      <c r="J144" s="26" t="str">
        <f t="array" ref="J144">IF(ISNA(XLOOKUP(I144,customers_clean!$A$2:$A$701,customers_clean!$A$2:$A$701, NA()) ),
   "❌ MISSING CUSTOMER", "✅")</f>
        <v>✅</v>
      </c>
      <c r="K144" s="2" t="str">
        <f t="array" ref="K144">XLOOKUP(I144,customers_clean!$A$2:$A$701,customers_clean!$C$2:$C$701)</f>
        <v>Carlos Garcia</v>
      </c>
      <c r="L144" s="10" t="str">
        <f t="array" ref="L144">XLOOKUP(I144,customers_clean!$A$2:$A$701,customers_clean!$D$2:$D$701)</f>
        <v>Carlos Garcia</v>
      </c>
      <c r="M144" s="2" t="str">
        <f t="array" ref="M144">XLOOKUP(I144,customers_clean!$A$2:$A$701,customers_clean!$I$2:$I$701)</f>
        <v>Carlos.Garcia@Shop.Io</v>
      </c>
      <c r="N144" s="10" t="str">
        <f t="array" ref="N144">XLOOKUP(I144,customers_clean!$A$2:$A$701,customers_clean!$H$2:$H$701)</f>
        <v>carlos.garcia@shop.io</v>
      </c>
      <c r="O144" s="9" t="str">
        <f>IFERROR(__xludf.DUMMYFUNCTION("IF(REGEXMATCH(TRIM(N144),""^[A-Za-z0-9._%+-]+@[A-Za-z0-9.-]+\.[A-Za-z]{2,}$""),""✅ Valid"",""❌ Invalid"")"),"✅ Valid")</f>
        <v>✅ Valid</v>
      </c>
      <c r="P144" s="2" t="str">
        <f t="array" ref="P144">XLOOKUP(I144,customers_clean!$A$2:$A$701,customers_clean!$K$2:$K$701)</f>
        <v>+1-985-55230927</v>
      </c>
      <c r="Q144" s="10" t="str">
        <f t="array" ref="Q144">XLOOKUP(I144,customers_clean!$A$2:$A$701,customers_clean!$N$2:$N$701)</f>
        <v>98555230927</v>
      </c>
      <c r="R144" s="9" t="str">
        <f t="array" ref="R144">XLOOKUP(I144,customers_clean!$A$2:$A$701,customers_clean!$Q$2:$Q$701)</f>
        <v>❌ INVALID</v>
      </c>
      <c r="S144" s="10" t="s">
        <v>58</v>
      </c>
      <c r="T144" s="2" t="s">
        <v>683</v>
      </c>
      <c r="U144" s="2" t="s">
        <v>60</v>
      </c>
      <c r="V144" s="2" t="s">
        <v>2605</v>
      </c>
      <c r="W144" s="9" t="str">
        <f t="array" ref="W144">IF(ISNA(XLOOKUP(V144,products_master_corrected!$A$2:$A$151,products_master_corrected!$A$2:$A$151, NA())),
    "❌ MISSING SKU", "✅")</f>
        <v>✅</v>
      </c>
      <c r="X144" s="2" t="s">
        <v>280</v>
      </c>
      <c r="Y144" s="2" t="s">
        <v>292</v>
      </c>
      <c r="Z144" s="10" t="s">
        <v>63</v>
      </c>
      <c r="AA144" s="27">
        <v>2.0</v>
      </c>
      <c r="AB144" s="9" t="s">
        <v>8649</v>
      </c>
      <c r="AC144" s="28">
        <f t="array" ref="AC144">XLOOKUP(V144,products_master_corrected!$A$2:$A$151,products_master_corrected!$E$2:$E$151)</f>
        <v>142.47</v>
      </c>
      <c r="AD144" s="28">
        <f t="shared" si="21"/>
        <v>284.94</v>
      </c>
      <c r="AE144" s="28">
        <f t="array" ref="AE144">XLOOKUP(V144,products_master_corrected!$A$2:$A$151,products_master_corrected!$G$2:$G$151)</f>
        <v>163.1</v>
      </c>
      <c r="AF144" s="29">
        <f t="shared" si="22"/>
        <v>326.2</v>
      </c>
      <c r="AG144" s="32" t="s">
        <v>8663</v>
      </c>
      <c r="AH144" s="2" t="s">
        <v>2456</v>
      </c>
      <c r="AI144" s="10" t="s">
        <v>143</v>
      </c>
      <c r="AJ144" s="2" t="s">
        <v>2608</v>
      </c>
      <c r="AK144" s="10" t="s">
        <v>80</v>
      </c>
      <c r="AL144" s="2" t="s">
        <v>81</v>
      </c>
    </row>
    <row r="145" ht="15.75" customHeight="1">
      <c r="A145" s="2" t="s">
        <v>2271</v>
      </c>
      <c r="B145" s="12">
        <v>45585.0</v>
      </c>
      <c r="C145" s="2" t="str">
        <f>IFERROR(__xludf.DUMMYFUNCTION("IF(ISNUMBER(B145),TEXT(B145,""yyyy-MM-dd""),REGEXREPLACE(REGEXREPLACE(TO_TEXT(B145),""[^0-9a-zA-Z]+"",""-""),""[^0-9]*$"",""""))"),"2024-10-20")</f>
        <v>2024-10-20</v>
      </c>
      <c r="D145" s="2" t="s">
        <v>7972</v>
      </c>
      <c r="H145" s="10" t="s">
        <v>7972</v>
      </c>
      <c r="I145" s="2" t="s">
        <v>84</v>
      </c>
      <c r="J145" s="26" t="str">
        <f t="array" ref="J145">IF(ISNA(XLOOKUP(I145,customers_clean!$A$2:$A$701,customers_clean!$A$2:$A$701, NA()) ),
   "❌ MISSING CUSTOMER", "✅")</f>
        <v>✅</v>
      </c>
      <c r="K145" s="2" t="str">
        <f t="array" ref="K145">XLOOKUP(I145,customers_clean!$A$2:$A$701,customers_clean!$C$2:$C$701)</f>
        <v>Adam Lee </v>
      </c>
      <c r="L145" s="10" t="str">
        <f t="array" ref="L145">XLOOKUP(I145,customers_clean!$A$2:$A$701,customers_clean!$D$2:$D$701)</f>
        <v>Adam Lee</v>
      </c>
      <c r="M145" s="2" t="str">
        <f t="array" ref="M145">XLOOKUP(I145,customers_clean!$A$2:$A$701,customers_clean!$I$2:$I$701)</f>
        <v>Adam.Lee@Shop.Io</v>
      </c>
      <c r="N145" s="10" t="str">
        <f t="array" ref="N145">XLOOKUP(I145,customers_clean!$A$2:$A$701,customers_clean!$H$2:$H$701)</f>
        <v>adam.lee@shop.io</v>
      </c>
      <c r="O145" s="9" t="str">
        <f>IFERROR(__xludf.DUMMYFUNCTION("IF(REGEXMATCH(TRIM(N145),""^[A-Za-z0-9._%+-]+@[A-Za-z0-9.-]+\.[A-Za-z]{2,}$""),""✅ Valid"",""❌ Invalid"")"),"✅ Valid")</f>
        <v>✅ Valid</v>
      </c>
      <c r="P145" s="2" t="str">
        <f t="array" ref="P145">XLOOKUP(I145,customers_clean!$A$2:$A$701,customers_clean!$K$2:$K$701)</f>
        <v>tel:+3301936724</v>
      </c>
      <c r="Q145" s="10" t="str">
        <f t="array" ref="Q145">XLOOKUP(I145,customers_clean!$A$2:$A$701,customers_clean!$N$2:$N$701)</f>
        <v>01936724</v>
      </c>
      <c r="R145" s="9" t="str">
        <f t="array" ref="R145">XLOOKUP(I145,customers_clean!$A$2:$A$701,customers_clean!$Q$2:$Q$701)</f>
        <v>❌ INVALID</v>
      </c>
      <c r="S145" s="10" t="s">
        <v>88</v>
      </c>
      <c r="T145" s="2" t="s">
        <v>778</v>
      </c>
      <c r="U145" s="2" t="s">
        <v>103</v>
      </c>
      <c r="V145" s="2" t="s">
        <v>2273</v>
      </c>
      <c r="W145" s="9" t="str">
        <f t="array" ref="W145">IF(ISNA(XLOOKUP(V145,products_master_corrected!$A$2:$A$151,products_master_corrected!$A$2:$A$151, NA())),
    "❌ MISSING SKU", "✅")</f>
        <v>✅</v>
      </c>
      <c r="X145" s="2" t="s">
        <v>2274</v>
      </c>
      <c r="Y145" s="2" t="s">
        <v>1328</v>
      </c>
      <c r="Z145" s="10" t="s">
        <v>179</v>
      </c>
      <c r="AA145" s="27">
        <v>5.0</v>
      </c>
      <c r="AB145" s="9" t="s">
        <v>8649</v>
      </c>
      <c r="AC145" s="28">
        <f t="array" ref="AC145">XLOOKUP(V145,products_master_corrected!$A$2:$A$151,products_master_corrected!$E$2:$E$151)</f>
        <v>142.55</v>
      </c>
      <c r="AD145" s="28">
        <f t="shared" si="21"/>
        <v>712.75</v>
      </c>
      <c r="AE145" s="28">
        <f t="array" ref="AE145">XLOOKUP(V145,products_master_corrected!$A$2:$A$151,products_master_corrected!$I$2:$I$151)</f>
        <v>157.15</v>
      </c>
      <c r="AF145" s="29">
        <f t="shared" si="22"/>
        <v>785.75</v>
      </c>
      <c r="AG145" s="32" t="s">
        <v>8660</v>
      </c>
      <c r="AH145" s="2" t="s">
        <v>96</v>
      </c>
      <c r="AI145" s="10" t="s">
        <v>143</v>
      </c>
      <c r="AJ145" s="2" t="s">
        <v>120</v>
      </c>
      <c r="AK145" s="10" t="s">
        <v>818</v>
      </c>
      <c r="AL145" s="2" t="s">
        <v>67</v>
      </c>
    </row>
    <row r="146" ht="15.75" customHeight="1">
      <c r="A146" s="2" t="s">
        <v>82</v>
      </c>
      <c r="B146" s="12">
        <v>45750.0</v>
      </c>
      <c r="C146" s="2" t="str">
        <f>IFERROR(__xludf.DUMMYFUNCTION("IF(ISNUMBER(B146),TEXT(B146,""yyyy-MM-dd""),REGEXREPLACE(REGEXREPLACE(TO_TEXT(B146),""[^0-9a-zA-Z]+"",""-""),""[^0-9]*$"",""""))"),"2025-04-03")</f>
        <v>2025-04-03</v>
      </c>
      <c r="D146" s="2" t="s">
        <v>7721</v>
      </c>
      <c r="H146" s="10" t="s">
        <v>7721</v>
      </c>
      <c r="I146" s="2" t="s">
        <v>84</v>
      </c>
      <c r="J146" s="26" t="str">
        <f t="array" ref="J146">IF(ISNA(XLOOKUP(I146,customers_clean!$A$2:$A$701,customers_clean!$A$2:$A$701, NA()) ),
   "❌ MISSING CUSTOMER", "✅")</f>
        <v>✅</v>
      </c>
      <c r="K146" s="2" t="str">
        <f t="array" ref="K146">XLOOKUP(I146,customers_clean!$A$2:$A$701,customers_clean!$C$2:$C$701)</f>
        <v>Adam Lee </v>
      </c>
      <c r="L146" s="10" t="str">
        <f t="array" ref="L146">XLOOKUP(I146,customers_clean!$A$2:$A$701,customers_clean!$D$2:$D$701)</f>
        <v>Adam Lee</v>
      </c>
      <c r="M146" s="2" t="str">
        <f t="array" ref="M146">XLOOKUP(I146,customers_clean!$A$2:$A$701,customers_clean!$I$2:$I$701)</f>
        <v>Adam.Lee@Shop.Io</v>
      </c>
      <c r="N146" s="10" t="str">
        <f t="array" ref="N146">XLOOKUP(I146,customers_clean!$A$2:$A$701,customers_clean!$H$2:$H$701)</f>
        <v>adam.lee@shop.io</v>
      </c>
      <c r="O146" s="9" t="str">
        <f>IFERROR(__xludf.DUMMYFUNCTION("IF(REGEXMATCH(TRIM(N146),""^[A-Za-z0-9._%+-]+@[A-Za-z0-9.-]+\.[A-Za-z]{2,}$""),""✅ Valid"",""❌ Invalid"")"),"✅ Valid")</f>
        <v>✅ Valid</v>
      </c>
      <c r="P146" s="2" t="str">
        <f t="array" ref="P146">XLOOKUP(I146,customers_clean!$A$2:$A$701,customers_clean!$K$2:$K$701)</f>
        <v>tel:+3301936724</v>
      </c>
      <c r="Q146" s="10" t="str">
        <f t="array" ref="Q146">XLOOKUP(I146,customers_clean!$A$2:$A$701,customers_clean!$N$2:$N$701)</f>
        <v>01936724</v>
      </c>
      <c r="R146" s="9" t="str">
        <f t="array" ref="R146">XLOOKUP(I146,customers_clean!$A$2:$A$701,customers_clean!$Q$2:$Q$701)</f>
        <v>❌ INVALID</v>
      </c>
      <c r="S146" s="10" t="s">
        <v>88</v>
      </c>
      <c r="T146" s="2" t="s">
        <v>89</v>
      </c>
      <c r="U146" s="2" t="s">
        <v>90</v>
      </c>
      <c r="V146" s="2" t="s">
        <v>91</v>
      </c>
      <c r="W146" s="9" t="str">
        <f t="array" ref="W146">IF(ISNA(XLOOKUP(V146,products_master_corrected!$A$2:$A$151,products_master_corrected!$A$2:$A$151, NA())),
    "❌ MISSING SKU", "✅")</f>
        <v>✅</v>
      </c>
      <c r="X146" s="2" t="s">
        <v>259</v>
      </c>
      <c r="Y146" s="2" t="s">
        <v>93</v>
      </c>
      <c r="Z146" s="10" t="s">
        <v>368</v>
      </c>
      <c r="AA146" s="27">
        <v>1.0</v>
      </c>
      <c r="AB146" s="9" t="s">
        <v>8649</v>
      </c>
      <c r="AC146" s="28">
        <f t="array" ref="AC146">XLOOKUP(V146,products_master_corrected!$A$2:$A$151,products_master_corrected!$E$2:$E$151)</f>
        <v>30.17</v>
      </c>
      <c r="AD146" s="28">
        <f t="shared" si="21"/>
        <v>30.17</v>
      </c>
      <c r="AE146" s="28">
        <f t="array" ref="AE146">XLOOKUP(V146,products_master_corrected!$A$2:$A$151,products_master_corrected!$I$2:$I$151)</f>
        <v>33.26</v>
      </c>
      <c r="AF146" s="29">
        <f t="shared" si="22"/>
        <v>33.26</v>
      </c>
      <c r="AG146" s="32" t="s">
        <v>8660</v>
      </c>
      <c r="AH146" s="2" t="s">
        <v>96</v>
      </c>
      <c r="AI146" s="10" t="s">
        <v>143</v>
      </c>
      <c r="AJ146" s="2" t="s">
        <v>97</v>
      </c>
      <c r="AK146" s="10" t="s">
        <v>80</v>
      </c>
    </row>
    <row r="147" ht="15.75" customHeight="1">
      <c r="A147" s="2" t="s">
        <v>1677</v>
      </c>
      <c r="B147" s="12">
        <v>45643.0</v>
      </c>
      <c r="C147" s="2" t="str">
        <f>IFERROR(__xludf.DUMMYFUNCTION("IF(ISNUMBER(B147),TEXT(B147,""yyyy-MM-dd""),REGEXREPLACE(REGEXREPLACE(TO_TEXT(B147),""[^0-9a-zA-Z]+"",""-""),""[^0-9]*$"",""""))"),"2024-12-17")</f>
        <v>2024-12-17</v>
      </c>
      <c r="D147" s="2" t="s">
        <v>8726</v>
      </c>
      <c r="H147" s="10" t="s">
        <v>8726</v>
      </c>
      <c r="I147" s="2" t="s">
        <v>84</v>
      </c>
      <c r="J147" s="26" t="str">
        <f t="array" ref="J147">IF(ISNA(XLOOKUP(I147,customers_clean!$A$2:$A$701,customers_clean!$A$2:$A$701, NA()) ),
   "❌ MISSING CUSTOMER", "✅")</f>
        <v>✅</v>
      </c>
      <c r="K147" s="2" t="str">
        <f t="array" ref="K147">XLOOKUP(I147,customers_clean!$A$2:$A$701,customers_clean!$C$2:$C$701)</f>
        <v>Adam Lee </v>
      </c>
      <c r="L147" s="10" t="str">
        <f t="array" ref="L147">XLOOKUP(I147,customers_clean!$A$2:$A$701,customers_clean!$D$2:$D$701)</f>
        <v>Adam Lee</v>
      </c>
      <c r="M147" s="2" t="str">
        <f t="array" ref="M147">XLOOKUP(I147,customers_clean!$A$2:$A$701,customers_clean!$I$2:$I$701)</f>
        <v>Adam.Lee@Shop.Io</v>
      </c>
      <c r="N147" s="10" t="str">
        <f t="array" ref="N147">XLOOKUP(I147,customers_clean!$A$2:$A$701,customers_clean!$H$2:$H$701)</f>
        <v>adam.lee@shop.io</v>
      </c>
      <c r="O147" s="9" t="str">
        <f>IFERROR(__xludf.DUMMYFUNCTION("IF(REGEXMATCH(TRIM(N147),""^[A-Za-z0-9._%+-]+@[A-Za-z0-9.-]+\.[A-Za-z]{2,}$""),""✅ Valid"",""❌ Invalid"")"),"✅ Valid")</f>
        <v>✅ Valid</v>
      </c>
      <c r="P147" s="2" t="str">
        <f t="array" ref="P147">XLOOKUP(I147,customers_clean!$A$2:$A$701,customers_clean!$K$2:$K$701)</f>
        <v>tel:+3301936724</v>
      </c>
      <c r="Q147" s="10" t="str">
        <f t="array" ref="Q147">XLOOKUP(I147,customers_clean!$A$2:$A$701,customers_clean!$N$2:$N$701)</f>
        <v>01936724</v>
      </c>
      <c r="R147" s="9" t="str">
        <f t="array" ref="R147">XLOOKUP(I147,customers_clean!$A$2:$A$701,customers_clean!$Q$2:$Q$701)</f>
        <v>❌ INVALID</v>
      </c>
      <c r="S147" s="10" t="s">
        <v>88</v>
      </c>
      <c r="T147" s="2" t="s">
        <v>26</v>
      </c>
      <c r="U147" s="2" t="s">
        <v>116</v>
      </c>
      <c r="V147" s="2" t="s">
        <v>1679</v>
      </c>
      <c r="W147" s="9" t="str">
        <f t="array" ref="W147">IF(ISNA(XLOOKUP(V147,products_master_corrected!$A$2:$A$151,products_master_corrected!$A$2:$A$151, NA())),
    "❌ MISSING SKU", "✅")</f>
        <v>✅</v>
      </c>
      <c r="X147" s="2" t="s">
        <v>280</v>
      </c>
      <c r="Y147" s="2" t="s">
        <v>514</v>
      </c>
      <c r="Z147" s="10" t="s">
        <v>514</v>
      </c>
      <c r="AA147" s="27">
        <v>2.0</v>
      </c>
      <c r="AB147" s="9" t="s">
        <v>8649</v>
      </c>
      <c r="AC147" s="28">
        <f t="array" ref="AC147">XLOOKUP(V147,products_master_corrected!$A$2:$A$151,products_master_corrected!$E$2:$E$151)</f>
        <v>130.95</v>
      </c>
      <c r="AD147" s="28">
        <f t="shared" si="21"/>
        <v>261.9</v>
      </c>
      <c r="AE147" s="28">
        <f t="array" ref="AE147">XLOOKUP(V147,products_master_corrected!$A$2:$A$151,products_master_corrected!$I$2:$I$151)</f>
        <v>144.36</v>
      </c>
      <c r="AF147" s="29">
        <f t="shared" si="22"/>
        <v>288.72</v>
      </c>
      <c r="AG147" s="32" t="s">
        <v>8660</v>
      </c>
      <c r="AH147" s="2" t="s">
        <v>66</v>
      </c>
      <c r="AI147" s="10" t="s">
        <v>66</v>
      </c>
      <c r="AJ147" s="2" t="s">
        <v>192</v>
      </c>
      <c r="AK147" s="10" t="s">
        <v>192</v>
      </c>
    </row>
    <row r="148" ht="15.75" customHeight="1">
      <c r="A148" s="2" t="s">
        <v>4204</v>
      </c>
      <c r="B148" s="12">
        <v>45604.0</v>
      </c>
      <c r="C148" s="2" t="str">
        <f>IFERROR(__xludf.DUMMYFUNCTION("IF(ISNUMBER(B148),TEXT(B148,""yyyy-MM-dd""),REGEXREPLACE(REGEXREPLACE(TO_TEXT(B148),""[^0-9a-zA-Z]+"",""-""),""[^0-9]*$"",""""))"),"2024-11-08")</f>
        <v>2024-11-08</v>
      </c>
      <c r="D148" s="2" t="s">
        <v>4205</v>
      </c>
      <c r="H148" s="10" t="s">
        <v>4205</v>
      </c>
      <c r="I148" s="2" t="s">
        <v>4206</v>
      </c>
      <c r="J148" s="26" t="str">
        <f t="array" ref="J148">IF(ISNA(XLOOKUP(I148,customers_clean!$A$2:$A$701,customers_clean!$A$2:$A$701, NA()) ),
   "❌ MISSING CUSTOMER", "✅")</f>
        <v>✅</v>
      </c>
      <c r="K148" s="2" t="str">
        <f t="array" ref="K148">XLOOKUP(I148,customers_clean!$A$2:$A$701,customers_clean!$C$2:$C$701)</f>
        <v> Qi Smith</v>
      </c>
      <c r="L148" s="10" t="str">
        <f t="array" ref="L148">XLOOKUP(I148,customers_clean!$A$2:$A$701,customers_clean!$D$2:$D$701)</f>
        <v>Qi Smith</v>
      </c>
      <c r="M148" s="2" t="str">
        <f t="array" ref="M148">XLOOKUP(I148,customers_clean!$A$2:$A$701,customers_clean!$I$2:$I$701)</f>
        <v>qi.smith@gmail.com </v>
      </c>
      <c r="N148" s="10" t="str">
        <f t="array" ref="N148">XLOOKUP(I148,customers_clean!$A$2:$A$701,customers_clean!$H$2:$H$701)</f>
        <v>qi.smith@gmail.com</v>
      </c>
      <c r="O148" s="9" t="str">
        <f>IFERROR(__xludf.DUMMYFUNCTION("IF(REGEXMATCH(TRIM(N148),""^[A-Za-z0-9._%+-]+@[A-Za-z0-9.-]+\.[A-Za-z]{2,}$""),""✅ Valid"",""❌ Invalid"")"),"✅ Valid")</f>
        <v>✅ Valid</v>
      </c>
      <c r="P148" s="2" t="str">
        <f t="array" ref="P148">XLOOKUP(I148,customers_clean!$A$2:$A$701,customers_clean!$K$2:$K$701)</f>
        <v>(160) 970247</v>
      </c>
      <c r="Q148" s="10" t="str">
        <f t="array" ref="Q148">XLOOKUP(I148,customers_clean!$A$2:$A$701,customers_clean!$N$2:$N$701)</f>
        <v>160970247</v>
      </c>
      <c r="R148" s="9" t="str">
        <f t="array" ref="R148">XLOOKUP(I148,customers_clean!$A$2:$A$701,customers_clean!$Q$2:$Q$701)</f>
        <v>❌ INVALID</v>
      </c>
      <c r="S148" s="10" t="s">
        <v>608</v>
      </c>
      <c r="T148" s="2" t="s">
        <v>26</v>
      </c>
      <c r="U148" s="2" t="s">
        <v>401</v>
      </c>
      <c r="V148" s="2" t="s">
        <v>767</v>
      </c>
      <c r="W148" s="9" t="str">
        <f t="array" ref="W148">IF(ISNA(XLOOKUP(V148,products_master_corrected!$A$2:$A$151,products_master_corrected!$A$2:$A$151, NA())),
    "❌ MISSING SKU", "✅")</f>
        <v>✅</v>
      </c>
      <c r="X148" s="2" t="s">
        <v>768</v>
      </c>
      <c r="Y148" s="2" t="s">
        <v>769</v>
      </c>
      <c r="Z148" s="10" t="str">
        <f>PROPER(TRIM(Y148))</f>
        <v>Monitors</v>
      </c>
      <c r="AA148" s="27">
        <v>3.0</v>
      </c>
      <c r="AB148" s="9" t="s">
        <v>8649</v>
      </c>
      <c r="AC148" s="28">
        <f t="array" ref="AC148">XLOOKUP(V148,products_master_corrected!$A$2:$A$151,products_master_corrected!$E$2:$E$151)</f>
        <v>15.17</v>
      </c>
      <c r="AD148" s="28">
        <f t="shared" si="21"/>
        <v>45.51</v>
      </c>
      <c r="AE148" s="28">
        <f t="array" ref="AE148">XLOOKUP(V148,products_master_corrected!$A$2:$A$151,products_master_corrected!$H$2:$H$151)</f>
        <v>17.04</v>
      </c>
      <c r="AF148" s="29">
        <f t="shared" si="22"/>
        <v>51.12</v>
      </c>
      <c r="AG148" s="32" t="s">
        <v>8658</v>
      </c>
      <c r="AH148" s="2" t="s">
        <v>66</v>
      </c>
      <c r="AI148" s="10" t="s">
        <v>66</v>
      </c>
      <c r="AJ148" s="2" t="s">
        <v>818</v>
      </c>
      <c r="AK148" s="10" t="s">
        <v>818</v>
      </c>
      <c r="AL148" s="2" t="s">
        <v>133</v>
      </c>
    </row>
    <row r="149" ht="15.75" customHeight="1">
      <c r="A149" s="2" t="s">
        <v>5232</v>
      </c>
      <c r="B149" s="12">
        <v>45686.0</v>
      </c>
      <c r="C149" s="2" t="str">
        <f>IFERROR(__xludf.DUMMYFUNCTION("IF(ISNUMBER(B149),TEXT(B149,""yyyy-MM-dd""),REGEXREPLACE(REGEXREPLACE(TO_TEXT(B149),""[^0-9a-zA-Z]+"",""-""),""[^0-9]*$"",""""))"),"2025-01-29")</f>
        <v>2025-01-29</v>
      </c>
      <c r="D149" s="2" t="s">
        <v>8727</v>
      </c>
      <c r="H149" s="10" t="s">
        <v>8727</v>
      </c>
      <c r="I149" s="2" t="s">
        <v>455</v>
      </c>
      <c r="J149" s="26" t="str">
        <f t="array" ref="J149">IF(ISNA(XLOOKUP(I149,customers_clean!$A$2:$A$701,customers_clean!$A$2:$A$701, NA()) ),
   "❌ MISSING CUSTOMER", "✅")</f>
        <v>✅</v>
      </c>
      <c r="K149" s="2" t="str">
        <f t="array" ref="K149">XLOOKUP(I149,customers_clean!$A$2:$A$701,customers_clean!$C$2:$C$701)</f>
        <v>Marek Rossi</v>
      </c>
      <c r="L149" s="10" t="str">
        <f t="array" ref="L149">XLOOKUP(I149,customers_clean!$A$2:$A$701,customers_clean!$D$2:$D$701)</f>
        <v>Marek Rossi</v>
      </c>
      <c r="M149" s="2" t="str">
        <f t="array" ref="M149">XLOOKUP(I149,customers_clean!$A$2:$A$701,customers_clean!$I$2:$I$701)</f>
        <v> marek.rossi@yahoo.com</v>
      </c>
      <c r="N149" s="10" t="str">
        <f t="array" ref="N149">XLOOKUP(I149,customers_clean!$A$2:$A$701,customers_clean!$H$2:$H$701)</f>
        <v>marek.rossi@yahoo.com</v>
      </c>
      <c r="O149" s="9" t="str">
        <f>IFERROR(__xludf.DUMMYFUNCTION("IF(REGEXMATCH(TRIM(N149),""^[A-Za-z0-9._%+-]+@[A-Za-z0-9.-]+\.[A-Za-z]{2,}$""),""✅ Valid"",""❌ Invalid"")"),"✅ Valid")</f>
        <v>✅ Valid</v>
      </c>
      <c r="P149" s="2" t="str">
        <f t="array" ref="P149">XLOOKUP(I149,customers_clean!$A$2:$A$701,customers_clean!$K$2:$K$701)</f>
        <v>+492549422094</v>
      </c>
      <c r="Q149" s="10" t="str">
        <f t="array" ref="Q149">XLOOKUP(I149,customers_clean!$A$2:$A$701,customers_clean!$N$2:$N$701)</f>
        <v>2549422094</v>
      </c>
      <c r="R149" s="9" t="str">
        <f t="array" ref="R149">XLOOKUP(I149,customers_clean!$A$2:$A$701,customers_clean!$Q$2:$Q$701)</f>
        <v>❌ INVALID</v>
      </c>
      <c r="S149" s="10" t="s">
        <v>608</v>
      </c>
      <c r="T149" s="2" t="s">
        <v>59</v>
      </c>
      <c r="U149" s="2" t="s">
        <v>43</v>
      </c>
      <c r="V149" s="2" t="s">
        <v>1109</v>
      </c>
      <c r="W149" s="9" t="str">
        <f t="array" ref="W149">IF(ISNA(XLOOKUP(V149,products_master_corrected!$A$2:$A$151,products_master_corrected!$A$2:$A$151, NA())),
    "❌ MISSING SKU", "✅")</f>
        <v>✅</v>
      </c>
      <c r="X149" s="2" t="s">
        <v>62</v>
      </c>
      <c r="Y149" s="2" t="s">
        <v>826</v>
      </c>
      <c r="Z149" s="10" t="s">
        <v>63</v>
      </c>
      <c r="AA149" s="27">
        <v>1.0</v>
      </c>
      <c r="AB149" s="9" t="s">
        <v>8649</v>
      </c>
      <c r="AC149" s="28">
        <f t="array" ref="AC149">XLOOKUP(V149,products_master_corrected!$A$2:$A$151,products_master_corrected!$E$2:$E$151)</f>
        <v>115.14</v>
      </c>
      <c r="AD149" s="28">
        <f t="shared" si="21"/>
        <v>115.14</v>
      </c>
      <c r="AE149" s="28">
        <f t="array" ref="AE149">XLOOKUP(V149,products_master_corrected!$A$2:$A$151,products_master_corrected!$H$2:$H$151)</f>
        <v>129.36</v>
      </c>
      <c r="AF149" s="29">
        <f t="shared" si="22"/>
        <v>129.36</v>
      </c>
      <c r="AG149" s="32" t="s">
        <v>8658</v>
      </c>
      <c r="AH149" s="2" t="s">
        <v>664</v>
      </c>
      <c r="AI149" s="10" t="s">
        <v>66</v>
      </c>
      <c r="AJ149" s="2" t="s">
        <v>380</v>
      </c>
      <c r="AK149" s="10" t="s">
        <v>80</v>
      </c>
      <c r="AL149" s="2" t="s">
        <v>51</v>
      </c>
    </row>
    <row r="150" ht="15.75" customHeight="1">
      <c r="A150" s="2" t="s">
        <v>453</v>
      </c>
      <c r="B150" s="12">
        <v>45116.0</v>
      </c>
      <c r="C150" s="2" t="str">
        <f>IFERROR(__xludf.DUMMYFUNCTION("IF(ISNUMBER(B150),TEXT(B150,""yyyy-MM-dd""),REGEXREPLACE(REGEXREPLACE(TO_TEXT(B150),""[^0-9a-zA-Z]+"",""-""),""[^0-9]*$"",""""))"),"2023-07-09")</f>
        <v>2023-07-09</v>
      </c>
      <c r="D150" s="2" t="s">
        <v>8728</v>
      </c>
      <c r="H150" s="10" t="s">
        <v>8728</v>
      </c>
      <c r="I150" s="2" t="s">
        <v>455</v>
      </c>
      <c r="J150" s="26" t="str">
        <f t="array" ref="J150">IF(ISNA(XLOOKUP(I150,customers_clean!$A$2:$A$701,customers_clean!$A$2:$A$701, NA()) ),
   "❌ MISSING CUSTOMER", "✅")</f>
        <v>✅</v>
      </c>
      <c r="K150" s="2" t="str">
        <f t="array" ref="K150">XLOOKUP(I150,customers_clean!$A$2:$A$701,customers_clean!$C$2:$C$701)</f>
        <v>Marek Rossi</v>
      </c>
      <c r="L150" s="10" t="str">
        <f t="array" ref="L150">XLOOKUP(I150,customers_clean!$A$2:$A$701,customers_clean!$D$2:$D$701)</f>
        <v>Marek Rossi</v>
      </c>
      <c r="M150" s="2" t="str">
        <f t="array" ref="M150">XLOOKUP(I150,customers_clean!$A$2:$A$701,customers_clean!$I$2:$I$701)</f>
        <v> marek.rossi@yahoo.com</v>
      </c>
      <c r="N150" s="10" t="str">
        <f t="array" ref="N150">XLOOKUP(I150,customers_clean!$A$2:$A$701,customers_clean!$H$2:$H$701)</f>
        <v>marek.rossi@yahoo.com</v>
      </c>
      <c r="O150" s="9" t="str">
        <f>IFERROR(__xludf.DUMMYFUNCTION("IF(REGEXMATCH(TRIM(N150),""^[A-Za-z0-9._%+-]+@[A-Za-z0-9.-]+\.[A-Za-z]{2,}$""),""✅ Valid"",""❌ Invalid"")"),"✅ Valid")</f>
        <v>✅ Valid</v>
      </c>
      <c r="P150" s="2" t="str">
        <f t="array" ref="P150">XLOOKUP(I150,customers_clean!$A$2:$A$701,customers_clean!$K$2:$K$701)</f>
        <v>+492549422094</v>
      </c>
      <c r="Q150" s="10" t="str">
        <f t="array" ref="Q150">XLOOKUP(I150,customers_clean!$A$2:$A$701,customers_clean!$N$2:$N$701)</f>
        <v>2549422094</v>
      </c>
      <c r="R150" s="9" t="str">
        <f t="array" ref="R150">XLOOKUP(I150,customers_clean!$A$2:$A$701,customers_clean!$Q$2:$Q$701)</f>
        <v>❌ INVALID</v>
      </c>
      <c r="S150" s="10" t="s">
        <v>608</v>
      </c>
      <c r="T150" s="2" t="s">
        <v>460</v>
      </c>
      <c r="U150" s="2" t="s">
        <v>176</v>
      </c>
      <c r="V150" s="2" t="s">
        <v>461</v>
      </c>
      <c r="W150" s="9" t="str">
        <f t="array" ref="W150">IF(ISNA(XLOOKUP(V150,products_master_corrected!$A$2:$A$151,products_master_corrected!$A$2:$A$151, NA())),
    "❌ MISSING SKU", "✅")</f>
        <v>✅</v>
      </c>
      <c r="X150" s="2" t="s">
        <v>804</v>
      </c>
      <c r="Y150" s="2" t="s">
        <v>463</v>
      </c>
      <c r="Z150" s="10" t="s">
        <v>514</v>
      </c>
      <c r="AA150" s="27">
        <v>2.0</v>
      </c>
      <c r="AB150" s="9" t="s">
        <v>8649</v>
      </c>
      <c r="AC150" s="28">
        <f t="array" ref="AC150">XLOOKUP(V150,products_master_corrected!$A$2:$A$151,products_master_corrected!$E$2:$E$151)</f>
        <v>17.15</v>
      </c>
      <c r="AD150" s="28">
        <f t="shared" si="21"/>
        <v>34.3</v>
      </c>
      <c r="AE150" s="28">
        <f t="array" ref="AE150">XLOOKUP(V150,products_master_corrected!$A$2:$A$151,products_master_corrected!$H$2:$H$151)</f>
        <v>19.27</v>
      </c>
      <c r="AF150" s="29">
        <f t="shared" si="22"/>
        <v>38.54</v>
      </c>
      <c r="AG150" s="32" t="s">
        <v>8658</v>
      </c>
      <c r="AH150" s="2" t="s">
        <v>143</v>
      </c>
      <c r="AI150" s="10" t="s">
        <v>143</v>
      </c>
      <c r="AJ150" s="2" t="s">
        <v>120</v>
      </c>
      <c r="AK150" s="10" t="s">
        <v>818</v>
      </c>
    </row>
    <row r="151" ht="15.75" customHeight="1">
      <c r="A151" s="2" t="s">
        <v>4959</v>
      </c>
      <c r="B151" s="12">
        <v>45808.0</v>
      </c>
      <c r="C151" s="2" t="str">
        <f>IFERROR(__xludf.DUMMYFUNCTION("IF(ISNUMBER(B151),TEXT(B151,""yyyy-MM-dd""),REGEXREPLACE(REGEXREPLACE(TO_TEXT(B151),""[^0-9a-zA-Z]+"",""-""),""[^0-9]*$"",""""))"),"2025-05-31")</f>
        <v>2025-05-31</v>
      </c>
      <c r="D151" s="2" t="s">
        <v>8729</v>
      </c>
      <c r="H151" s="10" t="s">
        <v>8729</v>
      </c>
      <c r="I151" s="2" t="s">
        <v>3392</v>
      </c>
      <c r="J151" s="26" t="str">
        <f t="array" ref="J151">IF(ISNA(XLOOKUP(I151,customers_clean!$A$2:$A$701,customers_clean!$A$2:$A$701, NA()) ),
   "❌ MISSING CUSTOMER", "✅")</f>
        <v>✅</v>
      </c>
      <c r="K151" s="2" t="str">
        <f t="array" ref="K151">XLOOKUP(I151,customers_clean!$A$2:$A$701,customers_clean!$C$2:$C$701)</f>
        <v> Xenia Lopze</v>
      </c>
      <c r="L151" s="10" t="str">
        <f t="array" ref="L151">XLOOKUP(I151,customers_clean!$A$2:$A$701,customers_clean!$D$2:$D$701)</f>
        <v>Xenia Lopez</v>
      </c>
      <c r="M151" s="2" t="str">
        <f t="array" ref="M151">XLOOKUP(I151,customers_clean!$A$2:$A$701,customers_clean!$I$2:$I$701)</f>
        <v> xenia.lopez@yahoo.com</v>
      </c>
      <c r="N151" s="10" t="str">
        <f t="array" ref="N151">XLOOKUP(I151,customers_clean!$A$2:$A$701,customers_clean!$H$2:$H$701)</f>
        <v>xenia.lopez@yahoo.com</v>
      </c>
      <c r="O151" s="9" t="str">
        <f>IFERROR(__xludf.DUMMYFUNCTION("IF(REGEXMATCH(TRIM(N151),""^[A-Za-z0-9._%+-]+@[A-Za-z0-9.-]+\.[A-Za-z]{2,}$""),""✅ Valid"",""❌ Invalid"")"),"✅ Valid")</f>
        <v>✅ Valid</v>
      </c>
      <c r="P151" s="2" t="str">
        <f t="array" ref="P151">XLOOKUP(I151,customers_clean!$A$2:$A$701,customers_clean!$K$2:$K$701)</f>
        <v>+492195087085</v>
      </c>
      <c r="Q151" s="10" t="str">
        <f t="array" ref="Q151">XLOOKUP(I151,customers_clean!$A$2:$A$701,customers_clean!$N$2:$N$701)</f>
        <v>2195087085</v>
      </c>
      <c r="R151" s="9" t="str">
        <f t="array" ref="R151">XLOOKUP(I151,customers_clean!$A$2:$A$701,customers_clean!$Q$2:$Q$701)</f>
        <v>❌ INVALID</v>
      </c>
      <c r="S151" s="10" t="s">
        <v>88</v>
      </c>
      <c r="T151" s="2" t="s">
        <v>234</v>
      </c>
      <c r="U151" s="2" t="s">
        <v>60</v>
      </c>
      <c r="V151" s="2" t="s">
        <v>302</v>
      </c>
      <c r="W151" s="9" t="str">
        <f t="array" ref="W151">IF(ISNA(XLOOKUP(V151,products_master_corrected!$A$2:$A$151,products_master_corrected!$A$2:$A$151, NA())),
    "❌ MISSING SKU", "✅")</f>
        <v>✅</v>
      </c>
      <c r="X151" s="2" t="s">
        <v>303</v>
      </c>
      <c r="Y151" s="2" t="s">
        <v>248</v>
      </c>
      <c r="Z151" s="10" t="s">
        <v>248</v>
      </c>
      <c r="AA151" s="27">
        <v>1.0</v>
      </c>
      <c r="AB151" s="9" t="s">
        <v>8649</v>
      </c>
      <c r="AC151" s="28">
        <f t="array" ref="AC151">XLOOKUP(V151,products_master_corrected!$A$2:$A$151,products_master_corrected!$E$2:$E$151)</f>
        <v>172.22</v>
      </c>
      <c r="AD151" s="28">
        <f t="shared" si="21"/>
        <v>172.22</v>
      </c>
      <c r="AE151" s="28">
        <f t="array" ref="AE151">XLOOKUP(V151,products_master_corrected!$A$2:$A$151,products_master_corrected!$I$2:$I$151)</f>
        <v>189.86</v>
      </c>
      <c r="AF151" s="29">
        <f t="shared" si="22"/>
        <v>189.86</v>
      </c>
      <c r="AG151" s="32" t="s">
        <v>8660</v>
      </c>
      <c r="AH151" s="2" t="s">
        <v>3460</v>
      </c>
      <c r="AI151" s="10" t="s">
        <v>49</v>
      </c>
      <c r="AJ151" s="2" t="s">
        <v>3223</v>
      </c>
      <c r="AK151" s="10" t="s">
        <v>261</v>
      </c>
      <c r="AL151" s="2" t="s">
        <v>81</v>
      </c>
    </row>
    <row r="152" ht="15.75" customHeight="1">
      <c r="A152" s="2" t="s">
        <v>3390</v>
      </c>
      <c r="B152" s="12">
        <v>45461.0</v>
      </c>
      <c r="C152" s="2" t="str">
        <f>IFERROR(__xludf.DUMMYFUNCTION("IF(ISNUMBER(B152),TEXT(B152,""yyyy-MM-dd""),REGEXREPLACE(REGEXREPLACE(TO_TEXT(B152),""[^0-9a-zA-Z]+"",""-""),""[^0-9]*$"",""""))"),"2024-06-18")</f>
        <v>2024-06-18</v>
      </c>
      <c r="D152" s="2" t="s">
        <v>7635</v>
      </c>
      <c r="H152" s="10" t="s">
        <v>7635</v>
      </c>
      <c r="I152" s="2" t="s">
        <v>3392</v>
      </c>
      <c r="J152" s="26" t="str">
        <f t="array" ref="J152">IF(ISNA(XLOOKUP(I152,customers_clean!$A$2:$A$701,customers_clean!$A$2:$A$701, NA()) ),
   "❌ MISSING CUSTOMER", "✅")</f>
        <v>✅</v>
      </c>
      <c r="K152" s="2" t="str">
        <f t="array" ref="K152">XLOOKUP(I152,customers_clean!$A$2:$A$701,customers_clean!$C$2:$C$701)</f>
        <v> Xenia Lopze</v>
      </c>
      <c r="L152" s="10" t="str">
        <f t="array" ref="L152">XLOOKUP(I152,customers_clean!$A$2:$A$701,customers_clean!$D$2:$D$701)</f>
        <v>Xenia Lopez</v>
      </c>
      <c r="M152" s="2" t="str">
        <f t="array" ref="M152">XLOOKUP(I152,customers_clean!$A$2:$A$701,customers_clean!$I$2:$I$701)</f>
        <v> xenia.lopez@yahoo.com</v>
      </c>
      <c r="N152" s="10" t="str">
        <f t="array" ref="N152">XLOOKUP(I152,customers_clean!$A$2:$A$701,customers_clean!$H$2:$H$701)</f>
        <v>xenia.lopez@yahoo.com</v>
      </c>
      <c r="O152" s="9" t="str">
        <f>IFERROR(__xludf.DUMMYFUNCTION("IF(REGEXMATCH(TRIM(N152),""^[A-Za-z0-9._%+-]+@[A-Za-z0-9.-]+\.[A-Za-z]{2,}$""),""✅ Valid"",""❌ Invalid"")"),"✅ Valid")</f>
        <v>✅ Valid</v>
      </c>
      <c r="P152" s="2" t="str">
        <f t="array" ref="P152">XLOOKUP(I152,customers_clean!$A$2:$A$701,customers_clean!$K$2:$K$701)</f>
        <v>+492195087085</v>
      </c>
      <c r="Q152" s="10" t="str">
        <f t="array" ref="Q152">XLOOKUP(I152,customers_clean!$A$2:$A$701,customers_clean!$N$2:$N$701)</f>
        <v>2195087085</v>
      </c>
      <c r="R152" s="9" t="str">
        <f t="array" ref="R152">XLOOKUP(I152,customers_clean!$A$2:$A$701,customers_clean!$Q$2:$Q$701)</f>
        <v>❌ INVALID</v>
      </c>
      <c r="S152" s="10" t="s">
        <v>88</v>
      </c>
      <c r="T152" s="2" t="s">
        <v>26</v>
      </c>
      <c r="U152" s="2" t="s">
        <v>512</v>
      </c>
      <c r="V152" s="2" t="s">
        <v>166</v>
      </c>
      <c r="W152" s="9" t="str">
        <f t="array" ref="W152">IF(ISNA(XLOOKUP(V152,products_master_corrected!$A$2:$A$151,products_master_corrected!$A$2:$A$151, NA())),
    "❌ MISSING SKU", "✅")</f>
        <v>✅</v>
      </c>
      <c r="X152" s="2" t="s">
        <v>259</v>
      </c>
      <c r="Y152" s="2" t="s">
        <v>167</v>
      </c>
      <c r="Z152" s="10" t="str">
        <f t="shared" ref="Z152:Z153" si="23">PROPER(TRIM(Y152))</f>
        <v>Monitors</v>
      </c>
      <c r="AA152" s="27">
        <v>3.0</v>
      </c>
      <c r="AB152" s="9" t="s">
        <v>8649</v>
      </c>
      <c r="AC152" s="28">
        <f t="array" ref="AC152">XLOOKUP(V152,products_master_corrected!$A$2:$A$151,products_master_corrected!$E$2:$E$151)</f>
        <v>16.9</v>
      </c>
      <c r="AD152" s="28">
        <f t="shared" si="21"/>
        <v>50.7</v>
      </c>
      <c r="AE152" s="28">
        <f t="array" ref="AE152">XLOOKUP(V152,products_master_corrected!$A$2:$A$151,products_master_corrected!$I$2:$I$151)</f>
        <v>18.63</v>
      </c>
      <c r="AF152" s="29">
        <f t="shared" si="22"/>
        <v>55.89</v>
      </c>
      <c r="AG152" s="32" t="s">
        <v>8660</v>
      </c>
      <c r="AH152" s="2" t="s">
        <v>66</v>
      </c>
      <c r="AI152" s="10" t="s">
        <v>66</v>
      </c>
      <c r="AJ152" s="2" t="s">
        <v>192</v>
      </c>
      <c r="AK152" s="10" t="s">
        <v>192</v>
      </c>
      <c r="AL152" s="2" t="s">
        <v>81</v>
      </c>
    </row>
    <row r="153" ht="15.75" customHeight="1">
      <c r="A153" s="2" t="s">
        <v>3719</v>
      </c>
      <c r="B153" s="12">
        <v>45718.38333333333</v>
      </c>
      <c r="C153" s="2" t="str">
        <f>IFERROR(__xludf.DUMMYFUNCTION("IF(ISNUMBER(B153),TEXT(B153,""yyyy-MM-dd""),REGEXREPLACE(REGEXREPLACE(TO_TEXT(B153),""[^0-9a-zA-Z]+"",""-""),""[^0-9]*$"",""""))"),"2025-03-02")</f>
        <v>2025-03-02</v>
      </c>
      <c r="D153" s="2" t="s">
        <v>7712</v>
      </c>
      <c r="H153" s="10" t="s">
        <v>7712</v>
      </c>
      <c r="I153" s="2" t="s">
        <v>3392</v>
      </c>
      <c r="J153" s="26" t="str">
        <f t="array" ref="J153">IF(ISNA(XLOOKUP(I153,customers_clean!$A$2:$A$701,customers_clean!$A$2:$A$701, NA()) ),
   "❌ MISSING CUSTOMER", "✅")</f>
        <v>✅</v>
      </c>
      <c r="K153" s="2" t="str">
        <f t="array" ref="K153">XLOOKUP(I153,customers_clean!$A$2:$A$701,customers_clean!$C$2:$C$701)</f>
        <v> Xenia Lopze</v>
      </c>
      <c r="L153" s="10" t="str">
        <f t="array" ref="L153">XLOOKUP(I153,customers_clean!$A$2:$A$701,customers_clean!$D$2:$D$701)</f>
        <v>Xenia Lopez</v>
      </c>
      <c r="M153" s="2" t="str">
        <f t="array" ref="M153">XLOOKUP(I153,customers_clean!$A$2:$A$701,customers_clean!$I$2:$I$701)</f>
        <v> xenia.lopez@yahoo.com</v>
      </c>
      <c r="N153" s="10" t="str">
        <f t="array" ref="N153">XLOOKUP(I153,customers_clean!$A$2:$A$701,customers_clean!$H$2:$H$701)</f>
        <v>xenia.lopez@yahoo.com</v>
      </c>
      <c r="O153" s="9" t="str">
        <f>IFERROR(__xludf.DUMMYFUNCTION("IF(REGEXMATCH(TRIM(N153),""^[A-Za-z0-9._%+-]+@[A-Za-z0-9.-]+\.[A-Za-z]{2,}$""),""✅ Valid"",""❌ Invalid"")"),"✅ Valid")</f>
        <v>✅ Valid</v>
      </c>
      <c r="P153" s="2" t="str">
        <f t="array" ref="P153">XLOOKUP(I153,customers_clean!$A$2:$A$701,customers_clean!$K$2:$K$701)</f>
        <v>+492195087085</v>
      </c>
      <c r="Q153" s="10" t="str">
        <f t="array" ref="Q153">XLOOKUP(I153,customers_clean!$A$2:$A$701,customers_clean!$N$2:$N$701)</f>
        <v>2195087085</v>
      </c>
      <c r="R153" s="9" t="str">
        <f t="array" ref="R153">XLOOKUP(I153,customers_clean!$A$2:$A$701,customers_clean!$Q$2:$Q$701)</f>
        <v>❌ INVALID</v>
      </c>
      <c r="S153" s="10" t="s">
        <v>88</v>
      </c>
      <c r="T153" s="2" t="s">
        <v>26</v>
      </c>
      <c r="U153" s="2" t="s">
        <v>116</v>
      </c>
      <c r="V153" s="2" t="s">
        <v>3210</v>
      </c>
      <c r="W153" s="9" t="str">
        <f t="array" ref="W153">IF(ISNA(XLOOKUP(V153,products_master_corrected!$A$2:$A$151,products_master_corrected!$A$2:$A$151, NA())),
    "❌ MISSING SKU", "✅")</f>
        <v>✅</v>
      </c>
      <c r="X153" s="2" t="s">
        <v>3597</v>
      </c>
      <c r="Y153" s="2" t="s">
        <v>167</v>
      </c>
      <c r="Z153" s="10" t="str">
        <f t="shared" si="23"/>
        <v>Monitors</v>
      </c>
      <c r="AA153" s="27">
        <v>1.0</v>
      </c>
      <c r="AB153" s="9" t="s">
        <v>8649</v>
      </c>
      <c r="AC153" s="28">
        <f t="array" ref="AC153">XLOOKUP(V153,products_master_corrected!$A$2:$A$151,products_master_corrected!$E$2:$E$151)</f>
        <v>253.27</v>
      </c>
      <c r="AD153" s="28">
        <f t="shared" si="21"/>
        <v>253.27</v>
      </c>
      <c r="AE153" s="28">
        <f t="array" ref="AE153">XLOOKUP(V153,products_master_corrected!$A$2:$A$151,products_master_corrected!$I$2:$I$151)</f>
        <v>279.2</v>
      </c>
      <c r="AF153" s="29">
        <f t="shared" si="22"/>
        <v>279.2</v>
      </c>
      <c r="AG153" s="32" t="s">
        <v>8660</v>
      </c>
      <c r="AH153" s="2" t="s">
        <v>3722</v>
      </c>
      <c r="AI153" s="10" t="s">
        <v>49</v>
      </c>
      <c r="AJ153" s="2" t="s">
        <v>294</v>
      </c>
      <c r="AK153" s="10" t="s">
        <v>80</v>
      </c>
      <c r="AL153" s="2" t="s">
        <v>67</v>
      </c>
    </row>
    <row r="154" ht="15.75" customHeight="1">
      <c r="A154" s="2" t="s">
        <v>1587</v>
      </c>
      <c r="B154" s="12" t="s">
        <v>1588</v>
      </c>
      <c r="C154" s="2" t="str">
        <f>IFERROR(__xludf.DUMMYFUNCTION("IF(ISNUMBER(B154),TEXT(B154,""yyyy-MM-dd""),REGEXREPLACE(REGEXREPLACE(TO_TEXT(B154),""[^0-9a-zA-Z]+"",""-""),""[^0-9]*$"",""""))"),"11-06-2024-14-53")</f>
        <v>11-06-2024-14-53</v>
      </c>
      <c r="D154" s="2" t="str">
        <f>TEXT(C154,"yyyy-MM-dd")</f>
        <v>11-06-2024-14-53</v>
      </c>
      <c r="E154" s="12" t="str">
        <f>IFERROR(__xludf.DUMMYFUNCTION("REGEXEXTRACT(D154,""^\d{2}-\d{2}-\d{4}"")"),"11-06-2024")</f>
        <v>11-06-2024</v>
      </c>
      <c r="F154" s="2" t="s">
        <v>3231</v>
      </c>
      <c r="H154" s="10" t="s">
        <v>3231</v>
      </c>
      <c r="I154" s="2" t="s">
        <v>1589</v>
      </c>
      <c r="J154" s="26" t="str">
        <f t="array" ref="J154">IF(ISNA(XLOOKUP(I154,customers_clean!$A$2:$A$701,customers_clean!$A$2:$A$701, NA()) ),
   "❌ MISSING CUSTOMER", "✅")</f>
        <v>✅</v>
      </c>
      <c r="K154" s="2" t="str">
        <f t="array" ref="K154">XLOOKUP(I154,customers_clean!$A$2:$A$701,customers_clean!$C$2:$C$701)</f>
        <v> Omar Dubois</v>
      </c>
      <c r="L154" s="10" t="str">
        <f t="array" ref="L154">XLOOKUP(I154,customers_clean!$A$2:$A$701,customers_clean!$D$2:$D$701)</f>
        <v>Omar Dubois</v>
      </c>
      <c r="M154" s="2" t="str">
        <f t="array" ref="M154">XLOOKUP(I154,customers_clean!$A$2:$A$701,customers_clean!$I$2:$I$701)</f>
        <v>OMAR.DUBOIS@GMAI.LCOM</v>
      </c>
      <c r="N154" s="10" t="str">
        <f t="array" ref="N154">XLOOKUP(I154,customers_clean!$A$2:$A$701,customers_clean!$H$2:$H$701)</f>
        <v>omar.dubois@gmai.lcom</v>
      </c>
      <c r="O154" s="9" t="str">
        <f>IFERROR(__xludf.DUMMYFUNCTION("IF(REGEXMATCH(TRIM(N154),""^[A-Za-z0-9._%+-]+@[A-Za-z0-9.-]+\.[A-Za-z]{2,}$""),""✅ Valid"",""❌ Invalid"")"),"✅ Valid")</f>
        <v>✅ Valid</v>
      </c>
      <c r="P154" s="2" t="str">
        <f t="array" ref="P154">XLOOKUP(I154,customers_clean!$A$2:$A$701,customers_clean!$K$2:$K$701)</f>
        <v>69991x79</v>
      </c>
      <c r="Q154" s="10" t="str">
        <f t="array" ref="Q154">XLOOKUP(I154,customers_clean!$A$2:$A$701,customers_clean!$N$2:$N$701)</f>
        <v>6999179</v>
      </c>
      <c r="R154" s="9" t="str">
        <f t="array" ref="R154">XLOOKUP(I154,customers_clean!$A$2:$A$701,customers_clean!$Q$2:$Q$701)</f>
        <v>❌ INVALID</v>
      </c>
      <c r="S154" s="10" t="s">
        <v>58</v>
      </c>
      <c r="T154" s="2" t="s">
        <v>26</v>
      </c>
      <c r="U154" s="2" t="s">
        <v>176</v>
      </c>
      <c r="V154" s="2" t="s">
        <v>692</v>
      </c>
      <c r="W154" s="9" t="str">
        <f t="array" ref="W154">IF(ISNA(XLOOKUP(V154,products_master_corrected!$A$2:$A$151,products_master_corrected!$A$2:$A$151, NA())),
    "❌ MISSING SKU", "✅")</f>
        <v>✅</v>
      </c>
      <c r="X154" s="2" t="s">
        <v>8661</v>
      </c>
      <c r="Y154" s="2" t="s">
        <v>368</v>
      </c>
      <c r="Z154" s="10" t="s">
        <v>368</v>
      </c>
      <c r="AA154" s="27">
        <v>1.0</v>
      </c>
      <c r="AB154" s="9" t="s">
        <v>8649</v>
      </c>
      <c r="AC154" s="28">
        <f t="array" ref="AC154">XLOOKUP(V154,products_master_corrected!$A$2:$A$151,products_master_corrected!$E$2:$E$151)</f>
        <v>65.53</v>
      </c>
      <c r="AD154" s="28">
        <f t="shared" si="21"/>
        <v>65.53</v>
      </c>
      <c r="AE154" s="28">
        <f t="array" ref="AE154">XLOOKUP(V154,products_master_corrected!$A$2:$A$151,products_master_corrected!$G$2:$G$151)</f>
        <v>75.02</v>
      </c>
      <c r="AF154" s="29">
        <f t="shared" si="22"/>
        <v>75.02</v>
      </c>
      <c r="AG154" s="32" t="s">
        <v>8663</v>
      </c>
      <c r="AH154" s="2" t="s">
        <v>1594</v>
      </c>
      <c r="AI154" s="10" t="s">
        <v>66</v>
      </c>
      <c r="AJ154" s="2" t="s">
        <v>393</v>
      </c>
      <c r="AK154" s="10" t="s">
        <v>80</v>
      </c>
      <c r="AL154" s="2" t="s">
        <v>67</v>
      </c>
    </row>
    <row r="155" ht="15.75" customHeight="1">
      <c r="A155" s="2" t="s">
        <v>1917</v>
      </c>
      <c r="B155" s="12">
        <v>45398.0</v>
      </c>
      <c r="C155" s="2" t="str">
        <f>IFERROR(__xludf.DUMMYFUNCTION("IF(ISNUMBER(B155),TEXT(B155,""yyyy-MM-dd""),REGEXREPLACE(REGEXREPLACE(TO_TEXT(B155),""[^0-9a-zA-Z]+"",""-""),""[^0-9]*$"",""""))"),"2024-04-16")</f>
        <v>2024-04-16</v>
      </c>
      <c r="D155" s="2" t="s">
        <v>8730</v>
      </c>
      <c r="H155" s="10" t="s">
        <v>8730</v>
      </c>
      <c r="I155" s="2" t="s">
        <v>1589</v>
      </c>
      <c r="J155" s="26" t="str">
        <f t="array" ref="J155">IF(ISNA(XLOOKUP(I155,customers_clean!$A$2:$A$701,customers_clean!$A$2:$A$701, NA()) ),
   "❌ MISSING CUSTOMER", "✅")</f>
        <v>✅</v>
      </c>
      <c r="K155" s="2" t="str">
        <f t="array" ref="K155">XLOOKUP(I155,customers_clean!$A$2:$A$701,customers_clean!$C$2:$C$701)</f>
        <v> Omar Dubois</v>
      </c>
      <c r="L155" s="10" t="str">
        <f t="array" ref="L155">XLOOKUP(I155,customers_clean!$A$2:$A$701,customers_clean!$D$2:$D$701)</f>
        <v>Omar Dubois</v>
      </c>
      <c r="M155" s="2" t="str">
        <f t="array" ref="M155">XLOOKUP(I155,customers_clean!$A$2:$A$701,customers_clean!$I$2:$I$701)</f>
        <v>OMAR.DUBOIS@GMAI.LCOM</v>
      </c>
      <c r="N155" s="10" t="str">
        <f t="array" ref="N155">XLOOKUP(I155,customers_clean!$A$2:$A$701,customers_clean!$H$2:$H$701)</f>
        <v>omar.dubois@gmai.lcom</v>
      </c>
      <c r="O155" s="9" t="str">
        <f>IFERROR(__xludf.DUMMYFUNCTION("IF(REGEXMATCH(TRIM(N155),""^[A-Za-z0-9._%+-]+@[A-Za-z0-9.-]+\.[A-Za-z]{2,}$""),""✅ Valid"",""❌ Invalid"")"),"✅ Valid")</f>
        <v>✅ Valid</v>
      </c>
      <c r="P155" s="2" t="str">
        <f t="array" ref="P155">XLOOKUP(I155,customers_clean!$A$2:$A$701,customers_clean!$K$2:$K$701)</f>
        <v>69991x79</v>
      </c>
      <c r="Q155" s="10" t="str">
        <f t="array" ref="Q155">XLOOKUP(I155,customers_clean!$A$2:$A$701,customers_clean!$N$2:$N$701)</f>
        <v>6999179</v>
      </c>
      <c r="R155" s="9" t="str">
        <f t="array" ref="R155">XLOOKUP(I155,customers_clean!$A$2:$A$701,customers_clean!$Q$2:$Q$701)</f>
        <v>❌ INVALID</v>
      </c>
      <c r="S155" s="10" t="s">
        <v>58</v>
      </c>
      <c r="T155" s="2" t="s">
        <v>460</v>
      </c>
      <c r="U155" s="2" t="s">
        <v>90</v>
      </c>
      <c r="V155" s="2" t="s">
        <v>490</v>
      </c>
      <c r="W155" s="9" t="str">
        <f t="array" ref="W155">IF(ISNA(XLOOKUP(V155,products_master_corrected!$A$2:$A$151,products_master_corrected!$A$2:$A$151, NA())),
    "❌ MISSING SKU", "✅")</f>
        <v>✅</v>
      </c>
      <c r="X155" s="2" t="s">
        <v>29</v>
      </c>
      <c r="Y155" s="2" t="s">
        <v>492</v>
      </c>
      <c r="Z155" s="10" t="s">
        <v>514</v>
      </c>
      <c r="AA155" s="27">
        <v>3.0</v>
      </c>
      <c r="AB155" s="9" t="s">
        <v>8649</v>
      </c>
      <c r="AC155" s="28">
        <f t="array" ref="AC155">XLOOKUP(V155,products_master_corrected!$A$2:$A$151,products_master_corrected!$E$2:$E$151)</f>
        <v>116.45</v>
      </c>
      <c r="AD155" s="28">
        <f t="shared" si="21"/>
        <v>349.35</v>
      </c>
      <c r="AE155" s="28">
        <f t="array" ref="AE155">XLOOKUP(V155,products_master_corrected!$A$2:$A$151,products_master_corrected!$G$2:$G$151)</f>
        <v>133.31</v>
      </c>
      <c r="AF155" s="29">
        <f t="shared" si="22"/>
        <v>399.93</v>
      </c>
      <c r="AG155" s="32" t="s">
        <v>8663</v>
      </c>
      <c r="AH155" s="2" t="s">
        <v>66</v>
      </c>
      <c r="AI155" s="10" t="s">
        <v>66</v>
      </c>
      <c r="AJ155" s="2" t="s">
        <v>294</v>
      </c>
      <c r="AK155" s="10" t="s">
        <v>80</v>
      </c>
      <c r="AL155" s="2" t="s">
        <v>67</v>
      </c>
    </row>
    <row r="156" ht="15.75" customHeight="1">
      <c r="A156" s="2" t="s">
        <v>5802</v>
      </c>
      <c r="B156" s="12">
        <v>45138.0</v>
      </c>
      <c r="C156" s="2" t="str">
        <f>IFERROR(__xludf.DUMMYFUNCTION("IF(ISNUMBER(B156),TEXT(B156,""yyyy-MM-dd""),REGEXREPLACE(REGEXREPLACE(TO_TEXT(B156),""[^0-9a-zA-Z]+"",""-""),""[^0-9]*$"",""""))"),"2023-07-31")</f>
        <v>2023-07-31</v>
      </c>
      <c r="D156" s="2" t="s">
        <v>7736</v>
      </c>
      <c r="H156" s="10" t="s">
        <v>7736</v>
      </c>
      <c r="I156" s="2" t="s">
        <v>3765</v>
      </c>
      <c r="J156" s="26" t="str">
        <f t="array" ref="J156">IF(ISNA(XLOOKUP(I156,customers_clean!$A$2:$A$701,customers_clean!$A$2:$A$701, NA()) ),
   "❌ MISSING CUSTOMER", "✅")</f>
        <v>✅</v>
      </c>
      <c r="K156" s="2" t="str">
        <f t="array" ref="K156">XLOOKUP(I156,customers_clean!$A$2:$A$701,customers_clean!$C$2:$C$701)</f>
        <v>KEN WILLIMAS</v>
      </c>
      <c r="L156" s="10" t="str">
        <f t="array" ref="L156">XLOOKUP(I156,customers_clean!$A$2:$A$701,customers_clean!$D$2:$D$701)</f>
        <v>Ken Williams</v>
      </c>
      <c r="M156" s="2" t="str">
        <f t="array" ref="M156">XLOOKUP(I156,customers_clean!$A$2:$A$701,customers_clean!$I$2:$I$701)</f>
        <v>ken.williams@yahoo.com</v>
      </c>
      <c r="N156" s="10" t="str">
        <f t="array" ref="N156">XLOOKUP(I156,customers_clean!$A$2:$A$701,customers_clean!$H$2:$H$701)</f>
        <v>ken.williams@yahoo.com</v>
      </c>
      <c r="O156" s="9" t="str">
        <f>IFERROR(__xludf.DUMMYFUNCTION("IF(REGEXMATCH(TRIM(N156),""^[A-Za-z0-9._%+-]+@[A-Za-z0-9.-]+\.[A-Za-z]{2,}$""),""✅ Valid"",""❌ Invalid"")"),"✅ Valid")</f>
        <v>✅ Valid</v>
      </c>
      <c r="P156" s="2">
        <f t="array" ref="P156">XLOOKUP(I156,customers_clean!$A$2:$A$701,customers_clean!$K$2:$K$701)</f>
        <v>3363212435</v>
      </c>
      <c r="Q156" s="10" t="str">
        <f t="array" ref="Q156">XLOOKUP(I156,customers_clean!$A$2:$A$701,customers_clean!$N$2:$N$701)</f>
        <v>63212435</v>
      </c>
      <c r="R156" s="9" t="str">
        <f t="array" ref="R156">XLOOKUP(I156,customers_clean!$A$2:$A$701,customers_clean!$Q$2:$Q$701)</f>
        <v>❌ INVALID</v>
      </c>
      <c r="S156" s="10" t="s">
        <v>58</v>
      </c>
      <c r="T156" s="2" t="s">
        <v>115</v>
      </c>
      <c r="U156" s="2" t="s">
        <v>512</v>
      </c>
      <c r="V156" s="2" t="s">
        <v>1327</v>
      </c>
      <c r="W156" s="9" t="str">
        <f t="array" ref="W156">IF(ISNA(XLOOKUP(V156,products_master_corrected!$A$2:$A$151,products_master_corrected!$A$2:$A$151, NA())),
    "❌ MISSING SKU", "✅")</f>
        <v>✅</v>
      </c>
      <c r="X156" s="2" t="s">
        <v>291</v>
      </c>
      <c r="Y156" s="2" t="s">
        <v>1328</v>
      </c>
      <c r="Z156" s="10" t="s">
        <v>179</v>
      </c>
      <c r="AA156" s="27">
        <v>2.0</v>
      </c>
      <c r="AB156" s="9" t="s">
        <v>8649</v>
      </c>
      <c r="AC156" s="28">
        <f t="array" ref="AC156">XLOOKUP(V156,products_master_corrected!$A$2:$A$151,products_master_corrected!$E$2:$E$151)</f>
        <v>124.96</v>
      </c>
      <c r="AD156" s="28">
        <f t="shared" si="21"/>
        <v>249.92</v>
      </c>
      <c r="AE156" s="28">
        <f t="array" ref="AE156">XLOOKUP(V156,products_master_corrected!$A$2:$A$151,products_master_corrected!$G$2:$G$151)</f>
        <v>143.05</v>
      </c>
      <c r="AF156" s="29">
        <f t="shared" si="22"/>
        <v>286.1</v>
      </c>
      <c r="AG156" s="32" t="s">
        <v>8663</v>
      </c>
      <c r="AH156" s="2" t="s">
        <v>33</v>
      </c>
      <c r="AI156" s="10" t="s">
        <v>181</v>
      </c>
      <c r="AJ156" s="2" t="s">
        <v>2400</v>
      </c>
      <c r="AK156" s="10" t="s">
        <v>818</v>
      </c>
      <c r="AL156" s="2" t="s">
        <v>51</v>
      </c>
    </row>
    <row r="157" ht="15.75" customHeight="1">
      <c r="A157" s="2" t="s">
        <v>3763</v>
      </c>
      <c r="B157" s="12" t="s">
        <v>3764</v>
      </c>
      <c r="C157" s="2" t="str">
        <f>IFERROR(__xludf.DUMMYFUNCTION("IF(ISNUMBER(B157),TEXT(B157,""yyyy-MM-dd""),REGEXREPLACE(REGEXREPLACE(TO_TEXT(B157),""[^0-9a-zA-Z]+"",""-""),""[^0-9]*$"",""""))"),"45746-13-28")</f>
        <v>45746-13-28</v>
      </c>
      <c r="D157" s="2" t="str">
        <f>TEXT(C157,"yyyy-MM-dd")</f>
        <v>45746-13-28</v>
      </c>
      <c r="E157" s="25" t="str">
        <f>CONCATENATE(LEFT(D157,5))</f>
        <v>45746</v>
      </c>
      <c r="F157" s="12">
        <f>DATE(1900,1,1) + E157 - 1</f>
        <v>45747</v>
      </c>
      <c r="G157" s="2" t="s">
        <v>2647</v>
      </c>
      <c r="H157" s="10" t="s">
        <v>2647</v>
      </c>
      <c r="I157" s="2" t="s">
        <v>3765</v>
      </c>
      <c r="J157" s="26" t="str">
        <f t="array" ref="J157">IF(ISNA(XLOOKUP(I157,customers_clean!$A$2:$A$701,customers_clean!$A$2:$A$701, NA()) ),
   "❌ MISSING CUSTOMER", "✅")</f>
        <v>✅</v>
      </c>
      <c r="K157" s="2" t="str">
        <f t="array" ref="K157">XLOOKUP(I157,customers_clean!$A$2:$A$701,customers_clean!$C$2:$C$701)</f>
        <v>KEN WILLIMAS</v>
      </c>
      <c r="L157" s="10" t="str">
        <f t="array" ref="L157">XLOOKUP(I157,customers_clean!$A$2:$A$701,customers_clean!$D$2:$D$701)</f>
        <v>Ken Williams</v>
      </c>
      <c r="M157" s="2" t="str">
        <f t="array" ref="M157">XLOOKUP(I157,customers_clean!$A$2:$A$701,customers_clean!$I$2:$I$701)</f>
        <v>ken.williams@yahoo.com</v>
      </c>
      <c r="N157" s="10" t="str">
        <f t="array" ref="N157">XLOOKUP(I157,customers_clean!$A$2:$A$701,customers_clean!$H$2:$H$701)</f>
        <v>ken.williams@yahoo.com</v>
      </c>
      <c r="O157" s="9" t="str">
        <f>IFERROR(__xludf.DUMMYFUNCTION("IF(REGEXMATCH(TRIM(N157),""^[A-Za-z0-9._%+-]+@[A-Za-z0-9.-]+\.[A-Za-z]{2,}$""),""✅ Valid"",""❌ Invalid"")"),"✅ Valid")</f>
        <v>✅ Valid</v>
      </c>
      <c r="P157" s="2">
        <f t="array" ref="P157">XLOOKUP(I157,customers_clean!$A$2:$A$701,customers_clean!$K$2:$K$701)</f>
        <v>3363212435</v>
      </c>
      <c r="Q157" s="10" t="str">
        <f t="array" ref="Q157">XLOOKUP(I157,customers_clean!$A$2:$A$701,customers_clean!$N$2:$N$701)</f>
        <v>63212435</v>
      </c>
      <c r="R157" s="9" t="str">
        <f t="array" ref="R157">XLOOKUP(I157,customers_clean!$A$2:$A$701,customers_clean!$Q$2:$Q$701)</f>
        <v>❌ INVALID</v>
      </c>
      <c r="S157" s="10" t="s">
        <v>58</v>
      </c>
      <c r="T157" s="2" t="s">
        <v>802</v>
      </c>
      <c r="U157" s="2" t="s">
        <v>103</v>
      </c>
      <c r="V157" s="2" t="s">
        <v>471</v>
      </c>
      <c r="W157" s="9" t="str">
        <f t="array" ref="W157">IF(ISNA(XLOOKUP(V157,products_master_corrected!$A$2:$A$151,products_master_corrected!$A$2:$A$151, NA())),
    "❌ MISSING SKU", "✅")</f>
        <v>✅</v>
      </c>
      <c r="X157" s="2" t="s">
        <v>29</v>
      </c>
      <c r="Y157" s="2" t="s">
        <v>179</v>
      </c>
      <c r="Z157" s="10" t="s">
        <v>179</v>
      </c>
      <c r="AA157" s="27">
        <v>1.0</v>
      </c>
      <c r="AB157" s="9" t="s">
        <v>8649</v>
      </c>
      <c r="AC157" s="28">
        <f t="array" ref="AC157">XLOOKUP(V157,products_master_corrected!$A$2:$A$151,products_master_corrected!$E$2:$E$151)</f>
        <v>71.8</v>
      </c>
      <c r="AD157" s="28">
        <f t="shared" si="21"/>
        <v>71.8</v>
      </c>
      <c r="AE157" s="28">
        <f t="array" ref="AE157">XLOOKUP(V157,products_master_corrected!$A$2:$A$151,products_master_corrected!$G$2:$G$151)</f>
        <v>82.2</v>
      </c>
      <c r="AF157" s="29">
        <f t="shared" si="22"/>
        <v>82.2</v>
      </c>
      <c r="AG157" s="32" t="s">
        <v>8663</v>
      </c>
      <c r="AH157" s="2" t="s">
        <v>143</v>
      </c>
      <c r="AI157" s="10" t="s">
        <v>143</v>
      </c>
      <c r="AJ157" s="2" t="s">
        <v>120</v>
      </c>
      <c r="AK157" s="10" t="s">
        <v>818</v>
      </c>
    </row>
    <row r="158" ht="15.75" customHeight="1">
      <c r="A158" s="2" t="s">
        <v>5118</v>
      </c>
      <c r="B158" s="12">
        <v>45459.0</v>
      </c>
      <c r="C158" s="2" t="str">
        <f>IFERROR(__xludf.DUMMYFUNCTION("IF(ISNUMBER(B158),TEXT(B158,""yyyy-MM-dd""),REGEXREPLACE(REGEXREPLACE(TO_TEXT(B158),""[^0-9a-zA-Z]+"",""-""),""[^0-9]*$"",""""))"),"2024-06-16")</f>
        <v>2024-06-16</v>
      </c>
      <c r="D158" s="2" t="s">
        <v>7673</v>
      </c>
      <c r="H158" s="10" t="s">
        <v>7673</v>
      </c>
      <c r="I158" s="2" t="s">
        <v>4918</v>
      </c>
      <c r="J158" s="26" t="str">
        <f t="array" ref="J158">IF(ISNA(XLOOKUP(I158,customers_clean!$A$2:$A$701,customers_clean!$A$2:$A$701, NA()) ),
   "❌ MISSING CUSTOMER", "✅")</f>
        <v>✅</v>
      </c>
      <c r="K158" s="2" t="str">
        <f t="array" ref="K158">XLOOKUP(I158,customers_clean!$A$2:$A$701,customers_clean!$C$2:$C$701)</f>
        <v>Paula Khan</v>
      </c>
      <c r="L158" s="10" t="str">
        <f t="array" ref="L158">XLOOKUP(I158,customers_clean!$A$2:$A$701,customers_clean!$D$2:$D$701)</f>
        <v>Paula Khan</v>
      </c>
      <c r="M158" s="2" t="str">
        <f t="array" ref="M158">XLOOKUP(I158,customers_clean!$A$2:$A$701,customers_clean!$I$2:$I$701)</f>
        <v>paula.khan@gmail.com</v>
      </c>
      <c r="N158" s="10" t="str">
        <f t="array" ref="N158">XLOOKUP(I158,customers_clean!$A$2:$A$701,customers_clean!$H$2:$H$701)</f>
        <v>paula.khan@gmail.com</v>
      </c>
      <c r="O158" s="9" t="str">
        <f>IFERROR(__xludf.DUMMYFUNCTION("IF(REGEXMATCH(TRIM(N158),""^[A-Za-z0-9._%+-]+@[A-Za-z0-9.-]+\.[A-Za-z]{2,}$""),""✅ Valid"",""❌ Invalid"")"),"✅ Valid")</f>
        <v>✅ Valid</v>
      </c>
      <c r="P158" s="2" t="str">
        <f t="array" ref="P158">XLOOKUP(I158,customers_clean!$A$2:$A$701,customers_clean!$K$2:$K$701)</f>
        <v>tel:+33031729349</v>
      </c>
      <c r="Q158" s="10" t="str">
        <f t="array" ref="Q158">XLOOKUP(I158,customers_clean!$A$2:$A$701,customers_clean!$N$2:$N$701)</f>
        <v>031729349</v>
      </c>
      <c r="R158" s="9" t="str">
        <f t="array" ref="R158">XLOOKUP(I158,customers_clean!$A$2:$A$701,customers_clean!$Q$2:$Q$701)</f>
        <v>❌ INVALID</v>
      </c>
      <c r="S158" s="10" t="s">
        <v>608</v>
      </c>
      <c r="T158" s="2" t="s">
        <v>234</v>
      </c>
      <c r="U158" s="2" t="s">
        <v>43</v>
      </c>
      <c r="V158" s="2" t="s">
        <v>481</v>
      </c>
      <c r="W158" s="9" t="str">
        <f t="array" ref="W158">IF(ISNA(XLOOKUP(V158,products_master_corrected!$A$2:$A$151,products_master_corrected!$A$2:$A$151, NA())),
    "❌ MISSING SKU", "✅")</f>
        <v>✅</v>
      </c>
      <c r="X158" s="2" t="s">
        <v>291</v>
      </c>
      <c r="Y158" s="2" t="s">
        <v>482</v>
      </c>
      <c r="Z158" s="10" t="s">
        <v>63</v>
      </c>
      <c r="AA158" s="27">
        <v>1.0</v>
      </c>
      <c r="AB158" s="9" t="s">
        <v>8649</v>
      </c>
      <c r="AC158" s="28">
        <f t="array" ref="AC158">XLOOKUP(V158,products_master_corrected!$A$2:$A$151,products_master_corrected!$E$2:$E$151)</f>
        <v>190.18</v>
      </c>
      <c r="AD158" s="28">
        <f t="shared" si="21"/>
        <v>190.18</v>
      </c>
      <c r="AE158" s="28">
        <f t="array" ref="AE158">XLOOKUP(V158,products_master_corrected!$A$2:$A$151,products_master_corrected!$H$2:$H$151)</f>
        <v>213.67</v>
      </c>
      <c r="AF158" s="29">
        <f t="shared" si="22"/>
        <v>213.67</v>
      </c>
      <c r="AG158" s="32" t="s">
        <v>8658</v>
      </c>
      <c r="AH158" s="2" t="s">
        <v>3358</v>
      </c>
      <c r="AI158" s="10" t="s">
        <v>66</v>
      </c>
      <c r="AJ158" s="2" t="s">
        <v>192</v>
      </c>
      <c r="AK158" s="10" t="s">
        <v>192</v>
      </c>
      <c r="AL158" s="2" t="s">
        <v>51</v>
      </c>
    </row>
    <row r="159" ht="15.75" customHeight="1">
      <c r="A159" s="2" t="s">
        <v>4916</v>
      </c>
      <c r="B159" s="12">
        <v>45803.0</v>
      </c>
      <c r="C159" s="2" t="str">
        <f>IFERROR(__xludf.DUMMYFUNCTION("IF(ISNUMBER(B159),TEXT(B159,""yyyy-MM-dd""),REGEXREPLACE(REGEXREPLACE(TO_TEXT(B159),""[^0-9a-zA-Z]+"",""-""),""[^0-9]*$"",""""))"),"2025-05-26")</f>
        <v>2025-05-26</v>
      </c>
      <c r="D159" s="2" t="s">
        <v>7789</v>
      </c>
      <c r="H159" s="10" t="s">
        <v>7789</v>
      </c>
      <c r="I159" s="2" t="s">
        <v>4918</v>
      </c>
      <c r="J159" s="26" t="str">
        <f t="array" ref="J159">IF(ISNA(XLOOKUP(I159,customers_clean!$A$2:$A$701,customers_clean!$A$2:$A$701, NA()) ),
   "❌ MISSING CUSTOMER", "✅")</f>
        <v>✅</v>
      </c>
      <c r="K159" s="2" t="str">
        <f t="array" ref="K159">XLOOKUP(I159,customers_clean!$A$2:$A$701,customers_clean!$C$2:$C$701)</f>
        <v>Paula Khan</v>
      </c>
      <c r="L159" s="10" t="str">
        <f t="array" ref="L159">XLOOKUP(I159,customers_clean!$A$2:$A$701,customers_clean!$D$2:$D$701)</f>
        <v>Paula Khan</v>
      </c>
      <c r="M159" s="2" t="str">
        <f t="array" ref="M159">XLOOKUP(I159,customers_clean!$A$2:$A$701,customers_clean!$I$2:$I$701)</f>
        <v>paula.khan@gmail.com</v>
      </c>
      <c r="N159" s="10" t="str">
        <f t="array" ref="N159">XLOOKUP(I159,customers_clean!$A$2:$A$701,customers_clean!$H$2:$H$701)</f>
        <v>paula.khan@gmail.com</v>
      </c>
      <c r="O159" s="9" t="str">
        <f>IFERROR(__xludf.DUMMYFUNCTION("IF(REGEXMATCH(TRIM(N159),""^[A-Za-z0-9._%+-]+@[A-Za-z0-9.-]+\.[A-Za-z]{2,}$""),""✅ Valid"",""❌ Invalid"")"),"✅ Valid")</f>
        <v>✅ Valid</v>
      </c>
      <c r="P159" s="2" t="str">
        <f t="array" ref="P159">XLOOKUP(I159,customers_clean!$A$2:$A$701,customers_clean!$K$2:$K$701)</f>
        <v>tel:+33031729349</v>
      </c>
      <c r="Q159" s="10" t="str">
        <f t="array" ref="Q159">XLOOKUP(I159,customers_clean!$A$2:$A$701,customers_clean!$N$2:$N$701)</f>
        <v>031729349</v>
      </c>
      <c r="R159" s="9" t="str">
        <f t="array" ref="R159">XLOOKUP(I159,customers_clean!$A$2:$A$701,customers_clean!$Q$2:$Q$701)</f>
        <v>❌ INVALID</v>
      </c>
      <c r="S159" s="10" t="s">
        <v>608</v>
      </c>
      <c r="T159" s="2" t="s">
        <v>210</v>
      </c>
      <c r="U159" s="2" t="s">
        <v>4922</v>
      </c>
      <c r="V159" s="2" t="s">
        <v>2321</v>
      </c>
      <c r="W159" s="9" t="str">
        <f t="array" ref="W159">IF(ISNA(XLOOKUP(V159,products_master_corrected!$A$2:$A$151,products_master_corrected!$A$2:$A$151, NA())),
    "❌ MISSING SKU", "✅")</f>
        <v>✅</v>
      </c>
      <c r="X159" s="2" t="s">
        <v>2322</v>
      </c>
      <c r="Y159" s="2" t="s">
        <v>368</v>
      </c>
      <c r="Z159" s="10" t="s">
        <v>368</v>
      </c>
      <c r="AA159" s="27">
        <v>2.0</v>
      </c>
      <c r="AB159" s="9" t="s">
        <v>8649</v>
      </c>
      <c r="AC159" s="28">
        <f t="array" ref="AC159">XLOOKUP(V159,products_master_corrected!$A$2:$A$151,products_master_corrected!$E$2:$E$151)</f>
        <v>23.95</v>
      </c>
      <c r="AD159" s="28">
        <f t="shared" si="21"/>
        <v>47.9</v>
      </c>
      <c r="AE159" s="28">
        <f t="array" ref="AE159">XLOOKUP(V159,products_master_corrected!$A$2:$A$151,products_master_corrected!$H$2:$H$151)</f>
        <v>26.91</v>
      </c>
      <c r="AF159" s="29">
        <f t="shared" si="22"/>
        <v>53.82</v>
      </c>
      <c r="AG159" s="32" t="s">
        <v>8658</v>
      </c>
      <c r="AH159" s="2" t="s">
        <v>414</v>
      </c>
      <c r="AI159" s="10" t="s">
        <v>49</v>
      </c>
      <c r="AJ159" s="2" t="s">
        <v>4924</v>
      </c>
      <c r="AK159" s="10" t="s">
        <v>80</v>
      </c>
    </row>
    <row r="160" ht="15.75" customHeight="1">
      <c r="A160" s="2" t="s">
        <v>5389</v>
      </c>
      <c r="B160" s="12">
        <v>45393.0</v>
      </c>
      <c r="C160" s="2" t="str">
        <f>IFERROR(__xludf.DUMMYFUNCTION("IF(ISNUMBER(B160),TEXT(B160,""yyyy-MM-dd""),REGEXREPLACE(REGEXREPLACE(TO_TEXT(B160),""[^0-9a-zA-Z]+"",""-""),""[^0-9]*$"",""""))"),"2024-04-11")</f>
        <v>2024-04-11</v>
      </c>
      <c r="D160" s="2" t="s">
        <v>8035</v>
      </c>
      <c r="H160" s="10" t="s">
        <v>8035</v>
      </c>
      <c r="I160" s="2" t="s">
        <v>5391</v>
      </c>
      <c r="J160" s="26" t="str">
        <f t="array" ref="J160">IF(ISNA(XLOOKUP(I160,customers_clean!$A$2:$A$701,customers_clean!$A$2:$A$701, NA()) ),
   "❌ MISSING CUSTOMER", "✅")</f>
        <v>✅</v>
      </c>
      <c r="K160" s="2" t="str">
        <f t="array" ref="K160">XLOOKUP(I160,customers_clean!$A$2:$A$701,customers_clean!$C$2:$C$701)</f>
        <v>Ken King</v>
      </c>
      <c r="L160" s="10" t="str">
        <f t="array" ref="L160">XLOOKUP(I160,customers_clean!$A$2:$A$701,customers_clean!$D$2:$D$701)</f>
        <v>Ken King</v>
      </c>
      <c r="M160" s="2" t="str">
        <f t="array" ref="M160">XLOOKUP(I160,customers_clean!$A$2:$A$701,customers_clean!$I$2:$I$701)</f>
        <v>ken.king@outlook.com</v>
      </c>
      <c r="N160" s="10" t="str">
        <f t="array" ref="N160">XLOOKUP(I160,customers_clean!$A$2:$A$701,customers_clean!$H$2:$H$701)</f>
        <v>ken.king@outlook.com</v>
      </c>
      <c r="O160" s="9" t="str">
        <f>IFERROR(__xludf.DUMMYFUNCTION("IF(REGEXMATCH(TRIM(N160),""^[A-Za-z0-9._%+-]+@[A-Za-z0-9.-]+\.[A-Za-z]{2,}$""),""✅ Valid"",""❌ Invalid"")"),"✅ Valid")</f>
        <v>✅ Valid</v>
      </c>
      <c r="P160" s="2" t="str">
        <f t="array" ref="P160">XLOOKUP(I160,customers_clean!$A$2:$A$701,customers_clean!$K$2:$K$701)</f>
        <v>70137x7540</v>
      </c>
      <c r="Q160" s="10" t="str">
        <f t="array" ref="Q160">XLOOKUP(I160,customers_clean!$A$2:$A$701,customers_clean!$N$2:$N$701)</f>
        <v>701377540</v>
      </c>
      <c r="R160" s="9" t="str">
        <f t="array" ref="R160">XLOOKUP(I160,customers_clean!$A$2:$A$701,customers_clean!$Q$2:$Q$701)</f>
        <v>❌ INVALID</v>
      </c>
      <c r="S160" s="10" t="s">
        <v>608</v>
      </c>
      <c r="T160" s="2" t="s">
        <v>152</v>
      </c>
      <c r="U160" s="2" t="s">
        <v>103</v>
      </c>
      <c r="V160" s="2" t="s">
        <v>3810</v>
      </c>
      <c r="W160" s="9" t="str">
        <f t="array" ref="W160">IF(ISNA(XLOOKUP(V160,products_master_corrected!$A$2:$A$151,products_master_corrected!$A$2:$A$151, NA())),
    "❌ MISSING SKU", "✅")</f>
        <v>✅</v>
      </c>
      <c r="X160" s="2" t="s">
        <v>994</v>
      </c>
      <c r="Y160" s="2" t="s">
        <v>995</v>
      </c>
      <c r="Z160" s="10" t="s">
        <v>355</v>
      </c>
      <c r="AA160" s="27">
        <v>2.0</v>
      </c>
      <c r="AB160" s="9" t="s">
        <v>8649</v>
      </c>
      <c r="AC160" s="28">
        <f t="array" ref="AC160">XLOOKUP(V160,products_master_corrected!$A$2:$A$151,products_master_corrected!$E$2:$E$151)</f>
        <v>476.64</v>
      </c>
      <c r="AD160" s="28">
        <f t="shared" si="21"/>
        <v>953.28</v>
      </c>
      <c r="AE160" s="28">
        <f t="array" ref="AE160">XLOOKUP(V160,products_master_corrected!$A$2:$A$151,products_master_corrected!$H$2:$H$151)</f>
        <v>535.51</v>
      </c>
      <c r="AF160" s="29">
        <f t="shared" si="22"/>
        <v>1071.02</v>
      </c>
      <c r="AG160" s="32" t="s">
        <v>8658</v>
      </c>
      <c r="AH160" s="2" t="s">
        <v>49</v>
      </c>
      <c r="AI160" s="10" t="s">
        <v>49</v>
      </c>
      <c r="AJ160" s="2" t="s">
        <v>1884</v>
      </c>
      <c r="AK160" s="10" t="s">
        <v>80</v>
      </c>
      <c r="AL160" s="2" t="s">
        <v>67</v>
      </c>
    </row>
    <row r="161" ht="15.75" customHeight="1">
      <c r="A161" s="2" t="s">
        <v>5756</v>
      </c>
      <c r="B161" s="12">
        <v>45686.0</v>
      </c>
      <c r="C161" s="2" t="str">
        <f>IFERROR(__xludf.DUMMYFUNCTION("IF(ISNUMBER(B161),TEXT(B161,""yyyy-MM-dd""),REGEXREPLACE(REGEXREPLACE(TO_TEXT(B161),""[^0-9a-zA-Z]+"",""-""),""[^0-9]*$"",""""))"),"2025-01-29")</f>
        <v>2025-01-29</v>
      </c>
      <c r="D161" s="2" t="s">
        <v>8727</v>
      </c>
      <c r="H161" s="10" t="s">
        <v>8727</v>
      </c>
      <c r="I161" s="2" t="s">
        <v>5758</v>
      </c>
      <c r="J161" s="26" t="str">
        <f t="array" ref="J161">IF(ISNA(XLOOKUP(I161,customers_clean!$A$2:$A$701,customers_clean!$A$2:$A$701, NA()) ),
   "❌ MISSING CUSTOMER", "✅")</f>
        <v>✅</v>
      </c>
      <c r="K161" s="2" t="str">
        <f t="array" ref="K161">XLOOKUP(I161,customers_clean!$A$2:$A$701,customers_clean!$C$2:$C$701)</f>
        <v>Marek Garcia </v>
      </c>
      <c r="L161" s="10" t="str">
        <f t="array" ref="L161">XLOOKUP(I161,customers_clean!$A$2:$A$701,customers_clean!$D$2:$D$701)</f>
        <v>Marek Garcia</v>
      </c>
      <c r="M161" s="2" t="str">
        <f t="array" ref="M161">XLOOKUP(I161,customers_clean!$A$2:$A$701,customers_clean!$I$2:$I$701)</f>
        <v>marek.garcia@company.co.uk</v>
      </c>
      <c r="N161" s="10" t="str">
        <f t="array" ref="N161">XLOOKUP(I161,customers_clean!$A$2:$A$701,customers_clean!$H$2:$H$701)</f>
        <v>marek.garcia@company.co.uk</v>
      </c>
      <c r="O161" s="9" t="str">
        <f>IFERROR(__xludf.DUMMYFUNCTION("IF(REGEXMATCH(TRIM(N161),""^[A-Za-z0-9._%+-]+@[A-Za-z0-9.-]+\.[A-Za-z]{2,}$""),""✅ Valid"",""❌ Invalid"")"),"✅ Valid")</f>
        <v>✅ Valid</v>
      </c>
      <c r="P161" s="2" t="str">
        <f t="array" ref="P161">XLOOKUP(I161,customers_clean!$A$2:$A$701,customers_clean!$K$2:$K$701)</f>
        <v>+49 375 9898347</v>
      </c>
      <c r="Q161" s="10" t="str">
        <f t="array" ref="Q161">XLOOKUP(I161,customers_clean!$A$2:$A$701,customers_clean!$N$2:$N$701)</f>
        <v>3759898347</v>
      </c>
      <c r="R161" s="9" t="str">
        <f t="array" ref="R161">XLOOKUP(I161,customers_clean!$A$2:$A$701,customers_clean!$Q$2:$Q$701)</f>
        <v>❌ INVALID</v>
      </c>
      <c r="S161" s="10" t="s">
        <v>58</v>
      </c>
      <c r="T161" s="2" t="s">
        <v>301</v>
      </c>
      <c r="U161" s="2" t="s">
        <v>312</v>
      </c>
      <c r="V161" s="2" t="s">
        <v>2240</v>
      </c>
      <c r="W161" s="9" t="str">
        <f t="array" ref="W161">IF(ISNA(XLOOKUP(V161,products_master_corrected!$A$2:$A$151,products_master_corrected!$A$2:$A$151, NA())),
    "❌ MISSING SKU", "✅")</f>
        <v>✅</v>
      </c>
      <c r="X161" s="2" t="s">
        <v>403</v>
      </c>
      <c r="Y161" s="2" t="s">
        <v>742</v>
      </c>
      <c r="Z161" s="10" t="s">
        <v>355</v>
      </c>
      <c r="AA161" s="27">
        <v>1.0</v>
      </c>
      <c r="AB161" s="9" t="s">
        <v>8649</v>
      </c>
      <c r="AC161" s="28">
        <f t="array" ref="AC161">XLOOKUP(V161,products_master_corrected!$A$2:$A$151,products_master_corrected!$E$2:$E$151)</f>
        <v>23.6</v>
      </c>
      <c r="AD161" s="28">
        <f t="shared" si="21"/>
        <v>23.6</v>
      </c>
      <c r="AE161" s="28">
        <f t="array" ref="AE161">XLOOKUP(V161,products_master_corrected!$A$2:$A$151,products_master_corrected!$G$2:$G$151)</f>
        <v>27.02</v>
      </c>
      <c r="AF161" s="29">
        <f t="shared" si="22"/>
        <v>27.02</v>
      </c>
      <c r="AG161" s="32" t="s">
        <v>8663</v>
      </c>
      <c r="AH161" s="2" t="s">
        <v>143</v>
      </c>
      <c r="AI161" s="10" t="s">
        <v>143</v>
      </c>
      <c r="AJ161" s="2" t="s">
        <v>294</v>
      </c>
      <c r="AK161" s="10" t="s">
        <v>80</v>
      </c>
    </row>
    <row r="162" ht="15.75" customHeight="1">
      <c r="A162" s="2" t="s">
        <v>3129</v>
      </c>
      <c r="B162" s="12">
        <v>44992.20972222222</v>
      </c>
      <c r="C162" s="2" t="str">
        <f>IFERROR(__xludf.DUMMYFUNCTION("IF(ISNUMBER(B162),TEXT(B162,""yyyy-MM-dd""),REGEXREPLACE(REGEXREPLACE(TO_TEXT(B162),""[^0-9a-zA-Z]+"",""-""),""[^0-9]*$"",""""))"),"2023-03-07")</f>
        <v>2023-03-07</v>
      </c>
      <c r="D162" s="2" t="s">
        <v>8705</v>
      </c>
      <c r="H162" s="10" t="s">
        <v>8705</v>
      </c>
      <c r="I162" s="2" t="s">
        <v>3131</v>
      </c>
      <c r="J162" s="26" t="str">
        <f t="array" ref="J162">IF(ISNA(XLOOKUP(I162,customers_clean!$A$2:$A$701,customers_clean!$A$2:$A$701, NA()) ),
   "❌ MISSING CUSTOMER", "✅")</f>
        <v>✅</v>
      </c>
      <c r="K162" s="2" t="str">
        <f t="array" ref="K162">XLOOKUP(I162,customers_clean!$A$2:$A$701,customers_clean!$C$2:$C$701)</f>
        <v> Ken Kowalczyk</v>
      </c>
      <c r="L162" s="10" t="str">
        <f t="array" ref="L162">XLOOKUP(I162,customers_clean!$A$2:$A$701,customers_clean!$D$2:$D$701)</f>
        <v>Ken Kowalczyk</v>
      </c>
      <c r="M162" s="2" t="str">
        <f t="array" ref="M162">XLOOKUP(I162,customers_clean!$A$2:$A$701,customers_clean!$I$2:$I$701)</f>
        <v> ken.kowalczyk@company.co.uk</v>
      </c>
      <c r="N162" s="10" t="str">
        <f t="array" ref="N162">XLOOKUP(I162,customers_clean!$A$2:$A$701,customers_clean!$H$2:$H$701)</f>
        <v>ken.kowalczyk@company.co.uk</v>
      </c>
      <c r="O162" s="9" t="str">
        <f>IFERROR(__xludf.DUMMYFUNCTION("IF(REGEXMATCH(TRIM(N162),""^[A-Za-z0-9._%+-]+@[A-Za-z0-9.-]+\.[A-Za-z]{2,}$""),""✅ Valid"",""❌ Invalid"")"),"✅ Valid")</f>
        <v>✅ Valid</v>
      </c>
      <c r="P162" s="2">
        <f t="array" ref="P162">XLOOKUP(I162,customers_clean!$A$2:$A$701,customers_clean!$K$2:$K$701)</f>
        <v>39337318601</v>
      </c>
      <c r="Q162" s="10" t="str">
        <f t="array" ref="Q162">XLOOKUP(I162,customers_clean!$A$2:$A$701,customers_clean!$N$2:$N$701)</f>
        <v>337318601</v>
      </c>
      <c r="R162" s="9" t="str">
        <f t="array" ref="R162">XLOOKUP(I162,customers_clean!$A$2:$A$701,customers_clean!$Q$2:$Q$701)</f>
        <v>✅ VALID</v>
      </c>
      <c r="S162" s="10" t="s">
        <v>114</v>
      </c>
      <c r="T162" s="2" t="s">
        <v>42</v>
      </c>
      <c r="U162" s="2" t="s">
        <v>512</v>
      </c>
      <c r="V162" s="2" t="s">
        <v>904</v>
      </c>
      <c r="W162" s="9" t="str">
        <f t="array" ref="W162">IF(ISNA(XLOOKUP(V162,products_master_corrected!$A$2:$A$151,products_master_corrected!$A$2:$A$151, NA())),
    "❌ MISSING SKU", "✅")</f>
        <v>✅</v>
      </c>
      <c r="X162" s="2" t="s">
        <v>905</v>
      </c>
      <c r="Y162" s="2" t="s">
        <v>167</v>
      </c>
      <c r="Z162" s="10" t="str">
        <f>PROPER(TRIM(Y162))</f>
        <v>Monitors</v>
      </c>
      <c r="AA162" s="27">
        <v>1.0</v>
      </c>
      <c r="AB162" s="9" t="s">
        <v>8649</v>
      </c>
      <c r="AC162" s="28">
        <f t="array" ref="AC162">XLOOKUP(V162,products_master_corrected!$A$2:$A$151,products_master_corrected!$E$2:$E$151)</f>
        <v>132.42</v>
      </c>
      <c r="AD162" s="28">
        <f t="shared" si="21"/>
        <v>132.42</v>
      </c>
      <c r="AE162" s="28">
        <f t="array" ref="AE162">XLOOKUP(V162,products_master_corrected!$A$2:$A$151,products_master_corrected!$F$2:$F$151)</f>
        <v>132.42</v>
      </c>
      <c r="AF162" s="29">
        <f t="shared" si="22"/>
        <v>132.42</v>
      </c>
      <c r="AG162" s="30" t="s">
        <v>65</v>
      </c>
      <c r="AH162" s="2" t="s">
        <v>305</v>
      </c>
      <c r="AI162" s="10" t="s">
        <v>49</v>
      </c>
      <c r="AJ162" s="2" t="s">
        <v>3136</v>
      </c>
      <c r="AK162" s="10" t="s">
        <v>261</v>
      </c>
      <c r="AL162" s="2" t="s">
        <v>51</v>
      </c>
    </row>
    <row r="163" ht="15.75" customHeight="1">
      <c r="A163" s="2" t="s">
        <v>3359</v>
      </c>
      <c r="B163" s="12">
        <v>45607.35902777778</v>
      </c>
      <c r="C163" s="2" t="str">
        <f>IFERROR(__xludf.DUMMYFUNCTION("IF(ISNUMBER(B163),TEXT(B163,""yyyy-MM-dd""),REGEXREPLACE(REGEXREPLACE(TO_TEXT(B163),""[^0-9a-zA-Z]+"",""-""),""[^0-9]*$"",""""))"),"2024-11-11")</f>
        <v>2024-11-11</v>
      </c>
      <c r="D163" s="2" t="s">
        <v>2258</v>
      </c>
      <c r="H163" s="10" t="s">
        <v>2258</v>
      </c>
      <c r="I163" s="2" t="s">
        <v>3361</v>
      </c>
      <c r="J163" s="26" t="str">
        <f t="array" ref="J163">IF(ISNA(XLOOKUP(I163,customers_clean!$A$2:$A$701,customers_clean!$A$2:$A$701, NA()) ),
   "❌ MISSING CUSTOMER", "✅")</f>
        <v>✅</v>
      </c>
      <c r="K163" s="2" t="str">
        <f t="array" ref="K163">XLOOKUP(I163,customers_clean!$A$2:$A$701,customers_clean!$C$2:$C$701)</f>
        <v>Ethan  Dubois</v>
      </c>
      <c r="L163" s="10" t="str">
        <f t="array" ref="L163">XLOOKUP(I163,customers_clean!$A$2:$A$701,customers_clean!$D$2:$D$701)</f>
        <v>Ethan Dubois</v>
      </c>
      <c r="M163" s="2" t="str">
        <f t="array" ref="M163">XLOOKUP(I163,customers_clean!$A$2:$A$701,customers_clean!$I$2:$I$701)</f>
        <v>Ethan.Dubois@Outlook.Com</v>
      </c>
      <c r="N163" s="10" t="str">
        <f t="array" ref="N163">XLOOKUP(I163,customers_clean!$A$2:$A$701,customers_clean!$H$2:$H$701)</f>
        <v>ethan.dubois@outlook.com</v>
      </c>
      <c r="O163" s="9" t="str">
        <f>IFERROR(__xludf.DUMMYFUNCTION("IF(REGEXMATCH(TRIM(N163),""^[A-Za-z0-9._%+-]+@[A-Za-z0-9.-]+\.[A-Za-z]{2,}$""),""✅ Valid"",""❌ Invalid"")"),"✅ Valid")</f>
        <v>✅ Valid</v>
      </c>
      <c r="P163" s="2" t="str">
        <f t="array" ref="P163">XLOOKUP(I163,customers_clean!$A$2:$A$701,customers_clean!$K$2:$K$701)</f>
        <v>+44+1887328198</v>
      </c>
      <c r="Q163" s="10" t="str">
        <f t="array" ref="Q163">XLOOKUP(I163,customers_clean!$A$2:$A$701,customers_clean!$N$2:$N$701)</f>
        <v>1887328198</v>
      </c>
      <c r="R163" s="9" t="str">
        <f t="array" ref="R163">XLOOKUP(I163,customers_clean!$A$2:$A$701,customers_clean!$Q$2:$Q$701)</f>
        <v>❌ INVALID</v>
      </c>
      <c r="S163" s="10" t="s">
        <v>608</v>
      </c>
      <c r="T163" s="2" t="s">
        <v>778</v>
      </c>
      <c r="U163" s="2" t="s">
        <v>60</v>
      </c>
      <c r="V163" s="2" t="s">
        <v>3053</v>
      </c>
      <c r="W163" s="9" t="str">
        <f t="array" ref="W163">IF(ISNA(XLOOKUP(V163,products_master_corrected!$A$2:$A$151,products_master_corrected!$A$2:$A$151, NA())),
    "❌ MISSING SKU", "✅")</f>
        <v>✅</v>
      </c>
      <c r="X163" s="2" t="s">
        <v>741</v>
      </c>
      <c r="Y163" s="2" t="s">
        <v>63</v>
      </c>
      <c r="Z163" s="10" t="s">
        <v>63</v>
      </c>
      <c r="AA163" s="27">
        <v>5.0</v>
      </c>
      <c r="AB163" s="9" t="s">
        <v>8649</v>
      </c>
      <c r="AC163" s="28">
        <f t="array" ref="AC163">XLOOKUP(V163,products_master_corrected!$A$2:$A$151,products_master_corrected!$E$2:$E$151)</f>
        <v>15.82</v>
      </c>
      <c r="AD163" s="28">
        <f t="shared" si="21"/>
        <v>79.1</v>
      </c>
      <c r="AE163" s="28">
        <f t="array" ref="AE163">XLOOKUP(V163,products_master_corrected!$A$2:$A$151,products_master_corrected!$H$2:$H$151)</f>
        <v>17.77</v>
      </c>
      <c r="AF163" s="29">
        <f t="shared" si="22"/>
        <v>88.85</v>
      </c>
      <c r="AG163" s="32" t="s">
        <v>8658</v>
      </c>
      <c r="AH163" s="2" t="s">
        <v>664</v>
      </c>
      <c r="AI163" s="10" t="s">
        <v>66</v>
      </c>
      <c r="AJ163" s="2" t="s">
        <v>3365</v>
      </c>
      <c r="AK163" s="10" t="s">
        <v>192</v>
      </c>
    </row>
    <row r="164" ht="15.75" customHeight="1">
      <c r="A164" s="2" t="s">
        <v>2730</v>
      </c>
      <c r="B164" s="12">
        <v>44970.0</v>
      </c>
      <c r="C164" s="2" t="str">
        <f>IFERROR(__xludf.DUMMYFUNCTION("IF(ISNUMBER(B164),TEXT(B164,""yyyy-MM-dd""),REGEXREPLACE(REGEXREPLACE(TO_TEXT(B164),""[^0-9a-zA-Z]+"",""-""),""[^0-9]*$"",""""))"),"2023-02-13")</f>
        <v>2023-02-13</v>
      </c>
      <c r="D164" s="2" t="s">
        <v>8731</v>
      </c>
      <c r="H164" s="10" t="s">
        <v>8731</v>
      </c>
      <c r="I164" s="2" t="s">
        <v>2732</v>
      </c>
      <c r="J164" s="26" t="str">
        <f t="array" ref="J164">IF(ISNA(XLOOKUP(I164,customers_clean!$A$2:$A$701,customers_clean!$A$2:$A$701, NA()) ),
   "❌ MISSING CUSTOMER", "✅")</f>
        <v>✅</v>
      </c>
      <c r="K164" s="2" t="str">
        <f t="array" ref="K164">XLOOKUP(I164,customers_clean!$A$2:$A$701,customers_clean!$C$2:$C$701)</f>
        <v>Paula  Brown</v>
      </c>
      <c r="L164" s="10" t="str">
        <f t="array" ref="L164">XLOOKUP(I164,customers_clean!$A$2:$A$701,customers_clean!$D$2:$D$701)</f>
        <v>Paula Brown</v>
      </c>
      <c r="M164" s="2" t="str">
        <f t="array" ref="M164">XLOOKUP(I164,customers_clean!$A$2:$A$701,customers_clean!$I$2:$I$701)</f>
        <v>paula.brown@example.com </v>
      </c>
      <c r="N164" s="10" t="str">
        <f t="array" ref="N164">XLOOKUP(I164,customers_clean!$A$2:$A$701,customers_clean!$H$2:$H$701)</f>
        <v>paula.brown@example.com</v>
      </c>
      <c r="O164" s="9" t="str">
        <f>IFERROR(__xludf.DUMMYFUNCTION("IF(REGEXMATCH(TRIM(N164),""^[A-Za-z0-9._%+-]+@[A-Za-z0-9.-]+\.[A-Za-z]{2,}$""),""✅ Valid"",""❌ Invalid"")"),"✅ Valid")</f>
        <v>✅ Valid</v>
      </c>
      <c r="P164" s="2" t="str">
        <f t="array" ref="P164">XLOOKUP(I164,customers_clean!$A$2:$A$701,customers_clean!$K$2:$K$701)</f>
        <v>+495485874659 ext 869</v>
      </c>
      <c r="Q164" s="10" t="str">
        <f t="array" ref="Q164">XLOOKUP(I164,customers_clean!$A$2:$A$701,customers_clean!$N$2:$N$701)</f>
        <v>5485874659</v>
      </c>
      <c r="R164" s="9" t="str">
        <f t="array" ref="R164">XLOOKUP(I164,customers_clean!$A$2:$A$701,customers_clean!$Q$2:$Q$701)</f>
        <v>❌ INVALID</v>
      </c>
      <c r="S164" s="10" t="s">
        <v>25</v>
      </c>
      <c r="T164" s="2" t="s">
        <v>223</v>
      </c>
      <c r="U164" s="2" t="s">
        <v>480</v>
      </c>
      <c r="V164" s="2" t="s">
        <v>353</v>
      </c>
      <c r="W164" s="9" t="str">
        <f t="array" ref="W164">IF(ISNA(XLOOKUP(V164,products_master_corrected!$A$2:$A$151,products_master_corrected!$A$2:$A$151, NA())),
    "❌ MISSING SKU", "✅")</f>
        <v>✅</v>
      </c>
      <c r="X164" s="2" t="s">
        <v>62</v>
      </c>
      <c r="Y164" s="2" t="s">
        <v>355</v>
      </c>
      <c r="Z164" s="10" t="s">
        <v>355</v>
      </c>
      <c r="AA164" s="27">
        <v>5.0</v>
      </c>
      <c r="AB164" s="9" t="s">
        <v>8649</v>
      </c>
      <c r="AC164" s="28">
        <f t="array" ref="AC164">XLOOKUP(V164,products_master_corrected!$A$2:$A$151,products_master_corrected!$E$2:$E$151)</f>
        <v>106.56</v>
      </c>
      <c r="AD164" s="28">
        <f t="shared" si="21"/>
        <v>532.8</v>
      </c>
      <c r="AE164" s="28">
        <f t="array" ref="AE164">XLOOKUP(V164,products_master_corrected!$A$2:$A$151,products_master_corrected!$K$2:$K$151)</f>
        <v>548.25</v>
      </c>
      <c r="AF164" s="29">
        <f t="shared" si="22"/>
        <v>2741.25</v>
      </c>
      <c r="AG164" s="30" t="s">
        <v>95</v>
      </c>
      <c r="AH164" s="2" t="s">
        <v>66</v>
      </c>
      <c r="AI164" s="10" t="s">
        <v>66</v>
      </c>
      <c r="AJ164" s="2" t="s">
        <v>169</v>
      </c>
      <c r="AK164" s="10" t="s">
        <v>261</v>
      </c>
      <c r="AL164" s="2" t="s">
        <v>133</v>
      </c>
    </row>
    <row r="165" ht="15.75" customHeight="1">
      <c r="A165" s="2" t="s">
        <v>5466</v>
      </c>
      <c r="B165" s="12">
        <v>45848.0</v>
      </c>
      <c r="C165" s="2" t="str">
        <f>IFERROR(__xludf.DUMMYFUNCTION("IF(ISNUMBER(B165),TEXT(B165,""yyyy-MM-dd""),REGEXREPLACE(REGEXREPLACE(TO_TEXT(B165),""[^0-9a-zA-Z]+"",""-""),""[^0-9]*$"",""""))"),"2025-07-10")</f>
        <v>2025-07-10</v>
      </c>
      <c r="D165" s="2" t="s">
        <v>8732</v>
      </c>
      <c r="H165" s="10" t="s">
        <v>8732</v>
      </c>
      <c r="I165" s="2" t="s">
        <v>5468</v>
      </c>
      <c r="J165" s="26" t="str">
        <f t="array" ref="J165">IF(ISNA(XLOOKUP(I165,customers_clean!$A$2:$A$701,customers_clean!$A$2:$A$701, NA()) ),
   "❌ MISSING CUSTOMER", "✅")</f>
        <v>✅</v>
      </c>
      <c r="K165" s="2" t="str">
        <f t="array" ref="K165">XLOOKUP(I165,customers_clean!$A$2:$A$701,customers_clean!$C$2:$C$701)</f>
        <v>Gabe Novak</v>
      </c>
      <c r="L165" s="10" t="str">
        <f t="array" ref="L165">XLOOKUP(I165,customers_clean!$A$2:$A$701,customers_clean!$D$2:$D$701)</f>
        <v>Gabe Novak</v>
      </c>
      <c r="M165" s="2" t="str">
        <f t="array" ref="M165">XLOOKUP(I165,customers_clean!$A$2:$A$701,customers_clean!$I$2:$I$701)</f>
        <v/>
      </c>
      <c r="N165" s="10" t="str">
        <f t="array" ref="N165">XLOOKUP(I165,customers_clean!$A$2:$A$701,customers_clean!$H$2:$H$701)</f>
        <v/>
      </c>
      <c r="O165" s="9" t="str">
        <f>IFERROR(__xludf.DUMMYFUNCTION("IF(REGEXMATCH(TRIM(N165),""^[A-Za-z0-9._%+-]+@[A-Za-z0-9.-]+\.[A-Za-z]{2,}$""),""✅ Valid"",""❌ Invalid"")"),"❌ Invalid")</f>
        <v>❌ Invalid</v>
      </c>
      <c r="P165" s="2" t="str">
        <f t="array" ref="P165">XLOOKUP(I165,customers_clean!$A$2:$A$701,customers_clean!$K$2:$K$701)</f>
        <v>+1-792-936-1740</v>
      </c>
      <c r="Q165" s="10" t="str">
        <f t="array" ref="Q165">XLOOKUP(I165,customers_clean!$A$2:$A$701,customers_clean!$N$2:$N$701)</f>
        <v/>
      </c>
      <c r="R165" s="9" t="str">
        <f t="array" ref="R165">XLOOKUP(I165,customers_clean!$A$2:$A$701,customers_clean!$Q$2:$Q$701)</f>
        <v/>
      </c>
      <c r="S165" s="10" t="s">
        <v>114</v>
      </c>
      <c r="T165" s="2" t="s">
        <v>223</v>
      </c>
      <c r="U165" s="2" t="s">
        <v>401</v>
      </c>
      <c r="V165" s="2" t="s">
        <v>919</v>
      </c>
      <c r="W165" s="9" t="str">
        <f t="array" ref="W165">IF(ISNA(XLOOKUP(V165,products_master_corrected!$A$2:$A$151,products_master_corrected!$A$2:$A$151, NA())),
    "❌ MISSING SKU", "✅")</f>
        <v>✅</v>
      </c>
      <c r="X165" s="2" t="s">
        <v>423</v>
      </c>
      <c r="Y165" s="2" t="s">
        <v>179</v>
      </c>
      <c r="Z165" s="10" t="s">
        <v>179</v>
      </c>
      <c r="AA165" s="27">
        <v>1.0</v>
      </c>
      <c r="AB165" s="9" t="s">
        <v>8649</v>
      </c>
      <c r="AC165" s="28">
        <f t="array" ref="AC165">XLOOKUP(V165,products_master_corrected!$A$2:$A$151,products_master_corrected!$E$2:$E$151)</f>
        <v>52.04</v>
      </c>
      <c r="AD165" s="28">
        <f t="shared" si="21"/>
        <v>52.04</v>
      </c>
      <c r="AE165" s="28">
        <f t="array" ref="AE165">XLOOKUP(V165,products_master_corrected!$A$2:$A$151,products_master_corrected!$F$2:$F$151)</f>
        <v>52.04</v>
      </c>
      <c r="AF165" s="29">
        <f t="shared" si="22"/>
        <v>52.04</v>
      </c>
      <c r="AG165" s="30" t="s">
        <v>65</v>
      </c>
      <c r="AH165" s="2" t="s">
        <v>573</v>
      </c>
      <c r="AI165" s="10" t="s">
        <v>66</v>
      </c>
      <c r="AJ165" s="2" t="s">
        <v>294</v>
      </c>
      <c r="AK165" s="10" t="s">
        <v>80</v>
      </c>
    </row>
    <row r="166" ht="15.75" customHeight="1">
      <c r="A166" s="2" t="s">
        <v>5616</v>
      </c>
      <c r="B166" s="12" t="s">
        <v>5617</v>
      </c>
      <c r="C166" s="2" t="str">
        <f>IFERROR(__xludf.DUMMYFUNCTION("IF(ISNUMBER(B166),TEXT(B166,""yyyy-MM-dd""),REGEXREPLACE(REGEXREPLACE(TO_TEXT(B166),""[^0-9a-zA-Z]+"",""-""),""[^0-9]*$"",""""))"),"45320-15-07")</f>
        <v>45320-15-07</v>
      </c>
      <c r="D166" s="2" t="str">
        <f>TEXT(C166,"yyyy-MM-dd")</f>
        <v>45320-15-07</v>
      </c>
      <c r="E166" s="25" t="str">
        <f>CONCATENATE(LEFT(D166,5))</f>
        <v>45320</v>
      </c>
      <c r="F166" s="12">
        <f>DATE(1900,1,1) + E166 - 1</f>
        <v>45321</v>
      </c>
      <c r="G166" s="2" t="s">
        <v>7004</v>
      </c>
      <c r="H166" s="10" t="s">
        <v>7004</v>
      </c>
      <c r="I166" s="2" t="s">
        <v>5618</v>
      </c>
      <c r="J166" s="26" t="str">
        <f t="array" ref="J166">IF(ISNA(XLOOKUP(I166,customers_clean!$A$2:$A$701,customers_clean!$A$2:$A$701, NA()) ),
   "❌ MISSING CUSTOMER", "✅")</f>
        <v>✅</v>
      </c>
      <c r="K166" s="2" t="str">
        <f t="array" ref="K166">XLOOKUP(I166,customers_clean!$A$2:$A$701,customers_clean!$C$2:$C$701)</f>
        <v>Omar Garcia</v>
      </c>
      <c r="L166" s="10" t="str">
        <f t="array" ref="L166">XLOOKUP(I166,customers_clean!$A$2:$A$701,customers_clean!$D$2:$D$701)</f>
        <v>Omar Garcia</v>
      </c>
      <c r="M166" s="2" t="str">
        <f t="array" ref="M166">XLOOKUP(I166,customers_clean!$A$2:$A$701,customers_clean!$I$2:$I$701)</f>
        <v>omar.garcia@outlook.com</v>
      </c>
      <c r="N166" s="10" t="str">
        <f t="array" ref="N166">XLOOKUP(I166,customers_clean!$A$2:$A$701,customers_clean!$H$2:$H$701)</f>
        <v>omar.garcia@outlook.com</v>
      </c>
      <c r="O166" s="9" t="str">
        <f>IFERROR(__xludf.DUMMYFUNCTION("IF(REGEXMATCH(TRIM(N166),""^[A-Za-z0-9._%+-]+@[A-Za-z0-9.-]+\.[A-Za-z]{2,}$""),""✅ Valid"",""❌ Invalid"")"),"✅ Valid")</f>
        <v>✅ Valid</v>
      </c>
      <c r="P166" s="2" t="str">
        <f t="array" ref="P166">XLOOKUP(I166,customers_clean!$A$2:$A$701,customers_clean!$K$2:$K$701)</f>
        <v>tel:+4491900279850</v>
      </c>
      <c r="Q166" s="10" t="str">
        <f t="array" ref="Q166">XLOOKUP(I166,customers_clean!$A$2:$A$701,customers_clean!$N$2:$N$701)</f>
        <v>91900279850</v>
      </c>
      <c r="R166" s="9" t="str">
        <f t="array" ref="R166">XLOOKUP(I166,customers_clean!$A$2:$A$701,customers_clean!$Q$2:$Q$701)</f>
        <v>❌ INVALID</v>
      </c>
      <c r="S166" s="10" t="s">
        <v>448</v>
      </c>
      <c r="T166" s="2" t="s">
        <v>115</v>
      </c>
      <c r="U166" s="2" t="s">
        <v>90</v>
      </c>
      <c r="V166" s="2" t="s">
        <v>1849</v>
      </c>
      <c r="W166" s="9" t="str">
        <f t="array" ref="W166">IF(ISNA(XLOOKUP(V166,products_master_corrected!$A$2:$A$151,products_master_corrected!$A$2:$A$151, NA())),
    "❌ MISSING SKU", "✅")</f>
        <v>✅</v>
      </c>
      <c r="X166" s="2" t="s">
        <v>403</v>
      </c>
      <c r="Y166" s="2" t="s">
        <v>248</v>
      </c>
      <c r="Z166" s="10" t="s">
        <v>248</v>
      </c>
      <c r="AA166" s="27">
        <v>2.0</v>
      </c>
      <c r="AB166" s="9" t="s">
        <v>8649</v>
      </c>
      <c r="AC166" s="28">
        <f t="array" ref="AC166">XLOOKUP(V166,products_master_corrected!$A$2:$A$151,products_master_corrected!$E$2:$E$151)</f>
        <v>46.23</v>
      </c>
      <c r="AD166" s="28">
        <f t="shared" si="21"/>
        <v>92.46</v>
      </c>
      <c r="AE166" s="28">
        <f t="array" ref="AE166">XLOOKUP(V166,products_master_corrected!$A$2:$A$151,products_master_corrected!$M$2:$M$151)</f>
        <v>55.92</v>
      </c>
      <c r="AF166" s="29">
        <f t="shared" si="22"/>
        <v>111.84</v>
      </c>
      <c r="AG166" s="30" t="s">
        <v>48</v>
      </c>
      <c r="AH166" s="2" t="s">
        <v>573</v>
      </c>
      <c r="AI166" s="10" t="s">
        <v>66</v>
      </c>
      <c r="AJ166" s="2" t="s">
        <v>1312</v>
      </c>
      <c r="AK166" s="10" t="s">
        <v>818</v>
      </c>
      <c r="AL166" s="2" t="s">
        <v>133</v>
      </c>
    </row>
    <row r="167" ht="15.75" customHeight="1">
      <c r="A167" s="2" t="s">
        <v>134</v>
      </c>
      <c r="B167" s="12">
        <v>45783.0</v>
      </c>
      <c r="C167" s="2" t="str">
        <f>IFERROR(__xludf.DUMMYFUNCTION("IF(ISNUMBER(B167),TEXT(B167,""yyyy-MM-dd""),REGEXREPLACE(REGEXREPLACE(TO_TEXT(B167),""[^0-9a-zA-Z]+"",""-""),""[^0-9]*$"",""""))"),"2025-05-06")</f>
        <v>2025-05-06</v>
      </c>
      <c r="D167" s="2" t="s">
        <v>7792</v>
      </c>
      <c r="H167" s="10" t="s">
        <v>7792</v>
      </c>
      <c r="I167" s="2" t="s">
        <v>136</v>
      </c>
      <c r="J167" s="26" t="str">
        <f t="array" ref="J167">IF(ISNA(XLOOKUP(I167,customers_clean!$A$2:$A$701,customers_clean!$A$2:$A$701, NA()) ),
   "❌ MISSING CUSTOMER", "✅")</f>
        <v>✅</v>
      </c>
      <c r="K167" s="2" t="str">
        <f t="array" ref="K167">XLOOKUP(I167,customers_clean!$A$2:$A$701,customers_clean!$C$2:$C$701)</f>
        <v>Daria Taylor</v>
      </c>
      <c r="L167" s="10" t="str">
        <f t="array" ref="L167">XLOOKUP(I167,customers_clean!$A$2:$A$701,customers_clean!$D$2:$D$701)</f>
        <v>Daria Taylor</v>
      </c>
      <c r="M167" s="2" t="str">
        <f t="array" ref="M167">XLOOKUP(I167,customers_clean!$A$2:$A$701,customers_clean!$I$2:$I$701)</f>
        <v>daria.taylor@outlook.com</v>
      </c>
      <c r="N167" s="10" t="str">
        <f t="array" ref="N167">XLOOKUP(I167,customers_clean!$A$2:$A$701,customers_clean!$H$2:$H$701)</f>
        <v>daria.taylor@outlook.com</v>
      </c>
      <c r="O167" s="9" t="str">
        <f>IFERROR(__xludf.DUMMYFUNCTION("IF(REGEXMATCH(TRIM(N167),""^[A-Za-z0-9._%+-]+@[A-Za-z0-9.-]+\.[A-Za-z]{2,}$""),""✅ Valid"",""❌ Invalid"")"),"✅ Valid")</f>
        <v>✅ Valid</v>
      </c>
      <c r="P167" s="2" t="str">
        <f t="array" ref="P167">XLOOKUP(I167,customers_clean!$A$2:$A$701,customers_clean!$K$2:$K$701)</f>
        <v>+39 274 47919</v>
      </c>
      <c r="Q167" s="10" t="str">
        <f t="array" ref="Q167">XLOOKUP(I167,customers_clean!$A$2:$A$701,customers_clean!$N$2:$N$701)</f>
        <v>27447919</v>
      </c>
      <c r="R167" s="9" t="str">
        <f t="array" ref="R167">XLOOKUP(I167,customers_clean!$A$2:$A$701,customers_clean!$Q$2:$Q$701)</f>
        <v>❌ INVALID</v>
      </c>
      <c r="S167" s="10" t="s">
        <v>139</v>
      </c>
      <c r="T167" s="2" t="s">
        <v>26</v>
      </c>
      <c r="U167" s="2" t="s">
        <v>43</v>
      </c>
      <c r="V167" s="2" t="s">
        <v>140</v>
      </c>
      <c r="W167" s="9" t="str">
        <f t="array" ref="W167">IF(ISNA(XLOOKUP(V167,products_master_corrected!$A$2:$A$151,products_master_corrected!$A$2:$A$151, NA())),
    "❌ MISSING SKU", "✅")</f>
        <v>✅</v>
      </c>
      <c r="X167" s="2" t="s">
        <v>741</v>
      </c>
      <c r="Y167" s="2" t="s">
        <v>63</v>
      </c>
      <c r="Z167" s="10" t="s">
        <v>63</v>
      </c>
      <c r="AA167" s="27">
        <v>2.0</v>
      </c>
      <c r="AB167" s="9" t="s">
        <v>8649</v>
      </c>
      <c r="AC167" s="28">
        <f t="array" ref="AC167">XLOOKUP(V167,products_master_corrected!$A$2:$A$151,products_master_corrected!$E$2:$E$151)</f>
        <v>30.67</v>
      </c>
      <c r="AD167" s="28">
        <f t="shared" si="21"/>
        <v>61.34</v>
      </c>
      <c r="AE167" s="28">
        <f t="array" ref="AE167">XLOOKUP(V167,products_master_corrected!$A$2:$A$151,products_master_corrected!$L$2:$L$151)</f>
        <v>33.17</v>
      </c>
      <c r="AF167" s="29">
        <f t="shared" si="22"/>
        <v>66.34</v>
      </c>
      <c r="AG167" s="32" t="s">
        <v>8665</v>
      </c>
      <c r="AH167" s="2" t="s">
        <v>143</v>
      </c>
      <c r="AI167" s="10" t="s">
        <v>143</v>
      </c>
      <c r="AJ167" s="2" t="s">
        <v>144</v>
      </c>
      <c r="AK167" s="10" t="s">
        <v>818</v>
      </c>
      <c r="AL167" s="2" t="s">
        <v>51</v>
      </c>
    </row>
    <row r="168" ht="15.75" customHeight="1">
      <c r="A168" s="2" t="s">
        <v>2817</v>
      </c>
      <c r="B168" s="12" t="s">
        <v>2818</v>
      </c>
      <c r="C168" s="2" t="str">
        <f>IFERROR(__xludf.DUMMYFUNCTION("IF(ISNUMBER(B168),TEXT(B168,""yyyy-MM-dd""),REGEXREPLACE(REGEXREPLACE(TO_TEXT(B168),""[^0-9a-zA-Z]+"",""-""),""[^0-9]*$"",""""))"),"45762-22-31")</f>
        <v>45762-22-31</v>
      </c>
      <c r="D168" s="2" t="str">
        <f>TEXT(C168,"yyyy-MM-dd")</f>
        <v>45762-22-31</v>
      </c>
      <c r="E168" s="25" t="str">
        <f>CONCATENATE(LEFT(D168,5))</f>
        <v>45762</v>
      </c>
      <c r="F168" s="12">
        <f>DATE(1900,1,1) + E168 - 1</f>
        <v>45763</v>
      </c>
      <c r="G168" s="2" t="s">
        <v>8733</v>
      </c>
      <c r="H168" s="10" t="s">
        <v>8733</v>
      </c>
      <c r="I168" s="2" t="s">
        <v>518</v>
      </c>
      <c r="J168" s="26" t="str">
        <f t="array" ref="J168">IF(ISNA(XLOOKUP(I168,customers_clean!$A$2:$A$701,customers_clean!$A$2:$A$701, NA()) ),
   "❌ MISSING CUSTOMER", "✅")</f>
        <v>✅</v>
      </c>
      <c r="K168" s="2" t="str">
        <f t="array" ref="K168">XLOOKUP(I168,customers_clean!$A$2:$A$701,customers_clean!$C$2:$C$701)</f>
        <v> Omar Khan</v>
      </c>
      <c r="L168" s="10" t="str">
        <f t="array" ref="L168">XLOOKUP(I168,customers_clean!$A$2:$A$701,customers_clean!$D$2:$D$701)</f>
        <v>Omar Khan</v>
      </c>
      <c r="M168" s="2" t="str">
        <f t="array" ref="M168">XLOOKUP(I168,customers_clean!$A$2:$A$701,customers_clean!$I$2:$I$701)</f>
        <v>Omar.Khan@Shop.Io</v>
      </c>
      <c r="N168" s="10" t="str">
        <f t="array" ref="N168">XLOOKUP(I168,customers_clean!$A$2:$A$701,customers_clean!$H$2:$H$701)</f>
        <v>omar.khan@shop.io</v>
      </c>
      <c r="O168" s="9" t="str">
        <f>IFERROR(__xludf.DUMMYFUNCTION("IF(REGEXMATCH(TRIM(N168),""^[A-Za-z0-9._%+-]+@[A-Za-z0-9.-]+\.[A-Za-z]{2,}$""),""✅ Valid"",""❌ Invalid"")"),"✅ Valid")</f>
        <v>✅ Valid</v>
      </c>
      <c r="P168" s="2" t="str">
        <f t="array" ref="P168">XLOOKUP(I168,customers_clean!$A$2:$A$701,customers_clean!$K$2:$K$701)</f>
        <v>+34 97 51 57 96</v>
      </c>
      <c r="Q168" s="10" t="str">
        <f t="array" ref="Q168">XLOOKUP(I168,customers_clean!$A$2:$A$701,customers_clean!$N$2:$N$701)</f>
        <v>97515796</v>
      </c>
      <c r="R168" s="9" t="str">
        <f t="array" ref="R168">XLOOKUP(I168,customers_clean!$A$2:$A$701,customers_clean!$Q$2:$Q$701)</f>
        <v>❌ INVALID</v>
      </c>
      <c r="S168" s="10" t="s">
        <v>88</v>
      </c>
      <c r="T168" s="2" t="s">
        <v>59</v>
      </c>
      <c r="U168" s="2" t="s">
        <v>401</v>
      </c>
      <c r="V168" s="2" t="s">
        <v>740</v>
      </c>
      <c r="W168" s="9" t="str">
        <f t="array" ref="W168">IF(ISNA(XLOOKUP(V168,products_master_corrected!$A$2:$A$151,products_master_corrected!$A$2:$A$151, NA())),
    "❌ MISSING SKU", "✅")</f>
        <v>✅</v>
      </c>
      <c r="X168" s="2" t="s">
        <v>741</v>
      </c>
      <c r="Y168" s="2" t="s">
        <v>742</v>
      </c>
      <c r="Z168" s="10" t="s">
        <v>355</v>
      </c>
      <c r="AA168" s="27">
        <v>2.0</v>
      </c>
      <c r="AB168" s="9" t="s">
        <v>8649</v>
      </c>
      <c r="AC168" s="28">
        <f t="array" ref="AC168">XLOOKUP(V168,products_master_corrected!$A$2:$A$151,products_master_corrected!$E$2:$E$151)</f>
        <v>35.77</v>
      </c>
      <c r="AD168" s="28">
        <f t="shared" si="21"/>
        <v>71.54</v>
      </c>
      <c r="AE168" s="28">
        <f t="array" ref="AE168">XLOOKUP(V168,products_master_corrected!$A$2:$A$151,products_master_corrected!$I$2:$I$151)</f>
        <v>39.43</v>
      </c>
      <c r="AF168" s="29">
        <f t="shared" si="22"/>
        <v>78.86</v>
      </c>
      <c r="AG168" s="32" t="s">
        <v>8660</v>
      </c>
      <c r="AH168" s="2" t="s">
        <v>573</v>
      </c>
      <c r="AI168" s="10" t="s">
        <v>66</v>
      </c>
      <c r="AJ168" s="2" t="s">
        <v>80</v>
      </c>
      <c r="AK168" s="10" t="s">
        <v>80</v>
      </c>
      <c r="AL168" s="2" t="s">
        <v>81</v>
      </c>
    </row>
    <row r="169" ht="15.75" customHeight="1">
      <c r="A169" s="2" t="s">
        <v>861</v>
      </c>
      <c r="B169" s="12">
        <v>44955.0</v>
      </c>
      <c r="C169" s="2" t="str">
        <f>IFERROR(__xludf.DUMMYFUNCTION("IF(ISNUMBER(B169),TEXT(B169,""yyyy-MM-dd""),REGEXREPLACE(REGEXREPLACE(TO_TEXT(B169),""[^0-9a-zA-Z]+"",""-""),""[^0-9]*$"",""""))"),"2023-01-29")</f>
        <v>2023-01-29</v>
      </c>
      <c r="D169" s="2" t="s">
        <v>8734</v>
      </c>
      <c r="H169" s="10" t="s">
        <v>8734</v>
      </c>
      <c r="I169" s="2" t="s">
        <v>518</v>
      </c>
      <c r="J169" s="26" t="str">
        <f t="array" ref="J169">IF(ISNA(XLOOKUP(I169,customers_clean!$A$2:$A$701,customers_clean!$A$2:$A$701, NA()) ),
   "❌ MISSING CUSTOMER", "✅")</f>
        <v>✅</v>
      </c>
      <c r="K169" s="2" t="str">
        <f t="array" ref="K169">XLOOKUP(I169,customers_clean!$A$2:$A$701,customers_clean!$C$2:$C$701)</f>
        <v> Omar Khan</v>
      </c>
      <c r="L169" s="10" t="str">
        <f t="array" ref="L169">XLOOKUP(I169,customers_clean!$A$2:$A$701,customers_clean!$D$2:$D$701)</f>
        <v>Omar Khan</v>
      </c>
      <c r="M169" s="2" t="str">
        <f t="array" ref="M169">XLOOKUP(I169,customers_clean!$A$2:$A$701,customers_clean!$I$2:$I$701)</f>
        <v>Omar.Khan@Shop.Io</v>
      </c>
      <c r="N169" s="10" t="str">
        <f t="array" ref="N169">XLOOKUP(I169,customers_clean!$A$2:$A$701,customers_clean!$H$2:$H$701)</f>
        <v>omar.khan@shop.io</v>
      </c>
      <c r="O169" s="9" t="str">
        <f>IFERROR(__xludf.DUMMYFUNCTION("IF(REGEXMATCH(TRIM(N169),""^[A-Za-z0-9._%+-]+@[A-Za-z0-9.-]+\.[A-Za-z]{2,}$""),""✅ Valid"",""❌ Invalid"")"),"✅ Valid")</f>
        <v>✅ Valid</v>
      </c>
      <c r="P169" s="2" t="str">
        <f t="array" ref="P169">XLOOKUP(I169,customers_clean!$A$2:$A$701,customers_clean!$K$2:$K$701)</f>
        <v>+34 97 51 57 96</v>
      </c>
      <c r="Q169" s="10" t="str">
        <f t="array" ref="Q169">XLOOKUP(I169,customers_clean!$A$2:$A$701,customers_clean!$N$2:$N$701)</f>
        <v>97515796</v>
      </c>
      <c r="R169" s="9" t="str">
        <f t="array" ref="R169">XLOOKUP(I169,customers_clean!$A$2:$A$701,customers_clean!$Q$2:$Q$701)</f>
        <v>❌ INVALID</v>
      </c>
      <c r="S169" s="10" t="s">
        <v>88</v>
      </c>
      <c r="T169" s="2" t="s">
        <v>234</v>
      </c>
      <c r="U169" s="2" t="s">
        <v>60</v>
      </c>
      <c r="V169" s="2" t="s">
        <v>652</v>
      </c>
      <c r="W169" s="9" t="str">
        <f t="array" ref="W169">IF(ISNA(XLOOKUP(V169,products_master_corrected!$A$2:$A$151,products_master_corrected!$A$2:$A$151, NA())),
    "❌ MISSING SKU", "✅")</f>
        <v>✅</v>
      </c>
      <c r="X169" s="2" t="s">
        <v>8673</v>
      </c>
      <c r="Y169" s="2" t="s">
        <v>179</v>
      </c>
      <c r="Z169" s="10" t="s">
        <v>179</v>
      </c>
      <c r="AA169" s="27">
        <v>3.0</v>
      </c>
      <c r="AB169" s="9" t="s">
        <v>8649</v>
      </c>
      <c r="AC169" s="28">
        <f t="array" ref="AC169">XLOOKUP(V169,products_master_corrected!$A$2:$A$151,products_master_corrected!$E$2:$E$151)</f>
        <v>240.24</v>
      </c>
      <c r="AD169" s="28">
        <f t="shared" si="21"/>
        <v>720.72</v>
      </c>
      <c r="AE169" s="28">
        <f t="array" ref="AE169">XLOOKUP(V169,products_master_corrected!$A$2:$A$151,products_master_corrected!$I$2:$I$151)</f>
        <v>264.84</v>
      </c>
      <c r="AF169" s="29">
        <f t="shared" si="22"/>
        <v>794.52</v>
      </c>
      <c r="AG169" s="32" t="s">
        <v>8660</v>
      </c>
      <c r="AH169" s="2" t="s">
        <v>305</v>
      </c>
      <c r="AI169" s="10" t="s">
        <v>49</v>
      </c>
      <c r="AJ169" s="2" t="s">
        <v>442</v>
      </c>
      <c r="AK169" s="10" t="s">
        <v>80</v>
      </c>
      <c r="AL169" s="2" t="s">
        <v>51</v>
      </c>
    </row>
    <row r="170" ht="15.75" customHeight="1">
      <c r="A170" s="2" t="s">
        <v>516</v>
      </c>
      <c r="B170" s="12">
        <v>44944.0</v>
      </c>
      <c r="C170" s="2" t="str">
        <f>IFERROR(__xludf.DUMMYFUNCTION("IF(ISNUMBER(B170),TEXT(B170,""yyyy-MM-dd""),REGEXREPLACE(REGEXREPLACE(TO_TEXT(B170),""[^0-9a-zA-Z]+"",""-""),""[^0-9]*$"",""""))"),"2023-01-18")</f>
        <v>2023-01-18</v>
      </c>
      <c r="D170" s="2" t="s">
        <v>8735</v>
      </c>
      <c r="H170" s="10" t="s">
        <v>8735</v>
      </c>
      <c r="I170" s="2" t="s">
        <v>518</v>
      </c>
      <c r="J170" s="26" t="str">
        <f t="array" ref="J170">IF(ISNA(XLOOKUP(I170,customers_clean!$A$2:$A$701,customers_clean!$A$2:$A$701, NA()) ),
   "❌ MISSING CUSTOMER", "✅")</f>
        <v>✅</v>
      </c>
      <c r="K170" s="2" t="str">
        <f t="array" ref="K170">XLOOKUP(I170,customers_clean!$A$2:$A$701,customers_clean!$C$2:$C$701)</f>
        <v> Omar Khan</v>
      </c>
      <c r="L170" s="10" t="str">
        <f t="array" ref="L170">XLOOKUP(I170,customers_clean!$A$2:$A$701,customers_clean!$D$2:$D$701)</f>
        <v>Omar Khan</v>
      </c>
      <c r="M170" s="2" t="str">
        <f t="array" ref="M170">XLOOKUP(I170,customers_clean!$A$2:$A$701,customers_clean!$I$2:$I$701)</f>
        <v>Omar.Khan@Shop.Io</v>
      </c>
      <c r="N170" s="10" t="str">
        <f t="array" ref="N170">XLOOKUP(I170,customers_clean!$A$2:$A$701,customers_clean!$H$2:$H$701)</f>
        <v>omar.khan@shop.io</v>
      </c>
      <c r="O170" s="9" t="str">
        <f>IFERROR(__xludf.DUMMYFUNCTION("IF(REGEXMATCH(TRIM(N170),""^[A-Za-z0-9._%+-]+@[A-Za-z0-9.-]+\.[A-Za-z]{2,}$""),""✅ Valid"",""❌ Invalid"")"),"✅ Valid")</f>
        <v>✅ Valid</v>
      </c>
      <c r="P170" s="2" t="str">
        <f t="array" ref="P170">XLOOKUP(I170,customers_clean!$A$2:$A$701,customers_clean!$K$2:$K$701)</f>
        <v>+34 97 51 57 96</v>
      </c>
      <c r="Q170" s="10" t="str">
        <f t="array" ref="Q170">XLOOKUP(I170,customers_clean!$A$2:$A$701,customers_clean!$N$2:$N$701)</f>
        <v>97515796</v>
      </c>
      <c r="R170" s="9" t="str">
        <f t="array" ref="R170">XLOOKUP(I170,customers_clean!$A$2:$A$701,customers_clean!$Q$2:$Q$701)</f>
        <v>❌ INVALID</v>
      </c>
      <c r="S170" s="10" t="s">
        <v>88</v>
      </c>
      <c r="T170" s="2" t="s">
        <v>26</v>
      </c>
      <c r="U170" s="2" t="s">
        <v>522</v>
      </c>
      <c r="V170" s="2" t="s">
        <v>523</v>
      </c>
      <c r="W170" s="9" t="str">
        <f t="array" ref="W170">IF(ISNA(XLOOKUP(V170,products_master_corrected!$A$2:$A$151,products_master_corrected!$A$2:$A$151, NA())),
    "❌ MISSING SKU", "✅")</f>
        <v>✅</v>
      </c>
      <c r="X170" s="2" t="s">
        <v>524</v>
      </c>
      <c r="Y170" s="2" t="s">
        <v>368</v>
      </c>
      <c r="Z170" s="10" t="s">
        <v>368</v>
      </c>
      <c r="AA170" s="27">
        <v>2.0</v>
      </c>
      <c r="AB170" s="9" t="s">
        <v>8649</v>
      </c>
      <c r="AC170" s="28">
        <f t="array" ref="AC170">XLOOKUP(V170,products_master_corrected!$A$2:$A$151,products_master_corrected!$E$2:$E$151)</f>
        <v>199.49</v>
      </c>
      <c r="AD170" s="28">
        <f t="shared" si="21"/>
        <v>398.98</v>
      </c>
      <c r="AE170" s="28">
        <f t="array" ref="AE170">XLOOKUP(V170,products_master_corrected!$A$2:$A$151,products_master_corrected!$I$2:$I$151)</f>
        <v>219.92</v>
      </c>
      <c r="AF170" s="29">
        <f t="shared" si="22"/>
        <v>439.84</v>
      </c>
      <c r="AG170" s="32" t="s">
        <v>8660</v>
      </c>
      <c r="AH170" s="2" t="s">
        <v>526</v>
      </c>
      <c r="AI170" s="10" t="s">
        <v>49</v>
      </c>
      <c r="AJ170" s="2" t="s">
        <v>527</v>
      </c>
      <c r="AK170" s="10" t="s">
        <v>192</v>
      </c>
      <c r="AL170" s="2" t="s">
        <v>81</v>
      </c>
    </row>
    <row r="171" ht="15.75" customHeight="1">
      <c r="A171" s="2" t="s">
        <v>4349</v>
      </c>
      <c r="B171" s="12">
        <v>45879.0</v>
      </c>
      <c r="C171" s="2" t="str">
        <f>IFERROR(__xludf.DUMMYFUNCTION("IF(ISNUMBER(B171),TEXT(B171,""yyyy-MM-dd""),REGEXREPLACE(REGEXREPLACE(TO_TEXT(B171),""[^0-9a-zA-Z]+"",""-""),""[^0-9]*$"",""""))"),"2025-08-10")</f>
        <v>2025-08-10</v>
      </c>
      <c r="D171" s="2" t="s">
        <v>8736</v>
      </c>
      <c r="H171" s="10" t="s">
        <v>8736</v>
      </c>
      <c r="I171" s="2" t="s">
        <v>518</v>
      </c>
      <c r="J171" s="26" t="str">
        <f t="array" ref="J171">IF(ISNA(XLOOKUP(I171,customers_clean!$A$2:$A$701,customers_clean!$A$2:$A$701, NA()) ),
   "❌ MISSING CUSTOMER", "✅")</f>
        <v>✅</v>
      </c>
      <c r="K171" s="2" t="str">
        <f t="array" ref="K171">XLOOKUP(I171,customers_clean!$A$2:$A$701,customers_clean!$C$2:$C$701)</f>
        <v> Omar Khan</v>
      </c>
      <c r="L171" s="10" t="str">
        <f t="array" ref="L171">XLOOKUP(I171,customers_clean!$A$2:$A$701,customers_clean!$D$2:$D$701)</f>
        <v>Omar Khan</v>
      </c>
      <c r="M171" s="2" t="str">
        <f t="array" ref="M171">XLOOKUP(I171,customers_clean!$A$2:$A$701,customers_clean!$I$2:$I$701)</f>
        <v>Omar.Khan@Shop.Io</v>
      </c>
      <c r="N171" s="10" t="str">
        <f t="array" ref="N171">XLOOKUP(I171,customers_clean!$A$2:$A$701,customers_clean!$H$2:$H$701)</f>
        <v>omar.khan@shop.io</v>
      </c>
      <c r="O171" s="9" t="str">
        <f>IFERROR(__xludf.DUMMYFUNCTION("IF(REGEXMATCH(TRIM(N171),""^[A-Za-z0-9._%+-]+@[A-Za-z0-9.-]+\.[A-Za-z]{2,}$""),""✅ Valid"",""❌ Invalid"")"),"✅ Valid")</f>
        <v>✅ Valid</v>
      </c>
      <c r="P171" s="2" t="str">
        <f t="array" ref="P171">XLOOKUP(I171,customers_clean!$A$2:$A$701,customers_clean!$K$2:$K$701)</f>
        <v>+34 97 51 57 96</v>
      </c>
      <c r="Q171" s="10" t="str">
        <f t="array" ref="Q171">XLOOKUP(I171,customers_clean!$A$2:$A$701,customers_clean!$N$2:$N$701)</f>
        <v>97515796</v>
      </c>
      <c r="R171" s="9" t="str">
        <f t="array" ref="R171">XLOOKUP(I171,customers_clean!$A$2:$A$701,customers_clean!$Q$2:$Q$701)</f>
        <v>❌ INVALID</v>
      </c>
      <c r="S171" s="10" t="s">
        <v>88</v>
      </c>
      <c r="T171" s="2" t="s">
        <v>26</v>
      </c>
      <c r="U171" s="2" t="s">
        <v>103</v>
      </c>
      <c r="V171" s="2" t="s">
        <v>756</v>
      </c>
      <c r="W171" s="9" t="str">
        <f t="array" ref="W171">IF(ISNA(XLOOKUP(V171,products_master_corrected!$A$2:$A$151,products_master_corrected!$A$2:$A$151, NA())),
    "❌ MISSING SKU", "✅")</f>
        <v>✅</v>
      </c>
      <c r="X171" s="2" t="s">
        <v>8737</v>
      </c>
      <c r="Y171" s="2" t="s">
        <v>30</v>
      </c>
      <c r="Z171" s="10" t="s">
        <v>179</v>
      </c>
      <c r="AA171" s="27">
        <v>2.0</v>
      </c>
      <c r="AB171" s="9" t="s">
        <v>8649</v>
      </c>
      <c r="AC171" s="28">
        <f t="array" ref="AC171">XLOOKUP(V171,products_master_corrected!$A$2:$A$151,products_master_corrected!$E$2:$E$151)</f>
        <v>61.04</v>
      </c>
      <c r="AD171" s="28">
        <f t="shared" si="21"/>
        <v>122.08</v>
      </c>
      <c r="AE171" s="28">
        <f t="array" ref="AE171">XLOOKUP(V171,products_master_corrected!$A$2:$A$151,products_master_corrected!$I$2:$I$151)</f>
        <v>67.29</v>
      </c>
      <c r="AF171" s="29">
        <f t="shared" si="22"/>
        <v>134.58</v>
      </c>
      <c r="AG171" s="32" t="s">
        <v>8660</v>
      </c>
      <c r="AH171" s="2" t="s">
        <v>66</v>
      </c>
      <c r="AI171" s="10" t="s">
        <v>66</v>
      </c>
      <c r="AJ171" s="2" t="s">
        <v>1670</v>
      </c>
      <c r="AK171" s="10" t="s">
        <v>80</v>
      </c>
      <c r="AL171" s="2" t="s">
        <v>81</v>
      </c>
    </row>
    <row r="172" ht="15.75" customHeight="1">
      <c r="A172" s="2" t="s">
        <v>5089</v>
      </c>
      <c r="B172" s="12">
        <v>45434.0</v>
      </c>
      <c r="C172" s="2" t="str">
        <f>IFERROR(__xludf.DUMMYFUNCTION("IF(ISNUMBER(B172),TEXT(B172,""yyyy-MM-dd""),REGEXREPLACE(REGEXREPLACE(TO_TEXT(B172),""[^0-9a-zA-Z]+"",""-""),""[^0-9]*$"",""""))"),"2024-05-22")</f>
        <v>2024-05-22</v>
      </c>
      <c r="D172" s="2" t="s">
        <v>8738</v>
      </c>
      <c r="H172" s="10" t="s">
        <v>8738</v>
      </c>
      <c r="I172" s="2" t="s">
        <v>518</v>
      </c>
      <c r="J172" s="26" t="str">
        <f t="array" ref="J172">IF(ISNA(XLOOKUP(I172,customers_clean!$A$2:$A$701,customers_clean!$A$2:$A$701, NA()) ),
   "❌ MISSING CUSTOMER", "✅")</f>
        <v>✅</v>
      </c>
      <c r="K172" s="2" t="str">
        <f t="array" ref="K172">XLOOKUP(I172,customers_clean!$A$2:$A$701,customers_clean!$C$2:$C$701)</f>
        <v> Omar Khan</v>
      </c>
      <c r="L172" s="10" t="str">
        <f t="array" ref="L172">XLOOKUP(I172,customers_clean!$A$2:$A$701,customers_clean!$D$2:$D$701)</f>
        <v>Omar Khan</v>
      </c>
      <c r="M172" s="2" t="str">
        <f t="array" ref="M172">XLOOKUP(I172,customers_clean!$A$2:$A$701,customers_clean!$I$2:$I$701)</f>
        <v>Omar.Khan@Shop.Io</v>
      </c>
      <c r="N172" s="10" t="str">
        <f t="array" ref="N172">XLOOKUP(I172,customers_clean!$A$2:$A$701,customers_clean!$H$2:$H$701)</f>
        <v>omar.khan@shop.io</v>
      </c>
      <c r="O172" s="9" t="str">
        <f>IFERROR(__xludf.DUMMYFUNCTION("IF(REGEXMATCH(TRIM(N172),""^[A-Za-z0-9._%+-]+@[A-Za-z0-9.-]+\.[A-Za-z]{2,}$""),""✅ Valid"",""❌ Invalid"")"),"✅ Valid")</f>
        <v>✅ Valid</v>
      </c>
      <c r="P172" s="2" t="str">
        <f t="array" ref="P172">XLOOKUP(I172,customers_clean!$A$2:$A$701,customers_clean!$K$2:$K$701)</f>
        <v>+34 97 51 57 96</v>
      </c>
      <c r="Q172" s="10" t="str">
        <f t="array" ref="Q172">XLOOKUP(I172,customers_clean!$A$2:$A$701,customers_clean!$N$2:$N$701)</f>
        <v>97515796</v>
      </c>
      <c r="R172" s="9" t="str">
        <f t="array" ref="R172">XLOOKUP(I172,customers_clean!$A$2:$A$701,customers_clean!$Q$2:$Q$701)</f>
        <v>❌ INVALID</v>
      </c>
      <c r="S172" s="10" t="s">
        <v>88</v>
      </c>
      <c r="T172" s="2" t="s">
        <v>223</v>
      </c>
      <c r="U172" s="2" t="s">
        <v>103</v>
      </c>
      <c r="V172" s="2" t="s">
        <v>1632</v>
      </c>
      <c r="W172" s="9" t="str">
        <f t="array" ref="W172">IF(ISNA(XLOOKUP(V172,products_master_corrected!$A$2:$A$151,products_master_corrected!$A$2:$A$151, NA())),
    "❌ MISSING SKU", "✅")</f>
        <v>✅</v>
      </c>
      <c r="X172" s="2" t="s">
        <v>994</v>
      </c>
      <c r="Y172" s="2" t="s">
        <v>742</v>
      </c>
      <c r="Z172" s="10" t="s">
        <v>355</v>
      </c>
      <c r="AA172" s="27">
        <v>1.0</v>
      </c>
      <c r="AB172" s="9" t="s">
        <v>8649</v>
      </c>
      <c r="AC172" s="28">
        <f t="array" ref="AC172">XLOOKUP(V172,products_master_corrected!$A$2:$A$151,products_master_corrected!$E$2:$E$151)</f>
        <v>362.35</v>
      </c>
      <c r="AD172" s="28">
        <f t="shared" si="21"/>
        <v>362.35</v>
      </c>
      <c r="AE172" s="28">
        <f t="array" ref="AE172">XLOOKUP(V172,products_master_corrected!$A$2:$A$151,products_master_corrected!$I$2:$I$151)</f>
        <v>399.45</v>
      </c>
      <c r="AF172" s="29">
        <f t="shared" si="22"/>
        <v>399.45</v>
      </c>
      <c r="AG172" s="32" t="s">
        <v>8660</v>
      </c>
      <c r="AH172" s="2" t="s">
        <v>66</v>
      </c>
      <c r="AI172" s="10" t="s">
        <v>66</v>
      </c>
      <c r="AJ172" s="2" t="s">
        <v>50</v>
      </c>
      <c r="AK172" s="10" t="s">
        <v>261</v>
      </c>
    </row>
    <row r="173" ht="15.75" customHeight="1">
      <c r="A173" s="2" t="s">
        <v>2963</v>
      </c>
      <c r="B173" s="12" t="s">
        <v>2964</v>
      </c>
      <c r="C173" s="2" t="str">
        <f>IFERROR(__xludf.DUMMYFUNCTION("IF(ISNUMBER(B173),TEXT(B173,""yyyy-MM-dd""),REGEXREPLACE(REGEXREPLACE(TO_TEXT(B173),""[^0-9a-zA-Z]+"",""-""),""[^0-9]*$"",""""))"),"31-12-2024-13-23")</f>
        <v>31-12-2024-13-23</v>
      </c>
      <c r="D173" s="2" t="str">
        <f>TEXT(C173,"yyyy-MM-dd")</f>
        <v>31-12-2024-13-23</v>
      </c>
      <c r="E173" s="12" t="str">
        <f>IFERROR(__xludf.DUMMYFUNCTION("REGEXEXTRACT(D173,""^\d{2}-\d{2}-\d{4}"")"),"31-12-2024")</f>
        <v>31-12-2024</v>
      </c>
      <c r="F173" s="2" t="s">
        <v>7984</v>
      </c>
      <c r="H173" s="10" t="s">
        <v>7984</v>
      </c>
      <c r="I173" s="2" t="s">
        <v>2676</v>
      </c>
      <c r="J173" s="26" t="str">
        <f t="array" ref="J173">IF(ISNA(XLOOKUP(I173,customers_clean!$A$2:$A$701,customers_clean!$A$2:$A$701, NA()) ),
   "❌ MISSING CUSTOMER", "✅")</f>
        <v>✅</v>
      </c>
      <c r="K173" s="2" t="str">
        <f t="array" ref="K173">XLOOKUP(I173,customers_clean!$A$2:$A$701,customers_clean!$C$2:$C$701)</f>
        <v>VLAD WALKER</v>
      </c>
      <c r="L173" s="10" t="str">
        <f t="array" ref="L173">XLOOKUP(I173,customers_clean!$A$2:$A$701,customers_clean!$D$2:$D$701)</f>
        <v>Vlad Walker</v>
      </c>
      <c r="M173" s="2" t="str">
        <f t="array" ref="M173">XLOOKUP(I173,customers_clean!$A$2:$A$701,customers_clean!$I$2:$I$701)</f>
        <v>VLAD.WALKER@YAHOO.COM</v>
      </c>
      <c r="N173" s="10" t="str">
        <f t="array" ref="N173">XLOOKUP(I173,customers_clean!$A$2:$A$701,customers_clean!$H$2:$H$701)</f>
        <v>vlad.walker@yahoo.com</v>
      </c>
      <c r="O173" s="9" t="str">
        <f>IFERROR(__xludf.DUMMYFUNCTION("IF(REGEXMATCH(TRIM(N173),""^[A-Za-z0-9._%+-]+@[A-Za-z0-9.-]+\.[A-Za-z]{2,}$""),""✅ Valid"",""❌ Invalid"")"),"✅ Valid")</f>
        <v>✅ Valid</v>
      </c>
      <c r="P173" s="2">
        <f t="array" ref="P173">XLOOKUP(I173,customers_clean!$A$2:$A$701,customers_clean!$K$2:$K$701)</f>
        <v>35335874267</v>
      </c>
      <c r="Q173" s="10" t="str">
        <f t="array" ref="Q173">XLOOKUP(I173,customers_clean!$A$2:$A$701,customers_clean!$N$2:$N$701)</f>
        <v>35874267</v>
      </c>
      <c r="R173" s="9" t="str">
        <f t="array" ref="R173">XLOOKUP(I173,customers_clean!$A$2:$A$701,customers_clean!$Q$2:$Q$701)</f>
        <v>❌ INVALID</v>
      </c>
      <c r="S173" s="10" t="s">
        <v>58</v>
      </c>
      <c r="T173" s="2" t="s">
        <v>2965</v>
      </c>
      <c r="U173" s="2" t="s">
        <v>312</v>
      </c>
      <c r="V173" s="2" t="s">
        <v>1495</v>
      </c>
      <c r="W173" s="9" t="str">
        <f t="array" ref="W173">IF(ISNA(XLOOKUP(V173,products_master_corrected!$A$2:$A$151,products_master_corrected!$A$2:$A$151, NA())),
    "❌ MISSING SKU", "✅")</f>
        <v>✅</v>
      </c>
      <c r="X173" s="2" t="s">
        <v>1138</v>
      </c>
      <c r="Y173" s="2" t="s">
        <v>248</v>
      </c>
      <c r="Z173" s="10" t="s">
        <v>248</v>
      </c>
      <c r="AA173" s="27"/>
      <c r="AB173" s="9" t="s">
        <v>8677</v>
      </c>
      <c r="AC173" s="34"/>
      <c r="AD173" s="34"/>
      <c r="AE173" s="34"/>
      <c r="AF173" s="35"/>
      <c r="AG173" s="36" t="s">
        <v>95</v>
      </c>
      <c r="AH173" s="2" t="s">
        <v>143</v>
      </c>
      <c r="AI173" s="10" t="s">
        <v>143</v>
      </c>
      <c r="AJ173" s="2" t="s">
        <v>306</v>
      </c>
      <c r="AK173" s="10" t="s">
        <v>192</v>
      </c>
      <c r="AL173" s="2" t="s">
        <v>81</v>
      </c>
    </row>
    <row r="174" ht="15.75" customHeight="1">
      <c r="A174" s="2" t="s">
        <v>4866</v>
      </c>
      <c r="B174" s="12">
        <v>45730.0</v>
      </c>
      <c r="C174" s="2" t="str">
        <f>IFERROR(__xludf.DUMMYFUNCTION("IF(ISNUMBER(B174),TEXT(B174,""yyyy-MM-dd""),REGEXREPLACE(REGEXREPLACE(TO_TEXT(B174),""[^0-9a-zA-Z]+"",""-""),""[^0-9]*$"",""""))"),"2025-03-14")</f>
        <v>2025-03-14</v>
      </c>
      <c r="D174" s="2" t="s">
        <v>6978</v>
      </c>
      <c r="H174" s="10" t="s">
        <v>6978</v>
      </c>
      <c r="I174" s="2" t="s">
        <v>2676</v>
      </c>
      <c r="J174" s="26" t="str">
        <f t="array" ref="J174">IF(ISNA(XLOOKUP(I174,customers_clean!$A$2:$A$701,customers_clean!$A$2:$A$701, NA()) ),
   "❌ MISSING CUSTOMER", "✅")</f>
        <v>✅</v>
      </c>
      <c r="K174" s="2" t="str">
        <f t="array" ref="K174">XLOOKUP(I174,customers_clean!$A$2:$A$701,customers_clean!$C$2:$C$701)</f>
        <v>VLAD WALKER</v>
      </c>
      <c r="L174" s="10" t="str">
        <f t="array" ref="L174">XLOOKUP(I174,customers_clean!$A$2:$A$701,customers_clean!$D$2:$D$701)</f>
        <v>Vlad Walker</v>
      </c>
      <c r="M174" s="2" t="str">
        <f t="array" ref="M174">XLOOKUP(I174,customers_clean!$A$2:$A$701,customers_clean!$I$2:$I$701)</f>
        <v>VLAD.WALKER@YAHOO.COM</v>
      </c>
      <c r="N174" s="10" t="str">
        <f t="array" ref="N174">XLOOKUP(I174,customers_clean!$A$2:$A$701,customers_clean!$H$2:$H$701)</f>
        <v>vlad.walker@yahoo.com</v>
      </c>
      <c r="O174" s="9" t="str">
        <f>IFERROR(__xludf.DUMMYFUNCTION("IF(REGEXMATCH(TRIM(N174),""^[A-Za-z0-9._%+-]+@[A-Za-z0-9.-]+\.[A-Za-z]{2,}$""),""✅ Valid"",""❌ Invalid"")"),"✅ Valid")</f>
        <v>✅ Valid</v>
      </c>
      <c r="P174" s="2">
        <f t="array" ref="P174">XLOOKUP(I174,customers_clean!$A$2:$A$701,customers_clean!$K$2:$K$701)</f>
        <v>35335874267</v>
      </c>
      <c r="Q174" s="10" t="str">
        <f t="array" ref="Q174">XLOOKUP(I174,customers_clean!$A$2:$A$701,customers_clean!$N$2:$N$701)</f>
        <v>35874267</v>
      </c>
      <c r="R174" s="9" t="str">
        <f t="array" ref="R174">XLOOKUP(I174,customers_clean!$A$2:$A$701,customers_clean!$Q$2:$Q$701)</f>
        <v>❌ INVALID</v>
      </c>
      <c r="S174" s="10" t="s">
        <v>58</v>
      </c>
      <c r="T174" s="2" t="s">
        <v>1167</v>
      </c>
      <c r="U174" s="2" t="s">
        <v>43</v>
      </c>
      <c r="V174" s="2" t="s">
        <v>1432</v>
      </c>
      <c r="W174" s="9" t="str">
        <f t="array" ref="W174">IF(ISNA(XLOOKUP(V174,products_master_corrected!$A$2:$A$151,products_master_corrected!$A$2:$A$151, NA())),
    "❌ MISSING SKU", "✅")</f>
        <v>✅</v>
      </c>
      <c r="X174" s="2" t="s">
        <v>994</v>
      </c>
      <c r="Y174" s="2" t="s">
        <v>1328</v>
      </c>
      <c r="Z174" s="10" t="s">
        <v>179</v>
      </c>
      <c r="AA174" s="27">
        <v>3.0</v>
      </c>
      <c r="AB174" s="9" t="s">
        <v>8649</v>
      </c>
      <c r="AC174" s="28">
        <f t="array" ref="AC174">XLOOKUP(V174,products_master_corrected!$A$2:$A$151,products_master_corrected!$E$2:$E$151)</f>
        <v>513.1</v>
      </c>
      <c r="AD174" s="28">
        <f t="shared" ref="AD174:AD211" si="24">AA174*AC174</f>
        <v>1539.3</v>
      </c>
      <c r="AE174" s="28">
        <f t="array" ref="AE174">XLOOKUP(V174,products_master_corrected!$A$2:$A$151,products_master_corrected!$G$2:$G$151)</f>
        <v>587.4</v>
      </c>
      <c r="AF174" s="29">
        <f t="shared" ref="AF174:AF211" si="25">AA174*AE174</f>
        <v>1762.2</v>
      </c>
      <c r="AG174" s="32" t="s">
        <v>8663</v>
      </c>
      <c r="AH174" s="2" t="s">
        <v>66</v>
      </c>
      <c r="AI174" s="10" t="s">
        <v>66</v>
      </c>
      <c r="AJ174" s="2" t="s">
        <v>4869</v>
      </c>
      <c r="AK174" s="10" t="s">
        <v>192</v>
      </c>
      <c r="AL174" s="2" t="s">
        <v>81</v>
      </c>
    </row>
    <row r="175" ht="15.75" customHeight="1">
      <c r="A175" s="2" t="s">
        <v>2674</v>
      </c>
      <c r="B175" s="12">
        <v>45398.46875</v>
      </c>
      <c r="C175" s="2" t="str">
        <f>IFERROR(__xludf.DUMMYFUNCTION("IF(ISNUMBER(B175),TEXT(B175,""yyyy-MM-dd""),REGEXREPLACE(REGEXREPLACE(TO_TEXT(B175),""[^0-9a-zA-Z]+"",""-""),""[^0-9]*$"",""""))"),"2024-04-16")</f>
        <v>2024-04-16</v>
      </c>
      <c r="D175" s="2" t="s">
        <v>8730</v>
      </c>
      <c r="H175" s="10" t="s">
        <v>8730</v>
      </c>
      <c r="I175" s="2" t="s">
        <v>2676</v>
      </c>
      <c r="J175" s="26" t="str">
        <f t="array" ref="J175">IF(ISNA(XLOOKUP(I175,customers_clean!$A$2:$A$701,customers_clean!$A$2:$A$701, NA()) ),
   "❌ MISSING CUSTOMER", "✅")</f>
        <v>✅</v>
      </c>
      <c r="K175" s="2" t="str">
        <f t="array" ref="K175">XLOOKUP(I175,customers_clean!$A$2:$A$701,customers_clean!$C$2:$C$701)</f>
        <v>VLAD WALKER</v>
      </c>
      <c r="L175" s="10" t="str">
        <f t="array" ref="L175">XLOOKUP(I175,customers_clean!$A$2:$A$701,customers_clean!$D$2:$D$701)</f>
        <v>Vlad Walker</v>
      </c>
      <c r="M175" s="2" t="str">
        <f t="array" ref="M175">XLOOKUP(I175,customers_clean!$A$2:$A$701,customers_clean!$I$2:$I$701)</f>
        <v>VLAD.WALKER@YAHOO.COM</v>
      </c>
      <c r="N175" s="10" t="str">
        <f t="array" ref="N175">XLOOKUP(I175,customers_clean!$A$2:$A$701,customers_clean!$H$2:$H$701)</f>
        <v>vlad.walker@yahoo.com</v>
      </c>
      <c r="O175" s="9" t="str">
        <f>IFERROR(__xludf.DUMMYFUNCTION("IF(REGEXMATCH(TRIM(N175),""^[A-Za-z0-9._%+-]+@[A-Za-z0-9.-]+\.[A-Za-z]{2,}$""),""✅ Valid"",""❌ Invalid"")"),"✅ Valid")</f>
        <v>✅ Valid</v>
      </c>
      <c r="P175" s="2">
        <f t="array" ref="P175">XLOOKUP(I175,customers_clean!$A$2:$A$701,customers_clean!$K$2:$K$701)</f>
        <v>35335874267</v>
      </c>
      <c r="Q175" s="10" t="str">
        <f t="array" ref="Q175">XLOOKUP(I175,customers_clean!$A$2:$A$701,customers_clean!$N$2:$N$701)</f>
        <v>35874267</v>
      </c>
      <c r="R175" s="9" t="str">
        <f t="array" ref="R175">XLOOKUP(I175,customers_clean!$A$2:$A$701,customers_clean!$Q$2:$Q$701)</f>
        <v>❌ INVALID</v>
      </c>
      <c r="S175" s="10" t="s">
        <v>58</v>
      </c>
      <c r="T175" s="2" t="s">
        <v>152</v>
      </c>
      <c r="U175" s="2" t="s">
        <v>176</v>
      </c>
      <c r="V175" s="2" t="s">
        <v>2680</v>
      </c>
      <c r="W175" s="9" t="str">
        <f t="array" ref="W175">IF(ISNA(XLOOKUP(V175,products_master_corrected!$A$2:$A$151,products_master_corrected!$A$2:$A$151, NA())),
    "❌ MISSING SKU", "✅")</f>
        <v>✅</v>
      </c>
      <c r="X175" s="2" t="s">
        <v>303</v>
      </c>
      <c r="Y175" s="2" t="s">
        <v>2421</v>
      </c>
      <c r="Z175" s="10" t="s">
        <v>248</v>
      </c>
      <c r="AA175" s="27">
        <v>5.0</v>
      </c>
      <c r="AB175" s="9" t="s">
        <v>8649</v>
      </c>
      <c r="AC175" s="28">
        <f t="array" ref="AC175">XLOOKUP(V175,products_master_corrected!$A$2:$A$151,products_master_corrected!$E$2:$E$151)</f>
        <v>121.47</v>
      </c>
      <c r="AD175" s="28">
        <f t="shared" si="24"/>
        <v>607.35</v>
      </c>
      <c r="AE175" s="28">
        <f t="array" ref="AE175">XLOOKUP(V175,products_master_corrected!$A$2:$A$151,products_master_corrected!$G$2:$G$151)</f>
        <v>139.06</v>
      </c>
      <c r="AF175" s="29">
        <f t="shared" si="25"/>
        <v>695.3</v>
      </c>
      <c r="AG175" s="32" t="s">
        <v>8663</v>
      </c>
      <c r="AH175" s="2" t="s">
        <v>664</v>
      </c>
      <c r="AI175" s="10" t="s">
        <v>66</v>
      </c>
      <c r="AJ175" s="2" t="s">
        <v>294</v>
      </c>
      <c r="AK175" s="10" t="s">
        <v>80</v>
      </c>
      <c r="AL175" s="2" t="s">
        <v>51</v>
      </c>
    </row>
    <row r="176" ht="15.75" customHeight="1">
      <c r="A176" s="2" t="s">
        <v>5422</v>
      </c>
      <c r="B176" s="12">
        <v>45716.0</v>
      </c>
      <c r="C176" s="2" t="str">
        <f>IFERROR(__xludf.DUMMYFUNCTION("IF(ISNUMBER(B176),TEXT(B176,""yyyy-MM-dd""),REGEXREPLACE(REGEXREPLACE(TO_TEXT(B176),""[^0-9a-zA-Z]+"",""-""),""[^0-9]*$"",""""))"),"2025-02-28")</f>
        <v>2025-02-28</v>
      </c>
      <c r="D176" s="2" t="s">
        <v>171</v>
      </c>
      <c r="H176" s="10" t="s">
        <v>171</v>
      </c>
      <c r="I176" s="2" t="s">
        <v>4192</v>
      </c>
      <c r="J176" s="26" t="str">
        <f t="array" ref="J176">IF(ISNA(XLOOKUP(I176,customers_clean!$A$2:$A$701,customers_clean!$A$2:$A$701, NA()) ),
   "❌ MISSING CUSTOMER", "✅")</f>
        <v>✅</v>
      </c>
      <c r="K176" s="2" t="str">
        <f t="array" ref="K176">XLOOKUP(I176,customers_clean!$A$2:$A$701,customers_clean!$C$2:$C$701)</f>
        <v>Rita King</v>
      </c>
      <c r="L176" s="10" t="str">
        <f t="array" ref="L176">XLOOKUP(I176,customers_clean!$A$2:$A$701,customers_clean!$D$2:$D$701)</f>
        <v>Rita King</v>
      </c>
      <c r="M176" s="2" t="str">
        <f t="array" ref="M176">XLOOKUP(I176,customers_clean!$A$2:$A$701,customers_clean!$I$2:$I$701)</f>
        <v>rita.king@example.com</v>
      </c>
      <c r="N176" s="10" t="str">
        <f t="array" ref="N176">XLOOKUP(I176,customers_clean!$A$2:$A$701,customers_clean!$H$2:$H$701)</f>
        <v>rita.king@example.com</v>
      </c>
      <c r="O176" s="9" t="str">
        <f>IFERROR(__xludf.DUMMYFUNCTION("IF(REGEXMATCH(TRIM(N176),""^[A-Za-z0-9._%+-]+@[A-Za-z0-9.-]+\.[A-Za-z]{2,}$""),""✅ Valid"",""❌ Invalid"")"),"✅ Valid")</f>
        <v>✅ Valid</v>
      </c>
      <c r="P176" s="2" t="str">
        <f t="array" ref="P176">XLOOKUP(I176,customers_clean!$A$2:$A$701,customers_clean!$K$2:$K$701)</f>
        <v>+337705564 ext 398</v>
      </c>
      <c r="Q176" s="10" t="str">
        <f t="array" ref="Q176">XLOOKUP(I176,customers_clean!$A$2:$A$701,customers_clean!$N$2:$N$701)</f>
        <v>7705564</v>
      </c>
      <c r="R176" s="9" t="str">
        <f t="array" ref="R176">XLOOKUP(I176,customers_clean!$A$2:$A$701,customers_clean!$Q$2:$Q$701)</f>
        <v>❌ INVALID</v>
      </c>
      <c r="S176" s="10" t="s">
        <v>25</v>
      </c>
      <c r="T176" s="2" t="s">
        <v>210</v>
      </c>
      <c r="U176" s="2" t="s">
        <v>512</v>
      </c>
      <c r="V176" s="2" t="s">
        <v>154</v>
      </c>
      <c r="W176" s="9" t="str">
        <f t="array" ref="W176">IF(ISNA(XLOOKUP(V176,products_master_corrected!$A$2:$A$151,products_master_corrected!$A$2:$A$151, NA())),
    "❌ MISSING SKU", "✅")</f>
        <v>✅</v>
      </c>
      <c r="X176" s="2" t="s">
        <v>62</v>
      </c>
      <c r="Y176" s="2" t="s">
        <v>155</v>
      </c>
      <c r="Z176" s="10" t="s">
        <v>368</v>
      </c>
      <c r="AA176" s="27">
        <v>1.0</v>
      </c>
      <c r="AB176" s="9" t="s">
        <v>8649</v>
      </c>
      <c r="AC176" s="28">
        <f t="array" ref="AC176">XLOOKUP(V176,products_master_corrected!$A$2:$A$151,products_master_corrected!$E$2:$E$151)</f>
        <v>74.1</v>
      </c>
      <c r="AD176" s="28">
        <f t="shared" si="24"/>
        <v>74.1</v>
      </c>
      <c r="AE176" s="28">
        <f t="array" ref="AE176">XLOOKUP(V176,products_master_corrected!$A$2:$A$151,products_master_corrected!$K$2:$K$151)</f>
        <v>381.24</v>
      </c>
      <c r="AF176" s="29">
        <f t="shared" si="25"/>
        <v>381.24</v>
      </c>
      <c r="AG176" s="30" t="s">
        <v>95</v>
      </c>
      <c r="AH176" s="2" t="s">
        <v>49</v>
      </c>
      <c r="AI176" s="10" t="s">
        <v>49</v>
      </c>
      <c r="AJ176" s="2" t="s">
        <v>169</v>
      </c>
      <c r="AK176" s="10" t="s">
        <v>261</v>
      </c>
      <c r="AL176" s="2" t="s">
        <v>51</v>
      </c>
    </row>
    <row r="177" ht="15.75" customHeight="1">
      <c r="A177" s="2" t="s">
        <v>5969</v>
      </c>
      <c r="B177" s="12">
        <v>45692.0</v>
      </c>
      <c r="C177" s="2" t="str">
        <f>IFERROR(__xludf.DUMMYFUNCTION("IF(ISNUMBER(B177),TEXT(B177,""yyyy-MM-dd""),REGEXREPLACE(REGEXREPLACE(TO_TEXT(B177),""[^0-9a-zA-Z]+"",""-""),""[^0-9]*$"",""""))"),"2025-02-04")</f>
        <v>2025-02-04</v>
      </c>
      <c r="D177" s="2" t="s">
        <v>7825</v>
      </c>
      <c r="H177" s="10" t="s">
        <v>7825</v>
      </c>
      <c r="I177" s="2" t="s">
        <v>4192</v>
      </c>
      <c r="J177" s="26" t="str">
        <f t="array" ref="J177">IF(ISNA(XLOOKUP(I177,customers_clean!$A$2:$A$701,customers_clean!$A$2:$A$701, NA()) ),
   "❌ MISSING CUSTOMER", "✅")</f>
        <v>✅</v>
      </c>
      <c r="K177" s="2" t="str">
        <f t="array" ref="K177">XLOOKUP(I177,customers_clean!$A$2:$A$701,customers_clean!$C$2:$C$701)</f>
        <v>Rita King</v>
      </c>
      <c r="L177" s="10" t="str">
        <f t="array" ref="L177">XLOOKUP(I177,customers_clean!$A$2:$A$701,customers_clean!$D$2:$D$701)</f>
        <v>Rita King</v>
      </c>
      <c r="M177" s="2" t="str">
        <f t="array" ref="M177">XLOOKUP(I177,customers_clean!$A$2:$A$701,customers_clean!$I$2:$I$701)</f>
        <v>rita.king@example.com</v>
      </c>
      <c r="N177" s="10" t="str">
        <f t="array" ref="N177">XLOOKUP(I177,customers_clean!$A$2:$A$701,customers_clean!$H$2:$H$701)</f>
        <v>rita.king@example.com</v>
      </c>
      <c r="O177" s="9" t="str">
        <f>IFERROR(__xludf.DUMMYFUNCTION("IF(REGEXMATCH(TRIM(N177),""^[A-Za-z0-9._%+-]+@[A-Za-z0-9.-]+\.[A-Za-z]{2,}$""),""✅ Valid"",""❌ Invalid"")"),"✅ Valid")</f>
        <v>✅ Valid</v>
      </c>
      <c r="P177" s="2" t="str">
        <f t="array" ref="P177">XLOOKUP(I177,customers_clean!$A$2:$A$701,customers_clean!$K$2:$K$701)</f>
        <v>+337705564 ext 398</v>
      </c>
      <c r="Q177" s="10" t="str">
        <f t="array" ref="Q177">XLOOKUP(I177,customers_clean!$A$2:$A$701,customers_clean!$N$2:$N$701)</f>
        <v>7705564</v>
      </c>
      <c r="R177" s="9" t="str">
        <f t="array" ref="R177">XLOOKUP(I177,customers_clean!$A$2:$A$701,customers_clean!$Q$2:$Q$701)</f>
        <v>❌ INVALID</v>
      </c>
      <c r="S177" s="10" t="s">
        <v>25</v>
      </c>
      <c r="T177" s="2" t="s">
        <v>59</v>
      </c>
      <c r="U177" s="2" t="s">
        <v>480</v>
      </c>
      <c r="V177" s="2" t="s">
        <v>609</v>
      </c>
      <c r="W177" s="9" t="str">
        <f t="array" ref="W177">IF(ISNA(XLOOKUP(V177,products_master_corrected!$A$2:$A$151,products_master_corrected!$A$2:$A$151, NA())),
    "❌ MISSING SKU", "✅")</f>
        <v>✅</v>
      </c>
      <c r="X177" s="2" t="s">
        <v>259</v>
      </c>
      <c r="Y177" s="2" t="s">
        <v>610</v>
      </c>
      <c r="Z177" s="10" t="s">
        <v>179</v>
      </c>
      <c r="AA177" s="27">
        <v>5.0</v>
      </c>
      <c r="AB177" s="9" t="s">
        <v>8649</v>
      </c>
      <c r="AC177" s="28">
        <f t="array" ref="AC177">XLOOKUP(V177,products_master_corrected!$A$2:$A$151,products_master_corrected!$E$2:$E$151)</f>
        <v>32.41</v>
      </c>
      <c r="AD177" s="28">
        <f t="shared" si="24"/>
        <v>162.05</v>
      </c>
      <c r="AE177" s="28">
        <f t="array" ref="AE177">XLOOKUP(V177,products_master_corrected!$A$2:$A$151,products_master_corrected!$K$2:$K$151)</f>
        <v>166.75</v>
      </c>
      <c r="AF177" s="29">
        <f t="shared" si="25"/>
        <v>833.75</v>
      </c>
      <c r="AG177" s="30" t="s">
        <v>95</v>
      </c>
      <c r="AH177" s="2" t="s">
        <v>305</v>
      </c>
      <c r="AI177" s="10" t="s">
        <v>49</v>
      </c>
      <c r="AJ177" s="2" t="s">
        <v>80</v>
      </c>
      <c r="AK177" s="10" t="s">
        <v>80</v>
      </c>
      <c r="AL177" s="2" t="s">
        <v>51</v>
      </c>
    </row>
    <row r="178" ht="15.75" customHeight="1">
      <c r="A178" s="2" t="s">
        <v>4329</v>
      </c>
      <c r="B178" s="12" t="s">
        <v>4330</v>
      </c>
      <c r="C178" s="2" t="str">
        <f>IFERROR(__xludf.DUMMYFUNCTION("IF(ISNUMBER(B178),TEXT(B178,""yyyy-MM-dd""),REGEXREPLACE(REGEXREPLACE(TO_TEXT(B178),""[^0-9a-zA-Z]+"",""-""),""[^0-9]*$"",""""))"),"45597-17-06")</f>
        <v>45597-17-06</v>
      </c>
      <c r="D178" s="2" t="str">
        <f>TEXT(C178,"yyyy-MM-dd")</f>
        <v>45597-17-06</v>
      </c>
      <c r="E178" s="25" t="str">
        <f>CONCATENATE(LEFT(D178,5))</f>
        <v>45597</v>
      </c>
      <c r="F178" s="12">
        <f>DATE(1900,1,1) + E178 - 1</f>
        <v>45598</v>
      </c>
      <c r="G178" s="2" t="s">
        <v>8739</v>
      </c>
      <c r="H178" s="10" t="s">
        <v>8739</v>
      </c>
      <c r="I178" s="2" t="s">
        <v>4192</v>
      </c>
      <c r="J178" s="26" t="str">
        <f t="array" ref="J178">IF(ISNA(XLOOKUP(I178,customers_clean!$A$2:$A$701,customers_clean!$A$2:$A$701, NA()) ),
   "❌ MISSING CUSTOMER", "✅")</f>
        <v>✅</v>
      </c>
      <c r="K178" s="2" t="str">
        <f t="array" ref="K178">XLOOKUP(I178,customers_clean!$A$2:$A$701,customers_clean!$C$2:$C$701)</f>
        <v>Rita King</v>
      </c>
      <c r="L178" s="10" t="str">
        <f t="array" ref="L178">XLOOKUP(I178,customers_clean!$A$2:$A$701,customers_clean!$D$2:$D$701)</f>
        <v>Rita King</v>
      </c>
      <c r="M178" s="2" t="str">
        <f t="array" ref="M178">XLOOKUP(I178,customers_clean!$A$2:$A$701,customers_clean!$I$2:$I$701)</f>
        <v>rita.king@example.com</v>
      </c>
      <c r="N178" s="10" t="str">
        <f t="array" ref="N178">XLOOKUP(I178,customers_clean!$A$2:$A$701,customers_clean!$H$2:$H$701)</f>
        <v>rita.king@example.com</v>
      </c>
      <c r="O178" s="9" t="str">
        <f>IFERROR(__xludf.DUMMYFUNCTION("IF(REGEXMATCH(TRIM(N178),""^[A-Za-z0-9._%+-]+@[A-Za-z0-9.-]+\.[A-Za-z]{2,}$""),""✅ Valid"",""❌ Invalid"")"),"✅ Valid")</f>
        <v>✅ Valid</v>
      </c>
      <c r="P178" s="2" t="str">
        <f t="array" ref="P178">XLOOKUP(I178,customers_clean!$A$2:$A$701,customers_clean!$K$2:$K$701)</f>
        <v>+337705564 ext 398</v>
      </c>
      <c r="Q178" s="10" t="str">
        <f t="array" ref="Q178">XLOOKUP(I178,customers_clean!$A$2:$A$701,customers_clean!$N$2:$N$701)</f>
        <v>7705564</v>
      </c>
      <c r="R178" s="9" t="str">
        <f t="array" ref="R178">XLOOKUP(I178,customers_clean!$A$2:$A$701,customers_clean!$Q$2:$Q$701)</f>
        <v>❌ INVALID</v>
      </c>
      <c r="S178" s="10" t="s">
        <v>25</v>
      </c>
      <c r="T178" s="2" t="s">
        <v>301</v>
      </c>
      <c r="U178" s="2" t="s">
        <v>103</v>
      </c>
      <c r="V178" s="2" t="s">
        <v>1197</v>
      </c>
      <c r="W178" s="9" t="str">
        <f t="array" ref="W178">IF(ISNA(XLOOKUP(V178,products_master_corrected!$A$2:$A$151,products_master_corrected!$A$2:$A$151, NA())),
    "❌ MISSING SKU", "✅")</f>
        <v>✅</v>
      </c>
      <c r="X178" s="2" t="s">
        <v>1138</v>
      </c>
      <c r="Y178" s="2" t="s">
        <v>1199</v>
      </c>
      <c r="Z178" s="10" t="s">
        <v>179</v>
      </c>
      <c r="AA178" s="27">
        <v>5.0</v>
      </c>
      <c r="AB178" s="9" t="s">
        <v>8649</v>
      </c>
      <c r="AC178" s="28">
        <f t="array" ref="AC178">XLOOKUP(V178,products_master_corrected!$A$2:$A$151,products_master_corrected!$E$2:$E$151)</f>
        <v>80.95</v>
      </c>
      <c r="AD178" s="28">
        <f t="shared" si="24"/>
        <v>404.75</v>
      </c>
      <c r="AE178" s="28">
        <f t="array" ref="AE178">XLOOKUP(V178,products_master_corrected!$A$2:$A$151,products_master_corrected!$K$2:$K$151)</f>
        <v>416.49</v>
      </c>
      <c r="AF178" s="29">
        <f t="shared" si="25"/>
        <v>2082.45</v>
      </c>
      <c r="AG178" s="30" t="s">
        <v>95</v>
      </c>
      <c r="AH178" s="2" t="s">
        <v>143</v>
      </c>
      <c r="AI178" s="10" t="s">
        <v>143</v>
      </c>
      <c r="AJ178" s="2" t="s">
        <v>80</v>
      </c>
      <c r="AK178" s="10" t="s">
        <v>80</v>
      </c>
    </row>
    <row r="179" ht="15.75" customHeight="1">
      <c r="A179" s="2" t="s">
        <v>4190</v>
      </c>
      <c r="B179" s="12">
        <v>45652.759722222225</v>
      </c>
      <c r="C179" s="2" t="str">
        <f>IFERROR(__xludf.DUMMYFUNCTION("IF(ISNUMBER(B179),TEXT(B179,""yyyy-MM-dd""),REGEXREPLACE(REGEXREPLACE(TO_TEXT(B179),""[^0-9a-zA-Z]+"",""-""),""[^0-9]*$"",""""))"),"2024-12-26")</f>
        <v>2024-12-26</v>
      </c>
      <c r="D179" s="2" t="s">
        <v>7605</v>
      </c>
      <c r="H179" s="10" t="s">
        <v>7605</v>
      </c>
      <c r="I179" s="2" t="s">
        <v>4192</v>
      </c>
      <c r="J179" s="26" t="str">
        <f t="array" ref="J179">IF(ISNA(XLOOKUP(I179,customers_clean!$A$2:$A$701,customers_clean!$A$2:$A$701, NA()) ),
   "❌ MISSING CUSTOMER", "✅")</f>
        <v>✅</v>
      </c>
      <c r="K179" s="2" t="str">
        <f t="array" ref="K179">XLOOKUP(I179,customers_clean!$A$2:$A$701,customers_clean!$C$2:$C$701)</f>
        <v>Rita King</v>
      </c>
      <c r="L179" s="10" t="str">
        <f t="array" ref="L179">XLOOKUP(I179,customers_clean!$A$2:$A$701,customers_clean!$D$2:$D$701)</f>
        <v>Rita King</v>
      </c>
      <c r="M179" s="2" t="str">
        <f t="array" ref="M179">XLOOKUP(I179,customers_clean!$A$2:$A$701,customers_clean!$I$2:$I$701)</f>
        <v>rita.king@example.com</v>
      </c>
      <c r="N179" s="10" t="str">
        <f t="array" ref="N179">XLOOKUP(I179,customers_clean!$A$2:$A$701,customers_clean!$H$2:$H$701)</f>
        <v>rita.king@example.com</v>
      </c>
      <c r="O179" s="9" t="str">
        <f>IFERROR(__xludf.DUMMYFUNCTION("IF(REGEXMATCH(TRIM(N179),""^[A-Za-z0-9._%+-]+@[A-Za-z0-9.-]+\.[A-Za-z]{2,}$""),""✅ Valid"",""❌ Invalid"")"),"✅ Valid")</f>
        <v>✅ Valid</v>
      </c>
      <c r="P179" s="2" t="str">
        <f t="array" ref="P179">XLOOKUP(I179,customers_clean!$A$2:$A$701,customers_clean!$K$2:$K$701)</f>
        <v>+337705564 ext 398</v>
      </c>
      <c r="Q179" s="10" t="str">
        <f t="array" ref="Q179">XLOOKUP(I179,customers_clean!$A$2:$A$701,customers_clean!$N$2:$N$701)</f>
        <v>7705564</v>
      </c>
      <c r="R179" s="9" t="str">
        <f t="array" ref="R179">XLOOKUP(I179,customers_clean!$A$2:$A$701,customers_clean!$Q$2:$Q$701)</f>
        <v>❌ INVALID</v>
      </c>
      <c r="S179" s="10" t="s">
        <v>25</v>
      </c>
      <c r="T179" s="2" t="s">
        <v>59</v>
      </c>
      <c r="U179" s="2" t="s">
        <v>103</v>
      </c>
      <c r="V179" s="2" t="s">
        <v>1400</v>
      </c>
      <c r="W179" s="9" t="str">
        <f t="array" ref="W179">IF(ISNA(XLOOKUP(V179,products_master_corrected!$A$2:$A$151,products_master_corrected!$A$2:$A$151, NA())),
    "❌ MISSING SKU", "✅")</f>
        <v>✅</v>
      </c>
      <c r="X179" s="2" t="s">
        <v>524</v>
      </c>
      <c r="Y179" s="2" t="s">
        <v>1401</v>
      </c>
      <c r="Z179" s="10" t="s">
        <v>63</v>
      </c>
      <c r="AA179" s="27">
        <v>5.0</v>
      </c>
      <c r="AB179" s="9" t="s">
        <v>8649</v>
      </c>
      <c r="AC179" s="28">
        <f t="array" ref="AC179">XLOOKUP(V179,products_master_corrected!$A$2:$A$151,products_master_corrected!$E$2:$E$151)</f>
        <v>145.12</v>
      </c>
      <c r="AD179" s="28">
        <f t="shared" si="24"/>
        <v>725.6</v>
      </c>
      <c r="AE179" s="28">
        <f t="array" ref="AE179">XLOOKUP(V179,products_master_corrected!$A$2:$A$151,products_master_corrected!$K$2:$K$151)</f>
        <v>746.64</v>
      </c>
      <c r="AF179" s="29">
        <f t="shared" si="25"/>
        <v>3733.2</v>
      </c>
      <c r="AG179" s="30" t="s">
        <v>95</v>
      </c>
      <c r="AH179" s="2" t="s">
        <v>143</v>
      </c>
      <c r="AI179" s="10" t="s">
        <v>143</v>
      </c>
      <c r="AJ179" s="2" t="s">
        <v>380</v>
      </c>
      <c r="AK179" s="10" t="s">
        <v>80</v>
      </c>
    </row>
    <row r="180" ht="15.75" customHeight="1">
      <c r="A180" s="2" t="s">
        <v>2661</v>
      </c>
      <c r="B180" s="12">
        <v>45603.6875</v>
      </c>
      <c r="C180" s="2" t="str">
        <f>IFERROR(__xludf.DUMMYFUNCTION("IF(ISNUMBER(B180),TEXT(B180,""yyyy-MM-dd""),REGEXREPLACE(REGEXREPLACE(TO_TEXT(B180),""[^0-9a-zA-Z]+"",""-""),""[^0-9]*$"",""""))"),"2024-11-07")</f>
        <v>2024-11-07</v>
      </c>
      <c r="D180" s="2" t="s">
        <v>8740</v>
      </c>
      <c r="H180" s="10" t="s">
        <v>8740</v>
      </c>
      <c r="I180" s="2" t="s">
        <v>2663</v>
      </c>
      <c r="J180" s="26" t="str">
        <f t="array" ref="J180">IF(ISNA(XLOOKUP(I180,customers_clean!$A$2:$A$701,customers_clean!$A$2:$A$701, NA()) ),
   "❌ MISSING CUSTOMER", "✅")</f>
        <v>✅</v>
      </c>
      <c r="K180" s="2" t="str">
        <f t="array" ref="K180">XLOOKUP(I180,customers_clean!$A$2:$A$701,customers_clean!$C$2:$C$701)</f>
        <v>Adam  King</v>
      </c>
      <c r="L180" s="10" t="str">
        <f t="array" ref="L180">XLOOKUP(I180,customers_clean!$A$2:$A$701,customers_clean!$D$2:$D$701)</f>
        <v>Adam King</v>
      </c>
      <c r="M180" s="2" t="str">
        <f t="array" ref="M180">XLOOKUP(I180,customers_clean!$A$2:$A$701,customers_clean!$I$2:$I$701)</f>
        <v>adam.king@gmail.com</v>
      </c>
      <c r="N180" s="10" t="str">
        <f t="array" ref="N180">XLOOKUP(I180,customers_clean!$A$2:$A$701,customers_clean!$H$2:$H$701)</f>
        <v>adam.king@gmail.com</v>
      </c>
      <c r="O180" s="9" t="str">
        <f>IFERROR(__xludf.DUMMYFUNCTION("IF(REGEXMATCH(TRIM(N180),""^[A-Za-z0-9._%+-]+@[A-Za-z0-9.-]+\.[A-Za-z]{2,}$""),""✅ Valid"",""❌ Invalid"")"),"✅ Valid")</f>
        <v>✅ Valid</v>
      </c>
      <c r="P180" s="33" t="str">
        <f t="array" ref="P180">XLOOKUP(I180,customers_clean!$A$2:$A$701,customers_clean!$K$2:$K$701)</f>
        <v>+48+359024987</v>
      </c>
      <c r="Q180" s="10" t="str">
        <f t="array" ref="Q180">XLOOKUP(I180,customers_clean!$A$2:$A$701,customers_clean!$N$2:$N$701)</f>
        <v>359024987</v>
      </c>
      <c r="R180" s="9" t="str">
        <f t="array" ref="R180">XLOOKUP(I180,customers_clean!$A$2:$A$701,customers_clean!$Q$2:$Q$701)</f>
        <v>❌ INVALID</v>
      </c>
      <c r="S180" s="10" t="s">
        <v>88</v>
      </c>
      <c r="T180" s="2" t="s">
        <v>234</v>
      </c>
      <c r="U180" s="2" t="s">
        <v>522</v>
      </c>
      <c r="V180" s="2" t="s">
        <v>993</v>
      </c>
      <c r="W180" s="9" t="str">
        <f t="array" ref="W180">IF(ISNA(XLOOKUP(V180,products_master_corrected!$A$2:$A$151,products_master_corrected!$A$2:$A$151, NA())),
    "❌ MISSING SKU", "✅")</f>
        <v>✅</v>
      </c>
      <c r="X180" s="2" t="s">
        <v>994</v>
      </c>
      <c r="Y180" s="2" t="s">
        <v>995</v>
      </c>
      <c r="Z180" s="10" t="s">
        <v>355</v>
      </c>
      <c r="AA180" s="27">
        <v>2.0</v>
      </c>
      <c r="AB180" s="9" t="s">
        <v>8649</v>
      </c>
      <c r="AC180" s="28">
        <f t="array" ref="AC180">XLOOKUP(V180,products_master_corrected!$A$2:$A$151,products_master_corrected!$E$2:$E$151)</f>
        <v>566.38</v>
      </c>
      <c r="AD180" s="28">
        <f t="shared" si="24"/>
        <v>1132.76</v>
      </c>
      <c r="AE180" s="28">
        <f t="array" ref="AE180">XLOOKUP(V180,products_master_corrected!$A$2:$A$151,products_master_corrected!$I$2:$I$151)</f>
        <v>624.38</v>
      </c>
      <c r="AF180" s="29">
        <f t="shared" si="25"/>
        <v>1248.76</v>
      </c>
      <c r="AG180" s="32" t="s">
        <v>8660</v>
      </c>
      <c r="AH180" s="2" t="s">
        <v>573</v>
      </c>
      <c r="AI180" s="10" t="s">
        <v>66</v>
      </c>
      <c r="AJ180" s="2" t="s">
        <v>34</v>
      </c>
      <c r="AK180" s="10" t="s">
        <v>80</v>
      </c>
    </row>
    <row r="181" ht="15.75" customHeight="1">
      <c r="A181" s="2" t="s">
        <v>4384</v>
      </c>
      <c r="B181" s="12">
        <v>44948.0</v>
      </c>
      <c r="C181" s="2" t="str">
        <f>IFERROR(__xludf.DUMMYFUNCTION("IF(ISNUMBER(B181),TEXT(B181,""yyyy-MM-dd""),REGEXREPLACE(REGEXREPLACE(TO_TEXT(B181),""[^0-9a-zA-Z]+"",""-""),""[^0-9]*$"",""""))"),"2023-01-22")</f>
        <v>2023-01-22</v>
      </c>
      <c r="D181" s="2" t="s">
        <v>7668</v>
      </c>
      <c r="H181" s="10" t="s">
        <v>7668</v>
      </c>
      <c r="I181" s="2" t="s">
        <v>773</v>
      </c>
      <c r="J181" s="26" t="str">
        <f t="array" ref="J181">IF(ISNA(XLOOKUP(I181,customers_clean!$A$2:$A$701,customers_clean!$A$2:$A$701, NA()) ),
   "❌ MISSING CUSTOMER", "✅")</f>
        <v>✅</v>
      </c>
      <c r="K181" s="2" t="str">
        <f t="array" ref="K181">XLOOKUP(I181,customers_clean!$A$2:$A$701,customers_clean!$C$2:$C$701)</f>
        <v>Qi Johnson </v>
      </c>
      <c r="L181" s="10" t="str">
        <f t="array" ref="L181">XLOOKUP(I181,customers_clean!$A$2:$A$701,customers_clean!$D$2:$D$701)</f>
        <v>Qi Johnson</v>
      </c>
      <c r="M181" s="2" t="str">
        <f t="array" ref="M181">XLOOKUP(I181,customers_clean!$A$2:$A$701,customers_clean!$I$2:$I$701)</f>
        <v>qi.johnson@gmail.com</v>
      </c>
      <c r="N181" s="10" t="str">
        <f t="array" ref="N181">XLOOKUP(I181,customers_clean!$A$2:$A$701,customers_clean!$H$2:$H$701)</f>
        <v>qi.johnson@gmail.com</v>
      </c>
      <c r="O181" s="9" t="str">
        <f>IFERROR(__xludf.DUMMYFUNCTION("IF(REGEXMATCH(TRIM(N181),""^[A-Za-z0-9._%+-]+@[A-Za-z0-9.-]+\.[A-Za-z]{2,}$""),""✅ Valid"",""❌ Invalid"")"),"✅ Valid")</f>
        <v>✅ Valid</v>
      </c>
      <c r="P181" s="2" t="str">
        <f t="array" ref="P181">XLOOKUP(I181,customers_clean!$A$2:$A$701,customers_clean!$K$2:$K$701)</f>
        <v>+353 45-24-45-94-2</v>
      </c>
      <c r="Q181" s="10" t="str">
        <f t="array" ref="Q181">XLOOKUP(I181,customers_clean!$A$2:$A$701,customers_clean!$N$2:$N$701)</f>
        <v>452445942</v>
      </c>
      <c r="R181" s="9" t="str">
        <f t="array" ref="R181">XLOOKUP(I181,customers_clean!$A$2:$A$701,customers_clean!$Q$2:$Q$701)</f>
        <v>❌ INVALID</v>
      </c>
      <c r="S181" s="10" t="s">
        <v>25</v>
      </c>
      <c r="T181" s="2" t="s">
        <v>42</v>
      </c>
      <c r="U181" s="2" t="s">
        <v>176</v>
      </c>
      <c r="V181" s="2" t="s">
        <v>581</v>
      </c>
      <c r="W181" s="9" t="str">
        <f t="array" ref="W181">IF(ISNA(XLOOKUP(V181,products_master_corrected!$A$2:$A$151,products_master_corrected!$A$2:$A$151, NA())),
    "❌ MISSING SKU", "✅")</f>
        <v>✅</v>
      </c>
      <c r="X181" s="2" t="s">
        <v>280</v>
      </c>
      <c r="Y181" s="2" t="s">
        <v>582</v>
      </c>
      <c r="Z181" s="10" t="s">
        <v>63</v>
      </c>
      <c r="AA181" s="27">
        <v>1.0</v>
      </c>
      <c r="AB181" s="9" t="s">
        <v>8649</v>
      </c>
      <c r="AC181" s="28">
        <f t="array" ref="AC181">XLOOKUP(V181,products_master_corrected!$A$2:$A$151,products_master_corrected!$E$2:$E$151)</f>
        <v>120.1</v>
      </c>
      <c r="AD181" s="28">
        <f t="shared" si="24"/>
        <v>120.1</v>
      </c>
      <c r="AE181" s="28">
        <f t="array" ref="AE181">XLOOKUP(V181,products_master_corrected!$A$2:$A$151,products_master_corrected!$K$2:$K$151)</f>
        <v>617.91</v>
      </c>
      <c r="AF181" s="29">
        <f t="shared" si="25"/>
        <v>617.91</v>
      </c>
      <c r="AG181" s="30" t="s">
        <v>95</v>
      </c>
      <c r="AH181" s="2" t="s">
        <v>66</v>
      </c>
      <c r="AI181" s="10" t="s">
        <v>66</v>
      </c>
      <c r="AJ181" s="2" t="s">
        <v>251</v>
      </c>
      <c r="AK181" s="10" t="s">
        <v>192</v>
      </c>
      <c r="AL181" s="2" t="s">
        <v>51</v>
      </c>
    </row>
    <row r="182" ht="15.75" customHeight="1">
      <c r="A182" s="2" t="s">
        <v>3839</v>
      </c>
      <c r="B182" s="12" t="s">
        <v>3840</v>
      </c>
      <c r="C182" s="2" t="str">
        <f>IFERROR(__xludf.DUMMYFUNCTION("IF(ISNUMBER(B182),TEXT(B182,""yyyy-MM-dd""),REGEXREPLACE(REGEXREPLACE(TO_TEXT(B182),""[^0-9a-zA-Z]+"",""-""),""[^0-9]*$"",""""))"),"45815-21-57")</f>
        <v>45815-21-57</v>
      </c>
      <c r="D182" s="2" t="str">
        <f>TEXT(C182,"yyyy-MM-dd")</f>
        <v>45815-21-57</v>
      </c>
      <c r="E182" s="25" t="str">
        <f>CONCATENATE(LEFT(D182,5))</f>
        <v>45815</v>
      </c>
      <c r="F182" s="12">
        <f>DATE(1900,1,1) + E182 - 1</f>
        <v>45816</v>
      </c>
      <c r="G182" s="2" t="s">
        <v>733</v>
      </c>
      <c r="H182" s="10" t="s">
        <v>733</v>
      </c>
      <c r="I182" s="2" t="s">
        <v>773</v>
      </c>
      <c r="J182" s="26" t="str">
        <f t="array" ref="J182">IF(ISNA(XLOOKUP(I182,customers_clean!$A$2:$A$701,customers_clean!$A$2:$A$701, NA()) ),
   "❌ MISSING CUSTOMER", "✅")</f>
        <v>✅</v>
      </c>
      <c r="K182" s="2" t="str">
        <f t="array" ref="K182">XLOOKUP(I182,customers_clean!$A$2:$A$701,customers_clean!$C$2:$C$701)</f>
        <v>Qi Johnson </v>
      </c>
      <c r="L182" s="10" t="str">
        <f t="array" ref="L182">XLOOKUP(I182,customers_clean!$A$2:$A$701,customers_clean!$D$2:$D$701)</f>
        <v>Qi Johnson</v>
      </c>
      <c r="M182" s="2" t="str">
        <f t="array" ref="M182">XLOOKUP(I182,customers_clean!$A$2:$A$701,customers_clean!$I$2:$I$701)</f>
        <v>qi.johnson@gmail.com</v>
      </c>
      <c r="N182" s="10" t="str">
        <f t="array" ref="N182">XLOOKUP(I182,customers_clean!$A$2:$A$701,customers_clean!$H$2:$H$701)</f>
        <v>qi.johnson@gmail.com</v>
      </c>
      <c r="O182" s="9" t="str">
        <f>IFERROR(__xludf.DUMMYFUNCTION("IF(REGEXMATCH(TRIM(N182),""^[A-Za-z0-9._%+-]+@[A-Za-z0-9.-]+\.[A-Za-z]{2,}$""),""✅ Valid"",""❌ Invalid"")"),"✅ Valid")</f>
        <v>✅ Valid</v>
      </c>
      <c r="P182" s="2" t="str">
        <f t="array" ref="P182">XLOOKUP(I182,customers_clean!$A$2:$A$701,customers_clean!$K$2:$K$701)</f>
        <v>+353 45-24-45-94-2</v>
      </c>
      <c r="Q182" s="10" t="str">
        <f t="array" ref="Q182">XLOOKUP(I182,customers_clean!$A$2:$A$701,customers_clean!$N$2:$N$701)</f>
        <v>452445942</v>
      </c>
      <c r="R182" s="9" t="str">
        <f t="array" ref="R182">XLOOKUP(I182,customers_clean!$A$2:$A$701,customers_clean!$Q$2:$Q$701)</f>
        <v>❌ INVALID</v>
      </c>
      <c r="S182" s="10" t="s">
        <v>25</v>
      </c>
      <c r="T182" s="2" t="s">
        <v>42</v>
      </c>
      <c r="U182" s="2" t="s">
        <v>480</v>
      </c>
      <c r="V182" s="2" t="s">
        <v>3454</v>
      </c>
      <c r="W182" s="9" t="str">
        <f t="array" ref="W182">IF(ISNA(XLOOKUP(V182,products_master_corrected!$A$2:$A$151,products_master_corrected!$A$2:$A$151, NA())),
    "❌ MISSING SKU", "✅")</f>
        <v>✅</v>
      </c>
      <c r="X182" s="2" t="s">
        <v>524</v>
      </c>
      <c r="Y182" s="2" t="s">
        <v>179</v>
      </c>
      <c r="Z182" s="10" t="s">
        <v>179</v>
      </c>
      <c r="AA182" s="27">
        <v>1.0</v>
      </c>
      <c r="AB182" s="9" t="s">
        <v>8649</v>
      </c>
      <c r="AC182" s="28">
        <f t="array" ref="AC182">XLOOKUP(V182,products_master_corrected!$A$2:$A$151,products_master_corrected!$E$2:$E$151)</f>
        <v>270.01</v>
      </c>
      <c r="AD182" s="28">
        <f t="shared" si="24"/>
        <v>270.01</v>
      </c>
      <c r="AE182" s="28">
        <f t="array" ref="AE182">XLOOKUP(V182,products_master_corrected!$A$2:$A$151,products_master_corrected!$K$2:$K$151)</f>
        <v>1389.2</v>
      </c>
      <c r="AF182" s="29">
        <f t="shared" si="25"/>
        <v>1389.2</v>
      </c>
      <c r="AG182" s="30" t="s">
        <v>95</v>
      </c>
      <c r="AH182" s="2" t="s">
        <v>204</v>
      </c>
      <c r="AI182" s="10" t="s">
        <v>143</v>
      </c>
      <c r="AJ182" s="2" t="s">
        <v>169</v>
      </c>
      <c r="AK182" s="10" t="s">
        <v>261</v>
      </c>
    </row>
    <row r="183" ht="15.75" customHeight="1">
      <c r="A183" s="2" t="s">
        <v>771</v>
      </c>
      <c r="B183" s="12">
        <v>45420.0</v>
      </c>
      <c r="C183" s="2" t="str">
        <f>IFERROR(__xludf.DUMMYFUNCTION("IF(ISNUMBER(B183),TEXT(B183,""yyyy-MM-dd""),REGEXREPLACE(REGEXREPLACE(TO_TEXT(B183),""[^0-9a-zA-Z]+"",""-""),""[^0-9]*$"",""""))"),"2024-05-08")</f>
        <v>2024-05-08</v>
      </c>
      <c r="D183" s="2" t="s">
        <v>751</v>
      </c>
      <c r="H183" s="10" t="s">
        <v>751</v>
      </c>
      <c r="I183" s="2" t="s">
        <v>773</v>
      </c>
      <c r="J183" s="26" t="str">
        <f t="array" ref="J183">IF(ISNA(XLOOKUP(I183,customers_clean!$A$2:$A$701,customers_clean!$A$2:$A$701, NA()) ),
   "❌ MISSING CUSTOMER", "✅")</f>
        <v>✅</v>
      </c>
      <c r="K183" s="2" t="str">
        <f t="array" ref="K183">XLOOKUP(I183,customers_clean!$A$2:$A$701,customers_clean!$C$2:$C$701)</f>
        <v>Qi Johnson </v>
      </c>
      <c r="L183" s="10" t="str">
        <f t="array" ref="L183">XLOOKUP(I183,customers_clean!$A$2:$A$701,customers_clean!$D$2:$D$701)</f>
        <v>Qi Johnson</v>
      </c>
      <c r="M183" s="2" t="str">
        <f t="array" ref="M183">XLOOKUP(I183,customers_clean!$A$2:$A$701,customers_clean!$I$2:$I$701)</f>
        <v>qi.johnson@gmail.com</v>
      </c>
      <c r="N183" s="10" t="str">
        <f t="array" ref="N183">XLOOKUP(I183,customers_clean!$A$2:$A$701,customers_clean!$H$2:$H$701)</f>
        <v>qi.johnson@gmail.com</v>
      </c>
      <c r="O183" s="9" t="str">
        <f>IFERROR(__xludf.DUMMYFUNCTION("IF(REGEXMATCH(TRIM(N183),""^[A-Za-z0-9._%+-]+@[A-Za-z0-9.-]+\.[A-Za-z]{2,}$""),""✅ Valid"",""❌ Invalid"")"),"✅ Valid")</f>
        <v>✅ Valid</v>
      </c>
      <c r="P183" s="2" t="str">
        <f t="array" ref="P183">XLOOKUP(I183,customers_clean!$A$2:$A$701,customers_clean!$K$2:$K$701)</f>
        <v>+353 45-24-45-94-2</v>
      </c>
      <c r="Q183" s="10" t="str">
        <f t="array" ref="Q183">XLOOKUP(I183,customers_clean!$A$2:$A$701,customers_clean!$N$2:$N$701)</f>
        <v>452445942</v>
      </c>
      <c r="R183" s="9" t="str">
        <f t="array" ref="R183">XLOOKUP(I183,customers_clean!$A$2:$A$701,customers_clean!$Q$2:$Q$701)</f>
        <v>❌ INVALID</v>
      </c>
      <c r="S183" s="10" t="s">
        <v>25</v>
      </c>
      <c r="T183" s="2" t="s">
        <v>778</v>
      </c>
      <c r="U183" s="2" t="s">
        <v>103</v>
      </c>
      <c r="V183" s="2" t="s">
        <v>643</v>
      </c>
      <c r="W183" s="9" t="str">
        <f t="array" ref="W183">IF(ISNA(XLOOKUP(V183,products_master_corrected!$A$2:$A$151,products_master_corrected!$A$2:$A$151, NA())),
    "❌ MISSING SKU", "✅")</f>
        <v>✅</v>
      </c>
      <c r="X183" s="2" t="s">
        <v>1147</v>
      </c>
      <c r="Y183" s="2" t="s">
        <v>368</v>
      </c>
      <c r="Z183" s="10" t="s">
        <v>368</v>
      </c>
      <c r="AA183" s="27">
        <v>2.0</v>
      </c>
      <c r="AB183" s="9" t="s">
        <v>8649</v>
      </c>
      <c r="AC183" s="28">
        <f t="array" ref="AC183">XLOOKUP(V183,products_master_corrected!$A$2:$A$151,products_master_corrected!$E$2:$E$151)</f>
        <v>62.12</v>
      </c>
      <c r="AD183" s="28">
        <f t="shared" si="24"/>
        <v>124.24</v>
      </c>
      <c r="AE183" s="28">
        <f t="array" ref="AE183">XLOOKUP(V183,products_master_corrected!$A$2:$A$151,products_master_corrected!$K$2:$K$151)</f>
        <v>319.61</v>
      </c>
      <c r="AF183" s="29">
        <f t="shared" si="25"/>
        <v>639.22</v>
      </c>
      <c r="AG183" s="30" t="s">
        <v>95</v>
      </c>
      <c r="AH183" s="2" t="s">
        <v>238</v>
      </c>
      <c r="AI183" s="10" t="s">
        <v>66</v>
      </c>
      <c r="AJ183" s="2" t="s">
        <v>380</v>
      </c>
      <c r="AK183" s="10" t="s">
        <v>80</v>
      </c>
      <c r="AL183" s="2" t="s">
        <v>67</v>
      </c>
    </row>
    <row r="184" ht="15.75" customHeight="1">
      <c r="A184" s="2" t="s">
        <v>5609</v>
      </c>
      <c r="B184" s="12">
        <v>45429.0</v>
      </c>
      <c r="C184" s="2" t="str">
        <f>IFERROR(__xludf.DUMMYFUNCTION("IF(ISNUMBER(B184),TEXT(B184,""yyyy-MM-dd""),REGEXREPLACE(REGEXREPLACE(TO_TEXT(B184),""[^0-9a-zA-Z]+"",""-""),""[^0-9]*$"",""""))"),"2024-05-17")</f>
        <v>2024-05-17</v>
      </c>
      <c r="D184" s="2" t="s">
        <v>8741</v>
      </c>
      <c r="H184" s="10" t="s">
        <v>8741</v>
      </c>
      <c r="I184" s="2" t="s">
        <v>615</v>
      </c>
      <c r="J184" s="26" t="str">
        <f t="array" ref="J184">IF(ISNA(XLOOKUP(I184,customers_clean!$A$2:$A$701,customers_clean!$A$2:$A$701, NA()) ),
   "❌ MISSING CUSTOMER", "✅")</f>
        <v>✅</v>
      </c>
      <c r="K184" s="2" t="str">
        <f t="array" ref="K184">XLOOKUP(I184,customers_clean!$A$2:$A$701,customers_clean!$C$2:$C$701)</f>
        <v>Sam Garcia</v>
      </c>
      <c r="L184" s="10" t="str">
        <f t="array" ref="L184">XLOOKUP(I184,customers_clean!$A$2:$A$701,customers_clean!$D$2:$D$701)</f>
        <v>Sam Garcia</v>
      </c>
      <c r="M184" s="2" t="str">
        <f t="array" ref="M184">XLOOKUP(I184,customers_clean!$A$2:$A$701,customers_clean!$I$2:$I$701)</f>
        <v>sam.garcia@yahoo.com </v>
      </c>
      <c r="N184" s="10" t="str">
        <f t="array" ref="N184">XLOOKUP(I184,customers_clean!$A$2:$A$701,customers_clean!$H$2:$H$701)</f>
        <v>sam.garcia@yahoo.com</v>
      </c>
      <c r="O184" s="9" t="str">
        <f>IFERROR(__xludf.DUMMYFUNCTION("IF(REGEXMATCH(TRIM(N184),""^[A-Za-z0-9._%+-]+@[A-Za-z0-9.-]+\.[A-Za-z]{2,}$""),""✅ Valid"",""❌ Invalid"")"),"✅ Valid")</f>
        <v>✅ Valid</v>
      </c>
      <c r="P184" s="2" t="str">
        <f t="array" ref="P184">XLOOKUP(I184,customers_clean!$A$2:$A$701,customers_clean!$K$2:$K$701)</f>
        <v>+34+58968577</v>
      </c>
      <c r="Q184" s="10" t="str">
        <f t="array" ref="Q184">XLOOKUP(I184,customers_clean!$A$2:$A$701,customers_clean!$N$2:$N$701)</f>
        <v>58968577</v>
      </c>
      <c r="R184" s="9" t="str">
        <f t="array" ref="R184">XLOOKUP(I184,customers_clean!$A$2:$A$701,customers_clean!$Q$2:$Q$701)</f>
        <v>❌ INVALID</v>
      </c>
      <c r="S184" s="10" t="s">
        <v>114</v>
      </c>
      <c r="T184" s="2" t="s">
        <v>115</v>
      </c>
      <c r="U184" s="2" t="s">
        <v>103</v>
      </c>
      <c r="V184" s="2" t="s">
        <v>635</v>
      </c>
      <c r="W184" s="9" t="str">
        <f t="array" ref="W184">IF(ISNA(XLOOKUP(V184,products_master_corrected!$A$2:$A$151,products_master_corrected!$A$2:$A$151, NA())),
    "❌ MISSING SKU", "✅")</f>
        <v>✅</v>
      </c>
      <c r="X184" s="2" t="s">
        <v>636</v>
      </c>
      <c r="Y184" s="2" t="s">
        <v>637</v>
      </c>
      <c r="Z184" s="10" t="s">
        <v>514</v>
      </c>
      <c r="AA184" s="27">
        <v>1.0</v>
      </c>
      <c r="AB184" s="9" t="s">
        <v>8649</v>
      </c>
      <c r="AC184" s="28">
        <f t="array" ref="AC184">XLOOKUP(V184,products_master_corrected!$A$2:$A$151,products_master_corrected!$E$2:$E$151)</f>
        <v>30.93</v>
      </c>
      <c r="AD184" s="28">
        <f t="shared" si="24"/>
        <v>30.93</v>
      </c>
      <c r="AE184" s="28">
        <f t="array" ref="AE184">XLOOKUP(V184,products_master_corrected!$A$2:$A$151,products_master_corrected!$F$2:$F$151)</f>
        <v>30.93</v>
      </c>
      <c r="AF184" s="29">
        <f t="shared" si="25"/>
        <v>30.93</v>
      </c>
      <c r="AG184" s="30" t="s">
        <v>65</v>
      </c>
      <c r="AH184" s="2" t="s">
        <v>526</v>
      </c>
      <c r="AI184" s="10" t="s">
        <v>49</v>
      </c>
      <c r="AJ184" s="2" t="s">
        <v>120</v>
      </c>
      <c r="AK184" s="10" t="s">
        <v>818</v>
      </c>
      <c r="AL184" s="2" t="s">
        <v>51</v>
      </c>
    </row>
    <row r="185" ht="15.75" customHeight="1">
      <c r="A185" s="2" t="s">
        <v>613</v>
      </c>
      <c r="B185" s="12">
        <v>45460.0</v>
      </c>
      <c r="C185" s="2" t="str">
        <f>IFERROR(__xludf.DUMMYFUNCTION("IF(ISNUMBER(B185),TEXT(B185,""yyyy-MM-dd""),REGEXREPLACE(REGEXREPLACE(TO_TEXT(B185),""[^0-9a-zA-Z]+"",""-""),""[^0-9]*$"",""""))"),"2024-06-17")</f>
        <v>2024-06-17</v>
      </c>
      <c r="D185" s="2" t="s">
        <v>8162</v>
      </c>
      <c r="H185" s="10" t="s">
        <v>8162</v>
      </c>
      <c r="I185" s="2" t="s">
        <v>615</v>
      </c>
      <c r="J185" s="26" t="str">
        <f t="array" ref="J185">IF(ISNA(XLOOKUP(I185,customers_clean!$A$2:$A$701,customers_clean!$A$2:$A$701, NA()) ),
   "❌ MISSING CUSTOMER", "✅")</f>
        <v>✅</v>
      </c>
      <c r="K185" s="2" t="str">
        <f t="array" ref="K185">XLOOKUP(I185,customers_clean!$A$2:$A$701,customers_clean!$C$2:$C$701)</f>
        <v>Sam Garcia</v>
      </c>
      <c r="L185" s="10" t="str">
        <f t="array" ref="L185">XLOOKUP(I185,customers_clean!$A$2:$A$701,customers_clean!$D$2:$D$701)</f>
        <v>Sam Garcia</v>
      </c>
      <c r="M185" s="2" t="str">
        <f t="array" ref="M185">XLOOKUP(I185,customers_clean!$A$2:$A$701,customers_clean!$I$2:$I$701)</f>
        <v>sam.garcia@yahoo.com </v>
      </c>
      <c r="N185" s="10" t="str">
        <f t="array" ref="N185">XLOOKUP(I185,customers_clean!$A$2:$A$701,customers_clean!$H$2:$H$701)</f>
        <v>sam.garcia@yahoo.com</v>
      </c>
      <c r="O185" s="9" t="str">
        <f>IFERROR(__xludf.DUMMYFUNCTION("IF(REGEXMATCH(TRIM(N185),""^[A-Za-z0-9._%+-]+@[A-Za-z0-9.-]+\.[A-Za-z]{2,}$""),""✅ Valid"",""❌ Invalid"")"),"✅ Valid")</f>
        <v>✅ Valid</v>
      </c>
      <c r="P185" s="2" t="str">
        <f t="array" ref="P185">XLOOKUP(I185,customers_clean!$A$2:$A$701,customers_clean!$K$2:$K$701)</f>
        <v>+34+58968577</v>
      </c>
      <c r="Q185" s="10" t="str">
        <f t="array" ref="Q185">XLOOKUP(I185,customers_clean!$A$2:$A$701,customers_clean!$N$2:$N$701)</f>
        <v>58968577</v>
      </c>
      <c r="R185" s="9" t="str">
        <f t="array" ref="R185">XLOOKUP(I185,customers_clean!$A$2:$A$701,customers_clean!$Q$2:$Q$701)</f>
        <v>❌ INVALID</v>
      </c>
      <c r="S185" s="10" t="s">
        <v>114</v>
      </c>
      <c r="T185" s="2" t="s">
        <v>26</v>
      </c>
      <c r="U185" s="2" t="s">
        <v>312</v>
      </c>
      <c r="V185" s="2" t="s">
        <v>619</v>
      </c>
      <c r="W185" s="9" t="str">
        <f t="array" ref="W185">IF(ISNA(XLOOKUP(V185,products_master_corrected!$A$2:$A$151,products_master_corrected!$A$2:$A$151, NA())),
    "❌ MISSING SKU", "✅")</f>
        <v>✅</v>
      </c>
      <c r="X185" s="2" t="s">
        <v>620</v>
      </c>
      <c r="Y185" s="2" t="s">
        <v>292</v>
      </c>
      <c r="Z185" s="10" t="s">
        <v>63</v>
      </c>
      <c r="AA185" s="27">
        <v>1.0</v>
      </c>
      <c r="AB185" s="9" t="s">
        <v>8649</v>
      </c>
      <c r="AC185" s="28">
        <f t="array" ref="AC185">XLOOKUP(V185,products_master_corrected!$A$2:$A$151,products_master_corrected!$E$2:$E$151)</f>
        <v>26.03</v>
      </c>
      <c r="AD185" s="28">
        <f t="shared" si="24"/>
        <v>26.03</v>
      </c>
      <c r="AE185" s="28">
        <f t="array" ref="AE185">XLOOKUP(V185,products_master_corrected!$A$2:$A$151,products_master_corrected!$F$2:$F$151)</f>
        <v>26.03</v>
      </c>
      <c r="AF185" s="29">
        <f t="shared" si="25"/>
        <v>26.03</v>
      </c>
      <c r="AG185" s="30" t="s">
        <v>65</v>
      </c>
      <c r="AH185" s="2" t="s">
        <v>33</v>
      </c>
      <c r="AI185" s="10" t="s">
        <v>181</v>
      </c>
      <c r="AJ185" s="2" t="s">
        <v>294</v>
      </c>
      <c r="AK185" s="10" t="s">
        <v>80</v>
      </c>
      <c r="AL185" s="2" t="s">
        <v>67</v>
      </c>
    </row>
    <row r="186" ht="15.75" customHeight="1">
      <c r="A186" s="2" t="s">
        <v>2191</v>
      </c>
      <c r="B186" s="12">
        <v>45484.93819444445</v>
      </c>
      <c r="C186" s="2" t="str">
        <f>IFERROR(__xludf.DUMMYFUNCTION("IF(ISNUMBER(B186),TEXT(B186,""yyyy-MM-dd""),REGEXREPLACE(REGEXREPLACE(TO_TEXT(B186),""[^0-9a-zA-Z]+"",""-""),""[^0-9]*$"",""""))"),"2024-07-11")</f>
        <v>2024-07-11</v>
      </c>
      <c r="D186" s="2" t="s">
        <v>8742</v>
      </c>
      <c r="H186" s="10" t="s">
        <v>8742</v>
      </c>
      <c r="I186" s="2" t="s">
        <v>2193</v>
      </c>
      <c r="J186" s="26" t="str">
        <f t="array" ref="J186">IF(ISNA(XLOOKUP(I186,customers_clean!$A$2:$A$701,customers_clean!$A$2:$A$701, NA()) ),
   "❌ MISSING CUSTOMER", "✅")</f>
        <v>✅</v>
      </c>
      <c r="K186" s="2" t="str">
        <f t="array" ref="K186">XLOOKUP(I186,customers_clean!$A$2:$A$701,customers_clean!$C$2:$C$701)</f>
        <v>Gabe Johnson</v>
      </c>
      <c r="L186" s="10" t="str">
        <f t="array" ref="L186">XLOOKUP(I186,customers_clean!$A$2:$A$701,customers_clean!$D$2:$D$701)</f>
        <v>Gabe Johnson</v>
      </c>
      <c r="M186" s="2" t="str">
        <f t="array" ref="M186">XLOOKUP(I186,customers_clean!$A$2:$A$701,customers_clean!$I$2:$I$701)</f>
        <v>gabe.johnson@yahoo.com</v>
      </c>
      <c r="N186" s="10" t="str">
        <f t="array" ref="N186">XLOOKUP(I186,customers_clean!$A$2:$A$701,customers_clean!$H$2:$H$701)</f>
        <v>gabe.johnson@yahoo.com</v>
      </c>
      <c r="O186" s="9" t="str">
        <f>IFERROR(__xludf.DUMMYFUNCTION("IF(REGEXMATCH(TRIM(N186),""^[A-Za-z0-9._%+-]+@[A-Za-z0-9.-]+\.[A-Za-z]{2,}$""),""✅ Valid"",""❌ Invalid"")"),"✅ Valid")</f>
        <v>✅ Valid</v>
      </c>
      <c r="P186" s="2" t="str">
        <f t="array" ref="P186">XLOOKUP(I186,customers_clean!$A$2:$A$701,customers_clean!$K$2:$K$701)</f>
        <v>+442119953363</v>
      </c>
      <c r="Q186" s="10" t="str">
        <f t="array" ref="Q186">XLOOKUP(I186,customers_clean!$A$2:$A$701,customers_clean!$N$2:$N$701)</f>
        <v>2119953363</v>
      </c>
      <c r="R186" s="9" t="str">
        <f t="array" ref="R186">XLOOKUP(I186,customers_clean!$A$2:$A$701,customers_clean!$Q$2:$Q$701)</f>
        <v>❌ INVALID</v>
      </c>
      <c r="S186" s="10" t="s">
        <v>448</v>
      </c>
      <c r="T186" s="2" t="s">
        <v>223</v>
      </c>
      <c r="U186" s="2" t="s">
        <v>522</v>
      </c>
      <c r="V186" s="2" t="s">
        <v>258</v>
      </c>
      <c r="W186" s="9" t="str">
        <f t="array" ref="W186">IF(ISNA(XLOOKUP(V186,products_master_corrected!$A$2:$A$151,products_master_corrected!$A$2:$A$151, NA())),
    "❌ MISSING SKU", "✅")</f>
        <v>✅</v>
      </c>
      <c r="X186" s="2" t="s">
        <v>259</v>
      </c>
      <c r="Y186" s="2" t="s">
        <v>214</v>
      </c>
      <c r="Z186" s="10" t="s">
        <v>368</v>
      </c>
      <c r="AA186" s="27">
        <v>1.0</v>
      </c>
      <c r="AB186" s="9" t="s">
        <v>8649</v>
      </c>
      <c r="AC186" s="28">
        <f t="array" ref="AC186">XLOOKUP(V186,products_master_corrected!$A$2:$A$151,products_master_corrected!$E$2:$E$151)</f>
        <v>15.73</v>
      </c>
      <c r="AD186" s="28">
        <f t="shared" si="24"/>
        <v>15.73</v>
      </c>
      <c r="AE186" s="28">
        <f t="array" ref="AE186">XLOOKUP(V186,products_master_corrected!$A$2:$A$151,products_master_corrected!$M$2:$M$151)</f>
        <v>19.03</v>
      </c>
      <c r="AF186" s="29">
        <f t="shared" si="25"/>
        <v>19.03</v>
      </c>
      <c r="AG186" s="30" t="s">
        <v>48</v>
      </c>
      <c r="AH186" s="2" t="s">
        <v>664</v>
      </c>
      <c r="AI186" s="10" t="s">
        <v>66</v>
      </c>
      <c r="AJ186" s="2" t="s">
        <v>169</v>
      </c>
      <c r="AK186" s="10" t="s">
        <v>261</v>
      </c>
      <c r="AL186" s="2" t="s">
        <v>51</v>
      </c>
    </row>
    <row r="187" ht="15.75" customHeight="1">
      <c r="A187" s="2" t="s">
        <v>3873</v>
      </c>
      <c r="B187" s="12">
        <v>45614.0</v>
      </c>
      <c r="C187" s="2" t="str">
        <f>IFERROR(__xludf.DUMMYFUNCTION("IF(ISNUMBER(B187),TEXT(B187,""yyyy-MM-dd""),REGEXREPLACE(REGEXREPLACE(TO_TEXT(B187),""[^0-9a-zA-Z]+"",""-""),""[^0-9]*$"",""""))"),"2024-11-18")</f>
        <v>2024-11-18</v>
      </c>
      <c r="D187" s="2" t="s">
        <v>8743</v>
      </c>
      <c r="H187" s="10" t="s">
        <v>8743</v>
      </c>
      <c r="I187" s="2" t="s">
        <v>2193</v>
      </c>
      <c r="J187" s="26" t="str">
        <f t="array" ref="J187">IF(ISNA(XLOOKUP(I187,customers_clean!$A$2:$A$701,customers_clean!$A$2:$A$701, NA()) ),
   "❌ MISSING CUSTOMER", "✅")</f>
        <v>✅</v>
      </c>
      <c r="K187" s="2" t="str">
        <f t="array" ref="K187">XLOOKUP(I187,customers_clean!$A$2:$A$701,customers_clean!$C$2:$C$701)</f>
        <v>Gabe Johnson</v>
      </c>
      <c r="L187" s="10" t="str">
        <f t="array" ref="L187">XLOOKUP(I187,customers_clean!$A$2:$A$701,customers_clean!$D$2:$D$701)</f>
        <v>Gabe Johnson</v>
      </c>
      <c r="M187" s="2" t="str">
        <f t="array" ref="M187">XLOOKUP(I187,customers_clean!$A$2:$A$701,customers_clean!$I$2:$I$701)</f>
        <v>gabe.johnson@yahoo.com</v>
      </c>
      <c r="N187" s="10" t="str">
        <f t="array" ref="N187">XLOOKUP(I187,customers_clean!$A$2:$A$701,customers_clean!$H$2:$H$701)</f>
        <v>gabe.johnson@yahoo.com</v>
      </c>
      <c r="O187" s="9" t="str">
        <f>IFERROR(__xludf.DUMMYFUNCTION("IF(REGEXMATCH(TRIM(N187),""^[A-Za-z0-9._%+-]+@[A-Za-z0-9.-]+\.[A-Za-z]{2,}$""),""✅ Valid"",""❌ Invalid"")"),"✅ Valid")</f>
        <v>✅ Valid</v>
      </c>
      <c r="P187" s="2" t="str">
        <f t="array" ref="P187">XLOOKUP(I187,customers_clean!$A$2:$A$701,customers_clean!$K$2:$K$701)</f>
        <v>+442119953363</v>
      </c>
      <c r="Q187" s="10" t="str">
        <f t="array" ref="Q187">XLOOKUP(I187,customers_clean!$A$2:$A$701,customers_clean!$N$2:$N$701)</f>
        <v>2119953363</v>
      </c>
      <c r="R187" s="9" t="str">
        <f t="array" ref="R187">XLOOKUP(I187,customers_clean!$A$2:$A$701,customers_clean!$Q$2:$Q$701)</f>
        <v>❌ INVALID</v>
      </c>
      <c r="S187" s="10" t="s">
        <v>448</v>
      </c>
      <c r="T187" s="2" t="s">
        <v>59</v>
      </c>
      <c r="U187" s="2" t="s">
        <v>176</v>
      </c>
      <c r="V187" s="2" t="s">
        <v>1722</v>
      </c>
      <c r="W187" s="9" t="str">
        <f t="array" ref="W187">IF(ISNA(XLOOKUP(V187,products_master_corrected!$A$2:$A$151,products_master_corrected!$A$2:$A$151, NA())),
    "❌ MISSING SKU", "✅")</f>
        <v>✅</v>
      </c>
      <c r="X187" s="2" t="s">
        <v>804</v>
      </c>
      <c r="Y187" s="2" t="s">
        <v>368</v>
      </c>
      <c r="Z187" s="10" t="s">
        <v>368</v>
      </c>
      <c r="AA187" s="27">
        <v>2.0</v>
      </c>
      <c r="AB187" s="9" t="s">
        <v>8649</v>
      </c>
      <c r="AC187" s="28">
        <f t="array" ref="AC187">XLOOKUP(V187,products_master_corrected!$A$2:$A$151,products_master_corrected!$E$2:$E$151)</f>
        <v>13.05</v>
      </c>
      <c r="AD187" s="28">
        <f t="shared" si="24"/>
        <v>26.1</v>
      </c>
      <c r="AE187" s="28">
        <f t="array" ref="AE187">XLOOKUP(V187,products_master_corrected!$A$2:$A$151,products_master_corrected!$M$2:$M$151)</f>
        <v>15.79</v>
      </c>
      <c r="AF187" s="29">
        <f t="shared" si="25"/>
        <v>31.58</v>
      </c>
      <c r="AG187" s="30" t="s">
        <v>48</v>
      </c>
      <c r="AH187" s="2" t="s">
        <v>66</v>
      </c>
      <c r="AI187" s="10" t="s">
        <v>66</v>
      </c>
      <c r="AJ187" s="2" t="s">
        <v>380</v>
      </c>
      <c r="AK187" s="10" t="s">
        <v>80</v>
      </c>
    </row>
    <row r="188" ht="15.75" customHeight="1">
      <c r="A188" s="2" t="s">
        <v>4246</v>
      </c>
      <c r="B188" s="12">
        <v>45338.0</v>
      </c>
      <c r="C188" s="2" t="str">
        <f>IFERROR(__xludf.DUMMYFUNCTION("IF(ISNUMBER(B188),TEXT(B188,""yyyy-MM-dd""),REGEXREPLACE(REGEXREPLACE(TO_TEXT(B188),""[^0-9a-zA-Z]+"",""-""),""[^0-9]*$"",""""))"),"2024-02-16")</f>
        <v>2024-02-16</v>
      </c>
      <c r="D188" s="2" t="s">
        <v>4247</v>
      </c>
      <c r="H188" s="10" t="s">
        <v>4247</v>
      </c>
      <c r="I188" s="2" t="s">
        <v>4248</v>
      </c>
      <c r="J188" s="26" t="str">
        <f t="array" ref="J188">IF(ISNA(XLOOKUP(I188,customers_clean!$A$2:$A$701,customers_clean!$A$2:$A$701, NA()) ),
   "❌ MISSING CUSTOMER", "✅")</f>
        <v>✅</v>
      </c>
      <c r="K188" s="2" t="str">
        <f t="array" ref="K188">XLOOKUP(I188,customers_clean!$A$2:$A$701,customers_clean!$C$2:$C$701)</f>
        <v> Paula Lopez</v>
      </c>
      <c r="L188" s="10" t="str">
        <f t="array" ref="L188">XLOOKUP(I188,customers_clean!$A$2:$A$701,customers_clean!$D$2:$D$701)</f>
        <v>Paula Lopez</v>
      </c>
      <c r="M188" s="2" t="str">
        <f t="array" ref="M188">XLOOKUP(I188,customers_clean!$A$2:$A$701,customers_clean!$I$2:$I$701)</f>
        <v> paula.lopez@company.co.uk</v>
      </c>
      <c r="N188" s="10" t="str">
        <f t="array" ref="N188">XLOOKUP(I188,customers_clean!$A$2:$A$701,customers_clean!$H$2:$H$701)</f>
        <v>paula.lopez@company.co.uk</v>
      </c>
      <c r="O188" s="9" t="str">
        <f>IFERROR(__xludf.DUMMYFUNCTION("IF(REGEXMATCH(TRIM(N188),""^[A-Za-z0-9._%+-]+@[A-Za-z0-9.-]+\.[A-Za-z]{2,}$""),""✅ Valid"",""❌ Invalid"")"),"✅ Valid")</f>
        <v>✅ Valid</v>
      </c>
      <c r="P188" s="2" t="str">
        <f t="array" ref="P188">XLOOKUP(I188,customers_clean!$A$2:$A$701,customers_clean!$K$2:$K$701)</f>
        <v>(103) 4161742</v>
      </c>
      <c r="Q188" s="10" t="str">
        <f t="array" ref="Q188">XLOOKUP(I188,customers_clean!$A$2:$A$701,customers_clean!$N$2:$N$701)</f>
        <v>034161742</v>
      </c>
      <c r="R188" s="9" t="str">
        <f t="array" ref="R188">XLOOKUP(I188,customers_clean!$A$2:$A$701,customers_clean!$Q$2:$Q$701)</f>
        <v>❌ INVALID</v>
      </c>
      <c r="S188" s="10" t="s">
        <v>25</v>
      </c>
      <c r="T188" s="2" t="s">
        <v>778</v>
      </c>
      <c r="U188" s="2" t="s">
        <v>43</v>
      </c>
      <c r="V188" s="2" t="s">
        <v>1400</v>
      </c>
      <c r="W188" s="9" t="str">
        <f t="array" ref="W188">IF(ISNA(XLOOKUP(V188,products_master_corrected!$A$2:$A$151,products_master_corrected!$A$2:$A$151, NA())),
    "❌ MISSING SKU", "✅")</f>
        <v>✅</v>
      </c>
      <c r="X188" s="2" t="s">
        <v>524</v>
      </c>
      <c r="Y188" s="2" t="s">
        <v>1401</v>
      </c>
      <c r="Z188" s="10" t="s">
        <v>63</v>
      </c>
      <c r="AA188" s="27">
        <v>5.0</v>
      </c>
      <c r="AB188" s="9" t="s">
        <v>8649</v>
      </c>
      <c r="AC188" s="28">
        <f t="array" ref="AC188">XLOOKUP(V188,products_master_corrected!$A$2:$A$151,products_master_corrected!$E$2:$E$151)</f>
        <v>145.12</v>
      </c>
      <c r="AD188" s="28">
        <f t="shared" si="24"/>
        <v>725.6</v>
      </c>
      <c r="AE188" s="28">
        <f t="array" ref="AE188">XLOOKUP(V188,products_master_corrected!$A$2:$A$151,products_master_corrected!$K$2:$K$151)</f>
        <v>746.64</v>
      </c>
      <c r="AF188" s="29">
        <f t="shared" si="25"/>
        <v>3733.2</v>
      </c>
      <c r="AG188" s="30" t="s">
        <v>95</v>
      </c>
      <c r="AH188" s="2" t="s">
        <v>131</v>
      </c>
      <c r="AI188" s="10" t="s">
        <v>181</v>
      </c>
      <c r="AJ188" s="2" t="s">
        <v>50</v>
      </c>
      <c r="AK188" s="10" t="s">
        <v>261</v>
      </c>
      <c r="AL188" s="2" t="s">
        <v>133</v>
      </c>
    </row>
    <row r="189" ht="15.75" customHeight="1">
      <c r="A189" s="2" t="s">
        <v>2305</v>
      </c>
      <c r="B189" s="12">
        <v>45026.50833333333</v>
      </c>
      <c r="C189" s="2" t="str">
        <f>IFERROR(__xludf.DUMMYFUNCTION("IF(ISNUMBER(B189),TEXT(B189,""yyyy-MM-dd""),REGEXREPLACE(REGEXREPLACE(TO_TEXT(B189),""[^0-9a-zA-Z]+"",""-""),""[^0-9]*$"",""""))"),"2023-04-10")</f>
        <v>2023-04-10</v>
      </c>
      <c r="D189" s="2" t="s">
        <v>8744</v>
      </c>
      <c r="H189" s="10" t="s">
        <v>8744</v>
      </c>
      <c r="I189" s="2" t="s">
        <v>70</v>
      </c>
      <c r="J189" s="26" t="str">
        <f t="array" ref="J189">IF(ISNA(XLOOKUP(I189,customers_clean!$A$2:$A$701,customers_clean!$A$2:$A$701, NA()) ),
   "❌ MISSING CUSTOMER", "✅")</f>
        <v>✅</v>
      </c>
      <c r="K189" s="2" t="str">
        <f t="array" ref="K189">XLOOKUP(I189,customers_clean!$A$2:$A$701,customers_clean!$C$2:$C$701)</f>
        <v> Omar Williams</v>
      </c>
      <c r="L189" s="10" t="str">
        <f t="array" ref="L189">XLOOKUP(I189,customers_clean!$A$2:$A$701,customers_clean!$D$2:$D$701)</f>
        <v>Omar Williams</v>
      </c>
      <c r="M189" s="2" t="str">
        <f t="array" ref="M189">XLOOKUP(I189,customers_clean!$A$2:$A$701,customers_clean!$I$2:$I$701)</f>
        <v/>
      </c>
      <c r="N189" s="10" t="str">
        <f t="array" ref="N189">XLOOKUP(I189,customers_clean!$A$2:$A$701,customers_clean!$H$2:$H$701)</f>
        <v/>
      </c>
      <c r="O189" s="9" t="str">
        <f>IFERROR(__xludf.DUMMYFUNCTION("IF(REGEXMATCH(TRIM(N189),""^[A-Za-z0-9._%+-]+@[A-Za-z0-9.-]+\.[A-Za-z]{2,}$""),""✅ Valid"",""❌ Invalid"")"),"❌ Invalid")</f>
        <v>❌ Invalid</v>
      </c>
      <c r="P189" s="2" t="str">
        <f t="array" ref="P189">XLOOKUP(I189,customers_clean!$A$2:$A$701,customers_clean!$K$2:$K$701)</f>
        <v> +1-482-570-3500</v>
      </c>
      <c r="Q189" s="10" t="str">
        <f t="array" ref="Q189">XLOOKUP(I189,customers_clean!$A$2:$A$701,customers_clean!$N$2:$N$701)</f>
        <v/>
      </c>
      <c r="R189" s="9" t="str">
        <f t="array" ref="R189">XLOOKUP(I189,customers_clean!$A$2:$A$701,customers_clean!$Q$2:$Q$701)</f>
        <v/>
      </c>
      <c r="S189" s="10" t="s">
        <v>114</v>
      </c>
      <c r="T189" s="2" t="s">
        <v>223</v>
      </c>
      <c r="U189" s="2" t="s">
        <v>312</v>
      </c>
      <c r="V189" s="2" t="s">
        <v>939</v>
      </c>
      <c r="W189" s="9" t="str">
        <f t="array" ref="W189">IF(ISNA(XLOOKUP(V189,products_master_corrected!$A$2:$A$151,products_master_corrected!$A$2:$A$151, NA())),
    "❌ MISSING SKU", "✅")</f>
        <v>✅</v>
      </c>
      <c r="X189" s="2" t="s">
        <v>940</v>
      </c>
      <c r="Y189" s="2" t="s">
        <v>941</v>
      </c>
      <c r="Z189" s="10" t="str">
        <f>PROPER(TRIM(Y189))</f>
        <v>Monitors</v>
      </c>
      <c r="AA189" s="27">
        <v>2.0</v>
      </c>
      <c r="AB189" s="9" t="s">
        <v>8649</v>
      </c>
      <c r="AC189" s="28">
        <f t="array" ref="AC189">XLOOKUP(V189,products_master_corrected!$A$2:$A$151,products_master_corrected!$E$2:$E$151)</f>
        <v>215.15</v>
      </c>
      <c r="AD189" s="28">
        <f t="shared" si="24"/>
        <v>430.3</v>
      </c>
      <c r="AE189" s="28">
        <f t="array" ref="AE189">XLOOKUP(V189,products_master_corrected!$A$2:$A$151,products_master_corrected!$F$2:$F$151)</f>
        <v>215.15</v>
      </c>
      <c r="AF189" s="29">
        <f t="shared" si="25"/>
        <v>430.3</v>
      </c>
      <c r="AG189" s="30" t="s">
        <v>65</v>
      </c>
      <c r="AH189" s="2" t="s">
        <v>181</v>
      </c>
      <c r="AI189" s="10" t="s">
        <v>181</v>
      </c>
      <c r="AJ189" s="2" t="s">
        <v>452</v>
      </c>
      <c r="AK189" s="10" t="s">
        <v>261</v>
      </c>
    </row>
    <row r="190" ht="15.75" customHeight="1">
      <c r="A190" s="2" t="s">
        <v>68</v>
      </c>
      <c r="B190" s="12">
        <v>45535.0</v>
      </c>
      <c r="C190" s="2" t="str">
        <f>IFERROR(__xludf.DUMMYFUNCTION("IF(ISNUMBER(B190),TEXT(B190,""yyyy-MM-dd""),REGEXREPLACE(REGEXREPLACE(TO_TEXT(B190),""[^0-9a-zA-Z]+"",""-""),""[^0-9]*$"",""""))"),"2024-08-31")</f>
        <v>2024-08-31</v>
      </c>
      <c r="D190" s="2" t="s">
        <v>8745</v>
      </c>
      <c r="H190" s="10" t="s">
        <v>8745</v>
      </c>
      <c r="I190" s="2" t="s">
        <v>70</v>
      </c>
      <c r="J190" s="26" t="str">
        <f t="array" ref="J190">IF(ISNA(XLOOKUP(I190,customers_clean!$A$2:$A$701,customers_clean!$A$2:$A$701, NA()) ),
   "❌ MISSING CUSTOMER", "✅")</f>
        <v>✅</v>
      </c>
      <c r="K190" s="2" t="str">
        <f t="array" ref="K190">XLOOKUP(I190,customers_clean!$A$2:$A$701,customers_clean!$C$2:$C$701)</f>
        <v> Omar Williams</v>
      </c>
      <c r="L190" s="10" t="str">
        <f t="array" ref="L190">XLOOKUP(I190,customers_clean!$A$2:$A$701,customers_clean!$D$2:$D$701)</f>
        <v>Omar Williams</v>
      </c>
      <c r="M190" s="2" t="str">
        <f t="array" ref="M190">XLOOKUP(I190,customers_clean!$A$2:$A$701,customers_clean!$I$2:$I$701)</f>
        <v/>
      </c>
      <c r="N190" s="10" t="str">
        <f t="array" ref="N190">XLOOKUP(I190,customers_clean!$A$2:$A$701,customers_clean!$H$2:$H$701)</f>
        <v/>
      </c>
      <c r="O190" s="9" t="str">
        <f>IFERROR(__xludf.DUMMYFUNCTION("IF(REGEXMATCH(TRIM(N190),""^[A-Za-z0-9._%+-]+@[A-Za-z0-9.-]+\.[A-Za-z]{2,}$""),""✅ Valid"",""❌ Invalid"")"),"❌ Invalid")</f>
        <v>❌ Invalid</v>
      </c>
      <c r="P190" s="2" t="str">
        <f t="array" ref="P190">XLOOKUP(I190,customers_clean!$A$2:$A$701,customers_clean!$K$2:$K$701)</f>
        <v> +1-482-570-3500</v>
      </c>
      <c r="Q190" s="10" t="str">
        <f t="array" ref="Q190">XLOOKUP(I190,customers_clean!$A$2:$A$701,customers_clean!$N$2:$N$701)</f>
        <v/>
      </c>
      <c r="R190" s="9" t="str">
        <f t="array" ref="R190">XLOOKUP(I190,customers_clean!$A$2:$A$701,customers_clean!$Q$2:$Q$701)</f>
        <v/>
      </c>
      <c r="S190" s="10" t="s">
        <v>114</v>
      </c>
      <c r="T190" s="2" t="s">
        <v>74</v>
      </c>
      <c r="U190" s="2" t="s">
        <v>75</v>
      </c>
      <c r="V190" s="2" t="s">
        <v>76</v>
      </c>
      <c r="W190" s="9" t="str">
        <f t="array" ref="W190">IF(ISNA(XLOOKUP(V190,products_master_corrected!$A$2:$A$151,products_master_corrected!$A$2:$A$151, NA())),
    "❌ MISSING SKU", "✅")</f>
        <v>✅</v>
      </c>
      <c r="X190" s="2" t="s">
        <v>77</v>
      </c>
      <c r="Y190" s="2" t="s">
        <v>78</v>
      </c>
      <c r="Z190" s="10" t="s">
        <v>355</v>
      </c>
      <c r="AA190" s="27">
        <v>2.0</v>
      </c>
      <c r="AB190" s="9" t="s">
        <v>8649</v>
      </c>
      <c r="AC190" s="28">
        <f t="array" ref="AC190">XLOOKUP(V190,products_master_corrected!$A$2:$A$151,products_master_corrected!$E$2:$E$151)</f>
        <v>153.16</v>
      </c>
      <c r="AD190" s="28">
        <f t="shared" si="24"/>
        <v>306.32</v>
      </c>
      <c r="AE190" s="28">
        <f t="array" ref="AE190">XLOOKUP(V190,products_master_corrected!$A$2:$A$151,products_master_corrected!$F$2:$F$151)</f>
        <v>153.16</v>
      </c>
      <c r="AF190" s="29">
        <f t="shared" si="25"/>
        <v>306.32</v>
      </c>
      <c r="AG190" s="30" t="s">
        <v>65</v>
      </c>
      <c r="AH190" s="2" t="s">
        <v>33</v>
      </c>
      <c r="AI190" s="10" t="s">
        <v>181</v>
      </c>
      <c r="AJ190" s="2" t="s">
        <v>80</v>
      </c>
      <c r="AK190" s="10" t="s">
        <v>80</v>
      </c>
      <c r="AL190" s="2" t="s">
        <v>81</v>
      </c>
    </row>
    <row r="191" ht="15.75" customHeight="1">
      <c r="A191" s="2" t="s">
        <v>2712</v>
      </c>
      <c r="B191" s="12">
        <v>44974.92361111111</v>
      </c>
      <c r="C191" s="2" t="str">
        <f>IFERROR(__xludf.DUMMYFUNCTION("IF(ISNUMBER(B191),TEXT(B191,""yyyy-MM-dd""),REGEXREPLACE(REGEXREPLACE(TO_TEXT(B191),""[^0-9a-zA-Z]+"",""-""),""[^0-9]*$"",""""))"),"2023-02-17")</f>
        <v>2023-02-17</v>
      </c>
      <c r="D191" s="2" t="s">
        <v>5596</v>
      </c>
      <c r="H191" s="10" t="s">
        <v>5596</v>
      </c>
      <c r="I191" s="2" t="s">
        <v>2714</v>
      </c>
      <c r="J191" s="26" t="str">
        <f t="array" ref="J191">IF(ISNA(XLOOKUP(I191,customers_clean!$A$2:$A$701,customers_clean!$A$2:$A$701, NA()) ),
   "❌ MISSING CUSTOMER", "✅")</f>
        <v>✅</v>
      </c>
      <c r="K191" s="2" t="str">
        <f t="array" ref="K191">XLOOKUP(I191,customers_clean!$A$2:$A$701,customers_clean!$C$2:$C$701)</f>
        <v>Vlad  Rodriguez</v>
      </c>
      <c r="L191" s="10" t="str">
        <f t="array" ref="L191">XLOOKUP(I191,customers_clean!$A$2:$A$701,customers_clean!$D$2:$D$701)</f>
        <v>Vlad Rodriguez</v>
      </c>
      <c r="M191" s="2" t="str">
        <f t="array" ref="M191">XLOOKUP(I191,customers_clean!$A$2:$A$701,customers_clean!$I$2:$I$701)</f>
        <v>vlad.rodriguez@outlook.com </v>
      </c>
      <c r="N191" s="10" t="str">
        <f t="array" ref="N191">XLOOKUP(I191,customers_clean!$A$2:$A$701,customers_clean!$H$2:$H$701)</f>
        <v>vlad.rodriguez@outlook.com</v>
      </c>
      <c r="O191" s="9" t="str">
        <f>IFERROR(__xludf.DUMMYFUNCTION("IF(REGEXMATCH(TRIM(N191),""^[A-Za-z0-9._%+-]+@[A-Za-z0-9.-]+\.[A-Za-z]{2,}$""),""✅ Valid"",""❌ Invalid"")"),"✅ Valid")</f>
        <v>✅ Valid</v>
      </c>
      <c r="P191" s="2" t="str">
        <f t="array" ref="P191">XLOOKUP(I191,customers_clean!$A$2:$A$701,customers_clean!$K$2:$K$701)</f>
        <v>el:+17568546766</v>
      </c>
      <c r="Q191" s="10" t="str">
        <f t="array" ref="Q191">XLOOKUP(I191,customers_clean!$A$2:$A$701,customers_clean!$N$2:$N$701)</f>
        <v>7568546766</v>
      </c>
      <c r="R191" s="9" t="str">
        <f t="array" ref="R191">XLOOKUP(I191,customers_clean!$A$2:$A$701,customers_clean!$Q$2:$Q$701)</f>
        <v>✅ VALID</v>
      </c>
      <c r="S191" s="10" t="s">
        <v>114</v>
      </c>
      <c r="T191" s="2" t="s">
        <v>74</v>
      </c>
      <c r="U191" s="2" t="s">
        <v>43</v>
      </c>
      <c r="V191" s="2" t="s">
        <v>2420</v>
      </c>
      <c r="W191" s="9" t="str">
        <f t="array" ref="W191">IF(ISNA(XLOOKUP(V191,products_master_corrected!$A$2:$A$151,products_master_corrected!$A$2:$A$151, NA())),
    "❌ MISSING SKU", "✅")</f>
        <v>✅</v>
      </c>
      <c r="X191" s="2" t="s">
        <v>804</v>
      </c>
      <c r="Y191" s="2" t="s">
        <v>2421</v>
      </c>
      <c r="Z191" s="10" t="s">
        <v>248</v>
      </c>
      <c r="AA191" s="27">
        <v>1.0</v>
      </c>
      <c r="AB191" s="9" t="s">
        <v>8649</v>
      </c>
      <c r="AC191" s="28">
        <f t="array" ref="AC191">XLOOKUP(V191,products_master_corrected!$A$2:$A$151,products_master_corrected!$E$2:$E$151)</f>
        <v>21.44</v>
      </c>
      <c r="AD191" s="28">
        <f t="shared" si="24"/>
        <v>21.44</v>
      </c>
      <c r="AE191" s="28">
        <f t="array" ref="AE191">XLOOKUP(V191,products_master_corrected!$A$2:$A$151,products_master_corrected!$F$2:$F$151)</f>
        <v>21.44</v>
      </c>
      <c r="AF191" s="29">
        <f t="shared" si="25"/>
        <v>21.44</v>
      </c>
      <c r="AG191" s="30" t="s">
        <v>65</v>
      </c>
      <c r="AH191" s="2" t="s">
        <v>2719</v>
      </c>
      <c r="AI191" s="10" t="s">
        <v>66</v>
      </c>
      <c r="AJ191" s="2" t="s">
        <v>818</v>
      </c>
      <c r="AK191" s="10" t="s">
        <v>818</v>
      </c>
      <c r="AL191" s="2" t="s">
        <v>133</v>
      </c>
    </row>
    <row r="192" ht="15.75" customHeight="1">
      <c r="A192" s="2" t="s">
        <v>4074</v>
      </c>
      <c r="B192" s="12">
        <v>45318.825694444444</v>
      </c>
      <c r="C192" s="2" t="str">
        <f>IFERROR(__xludf.DUMMYFUNCTION("IF(ISNUMBER(B192),TEXT(B192,""yyyy-MM-dd""),REGEXREPLACE(REGEXREPLACE(TO_TEXT(B192),""[^0-9a-zA-Z]+"",""-""),""[^0-9]*$"",""""))"),"2024-01-27")</f>
        <v>2024-01-27</v>
      </c>
      <c r="D192" s="2" t="s">
        <v>6515</v>
      </c>
      <c r="H192" s="10" t="s">
        <v>6515</v>
      </c>
      <c r="I192" s="2" t="s">
        <v>2714</v>
      </c>
      <c r="J192" s="26" t="str">
        <f t="array" ref="J192">IF(ISNA(XLOOKUP(I192,customers_clean!$A$2:$A$701,customers_clean!$A$2:$A$701, NA()) ),
   "❌ MISSING CUSTOMER", "✅")</f>
        <v>✅</v>
      </c>
      <c r="K192" s="2" t="str">
        <f t="array" ref="K192">XLOOKUP(I192,customers_clean!$A$2:$A$701,customers_clean!$C$2:$C$701)</f>
        <v>Vlad  Rodriguez</v>
      </c>
      <c r="L192" s="10" t="str">
        <f t="array" ref="L192">XLOOKUP(I192,customers_clean!$A$2:$A$701,customers_clean!$D$2:$D$701)</f>
        <v>Vlad Rodriguez</v>
      </c>
      <c r="M192" s="2" t="str">
        <f t="array" ref="M192">XLOOKUP(I192,customers_clean!$A$2:$A$701,customers_clean!$I$2:$I$701)</f>
        <v>vlad.rodriguez@outlook.com </v>
      </c>
      <c r="N192" s="10" t="str">
        <f t="array" ref="N192">XLOOKUP(I192,customers_clean!$A$2:$A$701,customers_clean!$H$2:$H$701)</f>
        <v>vlad.rodriguez@outlook.com</v>
      </c>
      <c r="O192" s="9" t="str">
        <f>IFERROR(__xludf.DUMMYFUNCTION("IF(REGEXMATCH(TRIM(N192),""^[A-Za-z0-9._%+-]+@[A-Za-z0-9.-]+\.[A-Za-z]{2,}$""),""✅ Valid"",""❌ Invalid"")"),"✅ Valid")</f>
        <v>✅ Valid</v>
      </c>
      <c r="P192" s="2" t="str">
        <f t="array" ref="P192">XLOOKUP(I192,customers_clean!$A$2:$A$701,customers_clean!$K$2:$K$701)</f>
        <v>el:+17568546766</v>
      </c>
      <c r="Q192" s="10" t="str">
        <f t="array" ref="Q192">XLOOKUP(I192,customers_clean!$A$2:$A$701,customers_clean!$N$2:$N$701)</f>
        <v>7568546766</v>
      </c>
      <c r="R192" s="9" t="str">
        <f t="array" ref="R192">XLOOKUP(I192,customers_clean!$A$2:$A$701,customers_clean!$Q$2:$Q$701)</f>
        <v>✅ VALID</v>
      </c>
      <c r="S192" s="10" t="s">
        <v>114</v>
      </c>
      <c r="T192" s="2" t="s">
        <v>234</v>
      </c>
      <c r="U192" s="2" t="s">
        <v>3833</v>
      </c>
      <c r="V192" s="2" t="s">
        <v>1722</v>
      </c>
      <c r="W192" s="9" t="str">
        <f t="array" ref="W192">IF(ISNA(XLOOKUP(V192,products_master_corrected!$A$2:$A$151,products_master_corrected!$A$2:$A$151, NA())),
    "❌ MISSING SKU", "✅")</f>
        <v>✅</v>
      </c>
      <c r="X192" s="2" t="s">
        <v>804</v>
      </c>
      <c r="Y192" s="2" t="s">
        <v>368</v>
      </c>
      <c r="Z192" s="10" t="s">
        <v>368</v>
      </c>
      <c r="AA192" s="27">
        <v>1.0</v>
      </c>
      <c r="AB192" s="9" t="s">
        <v>8649</v>
      </c>
      <c r="AC192" s="28">
        <f t="array" ref="AC192">XLOOKUP(V192,products_master_corrected!$A$2:$A$151,products_master_corrected!$E$2:$E$151)</f>
        <v>13.05</v>
      </c>
      <c r="AD192" s="28">
        <f t="shared" si="24"/>
        <v>13.05</v>
      </c>
      <c r="AE192" s="28">
        <f t="array" ref="AE192">XLOOKUP(V192,products_master_corrected!$A$2:$A$151,products_master_corrected!$F$2:$F$151)</f>
        <v>13.05</v>
      </c>
      <c r="AF192" s="29">
        <f t="shared" si="25"/>
        <v>13.05</v>
      </c>
      <c r="AG192" s="30" t="s">
        <v>65</v>
      </c>
      <c r="AH192" s="2" t="s">
        <v>66</v>
      </c>
      <c r="AI192" s="10" t="s">
        <v>66</v>
      </c>
      <c r="AJ192" s="2" t="s">
        <v>169</v>
      </c>
      <c r="AK192" s="10" t="s">
        <v>261</v>
      </c>
    </row>
    <row r="193" ht="15.75" customHeight="1">
      <c r="A193" s="2" t="s">
        <v>4413</v>
      </c>
      <c r="B193" s="12" t="s">
        <v>4414</v>
      </c>
      <c r="C193" s="2" t="str">
        <f>IFERROR(__xludf.DUMMYFUNCTION("IF(ISNUMBER(B193),TEXT(B193,""yyyy-MM-dd""),REGEXREPLACE(REGEXREPLACE(TO_TEXT(B193),""[^0-9a-zA-Z]+"",""-""),""[^0-9]*$"",""""))"),"09-26-2025")</f>
        <v>09-26-2025</v>
      </c>
      <c r="D193" s="2" t="str">
        <f>TEXT(C193,"yyyy-MM-dd")</f>
        <v>09-26-2025</v>
      </c>
      <c r="E193" s="2" t="s">
        <v>8175</v>
      </c>
      <c r="H193" s="10" t="s">
        <v>8175</v>
      </c>
      <c r="I193" s="2" t="s">
        <v>2558</v>
      </c>
      <c r="J193" s="26" t="str">
        <f t="array" ref="J193">IF(ISNA(XLOOKUP(I193,customers_clean!$A$2:$A$701,customers_clean!$A$2:$A$701, NA()) ),
   "❌ MISSING CUSTOMER", "✅")</f>
        <v>✅</v>
      </c>
      <c r="K193" s="2" t="str">
        <f t="array" ref="K193">XLOOKUP(I193,customers_clean!$A$2:$A$701,customers_clean!$C$2:$C$701)</f>
        <v>Uma Lopez</v>
      </c>
      <c r="L193" s="10" t="str">
        <f t="array" ref="L193">XLOOKUP(I193,customers_clean!$A$2:$A$701,customers_clean!$D$2:$D$701)</f>
        <v>Uma Lopez</v>
      </c>
      <c r="M193" s="2" t="str">
        <f t="array" ref="M193">XLOOKUP(I193,customers_clean!$A$2:$A$701,customers_clean!$I$2:$I$701)</f>
        <v>uma.lopez@gmail.com</v>
      </c>
      <c r="N193" s="10" t="str">
        <f t="array" ref="N193">XLOOKUP(I193,customers_clean!$A$2:$A$701,customers_clean!$H$2:$H$701)</f>
        <v>uma.lopez@gmail.com</v>
      </c>
      <c r="O193" s="9" t="str">
        <f>IFERROR(__xludf.DUMMYFUNCTION("IF(REGEXMATCH(TRIM(N193),""^[A-Za-z0-9._%+-]+@[A-Za-z0-9.-]+\.[A-Za-z]{2,}$""),""✅ Valid"",""❌ Invalid"")"),"✅ Valid")</f>
        <v>✅ Valid</v>
      </c>
      <c r="P193" s="2" t="str">
        <f t="array" ref="P193">XLOOKUP(I193,customers_clean!$A$2:$A$701,customers_clean!$K$2:$K$701)</f>
        <v>+44+671230271</v>
      </c>
      <c r="Q193" s="10" t="str">
        <f t="array" ref="Q193">XLOOKUP(I193,customers_clean!$A$2:$A$701,customers_clean!$N$2:$N$701)</f>
        <v>671230271</v>
      </c>
      <c r="R193" s="9" t="str">
        <f t="array" ref="R193">XLOOKUP(I193,customers_clean!$A$2:$A$701,customers_clean!$Q$2:$Q$701)</f>
        <v>❌ INVALID</v>
      </c>
      <c r="S193" s="10" t="s">
        <v>608</v>
      </c>
      <c r="T193" s="2" t="s">
        <v>59</v>
      </c>
      <c r="U193" s="2" t="s">
        <v>176</v>
      </c>
      <c r="V193" s="2" t="s">
        <v>993</v>
      </c>
      <c r="W193" s="9" t="str">
        <f t="array" ref="W193">IF(ISNA(XLOOKUP(V193,products_master_corrected!$A$2:$A$151,products_master_corrected!$A$2:$A$151, NA())),
    "❌ MISSING SKU", "✅")</f>
        <v>✅</v>
      </c>
      <c r="X193" s="2" t="s">
        <v>994</v>
      </c>
      <c r="Y193" s="2" t="s">
        <v>995</v>
      </c>
      <c r="Z193" s="10" t="s">
        <v>355</v>
      </c>
      <c r="AA193" s="27">
        <v>3.0</v>
      </c>
      <c r="AB193" s="9" t="s">
        <v>8649</v>
      </c>
      <c r="AC193" s="28">
        <f t="array" ref="AC193">XLOOKUP(V193,products_master_corrected!$A$2:$A$151,products_master_corrected!$E$2:$E$151)</f>
        <v>566.38</v>
      </c>
      <c r="AD193" s="28">
        <f t="shared" si="24"/>
        <v>1699.14</v>
      </c>
      <c r="AE193" s="28">
        <f t="array" ref="AE193">XLOOKUP(V193,products_master_corrected!$A$2:$A$151,products_master_corrected!$H$2:$H$151)</f>
        <v>636.33</v>
      </c>
      <c r="AF193" s="29">
        <f t="shared" si="25"/>
        <v>1908.99</v>
      </c>
      <c r="AG193" s="32" t="s">
        <v>8658</v>
      </c>
      <c r="AH193" s="2" t="s">
        <v>238</v>
      </c>
      <c r="AI193" s="10" t="s">
        <v>66</v>
      </c>
      <c r="AJ193" s="2" t="s">
        <v>294</v>
      </c>
      <c r="AK193" s="10" t="s">
        <v>80</v>
      </c>
    </row>
    <row r="194" ht="15.75" customHeight="1">
      <c r="A194" s="2" t="s">
        <v>2556</v>
      </c>
      <c r="B194" s="12">
        <v>44963.0</v>
      </c>
      <c r="C194" s="2" t="str">
        <f>IFERROR(__xludf.DUMMYFUNCTION("IF(ISNUMBER(B194),TEXT(B194,""yyyy-MM-dd""),REGEXREPLACE(REGEXREPLACE(TO_TEXT(B194),""[^0-9a-zA-Z]+"",""-""),""[^0-9]*$"",""""))"),"2023-02-06")</f>
        <v>2023-02-06</v>
      </c>
      <c r="D194" s="2" t="s">
        <v>8684</v>
      </c>
      <c r="H194" s="10" t="s">
        <v>8684</v>
      </c>
      <c r="I194" s="2" t="s">
        <v>2558</v>
      </c>
      <c r="J194" s="26" t="str">
        <f t="array" ref="J194">IF(ISNA(XLOOKUP(I194,customers_clean!$A$2:$A$701,customers_clean!$A$2:$A$701, NA()) ),
   "❌ MISSING CUSTOMER", "✅")</f>
        <v>✅</v>
      </c>
      <c r="K194" s="2" t="str">
        <f t="array" ref="K194">XLOOKUP(I194,customers_clean!$A$2:$A$701,customers_clean!$C$2:$C$701)</f>
        <v>Uma Lopez</v>
      </c>
      <c r="L194" s="10" t="str">
        <f t="array" ref="L194">XLOOKUP(I194,customers_clean!$A$2:$A$701,customers_clean!$D$2:$D$701)</f>
        <v>Uma Lopez</v>
      </c>
      <c r="M194" s="2" t="str">
        <f t="array" ref="M194">XLOOKUP(I194,customers_clean!$A$2:$A$701,customers_clean!$I$2:$I$701)</f>
        <v>uma.lopez@gmail.com</v>
      </c>
      <c r="N194" s="10" t="str">
        <f t="array" ref="N194">XLOOKUP(I194,customers_clean!$A$2:$A$701,customers_clean!$H$2:$H$701)</f>
        <v>uma.lopez@gmail.com</v>
      </c>
      <c r="O194" s="9" t="str">
        <f>IFERROR(__xludf.DUMMYFUNCTION("IF(REGEXMATCH(TRIM(N194),""^[A-Za-z0-9._%+-]+@[A-Za-z0-9.-]+\.[A-Za-z]{2,}$""),""✅ Valid"",""❌ Invalid"")"),"✅ Valid")</f>
        <v>✅ Valid</v>
      </c>
      <c r="P194" s="2" t="str">
        <f t="array" ref="P194">XLOOKUP(I194,customers_clean!$A$2:$A$701,customers_clean!$K$2:$K$701)</f>
        <v>+44+671230271</v>
      </c>
      <c r="Q194" s="10" t="str">
        <f t="array" ref="Q194">XLOOKUP(I194,customers_clean!$A$2:$A$701,customers_clean!$N$2:$N$701)</f>
        <v>671230271</v>
      </c>
      <c r="R194" s="9" t="str">
        <f t="array" ref="R194">XLOOKUP(I194,customers_clean!$A$2:$A$701,customers_clean!$Q$2:$Q$701)</f>
        <v>❌ INVALID</v>
      </c>
      <c r="S194" s="10" t="s">
        <v>608</v>
      </c>
      <c r="T194" s="2" t="s">
        <v>42</v>
      </c>
      <c r="U194" s="2" t="s">
        <v>268</v>
      </c>
      <c r="V194" s="2" t="s">
        <v>302</v>
      </c>
      <c r="W194" s="9" t="str">
        <f t="array" ref="W194">IF(ISNA(XLOOKUP(V194,products_master_corrected!$A$2:$A$151,products_master_corrected!$A$2:$A$151, NA())),
    "❌ MISSING SKU", "✅")</f>
        <v>✅</v>
      </c>
      <c r="X194" s="2" t="s">
        <v>303</v>
      </c>
      <c r="Y194" s="2" t="s">
        <v>248</v>
      </c>
      <c r="Z194" s="10" t="s">
        <v>248</v>
      </c>
      <c r="AA194" s="27">
        <v>1.0</v>
      </c>
      <c r="AB194" s="9" t="s">
        <v>8649</v>
      </c>
      <c r="AC194" s="28">
        <f t="array" ref="AC194">XLOOKUP(V194,products_master_corrected!$A$2:$A$151,products_master_corrected!$E$2:$E$151)</f>
        <v>172.22</v>
      </c>
      <c r="AD194" s="28">
        <f t="shared" si="24"/>
        <v>172.22</v>
      </c>
      <c r="AE194" s="28">
        <f t="array" ref="AE194">XLOOKUP(V194,products_master_corrected!$A$2:$A$151,products_master_corrected!$H$2:$H$151)</f>
        <v>193.49</v>
      </c>
      <c r="AF194" s="29">
        <f t="shared" si="25"/>
        <v>193.49</v>
      </c>
      <c r="AG194" s="32" t="s">
        <v>8658</v>
      </c>
      <c r="AH194" s="2" t="s">
        <v>305</v>
      </c>
      <c r="AI194" s="10" t="s">
        <v>49</v>
      </c>
      <c r="AJ194" s="2" t="s">
        <v>50</v>
      </c>
      <c r="AK194" s="10" t="s">
        <v>261</v>
      </c>
      <c r="AL194" s="2" t="s">
        <v>51</v>
      </c>
    </row>
    <row r="195" ht="15.75" customHeight="1">
      <c r="A195" s="2" t="s">
        <v>5583</v>
      </c>
      <c r="B195" s="12">
        <v>45284.0</v>
      </c>
      <c r="C195" s="2" t="str">
        <f>IFERROR(__xludf.DUMMYFUNCTION("IF(ISNUMBER(B195),TEXT(B195,""yyyy-MM-dd""),REGEXREPLACE(REGEXREPLACE(TO_TEXT(B195),""[^0-9a-zA-Z]+"",""-""),""[^0-9]*$"",""""))"),"2023-12-24")</f>
        <v>2023-12-24</v>
      </c>
      <c r="D195" s="2" t="s">
        <v>8746</v>
      </c>
      <c r="H195" s="10" t="s">
        <v>8746</v>
      </c>
      <c r="I195" s="2" t="s">
        <v>2558</v>
      </c>
      <c r="J195" s="26" t="str">
        <f t="array" ref="J195">IF(ISNA(XLOOKUP(I195,customers_clean!$A$2:$A$701,customers_clean!$A$2:$A$701, NA()) ),
   "❌ MISSING CUSTOMER", "✅")</f>
        <v>✅</v>
      </c>
      <c r="K195" s="2" t="str">
        <f t="array" ref="K195">XLOOKUP(I195,customers_clean!$A$2:$A$701,customers_clean!$C$2:$C$701)</f>
        <v>Uma Lopez</v>
      </c>
      <c r="L195" s="10" t="str">
        <f t="array" ref="L195">XLOOKUP(I195,customers_clean!$A$2:$A$701,customers_clean!$D$2:$D$701)</f>
        <v>Uma Lopez</v>
      </c>
      <c r="M195" s="2" t="str">
        <f t="array" ref="M195">XLOOKUP(I195,customers_clean!$A$2:$A$701,customers_clean!$I$2:$I$701)</f>
        <v>uma.lopez@gmail.com</v>
      </c>
      <c r="N195" s="10" t="str">
        <f t="array" ref="N195">XLOOKUP(I195,customers_clean!$A$2:$A$701,customers_clean!$H$2:$H$701)</f>
        <v>uma.lopez@gmail.com</v>
      </c>
      <c r="O195" s="9" t="str">
        <f>IFERROR(__xludf.DUMMYFUNCTION("IF(REGEXMATCH(TRIM(N195),""^[A-Za-z0-9._%+-]+@[A-Za-z0-9.-]+\.[A-Za-z]{2,}$""),""✅ Valid"",""❌ Invalid"")"),"✅ Valid")</f>
        <v>✅ Valid</v>
      </c>
      <c r="P195" s="2" t="str">
        <f t="array" ref="P195">XLOOKUP(I195,customers_clean!$A$2:$A$701,customers_clean!$K$2:$K$701)</f>
        <v>+44+671230271</v>
      </c>
      <c r="Q195" s="10" t="str">
        <f t="array" ref="Q195">XLOOKUP(I195,customers_clean!$A$2:$A$701,customers_clean!$N$2:$N$701)</f>
        <v>671230271</v>
      </c>
      <c r="R195" s="9" t="str">
        <f t="array" ref="R195">XLOOKUP(I195,customers_clean!$A$2:$A$701,customers_clean!$Q$2:$Q$701)</f>
        <v>❌ INVALID</v>
      </c>
      <c r="S195" s="10" t="s">
        <v>608</v>
      </c>
      <c r="T195" s="2" t="s">
        <v>152</v>
      </c>
      <c r="U195" s="2" t="s">
        <v>480</v>
      </c>
      <c r="V195" s="2" t="s">
        <v>746</v>
      </c>
      <c r="W195" s="9" t="str">
        <f t="array" ref="W195">IF(ISNA(XLOOKUP(V195,products_master_corrected!$A$2:$A$151,products_master_corrected!$A$2:$A$151, NA())),
    "❌ MISSING SKU", "✅")</f>
        <v>✅</v>
      </c>
      <c r="X195" s="2" t="s">
        <v>747</v>
      </c>
      <c r="Y195" s="2" t="s">
        <v>748</v>
      </c>
      <c r="Z195" s="10" t="s">
        <v>355</v>
      </c>
      <c r="AA195" s="27">
        <v>3.0</v>
      </c>
      <c r="AB195" s="9" t="s">
        <v>8649</v>
      </c>
      <c r="AC195" s="28">
        <f t="array" ref="AC195">XLOOKUP(V195,products_master_corrected!$A$2:$A$151,products_master_corrected!$E$2:$E$151)</f>
        <v>346</v>
      </c>
      <c r="AD195" s="28">
        <f t="shared" si="24"/>
        <v>1038</v>
      </c>
      <c r="AE195" s="28">
        <f t="array" ref="AE195">XLOOKUP(V195,products_master_corrected!$A$2:$A$151,products_master_corrected!$H$2:$H$151)</f>
        <v>388.73</v>
      </c>
      <c r="AF195" s="29">
        <f t="shared" si="25"/>
        <v>1166.19</v>
      </c>
      <c r="AG195" s="32" t="s">
        <v>8658</v>
      </c>
      <c r="AH195" s="2" t="s">
        <v>49</v>
      </c>
      <c r="AI195" s="10" t="s">
        <v>49</v>
      </c>
      <c r="AJ195" s="2" t="s">
        <v>251</v>
      </c>
      <c r="AK195" s="10" t="s">
        <v>192</v>
      </c>
    </row>
    <row r="196" ht="15.75" customHeight="1">
      <c r="A196" s="2" t="s">
        <v>4878</v>
      </c>
      <c r="B196" s="12">
        <v>45720.0</v>
      </c>
      <c r="C196" s="2" t="str">
        <f>IFERROR(__xludf.DUMMYFUNCTION("IF(ISNUMBER(B196),TEXT(B196,""yyyy-MM-dd""),REGEXREPLACE(REGEXREPLACE(TO_TEXT(B196),""[^0-9a-zA-Z]+"",""-""),""[^0-9]*$"",""""))"),"2025-03-04")</f>
        <v>2025-03-04</v>
      </c>
      <c r="D196" s="2" t="s">
        <v>8747</v>
      </c>
      <c r="H196" s="10" t="s">
        <v>8747</v>
      </c>
      <c r="I196" s="2" t="s">
        <v>3328</v>
      </c>
      <c r="J196" s="26" t="str">
        <f t="array" ref="J196">IF(ISNA(XLOOKUP(I196,customers_clean!$A$2:$A$701,customers_clean!$A$2:$A$701, NA()) ),
   "❌ MISSING CUSTOMER", "✅")</f>
        <v>✅</v>
      </c>
      <c r="K196" s="2" t="str">
        <f t="array" ref="K196">XLOOKUP(I196,customers_clean!$A$2:$A$701,customers_clean!$C$2:$C$701)</f>
        <v> Vlad Kowalski</v>
      </c>
      <c r="L196" s="10" t="str">
        <f t="array" ref="L196">XLOOKUP(I196,customers_clean!$A$2:$A$701,customers_clean!$D$2:$D$701)</f>
        <v>Vlad Kowalski</v>
      </c>
      <c r="M196" s="2" t="str">
        <f t="array" ref="M196">XLOOKUP(I196,customers_clean!$A$2:$A$701,customers_clean!$I$2:$I$701)</f>
        <v>vlad.kowalski@yahoo.com</v>
      </c>
      <c r="N196" s="10" t="str">
        <f t="array" ref="N196">XLOOKUP(I196,customers_clean!$A$2:$A$701,customers_clean!$H$2:$H$701)</f>
        <v>vlad.kowalski@yahoo.com</v>
      </c>
      <c r="O196" s="9" t="str">
        <f>IFERROR(__xludf.DUMMYFUNCTION("IF(REGEXMATCH(TRIM(N196),""^[A-Za-z0-9._%+-]+@[A-Za-z0-9.-]+\.[A-Za-z]{2,}$""),""✅ Valid"",""❌ Invalid"")"),"✅ Valid")</f>
        <v>✅ Valid</v>
      </c>
      <c r="P196" s="2">
        <f t="array" ref="P196">XLOOKUP(I196,customers_clean!$A$2:$A$701,customers_clean!$K$2:$K$701)</f>
        <v>493384712663</v>
      </c>
      <c r="Q196" s="10" t="str">
        <f t="array" ref="Q196">XLOOKUP(I196,customers_clean!$A$2:$A$701,customers_clean!$N$2:$N$701)</f>
        <v>3384712663</v>
      </c>
      <c r="R196" s="9" t="str">
        <f t="array" ref="R196">XLOOKUP(I196,customers_clean!$A$2:$A$701,customers_clean!$Q$2:$Q$701)</f>
        <v>❌ INVALID</v>
      </c>
      <c r="S196" s="10" t="s">
        <v>25</v>
      </c>
      <c r="T196" s="2" t="s">
        <v>223</v>
      </c>
      <c r="U196" s="2" t="s">
        <v>312</v>
      </c>
      <c r="V196" s="2" t="s">
        <v>313</v>
      </c>
      <c r="W196" s="9" t="str">
        <f t="array" ref="W196">IF(ISNA(XLOOKUP(V196,products_master_corrected!$A$2:$A$151,products_master_corrected!$A$2:$A$151, NA())),
    "❌ MISSING SKU", "✅")</f>
        <v>✅</v>
      </c>
      <c r="X196" s="2" t="s">
        <v>768</v>
      </c>
      <c r="Y196" s="2" t="s">
        <v>315</v>
      </c>
      <c r="Z196" s="10" t="s">
        <v>179</v>
      </c>
      <c r="AA196" s="27">
        <v>2.0</v>
      </c>
      <c r="AB196" s="9" t="s">
        <v>8649</v>
      </c>
      <c r="AC196" s="28">
        <f t="array" ref="AC196">XLOOKUP(V196,products_master_corrected!$A$2:$A$151,products_master_corrected!$E$2:$E$151)</f>
        <v>47.55</v>
      </c>
      <c r="AD196" s="28">
        <f t="shared" si="24"/>
        <v>95.1</v>
      </c>
      <c r="AE196" s="28">
        <f t="array" ref="AE196">XLOOKUP(V196,products_master_corrected!$A$2:$A$151,products_master_corrected!$K$2:$K$151)</f>
        <v>244.64</v>
      </c>
      <c r="AF196" s="29">
        <f t="shared" si="25"/>
        <v>489.28</v>
      </c>
      <c r="AG196" s="30" t="s">
        <v>95</v>
      </c>
      <c r="AH196" s="2" t="s">
        <v>204</v>
      </c>
      <c r="AI196" s="10" t="s">
        <v>143</v>
      </c>
      <c r="AJ196" s="2" t="s">
        <v>345</v>
      </c>
      <c r="AK196" s="10" t="s">
        <v>261</v>
      </c>
    </row>
    <row r="197" ht="15.75" customHeight="1">
      <c r="A197" s="2" t="s">
        <v>5716</v>
      </c>
      <c r="B197" s="12">
        <v>45235.0</v>
      </c>
      <c r="C197" s="2" t="str">
        <f>IFERROR(__xludf.DUMMYFUNCTION("IF(ISNUMBER(B197),TEXT(B197,""yyyy-MM-dd""),REGEXREPLACE(REGEXREPLACE(TO_TEXT(B197),""[^0-9a-zA-Z]+"",""-""),""[^0-9]*$"",""""))"),"2023-11-05")</f>
        <v>2023-11-05</v>
      </c>
      <c r="D197" s="2" t="s">
        <v>7797</v>
      </c>
      <c r="H197" s="10" t="s">
        <v>7797</v>
      </c>
      <c r="I197" s="2" t="s">
        <v>3328</v>
      </c>
      <c r="J197" s="26" t="str">
        <f t="array" ref="J197">IF(ISNA(XLOOKUP(I197,customers_clean!$A$2:$A$701,customers_clean!$A$2:$A$701, NA()) ),
   "❌ MISSING CUSTOMER", "✅")</f>
        <v>✅</v>
      </c>
      <c r="K197" s="2" t="str">
        <f t="array" ref="K197">XLOOKUP(I197,customers_clean!$A$2:$A$701,customers_clean!$C$2:$C$701)</f>
        <v> Vlad Kowalski</v>
      </c>
      <c r="L197" s="10" t="str">
        <f t="array" ref="L197">XLOOKUP(I197,customers_clean!$A$2:$A$701,customers_clean!$D$2:$D$701)</f>
        <v>Vlad Kowalski</v>
      </c>
      <c r="M197" s="2" t="str">
        <f t="array" ref="M197">XLOOKUP(I197,customers_clean!$A$2:$A$701,customers_clean!$I$2:$I$701)</f>
        <v>vlad.kowalski@yahoo.com</v>
      </c>
      <c r="N197" s="10" t="str">
        <f t="array" ref="N197">XLOOKUP(I197,customers_clean!$A$2:$A$701,customers_clean!$H$2:$H$701)</f>
        <v>vlad.kowalski@yahoo.com</v>
      </c>
      <c r="O197" s="9" t="str">
        <f>IFERROR(__xludf.DUMMYFUNCTION("IF(REGEXMATCH(TRIM(N197),""^[A-Za-z0-9._%+-]+@[A-Za-z0-9.-]+\.[A-Za-z]{2,}$""),""✅ Valid"",""❌ Invalid"")"),"✅ Valid")</f>
        <v>✅ Valid</v>
      </c>
      <c r="P197" s="2">
        <f t="array" ref="P197">XLOOKUP(I197,customers_clean!$A$2:$A$701,customers_clean!$K$2:$K$701)</f>
        <v>493384712663</v>
      </c>
      <c r="Q197" s="10" t="str">
        <f t="array" ref="Q197">XLOOKUP(I197,customers_clean!$A$2:$A$701,customers_clean!$N$2:$N$701)</f>
        <v>3384712663</v>
      </c>
      <c r="R197" s="9" t="str">
        <f t="array" ref="R197">XLOOKUP(I197,customers_clean!$A$2:$A$701,customers_clean!$Q$2:$Q$701)</f>
        <v>❌ INVALID</v>
      </c>
      <c r="S197" s="10" t="s">
        <v>25</v>
      </c>
      <c r="T197" s="2" t="s">
        <v>778</v>
      </c>
      <c r="U197" s="2" t="s">
        <v>60</v>
      </c>
      <c r="V197" s="2" t="s">
        <v>729</v>
      </c>
      <c r="W197" s="9" t="str">
        <f t="array" ref="W197">IF(ISNA(XLOOKUP(V197,products_master_corrected!$A$2:$A$151,products_master_corrected!$A$2:$A$151, NA())),
    "❌ MISSING SKU", "✅")</f>
        <v>✅</v>
      </c>
      <c r="X197" s="2" t="s">
        <v>62</v>
      </c>
      <c r="Y197" s="2" t="s">
        <v>730</v>
      </c>
      <c r="Z197" s="10" t="s">
        <v>63</v>
      </c>
      <c r="AA197" s="27">
        <v>1.0</v>
      </c>
      <c r="AB197" s="9" t="s">
        <v>8649</v>
      </c>
      <c r="AC197" s="28">
        <f t="array" ref="AC197">XLOOKUP(V197,products_master_corrected!$A$2:$A$151,products_master_corrected!$E$2:$E$151)</f>
        <v>59.89</v>
      </c>
      <c r="AD197" s="28">
        <f t="shared" si="24"/>
        <v>59.89</v>
      </c>
      <c r="AE197" s="28">
        <f t="array" ref="AE197">XLOOKUP(V197,products_master_corrected!$A$2:$A$151,products_master_corrected!$K$2:$K$151)</f>
        <v>308.13</v>
      </c>
      <c r="AF197" s="29">
        <f t="shared" si="25"/>
        <v>308.13</v>
      </c>
      <c r="AG197" s="30" t="s">
        <v>95</v>
      </c>
      <c r="AH197" s="2" t="s">
        <v>181</v>
      </c>
      <c r="AI197" s="10" t="s">
        <v>181</v>
      </c>
      <c r="AJ197" s="2" t="s">
        <v>80</v>
      </c>
      <c r="AK197" s="10" t="s">
        <v>80</v>
      </c>
    </row>
    <row r="198" ht="15.75" customHeight="1">
      <c r="A198" s="2" t="s">
        <v>3326</v>
      </c>
      <c r="B198" s="12" t="s">
        <v>3327</v>
      </c>
      <c r="C198" s="2" t="str">
        <f>IFERROR(__xludf.DUMMYFUNCTION("IF(ISNUMBER(B198),TEXT(B198,""yyyy-MM-dd""),REGEXREPLACE(REGEXREPLACE(TO_TEXT(B198),""[^0-9a-zA-Z]+"",""-""),""[^0-9]*$"",""""))"),"44958-18-32")</f>
        <v>44958-18-32</v>
      </c>
      <c r="D198" s="2" t="str">
        <f>TEXT(C198,"yyyy-MM-dd")</f>
        <v>44958-18-32</v>
      </c>
      <c r="E198" s="25" t="str">
        <f>CONCATENATE(LEFT(D198,5))</f>
        <v>44958</v>
      </c>
      <c r="F198" s="12">
        <f>DATE(1900,1,1) + E198 - 1</f>
        <v>44959</v>
      </c>
      <c r="G198" s="2" t="s">
        <v>7749</v>
      </c>
      <c r="H198" s="10" t="s">
        <v>7749</v>
      </c>
      <c r="I198" s="2" t="s">
        <v>3328</v>
      </c>
      <c r="J198" s="26" t="str">
        <f t="array" ref="J198">IF(ISNA(XLOOKUP(I198,customers_clean!$A$2:$A$701,customers_clean!$A$2:$A$701, NA()) ),
   "❌ MISSING CUSTOMER", "✅")</f>
        <v>✅</v>
      </c>
      <c r="K198" s="2" t="str">
        <f t="array" ref="K198">XLOOKUP(I198,customers_clean!$A$2:$A$701,customers_clean!$C$2:$C$701)</f>
        <v> Vlad Kowalski</v>
      </c>
      <c r="L198" s="10" t="str">
        <f t="array" ref="L198">XLOOKUP(I198,customers_clean!$A$2:$A$701,customers_clean!$D$2:$D$701)</f>
        <v>Vlad Kowalski</v>
      </c>
      <c r="M198" s="2" t="str">
        <f t="array" ref="M198">XLOOKUP(I198,customers_clean!$A$2:$A$701,customers_clean!$I$2:$I$701)</f>
        <v>vlad.kowalski@yahoo.com</v>
      </c>
      <c r="N198" s="10" t="str">
        <f t="array" ref="N198">XLOOKUP(I198,customers_clean!$A$2:$A$701,customers_clean!$H$2:$H$701)</f>
        <v>vlad.kowalski@yahoo.com</v>
      </c>
      <c r="O198" s="9" t="str">
        <f>IFERROR(__xludf.DUMMYFUNCTION("IF(REGEXMATCH(TRIM(N198),""^[A-Za-z0-9._%+-]+@[A-Za-z0-9.-]+\.[A-Za-z]{2,}$""),""✅ Valid"",""❌ Invalid"")"),"✅ Valid")</f>
        <v>✅ Valid</v>
      </c>
      <c r="P198" s="2">
        <f t="array" ref="P198">XLOOKUP(I198,customers_clean!$A$2:$A$701,customers_clean!$K$2:$K$701)</f>
        <v>493384712663</v>
      </c>
      <c r="Q198" s="10" t="str">
        <f t="array" ref="Q198">XLOOKUP(I198,customers_clean!$A$2:$A$701,customers_clean!$N$2:$N$701)</f>
        <v>3384712663</v>
      </c>
      <c r="R198" s="9" t="str">
        <f t="array" ref="R198">XLOOKUP(I198,customers_clean!$A$2:$A$701,customers_clean!$Q$2:$Q$701)</f>
        <v>❌ INVALID</v>
      </c>
      <c r="S198" s="10" t="s">
        <v>25</v>
      </c>
      <c r="T198" s="2" t="s">
        <v>1167</v>
      </c>
      <c r="U198" s="2" t="s">
        <v>333</v>
      </c>
      <c r="V198" s="2" t="s">
        <v>1476</v>
      </c>
      <c r="W198" s="9" t="str">
        <f t="array" ref="W198">IF(ISNA(XLOOKUP(V198,products_master_corrected!$A$2:$A$151,products_master_corrected!$A$2:$A$151, NA())),
    "❌ MISSING SKU", "✅")</f>
        <v>✅</v>
      </c>
      <c r="X198" s="2" t="s">
        <v>1147</v>
      </c>
      <c r="Y198" s="2" t="s">
        <v>1477</v>
      </c>
      <c r="Z198" s="10" t="s">
        <v>248</v>
      </c>
      <c r="AA198" s="27">
        <v>1.0</v>
      </c>
      <c r="AB198" s="9" t="s">
        <v>8649</v>
      </c>
      <c r="AC198" s="28">
        <f t="array" ref="AC198">XLOOKUP(V198,products_master_corrected!$A$2:$A$151,products_master_corrected!$E$2:$E$151)</f>
        <v>147.92</v>
      </c>
      <c r="AD198" s="28">
        <f t="shared" si="24"/>
        <v>147.92</v>
      </c>
      <c r="AE198" s="28">
        <f t="array" ref="AE198">XLOOKUP(V198,products_master_corrected!$A$2:$A$151,products_master_corrected!$K$2:$K$151)</f>
        <v>761.05</v>
      </c>
      <c r="AF198" s="29">
        <f t="shared" si="25"/>
        <v>761.05</v>
      </c>
      <c r="AG198" s="30" t="s">
        <v>95</v>
      </c>
      <c r="AH198" s="2" t="s">
        <v>49</v>
      </c>
      <c r="AI198" s="10" t="s">
        <v>49</v>
      </c>
      <c r="AJ198" s="2" t="s">
        <v>380</v>
      </c>
      <c r="AK198" s="10" t="s">
        <v>80</v>
      </c>
      <c r="AL198" s="2" t="s">
        <v>67</v>
      </c>
    </row>
    <row r="199" ht="15.75" customHeight="1">
      <c r="A199" s="2" t="s">
        <v>5904</v>
      </c>
      <c r="B199" s="12">
        <v>45121.6625</v>
      </c>
      <c r="C199" s="2" t="str">
        <f>IFERROR(__xludf.DUMMYFUNCTION("IF(ISNUMBER(B199),TEXT(B199,""yyyy-MM-dd""),REGEXREPLACE(REGEXREPLACE(TO_TEXT(B199),""[^0-9a-zA-Z]+"",""-""),""[^0-9]*$"",""""))"),"2023-07-14")</f>
        <v>2023-07-14</v>
      </c>
      <c r="D199" s="2" t="s">
        <v>8748</v>
      </c>
      <c r="H199" s="10" t="s">
        <v>8748</v>
      </c>
      <c r="I199" s="2" t="s">
        <v>5906</v>
      </c>
      <c r="J199" s="26" t="str">
        <f t="array" ref="J199">IF(ISNA(XLOOKUP(I199,customers_clean!$A$2:$A$701,customers_clean!$A$2:$A$701, NA()) ),
   "❌ MISSING CUSTOMER", "✅")</f>
        <v>✅</v>
      </c>
      <c r="K199" s="2" t="str">
        <f t="array" ref="K199">XLOOKUP(I199,customers_clean!$A$2:$A$701,customers_clean!$C$2:$C$701)</f>
        <v>Omar Martinez</v>
      </c>
      <c r="L199" s="10" t="str">
        <f t="array" ref="L199">XLOOKUP(I199,customers_clean!$A$2:$A$701,customers_clean!$D$2:$D$701)</f>
        <v>Omar Martinez</v>
      </c>
      <c r="M199" s="2" t="str">
        <f t="array" ref="M199">XLOOKUP(I199,customers_clean!$A$2:$A$701,customers_clean!$I$2:$I$701)</f>
        <v>omar.martinez@outlook.com</v>
      </c>
      <c r="N199" s="10" t="str">
        <f t="array" ref="N199">XLOOKUP(I199,customers_clean!$A$2:$A$701,customers_clean!$H$2:$H$701)</f>
        <v>omar.martinez@outlook.com</v>
      </c>
      <c r="O199" s="9" t="str">
        <f>IFERROR(__xludf.DUMMYFUNCTION("IF(REGEXMATCH(TRIM(N199),""^[A-Za-z0-9._%+-]+@[A-Za-z0-9.-]+\.[A-Za-z]{2,}$""),""✅ Valid"",""❌ Invalid"")"),"✅ Valid")</f>
        <v>✅ Valid</v>
      </c>
      <c r="P199" s="33" t="str">
        <f t="array" ref="P199">XLOOKUP(I199,customers_clean!$A$2:$A$701,customers_clean!$K$2:$K$701)</f>
        <v>+48+326934474</v>
      </c>
      <c r="Q199" s="10" t="str">
        <f t="array" ref="Q199">XLOOKUP(I199,customers_clean!$A$2:$A$701,customers_clean!$N$2:$N$701)</f>
        <v>326934474</v>
      </c>
      <c r="R199" s="9" t="str">
        <f t="array" ref="R199">XLOOKUP(I199,customers_clean!$A$2:$A$701,customers_clean!$Q$2:$Q$701)</f>
        <v>❌ INVALID</v>
      </c>
      <c r="S199" s="10" t="s">
        <v>448</v>
      </c>
      <c r="T199" s="2" t="s">
        <v>42</v>
      </c>
      <c r="U199" s="2" t="s">
        <v>116</v>
      </c>
      <c r="V199" s="2" t="s">
        <v>61</v>
      </c>
      <c r="W199" s="9" t="str">
        <f t="array" ref="W199">IF(ISNA(XLOOKUP(V199,products_master_corrected!$A$2:$A$151,products_master_corrected!$A$2:$A$151, NA())),
    "❌ MISSING SKU", "✅")</f>
        <v>✅</v>
      </c>
      <c r="X199" s="2" t="s">
        <v>62</v>
      </c>
      <c r="Y199" s="2" t="s">
        <v>63</v>
      </c>
      <c r="Z199" s="10" t="s">
        <v>63</v>
      </c>
      <c r="AA199" s="27">
        <v>2.0</v>
      </c>
      <c r="AB199" s="9" t="s">
        <v>8649</v>
      </c>
      <c r="AC199" s="28">
        <f t="array" ref="AC199">XLOOKUP(V199,products_master_corrected!$A$2:$A$151,products_master_corrected!$E$2:$E$151)</f>
        <v>62.81</v>
      </c>
      <c r="AD199" s="28">
        <f t="shared" si="24"/>
        <v>125.62</v>
      </c>
      <c r="AE199" s="28">
        <f t="array" ref="AE199">XLOOKUP(V199,products_master_corrected!$A$2:$A$151,products_master_corrected!$M$2:$M$151)</f>
        <v>75.97</v>
      </c>
      <c r="AF199" s="29">
        <f t="shared" si="25"/>
        <v>151.94</v>
      </c>
      <c r="AG199" s="30" t="s">
        <v>48</v>
      </c>
      <c r="AH199" s="2" t="s">
        <v>505</v>
      </c>
      <c r="AI199" s="10" t="s">
        <v>181</v>
      </c>
      <c r="AJ199" s="2" t="s">
        <v>380</v>
      </c>
      <c r="AK199" s="10" t="s">
        <v>80</v>
      </c>
      <c r="AL199" s="2" t="s">
        <v>81</v>
      </c>
    </row>
    <row r="200" ht="15.75" customHeight="1">
      <c r="A200" s="2" t="s">
        <v>5100</v>
      </c>
      <c r="B200" s="12">
        <v>44991.0</v>
      </c>
      <c r="C200" s="2" t="str">
        <f>IFERROR(__xludf.DUMMYFUNCTION("IF(ISNUMBER(B200),TEXT(B200,""yyyy-MM-dd""),REGEXREPLACE(REGEXREPLACE(TO_TEXT(B200),""[^0-9a-zA-Z]+"",""-""),""[^0-9]*$"",""""))"),"2023-03-06")</f>
        <v>2023-03-06</v>
      </c>
      <c r="D200" s="2" t="s">
        <v>7814</v>
      </c>
      <c r="H200" s="10" t="s">
        <v>7814</v>
      </c>
      <c r="I200" s="2" t="s">
        <v>5102</v>
      </c>
      <c r="J200" s="26" t="str">
        <f t="array" ref="J200">IF(ISNA(XLOOKUP(I200,customers_clean!$A$2:$A$701,customers_clean!$A$2:$A$701, NA()) ),
   "❌ MISSING CUSTOMER", "✅")</f>
        <v>✅</v>
      </c>
      <c r="K200" s="2" t="str">
        <f t="array" ref="K200">XLOOKUP(I200,customers_clean!$A$2:$A$701,customers_clean!$C$2:$C$701)</f>
        <v> Omar Martinez</v>
      </c>
      <c r="L200" s="10" t="str">
        <f t="array" ref="L200">XLOOKUP(I200,customers_clean!$A$2:$A$701,customers_clean!$D$2:$D$701)</f>
        <v>Omar Martinez</v>
      </c>
      <c r="M200" s="2" t="str">
        <f t="array" ref="M200">XLOOKUP(I200,customers_clean!$A$2:$A$701,customers_clean!$I$2:$I$701)</f>
        <v> omar.martinez@outlook.com</v>
      </c>
      <c r="N200" s="10" t="str">
        <f t="array" ref="N200">XLOOKUP(I200,customers_clean!$A$2:$A$701,customers_clean!$H$2:$H$701)</f>
        <v>omar.martinez@outlook.com</v>
      </c>
      <c r="O200" s="9" t="str">
        <f>IFERROR(__xludf.DUMMYFUNCTION("IF(REGEXMATCH(TRIM(N200),""^[A-Za-z0-9._%+-]+@[A-Za-z0-9.-]+\.[A-Za-z]{2,}$""),""✅ Valid"",""❌ Invalid"")"),"✅ Valid")</f>
        <v>✅ Valid</v>
      </c>
      <c r="P200" s="33" t="str">
        <f t="array" ref="P200">XLOOKUP(I200,customers_clean!$A$2:$A$701,customers_clean!$K$2:$K$701)</f>
        <v>tel:+4872663031</v>
      </c>
      <c r="Q200" s="10" t="str">
        <f t="array" ref="Q200">XLOOKUP(I200,customers_clean!$A$2:$A$701,customers_clean!$N$2:$N$701)</f>
        <v>72663031</v>
      </c>
      <c r="R200" s="9" t="str">
        <f t="array" ref="R200">XLOOKUP(I200,customers_clean!$A$2:$A$701,customers_clean!$Q$2:$Q$701)</f>
        <v>❌ INVALID</v>
      </c>
      <c r="S200" s="10" t="s">
        <v>58</v>
      </c>
      <c r="T200" s="2" t="s">
        <v>152</v>
      </c>
      <c r="U200" s="2" t="s">
        <v>1207</v>
      </c>
      <c r="V200" s="2" t="s">
        <v>471</v>
      </c>
      <c r="W200" s="9" t="str">
        <f t="array" ref="W200">IF(ISNA(XLOOKUP(V200,products_master_corrected!$A$2:$A$151,products_master_corrected!$A$2:$A$151, NA())),
    "❌ MISSING SKU", "✅")</f>
        <v>✅</v>
      </c>
      <c r="X200" s="2" t="s">
        <v>29</v>
      </c>
      <c r="Y200" s="2" t="s">
        <v>179</v>
      </c>
      <c r="Z200" s="10" t="s">
        <v>179</v>
      </c>
      <c r="AA200" s="27">
        <v>1.0</v>
      </c>
      <c r="AB200" s="9" t="s">
        <v>8649</v>
      </c>
      <c r="AC200" s="28">
        <f t="array" ref="AC200">XLOOKUP(V200,products_master_corrected!$A$2:$A$151,products_master_corrected!$E$2:$E$151)</f>
        <v>71.8</v>
      </c>
      <c r="AD200" s="28">
        <f t="shared" si="24"/>
        <v>71.8</v>
      </c>
      <c r="AE200" s="28">
        <f t="array" ref="AE200">XLOOKUP(V200,products_master_corrected!$A$2:$A$151,products_master_corrected!$G$2:$G$151)</f>
        <v>82.2</v>
      </c>
      <c r="AF200" s="29">
        <f t="shared" si="25"/>
        <v>82.2</v>
      </c>
      <c r="AG200" s="32" t="s">
        <v>8663</v>
      </c>
      <c r="AH200" s="2" t="s">
        <v>204</v>
      </c>
      <c r="AI200" s="10" t="s">
        <v>143</v>
      </c>
      <c r="AJ200" s="2" t="s">
        <v>132</v>
      </c>
      <c r="AK200" s="10" t="s">
        <v>192</v>
      </c>
    </row>
    <row r="201" ht="15.75" customHeight="1">
      <c r="A201" s="2" t="s">
        <v>2116</v>
      </c>
      <c r="B201" s="12">
        <v>45589.0</v>
      </c>
      <c r="C201" s="2" t="str">
        <f>IFERROR(__xludf.DUMMYFUNCTION("IF(ISNUMBER(B201),TEXT(B201,""yyyy-MM-dd""),REGEXREPLACE(REGEXREPLACE(TO_TEXT(B201),""[^0-9a-zA-Z]+"",""-""),""[^0-9]*$"",""""))"),"2024-10-24")</f>
        <v>2024-10-24</v>
      </c>
      <c r="D201" s="2" t="s">
        <v>8749</v>
      </c>
      <c r="H201" s="10" t="s">
        <v>8749</v>
      </c>
      <c r="I201" s="2" t="s">
        <v>254</v>
      </c>
      <c r="J201" s="26" t="str">
        <f t="array" ref="J201">IF(ISNA(XLOOKUP(I201,customers_clean!$A$2:$A$701,customers_clean!$A$2:$A$701, NA()) ),
   "❌ MISSING CUSTOMER", "✅")</f>
        <v>✅</v>
      </c>
      <c r="K201" s="2" t="str">
        <f t="array" ref="K201">XLOOKUP(I201,customers_clean!$A$2:$A$701,customers_clean!$C$2:$C$701)</f>
        <v>Wiktor Rossi</v>
      </c>
      <c r="L201" s="10" t="str">
        <f t="array" ref="L201">XLOOKUP(I201,customers_clean!$A$2:$A$701,customers_clean!$D$2:$D$701)</f>
        <v>Wiktor Rossi</v>
      </c>
      <c r="M201" s="2" t="str">
        <f t="array" ref="M201">XLOOKUP(I201,customers_clean!$A$2:$A$701,customers_clean!$I$2:$I$701)</f>
        <v> wiktor.rossi@example.com</v>
      </c>
      <c r="N201" s="10" t="str">
        <f t="array" ref="N201">XLOOKUP(I201,customers_clean!$A$2:$A$701,customers_clean!$H$2:$H$701)</f>
        <v>wiktor.rossi@example.com</v>
      </c>
      <c r="O201" s="9" t="str">
        <f>IFERROR(__xludf.DUMMYFUNCTION("IF(REGEXMATCH(TRIM(N201),""^[A-Za-z0-9._%+-]+@[A-Za-z0-9.-]+\.[A-Za-z]{2,}$""),""✅ Valid"",""❌ Invalid"")"),"✅ Valid")</f>
        <v>✅ Valid</v>
      </c>
      <c r="P201" s="2" t="str">
        <f t="array" ref="P201">XLOOKUP(I201,customers_clean!$A$2:$A$701,customers_clean!$K$2:$K$701)</f>
        <v>880-617-4178</v>
      </c>
      <c r="Q201" s="10" t="str">
        <f t="array" ref="Q201">XLOOKUP(I201,customers_clean!$A$2:$A$701,customers_clean!$N$2:$N$701)</f>
        <v>8806174178</v>
      </c>
      <c r="R201" s="9" t="str">
        <f t="array" ref="R201">XLOOKUP(I201,customers_clean!$A$2:$A$701,customers_clean!$Q$2:$Q$701)</f>
        <v>✅ VALID</v>
      </c>
      <c r="S201" s="10" t="s">
        <v>88</v>
      </c>
      <c r="T201" s="2" t="s">
        <v>115</v>
      </c>
      <c r="U201" s="2" t="s">
        <v>176</v>
      </c>
      <c r="V201" s="2" t="s">
        <v>1109</v>
      </c>
      <c r="W201" s="9" t="str">
        <f t="array" ref="W201">IF(ISNA(XLOOKUP(V201,products_master_corrected!$A$2:$A$151,products_master_corrected!$A$2:$A$151, NA())),
    "❌ MISSING SKU", "✅")</f>
        <v>✅</v>
      </c>
      <c r="X201" s="2" t="s">
        <v>62</v>
      </c>
      <c r="Y201" s="2" t="s">
        <v>826</v>
      </c>
      <c r="Z201" s="10" t="s">
        <v>63</v>
      </c>
      <c r="AA201" s="27">
        <v>2.0</v>
      </c>
      <c r="AB201" s="9" t="s">
        <v>8649</v>
      </c>
      <c r="AC201" s="28">
        <f t="array" ref="AC201">XLOOKUP(V201,products_master_corrected!$A$2:$A$151,products_master_corrected!$E$2:$E$151)</f>
        <v>115.14</v>
      </c>
      <c r="AD201" s="28">
        <f t="shared" si="24"/>
        <v>230.28</v>
      </c>
      <c r="AE201" s="28">
        <f t="array" ref="AE201">XLOOKUP(V201,products_master_corrected!$A$2:$A$151,products_master_corrected!$I$2:$I$151)</f>
        <v>126.93</v>
      </c>
      <c r="AF201" s="29">
        <f t="shared" si="25"/>
        <v>253.86</v>
      </c>
      <c r="AG201" s="32" t="s">
        <v>8660</v>
      </c>
      <c r="AH201" s="2" t="s">
        <v>49</v>
      </c>
      <c r="AI201" s="10" t="s">
        <v>49</v>
      </c>
      <c r="AJ201" s="2" t="s">
        <v>294</v>
      </c>
      <c r="AK201" s="10" t="s">
        <v>80</v>
      </c>
    </row>
    <row r="202" ht="15.75" customHeight="1">
      <c r="A202" s="2" t="s">
        <v>252</v>
      </c>
      <c r="B202" s="12">
        <v>45484.0</v>
      </c>
      <c r="C202" s="2" t="str">
        <f>IFERROR(__xludf.DUMMYFUNCTION("IF(ISNUMBER(B202),TEXT(B202,""yyyy-MM-dd""),REGEXREPLACE(REGEXREPLACE(TO_TEXT(B202),""[^0-9a-zA-Z]+"",""-""),""[^0-9]*$"",""""))"),"2024-07-11")</f>
        <v>2024-07-11</v>
      </c>
      <c r="D202" s="2" t="s">
        <v>8742</v>
      </c>
      <c r="H202" s="10" t="s">
        <v>8742</v>
      </c>
      <c r="I202" s="2" t="s">
        <v>254</v>
      </c>
      <c r="J202" s="26" t="str">
        <f t="array" ref="J202">IF(ISNA(XLOOKUP(I202,customers_clean!$A$2:$A$701,customers_clean!$A$2:$A$701, NA()) ),
   "❌ MISSING CUSTOMER", "✅")</f>
        <v>✅</v>
      </c>
      <c r="K202" s="2" t="str">
        <f t="array" ref="K202">XLOOKUP(I202,customers_clean!$A$2:$A$701,customers_clean!$C$2:$C$701)</f>
        <v>Wiktor Rossi</v>
      </c>
      <c r="L202" s="10" t="str">
        <f t="array" ref="L202">XLOOKUP(I202,customers_clean!$A$2:$A$701,customers_clean!$D$2:$D$701)</f>
        <v>Wiktor Rossi</v>
      </c>
      <c r="M202" s="2" t="str">
        <f t="array" ref="M202">XLOOKUP(I202,customers_clean!$A$2:$A$701,customers_clean!$I$2:$I$701)</f>
        <v> wiktor.rossi@example.com</v>
      </c>
      <c r="N202" s="10" t="str">
        <f t="array" ref="N202">XLOOKUP(I202,customers_clean!$A$2:$A$701,customers_clean!$H$2:$H$701)</f>
        <v>wiktor.rossi@example.com</v>
      </c>
      <c r="O202" s="9" t="str">
        <f>IFERROR(__xludf.DUMMYFUNCTION("IF(REGEXMATCH(TRIM(N202),""^[A-Za-z0-9._%+-]+@[A-Za-z0-9.-]+\.[A-Za-z]{2,}$""),""✅ Valid"",""❌ Invalid"")"),"✅ Valid")</f>
        <v>✅ Valid</v>
      </c>
      <c r="P202" s="2" t="str">
        <f t="array" ref="P202">XLOOKUP(I202,customers_clean!$A$2:$A$701,customers_clean!$K$2:$K$701)</f>
        <v>880-617-4178</v>
      </c>
      <c r="Q202" s="10" t="str">
        <f t="array" ref="Q202">XLOOKUP(I202,customers_clean!$A$2:$A$701,customers_clean!$N$2:$N$701)</f>
        <v>8806174178</v>
      </c>
      <c r="R202" s="9" t="str">
        <f t="array" ref="R202">XLOOKUP(I202,customers_clean!$A$2:$A$701,customers_clean!$Q$2:$Q$701)</f>
        <v>✅ VALID</v>
      </c>
      <c r="S202" s="10" t="s">
        <v>88</v>
      </c>
      <c r="T202" s="2" t="s">
        <v>223</v>
      </c>
      <c r="U202" s="2" t="s">
        <v>60</v>
      </c>
      <c r="V202" s="2" t="s">
        <v>258</v>
      </c>
      <c r="W202" s="9" t="str">
        <f t="array" ref="W202">IF(ISNA(XLOOKUP(V202,products_master_corrected!$A$2:$A$151,products_master_corrected!$A$2:$A$151, NA())),
    "❌ MISSING SKU", "✅")</f>
        <v>✅</v>
      </c>
      <c r="X202" s="2" t="s">
        <v>259</v>
      </c>
      <c r="Y202" s="2" t="s">
        <v>214</v>
      </c>
      <c r="Z202" s="10" t="s">
        <v>368</v>
      </c>
      <c r="AA202" s="27">
        <v>1.0</v>
      </c>
      <c r="AB202" s="9" t="s">
        <v>8649</v>
      </c>
      <c r="AC202" s="28">
        <f t="array" ref="AC202">XLOOKUP(V202,products_master_corrected!$A$2:$A$151,products_master_corrected!$E$2:$E$151)</f>
        <v>15.73</v>
      </c>
      <c r="AD202" s="28">
        <f t="shared" si="24"/>
        <v>15.73</v>
      </c>
      <c r="AE202" s="28">
        <f t="array" ref="AE202">XLOOKUP(V202,products_master_corrected!$A$2:$A$151,products_master_corrected!$I$2:$I$151)</f>
        <v>17.34</v>
      </c>
      <c r="AF202" s="29">
        <f t="shared" si="25"/>
        <v>17.34</v>
      </c>
      <c r="AG202" s="32" t="s">
        <v>8660</v>
      </c>
      <c r="AH202" s="2" t="s">
        <v>143</v>
      </c>
      <c r="AI202" s="10" t="s">
        <v>143</v>
      </c>
      <c r="AJ202" s="2" t="s">
        <v>261</v>
      </c>
      <c r="AK202" s="10" t="s">
        <v>261</v>
      </c>
      <c r="AL202" s="2" t="s">
        <v>133</v>
      </c>
    </row>
    <row r="203" ht="15.75" customHeight="1">
      <c r="A203" s="2" t="s">
        <v>394</v>
      </c>
      <c r="B203" s="12" t="s">
        <v>395</v>
      </c>
      <c r="C203" s="2" t="str">
        <f>IFERROR(__xludf.DUMMYFUNCTION("IF(ISNUMBER(B203),TEXT(B203,""yyyy-MM-dd""),REGEXREPLACE(REGEXREPLACE(TO_TEXT(B203),""[^0-9a-zA-Z]+"",""-""),""[^0-9]*$"",""""))"),"07-19-2024")</f>
        <v>07-19-2024</v>
      </c>
      <c r="D203" s="2" t="str">
        <f>TEXT(C203,"yyyy-MM-dd")</f>
        <v>07-19-2024</v>
      </c>
      <c r="E203" s="2" t="s">
        <v>1339</v>
      </c>
      <c r="H203" s="10" t="s">
        <v>1339</v>
      </c>
      <c r="I203" s="2" t="s">
        <v>396</v>
      </c>
      <c r="J203" s="26" t="str">
        <f t="array" ref="J203">IF(ISNA(XLOOKUP(I203,customers_clean!$A$2:$A$701,customers_clean!$A$2:$A$701, NA()) ),
   "❌ MISSING CUSTOMER", "✅")</f>
        <v>✅</v>
      </c>
      <c r="K203" s="2" t="str">
        <f t="array" ref="K203">XLOOKUP(I203,customers_clean!$A$2:$A$701,customers_clean!$C$2:$C$701)</f>
        <v>Sam Martinez </v>
      </c>
      <c r="L203" s="10" t="str">
        <f t="array" ref="L203">XLOOKUP(I203,customers_clean!$A$2:$A$701,customers_clean!$D$2:$D$701)</f>
        <v>Sam Martinez</v>
      </c>
      <c r="M203" s="2" t="str">
        <f t="array" ref="M203">XLOOKUP(I203,customers_clean!$A$2:$A$701,customers_clean!$I$2:$I$701)</f>
        <v>SAM.MARTINEZ@YAHOO.COM</v>
      </c>
      <c r="N203" s="10" t="str">
        <f t="array" ref="N203">XLOOKUP(I203,customers_clean!$A$2:$A$701,customers_clean!$H$2:$H$701)</f>
        <v>sam.martinez@yahoo.com</v>
      </c>
      <c r="O203" s="9" t="str">
        <f>IFERROR(__xludf.DUMMYFUNCTION("IF(REGEXMATCH(TRIM(N203),""^[A-Za-z0-9._%+-]+@[A-Za-z0-9.-]+\.[A-Za-z]{2,}$""),""✅ Valid"",""❌ Invalid"")"),"✅ Valid")</f>
        <v>✅ Valid</v>
      </c>
      <c r="P203" s="2" t="str">
        <f t="array" ref="P203">XLOOKUP(I203,customers_clean!$A$2:$A$701,customers_clean!$K$2:$K$701)</f>
        <v>+33-043-81777</v>
      </c>
      <c r="Q203" s="10" t="str">
        <f t="array" ref="Q203">XLOOKUP(I203,customers_clean!$A$2:$A$701,customers_clean!$N$2:$N$701)</f>
        <v>04381777</v>
      </c>
      <c r="R203" s="9" t="str">
        <f t="array" ref="R203">XLOOKUP(I203,customers_clean!$A$2:$A$701,customers_clean!$Q$2:$Q$701)</f>
        <v>❌ INVALID</v>
      </c>
      <c r="S203" s="10" t="s">
        <v>114</v>
      </c>
      <c r="T203" s="2" t="s">
        <v>400</v>
      </c>
      <c r="U203" s="2" t="s">
        <v>401</v>
      </c>
      <c r="V203" s="2" t="s">
        <v>402</v>
      </c>
      <c r="W203" s="9" t="str">
        <f t="array" ref="W203">IF(ISNA(XLOOKUP(V203,products_master_corrected!$A$2:$A$151,products_master_corrected!$A$2:$A$151, NA())),
    "❌ MISSING SKU", "✅")</f>
        <v>✅</v>
      </c>
      <c r="X203" s="2" t="s">
        <v>403</v>
      </c>
      <c r="Y203" s="2" t="s">
        <v>404</v>
      </c>
      <c r="Z203" s="10" t="s">
        <v>248</v>
      </c>
      <c r="AA203" s="27">
        <v>1.0</v>
      </c>
      <c r="AB203" s="9" t="s">
        <v>8649</v>
      </c>
      <c r="AC203" s="28">
        <f t="array" ref="AC203">XLOOKUP(V203,products_master_corrected!$A$2:$A$151,products_master_corrected!$E$2:$E$151)</f>
        <v>20.48</v>
      </c>
      <c r="AD203" s="28">
        <f t="shared" si="24"/>
        <v>20.48</v>
      </c>
      <c r="AE203" s="28">
        <f t="array" ref="AE203">XLOOKUP(V203,products_master_corrected!$A$2:$A$151,products_master_corrected!$F$2:$F$151)</f>
        <v>20.48</v>
      </c>
      <c r="AF203" s="29">
        <f t="shared" si="25"/>
        <v>20.48</v>
      </c>
      <c r="AG203" s="30" t="s">
        <v>65</v>
      </c>
      <c r="AH203" s="2" t="s">
        <v>33</v>
      </c>
      <c r="AI203" s="10" t="s">
        <v>181</v>
      </c>
      <c r="AJ203" s="2" t="s">
        <v>80</v>
      </c>
      <c r="AK203" s="10" t="s">
        <v>80</v>
      </c>
    </row>
    <row r="204" ht="15.75" customHeight="1">
      <c r="A204" s="2" t="s">
        <v>5400</v>
      </c>
      <c r="B204" s="12">
        <v>45869.0</v>
      </c>
      <c r="C204" s="2" t="str">
        <f>IFERROR(__xludf.DUMMYFUNCTION("IF(ISNUMBER(B204),TEXT(B204,""yyyy-MM-dd""),REGEXREPLACE(REGEXREPLACE(TO_TEXT(B204),""[^0-9a-zA-Z]+"",""-""),""[^0-9]*$"",""""))"),"2025-07-31")</f>
        <v>2025-07-31</v>
      </c>
      <c r="D204" s="2" t="s">
        <v>5401</v>
      </c>
      <c r="H204" s="10" t="s">
        <v>5401</v>
      </c>
      <c r="I204" s="2" t="s">
        <v>396</v>
      </c>
      <c r="J204" s="26" t="str">
        <f t="array" ref="J204">IF(ISNA(XLOOKUP(I204,customers_clean!$A$2:$A$701,customers_clean!$A$2:$A$701, NA()) ),
   "❌ MISSING CUSTOMER", "✅")</f>
        <v>✅</v>
      </c>
      <c r="K204" s="2" t="str">
        <f t="array" ref="K204">XLOOKUP(I204,customers_clean!$A$2:$A$701,customers_clean!$C$2:$C$701)</f>
        <v>Sam Martinez </v>
      </c>
      <c r="L204" s="10" t="str">
        <f t="array" ref="L204">XLOOKUP(I204,customers_clean!$A$2:$A$701,customers_clean!$D$2:$D$701)</f>
        <v>Sam Martinez</v>
      </c>
      <c r="M204" s="2" t="str">
        <f t="array" ref="M204">XLOOKUP(I204,customers_clean!$A$2:$A$701,customers_clean!$I$2:$I$701)</f>
        <v>SAM.MARTINEZ@YAHOO.COM</v>
      </c>
      <c r="N204" s="10" t="str">
        <f t="array" ref="N204">XLOOKUP(I204,customers_clean!$A$2:$A$701,customers_clean!$H$2:$H$701)</f>
        <v>sam.martinez@yahoo.com</v>
      </c>
      <c r="O204" s="9" t="str">
        <f>IFERROR(__xludf.DUMMYFUNCTION("IF(REGEXMATCH(TRIM(N204),""^[A-Za-z0-9._%+-]+@[A-Za-z0-9.-]+\.[A-Za-z]{2,}$""),""✅ Valid"",""❌ Invalid"")"),"✅ Valid")</f>
        <v>✅ Valid</v>
      </c>
      <c r="P204" s="2" t="str">
        <f t="array" ref="P204">XLOOKUP(I204,customers_clean!$A$2:$A$701,customers_clean!$K$2:$K$701)</f>
        <v>+33-043-81777</v>
      </c>
      <c r="Q204" s="10" t="str">
        <f t="array" ref="Q204">XLOOKUP(I204,customers_clean!$A$2:$A$701,customers_clean!$N$2:$N$701)</f>
        <v>04381777</v>
      </c>
      <c r="R204" s="9" t="str">
        <f t="array" ref="R204">XLOOKUP(I204,customers_clean!$A$2:$A$701,customers_clean!$Q$2:$Q$701)</f>
        <v>❌ INVALID</v>
      </c>
      <c r="S204" s="10" t="s">
        <v>114</v>
      </c>
      <c r="T204" s="2" t="s">
        <v>26</v>
      </c>
      <c r="U204" s="2" t="s">
        <v>211</v>
      </c>
      <c r="V204" s="2" t="s">
        <v>28</v>
      </c>
      <c r="W204" s="9" t="str">
        <f t="array" ref="W204">IF(ISNA(XLOOKUP(V204,products_master_corrected!$A$2:$A$151,products_master_corrected!$A$2:$A$151, NA())),
    "❌ MISSING SKU", "✅")</f>
        <v>✅</v>
      </c>
      <c r="X204" s="2" t="s">
        <v>29</v>
      </c>
      <c r="Y204" s="2" t="s">
        <v>30</v>
      </c>
      <c r="Z204" s="10" t="s">
        <v>179</v>
      </c>
      <c r="AA204" s="27">
        <v>2.0</v>
      </c>
      <c r="AB204" s="9" t="s">
        <v>8649</v>
      </c>
      <c r="AC204" s="28">
        <f t="array" ref="AC204">XLOOKUP(V204,products_master_corrected!$A$2:$A$151,products_master_corrected!$E$2:$E$151)</f>
        <v>145.2</v>
      </c>
      <c r="AD204" s="28">
        <f t="shared" si="24"/>
        <v>290.4</v>
      </c>
      <c r="AE204" s="28">
        <f t="array" ref="AE204">XLOOKUP(V204,products_master_corrected!$A$2:$A$151,products_master_corrected!$F$2:$F$151)</f>
        <v>145.2</v>
      </c>
      <c r="AF204" s="29">
        <f t="shared" si="25"/>
        <v>290.4</v>
      </c>
      <c r="AG204" s="30" t="s">
        <v>65</v>
      </c>
      <c r="AH204" s="2" t="s">
        <v>66</v>
      </c>
      <c r="AI204" s="10" t="s">
        <v>66</v>
      </c>
      <c r="AJ204" s="2" t="s">
        <v>1171</v>
      </c>
      <c r="AK204" s="10" t="s">
        <v>80</v>
      </c>
      <c r="AL204" s="2" t="s">
        <v>133</v>
      </c>
    </row>
    <row r="205" ht="15.75" customHeight="1">
      <c r="A205" s="2" t="s">
        <v>5543</v>
      </c>
      <c r="B205" s="12">
        <v>45734.21666666667</v>
      </c>
      <c r="C205" s="2" t="str">
        <f>IFERROR(__xludf.DUMMYFUNCTION("IF(ISNUMBER(B205),TEXT(B205,""yyyy-MM-dd""),REGEXREPLACE(REGEXREPLACE(TO_TEXT(B205),""[^0-9a-zA-Z]+"",""-""),""[^0-9]*$"",""""))"),"2025-03-18")</f>
        <v>2025-03-18</v>
      </c>
      <c r="D205" s="2" t="s">
        <v>8293</v>
      </c>
      <c r="H205" s="10" t="s">
        <v>8293</v>
      </c>
      <c r="I205" s="2" t="s">
        <v>2611</v>
      </c>
      <c r="J205" s="26" t="str">
        <f t="array" ref="J205">IF(ISNA(XLOOKUP(I205,customers_clean!$A$2:$A$701,customers_clean!$A$2:$A$701, NA()) ),
   "❌ MISSING CUSTOMER", "✅")</f>
        <v>✅</v>
      </c>
      <c r="K205" s="2" t="str">
        <f t="array" ref="K205">XLOOKUP(I205,customers_clean!$A$2:$A$701,customers_clean!$C$2:$C$701)</f>
        <v>ZACK WALKER</v>
      </c>
      <c r="L205" s="10" t="str">
        <f t="array" ref="L205">XLOOKUP(I205,customers_clean!$A$2:$A$701,customers_clean!$D$2:$D$701)</f>
        <v>Zack Walker</v>
      </c>
      <c r="M205" s="2" t="str">
        <f t="array" ref="M205">XLOOKUP(I205,customers_clean!$A$2:$A$701,customers_clean!$I$2:$I$701)</f>
        <v>Zack.Walker@Company.Co.Uk</v>
      </c>
      <c r="N205" s="10" t="str">
        <f t="array" ref="N205">XLOOKUP(I205,customers_clean!$A$2:$A$701,customers_clean!$H$2:$H$701)</f>
        <v>zack.walker@company.co.uk</v>
      </c>
      <c r="O205" s="9" t="str">
        <f>IFERROR(__xludf.DUMMYFUNCTION("IF(REGEXMATCH(TRIM(N205),""^[A-Za-z0-9._%+-]+@[A-Za-z0-9.-]+\.[A-Za-z]{2,}$""),""✅ Valid"",""❌ Invalid"")"),"✅ Valid")</f>
        <v>✅ Valid</v>
      </c>
      <c r="P205" s="2" t="str">
        <f t="array" ref="P205">XLOOKUP(I205,customers_clean!$A$2:$A$701,customers_clean!$K$2:$K$701)</f>
        <v>107556x056</v>
      </c>
      <c r="Q205" s="10" t="str">
        <f t="array" ref="Q205">XLOOKUP(I205,customers_clean!$A$2:$A$701,customers_clean!$N$2:$N$701)</f>
        <v>107556056</v>
      </c>
      <c r="R205" s="9" t="str">
        <f t="array" ref="R205">XLOOKUP(I205,customers_clean!$A$2:$A$701,customers_clean!$Q$2:$Q$701)</f>
        <v>❌ INVALID</v>
      </c>
      <c r="S205" s="10" t="s">
        <v>114</v>
      </c>
      <c r="T205" s="2" t="s">
        <v>152</v>
      </c>
      <c r="U205" s="2" t="s">
        <v>60</v>
      </c>
      <c r="V205" s="2" t="s">
        <v>948</v>
      </c>
      <c r="W205" s="9" t="str">
        <f t="array" ref="W205">IF(ISNA(XLOOKUP(V205,products_master_corrected!$A$2:$A$151,products_master_corrected!$A$2:$A$151, NA())),
    "❌ MISSING SKU", "✅")</f>
        <v>✅</v>
      </c>
      <c r="X205" s="2" t="s">
        <v>213</v>
      </c>
      <c r="Y205" s="2" t="s">
        <v>129</v>
      </c>
      <c r="Z205" s="10" t="s">
        <v>514</v>
      </c>
      <c r="AA205" s="27">
        <v>2.0</v>
      </c>
      <c r="AB205" s="9" t="s">
        <v>8649</v>
      </c>
      <c r="AC205" s="28">
        <f t="array" ref="AC205">XLOOKUP(V205,products_master_corrected!$A$2:$A$151,products_master_corrected!$E$2:$E$151)</f>
        <v>1470.18</v>
      </c>
      <c r="AD205" s="28">
        <f t="shared" si="24"/>
        <v>2940.36</v>
      </c>
      <c r="AE205" s="28">
        <f t="array" ref="AE205">XLOOKUP(V205,products_master_corrected!$A$2:$A$151,products_master_corrected!$F$2:$F$151)</f>
        <v>1470.18</v>
      </c>
      <c r="AF205" s="29">
        <f t="shared" si="25"/>
        <v>2940.36</v>
      </c>
      <c r="AG205" s="30" t="s">
        <v>65</v>
      </c>
      <c r="AH205" s="2" t="s">
        <v>181</v>
      </c>
      <c r="AI205" s="10" t="s">
        <v>181</v>
      </c>
      <c r="AJ205" s="2" t="s">
        <v>294</v>
      </c>
      <c r="AK205" s="10" t="s">
        <v>80</v>
      </c>
    </row>
    <row r="206" ht="15.75" customHeight="1">
      <c r="A206" s="2" t="s">
        <v>2609</v>
      </c>
      <c r="B206" s="12">
        <v>45280.0</v>
      </c>
      <c r="C206" s="2" t="str">
        <f>IFERROR(__xludf.DUMMYFUNCTION("IF(ISNUMBER(B206),TEXT(B206,""yyyy-MM-dd""),REGEXREPLACE(REGEXREPLACE(TO_TEXT(B206),""[^0-9a-zA-Z]+"",""-""),""[^0-9]*$"",""""))"),"2023-12-20")</f>
        <v>2023-12-20</v>
      </c>
      <c r="D206" s="2" t="s">
        <v>8750</v>
      </c>
      <c r="H206" s="10" t="s">
        <v>8750</v>
      </c>
      <c r="I206" s="2" t="s">
        <v>2611</v>
      </c>
      <c r="J206" s="26" t="str">
        <f t="array" ref="J206">IF(ISNA(XLOOKUP(I206,customers_clean!$A$2:$A$701,customers_clean!$A$2:$A$701, NA()) ),
   "❌ MISSING CUSTOMER", "✅")</f>
        <v>✅</v>
      </c>
      <c r="K206" s="2" t="str">
        <f t="array" ref="K206">XLOOKUP(I206,customers_clean!$A$2:$A$701,customers_clean!$C$2:$C$701)</f>
        <v>ZACK WALKER</v>
      </c>
      <c r="L206" s="10" t="str">
        <f t="array" ref="L206">XLOOKUP(I206,customers_clean!$A$2:$A$701,customers_clean!$D$2:$D$701)</f>
        <v>Zack Walker</v>
      </c>
      <c r="M206" s="2" t="str">
        <f t="array" ref="M206">XLOOKUP(I206,customers_clean!$A$2:$A$701,customers_clean!$I$2:$I$701)</f>
        <v>Zack.Walker@Company.Co.Uk</v>
      </c>
      <c r="N206" s="10" t="str">
        <f t="array" ref="N206">XLOOKUP(I206,customers_clean!$A$2:$A$701,customers_clean!$H$2:$H$701)</f>
        <v>zack.walker@company.co.uk</v>
      </c>
      <c r="O206" s="9" t="str">
        <f>IFERROR(__xludf.DUMMYFUNCTION("IF(REGEXMATCH(TRIM(N206),""^[A-Za-z0-9._%+-]+@[A-Za-z0-9.-]+\.[A-Za-z]{2,}$""),""✅ Valid"",""❌ Invalid"")"),"✅ Valid")</f>
        <v>✅ Valid</v>
      </c>
      <c r="P206" s="2" t="str">
        <f t="array" ref="P206">XLOOKUP(I206,customers_clean!$A$2:$A$701,customers_clean!$K$2:$K$701)</f>
        <v>107556x056</v>
      </c>
      <c r="Q206" s="10" t="str">
        <f t="array" ref="Q206">XLOOKUP(I206,customers_clean!$A$2:$A$701,customers_clean!$N$2:$N$701)</f>
        <v>107556056</v>
      </c>
      <c r="R206" s="9" t="str">
        <f t="array" ref="R206">XLOOKUP(I206,customers_clean!$A$2:$A$701,customers_clean!$Q$2:$Q$701)</f>
        <v>❌ INVALID</v>
      </c>
      <c r="S206" s="10" t="s">
        <v>114</v>
      </c>
      <c r="T206" s="2" t="s">
        <v>210</v>
      </c>
      <c r="U206" s="2" t="s">
        <v>90</v>
      </c>
      <c r="V206" s="2" t="s">
        <v>1085</v>
      </c>
      <c r="W206" s="9" t="str">
        <f t="array" ref="W206">IF(ISNA(XLOOKUP(V206,products_master_corrected!$A$2:$A$151,products_master_corrected!$A$2:$A$151, NA())),
    "❌ MISSING SKU", "✅")</f>
        <v>✅</v>
      </c>
      <c r="X206" s="2" t="s">
        <v>29</v>
      </c>
      <c r="Y206" s="2" t="s">
        <v>368</v>
      </c>
      <c r="Z206" s="10" t="s">
        <v>368</v>
      </c>
      <c r="AA206" s="27">
        <v>5.0</v>
      </c>
      <c r="AB206" s="9" t="s">
        <v>8649</v>
      </c>
      <c r="AC206" s="28">
        <f t="array" ref="AC206">XLOOKUP(V206,products_master_corrected!$A$2:$A$151,products_master_corrected!$E$2:$E$151)</f>
        <v>171.42</v>
      </c>
      <c r="AD206" s="28">
        <f t="shared" si="24"/>
        <v>857.1</v>
      </c>
      <c r="AE206" s="28">
        <f t="array" ref="AE206">XLOOKUP(V206,products_master_corrected!$A$2:$A$151,products_master_corrected!$F$2:$F$151)</f>
        <v>171.42</v>
      </c>
      <c r="AF206" s="29">
        <f t="shared" si="25"/>
        <v>857.1</v>
      </c>
      <c r="AG206" s="30" t="s">
        <v>65</v>
      </c>
      <c r="AH206" s="2" t="s">
        <v>370</v>
      </c>
      <c r="AI206" s="10" t="s">
        <v>143</v>
      </c>
      <c r="AJ206" s="2" t="s">
        <v>158</v>
      </c>
      <c r="AK206" s="10" t="s">
        <v>818</v>
      </c>
      <c r="AL206" s="2" t="s">
        <v>81</v>
      </c>
    </row>
    <row r="207" ht="15.75" customHeight="1">
      <c r="A207" s="2" t="s">
        <v>1808</v>
      </c>
      <c r="B207" s="12">
        <v>45764.541666666664</v>
      </c>
      <c r="C207" s="2" t="str">
        <f>IFERROR(__xludf.DUMMYFUNCTION("IF(ISNUMBER(B207),TEXT(B207,""yyyy-MM-dd""),REGEXREPLACE(REGEXREPLACE(TO_TEXT(B207),""[^0-9a-zA-Z]+"",""-""),""[^0-9]*$"",""""))"),"2025-04-17")</f>
        <v>2025-04-17</v>
      </c>
      <c r="D207" s="2" t="s">
        <v>7617</v>
      </c>
      <c r="H207" s="10" t="s">
        <v>7617</v>
      </c>
      <c r="I207" s="2" t="s">
        <v>1810</v>
      </c>
      <c r="J207" s="26" t="str">
        <f t="array" ref="J207">IF(ISNA(XLOOKUP(I207,customers_clean!$A$2:$A$701,customers_clean!$A$2:$A$701, NA()) ),
   "❌ MISSING CUSTOMER", "✅")</f>
        <v>✅</v>
      </c>
      <c r="K207" s="2" t="str">
        <f t="array" ref="K207">XLOOKUP(I207,customers_clean!$A$2:$A$701,customers_clean!$C$2:$C$701)</f>
        <v> Jade Williams</v>
      </c>
      <c r="L207" s="10" t="str">
        <f t="array" ref="L207">XLOOKUP(I207,customers_clean!$A$2:$A$701,customers_clean!$D$2:$D$701)</f>
        <v>Jade Williams</v>
      </c>
      <c r="M207" s="2" t="str">
        <f t="array" ref="M207">XLOOKUP(I207,customers_clean!$A$2:$A$701,customers_clean!$I$2:$I$701)</f>
        <v> jade.williams@gmail.com</v>
      </c>
      <c r="N207" s="10" t="str">
        <f t="array" ref="N207">XLOOKUP(I207,customers_clean!$A$2:$A$701,customers_clean!$H$2:$H$701)</f>
        <v>jade.williams@gmail.com</v>
      </c>
      <c r="O207" s="9" t="str">
        <f>IFERROR(__xludf.DUMMYFUNCTION("IF(REGEXMATCH(TRIM(N207),""^[A-Za-z0-9._%+-]+@[A-Za-z0-9.-]+\.[A-Za-z]{2,}$""),""✅ Valid"",""❌ Invalid"")"),"✅ Valid")</f>
        <v>✅ Valid</v>
      </c>
      <c r="P207" s="33" t="str">
        <f t="array" ref="P207">XLOOKUP(I207,customers_clean!$A$2:$A$701,customers_clean!$K$2:$K$701)</f>
        <v>+48+376783432</v>
      </c>
      <c r="Q207" s="10" t="str">
        <f t="array" ref="Q207">XLOOKUP(I207,customers_clean!$A$2:$A$701,customers_clean!$N$2:$N$701)</f>
        <v>376783432</v>
      </c>
      <c r="R207" s="9" t="str">
        <f t="array" ref="R207">XLOOKUP(I207,customers_clean!$A$2:$A$701,customers_clean!$Q$2:$Q$701)</f>
        <v>❌ INVALID</v>
      </c>
      <c r="S207" s="10" t="s">
        <v>448</v>
      </c>
      <c r="T207" s="2" t="s">
        <v>223</v>
      </c>
      <c r="U207" s="2" t="s">
        <v>1046</v>
      </c>
      <c r="V207" s="2" t="s">
        <v>1815</v>
      </c>
      <c r="W207" s="9" t="str">
        <f t="array" ref="W207">IF(ISNA(XLOOKUP(V207,products_master_corrected!$A$2:$A$151,products_master_corrected!$A$2:$A$151, NA())),
    "❌ MISSING SKU", "✅")</f>
        <v>✅</v>
      </c>
      <c r="X207" s="2" t="s">
        <v>768</v>
      </c>
      <c r="Y207" s="2" t="s">
        <v>368</v>
      </c>
      <c r="Z207" s="10" t="s">
        <v>368</v>
      </c>
      <c r="AA207" s="27">
        <v>1.0</v>
      </c>
      <c r="AB207" s="9" t="s">
        <v>8649</v>
      </c>
      <c r="AC207" s="28">
        <f t="array" ref="AC207">XLOOKUP(V207,products_master_corrected!$A$2:$A$151,products_master_corrected!$E$2:$E$151)</f>
        <v>42.65</v>
      </c>
      <c r="AD207" s="28">
        <f t="shared" si="24"/>
        <v>42.65</v>
      </c>
      <c r="AE207" s="28">
        <f t="array" ref="AE207">XLOOKUP(V207,products_master_corrected!$A$2:$A$151,products_master_corrected!$M$2:$M$151)</f>
        <v>51.59</v>
      </c>
      <c r="AF207" s="29">
        <f t="shared" si="25"/>
        <v>51.59</v>
      </c>
      <c r="AG207" s="30" t="s">
        <v>48</v>
      </c>
      <c r="AH207" s="2" t="s">
        <v>181</v>
      </c>
      <c r="AI207" s="10" t="s">
        <v>181</v>
      </c>
      <c r="AJ207" s="2" t="s">
        <v>345</v>
      </c>
      <c r="AK207" s="10" t="s">
        <v>261</v>
      </c>
      <c r="AL207" s="2" t="s">
        <v>133</v>
      </c>
    </row>
    <row r="208" ht="15.75" customHeight="1">
      <c r="A208" s="2" t="s">
        <v>415</v>
      </c>
      <c r="B208" s="12" t="s">
        <v>416</v>
      </c>
      <c r="C208" s="2" t="str">
        <f>IFERROR(__xludf.DUMMYFUNCTION("IF(ISNUMBER(B208),TEXT(B208,""yyyy-MM-dd""),REGEXREPLACE(REGEXREPLACE(TO_TEXT(B208),""[^0-9a-zA-Z]+"",""-""),""[^0-9]*$"",""""))"),"45753-11-38")</f>
        <v>45753-11-38</v>
      </c>
      <c r="D208" s="2" t="str">
        <f>TEXT(C208,"yyyy-MM-dd")</f>
        <v>45753-11-38</v>
      </c>
      <c r="E208" s="25" t="str">
        <f>CONCATENATE(LEFT(D208,5))</f>
        <v>45753</v>
      </c>
      <c r="F208" s="12">
        <f>DATE(1900,1,1) + E208 - 1</f>
        <v>45754</v>
      </c>
      <c r="G208" s="2" t="s">
        <v>8751</v>
      </c>
      <c r="H208" s="10" t="s">
        <v>8751</v>
      </c>
      <c r="I208" s="2" t="s">
        <v>417</v>
      </c>
      <c r="J208" s="26" t="str">
        <f t="array" ref="J208">IF(ISNA(XLOOKUP(I208,customers_clean!$A$2:$A$701,customers_clean!$A$2:$A$701, NA()) ),
   "❌ MISSING CUSTOMER", "✅")</f>
        <v>✅</v>
      </c>
      <c r="K208" s="2" t="str">
        <f t="array" ref="K208">XLOOKUP(I208,customers_clean!$A$2:$A$701,customers_clean!$C$2:$C$701)</f>
        <v> Fiona Nvoak</v>
      </c>
      <c r="L208" s="10" t="str">
        <f t="array" ref="L208">XLOOKUP(I208,customers_clean!$A$2:$A$701,customers_clean!$D$2:$D$701)</f>
        <v>Fiona Novak</v>
      </c>
      <c r="M208" s="2" t="str">
        <f t="array" ref="M208">XLOOKUP(I208,customers_clean!$A$2:$A$701,customers_clean!$I$2:$I$701)</f>
        <v> fiona.novak@company.co.uk</v>
      </c>
      <c r="N208" s="10" t="str">
        <f t="array" ref="N208">XLOOKUP(I208,customers_clean!$A$2:$A$701,customers_clean!$H$2:$H$701)</f>
        <v>fiona.novak@company.co.uk</v>
      </c>
      <c r="O208" s="9" t="str">
        <f>IFERROR(__xludf.DUMMYFUNCTION("IF(REGEXMATCH(TRIM(N208),""^[A-Za-z0-9._%+-]+@[A-Za-z0-9.-]+\.[A-Za-z]{2,}$""),""✅ Valid"",""❌ Invalid"")"),"✅ Valid")</f>
        <v>✅ Valid</v>
      </c>
      <c r="P208" s="2">
        <f t="array" ref="P208">XLOOKUP(I208,customers_clean!$A$2:$A$701,customers_clean!$K$2:$K$701)</f>
        <v>4492901657</v>
      </c>
      <c r="Q208" s="10" t="str">
        <f t="array" ref="Q208">XLOOKUP(I208,customers_clean!$A$2:$A$701,customers_clean!$N$2:$N$701)</f>
        <v>92901657</v>
      </c>
      <c r="R208" s="9" t="str">
        <f t="array" ref="R208">XLOOKUP(I208,customers_clean!$A$2:$A$701,customers_clean!$Q$2:$Q$701)</f>
        <v>❌ INVALID</v>
      </c>
      <c r="S208" s="10" t="s">
        <v>58</v>
      </c>
      <c r="T208" s="2" t="s">
        <v>323</v>
      </c>
      <c r="U208" s="2" t="s">
        <v>90</v>
      </c>
      <c r="V208" s="2" t="s">
        <v>422</v>
      </c>
      <c r="W208" s="9" t="str">
        <f t="array" ref="W208">IF(ISNA(XLOOKUP(V208,products_master_corrected!$A$2:$A$151,products_master_corrected!$A$2:$A$151, NA())),
    "❌ MISSING SKU", "✅")</f>
        <v>✅</v>
      </c>
      <c r="X208" s="2" t="s">
        <v>423</v>
      </c>
      <c r="Y208" s="2" t="s">
        <v>292</v>
      </c>
      <c r="Z208" s="10" t="s">
        <v>63</v>
      </c>
      <c r="AA208" s="27">
        <v>5.0</v>
      </c>
      <c r="AB208" s="9" t="s">
        <v>8649</v>
      </c>
      <c r="AC208" s="28">
        <f t="array" ref="AC208">XLOOKUP(V208,products_master_corrected!$A$2:$A$151,products_master_corrected!$E$2:$E$151)</f>
        <v>74.3</v>
      </c>
      <c r="AD208" s="28">
        <f t="shared" si="24"/>
        <v>371.5</v>
      </c>
      <c r="AE208" s="28">
        <f t="array" ref="AE208">XLOOKUP(V208,products_master_corrected!$A$2:$A$151,products_master_corrected!$G$2:$G$151)</f>
        <v>85.06</v>
      </c>
      <c r="AF208" s="29">
        <f t="shared" si="25"/>
        <v>425.3</v>
      </c>
      <c r="AG208" s="32" t="s">
        <v>8663</v>
      </c>
      <c r="AH208" s="2" t="s">
        <v>96</v>
      </c>
      <c r="AI208" s="10" t="s">
        <v>143</v>
      </c>
      <c r="AJ208" s="2" t="s">
        <v>169</v>
      </c>
      <c r="AK208" s="10" t="s">
        <v>261</v>
      </c>
      <c r="AL208" s="2" t="s">
        <v>133</v>
      </c>
    </row>
    <row r="209" ht="15.75" customHeight="1">
      <c r="A209" s="2" t="s">
        <v>2086</v>
      </c>
      <c r="B209" s="12">
        <v>45250.0</v>
      </c>
      <c r="C209" s="2" t="str">
        <f>IFERROR(__xludf.DUMMYFUNCTION("IF(ISNUMBER(B209),TEXT(B209,""yyyy-MM-dd""),REGEXREPLACE(REGEXREPLACE(TO_TEXT(B209),""[^0-9a-zA-Z]+"",""-""),""[^0-9]*$"",""""))"),"2023-11-20")</f>
        <v>2023-11-20</v>
      </c>
      <c r="D209" s="2" t="s">
        <v>2087</v>
      </c>
      <c r="H209" s="10" t="s">
        <v>2087</v>
      </c>
      <c r="I209" s="2" t="s">
        <v>2088</v>
      </c>
      <c r="J209" s="26" t="str">
        <f t="array" ref="J209">IF(ISNA(XLOOKUP(I209,customers_clean!$A$2:$A$701,customers_clean!$A$2:$A$701, NA()) ),
   "❌ MISSING CUSTOMER", "✅")</f>
        <v>✅</v>
      </c>
      <c r="K209" s="2" t="str">
        <f t="array" ref="K209">XLOOKUP(I209,customers_clean!$A$2:$A$701,customers_clean!$C$2:$C$701)</f>
        <v>NINA TAYLOR</v>
      </c>
      <c r="L209" s="10" t="str">
        <f t="array" ref="L209">XLOOKUP(I209,customers_clean!$A$2:$A$701,customers_clean!$D$2:$D$701)</f>
        <v>Nina Taylor</v>
      </c>
      <c r="M209" s="2" t="str">
        <f t="array" ref="M209">XLOOKUP(I209,customers_clean!$A$2:$A$701,customers_clean!$I$2:$I$701)</f>
        <v>nina.taylor@company.co.uk</v>
      </c>
      <c r="N209" s="10" t="str">
        <f t="array" ref="N209">XLOOKUP(I209,customers_clean!$A$2:$A$701,customers_clean!$H$2:$H$701)</f>
        <v>nina.taylor@company.co.uk</v>
      </c>
      <c r="O209" s="9" t="str">
        <f>IFERROR(__xludf.DUMMYFUNCTION("IF(REGEXMATCH(TRIM(N209),""^[A-Za-z0-9._%+-]+@[A-Za-z0-9.-]+\.[A-Za-z]{2,}$""),""✅ Valid"",""❌ Invalid"")"),"✅ Valid")</f>
        <v>✅ Valid</v>
      </c>
      <c r="P209" s="2" t="str">
        <f t="array" ref="P209">XLOOKUP(I209,customers_clean!$A$2:$A$701,customers_clean!$K$2:$K$701)</f>
        <v>+12417702803 ext 428</v>
      </c>
      <c r="Q209" s="10" t="str">
        <f t="array" ref="Q209">XLOOKUP(I209,customers_clean!$A$2:$A$701,customers_clean!$N$2:$N$701)</f>
        <v>2417702803</v>
      </c>
      <c r="R209" s="9" t="str">
        <f t="array" ref="R209">XLOOKUP(I209,customers_clean!$A$2:$A$701,customers_clean!$Q$2:$Q$701)</f>
        <v>✅ VALID</v>
      </c>
      <c r="S209" s="10" t="s">
        <v>114</v>
      </c>
      <c r="T209" s="2" t="s">
        <v>460</v>
      </c>
      <c r="U209" s="2" t="s">
        <v>176</v>
      </c>
      <c r="V209" s="2" t="s">
        <v>609</v>
      </c>
      <c r="W209" s="9" t="str">
        <f t="array" ref="W209">IF(ISNA(XLOOKUP(V209,products_master_corrected!$A$2:$A$151,products_master_corrected!$A$2:$A$151, NA())),
    "❌ MISSING SKU", "✅")</f>
        <v>✅</v>
      </c>
      <c r="X209" s="2" t="s">
        <v>259</v>
      </c>
      <c r="Y209" s="2" t="s">
        <v>610</v>
      </c>
      <c r="Z209" s="10" t="s">
        <v>179</v>
      </c>
      <c r="AA209" s="27">
        <v>2.0</v>
      </c>
      <c r="AB209" s="9" t="s">
        <v>8649</v>
      </c>
      <c r="AC209" s="28">
        <f t="array" ref="AC209">XLOOKUP(V209,products_master_corrected!$A$2:$A$151,products_master_corrected!$E$2:$E$151)</f>
        <v>32.41</v>
      </c>
      <c r="AD209" s="28">
        <f t="shared" si="24"/>
        <v>64.82</v>
      </c>
      <c r="AE209" s="28">
        <f t="array" ref="AE209">XLOOKUP(V209,products_master_corrected!$A$2:$A$151,products_master_corrected!$F$2:$F$151)</f>
        <v>32.41</v>
      </c>
      <c r="AF209" s="29">
        <f t="shared" si="25"/>
        <v>64.82</v>
      </c>
      <c r="AG209" s="30" t="s">
        <v>65</v>
      </c>
      <c r="AH209" s="2" t="s">
        <v>143</v>
      </c>
      <c r="AI209" s="10" t="s">
        <v>143</v>
      </c>
      <c r="AJ209" s="2" t="s">
        <v>192</v>
      </c>
      <c r="AK209" s="10" t="s">
        <v>192</v>
      </c>
    </row>
    <row r="210" ht="15.75" customHeight="1">
      <c r="A210" s="2" t="s">
        <v>2697</v>
      </c>
      <c r="B210" s="12" t="s">
        <v>2698</v>
      </c>
      <c r="C210" s="2" t="str">
        <f>IFERROR(__xludf.DUMMYFUNCTION("IF(ISNUMBER(B210),TEXT(B210,""yyyy-MM-dd""),REGEXREPLACE(REGEXREPLACE(TO_TEXT(B210),""[^0-9a-zA-Z]+"",""-""),""[^0-9]*$"",""""))"),"05-14-2024")</f>
        <v>05-14-2024</v>
      </c>
      <c r="D210" s="2" t="str">
        <f>TEXT(C210,"yyyy-MM-dd")</f>
        <v>05-14-2024</v>
      </c>
      <c r="E210" s="2" t="s">
        <v>8752</v>
      </c>
      <c r="H210" s="10" t="s">
        <v>8752</v>
      </c>
      <c r="I210" s="2" t="s">
        <v>1354</v>
      </c>
      <c r="J210" s="26" t="str">
        <f t="array" ref="J210">IF(ISNA(XLOOKUP(I210,customers_clean!$A$2:$A$701,customers_clean!$A$2:$A$701, NA()) ),
   "❌ MISSING CUSTOMER", "✅")</f>
        <v>✅</v>
      </c>
      <c r="K210" s="2" t="str">
        <f t="array" ref="K210">XLOOKUP(I210,customers_clean!$A$2:$A$701,customers_clean!$C$2:$C$701)</f>
        <v>Lia Davis</v>
      </c>
      <c r="L210" s="10" t="str">
        <f t="array" ref="L210">XLOOKUP(I210,customers_clean!$A$2:$A$701,customers_clean!$D$2:$D$701)</f>
        <v>Lia Davis</v>
      </c>
      <c r="M210" s="2" t="str">
        <f t="array" ref="M210">XLOOKUP(I210,customers_clean!$A$2:$A$701,customers_clean!$I$2:$I$701)</f>
        <v>LIA.DAVIS@YAHOO.COM</v>
      </c>
      <c r="N210" s="10" t="str">
        <f t="array" ref="N210">XLOOKUP(I210,customers_clean!$A$2:$A$701,customers_clean!$H$2:$H$701)</f>
        <v>lia.davis@yahoo.com</v>
      </c>
      <c r="O210" s="9" t="str">
        <f>IFERROR(__xludf.DUMMYFUNCTION("IF(REGEXMATCH(TRIM(N210),""^[A-Za-z0-9._%+-]+@[A-Za-z0-9.-]+\.[A-Za-z]{2,}$""),""✅ Valid"",""❌ Invalid"")"),"✅ Valid")</f>
        <v>✅ Valid</v>
      </c>
      <c r="P210" s="2" t="str">
        <f t="array" ref="P210">XLOOKUP(I210,customers_clean!$A$2:$A$701,customers_clean!$K$2:$K$701)</f>
        <v>+33723898327</v>
      </c>
      <c r="Q210" s="10" t="str">
        <f t="array" ref="Q210">XLOOKUP(I210,customers_clean!$A$2:$A$701,customers_clean!$N$2:$N$701)</f>
        <v>723898327</v>
      </c>
      <c r="R210" s="9" t="str">
        <f t="array" ref="R210">XLOOKUP(I210,customers_clean!$A$2:$A$701,customers_clean!$Q$2:$Q$701)</f>
        <v>❌ INVALID</v>
      </c>
      <c r="S210" s="10" t="s">
        <v>448</v>
      </c>
      <c r="T210" s="2" t="s">
        <v>2699</v>
      </c>
      <c r="U210" s="2" t="s">
        <v>103</v>
      </c>
      <c r="V210" s="2" t="s">
        <v>2420</v>
      </c>
      <c r="W210" s="9" t="str">
        <f t="array" ref="W210">IF(ISNA(XLOOKUP(V210,products_master_corrected!$A$2:$A$151,products_master_corrected!$A$2:$A$151, NA())),
    "❌ MISSING SKU", "✅")</f>
        <v>✅</v>
      </c>
      <c r="X210" s="2" t="s">
        <v>804</v>
      </c>
      <c r="Y210" s="2" t="s">
        <v>2421</v>
      </c>
      <c r="Z210" s="10" t="s">
        <v>248</v>
      </c>
      <c r="AA210" s="27">
        <v>1.0</v>
      </c>
      <c r="AB210" s="9" t="s">
        <v>8649</v>
      </c>
      <c r="AC210" s="28">
        <f t="array" ref="AC210">XLOOKUP(V210,products_master_corrected!$A$2:$A$151,products_master_corrected!$E$2:$E$151)</f>
        <v>21.44</v>
      </c>
      <c r="AD210" s="28">
        <f t="shared" si="24"/>
        <v>21.44</v>
      </c>
      <c r="AE210" s="28">
        <f t="array" ref="AE210">XLOOKUP(V210,products_master_corrected!$A$2:$A$151,products_master_corrected!$M$2:$M$151)</f>
        <v>25.93</v>
      </c>
      <c r="AF210" s="29">
        <f t="shared" si="25"/>
        <v>25.93</v>
      </c>
      <c r="AG210" s="30" t="s">
        <v>48</v>
      </c>
      <c r="AH210" s="2" t="s">
        <v>49</v>
      </c>
      <c r="AI210" s="10" t="s">
        <v>49</v>
      </c>
      <c r="AJ210" s="2" t="s">
        <v>50</v>
      </c>
      <c r="AK210" s="10" t="s">
        <v>261</v>
      </c>
      <c r="AL210" s="2" t="s">
        <v>67</v>
      </c>
    </row>
    <row r="211" ht="15.75" customHeight="1">
      <c r="A211" s="2" t="s">
        <v>2513</v>
      </c>
      <c r="B211" s="12">
        <v>45083.0</v>
      </c>
      <c r="C211" s="2" t="str">
        <f>IFERROR(__xludf.DUMMYFUNCTION("IF(ISNUMBER(B211),TEXT(B211,""yyyy-MM-dd""),REGEXREPLACE(REGEXREPLACE(TO_TEXT(B211),""[^0-9a-zA-Z]+"",""-""),""[^0-9]*$"",""""))"),"2023-06-06")</f>
        <v>2023-06-06</v>
      </c>
      <c r="D211" s="2" t="s">
        <v>7995</v>
      </c>
      <c r="H211" s="10" t="s">
        <v>7995</v>
      </c>
      <c r="I211" s="2" t="s">
        <v>1354</v>
      </c>
      <c r="J211" s="26" t="str">
        <f t="array" ref="J211">IF(ISNA(XLOOKUP(I211,customers_clean!$A$2:$A$701,customers_clean!$A$2:$A$701, NA()) ),
   "❌ MISSING CUSTOMER", "✅")</f>
        <v>✅</v>
      </c>
      <c r="K211" s="2" t="str">
        <f t="array" ref="K211">XLOOKUP(I211,customers_clean!$A$2:$A$701,customers_clean!$C$2:$C$701)</f>
        <v>Lia Davis</v>
      </c>
      <c r="L211" s="10" t="str">
        <f t="array" ref="L211">XLOOKUP(I211,customers_clean!$A$2:$A$701,customers_clean!$D$2:$D$701)</f>
        <v>Lia Davis</v>
      </c>
      <c r="M211" s="2" t="str">
        <f t="array" ref="M211">XLOOKUP(I211,customers_clean!$A$2:$A$701,customers_clean!$I$2:$I$701)</f>
        <v>LIA.DAVIS@YAHOO.COM</v>
      </c>
      <c r="N211" s="10" t="str">
        <f t="array" ref="N211">XLOOKUP(I211,customers_clean!$A$2:$A$701,customers_clean!$H$2:$H$701)</f>
        <v>lia.davis@yahoo.com</v>
      </c>
      <c r="O211" s="9" t="str">
        <f>IFERROR(__xludf.DUMMYFUNCTION("IF(REGEXMATCH(TRIM(N211),""^[A-Za-z0-9._%+-]+@[A-Za-z0-9.-]+\.[A-Za-z]{2,}$""),""✅ Valid"",""❌ Invalid"")"),"✅ Valid")</f>
        <v>✅ Valid</v>
      </c>
      <c r="P211" s="2" t="str">
        <f t="array" ref="P211">XLOOKUP(I211,customers_clean!$A$2:$A$701,customers_clean!$K$2:$K$701)</f>
        <v>+33723898327</v>
      </c>
      <c r="Q211" s="10" t="str">
        <f t="array" ref="Q211">XLOOKUP(I211,customers_clean!$A$2:$A$701,customers_clean!$N$2:$N$701)</f>
        <v>723898327</v>
      </c>
      <c r="R211" s="9" t="str">
        <f t="array" ref="R211">XLOOKUP(I211,customers_clean!$A$2:$A$701,customers_clean!$Q$2:$Q$701)</f>
        <v>❌ INVALID</v>
      </c>
      <c r="S211" s="10" t="s">
        <v>448</v>
      </c>
      <c r="T211" s="2" t="s">
        <v>778</v>
      </c>
      <c r="U211" s="2" t="s">
        <v>401</v>
      </c>
      <c r="V211" s="2" t="s">
        <v>939</v>
      </c>
      <c r="W211" s="9" t="str">
        <f t="array" ref="W211">IF(ISNA(XLOOKUP(V211,products_master_corrected!$A$2:$A$151,products_master_corrected!$A$2:$A$151, NA())),
    "❌ MISSING SKU", "✅")</f>
        <v>✅</v>
      </c>
      <c r="X211" s="2" t="s">
        <v>940</v>
      </c>
      <c r="Y211" s="2" t="s">
        <v>941</v>
      </c>
      <c r="Z211" s="10" t="str">
        <f t="shared" ref="Z211:Z212" si="26">PROPER(TRIM(Y211))</f>
        <v>Monitors</v>
      </c>
      <c r="AA211" s="27">
        <v>2.0</v>
      </c>
      <c r="AB211" s="9" t="s">
        <v>8649</v>
      </c>
      <c r="AC211" s="28">
        <f t="array" ref="AC211">XLOOKUP(V211,products_master_corrected!$A$2:$A$151,products_master_corrected!$E$2:$E$151)</f>
        <v>215.15</v>
      </c>
      <c r="AD211" s="28">
        <f t="shared" si="24"/>
        <v>430.3</v>
      </c>
      <c r="AE211" s="28">
        <f t="array" ref="AE211">XLOOKUP(V211,products_master_corrected!$A$2:$A$151,products_master_corrected!$M$2:$M$151)</f>
        <v>260.25</v>
      </c>
      <c r="AF211" s="29">
        <f t="shared" si="25"/>
        <v>520.5</v>
      </c>
      <c r="AG211" s="30" t="s">
        <v>48</v>
      </c>
      <c r="AH211" s="2" t="s">
        <v>505</v>
      </c>
      <c r="AI211" s="10" t="s">
        <v>181</v>
      </c>
      <c r="AJ211" s="2" t="s">
        <v>294</v>
      </c>
      <c r="AK211" s="10" t="s">
        <v>80</v>
      </c>
      <c r="AL211" s="2" t="s">
        <v>81</v>
      </c>
    </row>
    <row r="212" ht="15.75" customHeight="1">
      <c r="A212" s="2" t="s">
        <v>1352</v>
      </c>
      <c r="B212" s="12">
        <v>45221.16875</v>
      </c>
      <c r="C212" s="2" t="str">
        <f>IFERROR(__xludf.DUMMYFUNCTION("IF(ISNUMBER(B212),TEXT(B212,""yyyy-MM-dd""),REGEXREPLACE(REGEXREPLACE(TO_TEXT(B212),""[^0-9a-zA-Z]+"",""-""),""[^0-9]*$"",""""))"),"2023-10-22")</f>
        <v>2023-10-22</v>
      </c>
      <c r="D212" s="2" t="s">
        <v>8753</v>
      </c>
      <c r="H212" s="10" t="s">
        <v>8753</v>
      </c>
      <c r="I212" s="2" t="s">
        <v>1354</v>
      </c>
      <c r="J212" s="26" t="str">
        <f t="array" ref="J212">IF(ISNA(XLOOKUP(I212,customers_clean!$A$2:$A$701,customers_clean!$A$2:$A$701, NA()) ),
   "❌ MISSING CUSTOMER", "✅")</f>
        <v>✅</v>
      </c>
      <c r="K212" s="2" t="str">
        <f t="array" ref="K212">XLOOKUP(I212,customers_clean!$A$2:$A$701,customers_clean!$C$2:$C$701)</f>
        <v>Lia Davis</v>
      </c>
      <c r="L212" s="10" t="str">
        <f t="array" ref="L212">XLOOKUP(I212,customers_clean!$A$2:$A$701,customers_clean!$D$2:$D$701)</f>
        <v>Lia Davis</v>
      </c>
      <c r="M212" s="2" t="str">
        <f t="array" ref="M212">XLOOKUP(I212,customers_clean!$A$2:$A$701,customers_clean!$I$2:$I$701)</f>
        <v>LIA.DAVIS@YAHOO.COM</v>
      </c>
      <c r="N212" s="10" t="str">
        <f t="array" ref="N212">XLOOKUP(I212,customers_clean!$A$2:$A$701,customers_clean!$H$2:$H$701)</f>
        <v>lia.davis@yahoo.com</v>
      </c>
      <c r="O212" s="9" t="str">
        <f>IFERROR(__xludf.DUMMYFUNCTION("IF(REGEXMATCH(TRIM(N212),""^[A-Za-z0-9._%+-]+@[A-Za-z0-9.-]+\.[A-Za-z]{2,}$""),""✅ Valid"",""❌ Invalid"")"),"✅ Valid")</f>
        <v>✅ Valid</v>
      </c>
      <c r="P212" s="2" t="str">
        <f t="array" ref="P212">XLOOKUP(I212,customers_clean!$A$2:$A$701,customers_clean!$K$2:$K$701)</f>
        <v>+33723898327</v>
      </c>
      <c r="Q212" s="10" t="str">
        <f t="array" ref="Q212">XLOOKUP(I212,customers_clean!$A$2:$A$701,customers_clean!$N$2:$N$701)</f>
        <v>723898327</v>
      </c>
      <c r="R212" s="9" t="str">
        <f t="array" ref="R212">XLOOKUP(I212,customers_clean!$A$2:$A$701,customers_clean!$Q$2:$Q$701)</f>
        <v>❌ INVALID</v>
      </c>
      <c r="S212" s="10" t="s">
        <v>448</v>
      </c>
      <c r="T212" s="2" t="s">
        <v>802</v>
      </c>
      <c r="U212" s="2" t="s">
        <v>500</v>
      </c>
      <c r="V212" s="2" t="s">
        <v>1358</v>
      </c>
      <c r="W212" s="9" t="str">
        <f t="array" ref="W212">IF(ISNA(XLOOKUP(V212,products_master_corrected!$A$2:$A$151,products_master_corrected!$A$2:$A$151, NA())),
    "❌ MISSING SKU", "✅")</f>
        <v>✅</v>
      </c>
      <c r="X212" s="2" t="s">
        <v>259</v>
      </c>
      <c r="Y212" s="2" t="s">
        <v>941</v>
      </c>
      <c r="Z212" s="10" t="str">
        <f t="shared" si="26"/>
        <v>Monitors</v>
      </c>
      <c r="AA212" s="27"/>
      <c r="AB212" s="9" t="s">
        <v>8677</v>
      </c>
      <c r="AC212" s="34"/>
      <c r="AD212" s="34"/>
      <c r="AE212" s="34"/>
      <c r="AF212" s="35"/>
      <c r="AG212" s="36" t="s">
        <v>48</v>
      </c>
      <c r="AH212" s="2" t="s">
        <v>49</v>
      </c>
      <c r="AI212" s="10" t="s">
        <v>49</v>
      </c>
      <c r="AJ212" s="2" t="s">
        <v>393</v>
      </c>
      <c r="AK212" s="10" t="s">
        <v>80</v>
      </c>
    </row>
    <row r="213" ht="15.75" customHeight="1">
      <c r="A213" s="2" t="s">
        <v>4442</v>
      </c>
      <c r="B213" s="12">
        <v>45303.0</v>
      </c>
      <c r="C213" s="2" t="str">
        <f>IFERROR(__xludf.DUMMYFUNCTION("IF(ISNUMBER(B213),TEXT(B213,""yyyy-MM-dd""),REGEXREPLACE(REGEXREPLACE(TO_TEXT(B213),""[^0-9a-zA-Z]+"",""-""),""[^0-9]*$"",""""))"),"2024-01-12")</f>
        <v>2024-01-12</v>
      </c>
      <c r="D213" s="2" t="s">
        <v>8697</v>
      </c>
      <c r="H213" s="10" t="s">
        <v>8697</v>
      </c>
      <c r="I213" s="2" t="s">
        <v>1354</v>
      </c>
      <c r="J213" s="26" t="str">
        <f t="array" ref="J213">IF(ISNA(XLOOKUP(I213,customers_clean!$A$2:$A$701,customers_clean!$A$2:$A$701, NA()) ),
   "❌ MISSING CUSTOMER", "✅")</f>
        <v>✅</v>
      </c>
      <c r="K213" s="2" t="str">
        <f t="array" ref="K213">XLOOKUP(I213,customers_clean!$A$2:$A$701,customers_clean!$C$2:$C$701)</f>
        <v>Lia Davis</v>
      </c>
      <c r="L213" s="10" t="str">
        <f t="array" ref="L213">XLOOKUP(I213,customers_clean!$A$2:$A$701,customers_clean!$D$2:$D$701)</f>
        <v>Lia Davis</v>
      </c>
      <c r="M213" s="2" t="str">
        <f t="array" ref="M213">XLOOKUP(I213,customers_clean!$A$2:$A$701,customers_clean!$I$2:$I$701)</f>
        <v>LIA.DAVIS@YAHOO.COM</v>
      </c>
      <c r="N213" s="10" t="str">
        <f t="array" ref="N213">XLOOKUP(I213,customers_clean!$A$2:$A$701,customers_clean!$H$2:$H$701)</f>
        <v>lia.davis@yahoo.com</v>
      </c>
      <c r="O213" s="9" t="str">
        <f>IFERROR(__xludf.DUMMYFUNCTION("IF(REGEXMATCH(TRIM(N213),""^[A-Za-z0-9._%+-]+@[A-Za-z0-9.-]+\.[A-Za-z]{2,}$""),""✅ Valid"",""❌ Invalid"")"),"✅ Valid")</f>
        <v>✅ Valid</v>
      </c>
      <c r="P213" s="2" t="str">
        <f t="array" ref="P213">XLOOKUP(I213,customers_clean!$A$2:$A$701,customers_clean!$K$2:$K$701)</f>
        <v>+33723898327</v>
      </c>
      <c r="Q213" s="10" t="str">
        <f t="array" ref="Q213">XLOOKUP(I213,customers_clean!$A$2:$A$701,customers_clean!$N$2:$N$701)</f>
        <v>723898327</v>
      </c>
      <c r="R213" s="9" t="str">
        <f t="array" ref="R213">XLOOKUP(I213,customers_clean!$A$2:$A$701,customers_clean!$Q$2:$Q$701)</f>
        <v>❌ INVALID</v>
      </c>
      <c r="S213" s="10" t="s">
        <v>448</v>
      </c>
      <c r="T213" s="2" t="s">
        <v>59</v>
      </c>
      <c r="U213" s="2" t="s">
        <v>103</v>
      </c>
      <c r="V213" s="2" t="s">
        <v>212</v>
      </c>
      <c r="W213" s="9" t="str">
        <f t="array" ref="W213">IF(ISNA(XLOOKUP(V213,products_master_corrected!$A$2:$A$151,products_master_corrected!$A$2:$A$151, NA())),
    "❌ MISSING SKU", "✅")</f>
        <v>✅</v>
      </c>
      <c r="X213" s="2" t="s">
        <v>213</v>
      </c>
      <c r="Y213" s="2" t="s">
        <v>214</v>
      </c>
      <c r="Z213" s="10" t="s">
        <v>368</v>
      </c>
      <c r="AA213" s="27">
        <v>5.0</v>
      </c>
      <c r="AB213" s="9" t="s">
        <v>8649</v>
      </c>
      <c r="AC213" s="28">
        <f t="array" ref="AC213">XLOOKUP(V213,products_master_corrected!$A$2:$A$151,products_master_corrected!$E$2:$E$151)</f>
        <v>1464.12</v>
      </c>
      <c r="AD213" s="28">
        <f t="shared" ref="AD213:AD219" si="27">AA213*AC213</f>
        <v>7320.6</v>
      </c>
      <c r="AE213" s="28">
        <f t="array" ref="AE213">XLOOKUP(V213,products_master_corrected!$A$2:$A$151,products_master_corrected!$M$2:$M$151)</f>
        <v>1771</v>
      </c>
      <c r="AF213" s="29">
        <f t="shared" ref="AF213:AF219" si="28">AA213*AE213</f>
        <v>8855</v>
      </c>
      <c r="AG213" s="30" t="s">
        <v>48</v>
      </c>
      <c r="AH213" s="2" t="s">
        <v>143</v>
      </c>
      <c r="AI213" s="10" t="s">
        <v>143</v>
      </c>
      <c r="AJ213" s="2" t="s">
        <v>169</v>
      </c>
      <c r="AK213" s="10" t="s">
        <v>261</v>
      </c>
    </row>
    <row r="214" ht="15.75" customHeight="1">
      <c r="A214" s="2" t="s">
        <v>3249</v>
      </c>
      <c r="B214" s="12">
        <v>45442.0</v>
      </c>
      <c r="C214" s="2" t="str">
        <f>IFERROR(__xludf.DUMMYFUNCTION("IF(ISNUMBER(B214),TEXT(B214,""yyyy-MM-dd""),REGEXREPLACE(REGEXREPLACE(TO_TEXT(B214),""[^0-9a-zA-Z]+"",""-""),""[^0-9]*$"",""""))"),"2024-05-30")</f>
        <v>2024-05-30</v>
      </c>
      <c r="D214" s="2" t="s">
        <v>8754</v>
      </c>
      <c r="H214" s="10" t="s">
        <v>8754</v>
      </c>
      <c r="I214" s="2" t="s">
        <v>1354</v>
      </c>
      <c r="J214" s="26" t="str">
        <f t="array" ref="J214">IF(ISNA(XLOOKUP(I214,customers_clean!$A$2:$A$701,customers_clean!$A$2:$A$701, NA()) ),
   "❌ MISSING CUSTOMER", "✅")</f>
        <v>✅</v>
      </c>
      <c r="K214" s="2" t="str">
        <f t="array" ref="K214">XLOOKUP(I214,customers_clean!$A$2:$A$701,customers_clean!$C$2:$C$701)</f>
        <v>Lia Davis</v>
      </c>
      <c r="L214" s="10" t="str">
        <f t="array" ref="L214">XLOOKUP(I214,customers_clean!$A$2:$A$701,customers_clean!$D$2:$D$701)</f>
        <v>Lia Davis</v>
      </c>
      <c r="M214" s="2" t="str">
        <f t="array" ref="M214">XLOOKUP(I214,customers_clean!$A$2:$A$701,customers_clean!$I$2:$I$701)</f>
        <v>LIA.DAVIS@YAHOO.COM</v>
      </c>
      <c r="N214" s="10" t="str">
        <f t="array" ref="N214">XLOOKUP(I214,customers_clean!$A$2:$A$701,customers_clean!$H$2:$H$701)</f>
        <v>lia.davis@yahoo.com</v>
      </c>
      <c r="O214" s="9" t="str">
        <f>IFERROR(__xludf.DUMMYFUNCTION("IF(REGEXMATCH(TRIM(N214),""^[A-Za-z0-9._%+-]+@[A-Za-z0-9.-]+\.[A-Za-z]{2,}$""),""✅ Valid"",""❌ Invalid"")"),"✅ Valid")</f>
        <v>✅ Valid</v>
      </c>
      <c r="P214" s="2" t="str">
        <f t="array" ref="P214">XLOOKUP(I214,customers_clean!$A$2:$A$701,customers_clean!$K$2:$K$701)</f>
        <v>+33723898327</v>
      </c>
      <c r="Q214" s="10" t="str">
        <f t="array" ref="Q214">XLOOKUP(I214,customers_clean!$A$2:$A$701,customers_clean!$N$2:$N$701)</f>
        <v>723898327</v>
      </c>
      <c r="R214" s="9" t="str">
        <f t="array" ref="R214">XLOOKUP(I214,customers_clean!$A$2:$A$701,customers_clean!$Q$2:$Q$701)</f>
        <v>❌ INVALID</v>
      </c>
      <c r="S214" s="10" t="s">
        <v>448</v>
      </c>
      <c r="T214" s="2" t="s">
        <v>400</v>
      </c>
      <c r="U214" s="2" t="s">
        <v>289</v>
      </c>
      <c r="V214" s="2" t="s">
        <v>1460</v>
      </c>
      <c r="W214" s="9" t="str">
        <f t="array" ref="W214">IF(ISNA(XLOOKUP(V214,products_master_corrected!$A$2:$A$151,products_master_corrected!$A$2:$A$151, NA())),
    "❌ MISSING SKU", "✅")</f>
        <v>✅</v>
      </c>
      <c r="X214" s="2" t="s">
        <v>1138</v>
      </c>
      <c r="Y214" s="2" t="s">
        <v>368</v>
      </c>
      <c r="Z214" s="10" t="s">
        <v>368</v>
      </c>
      <c r="AA214" s="27">
        <v>3.0</v>
      </c>
      <c r="AB214" s="9" t="s">
        <v>8649</v>
      </c>
      <c r="AC214" s="28">
        <f t="array" ref="AC214">XLOOKUP(V214,products_master_corrected!$A$2:$A$151,products_master_corrected!$E$2:$E$151)</f>
        <v>271.81</v>
      </c>
      <c r="AD214" s="28">
        <f t="shared" si="27"/>
        <v>815.43</v>
      </c>
      <c r="AE214" s="28">
        <f t="array" ref="AE214">XLOOKUP(V214,products_master_corrected!$A$2:$A$151,products_master_corrected!$M$2:$M$151)</f>
        <v>328.78</v>
      </c>
      <c r="AF214" s="29">
        <f t="shared" si="28"/>
        <v>986.34</v>
      </c>
      <c r="AG214" s="30" t="s">
        <v>48</v>
      </c>
      <c r="AH214" s="2" t="s">
        <v>505</v>
      </c>
      <c r="AI214" s="10" t="s">
        <v>181</v>
      </c>
      <c r="AJ214" s="2" t="s">
        <v>169</v>
      </c>
      <c r="AK214" s="10" t="s">
        <v>261</v>
      </c>
      <c r="AL214" s="2" t="s">
        <v>51</v>
      </c>
    </row>
    <row r="215" ht="15.75" customHeight="1">
      <c r="A215" s="2" t="s">
        <v>4598</v>
      </c>
      <c r="B215" s="12">
        <v>45458.0</v>
      </c>
      <c r="C215" s="2" t="str">
        <f>IFERROR(__xludf.DUMMYFUNCTION("IF(ISNUMBER(B215),TEXT(B215,""yyyy-MM-dd""),REGEXREPLACE(REGEXREPLACE(TO_TEXT(B215),""[^0-9a-zA-Z]+"",""-""),""[^0-9]*$"",""""))"),"2024-06-15")</f>
        <v>2024-06-15</v>
      </c>
      <c r="D215" s="2" t="s">
        <v>8755</v>
      </c>
      <c r="H215" s="10" t="s">
        <v>8755</v>
      </c>
      <c r="I215" s="2" t="s">
        <v>1354</v>
      </c>
      <c r="J215" s="26" t="str">
        <f t="array" ref="J215">IF(ISNA(XLOOKUP(I215,customers_clean!$A$2:$A$701,customers_clean!$A$2:$A$701, NA()) ),
   "❌ MISSING CUSTOMER", "✅")</f>
        <v>✅</v>
      </c>
      <c r="K215" s="2" t="str">
        <f t="array" ref="K215">XLOOKUP(I215,customers_clean!$A$2:$A$701,customers_clean!$C$2:$C$701)</f>
        <v>Lia Davis</v>
      </c>
      <c r="L215" s="10" t="str">
        <f t="array" ref="L215">XLOOKUP(I215,customers_clean!$A$2:$A$701,customers_clean!$D$2:$D$701)</f>
        <v>Lia Davis</v>
      </c>
      <c r="M215" s="2" t="str">
        <f t="array" ref="M215">XLOOKUP(I215,customers_clean!$A$2:$A$701,customers_clean!$I$2:$I$701)</f>
        <v>LIA.DAVIS@YAHOO.COM</v>
      </c>
      <c r="N215" s="10" t="str">
        <f t="array" ref="N215">XLOOKUP(I215,customers_clean!$A$2:$A$701,customers_clean!$H$2:$H$701)</f>
        <v>lia.davis@yahoo.com</v>
      </c>
      <c r="O215" s="9" t="str">
        <f>IFERROR(__xludf.DUMMYFUNCTION("IF(REGEXMATCH(TRIM(N215),""^[A-Za-z0-9._%+-]+@[A-Za-z0-9.-]+\.[A-Za-z]{2,}$""),""✅ Valid"",""❌ Invalid"")"),"✅ Valid")</f>
        <v>✅ Valid</v>
      </c>
      <c r="P215" s="2" t="str">
        <f t="array" ref="P215">XLOOKUP(I215,customers_clean!$A$2:$A$701,customers_clean!$K$2:$K$701)</f>
        <v>+33723898327</v>
      </c>
      <c r="Q215" s="10" t="str">
        <f t="array" ref="Q215">XLOOKUP(I215,customers_clean!$A$2:$A$701,customers_clean!$N$2:$N$701)</f>
        <v>723898327</v>
      </c>
      <c r="R215" s="9" t="str">
        <f t="array" ref="R215">XLOOKUP(I215,customers_clean!$A$2:$A$701,customers_clean!$Q$2:$Q$701)</f>
        <v>❌ INVALID</v>
      </c>
      <c r="S215" s="10" t="s">
        <v>448</v>
      </c>
      <c r="T215" s="2" t="s">
        <v>26</v>
      </c>
      <c r="U215" s="2" t="s">
        <v>4601</v>
      </c>
      <c r="V215" s="2" t="s">
        <v>200</v>
      </c>
      <c r="W215" s="9" t="str">
        <f t="array" ref="W215">IF(ISNA(XLOOKUP(V215,products_master_corrected!$A$2:$A$151,products_master_corrected!$A$2:$A$151, NA())),
    "❌ MISSING SKU", "✅")</f>
        <v>✅</v>
      </c>
      <c r="X215" s="2" t="s">
        <v>190</v>
      </c>
      <c r="Y215" s="2" t="s">
        <v>202</v>
      </c>
      <c r="Z215" s="10" t="s">
        <v>63</v>
      </c>
      <c r="AA215" s="27">
        <v>2.0</v>
      </c>
      <c r="AB215" s="9" t="s">
        <v>8649</v>
      </c>
      <c r="AC215" s="28">
        <f t="array" ref="AC215">XLOOKUP(V215,products_master_corrected!$A$2:$A$151,products_master_corrected!$E$2:$E$151)</f>
        <v>61.21</v>
      </c>
      <c r="AD215" s="28">
        <f t="shared" si="27"/>
        <v>122.42</v>
      </c>
      <c r="AE215" s="28">
        <f t="array" ref="AE215">XLOOKUP(V215,products_master_corrected!$A$2:$A$151,products_master_corrected!$M$2:$M$151)</f>
        <v>74.04</v>
      </c>
      <c r="AF215" s="29">
        <f t="shared" si="28"/>
        <v>148.08</v>
      </c>
      <c r="AG215" s="30" t="s">
        <v>48</v>
      </c>
      <c r="AH215" s="2" t="s">
        <v>414</v>
      </c>
      <c r="AI215" s="10" t="s">
        <v>49</v>
      </c>
      <c r="AJ215" s="2" t="s">
        <v>192</v>
      </c>
      <c r="AK215" s="10" t="s">
        <v>192</v>
      </c>
      <c r="AL215" s="2" t="s">
        <v>133</v>
      </c>
    </row>
    <row r="216" ht="15.75" customHeight="1">
      <c r="A216" s="2" t="s">
        <v>2921</v>
      </c>
      <c r="B216" s="12">
        <v>45203.569444444445</v>
      </c>
      <c r="C216" s="2" t="str">
        <f>IFERROR(__xludf.DUMMYFUNCTION("IF(ISNUMBER(B216),TEXT(B216,""yyyy-MM-dd""),REGEXREPLACE(REGEXREPLACE(TO_TEXT(B216),""[^0-9a-zA-Z]+"",""-""),""[^0-9]*$"",""""))"),"2023-10-04")</f>
        <v>2023-10-04</v>
      </c>
      <c r="D216" s="2" t="s">
        <v>8756</v>
      </c>
      <c r="H216" s="10" t="s">
        <v>8756</v>
      </c>
      <c r="I216" s="2" t="s">
        <v>1354</v>
      </c>
      <c r="J216" s="26" t="str">
        <f t="array" ref="J216">IF(ISNA(XLOOKUP(I216,customers_clean!$A$2:$A$701,customers_clean!$A$2:$A$701, NA()) ),
   "❌ MISSING CUSTOMER", "✅")</f>
        <v>✅</v>
      </c>
      <c r="K216" s="2" t="str">
        <f t="array" ref="K216">XLOOKUP(I216,customers_clean!$A$2:$A$701,customers_clean!$C$2:$C$701)</f>
        <v>Lia Davis</v>
      </c>
      <c r="L216" s="10" t="str">
        <f t="array" ref="L216">XLOOKUP(I216,customers_clean!$A$2:$A$701,customers_clean!$D$2:$D$701)</f>
        <v>Lia Davis</v>
      </c>
      <c r="M216" s="2" t="str">
        <f t="array" ref="M216">XLOOKUP(I216,customers_clean!$A$2:$A$701,customers_clean!$I$2:$I$701)</f>
        <v>LIA.DAVIS@YAHOO.COM</v>
      </c>
      <c r="N216" s="10" t="str">
        <f t="array" ref="N216">XLOOKUP(I216,customers_clean!$A$2:$A$701,customers_clean!$H$2:$H$701)</f>
        <v>lia.davis@yahoo.com</v>
      </c>
      <c r="O216" s="9" t="str">
        <f>IFERROR(__xludf.DUMMYFUNCTION("IF(REGEXMATCH(TRIM(N216),""^[A-Za-z0-9._%+-]+@[A-Za-z0-9.-]+\.[A-Za-z]{2,}$""),""✅ Valid"",""❌ Invalid"")"),"✅ Valid")</f>
        <v>✅ Valid</v>
      </c>
      <c r="P216" s="2" t="str">
        <f t="array" ref="P216">XLOOKUP(I216,customers_clean!$A$2:$A$701,customers_clean!$K$2:$K$701)</f>
        <v>+33723898327</v>
      </c>
      <c r="Q216" s="10" t="str">
        <f t="array" ref="Q216">XLOOKUP(I216,customers_clean!$A$2:$A$701,customers_clean!$N$2:$N$701)</f>
        <v>723898327</v>
      </c>
      <c r="R216" s="9" t="str">
        <f t="array" ref="R216">XLOOKUP(I216,customers_clean!$A$2:$A$701,customers_clean!$Q$2:$Q$701)</f>
        <v>❌ INVALID</v>
      </c>
      <c r="S216" s="10" t="s">
        <v>448</v>
      </c>
      <c r="T216" s="2" t="s">
        <v>26</v>
      </c>
      <c r="U216" s="2" t="s">
        <v>211</v>
      </c>
      <c r="V216" s="2" t="s">
        <v>2321</v>
      </c>
      <c r="W216" s="9" t="str">
        <f t="array" ref="W216">IF(ISNA(XLOOKUP(V216,products_master_corrected!$A$2:$A$151,products_master_corrected!$A$2:$A$151, NA())),
    "❌ MISSING SKU", "✅")</f>
        <v>✅</v>
      </c>
      <c r="X216" s="2" t="s">
        <v>2322</v>
      </c>
      <c r="Y216" s="2" t="s">
        <v>368</v>
      </c>
      <c r="Z216" s="10" t="s">
        <v>368</v>
      </c>
      <c r="AA216" s="27">
        <v>2.0</v>
      </c>
      <c r="AB216" s="9" t="s">
        <v>8649</v>
      </c>
      <c r="AC216" s="28">
        <f t="array" ref="AC216">XLOOKUP(V216,products_master_corrected!$A$2:$A$151,products_master_corrected!$E$2:$E$151)</f>
        <v>23.95</v>
      </c>
      <c r="AD216" s="28">
        <f t="shared" si="27"/>
        <v>47.9</v>
      </c>
      <c r="AE216" s="28">
        <f t="array" ref="AE216">XLOOKUP(V216,products_master_corrected!$A$2:$A$151,products_master_corrected!$M$2:$M$151)</f>
        <v>28.97</v>
      </c>
      <c r="AF216" s="29">
        <f t="shared" si="28"/>
        <v>57.94</v>
      </c>
      <c r="AG216" s="30" t="s">
        <v>48</v>
      </c>
      <c r="AH216" s="2" t="s">
        <v>49</v>
      </c>
      <c r="AI216" s="10" t="s">
        <v>49</v>
      </c>
      <c r="AJ216" s="2" t="s">
        <v>442</v>
      </c>
      <c r="AK216" s="10" t="s">
        <v>80</v>
      </c>
      <c r="AL216" s="2" t="s">
        <v>81</v>
      </c>
    </row>
    <row r="217" ht="15.75" customHeight="1">
      <c r="A217" s="2" t="s">
        <v>4286</v>
      </c>
      <c r="B217" s="12">
        <v>45657.0</v>
      </c>
      <c r="C217" s="2" t="str">
        <f>IFERROR(__xludf.DUMMYFUNCTION("IF(ISNUMBER(B217),TEXT(B217,""yyyy-MM-dd""),REGEXREPLACE(REGEXREPLACE(TO_TEXT(B217),""[^0-9a-zA-Z]+"",""-""),""[^0-9]*$"",""""))"),"2024-12-31")</f>
        <v>2024-12-31</v>
      </c>
      <c r="D217" s="2" t="s">
        <v>7984</v>
      </c>
      <c r="H217" s="10" t="s">
        <v>7984</v>
      </c>
      <c r="I217" s="2" t="s">
        <v>2352</v>
      </c>
      <c r="J217" s="26" t="str">
        <f t="array" ref="J217">IF(ISNA(XLOOKUP(I217,customers_clean!$A$2:$A$701,customers_clean!$A$2:$A$701, NA()) ),
   "❌ MISSING CUSTOMER", "✅")</f>
        <v>✅</v>
      </c>
      <c r="K217" s="2" t="str">
        <f t="array" ref="K217">XLOOKUP(I217,customers_clean!$A$2:$A$701,customers_clean!$C$2:$C$701)</f>
        <v>Daria  Khan</v>
      </c>
      <c r="L217" s="10" t="str">
        <f t="array" ref="L217">XLOOKUP(I217,customers_clean!$A$2:$A$701,customers_clean!$D$2:$D$701)</f>
        <v>Daria Khan</v>
      </c>
      <c r="M217" s="2" t="str">
        <f t="array" ref="M217">XLOOKUP(I217,customers_clean!$A$2:$A$701,customers_clean!$I$2:$I$701)</f>
        <v> daria.khan@shop.io</v>
      </c>
      <c r="N217" s="10" t="str">
        <f t="array" ref="N217">XLOOKUP(I217,customers_clean!$A$2:$A$701,customers_clean!$H$2:$H$701)</f>
        <v>daria.khan@shop.io</v>
      </c>
      <c r="O217" s="9" t="str">
        <f>IFERROR(__xludf.DUMMYFUNCTION("IF(REGEXMATCH(TRIM(N217),""^[A-Za-z0-9._%+-]+@[A-Za-z0-9.-]+\.[A-Za-z]{2,}$""),""✅ Valid"",""❌ Invalid"")"),"✅ Valid")</f>
        <v>✅ Valid</v>
      </c>
      <c r="P217" s="2" t="str">
        <f t="array" ref="P217">XLOOKUP(I217,customers_clean!$A$2:$A$701,customers_clean!$K$2:$K$701)</f>
        <v>tel:+16089010873</v>
      </c>
      <c r="Q217" s="10" t="str">
        <f t="array" ref="Q217">XLOOKUP(I217,customers_clean!$A$2:$A$701,customers_clean!$N$2:$N$701)</f>
        <v>6089010873</v>
      </c>
      <c r="R217" s="9" t="str">
        <f t="array" ref="R217">XLOOKUP(I217,customers_clean!$A$2:$A$701,customers_clean!$Q$2:$Q$701)</f>
        <v>✅ VALID</v>
      </c>
      <c r="S217" s="10" t="s">
        <v>448</v>
      </c>
      <c r="T217" s="2" t="s">
        <v>223</v>
      </c>
      <c r="U217" s="2" t="s">
        <v>90</v>
      </c>
      <c r="V217" s="2" t="s">
        <v>635</v>
      </c>
      <c r="W217" s="9" t="str">
        <f t="array" ref="W217">IF(ISNA(XLOOKUP(V217,products_master_corrected!$A$2:$A$151,products_master_corrected!$A$2:$A$151, NA())),
    "❌ MISSING SKU", "✅")</f>
        <v>✅</v>
      </c>
      <c r="X217" s="2" t="s">
        <v>636</v>
      </c>
      <c r="Y217" s="2" t="s">
        <v>637</v>
      </c>
      <c r="Z217" s="10" t="s">
        <v>514</v>
      </c>
      <c r="AA217" s="27">
        <v>1.0</v>
      </c>
      <c r="AB217" s="9" t="s">
        <v>8649</v>
      </c>
      <c r="AC217" s="28">
        <f t="array" ref="AC217">XLOOKUP(V217,products_master_corrected!$A$2:$A$151,products_master_corrected!$E$2:$E$151)</f>
        <v>30.93</v>
      </c>
      <c r="AD217" s="28">
        <f t="shared" si="27"/>
        <v>30.93</v>
      </c>
      <c r="AE217" s="28">
        <f t="array" ref="AE217">XLOOKUP(V217,products_master_corrected!$A$2:$A$151,products_master_corrected!$M$2:$M$151)</f>
        <v>37.41</v>
      </c>
      <c r="AF217" s="29">
        <f t="shared" si="28"/>
        <v>37.41</v>
      </c>
      <c r="AG217" s="30" t="s">
        <v>48</v>
      </c>
      <c r="AH217" s="2" t="s">
        <v>143</v>
      </c>
      <c r="AI217" s="10" t="s">
        <v>143</v>
      </c>
      <c r="AJ217" s="2" t="s">
        <v>4289</v>
      </c>
      <c r="AK217" s="10" t="s">
        <v>192</v>
      </c>
      <c r="AL217" s="2" t="s">
        <v>51</v>
      </c>
    </row>
    <row r="218" ht="15.75" customHeight="1">
      <c r="A218" s="2" t="s">
        <v>2350</v>
      </c>
      <c r="B218" s="12" t="s">
        <v>2351</v>
      </c>
      <c r="C218" s="2" t="str">
        <f>IFERROR(__xludf.DUMMYFUNCTION("IF(ISNUMBER(B218),TEXT(B218,""yyyy-MM-dd""),REGEXREPLACE(REGEXREPLACE(TO_TEXT(B218),""[^0-9a-zA-Z]+"",""-""),""[^0-9]*$"",""""))"),"04-04-2023-08-14")</f>
        <v>04-04-2023-08-14</v>
      </c>
      <c r="D218" s="2" t="str">
        <f t="shared" ref="D218:D219" si="29">TEXT(C218,"yyyy-MM-dd")</f>
        <v>04-04-2023-08-14</v>
      </c>
      <c r="E218" s="12" t="str">
        <f>IFERROR(__xludf.DUMMYFUNCTION("REGEXEXTRACT(D218,""^\d{2}-\d{2}-\d{4}"")"),"04-04-2023")</f>
        <v>04-04-2023</v>
      </c>
      <c r="F218" s="2" t="s">
        <v>8757</v>
      </c>
      <c r="H218" s="10" t="s">
        <v>8757</v>
      </c>
      <c r="I218" s="2" t="s">
        <v>2352</v>
      </c>
      <c r="J218" s="26" t="str">
        <f t="array" ref="J218">IF(ISNA(XLOOKUP(I218,customers_clean!$A$2:$A$701,customers_clean!$A$2:$A$701, NA()) ),
   "❌ MISSING CUSTOMER", "✅")</f>
        <v>✅</v>
      </c>
      <c r="K218" s="2" t="str">
        <f t="array" ref="K218">XLOOKUP(I218,customers_clean!$A$2:$A$701,customers_clean!$C$2:$C$701)</f>
        <v>Daria  Khan</v>
      </c>
      <c r="L218" s="10" t="str">
        <f t="array" ref="L218">XLOOKUP(I218,customers_clean!$A$2:$A$701,customers_clean!$D$2:$D$701)</f>
        <v>Daria Khan</v>
      </c>
      <c r="M218" s="2" t="str">
        <f t="array" ref="M218">XLOOKUP(I218,customers_clean!$A$2:$A$701,customers_clean!$I$2:$I$701)</f>
        <v> daria.khan@shop.io</v>
      </c>
      <c r="N218" s="10" t="str">
        <f t="array" ref="N218">XLOOKUP(I218,customers_clean!$A$2:$A$701,customers_clean!$H$2:$H$701)</f>
        <v>daria.khan@shop.io</v>
      </c>
      <c r="O218" s="9" t="str">
        <f>IFERROR(__xludf.DUMMYFUNCTION("IF(REGEXMATCH(TRIM(N218),""^[A-Za-z0-9._%+-]+@[A-Za-z0-9.-]+\.[A-Za-z]{2,}$""),""✅ Valid"",""❌ Invalid"")"),"✅ Valid")</f>
        <v>✅ Valid</v>
      </c>
      <c r="P218" s="2" t="str">
        <f t="array" ref="P218">XLOOKUP(I218,customers_clean!$A$2:$A$701,customers_clean!$K$2:$K$701)</f>
        <v>tel:+16089010873</v>
      </c>
      <c r="Q218" s="10" t="str">
        <f t="array" ref="Q218">XLOOKUP(I218,customers_clean!$A$2:$A$701,customers_clean!$N$2:$N$701)</f>
        <v>6089010873</v>
      </c>
      <c r="R218" s="9" t="str">
        <f t="array" ref="R218">XLOOKUP(I218,customers_clean!$A$2:$A$701,customers_clean!$Q$2:$Q$701)</f>
        <v>✅ VALID</v>
      </c>
      <c r="S218" s="10" t="s">
        <v>448</v>
      </c>
      <c r="T218" s="2" t="s">
        <v>152</v>
      </c>
      <c r="U218" s="2" t="s">
        <v>480</v>
      </c>
      <c r="V218" s="2" t="s">
        <v>919</v>
      </c>
      <c r="W218" s="9" t="str">
        <f t="array" ref="W218">IF(ISNA(XLOOKUP(V218,products_master_corrected!$A$2:$A$151,products_master_corrected!$A$2:$A$151, NA())),
    "❌ MISSING SKU", "✅")</f>
        <v>✅</v>
      </c>
      <c r="X218" s="2" t="s">
        <v>423</v>
      </c>
      <c r="Y218" s="2" t="s">
        <v>179</v>
      </c>
      <c r="Z218" s="10" t="s">
        <v>179</v>
      </c>
      <c r="AA218" s="27">
        <v>2.0</v>
      </c>
      <c r="AB218" s="9" t="s">
        <v>8649</v>
      </c>
      <c r="AC218" s="28">
        <f t="array" ref="AC218">XLOOKUP(V218,products_master_corrected!$A$2:$A$151,products_master_corrected!$E$2:$E$151)</f>
        <v>52.04</v>
      </c>
      <c r="AD218" s="28">
        <f t="shared" si="27"/>
        <v>104.08</v>
      </c>
      <c r="AE218" s="28">
        <f t="array" ref="AE218">XLOOKUP(V218,products_master_corrected!$A$2:$A$151,products_master_corrected!$M$2:$M$151)</f>
        <v>62.95</v>
      </c>
      <c r="AF218" s="29">
        <f t="shared" si="28"/>
        <v>125.9</v>
      </c>
      <c r="AG218" s="30" t="s">
        <v>48</v>
      </c>
      <c r="AH218" s="2" t="s">
        <v>238</v>
      </c>
      <c r="AI218" s="10" t="s">
        <v>66</v>
      </c>
      <c r="AJ218" s="2" t="s">
        <v>80</v>
      </c>
      <c r="AK218" s="10" t="s">
        <v>80</v>
      </c>
      <c r="AL218" s="2" t="s">
        <v>81</v>
      </c>
    </row>
    <row r="219" ht="15.75" customHeight="1">
      <c r="A219" s="2" t="s">
        <v>4767</v>
      </c>
      <c r="B219" s="12" t="s">
        <v>4768</v>
      </c>
      <c r="C219" s="2" t="str">
        <f>IFERROR(__xludf.DUMMYFUNCTION("IF(ISNUMBER(B219),TEXT(B219,""yyyy-MM-dd""),REGEXREPLACE(REGEXREPLACE(TO_TEXT(B219),""[^0-9a-zA-Z]+"",""-""),""[^0-9]*$"",""""))"),"07-24-2025-18-21")</f>
        <v>07-24-2025-18-21</v>
      </c>
      <c r="D219" s="2" t="str">
        <f t="shared" si="29"/>
        <v>07-24-2025-18-21</v>
      </c>
      <c r="E219" s="12" t="str">
        <f>IFERROR(__xludf.DUMMYFUNCTION("REGEXEXTRACT(D219,""^\d{2}-\d{2}-\d{4}"")"),"07-24-2025")</f>
        <v>07-24-2025</v>
      </c>
      <c r="F219" s="2" t="str">
        <f>TEXT(E219,"yyyy-MM-dd")</f>
        <v>07-24-2025</v>
      </c>
      <c r="G219" s="2" t="s">
        <v>8758</v>
      </c>
      <c r="H219" s="10" t="s">
        <v>8758</v>
      </c>
      <c r="I219" s="2" t="s">
        <v>2352</v>
      </c>
      <c r="J219" s="26" t="str">
        <f t="array" ref="J219">IF(ISNA(XLOOKUP(I219,customers_clean!$A$2:$A$701,customers_clean!$A$2:$A$701, NA()) ),
   "❌ MISSING CUSTOMER", "✅")</f>
        <v>✅</v>
      </c>
      <c r="K219" s="2" t="str">
        <f t="array" ref="K219">XLOOKUP(I219,customers_clean!$A$2:$A$701,customers_clean!$C$2:$C$701)</f>
        <v>Daria  Khan</v>
      </c>
      <c r="L219" s="10" t="str">
        <f t="array" ref="L219">XLOOKUP(I219,customers_clean!$A$2:$A$701,customers_clean!$D$2:$D$701)</f>
        <v>Daria Khan</v>
      </c>
      <c r="M219" s="2" t="str">
        <f t="array" ref="M219">XLOOKUP(I219,customers_clean!$A$2:$A$701,customers_clean!$I$2:$I$701)</f>
        <v> daria.khan@shop.io</v>
      </c>
      <c r="N219" s="10" t="str">
        <f t="array" ref="N219">XLOOKUP(I219,customers_clean!$A$2:$A$701,customers_clean!$H$2:$H$701)</f>
        <v>daria.khan@shop.io</v>
      </c>
      <c r="O219" s="9" t="str">
        <f>IFERROR(__xludf.DUMMYFUNCTION("IF(REGEXMATCH(TRIM(N219),""^[A-Za-z0-9._%+-]+@[A-Za-z0-9.-]+\.[A-Za-z]{2,}$""),""✅ Valid"",""❌ Invalid"")"),"✅ Valid")</f>
        <v>✅ Valid</v>
      </c>
      <c r="P219" s="2" t="str">
        <f t="array" ref="P219">XLOOKUP(I219,customers_clean!$A$2:$A$701,customers_clean!$K$2:$K$701)</f>
        <v>tel:+16089010873</v>
      </c>
      <c r="Q219" s="10" t="str">
        <f t="array" ref="Q219">XLOOKUP(I219,customers_clean!$A$2:$A$701,customers_clean!$N$2:$N$701)</f>
        <v>6089010873</v>
      </c>
      <c r="R219" s="9" t="str">
        <f t="array" ref="R219">XLOOKUP(I219,customers_clean!$A$2:$A$701,customers_clean!$Q$2:$Q$701)</f>
        <v>✅ VALID</v>
      </c>
      <c r="S219" s="10" t="s">
        <v>448</v>
      </c>
      <c r="T219" s="2" t="s">
        <v>301</v>
      </c>
      <c r="U219" s="2" t="s">
        <v>103</v>
      </c>
      <c r="V219" s="2" t="s">
        <v>746</v>
      </c>
      <c r="W219" s="9" t="str">
        <f t="array" ref="W219">IF(ISNA(XLOOKUP(V219,products_master_corrected!$A$2:$A$151,products_master_corrected!$A$2:$A$151, NA())),
    "❌ MISSING SKU", "✅")</f>
        <v>✅</v>
      </c>
      <c r="X219" s="2" t="s">
        <v>747</v>
      </c>
      <c r="Y219" s="2" t="s">
        <v>748</v>
      </c>
      <c r="Z219" s="10" t="s">
        <v>355</v>
      </c>
      <c r="AA219" s="27">
        <v>1.0</v>
      </c>
      <c r="AB219" s="9" t="s">
        <v>8649</v>
      </c>
      <c r="AC219" s="28">
        <f t="array" ref="AC219">XLOOKUP(V219,products_master_corrected!$A$2:$A$151,products_master_corrected!$E$2:$E$151)</f>
        <v>346</v>
      </c>
      <c r="AD219" s="28">
        <f t="shared" si="27"/>
        <v>346</v>
      </c>
      <c r="AE219" s="28">
        <f t="array" ref="AE219">XLOOKUP(V219,products_master_corrected!$A$2:$A$151,products_master_corrected!$M$2:$M$151)</f>
        <v>418.52</v>
      </c>
      <c r="AF219" s="29">
        <f t="shared" si="28"/>
        <v>418.52</v>
      </c>
      <c r="AG219" s="30" t="s">
        <v>48</v>
      </c>
      <c r="AH219" s="2" t="s">
        <v>96</v>
      </c>
      <c r="AI219" s="10" t="s">
        <v>143</v>
      </c>
      <c r="AJ219" s="2" t="s">
        <v>192</v>
      </c>
      <c r="AK219" s="10" t="s">
        <v>192</v>
      </c>
      <c r="AL219" s="2" t="s">
        <v>133</v>
      </c>
    </row>
    <row r="220" ht="15.75" customHeight="1">
      <c r="A220" s="2" t="s">
        <v>3760</v>
      </c>
      <c r="B220" s="12">
        <v>45844.0</v>
      </c>
      <c r="C220" s="2" t="str">
        <f>IFERROR(__xludf.DUMMYFUNCTION("IF(ISNUMBER(B220),TEXT(B220,""yyyy-MM-dd""),REGEXREPLACE(REGEXREPLACE(TO_TEXT(B220),""[^0-9a-zA-Z]+"",""-""),""[^0-9]*$"",""""))"),"2025-07-06")</f>
        <v>2025-07-06</v>
      </c>
      <c r="D220" s="2" t="s">
        <v>7622</v>
      </c>
      <c r="H220" s="10" t="s">
        <v>7622</v>
      </c>
      <c r="I220" s="2" t="s">
        <v>2352</v>
      </c>
      <c r="J220" s="26" t="str">
        <f t="array" ref="J220">IF(ISNA(XLOOKUP(I220,customers_clean!$A$2:$A$701,customers_clean!$A$2:$A$701, NA()) ),
   "❌ MISSING CUSTOMER", "✅")</f>
        <v>✅</v>
      </c>
      <c r="K220" s="2" t="str">
        <f t="array" ref="K220">XLOOKUP(I220,customers_clean!$A$2:$A$701,customers_clean!$C$2:$C$701)</f>
        <v>Daria  Khan</v>
      </c>
      <c r="L220" s="10" t="str">
        <f t="array" ref="L220">XLOOKUP(I220,customers_clean!$A$2:$A$701,customers_clean!$D$2:$D$701)</f>
        <v>Daria Khan</v>
      </c>
      <c r="M220" s="2" t="str">
        <f t="array" ref="M220">XLOOKUP(I220,customers_clean!$A$2:$A$701,customers_clean!$I$2:$I$701)</f>
        <v> daria.khan@shop.io</v>
      </c>
      <c r="N220" s="10" t="str">
        <f t="array" ref="N220">XLOOKUP(I220,customers_clean!$A$2:$A$701,customers_clean!$H$2:$H$701)</f>
        <v>daria.khan@shop.io</v>
      </c>
      <c r="O220" s="9" t="str">
        <f>IFERROR(__xludf.DUMMYFUNCTION("IF(REGEXMATCH(TRIM(N220),""^[A-Za-z0-9._%+-]+@[A-Za-z0-9.-]+\.[A-Za-z]{2,}$""),""✅ Valid"",""❌ Invalid"")"),"✅ Valid")</f>
        <v>✅ Valid</v>
      </c>
      <c r="P220" s="2" t="str">
        <f t="array" ref="P220">XLOOKUP(I220,customers_clean!$A$2:$A$701,customers_clean!$K$2:$K$701)</f>
        <v>tel:+16089010873</v>
      </c>
      <c r="Q220" s="10" t="str">
        <f t="array" ref="Q220">XLOOKUP(I220,customers_clean!$A$2:$A$701,customers_clean!$N$2:$N$701)</f>
        <v>6089010873</v>
      </c>
      <c r="R220" s="9" t="str">
        <f t="array" ref="R220">XLOOKUP(I220,customers_clean!$A$2:$A$701,customers_clean!$Q$2:$Q$701)</f>
        <v>✅ VALID</v>
      </c>
      <c r="S220" s="10" t="s">
        <v>448</v>
      </c>
      <c r="T220" s="2" t="s">
        <v>234</v>
      </c>
      <c r="U220" s="2" t="s">
        <v>870</v>
      </c>
      <c r="V220" s="2" t="s">
        <v>1246</v>
      </c>
      <c r="W220" s="9" t="str">
        <f t="array" ref="W220">IF(ISNA(XLOOKUP(V220,products_master_corrected!$A$2:$A$151,products_master_corrected!$A$2:$A$151, NA())),
    "❌ MISSING SKU", "✅")</f>
        <v>✅</v>
      </c>
      <c r="X220" s="2" t="s">
        <v>804</v>
      </c>
      <c r="Y220" s="2" t="s">
        <v>514</v>
      </c>
      <c r="Z220" s="10" t="s">
        <v>514</v>
      </c>
      <c r="AA220" s="27"/>
      <c r="AB220" s="9" t="s">
        <v>8677</v>
      </c>
      <c r="AC220" s="34"/>
      <c r="AD220" s="34"/>
      <c r="AE220" s="34"/>
      <c r="AF220" s="35"/>
      <c r="AG220" s="36" t="s">
        <v>32</v>
      </c>
      <c r="AH220" s="2" t="s">
        <v>181</v>
      </c>
      <c r="AI220" s="10" t="s">
        <v>181</v>
      </c>
      <c r="AJ220" s="2" t="s">
        <v>80</v>
      </c>
      <c r="AK220" s="10" t="s">
        <v>80</v>
      </c>
      <c r="AL220" s="2" t="s">
        <v>51</v>
      </c>
    </row>
    <row r="221" ht="15.75" customHeight="1">
      <c r="A221" s="2" t="s">
        <v>5513</v>
      </c>
      <c r="B221" s="12">
        <v>45495.0</v>
      </c>
      <c r="C221" s="2" t="str">
        <f>IFERROR(__xludf.DUMMYFUNCTION("IF(ISNUMBER(B221),TEXT(B221,""yyyy-MM-dd""),REGEXREPLACE(REGEXREPLACE(TO_TEXT(B221),""[^0-9a-zA-Z]+"",""-""),""[^0-9]*$"",""""))"),"2024-07-22")</f>
        <v>2024-07-22</v>
      </c>
      <c r="D221" s="2" t="s">
        <v>8759</v>
      </c>
      <c r="H221" s="10" t="s">
        <v>8759</v>
      </c>
      <c r="I221" s="2" t="s">
        <v>2352</v>
      </c>
      <c r="J221" s="26" t="str">
        <f t="array" ref="J221">IF(ISNA(XLOOKUP(I221,customers_clean!$A$2:$A$701,customers_clean!$A$2:$A$701, NA()) ),
   "❌ MISSING CUSTOMER", "✅")</f>
        <v>✅</v>
      </c>
      <c r="K221" s="2" t="str">
        <f t="array" ref="K221">XLOOKUP(I221,customers_clean!$A$2:$A$701,customers_clean!$C$2:$C$701)</f>
        <v>Daria  Khan</v>
      </c>
      <c r="L221" s="10" t="str">
        <f t="array" ref="L221">XLOOKUP(I221,customers_clean!$A$2:$A$701,customers_clean!$D$2:$D$701)</f>
        <v>Daria Khan</v>
      </c>
      <c r="M221" s="2" t="str">
        <f t="array" ref="M221">XLOOKUP(I221,customers_clean!$A$2:$A$701,customers_clean!$I$2:$I$701)</f>
        <v> daria.khan@shop.io</v>
      </c>
      <c r="N221" s="10" t="str">
        <f t="array" ref="N221">XLOOKUP(I221,customers_clean!$A$2:$A$701,customers_clean!$H$2:$H$701)</f>
        <v>daria.khan@shop.io</v>
      </c>
      <c r="O221" s="9" t="str">
        <f>IFERROR(__xludf.DUMMYFUNCTION("IF(REGEXMATCH(TRIM(N221),""^[A-Za-z0-9._%+-]+@[A-Za-z0-9.-]+\.[A-Za-z]{2,}$""),""✅ Valid"",""❌ Invalid"")"),"✅ Valid")</f>
        <v>✅ Valid</v>
      </c>
      <c r="P221" s="2" t="str">
        <f t="array" ref="P221">XLOOKUP(I221,customers_clean!$A$2:$A$701,customers_clean!$K$2:$K$701)</f>
        <v>tel:+16089010873</v>
      </c>
      <c r="Q221" s="10" t="str">
        <f t="array" ref="Q221">XLOOKUP(I221,customers_clean!$A$2:$A$701,customers_clean!$N$2:$N$701)</f>
        <v>6089010873</v>
      </c>
      <c r="R221" s="9" t="str">
        <f t="array" ref="R221">XLOOKUP(I221,customers_clean!$A$2:$A$701,customers_clean!$Q$2:$Q$701)</f>
        <v>✅ VALID</v>
      </c>
      <c r="S221" s="10" t="s">
        <v>448</v>
      </c>
      <c r="T221" s="2" t="s">
        <v>115</v>
      </c>
      <c r="U221" s="2" t="s">
        <v>103</v>
      </c>
      <c r="V221" s="2" t="s">
        <v>3596</v>
      </c>
      <c r="W221" s="9" t="str">
        <f t="array" ref="W221">IF(ISNA(XLOOKUP(V221,products_master_corrected!$A$2:$A$151,products_master_corrected!$A$2:$A$151, NA())),
    "❌ MISSING SKU", "✅")</f>
        <v>✅</v>
      </c>
      <c r="X221" s="2" t="s">
        <v>3597</v>
      </c>
      <c r="Y221" s="2" t="s">
        <v>63</v>
      </c>
      <c r="Z221" s="10" t="s">
        <v>63</v>
      </c>
      <c r="AA221" s="27">
        <v>1.0</v>
      </c>
      <c r="AB221" s="9" t="s">
        <v>8649</v>
      </c>
      <c r="AC221" s="28">
        <f t="array" ref="AC221">XLOOKUP(V221,products_master_corrected!$A$2:$A$151,products_master_corrected!$E$2:$E$151)</f>
        <v>160.36</v>
      </c>
      <c r="AD221" s="28">
        <f t="shared" ref="AD221:AD239" si="30">AA221*AC221</f>
        <v>160.36</v>
      </c>
      <c r="AE221" s="28">
        <f t="array" ref="AE221">XLOOKUP(V221,products_master_corrected!$A$2:$A$151,products_master_corrected!$M$2:$M$151)</f>
        <v>193.97</v>
      </c>
      <c r="AF221" s="29">
        <f t="shared" ref="AF221:AF239" si="31">AA221*AE221</f>
        <v>193.97</v>
      </c>
      <c r="AG221" s="30" t="s">
        <v>48</v>
      </c>
      <c r="AH221" s="2" t="s">
        <v>414</v>
      </c>
      <c r="AI221" s="10" t="s">
        <v>49</v>
      </c>
      <c r="AJ221" s="2" t="s">
        <v>34</v>
      </c>
      <c r="AK221" s="10" t="s">
        <v>80</v>
      </c>
    </row>
    <row r="222" ht="15.75" customHeight="1">
      <c r="A222" s="2" t="s">
        <v>3712</v>
      </c>
      <c r="B222" s="12">
        <v>45876.0</v>
      </c>
      <c r="C222" s="2" t="str">
        <f>IFERROR(__xludf.DUMMYFUNCTION("IF(ISNUMBER(B222),TEXT(B222,""yyyy-MM-dd""),REGEXREPLACE(REGEXREPLACE(TO_TEXT(B222),""[^0-9a-zA-Z]+"",""-""),""[^0-9]*$"",""""))"),"2025-08-07")</f>
        <v>2025-08-07</v>
      </c>
      <c r="D222" s="2" t="s">
        <v>8760</v>
      </c>
      <c r="H222" s="10" t="s">
        <v>8760</v>
      </c>
      <c r="I222" s="2" t="s">
        <v>3714</v>
      </c>
      <c r="J222" s="26" t="str">
        <f t="array" ref="J222">IF(ISNA(XLOOKUP(I222,customers_clean!$A$2:$A$701,customers_clean!$A$2:$A$701, NA()) ),
   "❌ MISSING CUSTOMER", "✅")</f>
        <v>✅</v>
      </c>
      <c r="K222" s="2" t="str">
        <f t="array" ref="K222">XLOOKUP(I222,customers_clean!$A$2:$A$701,customers_clean!$C$2:$C$701)</f>
        <v>Daria  Khan </v>
      </c>
      <c r="L222" s="10" t="str">
        <f t="array" ref="L222">XLOOKUP(I222,customers_clean!$A$2:$A$701,customers_clean!$D$2:$D$701)</f>
        <v>Daria Khan</v>
      </c>
      <c r="M222" s="2" t="str">
        <f t="array" ref="M222">XLOOKUP(I222,customers_clean!$A$2:$A$701,customers_clean!$I$2:$I$701)</f>
        <v> daria.khan@shop.io</v>
      </c>
      <c r="N222" s="10" t="str">
        <f t="array" ref="N222">XLOOKUP(I222,customers_clean!$A$2:$A$701,customers_clean!$H$2:$H$701)</f>
        <v>daria.khan@shop.io</v>
      </c>
      <c r="O222" s="9" t="str">
        <f>IFERROR(__xludf.DUMMYFUNCTION("IF(REGEXMATCH(TRIM(N222),""^[A-Za-z0-9._%+-]+@[A-Za-z0-9.-]+\.[A-Za-z]{2,}$""),""✅ Valid"",""❌ Invalid"")"),"✅ Valid")</f>
        <v>✅ Valid</v>
      </c>
      <c r="P222" s="2" t="str">
        <f t="array" ref="P222">XLOOKUP(I222,customers_clean!$A$2:$A$701,customers_clean!$K$2:$K$701)</f>
        <v>+1 85 06 23 07 37</v>
      </c>
      <c r="Q222" s="10" t="str">
        <f t="array" ref="Q222">XLOOKUP(I222,customers_clean!$A$2:$A$701,customers_clean!$N$2:$N$701)</f>
        <v>8506230737</v>
      </c>
      <c r="R222" s="9" t="str">
        <f t="array" ref="R222">XLOOKUP(I222,customers_clean!$A$2:$A$701,customers_clean!$Q$2:$Q$701)</f>
        <v>✅ VALID</v>
      </c>
      <c r="S222" s="10" t="s">
        <v>88</v>
      </c>
      <c r="T222" s="2" t="s">
        <v>234</v>
      </c>
      <c r="U222" s="2" t="s">
        <v>480</v>
      </c>
      <c r="V222" s="2" t="s">
        <v>815</v>
      </c>
      <c r="W222" s="9" t="str">
        <f t="array" ref="W222">IF(ISNA(XLOOKUP(V222,products_master_corrected!$A$2:$A$151,products_master_corrected!$A$2:$A$151, NA())),
    "❌ MISSING SKU", "✅")</f>
        <v>✅</v>
      </c>
      <c r="X222" s="2" t="s">
        <v>816</v>
      </c>
      <c r="Y222" s="2" t="s">
        <v>179</v>
      </c>
      <c r="Z222" s="10" t="s">
        <v>179</v>
      </c>
      <c r="AA222" s="27">
        <v>2.0</v>
      </c>
      <c r="AB222" s="9" t="s">
        <v>8649</v>
      </c>
      <c r="AC222" s="28">
        <f t="array" ref="AC222">XLOOKUP(V222,products_master_corrected!$A$2:$A$151,products_master_corrected!$E$2:$E$151)</f>
        <v>328.22</v>
      </c>
      <c r="AD222" s="28">
        <f t="shared" si="30"/>
        <v>656.44</v>
      </c>
      <c r="AE222" s="28">
        <f t="array" ref="AE222">XLOOKUP(V222,products_master_corrected!$A$2:$A$151,products_master_corrected!$I$2:$I$151)</f>
        <v>361.83</v>
      </c>
      <c r="AF222" s="29">
        <f t="shared" si="31"/>
        <v>723.66</v>
      </c>
      <c r="AG222" s="32" t="s">
        <v>8660</v>
      </c>
      <c r="AH222" s="2" t="s">
        <v>3358</v>
      </c>
      <c r="AI222" s="10" t="s">
        <v>66</v>
      </c>
      <c r="AJ222" s="2" t="s">
        <v>3718</v>
      </c>
      <c r="AK222" s="10" t="s">
        <v>80</v>
      </c>
    </row>
    <row r="223" ht="15.75" customHeight="1">
      <c r="A223" s="2" t="s">
        <v>3845</v>
      </c>
      <c r="B223" s="12" t="s">
        <v>3846</v>
      </c>
      <c r="C223" s="2" t="str">
        <f>IFERROR(__xludf.DUMMYFUNCTION("IF(ISNUMBER(B223),TEXT(B223,""yyyy-MM-dd""),REGEXREPLACE(REGEXREPLACE(TO_TEXT(B223),""[^0-9a-zA-Z]+"",""-""),""[^0-9]*$"",""""))"),"06-04-2025")</f>
        <v>06-04-2025</v>
      </c>
      <c r="D223" s="2" t="s">
        <v>8761</v>
      </c>
      <c r="H223" s="10" t="s">
        <v>8761</v>
      </c>
      <c r="I223" s="2" t="s">
        <v>3847</v>
      </c>
      <c r="J223" s="26" t="str">
        <f t="array" ref="J223">IF(ISNA(XLOOKUP(I223,customers_clean!$A$2:$A$701,customers_clean!$A$2:$A$701, NA()) ),
   "❌ MISSING CUSTOMER", "✅")</f>
        <v>✅</v>
      </c>
      <c r="K223" s="2" t="str">
        <f t="array" ref="K223">XLOOKUP(I223,customers_clean!$A$2:$A$701,customers_clean!$C$2:$C$701)</f>
        <v>Rita Garcia</v>
      </c>
      <c r="L223" s="10" t="str">
        <f t="array" ref="L223">XLOOKUP(I223,customers_clean!$A$2:$A$701,customers_clean!$D$2:$D$701)</f>
        <v>Rita Garcia</v>
      </c>
      <c r="M223" s="2" t="str">
        <f t="array" ref="M223">XLOOKUP(I223,customers_clean!$A$2:$A$701,customers_clean!$I$2:$I$701)</f>
        <v/>
      </c>
      <c r="N223" s="10" t="str">
        <f t="array" ref="N223">XLOOKUP(I223,customers_clean!$A$2:$A$701,customers_clean!$H$2:$H$701)</f>
        <v/>
      </c>
      <c r="O223" s="9" t="str">
        <f>IFERROR(__xludf.DUMMYFUNCTION("IF(REGEXMATCH(TRIM(N223),""^[A-Za-z0-9._%+-]+@[A-Za-z0-9.-]+\.[A-Za-z]{2,}$""),""✅ Valid"",""❌ Invalid"")"),"❌ Invalid")</f>
        <v>❌ Invalid</v>
      </c>
      <c r="P223" s="2" t="str">
        <f t="array" ref="P223">XLOOKUP(I223,customers_clean!$A$2:$A$701,customers_clean!$K$2:$K$701)</f>
        <v>03832 875 750 </v>
      </c>
      <c r="Q223" s="10" t="str">
        <f t="array" ref="Q223">XLOOKUP(I223,customers_clean!$A$2:$A$701,customers_clean!$N$2:$N$701)</f>
        <v/>
      </c>
      <c r="R223" s="9" t="str">
        <f t="array" ref="R223">XLOOKUP(I223,customers_clean!$A$2:$A$701,customers_clean!$Q$2:$Q$701)</f>
        <v/>
      </c>
      <c r="S223" s="10" t="s">
        <v>114</v>
      </c>
      <c r="T223" s="2" t="s">
        <v>3850</v>
      </c>
      <c r="U223" s="2" t="s">
        <v>176</v>
      </c>
      <c r="V223" s="2" t="s">
        <v>1014</v>
      </c>
      <c r="W223" s="9" t="str">
        <f t="array" ref="W223">IF(ISNA(XLOOKUP(V223,products_master_corrected!$A$2:$A$151,products_master_corrected!$A$2:$A$151, NA())),
    "❌ MISSING SKU", "✅")</f>
        <v>✅</v>
      </c>
      <c r="X223" s="2" t="s">
        <v>1015</v>
      </c>
      <c r="Y223" s="2" t="s">
        <v>1016</v>
      </c>
      <c r="Z223" s="10" t="s">
        <v>355</v>
      </c>
      <c r="AA223" s="27">
        <v>2.0</v>
      </c>
      <c r="AB223" s="9" t="s">
        <v>8649</v>
      </c>
      <c r="AC223" s="28">
        <f t="array" ref="AC223">XLOOKUP(V223,products_master_corrected!$A$2:$A$151,products_master_corrected!$E$2:$E$151)</f>
        <v>162.1</v>
      </c>
      <c r="AD223" s="28">
        <f t="shared" si="30"/>
        <v>324.2</v>
      </c>
      <c r="AE223" s="28">
        <f t="array" ref="AE223">XLOOKUP(V223,products_master_corrected!$A$2:$A$151,products_master_corrected!$F$2:$F$151)</f>
        <v>162.1</v>
      </c>
      <c r="AF223" s="29">
        <f t="shared" si="31"/>
        <v>324.2</v>
      </c>
      <c r="AG223" s="30" t="s">
        <v>65</v>
      </c>
      <c r="AH223" s="2" t="s">
        <v>238</v>
      </c>
      <c r="AI223" s="10" t="s">
        <v>66</v>
      </c>
      <c r="AJ223" s="2" t="s">
        <v>380</v>
      </c>
      <c r="AK223" s="10" t="s">
        <v>80</v>
      </c>
    </row>
    <row r="224" ht="15.75" customHeight="1">
      <c r="A224" s="2" t="s">
        <v>3137</v>
      </c>
      <c r="B224" s="12">
        <v>45694.0</v>
      </c>
      <c r="C224" s="2" t="str">
        <f>IFERROR(__xludf.DUMMYFUNCTION("IF(ISNUMBER(B224),TEXT(B224,""yyyy-MM-dd""),REGEXREPLACE(REGEXREPLACE(TO_TEXT(B224),""[^0-9a-zA-Z]+"",""-""),""[^0-9]*$"",""""))"),"2025-02-06")</f>
        <v>2025-02-06</v>
      </c>
      <c r="D224" s="2" t="s">
        <v>8762</v>
      </c>
      <c r="H224" s="10" t="s">
        <v>8762</v>
      </c>
      <c r="I224" s="2" t="s">
        <v>3139</v>
      </c>
      <c r="J224" s="26" t="str">
        <f t="array" ref="J224">IF(ISNA(XLOOKUP(I224,customers_clean!$A$2:$A$701,customers_clean!$A$2:$A$701, NA()) ),
   "❌ MISSING CUSTOMER", "✅")</f>
        <v>✅</v>
      </c>
      <c r="K224" s="2" t="str">
        <f t="array" ref="K224">XLOOKUP(I224,customers_clean!$A$2:$A$701,customers_clean!$C$2:$C$701)</f>
        <v>Marek Lopez</v>
      </c>
      <c r="L224" s="10" t="str">
        <f t="array" ref="L224">XLOOKUP(I224,customers_clean!$A$2:$A$701,customers_clean!$D$2:$D$701)</f>
        <v>Marek Lopez</v>
      </c>
      <c r="M224" s="2" t="str">
        <f t="array" ref="M224">XLOOKUP(I224,customers_clean!$A$2:$A$701,customers_clean!$I$2:$I$701)</f>
        <v>marke.lopez@outlook.com</v>
      </c>
      <c r="N224" s="10" t="str">
        <f t="array" ref="N224">XLOOKUP(I224,customers_clean!$A$2:$A$701,customers_clean!$H$2:$H$701)</f>
        <v>marke.lopez@outlook.com</v>
      </c>
      <c r="O224" s="9" t="str">
        <f>IFERROR(__xludf.DUMMYFUNCTION("IF(REGEXMATCH(TRIM(N224),""^[A-Za-z0-9._%+-]+@[A-Za-z0-9.-]+\.[A-Za-z]{2,}$""),""✅ Valid"",""❌ Invalid"")"),"✅ Valid")</f>
        <v>✅ Valid</v>
      </c>
      <c r="P224" s="2" t="str">
        <f t="array" ref="P224">XLOOKUP(I224,customers_clean!$A$2:$A$701,customers_clean!$K$2:$K$701)</f>
        <v>(260) 1364081</v>
      </c>
      <c r="Q224" s="10" t="str">
        <f t="array" ref="Q224">XLOOKUP(I224,customers_clean!$A$2:$A$701,customers_clean!$N$2:$N$701)</f>
        <v>2601364081</v>
      </c>
      <c r="R224" s="9" t="str">
        <f t="array" ref="R224">XLOOKUP(I224,customers_clean!$A$2:$A$701,customers_clean!$Q$2:$Q$701)</f>
        <v>✅ VALID</v>
      </c>
      <c r="S224" s="10" t="s">
        <v>88</v>
      </c>
      <c r="T224" s="2" t="s">
        <v>3144</v>
      </c>
      <c r="U224" s="2" t="s">
        <v>312</v>
      </c>
      <c r="V224" s="2" t="s">
        <v>353</v>
      </c>
      <c r="W224" s="9" t="str">
        <f t="array" ref="W224">IF(ISNA(XLOOKUP(V224,products_master_corrected!$A$2:$A$151,products_master_corrected!$A$2:$A$151, NA())),
    "❌ MISSING SKU", "✅")</f>
        <v>✅</v>
      </c>
      <c r="X224" s="2" t="s">
        <v>62</v>
      </c>
      <c r="Y224" s="2" t="s">
        <v>355</v>
      </c>
      <c r="Z224" s="10" t="s">
        <v>355</v>
      </c>
      <c r="AA224" s="27">
        <v>1.0</v>
      </c>
      <c r="AB224" s="9" t="s">
        <v>8649</v>
      </c>
      <c r="AC224" s="28">
        <f t="array" ref="AC224">XLOOKUP(V224,products_master_corrected!$A$2:$A$151,products_master_corrected!$E$2:$E$151)</f>
        <v>106.56</v>
      </c>
      <c r="AD224" s="28">
        <f t="shared" si="30"/>
        <v>106.56</v>
      </c>
      <c r="AE224" s="28">
        <f t="array" ref="AE224">XLOOKUP(V224,products_master_corrected!$A$2:$A$151,products_master_corrected!$I$2:$I$151)</f>
        <v>117.47</v>
      </c>
      <c r="AF224" s="29">
        <f t="shared" si="31"/>
        <v>117.47</v>
      </c>
      <c r="AG224" s="32" t="s">
        <v>8660</v>
      </c>
      <c r="AH224" s="2" t="s">
        <v>573</v>
      </c>
      <c r="AI224" s="10" t="s">
        <v>66</v>
      </c>
      <c r="AJ224" s="2" t="s">
        <v>192</v>
      </c>
      <c r="AK224" s="10" t="s">
        <v>192</v>
      </c>
    </row>
    <row r="225" ht="15.75" customHeight="1">
      <c r="A225" s="2" t="s">
        <v>6032</v>
      </c>
      <c r="B225" s="12">
        <v>45357.0</v>
      </c>
      <c r="C225" s="2" t="str">
        <f>IFERROR(__xludf.DUMMYFUNCTION("IF(ISNUMBER(B225),TEXT(B225,""yyyy-MM-dd""),REGEXREPLACE(REGEXREPLACE(TO_TEXT(B225),""[^0-9a-zA-Z]+"",""-""),""[^0-9]*$"",""""))"),"2024-03-06")</f>
        <v>2024-03-06</v>
      </c>
      <c r="D225" s="2" t="s">
        <v>8763</v>
      </c>
      <c r="H225" s="10" t="s">
        <v>8763</v>
      </c>
      <c r="I225" s="2" t="s">
        <v>3139</v>
      </c>
      <c r="J225" s="26" t="str">
        <f t="array" ref="J225">IF(ISNA(XLOOKUP(I225,customers_clean!$A$2:$A$701,customers_clean!$A$2:$A$701, NA()) ),
   "❌ MISSING CUSTOMER", "✅")</f>
        <v>✅</v>
      </c>
      <c r="K225" s="2" t="str">
        <f t="array" ref="K225">XLOOKUP(I225,customers_clean!$A$2:$A$701,customers_clean!$C$2:$C$701)</f>
        <v>Marek Lopez</v>
      </c>
      <c r="L225" s="10" t="str">
        <f t="array" ref="L225">XLOOKUP(I225,customers_clean!$A$2:$A$701,customers_clean!$D$2:$D$701)</f>
        <v>Marek Lopez</v>
      </c>
      <c r="M225" s="2" t="str">
        <f t="array" ref="M225">XLOOKUP(I225,customers_clean!$A$2:$A$701,customers_clean!$I$2:$I$701)</f>
        <v>marke.lopez@outlook.com</v>
      </c>
      <c r="N225" s="10" t="str">
        <f t="array" ref="N225">XLOOKUP(I225,customers_clean!$A$2:$A$701,customers_clean!$H$2:$H$701)</f>
        <v>marke.lopez@outlook.com</v>
      </c>
      <c r="O225" s="9" t="str">
        <f>IFERROR(__xludf.DUMMYFUNCTION("IF(REGEXMATCH(TRIM(N225),""^[A-Za-z0-9._%+-]+@[A-Za-z0-9.-]+\.[A-Za-z]{2,}$""),""✅ Valid"",""❌ Invalid"")"),"✅ Valid")</f>
        <v>✅ Valid</v>
      </c>
      <c r="P225" s="2" t="str">
        <f t="array" ref="P225">XLOOKUP(I225,customers_clean!$A$2:$A$701,customers_clean!$K$2:$K$701)</f>
        <v>(260) 1364081</v>
      </c>
      <c r="Q225" s="10" t="str">
        <f t="array" ref="Q225">XLOOKUP(I225,customers_clean!$A$2:$A$701,customers_clean!$N$2:$N$701)</f>
        <v>2601364081</v>
      </c>
      <c r="R225" s="9" t="str">
        <f t="array" ref="R225">XLOOKUP(I225,customers_clean!$A$2:$A$701,customers_clean!$Q$2:$Q$701)</f>
        <v>✅ VALID</v>
      </c>
      <c r="S225" s="10" t="s">
        <v>88</v>
      </c>
      <c r="T225" s="2" t="s">
        <v>26</v>
      </c>
      <c r="U225" s="2" t="s">
        <v>2255</v>
      </c>
      <c r="V225" s="2" t="s">
        <v>824</v>
      </c>
      <c r="W225" s="9" t="str">
        <f t="array" ref="W225">IF(ISNA(XLOOKUP(V225,products_master_corrected!$A$2:$A$151,products_master_corrected!$A$2:$A$151, NA())),
    "❌ MISSING SKU", "✅")</f>
        <v>✅</v>
      </c>
      <c r="X225" s="2" t="s">
        <v>825</v>
      </c>
      <c r="Y225" s="2" t="s">
        <v>826</v>
      </c>
      <c r="Z225" s="10" t="s">
        <v>63</v>
      </c>
      <c r="AA225" s="27">
        <v>2.0</v>
      </c>
      <c r="AB225" s="9" t="s">
        <v>8649</v>
      </c>
      <c r="AC225" s="28">
        <f t="array" ref="AC225">XLOOKUP(V225,products_master_corrected!$A$2:$A$151,products_master_corrected!$E$2:$E$151)</f>
        <v>49.58</v>
      </c>
      <c r="AD225" s="28">
        <f t="shared" si="30"/>
        <v>99.16</v>
      </c>
      <c r="AE225" s="28">
        <f t="array" ref="AE225">XLOOKUP(V225,products_master_corrected!$A$2:$A$151,products_master_corrected!$I$2:$I$151)</f>
        <v>54.66</v>
      </c>
      <c r="AF225" s="29">
        <f t="shared" si="31"/>
        <v>109.32</v>
      </c>
      <c r="AG225" s="32" t="s">
        <v>8660</v>
      </c>
      <c r="AH225" s="2" t="s">
        <v>143</v>
      </c>
      <c r="AI225" s="10" t="s">
        <v>143</v>
      </c>
      <c r="AJ225" s="2" t="s">
        <v>294</v>
      </c>
      <c r="AK225" s="10" t="s">
        <v>80</v>
      </c>
      <c r="AL225" s="2" t="s">
        <v>81</v>
      </c>
    </row>
    <row r="226" ht="15.75" customHeight="1">
      <c r="A226" s="2" t="s">
        <v>4996</v>
      </c>
      <c r="B226" s="12">
        <v>45110.0</v>
      </c>
      <c r="C226" s="2" t="str">
        <f>IFERROR(__xludf.DUMMYFUNCTION("IF(ISNUMBER(B226),TEXT(B226,""yyyy-MM-dd""),REGEXREPLACE(REGEXREPLACE(TO_TEXT(B226),""[^0-9a-zA-Z]+"",""-""),""[^0-9]*$"",""""))"),"2023-07-03")</f>
        <v>2023-07-03</v>
      </c>
      <c r="D226" s="2" t="s">
        <v>8764</v>
      </c>
      <c r="H226" s="10" t="s">
        <v>8764</v>
      </c>
      <c r="I226" s="2" t="s">
        <v>4998</v>
      </c>
      <c r="J226" s="26" t="str">
        <f t="array" ref="J226">IF(ISNA(XLOOKUP(I226,customers_clean!$A$2:$A$701,customers_clean!$A$2:$A$701, NA()) ),
   "❌ MISSING CUSTOMER", "✅")</f>
        <v>✅</v>
      </c>
      <c r="K226" s="2" t="str">
        <f t="array" ref="K226">XLOOKUP(I226,customers_clean!$A$2:$A$701,customers_clean!$C$2:$C$701)</f>
        <v> Daria Rodriguez</v>
      </c>
      <c r="L226" s="10" t="str">
        <f t="array" ref="L226">XLOOKUP(I226,customers_clean!$A$2:$A$701,customers_clean!$D$2:$D$701)</f>
        <v>Daria Rodriguez</v>
      </c>
      <c r="M226" s="2" t="str">
        <f t="array" ref="M226">XLOOKUP(I226,customers_clean!$A$2:$A$701,customers_clean!$I$2:$I$701)</f>
        <v/>
      </c>
      <c r="N226" s="10" t="str">
        <f t="array" ref="N226">XLOOKUP(I226,customers_clean!$A$2:$A$701,customers_clean!$H$2:$H$701)</f>
        <v/>
      </c>
      <c r="O226" s="9" t="str">
        <f>IFERROR(__xludf.DUMMYFUNCTION("IF(REGEXMATCH(TRIM(N226),""^[A-Za-z0-9._%+-]+@[A-Za-z0-9.-]+\.[A-Za-z]{2,}$""),""✅ Valid"",""❌ Invalid"")"),"❌ Invalid")</f>
        <v>❌ Invalid</v>
      </c>
      <c r="P226" s="2" t="str">
        <f t="array" ref="P226">XLOOKUP(I226,customers_clean!$A$2:$A$701,customers_clean!$K$2:$K$701)</f>
        <v>+1-747-724-4000</v>
      </c>
      <c r="Q226" s="10" t="str">
        <f t="array" ref="Q226">XLOOKUP(I226,customers_clean!$A$2:$A$701,customers_clean!$N$2:$N$701)</f>
        <v/>
      </c>
      <c r="R226" s="9" t="str">
        <f t="array" ref="R226">XLOOKUP(I226,customers_clean!$A$2:$A$701,customers_clean!$Q$2:$Q$701)</f>
        <v/>
      </c>
      <c r="S226" s="10" t="s">
        <v>114</v>
      </c>
      <c r="T226" s="2" t="s">
        <v>400</v>
      </c>
      <c r="U226" s="2" t="s">
        <v>43</v>
      </c>
      <c r="V226" s="2" t="s">
        <v>3172</v>
      </c>
      <c r="W226" s="9" t="str">
        <f t="array" ref="W226">IF(ISNA(XLOOKUP(V226,products_master_corrected!$A$2:$A$151,products_master_corrected!$A$2:$A$151, NA())),
    "❌ MISSING SKU", "✅")</f>
        <v>✅</v>
      </c>
      <c r="X226" s="2" t="s">
        <v>8765</v>
      </c>
      <c r="Y226" s="2" t="s">
        <v>355</v>
      </c>
      <c r="Z226" s="10" t="s">
        <v>355</v>
      </c>
      <c r="AA226" s="27">
        <v>1.0</v>
      </c>
      <c r="AB226" s="9" t="s">
        <v>8649</v>
      </c>
      <c r="AC226" s="28">
        <f t="array" ref="AC226">XLOOKUP(V226,products_master_corrected!$A$2:$A$151,products_master_corrected!$E$2:$E$151)</f>
        <v>107.38</v>
      </c>
      <c r="AD226" s="28">
        <f t="shared" si="30"/>
        <v>107.38</v>
      </c>
      <c r="AE226" s="28">
        <f t="array" ref="AE226">XLOOKUP(V226,products_master_corrected!$A$2:$A$151,products_master_corrected!$F$2:$F$151)</f>
        <v>107.38</v>
      </c>
      <c r="AF226" s="29">
        <f t="shared" si="31"/>
        <v>107.38</v>
      </c>
      <c r="AG226" s="30" t="s">
        <v>65</v>
      </c>
      <c r="AH226" s="2" t="s">
        <v>96</v>
      </c>
      <c r="AI226" s="10" t="s">
        <v>143</v>
      </c>
      <c r="AJ226" s="2" t="s">
        <v>527</v>
      </c>
      <c r="AK226" s="10" t="s">
        <v>192</v>
      </c>
      <c r="AL226" s="2" t="s">
        <v>67</v>
      </c>
    </row>
    <row r="227" ht="15.75" customHeight="1">
      <c r="A227" s="2" t="s">
        <v>5192</v>
      </c>
      <c r="B227" s="12">
        <v>45865.0</v>
      </c>
      <c r="C227" s="2" t="str">
        <f>IFERROR(__xludf.DUMMYFUNCTION("IF(ISNUMBER(B227),TEXT(B227,""yyyy-MM-dd""),REGEXREPLACE(REGEXREPLACE(TO_TEXT(B227),""[^0-9a-zA-Z]+"",""-""),""[^0-9]*$"",""""))"),"2025-07-27")</f>
        <v>2025-07-27</v>
      </c>
      <c r="D227" s="2" t="s">
        <v>8766</v>
      </c>
      <c r="H227" s="10" t="s">
        <v>8766</v>
      </c>
      <c r="I227" s="2" t="s">
        <v>4998</v>
      </c>
      <c r="J227" s="26" t="str">
        <f t="array" ref="J227">IF(ISNA(XLOOKUP(I227,customers_clean!$A$2:$A$701,customers_clean!$A$2:$A$701, NA()) ),
   "❌ MISSING CUSTOMER", "✅")</f>
        <v>✅</v>
      </c>
      <c r="K227" s="2" t="str">
        <f t="array" ref="K227">XLOOKUP(I227,customers_clean!$A$2:$A$701,customers_clean!$C$2:$C$701)</f>
        <v> Daria Rodriguez</v>
      </c>
      <c r="L227" s="10" t="str">
        <f t="array" ref="L227">XLOOKUP(I227,customers_clean!$A$2:$A$701,customers_clean!$D$2:$D$701)</f>
        <v>Daria Rodriguez</v>
      </c>
      <c r="M227" s="2" t="str">
        <f t="array" ref="M227">XLOOKUP(I227,customers_clean!$A$2:$A$701,customers_clean!$I$2:$I$701)</f>
        <v/>
      </c>
      <c r="N227" s="10" t="str">
        <f t="array" ref="N227">XLOOKUP(I227,customers_clean!$A$2:$A$701,customers_clean!$H$2:$H$701)</f>
        <v/>
      </c>
      <c r="O227" s="9" t="str">
        <f>IFERROR(__xludf.DUMMYFUNCTION("IF(REGEXMATCH(TRIM(N227),""^[A-Za-z0-9._%+-]+@[A-Za-z0-9.-]+\.[A-Za-z]{2,}$""),""✅ Valid"",""❌ Invalid"")"),"❌ Invalid")</f>
        <v>❌ Invalid</v>
      </c>
      <c r="P227" s="2" t="str">
        <f t="array" ref="P227">XLOOKUP(I227,customers_clean!$A$2:$A$701,customers_clean!$K$2:$K$701)</f>
        <v>+1-747-724-4000</v>
      </c>
      <c r="Q227" s="10" t="str">
        <f t="array" ref="Q227">XLOOKUP(I227,customers_clean!$A$2:$A$701,customers_clean!$N$2:$N$701)</f>
        <v/>
      </c>
      <c r="R227" s="9" t="str">
        <f t="array" ref="R227">XLOOKUP(I227,customers_clean!$A$2:$A$701,customers_clean!$Q$2:$Q$701)</f>
        <v/>
      </c>
      <c r="S227" s="10" t="s">
        <v>114</v>
      </c>
      <c r="T227" s="2" t="s">
        <v>115</v>
      </c>
      <c r="U227" s="2" t="s">
        <v>176</v>
      </c>
      <c r="V227" s="2" t="s">
        <v>471</v>
      </c>
      <c r="W227" s="9" t="str">
        <f t="array" ref="W227">IF(ISNA(XLOOKUP(V227,products_master_corrected!$A$2:$A$151,products_master_corrected!$A$2:$A$151, NA())),
    "❌ MISSING SKU", "✅")</f>
        <v>✅</v>
      </c>
      <c r="X227" s="2" t="s">
        <v>29</v>
      </c>
      <c r="Y227" s="2" t="s">
        <v>179</v>
      </c>
      <c r="Z227" s="10" t="s">
        <v>179</v>
      </c>
      <c r="AA227" s="27">
        <v>1.0</v>
      </c>
      <c r="AB227" s="9" t="s">
        <v>8649</v>
      </c>
      <c r="AC227" s="28">
        <f t="array" ref="AC227">XLOOKUP(V227,products_master_corrected!$A$2:$A$151,products_master_corrected!$E$2:$E$151)</f>
        <v>71.8</v>
      </c>
      <c r="AD227" s="28">
        <f t="shared" si="30"/>
        <v>71.8</v>
      </c>
      <c r="AE227" s="28">
        <f t="array" ref="AE227">XLOOKUP(V227,products_master_corrected!$A$2:$A$151,products_master_corrected!$F$2:$F$151)</f>
        <v>71.8</v>
      </c>
      <c r="AF227" s="29">
        <f t="shared" si="31"/>
        <v>71.8</v>
      </c>
      <c r="AG227" s="30" t="s">
        <v>65</v>
      </c>
      <c r="AH227" s="2" t="s">
        <v>49</v>
      </c>
      <c r="AI227" s="10" t="s">
        <v>49</v>
      </c>
      <c r="AJ227" s="2" t="s">
        <v>80</v>
      </c>
      <c r="AK227" s="10" t="s">
        <v>80</v>
      </c>
      <c r="AL227" s="2" t="s">
        <v>81</v>
      </c>
    </row>
    <row r="228" ht="15.75" customHeight="1">
      <c r="A228" s="2" t="s">
        <v>5484</v>
      </c>
      <c r="B228" s="12">
        <v>45083.0</v>
      </c>
      <c r="C228" s="2" t="str">
        <f>IFERROR(__xludf.DUMMYFUNCTION("IF(ISNUMBER(B228),TEXT(B228,""yyyy-MM-dd""),REGEXREPLACE(REGEXREPLACE(TO_TEXT(B228),""[^0-9a-zA-Z]+"",""-""),""[^0-9]*$"",""""))"),"2023-06-06")</f>
        <v>2023-06-06</v>
      </c>
      <c r="D228" s="2" t="s">
        <v>7995</v>
      </c>
      <c r="H228" s="10" t="s">
        <v>7995</v>
      </c>
      <c r="I228" s="2" t="s">
        <v>5486</v>
      </c>
      <c r="J228" s="26" t="str">
        <f t="array" ref="J228">IF(ISNA(XLOOKUP(I228,customers_clean!$A$2:$A$701,customers_clean!$A$2:$A$701, NA()) ),
   "❌ MISSING CUSTOMER", "✅")</f>
        <v>✅</v>
      </c>
      <c r="K228" s="2" t="str">
        <f t="array" ref="K228">XLOOKUP(I228,customers_clean!$A$2:$A$701,customers_clean!$C$2:$C$701)</f>
        <v>Ethan  Walker</v>
      </c>
      <c r="L228" s="10" t="str">
        <f t="array" ref="L228">XLOOKUP(I228,customers_clean!$A$2:$A$701,customers_clean!$D$2:$D$701)</f>
        <v>Ethan Walker</v>
      </c>
      <c r="M228" s="2" t="str">
        <f t="array" ref="M228">XLOOKUP(I228,customers_clean!$A$2:$A$701,customers_clean!$I$2:$I$701)</f>
        <v>ethan.walker@company.co.uk</v>
      </c>
      <c r="N228" s="10" t="str">
        <f t="array" ref="N228">XLOOKUP(I228,customers_clean!$A$2:$A$701,customers_clean!$H$2:$H$701)</f>
        <v>ethan.walker@company.co.uk</v>
      </c>
      <c r="O228" s="9" t="str">
        <f>IFERROR(__xludf.DUMMYFUNCTION("IF(REGEXMATCH(TRIM(N228),""^[A-Za-z0-9._%+-]+@[A-Za-z0-9.-]+\.[A-Za-z]{2,}$""),""✅ Valid"",""❌ Invalid"")"),"✅ Valid")</f>
        <v>✅ Valid</v>
      </c>
      <c r="P228" s="2" t="str">
        <f t="array" ref="P228">XLOOKUP(I228,customers_clean!$A$2:$A$701,customers_clean!$K$2:$K$701)</f>
        <v>+353+342395285</v>
      </c>
      <c r="Q228" s="10" t="str">
        <f t="array" ref="Q228">XLOOKUP(I228,customers_clean!$A$2:$A$701,customers_clean!$N$2:$N$701)</f>
        <v>342395285</v>
      </c>
      <c r="R228" s="9" t="str">
        <f t="array" ref="R228">XLOOKUP(I228,customers_clean!$A$2:$A$701,customers_clean!$Q$2:$Q$701)</f>
        <v>❌ INVALID</v>
      </c>
      <c r="S228" s="10" t="s">
        <v>448</v>
      </c>
      <c r="T228" s="2" t="s">
        <v>400</v>
      </c>
      <c r="U228" s="2" t="s">
        <v>176</v>
      </c>
      <c r="V228" s="2" t="s">
        <v>449</v>
      </c>
      <c r="W228" s="9" t="str">
        <f t="array" ref="W228">IF(ISNA(XLOOKUP(V228,products_master_corrected!$A$2:$A$151,products_master_corrected!$A$2:$A$151, NA())),
    "❌ MISSING SKU", "✅")</f>
        <v>✅</v>
      </c>
      <c r="X228" s="2" t="s">
        <v>213</v>
      </c>
      <c r="Y228" s="2" t="s">
        <v>315</v>
      </c>
      <c r="Z228" s="10" t="s">
        <v>179</v>
      </c>
      <c r="AA228" s="27">
        <v>1.0</v>
      </c>
      <c r="AB228" s="9" t="s">
        <v>8649</v>
      </c>
      <c r="AC228" s="28">
        <f t="array" ref="AC228">XLOOKUP(V228,products_master_corrected!$A$2:$A$151,products_master_corrected!$E$2:$E$151)</f>
        <v>1404.25</v>
      </c>
      <c r="AD228" s="28">
        <f t="shared" si="30"/>
        <v>1404.25</v>
      </c>
      <c r="AE228" s="28">
        <f t="array" ref="AE228">XLOOKUP(V228,products_master_corrected!$A$2:$A$151,products_master_corrected!$M$2:$M$151)</f>
        <v>1698.58</v>
      </c>
      <c r="AF228" s="29">
        <f t="shared" si="31"/>
        <v>1698.58</v>
      </c>
      <c r="AG228" s="30" t="s">
        <v>48</v>
      </c>
      <c r="AH228" s="2" t="s">
        <v>5491</v>
      </c>
      <c r="AI228" s="10" t="s">
        <v>181</v>
      </c>
      <c r="AJ228" s="2" t="s">
        <v>1171</v>
      </c>
      <c r="AK228" s="10" t="s">
        <v>80</v>
      </c>
      <c r="AL228" s="2" t="s">
        <v>133</v>
      </c>
    </row>
    <row r="229" ht="15.75" customHeight="1">
      <c r="A229" s="2" t="s">
        <v>4647</v>
      </c>
      <c r="B229" s="12" t="s">
        <v>4648</v>
      </c>
      <c r="C229" s="2" t="str">
        <f>IFERROR(__xludf.DUMMYFUNCTION("IF(ISNUMBER(B229),TEXT(B229,""yyyy-MM-dd""),REGEXREPLACE(REGEXREPLACE(TO_TEXT(B229),""[^0-9a-zA-Z]+"",""-""),""[^0-9]*$"",""""))"),"20-02-2023")</f>
        <v>20-02-2023</v>
      </c>
      <c r="D229" s="2" t="s">
        <v>8767</v>
      </c>
      <c r="H229" s="10" t="s">
        <v>8767</v>
      </c>
      <c r="I229" s="2" t="s">
        <v>360</v>
      </c>
      <c r="J229" s="26" t="str">
        <f t="array" ref="J229">IF(ISNA(XLOOKUP(I229,customers_clean!$A$2:$A$701,customers_clean!$A$2:$A$701, NA()) ),
   "❌ MISSING CUSTOMER", "✅")</f>
        <v>✅</v>
      </c>
      <c r="K229" s="2" t="str">
        <f t="array" ref="K229">XLOOKUP(I229,customers_clean!$A$2:$A$701,customers_clean!$C$2:$C$701)</f>
        <v>Fiona Young</v>
      </c>
      <c r="L229" s="10" t="str">
        <f t="array" ref="L229">XLOOKUP(I229,customers_clean!$A$2:$A$701,customers_clean!$D$2:$D$701)</f>
        <v>Fiona Young</v>
      </c>
      <c r="M229" s="2" t="str">
        <f t="array" ref="M229">XLOOKUP(I229,customers_clean!$A$2:$A$701,customers_clean!$I$2:$I$701)</f>
        <v>FIONA.YOUNG@YAHOO.COM</v>
      </c>
      <c r="N229" s="10" t="str">
        <f t="array" ref="N229">XLOOKUP(I229,customers_clean!$A$2:$A$701,customers_clean!$H$2:$H$701)</f>
        <v>fiona.young@yahoo.com</v>
      </c>
      <c r="O229" s="9" t="str">
        <f>IFERROR(__xludf.DUMMYFUNCTION("IF(REGEXMATCH(TRIM(N229),""^[A-Za-z0-9._%+-]+@[A-Za-z0-9.-]+\.[A-Za-z]{2,}$""),""✅ Valid"",""❌ Invalid"")"),"✅ Valid")</f>
        <v>✅ Valid</v>
      </c>
      <c r="P229" s="33" t="str">
        <f t="array" ref="P229">XLOOKUP(I229,customers_clean!$A$2:$A$701,customers_clean!$K$2:$K$701)</f>
        <v>+48 356 021 022</v>
      </c>
      <c r="Q229" s="10" t="str">
        <f t="array" ref="Q229">XLOOKUP(I229,customers_clean!$A$2:$A$701,customers_clean!$N$2:$N$701)</f>
        <v>356021022</v>
      </c>
      <c r="R229" s="9" t="str">
        <f t="array" ref="R229">XLOOKUP(I229,customers_clean!$A$2:$A$701,customers_clean!$Q$2:$Q$701)</f>
        <v>❌ INVALID</v>
      </c>
      <c r="S229" s="31" t="s">
        <v>671</v>
      </c>
      <c r="T229" s="2" t="s">
        <v>400</v>
      </c>
      <c r="U229" s="2" t="s">
        <v>4369</v>
      </c>
      <c r="V229" s="2" t="s">
        <v>1606</v>
      </c>
      <c r="W229" s="9" t="str">
        <f t="array" ref="W229">IF(ISNA(XLOOKUP(V229,products_master_corrected!$A$2:$A$151,products_master_corrected!$A$2:$A$151, NA())),
    "❌ MISSING SKU", "✅")</f>
        <v>✅</v>
      </c>
      <c r="X229" s="2" t="s">
        <v>213</v>
      </c>
      <c r="Y229" s="2" t="s">
        <v>106</v>
      </c>
      <c r="Z229" s="10" t="s">
        <v>368</v>
      </c>
      <c r="AA229" s="27">
        <v>3.0</v>
      </c>
      <c r="AB229" s="9" t="s">
        <v>8649</v>
      </c>
      <c r="AC229" s="28">
        <f t="array" ref="AC229">XLOOKUP(V229,products_master_corrected!$A$2:$A$151,products_master_corrected!$E$2:$E$151)</f>
        <v>1460.15</v>
      </c>
      <c r="AD229" s="28">
        <f t="shared" si="30"/>
        <v>4380.45</v>
      </c>
      <c r="AE229" s="28">
        <f t="array" ref="AE229">XLOOKUP(V229,products_master_corrected!$A$2:$A$151,products_master_corrected!$J$2:$J$151)</f>
        <v>1702.97</v>
      </c>
      <c r="AF229" s="29">
        <f t="shared" si="31"/>
        <v>5108.91</v>
      </c>
      <c r="AG229" s="32" t="s">
        <v>8656</v>
      </c>
      <c r="AH229" s="2" t="s">
        <v>49</v>
      </c>
      <c r="AI229" s="10" t="s">
        <v>49</v>
      </c>
      <c r="AJ229" s="2" t="s">
        <v>50</v>
      </c>
      <c r="AK229" s="10" t="s">
        <v>261</v>
      </c>
    </row>
    <row r="230" ht="15.75" customHeight="1">
      <c r="A230" s="2" t="s">
        <v>1209</v>
      </c>
      <c r="B230" s="12">
        <v>44934.0</v>
      </c>
      <c r="C230" s="2" t="str">
        <f>IFERROR(__xludf.DUMMYFUNCTION("IF(ISNUMBER(B230),TEXT(B230,""yyyy-MM-dd""),REGEXREPLACE(REGEXREPLACE(TO_TEXT(B230),""[^0-9a-zA-Z]+"",""-""),""[^0-9]*$"",""""))"),"2023-01-08")</f>
        <v>2023-01-08</v>
      </c>
      <c r="D230" s="2" t="s">
        <v>7675</v>
      </c>
      <c r="H230" s="10" t="s">
        <v>7675</v>
      </c>
      <c r="I230" s="2" t="s">
        <v>360</v>
      </c>
      <c r="J230" s="26" t="str">
        <f t="array" ref="J230">IF(ISNA(XLOOKUP(I230,customers_clean!$A$2:$A$701,customers_clean!$A$2:$A$701, NA()) ),
   "❌ MISSING CUSTOMER", "✅")</f>
        <v>✅</v>
      </c>
      <c r="K230" s="2" t="str">
        <f t="array" ref="K230">XLOOKUP(I230,customers_clean!$A$2:$A$701,customers_clean!$C$2:$C$701)</f>
        <v>Fiona Young</v>
      </c>
      <c r="L230" s="10" t="str">
        <f t="array" ref="L230">XLOOKUP(I230,customers_clean!$A$2:$A$701,customers_clean!$D$2:$D$701)</f>
        <v>Fiona Young</v>
      </c>
      <c r="M230" s="2" t="str">
        <f t="array" ref="M230">XLOOKUP(I230,customers_clean!$A$2:$A$701,customers_clean!$I$2:$I$701)</f>
        <v>FIONA.YOUNG@YAHOO.COM</v>
      </c>
      <c r="N230" s="10" t="str">
        <f t="array" ref="N230">XLOOKUP(I230,customers_clean!$A$2:$A$701,customers_clean!$H$2:$H$701)</f>
        <v>fiona.young@yahoo.com</v>
      </c>
      <c r="O230" s="9" t="str">
        <f>IFERROR(__xludf.DUMMYFUNCTION("IF(REGEXMATCH(TRIM(N230),""^[A-Za-z0-9._%+-]+@[A-Za-z0-9.-]+\.[A-Za-z]{2,}$""),""✅ Valid"",""❌ Invalid"")"),"✅ Valid")</f>
        <v>✅ Valid</v>
      </c>
      <c r="P230" s="33" t="str">
        <f t="array" ref="P230">XLOOKUP(I230,customers_clean!$A$2:$A$701,customers_clean!$K$2:$K$701)</f>
        <v>+48 356 021 022</v>
      </c>
      <c r="Q230" s="10" t="str">
        <f t="array" ref="Q230">XLOOKUP(I230,customers_clean!$A$2:$A$701,customers_clean!$N$2:$N$701)</f>
        <v>356021022</v>
      </c>
      <c r="R230" s="9" t="str">
        <f t="array" ref="R230">XLOOKUP(I230,customers_clean!$A$2:$A$701,customers_clean!$Q$2:$Q$701)</f>
        <v>❌ INVALID</v>
      </c>
      <c r="S230" s="31" t="s">
        <v>671</v>
      </c>
      <c r="T230" s="2" t="s">
        <v>223</v>
      </c>
      <c r="U230" s="2" t="s">
        <v>43</v>
      </c>
      <c r="V230" s="2" t="s">
        <v>1211</v>
      </c>
      <c r="W230" s="9" t="str">
        <f t="array" ref="W230">IF(ISNA(XLOOKUP(V230,products_master_corrected!$A$2:$A$151,products_master_corrected!$A$2:$A$151, NA())),
    "❌ MISSING SKU", "✅")</f>
        <v>✅</v>
      </c>
      <c r="X230" s="2" t="s">
        <v>804</v>
      </c>
      <c r="Y230" s="2" t="s">
        <v>63</v>
      </c>
      <c r="Z230" s="10" t="s">
        <v>63</v>
      </c>
      <c r="AA230" s="27">
        <v>1.0</v>
      </c>
      <c r="AB230" s="9" t="s">
        <v>8649</v>
      </c>
      <c r="AC230" s="28">
        <f t="array" ref="AC230">XLOOKUP(V230,products_master_corrected!$A$2:$A$151,products_master_corrected!$E$2:$E$151)</f>
        <v>19.27</v>
      </c>
      <c r="AD230" s="28">
        <f t="shared" si="30"/>
        <v>19.27</v>
      </c>
      <c r="AE230" s="28">
        <f t="array" ref="AE230">XLOOKUP(V230,products_master_corrected!$A$2:$A$151,products_master_corrected!$J$2:$J$151)</f>
        <v>22.47</v>
      </c>
      <c r="AF230" s="29">
        <f t="shared" si="31"/>
        <v>22.47</v>
      </c>
      <c r="AG230" s="32" t="s">
        <v>8656</v>
      </c>
      <c r="AH230" s="2" t="s">
        <v>66</v>
      </c>
      <c r="AI230" s="10" t="s">
        <v>66</v>
      </c>
      <c r="AJ230" s="2" t="s">
        <v>34</v>
      </c>
      <c r="AK230" s="10" t="s">
        <v>80</v>
      </c>
      <c r="AL230" s="2" t="s">
        <v>133</v>
      </c>
    </row>
    <row r="231" ht="15.75" customHeight="1">
      <c r="A231" s="2" t="s">
        <v>358</v>
      </c>
      <c r="B231" s="12">
        <v>44938.27013888889</v>
      </c>
      <c r="C231" s="2" t="str">
        <f>IFERROR(__xludf.DUMMYFUNCTION("IF(ISNUMBER(B231),TEXT(B231,""yyyy-MM-dd""),REGEXREPLACE(REGEXREPLACE(TO_TEXT(B231),""[^0-9a-zA-Z]+"",""-""),""[^0-9]*$"",""""))"),"2023-01-12")</f>
        <v>2023-01-12</v>
      </c>
      <c r="D231" s="2" t="s">
        <v>8714</v>
      </c>
      <c r="H231" s="10" t="s">
        <v>8714</v>
      </c>
      <c r="I231" s="2" t="s">
        <v>360</v>
      </c>
      <c r="J231" s="26" t="str">
        <f t="array" ref="J231">IF(ISNA(XLOOKUP(I231,customers_clean!$A$2:$A$701,customers_clean!$A$2:$A$701, NA()) ),
   "❌ MISSING CUSTOMER", "✅")</f>
        <v>✅</v>
      </c>
      <c r="K231" s="2" t="str">
        <f t="array" ref="K231">XLOOKUP(I231,customers_clean!$A$2:$A$701,customers_clean!$C$2:$C$701)</f>
        <v>Fiona Young</v>
      </c>
      <c r="L231" s="10" t="str">
        <f t="array" ref="L231">XLOOKUP(I231,customers_clean!$A$2:$A$701,customers_clean!$D$2:$D$701)</f>
        <v>Fiona Young</v>
      </c>
      <c r="M231" s="2" t="str">
        <f t="array" ref="M231">XLOOKUP(I231,customers_clean!$A$2:$A$701,customers_clean!$I$2:$I$701)</f>
        <v>FIONA.YOUNG@YAHOO.COM</v>
      </c>
      <c r="N231" s="10" t="str">
        <f t="array" ref="N231">XLOOKUP(I231,customers_clean!$A$2:$A$701,customers_clean!$H$2:$H$701)</f>
        <v>fiona.young@yahoo.com</v>
      </c>
      <c r="O231" s="9" t="str">
        <f>IFERROR(__xludf.DUMMYFUNCTION("IF(REGEXMATCH(TRIM(N231),""^[A-Za-z0-9._%+-]+@[A-Za-z0-9.-]+\.[A-Za-z]{2,}$""),""✅ Valid"",""❌ Invalid"")"),"✅ Valid")</f>
        <v>✅ Valid</v>
      </c>
      <c r="P231" s="33" t="str">
        <f t="array" ref="P231">XLOOKUP(I231,customers_clean!$A$2:$A$701,customers_clean!$K$2:$K$701)</f>
        <v>+48 356 021 022</v>
      </c>
      <c r="Q231" s="10" t="str">
        <f t="array" ref="Q231">XLOOKUP(I231,customers_clean!$A$2:$A$701,customers_clean!$N$2:$N$701)</f>
        <v>356021022</v>
      </c>
      <c r="R231" s="9" t="str">
        <f t="array" ref="R231">XLOOKUP(I231,customers_clean!$A$2:$A$701,customers_clean!$Q$2:$Q$701)</f>
        <v>❌ INVALID</v>
      </c>
      <c r="S231" s="31" t="s">
        <v>671</v>
      </c>
      <c r="T231" s="2" t="s">
        <v>74</v>
      </c>
      <c r="U231" s="2" t="s">
        <v>365</v>
      </c>
      <c r="V231" s="2" t="s">
        <v>366</v>
      </c>
      <c r="W231" s="9" t="str">
        <f t="array" ref="W231">IF(ISNA(XLOOKUP(V231,products_master_corrected!$A$2:$A$151,products_master_corrected!$A$2:$A$151, NA())),
    "❌ MISSING SKU", "✅")</f>
        <v>✅</v>
      </c>
      <c r="X231" s="2" t="s">
        <v>367</v>
      </c>
      <c r="Y231" s="2" t="s">
        <v>368</v>
      </c>
      <c r="Z231" s="10" t="s">
        <v>368</v>
      </c>
      <c r="AA231" s="27">
        <v>2.0</v>
      </c>
      <c r="AB231" s="9" t="s">
        <v>8649</v>
      </c>
      <c r="AC231" s="28">
        <f t="array" ref="AC231">XLOOKUP(V231,products_master_corrected!$A$2:$A$151,products_master_corrected!$E$2:$E$151)</f>
        <v>1117.67</v>
      </c>
      <c r="AD231" s="28">
        <f t="shared" si="30"/>
        <v>2235.34</v>
      </c>
      <c r="AE231" s="28">
        <f t="array" ref="AE231">XLOOKUP(V231,products_master_corrected!$A$2:$A$151,products_master_corrected!$J$2:$J$151)</f>
        <v>1303.54</v>
      </c>
      <c r="AF231" s="29">
        <f t="shared" si="31"/>
        <v>2607.08</v>
      </c>
      <c r="AG231" s="32" t="s">
        <v>8656</v>
      </c>
      <c r="AH231" s="2" t="s">
        <v>370</v>
      </c>
      <c r="AI231" s="10" t="s">
        <v>143</v>
      </c>
      <c r="AJ231" s="2" t="s">
        <v>34</v>
      </c>
      <c r="AK231" s="10" t="s">
        <v>80</v>
      </c>
      <c r="AL231" s="2" t="s">
        <v>51</v>
      </c>
    </row>
    <row r="232" ht="15.75" customHeight="1">
      <c r="A232" s="2" t="s">
        <v>5370</v>
      </c>
      <c r="B232" s="12">
        <v>45456.0</v>
      </c>
      <c r="C232" s="2" t="str">
        <f>IFERROR(__xludf.DUMMYFUNCTION("IF(ISNUMBER(B232),TEXT(B232,""yyyy-MM-dd""),REGEXREPLACE(REGEXREPLACE(TO_TEXT(B232),""[^0-9a-zA-Z]+"",""-""),""[^0-9]*$"",""""))"),"2024-06-13")</f>
        <v>2024-06-13</v>
      </c>
      <c r="D232" s="2" t="s">
        <v>4107</v>
      </c>
      <c r="H232" s="10" t="s">
        <v>4107</v>
      </c>
      <c r="I232" s="2" t="s">
        <v>1119</v>
      </c>
      <c r="J232" s="26" t="str">
        <f t="array" ref="J232">IF(ISNA(XLOOKUP(I232,customers_clean!$A$2:$A$701,customers_clean!$A$2:$A$701, NA()) ),
   "❌ MISSING CUSTOMER", "✅")</f>
        <v>✅</v>
      </c>
      <c r="K232" s="2" t="str">
        <f t="array" ref="K232">XLOOKUP(I232,customers_clean!$A$2:$A$701,customers_clean!$C$2:$C$701)</f>
        <v>Daria Young</v>
      </c>
      <c r="L232" s="10" t="str">
        <f t="array" ref="L232">XLOOKUP(I232,customers_clean!$A$2:$A$701,customers_clean!$D$2:$D$701)</f>
        <v>Daria Young</v>
      </c>
      <c r="M232" s="2" t="str">
        <f t="array" ref="M232">XLOOKUP(I232,customers_clean!$A$2:$A$701,customers_clean!$I$2:$I$701)</f>
        <v>daria.young@company.co.uk</v>
      </c>
      <c r="N232" s="10" t="str">
        <f t="array" ref="N232">XLOOKUP(I232,customers_clean!$A$2:$A$701,customers_clean!$H$2:$H$701)</f>
        <v>daria.young@company.co.uk</v>
      </c>
      <c r="O232" s="9" t="str">
        <f>IFERROR(__xludf.DUMMYFUNCTION("IF(REGEXMATCH(TRIM(N232),""^[A-Za-z0-9._%+-]+@[A-Za-z0-9.-]+\.[A-Za-z]{2,}$""),""✅ Valid"",""❌ Invalid"")"),"✅ Valid")</f>
        <v>✅ Valid</v>
      </c>
      <c r="P232" s="2" t="str">
        <f t="array" ref="P232">XLOOKUP(I232,customers_clean!$A$2:$A$701,customers_clean!$K$2:$K$701)</f>
        <v>te:+449893581222</v>
      </c>
      <c r="Q232" s="10" t="str">
        <f t="array" ref="Q232">XLOOKUP(I232,customers_clean!$A$2:$A$701,customers_clean!$N$2:$N$701)</f>
        <v>9893581222</v>
      </c>
      <c r="R232" s="9" t="str">
        <f t="array" ref="R232">XLOOKUP(I232,customers_clean!$A$2:$A$701,customers_clean!$Q$2:$Q$701)</f>
        <v>❌ INVALID</v>
      </c>
      <c r="S232" s="10" t="s">
        <v>448</v>
      </c>
      <c r="T232" s="2" t="s">
        <v>4664</v>
      </c>
      <c r="U232" s="2" t="s">
        <v>480</v>
      </c>
      <c r="V232" s="2" t="s">
        <v>1211</v>
      </c>
      <c r="W232" s="9" t="str">
        <f t="array" ref="W232">IF(ISNA(XLOOKUP(V232,products_master_corrected!$A$2:$A$151,products_master_corrected!$A$2:$A$151, NA())),
    "❌ MISSING SKU", "✅")</f>
        <v>✅</v>
      </c>
      <c r="X232" s="2" t="s">
        <v>804</v>
      </c>
      <c r="Y232" s="2" t="s">
        <v>63</v>
      </c>
      <c r="Z232" s="10" t="s">
        <v>63</v>
      </c>
      <c r="AA232" s="27">
        <v>1.0</v>
      </c>
      <c r="AB232" s="9" t="s">
        <v>8649</v>
      </c>
      <c r="AC232" s="28">
        <f t="array" ref="AC232">XLOOKUP(V232,products_master_corrected!$A$2:$A$151,products_master_corrected!$E$2:$E$151)</f>
        <v>19.27</v>
      </c>
      <c r="AD232" s="28">
        <f t="shared" si="30"/>
        <v>19.27</v>
      </c>
      <c r="AE232" s="28">
        <f t="array" ref="AE232">XLOOKUP(V232,products_master_corrected!$A$2:$A$151,products_master_corrected!$M$2:$M$151)</f>
        <v>23.31</v>
      </c>
      <c r="AF232" s="29">
        <f t="shared" si="31"/>
        <v>23.31</v>
      </c>
      <c r="AG232" s="30" t="s">
        <v>48</v>
      </c>
      <c r="AH232" s="2" t="s">
        <v>49</v>
      </c>
      <c r="AI232" s="10" t="s">
        <v>49</v>
      </c>
      <c r="AJ232" s="2" t="s">
        <v>132</v>
      </c>
      <c r="AK232" s="10" t="s">
        <v>192</v>
      </c>
    </row>
    <row r="233" ht="15.75" customHeight="1">
      <c r="A233" s="2" t="s">
        <v>1117</v>
      </c>
      <c r="B233" s="12">
        <v>45002.0</v>
      </c>
      <c r="C233" s="2" t="str">
        <f>IFERROR(__xludf.DUMMYFUNCTION("IF(ISNUMBER(B233),TEXT(B233,""yyyy-MM-dd""),REGEXREPLACE(REGEXREPLACE(TO_TEXT(B233),""[^0-9a-zA-Z]+"",""-""),""[^0-9]*$"",""""))"),"2023-03-17")</f>
        <v>2023-03-17</v>
      </c>
      <c r="D233" s="2" t="s">
        <v>8242</v>
      </c>
      <c r="H233" s="10" t="s">
        <v>8242</v>
      </c>
      <c r="I233" s="2" t="s">
        <v>1119</v>
      </c>
      <c r="J233" s="26" t="str">
        <f t="array" ref="J233">IF(ISNA(XLOOKUP(I233,customers_clean!$A$2:$A$701,customers_clean!$A$2:$A$701, NA()) ),
   "❌ MISSING CUSTOMER", "✅")</f>
        <v>✅</v>
      </c>
      <c r="K233" s="2" t="str">
        <f t="array" ref="K233">XLOOKUP(I233,customers_clean!$A$2:$A$701,customers_clean!$C$2:$C$701)</f>
        <v>Daria Young</v>
      </c>
      <c r="L233" s="10" t="str">
        <f t="array" ref="L233">XLOOKUP(I233,customers_clean!$A$2:$A$701,customers_clean!$D$2:$D$701)</f>
        <v>Daria Young</v>
      </c>
      <c r="M233" s="2" t="str">
        <f t="array" ref="M233">XLOOKUP(I233,customers_clean!$A$2:$A$701,customers_clean!$I$2:$I$701)</f>
        <v>daria.young@company.co.uk</v>
      </c>
      <c r="N233" s="10" t="str">
        <f t="array" ref="N233">XLOOKUP(I233,customers_clean!$A$2:$A$701,customers_clean!$H$2:$H$701)</f>
        <v>daria.young@company.co.uk</v>
      </c>
      <c r="O233" s="9" t="str">
        <f>IFERROR(__xludf.DUMMYFUNCTION("IF(REGEXMATCH(TRIM(N233),""^[A-Za-z0-9._%+-]+@[A-Za-z0-9.-]+\.[A-Za-z]{2,}$""),""✅ Valid"",""❌ Invalid"")"),"✅ Valid")</f>
        <v>✅ Valid</v>
      </c>
      <c r="P233" s="2" t="str">
        <f t="array" ref="P233">XLOOKUP(I233,customers_clean!$A$2:$A$701,customers_clean!$K$2:$K$701)</f>
        <v>te:+449893581222</v>
      </c>
      <c r="Q233" s="10" t="str">
        <f t="array" ref="Q233">XLOOKUP(I233,customers_clean!$A$2:$A$701,customers_clean!$N$2:$N$701)</f>
        <v>9893581222</v>
      </c>
      <c r="R233" s="9" t="str">
        <f t="array" ref="R233">XLOOKUP(I233,customers_clean!$A$2:$A$701,customers_clean!$Q$2:$Q$701)</f>
        <v>❌ INVALID</v>
      </c>
      <c r="S233" s="10" t="s">
        <v>448</v>
      </c>
      <c r="T233" s="2" t="s">
        <v>802</v>
      </c>
      <c r="U233" s="2" t="s">
        <v>512</v>
      </c>
      <c r="V233" s="2" t="s">
        <v>652</v>
      </c>
      <c r="W233" s="9" t="str">
        <f t="array" ref="W233">IF(ISNA(XLOOKUP(V233,products_master_corrected!$A$2:$A$151,products_master_corrected!$A$2:$A$151, NA())),
    "❌ MISSING SKU", "✅")</f>
        <v>✅</v>
      </c>
      <c r="X233" s="2" t="s">
        <v>8673</v>
      </c>
      <c r="Y233" s="2" t="s">
        <v>179</v>
      </c>
      <c r="Z233" s="10" t="s">
        <v>179</v>
      </c>
      <c r="AA233" s="27">
        <v>1.0</v>
      </c>
      <c r="AB233" s="9" t="s">
        <v>8649</v>
      </c>
      <c r="AC233" s="28">
        <f t="array" ref="AC233">XLOOKUP(V233,products_master_corrected!$A$2:$A$151,products_master_corrected!$E$2:$E$151)</f>
        <v>240.24</v>
      </c>
      <c r="AD233" s="28">
        <f t="shared" si="30"/>
        <v>240.24</v>
      </c>
      <c r="AE233" s="28">
        <f t="array" ref="AE233">XLOOKUP(V233,products_master_corrected!$A$2:$A$151,products_master_corrected!$M$2:$M$151)</f>
        <v>290.59</v>
      </c>
      <c r="AF233" s="29">
        <f t="shared" si="31"/>
        <v>290.59</v>
      </c>
      <c r="AG233" s="30" t="s">
        <v>48</v>
      </c>
      <c r="AH233" s="2" t="s">
        <v>33</v>
      </c>
      <c r="AI233" s="10" t="s">
        <v>181</v>
      </c>
      <c r="AJ233" s="2" t="s">
        <v>294</v>
      </c>
      <c r="AK233" s="10" t="s">
        <v>80</v>
      </c>
      <c r="AL233" s="2" t="s">
        <v>133</v>
      </c>
    </row>
    <row r="234" ht="15.75" customHeight="1">
      <c r="A234" s="2" t="s">
        <v>3287</v>
      </c>
      <c r="B234" s="12">
        <v>45905.0</v>
      </c>
      <c r="C234" s="2" t="str">
        <f>IFERROR(__xludf.DUMMYFUNCTION("IF(ISNUMBER(B234),TEXT(B234,""yyyy-MM-dd""),REGEXREPLACE(REGEXREPLACE(TO_TEXT(B234),""[^0-9a-zA-Z]+"",""-""),""[^0-9]*$"",""""))"),"2025-09-05")</f>
        <v>2025-09-05</v>
      </c>
      <c r="D234" s="2" t="s">
        <v>8213</v>
      </c>
      <c r="H234" s="10" t="s">
        <v>8213</v>
      </c>
      <c r="I234" s="2" t="s">
        <v>1119</v>
      </c>
      <c r="J234" s="26" t="str">
        <f t="array" ref="J234">IF(ISNA(XLOOKUP(I234,customers_clean!$A$2:$A$701,customers_clean!$A$2:$A$701, NA()) ),
   "❌ MISSING CUSTOMER", "✅")</f>
        <v>✅</v>
      </c>
      <c r="K234" s="2" t="str">
        <f t="array" ref="K234">XLOOKUP(I234,customers_clean!$A$2:$A$701,customers_clean!$C$2:$C$701)</f>
        <v>Daria Young</v>
      </c>
      <c r="L234" s="10" t="str">
        <f t="array" ref="L234">XLOOKUP(I234,customers_clean!$A$2:$A$701,customers_clean!$D$2:$D$701)</f>
        <v>Daria Young</v>
      </c>
      <c r="M234" s="2" t="str">
        <f t="array" ref="M234">XLOOKUP(I234,customers_clean!$A$2:$A$701,customers_clean!$I$2:$I$701)</f>
        <v>daria.young@company.co.uk</v>
      </c>
      <c r="N234" s="10" t="str">
        <f t="array" ref="N234">XLOOKUP(I234,customers_clean!$A$2:$A$701,customers_clean!$H$2:$H$701)</f>
        <v>daria.young@company.co.uk</v>
      </c>
      <c r="O234" s="9" t="str">
        <f>IFERROR(__xludf.DUMMYFUNCTION("IF(REGEXMATCH(TRIM(N234),""^[A-Za-z0-9._%+-]+@[A-Za-z0-9.-]+\.[A-Za-z]{2,}$""),""✅ Valid"",""❌ Invalid"")"),"✅ Valid")</f>
        <v>✅ Valid</v>
      </c>
      <c r="P234" s="2" t="str">
        <f t="array" ref="P234">XLOOKUP(I234,customers_clean!$A$2:$A$701,customers_clean!$K$2:$K$701)</f>
        <v>te:+449893581222</v>
      </c>
      <c r="Q234" s="10" t="str">
        <f t="array" ref="Q234">XLOOKUP(I234,customers_clean!$A$2:$A$701,customers_clean!$N$2:$N$701)</f>
        <v>9893581222</v>
      </c>
      <c r="R234" s="9" t="str">
        <f t="array" ref="R234">XLOOKUP(I234,customers_clean!$A$2:$A$701,customers_clean!$Q$2:$Q$701)</f>
        <v>❌ INVALID</v>
      </c>
      <c r="S234" s="10" t="s">
        <v>448</v>
      </c>
      <c r="T234" s="2" t="s">
        <v>683</v>
      </c>
      <c r="U234" s="2" t="s">
        <v>480</v>
      </c>
      <c r="V234" s="2" t="s">
        <v>1255</v>
      </c>
      <c r="W234" s="9" t="str">
        <f t="array" ref="W234">IF(ISNA(XLOOKUP(V234,products_master_corrected!$A$2:$A$151,products_master_corrected!$A$2:$A$151, NA())),
    "❌ MISSING SKU", "✅")</f>
        <v>✅</v>
      </c>
      <c r="X234" s="2" t="s">
        <v>29</v>
      </c>
      <c r="Y234" s="2" t="s">
        <v>271</v>
      </c>
      <c r="Z234" s="10" t="s">
        <v>368</v>
      </c>
      <c r="AA234" s="27">
        <v>1.0</v>
      </c>
      <c r="AB234" s="9" t="s">
        <v>8649</v>
      </c>
      <c r="AC234" s="28">
        <f t="array" ref="AC234">XLOOKUP(V234,products_master_corrected!$A$2:$A$151,products_master_corrected!$E$2:$E$151)</f>
        <v>161.4</v>
      </c>
      <c r="AD234" s="28">
        <f t="shared" si="30"/>
        <v>161.4</v>
      </c>
      <c r="AE234" s="28">
        <f t="array" ref="AE234">XLOOKUP(V234,products_master_corrected!$A$2:$A$151,products_master_corrected!$M$2:$M$151)</f>
        <v>195.23</v>
      </c>
      <c r="AF234" s="29">
        <f t="shared" si="31"/>
        <v>195.23</v>
      </c>
      <c r="AG234" s="30" t="s">
        <v>48</v>
      </c>
      <c r="AH234" s="2" t="s">
        <v>49</v>
      </c>
      <c r="AI234" s="10" t="s">
        <v>49</v>
      </c>
      <c r="AJ234" s="2" t="s">
        <v>169</v>
      </c>
      <c r="AK234" s="10" t="s">
        <v>261</v>
      </c>
      <c r="AL234" s="2" t="s">
        <v>51</v>
      </c>
    </row>
    <row r="235" ht="15.75" customHeight="1">
      <c r="A235" s="2" t="s">
        <v>5301</v>
      </c>
      <c r="B235" s="12">
        <v>45807.0</v>
      </c>
      <c r="C235" s="2" t="str">
        <f>IFERROR(__xludf.DUMMYFUNCTION("IF(ISNUMBER(B235),TEXT(B235,""yyyy-MM-dd""),REGEXREPLACE(REGEXREPLACE(TO_TEXT(B235),""[^0-9a-zA-Z]+"",""-""),""[^0-9]*$"",""""))"),"2025-05-30")</f>
        <v>2025-05-30</v>
      </c>
      <c r="D235" s="2" t="s">
        <v>5302</v>
      </c>
      <c r="H235" s="10" t="s">
        <v>5302</v>
      </c>
      <c r="I235" s="2" t="s">
        <v>1119</v>
      </c>
      <c r="J235" s="26" t="str">
        <f t="array" ref="J235">IF(ISNA(XLOOKUP(I235,customers_clean!$A$2:$A$701,customers_clean!$A$2:$A$701, NA()) ),
   "❌ MISSING CUSTOMER", "✅")</f>
        <v>✅</v>
      </c>
      <c r="K235" s="2" t="str">
        <f t="array" ref="K235">XLOOKUP(I235,customers_clean!$A$2:$A$701,customers_clean!$C$2:$C$701)</f>
        <v>Daria Young</v>
      </c>
      <c r="L235" s="10" t="str">
        <f t="array" ref="L235">XLOOKUP(I235,customers_clean!$A$2:$A$701,customers_clean!$D$2:$D$701)</f>
        <v>Daria Young</v>
      </c>
      <c r="M235" s="2" t="str">
        <f t="array" ref="M235">XLOOKUP(I235,customers_clean!$A$2:$A$701,customers_clean!$I$2:$I$701)</f>
        <v>daria.young@company.co.uk</v>
      </c>
      <c r="N235" s="10" t="str">
        <f t="array" ref="N235">XLOOKUP(I235,customers_clean!$A$2:$A$701,customers_clean!$H$2:$H$701)</f>
        <v>daria.young@company.co.uk</v>
      </c>
      <c r="O235" s="9" t="str">
        <f>IFERROR(__xludf.DUMMYFUNCTION("IF(REGEXMATCH(TRIM(N235),""^[A-Za-z0-9._%+-]+@[A-Za-z0-9.-]+\.[A-Za-z]{2,}$""),""✅ Valid"",""❌ Invalid"")"),"✅ Valid")</f>
        <v>✅ Valid</v>
      </c>
      <c r="P235" s="2" t="str">
        <f t="array" ref="P235">XLOOKUP(I235,customers_clean!$A$2:$A$701,customers_clean!$K$2:$K$701)</f>
        <v>te:+449893581222</v>
      </c>
      <c r="Q235" s="10" t="str">
        <f t="array" ref="Q235">XLOOKUP(I235,customers_clean!$A$2:$A$701,customers_clean!$N$2:$N$701)</f>
        <v>9893581222</v>
      </c>
      <c r="R235" s="9" t="str">
        <f t="array" ref="R235">XLOOKUP(I235,customers_clean!$A$2:$A$701,customers_clean!$Q$2:$Q$701)</f>
        <v>❌ INVALID</v>
      </c>
      <c r="S235" s="10" t="s">
        <v>448</v>
      </c>
      <c r="T235" s="2" t="s">
        <v>59</v>
      </c>
      <c r="U235" s="2" t="s">
        <v>43</v>
      </c>
      <c r="V235" s="2" t="s">
        <v>2539</v>
      </c>
      <c r="W235" s="9" t="str">
        <f t="array" ref="W235">IF(ISNA(XLOOKUP(V235,products_master_corrected!$A$2:$A$151,products_master_corrected!$A$2:$A$151, NA())),
    "❌ MISSING SKU", "✅")</f>
        <v>✅</v>
      </c>
      <c r="X235" s="2" t="s">
        <v>403</v>
      </c>
      <c r="Y235" s="2" t="s">
        <v>1328</v>
      </c>
      <c r="Z235" s="10" t="s">
        <v>179</v>
      </c>
      <c r="AA235" s="27">
        <v>2.0</v>
      </c>
      <c r="AB235" s="9" t="s">
        <v>8649</v>
      </c>
      <c r="AC235" s="28">
        <f t="array" ref="AC235">XLOOKUP(V235,products_master_corrected!$A$2:$A$151,products_master_corrected!$E$2:$E$151)</f>
        <v>25.41</v>
      </c>
      <c r="AD235" s="28">
        <f t="shared" si="30"/>
        <v>50.82</v>
      </c>
      <c r="AE235" s="28">
        <f t="array" ref="AE235">XLOOKUP(V235,products_master_corrected!$A$2:$A$151,products_master_corrected!$M$2:$M$151)</f>
        <v>30.74</v>
      </c>
      <c r="AF235" s="29">
        <f t="shared" si="31"/>
        <v>61.48</v>
      </c>
      <c r="AG235" s="30" t="s">
        <v>48</v>
      </c>
      <c r="AH235" s="2" t="s">
        <v>181</v>
      </c>
      <c r="AI235" s="10" t="s">
        <v>181</v>
      </c>
      <c r="AJ235" s="2" t="s">
        <v>345</v>
      </c>
      <c r="AK235" s="10" t="s">
        <v>261</v>
      </c>
      <c r="AL235" s="2" t="s">
        <v>51</v>
      </c>
    </row>
    <row r="236" ht="15.75" customHeight="1">
      <c r="A236" s="2" t="s">
        <v>4066</v>
      </c>
      <c r="B236" s="12" t="s">
        <v>4067</v>
      </c>
      <c r="C236" s="2" t="str">
        <f>IFERROR(__xludf.DUMMYFUNCTION("IF(ISNUMBER(B236),TEXT(B236,""yyyy-MM-dd""),REGEXREPLACE(REGEXREPLACE(TO_TEXT(B236),""[^0-9a-zA-Z]+"",""-""),""[^0-9]*$"",""""))"),"45034-22-11")</f>
        <v>45034-22-11</v>
      </c>
      <c r="D236" s="2" t="str">
        <f>TEXT(C236,"yyyy-MM-dd")</f>
        <v>45034-22-11</v>
      </c>
      <c r="E236" s="25" t="str">
        <f>CONCATENATE(LEFT(D236,5))</f>
        <v>45034</v>
      </c>
      <c r="F236" s="12">
        <f>DATE(1900,1,1) + E236 - 1</f>
        <v>45035</v>
      </c>
      <c r="G236" s="2" t="s">
        <v>7820</v>
      </c>
      <c r="H236" s="10" t="s">
        <v>7820</v>
      </c>
      <c r="I236" s="2" t="s">
        <v>1860</v>
      </c>
      <c r="J236" s="26" t="str">
        <f t="array" ref="J236">IF(ISNA(XLOOKUP(I236,customers_clean!$A$2:$A$701,customers_clean!$A$2:$A$701, NA()) ),
   "❌ MISSING CUSTOMER", "✅")</f>
        <v>✅</v>
      </c>
      <c r="K236" s="2" t="str">
        <f t="array" ref="K236">XLOOKUP(I236,customers_clean!$A$2:$A$701,customers_clean!$C$2:$C$701)</f>
        <v>Omar  Lopez</v>
      </c>
      <c r="L236" s="10" t="str">
        <f t="array" ref="L236">XLOOKUP(I236,customers_clean!$A$2:$A$701,customers_clean!$D$2:$D$701)</f>
        <v>Omar Lopez</v>
      </c>
      <c r="M236" s="2" t="str">
        <f t="array" ref="M236">XLOOKUP(I236,customers_clean!$A$2:$A$701,customers_clean!$I$2:$I$701)</f>
        <v> omar.lopez@yahoo.com</v>
      </c>
      <c r="N236" s="10" t="str">
        <f t="array" ref="N236">XLOOKUP(I236,customers_clean!$A$2:$A$701,customers_clean!$H$2:$H$701)</f>
        <v>omar.lopez@yahoo.com</v>
      </c>
      <c r="O236" s="9" t="str">
        <f>IFERROR(__xludf.DUMMYFUNCTION("IF(REGEXMATCH(TRIM(N236),""^[A-Za-z0-9._%+-]+@[A-Za-z0-9.-]+\.[A-Za-z]{2,}$""),""✅ Valid"",""❌ Invalid"")"),"✅ Valid")</f>
        <v>✅ Valid</v>
      </c>
      <c r="P236" s="2" t="str">
        <f t="array" ref="P236">XLOOKUP(I236,customers_clean!$A$2:$A$701,customers_clean!$K$2:$K$701)</f>
        <v>0818675x009</v>
      </c>
      <c r="Q236" s="10" t="str">
        <f t="array" ref="Q236">XLOOKUP(I236,customers_clean!$A$2:$A$701,customers_clean!$N$2:$N$701)</f>
        <v>0818675009</v>
      </c>
      <c r="R236" s="9" t="str">
        <f t="array" ref="R236">XLOOKUP(I236,customers_clean!$A$2:$A$701,customers_clean!$Q$2:$Q$701)</f>
        <v>❌ INVALID</v>
      </c>
      <c r="S236" s="10" t="s">
        <v>114</v>
      </c>
      <c r="T236" s="2" t="s">
        <v>802</v>
      </c>
      <c r="U236" s="2" t="s">
        <v>401</v>
      </c>
      <c r="V236" s="2" t="s">
        <v>4068</v>
      </c>
      <c r="W236" s="9" t="str">
        <f t="array" ref="W236">IF(ISNA(XLOOKUP(V236,products_master_corrected!$A$2:$A$151,products_master_corrected!$A$2:$A$151, NA())),
    "❌ MISSING SKU", "✅")</f>
        <v>✅</v>
      </c>
      <c r="X236" s="2" t="s">
        <v>403</v>
      </c>
      <c r="Y236" s="2" t="s">
        <v>1016</v>
      </c>
      <c r="Z236" s="10" t="s">
        <v>355</v>
      </c>
      <c r="AA236" s="27">
        <v>3.0</v>
      </c>
      <c r="AB236" s="9" t="s">
        <v>8649</v>
      </c>
      <c r="AC236" s="28">
        <f t="array" ref="AC236">XLOOKUP(V236,products_master_corrected!$A$2:$A$151,products_master_corrected!$E$2:$E$151)</f>
        <v>49.62</v>
      </c>
      <c r="AD236" s="28">
        <f t="shared" si="30"/>
        <v>148.86</v>
      </c>
      <c r="AE236" s="28">
        <f t="array" ref="AE236">XLOOKUP(V236,products_master_corrected!$A$2:$A$151,products_master_corrected!$F$2:$F$151)</f>
        <v>49.62</v>
      </c>
      <c r="AF236" s="29">
        <f t="shared" si="31"/>
        <v>148.86</v>
      </c>
      <c r="AG236" s="30" t="s">
        <v>65</v>
      </c>
      <c r="AH236" s="2" t="s">
        <v>370</v>
      </c>
      <c r="AI236" s="10" t="s">
        <v>143</v>
      </c>
      <c r="AJ236" s="2" t="s">
        <v>818</v>
      </c>
      <c r="AK236" s="10" t="s">
        <v>818</v>
      </c>
    </row>
    <row r="237" ht="15.75" customHeight="1">
      <c r="A237" s="2" t="s">
        <v>1858</v>
      </c>
      <c r="B237" s="12">
        <v>45580.0</v>
      </c>
      <c r="C237" s="2" t="str">
        <f>IFERROR(__xludf.DUMMYFUNCTION("IF(ISNUMBER(B237),TEXT(B237,""yyyy-MM-dd""),REGEXREPLACE(REGEXREPLACE(TO_TEXT(B237),""[^0-9a-zA-Z]+"",""-""),""[^0-9]*$"",""""))"),"2024-10-15")</f>
        <v>2024-10-15</v>
      </c>
      <c r="D237" s="2" t="s">
        <v>8531</v>
      </c>
      <c r="H237" s="10" t="s">
        <v>8531</v>
      </c>
      <c r="I237" s="2" t="s">
        <v>1860</v>
      </c>
      <c r="J237" s="26" t="str">
        <f t="array" ref="J237">IF(ISNA(XLOOKUP(I237,customers_clean!$A$2:$A$701,customers_clean!$A$2:$A$701, NA()) ),
   "❌ MISSING CUSTOMER", "✅")</f>
        <v>✅</v>
      </c>
      <c r="K237" s="2" t="str">
        <f t="array" ref="K237">XLOOKUP(I237,customers_clean!$A$2:$A$701,customers_clean!$C$2:$C$701)</f>
        <v>Omar  Lopez</v>
      </c>
      <c r="L237" s="10" t="str">
        <f t="array" ref="L237">XLOOKUP(I237,customers_clean!$A$2:$A$701,customers_clean!$D$2:$D$701)</f>
        <v>Omar Lopez</v>
      </c>
      <c r="M237" s="2" t="str">
        <f t="array" ref="M237">XLOOKUP(I237,customers_clean!$A$2:$A$701,customers_clean!$I$2:$I$701)</f>
        <v> omar.lopez@yahoo.com</v>
      </c>
      <c r="N237" s="10" t="str">
        <f t="array" ref="N237">XLOOKUP(I237,customers_clean!$A$2:$A$701,customers_clean!$H$2:$H$701)</f>
        <v>omar.lopez@yahoo.com</v>
      </c>
      <c r="O237" s="9" t="str">
        <f>IFERROR(__xludf.DUMMYFUNCTION("IF(REGEXMATCH(TRIM(N237),""^[A-Za-z0-9._%+-]+@[A-Za-z0-9.-]+\.[A-Za-z]{2,}$""),""✅ Valid"",""❌ Invalid"")"),"✅ Valid")</f>
        <v>✅ Valid</v>
      </c>
      <c r="P237" s="2" t="str">
        <f t="array" ref="P237">XLOOKUP(I237,customers_clean!$A$2:$A$701,customers_clean!$K$2:$K$701)</f>
        <v>0818675x009</v>
      </c>
      <c r="Q237" s="10" t="str">
        <f t="array" ref="Q237">XLOOKUP(I237,customers_clean!$A$2:$A$701,customers_clean!$N$2:$N$701)</f>
        <v>0818675009</v>
      </c>
      <c r="R237" s="9" t="str">
        <f t="array" ref="R237">XLOOKUP(I237,customers_clean!$A$2:$A$701,customers_clean!$Q$2:$Q$701)</f>
        <v>❌ INVALID</v>
      </c>
      <c r="S237" s="10" t="s">
        <v>114</v>
      </c>
      <c r="T237" s="2" t="s">
        <v>400</v>
      </c>
      <c r="U237" s="2" t="s">
        <v>176</v>
      </c>
      <c r="V237" s="2" t="s">
        <v>1748</v>
      </c>
      <c r="W237" s="9" t="str">
        <f t="array" ref="W237">IF(ISNA(XLOOKUP(V237,products_master_corrected!$A$2:$A$151,products_master_corrected!$A$2:$A$151, NA())),
    "❌ MISSING SKU", "✅")</f>
        <v>✅</v>
      </c>
      <c r="X237" s="2" t="s">
        <v>62</v>
      </c>
      <c r="Y237" s="2" t="s">
        <v>315</v>
      </c>
      <c r="Z237" s="10" t="s">
        <v>179</v>
      </c>
      <c r="AA237" s="27">
        <v>1.0</v>
      </c>
      <c r="AB237" s="9" t="s">
        <v>8649</v>
      </c>
      <c r="AC237" s="28">
        <f t="array" ref="AC237">XLOOKUP(V237,products_master_corrected!$A$2:$A$151,products_master_corrected!$E$2:$E$151)</f>
        <v>94.26</v>
      </c>
      <c r="AD237" s="28">
        <f t="shared" si="30"/>
        <v>94.26</v>
      </c>
      <c r="AE237" s="28">
        <f t="array" ref="AE237">XLOOKUP(V237,products_master_corrected!$A$2:$A$151,products_master_corrected!$F$2:$F$151)</f>
        <v>94.26</v>
      </c>
      <c r="AF237" s="29">
        <f t="shared" si="31"/>
        <v>94.26</v>
      </c>
      <c r="AG237" s="30" t="s">
        <v>65</v>
      </c>
      <c r="AH237" s="2" t="s">
        <v>33</v>
      </c>
      <c r="AI237" s="10" t="s">
        <v>181</v>
      </c>
      <c r="AJ237" s="2" t="s">
        <v>294</v>
      </c>
      <c r="AK237" s="10" t="s">
        <v>80</v>
      </c>
      <c r="AL237" s="2" t="s">
        <v>133</v>
      </c>
    </row>
    <row r="238" ht="15.75" customHeight="1">
      <c r="A238" s="2" t="s">
        <v>3043</v>
      </c>
      <c r="B238" s="12">
        <v>45322.0</v>
      </c>
      <c r="C238" s="2" t="str">
        <f>IFERROR(__xludf.DUMMYFUNCTION("IF(ISNUMBER(B238),TEXT(B238,""yyyy-MM-dd""),REGEXREPLACE(REGEXREPLACE(TO_TEXT(B238),""[^0-9a-zA-Z]+"",""-""),""[^0-9]*$"",""""))"),"2024-01-31")</f>
        <v>2024-01-31</v>
      </c>
      <c r="D238" s="2" t="s">
        <v>3044</v>
      </c>
      <c r="H238" s="10" t="s">
        <v>3044</v>
      </c>
      <c r="I238" s="2" t="s">
        <v>1860</v>
      </c>
      <c r="J238" s="26" t="str">
        <f t="array" ref="J238">IF(ISNA(XLOOKUP(I238,customers_clean!$A$2:$A$701,customers_clean!$A$2:$A$701, NA()) ),
   "❌ MISSING CUSTOMER", "✅")</f>
        <v>✅</v>
      </c>
      <c r="K238" s="2" t="str">
        <f t="array" ref="K238">XLOOKUP(I238,customers_clean!$A$2:$A$701,customers_clean!$C$2:$C$701)</f>
        <v>Omar  Lopez</v>
      </c>
      <c r="L238" s="10" t="str">
        <f t="array" ref="L238">XLOOKUP(I238,customers_clean!$A$2:$A$701,customers_clean!$D$2:$D$701)</f>
        <v>Omar Lopez</v>
      </c>
      <c r="M238" s="2" t="str">
        <f t="array" ref="M238">XLOOKUP(I238,customers_clean!$A$2:$A$701,customers_clean!$I$2:$I$701)</f>
        <v> omar.lopez@yahoo.com</v>
      </c>
      <c r="N238" s="10" t="str">
        <f t="array" ref="N238">XLOOKUP(I238,customers_clean!$A$2:$A$701,customers_clean!$H$2:$H$701)</f>
        <v>omar.lopez@yahoo.com</v>
      </c>
      <c r="O238" s="9" t="str">
        <f>IFERROR(__xludf.DUMMYFUNCTION("IF(REGEXMATCH(TRIM(N238),""^[A-Za-z0-9._%+-]+@[A-Za-z0-9.-]+\.[A-Za-z]{2,}$""),""✅ Valid"",""❌ Invalid"")"),"✅ Valid")</f>
        <v>✅ Valid</v>
      </c>
      <c r="P238" s="2" t="str">
        <f t="array" ref="P238">XLOOKUP(I238,customers_clean!$A$2:$A$701,customers_clean!$K$2:$K$701)</f>
        <v>0818675x009</v>
      </c>
      <c r="Q238" s="10" t="str">
        <f t="array" ref="Q238">XLOOKUP(I238,customers_clean!$A$2:$A$701,customers_clean!$N$2:$N$701)</f>
        <v>0818675009</v>
      </c>
      <c r="R238" s="9" t="str">
        <f t="array" ref="R238">XLOOKUP(I238,customers_clean!$A$2:$A$701,customers_clean!$Q$2:$Q$701)</f>
        <v>❌ INVALID</v>
      </c>
      <c r="S238" s="10" t="s">
        <v>114</v>
      </c>
      <c r="T238" s="2" t="s">
        <v>234</v>
      </c>
      <c r="U238" s="2" t="s">
        <v>75</v>
      </c>
      <c r="V238" s="2" t="s">
        <v>334</v>
      </c>
      <c r="W238" s="9" t="str">
        <f t="array" ref="W238">IF(ISNA(XLOOKUP(V238,products_master_corrected!$A$2:$A$151,products_master_corrected!$A$2:$A$151, NA())),
    "❌ MISSING SKU", "✅")</f>
        <v>✅</v>
      </c>
      <c r="X238" s="2" t="s">
        <v>29</v>
      </c>
      <c r="Y238" s="2" t="s">
        <v>248</v>
      </c>
      <c r="Z238" s="10" t="s">
        <v>248</v>
      </c>
      <c r="AA238" s="27">
        <v>3.0</v>
      </c>
      <c r="AB238" s="9" t="s">
        <v>8649</v>
      </c>
      <c r="AC238" s="28">
        <f t="array" ref="AC238">XLOOKUP(V238,products_master_corrected!$A$2:$A$151,products_master_corrected!$E$2:$E$151)</f>
        <v>75.62</v>
      </c>
      <c r="AD238" s="28">
        <f t="shared" si="30"/>
        <v>226.86</v>
      </c>
      <c r="AE238" s="28">
        <f t="array" ref="AE238">XLOOKUP(V238,products_master_corrected!$A$2:$A$151,products_master_corrected!$F$2:$F$151)</f>
        <v>75.62</v>
      </c>
      <c r="AF238" s="29">
        <f t="shared" si="31"/>
        <v>226.86</v>
      </c>
      <c r="AG238" s="30" t="s">
        <v>65</v>
      </c>
      <c r="AH238" s="2" t="s">
        <v>3047</v>
      </c>
      <c r="AI238" s="10" t="s">
        <v>181</v>
      </c>
      <c r="AJ238" s="2" t="s">
        <v>80</v>
      </c>
      <c r="AK238" s="10" t="s">
        <v>80</v>
      </c>
      <c r="AL238" s="2" t="s">
        <v>67</v>
      </c>
    </row>
    <row r="239" ht="15.75" customHeight="1">
      <c r="A239" s="2" t="s">
        <v>2167</v>
      </c>
      <c r="B239" s="12">
        <v>45645.0</v>
      </c>
      <c r="C239" s="2" t="str">
        <f>IFERROR(__xludf.DUMMYFUNCTION("IF(ISNUMBER(B239),TEXT(B239,""yyyy-MM-dd""),REGEXREPLACE(REGEXREPLACE(TO_TEXT(B239),""[^0-9a-zA-Z]+"",""-""),""[^0-9]*$"",""""))"),"2024-12-19")</f>
        <v>2024-12-19</v>
      </c>
      <c r="D239" s="2" t="s">
        <v>2168</v>
      </c>
      <c r="H239" s="10" t="s">
        <v>2168</v>
      </c>
      <c r="I239" s="2" t="s">
        <v>1860</v>
      </c>
      <c r="J239" s="26" t="str">
        <f t="array" ref="J239">IF(ISNA(XLOOKUP(I239,customers_clean!$A$2:$A$701,customers_clean!$A$2:$A$701, NA()) ),
   "❌ MISSING CUSTOMER", "✅")</f>
        <v>✅</v>
      </c>
      <c r="K239" s="2" t="str">
        <f t="array" ref="K239">XLOOKUP(I239,customers_clean!$A$2:$A$701,customers_clean!$C$2:$C$701)</f>
        <v>Omar  Lopez</v>
      </c>
      <c r="L239" s="10" t="str">
        <f t="array" ref="L239">XLOOKUP(I239,customers_clean!$A$2:$A$701,customers_clean!$D$2:$D$701)</f>
        <v>Omar Lopez</v>
      </c>
      <c r="M239" s="2" t="str">
        <f t="array" ref="M239">XLOOKUP(I239,customers_clean!$A$2:$A$701,customers_clean!$I$2:$I$701)</f>
        <v> omar.lopez@yahoo.com</v>
      </c>
      <c r="N239" s="10" t="str">
        <f t="array" ref="N239">XLOOKUP(I239,customers_clean!$A$2:$A$701,customers_clean!$H$2:$H$701)</f>
        <v>omar.lopez@yahoo.com</v>
      </c>
      <c r="O239" s="9" t="str">
        <f>IFERROR(__xludf.DUMMYFUNCTION("IF(REGEXMATCH(TRIM(N239),""^[A-Za-z0-9._%+-]+@[A-Za-z0-9.-]+\.[A-Za-z]{2,}$""),""✅ Valid"",""❌ Invalid"")"),"✅ Valid")</f>
        <v>✅ Valid</v>
      </c>
      <c r="P239" s="2" t="str">
        <f t="array" ref="P239">XLOOKUP(I239,customers_clean!$A$2:$A$701,customers_clean!$K$2:$K$701)</f>
        <v>0818675x009</v>
      </c>
      <c r="Q239" s="10" t="str">
        <f t="array" ref="Q239">XLOOKUP(I239,customers_clean!$A$2:$A$701,customers_clean!$N$2:$N$701)</f>
        <v>0818675009</v>
      </c>
      <c r="R239" s="9" t="str">
        <f t="array" ref="R239">XLOOKUP(I239,customers_clean!$A$2:$A$701,customers_clean!$Q$2:$Q$701)</f>
        <v>❌ INVALID</v>
      </c>
      <c r="S239" s="10" t="s">
        <v>114</v>
      </c>
      <c r="T239" s="2" t="s">
        <v>223</v>
      </c>
      <c r="U239" s="2" t="s">
        <v>500</v>
      </c>
      <c r="V239" s="2" t="s">
        <v>609</v>
      </c>
      <c r="W239" s="9" t="str">
        <f t="array" ref="W239">IF(ISNA(XLOOKUP(V239,products_master_corrected!$A$2:$A$151,products_master_corrected!$A$2:$A$151, NA())),
    "❌ MISSING SKU", "✅")</f>
        <v>✅</v>
      </c>
      <c r="X239" s="2" t="s">
        <v>259</v>
      </c>
      <c r="Y239" s="2" t="s">
        <v>610</v>
      </c>
      <c r="Z239" s="10" t="s">
        <v>179</v>
      </c>
      <c r="AA239" s="27">
        <v>1.0</v>
      </c>
      <c r="AB239" s="9" t="s">
        <v>8649</v>
      </c>
      <c r="AC239" s="28">
        <f t="array" ref="AC239">XLOOKUP(V239,products_master_corrected!$A$2:$A$151,products_master_corrected!$E$2:$E$151)</f>
        <v>32.41</v>
      </c>
      <c r="AD239" s="28">
        <f t="shared" si="30"/>
        <v>32.41</v>
      </c>
      <c r="AE239" s="28">
        <f t="array" ref="AE239">XLOOKUP(V239,products_master_corrected!$A$2:$A$151,products_master_corrected!$F$2:$F$151)</f>
        <v>32.41</v>
      </c>
      <c r="AF239" s="29">
        <f t="shared" si="31"/>
        <v>32.41</v>
      </c>
      <c r="AG239" s="30" t="s">
        <v>65</v>
      </c>
      <c r="AH239" s="2" t="s">
        <v>49</v>
      </c>
      <c r="AI239" s="10" t="s">
        <v>49</v>
      </c>
      <c r="AJ239" s="2" t="s">
        <v>144</v>
      </c>
      <c r="AK239" s="10" t="s">
        <v>818</v>
      </c>
      <c r="AL239" s="2" t="s">
        <v>133</v>
      </c>
    </row>
    <row r="240" ht="15.75" customHeight="1">
      <c r="A240" s="2" t="s">
        <v>723</v>
      </c>
      <c r="B240" s="12" t="s">
        <v>724</v>
      </c>
      <c r="C240" s="2" t="str">
        <f>IFERROR(__xludf.DUMMYFUNCTION("IF(ISNUMBER(B240),TEXT(B240,""yyyy-MM-dd""),REGEXREPLACE(REGEXREPLACE(TO_TEXT(B240),""[^0-9a-zA-Z]+"",""-""),""[^0-9]*$"",""""))"),"23-01-2023")</f>
        <v>23-01-2023</v>
      </c>
      <c r="D240" s="2" t="s">
        <v>7704</v>
      </c>
      <c r="H240" s="10" t="s">
        <v>7704</v>
      </c>
      <c r="I240" s="2" t="s">
        <v>725</v>
      </c>
      <c r="J240" s="26" t="str">
        <f t="array" ref="J240">IF(ISNA(XLOOKUP(I240,customers_clean!$A$2:$A$701,customers_clean!$A$2:$A$701, NA()) ),
   "❌ MISSING CUSTOMER", "✅")</f>
        <v>✅</v>
      </c>
      <c r="K240" s="2" t="str">
        <f t="array" ref="K240">XLOOKUP(I240,customers_clean!$A$2:$A$701,customers_clean!$C$2:$C$701)</f>
        <v>Adam Kowalczyk</v>
      </c>
      <c r="L240" s="10" t="str">
        <f t="array" ref="L240">XLOOKUP(I240,customers_clean!$A$2:$A$701,customers_clean!$D$2:$D$701)</f>
        <v>Adam Kowalczyk</v>
      </c>
      <c r="M240" s="2" t="str">
        <f t="array" ref="M240">XLOOKUP(I240,customers_clean!$A$2:$A$701,customers_clean!$I$2:$I$701)</f>
        <v>Adam.Kowalczyk@Outlook.Com</v>
      </c>
      <c r="N240" s="10" t="str">
        <f t="array" ref="N240">XLOOKUP(I240,customers_clean!$A$2:$A$701,customers_clean!$H$2:$H$701)</f>
        <v>adam.kowalczyk@outlook.com</v>
      </c>
      <c r="O240" s="9" t="str">
        <f>IFERROR(__xludf.DUMMYFUNCTION("IF(REGEXMATCH(TRIM(N240),""^[A-Za-z0-9._%+-]+@[A-Za-z0-9.-]+\.[A-Za-z]{2,}$""),""✅ Valid"",""❌ Invalid"")"),"✅ Valid")</f>
        <v>✅ Valid</v>
      </c>
      <c r="P240" s="2" t="str">
        <f t="array" ref="P240">XLOOKUP(I240,customers_clean!$A$2:$A$701,customers_clean!$K$2:$K$701)</f>
        <v>(914)268735</v>
      </c>
      <c r="Q240" s="10" t="str">
        <f t="array" ref="Q240">XLOOKUP(I240,customers_clean!$A$2:$A$701,customers_clean!$N$2:$N$701)</f>
        <v>914268735</v>
      </c>
      <c r="R240" s="9" t="str">
        <f t="array" ref="R240">XLOOKUP(I240,customers_clean!$A$2:$A$701,customers_clean!$Q$2:$Q$701)</f>
        <v>❌ INVALID</v>
      </c>
      <c r="S240" s="10" t="s">
        <v>25</v>
      </c>
      <c r="T240" s="2" t="s">
        <v>683</v>
      </c>
      <c r="U240" s="2" t="s">
        <v>103</v>
      </c>
      <c r="V240" s="2" t="s">
        <v>729</v>
      </c>
      <c r="W240" s="9" t="str">
        <f t="array" ref="W240">IF(ISNA(XLOOKUP(V240,products_master_corrected!$A$2:$A$151,products_master_corrected!$A$2:$A$151, NA())),
    "❌ MISSING SKU", "✅")</f>
        <v>✅</v>
      </c>
      <c r="X240" s="2" t="s">
        <v>62</v>
      </c>
      <c r="Y240" s="2" t="s">
        <v>730</v>
      </c>
      <c r="Z240" s="10" t="s">
        <v>63</v>
      </c>
      <c r="AA240" s="27"/>
      <c r="AB240" s="9" t="s">
        <v>8677</v>
      </c>
      <c r="AC240" s="34"/>
      <c r="AD240" s="34"/>
      <c r="AE240" s="34"/>
      <c r="AF240" s="35"/>
      <c r="AG240" s="36" t="s">
        <v>48</v>
      </c>
      <c r="AH240" s="2" t="s">
        <v>66</v>
      </c>
      <c r="AI240" s="10" t="s">
        <v>66</v>
      </c>
      <c r="AJ240" s="2" t="s">
        <v>80</v>
      </c>
      <c r="AK240" s="10" t="s">
        <v>80</v>
      </c>
    </row>
    <row r="241" ht="15.75" customHeight="1">
      <c r="A241" s="2" t="s">
        <v>5558</v>
      </c>
      <c r="B241" s="12" t="s">
        <v>5559</v>
      </c>
      <c r="C241" s="2" t="str">
        <f>IFERROR(__xludf.DUMMYFUNCTION("IF(ISNUMBER(B241),TEXT(B241,""yyyy-MM-dd""),REGEXREPLACE(REGEXREPLACE(TO_TEXT(B241),""[^0-9a-zA-Z]+"",""-""),""[^0-9]*$"",""""))"),"12-11-2024-14-47")</f>
        <v>12-11-2024-14-47</v>
      </c>
      <c r="D241" s="2" t="str">
        <f>TEXT(C241,"yyyy-MM-dd")</f>
        <v>12-11-2024-14-47</v>
      </c>
      <c r="E241" s="12" t="str">
        <f>IFERROR(__xludf.DUMMYFUNCTION("REGEXEXTRACT(D241,""^\d{2}-\d{2}-\d{4}"")"),"12-11-2024")</f>
        <v>12-11-2024</v>
      </c>
      <c r="F241" s="2" t="s">
        <v>8768</v>
      </c>
      <c r="H241" s="10" t="s">
        <v>8768</v>
      </c>
      <c r="I241" s="2" t="s">
        <v>2858</v>
      </c>
      <c r="J241" s="26" t="str">
        <f t="array" ref="J241">IF(ISNA(XLOOKUP(I241,customers_clean!$A$2:$A$701,customers_clean!$A$2:$A$701, NA()) ),
   "❌ MISSING CUSTOMER", "✅")</f>
        <v>✅</v>
      </c>
      <c r="K241" s="2" t="str">
        <f t="array" ref="K241">XLOOKUP(I241,customers_clean!$A$2:$A$701,customers_clean!$C$2:$C$701)</f>
        <v>Uma Johnson </v>
      </c>
      <c r="L241" s="10" t="str">
        <f t="array" ref="L241">XLOOKUP(I241,customers_clean!$A$2:$A$701,customers_clean!$D$2:$D$701)</f>
        <v>Uma Johnson</v>
      </c>
      <c r="M241" s="2" t="str">
        <f t="array" ref="M241">XLOOKUP(I241,customers_clean!$A$2:$A$701,customers_clean!$I$2:$I$701)</f>
        <v/>
      </c>
      <c r="N241" s="10" t="str">
        <f t="array" ref="N241">XLOOKUP(I241,customers_clean!$A$2:$A$701,customers_clean!$H$2:$H$701)</f>
        <v/>
      </c>
      <c r="O241" s="9" t="str">
        <f>IFERROR(__xludf.DUMMYFUNCTION("IF(REGEXMATCH(TRIM(N241),""^[A-Za-z0-9._%+-]+@[A-Za-z0-9.-]+\.[A-Za-z]{2,}$""),""✅ Valid"",""❌ Invalid"")"),"❌ Invalid")</f>
        <v>❌ Invalid</v>
      </c>
      <c r="P241" s="2" t="str">
        <f t="array" ref="P241">XLOOKUP(I241,customers_clean!$A$2:$A$701,customers_clean!$K$2:$K$701)</f>
        <v>+1-453-840-3696</v>
      </c>
      <c r="Q241" s="10" t="str">
        <f t="array" ref="Q241">XLOOKUP(I241,customers_clean!$A$2:$A$701,customers_clean!$N$2:$N$701)</f>
        <v/>
      </c>
      <c r="R241" s="9" t="str">
        <f t="array" ref="R241">XLOOKUP(I241,customers_clean!$A$2:$A$701,customers_clean!$Q$2:$Q$701)</f>
        <v/>
      </c>
      <c r="S241" s="10" t="s">
        <v>58</v>
      </c>
      <c r="T241" s="2" t="s">
        <v>4664</v>
      </c>
      <c r="U241" s="2" t="s">
        <v>5563</v>
      </c>
      <c r="V241" s="2" t="s">
        <v>353</v>
      </c>
      <c r="W241" s="9" t="str">
        <f t="array" ref="W241">IF(ISNA(XLOOKUP(V241,products_master_corrected!$A$2:$A$151,products_master_corrected!$A$2:$A$151, NA())),
    "❌ MISSING SKU", "✅")</f>
        <v>✅</v>
      </c>
      <c r="X241" s="2" t="s">
        <v>62</v>
      </c>
      <c r="Y241" s="2" t="s">
        <v>355</v>
      </c>
      <c r="Z241" s="10" t="s">
        <v>355</v>
      </c>
      <c r="AA241" s="27">
        <v>3.0</v>
      </c>
      <c r="AB241" s="9" t="s">
        <v>8649</v>
      </c>
      <c r="AC241" s="28">
        <f t="array" ref="AC241">XLOOKUP(V241,products_master_corrected!$A$2:$A$151,products_master_corrected!$E$2:$E$151)</f>
        <v>106.56</v>
      </c>
      <c r="AD241" s="28">
        <f t="shared" ref="AD241:AD310" si="32">AA241*AC241</f>
        <v>319.68</v>
      </c>
      <c r="AE241" s="28">
        <f t="array" ref="AE241">XLOOKUP(V241,products_master_corrected!$A$2:$A$151,products_master_corrected!$G$2:$G$151)</f>
        <v>121.99</v>
      </c>
      <c r="AF241" s="29">
        <f t="shared" ref="AF241:AF310" si="33">AA241*AE241</f>
        <v>365.97</v>
      </c>
      <c r="AG241" s="32" t="s">
        <v>8663</v>
      </c>
      <c r="AH241" s="2" t="s">
        <v>181</v>
      </c>
      <c r="AI241" s="10" t="s">
        <v>181</v>
      </c>
      <c r="AJ241" s="2" t="s">
        <v>818</v>
      </c>
      <c r="AK241" s="10" t="s">
        <v>818</v>
      </c>
      <c r="AL241" s="2" t="s">
        <v>133</v>
      </c>
    </row>
    <row r="242" ht="15.75" customHeight="1">
      <c r="A242" s="2" t="s">
        <v>2856</v>
      </c>
      <c r="B242" s="12">
        <v>45642.49236111111</v>
      </c>
      <c r="C242" s="2" t="str">
        <f>IFERROR(__xludf.DUMMYFUNCTION("IF(ISNUMBER(B242),TEXT(B242,""yyyy-MM-dd""),REGEXREPLACE(REGEXREPLACE(TO_TEXT(B242),""[^0-9a-zA-Z]+"",""-""),""[^0-9]*$"",""""))"),"2024-12-16")</f>
        <v>2024-12-16</v>
      </c>
      <c r="D242" s="2" t="s">
        <v>8191</v>
      </c>
      <c r="H242" s="10" t="s">
        <v>8191</v>
      </c>
      <c r="I242" s="2" t="s">
        <v>2858</v>
      </c>
      <c r="J242" s="26" t="str">
        <f t="array" ref="J242">IF(ISNA(XLOOKUP(I242,customers_clean!$A$2:$A$701,customers_clean!$A$2:$A$701, NA()) ),
   "❌ MISSING CUSTOMER", "✅")</f>
        <v>✅</v>
      </c>
      <c r="K242" s="2" t="str">
        <f t="array" ref="K242">XLOOKUP(I242,customers_clean!$A$2:$A$701,customers_clean!$C$2:$C$701)</f>
        <v>Uma Johnson </v>
      </c>
      <c r="L242" s="10" t="str">
        <f t="array" ref="L242">XLOOKUP(I242,customers_clean!$A$2:$A$701,customers_clean!$D$2:$D$701)</f>
        <v>Uma Johnson</v>
      </c>
      <c r="M242" s="2" t="str">
        <f t="array" ref="M242">XLOOKUP(I242,customers_clean!$A$2:$A$701,customers_clean!$I$2:$I$701)</f>
        <v/>
      </c>
      <c r="N242" s="10" t="str">
        <f t="array" ref="N242">XLOOKUP(I242,customers_clean!$A$2:$A$701,customers_clean!$H$2:$H$701)</f>
        <v/>
      </c>
      <c r="O242" s="9" t="str">
        <f>IFERROR(__xludf.DUMMYFUNCTION("IF(REGEXMATCH(TRIM(N242),""^[A-Za-z0-9._%+-]+@[A-Za-z0-9.-]+\.[A-Za-z]{2,}$""),""✅ Valid"",""❌ Invalid"")"),"❌ Invalid")</f>
        <v>❌ Invalid</v>
      </c>
      <c r="P242" s="2" t="str">
        <f t="array" ref="P242">XLOOKUP(I242,customers_clean!$A$2:$A$701,customers_clean!$K$2:$K$701)</f>
        <v>+1-453-840-3696</v>
      </c>
      <c r="Q242" s="10" t="str">
        <f t="array" ref="Q242">XLOOKUP(I242,customers_clean!$A$2:$A$701,customers_clean!$N$2:$N$701)</f>
        <v/>
      </c>
      <c r="R242" s="9" t="str">
        <f t="array" ref="R242">XLOOKUP(I242,customers_clean!$A$2:$A$701,customers_clean!$Q$2:$Q$701)</f>
        <v/>
      </c>
      <c r="S242" s="10" t="s">
        <v>58</v>
      </c>
      <c r="T242" s="2" t="s">
        <v>460</v>
      </c>
      <c r="U242" s="2" t="s">
        <v>352</v>
      </c>
      <c r="V242" s="2" t="s">
        <v>1597</v>
      </c>
      <c r="W242" s="9" t="str">
        <f t="array" ref="W242">IF(ISNA(XLOOKUP(V242,products_master_corrected!$A$2:$A$151,products_master_corrected!$A$2:$A$151, NA())),
    "❌ MISSING SKU", "✅")</f>
        <v>✅</v>
      </c>
      <c r="X242" s="2" t="s">
        <v>502</v>
      </c>
      <c r="Y242" s="2" t="s">
        <v>355</v>
      </c>
      <c r="Z242" s="10" t="s">
        <v>355</v>
      </c>
      <c r="AA242" s="27">
        <v>3.0</v>
      </c>
      <c r="AB242" s="9" t="s">
        <v>8649</v>
      </c>
      <c r="AC242" s="28">
        <f t="array" ref="AC242">XLOOKUP(V242,products_master_corrected!$A$2:$A$151,products_master_corrected!$E$2:$E$151)</f>
        <v>1002.55</v>
      </c>
      <c r="AD242" s="28">
        <f t="shared" si="32"/>
        <v>3007.65</v>
      </c>
      <c r="AE242" s="28">
        <f t="array" ref="AE242">XLOOKUP(V242,products_master_corrected!$A$2:$A$151,products_master_corrected!$G$2:$G$151)</f>
        <v>1147.72</v>
      </c>
      <c r="AF242" s="29">
        <f t="shared" si="33"/>
        <v>3443.16</v>
      </c>
      <c r="AG242" s="32" t="s">
        <v>8663</v>
      </c>
      <c r="AH242" s="2" t="s">
        <v>1708</v>
      </c>
      <c r="AI242" s="10" t="s">
        <v>181</v>
      </c>
      <c r="AJ242" s="2" t="s">
        <v>345</v>
      </c>
      <c r="AK242" s="10" t="s">
        <v>261</v>
      </c>
    </row>
    <row r="243" ht="15.75" customHeight="1">
      <c r="A243" s="2" t="s">
        <v>4931</v>
      </c>
      <c r="B243" s="12">
        <v>45807.0</v>
      </c>
      <c r="C243" s="2" t="str">
        <f>IFERROR(__xludf.DUMMYFUNCTION("IF(ISNUMBER(B243),TEXT(B243,""yyyy-MM-dd""),REGEXREPLACE(REGEXREPLACE(TO_TEXT(B243),""[^0-9a-zA-Z]+"",""-""),""[^0-9]*$"",""""))"),"2025-05-30")</f>
        <v>2025-05-30</v>
      </c>
      <c r="D243" s="2" t="s">
        <v>5302</v>
      </c>
      <c r="H243" s="10" t="s">
        <v>5302</v>
      </c>
      <c r="I243" s="2" t="s">
        <v>4933</v>
      </c>
      <c r="J243" s="26" t="str">
        <f t="array" ref="J243">IF(ISNA(XLOOKUP(I243,customers_clean!$A$2:$A$701,customers_clean!$A$2:$A$701, NA()) ),
   "❌ MISSING CUSTOMER", "✅")</f>
        <v>✅</v>
      </c>
      <c r="K243" s="2" t="str">
        <f t="array" ref="K243">XLOOKUP(I243,customers_clean!$A$2:$A$701,customers_clean!$C$2:$C$701)</f>
        <v> Lia Kowalski</v>
      </c>
      <c r="L243" s="10" t="str">
        <f t="array" ref="L243">XLOOKUP(I243,customers_clean!$A$2:$A$701,customers_clean!$D$2:$D$701)</f>
        <v>Lia Kowalski</v>
      </c>
      <c r="M243" s="2" t="str">
        <f t="array" ref="M243">XLOOKUP(I243,customers_clean!$A$2:$A$701,customers_clean!$I$2:$I$701)</f>
        <v>lia.kowalski@example.com </v>
      </c>
      <c r="N243" s="10" t="str">
        <f t="array" ref="N243">XLOOKUP(I243,customers_clean!$A$2:$A$701,customers_clean!$H$2:$H$701)</f>
        <v>lia.kowalski@example.com</v>
      </c>
      <c r="O243" s="9" t="str">
        <f>IFERROR(__xludf.DUMMYFUNCTION("IF(REGEXMATCH(TRIM(N243),""^[A-Za-z0-9._%+-]+@[A-Za-z0-9.-]+\.[A-Za-z]{2,}$""),""✅ Valid"",""❌ Invalid"")"),"✅ Valid")</f>
        <v>✅ Valid</v>
      </c>
      <c r="P243" s="2" t="str">
        <f t="array" ref="P243">XLOOKUP(I243,customers_clean!$A$2:$A$701,customers_clean!$K$2:$K$701)</f>
        <v>+44 964 7697214</v>
      </c>
      <c r="Q243" s="10" t="str">
        <f t="array" ref="Q243">XLOOKUP(I243,customers_clean!$A$2:$A$701,customers_clean!$N$2:$N$701)</f>
        <v>9647697214</v>
      </c>
      <c r="R243" s="9" t="str">
        <f t="array" ref="R243">XLOOKUP(I243,customers_clean!$A$2:$A$701,customers_clean!$Q$2:$Q$701)</f>
        <v>❌ INVALID</v>
      </c>
      <c r="S243" s="10" t="s">
        <v>88</v>
      </c>
      <c r="T243" s="2" t="s">
        <v>210</v>
      </c>
      <c r="U243" s="2" t="s">
        <v>176</v>
      </c>
      <c r="V243" s="2" t="s">
        <v>2425</v>
      </c>
      <c r="W243" s="9" t="str">
        <f t="array" ref="W243">IF(ISNA(XLOOKUP(V243,products_master_corrected!$A$2:$A$151,products_master_corrected!$A$2:$A$151, NA())),
    "❌ MISSING SKU", "✅")</f>
        <v>✅</v>
      </c>
      <c r="X243" s="2" t="s">
        <v>2426</v>
      </c>
      <c r="Y243" s="2" t="s">
        <v>2427</v>
      </c>
      <c r="Z243" s="10" t="s">
        <v>248</v>
      </c>
      <c r="AA243" s="27">
        <v>2.0</v>
      </c>
      <c r="AB243" s="9" t="s">
        <v>8649</v>
      </c>
      <c r="AC243" s="28">
        <f t="array" ref="AC243">XLOOKUP(V243,products_master_corrected!$A$2:$A$151,products_master_corrected!$E$2:$E$151)</f>
        <v>1071.06</v>
      </c>
      <c r="AD243" s="28">
        <f t="shared" si="32"/>
        <v>2142.12</v>
      </c>
      <c r="AE243" s="28">
        <f t="array" ref="AE243">XLOOKUP(V243,products_master_corrected!$A$2:$A$151,products_master_corrected!$I$2:$I$151)</f>
        <v>1180.74</v>
      </c>
      <c r="AF243" s="29">
        <f t="shared" si="33"/>
        <v>2361.48</v>
      </c>
      <c r="AG243" s="32" t="s">
        <v>8660</v>
      </c>
      <c r="AH243" s="2" t="s">
        <v>131</v>
      </c>
      <c r="AI243" s="10" t="s">
        <v>181</v>
      </c>
      <c r="AJ243" s="2" t="s">
        <v>380</v>
      </c>
      <c r="AK243" s="10" t="s">
        <v>80</v>
      </c>
    </row>
    <row r="244" ht="15.75" customHeight="1">
      <c r="A244" s="2" t="s">
        <v>6213</v>
      </c>
      <c r="B244" s="12">
        <v>45550.87291666667</v>
      </c>
      <c r="C244" s="2" t="str">
        <f>IFERROR(__xludf.DUMMYFUNCTION("IF(ISNUMBER(B244),TEXT(B244,""yyyy-MM-dd""),REGEXREPLACE(REGEXREPLACE(TO_TEXT(B244),""[^0-9a-zA-Z]+"",""-""),""[^0-9]*$"",""""))"),"2024-09-15")</f>
        <v>2024-09-15</v>
      </c>
      <c r="D244" s="2" t="s">
        <v>7627</v>
      </c>
      <c r="H244" s="10" t="s">
        <v>7627</v>
      </c>
      <c r="I244" s="2" t="s">
        <v>4933</v>
      </c>
      <c r="J244" s="26" t="str">
        <f t="array" ref="J244">IF(ISNA(XLOOKUP(I244,customers_clean!$A$2:$A$701,customers_clean!$A$2:$A$701, NA()) ),
   "❌ MISSING CUSTOMER", "✅")</f>
        <v>✅</v>
      </c>
      <c r="K244" s="2" t="str">
        <f t="array" ref="K244">XLOOKUP(I244,customers_clean!$A$2:$A$701,customers_clean!$C$2:$C$701)</f>
        <v> Lia Kowalski</v>
      </c>
      <c r="L244" s="10" t="str">
        <f t="array" ref="L244">XLOOKUP(I244,customers_clean!$A$2:$A$701,customers_clean!$D$2:$D$701)</f>
        <v>Lia Kowalski</v>
      </c>
      <c r="M244" s="2" t="str">
        <f t="array" ref="M244">XLOOKUP(I244,customers_clean!$A$2:$A$701,customers_clean!$I$2:$I$701)</f>
        <v>lia.kowalski@example.com </v>
      </c>
      <c r="N244" s="10" t="str">
        <f t="array" ref="N244">XLOOKUP(I244,customers_clean!$A$2:$A$701,customers_clean!$H$2:$H$701)</f>
        <v>lia.kowalski@example.com</v>
      </c>
      <c r="O244" s="9" t="str">
        <f>IFERROR(__xludf.DUMMYFUNCTION("IF(REGEXMATCH(TRIM(N244),""^[A-Za-z0-9._%+-]+@[A-Za-z0-9.-]+\.[A-Za-z]{2,}$""),""✅ Valid"",""❌ Invalid"")"),"✅ Valid")</f>
        <v>✅ Valid</v>
      </c>
      <c r="P244" s="2" t="str">
        <f t="array" ref="P244">XLOOKUP(I244,customers_clean!$A$2:$A$701,customers_clean!$K$2:$K$701)</f>
        <v>+44 964 7697214</v>
      </c>
      <c r="Q244" s="10" t="str">
        <f t="array" ref="Q244">XLOOKUP(I244,customers_clean!$A$2:$A$701,customers_clean!$N$2:$N$701)</f>
        <v>9647697214</v>
      </c>
      <c r="R244" s="9" t="str">
        <f t="array" ref="R244">XLOOKUP(I244,customers_clean!$A$2:$A$701,customers_clean!$Q$2:$Q$701)</f>
        <v>❌ INVALID</v>
      </c>
      <c r="S244" s="10" t="s">
        <v>88</v>
      </c>
      <c r="T244" s="2" t="s">
        <v>460</v>
      </c>
      <c r="U244" s="2" t="s">
        <v>103</v>
      </c>
      <c r="V244" s="2" t="s">
        <v>889</v>
      </c>
      <c r="W244" s="9" t="str">
        <f t="array" ref="W244">IF(ISNA(XLOOKUP(V244,products_master_corrected!$A$2:$A$151,products_master_corrected!$A$2:$A$151, NA())),
    "❌ MISSING SKU", "✅")</f>
        <v>✅</v>
      </c>
      <c r="X244" s="2" t="s">
        <v>804</v>
      </c>
      <c r="Y244" s="2" t="s">
        <v>179</v>
      </c>
      <c r="Z244" s="10" t="s">
        <v>179</v>
      </c>
      <c r="AA244" s="27">
        <v>2.0</v>
      </c>
      <c r="AB244" s="9" t="s">
        <v>8649</v>
      </c>
      <c r="AC244" s="28">
        <f t="array" ref="AC244">XLOOKUP(V244,products_master_corrected!$A$2:$A$151,products_master_corrected!$E$2:$E$151)</f>
        <v>16.72</v>
      </c>
      <c r="AD244" s="28">
        <f t="shared" si="32"/>
        <v>33.44</v>
      </c>
      <c r="AE244" s="28">
        <f t="array" ref="AE244">XLOOKUP(V244,products_master_corrected!$A$2:$A$151,products_master_corrected!$I$2:$I$151)</f>
        <v>18.43</v>
      </c>
      <c r="AF244" s="29">
        <f t="shared" si="33"/>
        <v>36.86</v>
      </c>
      <c r="AG244" s="32" t="s">
        <v>8660</v>
      </c>
      <c r="AH244" s="2" t="s">
        <v>238</v>
      </c>
      <c r="AI244" s="10" t="s">
        <v>66</v>
      </c>
      <c r="AJ244" s="2" t="s">
        <v>144</v>
      </c>
      <c r="AK244" s="10" t="s">
        <v>818</v>
      </c>
      <c r="AL244" s="2" t="s">
        <v>81</v>
      </c>
    </row>
    <row r="245" ht="15.75" customHeight="1">
      <c r="A245" s="2" t="s">
        <v>2234</v>
      </c>
      <c r="B245" s="12">
        <v>45149.0</v>
      </c>
      <c r="C245" s="2" t="str">
        <f>IFERROR(__xludf.DUMMYFUNCTION("IF(ISNUMBER(B245),TEXT(B245,""yyyy-MM-dd""),REGEXREPLACE(REGEXREPLACE(TO_TEXT(B245),""[^0-9a-zA-Z]+"",""-""),""[^0-9]*$"",""""))"),"2023-08-11")</f>
        <v>2023-08-11</v>
      </c>
      <c r="D245" s="2" t="s">
        <v>8769</v>
      </c>
      <c r="H245" s="10" t="s">
        <v>8769</v>
      </c>
      <c r="I245" s="2" t="s">
        <v>2236</v>
      </c>
      <c r="J245" s="26" t="str">
        <f t="array" ref="J245">IF(ISNA(XLOOKUP(I245,customers_clean!$A$2:$A$701,customers_clean!$A$2:$A$701, NA()) ),
   "❌ MISSING CUSTOMER", "✅")</f>
        <v>✅</v>
      </c>
      <c r="K245" s="2" t="str">
        <f t="array" ref="K245">XLOOKUP(I245,customers_clean!$A$2:$A$701,customers_clean!$C$2:$C$701)</f>
        <v> Lia Kowalski</v>
      </c>
      <c r="L245" s="10" t="str">
        <f t="array" ref="L245">XLOOKUP(I245,customers_clean!$A$2:$A$701,customers_clean!$D$2:$D$701)</f>
        <v>Lia Kowalski</v>
      </c>
      <c r="M245" s="2" t="str">
        <f t="array" ref="M245">XLOOKUP(I245,customers_clean!$A$2:$A$701,customers_clean!$I$2:$I$701)</f>
        <v> lia.kowalski@example.com </v>
      </c>
      <c r="N245" s="10" t="str">
        <f t="array" ref="N245">XLOOKUP(I245,customers_clean!$A$2:$A$701,customers_clean!$H$2:$H$701)</f>
        <v>lia.kowalski@example.com</v>
      </c>
      <c r="O245" s="9" t="str">
        <f>IFERROR(__xludf.DUMMYFUNCTION("IF(REGEXMATCH(TRIM(N245),""^[A-Za-z0-9._%+-]+@[A-Za-z0-9.-]+\.[A-Za-z]{2,}$""),""✅ Valid"",""❌ Invalid"")"),"✅ Valid")</f>
        <v>✅ Valid</v>
      </c>
      <c r="P245" s="2" t="str">
        <f t="array" ref="P245">XLOOKUP(I245,customers_clean!$A$2:$A$701,customers_clean!$K$2:$K$701)</f>
        <v>tel:+44084069359</v>
      </c>
      <c r="Q245" s="10" t="str">
        <f t="array" ref="Q245">XLOOKUP(I245,customers_clean!$A$2:$A$701,customers_clean!$N$2:$N$701)</f>
        <v>084069359</v>
      </c>
      <c r="R245" s="9" t="str">
        <f t="array" ref="R245">XLOOKUP(I245,customers_clean!$A$2:$A$701,customers_clean!$Q$2:$Q$701)</f>
        <v>❌ INVALID</v>
      </c>
      <c r="S245" s="31" t="s">
        <v>671</v>
      </c>
      <c r="T245" s="2" t="s">
        <v>802</v>
      </c>
      <c r="U245" s="2" t="s">
        <v>60</v>
      </c>
      <c r="V245" s="2" t="s">
        <v>2240</v>
      </c>
      <c r="W245" s="9" t="str">
        <f t="array" ref="W245">IF(ISNA(XLOOKUP(V245,products_master_corrected!$A$2:$A$151,products_master_corrected!$A$2:$A$151, NA())),
    "❌ MISSING SKU", "✅")</f>
        <v>✅</v>
      </c>
      <c r="X245" s="2" t="s">
        <v>403</v>
      </c>
      <c r="Y245" s="2" t="s">
        <v>742</v>
      </c>
      <c r="Z245" s="10" t="s">
        <v>355</v>
      </c>
      <c r="AA245" s="27">
        <v>2.0</v>
      </c>
      <c r="AB245" s="9" t="s">
        <v>8649</v>
      </c>
      <c r="AC245" s="28">
        <f t="array" ref="AC245">XLOOKUP(V245,products_master_corrected!$A$2:$A$151,products_master_corrected!$E$2:$E$151)</f>
        <v>23.6</v>
      </c>
      <c r="AD245" s="28">
        <f t="shared" si="32"/>
        <v>47.2</v>
      </c>
      <c r="AE245" s="28">
        <f t="array" ref="AE245">XLOOKUP(V245,products_master_corrected!$A$2:$A$151,products_master_corrected!$J$2:$J$151)</f>
        <v>27.52</v>
      </c>
      <c r="AF245" s="29">
        <f t="shared" si="33"/>
        <v>55.04</v>
      </c>
      <c r="AG245" s="32" t="s">
        <v>8656</v>
      </c>
      <c r="AH245" s="2" t="s">
        <v>49</v>
      </c>
      <c r="AI245" s="10" t="s">
        <v>49</v>
      </c>
      <c r="AJ245" s="2" t="s">
        <v>432</v>
      </c>
      <c r="AK245" s="10" t="s">
        <v>80</v>
      </c>
    </row>
    <row r="246" ht="15.75" customHeight="1">
      <c r="A246" s="2" t="s">
        <v>5708</v>
      </c>
      <c r="B246" s="12" t="s">
        <v>5709</v>
      </c>
      <c r="C246" s="2" t="str">
        <f>IFERROR(__xludf.DUMMYFUNCTION("IF(ISNUMBER(B246),TEXT(B246,""yyyy-MM-dd""),REGEXREPLACE(REGEXREPLACE(TO_TEXT(B246),""[^0-9a-zA-Z]+"",""-""),""[^0-9]*$"",""""))"),"10-31-2024")</f>
        <v>10-31-2024</v>
      </c>
      <c r="D246" s="2" t="str">
        <f>TEXT(C246,"yyyy-MM-dd")</f>
        <v>10-31-2024</v>
      </c>
      <c r="E246" s="2" t="s">
        <v>8093</v>
      </c>
      <c r="H246" s="10" t="s">
        <v>8093</v>
      </c>
      <c r="I246" s="2" t="s">
        <v>5710</v>
      </c>
      <c r="J246" s="26" t="str">
        <f t="array" ref="J246">IF(ISNA(XLOOKUP(I246,customers_clean!$A$2:$A$701,customers_clean!$A$2:$A$701, NA()) ),
   "❌ MISSING CUSTOMER", "✅")</f>
        <v>✅</v>
      </c>
      <c r="K246" s="2" t="str">
        <f t="array" ref="K246">XLOOKUP(I246,customers_clean!$A$2:$A$701,customers_clean!$C$2:$C$701)</f>
        <v>Uma Kowalski</v>
      </c>
      <c r="L246" s="10" t="str">
        <f t="array" ref="L246">XLOOKUP(I246,customers_clean!$A$2:$A$701,customers_clean!$D$2:$D$701)</f>
        <v>Uma Kowalski</v>
      </c>
      <c r="M246" s="2" t="str">
        <f t="array" ref="M246">XLOOKUP(I246,customers_clean!$A$2:$A$701,customers_clean!$I$2:$I$701)</f>
        <v>uma.kowalski@example.com</v>
      </c>
      <c r="N246" s="10" t="str">
        <f t="array" ref="N246">XLOOKUP(I246,customers_clean!$A$2:$A$701,customers_clean!$H$2:$H$701)</f>
        <v>uma.kowalski@example.com</v>
      </c>
      <c r="O246" s="9" t="str">
        <f>IFERROR(__xludf.DUMMYFUNCTION("IF(REGEXMATCH(TRIM(N246),""^[A-Za-z0-9._%+-]+@[A-Za-z0-9.-]+\.[A-Za-z]{2,}$""),""✅ Valid"",""❌ Invalid"")"),"✅ Valid")</f>
        <v>✅ Valid</v>
      </c>
      <c r="P246" s="2" t="str">
        <f t="array" ref="P246">XLOOKUP(I246,customers_clean!$A$2:$A$701,customers_clean!$K$2:$K$701)</f>
        <v>+33+933437576</v>
      </c>
      <c r="Q246" s="10" t="str">
        <f t="array" ref="Q246">XLOOKUP(I246,customers_clean!$A$2:$A$701,customers_clean!$N$2:$N$701)</f>
        <v>933437576</v>
      </c>
      <c r="R246" s="9" t="str">
        <f t="array" ref="R246">XLOOKUP(I246,customers_clean!$A$2:$A$701,customers_clean!$Q$2:$Q$701)</f>
        <v>❌ INVALID</v>
      </c>
      <c r="S246" s="10" t="s">
        <v>114</v>
      </c>
      <c r="T246" s="2" t="s">
        <v>323</v>
      </c>
      <c r="U246" s="2" t="s">
        <v>60</v>
      </c>
      <c r="V246" s="2" t="s">
        <v>2680</v>
      </c>
      <c r="W246" s="9" t="str">
        <f t="array" ref="W246">IF(ISNA(XLOOKUP(V246,products_master_corrected!$A$2:$A$151,products_master_corrected!$A$2:$A$151, NA())),
    "❌ MISSING SKU", "✅")</f>
        <v>✅</v>
      </c>
      <c r="X246" s="2" t="s">
        <v>303</v>
      </c>
      <c r="Y246" s="2" t="s">
        <v>2421</v>
      </c>
      <c r="Z246" s="10" t="s">
        <v>248</v>
      </c>
      <c r="AA246" s="27">
        <v>5.0</v>
      </c>
      <c r="AB246" s="9" t="s">
        <v>8649</v>
      </c>
      <c r="AC246" s="28">
        <f t="array" ref="AC246">XLOOKUP(V246,products_master_corrected!$A$2:$A$151,products_master_corrected!$E$2:$E$151)</f>
        <v>121.47</v>
      </c>
      <c r="AD246" s="28">
        <f t="shared" si="32"/>
        <v>607.35</v>
      </c>
      <c r="AE246" s="28">
        <f t="array" ref="AE246">XLOOKUP(V246,products_master_corrected!$A$2:$A$151,products_master_corrected!$F$2:$F$151)</f>
        <v>121.47</v>
      </c>
      <c r="AF246" s="29">
        <f t="shared" si="33"/>
        <v>607.35</v>
      </c>
      <c r="AG246" s="30" t="s">
        <v>65</v>
      </c>
      <c r="AH246" s="2" t="s">
        <v>66</v>
      </c>
      <c r="AI246" s="10" t="s">
        <v>66</v>
      </c>
      <c r="AJ246" s="2" t="s">
        <v>5715</v>
      </c>
      <c r="AK246" s="10" t="s">
        <v>261</v>
      </c>
    </row>
    <row r="247" ht="15.75" customHeight="1">
      <c r="A247" s="2" t="s">
        <v>5041</v>
      </c>
      <c r="B247" s="12">
        <v>45264.0</v>
      </c>
      <c r="C247" s="2" t="str">
        <f>IFERROR(__xludf.DUMMYFUNCTION("IF(ISNUMBER(B247),TEXT(B247,""yyyy-MM-dd""),REGEXREPLACE(REGEXREPLACE(TO_TEXT(B247),""[^0-9a-zA-Z]+"",""-""),""[^0-9]*$"",""""))"),"2023-12-04")</f>
        <v>2023-12-04</v>
      </c>
      <c r="D247" s="2" t="s">
        <v>8770</v>
      </c>
      <c r="H247" s="10" t="s">
        <v>8770</v>
      </c>
      <c r="I247" s="2" t="s">
        <v>2794</v>
      </c>
      <c r="J247" s="26" t="str">
        <f t="array" ref="J247">IF(ISNA(XLOOKUP(I247,customers_clean!$A$2:$A$701,customers_clean!$A$2:$A$701, NA()) ),
   "❌ MISSING CUSTOMER", "✅")</f>
        <v>✅</v>
      </c>
      <c r="K247" s="2" t="str">
        <f t="array" ref="K247">XLOOKUP(I247,customers_clean!$A$2:$A$701,customers_clean!$C$2:$C$701)</f>
        <v>Nina Kowalski</v>
      </c>
      <c r="L247" s="10" t="str">
        <f t="array" ref="L247">XLOOKUP(I247,customers_clean!$A$2:$A$701,customers_clean!$D$2:$D$701)</f>
        <v>Nina Kowalski</v>
      </c>
      <c r="M247" s="2" t="str">
        <f t="array" ref="M247">XLOOKUP(I247,customers_clean!$A$2:$A$701,customers_clean!$I$2:$I$701)</f>
        <v>NINA.KOWALSKI@GMAIL.COM</v>
      </c>
      <c r="N247" s="10" t="str">
        <f t="array" ref="N247">XLOOKUP(I247,customers_clean!$A$2:$A$701,customers_clean!$H$2:$H$701)</f>
        <v>nina.kowalski@gmail.com</v>
      </c>
      <c r="O247" s="9" t="str">
        <f>IFERROR(__xludf.DUMMYFUNCTION("IF(REGEXMATCH(TRIM(N247),""^[A-Za-z0-9._%+-]+@[A-Za-z0-9.-]+\.[A-Za-z]{2,}$""),""✅ Valid"",""❌ Invalid"")"),"✅ Valid")</f>
        <v>✅ Valid</v>
      </c>
      <c r="P247" s="2" t="str">
        <f t="array" ref="P247">XLOOKUP(I247,customers_clean!$A$2:$A$701,customers_clean!$K$2:$K$701)</f>
        <v>+353942950663</v>
      </c>
      <c r="Q247" s="10" t="str">
        <f t="array" ref="Q247">XLOOKUP(I247,customers_clean!$A$2:$A$701,customers_clean!$N$2:$N$701)</f>
        <v>942950663</v>
      </c>
      <c r="R247" s="9" t="str">
        <f t="array" ref="R247">XLOOKUP(I247,customers_clean!$A$2:$A$701,customers_clean!$Q$2:$Q$701)</f>
        <v>❌ INVALID</v>
      </c>
      <c r="S247" s="10" t="s">
        <v>88</v>
      </c>
      <c r="T247" s="2" t="s">
        <v>42</v>
      </c>
      <c r="U247" s="2" t="s">
        <v>103</v>
      </c>
      <c r="V247" s="2" t="s">
        <v>993</v>
      </c>
      <c r="W247" s="9" t="str">
        <f t="array" ref="W247">IF(ISNA(XLOOKUP(V247,products_master_corrected!$A$2:$A$151,products_master_corrected!$A$2:$A$151, NA())),
    "❌ MISSING SKU", "✅")</f>
        <v>✅</v>
      </c>
      <c r="X247" s="2" t="s">
        <v>994</v>
      </c>
      <c r="Y247" s="2" t="s">
        <v>995</v>
      </c>
      <c r="Z247" s="10" t="s">
        <v>355</v>
      </c>
      <c r="AA247" s="27">
        <v>2.0</v>
      </c>
      <c r="AB247" s="9" t="s">
        <v>8649</v>
      </c>
      <c r="AC247" s="28">
        <f t="array" ref="AC247">XLOOKUP(V247,products_master_corrected!$A$2:$A$151,products_master_corrected!$E$2:$E$151)</f>
        <v>566.38</v>
      </c>
      <c r="AD247" s="28">
        <f t="shared" si="32"/>
        <v>1132.76</v>
      </c>
      <c r="AE247" s="28">
        <f t="array" ref="AE247">XLOOKUP(V247,products_master_corrected!$A$2:$A$151,products_master_corrected!$I$2:$I$151)</f>
        <v>624.38</v>
      </c>
      <c r="AF247" s="29">
        <f t="shared" si="33"/>
        <v>1248.76</v>
      </c>
      <c r="AG247" s="32" t="s">
        <v>8660</v>
      </c>
      <c r="AH247" s="2" t="s">
        <v>131</v>
      </c>
      <c r="AI247" s="10" t="s">
        <v>181</v>
      </c>
      <c r="AJ247" s="2" t="s">
        <v>432</v>
      </c>
      <c r="AK247" s="10" t="s">
        <v>80</v>
      </c>
    </row>
    <row r="248" ht="15.75" customHeight="1">
      <c r="A248" s="2" t="s">
        <v>2792</v>
      </c>
      <c r="B248" s="12">
        <v>45840.0</v>
      </c>
      <c r="C248" s="2" t="str">
        <f>IFERROR(__xludf.DUMMYFUNCTION("IF(ISNUMBER(B248),TEXT(B248,""yyyy-MM-dd""),REGEXREPLACE(REGEXREPLACE(TO_TEXT(B248),""[^0-9a-zA-Z]+"",""-""),""[^0-9]*$"",""""))"),"2025-07-02")</f>
        <v>2025-07-02</v>
      </c>
      <c r="D248" s="2" t="s">
        <v>2793</v>
      </c>
      <c r="H248" s="10" t="s">
        <v>2793</v>
      </c>
      <c r="I248" s="2" t="s">
        <v>2794</v>
      </c>
      <c r="J248" s="26" t="str">
        <f t="array" ref="J248">IF(ISNA(XLOOKUP(I248,customers_clean!$A$2:$A$701,customers_clean!$A$2:$A$701, NA()) ),
   "❌ MISSING CUSTOMER", "✅")</f>
        <v>✅</v>
      </c>
      <c r="K248" s="2" t="str">
        <f t="array" ref="K248">XLOOKUP(I248,customers_clean!$A$2:$A$701,customers_clean!$C$2:$C$701)</f>
        <v>Nina Kowalski</v>
      </c>
      <c r="L248" s="10" t="str">
        <f t="array" ref="L248">XLOOKUP(I248,customers_clean!$A$2:$A$701,customers_clean!$D$2:$D$701)</f>
        <v>Nina Kowalski</v>
      </c>
      <c r="M248" s="2" t="str">
        <f t="array" ref="M248">XLOOKUP(I248,customers_clean!$A$2:$A$701,customers_clean!$I$2:$I$701)</f>
        <v>NINA.KOWALSKI@GMAIL.COM</v>
      </c>
      <c r="N248" s="10" t="str">
        <f t="array" ref="N248">XLOOKUP(I248,customers_clean!$A$2:$A$701,customers_clean!$H$2:$H$701)</f>
        <v>nina.kowalski@gmail.com</v>
      </c>
      <c r="O248" s="9" t="str">
        <f>IFERROR(__xludf.DUMMYFUNCTION("IF(REGEXMATCH(TRIM(N248),""^[A-Za-z0-9._%+-]+@[A-Za-z0-9.-]+\.[A-Za-z]{2,}$""),""✅ Valid"",""❌ Invalid"")"),"✅ Valid")</f>
        <v>✅ Valid</v>
      </c>
      <c r="P248" s="2" t="str">
        <f t="array" ref="P248">XLOOKUP(I248,customers_clean!$A$2:$A$701,customers_clean!$K$2:$K$701)</f>
        <v>+353942950663</v>
      </c>
      <c r="Q248" s="10" t="str">
        <f t="array" ref="Q248">XLOOKUP(I248,customers_clean!$A$2:$A$701,customers_clean!$N$2:$N$701)</f>
        <v>942950663</v>
      </c>
      <c r="R248" s="9" t="str">
        <f t="array" ref="R248">XLOOKUP(I248,customers_clean!$A$2:$A$701,customers_clean!$Q$2:$Q$701)</f>
        <v>❌ INVALID</v>
      </c>
      <c r="S248" s="10" t="s">
        <v>88</v>
      </c>
      <c r="T248" s="2" t="s">
        <v>683</v>
      </c>
      <c r="U248" s="2" t="s">
        <v>75</v>
      </c>
      <c r="V248" s="2" t="s">
        <v>1302</v>
      </c>
      <c r="W248" s="9" t="str">
        <f t="array" ref="W248">IF(ISNA(XLOOKUP(V248,products_master_corrected!$A$2:$A$151,products_master_corrected!$A$2:$A$151, NA())),
    "❌ MISSING SKU", "✅")</f>
        <v>✅</v>
      </c>
      <c r="X248" s="2" t="s">
        <v>440</v>
      </c>
      <c r="Y248" s="2" t="s">
        <v>179</v>
      </c>
      <c r="Z248" s="10" t="s">
        <v>179</v>
      </c>
      <c r="AA248" s="27">
        <v>5.0</v>
      </c>
      <c r="AB248" s="9" t="s">
        <v>8649</v>
      </c>
      <c r="AC248" s="28">
        <f t="array" ref="AC248">XLOOKUP(V248,products_master_corrected!$A$2:$A$151,products_master_corrected!$E$2:$E$151)</f>
        <v>28.97</v>
      </c>
      <c r="AD248" s="28">
        <f t="shared" si="32"/>
        <v>144.85</v>
      </c>
      <c r="AE248" s="28">
        <f t="array" ref="AE248">XLOOKUP(V248,products_master_corrected!$A$2:$A$151,products_master_corrected!$I$2:$I$151)</f>
        <v>31.94</v>
      </c>
      <c r="AF248" s="29">
        <f t="shared" si="33"/>
        <v>159.7</v>
      </c>
      <c r="AG248" s="32" t="s">
        <v>8660</v>
      </c>
      <c r="AH248" s="2" t="s">
        <v>357</v>
      </c>
      <c r="AI248" s="10" t="s">
        <v>66</v>
      </c>
      <c r="AJ248" s="2" t="s">
        <v>34</v>
      </c>
      <c r="AK248" s="10" t="s">
        <v>80</v>
      </c>
      <c r="AL248" s="2" t="s">
        <v>81</v>
      </c>
    </row>
    <row r="249" ht="15.75" customHeight="1">
      <c r="A249" s="2" t="s">
        <v>2977</v>
      </c>
      <c r="B249" s="12" t="s">
        <v>2978</v>
      </c>
      <c r="C249" s="2" t="str">
        <f>IFERROR(__xludf.DUMMYFUNCTION("IF(ISNUMBER(B249),TEXT(B249,""yyyy-MM-dd""),REGEXREPLACE(REGEXREPLACE(TO_TEXT(B249),""[^0-9a-zA-Z]+"",""-""),""[^0-9]*$"",""""))"),"45411-11-59")</f>
        <v>45411-11-59</v>
      </c>
      <c r="D249" s="2" t="str">
        <f>TEXT(C249,"yyyy-MM-dd")</f>
        <v>45411-11-59</v>
      </c>
      <c r="E249" s="25" t="str">
        <f>CONCATENATE(LEFT(D249,5))</f>
        <v>45411</v>
      </c>
      <c r="F249" s="12">
        <f>DATE(1900,1,1) + E249 - 1</f>
        <v>45412</v>
      </c>
      <c r="G249" s="2" t="s">
        <v>8771</v>
      </c>
      <c r="H249" s="10" t="s">
        <v>8771</v>
      </c>
      <c r="I249" s="2" t="s">
        <v>2794</v>
      </c>
      <c r="J249" s="26" t="str">
        <f t="array" ref="J249">IF(ISNA(XLOOKUP(I249,customers_clean!$A$2:$A$701,customers_clean!$A$2:$A$701, NA()) ),
   "❌ MISSING CUSTOMER", "✅")</f>
        <v>✅</v>
      </c>
      <c r="K249" s="2" t="str">
        <f t="array" ref="K249">XLOOKUP(I249,customers_clean!$A$2:$A$701,customers_clean!$C$2:$C$701)</f>
        <v>Nina Kowalski</v>
      </c>
      <c r="L249" s="10" t="str">
        <f t="array" ref="L249">XLOOKUP(I249,customers_clean!$A$2:$A$701,customers_clean!$D$2:$D$701)</f>
        <v>Nina Kowalski</v>
      </c>
      <c r="M249" s="2" t="str">
        <f t="array" ref="M249">XLOOKUP(I249,customers_clean!$A$2:$A$701,customers_clean!$I$2:$I$701)</f>
        <v>NINA.KOWALSKI@GMAIL.COM</v>
      </c>
      <c r="N249" s="10" t="str">
        <f t="array" ref="N249">XLOOKUP(I249,customers_clean!$A$2:$A$701,customers_clean!$H$2:$H$701)</f>
        <v>nina.kowalski@gmail.com</v>
      </c>
      <c r="O249" s="9" t="str">
        <f>IFERROR(__xludf.DUMMYFUNCTION("IF(REGEXMATCH(TRIM(N249),""^[A-Za-z0-9._%+-]+@[A-Za-z0-9.-]+\.[A-Za-z]{2,}$""),""✅ Valid"",""❌ Invalid"")"),"✅ Valid")</f>
        <v>✅ Valid</v>
      </c>
      <c r="P249" s="2" t="str">
        <f t="array" ref="P249">XLOOKUP(I249,customers_clean!$A$2:$A$701,customers_clean!$K$2:$K$701)</f>
        <v>+353942950663</v>
      </c>
      <c r="Q249" s="10" t="str">
        <f t="array" ref="Q249">XLOOKUP(I249,customers_clean!$A$2:$A$701,customers_clean!$N$2:$N$701)</f>
        <v>942950663</v>
      </c>
      <c r="R249" s="9" t="str">
        <f t="array" ref="R249">XLOOKUP(I249,customers_clean!$A$2:$A$701,customers_clean!$Q$2:$Q$701)</f>
        <v>❌ INVALID</v>
      </c>
      <c r="S249" s="10" t="s">
        <v>88</v>
      </c>
      <c r="T249" s="2" t="s">
        <v>115</v>
      </c>
      <c r="U249" s="2" t="s">
        <v>176</v>
      </c>
      <c r="V249" s="2" t="s">
        <v>1400</v>
      </c>
      <c r="W249" s="9" t="str">
        <f t="array" ref="W249">IF(ISNA(XLOOKUP(V249,products_master_corrected!$A$2:$A$151,products_master_corrected!$A$2:$A$151, NA())),
    "❌ MISSING SKU", "✅")</f>
        <v>✅</v>
      </c>
      <c r="X249" s="2" t="s">
        <v>524</v>
      </c>
      <c r="Y249" s="2" t="s">
        <v>1401</v>
      </c>
      <c r="Z249" s="10" t="s">
        <v>63</v>
      </c>
      <c r="AA249" s="27">
        <v>2.0</v>
      </c>
      <c r="AB249" s="9" t="s">
        <v>8649</v>
      </c>
      <c r="AC249" s="28">
        <f t="array" ref="AC249">XLOOKUP(V249,products_master_corrected!$A$2:$A$151,products_master_corrected!$E$2:$E$151)</f>
        <v>145.12</v>
      </c>
      <c r="AD249" s="28">
        <f t="shared" si="32"/>
        <v>290.24</v>
      </c>
      <c r="AE249" s="28">
        <f t="array" ref="AE249">XLOOKUP(V249,products_master_corrected!$A$2:$A$151,products_master_corrected!$I$2:$I$151)</f>
        <v>159.98</v>
      </c>
      <c r="AF249" s="29">
        <f t="shared" si="33"/>
        <v>319.96</v>
      </c>
      <c r="AG249" s="32" t="s">
        <v>8660</v>
      </c>
      <c r="AH249" s="2" t="s">
        <v>505</v>
      </c>
      <c r="AI249" s="10" t="s">
        <v>181</v>
      </c>
      <c r="AJ249" s="2" t="s">
        <v>2980</v>
      </c>
      <c r="AK249" s="10" t="s">
        <v>261</v>
      </c>
      <c r="AL249" s="2" t="s">
        <v>67</v>
      </c>
    </row>
    <row r="250" ht="15.75" customHeight="1">
      <c r="A250" s="2" t="s">
        <v>4213</v>
      </c>
      <c r="B250" s="12">
        <v>45505.0</v>
      </c>
      <c r="C250" s="2" t="str">
        <f>IFERROR(__xludf.DUMMYFUNCTION("IF(ISNUMBER(B250),TEXT(B250,""yyyy-MM-dd""),REGEXREPLACE(REGEXREPLACE(TO_TEXT(B250),""[^0-9a-zA-Z]+"",""-""),""[^0-9]*$"",""""))"),"2024-08-01")</f>
        <v>2024-08-01</v>
      </c>
      <c r="D250" s="2" t="s">
        <v>8450</v>
      </c>
      <c r="H250" s="10" t="s">
        <v>8450</v>
      </c>
      <c r="I250" s="2" t="s">
        <v>4215</v>
      </c>
      <c r="J250" s="26" t="str">
        <f t="array" ref="J250">IF(ISNA(XLOOKUP(I250,customers_clean!$A$2:$A$701,customers_clean!$A$2:$A$701, NA()) ),
   "❌ MISSING CUSTOMER", "✅")</f>
        <v>✅</v>
      </c>
      <c r="K250" s="2" t="str">
        <f t="array" ref="K250">XLOOKUP(I250,customers_clean!$A$2:$A$701,customers_clean!$C$2:$C$701)</f>
        <v>Fiona  Dubois</v>
      </c>
      <c r="L250" s="10" t="str">
        <f t="array" ref="L250">XLOOKUP(I250,customers_clean!$A$2:$A$701,customers_clean!$D$2:$D$701)</f>
        <v>Fiona Dubois</v>
      </c>
      <c r="M250" s="2" t="str">
        <f t="array" ref="M250">XLOOKUP(I250,customers_clean!$A$2:$A$701,customers_clean!$I$2:$I$701)</f>
        <v>Fiona.Dubois@Yahoo.Com</v>
      </c>
      <c r="N250" s="10" t="str">
        <f t="array" ref="N250">XLOOKUP(I250,customers_clean!$A$2:$A$701,customers_clean!$H$2:$H$701)</f>
        <v>fiona.dubois@yahoo.com</v>
      </c>
      <c r="O250" s="9" t="str">
        <f>IFERROR(__xludf.DUMMYFUNCTION("IF(REGEXMATCH(TRIM(N250),""^[A-Za-z0-9._%+-]+@[A-Za-z0-9.-]+\.[A-Za-z]{2,}$""),""✅ Valid"",""❌ Invalid"")"),"✅ Valid")</f>
        <v>✅ Valid</v>
      </c>
      <c r="P250" s="2" t="str">
        <f t="array" ref="P250">XLOOKUP(I250,customers_clean!$A$2:$A$701,customers_clean!$K$2:$K$701)</f>
        <v>301-523-846</v>
      </c>
      <c r="Q250" s="10" t="str">
        <f t="array" ref="Q250">XLOOKUP(I250,customers_clean!$A$2:$A$701,customers_clean!$N$2:$N$701)</f>
        <v>301523846</v>
      </c>
      <c r="R250" s="9" t="str">
        <f t="array" ref="R250">XLOOKUP(I250,customers_clean!$A$2:$A$701,customers_clean!$Q$2:$Q$701)</f>
        <v>✅ VALID</v>
      </c>
      <c r="S250" s="10" t="s">
        <v>139</v>
      </c>
      <c r="T250" s="2" t="s">
        <v>59</v>
      </c>
      <c r="U250" s="2" t="s">
        <v>870</v>
      </c>
      <c r="V250" s="2" t="s">
        <v>127</v>
      </c>
      <c r="W250" s="9" t="str">
        <f t="array" ref="W250">IF(ISNA(XLOOKUP(V250,products_master_corrected!$A$2:$A$151,products_master_corrected!$A$2:$A$151, NA())),
    "❌ MISSING SKU", "✅")</f>
        <v>✅</v>
      </c>
      <c r="X250" s="2" t="s">
        <v>8717</v>
      </c>
      <c r="Y250" s="2" t="s">
        <v>129</v>
      </c>
      <c r="Z250" s="10" t="s">
        <v>514</v>
      </c>
      <c r="AA250" s="27">
        <v>5.0</v>
      </c>
      <c r="AB250" s="9" t="s">
        <v>8649</v>
      </c>
      <c r="AC250" s="28">
        <f t="array" ref="AC250">XLOOKUP(V250,products_master_corrected!$A$2:$A$151,products_master_corrected!$E$2:$E$151)</f>
        <v>79.06</v>
      </c>
      <c r="AD250" s="28">
        <f t="shared" si="32"/>
        <v>395.3</v>
      </c>
      <c r="AE250" s="28">
        <f t="array" ref="AE250">XLOOKUP(V250,products_master_corrected!$A$2:$A$151,products_master_corrected!$L$2:$L$151)</f>
        <v>85.5</v>
      </c>
      <c r="AF250" s="29">
        <f t="shared" si="33"/>
        <v>427.5</v>
      </c>
      <c r="AG250" s="32" t="s">
        <v>8665</v>
      </c>
      <c r="AH250" s="2" t="s">
        <v>181</v>
      </c>
      <c r="AI250" s="10" t="s">
        <v>181</v>
      </c>
      <c r="AJ250" s="2" t="s">
        <v>818</v>
      </c>
      <c r="AK250" s="10" t="s">
        <v>818</v>
      </c>
    </row>
    <row r="251" ht="15.75" customHeight="1">
      <c r="A251" s="2" t="s">
        <v>2592</v>
      </c>
      <c r="B251" s="12">
        <v>45132.0</v>
      </c>
      <c r="C251" s="2" t="str">
        <f>IFERROR(__xludf.DUMMYFUNCTION("IF(ISNUMBER(B251),TEXT(B251,""yyyy-MM-dd""),REGEXREPLACE(REGEXREPLACE(TO_TEXT(B251),""[^0-9a-zA-Z]+"",""-""),""[^0-9]*$"",""""))"),"2023-07-25")</f>
        <v>2023-07-25</v>
      </c>
      <c r="D251" s="2" t="s">
        <v>2593</v>
      </c>
      <c r="H251" s="10" t="s">
        <v>2593</v>
      </c>
      <c r="I251" s="2" t="s">
        <v>2594</v>
      </c>
      <c r="J251" s="26" t="str">
        <f t="array" ref="J251">IF(ISNA(XLOOKUP(I251,customers_clean!$A$2:$A$701,customers_clean!$A$2:$A$701, NA()) ),
   "❌ MISSING CUSTOMER", "✅")</f>
        <v>✅</v>
      </c>
      <c r="K251" s="2" t="str">
        <f t="array" ref="K251">XLOOKUP(I251,customers_clean!$A$2:$A$701,customers_clean!$C$2:$C$701)</f>
        <v>Sam  Novak</v>
      </c>
      <c r="L251" s="10" t="str">
        <f t="array" ref="L251">XLOOKUP(I251,customers_clean!$A$2:$A$701,customers_clean!$D$2:$D$701)</f>
        <v>Sam Novak</v>
      </c>
      <c r="M251" s="2" t="str">
        <f t="array" ref="M251">XLOOKUP(I251,customers_clean!$A$2:$A$701,customers_clean!$I$2:$I$701)</f>
        <v>sam.novak@yahoo.com</v>
      </c>
      <c r="N251" s="10" t="str">
        <f t="array" ref="N251">XLOOKUP(I251,customers_clean!$A$2:$A$701,customers_clean!$H$2:$H$701)</f>
        <v>sam.novak@yahoo.com</v>
      </c>
      <c r="O251" s="9" t="str">
        <f>IFERROR(__xludf.DUMMYFUNCTION("IF(REGEXMATCH(TRIM(N251),""^[A-Za-z0-9._%+-]+@[A-Za-z0-9.-]+\.[A-Za-z]{2,}$""),""✅ Valid"",""❌ Invalid"")"),"✅ Valid")</f>
        <v>✅ Valid</v>
      </c>
      <c r="P251" s="2">
        <f t="array" ref="P251">XLOOKUP(I251,customers_clean!$A$2:$A$701,customers_clean!$K$2:$K$701)</f>
        <v>845646404</v>
      </c>
      <c r="Q251" s="10" t="str">
        <f t="array" ref="Q251">XLOOKUP(I251,customers_clean!$A$2:$A$701,customers_clean!$N$2:$N$701)</f>
        <v>845646404</v>
      </c>
      <c r="R251" s="9" t="str">
        <f t="array" ref="R251">XLOOKUP(I251,customers_clean!$A$2:$A$701,customers_clean!$Q$2:$Q$701)</f>
        <v>❌ INVALID</v>
      </c>
      <c r="S251" s="10" t="s">
        <v>58</v>
      </c>
      <c r="T251" s="2" t="s">
        <v>400</v>
      </c>
      <c r="U251" s="2" t="s">
        <v>522</v>
      </c>
      <c r="V251" s="2" t="s">
        <v>501</v>
      </c>
      <c r="W251" s="9" t="str">
        <f t="array" ref="W251">IF(ISNA(XLOOKUP(V251,products_master_corrected!$A$2:$A$151,products_master_corrected!$A$2:$A$151, NA())),
    "❌ MISSING SKU", "✅")</f>
        <v>✅</v>
      </c>
      <c r="X251" s="2" t="s">
        <v>502</v>
      </c>
      <c r="Y251" s="2" t="s">
        <v>503</v>
      </c>
      <c r="Z251" s="10" t="str">
        <f t="shared" ref="Z251:Z252" si="34">PROPER(TRIM(Y251))</f>
        <v>Monitors</v>
      </c>
      <c r="AA251" s="27">
        <v>1.0</v>
      </c>
      <c r="AB251" s="9" t="s">
        <v>8649</v>
      </c>
      <c r="AC251" s="28">
        <f t="array" ref="AC251">XLOOKUP(V251,products_master_corrected!$A$2:$A$151,products_master_corrected!$E$2:$E$151)</f>
        <v>1071.94</v>
      </c>
      <c r="AD251" s="28">
        <f t="shared" si="32"/>
        <v>1071.94</v>
      </c>
      <c r="AE251" s="28">
        <f t="array" ref="AE251">XLOOKUP(V251,products_master_corrected!$A$2:$A$151,products_master_corrected!$G$2:$G$151)</f>
        <v>1227.16</v>
      </c>
      <c r="AF251" s="29">
        <f t="shared" si="33"/>
        <v>1227.16</v>
      </c>
      <c r="AG251" s="32" t="s">
        <v>8663</v>
      </c>
      <c r="AH251" s="2" t="s">
        <v>49</v>
      </c>
      <c r="AI251" s="10" t="s">
        <v>49</v>
      </c>
      <c r="AJ251" s="2" t="s">
        <v>144</v>
      </c>
      <c r="AK251" s="10" t="s">
        <v>818</v>
      </c>
      <c r="AL251" s="2" t="s">
        <v>81</v>
      </c>
    </row>
    <row r="252" ht="15.75" customHeight="1">
      <c r="A252" s="2" t="s">
        <v>2996</v>
      </c>
      <c r="B252" s="12" t="s">
        <v>2997</v>
      </c>
      <c r="C252" s="2" t="str">
        <f>IFERROR(__xludf.DUMMYFUNCTION("IF(ISNUMBER(B252),TEXT(B252,""yyyy-MM-dd""),REGEXREPLACE(REGEXREPLACE(TO_TEXT(B252),""[^0-9a-zA-Z]+"",""-""),""[^0-9]*$"",""""))"),"45730-04-09")</f>
        <v>45730-04-09</v>
      </c>
      <c r="D252" s="2" t="str">
        <f t="shared" ref="D252:D253" si="35">TEXT(C252,"yyyy-MM-dd")</f>
        <v>45730-04-09</v>
      </c>
      <c r="E252" s="25" t="str">
        <f>CONCATENATE(LEFT(D252,5))</f>
        <v>45730</v>
      </c>
      <c r="F252" s="12">
        <f>DATE(1900,1,1) + E252 - 1</f>
        <v>45731</v>
      </c>
      <c r="G252" s="2" t="s">
        <v>8772</v>
      </c>
      <c r="H252" s="10" t="s">
        <v>8772</v>
      </c>
      <c r="I252" s="2" t="s">
        <v>2998</v>
      </c>
      <c r="J252" s="26" t="str">
        <f t="array" ref="J252">IF(ISNA(XLOOKUP(I252,customers_clean!$A$2:$A$701,customers_clean!$A$2:$A$701, NA()) ),
   "❌ MISSING CUSTOMER", "✅")</f>
        <v>✅</v>
      </c>
      <c r="K252" s="2" t="str">
        <f t="array" ref="K252">XLOOKUP(I252,customers_clean!$A$2:$A$701,customers_clean!$C$2:$C$701)</f>
        <v>Sam Muller</v>
      </c>
      <c r="L252" s="10" t="str">
        <f t="array" ref="L252">XLOOKUP(I252,customers_clean!$A$2:$A$701,customers_clean!$D$2:$D$701)</f>
        <v>Sam Muller</v>
      </c>
      <c r="M252" s="2" t="str">
        <f t="array" ref="M252">XLOOKUP(I252,customers_clean!$A$2:$A$701,customers_clean!$I$2:$I$701)</f>
        <v> sam.muller@gmail.com</v>
      </c>
      <c r="N252" s="10" t="str">
        <f t="array" ref="N252">XLOOKUP(I252,customers_clean!$A$2:$A$701,customers_clean!$H$2:$H$701)</f>
        <v>sam.muller@gmail.com</v>
      </c>
      <c r="O252" s="9" t="str">
        <f>IFERROR(__xludf.DUMMYFUNCTION("IF(REGEXMATCH(TRIM(N252),""^[A-Za-z0-9._%+-]+@[A-Za-z0-9.-]+\.[A-Za-z]{2,}$""),""✅ Valid"",""❌ Invalid"")"),"✅ Valid")</f>
        <v>✅ Valid</v>
      </c>
      <c r="P252" s="2" t="str">
        <f t="array" ref="P252">XLOOKUP(I252,customers_clean!$A$2:$A$701,customers_clean!$K$2:$K$701)</f>
        <v>+4494768617431</v>
      </c>
      <c r="Q252" s="10" t="str">
        <f t="array" ref="Q252">XLOOKUP(I252,customers_clean!$A$2:$A$701,customers_clean!$N$2:$N$701)</f>
        <v>94768617431</v>
      </c>
      <c r="R252" s="9" t="str">
        <f t="array" ref="R252">XLOOKUP(I252,customers_clean!$A$2:$A$701,customers_clean!$Q$2:$Q$701)</f>
        <v>❌ INVALID</v>
      </c>
      <c r="S252" s="10" t="s">
        <v>448</v>
      </c>
      <c r="T252" s="2" t="s">
        <v>3001</v>
      </c>
      <c r="U252" s="2" t="s">
        <v>103</v>
      </c>
      <c r="V252" s="2" t="s">
        <v>957</v>
      </c>
      <c r="W252" s="9" t="str">
        <f t="array" ref="W252">IF(ISNA(XLOOKUP(V252,products_master_corrected!$A$2:$A$151,products_master_corrected!$A$2:$A$151, NA())),
    "❌ MISSING SKU", "✅")</f>
        <v>✅</v>
      </c>
      <c r="X252" s="2" t="s">
        <v>403</v>
      </c>
      <c r="Y252" s="2" t="s">
        <v>167</v>
      </c>
      <c r="Z252" s="10" t="str">
        <f t="shared" si="34"/>
        <v>Monitors</v>
      </c>
      <c r="AA252" s="27">
        <v>3.0</v>
      </c>
      <c r="AB252" s="9" t="s">
        <v>8649</v>
      </c>
      <c r="AC252" s="28">
        <f t="array" ref="AC252">XLOOKUP(V252,products_master_corrected!$A$2:$A$151,products_master_corrected!$E$2:$E$151)</f>
        <v>55.87</v>
      </c>
      <c r="AD252" s="28">
        <f t="shared" si="32"/>
        <v>167.61</v>
      </c>
      <c r="AE252" s="28">
        <f t="array" ref="AE252">XLOOKUP(V252,products_master_corrected!$A$2:$A$151,products_master_corrected!$M$2:$M$151)</f>
        <v>67.58</v>
      </c>
      <c r="AF252" s="29">
        <f t="shared" si="33"/>
        <v>202.74</v>
      </c>
      <c r="AG252" s="30" t="s">
        <v>48</v>
      </c>
      <c r="AH252" s="2" t="s">
        <v>414</v>
      </c>
      <c r="AI252" s="10" t="s">
        <v>49</v>
      </c>
      <c r="AJ252" s="2" t="s">
        <v>169</v>
      </c>
      <c r="AK252" s="10" t="s">
        <v>261</v>
      </c>
      <c r="AL252" s="2" t="s">
        <v>81</v>
      </c>
    </row>
    <row r="253" ht="15.75" customHeight="1">
      <c r="A253" s="2" t="s">
        <v>5014</v>
      </c>
      <c r="B253" s="12" t="s">
        <v>5015</v>
      </c>
      <c r="C253" s="2" t="str">
        <f>IFERROR(__xludf.DUMMYFUNCTION("IF(ISNUMBER(B253),TEXT(B253,""yyyy-MM-dd""),REGEXREPLACE(REGEXREPLACE(TO_TEXT(B253),""[^0-9a-zA-Z]+"",""-""),""[^0-9]*$"",""""))"),"12-16-2024-18-08")</f>
        <v>12-16-2024-18-08</v>
      </c>
      <c r="D253" s="2" t="str">
        <f t="shared" si="35"/>
        <v>12-16-2024-18-08</v>
      </c>
      <c r="E253" s="12" t="str">
        <f>IFERROR(__xludf.DUMMYFUNCTION("REGEXEXTRACT(D253,""^\d{2}-\d{2}-\d{4}"")"),"12-16-2024")</f>
        <v>12-16-2024</v>
      </c>
      <c r="F253" s="2" t="str">
        <f>TEXT(E253,"yyyy-MM-dd")</f>
        <v>12-16-2024</v>
      </c>
      <c r="G253" s="2" t="s">
        <v>8191</v>
      </c>
      <c r="H253" s="10" t="s">
        <v>8191</v>
      </c>
      <c r="I253" s="2" t="s">
        <v>2998</v>
      </c>
      <c r="J253" s="26" t="str">
        <f t="array" ref="J253">IF(ISNA(XLOOKUP(I253,customers_clean!$A$2:$A$701,customers_clean!$A$2:$A$701, NA()) ),
   "❌ MISSING CUSTOMER", "✅")</f>
        <v>✅</v>
      </c>
      <c r="K253" s="2" t="str">
        <f t="array" ref="K253">XLOOKUP(I253,customers_clean!$A$2:$A$701,customers_clean!$C$2:$C$701)</f>
        <v>Sam Muller</v>
      </c>
      <c r="L253" s="10" t="str">
        <f t="array" ref="L253">XLOOKUP(I253,customers_clean!$A$2:$A$701,customers_clean!$D$2:$D$701)</f>
        <v>Sam Muller</v>
      </c>
      <c r="M253" s="2" t="str">
        <f t="array" ref="M253">XLOOKUP(I253,customers_clean!$A$2:$A$701,customers_clean!$I$2:$I$701)</f>
        <v> sam.muller@gmail.com</v>
      </c>
      <c r="N253" s="10" t="str">
        <f t="array" ref="N253">XLOOKUP(I253,customers_clean!$A$2:$A$701,customers_clean!$H$2:$H$701)</f>
        <v>sam.muller@gmail.com</v>
      </c>
      <c r="O253" s="9" t="str">
        <f>IFERROR(__xludf.DUMMYFUNCTION("IF(REGEXMATCH(TRIM(N253),""^[A-Za-z0-9._%+-]+@[A-Za-z0-9.-]+\.[A-Za-z]{2,}$""),""✅ Valid"",""❌ Invalid"")"),"✅ Valid")</f>
        <v>✅ Valid</v>
      </c>
      <c r="P253" s="2" t="str">
        <f t="array" ref="P253">XLOOKUP(I253,customers_clean!$A$2:$A$701,customers_clean!$K$2:$K$701)</f>
        <v>+4494768617431</v>
      </c>
      <c r="Q253" s="10" t="str">
        <f t="array" ref="Q253">XLOOKUP(I253,customers_clean!$A$2:$A$701,customers_clean!$N$2:$N$701)</f>
        <v>94768617431</v>
      </c>
      <c r="R253" s="9" t="str">
        <f t="array" ref="R253">XLOOKUP(I253,customers_clean!$A$2:$A$701,customers_clean!$Q$2:$Q$701)</f>
        <v>❌ INVALID</v>
      </c>
      <c r="S253" s="10" t="s">
        <v>448</v>
      </c>
      <c r="T253" s="2" t="s">
        <v>59</v>
      </c>
      <c r="U253" s="2" t="s">
        <v>116</v>
      </c>
      <c r="V253" s="2" t="s">
        <v>1192</v>
      </c>
      <c r="W253" s="9" t="str">
        <f t="array" ref="W253">IF(ISNA(XLOOKUP(V253,products_master_corrected!$A$2:$A$151,products_master_corrected!$A$2:$A$151, NA())),
    "❌ MISSING SKU", "✅")</f>
        <v>✅</v>
      </c>
      <c r="X253" s="2" t="s">
        <v>1193</v>
      </c>
      <c r="Y253" s="2" t="s">
        <v>179</v>
      </c>
      <c r="Z253" s="10" t="s">
        <v>179</v>
      </c>
      <c r="AA253" s="27">
        <v>1.0</v>
      </c>
      <c r="AB253" s="9" t="s">
        <v>8649</v>
      </c>
      <c r="AC253" s="28">
        <f t="array" ref="AC253">XLOOKUP(V253,products_master_corrected!$A$2:$A$151,products_master_corrected!$E$2:$E$151)</f>
        <v>26.73</v>
      </c>
      <c r="AD253" s="28">
        <f t="shared" si="32"/>
        <v>26.73</v>
      </c>
      <c r="AE253" s="28">
        <f t="array" ref="AE253">XLOOKUP(V253,products_master_corrected!$A$2:$A$151,products_master_corrected!$M$2:$M$151)</f>
        <v>32.33</v>
      </c>
      <c r="AF253" s="29">
        <f t="shared" si="33"/>
        <v>32.33</v>
      </c>
      <c r="AG253" s="30" t="s">
        <v>48</v>
      </c>
      <c r="AH253" s="2" t="s">
        <v>49</v>
      </c>
      <c r="AI253" s="10" t="s">
        <v>49</v>
      </c>
      <c r="AJ253" s="2" t="s">
        <v>169</v>
      </c>
      <c r="AK253" s="10" t="s">
        <v>261</v>
      </c>
      <c r="AL253" s="2" t="s">
        <v>67</v>
      </c>
    </row>
    <row r="254" ht="15.75" customHeight="1">
      <c r="A254" s="2" t="s">
        <v>5807</v>
      </c>
      <c r="B254" s="12" t="s">
        <v>5808</v>
      </c>
      <c r="C254" s="2" t="str">
        <f>IFERROR(__xludf.DUMMYFUNCTION("IF(ISNUMBER(B254),TEXT(B254,""yyyy-MM-dd""),REGEXREPLACE(REGEXREPLACE(TO_TEXT(B254),""[^0-9a-zA-Z]+"",""-""),""[^0-9]*$"",""""))"),"13-03-2024")</f>
        <v>13-03-2024</v>
      </c>
      <c r="D254" s="2" t="s">
        <v>7362</v>
      </c>
      <c r="H254" s="10" t="s">
        <v>7362</v>
      </c>
      <c r="I254" s="2" t="s">
        <v>2998</v>
      </c>
      <c r="J254" s="26" t="str">
        <f t="array" ref="J254">IF(ISNA(XLOOKUP(I254,customers_clean!$A$2:$A$701,customers_clean!$A$2:$A$701, NA()) ),
   "❌ MISSING CUSTOMER", "✅")</f>
        <v>✅</v>
      </c>
      <c r="K254" s="2" t="str">
        <f t="array" ref="K254">XLOOKUP(I254,customers_clean!$A$2:$A$701,customers_clean!$C$2:$C$701)</f>
        <v>Sam Muller</v>
      </c>
      <c r="L254" s="10" t="str">
        <f t="array" ref="L254">XLOOKUP(I254,customers_clean!$A$2:$A$701,customers_clean!$D$2:$D$701)</f>
        <v>Sam Muller</v>
      </c>
      <c r="M254" s="2" t="str">
        <f t="array" ref="M254">XLOOKUP(I254,customers_clean!$A$2:$A$701,customers_clean!$I$2:$I$701)</f>
        <v> sam.muller@gmail.com</v>
      </c>
      <c r="N254" s="10" t="str">
        <f t="array" ref="N254">XLOOKUP(I254,customers_clean!$A$2:$A$701,customers_clean!$H$2:$H$701)</f>
        <v>sam.muller@gmail.com</v>
      </c>
      <c r="O254" s="9" t="str">
        <f>IFERROR(__xludf.DUMMYFUNCTION("IF(REGEXMATCH(TRIM(N254),""^[A-Za-z0-9._%+-]+@[A-Za-z0-9.-]+\.[A-Za-z]{2,}$""),""✅ Valid"",""❌ Invalid"")"),"✅ Valid")</f>
        <v>✅ Valid</v>
      </c>
      <c r="P254" s="2" t="str">
        <f t="array" ref="P254">XLOOKUP(I254,customers_clean!$A$2:$A$701,customers_clean!$K$2:$K$701)</f>
        <v>+4494768617431</v>
      </c>
      <c r="Q254" s="10" t="str">
        <f t="array" ref="Q254">XLOOKUP(I254,customers_clean!$A$2:$A$701,customers_clean!$N$2:$N$701)</f>
        <v>94768617431</v>
      </c>
      <c r="R254" s="9" t="str">
        <f t="array" ref="R254">XLOOKUP(I254,customers_clean!$A$2:$A$701,customers_clean!$Q$2:$Q$701)</f>
        <v>❌ INVALID</v>
      </c>
      <c r="S254" s="10" t="s">
        <v>448</v>
      </c>
      <c r="T254" s="2" t="s">
        <v>223</v>
      </c>
      <c r="U254" s="2" t="s">
        <v>103</v>
      </c>
      <c r="V254" s="2" t="s">
        <v>3053</v>
      </c>
      <c r="W254" s="9" t="str">
        <f t="array" ref="W254">IF(ISNA(XLOOKUP(V254,products_master_corrected!$A$2:$A$151,products_master_corrected!$A$2:$A$151, NA())),
    "❌ MISSING SKU", "✅")</f>
        <v>✅</v>
      </c>
      <c r="X254" s="2" t="s">
        <v>741</v>
      </c>
      <c r="Y254" s="2" t="s">
        <v>63</v>
      </c>
      <c r="Z254" s="10" t="s">
        <v>63</v>
      </c>
      <c r="AA254" s="27">
        <v>1.0</v>
      </c>
      <c r="AB254" s="9" t="s">
        <v>8649</v>
      </c>
      <c r="AC254" s="28">
        <f t="array" ref="AC254">XLOOKUP(V254,products_master_corrected!$A$2:$A$151,products_master_corrected!$E$2:$E$151)</f>
        <v>15.82</v>
      </c>
      <c r="AD254" s="28">
        <f t="shared" si="32"/>
        <v>15.82</v>
      </c>
      <c r="AE254" s="28">
        <f t="array" ref="AE254">XLOOKUP(V254,products_master_corrected!$A$2:$A$151,products_master_corrected!$M$2:$M$151)</f>
        <v>19.14</v>
      </c>
      <c r="AF254" s="29">
        <f t="shared" si="33"/>
        <v>19.14</v>
      </c>
      <c r="AG254" s="30" t="s">
        <v>48</v>
      </c>
      <c r="AH254" s="2" t="s">
        <v>143</v>
      </c>
      <c r="AI254" s="10" t="s">
        <v>143</v>
      </c>
      <c r="AJ254" s="2" t="s">
        <v>380</v>
      </c>
      <c r="AK254" s="10" t="s">
        <v>80</v>
      </c>
      <c r="AL254" s="2" t="s">
        <v>81</v>
      </c>
    </row>
    <row r="255" ht="15.75" customHeight="1">
      <c r="A255" s="2" t="s">
        <v>622</v>
      </c>
      <c r="B255" s="12">
        <v>45546.34652777778</v>
      </c>
      <c r="C255" s="2" t="str">
        <f>IFERROR(__xludf.DUMMYFUNCTION("IF(ISNUMBER(B255),TEXT(B255,""yyyy-MM-dd""),REGEXREPLACE(REGEXREPLACE(TO_TEXT(B255),""[^0-9a-zA-Z]+"",""-""),""[^0-9]*$"",""""))"),"2024-09-11")</f>
        <v>2024-09-11</v>
      </c>
      <c r="D255" s="2" t="s">
        <v>8259</v>
      </c>
      <c r="H255" s="10" t="s">
        <v>8259</v>
      </c>
      <c r="I255" s="2" t="s">
        <v>624</v>
      </c>
      <c r="J255" s="26" t="str">
        <f t="array" ref="J255">IF(ISNA(XLOOKUP(I255,customers_clean!$A$2:$A$701,customers_clean!$A$2:$A$701, NA()) ),
   "❌ MISSING CUSTOMER", "✅")</f>
        <v>✅</v>
      </c>
      <c r="K255" s="2" t="str">
        <f t="array" ref="K255">XLOOKUP(I255,customers_clean!$A$2:$A$701,customers_clean!$C$2:$C$701)</f>
        <v> Hanna Brown</v>
      </c>
      <c r="L255" s="10" t="str">
        <f t="array" ref="L255">XLOOKUP(I255,customers_clean!$A$2:$A$701,customers_clean!$D$2:$D$701)</f>
        <v>Hanna Brown</v>
      </c>
      <c r="M255" s="2" t="str">
        <f t="array" ref="M255">XLOOKUP(I255,customers_clean!$A$2:$A$701,customers_clean!$I$2:$I$701)</f>
        <v>hanna.brown@shop.io</v>
      </c>
      <c r="N255" s="10" t="str">
        <f t="array" ref="N255">XLOOKUP(I255,customers_clean!$A$2:$A$701,customers_clean!$H$2:$H$701)</f>
        <v>hanna.brown@shop.io</v>
      </c>
      <c r="O255" s="9" t="str">
        <f>IFERROR(__xludf.DUMMYFUNCTION("IF(REGEXMATCH(TRIM(N255),""^[A-Za-z0-9._%+-]+@[A-Za-z0-9.-]+\.[A-Za-z]{2,}$""),""✅ Valid"",""❌ Invalid"")"),"✅ Valid")</f>
        <v>✅ Valid</v>
      </c>
      <c r="P255" s="33" t="str">
        <f t="array" ref="P255">XLOOKUP(I255,customers_clean!$A$2:$A$701,customers_clean!$K$2:$K$701)</f>
        <v>+48573868314 ext 11</v>
      </c>
      <c r="Q255" s="10" t="str">
        <f t="array" ref="Q255">XLOOKUP(I255,customers_clean!$A$2:$A$701,customers_clean!$N$2:$N$701)</f>
        <v>573868314</v>
      </c>
      <c r="R255" s="9" t="str">
        <f t="array" ref="R255">XLOOKUP(I255,customers_clean!$A$2:$A$701,customers_clean!$Q$2:$Q$701)</f>
        <v>✅ VALID</v>
      </c>
      <c r="S255" s="10" t="s">
        <v>58</v>
      </c>
      <c r="T255" s="2" t="s">
        <v>42</v>
      </c>
      <c r="U255" s="2" t="s">
        <v>103</v>
      </c>
      <c r="V255" s="2" t="s">
        <v>490</v>
      </c>
      <c r="W255" s="9" t="str">
        <f t="array" ref="W255">IF(ISNA(XLOOKUP(V255,products_master_corrected!$A$2:$A$151,products_master_corrected!$A$2:$A$151, NA())),
    "❌ MISSING SKU", "✅")</f>
        <v>✅</v>
      </c>
      <c r="X255" s="2" t="s">
        <v>29</v>
      </c>
      <c r="Y255" s="2" t="s">
        <v>492</v>
      </c>
      <c r="Z255" s="10" t="s">
        <v>514</v>
      </c>
      <c r="AA255" s="27">
        <v>5.0</v>
      </c>
      <c r="AB255" s="9" t="s">
        <v>8649</v>
      </c>
      <c r="AC255" s="28">
        <f t="array" ref="AC255">XLOOKUP(V255,products_master_corrected!$A$2:$A$151,products_master_corrected!$E$2:$E$151)</f>
        <v>116.45</v>
      </c>
      <c r="AD255" s="28">
        <f t="shared" si="32"/>
        <v>582.25</v>
      </c>
      <c r="AE255" s="28">
        <f t="array" ref="AE255">XLOOKUP(V255,products_master_corrected!$A$2:$A$151,products_master_corrected!$G$2:$G$151)</f>
        <v>133.31</v>
      </c>
      <c r="AF255" s="29">
        <f t="shared" si="33"/>
        <v>666.55</v>
      </c>
      <c r="AG255" s="32" t="s">
        <v>8663</v>
      </c>
      <c r="AH255" s="2" t="s">
        <v>33</v>
      </c>
      <c r="AI255" s="10" t="s">
        <v>181</v>
      </c>
      <c r="AJ255" s="2" t="s">
        <v>393</v>
      </c>
      <c r="AK255" s="10" t="s">
        <v>80</v>
      </c>
      <c r="AL255" s="2" t="s">
        <v>67</v>
      </c>
    </row>
    <row r="256" ht="15.75" customHeight="1">
      <c r="A256" s="2" t="s">
        <v>959</v>
      </c>
      <c r="B256" s="12">
        <v>45809.85138888889</v>
      </c>
      <c r="C256" s="2" t="str">
        <f>IFERROR(__xludf.DUMMYFUNCTION("IF(ISNUMBER(B256),TEXT(B256,""yyyy-MM-dd""),REGEXREPLACE(REGEXREPLACE(TO_TEXT(B256),""[^0-9a-zA-Z]+"",""-""),""[^0-9]*$"",""""))"),"2025-06-01")</f>
        <v>2025-06-01</v>
      </c>
      <c r="D256" s="2" t="s">
        <v>7707</v>
      </c>
      <c r="H256" s="10" t="s">
        <v>7707</v>
      </c>
      <c r="I256" s="2" t="s">
        <v>961</v>
      </c>
      <c r="J256" s="26" t="str">
        <f t="array" ref="J256">IF(ISNA(XLOOKUP(I256,customers_clean!$A$2:$A$701,customers_clean!$A$2:$A$701, NA()) ),
   "❌ MISSING CUSTOMER", "✅")</f>
        <v>✅</v>
      </c>
      <c r="K256" s="2" t="str">
        <f t="array" ref="K256">XLOOKUP(I256,customers_clean!$A$2:$A$701,customers_clean!$C$2:$C$701)</f>
        <v> Fiona Taylor</v>
      </c>
      <c r="L256" s="10" t="str">
        <f t="array" ref="L256">XLOOKUP(I256,customers_clean!$A$2:$A$701,customers_clean!$D$2:$D$701)</f>
        <v>Fiona Taylor</v>
      </c>
      <c r="M256" s="2" t="str">
        <f t="array" ref="M256">XLOOKUP(I256,customers_clean!$A$2:$A$701,customers_clean!$I$2:$I$701)</f>
        <v> fiona.taylor@outlook.com</v>
      </c>
      <c r="N256" s="10" t="str">
        <f t="array" ref="N256">XLOOKUP(I256,customers_clean!$A$2:$A$701,customers_clean!$H$2:$H$701)</f>
        <v>fiona.taylor@outlook.com</v>
      </c>
      <c r="O256" s="9" t="str">
        <f>IFERROR(__xludf.DUMMYFUNCTION("IF(REGEXMATCH(TRIM(N256),""^[A-Za-z0-9._%+-]+@[A-Za-z0-9.-]+\.[A-Za-z]{2,}$""),""✅ Valid"",""❌ Invalid"")"),"✅ Valid")</f>
        <v>✅ Valid</v>
      </c>
      <c r="P256" s="2" t="str">
        <f t="array" ref="P256">XLOOKUP(I256,customers_clean!$A$2:$A$701,customers_clean!$K$2:$K$701)</f>
        <v>+353-886-768661</v>
      </c>
      <c r="Q256" s="10" t="str">
        <f t="array" ref="Q256">XLOOKUP(I256,customers_clean!$A$2:$A$701,customers_clean!$N$2:$N$701)</f>
        <v>886768661</v>
      </c>
      <c r="R256" s="9" t="str">
        <f t="array" ref="R256">XLOOKUP(I256,customers_clean!$A$2:$A$701,customers_clean!$Q$2:$Q$701)</f>
        <v>❌ INVALID</v>
      </c>
      <c r="S256" s="10" t="s">
        <v>139</v>
      </c>
      <c r="T256" s="2" t="s">
        <v>59</v>
      </c>
      <c r="U256" s="2" t="s">
        <v>401</v>
      </c>
      <c r="V256" s="2" t="s">
        <v>965</v>
      </c>
      <c r="W256" s="9" t="str">
        <f t="array" ref="W256">IF(ISNA(XLOOKUP(V256,products_master_corrected!$A$2:$A$151,products_master_corrected!$A$2:$A$151, NA())),
    "❌ MISSING SKU", "✅")</f>
        <v>✅</v>
      </c>
      <c r="X256" s="2" t="s">
        <v>966</v>
      </c>
      <c r="Y256" s="2" t="s">
        <v>967</v>
      </c>
      <c r="Z256" s="10" t="s">
        <v>248</v>
      </c>
      <c r="AA256" s="27">
        <v>2.0</v>
      </c>
      <c r="AB256" s="9" t="s">
        <v>8649</v>
      </c>
      <c r="AC256" s="28">
        <f t="array" ref="AC256">XLOOKUP(V256,products_master_corrected!$A$2:$A$151,products_master_corrected!$E$2:$E$151)</f>
        <v>74.59</v>
      </c>
      <c r="AD256" s="28">
        <f t="shared" si="32"/>
        <v>149.18</v>
      </c>
      <c r="AE256" s="28">
        <f t="array" ref="AE256">XLOOKUP(V256,products_master_corrected!$A$2:$A$151,products_master_corrected!$L$2:$L$151)</f>
        <v>80.67</v>
      </c>
      <c r="AF256" s="29">
        <f t="shared" si="33"/>
        <v>161.34</v>
      </c>
      <c r="AG256" s="32" t="s">
        <v>8665</v>
      </c>
      <c r="AH256" s="2" t="s">
        <v>969</v>
      </c>
      <c r="AI256" s="10" t="s">
        <v>49</v>
      </c>
      <c r="AJ256" s="2" t="s">
        <v>294</v>
      </c>
      <c r="AK256" s="10" t="s">
        <v>80</v>
      </c>
      <c r="AL256" s="2" t="s">
        <v>67</v>
      </c>
    </row>
    <row r="257" ht="15.75" customHeight="1">
      <c r="A257" s="2" t="s">
        <v>1513</v>
      </c>
      <c r="B257" s="12">
        <v>45238.0</v>
      </c>
      <c r="C257" s="2" t="str">
        <f>IFERROR(__xludf.DUMMYFUNCTION("IF(ISNUMBER(B257),TEXT(B257,""yyyy-MM-dd""),REGEXREPLACE(REGEXREPLACE(TO_TEXT(B257),""[^0-9a-zA-Z]+"",""-""),""[^0-9]*$"",""""))"),"2023-11-08")</f>
        <v>2023-11-08</v>
      </c>
      <c r="D257" s="2" t="s">
        <v>1514</v>
      </c>
      <c r="H257" s="10" t="s">
        <v>1514</v>
      </c>
      <c r="I257" s="2" t="s">
        <v>961</v>
      </c>
      <c r="J257" s="26" t="str">
        <f t="array" ref="J257">IF(ISNA(XLOOKUP(I257,customers_clean!$A$2:$A$701,customers_clean!$A$2:$A$701, NA()) ),
   "❌ MISSING CUSTOMER", "✅")</f>
        <v>✅</v>
      </c>
      <c r="K257" s="2" t="str">
        <f t="array" ref="K257">XLOOKUP(I257,customers_clean!$A$2:$A$701,customers_clean!$C$2:$C$701)</f>
        <v> Fiona Taylor</v>
      </c>
      <c r="L257" s="10" t="str">
        <f t="array" ref="L257">XLOOKUP(I257,customers_clean!$A$2:$A$701,customers_clean!$D$2:$D$701)</f>
        <v>Fiona Taylor</v>
      </c>
      <c r="M257" s="2" t="str">
        <f t="array" ref="M257">XLOOKUP(I257,customers_clean!$A$2:$A$701,customers_clean!$I$2:$I$701)</f>
        <v> fiona.taylor@outlook.com</v>
      </c>
      <c r="N257" s="10" t="str">
        <f t="array" ref="N257">XLOOKUP(I257,customers_clean!$A$2:$A$701,customers_clean!$H$2:$H$701)</f>
        <v>fiona.taylor@outlook.com</v>
      </c>
      <c r="O257" s="9" t="str">
        <f>IFERROR(__xludf.DUMMYFUNCTION("IF(REGEXMATCH(TRIM(N257),""^[A-Za-z0-9._%+-]+@[A-Za-z0-9.-]+\.[A-Za-z]{2,}$""),""✅ Valid"",""❌ Invalid"")"),"✅ Valid")</f>
        <v>✅ Valid</v>
      </c>
      <c r="P257" s="2" t="str">
        <f t="array" ref="P257">XLOOKUP(I257,customers_clean!$A$2:$A$701,customers_clean!$K$2:$K$701)</f>
        <v>+353-886-768661</v>
      </c>
      <c r="Q257" s="10" t="str">
        <f t="array" ref="Q257">XLOOKUP(I257,customers_clean!$A$2:$A$701,customers_clean!$N$2:$N$701)</f>
        <v>886768661</v>
      </c>
      <c r="R257" s="9" t="str">
        <f t="array" ref="R257">XLOOKUP(I257,customers_clean!$A$2:$A$701,customers_clean!$Q$2:$Q$701)</f>
        <v>❌ INVALID</v>
      </c>
      <c r="S257" s="10" t="s">
        <v>139</v>
      </c>
      <c r="T257" s="2" t="s">
        <v>323</v>
      </c>
      <c r="U257" s="2" t="s">
        <v>75</v>
      </c>
      <c r="V257" s="2" t="s">
        <v>1460</v>
      </c>
      <c r="W257" s="9" t="str">
        <f t="array" ref="W257">IF(ISNA(XLOOKUP(V257,products_master_corrected!$A$2:$A$151,products_master_corrected!$A$2:$A$151, NA())),
    "❌ MISSING SKU", "✅")</f>
        <v>✅</v>
      </c>
      <c r="X257" s="2" t="s">
        <v>1138</v>
      </c>
      <c r="Y257" s="2" t="s">
        <v>368</v>
      </c>
      <c r="Z257" s="10" t="s">
        <v>368</v>
      </c>
      <c r="AA257" s="27">
        <v>1.0</v>
      </c>
      <c r="AB257" s="9" t="s">
        <v>8649</v>
      </c>
      <c r="AC257" s="28">
        <f t="array" ref="AC257">XLOOKUP(V257,products_master_corrected!$A$2:$A$151,products_master_corrected!$E$2:$E$151)</f>
        <v>271.81</v>
      </c>
      <c r="AD257" s="28">
        <f t="shared" si="32"/>
        <v>271.81</v>
      </c>
      <c r="AE257" s="28">
        <f t="array" ref="AE257">XLOOKUP(V257,products_master_corrected!$A$2:$A$151,products_master_corrected!$L$2:$L$151)</f>
        <v>293.96</v>
      </c>
      <c r="AF257" s="29">
        <f t="shared" si="33"/>
        <v>293.96</v>
      </c>
      <c r="AG257" s="32" t="s">
        <v>8665</v>
      </c>
      <c r="AH257" s="2" t="s">
        <v>1497</v>
      </c>
      <c r="AI257" s="10" t="s">
        <v>181</v>
      </c>
      <c r="AJ257" s="2" t="s">
        <v>345</v>
      </c>
      <c r="AK257" s="10" t="s">
        <v>261</v>
      </c>
      <c r="AL257" s="2" t="s">
        <v>81</v>
      </c>
    </row>
    <row r="258" ht="15.75" customHeight="1">
      <c r="A258" s="2" t="s">
        <v>6108</v>
      </c>
      <c r="B258" s="12">
        <v>45226.0</v>
      </c>
      <c r="C258" s="2" t="str">
        <f>IFERROR(__xludf.DUMMYFUNCTION("IF(ISNUMBER(B258),TEXT(B258,""yyyy-MM-dd""),REGEXREPLACE(REGEXREPLACE(TO_TEXT(B258),""[^0-9a-zA-Z]+"",""-""),""[^0-9]*$"",""""))"),"2023-10-27")</f>
        <v>2023-10-27</v>
      </c>
      <c r="D258" s="2" t="s">
        <v>8773</v>
      </c>
      <c r="H258" s="10" t="s">
        <v>8773</v>
      </c>
      <c r="I258" s="2" t="s">
        <v>961</v>
      </c>
      <c r="J258" s="26" t="str">
        <f t="array" ref="J258">IF(ISNA(XLOOKUP(I258,customers_clean!$A$2:$A$701,customers_clean!$A$2:$A$701, NA()) ),
   "❌ MISSING CUSTOMER", "✅")</f>
        <v>✅</v>
      </c>
      <c r="K258" s="2" t="str">
        <f t="array" ref="K258">XLOOKUP(I258,customers_clean!$A$2:$A$701,customers_clean!$C$2:$C$701)</f>
        <v> Fiona Taylor</v>
      </c>
      <c r="L258" s="10" t="str">
        <f t="array" ref="L258">XLOOKUP(I258,customers_clean!$A$2:$A$701,customers_clean!$D$2:$D$701)</f>
        <v>Fiona Taylor</v>
      </c>
      <c r="M258" s="2" t="str">
        <f t="array" ref="M258">XLOOKUP(I258,customers_clean!$A$2:$A$701,customers_clean!$I$2:$I$701)</f>
        <v> fiona.taylor@outlook.com</v>
      </c>
      <c r="N258" s="10" t="str">
        <f t="array" ref="N258">XLOOKUP(I258,customers_clean!$A$2:$A$701,customers_clean!$H$2:$H$701)</f>
        <v>fiona.taylor@outlook.com</v>
      </c>
      <c r="O258" s="9" t="str">
        <f>IFERROR(__xludf.DUMMYFUNCTION("IF(REGEXMATCH(TRIM(N258),""^[A-Za-z0-9._%+-]+@[A-Za-z0-9.-]+\.[A-Za-z]{2,}$""),""✅ Valid"",""❌ Invalid"")"),"✅ Valid")</f>
        <v>✅ Valid</v>
      </c>
      <c r="P258" s="2" t="str">
        <f t="array" ref="P258">XLOOKUP(I258,customers_clean!$A$2:$A$701,customers_clean!$K$2:$K$701)</f>
        <v>+353-886-768661</v>
      </c>
      <c r="Q258" s="10" t="str">
        <f t="array" ref="Q258">XLOOKUP(I258,customers_clean!$A$2:$A$701,customers_clean!$N$2:$N$701)</f>
        <v>886768661</v>
      </c>
      <c r="R258" s="9" t="str">
        <f t="array" ref="R258">XLOOKUP(I258,customers_clean!$A$2:$A$701,customers_clean!$Q$2:$Q$701)</f>
        <v>❌ INVALID</v>
      </c>
      <c r="S258" s="10" t="s">
        <v>139</v>
      </c>
      <c r="T258" s="2" t="s">
        <v>26</v>
      </c>
      <c r="U258" s="2" t="s">
        <v>365</v>
      </c>
      <c r="V258" s="2" t="s">
        <v>28</v>
      </c>
      <c r="W258" s="9" t="str">
        <f t="array" ref="W258">IF(ISNA(XLOOKUP(V258,products_master_corrected!$A$2:$A$151,products_master_corrected!$A$2:$A$151, NA())),
    "❌ MISSING SKU", "✅")</f>
        <v>✅</v>
      </c>
      <c r="X258" s="2" t="s">
        <v>29</v>
      </c>
      <c r="Y258" s="2" t="s">
        <v>30</v>
      </c>
      <c r="Z258" s="10" t="s">
        <v>179</v>
      </c>
      <c r="AA258" s="27">
        <v>1.0</v>
      </c>
      <c r="AB258" s="9" t="s">
        <v>8649</v>
      </c>
      <c r="AC258" s="28">
        <f t="array" ref="AC258">XLOOKUP(V258,products_master_corrected!$A$2:$A$151,products_master_corrected!$E$2:$E$151)</f>
        <v>145.2</v>
      </c>
      <c r="AD258" s="28">
        <f t="shared" si="32"/>
        <v>145.2</v>
      </c>
      <c r="AE258" s="28">
        <f t="array" ref="AE258">XLOOKUP(V258,products_master_corrected!$A$2:$A$151,products_master_corrected!$L$2:$L$151)</f>
        <v>157.03</v>
      </c>
      <c r="AF258" s="29">
        <f t="shared" si="33"/>
        <v>157.03</v>
      </c>
      <c r="AG258" s="32" t="s">
        <v>8665</v>
      </c>
      <c r="AH258" s="2" t="s">
        <v>6111</v>
      </c>
      <c r="AI258" s="10" t="s">
        <v>143</v>
      </c>
      <c r="AJ258" s="2" t="s">
        <v>80</v>
      </c>
      <c r="AK258" s="10" t="s">
        <v>80</v>
      </c>
      <c r="AL258" s="2" t="s">
        <v>51</v>
      </c>
    </row>
    <row r="259" ht="15.75" customHeight="1">
      <c r="A259" s="2" t="s">
        <v>4201</v>
      </c>
      <c r="B259" s="12">
        <v>45705.0</v>
      </c>
      <c r="C259" s="2" t="str">
        <f>IFERROR(__xludf.DUMMYFUNCTION("IF(ISNUMBER(B259),TEXT(B259,""yyyy-MM-dd""),REGEXREPLACE(REGEXREPLACE(TO_TEXT(B259),""[^0-9a-zA-Z]+"",""-""),""[^0-9]*$"",""""))"),"2025-02-17")</f>
        <v>2025-02-17</v>
      </c>
      <c r="D259" s="2" t="s">
        <v>7655</v>
      </c>
      <c r="H259" s="10" t="s">
        <v>7655</v>
      </c>
      <c r="I259" s="2" t="s">
        <v>2016</v>
      </c>
      <c r="J259" s="26" t="str">
        <f t="array" ref="J259">IF(ISNA(XLOOKUP(I259,customers_clean!$A$2:$A$701,customers_clean!$A$2:$A$701, NA()) ),
   "❌ MISSING CUSTOMER", "✅")</f>
        <v>✅</v>
      </c>
      <c r="K259" s="2" t="str">
        <f t="array" ref="K259">XLOOKUP(I259,customers_clean!$A$2:$A$701,customers_clean!$C$2:$C$701)</f>
        <v>Yara Nowak</v>
      </c>
      <c r="L259" s="10" t="str">
        <f t="array" ref="L259">XLOOKUP(I259,customers_clean!$A$2:$A$701,customers_clean!$D$2:$D$701)</f>
        <v>Yara Nowak</v>
      </c>
      <c r="M259" s="2" t="str">
        <f t="array" ref="M259">XLOOKUP(I259,customers_clean!$A$2:$A$701,customers_clean!$I$2:$I$701)</f>
        <v> yara.nowak@yahoo.com</v>
      </c>
      <c r="N259" s="10" t="str">
        <f t="array" ref="N259">XLOOKUP(I259,customers_clean!$A$2:$A$701,customers_clean!$H$2:$H$701)</f>
        <v>yara.nowak@yahoo.com</v>
      </c>
      <c r="O259" s="9" t="str">
        <f>IFERROR(__xludf.DUMMYFUNCTION("IF(REGEXMATCH(TRIM(N259),""^[A-Za-z0-9._%+-]+@[A-Za-z0-9.-]+\.[A-Za-z]{2,}$""),""✅ Valid"",""❌ Invalid"")"),"✅ Valid")</f>
        <v>✅ Valid</v>
      </c>
      <c r="P259" s="2" t="str">
        <f t="array" ref="P259">XLOOKUP(I259,customers_clean!$A$2:$A$701,customers_clean!$K$2:$K$701)</f>
        <v>tel:59830076</v>
      </c>
      <c r="Q259" s="10" t="str">
        <f t="array" ref="Q259">XLOOKUP(I259,customers_clean!$A$2:$A$701,customers_clean!$N$2:$N$701)</f>
        <v>59830076</v>
      </c>
      <c r="R259" s="9" t="str">
        <f t="array" ref="R259">XLOOKUP(I259,customers_clean!$A$2:$A$701,customers_clean!$Q$2:$Q$701)</f>
        <v>❌ INVALID</v>
      </c>
      <c r="S259" s="10" t="s">
        <v>25</v>
      </c>
      <c r="T259" s="2" t="s">
        <v>223</v>
      </c>
      <c r="U259" s="2" t="s">
        <v>90</v>
      </c>
      <c r="V259" s="2" t="s">
        <v>729</v>
      </c>
      <c r="W259" s="9" t="str">
        <f t="array" ref="W259">IF(ISNA(XLOOKUP(V259,products_master_corrected!$A$2:$A$151,products_master_corrected!$A$2:$A$151, NA())),
    "❌ MISSING SKU", "✅")</f>
        <v>✅</v>
      </c>
      <c r="X259" s="2" t="s">
        <v>62</v>
      </c>
      <c r="Y259" s="2" t="s">
        <v>730</v>
      </c>
      <c r="Z259" s="10" t="s">
        <v>63</v>
      </c>
      <c r="AA259" s="27">
        <v>1.0</v>
      </c>
      <c r="AB259" s="9" t="s">
        <v>8649</v>
      </c>
      <c r="AC259" s="28">
        <f t="array" ref="AC259">XLOOKUP(V259,products_master_corrected!$A$2:$A$151,products_master_corrected!$E$2:$E$151)</f>
        <v>59.89</v>
      </c>
      <c r="AD259" s="28">
        <f t="shared" si="32"/>
        <v>59.89</v>
      </c>
      <c r="AE259" s="28">
        <f t="array" ref="AE259">XLOOKUP(V259,products_master_corrected!$A$2:$A$151,products_master_corrected!$K$2:$K$151)</f>
        <v>308.13</v>
      </c>
      <c r="AF259" s="29">
        <f t="shared" si="33"/>
        <v>308.13</v>
      </c>
      <c r="AG259" s="30" t="s">
        <v>95</v>
      </c>
      <c r="AH259" s="2" t="s">
        <v>305</v>
      </c>
      <c r="AI259" s="10" t="s">
        <v>49</v>
      </c>
      <c r="AJ259" s="2" t="s">
        <v>192</v>
      </c>
      <c r="AK259" s="10" t="s">
        <v>192</v>
      </c>
    </row>
    <row r="260" ht="15.75" customHeight="1">
      <c r="A260" s="2" t="s">
        <v>2014</v>
      </c>
      <c r="B260" s="12">
        <v>45335.0</v>
      </c>
      <c r="C260" s="2" t="str">
        <f>IFERROR(__xludf.DUMMYFUNCTION("IF(ISNUMBER(B260),TEXT(B260,""yyyy-MM-dd""),REGEXREPLACE(REGEXREPLACE(TO_TEXT(B260),""[^0-9a-zA-Z]+"",""-""),""[^0-9]*$"",""""))"),"2024-02-13")</f>
        <v>2024-02-13</v>
      </c>
      <c r="D260" s="2" t="s">
        <v>8774</v>
      </c>
      <c r="H260" s="10" t="s">
        <v>8774</v>
      </c>
      <c r="I260" s="2" t="s">
        <v>2016</v>
      </c>
      <c r="J260" s="26" t="str">
        <f t="array" ref="J260">IF(ISNA(XLOOKUP(I260,customers_clean!$A$2:$A$701,customers_clean!$A$2:$A$701, NA()) ),
   "❌ MISSING CUSTOMER", "✅")</f>
        <v>✅</v>
      </c>
      <c r="K260" s="2" t="str">
        <f t="array" ref="K260">XLOOKUP(I260,customers_clean!$A$2:$A$701,customers_clean!$C$2:$C$701)</f>
        <v>Yara Nowak</v>
      </c>
      <c r="L260" s="10" t="str">
        <f t="array" ref="L260">XLOOKUP(I260,customers_clean!$A$2:$A$701,customers_clean!$D$2:$D$701)</f>
        <v>Yara Nowak</v>
      </c>
      <c r="M260" s="2" t="str">
        <f t="array" ref="M260">XLOOKUP(I260,customers_clean!$A$2:$A$701,customers_clean!$I$2:$I$701)</f>
        <v> yara.nowak@yahoo.com</v>
      </c>
      <c r="N260" s="10" t="str">
        <f t="array" ref="N260">XLOOKUP(I260,customers_clean!$A$2:$A$701,customers_clean!$H$2:$H$701)</f>
        <v>yara.nowak@yahoo.com</v>
      </c>
      <c r="O260" s="9" t="str">
        <f>IFERROR(__xludf.DUMMYFUNCTION("IF(REGEXMATCH(TRIM(N260),""^[A-Za-z0-9._%+-]+@[A-Za-z0-9.-]+\.[A-Za-z]{2,}$""),""✅ Valid"",""❌ Invalid"")"),"✅ Valid")</f>
        <v>✅ Valid</v>
      </c>
      <c r="P260" s="2" t="str">
        <f t="array" ref="P260">XLOOKUP(I260,customers_clean!$A$2:$A$701,customers_clean!$K$2:$K$701)</f>
        <v>tel:59830076</v>
      </c>
      <c r="Q260" s="10" t="str">
        <f t="array" ref="Q260">XLOOKUP(I260,customers_clean!$A$2:$A$701,customers_clean!$N$2:$N$701)</f>
        <v>59830076</v>
      </c>
      <c r="R260" s="9" t="str">
        <f t="array" ref="R260">XLOOKUP(I260,customers_clean!$A$2:$A$701,customers_clean!$Q$2:$Q$701)</f>
        <v>❌ INVALID</v>
      </c>
      <c r="S260" s="10" t="s">
        <v>25</v>
      </c>
      <c r="T260" s="2" t="s">
        <v>683</v>
      </c>
      <c r="U260" s="2" t="s">
        <v>60</v>
      </c>
      <c r="V260" s="2" t="s">
        <v>803</v>
      </c>
      <c r="W260" s="9" t="str">
        <f t="array" ref="W260">IF(ISNA(XLOOKUP(V260,products_master_corrected!$A$2:$A$151,products_master_corrected!$A$2:$A$151, NA())),
    "❌ MISSING SKU", "✅")</f>
        <v>✅</v>
      </c>
      <c r="X260" s="2" t="s">
        <v>804</v>
      </c>
      <c r="Y260" s="2" t="s">
        <v>805</v>
      </c>
      <c r="Z260" s="10" t="s">
        <v>355</v>
      </c>
      <c r="AA260" s="27">
        <v>2.0</v>
      </c>
      <c r="AB260" s="9" t="s">
        <v>8649</v>
      </c>
      <c r="AC260" s="28">
        <f t="array" ref="AC260">XLOOKUP(V260,products_master_corrected!$A$2:$A$151,products_master_corrected!$E$2:$E$151)</f>
        <v>20.39</v>
      </c>
      <c r="AD260" s="28">
        <f t="shared" si="32"/>
        <v>40.78</v>
      </c>
      <c r="AE260" s="28">
        <f t="array" ref="AE260">XLOOKUP(V260,products_master_corrected!$A$2:$A$151,products_master_corrected!$K$2:$K$151)</f>
        <v>104.91</v>
      </c>
      <c r="AF260" s="29">
        <f t="shared" si="33"/>
        <v>209.82</v>
      </c>
      <c r="AG260" s="30" t="s">
        <v>95</v>
      </c>
      <c r="AH260" s="2" t="s">
        <v>2021</v>
      </c>
      <c r="AI260" s="10" t="s">
        <v>49</v>
      </c>
      <c r="AJ260" s="2" t="s">
        <v>1171</v>
      </c>
      <c r="AK260" s="10" t="s">
        <v>80</v>
      </c>
      <c r="AL260" s="2" t="s">
        <v>51</v>
      </c>
    </row>
    <row r="261" ht="15.75" customHeight="1">
      <c r="A261" s="2" t="s">
        <v>5577</v>
      </c>
      <c r="B261" s="12">
        <v>45522.0</v>
      </c>
      <c r="C261" s="2" t="str">
        <f>IFERROR(__xludf.DUMMYFUNCTION("IF(ISNUMBER(B261),TEXT(B261,""yyyy-MM-dd""),REGEXREPLACE(REGEXREPLACE(TO_TEXT(B261),""[^0-9a-zA-Z]+"",""-""),""[^0-9]*$"",""""))"),"2024-08-18")</f>
        <v>2024-08-18</v>
      </c>
      <c r="D261" s="2" t="s">
        <v>4458</v>
      </c>
      <c r="H261" s="10" t="s">
        <v>4458</v>
      </c>
      <c r="I261" s="2" t="s">
        <v>2016</v>
      </c>
      <c r="J261" s="26" t="str">
        <f t="array" ref="J261">IF(ISNA(XLOOKUP(I261,customers_clean!$A$2:$A$701,customers_clean!$A$2:$A$701, NA()) ),
   "❌ MISSING CUSTOMER", "✅")</f>
        <v>✅</v>
      </c>
      <c r="K261" s="2" t="str">
        <f t="array" ref="K261">XLOOKUP(I261,customers_clean!$A$2:$A$701,customers_clean!$C$2:$C$701)</f>
        <v>Yara Nowak</v>
      </c>
      <c r="L261" s="10" t="str">
        <f t="array" ref="L261">XLOOKUP(I261,customers_clean!$A$2:$A$701,customers_clean!$D$2:$D$701)</f>
        <v>Yara Nowak</v>
      </c>
      <c r="M261" s="2" t="str">
        <f t="array" ref="M261">XLOOKUP(I261,customers_clean!$A$2:$A$701,customers_clean!$I$2:$I$701)</f>
        <v> yara.nowak@yahoo.com</v>
      </c>
      <c r="N261" s="10" t="str">
        <f t="array" ref="N261">XLOOKUP(I261,customers_clean!$A$2:$A$701,customers_clean!$H$2:$H$701)</f>
        <v>yara.nowak@yahoo.com</v>
      </c>
      <c r="O261" s="9" t="str">
        <f>IFERROR(__xludf.DUMMYFUNCTION("IF(REGEXMATCH(TRIM(N261),""^[A-Za-z0-9._%+-]+@[A-Za-z0-9.-]+\.[A-Za-z]{2,}$""),""✅ Valid"",""❌ Invalid"")"),"✅ Valid")</f>
        <v>✅ Valid</v>
      </c>
      <c r="P261" s="2" t="str">
        <f t="array" ref="P261">XLOOKUP(I261,customers_clean!$A$2:$A$701,customers_clean!$K$2:$K$701)</f>
        <v>tel:59830076</v>
      </c>
      <c r="Q261" s="10" t="str">
        <f t="array" ref="Q261">XLOOKUP(I261,customers_clean!$A$2:$A$701,customers_clean!$N$2:$N$701)</f>
        <v>59830076</v>
      </c>
      <c r="R261" s="9" t="str">
        <f t="array" ref="R261">XLOOKUP(I261,customers_clean!$A$2:$A$701,customers_clean!$Q$2:$Q$701)</f>
        <v>❌ INVALID</v>
      </c>
      <c r="S261" s="10" t="s">
        <v>25</v>
      </c>
      <c r="T261" s="2" t="s">
        <v>74</v>
      </c>
      <c r="U261" s="2" t="s">
        <v>480</v>
      </c>
      <c r="V261" s="2" t="s">
        <v>5482</v>
      </c>
      <c r="W261" s="9" t="str">
        <f t="array" ref="W261">IF(ISNA(XLOOKUP(V261,products_master_corrected!$A$2:$A$151,products_master_corrected!$A$2:$A$151, NA())),
    "❌ MISSING SKU", "✅")</f>
        <v>✅</v>
      </c>
      <c r="X261" s="2" t="s">
        <v>259</v>
      </c>
      <c r="Y261" s="2" t="s">
        <v>503</v>
      </c>
      <c r="Z261" s="10" t="str">
        <f>PROPER(TRIM(Y261))</f>
        <v>Monitors</v>
      </c>
      <c r="AA261" s="27">
        <v>3.0</v>
      </c>
      <c r="AB261" s="9" t="s">
        <v>8649</v>
      </c>
      <c r="AC261" s="28">
        <f t="array" ref="AC261">XLOOKUP(V261,products_master_corrected!$A$2:$A$151,products_master_corrected!$E$2:$E$151)</f>
        <v>39.4</v>
      </c>
      <c r="AD261" s="28">
        <f t="shared" si="32"/>
        <v>118.2</v>
      </c>
      <c r="AE261" s="28">
        <f t="array" ref="AE261">XLOOKUP(V261,products_master_corrected!$A$2:$A$151,products_master_corrected!$K$2:$K$151)</f>
        <v>202.71</v>
      </c>
      <c r="AF261" s="29">
        <f t="shared" si="33"/>
        <v>608.13</v>
      </c>
      <c r="AG261" s="30" t="s">
        <v>95</v>
      </c>
      <c r="AH261" s="2" t="s">
        <v>370</v>
      </c>
      <c r="AI261" s="10" t="s">
        <v>143</v>
      </c>
      <c r="AJ261" s="2" t="s">
        <v>158</v>
      </c>
      <c r="AK261" s="10" t="s">
        <v>818</v>
      </c>
      <c r="AL261" s="2" t="s">
        <v>81</v>
      </c>
    </row>
    <row r="262" ht="15.75" customHeight="1">
      <c r="A262" s="2" t="s">
        <v>2782</v>
      </c>
      <c r="B262" s="12">
        <v>45890.99791666667</v>
      </c>
      <c r="C262" s="2" t="str">
        <f>IFERROR(__xludf.DUMMYFUNCTION("IF(ISNUMBER(B262),TEXT(B262,""yyyy-MM-dd""),REGEXREPLACE(REGEXREPLACE(TO_TEXT(B262),""[^0-9a-zA-Z]+"",""-""),""[^0-9]*$"",""""))"),"2025-08-21")</f>
        <v>2025-08-21</v>
      </c>
      <c r="D262" s="2" t="s">
        <v>8690</v>
      </c>
      <c r="H262" s="10" t="s">
        <v>8690</v>
      </c>
      <c r="I262" s="2" t="s">
        <v>1986</v>
      </c>
      <c r="J262" s="26" t="str">
        <f t="array" ref="J262">IF(ISNA(XLOOKUP(I262,customers_clean!$A$2:$A$701,customers_clean!$A$2:$A$701, NA()) ),
   "❌ MISSING CUSTOMER", "✅")</f>
        <v>✅</v>
      </c>
      <c r="K262" s="2" t="str">
        <f t="array" ref="K262">XLOOKUP(I262,customers_clean!$A$2:$A$701,customers_clean!$C$2:$C$701)</f>
        <v>Zack Brown</v>
      </c>
      <c r="L262" s="10" t="str">
        <f t="array" ref="L262">XLOOKUP(I262,customers_clean!$A$2:$A$701,customers_clean!$D$2:$D$701)</f>
        <v>Zack Brown</v>
      </c>
      <c r="M262" s="2" t="str">
        <f t="array" ref="M262">XLOOKUP(I262,customers_clean!$A$2:$A$701,customers_clean!$I$2:$I$701)</f>
        <v>zack.brown@gmail.com</v>
      </c>
      <c r="N262" s="10" t="str">
        <f t="array" ref="N262">XLOOKUP(I262,customers_clean!$A$2:$A$701,customers_clean!$H$2:$H$701)</f>
        <v>zack.brown@gmail.com</v>
      </c>
      <c r="O262" s="9" t="str">
        <f>IFERROR(__xludf.DUMMYFUNCTION("IF(REGEXMATCH(TRIM(N262),""^[A-Za-z0-9._%+-]+@[A-Za-z0-9.-]+\.[A-Za-z]{2,}$""),""✅ Valid"",""❌ Invalid"")"),"✅ Valid")</f>
        <v>✅ Valid</v>
      </c>
      <c r="P262" s="2" t="str">
        <f t="array" ref="P262">XLOOKUP(I262,customers_clean!$A$2:$A$701,customers_clean!$K$2:$K$701)</f>
        <v>tel:+33920840753</v>
      </c>
      <c r="Q262" s="10" t="str">
        <f t="array" ref="Q262">XLOOKUP(I262,customers_clean!$A$2:$A$701,customers_clean!$N$2:$N$701)</f>
        <v>920840753</v>
      </c>
      <c r="R262" s="9" t="str">
        <f t="array" ref="R262">XLOOKUP(I262,customers_clean!$A$2:$A$701,customers_clean!$Q$2:$Q$701)</f>
        <v>❌ INVALID</v>
      </c>
      <c r="S262" s="10" t="s">
        <v>608</v>
      </c>
      <c r="T262" s="2" t="s">
        <v>42</v>
      </c>
      <c r="U262" s="2" t="s">
        <v>480</v>
      </c>
      <c r="V262" s="2" t="s">
        <v>619</v>
      </c>
      <c r="W262" s="9" t="str">
        <f t="array" ref="W262">IF(ISNA(XLOOKUP(V262,products_master_corrected!$A$2:$A$151,products_master_corrected!$A$2:$A$151, NA())),
    "❌ MISSING SKU", "✅")</f>
        <v>✅</v>
      </c>
      <c r="X262" s="2" t="s">
        <v>620</v>
      </c>
      <c r="Y262" s="2" t="s">
        <v>292</v>
      </c>
      <c r="Z262" s="10" t="s">
        <v>63</v>
      </c>
      <c r="AA262" s="27">
        <v>2.0</v>
      </c>
      <c r="AB262" s="9" t="s">
        <v>8649</v>
      </c>
      <c r="AC262" s="28">
        <f t="array" ref="AC262">XLOOKUP(V262,products_master_corrected!$A$2:$A$151,products_master_corrected!$E$2:$E$151)</f>
        <v>26.03</v>
      </c>
      <c r="AD262" s="28">
        <f t="shared" si="32"/>
        <v>52.06</v>
      </c>
      <c r="AE262" s="28">
        <f t="array" ref="AE262">XLOOKUP(V262,products_master_corrected!$A$2:$A$151,products_master_corrected!$H$2:$H$151)</f>
        <v>29.24</v>
      </c>
      <c r="AF262" s="29">
        <f t="shared" si="33"/>
        <v>58.48</v>
      </c>
      <c r="AG262" s="32" t="s">
        <v>8658</v>
      </c>
      <c r="AH262" s="2" t="s">
        <v>485</v>
      </c>
      <c r="AI262" s="10" t="s">
        <v>181</v>
      </c>
      <c r="AJ262" s="2" t="s">
        <v>432</v>
      </c>
      <c r="AK262" s="10" t="s">
        <v>80</v>
      </c>
      <c r="AL262" s="2" t="s">
        <v>51</v>
      </c>
    </row>
    <row r="263" ht="15.75" customHeight="1">
      <c r="A263" s="2" t="s">
        <v>2959</v>
      </c>
      <c r="B263" s="12">
        <v>45921.0</v>
      </c>
      <c r="C263" s="2" t="str">
        <f>IFERROR(__xludf.DUMMYFUNCTION("IF(ISNUMBER(B263),TEXT(B263,""yyyy-MM-dd""),REGEXREPLACE(REGEXREPLACE(TO_TEXT(B263),""[^0-9a-zA-Z]+"",""-""),""[^0-9]*$"",""""))"),"2025-09-21")</f>
        <v>2025-09-21</v>
      </c>
      <c r="D263" s="2" t="s">
        <v>8775</v>
      </c>
      <c r="H263" s="10" t="s">
        <v>8775</v>
      </c>
      <c r="I263" s="2" t="s">
        <v>1986</v>
      </c>
      <c r="J263" s="26" t="str">
        <f t="array" ref="J263">IF(ISNA(XLOOKUP(I263,customers_clean!$A$2:$A$701,customers_clean!$A$2:$A$701, NA()) ),
   "❌ MISSING CUSTOMER", "✅")</f>
        <v>✅</v>
      </c>
      <c r="K263" s="2" t="str">
        <f t="array" ref="K263">XLOOKUP(I263,customers_clean!$A$2:$A$701,customers_clean!$C$2:$C$701)</f>
        <v>Zack Brown</v>
      </c>
      <c r="L263" s="10" t="str">
        <f t="array" ref="L263">XLOOKUP(I263,customers_clean!$A$2:$A$701,customers_clean!$D$2:$D$701)</f>
        <v>Zack Brown</v>
      </c>
      <c r="M263" s="2" t="str">
        <f t="array" ref="M263">XLOOKUP(I263,customers_clean!$A$2:$A$701,customers_clean!$I$2:$I$701)</f>
        <v>zack.brown@gmail.com</v>
      </c>
      <c r="N263" s="10" t="str">
        <f t="array" ref="N263">XLOOKUP(I263,customers_clean!$A$2:$A$701,customers_clean!$H$2:$H$701)</f>
        <v>zack.brown@gmail.com</v>
      </c>
      <c r="O263" s="9" t="str">
        <f>IFERROR(__xludf.DUMMYFUNCTION("IF(REGEXMATCH(TRIM(N263),""^[A-Za-z0-9._%+-]+@[A-Za-z0-9.-]+\.[A-Za-z]{2,}$""),""✅ Valid"",""❌ Invalid"")"),"✅ Valid")</f>
        <v>✅ Valid</v>
      </c>
      <c r="P263" s="2" t="str">
        <f t="array" ref="P263">XLOOKUP(I263,customers_clean!$A$2:$A$701,customers_clean!$K$2:$K$701)</f>
        <v>tel:+33920840753</v>
      </c>
      <c r="Q263" s="10" t="str">
        <f t="array" ref="Q263">XLOOKUP(I263,customers_clean!$A$2:$A$701,customers_clean!$N$2:$N$701)</f>
        <v>920840753</v>
      </c>
      <c r="R263" s="9" t="str">
        <f t="array" ref="R263">XLOOKUP(I263,customers_clean!$A$2:$A$701,customers_clean!$Q$2:$Q$701)</f>
        <v>❌ INVALID</v>
      </c>
      <c r="S263" s="10" t="s">
        <v>608</v>
      </c>
      <c r="T263" s="2" t="s">
        <v>683</v>
      </c>
      <c r="U263" s="2" t="s">
        <v>43</v>
      </c>
      <c r="V263" s="2" t="s">
        <v>939</v>
      </c>
      <c r="W263" s="9" t="str">
        <f t="array" ref="W263">IF(ISNA(XLOOKUP(V263,products_master_corrected!$A$2:$A$151,products_master_corrected!$A$2:$A$151, NA())),
    "❌ MISSING SKU", "✅")</f>
        <v>✅</v>
      </c>
      <c r="X263" s="2" t="s">
        <v>940</v>
      </c>
      <c r="Y263" s="2" t="s">
        <v>941</v>
      </c>
      <c r="Z263" s="10" t="str">
        <f t="shared" ref="Z263:Z264" si="36">PROPER(TRIM(Y263))</f>
        <v>Monitors</v>
      </c>
      <c r="AA263" s="27">
        <v>3.0</v>
      </c>
      <c r="AB263" s="9" t="s">
        <v>8649</v>
      </c>
      <c r="AC263" s="28">
        <f t="array" ref="AC263">XLOOKUP(V263,products_master_corrected!$A$2:$A$151,products_master_corrected!$E$2:$E$151)</f>
        <v>215.15</v>
      </c>
      <c r="AD263" s="28">
        <f t="shared" si="32"/>
        <v>645.45</v>
      </c>
      <c r="AE263" s="28">
        <f t="array" ref="AE263">XLOOKUP(V263,products_master_corrected!$A$2:$A$151,products_master_corrected!$H$2:$H$151)</f>
        <v>241.72</v>
      </c>
      <c r="AF263" s="29">
        <f t="shared" si="33"/>
        <v>725.16</v>
      </c>
      <c r="AG263" s="32" t="s">
        <v>8658</v>
      </c>
      <c r="AH263" s="2" t="s">
        <v>505</v>
      </c>
      <c r="AI263" s="10" t="s">
        <v>181</v>
      </c>
      <c r="AJ263" s="2" t="s">
        <v>2962</v>
      </c>
      <c r="AK263" s="10" t="s">
        <v>192</v>
      </c>
      <c r="AL263" s="2" t="s">
        <v>133</v>
      </c>
    </row>
    <row r="264" ht="15.75" customHeight="1">
      <c r="A264" s="2" t="s">
        <v>4770</v>
      </c>
      <c r="B264" s="12">
        <v>45520.0</v>
      </c>
      <c r="C264" s="2" t="str">
        <f>IFERROR(__xludf.DUMMYFUNCTION("IF(ISNUMBER(B264),TEXT(B264,""yyyy-MM-dd""),REGEXREPLACE(REGEXREPLACE(TO_TEXT(B264),""[^0-9a-zA-Z]+"",""-""),""[^0-9]*$"",""""))"),"2024-08-16")</f>
        <v>2024-08-16</v>
      </c>
      <c r="D264" s="2" t="s">
        <v>8776</v>
      </c>
      <c r="H264" s="10" t="s">
        <v>8776</v>
      </c>
      <c r="I264" s="2" t="s">
        <v>1986</v>
      </c>
      <c r="J264" s="26" t="str">
        <f t="array" ref="J264">IF(ISNA(XLOOKUP(I264,customers_clean!$A$2:$A$701,customers_clean!$A$2:$A$701, NA()) ),
   "❌ MISSING CUSTOMER", "✅")</f>
        <v>✅</v>
      </c>
      <c r="K264" s="2" t="str">
        <f t="array" ref="K264">XLOOKUP(I264,customers_clean!$A$2:$A$701,customers_clean!$C$2:$C$701)</f>
        <v>Zack Brown</v>
      </c>
      <c r="L264" s="10" t="str">
        <f t="array" ref="L264">XLOOKUP(I264,customers_clean!$A$2:$A$701,customers_clean!$D$2:$D$701)</f>
        <v>Zack Brown</v>
      </c>
      <c r="M264" s="2" t="str">
        <f t="array" ref="M264">XLOOKUP(I264,customers_clean!$A$2:$A$701,customers_clean!$I$2:$I$701)</f>
        <v>zack.brown@gmail.com</v>
      </c>
      <c r="N264" s="10" t="str">
        <f t="array" ref="N264">XLOOKUP(I264,customers_clean!$A$2:$A$701,customers_clean!$H$2:$H$701)</f>
        <v>zack.brown@gmail.com</v>
      </c>
      <c r="O264" s="9" t="str">
        <f>IFERROR(__xludf.DUMMYFUNCTION("IF(REGEXMATCH(TRIM(N264),""^[A-Za-z0-9._%+-]+@[A-Za-z0-9.-]+\.[A-Za-z]{2,}$""),""✅ Valid"",""❌ Invalid"")"),"✅ Valid")</f>
        <v>✅ Valid</v>
      </c>
      <c r="P264" s="2" t="str">
        <f t="array" ref="P264">XLOOKUP(I264,customers_clean!$A$2:$A$701,customers_clean!$K$2:$K$701)</f>
        <v>tel:+33920840753</v>
      </c>
      <c r="Q264" s="10" t="str">
        <f t="array" ref="Q264">XLOOKUP(I264,customers_clean!$A$2:$A$701,customers_clean!$N$2:$N$701)</f>
        <v>920840753</v>
      </c>
      <c r="R264" s="9" t="str">
        <f t="array" ref="R264">XLOOKUP(I264,customers_clean!$A$2:$A$701,customers_clean!$Q$2:$Q$701)</f>
        <v>❌ INVALID</v>
      </c>
      <c r="S264" s="10" t="s">
        <v>608</v>
      </c>
      <c r="T264" s="2" t="s">
        <v>778</v>
      </c>
      <c r="U264" s="2" t="s">
        <v>103</v>
      </c>
      <c r="V264" s="2" t="s">
        <v>1856</v>
      </c>
      <c r="W264" s="9" t="str">
        <f t="array" ref="W264">IF(ISNA(XLOOKUP(V264,products_master_corrected!$A$2:$A$151,products_master_corrected!$A$2:$A$151, NA())),
    "❌ MISSING SKU", "✅")</f>
        <v>✅</v>
      </c>
      <c r="X264" s="2" t="s">
        <v>259</v>
      </c>
      <c r="Y264" s="2" t="s">
        <v>167</v>
      </c>
      <c r="Z264" s="10" t="str">
        <f t="shared" si="36"/>
        <v>Monitors</v>
      </c>
      <c r="AA264" s="27">
        <v>1.0</v>
      </c>
      <c r="AB264" s="9" t="s">
        <v>8649</v>
      </c>
      <c r="AC264" s="28">
        <f t="array" ref="AC264">XLOOKUP(V264,products_master_corrected!$A$2:$A$151,products_master_corrected!$E$2:$E$151)</f>
        <v>13.34</v>
      </c>
      <c r="AD264" s="28">
        <f t="shared" si="32"/>
        <v>13.34</v>
      </c>
      <c r="AE264" s="28">
        <f t="array" ref="AE264">XLOOKUP(V264,products_master_corrected!$A$2:$A$151,products_master_corrected!$H$2:$H$151)</f>
        <v>14.99</v>
      </c>
      <c r="AF264" s="29">
        <f t="shared" si="33"/>
        <v>14.99</v>
      </c>
      <c r="AG264" s="32" t="s">
        <v>8658</v>
      </c>
      <c r="AH264" s="2" t="s">
        <v>1708</v>
      </c>
      <c r="AI264" s="10" t="s">
        <v>181</v>
      </c>
      <c r="AJ264" s="2" t="s">
        <v>294</v>
      </c>
      <c r="AK264" s="10" t="s">
        <v>80</v>
      </c>
      <c r="AL264" s="2" t="s">
        <v>81</v>
      </c>
    </row>
    <row r="265" ht="15.75" customHeight="1">
      <c r="A265" s="2" t="s">
        <v>3383</v>
      </c>
      <c r="B265" s="12">
        <v>45798.0</v>
      </c>
      <c r="C265" s="2" t="str">
        <f>IFERROR(__xludf.DUMMYFUNCTION("IF(ISNUMBER(B265),TEXT(B265,""yyyy-MM-dd""),REGEXREPLACE(REGEXREPLACE(TO_TEXT(B265),""[^0-9a-zA-Z]+"",""-""),""[^0-9]*$"",""""))"),"2025-05-21")</f>
        <v>2025-05-21</v>
      </c>
      <c r="D265" s="2" t="s">
        <v>7832</v>
      </c>
      <c r="H265" s="10" t="s">
        <v>7832</v>
      </c>
      <c r="I265" s="2" t="s">
        <v>1986</v>
      </c>
      <c r="J265" s="26" t="str">
        <f t="array" ref="J265">IF(ISNA(XLOOKUP(I265,customers_clean!$A$2:$A$701,customers_clean!$A$2:$A$701, NA()) ),
   "❌ MISSING CUSTOMER", "✅")</f>
        <v>✅</v>
      </c>
      <c r="K265" s="2" t="str">
        <f t="array" ref="K265">XLOOKUP(I265,customers_clean!$A$2:$A$701,customers_clean!$C$2:$C$701)</f>
        <v>Zack Brown</v>
      </c>
      <c r="L265" s="10" t="str">
        <f t="array" ref="L265">XLOOKUP(I265,customers_clean!$A$2:$A$701,customers_clean!$D$2:$D$701)</f>
        <v>Zack Brown</v>
      </c>
      <c r="M265" s="2" t="str">
        <f t="array" ref="M265">XLOOKUP(I265,customers_clean!$A$2:$A$701,customers_clean!$I$2:$I$701)</f>
        <v>zack.brown@gmail.com</v>
      </c>
      <c r="N265" s="10" t="str">
        <f t="array" ref="N265">XLOOKUP(I265,customers_clean!$A$2:$A$701,customers_clean!$H$2:$H$701)</f>
        <v>zack.brown@gmail.com</v>
      </c>
      <c r="O265" s="9" t="str">
        <f>IFERROR(__xludf.DUMMYFUNCTION("IF(REGEXMATCH(TRIM(N265),""^[A-Za-z0-9._%+-]+@[A-Za-z0-9.-]+\.[A-Za-z]{2,}$""),""✅ Valid"",""❌ Invalid"")"),"✅ Valid")</f>
        <v>✅ Valid</v>
      </c>
      <c r="P265" s="2" t="str">
        <f t="array" ref="P265">XLOOKUP(I265,customers_clean!$A$2:$A$701,customers_clean!$K$2:$K$701)</f>
        <v>tel:+33920840753</v>
      </c>
      <c r="Q265" s="10" t="str">
        <f t="array" ref="Q265">XLOOKUP(I265,customers_clean!$A$2:$A$701,customers_clean!$N$2:$N$701)</f>
        <v>920840753</v>
      </c>
      <c r="R265" s="9" t="str">
        <f t="array" ref="R265">XLOOKUP(I265,customers_clean!$A$2:$A$701,customers_clean!$Q$2:$Q$701)</f>
        <v>❌ INVALID</v>
      </c>
      <c r="S265" s="10" t="s">
        <v>608</v>
      </c>
      <c r="T265" s="2" t="s">
        <v>42</v>
      </c>
      <c r="U265" s="2" t="s">
        <v>116</v>
      </c>
      <c r="V265" s="2" t="s">
        <v>1772</v>
      </c>
      <c r="W265" s="9" t="str">
        <f t="array" ref="W265">IF(ISNA(XLOOKUP(V265,products_master_corrected!$A$2:$A$151,products_master_corrected!$A$2:$A$151, NA())),
    "❌ MISSING SKU", "✅")</f>
        <v>✅</v>
      </c>
      <c r="X265" s="2" t="s">
        <v>403</v>
      </c>
      <c r="Y265" s="2" t="s">
        <v>995</v>
      </c>
      <c r="Z265" s="10" t="s">
        <v>355</v>
      </c>
      <c r="AA265" s="27">
        <v>3.0</v>
      </c>
      <c r="AB265" s="9" t="s">
        <v>8649</v>
      </c>
      <c r="AC265" s="28">
        <f t="array" ref="AC265">XLOOKUP(V265,products_master_corrected!$A$2:$A$151,products_master_corrected!$E$2:$E$151)</f>
        <v>39.48</v>
      </c>
      <c r="AD265" s="28">
        <f t="shared" si="32"/>
        <v>118.44</v>
      </c>
      <c r="AE265" s="28">
        <f t="array" ref="AE265">XLOOKUP(V265,products_master_corrected!$A$2:$A$151,products_master_corrected!$H$2:$H$151)</f>
        <v>44.36</v>
      </c>
      <c r="AF265" s="29">
        <f t="shared" si="33"/>
        <v>133.08</v>
      </c>
      <c r="AG265" s="32" t="s">
        <v>8658</v>
      </c>
      <c r="AH265" s="2" t="s">
        <v>238</v>
      </c>
      <c r="AI265" s="10" t="s">
        <v>66</v>
      </c>
      <c r="AJ265" s="2" t="s">
        <v>393</v>
      </c>
      <c r="AK265" s="10" t="s">
        <v>80</v>
      </c>
    </row>
    <row r="266" ht="15.75" customHeight="1">
      <c r="A266" s="2" t="s">
        <v>1984</v>
      </c>
      <c r="B266" s="12">
        <v>44962.0</v>
      </c>
      <c r="C266" s="2" t="str">
        <f>IFERROR(__xludf.DUMMYFUNCTION("IF(ISNUMBER(B266),TEXT(B266,""yyyy-MM-dd""),REGEXREPLACE(REGEXREPLACE(TO_TEXT(B266),""[^0-9a-zA-Z]+"",""-""),""[^0-9]*$"",""""))"),"2023-02-05")</f>
        <v>2023-02-05</v>
      </c>
      <c r="D266" s="2" t="s">
        <v>8777</v>
      </c>
      <c r="H266" s="10" t="s">
        <v>8777</v>
      </c>
      <c r="I266" s="2" t="s">
        <v>1986</v>
      </c>
      <c r="J266" s="26" t="str">
        <f t="array" ref="J266">IF(ISNA(XLOOKUP(I266,customers_clean!$A$2:$A$701,customers_clean!$A$2:$A$701, NA()) ),
   "❌ MISSING CUSTOMER", "✅")</f>
        <v>✅</v>
      </c>
      <c r="K266" s="2" t="str">
        <f t="array" ref="K266">XLOOKUP(I266,customers_clean!$A$2:$A$701,customers_clean!$C$2:$C$701)</f>
        <v>Zack Brown</v>
      </c>
      <c r="L266" s="10" t="str">
        <f t="array" ref="L266">XLOOKUP(I266,customers_clean!$A$2:$A$701,customers_clean!$D$2:$D$701)</f>
        <v>Zack Brown</v>
      </c>
      <c r="M266" s="2" t="str">
        <f t="array" ref="M266">XLOOKUP(I266,customers_clean!$A$2:$A$701,customers_clean!$I$2:$I$701)</f>
        <v>zack.brown@gmail.com</v>
      </c>
      <c r="N266" s="10" t="str">
        <f t="array" ref="N266">XLOOKUP(I266,customers_clean!$A$2:$A$701,customers_clean!$H$2:$H$701)</f>
        <v>zack.brown@gmail.com</v>
      </c>
      <c r="O266" s="9" t="str">
        <f>IFERROR(__xludf.DUMMYFUNCTION("IF(REGEXMATCH(TRIM(N266),""^[A-Za-z0-9._%+-]+@[A-Za-z0-9.-]+\.[A-Za-z]{2,}$""),""✅ Valid"",""❌ Invalid"")"),"✅ Valid")</f>
        <v>✅ Valid</v>
      </c>
      <c r="P266" s="2" t="str">
        <f t="array" ref="P266">XLOOKUP(I266,customers_clean!$A$2:$A$701,customers_clean!$K$2:$K$701)</f>
        <v>tel:+33920840753</v>
      </c>
      <c r="Q266" s="10" t="str">
        <f t="array" ref="Q266">XLOOKUP(I266,customers_clean!$A$2:$A$701,customers_clean!$N$2:$N$701)</f>
        <v>920840753</v>
      </c>
      <c r="R266" s="9" t="str">
        <f t="array" ref="R266">XLOOKUP(I266,customers_clean!$A$2:$A$701,customers_clean!$Q$2:$Q$701)</f>
        <v>❌ INVALID</v>
      </c>
      <c r="S266" s="10" t="s">
        <v>608</v>
      </c>
      <c r="T266" s="2" t="s">
        <v>323</v>
      </c>
      <c r="U266" s="2" t="s">
        <v>522</v>
      </c>
      <c r="V266" s="2" t="s">
        <v>76</v>
      </c>
      <c r="W266" s="9" t="str">
        <f t="array" ref="W266">IF(ISNA(XLOOKUP(V266,products_master_corrected!$A$2:$A$151,products_master_corrected!$A$2:$A$151, NA())),
    "❌ MISSING SKU", "✅")</f>
        <v>✅</v>
      </c>
      <c r="X266" s="2" t="s">
        <v>77</v>
      </c>
      <c r="Y266" s="2" t="s">
        <v>78</v>
      </c>
      <c r="Z266" s="10" t="s">
        <v>355</v>
      </c>
      <c r="AA266" s="27">
        <v>1.0</v>
      </c>
      <c r="AB266" s="9" t="s">
        <v>8649</v>
      </c>
      <c r="AC266" s="28">
        <f t="array" ref="AC266">XLOOKUP(V266,products_master_corrected!$A$2:$A$151,products_master_corrected!$E$2:$E$151)</f>
        <v>153.16</v>
      </c>
      <c r="AD266" s="28">
        <f t="shared" si="32"/>
        <v>153.16</v>
      </c>
      <c r="AE266" s="28">
        <f t="array" ref="AE266">XLOOKUP(V266,products_master_corrected!$A$2:$A$151,products_master_corrected!$H$2:$H$151)</f>
        <v>172.08</v>
      </c>
      <c r="AF266" s="29">
        <f t="shared" si="33"/>
        <v>172.08</v>
      </c>
      <c r="AG266" s="32" t="s">
        <v>8658</v>
      </c>
      <c r="AH266" s="2" t="s">
        <v>33</v>
      </c>
      <c r="AI266" s="10" t="s">
        <v>181</v>
      </c>
      <c r="AJ266" s="2" t="s">
        <v>251</v>
      </c>
      <c r="AK266" s="10" t="s">
        <v>192</v>
      </c>
      <c r="AL266" s="2" t="s">
        <v>51</v>
      </c>
    </row>
    <row r="267" ht="15.75" customHeight="1">
      <c r="A267" s="2" t="s">
        <v>4538</v>
      </c>
      <c r="B267" s="12">
        <v>45117.0</v>
      </c>
      <c r="C267" s="2" t="str">
        <f>IFERROR(__xludf.DUMMYFUNCTION("IF(ISNUMBER(B267),TEXT(B267,""yyyy-MM-dd""),REGEXREPLACE(REGEXREPLACE(TO_TEXT(B267),""[^0-9a-zA-Z]+"",""-""),""[^0-9]*$"",""""))"),"2023-07-10")</f>
        <v>2023-07-10</v>
      </c>
      <c r="D267" s="2" t="s">
        <v>7907</v>
      </c>
      <c r="H267" s="10" t="s">
        <v>7907</v>
      </c>
      <c r="I267" s="2" t="s">
        <v>3094</v>
      </c>
      <c r="J267" s="26" t="str">
        <f t="array" ref="J267">IF(ISNA(XLOOKUP(I267,customers_clean!$A$2:$A$701,customers_clean!$A$2:$A$701, NA()) ),
   "❌ MISSING CUSTOMER", "✅")</f>
        <v>✅</v>
      </c>
      <c r="K267" s="2" t="str">
        <f t="array" ref="K267">XLOOKUP(I267,customers_clean!$A$2:$A$701,customers_clean!$C$2:$C$701)</f>
        <v>Gabe Davis</v>
      </c>
      <c r="L267" s="10" t="str">
        <f t="array" ref="L267">XLOOKUP(I267,customers_clean!$A$2:$A$701,customers_clean!$D$2:$D$701)</f>
        <v>Gabe Davis</v>
      </c>
      <c r="M267" s="2" t="str">
        <f t="array" ref="M267">XLOOKUP(I267,customers_clean!$A$2:$A$701,customers_clean!$I$2:$I$701)</f>
        <v>gabe.davis@yahoo.com </v>
      </c>
      <c r="N267" s="10" t="str">
        <f t="array" ref="N267">XLOOKUP(I267,customers_clean!$A$2:$A$701,customers_clean!$H$2:$H$701)</f>
        <v>gabe.davis@yahoo.com</v>
      </c>
      <c r="O267" s="9" t="str">
        <f>IFERROR(__xludf.DUMMYFUNCTION("IF(REGEXMATCH(TRIM(N267),""^[A-Za-z0-9._%+-]+@[A-Za-z0-9.-]+\.[A-Za-z]{2,}$""),""✅ Valid"",""❌ Invalid"")"),"✅ Valid")</f>
        <v>✅ Valid</v>
      </c>
      <c r="P267" s="2">
        <f t="array" ref="P267">XLOOKUP(I267,customers_clean!$A$2:$A$701,customers_clean!$K$2:$K$701)</f>
        <v>1076493717</v>
      </c>
      <c r="Q267" s="10" t="str">
        <f t="array" ref="Q267">XLOOKUP(I267,customers_clean!$A$2:$A$701,customers_clean!$N$2:$N$701)</f>
        <v>076493717</v>
      </c>
      <c r="R267" s="9" t="str">
        <f t="array" ref="R267">XLOOKUP(I267,customers_clean!$A$2:$A$701,customers_clean!$Q$2:$Q$701)</f>
        <v>❌ INVALID</v>
      </c>
      <c r="S267" s="10" t="s">
        <v>58</v>
      </c>
      <c r="T267" s="2" t="s">
        <v>26</v>
      </c>
      <c r="U267" s="2" t="s">
        <v>103</v>
      </c>
      <c r="V267" s="2" t="s">
        <v>815</v>
      </c>
      <c r="W267" s="9" t="str">
        <f t="array" ref="W267">IF(ISNA(XLOOKUP(V267,products_master_corrected!$A$2:$A$151,products_master_corrected!$A$2:$A$151, NA())),
    "❌ MISSING SKU", "✅")</f>
        <v>✅</v>
      </c>
      <c r="X267" s="2" t="s">
        <v>816</v>
      </c>
      <c r="Y267" s="2" t="s">
        <v>179</v>
      </c>
      <c r="Z267" s="10" t="s">
        <v>179</v>
      </c>
      <c r="AA267" s="27">
        <v>3.0</v>
      </c>
      <c r="AB267" s="9" t="s">
        <v>8649</v>
      </c>
      <c r="AC267" s="28">
        <f t="array" ref="AC267">XLOOKUP(V267,products_master_corrected!$A$2:$A$151,products_master_corrected!$E$2:$E$151)</f>
        <v>328.22</v>
      </c>
      <c r="AD267" s="28">
        <f t="shared" si="32"/>
        <v>984.66</v>
      </c>
      <c r="AE267" s="28">
        <f t="array" ref="AE267">XLOOKUP(V267,products_master_corrected!$A$2:$A$151,products_master_corrected!$G$2:$G$151)</f>
        <v>375.75</v>
      </c>
      <c r="AF267" s="29">
        <f t="shared" si="33"/>
        <v>1127.25</v>
      </c>
      <c r="AG267" s="32" t="s">
        <v>8663</v>
      </c>
      <c r="AH267" s="2" t="s">
        <v>664</v>
      </c>
      <c r="AI267" s="10" t="s">
        <v>66</v>
      </c>
      <c r="AJ267" s="2" t="s">
        <v>294</v>
      </c>
      <c r="AK267" s="10" t="s">
        <v>80</v>
      </c>
      <c r="AL267" s="2" t="s">
        <v>81</v>
      </c>
    </row>
    <row r="268" ht="15.75" customHeight="1">
      <c r="A268" s="2" t="s">
        <v>3092</v>
      </c>
      <c r="B268" s="12">
        <v>44968.0</v>
      </c>
      <c r="C268" s="2" t="str">
        <f>IFERROR(__xludf.DUMMYFUNCTION("IF(ISNUMBER(B268),TEXT(B268,""yyyy-MM-dd""),REGEXREPLACE(REGEXREPLACE(TO_TEXT(B268),""[^0-9a-zA-Z]+"",""-""),""[^0-9]*$"",""""))"),"2023-02-11")</f>
        <v>2023-02-11</v>
      </c>
      <c r="D268" s="2" t="s">
        <v>8699</v>
      </c>
      <c r="H268" s="10" t="s">
        <v>8699</v>
      </c>
      <c r="I268" s="2" t="s">
        <v>3094</v>
      </c>
      <c r="J268" s="26" t="str">
        <f t="array" ref="J268">IF(ISNA(XLOOKUP(I268,customers_clean!$A$2:$A$701,customers_clean!$A$2:$A$701, NA()) ),
   "❌ MISSING CUSTOMER", "✅")</f>
        <v>✅</v>
      </c>
      <c r="K268" s="2" t="str">
        <f t="array" ref="K268">XLOOKUP(I268,customers_clean!$A$2:$A$701,customers_clean!$C$2:$C$701)</f>
        <v>Gabe Davis</v>
      </c>
      <c r="L268" s="10" t="str">
        <f t="array" ref="L268">XLOOKUP(I268,customers_clean!$A$2:$A$701,customers_clean!$D$2:$D$701)</f>
        <v>Gabe Davis</v>
      </c>
      <c r="M268" s="2" t="str">
        <f t="array" ref="M268">XLOOKUP(I268,customers_clean!$A$2:$A$701,customers_clean!$I$2:$I$701)</f>
        <v>gabe.davis@yahoo.com </v>
      </c>
      <c r="N268" s="10" t="str">
        <f t="array" ref="N268">XLOOKUP(I268,customers_clean!$A$2:$A$701,customers_clean!$H$2:$H$701)</f>
        <v>gabe.davis@yahoo.com</v>
      </c>
      <c r="O268" s="9" t="str">
        <f>IFERROR(__xludf.DUMMYFUNCTION("IF(REGEXMATCH(TRIM(N268),""^[A-Za-z0-9._%+-]+@[A-Za-z0-9.-]+\.[A-Za-z]{2,}$""),""✅ Valid"",""❌ Invalid"")"),"✅ Valid")</f>
        <v>✅ Valid</v>
      </c>
      <c r="P268" s="2">
        <f t="array" ref="P268">XLOOKUP(I268,customers_clean!$A$2:$A$701,customers_clean!$K$2:$K$701)</f>
        <v>1076493717</v>
      </c>
      <c r="Q268" s="10" t="str">
        <f t="array" ref="Q268">XLOOKUP(I268,customers_clean!$A$2:$A$701,customers_clean!$N$2:$N$701)</f>
        <v>076493717</v>
      </c>
      <c r="R268" s="9" t="str">
        <f t="array" ref="R268">XLOOKUP(I268,customers_clean!$A$2:$A$701,customers_clean!$Q$2:$Q$701)</f>
        <v>❌ INVALID</v>
      </c>
      <c r="S268" s="10" t="s">
        <v>58</v>
      </c>
      <c r="T268" s="2" t="s">
        <v>323</v>
      </c>
      <c r="U268" s="2" t="s">
        <v>312</v>
      </c>
      <c r="V268" s="2" t="s">
        <v>2219</v>
      </c>
      <c r="W268" s="9" t="str">
        <f t="array" ref="W268">IF(ISNA(XLOOKUP(V268,products_master_corrected!$A$2:$A$151,products_master_corrected!$A$2:$A$151, NA())),
    "❌ MISSING SKU", "✅")</f>
        <v>✅</v>
      </c>
      <c r="X268" s="2" t="s">
        <v>768</v>
      </c>
      <c r="Y268" s="2" t="s">
        <v>805</v>
      </c>
      <c r="Z268" s="10" t="s">
        <v>355</v>
      </c>
      <c r="AA268" s="27">
        <v>3.0</v>
      </c>
      <c r="AB268" s="9" t="s">
        <v>8649</v>
      </c>
      <c r="AC268" s="28">
        <f t="array" ref="AC268">XLOOKUP(V268,products_master_corrected!$A$2:$A$151,products_master_corrected!$E$2:$E$151)</f>
        <v>44.94</v>
      </c>
      <c r="AD268" s="28">
        <f t="shared" si="32"/>
        <v>134.82</v>
      </c>
      <c r="AE268" s="28">
        <f t="array" ref="AE268">XLOOKUP(V268,products_master_corrected!$A$2:$A$151,products_master_corrected!$G$2:$G$151)</f>
        <v>51.45</v>
      </c>
      <c r="AF268" s="29">
        <f t="shared" si="33"/>
        <v>154.35</v>
      </c>
      <c r="AG268" s="32" t="s">
        <v>8663</v>
      </c>
      <c r="AH268" s="2" t="s">
        <v>181</v>
      </c>
      <c r="AI268" s="10" t="s">
        <v>181</v>
      </c>
      <c r="AJ268" s="2" t="s">
        <v>132</v>
      </c>
      <c r="AK268" s="10" t="s">
        <v>192</v>
      </c>
      <c r="AL268" s="2" t="s">
        <v>51</v>
      </c>
    </row>
    <row r="269" ht="15.75" customHeight="1">
      <c r="A269" s="2" t="s">
        <v>854</v>
      </c>
      <c r="B269" s="12">
        <v>45153.0</v>
      </c>
      <c r="C269" s="2" t="str">
        <f>IFERROR(__xludf.DUMMYFUNCTION("IF(ISNUMBER(B269),TEXT(B269,""yyyy-MM-dd""),REGEXREPLACE(REGEXREPLACE(TO_TEXT(B269),""[^0-9a-zA-Z]+"",""-""),""[^0-9]*$"",""""))"),"2023-08-15")</f>
        <v>2023-08-15</v>
      </c>
      <c r="D269" s="2" t="s">
        <v>8778</v>
      </c>
      <c r="H269" s="10" t="s">
        <v>8778</v>
      </c>
      <c r="I269" s="2" t="s">
        <v>856</v>
      </c>
      <c r="J269" s="26" t="str">
        <f t="array" ref="J269">IF(ISNA(XLOOKUP(I269,customers_clean!$A$2:$A$701,customers_clean!$A$2:$A$701, NA()) ),
   "❌ MISSING CUSTOMER", "✅")</f>
        <v>✅</v>
      </c>
      <c r="K269" s="2" t="str">
        <f t="array" ref="K269">XLOOKUP(I269,customers_clean!$A$2:$A$701,customers_clean!$C$2:$C$701)</f>
        <v>Paula Khan </v>
      </c>
      <c r="L269" s="10" t="str">
        <f t="array" ref="L269">XLOOKUP(I269,customers_clean!$A$2:$A$701,customers_clean!$D$2:$D$701)</f>
        <v>Paula Khan</v>
      </c>
      <c r="M269" s="2" t="str">
        <f t="array" ref="M269">XLOOKUP(I269,customers_clean!$A$2:$A$701,customers_clean!$I$2:$I$701)</f>
        <v>Paula.Khan@Example.Com</v>
      </c>
      <c r="N269" s="10" t="str">
        <f t="array" ref="N269">XLOOKUP(I269,customers_clean!$A$2:$A$701,customers_clean!$H$2:$H$701)</f>
        <v>paula.khan@example.com</v>
      </c>
      <c r="O269" s="9" t="str">
        <f>IFERROR(__xludf.DUMMYFUNCTION("IF(REGEXMATCH(TRIM(N269),""^[A-Za-z0-9._%+-]+@[A-Za-z0-9.-]+\.[A-Za-z]{2,}$""),""✅ Valid"",""❌ Invalid"")"),"✅ Valid")</f>
        <v>✅ Valid</v>
      </c>
      <c r="P269" s="2">
        <f t="array" ref="P269">XLOOKUP(I269,customers_clean!$A$2:$A$701,customers_clean!$K$2:$K$701)</f>
        <v>3334800299</v>
      </c>
      <c r="Q269" s="10" t="str">
        <f t="array" ref="Q269">XLOOKUP(I269,customers_clean!$A$2:$A$701,customers_clean!$N$2:$N$701)</f>
        <v>34800299</v>
      </c>
      <c r="R269" s="9" t="str">
        <f t="array" ref="R269">XLOOKUP(I269,customers_clean!$A$2:$A$701,customers_clean!$Q$2:$Q$701)</f>
        <v>❌ INVALID</v>
      </c>
      <c r="S269" s="10" t="s">
        <v>25</v>
      </c>
      <c r="T269" s="2" t="s">
        <v>59</v>
      </c>
      <c r="U269" s="2" t="s">
        <v>401</v>
      </c>
      <c r="V269" s="2" t="s">
        <v>702</v>
      </c>
      <c r="W269" s="9" t="str">
        <f t="array" ref="W269">IF(ISNA(XLOOKUP(V269,products_master_corrected!$A$2:$A$151,products_master_corrected!$A$2:$A$151, NA())),
    "❌ MISSING SKU", "✅")</f>
        <v>✅</v>
      </c>
      <c r="X269" s="2" t="s">
        <v>524</v>
      </c>
      <c r="Y269" s="2" t="s">
        <v>703</v>
      </c>
      <c r="Z269" s="10" t="s">
        <v>248</v>
      </c>
      <c r="AA269" s="27">
        <v>1.0</v>
      </c>
      <c r="AB269" s="9" t="s">
        <v>8649</v>
      </c>
      <c r="AC269" s="28">
        <f t="array" ref="AC269">XLOOKUP(V269,products_master_corrected!$A$2:$A$151,products_master_corrected!$E$2:$E$151)</f>
        <v>176.25</v>
      </c>
      <c r="AD269" s="28">
        <f t="shared" si="32"/>
        <v>176.25</v>
      </c>
      <c r="AE269" s="28">
        <f t="array" ref="AE269">XLOOKUP(V269,products_master_corrected!$A$2:$A$151,products_master_corrected!$K$2:$K$151)</f>
        <v>906.81</v>
      </c>
      <c r="AF269" s="29">
        <f t="shared" si="33"/>
        <v>906.81</v>
      </c>
      <c r="AG269" s="30" t="s">
        <v>95</v>
      </c>
      <c r="AH269" s="2" t="s">
        <v>49</v>
      </c>
      <c r="AI269" s="10" t="s">
        <v>49</v>
      </c>
      <c r="AJ269" s="2" t="s">
        <v>261</v>
      </c>
      <c r="AK269" s="10" t="s">
        <v>261</v>
      </c>
      <c r="AL269" s="2" t="s">
        <v>81</v>
      </c>
    </row>
    <row r="270" ht="15.75" customHeight="1">
      <c r="A270" s="2" t="s">
        <v>1112</v>
      </c>
      <c r="B270" s="12">
        <v>45299.0</v>
      </c>
      <c r="C270" s="2" t="str">
        <f>IFERROR(__xludf.DUMMYFUNCTION("IF(ISNUMBER(B270),TEXT(B270,""yyyy-MM-dd""),REGEXREPLACE(REGEXREPLACE(TO_TEXT(B270),""[^0-9a-zA-Z]+"",""-""),""[^0-9]*$"",""""))"),"2024-01-08")</f>
        <v>2024-01-08</v>
      </c>
      <c r="D270" s="2" t="s">
        <v>8779</v>
      </c>
      <c r="H270" s="10" t="s">
        <v>8779</v>
      </c>
      <c r="I270" s="2" t="s">
        <v>856</v>
      </c>
      <c r="J270" s="26" t="str">
        <f t="array" ref="J270">IF(ISNA(XLOOKUP(I270,customers_clean!$A$2:$A$701,customers_clean!$A$2:$A$701, NA()) ),
   "❌ MISSING CUSTOMER", "✅")</f>
        <v>✅</v>
      </c>
      <c r="K270" s="2" t="str">
        <f t="array" ref="K270">XLOOKUP(I270,customers_clean!$A$2:$A$701,customers_clean!$C$2:$C$701)</f>
        <v>Paula Khan </v>
      </c>
      <c r="L270" s="10" t="str">
        <f t="array" ref="L270">XLOOKUP(I270,customers_clean!$A$2:$A$701,customers_clean!$D$2:$D$701)</f>
        <v>Paula Khan</v>
      </c>
      <c r="M270" s="2" t="str">
        <f t="array" ref="M270">XLOOKUP(I270,customers_clean!$A$2:$A$701,customers_clean!$I$2:$I$701)</f>
        <v>Paula.Khan@Example.Com</v>
      </c>
      <c r="N270" s="10" t="str">
        <f t="array" ref="N270">XLOOKUP(I270,customers_clean!$A$2:$A$701,customers_clean!$H$2:$H$701)</f>
        <v>paula.khan@example.com</v>
      </c>
      <c r="O270" s="9" t="str">
        <f>IFERROR(__xludf.DUMMYFUNCTION("IF(REGEXMATCH(TRIM(N270),""^[A-Za-z0-9._%+-]+@[A-Za-z0-9.-]+\.[A-Za-z]{2,}$""),""✅ Valid"",""❌ Invalid"")"),"✅ Valid")</f>
        <v>✅ Valid</v>
      </c>
      <c r="P270" s="2">
        <f t="array" ref="P270">XLOOKUP(I270,customers_clean!$A$2:$A$701,customers_clean!$K$2:$K$701)</f>
        <v>3334800299</v>
      </c>
      <c r="Q270" s="10" t="str">
        <f t="array" ref="Q270">XLOOKUP(I270,customers_clean!$A$2:$A$701,customers_clean!$N$2:$N$701)</f>
        <v>34800299</v>
      </c>
      <c r="R270" s="9" t="str">
        <f t="array" ref="R270">XLOOKUP(I270,customers_clean!$A$2:$A$701,customers_clean!$Q$2:$Q$701)</f>
        <v>❌ INVALID</v>
      </c>
      <c r="S270" s="10" t="s">
        <v>25</v>
      </c>
      <c r="T270" s="2" t="s">
        <v>26</v>
      </c>
      <c r="U270" s="2" t="s">
        <v>75</v>
      </c>
      <c r="V270" s="2" t="s">
        <v>1114</v>
      </c>
      <c r="W270" s="9" t="str">
        <f t="array" ref="W270">IF(ISNA(XLOOKUP(V270,products_master_corrected!$A$2:$A$151,products_master_corrected!$A$2:$A$151, NA())),
    "❌ MISSING SKU", "✅")</f>
        <v>✅</v>
      </c>
      <c r="X270" s="2" t="s">
        <v>1147</v>
      </c>
      <c r="Y270" s="2" t="s">
        <v>248</v>
      </c>
      <c r="Z270" s="10" t="s">
        <v>248</v>
      </c>
      <c r="AA270" s="27">
        <v>1.0</v>
      </c>
      <c r="AB270" s="9" t="s">
        <v>8649</v>
      </c>
      <c r="AC270" s="28">
        <f t="array" ref="AC270">XLOOKUP(V270,products_master_corrected!$A$2:$A$151,products_master_corrected!$E$2:$E$151)</f>
        <v>116.16</v>
      </c>
      <c r="AD270" s="28">
        <f t="shared" si="32"/>
        <v>116.16</v>
      </c>
      <c r="AE270" s="28">
        <f t="array" ref="AE270">XLOOKUP(V270,products_master_corrected!$A$2:$A$151,products_master_corrected!$K$2:$K$151)</f>
        <v>597.64</v>
      </c>
      <c r="AF270" s="29">
        <f t="shared" si="33"/>
        <v>597.64</v>
      </c>
      <c r="AG270" s="30" t="s">
        <v>95</v>
      </c>
      <c r="AH270" s="2" t="s">
        <v>49</v>
      </c>
      <c r="AI270" s="10" t="s">
        <v>49</v>
      </c>
      <c r="AJ270" s="2" t="s">
        <v>294</v>
      </c>
      <c r="AK270" s="10" t="s">
        <v>80</v>
      </c>
      <c r="AL270" s="2" t="s">
        <v>67</v>
      </c>
    </row>
    <row r="271" ht="15.75" customHeight="1">
      <c r="A271" s="2" t="s">
        <v>4320</v>
      </c>
      <c r="B271" s="12">
        <v>45414.0</v>
      </c>
      <c r="C271" s="2" t="str">
        <f>IFERROR(__xludf.DUMMYFUNCTION("IF(ISNUMBER(B271),TEXT(B271,""yyyy-MM-dd""),REGEXREPLACE(REGEXREPLACE(TO_TEXT(B271),""[^0-9a-zA-Z]+"",""-""),""[^0-9]*$"",""""))"),"2024-05-02")</f>
        <v>2024-05-02</v>
      </c>
      <c r="D271" s="2" t="s">
        <v>8780</v>
      </c>
      <c r="H271" s="10" t="s">
        <v>8780</v>
      </c>
      <c r="I271" s="2" t="s">
        <v>3485</v>
      </c>
      <c r="J271" s="26" t="str">
        <f t="array" ref="J271">IF(ISNA(XLOOKUP(I271,customers_clean!$A$2:$A$701,customers_clean!$A$2:$A$701, NA()) ),
   "❌ MISSING CUSTOMER", "✅")</f>
        <v>✅</v>
      </c>
      <c r="K271" s="2" t="str">
        <f t="array" ref="K271">XLOOKUP(I271,customers_clean!$A$2:$A$701,customers_clean!$C$2:$C$701)</f>
        <v>Qi Davis</v>
      </c>
      <c r="L271" s="10" t="str">
        <f t="array" ref="L271">XLOOKUP(I271,customers_clean!$A$2:$A$701,customers_clean!$D$2:$D$701)</f>
        <v>Qi Davis</v>
      </c>
      <c r="M271" s="2" t="str">
        <f t="array" ref="M271">XLOOKUP(I271,customers_clean!$A$2:$A$701,customers_clean!$I$2:$I$701)</f>
        <v>qi.davis@gmail.com </v>
      </c>
      <c r="N271" s="10" t="str">
        <f t="array" ref="N271">XLOOKUP(I271,customers_clean!$A$2:$A$701,customers_clean!$H$2:$H$701)</f>
        <v>qi.davis@gmail.com</v>
      </c>
      <c r="O271" s="9" t="str">
        <f>IFERROR(__xludf.DUMMYFUNCTION("IF(REGEXMATCH(TRIM(N271),""^[A-Za-z0-9._%+-]+@[A-Za-z0-9.-]+\.[A-Za-z]{2,}$""),""✅ Valid"",""❌ Invalid"")"),"✅ Valid")</f>
        <v>✅ Valid</v>
      </c>
      <c r="P271" s="2" t="str">
        <f t="array" ref="P271">XLOOKUP(I271,customers_clean!$A$2:$A$701,customers_clean!$K$2:$K$701)</f>
        <v>+34-551-666772</v>
      </c>
      <c r="Q271" s="10" t="str">
        <f t="array" ref="Q271">XLOOKUP(I271,customers_clean!$A$2:$A$701,customers_clean!$N$2:$N$701)</f>
        <v>551666772</v>
      </c>
      <c r="R271" s="9" t="str">
        <f t="array" ref="R271">XLOOKUP(I271,customers_clean!$A$2:$A$701,customers_clean!$Q$2:$Q$701)</f>
        <v>❌ INVALID</v>
      </c>
      <c r="S271" s="10" t="s">
        <v>58</v>
      </c>
      <c r="T271" s="2" t="s">
        <v>42</v>
      </c>
      <c r="U271" s="2" t="s">
        <v>176</v>
      </c>
      <c r="V271" s="2" t="s">
        <v>1063</v>
      </c>
      <c r="W271" s="9" t="str">
        <f t="array" ref="W271">IF(ISNA(XLOOKUP(V271,products_master_corrected!$A$2:$A$151,products_master_corrected!$A$2:$A$151, NA())),
    "❌ MISSING SKU", "✅")</f>
        <v>✅</v>
      </c>
      <c r="X271" s="2" t="s">
        <v>291</v>
      </c>
      <c r="Y271" s="2" t="s">
        <v>167</v>
      </c>
      <c r="Z271" s="10" t="str">
        <f>PROPER(TRIM(Y271))</f>
        <v>Monitors</v>
      </c>
      <c r="AA271" s="27">
        <v>1.0</v>
      </c>
      <c r="AB271" s="9" t="s">
        <v>8649</v>
      </c>
      <c r="AC271" s="28">
        <f t="array" ref="AC271">XLOOKUP(V271,products_master_corrected!$A$2:$A$151,products_master_corrected!$E$2:$E$151)</f>
        <v>136.55</v>
      </c>
      <c r="AD271" s="28">
        <f t="shared" si="32"/>
        <v>136.55</v>
      </c>
      <c r="AE271" s="28">
        <f t="array" ref="AE271">XLOOKUP(V271,products_master_corrected!$A$2:$A$151,products_master_corrected!$G$2:$G$151)</f>
        <v>156.32</v>
      </c>
      <c r="AF271" s="29">
        <f t="shared" si="33"/>
        <v>156.32</v>
      </c>
      <c r="AG271" s="32" t="s">
        <v>8663</v>
      </c>
      <c r="AH271" s="2" t="s">
        <v>3976</v>
      </c>
      <c r="AI271" s="10" t="s">
        <v>66</v>
      </c>
      <c r="AJ271" s="2" t="s">
        <v>80</v>
      </c>
      <c r="AK271" s="10" t="s">
        <v>80</v>
      </c>
    </row>
    <row r="272" ht="15.75" customHeight="1">
      <c r="A272" s="2" t="s">
        <v>3483</v>
      </c>
      <c r="B272" s="12">
        <v>45839.0</v>
      </c>
      <c r="C272" s="2" t="str">
        <f>IFERROR(__xludf.DUMMYFUNCTION("IF(ISNUMBER(B272),TEXT(B272,""yyyy-MM-dd""),REGEXREPLACE(REGEXREPLACE(TO_TEXT(B272),""[^0-9a-zA-Z]+"",""-""),""[^0-9]*$"",""""))"),"2025-07-01")</f>
        <v>2025-07-01</v>
      </c>
      <c r="D272" s="2" t="s">
        <v>5720</v>
      </c>
      <c r="H272" s="10" t="s">
        <v>5720</v>
      </c>
      <c r="I272" s="2" t="s">
        <v>3485</v>
      </c>
      <c r="J272" s="26" t="str">
        <f t="array" ref="J272">IF(ISNA(XLOOKUP(I272,customers_clean!$A$2:$A$701,customers_clean!$A$2:$A$701, NA()) ),
   "❌ MISSING CUSTOMER", "✅")</f>
        <v>✅</v>
      </c>
      <c r="K272" s="2" t="str">
        <f t="array" ref="K272">XLOOKUP(I272,customers_clean!$A$2:$A$701,customers_clean!$C$2:$C$701)</f>
        <v>Qi Davis</v>
      </c>
      <c r="L272" s="10" t="str">
        <f t="array" ref="L272">XLOOKUP(I272,customers_clean!$A$2:$A$701,customers_clean!$D$2:$D$701)</f>
        <v>Qi Davis</v>
      </c>
      <c r="M272" s="2" t="str">
        <f t="array" ref="M272">XLOOKUP(I272,customers_clean!$A$2:$A$701,customers_clean!$I$2:$I$701)</f>
        <v>qi.davis@gmail.com </v>
      </c>
      <c r="N272" s="10" t="str">
        <f t="array" ref="N272">XLOOKUP(I272,customers_clean!$A$2:$A$701,customers_clean!$H$2:$H$701)</f>
        <v>qi.davis@gmail.com</v>
      </c>
      <c r="O272" s="9" t="str">
        <f>IFERROR(__xludf.DUMMYFUNCTION("IF(REGEXMATCH(TRIM(N272),""^[A-Za-z0-9._%+-]+@[A-Za-z0-9.-]+\.[A-Za-z]{2,}$""),""✅ Valid"",""❌ Invalid"")"),"✅ Valid")</f>
        <v>✅ Valid</v>
      </c>
      <c r="P272" s="2" t="str">
        <f t="array" ref="P272">XLOOKUP(I272,customers_clean!$A$2:$A$701,customers_clean!$K$2:$K$701)</f>
        <v>+34-551-666772</v>
      </c>
      <c r="Q272" s="10" t="str">
        <f t="array" ref="Q272">XLOOKUP(I272,customers_clean!$A$2:$A$701,customers_clean!$N$2:$N$701)</f>
        <v>551666772</v>
      </c>
      <c r="R272" s="9" t="str">
        <f t="array" ref="R272">XLOOKUP(I272,customers_clean!$A$2:$A$701,customers_clean!$Q$2:$Q$701)</f>
        <v>❌ INVALID</v>
      </c>
      <c r="S272" s="10" t="s">
        <v>58</v>
      </c>
      <c r="T272" s="2" t="s">
        <v>42</v>
      </c>
      <c r="U272" s="2" t="s">
        <v>176</v>
      </c>
      <c r="V272" s="2" t="s">
        <v>481</v>
      </c>
      <c r="W272" s="9" t="str">
        <f t="array" ref="W272">IF(ISNA(XLOOKUP(V272,products_master_corrected!$A$2:$A$151,products_master_corrected!$A$2:$A$151, NA())),
    "❌ MISSING SKU", "✅")</f>
        <v>✅</v>
      </c>
      <c r="X272" s="2" t="s">
        <v>291</v>
      </c>
      <c r="Y272" s="2" t="s">
        <v>482</v>
      </c>
      <c r="Z272" s="10" t="s">
        <v>63</v>
      </c>
      <c r="AA272" s="27">
        <v>2.0</v>
      </c>
      <c r="AB272" s="9" t="s">
        <v>8649</v>
      </c>
      <c r="AC272" s="28">
        <f t="array" ref="AC272">XLOOKUP(V272,products_master_corrected!$A$2:$A$151,products_master_corrected!$E$2:$E$151)</f>
        <v>190.18</v>
      </c>
      <c r="AD272" s="28">
        <f t="shared" si="32"/>
        <v>380.36</v>
      </c>
      <c r="AE272" s="28">
        <f t="array" ref="AE272">XLOOKUP(V272,products_master_corrected!$A$2:$A$151,products_master_corrected!$G$2:$G$151)</f>
        <v>217.72</v>
      </c>
      <c r="AF272" s="29">
        <f t="shared" si="33"/>
        <v>435.44</v>
      </c>
      <c r="AG272" s="32" t="s">
        <v>8663</v>
      </c>
      <c r="AH272" s="2" t="s">
        <v>33</v>
      </c>
      <c r="AI272" s="10" t="s">
        <v>181</v>
      </c>
      <c r="AJ272" s="2" t="s">
        <v>261</v>
      </c>
      <c r="AK272" s="10" t="s">
        <v>261</v>
      </c>
      <c r="AL272" s="2" t="s">
        <v>67</v>
      </c>
    </row>
    <row r="273" ht="15.75" customHeight="1">
      <c r="A273" s="2" t="s">
        <v>4457</v>
      </c>
      <c r="B273" s="12">
        <v>45522.0</v>
      </c>
      <c r="C273" s="2" t="str">
        <f>IFERROR(__xludf.DUMMYFUNCTION("IF(ISNUMBER(B273),TEXT(B273,""yyyy-MM-dd""),REGEXREPLACE(REGEXREPLACE(TO_TEXT(B273),""[^0-9a-zA-Z]+"",""-""),""[^0-9]*$"",""""))"),"2024-08-18")</f>
        <v>2024-08-18</v>
      </c>
      <c r="D273" s="2" t="s">
        <v>4458</v>
      </c>
      <c r="H273" s="10" t="s">
        <v>4458</v>
      </c>
      <c r="I273" s="2" t="s">
        <v>3485</v>
      </c>
      <c r="J273" s="26" t="str">
        <f t="array" ref="J273">IF(ISNA(XLOOKUP(I273,customers_clean!$A$2:$A$701,customers_clean!$A$2:$A$701, NA()) ),
   "❌ MISSING CUSTOMER", "✅")</f>
        <v>✅</v>
      </c>
      <c r="K273" s="2" t="str">
        <f t="array" ref="K273">XLOOKUP(I273,customers_clean!$A$2:$A$701,customers_clean!$C$2:$C$701)</f>
        <v>Qi Davis</v>
      </c>
      <c r="L273" s="10" t="str">
        <f t="array" ref="L273">XLOOKUP(I273,customers_clean!$A$2:$A$701,customers_clean!$D$2:$D$701)</f>
        <v>Qi Davis</v>
      </c>
      <c r="M273" s="2" t="str">
        <f t="array" ref="M273">XLOOKUP(I273,customers_clean!$A$2:$A$701,customers_clean!$I$2:$I$701)</f>
        <v>qi.davis@gmail.com </v>
      </c>
      <c r="N273" s="10" t="str">
        <f t="array" ref="N273">XLOOKUP(I273,customers_clean!$A$2:$A$701,customers_clean!$H$2:$H$701)</f>
        <v>qi.davis@gmail.com</v>
      </c>
      <c r="O273" s="9" t="str">
        <f>IFERROR(__xludf.DUMMYFUNCTION("IF(REGEXMATCH(TRIM(N273),""^[A-Za-z0-9._%+-]+@[A-Za-z0-9.-]+\.[A-Za-z]{2,}$""),""✅ Valid"",""❌ Invalid"")"),"✅ Valid")</f>
        <v>✅ Valid</v>
      </c>
      <c r="P273" s="2" t="str">
        <f t="array" ref="P273">XLOOKUP(I273,customers_clean!$A$2:$A$701,customers_clean!$K$2:$K$701)</f>
        <v>+34-551-666772</v>
      </c>
      <c r="Q273" s="10" t="str">
        <f t="array" ref="Q273">XLOOKUP(I273,customers_clean!$A$2:$A$701,customers_clean!$N$2:$N$701)</f>
        <v>551666772</v>
      </c>
      <c r="R273" s="9" t="str">
        <f t="array" ref="R273">XLOOKUP(I273,customers_clean!$A$2:$A$701,customers_clean!$Q$2:$Q$701)</f>
        <v>❌ INVALID</v>
      </c>
      <c r="S273" s="10" t="s">
        <v>58</v>
      </c>
      <c r="T273" s="2" t="s">
        <v>223</v>
      </c>
      <c r="U273" s="2" t="s">
        <v>116</v>
      </c>
      <c r="V273" s="2" t="s">
        <v>3101</v>
      </c>
      <c r="W273" s="9" t="str">
        <f t="array" ref="W273">IF(ISNA(XLOOKUP(V273,products_master_corrected!$A$2:$A$151,products_master_corrected!$A$2:$A$151, NA())),
    "❌ MISSING SKU", "✅")</f>
        <v>✅</v>
      </c>
      <c r="X273" s="2" t="s">
        <v>804</v>
      </c>
      <c r="Y273" s="2" t="s">
        <v>248</v>
      </c>
      <c r="Z273" s="10" t="s">
        <v>248</v>
      </c>
      <c r="AA273" s="27">
        <v>2.0</v>
      </c>
      <c r="AB273" s="9" t="s">
        <v>8649</v>
      </c>
      <c r="AC273" s="28">
        <f t="array" ref="AC273">XLOOKUP(V273,products_master_corrected!$A$2:$A$151,products_master_corrected!$E$2:$E$151)</f>
        <v>23.37</v>
      </c>
      <c r="AD273" s="28">
        <f t="shared" si="32"/>
        <v>46.74</v>
      </c>
      <c r="AE273" s="28">
        <f t="array" ref="AE273">XLOOKUP(V273,products_master_corrected!$A$2:$A$151,products_master_corrected!$G$2:$G$151)</f>
        <v>26.75</v>
      </c>
      <c r="AF273" s="29">
        <f t="shared" si="33"/>
        <v>53.5</v>
      </c>
      <c r="AG273" s="32" t="s">
        <v>8663</v>
      </c>
      <c r="AH273" s="2" t="s">
        <v>33</v>
      </c>
      <c r="AI273" s="10" t="s">
        <v>181</v>
      </c>
      <c r="AJ273" s="2" t="s">
        <v>169</v>
      </c>
      <c r="AK273" s="10" t="s">
        <v>261</v>
      </c>
    </row>
    <row r="274" ht="15.75" customHeight="1">
      <c r="A274" s="2" t="s">
        <v>1330</v>
      </c>
      <c r="B274" s="12">
        <v>45572.0</v>
      </c>
      <c r="C274" s="2" t="str">
        <f>IFERROR(__xludf.DUMMYFUNCTION("IF(ISNUMBER(B274),TEXT(B274,""yyyy-MM-dd""),REGEXREPLACE(REGEXREPLACE(TO_TEXT(B274),""[^0-9a-zA-Z]+"",""-""),""[^0-9]*$"",""""))"),"2024-10-07")</f>
        <v>2024-10-07</v>
      </c>
      <c r="D274" s="2" t="s">
        <v>8781</v>
      </c>
      <c r="H274" s="10" t="s">
        <v>8781</v>
      </c>
      <c r="I274" s="2" t="s">
        <v>1332</v>
      </c>
      <c r="J274" s="26" t="str">
        <f t="array" ref="J274">IF(ISNA(XLOOKUP(I274,customers_clean!$A$2:$A$701,customers_clean!$A$2:$A$701, NA()) ),
   "❌ MISSING CUSTOMER", "✅")</f>
        <v>✅</v>
      </c>
      <c r="K274" s="2" t="str">
        <f t="array" ref="K274">XLOOKUP(I274,customers_clean!$A$2:$A$701,customers_clean!$C$2:$C$701)</f>
        <v>Yara Muller</v>
      </c>
      <c r="L274" s="10" t="str">
        <f t="array" ref="L274">XLOOKUP(I274,customers_clean!$A$2:$A$701,customers_clean!$D$2:$D$701)</f>
        <v>Yara Muller</v>
      </c>
      <c r="M274" s="2" t="str">
        <f t="array" ref="M274">XLOOKUP(I274,customers_clean!$A$2:$A$701,customers_clean!$I$2:$I$701)</f>
        <v>yara.muller@outlook.com </v>
      </c>
      <c r="N274" s="10" t="str">
        <f t="array" ref="N274">XLOOKUP(I274,customers_clean!$A$2:$A$701,customers_clean!$H$2:$H$701)</f>
        <v>yara.muller@outlook.com</v>
      </c>
      <c r="O274" s="9" t="str">
        <f>IFERROR(__xludf.DUMMYFUNCTION("IF(REGEXMATCH(TRIM(N274),""^[A-Za-z0-9._%+-]+@[A-Za-z0-9.-]+\.[A-Za-z]{2,}$""),""✅ Valid"",""❌ Invalid"")"),"✅ Valid")</f>
        <v>✅ Valid</v>
      </c>
      <c r="P274" s="2" t="str">
        <f t="array" ref="P274">XLOOKUP(I274,customers_clean!$A$2:$A$701,customers_clean!$K$2:$K$701)</f>
        <v>+49+3749041718</v>
      </c>
      <c r="Q274" s="10" t="str">
        <f t="array" ref="Q274">XLOOKUP(I274,customers_clean!$A$2:$A$701,customers_clean!$N$2:$N$701)</f>
        <v>3749041718</v>
      </c>
      <c r="R274" s="9" t="str">
        <f t="array" ref="R274">XLOOKUP(I274,customers_clean!$A$2:$A$701,customers_clean!$Q$2:$Q$701)</f>
        <v>❌ INVALID</v>
      </c>
      <c r="S274" s="10" t="s">
        <v>114</v>
      </c>
      <c r="T274" s="2" t="s">
        <v>400</v>
      </c>
      <c r="U274" s="2" t="s">
        <v>312</v>
      </c>
      <c r="V274" s="2" t="s">
        <v>1109</v>
      </c>
      <c r="W274" s="9" t="str">
        <f t="array" ref="W274">IF(ISNA(XLOOKUP(V274,products_master_corrected!$A$2:$A$151,products_master_corrected!$A$2:$A$151, NA())),
    "❌ MISSING SKU", "✅")</f>
        <v>✅</v>
      </c>
      <c r="X274" s="2" t="s">
        <v>62</v>
      </c>
      <c r="Y274" s="2" t="s">
        <v>826</v>
      </c>
      <c r="Z274" s="10" t="s">
        <v>63</v>
      </c>
      <c r="AA274" s="27">
        <v>1.0</v>
      </c>
      <c r="AB274" s="9" t="s">
        <v>8649</v>
      </c>
      <c r="AC274" s="28">
        <f t="array" ref="AC274">XLOOKUP(V274,products_master_corrected!$A$2:$A$151,products_master_corrected!$E$2:$E$151)</f>
        <v>115.14</v>
      </c>
      <c r="AD274" s="28">
        <f t="shared" si="32"/>
        <v>115.14</v>
      </c>
      <c r="AE274" s="28">
        <f t="array" ref="AE274">XLOOKUP(V274,products_master_corrected!$A$2:$A$151,products_master_corrected!$F$2:$F$151)</f>
        <v>115.14</v>
      </c>
      <c r="AF274" s="29">
        <f t="shared" si="33"/>
        <v>115.14</v>
      </c>
      <c r="AG274" s="30" t="s">
        <v>65</v>
      </c>
      <c r="AH274" s="2" t="s">
        <v>33</v>
      </c>
      <c r="AI274" s="10" t="s">
        <v>181</v>
      </c>
      <c r="AJ274" s="2" t="s">
        <v>818</v>
      </c>
      <c r="AK274" s="10" t="s">
        <v>818</v>
      </c>
    </row>
    <row r="275" ht="15.75" customHeight="1">
      <c r="A275" s="2" t="s">
        <v>6151</v>
      </c>
      <c r="B275" s="12">
        <v>45075.0</v>
      </c>
      <c r="C275" s="2" t="str">
        <f>IFERROR(__xludf.DUMMYFUNCTION("IF(ISNUMBER(B275),TEXT(B275,""yyyy-MM-dd""),REGEXREPLACE(REGEXREPLACE(TO_TEXT(B275),""[^0-9a-zA-Z]+"",""-""),""[^0-9]*$"",""""))"),"2023-05-29")</f>
        <v>2023-05-29</v>
      </c>
      <c r="D275" s="2" t="s">
        <v>8782</v>
      </c>
      <c r="H275" s="10" t="s">
        <v>8782</v>
      </c>
      <c r="I275" s="2" t="s">
        <v>1332</v>
      </c>
      <c r="J275" s="26" t="str">
        <f t="array" ref="J275">IF(ISNA(XLOOKUP(I275,customers_clean!$A$2:$A$701,customers_clean!$A$2:$A$701, NA()) ),
   "❌ MISSING CUSTOMER", "✅")</f>
        <v>✅</v>
      </c>
      <c r="K275" s="2" t="str">
        <f t="array" ref="K275">XLOOKUP(I275,customers_clean!$A$2:$A$701,customers_clean!$C$2:$C$701)</f>
        <v>Yara Muller</v>
      </c>
      <c r="L275" s="10" t="str">
        <f t="array" ref="L275">XLOOKUP(I275,customers_clean!$A$2:$A$701,customers_clean!$D$2:$D$701)</f>
        <v>Yara Muller</v>
      </c>
      <c r="M275" s="2" t="str">
        <f t="array" ref="M275">XLOOKUP(I275,customers_clean!$A$2:$A$701,customers_clean!$I$2:$I$701)</f>
        <v>yara.muller@outlook.com </v>
      </c>
      <c r="N275" s="10" t="str">
        <f t="array" ref="N275">XLOOKUP(I275,customers_clean!$A$2:$A$701,customers_clean!$H$2:$H$701)</f>
        <v>yara.muller@outlook.com</v>
      </c>
      <c r="O275" s="9" t="str">
        <f>IFERROR(__xludf.DUMMYFUNCTION("IF(REGEXMATCH(TRIM(N275),""^[A-Za-z0-9._%+-]+@[A-Za-z0-9.-]+\.[A-Za-z]{2,}$""),""✅ Valid"",""❌ Invalid"")"),"✅ Valid")</f>
        <v>✅ Valid</v>
      </c>
      <c r="P275" s="2" t="str">
        <f t="array" ref="P275">XLOOKUP(I275,customers_clean!$A$2:$A$701,customers_clean!$K$2:$K$701)</f>
        <v>+49+3749041718</v>
      </c>
      <c r="Q275" s="10" t="str">
        <f t="array" ref="Q275">XLOOKUP(I275,customers_clean!$A$2:$A$701,customers_clean!$N$2:$N$701)</f>
        <v>3749041718</v>
      </c>
      <c r="R275" s="9" t="str">
        <f t="array" ref="R275">XLOOKUP(I275,customers_clean!$A$2:$A$701,customers_clean!$Q$2:$Q$701)</f>
        <v>❌ INVALID</v>
      </c>
      <c r="S275" s="10" t="s">
        <v>114</v>
      </c>
      <c r="T275" s="2" t="s">
        <v>210</v>
      </c>
      <c r="U275" s="2" t="s">
        <v>480</v>
      </c>
      <c r="V275" s="2" t="s">
        <v>523</v>
      </c>
      <c r="W275" s="9" t="str">
        <f t="array" ref="W275">IF(ISNA(XLOOKUP(V275,products_master_corrected!$A$2:$A$151,products_master_corrected!$A$2:$A$151, NA())),
    "❌ MISSING SKU", "✅")</f>
        <v>✅</v>
      </c>
      <c r="X275" s="2" t="s">
        <v>524</v>
      </c>
      <c r="Y275" s="2" t="s">
        <v>368</v>
      </c>
      <c r="Z275" s="10" t="s">
        <v>368</v>
      </c>
      <c r="AA275" s="27">
        <v>3.0</v>
      </c>
      <c r="AB275" s="9" t="s">
        <v>8649</v>
      </c>
      <c r="AC275" s="28">
        <f t="array" ref="AC275">XLOOKUP(V275,products_master_corrected!$A$2:$A$151,products_master_corrected!$E$2:$E$151)</f>
        <v>199.49</v>
      </c>
      <c r="AD275" s="28">
        <f t="shared" si="32"/>
        <v>598.47</v>
      </c>
      <c r="AE275" s="28">
        <f t="array" ref="AE275">XLOOKUP(V275,products_master_corrected!$A$2:$A$151,products_master_corrected!$F$2:$F$151)</f>
        <v>199.49</v>
      </c>
      <c r="AF275" s="29">
        <f t="shared" si="33"/>
        <v>598.47</v>
      </c>
      <c r="AG275" s="30" t="s">
        <v>65</v>
      </c>
      <c r="AH275" s="2" t="s">
        <v>143</v>
      </c>
      <c r="AI275" s="10" t="s">
        <v>143</v>
      </c>
      <c r="AJ275" s="2" t="s">
        <v>158</v>
      </c>
      <c r="AK275" s="10" t="s">
        <v>818</v>
      </c>
      <c r="AL275" s="2" t="s">
        <v>67</v>
      </c>
    </row>
    <row r="276" ht="15.75" customHeight="1">
      <c r="A276" s="2" t="s">
        <v>2643</v>
      </c>
      <c r="B276" s="12">
        <v>45888.0</v>
      </c>
      <c r="C276" s="2" t="str">
        <f>IFERROR(__xludf.DUMMYFUNCTION("IF(ISNUMBER(B276),TEXT(B276,""yyyy-MM-dd""),REGEXREPLACE(REGEXREPLACE(TO_TEXT(B276),""[^0-9a-zA-Z]+"",""-""),""[^0-9]*$"",""""))"),"2025-08-19")</f>
        <v>2025-08-19</v>
      </c>
      <c r="D276" s="2" t="s">
        <v>2644</v>
      </c>
      <c r="H276" s="10" t="s">
        <v>2644</v>
      </c>
      <c r="I276" s="2" t="s">
        <v>1142</v>
      </c>
      <c r="J276" s="26" t="str">
        <f t="array" ref="J276">IF(ISNA(XLOOKUP(I276,customers_clean!$A$2:$A$701,customers_clean!$A$2:$A$701, NA()) ),
   "❌ MISSING CUSTOMER", "✅")</f>
        <v>✅</v>
      </c>
      <c r="K276" s="2" t="str">
        <f t="array" ref="K276">XLOOKUP(I276,customers_clean!$A$2:$A$701,customers_clean!$C$2:$C$701)</f>
        <v>Uma Walker</v>
      </c>
      <c r="L276" s="10" t="str">
        <f t="array" ref="L276">XLOOKUP(I276,customers_clean!$A$2:$A$701,customers_clean!$D$2:$D$701)</f>
        <v>Uma Walker</v>
      </c>
      <c r="M276" s="2" t="str">
        <f t="array" ref="M276">XLOOKUP(I276,customers_clean!$A$2:$A$701,customers_clean!$I$2:$I$701)</f>
        <v>UMA.WALKER@YAHOO.COM</v>
      </c>
      <c r="N276" s="10" t="str">
        <f t="array" ref="N276">XLOOKUP(I276,customers_clean!$A$2:$A$701,customers_clean!$H$2:$H$701)</f>
        <v>uma.walker@yahoo.com</v>
      </c>
      <c r="O276" s="9" t="str">
        <f>IFERROR(__xludf.DUMMYFUNCTION("IF(REGEXMATCH(TRIM(N276),""^[A-Za-z0-9._%+-]+@[A-Za-z0-9.-]+\.[A-Za-z]{2,}$""),""✅ Valid"",""❌ Invalid"")"),"✅ Valid")</f>
        <v>✅ Valid</v>
      </c>
      <c r="P276" s="2" t="str">
        <f t="array" ref="P276">XLOOKUP(I276,customers_clean!$A$2:$A$701,customers_clean!$K$2:$K$701)</f>
        <v>+33+6967984848</v>
      </c>
      <c r="Q276" s="10" t="str">
        <f t="array" ref="Q276">XLOOKUP(I276,customers_clean!$A$2:$A$701,customers_clean!$N$2:$N$701)</f>
        <v>6967984848</v>
      </c>
      <c r="R276" s="9" t="str">
        <f t="array" ref="R276">XLOOKUP(I276,customers_clean!$A$2:$A$701,customers_clean!$Q$2:$Q$701)</f>
        <v>❌ INVALID</v>
      </c>
      <c r="S276" s="10" t="s">
        <v>58</v>
      </c>
      <c r="T276" s="2" t="s">
        <v>223</v>
      </c>
      <c r="U276" s="2" t="s">
        <v>480</v>
      </c>
      <c r="V276" s="2" t="s">
        <v>501</v>
      </c>
      <c r="W276" s="9" t="str">
        <f t="array" ref="W276">IF(ISNA(XLOOKUP(V276,products_master_corrected!$A$2:$A$151,products_master_corrected!$A$2:$A$151, NA())),
    "❌ MISSING SKU", "✅")</f>
        <v>✅</v>
      </c>
      <c r="X276" s="2" t="s">
        <v>502</v>
      </c>
      <c r="Y276" s="2" t="s">
        <v>503</v>
      </c>
      <c r="Z276" s="10" t="str">
        <f>PROPER(TRIM(Y276))</f>
        <v>Monitors</v>
      </c>
      <c r="AA276" s="27">
        <v>2.0</v>
      </c>
      <c r="AB276" s="9" t="s">
        <v>8649</v>
      </c>
      <c r="AC276" s="28">
        <f t="array" ref="AC276">XLOOKUP(V276,products_master_corrected!$A$2:$A$151,products_master_corrected!$E$2:$E$151)</f>
        <v>1071.94</v>
      </c>
      <c r="AD276" s="28">
        <f t="shared" si="32"/>
        <v>2143.88</v>
      </c>
      <c r="AE276" s="28">
        <f t="array" ref="AE276">XLOOKUP(V276,products_master_corrected!$A$2:$A$151,products_master_corrected!$G$2:$G$151)</f>
        <v>1227.16</v>
      </c>
      <c r="AF276" s="29">
        <f t="shared" si="33"/>
        <v>2454.32</v>
      </c>
      <c r="AG276" s="32" t="s">
        <v>8663</v>
      </c>
      <c r="AH276" s="2" t="s">
        <v>66</v>
      </c>
      <c r="AI276" s="10" t="s">
        <v>66</v>
      </c>
      <c r="AJ276" s="2" t="s">
        <v>306</v>
      </c>
      <c r="AK276" s="10" t="s">
        <v>192</v>
      </c>
      <c r="AL276" s="2" t="s">
        <v>133</v>
      </c>
    </row>
    <row r="277" ht="15.75" customHeight="1">
      <c r="A277" s="2" t="s">
        <v>1140</v>
      </c>
      <c r="B277" s="12">
        <v>45369.0</v>
      </c>
      <c r="C277" s="2" t="str">
        <f>IFERROR(__xludf.DUMMYFUNCTION("IF(ISNUMBER(B277),TEXT(B277,""yyyy-MM-dd""),REGEXREPLACE(REGEXREPLACE(TO_TEXT(B277),""[^0-9a-zA-Z]+"",""-""),""[^0-9]*$"",""""))"),"2024-03-18")</f>
        <v>2024-03-18</v>
      </c>
      <c r="D277" s="2" t="s">
        <v>8685</v>
      </c>
      <c r="H277" s="10" t="s">
        <v>8685</v>
      </c>
      <c r="I277" s="2" t="s">
        <v>1142</v>
      </c>
      <c r="J277" s="26" t="str">
        <f t="array" ref="J277">IF(ISNA(XLOOKUP(I277,customers_clean!$A$2:$A$701,customers_clean!$A$2:$A$701, NA()) ),
   "❌ MISSING CUSTOMER", "✅")</f>
        <v>✅</v>
      </c>
      <c r="K277" s="2" t="str">
        <f t="array" ref="K277">XLOOKUP(I277,customers_clean!$A$2:$A$701,customers_clean!$C$2:$C$701)</f>
        <v>Uma Walker</v>
      </c>
      <c r="L277" s="10" t="str">
        <f t="array" ref="L277">XLOOKUP(I277,customers_clean!$A$2:$A$701,customers_clean!$D$2:$D$701)</f>
        <v>Uma Walker</v>
      </c>
      <c r="M277" s="2" t="str">
        <f t="array" ref="M277">XLOOKUP(I277,customers_clean!$A$2:$A$701,customers_clean!$I$2:$I$701)</f>
        <v>UMA.WALKER@YAHOO.COM</v>
      </c>
      <c r="N277" s="10" t="str">
        <f t="array" ref="N277">XLOOKUP(I277,customers_clean!$A$2:$A$701,customers_clean!$H$2:$H$701)</f>
        <v>uma.walker@yahoo.com</v>
      </c>
      <c r="O277" s="9" t="str">
        <f>IFERROR(__xludf.DUMMYFUNCTION("IF(REGEXMATCH(TRIM(N277),""^[A-Za-z0-9._%+-]+@[A-Za-z0-9.-]+\.[A-Za-z]{2,}$""),""✅ Valid"",""❌ Invalid"")"),"✅ Valid")</f>
        <v>✅ Valid</v>
      </c>
      <c r="P277" s="2" t="str">
        <f t="array" ref="P277">XLOOKUP(I277,customers_clean!$A$2:$A$701,customers_clean!$K$2:$K$701)</f>
        <v>+33+6967984848</v>
      </c>
      <c r="Q277" s="10" t="str">
        <f t="array" ref="Q277">XLOOKUP(I277,customers_clean!$A$2:$A$701,customers_clean!$N$2:$N$701)</f>
        <v>6967984848</v>
      </c>
      <c r="R277" s="9" t="str">
        <f t="array" ref="R277">XLOOKUP(I277,customers_clean!$A$2:$A$701,customers_clean!$Q$2:$Q$701)</f>
        <v>❌ INVALID</v>
      </c>
      <c r="S277" s="10" t="s">
        <v>58</v>
      </c>
      <c r="T277" s="2" t="s">
        <v>234</v>
      </c>
      <c r="U277" s="2" t="s">
        <v>500</v>
      </c>
      <c r="V277" s="2" t="s">
        <v>1146</v>
      </c>
      <c r="W277" s="9" t="str">
        <f t="array" ref="W277">IF(ISNA(XLOOKUP(V277,products_master_corrected!$A$2:$A$151,products_master_corrected!$A$2:$A$151, NA())),
    "❌ MISSING SKU", "✅")</f>
        <v>✅</v>
      </c>
      <c r="X277" s="2" t="s">
        <v>1147</v>
      </c>
      <c r="Y277" s="2" t="s">
        <v>248</v>
      </c>
      <c r="Z277" s="10" t="s">
        <v>248</v>
      </c>
      <c r="AA277" s="27">
        <v>2.0</v>
      </c>
      <c r="AB277" s="9" t="s">
        <v>8649</v>
      </c>
      <c r="AC277" s="28">
        <f t="array" ref="AC277">XLOOKUP(V277,products_master_corrected!$A$2:$A$151,products_master_corrected!$E$2:$E$151)</f>
        <v>152.4</v>
      </c>
      <c r="AD277" s="28">
        <f t="shared" si="32"/>
        <v>304.8</v>
      </c>
      <c r="AE277" s="28">
        <f t="array" ref="AE277">XLOOKUP(V277,products_master_corrected!$A$2:$A$151,products_master_corrected!$G$2:$G$151)</f>
        <v>174.47</v>
      </c>
      <c r="AF277" s="29">
        <f t="shared" si="33"/>
        <v>348.94</v>
      </c>
      <c r="AG277" s="32" t="s">
        <v>8663</v>
      </c>
      <c r="AH277" s="2" t="s">
        <v>143</v>
      </c>
      <c r="AI277" s="10" t="s">
        <v>143</v>
      </c>
      <c r="AJ277" s="2" t="s">
        <v>50</v>
      </c>
      <c r="AK277" s="10" t="s">
        <v>261</v>
      </c>
      <c r="AL277" s="2" t="s">
        <v>67</v>
      </c>
    </row>
    <row r="278" ht="15.75" customHeight="1">
      <c r="A278" s="2" t="s">
        <v>1186</v>
      </c>
      <c r="B278" s="12">
        <v>45522.0</v>
      </c>
      <c r="C278" s="2" t="str">
        <f>IFERROR(__xludf.DUMMYFUNCTION("IF(ISNUMBER(B278),TEXT(B278,""yyyy-MM-dd""),REGEXREPLACE(REGEXREPLACE(TO_TEXT(B278),""[^0-9a-zA-Z]+"",""-""),""[^0-9]*$"",""""))"),"2024-08-18")</f>
        <v>2024-08-18</v>
      </c>
      <c r="D278" s="2" t="s">
        <v>4458</v>
      </c>
      <c r="H278" s="10" t="s">
        <v>4458</v>
      </c>
      <c r="I278" s="2" t="s">
        <v>1188</v>
      </c>
      <c r="J278" s="26" t="str">
        <f t="array" ref="J278">IF(ISNA(XLOOKUP(I278,customers_clean!$A$2:$A$701,customers_clean!$A$2:$A$701, NA()) ),
   "❌ MISSING CUSTOMER", "✅")</f>
        <v>✅</v>
      </c>
      <c r="K278" s="2" t="str">
        <f t="array" ref="K278">XLOOKUP(I278,customers_clean!$A$2:$A$701,customers_clean!$C$2:$C$701)</f>
        <v>Gabe Novak</v>
      </c>
      <c r="L278" s="10" t="str">
        <f t="array" ref="L278">XLOOKUP(I278,customers_clean!$A$2:$A$701,customers_clean!$D$2:$D$701)</f>
        <v>Gabe Novak</v>
      </c>
      <c r="M278" s="2" t="str">
        <f t="array" ref="M278">XLOOKUP(I278,customers_clean!$A$2:$A$701,customers_clean!$I$2:$I$701)</f>
        <v>gabe.novak@outlook.com </v>
      </c>
      <c r="N278" s="10" t="str">
        <f t="array" ref="N278">XLOOKUP(I278,customers_clean!$A$2:$A$701,customers_clean!$H$2:$H$701)</f>
        <v>gabe.novak@outlook.com</v>
      </c>
      <c r="O278" s="9" t="str">
        <f>IFERROR(__xludf.DUMMYFUNCTION("IF(REGEXMATCH(TRIM(N278),""^[A-Za-z0-9._%+-]+@[A-Za-z0-9.-]+\.[A-Za-z]{2,}$""),""✅ Valid"",""❌ Invalid"")"),"✅ Valid")</f>
        <v>✅ Valid</v>
      </c>
      <c r="P278" s="33" t="str">
        <f t="array" ref="P278">XLOOKUP(I278,customers_clean!$A$2:$A$701,customers_clean!$K$2:$K$701)</f>
        <v>+4840639237</v>
      </c>
      <c r="Q278" s="10" t="str">
        <f t="array" ref="Q278">XLOOKUP(I278,customers_clean!$A$2:$A$701,customers_clean!$N$2:$N$701)</f>
        <v>40639237</v>
      </c>
      <c r="R278" s="9" t="str">
        <f t="array" ref="R278">XLOOKUP(I278,customers_clean!$A$2:$A$701,customers_clean!$Q$2:$Q$701)</f>
        <v>❌ INVALID</v>
      </c>
      <c r="S278" s="10" t="s">
        <v>88</v>
      </c>
      <c r="T278" s="2" t="s">
        <v>26</v>
      </c>
      <c r="U278" s="2" t="s">
        <v>480</v>
      </c>
      <c r="V278" s="2" t="s">
        <v>1192</v>
      </c>
      <c r="W278" s="9" t="str">
        <f t="array" ref="W278">IF(ISNA(XLOOKUP(V278,products_master_corrected!$A$2:$A$151,products_master_corrected!$A$2:$A$151, NA())),
    "❌ MISSING SKU", "✅")</f>
        <v>✅</v>
      </c>
      <c r="X278" s="2" t="s">
        <v>1193</v>
      </c>
      <c r="Y278" s="2" t="s">
        <v>179</v>
      </c>
      <c r="Z278" s="10" t="s">
        <v>179</v>
      </c>
      <c r="AA278" s="27">
        <v>1.0</v>
      </c>
      <c r="AB278" s="9" t="s">
        <v>8649</v>
      </c>
      <c r="AC278" s="28">
        <f t="array" ref="AC278">XLOOKUP(V278,products_master_corrected!$A$2:$A$151,products_master_corrected!$E$2:$E$151)</f>
        <v>26.73</v>
      </c>
      <c r="AD278" s="28">
        <f t="shared" si="32"/>
        <v>26.73</v>
      </c>
      <c r="AE278" s="28">
        <f t="array" ref="AE278">XLOOKUP(V278,products_master_corrected!$A$2:$A$151,products_master_corrected!$I$2:$I$151)</f>
        <v>29.47</v>
      </c>
      <c r="AF278" s="29">
        <f t="shared" si="33"/>
        <v>29.47</v>
      </c>
      <c r="AG278" s="32" t="s">
        <v>8660</v>
      </c>
      <c r="AH278" s="2" t="s">
        <v>131</v>
      </c>
      <c r="AI278" s="10" t="s">
        <v>181</v>
      </c>
      <c r="AJ278" s="2" t="s">
        <v>50</v>
      </c>
      <c r="AK278" s="10" t="s">
        <v>261</v>
      </c>
      <c r="AL278" s="2" t="s">
        <v>81</v>
      </c>
    </row>
    <row r="279" ht="15.75" customHeight="1">
      <c r="A279" s="2" t="s">
        <v>4863</v>
      </c>
      <c r="B279" s="12">
        <v>45549.0</v>
      </c>
      <c r="C279" s="2" t="str">
        <f>IFERROR(__xludf.DUMMYFUNCTION("IF(ISNUMBER(B279),TEXT(B279,""yyyy-MM-dd""),REGEXREPLACE(REGEXREPLACE(TO_TEXT(B279),""[^0-9a-zA-Z]+"",""-""),""[^0-9]*$"",""""))"),"2024-09-14")</f>
        <v>2024-09-14</v>
      </c>
      <c r="D279" s="2" t="s">
        <v>7769</v>
      </c>
      <c r="H279" s="10" t="s">
        <v>7769</v>
      </c>
      <c r="I279" s="2" t="s">
        <v>1188</v>
      </c>
      <c r="J279" s="26" t="str">
        <f t="array" ref="J279">IF(ISNA(XLOOKUP(I279,customers_clean!$A$2:$A$701,customers_clean!$A$2:$A$701, NA()) ),
   "❌ MISSING CUSTOMER", "✅")</f>
        <v>✅</v>
      </c>
      <c r="K279" s="2" t="str">
        <f t="array" ref="K279">XLOOKUP(I279,customers_clean!$A$2:$A$701,customers_clean!$C$2:$C$701)</f>
        <v>Gabe Novak</v>
      </c>
      <c r="L279" s="10" t="str">
        <f t="array" ref="L279">XLOOKUP(I279,customers_clean!$A$2:$A$701,customers_clean!$D$2:$D$701)</f>
        <v>Gabe Novak</v>
      </c>
      <c r="M279" s="2" t="str">
        <f t="array" ref="M279">XLOOKUP(I279,customers_clean!$A$2:$A$701,customers_clean!$I$2:$I$701)</f>
        <v>gabe.novak@outlook.com </v>
      </c>
      <c r="N279" s="10" t="str">
        <f t="array" ref="N279">XLOOKUP(I279,customers_clean!$A$2:$A$701,customers_clean!$H$2:$H$701)</f>
        <v>gabe.novak@outlook.com</v>
      </c>
      <c r="O279" s="9" t="str">
        <f>IFERROR(__xludf.DUMMYFUNCTION("IF(REGEXMATCH(TRIM(N279),""^[A-Za-z0-9._%+-]+@[A-Za-z0-9.-]+\.[A-Za-z]{2,}$""),""✅ Valid"",""❌ Invalid"")"),"✅ Valid")</f>
        <v>✅ Valid</v>
      </c>
      <c r="P279" s="33" t="str">
        <f t="array" ref="P279">XLOOKUP(I279,customers_clean!$A$2:$A$701,customers_clean!$K$2:$K$701)</f>
        <v>+4840639237</v>
      </c>
      <c r="Q279" s="10" t="str">
        <f t="array" ref="Q279">XLOOKUP(I279,customers_clean!$A$2:$A$701,customers_clean!$N$2:$N$701)</f>
        <v>40639237</v>
      </c>
      <c r="R279" s="9" t="str">
        <f t="array" ref="R279">XLOOKUP(I279,customers_clean!$A$2:$A$701,customers_clean!$Q$2:$Q$701)</f>
        <v>❌ INVALID</v>
      </c>
      <c r="S279" s="10" t="s">
        <v>88</v>
      </c>
      <c r="T279" s="2" t="s">
        <v>223</v>
      </c>
      <c r="U279" s="2" t="s">
        <v>103</v>
      </c>
      <c r="V279" s="2" t="s">
        <v>91</v>
      </c>
      <c r="W279" s="9" t="str">
        <f t="array" ref="W279">IF(ISNA(XLOOKUP(V279,products_master_corrected!$A$2:$A$151,products_master_corrected!$A$2:$A$151, NA())),
    "❌ MISSING SKU", "✅")</f>
        <v>✅</v>
      </c>
      <c r="X279" s="2" t="s">
        <v>259</v>
      </c>
      <c r="Y279" s="2" t="s">
        <v>93</v>
      </c>
      <c r="Z279" s="10" t="s">
        <v>368</v>
      </c>
      <c r="AA279" s="27">
        <v>2.0</v>
      </c>
      <c r="AB279" s="9" t="s">
        <v>8649</v>
      </c>
      <c r="AC279" s="28">
        <f t="array" ref="AC279">XLOOKUP(V279,products_master_corrected!$A$2:$A$151,products_master_corrected!$E$2:$E$151)</f>
        <v>30.17</v>
      </c>
      <c r="AD279" s="28">
        <f t="shared" si="32"/>
        <v>60.34</v>
      </c>
      <c r="AE279" s="28">
        <f t="array" ref="AE279">XLOOKUP(V279,products_master_corrected!$A$2:$A$151,products_master_corrected!$I$2:$I$151)</f>
        <v>33.26</v>
      </c>
      <c r="AF279" s="29">
        <f t="shared" si="33"/>
        <v>66.52</v>
      </c>
      <c r="AG279" s="32" t="s">
        <v>8660</v>
      </c>
      <c r="AH279" s="2" t="s">
        <v>143</v>
      </c>
      <c r="AI279" s="10" t="s">
        <v>143</v>
      </c>
      <c r="AJ279" s="2" t="s">
        <v>80</v>
      </c>
      <c r="AK279" s="10" t="s">
        <v>80</v>
      </c>
    </row>
    <row r="280" ht="15.75" customHeight="1">
      <c r="A280" s="2" t="s">
        <v>2885</v>
      </c>
      <c r="B280" s="12">
        <v>45805.0</v>
      </c>
      <c r="C280" s="2" t="str">
        <f>IFERROR(__xludf.DUMMYFUNCTION("IF(ISNUMBER(B280),TEXT(B280,""yyyy-MM-dd""),REGEXREPLACE(REGEXREPLACE(TO_TEXT(B280),""[^0-9a-zA-Z]+"",""-""),""[^0-9]*$"",""""))"),"2025-05-28")</f>
        <v>2025-05-28</v>
      </c>
      <c r="D280" s="2" t="s">
        <v>8783</v>
      </c>
      <c r="H280" s="10" t="s">
        <v>8783</v>
      </c>
      <c r="I280" s="2" t="s">
        <v>2887</v>
      </c>
      <c r="J280" s="26" t="str">
        <f t="array" ref="J280">IF(ISNA(XLOOKUP(I280,customers_clean!$A$2:$A$701,customers_clean!$A$2:$A$701, NA()) ),
   "❌ MISSING CUSTOMER", "✅")</f>
        <v>✅</v>
      </c>
      <c r="K280" s="2" t="str">
        <f t="array" ref="K280">XLOOKUP(I280,customers_clean!$A$2:$A$701,customers_clean!$C$2:$C$701)</f>
        <v>Daria Khan</v>
      </c>
      <c r="L280" s="10" t="str">
        <f t="array" ref="L280">XLOOKUP(I280,customers_clean!$A$2:$A$701,customers_clean!$D$2:$D$701)</f>
        <v>Daria Khan</v>
      </c>
      <c r="M280" s="2" t="str">
        <f t="array" ref="M280">XLOOKUP(I280,customers_clean!$A$2:$A$701,customers_clean!$I$2:$I$701)</f>
        <v> daria.khan@yahoo.com</v>
      </c>
      <c r="N280" s="10" t="str">
        <f t="array" ref="N280">XLOOKUP(I280,customers_clean!$A$2:$A$701,customers_clean!$H$2:$H$701)</f>
        <v>daria.khan@yahoo.com</v>
      </c>
      <c r="O280" s="9" t="str">
        <f>IFERROR(__xludf.DUMMYFUNCTION("IF(REGEXMATCH(TRIM(N280),""^[A-Za-z0-9._%+-]+@[A-Za-z0-9.-]+\.[A-Za-z]{2,}$""),""✅ Valid"",""❌ Invalid"")"),"✅ Valid")</f>
        <v>✅ Valid</v>
      </c>
      <c r="P280" s="2" t="str">
        <f t="array" ref="P280">XLOOKUP(I280,customers_clean!$A$2:$A$701,customers_clean!$K$2:$K$701)</f>
        <v>missing</v>
      </c>
      <c r="Q280" s="10" t="str">
        <f t="array" ref="Q280">XLOOKUP(I280,customers_clean!$A$2:$A$701,customers_clean!$N$2:$N$701)</f>
        <v/>
      </c>
      <c r="R280" s="9" t="str">
        <f t="array" ref="R280">XLOOKUP(I280,customers_clean!$A$2:$A$701,customers_clean!$Q$2:$Q$701)</f>
        <v>❌ INVALID</v>
      </c>
      <c r="S280" s="10" t="s">
        <v>448</v>
      </c>
      <c r="T280" s="2" t="s">
        <v>26</v>
      </c>
      <c r="U280" s="2" t="s">
        <v>176</v>
      </c>
      <c r="V280" s="2" t="s">
        <v>490</v>
      </c>
      <c r="W280" s="9" t="str">
        <f t="array" ref="W280">IF(ISNA(XLOOKUP(V280,products_master_corrected!$A$2:$A$151,products_master_corrected!$A$2:$A$151, NA())),
    "❌ MISSING SKU", "✅")</f>
        <v>✅</v>
      </c>
      <c r="X280" s="2" t="s">
        <v>29</v>
      </c>
      <c r="Y280" s="2" t="s">
        <v>492</v>
      </c>
      <c r="Z280" s="10" t="s">
        <v>514</v>
      </c>
      <c r="AA280" s="27">
        <v>1.0</v>
      </c>
      <c r="AB280" s="9" t="s">
        <v>8649</v>
      </c>
      <c r="AC280" s="28">
        <f t="array" ref="AC280">XLOOKUP(V280,products_master_corrected!$A$2:$A$151,products_master_corrected!$E$2:$E$151)</f>
        <v>116.45</v>
      </c>
      <c r="AD280" s="28">
        <f t="shared" si="32"/>
        <v>116.45</v>
      </c>
      <c r="AE280" s="28">
        <f t="array" ref="AE280">XLOOKUP(V280,products_master_corrected!$A$2:$A$151,products_master_corrected!$M$2:$M$151)</f>
        <v>140.86</v>
      </c>
      <c r="AF280" s="29">
        <f t="shared" si="33"/>
        <v>140.86</v>
      </c>
      <c r="AG280" s="30" t="s">
        <v>48</v>
      </c>
      <c r="AH280" s="2" t="s">
        <v>2891</v>
      </c>
      <c r="AI280" s="10" t="s">
        <v>143</v>
      </c>
      <c r="AJ280" s="2" t="s">
        <v>80</v>
      </c>
      <c r="AK280" s="10" t="s">
        <v>80</v>
      </c>
      <c r="AL280" s="2" t="s">
        <v>133</v>
      </c>
    </row>
    <row r="281" ht="15.75" customHeight="1">
      <c r="A281" s="2" t="s">
        <v>4519</v>
      </c>
      <c r="B281" s="12">
        <v>45206.0</v>
      </c>
      <c r="C281" s="2" t="str">
        <f>IFERROR(__xludf.DUMMYFUNCTION("IF(ISNUMBER(B281),TEXT(B281,""yyyy-MM-dd""),REGEXREPLACE(REGEXREPLACE(TO_TEXT(B281),""[^0-9a-zA-Z]+"",""-""),""[^0-9]*$"",""""))"),"2023-10-07")</f>
        <v>2023-10-07</v>
      </c>
      <c r="D281" s="2" t="s">
        <v>8784</v>
      </c>
      <c r="H281" s="10" t="s">
        <v>8784</v>
      </c>
      <c r="I281" s="2" t="s">
        <v>4521</v>
      </c>
      <c r="J281" s="26" t="str">
        <f t="array" ref="J281">IF(ISNA(XLOOKUP(I281,customers_clean!$A$2:$A$701,customers_clean!$A$2:$A$701, NA()) ),
   "❌ MISSING CUSTOMER", "✅")</f>
        <v>✅</v>
      </c>
      <c r="K281" s="2" t="str">
        <f t="array" ref="K281">XLOOKUP(I281,customers_clean!$A$2:$A$701,customers_clean!$C$2:$C$701)</f>
        <v>Igor  Williams</v>
      </c>
      <c r="L281" s="10" t="str">
        <f t="array" ref="L281">XLOOKUP(I281,customers_clean!$A$2:$A$701,customers_clean!$D$2:$D$701)</f>
        <v>Igor Williams</v>
      </c>
      <c r="M281" s="2" t="str">
        <f t="array" ref="M281">XLOOKUP(I281,customers_clean!$A$2:$A$701,customers_clean!$I$2:$I$701)</f>
        <v>igor.williams@shop.io</v>
      </c>
      <c r="N281" s="10" t="str">
        <f t="array" ref="N281">XLOOKUP(I281,customers_clean!$A$2:$A$701,customers_clean!$H$2:$H$701)</f>
        <v>igor.williams@shop.io</v>
      </c>
      <c r="O281" s="9" t="str">
        <f>IFERROR(__xludf.DUMMYFUNCTION("IF(REGEXMATCH(TRIM(N281),""^[A-Za-z0-9._%+-]+@[A-Za-z0-9.-]+\.[A-Za-z]{2,}$""),""✅ Valid"",""❌ Invalid"")"),"✅ Valid")</f>
        <v>✅ Valid</v>
      </c>
      <c r="P281" s="2" t="str">
        <f t="array" ref="P281">XLOOKUP(I281,customers_clean!$A$2:$A$701,customers_clean!$K$2:$K$701)</f>
        <v>tel:+4459912991963</v>
      </c>
      <c r="Q281" s="10" t="str">
        <f t="array" ref="Q281">XLOOKUP(I281,customers_clean!$A$2:$A$701,customers_clean!$N$2:$N$701)</f>
        <v>59912991963</v>
      </c>
      <c r="R281" s="9" t="str">
        <f t="array" ref="R281">XLOOKUP(I281,customers_clean!$A$2:$A$701,customers_clean!$Q$2:$Q$701)</f>
        <v>❌ INVALID</v>
      </c>
      <c r="S281" s="10" t="s">
        <v>114</v>
      </c>
      <c r="T281" s="2" t="s">
        <v>323</v>
      </c>
      <c r="U281" s="2" t="s">
        <v>90</v>
      </c>
      <c r="V281" s="2" t="s">
        <v>411</v>
      </c>
      <c r="W281" s="9" t="str">
        <f t="array" ref="W281">IF(ISNA(XLOOKUP(V281,products_master_corrected!$A$2:$A$151,products_master_corrected!$A$2:$A$151, NA())),
    "❌ MISSING SKU", "✅")</f>
        <v>✅</v>
      </c>
      <c r="X281" s="2" t="s">
        <v>412</v>
      </c>
      <c r="Y281" s="2" t="s">
        <v>167</v>
      </c>
      <c r="Z281" s="10" t="str">
        <f>PROPER(TRIM(Y281))</f>
        <v>Monitors</v>
      </c>
      <c r="AA281" s="27">
        <v>2.0</v>
      </c>
      <c r="AB281" s="9" t="s">
        <v>8649</v>
      </c>
      <c r="AC281" s="28">
        <f t="array" ref="AC281">XLOOKUP(V281,products_master_corrected!$A$2:$A$151,products_master_corrected!$E$2:$E$151)</f>
        <v>363.33</v>
      </c>
      <c r="AD281" s="28">
        <f t="shared" si="32"/>
        <v>726.66</v>
      </c>
      <c r="AE281" s="28">
        <f t="array" ref="AE281">XLOOKUP(V281,products_master_corrected!$A$2:$A$151,products_master_corrected!$F$2:$F$151)</f>
        <v>363.33</v>
      </c>
      <c r="AF281" s="29">
        <f t="shared" si="33"/>
        <v>726.66</v>
      </c>
      <c r="AG281" s="30" t="s">
        <v>65</v>
      </c>
      <c r="AH281" s="2" t="s">
        <v>33</v>
      </c>
      <c r="AI281" s="10" t="s">
        <v>181</v>
      </c>
      <c r="AJ281" s="2" t="s">
        <v>818</v>
      </c>
      <c r="AK281" s="10" t="s">
        <v>818</v>
      </c>
    </row>
    <row r="282" ht="15.75" customHeight="1">
      <c r="A282" s="2" t="s">
        <v>3451</v>
      </c>
      <c r="B282" s="12" t="s">
        <v>3452</v>
      </c>
      <c r="C282" s="2" t="str">
        <f>IFERROR(__xludf.DUMMYFUNCTION("IF(ISNUMBER(B282),TEXT(B282,""yyyy-MM-dd""),REGEXREPLACE(REGEXREPLACE(TO_TEXT(B282),""[^0-9a-zA-Z]+"",""-""),""[^0-9]*$"",""""))"),"45395-23-17")</f>
        <v>45395-23-17</v>
      </c>
      <c r="D282" s="2" t="str">
        <f>TEXT(C282,"yyyy-MM-dd")</f>
        <v>45395-23-17</v>
      </c>
      <c r="E282" s="25" t="str">
        <f>CONCATENATE(LEFT(D282,5))</f>
        <v>45395</v>
      </c>
      <c r="F282" s="12">
        <f>DATE(1900,1,1) + E282 - 1</f>
        <v>45396</v>
      </c>
      <c r="G282" s="2" t="s">
        <v>8785</v>
      </c>
      <c r="H282" s="10" t="s">
        <v>8785</v>
      </c>
      <c r="I282" s="2" t="s">
        <v>2266</v>
      </c>
      <c r="J282" s="26" t="str">
        <f t="array" ref="J282">IF(ISNA(XLOOKUP(I282,customers_clean!$A$2:$A$701,customers_clean!$A$2:$A$701, NA()) ),
   "❌ MISSING CUSTOMER", "✅")</f>
        <v>✅</v>
      </c>
      <c r="K282" s="2" t="str">
        <f t="array" ref="K282">XLOOKUP(I282,customers_clean!$A$2:$A$701,customers_clean!$C$2:$C$701)</f>
        <v>Uma  Rodriguez</v>
      </c>
      <c r="L282" s="10" t="str">
        <f t="array" ref="L282">XLOOKUP(I282,customers_clean!$A$2:$A$701,customers_clean!$D$2:$D$701)</f>
        <v>Uma Rodriguez</v>
      </c>
      <c r="M282" s="2" t="str">
        <f t="array" ref="M282">XLOOKUP(I282,customers_clean!$A$2:$A$701,customers_clean!$I$2:$I$701)</f>
        <v> uma.rodriguez@shop.io</v>
      </c>
      <c r="N282" s="10" t="str">
        <f t="array" ref="N282">XLOOKUP(I282,customers_clean!$A$2:$A$701,customers_clean!$H$2:$H$701)</f>
        <v>uma.rodriguez@shop.io</v>
      </c>
      <c r="O282" s="9" t="str">
        <f>IFERROR(__xludf.DUMMYFUNCTION("IF(REGEXMATCH(TRIM(N282),""^[A-Za-z0-9._%+-]+@[A-Za-z0-9.-]+\.[A-Za-z]{2,}$""),""✅ Valid"",""❌ Invalid"")"),"✅ Valid")</f>
        <v>✅ Valid</v>
      </c>
      <c r="P282" s="2" t="str">
        <f t="array" ref="P282">XLOOKUP(I282,customers_clean!$A$2:$A$701,customers_clean!$K$2:$K$701)</f>
        <v>+44-142-7604223</v>
      </c>
      <c r="Q282" s="10" t="str">
        <f t="array" ref="Q282">XLOOKUP(I282,customers_clean!$A$2:$A$701,customers_clean!$N$2:$N$701)</f>
        <v>1427604223</v>
      </c>
      <c r="R282" s="9" t="str">
        <f t="array" ref="R282">XLOOKUP(I282,customers_clean!$A$2:$A$701,customers_clean!$Q$2:$Q$701)</f>
        <v>❌ INVALID</v>
      </c>
      <c r="S282" s="10" t="s">
        <v>139</v>
      </c>
      <c r="T282" s="2" t="s">
        <v>802</v>
      </c>
      <c r="U282" s="2" t="s">
        <v>401</v>
      </c>
      <c r="V282" s="2" t="s">
        <v>3454</v>
      </c>
      <c r="W282" s="9" t="str">
        <f t="array" ref="W282">IF(ISNA(XLOOKUP(V282,products_master_corrected!$A$2:$A$151,products_master_corrected!$A$2:$A$151, NA())),
    "❌ MISSING SKU", "✅")</f>
        <v>✅</v>
      </c>
      <c r="X282" s="2" t="s">
        <v>524</v>
      </c>
      <c r="Y282" s="2" t="s">
        <v>179</v>
      </c>
      <c r="Z282" s="10" t="s">
        <v>179</v>
      </c>
      <c r="AA282" s="27">
        <v>2.0</v>
      </c>
      <c r="AB282" s="9" t="s">
        <v>8649</v>
      </c>
      <c r="AC282" s="28">
        <f t="array" ref="AC282">XLOOKUP(V282,products_master_corrected!$A$2:$A$151,products_master_corrected!$E$2:$E$151)</f>
        <v>270.01</v>
      </c>
      <c r="AD282" s="28">
        <f t="shared" si="32"/>
        <v>540.02</v>
      </c>
      <c r="AE282" s="28">
        <f t="array" ref="AE282">XLOOKUP(V282,products_master_corrected!$A$2:$A$151,products_master_corrected!$L$2:$L$151)</f>
        <v>292.02</v>
      </c>
      <c r="AF282" s="29">
        <f t="shared" si="33"/>
        <v>584.04</v>
      </c>
      <c r="AG282" s="32" t="s">
        <v>8665</v>
      </c>
      <c r="AH282" s="2" t="s">
        <v>181</v>
      </c>
      <c r="AI282" s="10" t="s">
        <v>181</v>
      </c>
      <c r="AJ282" s="2" t="s">
        <v>192</v>
      </c>
      <c r="AK282" s="10" t="s">
        <v>192</v>
      </c>
      <c r="AL282" s="2" t="s">
        <v>133</v>
      </c>
    </row>
    <row r="283" ht="15.75" customHeight="1">
      <c r="A283" s="2" t="s">
        <v>2264</v>
      </c>
      <c r="B283" s="12">
        <v>44960.058333333334</v>
      </c>
      <c r="C283" s="2" t="str">
        <f>IFERROR(__xludf.DUMMYFUNCTION("IF(ISNUMBER(B283),TEXT(B283,""yyyy-MM-dd""),REGEXREPLACE(REGEXREPLACE(TO_TEXT(B283),""[^0-9a-zA-Z]+"",""-""),""[^0-9]*$"",""""))"),"2023-02-03")</f>
        <v>2023-02-03</v>
      </c>
      <c r="D283" s="2" t="s">
        <v>8786</v>
      </c>
      <c r="H283" s="10" t="s">
        <v>8786</v>
      </c>
      <c r="I283" s="2" t="s">
        <v>2266</v>
      </c>
      <c r="J283" s="26" t="str">
        <f t="array" ref="J283">IF(ISNA(XLOOKUP(I283,customers_clean!$A$2:$A$701,customers_clean!$A$2:$A$701, NA()) ),
   "❌ MISSING CUSTOMER", "✅")</f>
        <v>✅</v>
      </c>
      <c r="K283" s="2" t="str">
        <f t="array" ref="K283">XLOOKUP(I283,customers_clean!$A$2:$A$701,customers_clean!$C$2:$C$701)</f>
        <v>Uma  Rodriguez</v>
      </c>
      <c r="L283" s="10" t="str">
        <f t="array" ref="L283">XLOOKUP(I283,customers_clean!$A$2:$A$701,customers_clean!$D$2:$D$701)</f>
        <v>Uma Rodriguez</v>
      </c>
      <c r="M283" s="2" t="str">
        <f t="array" ref="M283">XLOOKUP(I283,customers_clean!$A$2:$A$701,customers_clean!$I$2:$I$701)</f>
        <v> uma.rodriguez@shop.io</v>
      </c>
      <c r="N283" s="10" t="str">
        <f t="array" ref="N283">XLOOKUP(I283,customers_clean!$A$2:$A$701,customers_clean!$H$2:$H$701)</f>
        <v>uma.rodriguez@shop.io</v>
      </c>
      <c r="O283" s="9" t="str">
        <f>IFERROR(__xludf.DUMMYFUNCTION("IF(REGEXMATCH(TRIM(N283),""^[A-Za-z0-9._%+-]+@[A-Za-z0-9.-]+\.[A-Za-z]{2,}$""),""✅ Valid"",""❌ Invalid"")"),"✅ Valid")</f>
        <v>✅ Valid</v>
      </c>
      <c r="P283" s="2" t="str">
        <f t="array" ref="P283">XLOOKUP(I283,customers_clean!$A$2:$A$701,customers_clean!$K$2:$K$701)</f>
        <v>+44-142-7604223</v>
      </c>
      <c r="Q283" s="10" t="str">
        <f t="array" ref="Q283">XLOOKUP(I283,customers_clean!$A$2:$A$701,customers_clean!$N$2:$N$701)</f>
        <v>1427604223</v>
      </c>
      <c r="R283" s="9" t="str">
        <f t="array" ref="R283">XLOOKUP(I283,customers_clean!$A$2:$A$701,customers_clean!$Q$2:$Q$701)</f>
        <v>❌ INVALID</v>
      </c>
      <c r="S283" s="10" t="s">
        <v>139</v>
      </c>
      <c r="T283" s="2" t="s">
        <v>2269</v>
      </c>
      <c r="U283" s="2" t="s">
        <v>512</v>
      </c>
      <c r="V283" s="2" t="s">
        <v>2240</v>
      </c>
      <c r="W283" s="9" t="str">
        <f t="array" ref="W283">IF(ISNA(XLOOKUP(V283,products_master_corrected!$A$2:$A$151,products_master_corrected!$A$2:$A$151, NA())),
    "❌ MISSING SKU", "✅")</f>
        <v>✅</v>
      </c>
      <c r="X283" s="2" t="s">
        <v>403</v>
      </c>
      <c r="Y283" s="2" t="s">
        <v>742</v>
      </c>
      <c r="Z283" s="10" t="s">
        <v>355</v>
      </c>
      <c r="AA283" s="27">
        <v>2.0</v>
      </c>
      <c r="AB283" s="9" t="s">
        <v>8649</v>
      </c>
      <c r="AC283" s="28">
        <f t="array" ref="AC283">XLOOKUP(V283,products_master_corrected!$A$2:$A$151,products_master_corrected!$E$2:$E$151)</f>
        <v>23.6</v>
      </c>
      <c r="AD283" s="28">
        <f t="shared" si="32"/>
        <v>47.2</v>
      </c>
      <c r="AE283" s="28">
        <f t="array" ref="AE283">XLOOKUP(V283,products_master_corrected!$A$2:$A$151,products_master_corrected!$L$2:$L$151)</f>
        <v>25.52</v>
      </c>
      <c r="AF283" s="29">
        <f t="shared" si="33"/>
        <v>51.04</v>
      </c>
      <c r="AG283" s="32" t="s">
        <v>8665</v>
      </c>
      <c r="AH283" s="2" t="s">
        <v>181</v>
      </c>
      <c r="AI283" s="10" t="s">
        <v>181</v>
      </c>
      <c r="AJ283" s="2" t="s">
        <v>306</v>
      </c>
      <c r="AK283" s="10" t="s">
        <v>192</v>
      </c>
      <c r="AL283" s="2" t="s">
        <v>133</v>
      </c>
    </row>
    <row r="284" ht="15.75" customHeight="1">
      <c r="A284" s="2" t="s">
        <v>5255</v>
      </c>
      <c r="B284" s="12" t="s">
        <v>5256</v>
      </c>
      <c r="C284" s="2" t="str">
        <f>IFERROR(__xludf.DUMMYFUNCTION("IF(ISNUMBER(B284),TEXT(B284,""yyyy-MM-dd""),REGEXREPLACE(REGEXREPLACE(TO_TEXT(B284),""[^0-9a-zA-Z]+"",""-""),""[^0-9]*$"",""""))"),"28-07-2025")</f>
        <v>28-07-2025</v>
      </c>
      <c r="D284" s="2" t="s">
        <v>6027</v>
      </c>
      <c r="H284" s="10" t="s">
        <v>6027</v>
      </c>
      <c r="I284" s="2" t="s">
        <v>2266</v>
      </c>
      <c r="J284" s="26" t="str">
        <f t="array" ref="J284">IF(ISNA(XLOOKUP(I284,customers_clean!$A$2:$A$701,customers_clean!$A$2:$A$701, NA()) ),
   "❌ MISSING CUSTOMER", "✅")</f>
        <v>✅</v>
      </c>
      <c r="K284" s="2" t="str">
        <f t="array" ref="K284">XLOOKUP(I284,customers_clean!$A$2:$A$701,customers_clean!$C$2:$C$701)</f>
        <v>Uma  Rodriguez</v>
      </c>
      <c r="L284" s="10" t="str">
        <f t="array" ref="L284">XLOOKUP(I284,customers_clean!$A$2:$A$701,customers_clean!$D$2:$D$701)</f>
        <v>Uma Rodriguez</v>
      </c>
      <c r="M284" s="2" t="str">
        <f t="array" ref="M284">XLOOKUP(I284,customers_clean!$A$2:$A$701,customers_clean!$I$2:$I$701)</f>
        <v> uma.rodriguez@shop.io</v>
      </c>
      <c r="N284" s="10" t="str">
        <f t="array" ref="N284">XLOOKUP(I284,customers_clean!$A$2:$A$701,customers_clean!$H$2:$H$701)</f>
        <v>uma.rodriguez@shop.io</v>
      </c>
      <c r="O284" s="9" t="str">
        <f>IFERROR(__xludf.DUMMYFUNCTION("IF(REGEXMATCH(TRIM(N284),""^[A-Za-z0-9._%+-]+@[A-Za-z0-9.-]+\.[A-Za-z]{2,}$""),""✅ Valid"",""❌ Invalid"")"),"✅ Valid")</f>
        <v>✅ Valid</v>
      </c>
      <c r="P284" s="2" t="str">
        <f t="array" ref="P284">XLOOKUP(I284,customers_clean!$A$2:$A$701,customers_clean!$K$2:$K$701)</f>
        <v>+44-142-7604223</v>
      </c>
      <c r="Q284" s="10" t="str">
        <f t="array" ref="Q284">XLOOKUP(I284,customers_clean!$A$2:$A$701,customers_clean!$N$2:$N$701)</f>
        <v>1427604223</v>
      </c>
      <c r="R284" s="9" t="str">
        <f t="array" ref="R284">XLOOKUP(I284,customers_clean!$A$2:$A$701,customers_clean!$Q$2:$Q$701)</f>
        <v>❌ INVALID</v>
      </c>
      <c r="S284" s="10" t="s">
        <v>139</v>
      </c>
      <c r="T284" s="2" t="s">
        <v>223</v>
      </c>
      <c r="U284" s="2" t="s">
        <v>401</v>
      </c>
      <c r="V284" s="2" t="s">
        <v>422</v>
      </c>
      <c r="W284" s="9" t="str">
        <f t="array" ref="W284">IF(ISNA(XLOOKUP(V284,products_master_corrected!$A$2:$A$151,products_master_corrected!$A$2:$A$151, NA())),
    "❌ MISSING SKU", "✅")</f>
        <v>✅</v>
      </c>
      <c r="X284" s="2" t="s">
        <v>423</v>
      </c>
      <c r="Y284" s="2" t="s">
        <v>292</v>
      </c>
      <c r="Z284" s="10" t="s">
        <v>63</v>
      </c>
      <c r="AA284" s="27">
        <v>1.0</v>
      </c>
      <c r="AB284" s="9" t="s">
        <v>8649</v>
      </c>
      <c r="AC284" s="28">
        <f t="array" ref="AC284">XLOOKUP(V284,products_master_corrected!$A$2:$A$151,products_master_corrected!$E$2:$E$151)</f>
        <v>74.3</v>
      </c>
      <c r="AD284" s="28">
        <f t="shared" si="32"/>
        <v>74.3</v>
      </c>
      <c r="AE284" s="28">
        <f t="array" ref="AE284">XLOOKUP(V284,products_master_corrected!$A$2:$A$151,products_master_corrected!$L$2:$L$151)</f>
        <v>80.36</v>
      </c>
      <c r="AF284" s="29">
        <f t="shared" si="33"/>
        <v>80.36</v>
      </c>
      <c r="AG284" s="32" t="s">
        <v>8665</v>
      </c>
      <c r="AH284" s="2" t="s">
        <v>505</v>
      </c>
      <c r="AI284" s="10" t="s">
        <v>181</v>
      </c>
      <c r="AJ284" s="2" t="s">
        <v>132</v>
      </c>
      <c r="AK284" s="10" t="s">
        <v>192</v>
      </c>
      <c r="AL284" s="2" t="s">
        <v>67</v>
      </c>
    </row>
    <row r="285" ht="15.75" customHeight="1">
      <c r="A285" s="2" t="s">
        <v>4765</v>
      </c>
      <c r="B285" s="12" t="s">
        <v>347</v>
      </c>
      <c r="C285" s="2" t="str">
        <f>IFERROR(__xludf.DUMMYFUNCTION("IF(ISNUMBER(B285),TEXT(B285,""yyyy-MM-dd""),REGEXREPLACE(REGEXREPLACE(TO_TEXT(B285),""[^0-9a-zA-Z]+"",""-""),""[^0-9]*$"",""""))"),"01-24-2025")</f>
        <v>01-24-2025</v>
      </c>
      <c r="D285" s="2" t="str">
        <f>TEXT(C285,"yyyy-MM-dd")</f>
        <v>01-24-2025</v>
      </c>
      <c r="E285" s="2" t="s">
        <v>8787</v>
      </c>
      <c r="H285" s="10" t="s">
        <v>8787</v>
      </c>
      <c r="I285" s="2" t="s">
        <v>1938</v>
      </c>
      <c r="J285" s="26" t="str">
        <f t="array" ref="J285">IF(ISNA(XLOOKUP(I285,customers_clean!$A$2:$A$701,customers_clean!$A$2:$A$701, NA()) ),
   "❌ MISSING CUSTOMER", "✅")</f>
        <v>✅</v>
      </c>
      <c r="K285" s="2" t="str">
        <f t="array" ref="K285">XLOOKUP(I285,customers_clean!$A$2:$A$701,customers_clean!$C$2:$C$701)</f>
        <v>Carlos Young </v>
      </c>
      <c r="L285" s="10" t="str">
        <f t="array" ref="L285">XLOOKUP(I285,customers_clean!$A$2:$A$701,customers_clean!$D$2:$D$701)</f>
        <v>Carlos Young</v>
      </c>
      <c r="M285" s="2" t="str">
        <f t="array" ref="M285">XLOOKUP(I285,customers_clean!$A$2:$A$701,customers_clean!$I$2:$I$701)</f>
        <v>Carlos.Young@Gmail.Com</v>
      </c>
      <c r="N285" s="10" t="str">
        <f t="array" ref="N285">XLOOKUP(I285,customers_clean!$A$2:$A$701,customers_clean!$H$2:$H$701)</f>
        <v>carlos.young@gmail.com</v>
      </c>
      <c r="O285" s="9" t="str">
        <f>IFERROR(__xludf.DUMMYFUNCTION("IF(REGEXMATCH(TRIM(N285),""^[A-Za-z0-9._%+-]+@[A-Za-z0-9.-]+\.[A-Za-z]{2,}$""),""✅ Valid"",""❌ Invalid"")"),"✅ Valid")</f>
        <v>✅ Valid</v>
      </c>
      <c r="P285" s="2" t="str">
        <f t="array" ref="P285">XLOOKUP(I285,customers_clean!$A$2:$A$701,customers_clean!$K$2:$K$701)</f>
        <v>524262-45</v>
      </c>
      <c r="Q285" s="10" t="str">
        <f t="array" ref="Q285">XLOOKUP(I285,customers_clean!$A$2:$A$701,customers_clean!$N$2:$N$701)</f>
        <v>52426245</v>
      </c>
      <c r="R285" s="9" t="str">
        <f t="array" ref="R285">XLOOKUP(I285,customers_clean!$A$2:$A$701,customers_clean!$Q$2:$Q$701)</f>
        <v>❌ INVALID</v>
      </c>
      <c r="S285" s="10" t="s">
        <v>88</v>
      </c>
      <c r="T285" s="2" t="s">
        <v>683</v>
      </c>
      <c r="U285" s="2" t="s">
        <v>401</v>
      </c>
      <c r="V285" s="2" t="s">
        <v>212</v>
      </c>
      <c r="W285" s="9" t="str">
        <f t="array" ref="W285">IF(ISNA(XLOOKUP(V285,products_master_corrected!$A$2:$A$151,products_master_corrected!$A$2:$A$151, NA())),
    "❌ MISSING SKU", "✅")</f>
        <v>✅</v>
      </c>
      <c r="X285" s="2" t="s">
        <v>213</v>
      </c>
      <c r="Y285" s="2" t="s">
        <v>214</v>
      </c>
      <c r="Z285" s="10" t="s">
        <v>368</v>
      </c>
      <c r="AA285" s="27">
        <v>1.0</v>
      </c>
      <c r="AB285" s="9" t="s">
        <v>8649</v>
      </c>
      <c r="AC285" s="28">
        <f t="array" ref="AC285">XLOOKUP(V285,products_master_corrected!$A$2:$A$151,products_master_corrected!$E$2:$E$151)</f>
        <v>1464.12</v>
      </c>
      <c r="AD285" s="28">
        <f t="shared" si="32"/>
        <v>1464.12</v>
      </c>
      <c r="AE285" s="28">
        <f t="array" ref="AE285">XLOOKUP(V285,products_master_corrected!$A$2:$A$151,products_master_corrected!$I$2:$I$151)</f>
        <v>1614.05</v>
      </c>
      <c r="AF285" s="29">
        <f t="shared" si="33"/>
        <v>1614.05</v>
      </c>
      <c r="AG285" s="32" t="s">
        <v>8660</v>
      </c>
      <c r="AH285" s="2" t="s">
        <v>4226</v>
      </c>
      <c r="AI285" s="10" t="s">
        <v>49</v>
      </c>
      <c r="AJ285" s="2" t="s">
        <v>294</v>
      </c>
      <c r="AK285" s="10" t="s">
        <v>80</v>
      </c>
      <c r="AL285" s="2" t="s">
        <v>67</v>
      </c>
    </row>
    <row r="286" ht="15.75" customHeight="1">
      <c r="A286" s="2" t="s">
        <v>1936</v>
      </c>
      <c r="B286" s="12">
        <v>45877.0</v>
      </c>
      <c r="C286" s="2" t="str">
        <f>IFERROR(__xludf.DUMMYFUNCTION("IF(ISNUMBER(B286),TEXT(B286,""yyyy-MM-dd""),REGEXREPLACE(REGEXREPLACE(TO_TEXT(B286),""[^0-9a-zA-Z]+"",""-""),""[^0-9]*$"",""""))"),"2025-08-08")</f>
        <v>2025-08-08</v>
      </c>
      <c r="D286" s="2" t="s">
        <v>8788</v>
      </c>
      <c r="H286" s="10" t="s">
        <v>8788</v>
      </c>
      <c r="I286" s="2" t="s">
        <v>1938</v>
      </c>
      <c r="J286" s="26" t="str">
        <f t="array" ref="J286">IF(ISNA(XLOOKUP(I286,customers_clean!$A$2:$A$701,customers_clean!$A$2:$A$701, NA()) ),
   "❌ MISSING CUSTOMER", "✅")</f>
        <v>✅</v>
      </c>
      <c r="K286" s="2" t="str">
        <f t="array" ref="K286">XLOOKUP(I286,customers_clean!$A$2:$A$701,customers_clean!$C$2:$C$701)</f>
        <v>Carlos Young </v>
      </c>
      <c r="L286" s="10" t="str">
        <f t="array" ref="L286">XLOOKUP(I286,customers_clean!$A$2:$A$701,customers_clean!$D$2:$D$701)</f>
        <v>Carlos Young</v>
      </c>
      <c r="M286" s="2" t="str">
        <f t="array" ref="M286">XLOOKUP(I286,customers_clean!$A$2:$A$701,customers_clean!$I$2:$I$701)</f>
        <v>Carlos.Young@Gmail.Com</v>
      </c>
      <c r="N286" s="10" t="str">
        <f t="array" ref="N286">XLOOKUP(I286,customers_clean!$A$2:$A$701,customers_clean!$H$2:$H$701)</f>
        <v>carlos.young@gmail.com</v>
      </c>
      <c r="O286" s="9" t="str">
        <f>IFERROR(__xludf.DUMMYFUNCTION("IF(REGEXMATCH(TRIM(N286),""^[A-Za-z0-9._%+-]+@[A-Za-z0-9.-]+\.[A-Za-z]{2,}$""),""✅ Valid"",""❌ Invalid"")"),"✅ Valid")</f>
        <v>✅ Valid</v>
      </c>
      <c r="P286" s="2" t="str">
        <f t="array" ref="P286">XLOOKUP(I286,customers_clean!$A$2:$A$701,customers_clean!$K$2:$K$701)</f>
        <v>524262-45</v>
      </c>
      <c r="Q286" s="10" t="str">
        <f t="array" ref="Q286">XLOOKUP(I286,customers_clean!$A$2:$A$701,customers_clean!$N$2:$N$701)</f>
        <v>52426245</v>
      </c>
      <c r="R286" s="9" t="str">
        <f t="array" ref="R286">XLOOKUP(I286,customers_clean!$A$2:$A$701,customers_clean!$Q$2:$Q$701)</f>
        <v>❌ INVALID</v>
      </c>
      <c r="S286" s="10" t="s">
        <v>88</v>
      </c>
      <c r="T286" s="2" t="s">
        <v>301</v>
      </c>
      <c r="U286" s="2" t="s">
        <v>870</v>
      </c>
      <c r="V286" s="2" t="s">
        <v>673</v>
      </c>
      <c r="W286" s="9" t="str">
        <f t="array" ref="W286">IF(ISNA(XLOOKUP(V286,products_master_corrected!$A$2:$A$151,products_master_corrected!$A$2:$A$151, NA())),
    "❌ MISSING SKU", "✅")</f>
        <v>✅</v>
      </c>
      <c r="X286" s="2" t="s">
        <v>259</v>
      </c>
      <c r="Y286" s="2" t="s">
        <v>674</v>
      </c>
      <c r="Z286" s="10" t="s">
        <v>514</v>
      </c>
      <c r="AA286" s="27">
        <v>1.0</v>
      </c>
      <c r="AB286" s="9" t="s">
        <v>8649</v>
      </c>
      <c r="AC286" s="28">
        <f t="array" ref="AC286">XLOOKUP(V286,products_master_corrected!$A$2:$A$151,products_master_corrected!$E$2:$E$151)</f>
        <v>38.5</v>
      </c>
      <c r="AD286" s="28">
        <f t="shared" si="32"/>
        <v>38.5</v>
      </c>
      <c r="AE286" s="28">
        <f t="array" ref="AE286">XLOOKUP(V286,products_master_corrected!$A$2:$A$151,products_master_corrected!$I$2:$I$151)</f>
        <v>42.44</v>
      </c>
      <c r="AF286" s="29">
        <f t="shared" si="33"/>
        <v>42.44</v>
      </c>
      <c r="AG286" s="32" t="s">
        <v>8660</v>
      </c>
      <c r="AH286" s="2" t="s">
        <v>49</v>
      </c>
      <c r="AI286" s="10" t="s">
        <v>49</v>
      </c>
      <c r="AJ286" s="2" t="s">
        <v>1942</v>
      </c>
      <c r="AK286" s="10" t="s">
        <v>192</v>
      </c>
    </row>
    <row r="287" ht="15.75" customHeight="1">
      <c r="A287" s="2" t="s">
        <v>4403</v>
      </c>
      <c r="B287" s="12">
        <v>44936.0</v>
      </c>
      <c r="C287" s="2" t="str">
        <f>IFERROR(__xludf.DUMMYFUNCTION("IF(ISNUMBER(B287),TEXT(B287,""yyyy-MM-dd""),REGEXREPLACE(REGEXREPLACE(TO_TEXT(B287),""[^0-9a-zA-Z]+"",""-""),""[^0-9]*$"",""""))"),"2023-01-10")</f>
        <v>2023-01-10</v>
      </c>
      <c r="D287" s="2" t="s">
        <v>8789</v>
      </c>
      <c r="H287" s="10" t="s">
        <v>8789</v>
      </c>
      <c r="I287" s="2" t="s">
        <v>2000</v>
      </c>
      <c r="J287" s="26" t="str">
        <f t="array" ref="J287">IF(ISNA(XLOOKUP(I287,customers_clean!$A$2:$A$701,customers_clean!$A$2:$A$701, NA()) ),
   "❌ MISSING CUSTOMER", "✅")</f>
        <v>✅</v>
      </c>
      <c r="K287" s="2" t="str">
        <f t="array" ref="K287">XLOOKUP(I287,customers_clean!$A$2:$A$701,customers_clean!$C$2:$C$701)</f>
        <v>Adam Kowalczyk </v>
      </c>
      <c r="L287" s="10" t="str">
        <f t="array" ref="L287">XLOOKUP(I287,customers_clean!$A$2:$A$701,customers_clean!$D$2:$D$701)</f>
        <v>Adam Kowalczyk</v>
      </c>
      <c r="M287" s="2" t="str">
        <f t="array" ref="M287">XLOOKUP(I287,customers_clean!$A$2:$A$701,customers_clean!$I$2:$I$701)</f>
        <v/>
      </c>
      <c r="N287" s="10" t="str">
        <f t="array" ref="N287">XLOOKUP(I287,customers_clean!$A$2:$A$701,customers_clean!$H$2:$H$701)</f>
        <v/>
      </c>
      <c r="O287" s="9" t="str">
        <f>IFERROR(__xludf.DUMMYFUNCTION("IF(REGEXMATCH(TRIM(N287),""^[A-Za-z0-9._%+-]+@[A-Za-z0-9.-]+\.[A-Za-z]{2,}$""),""✅ Valid"",""❌ Invalid"")"),"❌ Invalid")</f>
        <v>❌ Invalid</v>
      </c>
      <c r="P287" s="2" t="str">
        <f t="array" ref="P287">XLOOKUP(I287,customers_clean!$A$2:$A$701,customers_clean!$K$2:$K$701)</f>
        <v>+1-813-710-8655</v>
      </c>
      <c r="Q287" s="10" t="str">
        <f t="array" ref="Q287">XLOOKUP(I287,customers_clean!$A$2:$A$701,customers_clean!$N$2:$N$701)</f>
        <v/>
      </c>
      <c r="R287" s="9" t="str">
        <f t="array" ref="R287">XLOOKUP(I287,customers_clean!$A$2:$A$701,customers_clean!$Q$2:$Q$701)</f>
        <v/>
      </c>
      <c r="S287" s="10" t="s">
        <v>448</v>
      </c>
      <c r="T287" s="2" t="s">
        <v>42</v>
      </c>
      <c r="U287" s="2" t="s">
        <v>401</v>
      </c>
      <c r="V287" s="2" t="s">
        <v>449</v>
      </c>
      <c r="W287" s="9" t="str">
        <f t="array" ref="W287">IF(ISNA(XLOOKUP(V287,products_master_corrected!$A$2:$A$151,products_master_corrected!$A$2:$A$151, NA())),
    "❌ MISSING SKU", "✅")</f>
        <v>✅</v>
      </c>
      <c r="X287" s="2" t="s">
        <v>213</v>
      </c>
      <c r="Y287" s="2" t="s">
        <v>315</v>
      </c>
      <c r="Z287" s="10" t="s">
        <v>179</v>
      </c>
      <c r="AA287" s="27">
        <v>2.0</v>
      </c>
      <c r="AB287" s="9" t="s">
        <v>8649</v>
      </c>
      <c r="AC287" s="28">
        <f t="array" ref="AC287">XLOOKUP(V287,products_master_corrected!$A$2:$A$151,products_master_corrected!$E$2:$E$151)</f>
        <v>1404.25</v>
      </c>
      <c r="AD287" s="28">
        <f t="shared" si="32"/>
        <v>2808.5</v>
      </c>
      <c r="AE287" s="28">
        <f t="array" ref="AE287">XLOOKUP(V287,products_master_corrected!$A$2:$A$151,products_master_corrected!$M$2:$M$151)</f>
        <v>1698.58</v>
      </c>
      <c r="AF287" s="29">
        <f t="shared" si="33"/>
        <v>3397.16</v>
      </c>
      <c r="AG287" s="30" t="s">
        <v>48</v>
      </c>
      <c r="AH287" s="2" t="s">
        <v>66</v>
      </c>
      <c r="AI287" s="10" t="s">
        <v>66</v>
      </c>
      <c r="AJ287" s="2" t="s">
        <v>158</v>
      </c>
      <c r="AK287" s="10" t="s">
        <v>818</v>
      </c>
      <c r="AL287" s="2" t="s">
        <v>67</v>
      </c>
    </row>
    <row r="288" ht="15.75" customHeight="1">
      <c r="A288" s="2" t="s">
        <v>2324</v>
      </c>
      <c r="B288" s="12">
        <v>44959.0</v>
      </c>
      <c r="C288" s="2" t="str">
        <f>IFERROR(__xludf.DUMMYFUNCTION("IF(ISNUMBER(B288),TEXT(B288,""yyyy-MM-dd""),REGEXREPLACE(REGEXREPLACE(TO_TEXT(B288),""[^0-9a-zA-Z]+"",""-""),""[^0-9]*$"",""""))"),"2023-02-02")</f>
        <v>2023-02-02</v>
      </c>
      <c r="D288" s="2" t="s">
        <v>7749</v>
      </c>
      <c r="H288" s="10" t="s">
        <v>7749</v>
      </c>
      <c r="I288" s="2" t="s">
        <v>2000</v>
      </c>
      <c r="J288" s="26" t="str">
        <f t="array" ref="J288">IF(ISNA(XLOOKUP(I288,customers_clean!$A$2:$A$701,customers_clean!$A$2:$A$701, NA()) ),
   "❌ MISSING CUSTOMER", "✅")</f>
        <v>✅</v>
      </c>
      <c r="K288" s="2" t="str">
        <f t="array" ref="K288">XLOOKUP(I288,customers_clean!$A$2:$A$701,customers_clean!$C$2:$C$701)</f>
        <v>Adam Kowalczyk </v>
      </c>
      <c r="L288" s="10" t="str">
        <f t="array" ref="L288">XLOOKUP(I288,customers_clean!$A$2:$A$701,customers_clean!$D$2:$D$701)</f>
        <v>Adam Kowalczyk</v>
      </c>
      <c r="M288" s="2" t="str">
        <f t="array" ref="M288">XLOOKUP(I288,customers_clean!$A$2:$A$701,customers_clean!$I$2:$I$701)</f>
        <v/>
      </c>
      <c r="N288" s="10" t="str">
        <f t="array" ref="N288">XLOOKUP(I288,customers_clean!$A$2:$A$701,customers_clean!$H$2:$H$701)</f>
        <v/>
      </c>
      <c r="O288" s="9" t="str">
        <f>IFERROR(__xludf.DUMMYFUNCTION("IF(REGEXMATCH(TRIM(N288),""^[A-Za-z0-9._%+-]+@[A-Za-z0-9.-]+\.[A-Za-z]{2,}$""),""✅ Valid"",""❌ Invalid"")"),"❌ Invalid")</f>
        <v>❌ Invalid</v>
      </c>
      <c r="P288" s="2" t="str">
        <f t="array" ref="P288">XLOOKUP(I288,customers_clean!$A$2:$A$701,customers_clean!$K$2:$K$701)</f>
        <v>+1-813-710-8655</v>
      </c>
      <c r="Q288" s="10" t="str">
        <f t="array" ref="Q288">XLOOKUP(I288,customers_clean!$A$2:$A$701,customers_clean!$N$2:$N$701)</f>
        <v/>
      </c>
      <c r="R288" s="9" t="str">
        <f t="array" ref="R288">XLOOKUP(I288,customers_clean!$A$2:$A$701,customers_clean!$Q$2:$Q$701)</f>
        <v/>
      </c>
      <c r="S288" s="10" t="s">
        <v>448</v>
      </c>
      <c r="T288" s="2" t="s">
        <v>223</v>
      </c>
      <c r="U288" s="2" t="s">
        <v>512</v>
      </c>
      <c r="V288" s="2" t="s">
        <v>740</v>
      </c>
      <c r="W288" s="9" t="str">
        <f t="array" ref="W288">IF(ISNA(XLOOKUP(V288,products_master_corrected!$A$2:$A$151,products_master_corrected!$A$2:$A$151, NA())),
    "❌ MISSING SKU", "✅")</f>
        <v>✅</v>
      </c>
      <c r="X288" s="2" t="s">
        <v>741</v>
      </c>
      <c r="Y288" s="2" t="s">
        <v>742</v>
      </c>
      <c r="Z288" s="10" t="s">
        <v>355</v>
      </c>
      <c r="AA288" s="27">
        <v>3.0</v>
      </c>
      <c r="AB288" s="9" t="s">
        <v>8649</v>
      </c>
      <c r="AC288" s="28">
        <f t="array" ref="AC288">XLOOKUP(V288,products_master_corrected!$A$2:$A$151,products_master_corrected!$E$2:$E$151)</f>
        <v>35.77</v>
      </c>
      <c r="AD288" s="28">
        <f t="shared" si="32"/>
        <v>107.31</v>
      </c>
      <c r="AE288" s="28">
        <f t="array" ref="AE288">XLOOKUP(V288,products_master_corrected!$A$2:$A$151,products_master_corrected!$M$2:$M$151)</f>
        <v>43.27</v>
      </c>
      <c r="AF288" s="29">
        <f t="shared" si="33"/>
        <v>129.81</v>
      </c>
      <c r="AG288" s="30" t="s">
        <v>48</v>
      </c>
      <c r="AH288" s="2" t="s">
        <v>66</v>
      </c>
      <c r="AI288" s="10" t="s">
        <v>66</v>
      </c>
      <c r="AJ288" s="2" t="s">
        <v>158</v>
      </c>
      <c r="AK288" s="10" t="s">
        <v>818</v>
      </c>
      <c r="AL288" s="2" t="s">
        <v>67</v>
      </c>
    </row>
    <row r="289" ht="15.75" customHeight="1">
      <c r="A289" s="2" t="s">
        <v>1998</v>
      </c>
      <c r="B289" s="12">
        <v>45137.0</v>
      </c>
      <c r="C289" s="2" t="str">
        <f>IFERROR(__xludf.DUMMYFUNCTION("IF(ISNUMBER(B289),TEXT(B289,""yyyy-MM-dd""),REGEXREPLACE(REGEXREPLACE(TO_TEXT(B289),""[^0-9a-zA-Z]+"",""-""),""[^0-9]*$"",""""))"),"2023-07-30")</f>
        <v>2023-07-30</v>
      </c>
      <c r="D289" s="2" t="s">
        <v>8790</v>
      </c>
      <c r="H289" s="10" t="s">
        <v>8790</v>
      </c>
      <c r="I289" s="2" t="s">
        <v>2000</v>
      </c>
      <c r="J289" s="26" t="str">
        <f t="array" ref="J289">IF(ISNA(XLOOKUP(I289,customers_clean!$A$2:$A$701,customers_clean!$A$2:$A$701, NA()) ),
   "❌ MISSING CUSTOMER", "✅")</f>
        <v>✅</v>
      </c>
      <c r="K289" s="2" t="str">
        <f t="array" ref="K289">XLOOKUP(I289,customers_clean!$A$2:$A$701,customers_clean!$C$2:$C$701)</f>
        <v>Adam Kowalczyk </v>
      </c>
      <c r="L289" s="10" t="str">
        <f t="array" ref="L289">XLOOKUP(I289,customers_clean!$A$2:$A$701,customers_clean!$D$2:$D$701)</f>
        <v>Adam Kowalczyk</v>
      </c>
      <c r="M289" s="2" t="str">
        <f t="array" ref="M289">XLOOKUP(I289,customers_clean!$A$2:$A$701,customers_clean!$I$2:$I$701)</f>
        <v/>
      </c>
      <c r="N289" s="10" t="str">
        <f t="array" ref="N289">XLOOKUP(I289,customers_clean!$A$2:$A$701,customers_clean!$H$2:$H$701)</f>
        <v/>
      </c>
      <c r="O289" s="9" t="str">
        <f>IFERROR(__xludf.DUMMYFUNCTION("IF(REGEXMATCH(TRIM(N289),""^[A-Za-z0-9._%+-]+@[A-Za-z0-9.-]+\.[A-Za-z]{2,}$""),""✅ Valid"",""❌ Invalid"")"),"❌ Invalid")</f>
        <v>❌ Invalid</v>
      </c>
      <c r="P289" s="2" t="str">
        <f t="array" ref="P289">XLOOKUP(I289,customers_clean!$A$2:$A$701,customers_clean!$K$2:$K$701)</f>
        <v>+1-813-710-8655</v>
      </c>
      <c r="Q289" s="10" t="str">
        <f t="array" ref="Q289">XLOOKUP(I289,customers_clean!$A$2:$A$701,customers_clean!$N$2:$N$701)</f>
        <v/>
      </c>
      <c r="R289" s="9" t="str">
        <f t="array" ref="R289">XLOOKUP(I289,customers_clean!$A$2:$A$701,customers_clean!$Q$2:$Q$701)</f>
        <v/>
      </c>
      <c r="S289" s="10" t="s">
        <v>448</v>
      </c>
      <c r="T289" s="2" t="s">
        <v>2004</v>
      </c>
      <c r="U289" s="2" t="s">
        <v>401</v>
      </c>
      <c r="V289" s="2" t="s">
        <v>1476</v>
      </c>
      <c r="W289" s="9" t="str">
        <f t="array" ref="W289">IF(ISNA(XLOOKUP(V289,products_master_corrected!$A$2:$A$151,products_master_corrected!$A$2:$A$151, NA())),
    "❌ MISSING SKU", "✅")</f>
        <v>✅</v>
      </c>
      <c r="X289" s="2" t="s">
        <v>1147</v>
      </c>
      <c r="Y289" s="2" t="s">
        <v>1477</v>
      </c>
      <c r="Z289" s="10" t="s">
        <v>248</v>
      </c>
      <c r="AA289" s="27">
        <v>2.0</v>
      </c>
      <c r="AB289" s="9" t="s">
        <v>8649</v>
      </c>
      <c r="AC289" s="28">
        <f t="array" ref="AC289">XLOOKUP(V289,products_master_corrected!$A$2:$A$151,products_master_corrected!$E$2:$E$151)</f>
        <v>147.92</v>
      </c>
      <c r="AD289" s="28">
        <f t="shared" si="32"/>
        <v>295.84</v>
      </c>
      <c r="AE289" s="28">
        <f t="array" ref="AE289">XLOOKUP(V289,products_master_corrected!$A$2:$A$151,products_master_corrected!$M$2:$M$151)</f>
        <v>178.92</v>
      </c>
      <c r="AF289" s="29">
        <f t="shared" si="33"/>
        <v>357.84</v>
      </c>
      <c r="AG289" s="30" t="s">
        <v>48</v>
      </c>
      <c r="AH289" s="2" t="s">
        <v>33</v>
      </c>
      <c r="AI289" s="10" t="s">
        <v>181</v>
      </c>
      <c r="AJ289" s="2" t="s">
        <v>345</v>
      </c>
      <c r="AK289" s="10" t="s">
        <v>261</v>
      </c>
      <c r="AL289" s="2" t="s">
        <v>133</v>
      </c>
    </row>
    <row r="290" ht="15.75" customHeight="1">
      <c r="A290" s="2" t="s">
        <v>2078</v>
      </c>
      <c r="B290" s="12">
        <v>45820.0</v>
      </c>
      <c r="C290" s="2" t="str">
        <f>IFERROR(__xludf.DUMMYFUNCTION("IF(ISNUMBER(B290),TEXT(B290,""yyyy-MM-dd""),REGEXREPLACE(REGEXREPLACE(TO_TEXT(B290),""[^0-9a-zA-Z]+"",""-""),""[^0-9]*$"",""""))"),"2025-06-12")</f>
        <v>2025-06-12</v>
      </c>
      <c r="D290" s="2" t="s">
        <v>8791</v>
      </c>
      <c r="H290" s="10" t="s">
        <v>8791</v>
      </c>
      <c r="I290" s="2" t="s">
        <v>2080</v>
      </c>
      <c r="J290" s="26" t="str">
        <f t="array" ref="J290">IF(ISNA(XLOOKUP(I290,customers_clean!$A$2:$A$701,customers_clean!$A$2:$A$701, NA()) ),
   "❌ MISSING CUSTOMER", "✅")</f>
        <v>✅</v>
      </c>
      <c r="K290" s="2" t="str">
        <f t="array" ref="K290">XLOOKUP(I290,customers_clean!$A$2:$A$701,customers_clean!$C$2:$C$701)</f>
        <v>Carlos Williams</v>
      </c>
      <c r="L290" s="10" t="str">
        <f t="array" ref="L290">XLOOKUP(I290,customers_clean!$A$2:$A$701,customers_clean!$D$2:$D$701)</f>
        <v>Carlos Williams</v>
      </c>
      <c r="M290" s="2" t="str">
        <f t="array" ref="M290">XLOOKUP(I290,customers_clean!$A$2:$A$701,customers_clean!$I$2:$I$701)</f>
        <v>carlos.williams@yahoo.com</v>
      </c>
      <c r="N290" s="10" t="str">
        <f t="array" ref="N290">XLOOKUP(I290,customers_clean!$A$2:$A$701,customers_clean!$H$2:$H$701)</f>
        <v>carlos.williams@yahoo.com</v>
      </c>
      <c r="O290" s="9" t="str">
        <f>IFERROR(__xludf.DUMMYFUNCTION("IF(REGEXMATCH(TRIM(N290),""^[A-Za-z0-9._%+-]+@[A-Za-z0-9.-]+\.[A-Za-z]{2,}$""),""✅ Valid"",""❌ Invalid"")"),"✅ Valid")</f>
        <v>✅ Valid</v>
      </c>
      <c r="P290" s="2" t="str">
        <f t="array" ref="P290">XLOOKUP(I290,customers_clean!$A$2:$A$701,customers_clean!$K$2:$K$701)</f>
        <v>+185147459360</v>
      </c>
      <c r="Q290" s="10" t="str">
        <f t="array" ref="Q290">XLOOKUP(I290,customers_clean!$A$2:$A$701,customers_clean!$N$2:$N$701)</f>
        <v>85147459360</v>
      </c>
      <c r="R290" s="9" t="str">
        <f t="array" ref="R290">XLOOKUP(I290,customers_clean!$A$2:$A$701,customers_clean!$Q$2:$Q$701)</f>
        <v>❌ INVALID</v>
      </c>
      <c r="S290" s="10" t="s">
        <v>58</v>
      </c>
      <c r="T290" s="2" t="s">
        <v>323</v>
      </c>
      <c r="U290" s="2" t="s">
        <v>43</v>
      </c>
      <c r="V290" s="2" t="s">
        <v>635</v>
      </c>
      <c r="W290" s="9" t="str">
        <f t="array" ref="W290">IF(ISNA(XLOOKUP(V290,products_master_corrected!$A$2:$A$151,products_master_corrected!$A$2:$A$151, NA())),
    "❌ MISSING SKU", "✅")</f>
        <v>✅</v>
      </c>
      <c r="X290" s="2" t="s">
        <v>636</v>
      </c>
      <c r="Y290" s="2" t="s">
        <v>637</v>
      </c>
      <c r="Z290" s="10" t="s">
        <v>514</v>
      </c>
      <c r="AA290" s="27">
        <v>1.0</v>
      </c>
      <c r="AB290" s="9" t="s">
        <v>8649</v>
      </c>
      <c r="AC290" s="28">
        <f t="array" ref="AC290">XLOOKUP(V290,products_master_corrected!$A$2:$A$151,products_master_corrected!$E$2:$E$151)</f>
        <v>30.93</v>
      </c>
      <c r="AD290" s="28">
        <f t="shared" si="32"/>
        <v>30.93</v>
      </c>
      <c r="AE290" s="28">
        <f t="array" ref="AE290">XLOOKUP(V290,products_master_corrected!$A$2:$A$151,products_master_corrected!$G$2:$G$151)</f>
        <v>35.41</v>
      </c>
      <c r="AF290" s="29">
        <f t="shared" si="33"/>
        <v>35.41</v>
      </c>
      <c r="AG290" s="32" t="s">
        <v>8663</v>
      </c>
      <c r="AH290" s="2" t="s">
        <v>204</v>
      </c>
      <c r="AI290" s="10" t="s">
        <v>143</v>
      </c>
      <c r="AJ290" s="2" t="s">
        <v>2085</v>
      </c>
      <c r="AK290" s="10" t="s">
        <v>192</v>
      </c>
      <c r="AL290" s="2" t="s">
        <v>133</v>
      </c>
    </row>
    <row r="291" ht="15.75" customHeight="1">
      <c r="A291" s="2" t="s">
        <v>5838</v>
      </c>
      <c r="B291" s="12">
        <v>45685.854166666664</v>
      </c>
      <c r="C291" s="2" t="str">
        <f>IFERROR(__xludf.DUMMYFUNCTION("IF(ISNUMBER(B291),TEXT(B291,""yyyy-MM-dd""),REGEXREPLACE(REGEXREPLACE(TO_TEXT(B291),""[^0-9a-zA-Z]+"",""-""),""[^0-9]*$"",""""))"),"2025-01-28")</f>
        <v>2025-01-28</v>
      </c>
      <c r="D291" s="2" t="s">
        <v>8792</v>
      </c>
      <c r="H291" s="10" t="s">
        <v>8792</v>
      </c>
      <c r="I291" s="2" t="s">
        <v>2776</v>
      </c>
      <c r="J291" s="26" t="str">
        <f t="array" ref="J291">IF(ISNA(XLOOKUP(I291,customers_clean!$A$2:$A$701,customers_clean!$A$2:$A$701, NA()) ),
   "❌ MISSING CUSTOMER", "✅")</f>
        <v>✅</v>
      </c>
      <c r="K291" s="2" t="str">
        <f t="array" ref="K291">XLOOKUP(I291,customers_clean!$A$2:$A$701,customers_clean!$C$2:$C$701)</f>
        <v>Tara Young </v>
      </c>
      <c r="L291" s="10" t="str">
        <f t="array" ref="L291">XLOOKUP(I291,customers_clean!$A$2:$A$701,customers_clean!$D$2:$D$701)</f>
        <v>Tara Young</v>
      </c>
      <c r="M291" s="2" t="str">
        <f t="array" ref="M291">XLOOKUP(I291,customers_clean!$A$2:$A$701,customers_clean!$I$2:$I$701)</f>
        <v>TARA.YOUNG@OUTLOOK.COM</v>
      </c>
      <c r="N291" s="10" t="str">
        <f t="array" ref="N291">XLOOKUP(I291,customers_clean!$A$2:$A$701,customers_clean!$H$2:$H$701)</f>
        <v>tara.young@outlook.com</v>
      </c>
      <c r="O291" s="9" t="str">
        <f>IFERROR(__xludf.DUMMYFUNCTION("IF(REGEXMATCH(TRIM(N291),""^[A-Za-z0-9._%+-]+@[A-Za-z0-9.-]+\.[A-Za-z]{2,}$""),""✅ Valid"",""❌ Invalid"")"),"✅ Valid")</f>
        <v>✅ Valid</v>
      </c>
      <c r="P291" s="2" t="str">
        <f t="array" ref="P291">XLOOKUP(I291,customers_clean!$A$2:$A$701,customers_clean!$K$2:$K$701)</f>
        <v>577-405-58518</v>
      </c>
      <c r="Q291" s="10" t="str">
        <f t="array" ref="Q291">XLOOKUP(I291,customers_clean!$A$2:$A$701,customers_clean!$N$2:$N$701)</f>
        <v>57740558518</v>
      </c>
      <c r="R291" s="9" t="str">
        <f t="array" ref="R291">XLOOKUP(I291,customers_clean!$A$2:$A$701,customers_clean!$Q$2:$Q$701)</f>
        <v>❌ INVALID</v>
      </c>
      <c r="S291" s="10" t="s">
        <v>25</v>
      </c>
      <c r="T291" s="2" t="s">
        <v>683</v>
      </c>
      <c r="U291" s="2" t="s">
        <v>289</v>
      </c>
      <c r="V291" s="2" t="s">
        <v>729</v>
      </c>
      <c r="W291" s="9" t="str">
        <f t="array" ref="W291">IF(ISNA(XLOOKUP(V291,products_master_corrected!$A$2:$A$151,products_master_corrected!$A$2:$A$151, NA())),
    "❌ MISSING SKU", "✅")</f>
        <v>✅</v>
      </c>
      <c r="X291" s="2" t="s">
        <v>62</v>
      </c>
      <c r="Y291" s="2" t="s">
        <v>730</v>
      </c>
      <c r="Z291" s="10" t="s">
        <v>63</v>
      </c>
      <c r="AA291" s="27">
        <v>3.0</v>
      </c>
      <c r="AB291" s="9" t="s">
        <v>8649</v>
      </c>
      <c r="AC291" s="28">
        <f t="array" ref="AC291">XLOOKUP(V291,products_master_corrected!$A$2:$A$151,products_master_corrected!$E$2:$E$151)</f>
        <v>59.89</v>
      </c>
      <c r="AD291" s="28">
        <f t="shared" si="32"/>
        <v>179.67</v>
      </c>
      <c r="AE291" s="28">
        <f t="array" ref="AE291">XLOOKUP(V291,products_master_corrected!$A$2:$A$151,products_master_corrected!$K$2:$K$151)</f>
        <v>308.13</v>
      </c>
      <c r="AF291" s="29">
        <f t="shared" si="33"/>
        <v>924.39</v>
      </c>
      <c r="AG291" s="30" t="s">
        <v>95</v>
      </c>
      <c r="AH291" s="2" t="s">
        <v>131</v>
      </c>
      <c r="AI291" s="10" t="s">
        <v>181</v>
      </c>
      <c r="AJ291" s="2" t="s">
        <v>80</v>
      </c>
      <c r="AK291" s="10" t="s">
        <v>80</v>
      </c>
      <c r="AL291" s="2" t="s">
        <v>51</v>
      </c>
    </row>
    <row r="292" ht="15.75" customHeight="1">
      <c r="A292" s="2" t="s">
        <v>3852</v>
      </c>
      <c r="B292" s="12">
        <v>44939.0</v>
      </c>
      <c r="C292" s="2" t="str">
        <f>IFERROR(__xludf.DUMMYFUNCTION("IF(ISNUMBER(B292),TEXT(B292,""yyyy-MM-dd""),REGEXREPLACE(REGEXREPLACE(TO_TEXT(B292),""[^0-9a-zA-Z]+"",""-""),""[^0-9]*$"",""""))"),"2023-01-13")</f>
        <v>2023-01-13</v>
      </c>
      <c r="D292" s="2" t="s">
        <v>8793</v>
      </c>
      <c r="H292" s="10" t="s">
        <v>8793</v>
      </c>
      <c r="I292" s="2" t="s">
        <v>2776</v>
      </c>
      <c r="J292" s="26" t="str">
        <f t="array" ref="J292">IF(ISNA(XLOOKUP(I292,customers_clean!$A$2:$A$701,customers_clean!$A$2:$A$701, NA()) ),
   "❌ MISSING CUSTOMER", "✅")</f>
        <v>✅</v>
      </c>
      <c r="K292" s="2" t="str">
        <f t="array" ref="K292">XLOOKUP(I292,customers_clean!$A$2:$A$701,customers_clean!$C$2:$C$701)</f>
        <v>Tara Young </v>
      </c>
      <c r="L292" s="10" t="str">
        <f t="array" ref="L292">XLOOKUP(I292,customers_clean!$A$2:$A$701,customers_clean!$D$2:$D$701)</f>
        <v>Tara Young</v>
      </c>
      <c r="M292" s="2" t="str">
        <f t="array" ref="M292">XLOOKUP(I292,customers_clean!$A$2:$A$701,customers_clean!$I$2:$I$701)</f>
        <v>TARA.YOUNG@OUTLOOK.COM</v>
      </c>
      <c r="N292" s="10" t="str">
        <f t="array" ref="N292">XLOOKUP(I292,customers_clean!$A$2:$A$701,customers_clean!$H$2:$H$701)</f>
        <v>tara.young@outlook.com</v>
      </c>
      <c r="O292" s="9" t="str">
        <f>IFERROR(__xludf.DUMMYFUNCTION("IF(REGEXMATCH(TRIM(N292),""^[A-Za-z0-9._%+-]+@[A-Za-z0-9.-]+\.[A-Za-z]{2,}$""),""✅ Valid"",""❌ Invalid"")"),"✅ Valid")</f>
        <v>✅ Valid</v>
      </c>
      <c r="P292" s="2" t="str">
        <f t="array" ref="P292">XLOOKUP(I292,customers_clean!$A$2:$A$701,customers_clean!$K$2:$K$701)</f>
        <v>577-405-58518</v>
      </c>
      <c r="Q292" s="10" t="str">
        <f t="array" ref="Q292">XLOOKUP(I292,customers_clean!$A$2:$A$701,customers_clean!$N$2:$N$701)</f>
        <v>57740558518</v>
      </c>
      <c r="R292" s="9" t="str">
        <f t="array" ref="R292">XLOOKUP(I292,customers_clean!$A$2:$A$701,customers_clean!$Q$2:$Q$701)</f>
        <v>❌ INVALID</v>
      </c>
      <c r="S292" s="10" t="s">
        <v>25</v>
      </c>
      <c r="T292" s="2" t="s">
        <v>42</v>
      </c>
      <c r="U292" s="2" t="s">
        <v>3854</v>
      </c>
      <c r="V292" s="2" t="s">
        <v>2539</v>
      </c>
      <c r="W292" s="9" t="str">
        <f t="array" ref="W292">IF(ISNA(XLOOKUP(V292,products_master_corrected!$A$2:$A$151,products_master_corrected!$A$2:$A$151, NA())),
    "❌ MISSING SKU", "✅")</f>
        <v>✅</v>
      </c>
      <c r="X292" s="2" t="s">
        <v>403</v>
      </c>
      <c r="Y292" s="2" t="s">
        <v>1328</v>
      </c>
      <c r="Z292" s="10" t="s">
        <v>179</v>
      </c>
      <c r="AA292" s="27">
        <v>1.0</v>
      </c>
      <c r="AB292" s="9" t="s">
        <v>8649</v>
      </c>
      <c r="AC292" s="28">
        <f t="array" ref="AC292">XLOOKUP(V292,products_master_corrected!$A$2:$A$151,products_master_corrected!$E$2:$E$151)</f>
        <v>25.41</v>
      </c>
      <c r="AD292" s="28">
        <f t="shared" si="32"/>
        <v>25.41</v>
      </c>
      <c r="AE292" s="28">
        <f t="array" ref="AE292">XLOOKUP(V292,products_master_corrected!$A$2:$A$151,products_master_corrected!$K$2:$K$151)</f>
        <v>130.73</v>
      </c>
      <c r="AF292" s="29">
        <f t="shared" si="33"/>
        <v>130.73</v>
      </c>
      <c r="AG292" s="30" t="s">
        <v>95</v>
      </c>
      <c r="AH292" s="2" t="s">
        <v>505</v>
      </c>
      <c r="AI292" s="10" t="s">
        <v>181</v>
      </c>
      <c r="AJ292" s="2" t="s">
        <v>192</v>
      </c>
      <c r="AK292" s="10" t="s">
        <v>192</v>
      </c>
      <c r="AL292" s="2" t="s">
        <v>133</v>
      </c>
    </row>
    <row r="293" ht="15.75" customHeight="1">
      <c r="A293" s="2" t="s">
        <v>2974</v>
      </c>
      <c r="B293" s="12" t="s">
        <v>2975</v>
      </c>
      <c r="C293" s="2" t="str">
        <f>IFERROR(__xludf.DUMMYFUNCTION("IF(ISNUMBER(B293),TEXT(B293,""yyyy-MM-dd""),REGEXREPLACE(REGEXREPLACE(TO_TEXT(B293),""[^0-9a-zA-Z]+"",""-""),""[^0-9]*$"",""""))"),"08-30-2023")</f>
        <v>08-30-2023</v>
      </c>
      <c r="D293" s="2" t="str">
        <f>TEXT(C293,"yyyy-MM-dd")</f>
        <v>08-30-2023</v>
      </c>
      <c r="E293" s="2" t="s">
        <v>8794</v>
      </c>
      <c r="H293" s="10" t="s">
        <v>8794</v>
      </c>
      <c r="I293" s="2" t="s">
        <v>2776</v>
      </c>
      <c r="J293" s="26" t="str">
        <f t="array" ref="J293">IF(ISNA(XLOOKUP(I293,customers_clean!$A$2:$A$701,customers_clean!$A$2:$A$701, NA()) ),
   "❌ MISSING CUSTOMER", "✅")</f>
        <v>✅</v>
      </c>
      <c r="K293" s="2" t="str">
        <f t="array" ref="K293">XLOOKUP(I293,customers_clean!$A$2:$A$701,customers_clean!$C$2:$C$701)</f>
        <v>Tara Young </v>
      </c>
      <c r="L293" s="10" t="str">
        <f t="array" ref="L293">XLOOKUP(I293,customers_clean!$A$2:$A$701,customers_clean!$D$2:$D$701)</f>
        <v>Tara Young</v>
      </c>
      <c r="M293" s="2" t="str">
        <f t="array" ref="M293">XLOOKUP(I293,customers_clean!$A$2:$A$701,customers_clean!$I$2:$I$701)</f>
        <v>TARA.YOUNG@OUTLOOK.COM</v>
      </c>
      <c r="N293" s="10" t="str">
        <f t="array" ref="N293">XLOOKUP(I293,customers_clean!$A$2:$A$701,customers_clean!$H$2:$H$701)</f>
        <v>tara.young@outlook.com</v>
      </c>
      <c r="O293" s="9" t="str">
        <f>IFERROR(__xludf.DUMMYFUNCTION("IF(REGEXMATCH(TRIM(N293),""^[A-Za-z0-9._%+-]+@[A-Za-z0-9.-]+\.[A-Za-z]{2,}$""),""✅ Valid"",""❌ Invalid"")"),"✅ Valid")</f>
        <v>✅ Valid</v>
      </c>
      <c r="P293" s="2" t="str">
        <f t="array" ref="P293">XLOOKUP(I293,customers_clean!$A$2:$A$701,customers_clean!$K$2:$K$701)</f>
        <v>577-405-58518</v>
      </c>
      <c r="Q293" s="10" t="str">
        <f t="array" ref="Q293">XLOOKUP(I293,customers_clean!$A$2:$A$701,customers_clean!$N$2:$N$701)</f>
        <v>57740558518</v>
      </c>
      <c r="R293" s="9" t="str">
        <f t="array" ref="R293">XLOOKUP(I293,customers_clean!$A$2:$A$701,customers_clean!$Q$2:$Q$701)</f>
        <v>❌ INVALID</v>
      </c>
      <c r="S293" s="10" t="s">
        <v>25</v>
      </c>
      <c r="T293" s="2" t="s">
        <v>223</v>
      </c>
      <c r="U293" s="2" t="s">
        <v>289</v>
      </c>
      <c r="V293" s="2" t="s">
        <v>2273</v>
      </c>
      <c r="W293" s="9" t="str">
        <f t="array" ref="W293">IF(ISNA(XLOOKUP(V293,products_master_corrected!$A$2:$A$151,products_master_corrected!$A$2:$A$151, NA())),
    "❌ MISSING SKU", "✅")</f>
        <v>✅</v>
      </c>
      <c r="X293" s="2" t="s">
        <v>2274</v>
      </c>
      <c r="Y293" s="2" t="s">
        <v>1328</v>
      </c>
      <c r="Z293" s="10" t="s">
        <v>179</v>
      </c>
      <c r="AA293" s="27">
        <v>2.0</v>
      </c>
      <c r="AB293" s="9" t="s">
        <v>8649</v>
      </c>
      <c r="AC293" s="28">
        <f t="array" ref="AC293">XLOOKUP(V293,products_master_corrected!$A$2:$A$151,products_master_corrected!$E$2:$E$151)</f>
        <v>142.55</v>
      </c>
      <c r="AD293" s="28">
        <f t="shared" si="32"/>
        <v>285.1</v>
      </c>
      <c r="AE293" s="28">
        <f t="array" ref="AE293">XLOOKUP(V293,products_master_corrected!$A$2:$A$151,products_master_corrected!$K$2:$K$151)</f>
        <v>733.42</v>
      </c>
      <c r="AF293" s="29">
        <f t="shared" si="33"/>
        <v>1466.84</v>
      </c>
      <c r="AG293" s="30" t="s">
        <v>95</v>
      </c>
      <c r="AH293" s="2" t="s">
        <v>49</v>
      </c>
      <c r="AI293" s="10" t="s">
        <v>49</v>
      </c>
      <c r="AJ293" s="2" t="s">
        <v>169</v>
      </c>
      <c r="AK293" s="10" t="s">
        <v>261</v>
      </c>
      <c r="AL293" s="2" t="s">
        <v>81</v>
      </c>
    </row>
    <row r="294" ht="15.75" customHeight="1">
      <c r="A294" s="2" t="s">
        <v>2774</v>
      </c>
      <c r="B294" s="12">
        <v>45541.0</v>
      </c>
      <c r="C294" s="2" t="str">
        <f>IFERROR(__xludf.DUMMYFUNCTION("IF(ISNUMBER(B294),TEXT(B294,""yyyy-MM-dd""),REGEXREPLACE(REGEXREPLACE(TO_TEXT(B294),""[^0-9a-zA-Z]+"",""-""),""[^0-9]*$"",""""))"),"2024-09-06")</f>
        <v>2024-09-06</v>
      </c>
      <c r="D294" s="2" t="s">
        <v>8795</v>
      </c>
      <c r="H294" s="10" t="s">
        <v>8795</v>
      </c>
      <c r="I294" s="2" t="s">
        <v>2776</v>
      </c>
      <c r="J294" s="26" t="str">
        <f t="array" ref="J294">IF(ISNA(XLOOKUP(I294,customers_clean!$A$2:$A$701,customers_clean!$A$2:$A$701, NA()) ),
   "❌ MISSING CUSTOMER", "✅")</f>
        <v>✅</v>
      </c>
      <c r="K294" s="2" t="str">
        <f t="array" ref="K294">XLOOKUP(I294,customers_clean!$A$2:$A$701,customers_clean!$C$2:$C$701)</f>
        <v>Tara Young </v>
      </c>
      <c r="L294" s="10" t="str">
        <f t="array" ref="L294">XLOOKUP(I294,customers_clean!$A$2:$A$701,customers_clean!$D$2:$D$701)</f>
        <v>Tara Young</v>
      </c>
      <c r="M294" s="2" t="str">
        <f t="array" ref="M294">XLOOKUP(I294,customers_clean!$A$2:$A$701,customers_clean!$I$2:$I$701)</f>
        <v>TARA.YOUNG@OUTLOOK.COM</v>
      </c>
      <c r="N294" s="10" t="str">
        <f t="array" ref="N294">XLOOKUP(I294,customers_clean!$A$2:$A$701,customers_clean!$H$2:$H$701)</f>
        <v>tara.young@outlook.com</v>
      </c>
      <c r="O294" s="9" t="str">
        <f>IFERROR(__xludf.DUMMYFUNCTION("IF(REGEXMATCH(TRIM(N294),""^[A-Za-z0-9._%+-]+@[A-Za-z0-9.-]+\.[A-Za-z]{2,}$""),""✅ Valid"",""❌ Invalid"")"),"✅ Valid")</f>
        <v>✅ Valid</v>
      </c>
      <c r="P294" s="2" t="str">
        <f t="array" ref="P294">XLOOKUP(I294,customers_clean!$A$2:$A$701,customers_clean!$K$2:$K$701)</f>
        <v>577-405-58518</v>
      </c>
      <c r="Q294" s="10" t="str">
        <f t="array" ref="Q294">XLOOKUP(I294,customers_clean!$A$2:$A$701,customers_clean!$N$2:$N$701)</f>
        <v>57740558518</v>
      </c>
      <c r="R294" s="9" t="str">
        <f t="array" ref="R294">XLOOKUP(I294,customers_clean!$A$2:$A$701,customers_clean!$Q$2:$Q$701)</f>
        <v>❌ INVALID</v>
      </c>
      <c r="S294" s="10" t="s">
        <v>25</v>
      </c>
      <c r="T294" s="2" t="s">
        <v>115</v>
      </c>
      <c r="U294" s="2" t="s">
        <v>312</v>
      </c>
      <c r="V294" s="2" t="s">
        <v>1085</v>
      </c>
      <c r="W294" s="9" t="str">
        <f t="array" ref="W294">IF(ISNA(XLOOKUP(V294,products_master_corrected!$A$2:$A$151,products_master_corrected!$A$2:$A$151, NA())),
    "❌ MISSING SKU", "✅")</f>
        <v>✅</v>
      </c>
      <c r="X294" s="2" t="s">
        <v>29</v>
      </c>
      <c r="Y294" s="2" t="s">
        <v>368</v>
      </c>
      <c r="Z294" s="10" t="s">
        <v>368</v>
      </c>
      <c r="AA294" s="27">
        <v>1.0</v>
      </c>
      <c r="AB294" s="9" t="s">
        <v>8649</v>
      </c>
      <c r="AC294" s="28">
        <f t="array" ref="AC294">XLOOKUP(V294,products_master_corrected!$A$2:$A$151,products_master_corrected!$E$2:$E$151)</f>
        <v>171.42</v>
      </c>
      <c r="AD294" s="28">
        <f t="shared" si="32"/>
        <v>171.42</v>
      </c>
      <c r="AE294" s="28">
        <f t="array" ref="AE294">XLOOKUP(V294,products_master_corrected!$A$2:$A$151,products_master_corrected!$K$2:$K$151)</f>
        <v>881.96</v>
      </c>
      <c r="AF294" s="29">
        <f t="shared" si="33"/>
        <v>881.96</v>
      </c>
      <c r="AG294" s="30" t="s">
        <v>95</v>
      </c>
      <c r="AH294" s="2" t="s">
        <v>238</v>
      </c>
      <c r="AI294" s="10" t="s">
        <v>66</v>
      </c>
      <c r="AJ294" s="2" t="s">
        <v>192</v>
      </c>
      <c r="AK294" s="10" t="s">
        <v>192</v>
      </c>
    </row>
    <row r="295" ht="15.75" customHeight="1">
      <c r="A295" s="2" t="s">
        <v>2938</v>
      </c>
      <c r="B295" s="12" t="s">
        <v>2939</v>
      </c>
      <c r="C295" s="2" t="str">
        <f>IFERROR(__xludf.DUMMYFUNCTION("IF(ISNUMBER(B295),TEXT(B295,""yyyy-MM-dd""),REGEXREPLACE(REGEXREPLACE(TO_TEXT(B295),""[^0-9a-zA-Z]+"",""-""),""[^0-9]*$"",""""))"),"02-21-2025")</f>
        <v>02-21-2025</v>
      </c>
      <c r="D295" s="2" t="str">
        <f>TEXT(C295,"yyyy-MM-dd")</f>
        <v>02-21-2025</v>
      </c>
      <c r="E295" s="2" t="s">
        <v>6261</v>
      </c>
      <c r="H295" s="10" t="s">
        <v>6261</v>
      </c>
      <c r="I295" s="2" t="s">
        <v>2776</v>
      </c>
      <c r="J295" s="26" t="str">
        <f t="array" ref="J295">IF(ISNA(XLOOKUP(I295,customers_clean!$A$2:$A$701,customers_clean!$A$2:$A$701, NA()) ),
   "❌ MISSING CUSTOMER", "✅")</f>
        <v>✅</v>
      </c>
      <c r="K295" s="2" t="str">
        <f t="array" ref="K295">XLOOKUP(I295,customers_clean!$A$2:$A$701,customers_clean!$C$2:$C$701)</f>
        <v>Tara Young </v>
      </c>
      <c r="L295" s="10" t="str">
        <f t="array" ref="L295">XLOOKUP(I295,customers_clean!$A$2:$A$701,customers_clean!$D$2:$D$701)</f>
        <v>Tara Young</v>
      </c>
      <c r="M295" s="2" t="str">
        <f t="array" ref="M295">XLOOKUP(I295,customers_clean!$A$2:$A$701,customers_clean!$I$2:$I$701)</f>
        <v>TARA.YOUNG@OUTLOOK.COM</v>
      </c>
      <c r="N295" s="10" t="str">
        <f t="array" ref="N295">XLOOKUP(I295,customers_clean!$A$2:$A$701,customers_clean!$H$2:$H$701)</f>
        <v>tara.young@outlook.com</v>
      </c>
      <c r="O295" s="9" t="str">
        <f>IFERROR(__xludf.DUMMYFUNCTION("IF(REGEXMATCH(TRIM(N295),""^[A-Za-z0-9._%+-]+@[A-Za-z0-9.-]+\.[A-Za-z]{2,}$""),""✅ Valid"",""❌ Invalid"")"),"✅ Valid")</f>
        <v>✅ Valid</v>
      </c>
      <c r="P295" s="2" t="str">
        <f t="array" ref="P295">XLOOKUP(I295,customers_clean!$A$2:$A$701,customers_clean!$K$2:$K$701)</f>
        <v>577-405-58518</v>
      </c>
      <c r="Q295" s="10" t="str">
        <f t="array" ref="Q295">XLOOKUP(I295,customers_clean!$A$2:$A$701,customers_clean!$N$2:$N$701)</f>
        <v>57740558518</v>
      </c>
      <c r="R295" s="9" t="str">
        <f t="array" ref="R295">XLOOKUP(I295,customers_clean!$A$2:$A$701,customers_clean!$Q$2:$Q$701)</f>
        <v>❌ INVALID</v>
      </c>
      <c r="S295" s="10" t="s">
        <v>25</v>
      </c>
      <c r="T295" s="2" t="s">
        <v>115</v>
      </c>
      <c r="U295" s="2" t="s">
        <v>176</v>
      </c>
      <c r="V295" s="2" t="s">
        <v>2240</v>
      </c>
      <c r="W295" s="9" t="str">
        <f t="array" ref="W295">IF(ISNA(XLOOKUP(V295,products_master_corrected!$A$2:$A$151,products_master_corrected!$A$2:$A$151, NA())),
    "❌ MISSING SKU", "✅")</f>
        <v>✅</v>
      </c>
      <c r="X295" s="2" t="s">
        <v>403</v>
      </c>
      <c r="Y295" s="2" t="s">
        <v>742</v>
      </c>
      <c r="Z295" s="10" t="s">
        <v>355</v>
      </c>
      <c r="AA295" s="27">
        <v>5.0</v>
      </c>
      <c r="AB295" s="9" t="s">
        <v>8649</v>
      </c>
      <c r="AC295" s="28">
        <f t="array" ref="AC295">XLOOKUP(V295,products_master_corrected!$A$2:$A$151,products_master_corrected!$E$2:$E$151)</f>
        <v>23.6</v>
      </c>
      <c r="AD295" s="28">
        <f t="shared" si="32"/>
        <v>118</v>
      </c>
      <c r="AE295" s="28">
        <f t="array" ref="AE295">XLOOKUP(V295,products_master_corrected!$A$2:$A$151,products_master_corrected!$K$2:$K$151)</f>
        <v>121.42</v>
      </c>
      <c r="AF295" s="29">
        <f t="shared" si="33"/>
        <v>607.1</v>
      </c>
      <c r="AG295" s="30" t="s">
        <v>95</v>
      </c>
      <c r="AH295" s="2" t="s">
        <v>49</v>
      </c>
      <c r="AI295" s="10" t="s">
        <v>49</v>
      </c>
      <c r="AJ295" s="2" t="s">
        <v>1171</v>
      </c>
      <c r="AK295" s="10" t="s">
        <v>80</v>
      </c>
    </row>
    <row r="296" ht="15.75" customHeight="1">
      <c r="A296" s="2" t="s">
        <v>5359</v>
      </c>
      <c r="B296" s="12" t="s">
        <v>5360</v>
      </c>
      <c r="C296" s="2" t="str">
        <f>IFERROR(__xludf.DUMMYFUNCTION("IF(ISNUMBER(B296),TEXT(B296,""yyyy-MM-dd""),REGEXREPLACE(REGEXREPLACE(TO_TEXT(B296),""[^0-9a-zA-Z]+"",""-""),""[^0-9]*$"",""""))"),"18-04-2023")</f>
        <v>18-04-2023</v>
      </c>
      <c r="D296" s="2" t="s">
        <v>8796</v>
      </c>
      <c r="H296" s="10" t="s">
        <v>8796</v>
      </c>
      <c r="I296" s="2" t="s">
        <v>2776</v>
      </c>
      <c r="J296" s="26" t="str">
        <f t="array" ref="J296">IF(ISNA(XLOOKUP(I296,customers_clean!$A$2:$A$701,customers_clean!$A$2:$A$701, NA()) ),
   "❌ MISSING CUSTOMER", "✅")</f>
        <v>✅</v>
      </c>
      <c r="K296" s="2" t="str">
        <f t="array" ref="K296">XLOOKUP(I296,customers_clean!$A$2:$A$701,customers_clean!$C$2:$C$701)</f>
        <v>Tara Young </v>
      </c>
      <c r="L296" s="10" t="str">
        <f t="array" ref="L296">XLOOKUP(I296,customers_clean!$A$2:$A$701,customers_clean!$D$2:$D$701)</f>
        <v>Tara Young</v>
      </c>
      <c r="M296" s="2" t="str">
        <f t="array" ref="M296">XLOOKUP(I296,customers_clean!$A$2:$A$701,customers_clean!$I$2:$I$701)</f>
        <v>TARA.YOUNG@OUTLOOK.COM</v>
      </c>
      <c r="N296" s="10" t="str">
        <f t="array" ref="N296">XLOOKUP(I296,customers_clean!$A$2:$A$701,customers_clean!$H$2:$H$701)</f>
        <v>tara.young@outlook.com</v>
      </c>
      <c r="O296" s="9" t="str">
        <f>IFERROR(__xludf.DUMMYFUNCTION("IF(REGEXMATCH(TRIM(N296),""^[A-Za-z0-9._%+-]+@[A-Za-z0-9.-]+\.[A-Za-z]{2,}$""),""✅ Valid"",""❌ Invalid"")"),"✅ Valid")</f>
        <v>✅ Valid</v>
      </c>
      <c r="P296" s="2" t="str">
        <f t="array" ref="P296">XLOOKUP(I296,customers_clean!$A$2:$A$701,customers_clean!$K$2:$K$701)</f>
        <v>577-405-58518</v>
      </c>
      <c r="Q296" s="10" t="str">
        <f t="array" ref="Q296">XLOOKUP(I296,customers_clean!$A$2:$A$701,customers_clean!$N$2:$N$701)</f>
        <v>57740558518</v>
      </c>
      <c r="R296" s="9" t="str">
        <f t="array" ref="R296">XLOOKUP(I296,customers_clean!$A$2:$A$701,customers_clean!$Q$2:$Q$701)</f>
        <v>❌ INVALID</v>
      </c>
      <c r="S296" s="10" t="s">
        <v>25</v>
      </c>
      <c r="T296" s="2" t="s">
        <v>59</v>
      </c>
      <c r="U296" s="2" t="s">
        <v>5361</v>
      </c>
      <c r="V296" s="2" t="s">
        <v>2033</v>
      </c>
      <c r="W296" s="9" t="str">
        <f t="array" ref="W296">IF(ISNA(XLOOKUP(V296,products_master_corrected!$A$2:$A$151,products_master_corrected!$A$2:$A$151, NA())),
    "❌ MISSING SKU", "✅")</f>
        <v>✅</v>
      </c>
      <c r="X296" s="2" t="s">
        <v>2034</v>
      </c>
      <c r="Y296" s="2" t="s">
        <v>1016</v>
      </c>
      <c r="Z296" s="10" t="s">
        <v>355</v>
      </c>
      <c r="AA296" s="27">
        <v>1.0</v>
      </c>
      <c r="AB296" s="9" t="s">
        <v>8649</v>
      </c>
      <c r="AC296" s="28">
        <f t="array" ref="AC296">XLOOKUP(V296,products_master_corrected!$A$2:$A$151,products_master_corrected!$E$2:$E$151)</f>
        <v>938.62</v>
      </c>
      <c r="AD296" s="28">
        <f t="shared" si="32"/>
        <v>938.62</v>
      </c>
      <c r="AE296" s="28">
        <f t="array" ref="AE296">XLOOKUP(V296,products_master_corrected!$A$2:$A$151,products_master_corrected!$K$2:$K$151)</f>
        <v>4829.2</v>
      </c>
      <c r="AF296" s="29">
        <f t="shared" si="33"/>
        <v>4829.2</v>
      </c>
      <c r="AG296" s="30" t="s">
        <v>95</v>
      </c>
      <c r="AH296" s="2" t="s">
        <v>66</v>
      </c>
      <c r="AI296" s="10" t="s">
        <v>66</v>
      </c>
      <c r="AJ296" s="2" t="s">
        <v>818</v>
      </c>
      <c r="AK296" s="10" t="s">
        <v>818</v>
      </c>
      <c r="AL296" s="2" t="s">
        <v>81</v>
      </c>
    </row>
    <row r="297" ht="15.75" customHeight="1">
      <c r="A297" s="2" t="s">
        <v>5689</v>
      </c>
      <c r="B297" s="12">
        <v>45278.376388888886</v>
      </c>
      <c r="C297" s="2" t="str">
        <f>IFERROR(__xludf.DUMMYFUNCTION("IF(ISNUMBER(B297),TEXT(B297,""yyyy-MM-dd""),REGEXREPLACE(REGEXREPLACE(TO_TEXT(B297),""[^0-9a-zA-Z]+"",""-""),""[^0-9]*$"",""""))"),"2023-12-18")</f>
        <v>2023-12-18</v>
      </c>
      <c r="D297" s="2" t="s">
        <v>8160</v>
      </c>
      <c r="H297" s="10" t="s">
        <v>8160</v>
      </c>
      <c r="I297" s="2" t="s">
        <v>5691</v>
      </c>
      <c r="J297" s="26" t="str">
        <f t="array" ref="J297">IF(ISNA(XLOOKUP(I297,customers_clean!$A$2:$A$701,customers_clean!$A$2:$A$701, NA()) ),
   "❌ MISSING CUSTOMER", "✅")</f>
        <v>✅</v>
      </c>
      <c r="K297" s="2" t="str">
        <f t="array" ref="K297">XLOOKUP(I297,customers_clean!$A$2:$A$701,customers_clean!$C$2:$C$701)</f>
        <v>Carlos Brown </v>
      </c>
      <c r="L297" s="10" t="str">
        <f t="array" ref="L297">XLOOKUP(I297,customers_clean!$A$2:$A$701,customers_clean!$D$2:$D$701)</f>
        <v>Carlos Brown</v>
      </c>
      <c r="M297" s="2" t="str">
        <f t="array" ref="M297">XLOOKUP(I297,customers_clean!$A$2:$A$701,customers_clean!$I$2:$I$701)</f>
        <v> carlos.brown@outlook.com</v>
      </c>
      <c r="N297" s="10" t="str">
        <f t="array" ref="N297">XLOOKUP(I297,customers_clean!$A$2:$A$701,customers_clean!$H$2:$H$701)</f>
        <v>carlos.brown@outlook.com</v>
      </c>
      <c r="O297" s="9" t="str">
        <f>IFERROR(__xludf.DUMMYFUNCTION("IF(REGEXMATCH(TRIM(N297),""^[A-Za-z0-9._%+-]+@[A-Za-z0-9.-]+\.[A-Za-z]{2,}$""),""✅ Valid"",""❌ Invalid"")"),"✅ Valid")</f>
        <v>✅ Valid</v>
      </c>
      <c r="P297" s="2" t="str">
        <f t="array" ref="P297">XLOOKUP(I297,customers_clean!$A$2:$A$701,customers_clean!$K$2:$K$701)</f>
        <v>+4005406572</v>
      </c>
      <c r="Q297" s="10" t="str">
        <f t="array" ref="Q297">XLOOKUP(I297,customers_clean!$A$2:$A$701,customers_clean!$N$2:$N$701)</f>
        <v>4005406572</v>
      </c>
      <c r="R297" s="9" t="str">
        <f t="array" ref="R297">XLOOKUP(I297,customers_clean!$A$2:$A$701,customers_clean!$Q$2:$Q$701)</f>
        <v>❌ INVALID</v>
      </c>
      <c r="S297" s="31" t="s">
        <v>671</v>
      </c>
      <c r="T297" s="2" t="s">
        <v>42</v>
      </c>
      <c r="U297" s="2" t="s">
        <v>352</v>
      </c>
      <c r="V297" s="2" t="s">
        <v>2539</v>
      </c>
      <c r="W297" s="9" t="str">
        <f t="array" ref="W297">IF(ISNA(XLOOKUP(V297,products_master_corrected!$A$2:$A$151,products_master_corrected!$A$2:$A$151, NA())),
    "❌ MISSING SKU", "✅")</f>
        <v>✅</v>
      </c>
      <c r="X297" s="2" t="s">
        <v>403</v>
      </c>
      <c r="Y297" s="2" t="s">
        <v>1328</v>
      </c>
      <c r="Z297" s="10" t="s">
        <v>179</v>
      </c>
      <c r="AA297" s="27">
        <v>3.0</v>
      </c>
      <c r="AB297" s="9" t="s">
        <v>8649</v>
      </c>
      <c r="AC297" s="28">
        <f t="array" ref="AC297">XLOOKUP(V297,products_master_corrected!$A$2:$A$151,products_master_corrected!$E$2:$E$151)</f>
        <v>25.41</v>
      </c>
      <c r="AD297" s="28">
        <f t="shared" si="32"/>
        <v>76.23</v>
      </c>
      <c r="AE297" s="28">
        <f t="array" ref="AE297">XLOOKUP(V297,products_master_corrected!$A$2:$A$151,products_master_corrected!$J$2:$J$151)</f>
        <v>29.64</v>
      </c>
      <c r="AF297" s="29">
        <f t="shared" si="33"/>
        <v>88.92</v>
      </c>
      <c r="AG297" s="32" t="s">
        <v>8656</v>
      </c>
      <c r="AH297" s="2" t="s">
        <v>305</v>
      </c>
      <c r="AI297" s="10" t="s">
        <v>49</v>
      </c>
      <c r="AJ297" s="2" t="s">
        <v>294</v>
      </c>
      <c r="AK297" s="10" t="s">
        <v>80</v>
      </c>
      <c r="AL297" s="2" t="s">
        <v>51</v>
      </c>
    </row>
    <row r="298" ht="15.75" customHeight="1">
      <c r="A298" s="2" t="s">
        <v>1321</v>
      </c>
      <c r="B298" s="12">
        <v>45373.0</v>
      </c>
      <c r="C298" s="2" t="str">
        <f>IFERROR(__xludf.DUMMYFUNCTION("IF(ISNUMBER(B298),TEXT(B298,""yyyy-MM-dd""),REGEXREPLACE(REGEXREPLACE(TO_TEXT(B298),""[^0-9a-zA-Z]+"",""-""),""[^0-9]*$"",""""))"),"2024-03-22")</f>
        <v>2024-03-22</v>
      </c>
      <c r="D298" s="2" t="s">
        <v>8010</v>
      </c>
      <c r="H298" s="10" t="s">
        <v>8010</v>
      </c>
      <c r="I298" s="2" t="s">
        <v>1323</v>
      </c>
      <c r="J298" s="26" t="str">
        <f t="array" ref="J298">IF(ISNA(XLOOKUP(I298,customers_clean!$A$2:$A$701,customers_clean!$A$2:$A$701, NA()) ),
   "❌ MISSING CUSTOMER", "✅")</f>
        <v>✅</v>
      </c>
      <c r="K298" s="2" t="str">
        <f t="array" ref="K298">XLOOKUP(I298,customers_clean!$A$2:$A$701,customers_clean!$C$2:$C$701)</f>
        <v>Bella King </v>
      </c>
      <c r="L298" s="10" t="str">
        <f t="array" ref="L298">XLOOKUP(I298,customers_clean!$A$2:$A$701,customers_clean!$D$2:$D$701)</f>
        <v>Bella King</v>
      </c>
      <c r="M298" s="2" t="str">
        <f t="array" ref="M298">XLOOKUP(I298,customers_clean!$A$2:$A$701,customers_clean!$I$2:$I$701)</f>
        <v>Bella.King@Gmail.Com</v>
      </c>
      <c r="N298" s="10" t="str">
        <f t="array" ref="N298">XLOOKUP(I298,customers_clean!$A$2:$A$701,customers_clean!$H$2:$H$701)</f>
        <v>bella.king@gmail.com</v>
      </c>
      <c r="O298" s="9" t="str">
        <f>IFERROR(__xludf.DUMMYFUNCTION("IF(REGEXMATCH(TRIM(N298),""^[A-Za-z0-9._%+-]+@[A-Za-z0-9.-]+\.[A-Za-z]{2,}$""),""✅ Valid"",""❌ Invalid"")"),"✅ Valid")</f>
        <v>✅ Valid</v>
      </c>
      <c r="P298" s="2" t="str">
        <f t="array" ref="P298">XLOOKUP(I298,customers_clean!$A$2:$A$701,customers_clean!$K$2:$K$701)</f>
        <v>+1 269 23266739</v>
      </c>
      <c r="Q298" s="10" t="str">
        <f t="array" ref="Q298">XLOOKUP(I298,customers_clean!$A$2:$A$701,customers_clean!$N$2:$N$701)</f>
        <v>26923266739</v>
      </c>
      <c r="R298" s="9" t="str">
        <f t="array" ref="R298">XLOOKUP(I298,customers_clean!$A$2:$A$701,customers_clean!$Q$2:$Q$701)</f>
        <v>❌ INVALID</v>
      </c>
      <c r="S298" s="10" t="s">
        <v>58</v>
      </c>
      <c r="T298" s="2" t="s">
        <v>683</v>
      </c>
      <c r="U298" s="2" t="s">
        <v>43</v>
      </c>
      <c r="V298" s="2" t="s">
        <v>1327</v>
      </c>
      <c r="W298" s="9" t="str">
        <f t="array" ref="W298">IF(ISNA(XLOOKUP(V298,products_master_corrected!$A$2:$A$151,products_master_corrected!$A$2:$A$151, NA())),
    "❌ MISSING SKU", "✅")</f>
        <v>✅</v>
      </c>
      <c r="X298" s="2" t="s">
        <v>291</v>
      </c>
      <c r="Y298" s="2" t="s">
        <v>1328</v>
      </c>
      <c r="Z298" s="10" t="s">
        <v>179</v>
      </c>
      <c r="AA298" s="27">
        <v>2.0</v>
      </c>
      <c r="AB298" s="9" t="s">
        <v>8649</v>
      </c>
      <c r="AC298" s="28">
        <f t="array" ref="AC298">XLOOKUP(V298,products_master_corrected!$A$2:$A$151,products_master_corrected!$E$2:$E$151)</f>
        <v>124.96</v>
      </c>
      <c r="AD298" s="28">
        <f t="shared" si="32"/>
        <v>249.92</v>
      </c>
      <c r="AE298" s="28">
        <f t="array" ref="AE298">XLOOKUP(V298,products_master_corrected!$A$2:$A$151,products_master_corrected!$G$2:$G$151)</f>
        <v>143.05</v>
      </c>
      <c r="AF298" s="29">
        <f t="shared" si="33"/>
        <v>286.1</v>
      </c>
      <c r="AG298" s="32" t="s">
        <v>8663</v>
      </c>
      <c r="AH298" s="2" t="s">
        <v>505</v>
      </c>
      <c r="AI298" s="10" t="s">
        <v>181</v>
      </c>
      <c r="AJ298" s="2" t="s">
        <v>1312</v>
      </c>
      <c r="AK298" s="10" t="s">
        <v>818</v>
      </c>
      <c r="AL298" s="2" t="s">
        <v>81</v>
      </c>
    </row>
    <row r="299" ht="15.75" customHeight="1">
      <c r="A299" s="2" t="s">
        <v>5612</v>
      </c>
      <c r="B299" s="12" t="s">
        <v>5613</v>
      </c>
      <c r="C299" s="2" t="str">
        <f>IFERROR(__xludf.DUMMYFUNCTION("IF(ISNUMBER(B299),TEXT(B299,""yyyy-MM-dd""),REGEXREPLACE(REGEXREPLACE(TO_TEXT(B299),""[^0-9a-zA-Z]+"",""-""),""[^0-9]*$"",""""))"),"04-29-2025")</f>
        <v>04-29-2025</v>
      </c>
      <c r="D299" s="2" t="str">
        <f>TEXT(C299,"yyyy-MM-dd")</f>
        <v>04-29-2025</v>
      </c>
      <c r="E299" s="2" t="s">
        <v>6183</v>
      </c>
      <c r="H299" s="10" t="s">
        <v>6183</v>
      </c>
      <c r="I299" s="2" t="s">
        <v>1020</v>
      </c>
      <c r="J299" s="26" t="str">
        <f t="array" ref="J299">IF(ISNA(XLOOKUP(I299,customers_clean!$A$2:$A$701,customers_clean!$A$2:$A$701, NA()) ),
   "❌ MISSING CUSTOMER", "✅")</f>
        <v>✅</v>
      </c>
      <c r="K299" s="2" t="str">
        <f t="array" ref="K299">XLOOKUP(I299,customers_clean!$A$2:$A$701,customers_clean!$C$2:$C$701)</f>
        <v>Yara Davis</v>
      </c>
      <c r="L299" s="10" t="str">
        <f t="array" ref="L299">XLOOKUP(I299,customers_clean!$A$2:$A$701,customers_clean!$D$2:$D$701)</f>
        <v>Yara Davis</v>
      </c>
      <c r="M299" s="2" t="str">
        <f t="array" ref="M299">XLOOKUP(I299,customers_clean!$A$2:$A$701,customers_clean!$I$2:$I$701)</f>
        <v>Yara.Davis@Example.Com</v>
      </c>
      <c r="N299" s="10" t="str">
        <f t="array" ref="N299">XLOOKUP(I299,customers_clean!$A$2:$A$701,customers_clean!$H$2:$H$701)</f>
        <v>yara.davis@example.com</v>
      </c>
      <c r="O299" s="9" t="str">
        <f>IFERROR(__xludf.DUMMYFUNCTION("IF(REGEXMATCH(TRIM(N299),""^[A-Za-z0-9._%+-]+@[A-Za-z0-9.-]+\.[A-Za-z]{2,}$""),""✅ Valid"",""❌ Invalid"")"),"✅ Valid")</f>
        <v>✅ Valid</v>
      </c>
      <c r="P299" s="33" t="str">
        <f t="array" ref="P299">XLOOKUP(I299,customers_clean!$A$2:$A$701,customers_clean!$K$2:$K$701)</f>
        <v>12888657</v>
      </c>
      <c r="Q299" s="10" t="str">
        <f t="array" ref="Q299">XLOOKUP(I299,customers_clean!$A$2:$A$701,customers_clean!$N$2:$N$701)</f>
        <v>12888657</v>
      </c>
      <c r="R299" s="9" t="str">
        <f t="array" ref="R299">XLOOKUP(I299,customers_clean!$A$2:$A$701,customers_clean!$Q$2:$Q$701)</f>
        <v>❌ INVALID</v>
      </c>
      <c r="S299" s="10" t="s">
        <v>88</v>
      </c>
      <c r="T299" s="2" t="s">
        <v>5614</v>
      </c>
      <c r="U299" s="2" t="s">
        <v>176</v>
      </c>
      <c r="V299" s="2" t="s">
        <v>599</v>
      </c>
      <c r="W299" s="9" t="str">
        <f t="array" ref="W299">IF(ISNA(XLOOKUP(V299,products_master_corrected!$A$2:$A$151,products_master_corrected!$A$2:$A$151, NA())),
    "❌ MISSING SKU", "✅")</f>
        <v>✅</v>
      </c>
      <c r="X299" s="2" t="s">
        <v>524</v>
      </c>
      <c r="Y299" s="2" t="s">
        <v>167</v>
      </c>
      <c r="Z299" s="10" t="str">
        <f>PROPER(TRIM(Y299))</f>
        <v>Monitors</v>
      </c>
      <c r="AA299" s="27">
        <v>1.0</v>
      </c>
      <c r="AB299" s="9" t="s">
        <v>8649</v>
      </c>
      <c r="AC299" s="28">
        <f t="array" ref="AC299">XLOOKUP(V299,products_master_corrected!$A$2:$A$151,products_master_corrected!$E$2:$E$151)</f>
        <v>212.85</v>
      </c>
      <c r="AD299" s="28">
        <f t="shared" si="32"/>
        <v>212.85</v>
      </c>
      <c r="AE299" s="28">
        <f t="array" ref="AE299">XLOOKUP(V299,products_master_corrected!$A$2:$A$151,products_master_corrected!$I$2:$I$151)</f>
        <v>234.65</v>
      </c>
      <c r="AF299" s="29">
        <f t="shared" si="33"/>
        <v>234.65</v>
      </c>
      <c r="AG299" s="32" t="s">
        <v>8660</v>
      </c>
      <c r="AH299" s="2" t="s">
        <v>305</v>
      </c>
      <c r="AI299" s="10" t="s">
        <v>49</v>
      </c>
      <c r="AJ299" s="2" t="s">
        <v>80</v>
      </c>
      <c r="AK299" s="10" t="s">
        <v>80</v>
      </c>
      <c r="AL299" s="2" t="s">
        <v>67</v>
      </c>
    </row>
    <row r="300" ht="15.75" customHeight="1">
      <c r="A300" s="2" t="s">
        <v>1018</v>
      </c>
      <c r="B300" s="12">
        <v>45162.0</v>
      </c>
      <c r="C300" s="2" t="str">
        <f>IFERROR(__xludf.DUMMYFUNCTION("IF(ISNUMBER(B300),TEXT(B300,""yyyy-MM-dd""),REGEXREPLACE(REGEXREPLACE(TO_TEXT(B300),""[^0-9a-zA-Z]+"",""-""),""[^0-9]*$"",""""))"),"2023-08-24")</f>
        <v>2023-08-24</v>
      </c>
      <c r="D300" s="2" t="s">
        <v>987</v>
      </c>
      <c r="H300" s="10" t="s">
        <v>987</v>
      </c>
      <c r="I300" s="2" t="s">
        <v>1020</v>
      </c>
      <c r="J300" s="26" t="str">
        <f t="array" ref="J300">IF(ISNA(XLOOKUP(I300,customers_clean!$A$2:$A$701,customers_clean!$A$2:$A$701, NA()) ),
   "❌ MISSING CUSTOMER", "✅")</f>
        <v>✅</v>
      </c>
      <c r="K300" s="2" t="str">
        <f t="array" ref="K300">XLOOKUP(I300,customers_clean!$A$2:$A$701,customers_clean!$C$2:$C$701)</f>
        <v>Yara Davis</v>
      </c>
      <c r="L300" s="10" t="str">
        <f t="array" ref="L300">XLOOKUP(I300,customers_clean!$A$2:$A$701,customers_clean!$D$2:$D$701)</f>
        <v>Yara Davis</v>
      </c>
      <c r="M300" s="2" t="str">
        <f t="array" ref="M300">XLOOKUP(I300,customers_clean!$A$2:$A$701,customers_clean!$I$2:$I$701)</f>
        <v>Yara.Davis@Example.Com</v>
      </c>
      <c r="N300" s="10" t="str">
        <f t="array" ref="N300">XLOOKUP(I300,customers_clean!$A$2:$A$701,customers_clean!$H$2:$H$701)</f>
        <v>yara.davis@example.com</v>
      </c>
      <c r="O300" s="9" t="str">
        <f>IFERROR(__xludf.DUMMYFUNCTION("IF(REGEXMATCH(TRIM(N300),""^[A-Za-z0-9._%+-]+@[A-Za-z0-9.-]+\.[A-Za-z]{2,}$""),""✅ Valid"",""❌ Invalid"")"),"✅ Valid")</f>
        <v>✅ Valid</v>
      </c>
      <c r="P300" s="33" t="str">
        <f t="array" ref="P300">XLOOKUP(I300,customers_clean!$A$2:$A$701,customers_clean!$K$2:$K$701)</f>
        <v>12888657</v>
      </c>
      <c r="Q300" s="10" t="str">
        <f t="array" ref="Q300">XLOOKUP(I300,customers_clean!$A$2:$A$701,customers_clean!$N$2:$N$701)</f>
        <v>12888657</v>
      </c>
      <c r="R300" s="9" t="str">
        <f t="array" ref="R300">XLOOKUP(I300,customers_clean!$A$2:$A$701,customers_clean!$Q$2:$Q$701)</f>
        <v>❌ INVALID</v>
      </c>
      <c r="S300" s="10" t="s">
        <v>88</v>
      </c>
      <c r="T300" s="2" t="s">
        <v>323</v>
      </c>
      <c r="U300" s="2" t="s">
        <v>116</v>
      </c>
      <c r="V300" s="2" t="s">
        <v>976</v>
      </c>
      <c r="W300" s="9" t="str">
        <f t="array" ref="W300">IF(ISNA(XLOOKUP(V300,products_master_corrected!$A$2:$A$151,products_master_corrected!$A$2:$A$151, NA())),
    "❌ MISSING SKU", "✅")</f>
        <v>✅</v>
      </c>
      <c r="X300" s="2" t="s">
        <v>29</v>
      </c>
      <c r="Y300" s="2" t="s">
        <v>214</v>
      </c>
      <c r="Z300" s="10" t="s">
        <v>368</v>
      </c>
      <c r="AA300" s="27">
        <v>1.0</v>
      </c>
      <c r="AB300" s="9" t="s">
        <v>8649</v>
      </c>
      <c r="AC300" s="28">
        <f t="array" ref="AC300">XLOOKUP(V300,products_master_corrected!$A$2:$A$151,products_master_corrected!$E$2:$E$151)</f>
        <v>107.91</v>
      </c>
      <c r="AD300" s="28">
        <f t="shared" si="32"/>
        <v>107.91</v>
      </c>
      <c r="AE300" s="28">
        <f t="array" ref="AE300">XLOOKUP(V300,products_master_corrected!$A$2:$A$151,products_master_corrected!$I$2:$I$151)</f>
        <v>118.96</v>
      </c>
      <c r="AF300" s="29">
        <f t="shared" si="33"/>
        <v>118.96</v>
      </c>
      <c r="AG300" s="32" t="s">
        <v>8660</v>
      </c>
      <c r="AH300" s="2" t="s">
        <v>33</v>
      </c>
      <c r="AI300" s="10" t="s">
        <v>181</v>
      </c>
      <c r="AJ300" s="2" t="s">
        <v>1025</v>
      </c>
      <c r="AK300" s="10" t="s">
        <v>192</v>
      </c>
    </row>
    <row r="301" ht="15.75" customHeight="1">
      <c r="A301" s="2" t="s">
        <v>2955</v>
      </c>
      <c r="B301" s="12">
        <v>45393.157638888886</v>
      </c>
      <c r="C301" s="2" t="str">
        <f>IFERROR(__xludf.DUMMYFUNCTION("IF(ISNUMBER(B301),TEXT(B301,""yyyy-MM-dd""),REGEXREPLACE(REGEXREPLACE(TO_TEXT(B301),""[^0-9a-zA-Z]+"",""-""),""[^0-9]*$"",""""))"),"2024-04-11")</f>
        <v>2024-04-11</v>
      </c>
      <c r="D301" s="2" t="s">
        <v>8035</v>
      </c>
      <c r="H301" s="10" t="s">
        <v>8035</v>
      </c>
      <c r="I301" s="2" t="s">
        <v>1020</v>
      </c>
      <c r="J301" s="26" t="str">
        <f t="array" ref="J301">IF(ISNA(XLOOKUP(I301,customers_clean!$A$2:$A$701,customers_clean!$A$2:$A$701, NA()) ),
   "❌ MISSING CUSTOMER", "✅")</f>
        <v>✅</v>
      </c>
      <c r="K301" s="2" t="str">
        <f t="array" ref="K301">XLOOKUP(I301,customers_clean!$A$2:$A$701,customers_clean!$C$2:$C$701)</f>
        <v>Yara Davis</v>
      </c>
      <c r="L301" s="10" t="str">
        <f t="array" ref="L301">XLOOKUP(I301,customers_clean!$A$2:$A$701,customers_clean!$D$2:$D$701)</f>
        <v>Yara Davis</v>
      </c>
      <c r="M301" s="2" t="str">
        <f t="array" ref="M301">XLOOKUP(I301,customers_clean!$A$2:$A$701,customers_clean!$I$2:$I$701)</f>
        <v>Yara.Davis@Example.Com</v>
      </c>
      <c r="N301" s="10" t="str">
        <f t="array" ref="N301">XLOOKUP(I301,customers_clean!$A$2:$A$701,customers_clean!$H$2:$H$701)</f>
        <v>yara.davis@example.com</v>
      </c>
      <c r="O301" s="9" t="str">
        <f>IFERROR(__xludf.DUMMYFUNCTION("IF(REGEXMATCH(TRIM(N301),""^[A-Za-z0-9._%+-]+@[A-Za-z0-9.-]+\.[A-Za-z]{2,}$""),""✅ Valid"",""❌ Invalid"")"),"✅ Valid")</f>
        <v>✅ Valid</v>
      </c>
      <c r="P301" s="33" t="str">
        <f t="array" ref="P301">XLOOKUP(I301,customers_clean!$A$2:$A$701,customers_clean!$K$2:$K$701)</f>
        <v>12888657</v>
      </c>
      <c r="Q301" s="10" t="str">
        <f t="array" ref="Q301">XLOOKUP(I301,customers_clean!$A$2:$A$701,customers_clean!$N$2:$N$701)</f>
        <v>12888657</v>
      </c>
      <c r="R301" s="9" t="str">
        <f t="array" ref="R301">XLOOKUP(I301,customers_clean!$A$2:$A$701,customers_clean!$Q$2:$Q$701)</f>
        <v>❌ INVALID</v>
      </c>
      <c r="S301" s="10" t="s">
        <v>88</v>
      </c>
      <c r="T301" s="2" t="s">
        <v>683</v>
      </c>
      <c r="U301" s="2" t="s">
        <v>103</v>
      </c>
      <c r="V301" s="2" t="s">
        <v>1085</v>
      </c>
      <c r="W301" s="9" t="str">
        <f t="array" ref="W301">IF(ISNA(XLOOKUP(V301,products_master_corrected!$A$2:$A$151,products_master_corrected!$A$2:$A$151, NA())),
    "❌ MISSING SKU", "✅")</f>
        <v>✅</v>
      </c>
      <c r="X301" s="2" t="s">
        <v>29</v>
      </c>
      <c r="Y301" s="2" t="s">
        <v>368</v>
      </c>
      <c r="Z301" s="10" t="s">
        <v>368</v>
      </c>
      <c r="AA301" s="27">
        <v>1.0</v>
      </c>
      <c r="AB301" s="9" t="s">
        <v>8649</v>
      </c>
      <c r="AC301" s="28">
        <f t="array" ref="AC301">XLOOKUP(V301,products_master_corrected!$A$2:$A$151,products_master_corrected!$E$2:$E$151)</f>
        <v>171.42</v>
      </c>
      <c r="AD301" s="28">
        <f t="shared" si="32"/>
        <v>171.42</v>
      </c>
      <c r="AE301" s="28">
        <f t="array" ref="AE301">XLOOKUP(V301,products_master_corrected!$A$2:$A$151,products_master_corrected!$I$2:$I$151)</f>
        <v>188.97</v>
      </c>
      <c r="AF301" s="29">
        <f t="shared" si="33"/>
        <v>188.97</v>
      </c>
      <c r="AG301" s="32" t="s">
        <v>8660</v>
      </c>
      <c r="AH301" s="2" t="s">
        <v>2958</v>
      </c>
      <c r="AI301" s="10" t="s">
        <v>49</v>
      </c>
      <c r="AJ301" s="2" t="s">
        <v>1312</v>
      </c>
      <c r="AK301" s="10" t="s">
        <v>818</v>
      </c>
    </row>
    <row r="302" ht="15.75" customHeight="1">
      <c r="A302" s="2" t="s">
        <v>5043</v>
      </c>
      <c r="B302" s="12">
        <v>45071.79513888889</v>
      </c>
      <c r="C302" s="2" t="str">
        <f>IFERROR(__xludf.DUMMYFUNCTION("IF(ISNUMBER(B302),TEXT(B302,""yyyy-MM-dd""),REGEXREPLACE(REGEXREPLACE(TO_TEXT(B302),""[^0-9a-zA-Z]+"",""-""),""[^0-9]*$"",""""))"),"2023-05-25")</f>
        <v>2023-05-25</v>
      </c>
      <c r="D302" s="2" t="s">
        <v>8650</v>
      </c>
      <c r="H302" s="10" t="s">
        <v>8650</v>
      </c>
      <c r="I302" s="2" t="s">
        <v>1020</v>
      </c>
      <c r="J302" s="26" t="str">
        <f t="array" ref="J302">IF(ISNA(XLOOKUP(I302,customers_clean!$A$2:$A$701,customers_clean!$A$2:$A$701, NA()) ),
   "❌ MISSING CUSTOMER", "✅")</f>
        <v>✅</v>
      </c>
      <c r="K302" s="2" t="str">
        <f t="array" ref="K302">XLOOKUP(I302,customers_clean!$A$2:$A$701,customers_clean!$C$2:$C$701)</f>
        <v>Yara Davis</v>
      </c>
      <c r="L302" s="10" t="str">
        <f t="array" ref="L302">XLOOKUP(I302,customers_clean!$A$2:$A$701,customers_clean!$D$2:$D$701)</f>
        <v>Yara Davis</v>
      </c>
      <c r="M302" s="2" t="str">
        <f t="array" ref="M302">XLOOKUP(I302,customers_clean!$A$2:$A$701,customers_clean!$I$2:$I$701)</f>
        <v>Yara.Davis@Example.Com</v>
      </c>
      <c r="N302" s="10" t="str">
        <f t="array" ref="N302">XLOOKUP(I302,customers_clean!$A$2:$A$701,customers_clean!$H$2:$H$701)</f>
        <v>yara.davis@example.com</v>
      </c>
      <c r="O302" s="9" t="str">
        <f>IFERROR(__xludf.DUMMYFUNCTION("IF(REGEXMATCH(TRIM(N302),""^[A-Za-z0-9._%+-]+@[A-Za-z0-9.-]+\.[A-Za-z]{2,}$""),""✅ Valid"",""❌ Invalid"")"),"✅ Valid")</f>
        <v>✅ Valid</v>
      </c>
      <c r="P302" s="33" t="str">
        <f t="array" ref="P302">XLOOKUP(I302,customers_clean!$A$2:$A$701,customers_clean!$K$2:$K$701)</f>
        <v>12888657</v>
      </c>
      <c r="Q302" s="10" t="str">
        <f t="array" ref="Q302">XLOOKUP(I302,customers_clean!$A$2:$A$701,customers_clean!$N$2:$N$701)</f>
        <v>12888657</v>
      </c>
      <c r="R302" s="9" t="str">
        <f t="array" ref="R302">XLOOKUP(I302,customers_clean!$A$2:$A$701,customers_clean!$Q$2:$Q$701)</f>
        <v>❌ INVALID</v>
      </c>
      <c r="S302" s="10" t="s">
        <v>88</v>
      </c>
      <c r="T302" s="2" t="s">
        <v>59</v>
      </c>
      <c r="U302" s="2" t="s">
        <v>289</v>
      </c>
      <c r="V302" s="2" t="s">
        <v>803</v>
      </c>
      <c r="W302" s="9" t="str">
        <f t="array" ref="W302">IF(ISNA(XLOOKUP(V302,products_master_corrected!$A$2:$A$151,products_master_corrected!$A$2:$A$151, NA())),
    "❌ MISSING SKU", "✅")</f>
        <v>✅</v>
      </c>
      <c r="X302" s="2" t="s">
        <v>804</v>
      </c>
      <c r="Y302" s="2" t="s">
        <v>805</v>
      </c>
      <c r="Z302" s="10" t="s">
        <v>355</v>
      </c>
      <c r="AA302" s="27">
        <v>1.0</v>
      </c>
      <c r="AB302" s="9" t="s">
        <v>8649</v>
      </c>
      <c r="AC302" s="28">
        <f t="array" ref="AC302">XLOOKUP(V302,products_master_corrected!$A$2:$A$151,products_master_corrected!$E$2:$E$151)</f>
        <v>20.39</v>
      </c>
      <c r="AD302" s="28">
        <f t="shared" si="32"/>
        <v>20.39</v>
      </c>
      <c r="AE302" s="28">
        <f t="array" ref="AE302">XLOOKUP(V302,products_master_corrected!$A$2:$A$151,products_master_corrected!$I$2:$I$151)</f>
        <v>22.48</v>
      </c>
      <c r="AF302" s="29">
        <f t="shared" si="33"/>
        <v>22.48</v>
      </c>
      <c r="AG302" s="32" t="s">
        <v>8660</v>
      </c>
      <c r="AH302" s="2" t="s">
        <v>664</v>
      </c>
      <c r="AI302" s="10" t="s">
        <v>66</v>
      </c>
      <c r="AJ302" s="2" t="s">
        <v>4924</v>
      </c>
      <c r="AK302" s="10" t="s">
        <v>80</v>
      </c>
    </row>
    <row r="303" ht="15.75" customHeight="1">
      <c r="A303" s="2" t="s">
        <v>3193</v>
      </c>
      <c r="B303" s="12">
        <v>44981.0</v>
      </c>
      <c r="C303" s="2" t="str">
        <f>IFERROR(__xludf.DUMMYFUNCTION("IF(ISNUMBER(B303),TEXT(B303,""yyyy-MM-dd""),REGEXREPLACE(REGEXREPLACE(TO_TEXT(B303),""[^0-9a-zA-Z]+"",""-""),""[^0-9]*$"",""""))"),"2023-02-24")</f>
        <v>2023-02-24</v>
      </c>
      <c r="D303" s="2" t="s">
        <v>8693</v>
      </c>
      <c r="H303" s="10" t="s">
        <v>8693</v>
      </c>
      <c r="I303" s="2" t="s">
        <v>1020</v>
      </c>
      <c r="J303" s="26" t="str">
        <f t="array" ref="J303">IF(ISNA(XLOOKUP(I303,customers_clean!$A$2:$A$701,customers_clean!$A$2:$A$701, NA()) ),
   "❌ MISSING CUSTOMER", "✅")</f>
        <v>✅</v>
      </c>
      <c r="K303" s="2" t="str">
        <f t="array" ref="K303">XLOOKUP(I303,customers_clean!$A$2:$A$701,customers_clean!$C$2:$C$701)</f>
        <v>Yara Davis</v>
      </c>
      <c r="L303" s="10" t="str">
        <f t="array" ref="L303">XLOOKUP(I303,customers_clean!$A$2:$A$701,customers_clean!$D$2:$D$701)</f>
        <v>Yara Davis</v>
      </c>
      <c r="M303" s="2" t="str">
        <f t="array" ref="M303">XLOOKUP(I303,customers_clean!$A$2:$A$701,customers_clean!$I$2:$I$701)</f>
        <v>Yara.Davis@Example.Com</v>
      </c>
      <c r="N303" s="10" t="str">
        <f t="array" ref="N303">XLOOKUP(I303,customers_clean!$A$2:$A$701,customers_clean!$H$2:$H$701)</f>
        <v>yara.davis@example.com</v>
      </c>
      <c r="O303" s="9" t="str">
        <f>IFERROR(__xludf.DUMMYFUNCTION("IF(REGEXMATCH(TRIM(N303),""^[A-Za-z0-9._%+-]+@[A-Za-z0-9.-]+\.[A-Za-z]{2,}$""),""✅ Valid"",""❌ Invalid"")"),"✅ Valid")</f>
        <v>✅ Valid</v>
      </c>
      <c r="P303" s="33" t="str">
        <f t="array" ref="P303">XLOOKUP(I303,customers_clean!$A$2:$A$701,customers_clean!$K$2:$K$701)</f>
        <v>12888657</v>
      </c>
      <c r="Q303" s="10" t="str">
        <f t="array" ref="Q303">XLOOKUP(I303,customers_clean!$A$2:$A$701,customers_clean!$N$2:$N$701)</f>
        <v>12888657</v>
      </c>
      <c r="R303" s="9" t="str">
        <f t="array" ref="R303">XLOOKUP(I303,customers_clean!$A$2:$A$701,customers_clean!$Q$2:$Q$701)</f>
        <v>❌ INVALID</v>
      </c>
      <c r="S303" s="10" t="s">
        <v>88</v>
      </c>
      <c r="T303" s="2" t="s">
        <v>59</v>
      </c>
      <c r="U303" s="2" t="s">
        <v>176</v>
      </c>
      <c r="V303" s="2" t="s">
        <v>61</v>
      </c>
      <c r="W303" s="9" t="str">
        <f t="array" ref="W303">IF(ISNA(XLOOKUP(V303,products_master_corrected!$A$2:$A$151,products_master_corrected!$A$2:$A$151, NA())),
    "❌ MISSING SKU", "✅")</f>
        <v>✅</v>
      </c>
      <c r="X303" s="2" t="s">
        <v>62</v>
      </c>
      <c r="Y303" s="2" t="s">
        <v>63</v>
      </c>
      <c r="Z303" s="10" t="s">
        <v>63</v>
      </c>
      <c r="AA303" s="27">
        <v>1.0</v>
      </c>
      <c r="AB303" s="9" t="s">
        <v>8649</v>
      </c>
      <c r="AC303" s="28">
        <f t="array" ref="AC303">XLOOKUP(V303,products_master_corrected!$A$2:$A$151,products_master_corrected!$E$2:$E$151)</f>
        <v>62.81</v>
      </c>
      <c r="AD303" s="28">
        <f t="shared" si="32"/>
        <v>62.81</v>
      </c>
      <c r="AE303" s="28">
        <f t="array" ref="AE303">XLOOKUP(V303,products_master_corrected!$A$2:$A$151,products_master_corrected!$I$2:$I$151)</f>
        <v>69.24</v>
      </c>
      <c r="AF303" s="29">
        <f t="shared" si="33"/>
        <v>69.24</v>
      </c>
      <c r="AG303" s="32" t="s">
        <v>8660</v>
      </c>
      <c r="AH303" s="2" t="s">
        <v>66</v>
      </c>
      <c r="AI303" s="10" t="s">
        <v>66</v>
      </c>
      <c r="AJ303" s="2" t="s">
        <v>1312</v>
      </c>
      <c r="AK303" s="10" t="s">
        <v>818</v>
      </c>
      <c r="AL303" s="2" t="s">
        <v>51</v>
      </c>
    </row>
    <row r="304" ht="15.75" customHeight="1">
      <c r="A304" s="2" t="s">
        <v>4666</v>
      </c>
      <c r="B304" s="12">
        <v>44977.68819444445</v>
      </c>
      <c r="C304" s="2" t="str">
        <f>IFERROR(__xludf.DUMMYFUNCTION("IF(ISNUMBER(B304),TEXT(B304,""yyyy-MM-dd""),REGEXREPLACE(REGEXREPLACE(TO_TEXT(B304),""[^0-9a-zA-Z]+"",""-""),""[^0-9]*$"",""""))"),"2023-02-20")</f>
        <v>2023-02-20</v>
      </c>
      <c r="D304" s="2" t="s">
        <v>8767</v>
      </c>
      <c r="H304" s="10" t="s">
        <v>8767</v>
      </c>
      <c r="I304" s="2" t="s">
        <v>4668</v>
      </c>
      <c r="J304" s="26" t="str">
        <f t="array" ref="J304">IF(ISNA(XLOOKUP(I304,customers_clean!$A$2:$A$701,customers_clean!$A$2:$A$701, NA()) ),
   "❌ MISSING CUSTOMER", "✅")</f>
        <v>✅</v>
      </c>
      <c r="K304" s="2" t="str">
        <f t="array" ref="K304">XLOOKUP(I304,customers_clean!$A$2:$A$701,customers_clean!$C$2:$C$701)</f>
        <v>Lia Garcia</v>
      </c>
      <c r="L304" s="10" t="str">
        <f t="array" ref="L304">XLOOKUP(I304,customers_clean!$A$2:$A$701,customers_clean!$D$2:$D$701)</f>
        <v>Lia Garcia</v>
      </c>
      <c r="M304" s="2" t="str">
        <f t="array" ref="M304">XLOOKUP(I304,customers_clean!$A$2:$A$701,customers_clean!$I$2:$I$701)</f>
        <v>lia.garcia@example.com</v>
      </c>
      <c r="N304" s="10" t="str">
        <f t="array" ref="N304">XLOOKUP(I304,customers_clean!$A$2:$A$701,customers_clean!$H$2:$H$701)</f>
        <v>lia.garcia@example.com</v>
      </c>
      <c r="O304" s="9" t="str">
        <f>IFERROR(__xludf.DUMMYFUNCTION("IF(REGEXMATCH(TRIM(N304),""^[A-Za-z0-9._%+-]+@[A-Za-z0-9.-]+\.[A-Za-z]{2,}$""),""✅ Valid"",""❌ Invalid"")"),"✅ Valid")</f>
        <v>✅ Valid</v>
      </c>
      <c r="P304" s="2" t="str">
        <f t="array" ref="P304">XLOOKUP(I304,customers_clean!$A$2:$A$701,customers_clean!$K$2:$K$701)</f>
        <v>(109) 2681449</v>
      </c>
      <c r="Q304" s="10" t="str">
        <f t="array" ref="Q304">XLOOKUP(I304,customers_clean!$A$2:$A$701,customers_clean!$N$2:$N$701)</f>
        <v>1092681449</v>
      </c>
      <c r="R304" s="9" t="str">
        <f t="array" ref="R304">XLOOKUP(I304,customers_clean!$A$2:$A$701,customers_clean!$Q$2:$Q$701)</f>
        <v>❌ INVALID</v>
      </c>
      <c r="S304" s="10" t="s">
        <v>114</v>
      </c>
      <c r="T304" s="2" t="s">
        <v>59</v>
      </c>
      <c r="U304" s="2" t="s">
        <v>43</v>
      </c>
      <c r="V304" s="2" t="s">
        <v>581</v>
      </c>
      <c r="W304" s="9" t="str">
        <f t="array" ref="W304">IF(ISNA(XLOOKUP(V304,products_master_corrected!$A$2:$A$151,products_master_corrected!$A$2:$A$151, NA())),
    "❌ MISSING SKU", "✅")</f>
        <v>✅</v>
      </c>
      <c r="X304" s="2" t="s">
        <v>280</v>
      </c>
      <c r="Y304" s="2" t="s">
        <v>582</v>
      </c>
      <c r="Z304" s="10" t="s">
        <v>63</v>
      </c>
      <c r="AA304" s="27">
        <v>5.0</v>
      </c>
      <c r="AB304" s="9" t="s">
        <v>8649</v>
      </c>
      <c r="AC304" s="28">
        <f t="array" ref="AC304">XLOOKUP(V304,products_master_corrected!$A$2:$A$151,products_master_corrected!$E$2:$E$151)</f>
        <v>120.1</v>
      </c>
      <c r="AD304" s="28">
        <f t="shared" si="32"/>
        <v>600.5</v>
      </c>
      <c r="AE304" s="28">
        <f t="array" ref="AE304">XLOOKUP(V304,products_master_corrected!$A$2:$A$151,products_master_corrected!$F$2:$F$151)</f>
        <v>120.1</v>
      </c>
      <c r="AF304" s="29">
        <f t="shared" si="33"/>
        <v>600.5</v>
      </c>
      <c r="AG304" s="30" t="s">
        <v>65</v>
      </c>
      <c r="AH304" s="2" t="s">
        <v>238</v>
      </c>
      <c r="AI304" s="10" t="s">
        <v>66</v>
      </c>
      <c r="AJ304" s="2" t="s">
        <v>158</v>
      </c>
      <c r="AK304" s="10" t="s">
        <v>818</v>
      </c>
      <c r="AL304" s="2" t="s">
        <v>81</v>
      </c>
    </row>
    <row r="305" ht="15.75" customHeight="1">
      <c r="A305" s="2" t="s">
        <v>5881</v>
      </c>
      <c r="B305" s="12">
        <v>45637.05138888889</v>
      </c>
      <c r="C305" s="2" t="str">
        <f>IFERROR(__xludf.DUMMYFUNCTION("IF(ISNUMBER(B305),TEXT(B305,""yyyy-MM-dd""),REGEXREPLACE(REGEXREPLACE(TO_TEXT(B305),""[^0-9a-zA-Z]+"",""-""),""[^0-9]*$"",""""))"),"2024-12-11")</f>
        <v>2024-12-11</v>
      </c>
      <c r="D305" s="2" t="s">
        <v>8230</v>
      </c>
      <c r="H305" s="10" t="s">
        <v>8230</v>
      </c>
      <c r="I305" s="2" t="s">
        <v>5883</v>
      </c>
      <c r="J305" s="26" t="str">
        <f t="array" ref="J305">IF(ISNA(XLOOKUP(I305,customers_clean!$A$2:$A$701,customers_clean!$A$2:$A$701, NA()) ),
   "❌ MISSING CUSTOMER", "✅")</f>
        <v>✅</v>
      </c>
      <c r="K305" s="2" t="str">
        <f t="array" ref="K305">XLOOKUP(I305,customers_clean!$A$2:$A$701,customers_clean!$C$2:$C$701)</f>
        <v>Adam Lopez</v>
      </c>
      <c r="L305" s="10" t="str">
        <f t="array" ref="L305">XLOOKUP(I305,customers_clean!$A$2:$A$701,customers_clean!$D$2:$D$701)</f>
        <v>Adam Lopez</v>
      </c>
      <c r="M305" s="2" t="str">
        <f t="array" ref="M305">XLOOKUP(I305,customers_clean!$A$2:$A$701,customers_clean!$I$2:$I$701)</f>
        <v>adaml.opez@yahoo.com</v>
      </c>
      <c r="N305" s="10" t="str">
        <f t="array" ref="N305">XLOOKUP(I305,customers_clean!$A$2:$A$701,customers_clean!$H$2:$H$701)</f>
        <v>adaml.opez@yahoo.com</v>
      </c>
      <c r="O305" s="9" t="str">
        <f>IFERROR(__xludf.DUMMYFUNCTION("IF(REGEXMATCH(TRIM(N305),""^[A-Za-z0-9._%+-]+@[A-Za-z0-9.-]+\.[A-Za-z]{2,}$""),""✅ Valid"",""❌ Invalid"")"),"✅ Valid")</f>
        <v>✅ Valid</v>
      </c>
      <c r="P305" s="2" t="str">
        <f t="array" ref="P305">XLOOKUP(I305,customers_clean!$A$2:$A$701,customers_clean!$K$2:$K$701)</f>
        <v>+49 905 967639</v>
      </c>
      <c r="Q305" s="10" t="str">
        <f t="array" ref="Q305">XLOOKUP(I305,customers_clean!$A$2:$A$701,customers_clean!$N$2:$N$701)</f>
        <v>905967639</v>
      </c>
      <c r="R305" s="9" t="str">
        <f t="array" ref="R305">XLOOKUP(I305,customers_clean!$A$2:$A$701,customers_clean!$Q$2:$Q$701)</f>
        <v>❌ INVALID</v>
      </c>
      <c r="S305" s="10" t="s">
        <v>58</v>
      </c>
      <c r="T305" s="2" t="s">
        <v>42</v>
      </c>
      <c r="U305" s="2" t="s">
        <v>116</v>
      </c>
      <c r="V305" s="2" t="s">
        <v>1137</v>
      </c>
      <c r="W305" s="9" t="str">
        <f t="array" ref="W305">IF(ISNA(XLOOKUP(V305,products_master_corrected!$A$2:$A$151,products_master_corrected!$A$2:$A$151, NA())),
    "❌ MISSING SKU", "✅")</f>
        <v>✅</v>
      </c>
      <c r="X305" s="2" t="s">
        <v>1138</v>
      </c>
      <c r="Y305" s="2" t="s">
        <v>30</v>
      </c>
      <c r="Z305" s="10" t="s">
        <v>179</v>
      </c>
      <c r="AA305" s="27">
        <v>5.0</v>
      </c>
      <c r="AB305" s="9" t="s">
        <v>8649</v>
      </c>
      <c r="AC305" s="28">
        <f t="array" ref="AC305">XLOOKUP(V305,products_master_corrected!$A$2:$A$151,products_master_corrected!$E$2:$E$151)</f>
        <v>305.43</v>
      </c>
      <c r="AD305" s="28">
        <f t="shared" si="32"/>
        <v>1527.15</v>
      </c>
      <c r="AE305" s="28">
        <f t="array" ref="AE305">XLOOKUP(V305,products_master_corrected!$A$2:$A$151,products_master_corrected!$G$2:$G$151)</f>
        <v>349.66</v>
      </c>
      <c r="AF305" s="29">
        <f t="shared" si="33"/>
        <v>1748.3</v>
      </c>
      <c r="AG305" s="32" t="s">
        <v>8663</v>
      </c>
      <c r="AH305" s="2" t="s">
        <v>305</v>
      </c>
      <c r="AI305" s="10" t="s">
        <v>49</v>
      </c>
      <c r="AJ305" s="2" t="s">
        <v>432</v>
      </c>
      <c r="AK305" s="10" t="s">
        <v>80</v>
      </c>
    </row>
    <row r="306" ht="15.75" customHeight="1">
      <c r="A306" s="2" t="s">
        <v>1004</v>
      </c>
      <c r="B306" s="12" t="s">
        <v>1005</v>
      </c>
      <c r="C306" s="2" t="str">
        <f>IFERROR(__xludf.DUMMYFUNCTION("IF(ISNUMBER(B306),TEXT(B306,""yyyy-MM-dd""),REGEXREPLACE(REGEXREPLACE(TO_TEXT(B306),""[^0-9a-zA-Z]+"",""-""),""[^0-9]*$"",""""))"),"45267-05-24")</f>
        <v>45267-05-24</v>
      </c>
      <c r="D306" s="2" t="str">
        <f>TEXT(C306,"yyyy-MM-dd")</f>
        <v>45267-05-24</v>
      </c>
      <c r="E306" s="25" t="str">
        <f>CONCATENATE(LEFT(D306,5))</f>
        <v>45267</v>
      </c>
      <c r="F306" s="12">
        <f>DATE(1900,1,1) + E306 - 1</f>
        <v>45268</v>
      </c>
      <c r="G306" s="2" t="s">
        <v>8797</v>
      </c>
      <c r="H306" s="10" t="s">
        <v>8797</v>
      </c>
      <c r="I306" s="2" t="s">
        <v>1006</v>
      </c>
      <c r="J306" s="26" t="str">
        <f t="array" ref="J306">IF(ISNA(XLOOKUP(I306,customers_clean!$A$2:$A$701,customers_clean!$A$2:$A$701, NA()) ),
   "❌ MISSING CUSTOMER", "✅")</f>
        <v>✅</v>
      </c>
      <c r="K306" s="2" t="str">
        <f t="array" ref="K306">XLOOKUP(I306,customers_clean!$A$2:$A$701,customers_clean!$C$2:$C$701)</f>
        <v>Bella Lee </v>
      </c>
      <c r="L306" s="10" t="str">
        <f t="array" ref="L306">XLOOKUP(I306,customers_clean!$A$2:$A$701,customers_clean!$D$2:$D$701)</f>
        <v>Bella Lee</v>
      </c>
      <c r="M306" s="2" t="str">
        <f t="array" ref="M306">XLOOKUP(I306,customers_clean!$A$2:$A$701,customers_clean!$I$2:$I$701)</f>
        <v>bella.lee@example.com</v>
      </c>
      <c r="N306" s="10" t="str">
        <f t="array" ref="N306">XLOOKUP(I306,customers_clean!$A$2:$A$701,customers_clean!$H$2:$H$701)</f>
        <v>bella.lee@example.com</v>
      </c>
      <c r="O306" s="9" t="str">
        <f>IFERROR(__xludf.DUMMYFUNCTION("IF(REGEXMATCH(TRIM(N306),""^[A-Za-z0-9._%+-]+@[A-Za-z0-9.-]+\.[A-Za-z]{2,}$""),""✅ Valid"",""❌ Invalid"")"),"✅ Valid")</f>
        <v>✅ Valid</v>
      </c>
      <c r="P306" s="2" t="str">
        <f t="array" ref="P306">XLOOKUP(I306,customers_clean!$A$2:$A$701,customers_clean!$K$2:$K$701)</f>
        <v>74x9365122</v>
      </c>
      <c r="Q306" s="10" t="str">
        <f t="array" ref="Q306">XLOOKUP(I306,customers_clean!$A$2:$A$701,customers_clean!$N$2:$N$701)</f>
        <v>749365122</v>
      </c>
      <c r="R306" s="9" t="str">
        <f t="array" ref="R306">XLOOKUP(I306,customers_clean!$A$2:$A$701,customers_clean!$Q$2:$Q$701)</f>
        <v>❌ INVALID</v>
      </c>
      <c r="S306" s="10" t="s">
        <v>448</v>
      </c>
      <c r="T306" s="2" t="s">
        <v>223</v>
      </c>
      <c r="U306" s="2" t="s">
        <v>289</v>
      </c>
      <c r="V306" s="2" t="s">
        <v>313</v>
      </c>
      <c r="W306" s="9" t="str">
        <f t="array" ref="W306">IF(ISNA(XLOOKUP(V306,products_master_corrected!$A$2:$A$151,products_master_corrected!$A$2:$A$151, NA())),
    "❌ MISSING SKU", "✅")</f>
        <v>✅</v>
      </c>
      <c r="X306" s="2" t="s">
        <v>768</v>
      </c>
      <c r="Y306" s="2" t="s">
        <v>315</v>
      </c>
      <c r="Z306" s="10" t="s">
        <v>179</v>
      </c>
      <c r="AA306" s="27">
        <v>1.0</v>
      </c>
      <c r="AB306" s="9" t="s">
        <v>8649</v>
      </c>
      <c r="AC306" s="28">
        <f t="array" ref="AC306">XLOOKUP(V306,products_master_corrected!$A$2:$A$151,products_master_corrected!$E$2:$E$151)</f>
        <v>47.55</v>
      </c>
      <c r="AD306" s="28">
        <f t="shared" si="32"/>
        <v>47.55</v>
      </c>
      <c r="AE306" s="28">
        <f t="array" ref="AE306">XLOOKUP(V306,products_master_corrected!$A$2:$A$151,products_master_corrected!$M$2:$M$151)</f>
        <v>57.52</v>
      </c>
      <c r="AF306" s="29">
        <f t="shared" si="33"/>
        <v>57.52</v>
      </c>
      <c r="AG306" s="30" t="s">
        <v>48</v>
      </c>
      <c r="AH306" s="2" t="s">
        <v>131</v>
      </c>
      <c r="AI306" s="10" t="s">
        <v>181</v>
      </c>
      <c r="AJ306" s="2" t="s">
        <v>192</v>
      </c>
      <c r="AK306" s="10" t="s">
        <v>192</v>
      </c>
      <c r="AL306" s="2" t="s">
        <v>81</v>
      </c>
    </row>
    <row r="307" ht="15.75" customHeight="1">
      <c r="A307" s="2" t="s">
        <v>3796</v>
      </c>
      <c r="B307" s="12">
        <v>45574.46805555555</v>
      </c>
      <c r="C307" s="2" t="str">
        <f>IFERROR(__xludf.DUMMYFUNCTION("IF(ISNUMBER(B307),TEXT(B307,""yyyy-MM-dd""),REGEXREPLACE(REGEXREPLACE(TO_TEXT(B307),""[^0-9a-zA-Z]+"",""-""),""[^0-9]*$"",""""))"),"2024-10-09")</f>
        <v>2024-10-09</v>
      </c>
      <c r="D307" s="2" t="s">
        <v>8798</v>
      </c>
      <c r="H307" s="10" t="s">
        <v>8798</v>
      </c>
      <c r="I307" s="2" t="s">
        <v>1006</v>
      </c>
      <c r="J307" s="26" t="str">
        <f t="array" ref="J307">IF(ISNA(XLOOKUP(I307,customers_clean!$A$2:$A$701,customers_clean!$A$2:$A$701, NA()) ),
   "❌ MISSING CUSTOMER", "✅")</f>
        <v>✅</v>
      </c>
      <c r="K307" s="2" t="str">
        <f t="array" ref="K307">XLOOKUP(I307,customers_clean!$A$2:$A$701,customers_clean!$C$2:$C$701)</f>
        <v>Bella Lee </v>
      </c>
      <c r="L307" s="10" t="str">
        <f t="array" ref="L307">XLOOKUP(I307,customers_clean!$A$2:$A$701,customers_clean!$D$2:$D$701)</f>
        <v>Bella Lee</v>
      </c>
      <c r="M307" s="2" t="str">
        <f t="array" ref="M307">XLOOKUP(I307,customers_clean!$A$2:$A$701,customers_clean!$I$2:$I$701)</f>
        <v>bella.lee@example.com</v>
      </c>
      <c r="N307" s="10" t="str">
        <f t="array" ref="N307">XLOOKUP(I307,customers_clean!$A$2:$A$701,customers_clean!$H$2:$H$701)</f>
        <v>bella.lee@example.com</v>
      </c>
      <c r="O307" s="9" t="str">
        <f>IFERROR(__xludf.DUMMYFUNCTION("IF(REGEXMATCH(TRIM(N307),""^[A-Za-z0-9._%+-]+@[A-Za-z0-9.-]+\.[A-Za-z]{2,}$""),""✅ Valid"",""❌ Invalid"")"),"✅ Valid")</f>
        <v>✅ Valid</v>
      </c>
      <c r="P307" s="2" t="str">
        <f t="array" ref="P307">XLOOKUP(I307,customers_clean!$A$2:$A$701,customers_clean!$K$2:$K$701)</f>
        <v>74x9365122</v>
      </c>
      <c r="Q307" s="10" t="str">
        <f t="array" ref="Q307">XLOOKUP(I307,customers_clean!$A$2:$A$701,customers_clean!$N$2:$N$701)</f>
        <v>749365122</v>
      </c>
      <c r="R307" s="9" t="str">
        <f t="array" ref="R307">XLOOKUP(I307,customers_clean!$A$2:$A$701,customers_clean!$Q$2:$Q$701)</f>
        <v>❌ INVALID</v>
      </c>
      <c r="S307" s="10" t="s">
        <v>448</v>
      </c>
      <c r="T307" s="2" t="s">
        <v>26</v>
      </c>
      <c r="U307" s="2" t="s">
        <v>176</v>
      </c>
      <c r="V307" s="2" t="s">
        <v>439</v>
      </c>
      <c r="W307" s="9" t="str">
        <f t="array" ref="W307">IF(ISNA(XLOOKUP(V307,products_master_corrected!$A$2:$A$151,products_master_corrected!$A$2:$A$151, NA())),
    "❌ MISSING SKU", "✅")</f>
        <v>✅</v>
      </c>
      <c r="X307" s="2" t="s">
        <v>440</v>
      </c>
      <c r="Y307" s="2" t="s">
        <v>63</v>
      </c>
      <c r="Z307" s="10" t="s">
        <v>63</v>
      </c>
      <c r="AA307" s="27">
        <v>5.0</v>
      </c>
      <c r="AB307" s="9" t="s">
        <v>8649</v>
      </c>
      <c r="AC307" s="28">
        <f t="array" ref="AC307">XLOOKUP(V307,products_master_corrected!$A$2:$A$151,products_master_corrected!$E$2:$E$151)</f>
        <v>70.84</v>
      </c>
      <c r="AD307" s="28">
        <f t="shared" si="32"/>
        <v>354.2</v>
      </c>
      <c r="AE307" s="28">
        <f t="array" ref="AE307">XLOOKUP(V307,products_master_corrected!$A$2:$A$151,products_master_corrected!$M$2:$M$151)</f>
        <v>85.69</v>
      </c>
      <c r="AF307" s="29">
        <f t="shared" si="33"/>
        <v>428.45</v>
      </c>
      <c r="AG307" s="30" t="s">
        <v>48</v>
      </c>
      <c r="AH307" s="2" t="s">
        <v>204</v>
      </c>
      <c r="AI307" s="10" t="s">
        <v>143</v>
      </c>
      <c r="AJ307" s="2" t="s">
        <v>34</v>
      </c>
      <c r="AK307" s="10" t="s">
        <v>80</v>
      </c>
    </row>
    <row r="308" ht="15.75" customHeight="1">
      <c r="A308" s="2" t="s">
        <v>2924</v>
      </c>
      <c r="B308" s="12">
        <v>45835.0</v>
      </c>
      <c r="C308" s="2" t="str">
        <f>IFERROR(__xludf.DUMMYFUNCTION("IF(ISNUMBER(B308),TEXT(B308,""yyyy-MM-dd""),REGEXREPLACE(REGEXREPLACE(TO_TEXT(B308),""[^0-9a-zA-Z]+"",""-""),""[^0-9]*$"",""""))"),"2025-06-27")</f>
        <v>2025-06-27</v>
      </c>
      <c r="D308" s="2" t="s">
        <v>8038</v>
      </c>
      <c r="H308" s="10" t="s">
        <v>8038</v>
      </c>
      <c r="I308" s="2" t="s">
        <v>2073</v>
      </c>
      <c r="J308" s="26" t="str">
        <f t="array" ref="J308">IF(ISNA(XLOOKUP(I308,customers_clean!$A$2:$A$701,customers_clean!$A$2:$A$701, NA()) ),
   "❌ MISSING CUSTOMER", "✅")</f>
        <v>✅</v>
      </c>
      <c r="K308" s="2" t="str">
        <f t="array" ref="K308">XLOOKUP(I308,customers_clean!$A$2:$A$701,customers_clean!$C$2:$C$701)</f>
        <v>Bella Muller </v>
      </c>
      <c r="L308" s="10" t="str">
        <f t="array" ref="L308">XLOOKUP(I308,customers_clean!$A$2:$A$701,customers_clean!$D$2:$D$701)</f>
        <v>Bella Muller</v>
      </c>
      <c r="M308" s="2" t="str">
        <f t="array" ref="M308">XLOOKUP(I308,customers_clean!$A$2:$A$701,customers_clean!$I$2:$I$701)</f>
        <v> bella.muller@gmail.com</v>
      </c>
      <c r="N308" s="10" t="str">
        <f t="array" ref="N308">XLOOKUP(I308,customers_clean!$A$2:$A$701,customers_clean!$H$2:$H$701)</f>
        <v>bella.muller@gmail.com</v>
      </c>
      <c r="O308" s="9" t="str">
        <f>IFERROR(__xludf.DUMMYFUNCTION("IF(REGEXMATCH(TRIM(N308),""^[A-Za-z0-9._%+-]+@[A-Za-z0-9.-]+\.[A-Za-z]{2,}$""),""✅ Valid"",""❌ Invalid"")"),"✅ Valid")</f>
        <v>✅ Valid</v>
      </c>
      <c r="P308" s="33" t="str">
        <f t="array" ref="P308">XLOOKUP(I308,customers_clean!$A$2:$A$701,customers_clean!$K$2:$K$701)</f>
        <v>4890459474</v>
      </c>
      <c r="Q308" s="10" t="str">
        <f t="array" ref="Q308">XLOOKUP(I308,customers_clean!$A$2:$A$701,customers_clean!$N$2:$N$701)</f>
        <v>90459474</v>
      </c>
      <c r="R308" s="9" t="str">
        <f t="array" ref="R308">XLOOKUP(I308,customers_clean!$A$2:$A$701,customers_clean!$Q$2:$Q$701)</f>
        <v>❌ INVALID</v>
      </c>
      <c r="S308" s="10" t="s">
        <v>608</v>
      </c>
      <c r="T308" s="2" t="s">
        <v>59</v>
      </c>
      <c r="U308" s="2" t="s">
        <v>870</v>
      </c>
      <c r="V308" s="2" t="s">
        <v>154</v>
      </c>
      <c r="W308" s="9" t="str">
        <f t="array" ref="W308">IF(ISNA(XLOOKUP(V308,products_master_corrected!$A$2:$A$151,products_master_corrected!$A$2:$A$151, NA())),
    "❌ MISSING SKU", "✅")</f>
        <v>✅</v>
      </c>
      <c r="X308" s="2" t="s">
        <v>62</v>
      </c>
      <c r="Y308" s="2" t="s">
        <v>155</v>
      </c>
      <c r="Z308" s="10" t="s">
        <v>368</v>
      </c>
      <c r="AA308" s="27">
        <v>1.0</v>
      </c>
      <c r="AB308" s="9" t="s">
        <v>8649</v>
      </c>
      <c r="AC308" s="28">
        <f t="array" ref="AC308">XLOOKUP(V308,products_master_corrected!$A$2:$A$151,products_master_corrected!$E$2:$E$151)</f>
        <v>74.1</v>
      </c>
      <c r="AD308" s="28">
        <f t="shared" si="32"/>
        <v>74.1</v>
      </c>
      <c r="AE308" s="28">
        <f t="array" ref="AE308">XLOOKUP(V308,products_master_corrected!$A$2:$A$151,products_master_corrected!$H$2:$H$151)</f>
        <v>83.25</v>
      </c>
      <c r="AF308" s="29">
        <f t="shared" si="33"/>
        <v>83.25</v>
      </c>
      <c r="AG308" s="32" t="s">
        <v>8658</v>
      </c>
      <c r="AH308" s="2" t="s">
        <v>66</v>
      </c>
      <c r="AI308" s="10" t="s">
        <v>66</v>
      </c>
      <c r="AJ308" s="2" t="s">
        <v>50</v>
      </c>
      <c r="AK308" s="10" t="s">
        <v>261</v>
      </c>
      <c r="AL308" s="2" t="s">
        <v>67</v>
      </c>
    </row>
    <row r="309" ht="15.75" customHeight="1">
      <c r="A309" s="2" t="s">
        <v>2071</v>
      </c>
      <c r="B309" s="12" t="s">
        <v>2072</v>
      </c>
      <c r="C309" s="2" t="str">
        <f>IFERROR(__xludf.DUMMYFUNCTION("IF(ISNUMBER(B309),TEXT(B309,""yyyy-MM-dd""),REGEXREPLACE(REGEXREPLACE(TO_TEXT(B309),""[^0-9a-zA-Z]+"",""-""),""[^0-9]*$"",""""))"),"14-07-2025")</f>
        <v>14-07-2025</v>
      </c>
      <c r="D309" s="2" t="s">
        <v>8799</v>
      </c>
      <c r="H309" s="10" t="s">
        <v>8799</v>
      </c>
      <c r="I309" s="2" t="s">
        <v>2073</v>
      </c>
      <c r="J309" s="26" t="str">
        <f t="array" ref="J309">IF(ISNA(XLOOKUP(I309,customers_clean!$A$2:$A$701,customers_clean!$A$2:$A$701, NA()) ),
   "❌ MISSING CUSTOMER", "✅")</f>
        <v>✅</v>
      </c>
      <c r="K309" s="2" t="str">
        <f t="array" ref="K309">XLOOKUP(I309,customers_clean!$A$2:$A$701,customers_clean!$C$2:$C$701)</f>
        <v>Bella Muller </v>
      </c>
      <c r="L309" s="10" t="str">
        <f t="array" ref="L309">XLOOKUP(I309,customers_clean!$A$2:$A$701,customers_clean!$D$2:$D$701)</f>
        <v>Bella Muller</v>
      </c>
      <c r="M309" s="2" t="str">
        <f t="array" ref="M309">XLOOKUP(I309,customers_clean!$A$2:$A$701,customers_clean!$I$2:$I$701)</f>
        <v> bella.muller@gmail.com</v>
      </c>
      <c r="N309" s="10" t="str">
        <f t="array" ref="N309">XLOOKUP(I309,customers_clean!$A$2:$A$701,customers_clean!$H$2:$H$701)</f>
        <v>bella.muller@gmail.com</v>
      </c>
      <c r="O309" s="9" t="str">
        <f>IFERROR(__xludf.DUMMYFUNCTION("IF(REGEXMATCH(TRIM(N309),""^[A-Za-z0-9._%+-]+@[A-Za-z0-9.-]+\.[A-Za-z]{2,}$""),""✅ Valid"",""❌ Invalid"")"),"✅ Valid")</f>
        <v>✅ Valid</v>
      </c>
      <c r="P309" s="33" t="str">
        <f t="array" ref="P309">XLOOKUP(I309,customers_clean!$A$2:$A$701,customers_clean!$K$2:$K$701)</f>
        <v>4890459474</v>
      </c>
      <c r="Q309" s="10" t="str">
        <f t="array" ref="Q309">XLOOKUP(I309,customers_clean!$A$2:$A$701,customers_clean!$N$2:$N$701)</f>
        <v>90459474</v>
      </c>
      <c r="R309" s="9" t="str">
        <f t="array" ref="R309">XLOOKUP(I309,customers_clean!$A$2:$A$701,customers_clean!$Q$2:$Q$701)</f>
        <v>❌ INVALID</v>
      </c>
      <c r="S309" s="10" t="s">
        <v>608</v>
      </c>
      <c r="T309" s="2" t="s">
        <v>400</v>
      </c>
      <c r="U309" s="2" t="s">
        <v>103</v>
      </c>
      <c r="V309" s="2" t="s">
        <v>1632</v>
      </c>
      <c r="W309" s="9" t="str">
        <f t="array" ref="W309">IF(ISNA(XLOOKUP(V309,products_master_corrected!$A$2:$A$151,products_master_corrected!$A$2:$A$151, NA())),
    "❌ MISSING SKU", "✅")</f>
        <v>✅</v>
      </c>
      <c r="X309" s="2" t="s">
        <v>994</v>
      </c>
      <c r="Y309" s="2" t="s">
        <v>742</v>
      </c>
      <c r="Z309" s="10" t="s">
        <v>355</v>
      </c>
      <c r="AA309" s="27">
        <v>5.0</v>
      </c>
      <c r="AB309" s="9" t="s">
        <v>8649</v>
      </c>
      <c r="AC309" s="28">
        <f t="array" ref="AC309">XLOOKUP(V309,products_master_corrected!$A$2:$A$151,products_master_corrected!$E$2:$E$151)</f>
        <v>362.35</v>
      </c>
      <c r="AD309" s="28">
        <f t="shared" si="32"/>
        <v>1811.75</v>
      </c>
      <c r="AE309" s="28">
        <f t="array" ref="AE309">XLOOKUP(V309,products_master_corrected!$A$2:$A$151,products_master_corrected!$H$2:$H$151)</f>
        <v>407.1</v>
      </c>
      <c r="AF309" s="29">
        <f t="shared" si="33"/>
        <v>2035.5</v>
      </c>
      <c r="AG309" s="32" t="s">
        <v>8658</v>
      </c>
      <c r="AH309" s="2" t="s">
        <v>181</v>
      </c>
      <c r="AI309" s="10" t="s">
        <v>181</v>
      </c>
      <c r="AJ309" s="2" t="s">
        <v>452</v>
      </c>
      <c r="AK309" s="10" t="s">
        <v>261</v>
      </c>
      <c r="AL309" s="2" t="s">
        <v>81</v>
      </c>
    </row>
    <row r="310" ht="15.75" customHeight="1">
      <c r="A310" s="2" t="s">
        <v>2132</v>
      </c>
      <c r="B310" s="12">
        <v>45185.736805555556</v>
      </c>
      <c r="C310" s="2" t="str">
        <f>IFERROR(__xludf.DUMMYFUNCTION("IF(ISNUMBER(B310),TEXT(B310,""yyyy-MM-dd""),REGEXREPLACE(REGEXREPLACE(TO_TEXT(B310),""[^0-9a-zA-Z]+"",""-""),""[^0-9]*$"",""""))"),"2023-09-16")</f>
        <v>2023-09-16</v>
      </c>
      <c r="D310" s="2" t="s">
        <v>8800</v>
      </c>
      <c r="H310" s="10" t="s">
        <v>8800</v>
      </c>
      <c r="I310" s="2" t="s">
        <v>2134</v>
      </c>
      <c r="J310" s="26" t="str">
        <f t="array" ref="J310">IF(ISNA(XLOOKUP(I310,customers_clean!$A$2:$A$701,customers_clean!$A$2:$A$701, NA()) ),
   "❌ MISSING CUSTOMER", "✅")</f>
        <v>✅</v>
      </c>
      <c r="K310" s="2" t="str">
        <f t="array" ref="K310">XLOOKUP(I310,customers_clean!$A$2:$A$701,customers_clean!$C$2:$C$701)</f>
        <v>TARA MULLER</v>
      </c>
      <c r="L310" s="10" t="str">
        <f t="array" ref="L310">XLOOKUP(I310,customers_clean!$A$2:$A$701,customers_clean!$D$2:$D$701)</f>
        <v>Tara Muller</v>
      </c>
      <c r="M310" s="2" t="str">
        <f t="array" ref="M310">XLOOKUP(I310,customers_clean!$A$2:$A$701,customers_clean!$I$2:$I$701)</f>
        <v>tara.muller@gmail.com</v>
      </c>
      <c r="N310" s="10" t="str">
        <f t="array" ref="N310">XLOOKUP(I310,customers_clean!$A$2:$A$701,customers_clean!$H$2:$H$701)</f>
        <v>tara.muller@gmail.com</v>
      </c>
      <c r="O310" s="9" t="str">
        <f>IFERROR(__xludf.DUMMYFUNCTION("IF(REGEXMATCH(TRIM(N310),""^[A-Za-z0-9._%+-]+@[A-Za-z0-9.-]+\.[A-Za-z]{2,}$""),""✅ Valid"",""❌ Invalid"")"),"✅ Valid")</f>
        <v>✅ Valid</v>
      </c>
      <c r="P310" s="2" t="str">
        <f t="array" ref="P310">XLOOKUP(I310,customers_clean!$A$2:$A$701,customers_clean!$K$2:$K$701)</f>
        <v>(820) 952379</v>
      </c>
      <c r="Q310" s="10" t="str">
        <f t="array" ref="Q310">XLOOKUP(I310,customers_clean!$A$2:$A$701,customers_clean!$N$2:$N$701)</f>
        <v>820952379</v>
      </c>
      <c r="R310" s="9" t="str">
        <f t="array" ref="R310">XLOOKUP(I310,customers_clean!$A$2:$A$701,customers_clean!$Q$2:$Q$701)</f>
        <v>❌ INVALID</v>
      </c>
      <c r="S310" s="10" t="s">
        <v>139</v>
      </c>
      <c r="T310" s="2" t="s">
        <v>460</v>
      </c>
      <c r="U310" s="2" t="s">
        <v>103</v>
      </c>
      <c r="V310" s="2" t="s">
        <v>402</v>
      </c>
      <c r="W310" s="9" t="str">
        <f t="array" ref="W310">IF(ISNA(XLOOKUP(V310,products_master_corrected!$A$2:$A$151,products_master_corrected!$A$2:$A$151, NA())),
    "❌ MISSING SKU", "✅")</f>
        <v>✅</v>
      </c>
      <c r="X310" s="2" t="s">
        <v>403</v>
      </c>
      <c r="Y310" s="2" t="s">
        <v>404</v>
      </c>
      <c r="Z310" s="10" t="s">
        <v>248</v>
      </c>
      <c r="AA310" s="27">
        <v>2.0</v>
      </c>
      <c r="AB310" s="9" t="s">
        <v>8649</v>
      </c>
      <c r="AC310" s="28">
        <f t="array" ref="AC310">XLOOKUP(V310,products_master_corrected!$A$2:$A$151,products_master_corrected!$E$2:$E$151)</f>
        <v>20.48</v>
      </c>
      <c r="AD310" s="28">
        <f t="shared" si="32"/>
        <v>40.96</v>
      </c>
      <c r="AE310" s="28">
        <f t="array" ref="AE310">XLOOKUP(V310,products_master_corrected!$A$2:$A$151,products_master_corrected!$L$2:$L$151)</f>
        <v>22.15</v>
      </c>
      <c r="AF310" s="29">
        <f t="shared" si="33"/>
        <v>44.3</v>
      </c>
      <c r="AG310" s="32" t="s">
        <v>8665</v>
      </c>
      <c r="AH310" s="2" t="s">
        <v>49</v>
      </c>
      <c r="AI310" s="10" t="s">
        <v>49</v>
      </c>
      <c r="AJ310" s="2" t="s">
        <v>818</v>
      </c>
      <c r="AK310" s="10" t="s">
        <v>818</v>
      </c>
    </row>
    <row r="311" ht="15.75" customHeight="1">
      <c r="A311" s="2" t="s">
        <v>4167</v>
      </c>
      <c r="B311" s="12" t="s">
        <v>4168</v>
      </c>
      <c r="C311" s="2" t="str">
        <f>IFERROR(__xludf.DUMMYFUNCTION("IF(ISNUMBER(B311),TEXT(B311,""yyyy-MM-dd""),REGEXREPLACE(REGEXREPLACE(TO_TEXT(B311),""[^0-9a-zA-Z]+"",""-""),""[^0-9]*$"",""""))"),"16-03-2023")</f>
        <v>16-03-2023</v>
      </c>
      <c r="D311" s="2" t="s">
        <v>8315</v>
      </c>
      <c r="H311" s="10" t="s">
        <v>8315</v>
      </c>
      <c r="I311" s="2" t="s">
        <v>2134</v>
      </c>
      <c r="J311" s="26" t="str">
        <f t="array" ref="J311">IF(ISNA(XLOOKUP(I311,customers_clean!$A$2:$A$701,customers_clean!$A$2:$A$701, NA()) ),
   "❌ MISSING CUSTOMER", "✅")</f>
        <v>✅</v>
      </c>
      <c r="K311" s="2" t="str">
        <f t="array" ref="K311">XLOOKUP(I311,customers_clean!$A$2:$A$701,customers_clean!$C$2:$C$701)</f>
        <v>TARA MULLER</v>
      </c>
      <c r="L311" s="10" t="str">
        <f t="array" ref="L311">XLOOKUP(I311,customers_clean!$A$2:$A$701,customers_clean!$D$2:$D$701)</f>
        <v>Tara Muller</v>
      </c>
      <c r="M311" s="2" t="str">
        <f t="array" ref="M311">XLOOKUP(I311,customers_clean!$A$2:$A$701,customers_clean!$I$2:$I$701)</f>
        <v>tara.muller@gmail.com</v>
      </c>
      <c r="N311" s="10" t="str">
        <f t="array" ref="N311">XLOOKUP(I311,customers_clean!$A$2:$A$701,customers_clean!$H$2:$H$701)</f>
        <v>tara.muller@gmail.com</v>
      </c>
      <c r="O311" s="9" t="str">
        <f>IFERROR(__xludf.DUMMYFUNCTION("IF(REGEXMATCH(TRIM(N311),""^[A-Za-z0-9._%+-]+@[A-Za-z0-9.-]+\.[A-Za-z]{2,}$""),""✅ Valid"",""❌ Invalid"")"),"✅ Valid")</f>
        <v>✅ Valid</v>
      </c>
      <c r="P311" s="2" t="str">
        <f t="array" ref="P311">XLOOKUP(I311,customers_clean!$A$2:$A$701,customers_clean!$K$2:$K$701)</f>
        <v>(820) 952379</v>
      </c>
      <c r="Q311" s="10" t="str">
        <f t="array" ref="Q311">XLOOKUP(I311,customers_clean!$A$2:$A$701,customers_clean!$N$2:$N$701)</f>
        <v>820952379</v>
      </c>
      <c r="R311" s="9" t="str">
        <f t="array" ref="R311">XLOOKUP(I311,customers_clean!$A$2:$A$701,customers_clean!$Q$2:$Q$701)</f>
        <v>❌ INVALID</v>
      </c>
      <c r="S311" s="10" t="s">
        <v>139</v>
      </c>
      <c r="T311" s="2" t="s">
        <v>59</v>
      </c>
      <c r="U311" s="2" t="s">
        <v>480</v>
      </c>
      <c r="V311" s="2" t="s">
        <v>1476</v>
      </c>
      <c r="W311" s="9" t="str">
        <f t="array" ref="W311">IF(ISNA(XLOOKUP(V311,products_master_corrected!$A$2:$A$151,products_master_corrected!$A$2:$A$151, NA())),
    "❌ MISSING SKU", "✅")</f>
        <v>✅</v>
      </c>
      <c r="X311" s="2" t="s">
        <v>1147</v>
      </c>
      <c r="Y311" s="2" t="s">
        <v>1477</v>
      </c>
      <c r="Z311" s="10" t="s">
        <v>248</v>
      </c>
      <c r="AA311" s="27"/>
      <c r="AB311" s="9" t="s">
        <v>8677</v>
      </c>
      <c r="AC311" s="34"/>
      <c r="AD311" s="34"/>
      <c r="AE311" s="34"/>
      <c r="AF311" s="35"/>
      <c r="AG311" s="36" t="s">
        <v>48</v>
      </c>
      <c r="AH311" s="2" t="s">
        <v>181</v>
      </c>
      <c r="AI311" s="10" t="s">
        <v>181</v>
      </c>
      <c r="AJ311" s="2" t="s">
        <v>1312</v>
      </c>
      <c r="AK311" s="10" t="s">
        <v>818</v>
      </c>
    </row>
    <row r="312" ht="15.75" customHeight="1">
      <c r="A312" s="2" t="s">
        <v>5657</v>
      </c>
      <c r="B312" s="12">
        <v>45226.73888888889</v>
      </c>
      <c r="C312" s="2" t="str">
        <f>IFERROR(__xludf.DUMMYFUNCTION("IF(ISNUMBER(B312),TEXT(B312,""yyyy-MM-dd""),REGEXREPLACE(REGEXREPLACE(TO_TEXT(B312),""[^0-9a-zA-Z]+"",""-""),""[^0-9]*$"",""""))"),"2023-10-27")</f>
        <v>2023-10-27</v>
      </c>
      <c r="D312" s="2" t="s">
        <v>8773</v>
      </c>
      <c r="H312" s="10" t="s">
        <v>8773</v>
      </c>
      <c r="I312" s="2" t="s">
        <v>5659</v>
      </c>
      <c r="J312" s="26" t="str">
        <f t="array" ref="J312">IF(ISNA(XLOOKUP(I312,customers_clean!$A$2:$A$701,customers_clean!$A$2:$A$701, NA()) ),
   "❌ MISSING CUSTOMER", "✅")</f>
        <v>✅</v>
      </c>
      <c r="K312" s="2" t="str">
        <f t="array" ref="K312">XLOOKUP(I312,customers_clean!$A$2:$A$701,customers_clean!$C$2:$C$701)</f>
        <v>Fiona Kowalczyk </v>
      </c>
      <c r="L312" s="10" t="str">
        <f t="array" ref="L312">XLOOKUP(I312,customers_clean!$A$2:$A$701,customers_clean!$D$2:$D$701)</f>
        <v>Fiona Kowalczyk</v>
      </c>
      <c r="M312" s="2" t="str">
        <f t="array" ref="M312">XLOOKUP(I312,customers_clean!$A$2:$A$701,customers_clean!$I$2:$I$701)</f>
        <v>fiona.kowalczyk@outlook.com</v>
      </c>
      <c r="N312" s="10" t="str">
        <f t="array" ref="N312">XLOOKUP(I312,customers_clean!$A$2:$A$701,customers_clean!$H$2:$H$701)</f>
        <v>fiona.kowalczyk@outlook.com</v>
      </c>
      <c r="O312" s="9" t="str">
        <f>IFERROR(__xludf.DUMMYFUNCTION("IF(REGEXMATCH(TRIM(N312),""^[A-Za-z0-9._%+-]+@[A-Za-z0-9.-]+\.[A-Za-z]{2,}$""),""✅ Valid"",""❌ Invalid"")"),"✅ Valid")</f>
        <v>✅ Valid</v>
      </c>
      <c r="P312" s="2" t="str">
        <f t="array" ref="P312">XLOOKUP(I312,customers_clean!$A$2:$A$701,customers_clean!$K$2:$K$701)</f>
        <v>(549) 38949</v>
      </c>
      <c r="Q312" s="10" t="str">
        <f t="array" ref="Q312">XLOOKUP(I312,customers_clean!$A$2:$A$701,customers_clean!$N$2:$N$701)</f>
        <v>54938949</v>
      </c>
      <c r="R312" s="9" t="str">
        <f t="array" ref="R312">XLOOKUP(I312,customers_clean!$A$2:$A$701,customers_clean!$Q$2:$Q$701)</f>
        <v>❌ INVALID</v>
      </c>
      <c r="S312" s="10" t="s">
        <v>448</v>
      </c>
      <c r="T312" s="2" t="s">
        <v>802</v>
      </c>
      <c r="U312" s="2" t="s">
        <v>103</v>
      </c>
      <c r="V312" s="2" t="s">
        <v>2240</v>
      </c>
      <c r="W312" s="9" t="str">
        <f t="array" ref="W312">IF(ISNA(XLOOKUP(V312,products_master_corrected!$A$2:$A$151,products_master_corrected!$A$2:$A$151, NA())),
    "❌ MISSING SKU", "✅")</f>
        <v>✅</v>
      </c>
      <c r="X312" s="2" t="s">
        <v>403</v>
      </c>
      <c r="Y312" s="2" t="s">
        <v>742</v>
      </c>
      <c r="Z312" s="10" t="s">
        <v>355</v>
      </c>
      <c r="AA312" s="27">
        <v>1.0</v>
      </c>
      <c r="AB312" s="9" t="s">
        <v>8649</v>
      </c>
      <c r="AC312" s="28">
        <f t="array" ref="AC312">XLOOKUP(V312,products_master_corrected!$A$2:$A$151,products_master_corrected!$E$2:$E$151)</f>
        <v>23.6</v>
      </c>
      <c r="AD312" s="28">
        <f t="shared" ref="AD312:AD352" si="37">AA312*AC312</f>
        <v>23.6</v>
      </c>
      <c r="AE312" s="28">
        <f t="array" ref="AE312">XLOOKUP(V312,products_master_corrected!$A$2:$A$151,products_master_corrected!$M$2:$M$151)</f>
        <v>28.55</v>
      </c>
      <c r="AF312" s="29">
        <f t="shared" ref="AF312:AF352" si="38">AA312*AE312</f>
        <v>28.55</v>
      </c>
      <c r="AG312" s="30" t="s">
        <v>48</v>
      </c>
      <c r="AH312" s="2" t="s">
        <v>204</v>
      </c>
      <c r="AI312" s="10" t="s">
        <v>143</v>
      </c>
      <c r="AJ312" s="2" t="s">
        <v>345</v>
      </c>
      <c r="AK312" s="10" t="s">
        <v>261</v>
      </c>
      <c r="AL312" s="2" t="s">
        <v>81</v>
      </c>
    </row>
    <row r="313" ht="15.75" customHeight="1">
      <c r="A313" s="2" t="s">
        <v>2429</v>
      </c>
      <c r="B313" s="12">
        <v>45014.0</v>
      </c>
      <c r="C313" s="2" t="str">
        <f>IFERROR(__xludf.DUMMYFUNCTION("IF(ISNUMBER(B313),TEXT(B313,""yyyy-MM-dd""),REGEXREPLACE(REGEXREPLACE(TO_TEXT(B313),""[^0-9a-zA-Z]+"",""-""),""[^0-9]*$"",""""))"),"2023-03-29")</f>
        <v>2023-03-29</v>
      </c>
      <c r="D313" s="2" t="s">
        <v>8801</v>
      </c>
      <c r="H313" s="10" t="s">
        <v>8801</v>
      </c>
      <c r="I313" s="2" t="s">
        <v>2431</v>
      </c>
      <c r="J313" s="26" t="str">
        <f t="array" ref="J313">IF(ISNA(XLOOKUP(I313,customers_clean!$A$2:$A$701,customers_clean!$A$2:$A$701, NA()) ),
   "❌ MISSING CUSTOMER", "✅")</f>
        <v>✅</v>
      </c>
      <c r="K313" s="2" t="str">
        <f t="array" ref="K313">XLOOKUP(I313,customers_clean!$A$2:$A$701,customers_clean!$C$2:$C$701)</f>
        <v>Fiona Rodriguez</v>
      </c>
      <c r="L313" s="10" t="str">
        <f t="array" ref="L313">XLOOKUP(I313,customers_clean!$A$2:$A$701,customers_clean!$D$2:$D$701)</f>
        <v>Fiona Rodriguez</v>
      </c>
      <c r="M313" s="2" t="str">
        <f t="array" ref="M313">XLOOKUP(I313,customers_clean!$A$2:$A$701,customers_clean!$I$2:$I$701)</f>
        <v> fiona.rodriguez@gmail.com</v>
      </c>
      <c r="N313" s="10" t="str">
        <f t="array" ref="N313">XLOOKUP(I313,customers_clean!$A$2:$A$701,customers_clean!$H$2:$H$701)</f>
        <v>fiona.rodriguez@gmail.com</v>
      </c>
      <c r="O313" s="9" t="str">
        <f>IFERROR(__xludf.DUMMYFUNCTION("IF(REGEXMATCH(TRIM(N313),""^[A-Za-z0-9._%+-]+@[A-Za-z0-9.-]+\.[A-Za-z]{2,}$""),""✅ Valid"",""❌ Invalid"")"),"✅ Valid")</f>
        <v>✅ Valid</v>
      </c>
      <c r="P313" s="2" t="str">
        <f t="array" ref="P313">XLOOKUP(I313,customers_clean!$A$2:$A$701,customers_clean!$K$2:$K$701)</f>
        <v> 201 7343532</v>
      </c>
      <c r="Q313" s="10" t="str">
        <f t="array" ref="Q313">XLOOKUP(I313,customers_clean!$A$2:$A$701,customers_clean!$N$2:$N$701)</f>
        <v>2017343532</v>
      </c>
      <c r="R313" s="9" t="str">
        <f t="array" ref="R313">XLOOKUP(I313,customers_clean!$A$2:$A$701,customers_clean!$Q$2:$Q$701)</f>
        <v>✅ VALID</v>
      </c>
      <c r="S313" s="10" t="s">
        <v>58</v>
      </c>
      <c r="T313" s="2" t="s">
        <v>460</v>
      </c>
      <c r="U313" s="2" t="s">
        <v>116</v>
      </c>
      <c r="V313" s="2" t="s">
        <v>957</v>
      </c>
      <c r="W313" s="9" t="str">
        <f t="array" ref="W313">IF(ISNA(XLOOKUP(V313,products_master_corrected!$A$2:$A$151,products_master_corrected!$A$2:$A$151, NA())),
    "❌ MISSING SKU", "✅")</f>
        <v>✅</v>
      </c>
      <c r="X313" s="2" t="s">
        <v>403</v>
      </c>
      <c r="Y313" s="2" t="s">
        <v>167</v>
      </c>
      <c r="Z313" s="10" t="str">
        <f>PROPER(TRIM(Y313))</f>
        <v>Monitors</v>
      </c>
      <c r="AA313" s="27">
        <v>5.0</v>
      </c>
      <c r="AB313" s="9" t="s">
        <v>8649</v>
      </c>
      <c r="AC313" s="28">
        <f t="array" ref="AC313">XLOOKUP(V313,products_master_corrected!$A$2:$A$151,products_master_corrected!$E$2:$E$151)</f>
        <v>55.87</v>
      </c>
      <c r="AD313" s="28">
        <f t="shared" si="37"/>
        <v>279.35</v>
      </c>
      <c r="AE313" s="28">
        <f t="array" ref="AE313">XLOOKUP(V313,products_master_corrected!$A$2:$A$151,products_master_corrected!$G$2:$G$151)</f>
        <v>63.96</v>
      </c>
      <c r="AF313" s="29">
        <f t="shared" si="38"/>
        <v>319.8</v>
      </c>
      <c r="AG313" s="32" t="s">
        <v>8663</v>
      </c>
      <c r="AH313" s="2" t="s">
        <v>33</v>
      </c>
      <c r="AI313" s="10" t="s">
        <v>181</v>
      </c>
      <c r="AJ313" s="2" t="s">
        <v>345</v>
      </c>
      <c r="AK313" s="10" t="s">
        <v>261</v>
      </c>
      <c r="AL313" s="2" t="s">
        <v>67</v>
      </c>
    </row>
    <row r="314" ht="15.75" customHeight="1">
      <c r="A314" s="2" t="s">
        <v>4759</v>
      </c>
      <c r="B314" s="12" t="s">
        <v>4760</v>
      </c>
      <c r="C314" s="2" t="str">
        <f>IFERROR(__xludf.DUMMYFUNCTION("IF(ISNUMBER(B314),TEXT(B314,""yyyy-MM-dd""),REGEXREPLACE(REGEXREPLACE(TO_TEXT(B314),""[^0-9a-zA-Z]+"",""-""),""[^0-9]*$"",""""))"),"03-08-2023")</f>
        <v>03-08-2023</v>
      </c>
      <c r="D314" s="2" t="s">
        <v>8653</v>
      </c>
      <c r="H314" s="10" t="s">
        <v>8653</v>
      </c>
      <c r="I314" s="2" t="s">
        <v>2431</v>
      </c>
      <c r="J314" s="26" t="str">
        <f t="array" ref="J314">IF(ISNA(XLOOKUP(I314,customers_clean!$A$2:$A$701,customers_clean!$A$2:$A$701, NA()) ),
   "❌ MISSING CUSTOMER", "✅")</f>
        <v>✅</v>
      </c>
      <c r="K314" s="2" t="str">
        <f t="array" ref="K314">XLOOKUP(I314,customers_clean!$A$2:$A$701,customers_clean!$C$2:$C$701)</f>
        <v>Fiona Rodriguez</v>
      </c>
      <c r="L314" s="10" t="str">
        <f t="array" ref="L314">XLOOKUP(I314,customers_clean!$A$2:$A$701,customers_clean!$D$2:$D$701)</f>
        <v>Fiona Rodriguez</v>
      </c>
      <c r="M314" s="2" t="str">
        <f t="array" ref="M314">XLOOKUP(I314,customers_clean!$A$2:$A$701,customers_clean!$I$2:$I$701)</f>
        <v> fiona.rodriguez@gmail.com</v>
      </c>
      <c r="N314" s="10" t="str">
        <f t="array" ref="N314">XLOOKUP(I314,customers_clean!$A$2:$A$701,customers_clean!$H$2:$H$701)</f>
        <v>fiona.rodriguez@gmail.com</v>
      </c>
      <c r="O314" s="9" t="str">
        <f>IFERROR(__xludf.DUMMYFUNCTION("IF(REGEXMATCH(TRIM(N314),""^[A-Za-z0-9._%+-]+@[A-Za-z0-9.-]+\.[A-Za-z]{2,}$""),""✅ Valid"",""❌ Invalid"")"),"✅ Valid")</f>
        <v>✅ Valid</v>
      </c>
      <c r="P314" s="2" t="str">
        <f t="array" ref="P314">XLOOKUP(I314,customers_clean!$A$2:$A$701,customers_clean!$K$2:$K$701)</f>
        <v> 201 7343532</v>
      </c>
      <c r="Q314" s="10" t="str">
        <f t="array" ref="Q314">XLOOKUP(I314,customers_clean!$A$2:$A$701,customers_clean!$N$2:$N$701)</f>
        <v>2017343532</v>
      </c>
      <c r="R314" s="9" t="str">
        <f t="array" ref="R314">XLOOKUP(I314,customers_clean!$A$2:$A$701,customers_clean!$Q$2:$Q$701)</f>
        <v>✅ VALID</v>
      </c>
      <c r="S314" s="10" t="s">
        <v>58</v>
      </c>
      <c r="T314" s="2" t="s">
        <v>223</v>
      </c>
      <c r="U314" s="2" t="s">
        <v>2226</v>
      </c>
      <c r="V314" s="2" t="s">
        <v>2688</v>
      </c>
      <c r="W314" s="9" t="str">
        <f t="array" ref="W314">IF(ISNA(XLOOKUP(V314,products_master_corrected!$A$2:$A$151,products_master_corrected!$A$2:$A$151, NA())),
    "❌ MISSING SKU", "✅")</f>
        <v>✅</v>
      </c>
      <c r="X314" s="2" t="s">
        <v>502</v>
      </c>
      <c r="Y314" s="2" t="s">
        <v>179</v>
      </c>
      <c r="Z314" s="10" t="s">
        <v>179</v>
      </c>
      <c r="AA314" s="27">
        <v>1.0</v>
      </c>
      <c r="AB314" s="9" t="s">
        <v>8649</v>
      </c>
      <c r="AC314" s="28">
        <f t="array" ref="AC314">XLOOKUP(V314,products_master_corrected!$A$2:$A$151,products_master_corrected!$E$2:$E$151)</f>
        <v>985.77</v>
      </c>
      <c r="AD314" s="28">
        <f t="shared" si="37"/>
        <v>985.77</v>
      </c>
      <c r="AE314" s="28">
        <f t="array" ref="AE314">XLOOKUP(V314,products_master_corrected!$A$2:$A$151,products_master_corrected!$G$2:$G$151)</f>
        <v>1128.51</v>
      </c>
      <c r="AF314" s="29">
        <f t="shared" si="38"/>
        <v>1128.51</v>
      </c>
      <c r="AG314" s="32" t="s">
        <v>8663</v>
      </c>
      <c r="AH314" s="2" t="s">
        <v>505</v>
      </c>
      <c r="AI314" s="10" t="s">
        <v>181</v>
      </c>
      <c r="AJ314" s="2" t="s">
        <v>3718</v>
      </c>
      <c r="AK314" s="10" t="s">
        <v>80</v>
      </c>
      <c r="AL314" s="2" t="s">
        <v>81</v>
      </c>
    </row>
    <row r="315" ht="15.75" customHeight="1">
      <c r="A315" s="2" t="s">
        <v>4860</v>
      </c>
      <c r="B315" s="12">
        <v>45290.0</v>
      </c>
      <c r="C315" s="2" t="str">
        <f>IFERROR(__xludf.DUMMYFUNCTION("IF(ISNUMBER(B315),TEXT(B315,""yyyy-MM-dd""),REGEXREPLACE(REGEXREPLACE(TO_TEXT(B315),""[^0-9a-zA-Z]+"",""-""),""[^0-9]*$"",""""))"),"2023-12-30")</f>
        <v>2023-12-30</v>
      </c>
      <c r="D315" s="2" t="s">
        <v>8802</v>
      </c>
      <c r="H315" s="10" t="s">
        <v>8802</v>
      </c>
      <c r="I315" s="2" t="s">
        <v>2431</v>
      </c>
      <c r="J315" s="26" t="str">
        <f t="array" ref="J315">IF(ISNA(XLOOKUP(I315,customers_clean!$A$2:$A$701,customers_clean!$A$2:$A$701, NA()) ),
   "❌ MISSING CUSTOMER", "✅")</f>
        <v>✅</v>
      </c>
      <c r="K315" s="2" t="str">
        <f t="array" ref="K315">XLOOKUP(I315,customers_clean!$A$2:$A$701,customers_clean!$C$2:$C$701)</f>
        <v>Fiona Rodriguez</v>
      </c>
      <c r="L315" s="10" t="str">
        <f t="array" ref="L315">XLOOKUP(I315,customers_clean!$A$2:$A$701,customers_clean!$D$2:$D$701)</f>
        <v>Fiona Rodriguez</v>
      </c>
      <c r="M315" s="2" t="str">
        <f t="array" ref="M315">XLOOKUP(I315,customers_clean!$A$2:$A$701,customers_clean!$I$2:$I$701)</f>
        <v> fiona.rodriguez@gmail.com</v>
      </c>
      <c r="N315" s="10" t="str">
        <f t="array" ref="N315">XLOOKUP(I315,customers_clean!$A$2:$A$701,customers_clean!$H$2:$H$701)</f>
        <v>fiona.rodriguez@gmail.com</v>
      </c>
      <c r="O315" s="9" t="str">
        <f>IFERROR(__xludf.DUMMYFUNCTION("IF(REGEXMATCH(TRIM(N315),""^[A-Za-z0-9._%+-]+@[A-Za-z0-9.-]+\.[A-Za-z]{2,}$""),""✅ Valid"",""❌ Invalid"")"),"✅ Valid")</f>
        <v>✅ Valid</v>
      </c>
      <c r="P315" s="2" t="str">
        <f t="array" ref="P315">XLOOKUP(I315,customers_clean!$A$2:$A$701,customers_clean!$K$2:$K$701)</f>
        <v> 201 7343532</v>
      </c>
      <c r="Q315" s="10" t="str">
        <f t="array" ref="Q315">XLOOKUP(I315,customers_clean!$A$2:$A$701,customers_clean!$N$2:$N$701)</f>
        <v>2017343532</v>
      </c>
      <c r="R315" s="9" t="str">
        <f t="array" ref="R315">XLOOKUP(I315,customers_clean!$A$2:$A$701,customers_clean!$Q$2:$Q$701)</f>
        <v>✅ VALID</v>
      </c>
      <c r="S315" s="10" t="s">
        <v>58</v>
      </c>
      <c r="T315" s="2" t="s">
        <v>802</v>
      </c>
      <c r="U315" s="2" t="s">
        <v>365</v>
      </c>
      <c r="V315" s="2" t="s">
        <v>76</v>
      </c>
      <c r="W315" s="9" t="str">
        <f t="array" ref="W315">IF(ISNA(XLOOKUP(V315,products_master_corrected!$A$2:$A$151,products_master_corrected!$A$2:$A$151, NA())),
    "❌ MISSING SKU", "✅")</f>
        <v>✅</v>
      </c>
      <c r="X315" s="2" t="s">
        <v>77</v>
      </c>
      <c r="Y315" s="2" t="s">
        <v>78</v>
      </c>
      <c r="Z315" s="10" t="s">
        <v>355</v>
      </c>
      <c r="AA315" s="27">
        <v>1.0</v>
      </c>
      <c r="AB315" s="9" t="s">
        <v>8649</v>
      </c>
      <c r="AC315" s="28">
        <f t="array" ref="AC315">XLOOKUP(V315,products_master_corrected!$A$2:$A$151,products_master_corrected!$E$2:$E$151)</f>
        <v>153.16</v>
      </c>
      <c r="AD315" s="28">
        <f t="shared" si="37"/>
        <v>153.16</v>
      </c>
      <c r="AE315" s="28">
        <f t="array" ref="AE315">XLOOKUP(V315,products_master_corrected!$A$2:$A$151,products_master_corrected!$G$2:$G$151)</f>
        <v>175.34</v>
      </c>
      <c r="AF315" s="29">
        <f t="shared" si="38"/>
        <v>175.34</v>
      </c>
      <c r="AG315" s="32" t="s">
        <v>8663</v>
      </c>
      <c r="AH315" s="2" t="s">
        <v>49</v>
      </c>
      <c r="AI315" s="10" t="s">
        <v>49</v>
      </c>
      <c r="AJ315" s="2" t="s">
        <v>132</v>
      </c>
      <c r="AK315" s="10" t="s">
        <v>192</v>
      </c>
      <c r="AL315" s="2" t="s">
        <v>67</v>
      </c>
    </row>
    <row r="316" ht="15.75" customHeight="1">
      <c r="A316" s="2" t="s">
        <v>4718</v>
      </c>
      <c r="B316" s="12" t="s">
        <v>4719</v>
      </c>
      <c r="C316" s="2" t="str">
        <f>IFERROR(__xludf.DUMMYFUNCTION("IF(ISNUMBER(B316),TEXT(B316,""yyyy-MM-dd""),REGEXREPLACE(REGEXREPLACE(TO_TEXT(B316),""[^0-9a-zA-Z]+"",""-""),""[^0-9]*$"",""""))"),"01-23-2023")</f>
        <v>01-23-2023</v>
      </c>
      <c r="D316" s="2" t="str">
        <f>TEXT(C316,"yyyy-MM-dd")</f>
        <v>01-23-2023</v>
      </c>
      <c r="E316" s="2" t="s">
        <v>7704</v>
      </c>
      <c r="H316" s="10" t="s">
        <v>7704</v>
      </c>
      <c r="I316" s="2" t="s">
        <v>4720</v>
      </c>
      <c r="J316" s="26" t="str">
        <f t="array" ref="J316">IF(ISNA(XLOOKUP(I316,customers_clean!$A$2:$A$701,customers_clean!$A$2:$A$701, NA()) ),
   "❌ MISSING CUSTOMER", "✅")</f>
        <v>✅</v>
      </c>
      <c r="K316" s="2" t="str">
        <f t="array" ref="K316">XLOOKUP(I316,customers_clean!$A$2:$A$701,customers_clean!$C$2:$C$701)</f>
        <v>Yara Johnson</v>
      </c>
      <c r="L316" s="10" t="str">
        <f t="array" ref="L316">XLOOKUP(I316,customers_clean!$A$2:$A$701,customers_clean!$D$2:$D$701)</f>
        <v>Yara Johnson</v>
      </c>
      <c r="M316" s="2" t="str">
        <f t="array" ref="M316">XLOOKUP(I316,customers_clean!$A$2:$A$701,customers_clean!$I$2:$I$701)</f>
        <v>yara.johnson@gmail.com </v>
      </c>
      <c r="N316" s="10" t="str">
        <f t="array" ref="N316">XLOOKUP(I316,customers_clean!$A$2:$A$701,customers_clean!$H$2:$H$701)</f>
        <v>yara.johnson@gmail.com</v>
      </c>
      <c r="O316" s="9" t="str">
        <f>IFERROR(__xludf.DUMMYFUNCTION("IF(REGEXMATCH(TRIM(N316),""^[A-Za-z0-9._%+-]+@[A-Za-z0-9.-]+\.[A-Za-z]{2,}$""),""✅ Valid"",""❌ Invalid"")"),"✅ Valid")</f>
        <v>✅ Valid</v>
      </c>
      <c r="P316" s="2" t="str">
        <f t="array" ref="P316">XLOOKUP(I316,customers_clean!$A$2:$A$701,customers_clean!$K$2:$K$701)</f>
        <v>+49127002595</v>
      </c>
      <c r="Q316" s="10" t="str">
        <f t="array" ref="Q316">XLOOKUP(I316,customers_clean!$A$2:$A$701,customers_clean!$N$2:$N$701)</f>
        <v>127002595</v>
      </c>
      <c r="R316" s="9" t="str">
        <f t="array" ref="R316">XLOOKUP(I316,customers_clean!$A$2:$A$701,customers_clean!$Q$2:$Q$701)</f>
        <v>❌ INVALID</v>
      </c>
      <c r="S316" s="10" t="s">
        <v>25</v>
      </c>
      <c r="T316" s="2" t="s">
        <v>223</v>
      </c>
      <c r="U316" s="2" t="s">
        <v>176</v>
      </c>
      <c r="V316" s="2" t="s">
        <v>513</v>
      </c>
      <c r="W316" s="9" t="str">
        <f t="array" ref="W316">IF(ISNA(XLOOKUP(V316,products_master_corrected!$A$2:$A$151,products_master_corrected!$A$2:$A$151, NA())),
    "❌ MISSING SKU", "✅")</f>
        <v>✅</v>
      </c>
      <c r="X316" s="2" t="s">
        <v>8673</v>
      </c>
      <c r="Y316" s="2" t="s">
        <v>514</v>
      </c>
      <c r="Z316" s="10" t="s">
        <v>514</v>
      </c>
      <c r="AA316" s="27">
        <v>1.0</v>
      </c>
      <c r="AB316" s="9" t="s">
        <v>8649</v>
      </c>
      <c r="AC316" s="28">
        <f t="array" ref="AC316">XLOOKUP(V316,products_master_corrected!$A$2:$A$151,products_master_corrected!$E$2:$E$151)</f>
        <v>275.56</v>
      </c>
      <c r="AD316" s="28">
        <f t="shared" si="37"/>
        <v>275.56</v>
      </c>
      <c r="AE316" s="28">
        <f t="array" ref="AE316">XLOOKUP(V316,products_master_corrected!$A$2:$A$151,products_master_corrected!$K$2:$K$151)</f>
        <v>1417.76</v>
      </c>
      <c r="AF316" s="29">
        <f t="shared" si="38"/>
        <v>1417.76</v>
      </c>
      <c r="AG316" s="30" t="s">
        <v>95</v>
      </c>
      <c r="AH316" s="2" t="s">
        <v>66</v>
      </c>
      <c r="AI316" s="10" t="s">
        <v>66</v>
      </c>
      <c r="AJ316" s="2" t="s">
        <v>261</v>
      </c>
      <c r="AK316" s="10" t="s">
        <v>261</v>
      </c>
    </row>
    <row r="317" ht="15.75" customHeight="1">
      <c r="A317" s="2" t="s">
        <v>1599</v>
      </c>
      <c r="B317" s="12">
        <v>45570.89166666667</v>
      </c>
      <c r="C317" s="2" t="str">
        <f>IFERROR(__xludf.DUMMYFUNCTION("IF(ISNUMBER(B317),TEXT(B317,""yyyy-MM-dd""),REGEXREPLACE(REGEXREPLACE(TO_TEXT(B317),""[^0-9a-zA-Z]+"",""-""),""[^0-9]*$"",""""))"),"2024-10-05")</f>
        <v>2024-10-05</v>
      </c>
      <c r="D317" s="2" t="s">
        <v>8803</v>
      </c>
      <c r="H317" s="10" t="s">
        <v>8803</v>
      </c>
      <c r="I317" s="2" t="s">
        <v>1601</v>
      </c>
      <c r="J317" s="26" t="str">
        <f t="array" ref="J317">IF(ISNA(XLOOKUP(I317,customers_clean!$A$2:$A$701,customers_clean!$A$2:$A$701, NA()) ),
   "❌ MISSING CUSTOMER", "✅")</f>
        <v>✅</v>
      </c>
      <c r="K317" s="2" t="str">
        <f t="array" ref="K317">XLOOKUP(I317,customers_clean!$A$2:$A$701,customers_clean!$C$2:$C$701)</f>
        <v>WIKTOR LEE</v>
      </c>
      <c r="L317" s="10" t="str">
        <f t="array" ref="L317">XLOOKUP(I317,customers_clean!$A$2:$A$701,customers_clean!$D$2:$D$701)</f>
        <v>Wiktor Lee</v>
      </c>
      <c r="M317" s="2" t="str">
        <f t="array" ref="M317">XLOOKUP(I317,customers_clean!$A$2:$A$701,customers_clean!$I$2:$I$701)</f>
        <v>Wiktor.Lee@Company.Co.Uk</v>
      </c>
      <c r="N317" s="10" t="str">
        <f t="array" ref="N317">XLOOKUP(I317,customers_clean!$A$2:$A$701,customers_clean!$H$2:$H$701)</f>
        <v>wiktor.lee@company.co.uk</v>
      </c>
      <c r="O317" s="9" t="str">
        <f>IFERROR(__xludf.DUMMYFUNCTION("IF(REGEXMATCH(TRIM(N317),""^[A-Za-z0-9._%+-]+@[A-Za-z0-9.-]+\.[A-Za-z]{2,}$""),""✅ Valid"",""❌ Invalid"")"),"✅ Valid")</f>
        <v>✅ Valid</v>
      </c>
      <c r="P317" s="2">
        <f t="array" ref="P317">XLOOKUP(I317,customers_clean!$A$2:$A$701,customers_clean!$K$2:$K$701)</f>
        <v>2418691143</v>
      </c>
      <c r="Q317" s="10" t="str">
        <f t="array" ref="Q317">XLOOKUP(I317,customers_clean!$A$2:$A$701,customers_clean!$N$2:$N$701)</f>
        <v>2418691143</v>
      </c>
      <c r="R317" s="9" t="str">
        <f t="array" ref="R317">XLOOKUP(I317,customers_clean!$A$2:$A$701,customers_clean!$Q$2:$Q$701)</f>
        <v>❌ INVALID</v>
      </c>
      <c r="S317" s="10" t="s">
        <v>139</v>
      </c>
      <c r="T317" s="2" t="s">
        <v>223</v>
      </c>
      <c r="U317" s="2" t="s">
        <v>103</v>
      </c>
      <c r="V317" s="2" t="s">
        <v>1606</v>
      </c>
      <c r="W317" s="9" t="str">
        <f t="array" ref="W317">IF(ISNA(XLOOKUP(V317,products_master_corrected!$A$2:$A$151,products_master_corrected!$A$2:$A$151, NA())),
    "❌ MISSING SKU", "✅")</f>
        <v>✅</v>
      </c>
      <c r="X317" s="2" t="s">
        <v>213</v>
      </c>
      <c r="Y317" s="2" t="s">
        <v>106</v>
      </c>
      <c r="Z317" s="10" t="s">
        <v>368</v>
      </c>
      <c r="AA317" s="27">
        <v>1.0</v>
      </c>
      <c r="AB317" s="9" t="s">
        <v>8649</v>
      </c>
      <c r="AC317" s="28">
        <f t="array" ref="AC317">XLOOKUP(V317,products_master_corrected!$A$2:$A$151,products_master_corrected!$E$2:$E$151)</f>
        <v>1460.15</v>
      </c>
      <c r="AD317" s="28">
        <f t="shared" si="37"/>
        <v>1460.15</v>
      </c>
      <c r="AE317" s="28">
        <f t="array" ref="AE317">XLOOKUP(V317,products_master_corrected!$A$2:$A$151,products_master_corrected!$L$2:$L$151)</f>
        <v>1579.15</v>
      </c>
      <c r="AF317" s="29">
        <f t="shared" si="38"/>
        <v>1579.15</v>
      </c>
      <c r="AG317" s="32" t="s">
        <v>8665</v>
      </c>
      <c r="AH317" s="2" t="s">
        <v>181</v>
      </c>
      <c r="AI317" s="10" t="s">
        <v>181</v>
      </c>
      <c r="AJ317" s="2" t="s">
        <v>132</v>
      </c>
      <c r="AK317" s="10" t="s">
        <v>192</v>
      </c>
    </row>
    <row r="318" ht="15.75" customHeight="1">
      <c r="A318" s="2" t="s">
        <v>4830</v>
      </c>
      <c r="B318" s="12">
        <v>45357.0</v>
      </c>
      <c r="C318" s="2" t="str">
        <f>IFERROR(__xludf.DUMMYFUNCTION("IF(ISNUMBER(B318),TEXT(B318,""yyyy-MM-dd""),REGEXREPLACE(REGEXREPLACE(TO_TEXT(B318),""[^0-9a-zA-Z]+"",""-""),""[^0-9]*$"",""""))"),"2024-03-06")</f>
        <v>2024-03-06</v>
      </c>
      <c r="D318" s="2" t="s">
        <v>8763</v>
      </c>
      <c r="H318" s="10" t="s">
        <v>8763</v>
      </c>
      <c r="I318" s="2" t="s">
        <v>4832</v>
      </c>
      <c r="J318" s="26" t="str">
        <f t="array" ref="J318">IF(ISNA(XLOOKUP(I318,customers_clean!$A$2:$A$701,customers_clean!$A$2:$A$701, NA()) ),
   "❌ MISSING CUSTOMER", "✅")</f>
        <v>✅</v>
      </c>
      <c r="K318" s="2" t="str">
        <f t="array" ref="K318">XLOOKUP(I318,customers_clean!$A$2:$A$701,customers_clean!$C$2:$C$701)</f>
        <v> Adam Davis</v>
      </c>
      <c r="L318" s="10" t="str">
        <f t="array" ref="L318">XLOOKUP(I318,customers_clean!$A$2:$A$701,customers_clean!$D$2:$D$701)</f>
        <v>Adam Davis</v>
      </c>
      <c r="M318" s="2" t="str">
        <f t="array" ref="M318">XLOOKUP(I318,customers_clean!$A$2:$A$701,customers_clean!$I$2:$I$701)</f>
        <v> adam.davis@company.co.uk</v>
      </c>
      <c r="N318" s="10" t="str">
        <f t="array" ref="N318">XLOOKUP(I318,customers_clean!$A$2:$A$701,customers_clean!$H$2:$H$701)</f>
        <v>adam.davis@company.co.uk</v>
      </c>
      <c r="O318" s="9" t="str">
        <f>IFERROR(__xludf.DUMMYFUNCTION("IF(REGEXMATCH(TRIM(N318),""^[A-Za-z0-9._%+-]+@[A-Za-z0-9.-]+\.[A-Za-z]{2,}$""),""✅ Valid"",""❌ Invalid"")"),"✅ Valid")</f>
        <v>✅ Valid</v>
      </c>
      <c r="P318" s="2" t="str">
        <f t="array" ref="P318">XLOOKUP(I318,customers_clean!$A$2:$A$701,customers_clean!$K$2:$K$701)</f>
        <v>2281x803905</v>
      </c>
      <c r="Q318" s="10" t="str">
        <f t="array" ref="Q318">XLOOKUP(I318,customers_clean!$A$2:$A$701,customers_clean!$N$2:$N$701)</f>
        <v>2281803905</v>
      </c>
      <c r="R318" s="9" t="str">
        <f t="array" ref="R318">XLOOKUP(I318,customers_clean!$A$2:$A$701,customers_clean!$Q$2:$Q$701)</f>
        <v>❌ INVALID</v>
      </c>
      <c r="S318" s="10" t="s">
        <v>448</v>
      </c>
      <c r="T318" s="2" t="s">
        <v>223</v>
      </c>
      <c r="U318" s="2" t="s">
        <v>480</v>
      </c>
      <c r="V318" s="2" t="s">
        <v>1109</v>
      </c>
      <c r="W318" s="9" t="str">
        <f t="array" ref="W318">IF(ISNA(XLOOKUP(V318,products_master_corrected!$A$2:$A$151,products_master_corrected!$A$2:$A$151, NA())),
    "❌ MISSING SKU", "✅")</f>
        <v>✅</v>
      </c>
      <c r="X318" s="2" t="s">
        <v>62</v>
      </c>
      <c r="Y318" s="2" t="s">
        <v>826</v>
      </c>
      <c r="Z318" s="10" t="s">
        <v>63</v>
      </c>
      <c r="AA318" s="27">
        <v>2.0</v>
      </c>
      <c r="AB318" s="9" t="s">
        <v>8649</v>
      </c>
      <c r="AC318" s="28">
        <f t="array" ref="AC318">XLOOKUP(V318,products_master_corrected!$A$2:$A$151,products_master_corrected!$E$2:$E$151)</f>
        <v>115.14</v>
      </c>
      <c r="AD318" s="28">
        <f t="shared" si="37"/>
        <v>230.28</v>
      </c>
      <c r="AE318" s="28">
        <f t="array" ref="AE318">XLOOKUP(V318,products_master_corrected!$A$2:$A$151,products_master_corrected!$M$2:$M$151)</f>
        <v>139.27</v>
      </c>
      <c r="AF318" s="29">
        <f t="shared" si="38"/>
        <v>278.54</v>
      </c>
      <c r="AG318" s="30" t="s">
        <v>48</v>
      </c>
      <c r="AH318" s="2" t="s">
        <v>3504</v>
      </c>
      <c r="AI318" s="10" t="s">
        <v>181</v>
      </c>
      <c r="AJ318" s="2" t="s">
        <v>192</v>
      </c>
      <c r="AK318" s="10" t="s">
        <v>192</v>
      </c>
      <c r="AL318" s="2" t="s">
        <v>51</v>
      </c>
    </row>
    <row r="319" ht="15.75" customHeight="1">
      <c r="A319" s="2" t="s">
        <v>5414</v>
      </c>
      <c r="B319" s="12">
        <v>45401.0</v>
      </c>
      <c r="C319" s="2" t="str">
        <f>IFERROR(__xludf.DUMMYFUNCTION("IF(ISNUMBER(B319),TEXT(B319,""yyyy-MM-dd""),REGEXREPLACE(REGEXREPLACE(TO_TEXT(B319),""[^0-9a-zA-Z]+"",""-""),""[^0-9]*$"",""""))"),"2024-04-19")</f>
        <v>2024-04-19</v>
      </c>
      <c r="D319" s="2" t="s">
        <v>8432</v>
      </c>
      <c r="H319" s="10" t="s">
        <v>8432</v>
      </c>
      <c r="I319" s="2" t="s">
        <v>5416</v>
      </c>
      <c r="J319" s="26" t="str">
        <f t="array" ref="J319">IF(ISNA(XLOOKUP(I319,customers_clean!$A$2:$A$701,customers_clean!$A$2:$A$701, NA()) ),
   "❌ MISSING CUSTOMER", "✅")</f>
        <v>✅</v>
      </c>
      <c r="K319" s="2" t="str">
        <f t="array" ref="K319">XLOOKUP(I319,customers_clean!$A$2:$A$701,customers_clean!$C$2:$C$701)</f>
        <v>Fiona  Kowalczyk</v>
      </c>
      <c r="L319" s="10" t="str">
        <f t="array" ref="L319">XLOOKUP(I319,customers_clean!$A$2:$A$701,customers_clean!$D$2:$D$701)</f>
        <v>Fiona Kowalczyk</v>
      </c>
      <c r="M319" s="2" t="str">
        <f t="array" ref="M319">XLOOKUP(I319,customers_clean!$A$2:$A$701,customers_clean!$I$2:$I$701)</f>
        <v>fiona.kowalczyk@yahoo.com</v>
      </c>
      <c r="N319" s="10" t="str">
        <f t="array" ref="N319">XLOOKUP(I319,customers_clean!$A$2:$A$701,customers_clean!$H$2:$H$701)</f>
        <v>fiona.kowalczyk@yahoo.com</v>
      </c>
      <c r="O319" s="9" t="str">
        <f>IFERROR(__xludf.DUMMYFUNCTION("IF(REGEXMATCH(TRIM(N319),""^[A-Za-z0-9._%+-]+@[A-Za-z0-9.-]+\.[A-Za-z]{2,}$""),""✅ Valid"",""❌ Invalid"")"),"✅ Valid")</f>
        <v>✅ Valid</v>
      </c>
      <c r="P319" s="2" t="str">
        <f t="array" ref="P319">XLOOKUP(I319,customers_clean!$A$2:$A$701,customers_clean!$K$2:$K$701)</f>
        <v>+33 3412 4082 2</v>
      </c>
      <c r="Q319" s="10" t="str">
        <f t="array" ref="Q319">XLOOKUP(I319,customers_clean!$A$2:$A$701,customers_clean!$N$2:$N$701)</f>
        <v>341240822</v>
      </c>
      <c r="R319" s="9" t="str">
        <f t="array" ref="R319">XLOOKUP(I319,customers_clean!$A$2:$A$701,customers_clean!$Q$2:$Q$701)</f>
        <v>❌ INVALID</v>
      </c>
      <c r="S319" s="10" t="s">
        <v>608</v>
      </c>
      <c r="T319" s="2" t="s">
        <v>59</v>
      </c>
      <c r="U319" s="2" t="s">
        <v>176</v>
      </c>
      <c r="V319" s="2" t="s">
        <v>803</v>
      </c>
      <c r="W319" s="9" t="str">
        <f t="array" ref="W319">IF(ISNA(XLOOKUP(V319,products_master_corrected!$A$2:$A$151,products_master_corrected!$A$2:$A$151, NA())),
    "❌ MISSING SKU", "✅")</f>
        <v>✅</v>
      </c>
      <c r="X319" s="2" t="s">
        <v>804</v>
      </c>
      <c r="Y319" s="2" t="s">
        <v>805</v>
      </c>
      <c r="Z319" s="10" t="s">
        <v>355</v>
      </c>
      <c r="AA319" s="27">
        <v>5.0</v>
      </c>
      <c r="AB319" s="9" t="s">
        <v>8649</v>
      </c>
      <c r="AC319" s="28">
        <f t="array" ref="AC319">XLOOKUP(V319,products_master_corrected!$A$2:$A$151,products_master_corrected!$E$2:$E$151)</f>
        <v>20.39</v>
      </c>
      <c r="AD319" s="28">
        <f t="shared" si="37"/>
        <v>101.95</v>
      </c>
      <c r="AE319" s="28">
        <f t="array" ref="AE319">XLOOKUP(V319,products_master_corrected!$A$2:$A$151,products_master_corrected!$H$2:$H$151)</f>
        <v>22.91</v>
      </c>
      <c r="AF319" s="29">
        <f t="shared" si="38"/>
        <v>114.55</v>
      </c>
      <c r="AG319" s="32" t="s">
        <v>8658</v>
      </c>
      <c r="AH319" s="2" t="s">
        <v>49</v>
      </c>
      <c r="AI319" s="10" t="s">
        <v>49</v>
      </c>
      <c r="AJ319" s="2" t="s">
        <v>380</v>
      </c>
      <c r="AK319" s="10" t="s">
        <v>80</v>
      </c>
    </row>
    <row r="320" ht="15.75" customHeight="1">
      <c r="A320" s="2" t="s">
        <v>6058</v>
      </c>
      <c r="B320" s="12" t="s">
        <v>6059</v>
      </c>
      <c r="C320" s="2" t="str">
        <f>IFERROR(__xludf.DUMMYFUNCTION("IF(ISNUMBER(B320),TEXT(B320,""yyyy-MM-dd""),REGEXREPLACE(REGEXREPLACE(TO_TEXT(B320),""[^0-9a-zA-Z]+"",""-""),""[^0-9]*$"",""""))"),"45324-22-18")</f>
        <v>45324-22-18</v>
      </c>
      <c r="D320" s="2" t="str">
        <f>TEXT(C320,"yyyy-MM-dd")</f>
        <v>45324-22-18</v>
      </c>
      <c r="E320" s="25" t="str">
        <f>CONCATENATE(LEFT(D320,5))</f>
        <v>45324</v>
      </c>
      <c r="F320" s="12">
        <f>DATE(1900,1,1) + E320 - 1</f>
        <v>45325</v>
      </c>
      <c r="G320" s="2" t="s">
        <v>5796</v>
      </c>
      <c r="H320" s="10" t="s">
        <v>5796</v>
      </c>
      <c r="I320" s="2" t="s">
        <v>6060</v>
      </c>
      <c r="J320" s="26" t="str">
        <f t="array" ref="J320">IF(ISNA(XLOOKUP(I320,customers_clean!$A$2:$A$701,customers_clean!$A$2:$A$701, NA()) ),
   "❌ MISSING CUSTOMER", "✅")</f>
        <v>✅</v>
      </c>
      <c r="K320" s="2" t="str">
        <f t="array" ref="K320">XLOOKUP(I320,customers_clean!$A$2:$A$701,customers_clean!$C$2:$C$701)</f>
        <v>DARIA LEE</v>
      </c>
      <c r="L320" s="10" t="str">
        <f t="array" ref="L320">XLOOKUP(I320,customers_clean!$A$2:$A$701,customers_clean!$D$2:$D$701)</f>
        <v>Daria Lee</v>
      </c>
      <c r="M320" s="2" t="str">
        <f t="array" ref="M320">XLOOKUP(I320,customers_clean!$A$2:$A$701,customers_clean!$I$2:$I$701)</f>
        <v>daria.lee@gmail.com </v>
      </c>
      <c r="N320" s="10" t="str">
        <f t="array" ref="N320">XLOOKUP(I320,customers_clean!$A$2:$A$701,customers_clean!$H$2:$H$701)</f>
        <v>daria.lee@gmail.com</v>
      </c>
      <c r="O320" s="9" t="str">
        <f>IFERROR(__xludf.DUMMYFUNCTION("IF(REGEXMATCH(TRIM(N320),""^[A-Za-z0-9._%+-]+@[A-Za-z0-9.-]+\.[A-Za-z]{2,}$""),""✅ Valid"",""❌ Invalid"")"),"✅ Valid")</f>
        <v>✅ Valid</v>
      </c>
      <c r="P320" s="33" t="str">
        <f t="array" ref="P320">XLOOKUP(I320,customers_clean!$A$2:$A$701,customers_clean!$K$2:$K$701)</f>
        <v>487463863433</v>
      </c>
      <c r="Q320" s="10" t="str">
        <f t="array" ref="Q320">XLOOKUP(I320,customers_clean!$A$2:$A$701,customers_clean!$N$2:$N$701)</f>
        <v>7463863433</v>
      </c>
      <c r="R320" s="9" t="str">
        <f t="array" ref="R320">XLOOKUP(I320,customers_clean!$A$2:$A$701,customers_clean!$Q$2:$Q$701)</f>
        <v>❌ INVALID</v>
      </c>
      <c r="S320" s="10" t="s">
        <v>25</v>
      </c>
      <c r="T320" s="2" t="s">
        <v>223</v>
      </c>
      <c r="U320" s="2" t="s">
        <v>480</v>
      </c>
      <c r="V320" s="2" t="s">
        <v>439</v>
      </c>
      <c r="W320" s="9" t="str">
        <f t="array" ref="W320">IF(ISNA(XLOOKUP(V320,products_master_corrected!$A$2:$A$151,products_master_corrected!$A$2:$A$151, NA())),
    "❌ MISSING SKU", "✅")</f>
        <v>✅</v>
      </c>
      <c r="X320" s="2" t="s">
        <v>440</v>
      </c>
      <c r="Y320" s="2" t="s">
        <v>63</v>
      </c>
      <c r="Z320" s="10" t="s">
        <v>63</v>
      </c>
      <c r="AA320" s="27">
        <v>5.0</v>
      </c>
      <c r="AB320" s="9" t="s">
        <v>8649</v>
      </c>
      <c r="AC320" s="28">
        <f t="array" ref="AC320">XLOOKUP(V320,products_master_corrected!$A$2:$A$151,products_master_corrected!$E$2:$E$151)</f>
        <v>70.84</v>
      </c>
      <c r="AD320" s="28">
        <f t="shared" si="37"/>
        <v>354.2</v>
      </c>
      <c r="AE320" s="28">
        <f t="array" ref="AE320">XLOOKUP(V320,products_master_corrected!$A$2:$A$151,products_master_corrected!$K$2:$K$151)</f>
        <v>364.47</v>
      </c>
      <c r="AF320" s="29">
        <f t="shared" si="38"/>
        <v>1822.35</v>
      </c>
      <c r="AG320" s="30" t="s">
        <v>95</v>
      </c>
      <c r="AH320" s="2" t="s">
        <v>49</v>
      </c>
      <c r="AI320" s="10" t="s">
        <v>49</v>
      </c>
      <c r="AJ320" s="2" t="s">
        <v>294</v>
      </c>
      <c r="AK320" s="10" t="s">
        <v>80</v>
      </c>
      <c r="AL320" s="2" t="s">
        <v>133</v>
      </c>
    </row>
    <row r="321" ht="15.75" customHeight="1">
      <c r="A321" s="2" t="s">
        <v>371</v>
      </c>
      <c r="B321" s="12">
        <v>45754.0</v>
      </c>
      <c r="C321" s="2" t="str">
        <f>IFERROR(__xludf.DUMMYFUNCTION("IF(ISNUMBER(B321),TEXT(B321,""yyyy-MM-dd""),REGEXREPLACE(REGEXREPLACE(TO_TEXT(B321),""[^0-9a-zA-Z]+"",""-""),""[^0-9]*$"",""""))"),"2025-04-07")</f>
        <v>2025-04-07</v>
      </c>
      <c r="D321" s="2" t="s">
        <v>8751</v>
      </c>
      <c r="H321" s="10" t="s">
        <v>8751</v>
      </c>
      <c r="I321" s="2" t="s">
        <v>373</v>
      </c>
      <c r="J321" s="26" t="str">
        <f t="array" ref="J321">IF(ISNA(XLOOKUP(I321,customers_clean!$A$2:$A$701,customers_clean!$A$2:$A$701, NA()) ),
   "❌ MISSING CUSTOMER", "✅")</f>
        <v>✅</v>
      </c>
      <c r="K321" s="2" t="str">
        <f t="array" ref="K321">XLOOKUP(I321,customers_clean!$A$2:$A$701,customers_clean!$C$2:$C$701)</f>
        <v>Rita Novak </v>
      </c>
      <c r="L321" s="10" t="str">
        <f t="array" ref="L321">XLOOKUP(I321,customers_clean!$A$2:$A$701,customers_clean!$D$2:$D$701)</f>
        <v>Rita Novak</v>
      </c>
      <c r="M321" s="2" t="str">
        <f t="array" ref="M321">XLOOKUP(I321,customers_clean!$A$2:$A$701,customers_clean!$I$2:$I$701)</f>
        <v>rita.novak@outlook.com</v>
      </c>
      <c r="N321" s="10" t="str">
        <f t="array" ref="N321">XLOOKUP(I321,customers_clean!$A$2:$A$701,customers_clean!$H$2:$H$701)</f>
        <v>rita.novak@outlook.com</v>
      </c>
      <c r="O321" s="9" t="str">
        <f>IFERROR(__xludf.DUMMYFUNCTION("IF(REGEXMATCH(TRIM(N321),""^[A-Za-z0-9._%+-]+@[A-Za-z0-9.-]+\.[A-Za-z]{2,}$""),""✅ Valid"",""❌ Invalid"")"),"✅ Valid")</f>
        <v>✅ Valid</v>
      </c>
      <c r="P321" s="2" t="str">
        <f t="array" ref="P321">XLOOKUP(I321,customers_clean!$A$2:$A$701,customers_clean!$K$2:$K$701)</f>
        <v>+3418566500 ext 261</v>
      </c>
      <c r="Q321" s="10" t="str">
        <f t="array" ref="Q321">XLOOKUP(I321,customers_clean!$A$2:$A$701,customers_clean!$N$2:$N$701)</f>
        <v>18566500</v>
      </c>
      <c r="R321" s="9" t="str">
        <f t="array" ref="R321">XLOOKUP(I321,customers_clean!$A$2:$A$701,customers_clean!$Q$2:$Q$701)</f>
        <v>❌ INVALID</v>
      </c>
      <c r="S321" s="10" t="s">
        <v>58</v>
      </c>
      <c r="T321" s="2" t="s">
        <v>210</v>
      </c>
      <c r="U321" s="2" t="s">
        <v>176</v>
      </c>
      <c r="V321" s="2" t="s">
        <v>177</v>
      </c>
      <c r="W321" s="9" t="str">
        <f t="array" ref="W321">IF(ISNA(XLOOKUP(V321,products_master_corrected!$A$2:$A$151,products_master_corrected!$A$2:$A$151, NA())),
    "❌ MISSING SKU", "✅")</f>
        <v>✅</v>
      </c>
      <c r="X321" s="2" t="s">
        <v>8680</v>
      </c>
      <c r="Y321" s="2" t="s">
        <v>179</v>
      </c>
      <c r="Z321" s="10" t="s">
        <v>179</v>
      </c>
      <c r="AA321" s="27">
        <v>1.0</v>
      </c>
      <c r="AB321" s="9" t="s">
        <v>8649</v>
      </c>
      <c r="AC321" s="28">
        <f t="array" ref="AC321">XLOOKUP(V321,products_master_corrected!$A$2:$A$151,products_master_corrected!$E$2:$E$151)</f>
        <v>272.72</v>
      </c>
      <c r="AD321" s="28">
        <f t="shared" si="37"/>
        <v>272.72</v>
      </c>
      <c r="AE321" s="28">
        <f t="array" ref="AE321">XLOOKUP(V321,products_master_corrected!$A$2:$A$151,products_master_corrected!$G$2:$G$151)</f>
        <v>312.21</v>
      </c>
      <c r="AF321" s="29">
        <f t="shared" si="38"/>
        <v>312.21</v>
      </c>
      <c r="AG321" s="32" t="s">
        <v>8663</v>
      </c>
      <c r="AH321" s="2" t="s">
        <v>379</v>
      </c>
      <c r="AI321" s="10" t="s">
        <v>143</v>
      </c>
      <c r="AJ321" s="2" t="s">
        <v>380</v>
      </c>
      <c r="AK321" s="10" t="s">
        <v>80</v>
      </c>
      <c r="AL321" s="2" t="s">
        <v>51</v>
      </c>
    </row>
    <row r="322" ht="15.75" customHeight="1">
      <c r="A322" s="2" t="s">
        <v>4307</v>
      </c>
      <c r="B322" s="12">
        <v>45507.0</v>
      </c>
      <c r="C322" s="2" t="str">
        <f>IFERROR(__xludf.DUMMYFUNCTION("IF(ISNUMBER(B322),TEXT(B322,""yyyy-MM-dd""),REGEXREPLACE(REGEXREPLACE(TO_TEXT(B322),""[^0-9a-zA-Z]+"",""-""),""[^0-9]*$"",""""))"),"2024-08-03")</f>
        <v>2024-08-03</v>
      </c>
      <c r="D322" s="2" t="s">
        <v>8804</v>
      </c>
      <c r="H322" s="10" t="s">
        <v>8804</v>
      </c>
      <c r="I322" s="2" t="s">
        <v>2495</v>
      </c>
      <c r="J322" s="26" t="str">
        <f t="array" ref="J322">IF(ISNA(XLOOKUP(I322,customers_clean!$A$2:$A$701,customers_clean!$A$2:$A$701, NA()) ),
   "❌ MISSING CUSTOMER", "✅")</f>
        <v>✅</v>
      </c>
      <c r="K322" s="2" t="str">
        <f t="array" ref="K322">XLOOKUP(I322,customers_clean!$A$2:$A$701,customers_clean!$C$2:$C$701)</f>
        <v> Zack Taylor</v>
      </c>
      <c r="L322" s="10" t="str">
        <f t="array" ref="L322">XLOOKUP(I322,customers_clean!$A$2:$A$701,customers_clean!$D$2:$D$701)</f>
        <v>Zack Taylor</v>
      </c>
      <c r="M322" s="2" t="str">
        <f t="array" ref="M322">XLOOKUP(I322,customers_clean!$A$2:$A$701,customers_clean!$I$2:$I$701)</f>
        <v>zack.taylor@company.co.uk</v>
      </c>
      <c r="N322" s="10" t="str">
        <f t="array" ref="N322">XLOOKUP(I322,customers_clean!$A$2:$A$701,customers_clean!$H$2:$H$701)</f>
        <v>zack.taylor@company.co.uk</v>
      </c>
      <c r="O322" s="9" t="str">
        <f>IFERROR(__xludf.DUMMYFUNCTION("IF(REGEXMATCH(TRIM(N322),""^[A-Za-z0-9._%+-]+@[A-Za-z0-9.-]+\.[A-Za-z]{2,}$""),""✅ Valid"",""❌ Invalid"")"),"✅ Valid")</f>
        <v>✅ Valid</v>
      </c>
      <c r="P322" s="2" t="str">
        <f t="array" ref="P322">XLOOKUP(I322,customers_clean!$A$2:$A$701,customers_clean!$K$2:$K$701)</f>
        <v>tel:+1111602203</v>
      </c>
      <c r="Q322" s="10" t="str">
        <f t="array" ref="Q322">XLOOKUP(I322,customers_clean!$A$2:$A$701,customers_clean!$N$2:$N$701)</f>
        <v>111602203</v>
      </c>
      <c r="R322" s="9" t="str">
        <f t="array" ref="R322">XLOOKUP(I322,customers_clean!$A$2:$A$701,customers_clean!$Q$2:$Q$701)</f>
        <v>❌ INVALID</v>
      </c>
      <c r="S322" s="10" t="s">
        <v>25</v>
      </c>
      <c r="T322" s="2" t="s">
        <v>42</v>
      </c>
      <c r="U322" s="2" t="s">
        <v>43</v>
      </c>
      <c r="V322" s="2" t="s">
        <v>313</v>
      </c>
      <c r="W322" s="9" t="str">
        <f t="array" ref="W322">IF(ISNA(XLOOKUP(V322,products_master_corrected!$A$2:$A$151,products_master_corrected!$A$2:$A$151, NA())),
    "❌ MISSING SKU", "✅")</f>
        <v>✅</v>
      </c>
      <c r="X322" s="2" t="s">
        <v>768</v>
      </c>
      <c r="Y322" s="2" t="s">
        <v>315</v>
      </c>
      <c r="Z322" s="10" t="s">
        <v>179</v>
      </c>
      <c r="AA322" s="27">
        <v>2.0</v>
      </c>
      <c r="AB322" s="9" t="s">
        <v>8649</v>
      </c>
      <c r="AC322" s="28">
        <f t="array" ref="AC322">XLOOKUP(V322,products_master_corrected!$A$2:$A$151,products_master_corrected!$E$2:$E$151)</f>
        <v>47.55</v>
      </c>
      <c r="AD322" s="28">
        <f t="shared" si="37"/>
        <v>95.1</v>
      </c>
      <c r="AE322" s="28">
        <f t="array" ref="AE322">XLOOKUP(V322,products_master_corrected!$A$2:$A$151,products_master_corrected!$K$2:$K$151)</f>
        <v>244.64</v>
      </c>
      <c r="AF322" s="29">
        <f t="shared" si="38"/>
        <v>489.28</v>
      </c>
      <c r="AG322" s="30" t="s">
        <v>95</v>
      </c>
      <c r="AH322" s="2" t="s">
        <v>96</v>
      </c>
      <c r="AI322" s="10" t="s">
        <v>143</v>
      </c>
      <c r="AJ322" s="2" t="s">
        <v>158</v>
      </c>
      <c r="AK322" s="10" t="s">
        <v>818</v>
      </c>
      <c r="AL322" s="2" t="s">
        <v>81</v>
      </c>
    </row>
    <row r="323" ht="15.75" customHeight="1">
      <c r="A323" s="2" t="s">
        <v>2493</v>
      </c>
      <c r="B323" s="12">
        <v>45867.41527777778</v>
      </c>
      <c r="C323" s="2" t="str">
        <f>IFERROR(__xludf.DUMMYFUNCTION("IF(ISNUMBER(B323),TEXT(B323,""yyyy-MM-dd""),REGEXREPLACE(REGEXREPLACE(TO_TEXT(B323),""[^0-9a-zA-Z]+"",""-""),""[^0-9]*$"",""""))"),"2025-07-29")</f>
        <v>2025-07-29</v>
      </c>
      <c r="D323" s="2" t="s">
        <v>8538</v>
      </c>
      <c r="H323" s="10" t="s">
        <v>8538</v>
      </c>
      <c r="I323" s="2" t="s">
        <v>2495</v>
      </c>
      <c r="J323" s="26" t="str">
        <f t="array" ref="J323">IF(ISNA(XLOOKUP(I323,customers_clean!$A$2:$A$701,customers_clean!$A$2:$A$701, NA()) ),
   "❌ MISSING CUSTOMER", "✅")</f>
        <v>✅</v>
      </c>
      <c r="K323" s="2" t="str">
        <f t="array" ref="K323">XLOOKUP(I323,customers_clean!$A$2:$A$701,customers_clean!$C$2:$C$701)</f>
        <v> Zack Taylor</v>
      </c>
      <c r="L323" s="10" t="str">
        <f t="array" ref="L323">XLOOKUP(I323,customers_clean!$A$2:$A$701,customers_clean!$D$2:$D$701)</f>
        <v>Zack Taylor</v>
      </c>
      <c r="M323" s="2" t="str">
        <f t="array" ref="M323">XLOOKUP(I323,customers_clean!$A$2:$A$701,customers_clean!$I$2:$I$701)</f>
        <v>zack.taylor@company.co.uk</v>
      </c>
      <c r="N323" s="10" t="str">
        <f t="array" ref="N323">XLOOKUP(I323,customers_clean!$A$2:$A$701,customers_clean!$H$2:$H$701)</f>
        <v>zack.taylor@company.co.uk</v>
      </c>
      <c r="O323" s="9" t="str">
        <f>IFERROR(__xludf.DUMMYFUNCTION("IF(REGEXMATCH(TRIM(N323),""^[A-Za-z0-9._%+-]+@[A-Za-z0-9.-]+\.[A-Za-z]{2,}$""),""✅ Valid"",""❌ Invalid"")"),"✅ Valid")</f>
        <v>✅ Valid</v>
      </c>
      <c r="P323" s="2" t="str">
        <f t="array" ref="P323">XLOOKUP(I323,customers_clean!$A$2:$A$701,customers_clean!$K$2:$K$701)</f>
        <v>tel:+1111602203</v>
      </c>
      <c r="Q323" s="10" t="str">
        <f t="array" ref="Q323">XLOOKUP(I323,customers_clean!$A$2:$A$701,customers_clean!$N$2:$N$701)</f>
        <v>111602203</v>
      </c>
      <c r="R323" s="9" t="str">
        <f t="array" ref="R323">XLOOKUP(I323,customers_clean!$A$2:$A$701,customers_clean!$Q$2:$Q$701)</f>
        <v>❌ INVALID</v>
      </c>
      <c r="S323" s="10" t="s">
        <v>25</v>
      </c>
      <c r="T323" s="2" t="s">
        <v>234</v>
      </c>
      <c r="U323" s="2" t="s">
        <v>512</v>
      </c>
      <c r="V323" s="2" t="s">
        <v>1255</v>
      </c>
      <c r="W323" s="9" t="str">
        <f t="array" ref="W323">IF(ISNA(XLOOKUP(V323,products_master_corrected!$A$2:$A$151,products_master_corrected!$A$2:$A$151, NA())),
    "❌ MISSING SKU", "✅")</f>
        <v>✅</v>
      </c>
      <c r="X323" s="2" t="s">
        <v>29</v>
      </c>
      <c r="Y323" s="2" t="s">
        <v>271</v>
      </c>
      <c r="Z323" s="10" t="s">
        <v>368</v>
      </c>
      <c r="AA323" s="27">
        <v>5.0</v>
      </c>
      <c r="AB323" s="9" t="s">
        <v>8649</v>
      </c>
      <c r="AC323" s="28">
        <f t="array" ref="AC323">XLOOKUP(V323,products_master_corrected!$A$2:$A$151,products_master_corrected!$E$2:$E$151)</f>
        <v>161.4</v>
      </c>
      <c r="AD323" s="28">
        <f t="shared" si="37"/>
        <v>807</v>
      </c>
      <c r="AE323" s="28">
        <f t="array" ref="AE323">XLOOKUP(V323,products_master_corrected!$A$2:$A$151,products_master_corrected!$K$2:$K$151)</f>
        <v>830.4</v>
      </c>
      <c r="AF323" s="29">
        <f t="shared" si="38"/>
        <v>4152</v>
      </c>
      <c r="AG323" s="30" t="s">
        <v>95</v>
      </c>
      <c r="AH323" s="2" t="s">
        <v>131</v>
      </c>
      <c r="AI323" s="10" t="s">
        <v>181</v>
      </c>
      <c r="AJ323" s="2" t="s">
        <v>80</v>
      </c>
      <c r="AK323" s="10" t="s">
        <v>80</v>
      </c>
    </row>
    <row r="324" ht="15.75" customHeight="1">
      <c r="A324" s="2" t="s">
        <v>5555</v>
      </c>
      <c r="B324" s="12">
        <v>45278.0</v>
      </c>
      <c r="C324" s="2" t="str">
        <f>IFERROR(__xludf.DUMMYFUNCTION("IF(ISNUMBER(B324),TEXT(B324,""yyyy-MM-dd""),REGEXREPLACE(REGEXREPLACE(TO_TEXT(B324),""[^0-9a-zA-Z]+"",""-""),""[^0-9]*$"",""""))"),"2023-12-18")</f>
        <v>2023-12-18</v>
      </c>
      <c r="D324" s="2" t="s">
        <v>8160</v>
      </c>
      <c r="H324" s="10" t="s">
        <v>8160</v>
      </c>
      <c r="I324" s="2" t="s">
        <v>3979</v>
      </c>
      <c r="J324" s="26" t="str">
        <f t="array" ref="J324">IF(ISNA(XLOOKUP(I324,customers_clean!$A$2:$A$701,customers_clean!$A$2:$A$701, NA()) ),
   "❌ MISSING CUSTOMER", "✅")</f>
        <v>✅</v>
      </c>
      <c r="K324" s="2" t="str">
        <f t="array" ref="K324">XLOOKUP(I324,customers_clean!$A$2:$A$701,customers_clean!$C$2:$C$701)</f>
        <v>Nina Rossi</v>
      </c>
      <c r="L324" s="10" t="str">
        <f t="array" ref="L324">XLOOKUP(I324,customers_clean!$A$2:$A$701,customers_clean!$D$2:$D$701)</f>
        <v>Nina Rossi</v>
      </c>
      <c r="M324" s="2" t="str">
        <f t="array" ref="M324">XLOOKUP(I324,customers_clean!$A$2:$A$701,customers_clean!$I$2:$I$701)</f>
        <v> nina.rossi@shop.io</v>
      </c>
      <c r="N324" s="10" t="str">
        <f t="array" ref="N324">XLOOKUP(I324,customers_clean!$A$2:$A$701,customers_clean!$H$2:$H$701)</f>
        <v>nina.rossi@shop.io</v>
      </c>
      <c r="O324" s="9" t="str">
        <f>IFERROR(__xludf.DUMMYFUNCTION("IF(REGEXMATCH(TRIM(N324),""^[A-Za-z0-9._%+-]+@[A-Za-z0-9.-]+\.[A-Za-z]{2,}$""),""✅ Valid"",""❌ Invalid"")"),"✅ Valid")</f>
        <v>✅ Valid</v>
      </c>
      <c r="P324" s="2" t="str">
        <f t="array" ref="P324">XLOOKUP(I324,customers_clean!$A$2:$A$701,customers_clean!$K$2:$K$701)</f>
        <v>tel:+491400146601</v>
      </c>
      <c r="Q324" s="10" t="str">
        <f t="array" ref="Q324">XLOOKUP(I324,customers_clean!$A$2:$A$701,customers_clean!$N$2:$N$701)</f>
        <v>1400146601</v>
      </c>
      <c r="R324" s="9" t="str">
        <f t="array" ref="R324">XLOOKUP(I324,customers_clean!$A$2:$A$701,customers_clean!$Q$2:$Q$701)</f>
        <v>❌ INVALID</v>
      </c>
      <c r="S324" s="10" t="s">
        <v>114</v>
      </c>
      <c r="T324" s="2" t="s">
        <v>210</v>
      </c>
      <c r="U324" s="2" t="s">
        <v>333</v>
      </c>
      <c r="V324" s="2" t="s">
        <v>1856</v>
      </c>
      <c r="W324" s="9" t="str">
        <f t="array" ref="W324">IF(ISNA(XLOOKUP(V324,products_master_corrected!$A$2:$A$151,products_master_corrected!$A$2:$A$151, NA())),
    "❌ MISSING SKU", "✅")</f>
        <v>✅</v>
      </c>
      <c r="X324" s="2" t="s">
        <v>259</v>
      </c>
      <c r="Y324" s="2" t="s">
        <v>167</v>
      </c>
      <c r="Z324" s="10" t="str">
        <f>PROPER(TRIM(Y324))</f>
        <v>Monitors</v>
      </c>
      <c r="AA324" s="27">
        <v>5.0</v>
      </c>
      <c r="AB324" s="9" t="s">
        <v>8649</v>
      </c>
      <c r="AC324" s="28">
        <f t="array" ref="AC324">XLOOKUP(V324,products_master_corrected!$A$2:$A$151,products_master_corrected!$E$2:$E$151)</f>
        <v>13.34</v>
      </c>
      <c r="AD324" s="28">
        <f t="shared" si="37"/>
        <v>66.7</v>
      </c>
      <c r="AE324" s="28">
        <f t="array" ref="AE324">XLOOKUP(V324,products_master_corrected!$A$2:$A$151,products_master_corrected!$F$2:$F$151)</f>
        <v>13.34</v>
      </c>
      <c r="AF324" s="29">
        <f t="shared" si="38"/>
        <v>66.7</v>
      </c>
      <c r="AG324" s="30" t="s">
        <v>65</v>
      </c>
      <c r="AH324" s="2" t="s">
        <v>143</v>
      </c>
      <c r="AI324" s="10" t="s">
        <v>143</v>
      </c>
      <c r="AJ324" s="2" t="s">
        <v>818</v>
      </c>
      <c r="AK324" s="10" t="s">
        <v>818</v>
      </c>
    </row>
    <row r="325" ht="15.75" customHeight="1">
      <c r="A325" s="2" t="s">
        <v>3977</v>
      </c>
      <c r="B325" s="12">
        <v>45037.77013888889</v>
      </c>
      <c r="C325" s="2" t="str">
        <f>IFERROR(__xludf.DUMMYFUNCTION("IF(ISNUMBER(B325),TEXT(B325,""yyyy-MM-dd""),REGEXREPLACE(REGEXREPLACE(TO_TEXT(B325),""[^0-9a-zA-Z]+"",""-""),""[^0-9]*$"",""""))"),"2023-04-21")</f>
        <v>2023-04-21</v>
      </c>
      <c r="D325" s="2" t="s">
        <v>8805</v>
      </c>
      <c r="H325" s="10" t="s">
        <v>8805</v>
      </c>
      <c r="I325" s="2" t="s">
        <v>3979</v>
      </c>
      <c r="J325" s="26" t="str">
        <f t="array" ref="J325">IF(ISNA(XLOOKUP(I325,customers_clean!$A$2:$A$701,customers_clean!$A$2:$A$701, NA()) ),
   "❌ MISSING CUSTOMER", "✅")</f>
        <v>✅</v>
      </c>
      <c r="K325" s="2" t="str">
        <f t="array" ref="K325">XLOOKUP(I325,customers_clean!$A$2:$A$701,customers_clean!$C$2:$C$701)</f>
        <v>Nina Rossi</v>
      </c>
      <c r="L325" s="10" t="str">
        <f t="array" ref="L325">XLOOKUP(I325,customers_clean!$A$2:$A$701,customers_clean!$D$2:$D$701)</f>
        <v>Nina Rossi</v>
      </c>
      <c r="M325" s="2" t="str">
        <f t="array" ref="M325">XLOOKUP(I325,customers_clean!$A$2:$A$701,customers_clean!$I$2:$I$701)</f>
        <v> nina.rossi@shop.io</v>
      </c>
      <c r="N325" s="10" t="str">
        <f t="array" ref="N325">XLOOKUP(I325,customers_clean!$A$2:$A$701,customers_clean!$H$2:$H$701)</f>
        <v>nina.rossi@shop.io</v>
      </c>
      <c r="O325" s="9" t="str">
        <f>IFERROR(__xludf.DUMMYFUNCTION("IF(REGEXMATCH(TRIM(N325),""^[A-Za-z0-9._%+-]+@[A-Za-z0-9.-]+\.[A-Za-z]{2,}$""),""✅ Valid"",""❌ Invalid"")"),"✅ Valid")</f>
        <v>✅ Valid</v>
      </c>
      <c r="P325" s="2" t="str">
        <f t="array" ref="P325">XLOOKUP(I325,customers_clean!$A$2:$A$701,customers_clean!$K$2:$K$701)</f>
        <v>tel:+491400146601</v>
      </c>
      <c r="Q325" s="10" t="str">
        <f t="array" ref="Q325">XLOOKUP(I325,customers_clean!$A$2:$A$701,customers_clean!$N$2:$N$701)</f>
        <v>1400146601</v>
      </c>
      <c r="R325" s="9" t="str">
        <f t="array" ref="R325">XLOOKUP(I325,customers_clean!$A$2:$A$701,customers_clean!$Q$2:$Q$701)</f>
        <v>❌ INVALID</v>
      </c>
      <c r="S325" s="10" t="s">
        <v>114</v>
      </c>
      <c r="T325" s="2" t="s">
        <v>74</v>
      </c>
      <c r="U325" s="2" t="s">
        <v>103</v>
      </c>
      <c r="V325" s="2" t="s">
        <v>1815</v>
      </c>
      <c r="W325" s="9" t="str">
        <f t="array" ref="W325">IF(ISNA(XLOOKUP(V325,products_master_corrected!$A$2:$A$151,products_master_corrected!$A$2:$A$151, NA())),
    "❌ MISSING SKU", "✅")</f>
        <v>✅</v>
      </c>
      <c r="X325" s="2" t="s">
        <v>768</v>
      </c>
      <c r="Y325" s="2" t="s">
        <v>368</v>
      </c>
      <c r="Z325" s="10" t="s">
        <v>368</v>
      </c>
      <c r="AA325" s="27">
        <v>1.0</v>
      </c>
      <c r="AB325" s="9" t="s">
        <v>8649</v>
      </c>
      <c r="AC325" s="28">
        <f t="array" ref="AC325">XLOOKUP(V325,products_master_corrected!$A$2:$A$151,products_master_corrected!$E$2:$E$151)</f>
        <v>42.65</v>
      </c>
      <c r="AD325" s="28">
        <f t="shared" si="37"/>
        <v>42.65</v>
      </c>
      <c r="AE325" s="28">
        <f t="array" ref="AE325">XLOOKUP(V325,products_master_corrected!$A$2:$A$151,products_master_corrected!$F$2:$F$151)</f>
        <v>42.65</v>
      </c>
      <c r="AF325" s="29">
        <f t="shared" si="38"/>
        <v>42.65</v>
      </c>
      <c r="AG325" s="30" t="s">
        <v>65</v>
      </c>
      <c r="AH325" s="2" t="s">
        <v>66</v>
      </c>
      <c r="AI325" s="10" t="s">
        <v>66</v>
      </c>
      <c r="AJ325" s="2" t="s">
        <v>306</v>
      </c>
      <c r="AK325" s="10" t="s">
        <v>192</v>
      </c>
    </row>
    <row r="326" ht="15.75" customHeight="1">
      <c r="A326" s="2" t="s">
        <v>4332</v>
      </c>
      <c r="B326" s="12">
        <v>45748.99444444444</v>
      </c>
      <c r="C326" s="2" t="str">
        <f>IFERROR(__xludf.DUMMYFUNCTION("IF(ISNUMBER(B326),TEXT(B326,""yyyy-MM-dd""),REGEXREPLACE(REGEXREPLACE(TO_TEXT(B326),""[^0-9a-zA-Z]+"",""-""),""[^0-9]*$"",""""))"),"2025-04-01")</f>
        <v>2025-04-01</v>
      </c>
      <c r="D326" s="2" t="s">
        <v>7874</v>
      </c>
      <c r="H326" s="10" t="s">
        <v>7874</v>
      </c>
      <c r="I326" s="2" t="s">
        <v>840</v>
      </c>
      <c r="J326" s="26" t="str">
        <f t="array" ref="J326">IF(ISNA(XLOOKUP(I326,customers_clean!$A$2:$A$701,customers_clean!$A$2:$A$701, NA()) ),
   "❌ MISSING CUSTOMER", "✅")</f>
        <v>✅</v>
      </c>
      <c r="K326" s="2" t="str">
        <f t="array" ref="K326">XLOOKUP(I326,customers_clean!$A$2:$A$701,customers_clean!$C$2:$C$701)</f>
        <v>Igor Muller</v>
      </c>
      <c r="L326" s="10" t="str">
        <f t="array" ref="L326">XLOOKUP(I326,customers_clean!$A$2:$A$701,customers_clean!$D$2:$D$701)</f>
        <v>Igor Muller</v>
      </c>
      <c r="M326" s="2" t="str">
        <f t="array" ref="M326">XLOOKUP(I326,customers_clean!$A$2:$A$701,customers_clean!$I$2:$I$701)</f>
        <v>igor.muller@outlook.com</v>
      </c>
      <c r="N326" s="10" t="str">
        <f t="array" ref="N326">XLOOKUP(I326,customers_clean!$A$2:$A$701,customers_clean!$H$2:$H$701)</f>
        <v>igor.muller@outlook.com</v>
      </c>
      <c r="O326" s="9" t="str">
        <f>IFERROR(__xludf.DUMMYFUNCTION("IF(REGEXMATCH(TRIM(N326),""^[A-Za-z0-9._%+-]+@[A-Za-z0-9.-]+\.[A-Za-z]{2,}$""),""✅ Valid"",""❌ Invalid"")"),"✅ Valid")</f>
        <v>✅ Valid</v>
      </c>
      <c r="P326" s="2" t="str">
        <f t="array" ref="P326">XLOOKUP(I326,customers_clean!$A$2:$A$701,customers_clean!$K$2:$K$701)</f>
        <v>+492348974305 ext 212</v>
      </c>
      <c r="Q326" s="10" t="str">
        <f t="array" ref="Q326">XLOOKUP(I326,customers_clean!$A$2:$A$701,customers_clean!$N$2:$N$701)</f>
        <v>2348974305</v>
      </c>
      <c r="R326" s="9" t="str">
        <f t="array" ref="R326">XLOOKUP(I326,customers_clean!$A$2:$A$701,customers_clean!$Q$2:$Q$701)</f>
        <v>❌ INVALID</v>
      </c>
      <c r="S326" s="10" t="s">
        <v>25</v>
      </c>
      <c r="T326" s="2" t="s">
        <v>26</v>
      </c>
      <c r="U326" s="2" t="s">
        <v>870</v>
      </c>
      <c r="V326" s="2" t="s">
        <v>4068</v>
      </c>
      <c r="W326" s="9" t="str">
        <f t="array" ref="W326">IF(ISNA(XLOOKUP(V326,products_master_corrected!$A$2:$A$151,products_master_corrected!$A$2:$A$151, NA())),
    "❌ MISSING SKU", "✅")</f>
        <v>✅</v>
      </c>
      <c r="X326" s="2" t="s">
        <v>403</v>
      </c>
      <c r="Y326" s="2" t="s">
        <v>1016</v>
      </c>
      <c r="Z326" s="10" t="s">
        <v>355</v>
      </c>
      <c r="AA326" s="27">
        <v>1.0</v>
      </c>
      <c r="AB326" s="9" t="s">
        <v>8649</v>
      </c>
      <c r="AC326" s="28">
        <f t="array" ref="AC326">XLOOKUP(V326,products_master_corrected!$A$2:$A$151,products_master_corrected!$E$2:$E$151)</f>
        <v>49.62</v>
      </c>
      <c r="AD326" s="28">
        <f t="shared" si="37"/>
        <v>49.62</v>
      </c>
      <c r="AE326" s="28">
        <f t="array" ref="AE326">XLOOKUP(V326,products_master_corrected!$A$2:$A$151,products_master_corrected!$K$2:$K$151)</f>
        <v>255.29</v>
      </c>
      <c r="AF326" s="29">
        <f t="shared" si="38"/>
        <v>255.29</v>
      </c>
      <c r="AG326" s="30" t="s">
        <v>95</v>
      </c>
      <c r="AH326" s="2" t="s">
        <v>96</v>
      </c>
      <c r="AI326" s="10" t="s">
        <v>143</v>
      </c>
      <c r="AJ326" s="2" t="s">
        <v>1171</v>
      </c>
      <c r="AK326" s="10" t="s">
        <v>80</v>
      </c>
    </row>
    <row r="327" ht="15.75" customHeight="1">
      <c r="A327" s="2" t="s">
        <v>838</v>
      </c>
      <c r="B327" s="12">
        <v>45094.0</v>
      </c>
      <c r="C327" s="2" t="str">
        <f>IFERROR(__xludf.DUMMYFUNCTION("IF(ISNUMBER(B327),TEXT(B327,""yyyy-MM-dd""),REGEXREPLACE(REGEXREPLACE(TO_TEXT(B327),""[^0-9a-zA-Z]+"",""-""),""[^0-9]*$"",""""))"),"2023-06-17")</f>
        <v>2023-06-17</v>
      </c>
      <c r="D327" s="2" t="s">
        <v>8806</v>
      </c>
      <c r="H327" s="10" t="s">
        <v>8806</v>
      </c>
      <c r="I327" s="2" t="s">
        <v>840</v>
      </c>
      <c r="J327" s="26" t="str">
        <f t="array" ref="J327">IF(ISNA(XLOOKUP(I327,customers_clean!$A$2:$A$701,customers_clean!$A$2:$A$701, NA()) ),
   "❌ MISSING CUSTOMER", "✅")</f>
        <v>✅</v>
      </c>
      <c r="K327" s="2" t="str">
        <f t="array" ref="K327">XLOOKUP(I327,customers_clean!$A$2:$A$701,customers_clean!$C$2:$C$701)</f>
        <v>Igor Muller</v>
      </c>
      <c r="L327" s="10" t="str">
        <f t="array" ref="L327">XLOOKUP(I327,customers_clean!$A$2:$A$701,customers_clean!$D$2:$D$701)</f>
        <v>Igor Muller</v>
      </c>
      <c r="M327" s="2" t="str">
        <f t="array" ref="M327">XLOOKUP(I327,customers_clean!$A$2:$A$701,customers_clean!$I$2:$I$701)</f>
        <v>igor.muller@outlook.com</v>
      </c>
      <c r="N327" s="10" t="str">
        <f t="array" ref="N327">XLOOKUP(I327,customers_clean!$A$2:$A$701,customers_clean!$H$2:$H$701)</f>
        <v>igor.muller@outlook.com</v>
      </c>
      <c r="O327" s="9" t="str">
        <f>IFERROR(__xludf.DUMMYFUNCTION("IF(REGEXMATCH(TRIM(N327),""^[A-Za-z0-9._%+-]+@[A-Za-z0-9.-]+\.[A-Za-z]{2,}$""),""✅ Valid"",""❌ Invalid"")"),"✅ Valid")</f>
        <v>✅ Valid</v>
      </c>
      <c r="P327" s="2" t="str">
        <f t="array" ref="P327">XLOOKUP(I327,customers_clean!$A$2:$A$701,customers_clean!$K$2:$K$701)</f>
        <v>+492348974305 ext 212</v>
      </c>
      <c r="Q327" s="10" t="str">
        <f t="array" ref="Q327">XLOOKUP(I327,customers_clean!$A$2:$A$701,customers_clean!$N$2:$N$701)</f>
        <v>2348974305</v>
      </c>
      <c r="R327" s="9" t="str">
        <f t="array" ref="R327">XLOOKUP(I327,customers_clean!$A$2:$A$701,customers_clean!$Q$2:$Q$701)</f>
        <v>❌ INVALID</v>
      </c>
      <c r="S327" s="10" t="s">
        <v>25</v>
      </c>
      <c r="T327" s="2" t="s">
        <v>59</v>
      </c>
      <c r="U327" s="2" t="s">
        <v>116</v>
      </c>
      <c r="V327" s="2" t="s">
        <v>258</v>
      </c>
      <c r="W327" s="9" t="str">
        <f t="array" ref="W327">IF(ISNA(XLOOKUP(V327,products_master_corrected!$A$2:$A$151,products_master_corrected!$A$2:$A$151, NA())),
    "❌ MISSING SKU", "✅")</f>
        <v>✅</v>
      </c>
      <c r="X327" s="2" t="s">
        <v>259</v>
      </c>
      <c r="Y327" s="2" t="s">
        <v>214</v>
      </c>
      <c r="Z327" s="10" t="s">
        <v>368</v>
      </c>
      <c r="AA327" s="27">
        <v>2.0</v>
      </c>
      <c r="AB327" s="9" t="s">
        <v>8649</v>
      </c>
      <c r="AC327" s="28">
        <f t="array" ref="AC327">XLOOKUP(V327,products_master_corrected!$A$2:$A$151,products_master_corrected!$E$2:$E$151)</f>
        <v>15.73</v>
      </c>
      <c r="AD327" s="28">
        <f t="shared" si="37"/>
        <v>31.46</v>
      </c>
      <c r="AE327" s="28">
        <f t="array" ref="AE327">XLOOKUP(V327,products_master_corrected!$A$2:$A$151,products_master_corrected!$K$2:$K$151)</f>
        <v>80.93</v>
      </c>
      <c r="AF327" s="29">
        <f t="shared" si="38"/>
        <v>161.86</v>
      </c>
      <c r="AG327" s="30" t="s">
        <v>95</v>
      </c>
      <c r="AH327" s="2" t="s">
        <v>181</v>
      </c>
      <c r="AI327" s="10" t="s">
        <v>181</v>
      </c>
      <c r="AJ327" s="2" t="s">
        <v>34</v>
      </c>
      <c r="AK327" s="10" t="s">
        <v>80</v>
      </c>
    </row>
    <row r="328" ht="15.75" customHeight="1">
      <c r="A328" s="2" t="s">
        <v>2526</v>
      </c>
      <c r="B328" s="12">
        <v>45572.0</v>
      </c>
      <c r="C328" s="2" t="str">
        <f>IFERROR(__xludf.DUMMYFUNCTION("IF(ISNUMBER(B328),TEXT(B328,""yyyy-MM-dd""),REGEXREPLACE(REGEXREPLACE(TO_TEXT(B328),""[^0-9a-zA-Z]+"",""-""),""[^0-9]*$"",""""))"),"2024-10-07")</f>
        <v>2024-10-07</v>
      </c>
      <c r="D328" s="2" t="s">
        <v>8781</v>
      </c>
      <c r="H328" s="10" t="s">
        <v>8781</v>
      </c>
      <c r="I328" s="2" t="s">
        <v>2528</v>
      </c>
      <c r="J328" s="26" t="str">
        <f t="array" ref="J328">IF(ISNA(XLOOKUP(I328,customers_clean!$A$2:$A$701,customers_clean!$A$2:$A$701, NA()) ),
   "❌ MISSING CUSTOMER", "✅")</f>
        <v>✅</v>
      </c>
      <c r="K328" s="2" t="str">
        <f t="array" ref="K328">XLOOKUP(I328,customers_clean!$A$2:$A$701,customers_clean!$C$2:$C$701)</f>
        <v>Ethan Kowalski</v>
      </c>
      <c r="L328" s="10" t="str">
        <f t="array" ref="L328">XLOOKUP(I328,customers_clean!$A$2:$A$701,customers_clean!$D$2:$D$701)</f>
        <v>Ethan Kowalski</v>
      </c>
      <c r="M328" s="2" t="str">
        <f t="array" ref="M328">XLOOKUP(I328,customers_clean!$A$2:$A$701,customers_clean!$I$2:$I$701)</f>
        <v>Ethan.Kowalski@Example.Com</v>
      </c>
      <c r="N328" s="10" t="str">
        <f t="array" ref="N328">XLOOKUP(I328,customers_clean!$A$2:$A$701,customers_clean!$H$2:$H$701)</f>
        <v>ethan.kowalski@example.com</v>
      </c>
      <c r="O328" s="9" t="str">
        <f>IFERROR(__xludf.DUMMYFUNCTION("IF(REGEXMATCH(TRIM(N328),""^[A-Za-z0-9._%+-]+@[A-Za-z0-9.-]+\.[A-Za-z]{2,}$""),""✅ Valid"",""❌ Invalid"")"),"✅ Valid")</f>
        <v>✅ Valid</v>
      </c>
      <c r="P328" s="33" t="str">
        <f t="array" ref="P328">XLOOKUP(I328,customers_clean!$A$2:$A$701,customers_clean!$K$2:$K$701)</f>
        <v>+48439024605</v>
      </c>
      <c r="Q328" s="10" t="str">
        <f t="array" ref="Q328">XLOOKUP(I328,customers_clean!$A$2:$A$701,customers_clean!$N$2:$N$701)</f>
        <v>439024605</v>
      </c>
      <c r="R328" s="9" t="str">
        <f t="array" ref="R328">XLOOKUP(I328,customers_clean!$A$2:$A$701,customers_clean!$Q$2:$Q$701)</f>
        <v>❌ INVALID</v>
      </c>
      <c r="S328" s="31" t="s">
        <v>671</v>
      </c>
      <c r="T328" s="2" t="s">
        <v>223</v>
      </c>
      <c r="U328" s="2" t="s">
        <v>176</v>
      </c>
      <c r="V328" s="2" t="s">
        <v>1476</v>
      </c>
      <c r="W328" s="9" t="str">
        <f t="array" ref="W328">IF(ISNA(XLOOKUP(V328,products_master_corrected!$A$2:$A$151,products_master_corrected!$A$2:$A$151, NA())),
    "❌ MISSING SKU", "✅")</f>
        <v>✅</v>
      </c>
      <c r="X328" s="2" t="s">
        <v>1147</v>
      </c>
      <c r="Y328" s="2" t="s">
        <v>1477</v>
      </c>
      <c r="Z328" s="10" t="s">
        <v>248</v>
      </c>
      <c r="AA328" s="27">
        <v>3.0</v>
      </c>
      <c r="AB328" s="9" t="s">
        <v>8649</v>
      </c>
      <c r="AC328" s="28">
        <f t="array" ref="AC328">XLOOKUP(V328,products_master_corrected!$A$2:$A$151,products_master_corrected!$E$2:$E$151)</f>
        <v>147.92</v>
      </c>
      <c r="AD328" s="28">
        <f t="shared" si="37"/>
        <v>443.76</v>
      </c>
      <c r="AE328" s="28">
        <f t="array" ref="AE328">XLOOKUP(V328,products_master_corrected!$A$2:$A$151,products_master_corrected!$J$2:$J$151)</f>
        <v>172.52</v>
      </c>
      <c r="AF328" s="29">
        <f t="shared" si="38"/>
        <v>517.56</v>
      </c>
      <c r="AG328" s="32" t="s">
        <v>8656</v>
      </c>
      <c r="AH328" s="2" t="s">
        <v>49</v>
      </c>
      <c r="AI328" s="10" t="s">
        <v>49</v>
      </c>
      <c r="AJ328" s="2" t="s">
        <v>80</v>
      </c>
      <c r="AK328" s="10" t="s">
        <v>80</v>
      </c>
      <c r="AL328" s="2" t="s">
        <v>81</v>
      </c>
    </row>
    <row r="329" ht="15.75" customHeight="1">
      <c r="A329" s="2" t="s">
        <v>2393</v>
      </c>
      <c r="B329" s="12">
        <v>45559.0</v>
      </c>
      <c r="C329" s="2" t="str">
        <f>IFERROR(__xludf.DUMMYFUNCTION("IF(ISNUMBER(B329),TEXT(B329,""yyyy-MM-dd""),REGEXREPLACE(REGEXREPLACE(TO_TEXT(B329),""[^0-9a-zA-Z]+"",""-""),""[^0-9]*$"",""""))"),"2024-09-24")</f>
        <v>2024-09-24</v>
      </c>
      <c r="D329" s="2" t="s">
        <v>7845</v>
      </c>
      <c r="H329" s="10" t="s">
        <v>7845</v>
      </c>
      <c r="I329" s="2" t="s">
        <v>2395</v>
      </c>
      <c r="J329" s="26" t="str">
        <f t="array" ref="J329">IF(ISNA(XLOOKUP(I329,customers_clean!$A$2:$A$701,customers_clean!$A$2:$A$701, NA()) ),
   "❌ MISSING CUSTOMER", "✅")</f>
        <v>✅</v>
      </c>
      <c r="K329" s="2" t="str">
        <f t="array" ref="K329">XLOOKUP(I329,customers_clean!$A$2:$A$701,customers_clean!$C$2:$C$701)</f>
        <v>Xenia Kowalczyk</v>
      </c>
      <c r="L329" s="10" t="str">
        <f t="array" ref="L329">XLOOKUP(I329,customers_clean!$A$2:$A$701,customers_clean!$D$2:$D$701)</f>
        <v>Xenia Kowalczyk</v>
      </c>
      <c r="M329" s="2" t="str">
        <f t="array" ref="M329">XLOOKUP(I329,customers_clean!$A$2:$A$701,customers_clean!$I$2:$I$701)</f>
        <v>xenia.kowalczyk@gmail.com </v>
      </c>
      <c r="N329" s="10" t="str">
        <f t="array" ref="N329">XLOOKUP(I329,customers_clean!$A$2:$A$701,customers_clean!$H$2:$H$701)</f>
        <v>xenia.kowalczyk@gmail.com</v>
      </c>
      <c r="O329" s="9" t="str">
        <f>IFERROR(__xludf.DUMMYFUNCTION("IF(REGEXMATCH(TRIM(N329),""^[A-Za-z0-9._%+-]+@[A-Za-z0-9.-]+\.[A-Za-z]{2,}$""),""✅ Valid"",""❌ Invalid"")"),"✅ Valid")</f>
        <v>✅ Valid</v>
      </c>
      <c r="P329" s="2">
        <f t="array" ref="P329">XLOOKUP(I329,customers_clean!$A$2:$A$701,customers_clean!$K$2:$K$701)</f>
        <v>33302002669</v>
      </c>
      <c r="Q329" s="10" t="str">
        <f t="array" ref="Q329">XLOOKUP(I329,customers_clean!$A$2:$A$701,customers_clean!$N$2:$N$701)</f>
        <v>302002669</v>
      </c>
      <c r="R329" s="9" t="str">
        <f t="array" ref="R329">XLOOKUP(I329,customers_clean!$A$2:$A$701,customers_clean!$Q$2:$Q$701)</f>
        <v>❌ INVALID</v>
      </c>
      <c r="S329" s="10" t="s">
        <v>139</v>
      </c>
      <c r="T329" s="2" t="s">
        <v>26</v>
      </c>
      <c r="U329" s="2" t="s">
        <v>1046</v>
      </c>
      <c r="V329" s="2" t="s">
        <v>2398</v>
      </c>
      <c r="W329" s="9" t="str">
        <f t="array" ref="W329">IF(ISNA(XLOOKUP(V329,products_master_corrected!$A$2:$A$151,products_master_corrected!$A$2:$A$151, NA())),
    "❌ MISSING SKU", "✅")</f>
        <v>✅</v>
      </c>
      <c r="X329" s="2" t="s">
        <v>225</v>
      </c>
      <c r="Y329" s="2" t="s">
        <v>179</v>
      </c>
      <c r="Z329" s="10" t="s">
        <v>179</v>
      </c>
      <c r="AA329" s="27">
        <v>5.0</v>
      </c>
      <c r="AB329" s="9" t="s">
        <v>8649</v>
      </c>
      <c r="AC329" s="28">
        <f t="array" ref="AC329">XLOOKUP(V329,products_master_corrected!$A$2:$A$151,products_master_corrected!$E$2:$E$151)</f>
        <v>40.55</v>
      </c>
      <c r="AD329" s="28">
        <f t="shared" si="37"/>
        <v>202.75</v>
      </c>
      <c r="AE329" s="28">
        <f t="array" ref="AE329">XLOOKUP(V329,products_master_corrected!$A$2:$A$151,products_master_corrected!$L$2:$L$151)</f>
        <v>43.85</v>
      </c>
      <c r="AF329" s="29">
        <f t="shared" si="38"/>
        <v>219.25</v>
      </c>
      <c r="AG329" s="32" t="s">
        <v>8665</v>
      </c>
      <c r="AH329" s="2" t="s">
        <v>181</v>
      </c>
      <c r="AI329" s="10" t="s">
        <v>181</v>
      </c>
      <c r="AJ329" s="2" t="s">
        <v>2400</v>
      </c>
      <c r="AK329" s="10" t="s">
        <v>818</v>
      </c>
    </row>
    <row r="330" ht="15.75" customHeight="1">
      <c r="A330" s="2" t="s">
        <v>5552</v>
      </c>
      <c r="B330" s="12">
        <v>45872.0</v>
      </c>
      <c r="C330" s="2" t="str">
        <f>IFERROR(__xludf.DUMMYFUNCTION("IF(ISNUMBER(B330),TEXT(B330,""yyyy-MM-dd""),REGEXREPLACE(REGEXREPLACE(TO_TEXT(B330),""[^0-9a-zA-Z]+"",""-""),""[^0-9]*$"",""""))"),"2025-08-03")</f>
        <v>2025-08-03</v>
      </c>
      <c r="D330" s="2" t="s">
        <v>8807</v>
      </c>
      <c r="H330" s="10" t="s">
        <v>8807</v>
      </c>
      <c r="I330" s="2" t="s">
        <v>2395</v>
      </c>
      <c r="J330" s="26" t="str">
        <f t="array" ref="J330">IF(ISNA(XLOOKUP(I330,customers_clean!$A$2:$A$701,customers_clean!$A$2:$A$701, NA()) ),
   "❌ MISSING CUSTOMER", "✅")</f>
        <v>✅</v>
      </c>
      <c r="K330" s="2" t="str">
        <f t="array" ref="K330">XLOOKUP(I330,customers_clean!$A$2:$A$701,customers_clean!$C$2:$C$701)</f>
        <v>Xenia Kowalczyk</v>
      </c>
      <c r="L330" s="10" t="str">
        <f t="array" ref="L330">XLOOKUP(I330,customers_clean!$A$2:$A$701,customers_clean!$D$2:$D$701)</f>
        <v>Xenia Kowalczyk</v>
      </c>
      <c r="M330" s="2" t="str">
        <f t="array" ref="M330">XLOOKUP(I330,customers_clean!$A$2:$A$701,customers_clean!$I$2:$I$701)</f>
        <v>xenia.kowalczyk@gmail.com </v>
      </c>
      <c r="N330" s="10" t="str">
        <f t="array" ref="N330">XLOOKUP(I330,customers_clean!$A$2:$A$701,customers_clean!$H$2:$H$701)</f>
        <v>xenia.kowalczyk@gmail.com</v>
      </c>
      <c r="O330" s="9" t="str">
        <f>IFERROR(__xludf.DUMMYFUNCTION("IF(REGEXMATCH(TRIM(N330),""^[A-Za-z0-9._%+-]+@[A-Za-z0-9.-]+\.[A-Za-z]{2,}$""),""✅ Valid"",""❌ Invalid"")"),"✅ Valid")</f>
        <v>✅ Valid</v>
      </c>
      <c r="P330" s="2">
        <f t="array" ref="P330">XLOOKUP(I330,customers_clean!$A$2:$A$701,customers_clean!$K$2:$K$701)</f>
        <v>33302002669</v>
      </c>
      <c r="Q330" s="10" t="str">
        <f t="array" ref="Q330">XLOOKUP(I330,customers_clean!$A$2:$A$701,customers_clean!$N$2:$N$701)</f>
        <v>302002669</v>
      </c>
      <c r="R330" s="9" t="str">
        <f t="array" ref="R330">XLOOKUP(I330,customers_clean!$A$2:$A$701,customers_clean!$Q$2:$Q$701)</f>
        <v>❌ INVALID</v>
      </c>
      <c r="S330" s="10" t="s">
        <v>139</v>
      </c>
      <c r="T330" s="2" t="s">
        <v>400</v>
      </c>
      <c r="U330" s="2" t="s">
        <v>401</v>
      </c>
      <c r="V330" s="2" t="s">
        <v>3810</v>
      </c>
      <c r="W330" s="9" t="str">
        <f t="array" ref="W330">IF(ISNA(XLOOKUP(V330,products_master_corrected!$A$2:$A$151,products_master_corrected!$A$2:$A$151, NA())),
    "❌ MISSING SKU", "✅")</f>
        <v>✅</v>
      </c>
      <c r="X330" s="2" t="s">
        <v>994</v>
      </c>
      <c r="Y330" s="2" t="s">
        <v>995</v>
      </c>
      <c r="Z330" s="10" t="s">
        <v>355</v>
      </c>
      <c r="AA330" s="27">
        <v>1.0</v>
      </c>
      <c r="AB330" s="9" t="s">
        <v>8649</v>
      </c>
      <c r="AC330" s="28">
        <f t="array" ref="AC330">XLOOKUP(V330,products_master_corrected!$A$2:$A$151,products_master_corrected!$E$2:$E$151)</f>
        <v>476.64</v>
      </c>
      <c r="AD330" s="28">
        <f t="shared" si="37"/>
        <v>476.64</v>
      </c>
      <c r="AE330" s="28">
        <f t="array" ref="AE330">XLOOKUP(V330,products_master_corrected!$A$2:$A$151,products_master_corrected!$L$2:$L$151)</f>
        <v>515.49</v>
      </c>
      <c r="AF330" s="29">
        <f t="shared" si="38"/>
        <v>515.49</v>
      </c>
      <c r="AG330" s="32" t="s">
        <v>8665</v>
      </c>
      <c r="AH330" s="2" t="s">
        <v>414</v>
      </c>
      <c r="AI330" s="10" t="s">
        <v>49</v>
      </c>
      <c r="AJ330" s="2" t="s">
        <v>80</v>
      </c>
      <c r="AK330" s="10" t="s">
        <v>80</v>
      </c>
      <c r="AL330" s="2" t="s">
        <v>133</v>
      </c>
    </row>
    <row r="331" ht="15.75" customHeight="1">
      <c r="A331" s="2" t="s">
        <v>5549</v>
      </c>
      <c r="B331" s="12">
        <v>45558.433333333334</v>
      </c>
      <c r="C331" s="2" t="str">
        <f>IFERROR(__xludf.DUMMYFUNCTION("IF(ISNUMBER(B331),TEXT(B331,""yyyy-MM-dd""),REGEXREPLACE(REGEXREPLACE(TO_TEXT(B331),""[^0-9a-zA-Z]+"",""-""),""[^0-9]*$"",""""))"),"2024-09-23")</f>
        <v>2024-09-23</v>
      </c>
      <c r="D331" s="2" t="s">
        <v>3014</v>
      </c>
      <c r="H331" s="10" t="s">
        <v>3014</v>
      </c>
      <c r="I331" s="2" t="s">
        <v>2395</v>
      </c>
      <c r="J331" s="26" t="str">
        <f t="array" ref="J331">IF(ISNA(XLOOKUP(I331,customers_clean!$A$2:$A$701,customers_clean!$A$2:$A$701, NA()) ),
   "❌ MISSING CUSTOMER", "✅")</f>
        <v>✅</v>
      </c>
      <c r="K331" s="2" t="str">
        <f t="array" ref="K331">XLOOKUP(I331,customers_clean!$A$2:$A$701,customers_clean!$C$2:$C$701)</f>
        <v>Xenia Kowalczyk</v>
      </c>
      <c r="L331" s="10" t="str">
        <f t="array" ref="L331">XLOOKUP(I331,customers_clean!$A$2:$A$701,customers_clean!$D$2:$D$701)</f>
        <v>Xenia Kowalczyk</v>
      </c>
      <c r="M331" s="2" t="str">
        <f t="array" ref="M331">XLOOKUP(I331,customers_clean!$A$2:$A$701,customers_clean!$I$2:$I$701)</f>
        <v>xenia.kowalczyk@gmail.com </v>
      </c>
      <c r="N331" s="10" t="str">
        <f t="array" ref="N331">XLOOKUP(I331,customers_clean!$A$2:$A$701,customers_clean!$H$2:$H$701)</f>
        <v>xenia.kowalczyk@gmail.com</v>
      </c>
      <c r="O331" s="9" t="str">
        <f>IFERROR(__xludf.DUMMYFUNCTION("IF(REGEXMATCH(TRIM(N331),""^[A-Za-z0-9._%+-]+@[A-Za-z0-9.-]+\.[A-Za-z]{2,}$""),""✅ Valid"",""❌ Invalid"")"),"✅ Valid")</f>
        <v>✅ Valid</v>
      </c>
      <c r="P331" s="2">
        <f t="array" ref="P331">XLOOKUP(I331,customers_clean!$A$2:$A$701,customers_clean!$K$2:$K$701)</f>
        <v>33302002669</v>
      </c>
      <c r="Q331" s="10" t="str">
        <f t="array" ref="Q331">XLOOKUP(I331,customers_clean!$A$2:$A$701,customers_clean!$N$2:$N$701)</f>
        <v>302002669</v>
      </c>
      <c r="R331" s="9" t="str">
        <f t="array" ref="R331">XLOOKUP(I331,customers_clean!$A$2:$A$701,customers_clean!$Q$2:$Q$701)</f>
        <v>❌ INVALID</v>
      </c>
      <c r="S331" s="10" t="s">
        <v>139</v>
      </c>
      <c r="T331" s="2" t="s">
        <v>301</v>
      </c>
      <c r="U331" s="2" t="s">
        <v>60</v>
      </c>
      <c r="V331" s="2" t="s">
        <v>1733</v>
      </c>
      <c r="W331" s="9" t="str">
        <f t="array" ref="W331">IF(ISNA(XLOOKUP(V331,products_master_corrected!$A$2:$A$151,products_master_corrected!$A$2:$A$151, NA())),
    "❌ MISSING SKU", "✅")</f>
        <v>✅</v>
      </c>
      <c r="X331" s="2" t="s">
        <v>440</v>
      </c>
      <c r="Y331" s="2" t="s">
        <v>315</v>
      </c>
      <c r="Z331" s="10" t="s">
        <v>179</v>
      </c>
      <c r="AA331" s="27">
        <v>3.0</v>
      </c>
      <c r="AB331" s="9" t="s">
        <v>8649</v>
      </c>
      <c r="AC331" s="28">
        <f t="array" ref="AC331">XLOOKUP(V331,products_master_corrected!$A$2:$A$151,products_master_corrected!$E$2:$E$151)</f>
        <v>35.69</v>
      </c>
      <c r="AD331" s="28">
        <f t="shared" si="37"/>
        <v>107.07</v>
      </c>
      <c r="AE331" s="28">
        <f t="array" ref="AE331">XLOOKUP(V331,products_master_corrected!$A$2:$A$151,products_master_corrected!$L$2:$L$151)</f>
        <v>38.6</v>
      </c>
      <c r="AF331" s="29">
        <f t="shared" si="38"/>
        <v>115.8</v>
      </c>
      <c r="AG331" s="32" t="s">
        <v>8665</v>
      </c>
      <c r="AH331" s="2" t="s">
        <v>414</v>
      </c>
      <c r="AI331" s="10" t="s">
        <v>49</v>
      </c>
      <c r="AJ331" s="2" t="s">
        <v>306</v>
      </c>
      <c r="AK331" s="10" t="s">
        <v>192</v>
      </c>
      <c r="AL331" s="2" t="s">
        <v>67</v>
      </c>
    </row>
    <row r="332" ht="15.75" customHeight="1">
      <c r="A332" s="2" t="s">
        <v>5298</v>
      </c>
      <c r="B332" s="12" t="s">
        <v>5299</v>
      </c>
      <c r="C332" s="2" t="str">
        <f>IFERROR(__xludf.DUMMYFUNCTION("IF(ISNUMBER(B332),TEXT(B332,""yyyy-MM-dd""),REGEXREPLACE(REGEXREPLACE(TO_TEXT(B332),""[^0-9a-zA-Z]+"",""-""),""[^0-9]*$"",""""))"),"06-16-2023")</f>
        <v>06-16-2023</v>
      </c>
      <c r="D332" s="2" t="str">
        <f>TEXT(C332,"yyyy-MM-dd")</f>
        <v>06-16-2023</v>
      </c>
      <c r="E332" s="2" t="s">
        <v>8808</v>
      </c>
      <c r="H332" s="10" t="s">
        <v>8808</v>
      </c>
      <c r="I332" s="2" t="s">
        <v>2808</v>
      </c>
      <c r="J332" s="26" t="str">
        <f t="array" ref="J332">IF(ISNA(XLOOKUP(I332,customers_clean!$A$2:$A$701,customers_clean!$A$2:$A$701, NA()) ),
   "❌ MISSING CUSTOMER", "✅")</f>
        <v>✅</v>
      </c>
      <c r="K332" s="2" t="str">
        <f t="array" ref="K332">XLOOKUP(I332,customers_clean!$A$2:$A$701,customers_clean!$C$2:$C$701)</f>
        <v>Carlos Kowalski</v>
      </c>
      <c r="L332" s="10" t="str">
        <f t="array" ref="L332">XLOOKUP(I332,customers_clean!$A$2:$A$701,customers_clean!$D$2:$D$701)</f>
        <v>Carlos Kowalski</v>
      </c>
      <c r="M332" s="2" t="str">
        <f t="array" ref="M332">XLOOKUP(I332,customers_clean!$A$2:$A$701,customers_clean!$I$2:$I$701)</f>
        <v>carlos.kowalski@company.co.uk</v>
      </c>
      <c r="N332" s="10" t="str">
        <f t="array" ref="N332">XLOOKUP(I332,customers_clean!$A$2:$A$701,customers_clean!$H$2:$H$701)</f>
        <v>carlos.kowalski@company.co.uk</v>
      </c>
      <c r="O332" s="9" t="str">
        <f>IFERROR(__xludf.DUMMYFUNCTION("IF(REGEXMATCH(TRIM(N332),""^[A-Za-z0-9._%+-]+@[A-Za-z0-9.-]+\.[A-Za-z]{2,}$""),""✅ Valid"",""❌ Invalid"")"),"✅ Valid")</f>
        <v>✅ Valid</v>
      </c>
      <c r="P332" s="33" t="str">
        <f t="array" ref="P332">XLOOKUP(I332,customers_clean!$A$2:$A$701,customers_clean!$K$2:$K$701)</f>
        <v>202507270</v>
      </c>
      <c r="Q332" s="10" t="str">
        <f t="array" ref="Q332">XLOOKUP(I332,customers_clean!$A$2:$A$701,customers_clean!$N$2:$N$701)</f>
        <v>202507270</v>
      </c>
      <c r="R332" s="9" t="str">
        <f t="array" ref="R332">XLOOKUP(I332,customers_clean!$A$2:$A$701,customers_clean!$Q$2:$Q$701)</f>
        <v>❌ INVALID</v>
      </c>
      <c r="S332" s="10" t="s">
        <v>25</v>
      </c>
      <c r="T332" s="2" t="s">
        <v>26</v>
      </c>
      <c r="U332" s="2" t="s">
        <v>103</v>
      </c>
      <c r="V332" s="2" t="s">
        <v>269</v>
      </c>
      <c r="W332" s="9" t="str">
        <f t="array" ref="W332">IF(ISNA(XLOOKUP(V332,products_master_corrected!$A$2:$A$151,products_master_corrected!$A$2:$A$151, NA())),
    "❌ MISSING SKU", "✅")</f>
        <v>✅</v>
      </c>
      <c r="X332" s="2" t="s">
        <v>524</v>
      </c>
      <c r="Y332" s="2" t="s">
        <v>271</v>
      </c>
      <c r="Z332" s="10" t="s">
        <v>368</v>
      </c>
      <c r="AA332" s="27">
        <v>2.0</v>
      </c>
      <c r="AB332" s="9" t="s">
        <v>8649</v>
      </c>
      <c r="AC332" s="28">
        <f t="array" ref="AC332">XLOOKUP(V332,products_master_corrected!$A$2:$A$151,products_master_corrected!$E$2:$E$151)</f>
        <v>219.29</v>
      </c>
      <c r="AD332" s="28">
        <f t="shared" si="37"/>
        <v>438.58</v>
      </c>
      <c r="AE332" s="28">
        <f t="array" ref="AE332">XLOOKUP(V332,products_master_corrected!$A$2:$A$151,products_master_corrected!$K$2:$K$151)</f>
        <v>1128.25</v>
      </c>
      <c r="AF332" s="29">
        <f t="shared" si="38"/>
        <v>2256.5</v>
      </c>
      <c r="AG332" s="30" t="s">
        <v>95</v>
      </c>
      <c r="AH332" s="2" t="s">
        <v>66</v>
      </c>
      <c r="AI332" s="10" t="s">
        <v>66</v>
      </c>
      <c r="AJ332" s="2" t="s">
        <v>380</v>
      </c>
      <c r="AK332" s="10" t="s">
        <v>80</v>
      </c>
      <c r="AL332" s="2" t="s">
        <v>133</v>
      </c>
    </row>
    <row r="333" ht="15.75" customHeight="1">
      <c r="A333" s="2" t="s">
        <v>2806</v>
      </c>
      <c r="B333" s="12">
        <v>45019.0</v>
      </c>
      <c r="C333" s="2" t="str">
        <f>IFERROR(__xludf.DUMMYFUNCTION("IF(ISNUMBER(B333),TEXT(B333,""yyyy-MM-dd""),REGEXREPLACE(REGEXREPLACE(TO_TEXT(B333),""[^0-9a-zA-Z]+"",""-""),""[^0-9]*$"",""""))"),"2023-04-03")</f>
        <v>2023-04-03</v>
      </c>
      <c r="D333" s="2" t="s">
        <v>7982</v>
      </c>
      <c r="H333" s="10" t="s">
        <v>7982</v>
      </c>
      <c r="I333" s="2" t="s">
        <v>2808</v>
      </c>
      <c r="J333" s="26" t="str">
        <f t="array" ref="J333">IF(ISNA(XLOOKUP(I333,customers_clean!$A$2:$A$701,customers_clean!$A$2:$A$701, NA()) ),
   "❌ MISSING CUSTOMER", "✅")</f>
        <v>✅</v>
      </c>
      <c r="K333" s="2" t="str">
        <f t="array" ref="K333">XLOOKUP(I333,customers_clean!$A$2:$A$701,customers_clean!$C$2:$C$701)</f>
        <v>Carlos Kowalski</v>
      </c>
      <c r="L333" s="10" t="str">
        <f t="array" ref="L333">XLOOKUP(I333,customers_clean!$A$2:$A$701,customers_clean!$D$2:$D$701)</f>
        <v>Carlos Kowalski</v>
      </c>
      <c r="M333" s="2" t="str">
        <f t="array" ref="M333">XLOOKUP(I333,customers_clean!$A$2:$A$701,customers_clean!$I$2:$I$701)</f>
        <v>carlos.kowalski@company.co.uk</v>
      </c>
      <c r="N333" s="10" t="str">
        <f t="array" ref="N333">XLOOKUP(I333,customers_clean!$A$2:$A$701,customers_clean!$H$2:$H$701)</f>
        <v>carlos.kowalski@company.co.uk</v>
      </c>
      <c r="O333" s="9" t="str">
        <f>IFERROR(__xludf.DUMMYFUNCTION("IF(REGEXMATCH(TRIM(N333),""^[A-Za-z0-9._%+-]+@[A-Za-z0-9.-]+\.[A-Za-z]{2,}$""),""✅ Valid"",""❌ Invalid"")"),"✅ Valid")</f>
        <v>✅ Valid</v>
      </c>
      <c r="P333" s="33" t="str">
        <f t="array" ref="P333">XLOOKUP(I333,customers_clean!$A$2:$A$701,customers_clean!$K$2:$K$701)</f>
        <v>202507270</v>
      </c>
      <c r="Q333" s="10" t="str">
        <f t="array" ref="Q333">XLOOKUP(I333,customers_clean!$A$2:$A$701,customers_clean!$N$2:$N$701)</f>
        <v>202507270</v>
      </c>
      <c r="R333" s="9" t="str">
        <f t="array" ref="R333">XLOOKUP(I333,customers_clean!$A$2:$A$701,customers_clean!$Q$2:$Q$701)</f>
        <v>❌ INVALID</v>
      </c>
      <c r="S333" s="10" t="s">
        <v>25</v>
      </c>
      <c r="T333" s="2" t="s">
        <v>223</v>
      </c>
      <c r="U333" s="2" t="s">
        <v>176</v>
      </c>
      <c r="V333" s="2" t="s">
        <v>767</v>
      </c>
      <c r="W333" s="9" t="str">
        <f t="array" ref="W333">IF(ISNA(XLOOKUP(V333,products_master_corrected!$A$2:$A$151,products_master_corrected!$A$2:$A$151, NA())),
    "❌ MISSING SKU", "✅")</f>
        <v>✅</v>
      </c>
      <c r="X333" s="2" t="s">
        <v>768</v>
      </c>
      <c r="Y333" s="2" t="s">
        <v>769</v>
      </c>
      <c r="Z333" s="10" t="str">
        <f t="shared" ref="Z333:Z334" si="39">PROPER(TRIM(Y333))</f>
        <v>Monitors</v>
      </c>
      <c r="AA333" s="27">
        <v>1.0</v>
      </c>
      <c r="AB333" s="9" t="s">
        <v>8649</v>
      </c>
      <c r="AC333" s="28">
        <f t="array" ref="AC333">XLOOKUP(V333,products_master_corrected!$A$2:$A$151,products_master_corrected!$E$2:$E$151)</f>
        <v>15.17</v>
      </c>
      <c r="AD333" s="28">
        <f t="shared" si="37"/>
        <v>15.17</v>
      </c>
      <c r="AE333" s="28">
        <f t="array" ref="AE333">XLOOKUP(V333,products_master_corrected!$A$2:$A$151,products_master_corrected!$K$2:$K$151)</f>
        <v>78.05</v>
      </c>
      <c r="AF333" s="29">
        <f t="shared" si="38"/>
        <v>78.05</v>
      </c>
      <c r="AG333" s="30" t="s">
        <v>95</v>
      </c>
      <c r="AH333" s="2" t="s">
        <v>526</v>
      </c>
      <c r="AI333" s="10" t="s">
        <v>49</v>
      </c>
      <c r="AJ333" s="2" t="s">
        <v>452</v>
      </c>
      <c r="AK333" s="10" t="s">
        <v>261</v>
      </c>
    </row>
    <row r="334" ht="15.75" customHeight="1">
      <c r="A334" s="2" t="s">
        <v>3213</v>
      </c>
      <c r="B334" s="12" t="s">
        <v>3214</v>
      </c>
      <c r="C334" s="2" t="str">
        <f>IFERROR(__xludf.DUMMYFUNCTION("IF(ISNUMBER(B334),TEXT(B334,""yyyy-MM-dd""),REGEXREPLACE(REGEXREPLACE(TO_TEXT(B334),""[^0-9a-zA-Z]+"",""-""),""[^0-9]*$"",""""))"),"26-06-2024-22-30")</f>
        <v>26-06-2024-22-30</v>
      </c>
      <c r="D334" s="2" t="str">
        <f>TEXT(C334,"yyyy-MM-dd")</f>
        <v>26-06-2024-22-30</v>
      </c>
      <c r="E334" s="12" t="str">
        <f>IFERROR(__xludf.DUMMYFUNCTION("REGEXEXTRACT(D334,""^\d{2}-\d{2}-\d{4}"")"),"26-06-2024")</f>
        <v>26-06-2024</v>
      </c>
      <c r="F334" s="2" t="s">
        <v>8809</v>
      </c>
      <c r="H334" s="10" t="s">
        <v>8809</v>
      </c>
      <c r="I334" s="2" t="s">
        <v>3215</v>
      </c>
      <c r="J334" s="26" t="str">
        <f t="array" ref="J334">IF(ISNA(XLOOKUP(I334,customers_clean!$A$2:$A$701,customers_clean!$A$2:$A$701, NA()) ),
   "❌ MISSING CUSTOMER", "✅")</f>
        <v>✅</v>
      </c>
      <c r="K334" s="2" t="str">
        <f t="array" ref="K334">XLOOKUP(I334,customers_clean!$A$2:$A$701,customers_clean!$C$2:$C$701)</f>
        <v>PAULA MARTINEZ</v>
      </c>
      <c r="L334" s="10" t="str">
        <f t="array" ref="L334">XLOOKUP(I334,customers_clean!$A$2:$A$701,customers_clean!$D$2:$D$701)</f>
        <v>Paula Martinez</v>
      </c>
      <c r="M334" s="2" t="str">
        <f t="array" ref="M334">XLOOKUP(I334,customers_clean!$A$2:$A$701,customers_clean!$I$2:$I$701)</f>
        <v>PAULA.MARTINEZ@GMAIL.COM</v>
      </c>
      <c r="N334" s="10" t="str">
        <f t="array" ref="N334">XLOOKUP(I334,customers_clean!$A$2:$A$701,customers_clean!$H$2:$H$701)</f>
        <v>paula.martinez@gmail.com</v>
      </c>
      <c r="O334" s="9" t="str">
        <f>IFERROR(__xludf.DUMMYFUNCTION("IF(REGEXMATCH(TRIM(N334),""^[A-Za-z0-9._%+-]+@[A-Za-z0-9.-]+\.[A-Za-z]{2,}$""),""✅ Valid"",""❌ Invalid"")"),"✅ Valid")</f>
        <v>✅ Valid</v>
      </c>
      <c r="P334" s="2" t="str">
        <f t="array" ref="P334">XLOOKUP(I334,customers_clean!$A$2:$A$701,customers_clean!$K$2:$K$701)</f>
        <v>+39858379003 ext 55</v>
      </c>
      <c r="Q334" s="10" t="str">
        <f t="array" ref="Q334">XLOOKUP(I334,customers_clean!$A$2:$A$701,customers_clean!$N$2:$N$701)</f>
        <v>858379003</v>
      </c>
      <c r="R334" s="9" t="str">
        <f t="array" ref="R334">XLOOKUP(I334,customers_clean!$A$2:$A$701,customers_clean!$Q$2:$Q$701)</f>
        <v>❌ INVALID</v>
      </c>
      <c r="S334" s="31" t="s">
        <v>671</v>
      </c>
      <c r="T334" s="2" t="s">
        <v>26</v>
      </c>
      <c r="U334" s="2" t="s">
        <v>43</v>
      </c>
      <c r="V334" s="2" t="s">
        <v>957</v>
      </c>
      <c r="W334" s="9" t="str">
        <f t="array" ref="W334">IF(ISNA(XLOOKUP(V334,products_master_corrected!$A$2:$A$151,products_master_corrected!$A$2:$A$151, NA())),
    "❌ MISSING SKU", "✅")</f>
        <v>✅</v>
      </c>
      <c r="X334" s="2" t="s">
        <v>403</v>
      </c>
      <c r="Y334" s="2" t="s">
        <v>167</v>
      </c>
      <c r="Z334" s="10" t="str">
        <f t="shared" si="39"/>
        <v>Monitors</v>
      </c>
      <c r="AA334" s="27">
        <v>2.0</v>
      </c>
      <c r="AB334" s="9" t="s">
        <v>8649</v>
      </c>
      <c r="AC334" s="28">
        <f t="array" ref="AC334">XLOOKUP(V334,products_master_corrected!$A$2:$A$151,products_master_corrected!$E$2:$E$151)</f>
        <v>55.87</v>
      </c>
      <c r="AD334" s="28">
        <f t="shared" si="37"/>
        <v>111.74</v>
      </c>
      <c r="AE334" s="28">
        <f t="array" ref="AE334">XLOOKUP(V334,products_master_corrected!$A$2:$A$151,products_master_corrected!$J$2:$J$151)</f>
        <v>65.16</v>
      </c>
      <c r="AF334" s="29">
        <f t="shared" si="38"/>
        <v>130.32</v>
      </c>
      <c r="AG334" s="32" t="s">
        <v>8656</v>
      </c>
      <c r="AH334" s="2" t="s">
        <v>49</v>
      </c>
      <c r="AI334" s="10" t="s">
        <v>49</v>
      </c>
      <c r="AJ334" s="2" t="s">
        <v>169</v>
      </c>
      <c r="AK334" s="10" t="s">
        <v>261</v>
      </c>
      <c r="AL334" s="2" t="s">
        <v>51</v>
      </c>
    </row>
    <row r="335" ht="15.75" customHeight="1">
      <c r="A335" s="2" t="s">
        <v>4541</v>
      </c>
      <c r="B335" s="12">
        <v>45524.0</v>
      </c>
      <c r="C335" s="2" t="str">
        <f>IFERROR(__xludf.DUMMYFUNCTION("IF(ISNUMBER(B335),TEXT(B335,""yyyy-MM-dd""),REGEXREPLACE(REGEXREPLACE(TO_TEXT(B335),""[^0-9a-zA-Z]+"",""-""),""[^0-9]*$"",""""))"),"2024-08-20")</f>
        <v>2024-08-20</v>
      </c>
      <c r="D335" s="2" t="s">
        <v>7734</v>
      </c>
      <c r="H335" s="10" t="s">
        <v>7734</v>
      </c>
      <c r="I335" s="2" t="s">
        <v>3215</v>
      </c>
      <c r="J335" s="26" t="str">
        <f t="array" ref="J335">IF(ISNA(XLOOKUP(I335,customers_clean!$A$2:$A$701,customers_clean!$A$2:$A$701, NA()) ),
   "❌ MISSING CUSTOMER", "✅")</f>
        <v>✅</v>
      </c>
      <c r="K335" s="2" t="str">
        <f t="array" ref="K335">XLOOKUP(I335,customers_clean!$A$2:$A$701,customers_clean!$C$2:$C$701)</f>
        <v>PAULA MARTINEZ</v>
      </c>
      <c r="L335" s="10" t="str">
        <f t="array" ref="L335">XLOOKUP(I335,customers_clean!$A$2:$A$701,customers_clean!$D$2:$D$701)</f>
        <v>Paula Martinez</v>
      </c>
      <c r="M335" s="2" t="str">
        <f t="array" ref="M335">XLOOKUP(I335,customers_clean!$A$2:$A$701,customers_clean!$I$2:$I$701)</f>
        <v>PAULA.MARTINEZ@GMAIL.COM</v>
      </c>
      <c r="N335" s="10" t="str">
        <f t="array" ref="N335">XLOOKUP(I335,customers_clean!$A$2:$A$701,customers_clean!$H$2:$H$701)</f>
        <v>paula.martinez@gmail.com</v>
      </c>
      <c r="O335" s="9" t="str">
        <f>IFERROR(__xludf.DUMMYFUNCTION("IF(REGEXMATCH(TRIM(N335),""^[A-Za-z0-9._%+-]+@[A-Za-z0-9.-]+\.[A-Za-z]{2,}$""),""✅ Valid"",""❌ Invalid"")"),"✅ Valid")</f>
        <v>✅ Valid</v>
      </c>
      <c r="P335" s="2" t="str">
        <f t="array" ref="P335">XLOOKUP(I335,customers_clean!$A$2:$A$701,customers_clean!$K$2:$K$701)</f>
        <v>+39858379003 ext 55</v>
      </c>
      <c r="Q335" s="10" t="str">
        <f t="array" ref="Q335">XLOOKUP(I335,customers_clean!$A$2:$A$701,customers_clean!$N$2:$N$701)</f>
        <v>858379003</v>
      </c>
      <c r="R335" s="9" t="str">
        <f t="array" ref="R335">XLOOKUP(I335,customers_clean!$A$2:$A$701,customers_clean!$Q$2:$Q$701)</f>
        <v>❌ INVALID</v>
      </c>
      <c r="S335" s="31" t="s">
        <v>671</v>
      </c>
      <c r="T335" s="2" t="s">
        <v>74</v>
      </c>
      <c r="U335" s="2" t="s">
        <v>289</v>
      </c>
      <c r="V335" s="2" t="s">
        <v>28</v>
      </c>
      <c r="W335" s="9" t="str">
        <f t="array" ref="W335">IF(ISNA(XLOOKUP(V335,products_master_corrected!$A$2:$A$151,products_master_corrected!$A$2:$A$151, NA())),
    "❌ MISSING SKU", "✅")</f>
        <v>✅</v>
      </c>
      <c r="X335" s="2" t="s">
        <v>29</v>
      </c>
      <c r="Y335" s="2" t="s">
        <v>30</v>
      </c>
      <c r="Z335" s="10" t="s">
        <v>179</v>
      </c>
      <c r="AA335" s="27">
        <v>1.0</v>
      </c>
      <c r="AB335" s="9" t="s">
        <v>8649</v>
      </c>
      <c r="AC335" s="28">
        <f t="array" ref="AC335">XLOOKUP(V335,products_master_corrected!$A$2:$A$151,products_master_corrected!$E$2:$E$151)</f>
        <v>145.2</v>
      </c>
      <c r="AD335" s="28">
        <f t="shared" si="37"/>
        <v>145.2</v>
      </c>
      <c r="AE335" s="28">
        <f t="array" ref="AE335">XLOOKUP(V335,products_master_corrected!$A$2:$A$151,products_master_corrected!$J$2:$J$151)</f>
        <v>169.35</v>
      </c>
      <c r="AF335" s="29">
        <f t="shared" si="38"/>
        <v>169.35</v>
      </c>
      <c r="AG335" s="32" t="s">
        <v>8656</v>
      </c>
      <c r="AH335" s="2" t="s">
        <v>33</v>
      </c>
      <c r="AI335" s="10" t="s">
        <v>181</v>
      </c>
      <c r="AJ335" s="2" t="s">
        <v>442</v>
      </c>
      <c r="AK335" s="10" t="s">
        <v>80</v>
      </c>
      <c r="AL335" s="2" t="s">
        <v>51</v>
      </c>
    </row>
    <row r="336" ht="15.75" customHeight="1">
      <c r="A336" s="2" t="s">
        <v>3666</v>
      </c>
      <c r="B336" s="12">
        <v>45023.384722222225</v>
      </c>
      <c r="C336" s="2" t="str">
        <f>IFERROR(__xludf.DUMMYFUNCTION("IF(ISNUMBER(B336),TEXT(B336,""yyyy-MM-dd""),REGEXREPLACE(REGEXREPLACE(TO_TEXT(B336),""[^0-9a-zA-Z]+"",""-""),""[^0-9]*$"",""""))"),"2023-04-07")</f>
        <v>2023-04-07</v>
      </c>
      <c r="D336" s="2" t="s">
        <v>8810</v>
      </c>
      <c r="H336" s="10" t="s">
        <v>8810</v>
      </c>
      <c r="I336" s="2" t="s">
        <v>1378</v>
      </c>
      <c r="J336" s="26" t="str">
        <f t="array" ref="J336">IF(ISNA(XLOOKUP(I336,customers_clean!$A$2:$A$701,customers_clean!$A$2:$A$701, NA()) ),
   "❌ MISSING CUSTOMER", "✅")</f>
        <v>✅</v>
      </c>
      <c r="K336" s="2" t="str">
        <f t="array" ref="K336">XLOOKUP(I336,customers_clean!$A$2:$A$701,customers_clean!$C$2:$C$701)</f>
        <v> Bella Rodriguez</v>
      </c>
      <c r="L336" s="10" t="str">
        <f t="array" ref="L336">XLOOKUP(I336,customers_clean!$A$2:$A$701,customers_clean!$D$2:$D$701)</f>
        <v>Bella Rodriguez</v>
      </c>
      <c r="M336" s="2" t="str">
        <f t="array" ref="M336">XLOOKUP(I336,customers_clean!$A$2:$A$701,customers_clean!$I$2:$I$701)</f>
        <v>bella.rodriguez@outlook.com</v>
      </c>
      <c r="N336" s="10" t="str">
        <f t="array" ref="N336">XLOOKUP(I336,customers_clean!$A$2:$A$701,customers_clean!$H$2:$H$701)</f>
        <v>bella.rodriguez@outlook.com</v>
      </c>
      <c r="O336" s="9" t="str">
        <f>IFERROR(__xludf.DUMMYFUNCTION("IF(REGEXMATCH(TRIM(N336),""^[A-Za-z0-9._%+-]+@[A-Za-z0-9.-]+\.[A-Za-z]{2,}$""),""✅ Valid"",""❌ Invalid"")"),"✅ Valid")</f>
        <v>✅ Valid</v>
      </c>
      <c r="P336" s="33" t="str">
        <f t="array" ref="P336">XLOOKUP(I336,customers_clean!$A$2:$A$701,customers_clean!$K$2:$K$701)</f>
        <v>N/A</v>
      </c>
      <c r="Q336" s="10" t="str">
        <f t="array" ref="Q336">XLOOKUP(I336,customers_clean!$A$2:$A$701,customers_clean!$N$2:$N$701)</f>
        <v/>
      </c>
      <c r="R336" s="9" t="str">
        <f t="array" ref="R336">XLOOKUP(I336,customers_clean!$A$2:$A$701,customers_clean!$Q$2:$Q$701)</f>
        <v>❌ INVALID</v>
      </c>
      <c r="S336" s="10" t="s">
        <v>88</v>
      </c>
      <c r="T336" s="2" t="s">
        <v>460</v>
      </c>
      <c r="U336" s="2" t="s">
        <v>480</v>
      </c>
      <c r="V336" s="2" t="s">
        <v>2631</v>
      </c>
      <c r="W336" s="9" t="str">
        <f t="array" ref="W336">IF(ISNA(XLOOKUP(V336,products_master_corrected!$A$2:$A$151,products_master_corrected!$A$2:$A$151, NA())),
    "❌ MISSING SKU", "✅")</f>
        <v>✅</v>
      </c>
      <c r="X336" s="2" t="s">
        <v>905</v>
      </c>
      <c r="Y336" s="2" t="s">
        <v>248</v>
      </c>
      <c r="Z336" s="10" t="s">
        <v>248</v>
      </c>
      <c r="AA336" s="27">
        <v>1.0</v>
      </c>
      <c r="AB336" s="9" t="s">
        <v>8649</v>
      </c>
      <c r="AC336" s="28">
        <f t="array" ref="AC336">XLOOKUP(V336,products_master_corrected!$A$2:$A$151,products_master_corrected!$E$2:$E$151)</f>
        <v>143.88</v>
      </c>
      <c r="AD336" s="28">
        <f t="shared" si="37"/>
        <v>143.88</v>
      </c>
      <c r="AE336" s="28">
        <f t="array" ref="AE336">XLOOKUP(V336,products_master_corrected!$A$2:$A$151,products_master_corrected!$I$2:$I$151)</f>
        <v>158.61</v>
      </c>
      <c r="AF336" s="29">
        <f t="shared" si="38"/>
        <v>158.61</v>
      </c>
      <c r="AG336" s="32" t="s">
        <v>8660</v>
      </c>
      <c r="AH336" s="2" t="s">
        <v>143</v>
      </c>
      <c r="AI336" s="10" t="s">
        <v>143</v>
      </c>
      <c r="AJ336" s="2" t="s">
        <v>158</v>
      </c>
      <c r="AK336" s="10" t="s">
        <v>818</v>
      </c>
    </row>
    <row r="337" ht="15.75" customHeight="1">
      <c r="A337" s="2" t="s">
        <v>1376</v>
      </c>
      <c r="B337" s="12">
        <v>45057.0</v>
      </c>
      <c r="C337" s="2" t="str">
        <f>IFERROR(__xludf.DUMMYFUNCTION("IF(ISNUMBER(B337),TEXT(B337,""yyyy-MM-dd""),REGEXREPLACE(REGEXREPLACE(TO_TEXT(B337),""[^0-9a-zA-Z]+"",""-""),""[^0-9]*$"",""""))"),"2023-05-11")</f>
        <v>2023-05-11</v>
      </c>
      <c r="D337" s="2" t="s">
        <v>8123</v>
      </c>
      <c r="H337" s="10" t="s">
        <v>8123</v>
      </c>
      <c r="I337" s="2" t="s">
        <v>1378</v>
      </c>
      <c r="J337" s="26" t="str">
        <f t="array" ref="J337">IF(ISNA(XLOOKUP(I337,customers_clean!$A$2:$A$701,customers_clean!$A$2:$A$701, NA()) ),
   "❌ MISSING CUSTOMER", "✅")</f>
        <v>✅</v>
      </c>
      <c r="K337" s="2" t="str">
        <f t="array" ref="K337">XLOOKUP(I337,customers_clean!$A$2:$A$701,customers_clean!$C$2:$C$701)</f>
        <v> Bella Rodriguez</v>
      </c>
      <c r="L337" s="10" t="str">
        <f t="array" ref="L337">XLOOKUP(I337,customers_clean!$A$2:$A$701,customers_clean!$D$2:$D$701)</f>
        <v>Bella Rodriguez</v>
      </c>
      <c r="M337" s="2" t="str">
        <f t="array" ref="M337">XLOOKUP(I337,customers_clean!$A$2:$A$701,customers_clean!$I$2:$I$701)</f>
        <v>bella.rodriguez@outlook.com</v>
      </c>
      <c r="N337" s="10" t="str">
        <f t="array" ref="N337">XLOOKUP(I337,customers_clean!$A$2:$A$701,customers_clean!$H$2:$H$701)</f>
        <v>bella.rodriguez@outlook.com</v>
      </c>
      <c r="O337" s="9" t="str">
        <f>IFERROR(__xludf.DUMMYFUNCTION("IF(REGEXMATCH(TRIM(N337),""^[A-Za-z0-9._%+-]+@[A-Za-z0-9.-]+\.[A-Za-z]{2,}$""),""✅ Valid"",""❌ Invalid"")"),"✅ Valid")</f>
        <v>✅ Valid</v>
      </c>
      <c r="P337" s="33" t="str">
        <f t="array" ref="P337">XLOOKUP(I337,customers_clean!$A$2:$A$701,customers_clean!$K$2:$K$701)</f>
        <v>N/A</v>
      </c>
      <c r="Q337" s="10" t="str">
        <f t="array" ref="Q337">XLOOKUP(I337,customers_clean!$A$2:$A$701,customers_clean!$N$2:$N$701)</f>
        <v/>
      </c>
      <c r="R337" s="9" t="str">
        <f t="array" ref="R337">XLOOKUP(I337,customers_clean!$A$2:$A$701,customers_clean!$Q$2:$Q$701)</f>
        <v>❌ INVALID</v>
      </c>
      <c r="S337" s="10" t="s">
        <v>88</v>
      </c>
      <c r="T337" s="2" t="s">
        <v>400</v>
      </c>
      <c r="U337" s="2" t="s">
        <v>480</v>
      </c>
      <c r="V337" s="2" t="s">
        <v>556</v>
      </c>
      <c r="W337" s="9" t="str">
        <f t="array" ref="W337">IF(ISNA(XLOOKUP(V337,products_master_corrected!$A$2:$A$151,products_master_corrected!$A$2:$A$151, NA())),
    "❌ MISSING SKU", "✅")</f>
        <v>✅</v>
      </c>
      <c r="X337" s="2" t="s">
        <v>502</v>
      </c>
      <c r="Y337" s="2" t="s">
        <v>355</v>
      </c>
      <c r="Z337" s="10" t="s">
        <v>355</v>
      </c>
      <c r="AA337" s="27">
        <v>1.0</v>
      </c>
      <c r="AB337" s="9" t="s">
        <v>8649</v>
      </c>
      <c r="AC337" s="28">
        <f t="array" ref="AC337">XLOOKUP(V337,products_master_corrected!$A$2:$A$151,products_master_corrected!$E$2:$E$151)</f>
        <v>879.27</v>
      </c>
      <c r="AD337" s="28">
        <f t="shared" si="37"/>
        <v>879.27</v>
      </c>
      <c r="AE337" s="28">
        <f t="array" ref="AE337">XLOOKUP(V337,products_master_corrected!$A$2:$A$151,products_master_corrected!$I$2:$I$151)</f>
        <v>969.31</v>
      </c>
      <c r="AF337" s="29">
        <f t="shared" si="38"/>
        <v>969.31</v>
      </c>
      <c r="AG337" s="32" t="s">
        <v>8660</v>
      </c>
      <c r="AH337" s="2" t="s">
        <v>1383</v>
      </c>
      <c r="AI337" s="10" t="s">
        <v>66</v>
      </c>
      <c r="AJ337" s="2" t="s">
        <v>380</v>
      </c>
      <c r="AK337" s="10" t="s">
        <v>80</v>
      </c>
      <c r="AL337" s="2" t="s">
        <v>133</v>
      </c>
    </row>
    <row r="338" ht="15.75" customHeight="1">
      <c r="A338" s="2" t="s">
        <v>4103</v>
      </c>
      <c r="B338" s="12">
        <v>45777.0</v>
      </c>
      <c r="C338" s="2" t="str">
        <f>IFERROR(__xludf.DUMMYFUNCTION("IF(ISNUMBER(B338),TEXT(B338,""yyyy-MM-dd""),REGEXREPLACE(REGEXREPLACE(TO_TEXT(B338),""[^0-9a-zA-Z]+"",""-""),""[^0-9]*$"",""""))"),"2025-04-30")</f>
        <v>2025-04-30</v>
      </c>
      <c r="D338" s="2" t="s">
        <v>4104</v>
      </c>
      <c r="H338" s="10" t="s">
        <v>4104</v>
      </c>
      <c r="I338" s="2" t="s">
        <v>1378</v>
      </c>
      <c r="J338" s="26" t="str">
        <f t="array" ref="J338">IF(ISNA(XLOOKUP(I338,customers_clean!$A$2:$A$701,customers_clean!$A$2:$A$701, NA()) ),
   "❌ MISSING CUSTOMER", "✅")</f>
        <v>✅</v>
      </c>
      <c r="K338" s="2" t="str">
        <f t="array" ref="K338">XLOOKUP(I338,customers_clean!$A$2:$A$701,customers_clean!$C$2:$C$701)</f>
        <v> Bella Rodriguez</v>
      </c>
      <c r="L338" s="10" t="str">
        <f t="array" ref="L338">XLOOKUP(I338,customers_clean!$A$2:$A$701,customers_clean!$D$2:$D$701)</f>
        <v>Bella Rodriguez</v>
      </c>
      <c r="M338" s="2" t="str">
        <f t="array" ref="M338">XLOOKUP(I338,customers_clean!$A$2:$A$701,customers_clean!$I$2:$I$701)</f>
        <v>bella.rodriguez@outlook.com</v>
      </c>
      <c r="N338" s="10" t="str">
        <f t="array" ref="N338">XLOOKUP(I338,customers_clean!$A$2:$A$701,customers_clean!$H$2:$H$701)</f>
        <v>bella.rodriguez@outlook.com</v>
      </c>
      <c r="O338" s="9" t="str">
        <f>IFERROR(__xludf.DUMMYFUNCTION("IF(REGEXMATCH(TRIM(N338),""^[A-Za-z0-9._%+-]+@[A-Za-z0-9.-]+\.[A-Za-z]{2,}$""),""✅ Valid"",""❌ Invalid"")"),"✅ Valid")</f>
        <v>✅ Valid</v>
      </c>
      <c r="P338" s="33" t="str">
        <f t="array" ref="P338">XLOOKUP(I338,customers_clean!$A$2:$A$701,customers_clean!$K$2:$K$701)</f>
        <v>N/A</v>
      </c>
      <c r="Q338" s="10" t="str">
        <f t="array" ref="Q338">XLOOKUP(I338,customers_clean!$A$2:$A$701,customers_clean!$N$2:$N$701)</f>
        <v/>
      </c>
      <c r="R338" s="9" t="str">
        <f t="array" ref="R338">XLOOKUP(I338,customers_clean!$A$2:$A$701,customers_clean!$Q$2:$Q$701)</f>
        <v>❌ INVALID</v>
      </c>
      <c r="S338" s="10" t="s">
        <v>88</v>
      </c>
      <c r="T338" s="2" t="s">
        <v>802</v>
      </c>
      <c r="U338" s="2" t="s">
        <v>176</v>
      </c>
      <c r="V338" s="2" t="s">
        <v>353</v>
      </c>
      <c r="W338" s="9" t="str">
        <f t="array" ref="W338">IF(ISNA(XLOOKUP(V338,products_master_corrected!$A$2:$A$151,products_master_corrected!$A$2:$A$151, NA())),
    "❌ MISSING SKU", "✅")</f>
        <v>✅</v>
      </c>
      <c r="X338" s="2" t="s">
        <v>62</v>
      </c>
      <c r="Y338" s="2" t="s">
        <v>355</v>
      </c>
      <c r="Z338" s="10" t="s">
        <v>355</v>
      </c>
      <c r="AA338" s="27">
        <v>2.0</v>
      </c>
      <c r="AB338" s="9" t="s">
        <v>8649</v>
      </c>
      <c r="AC338" s="28">
        <f t="array" ref="AC338">XLOOKUP(V338,products_master_corrected!$A$2:$A$151,products_master_corrected!$E$2:$E$151)</f>
        <v>106.56</v>
      </c>
      <c r="AD338" s="28">
        <f t="shared" si="37"/>
        <v>213.12</v>
      </c>
      <c r="AE338" s="28">
        <f t="array" ref="AE338">XLOOKUP(V338,products_master_corrected!$A$2:$A$151,products_master_corrected!$I$2:$I$151)</f>
        <v>117.47</v>
      </c>
      <c r="AF338" s="29">
        <f t="shared" si="38"/>
        <v>234.94</v>
      </c>
      <c r="AG338" s="32" t="s">
        <v>8660</v>
      </c>
      <c r="AH338" s="2" t="s">
        <v>49</v>
      </c>
      <c r="AI338" s="10" t="s">
        <v>49</v>
      </c>
      <c r="AJ338" s="2" t="s">
        <v>192</v>
      </c>
      <c r="AK338" s="10" t="s">
        <v>192</v>
      </c>
    </row>
    <row r="339" ht="15.75" customHeight="1">
      <c r="A339" s="2" t="s">
        <v>4326</v>
      </c>
      <c r="B339" s="12">
        <v>45718.0</v>
      </c>
      <c r="C339" s="2" t="str">
        <f>IFERROR(__xludf.DUMMYFUNCTION("IF(ISNUMBER(B339),TEXT(B339,""yyyy-MM-dd""),REGEXREPLACE(REGEXREPLACE(TO_TEXT(B339),""[^0-9a-zA-Z]+"",""-""),""[^0-9]*$"",""""))"),"2025-03-02")</f>
        <v>2025-03-02</v>
      </c>
      <c r="D339" s="2" t="s">
        <v>7712</v>
      </c>
      <c r="H339" s="10" t="s">
        <v>7712</v>
      </c>
      <c r="I339" s="2" t="s">
        <v>1378</v>
      </c>
      <c r="J339" s="26" t="str">
        <f t="array" ref="J339">IF(ISNA(XLOOKUP(I339,customers_clean!$A$2:$A$701,customers_clean!$A$2:$A$701, NA()) ),
   "❌ MISSING CUSTOMER", "✅")</f>
        <v>✅</v>
      </c>
      <c r="K339" s="2" t="str">
        <f t="array" ref="K339">XLOOKUP(I339,customers_clean!$A$2:$A$701,customers_clean!$C$2:$C$701)</f>
        <v> Bella Rodriguez</v>
      </c>
      <c r="L339" s="10" t="str">
        <f t="array" ref="L339">XLOOKUP(I339,customers_clean!$A$2:$A$701,customers_clean!$D$2:$D$701)</f>
        <v>Bella Rodriguez</v>
      </c>
      <c r="M339" s="2" t="str">
        <f t="array" ref="M339">XLOOKUP(I339,customers_clean!$A$2:$A$701,customers_clean!$I$2:$I$701)</f>
        <v>bella.rodriguez@outlook.com</v>
      </c>
      <c r="N339" s="10" t="str">
        <f t="array" ref="N339">XLOOKUP(I339,customers_clean!$A$2:$A$701,customers_clean!$H$2:$H$701)</f>
        <v>bella.rodriguez@outlook.com</v>
      </c>
      <c r="O339" s="9" t="str">
        <f>IFERROR(__xludf.DUMMYFUNCTION("IF(REGEXMATCH(TRIM(N339),""^[A-Za-z0-9._%+-]+@[A-Za-z0-9.-]+\.[A-Za-z]{2,}$""),""✅ Valid"",""❌ Invalid"")"),"✅ Valid")</f>
        <v>✅ Valid</v>
      </c>
      <c r="P339" s="33" t="str">
        <f t="array" ref="P339">XLOOKUP(I339,customers_clean!$A$2:$A$701,customers_clean!$K$2:$K$701)</f>
        <v>N/A</v>
      </c>
      <c r="Q339" s="10" t="str">
        <f t="array" ref="Q339">XLOOKUP(I339,customers_clean!$A$2:$A$701,customers_clean!$N$2:$N$701)</f>
        <v/>
      </c>
      <c r="R339" s="9" t="str">
        <f t="array" ref="R339">XLOOKUP(I339,customers_clean!$A$2:$A$701,customers_clean!$Q$2:$Q$701)</f>
        <v>❌ INVALID</v>
      </c>
      <c r="S339" s="10" t="s">
        <v>88</v>
      </c>
      <c r="T339" s="2" t="s">
        <v>323</v>
      </c>
      <c r="U339" s="2" t="s">
        <v>43</v>
      </c>
      <c r="V339" s="2" t="s">
        <v>746</v>
      </c>
      <c r="W339" s="9" t="str">
        <f t="array" ref="W339">IF(ISNA(XLOOKUP(V339,products_master_corrected!$A$2:$A$151,products_master_corrected!$A$2:$A$151, NA())),
    "❌ MISSING SKU", "✅")</f>
        <v>✅</v>
      </c>
      <c r="X339" s="2" t="s">
        <v>747</v>
      </c>
      <c r="Y339" s="2" t="s">
        <v>748</v>
      </c>
      <c r="Z339" s="10" t="s">
        <v>355</v>
      </c>
      <c r="AA339" s="27">
        <v>2.0</v>
      </c>
      <c r="AB339" s="9" t="s">
        <v>8649</v>
      </c>
      <c r="AC339" s="28">
        <f t="array" ref="AC339">XLOOKUP(V339,products_master_corrected!$A$2:$A$151,products_master_corrected!$E$2:$E$151)</f>
        <v>346</v>
      </c>
      <c r="AD339" s="28">
        <f t="shared" si="37"/>
        <v>692</v>
      </c>
      <c r="AE339" s="28">
        <f t="array" ref="AE339">XLOOKUP(V339,products_master_corrected!$A$2:$A$151,products_master_corrected!$I$2:$I$151)</f>
        <v>381.43</v>
      </c>
      <c r="AF339" s="29">
        <f t="shared" si="38"/>
        <v>762.86</v>
      </c>
      <c r="AG339" s="32" t="s">
        <v>8660</v>
      </c>
      <c r="AH339" s="2" t="s">
        <v>526</v>
      </c>
      <c r="AI339" s="10" t="s">
        <v>49</v>
      </c>
      <c r="AJ339" s="2" t="s">
        <v>169</v>
      </c>
      <c r="AK339" s="10" t="s">
        <v>261</v>
      </c>
      <c r="AL339" s="2" t="s">
        <v>81</v>
      </c>
    </row>
    <row r="340" ht="15.75" customHeight="1">
      <c r="A340" s="2" t="s">
        <v>1384</v>
      </c>
      <c r="B340" s="12">
        <v>45243.0</v>
      </c>
      <c r="C340" s="2" t="str">
        <f>IFERROR(__xludf.DUMMYFUNCTION("IF(ISNUMBER(B340),TEXT(B340,""yyyy-MM-dd""),REGEXREPLACE(REGEXREPLACE(TO_TEXT(B340),""[^0-9a-zA-Z]+"",""-""),""[^0-9]*$"",""""))"),"2023-11-13")</f>
        <v>2023-11-13</v>
      </c>
      <c r="D340" s="2" t="s">
        <v>1385</v>
      </c>
      <c r="H340" s="10" t="s">
        <v>1385</v>
      </c>
      <c r="I340" s="2" t="s">
        <v>1386</v>
      </c>
      <c r="J340" s="26" t="str">
        <f t="array" ref="J340">IF(ISNA(XLOOKUP(I340,customers_clean!$A$2:$A$701,customers_clean!$A$2:$A$701, NA()) ),
   "❌ MISSING CUSTOMER", "✅")</f>
        <v>✅</v>
      </c>
      <c r="K340" s="2" t="str">
        <f t="array" ref="K340">XLOOKUP(I340,customers_clean!$A$2:$A$701,customers_clean!$C$2:$C$701)</f>
        <v>Hanna Johnson</v>
      </c>
      <c r="L340" s="10" t="str">
        <f t="array" ref="L340">XLOOKUP(I340,customers_clean!$A$2:$A$701,customers_clean!$D$2:$D$701)</f>
        <v>Hanna Johnson</v>
      </c>
      <c r="M340" s="2" t="str">
        <f t="array" ref="M340">XLOOKUP(I340,customers_clean!$A$2:$A$701,customers_clean!$I$2:$I$701)</f>
        <v> hanna.johnson@gmail.com</v>
      </c>
      <c r="N340" s="10" t="str">
        <f t="array" ref="N340">XLOOKUP(I340,customers_clean!$A$2:$A$701,customers_clean!$H$2:$H$701)</f>
        <v>hanna.johnson@gmail.com</v>
      </c>
      <c r="O340" s="9" t="str">
        <f>IFERROR(__xludf.DUMMYFUNCTION("IF(REGEXMATCH(TRIM(N340),""^[A-Za-z0-9._%+-]+@[A-Za-z0-9.-]+\.[A-Za-z]{2,}$""),""✅ Valid"",""❌ Invalid"")"),"✅ Valid")</f>
        <v>✅ Valid</v>
      </c>
      <c r="P340" s="33" t="str">
        <f t="array" ref="P340">XLOOKUP(I340,customers_clean!$A$2:$A$701,customers_clean!$K$2:$K$701)</f>
        <v>3881539865</v>
      </c>
      <c r="Q340" s="10" t="str">
        <f t="array" ref="Q340">XLOOKUP(I340,customers_clean!$A$2:$A$701,customers_clean!$N$2:$N$701)</f>
        <v>3881539865</v>
      </c>
      <c r="R340" s="9" t="str">
        <f t="array" ref="R340">XLOOKUP(I340,customers_clean!$A$2:$A$701,customers_clean!$Q$2:$Q$701)</f>
        <v>❌ INVALID</v>
      </c>
      <c r="S340" s="10" t="s">
        <v>608</v>
      </c>
      <c r="T340" s="2" t="s">
        <v>115</v>
      </c>
      <c r="U340" s="2" t="s">
        <v>211</v>
      </c>
      <c r="V340" s="2" t="s">
        <v>815</v>
      </c>
      <c r="W340" s="9" t="str">
        <f t="array" ref="W340">IF(ISNA(XLOOKUP(V340,products_master_corrected!$A$2:$A$151,products_master_corrected!$A$2:$A$151, NA())),
    "❌ MISSING SKU", "✅")</f>
        <v>✅</v>
      </c>
      <c r="X340" s="2" t="s">
        <v>816</v>
      </c>
      <c r="Y340" s="2" t="s">
        <v>179</v>
      </c>
      <c r="Z340" s="10" t="s">
        <v>179</v>
      </c>
      <c r="AA340" s="27">
        <v>1.0</v>
      </c>
      <c r="AB340" s="9" t="s">
        <v>8649</v>
      </c>
      <c r="AC340" s="28">
        <f t="array" ref="AC340">XLOOKUP(V340,products_master_corrected!$A$2:$A$151,products_master_corrected!$E$2:$E$151)</f>
        <v>328.22</v>
      </c>
      <c r="AD340" s="28">
        <f t="shared" si="37"/>
        <v>328.22</v>
      </c>
      <c r="AE340" s="28">
        <f t="array" ref="AE340">XLOOKUP(V340,products_master_corrected!$A$2:$A$151,products_master_corrected!$H$2:$H$151)</f>
        <v>368.76</v>
      </c>
      <c r="AF340" s="29">
        <f t="shared" si="38"/>
        <v>368.76</v>
      </c>
      <c r="AG340" s="32" t="s">
        <v>8658</v>
      </c>
      <c r="AH340" s="2" t="s">
        <v>143</v>
      </c>
      <c r="AI340" s="10" t="s">
        <v>143</v>
      </c>
      <c r="AJ340" s="2" t="s">
        <v>169</v>
      </c>
      <c r="AK340" s="10" t="s">
        <v>261</v>
      </c>
    </row>
    <row r="341" ht="15.75" customHeight="1">
      <c r="A341" s="2" t="s">
        <v>3970</v>
      </c>
      <c r="B341" s="12">
        <v>45784.913194444445</v>
      </c>
      <c r="C341" s="2" t="str">
        <f>IFERROR(__xludf.DUMMYFUNCTION("IF(ISNUMBER(B341),TEXT(B341,""yyyy-MM-dd""),REGEXREPLACE(REGEXREPLACE(TO_TEXT(B341),""[^0-9a-zA-Z]+"",""-""),""[^0-9]*$"",""""))"),"2025-05-07")</f>
        <v>2025-05-07</v>
      </c>
      <c r="D341" s="2" t="s">
        <v>8612</v>
      </c>
      <c r="H341" s="10" t="s">
        <v>8612</v>
      </c>
      <c r="I341" s="2" t="s">
        <v>1386</v>
      </c>
      <c r="J341" s="26" t="str">
        <f t="array" ref="J341">IF(ISNA(XLOOKUP(I341,customers_clean!$A$2:$A$701,customers_clean!$A$2:$A$701, NA()) ),
   "❌ MISSING CUSTOMER", "✅")</f>
        <v>✅</v>
      </c>
      <c r="K341" s="2" t="str">
        <f t="array" ref="K341">XLOOKUP(I341,customers_clean!$A$2:$A$701,customers_clean!$C$2:$C$701)</f>
        <v>Hanna Johnson</v>
      </c>
      <c r="L341" s="10" t="str">
        <f t="array" ref="L341">XLOOKUP(I341,customers_clean!$A$2:$A$701,customers_clean!$D$2:$D$701)</f>
        <v>Hanna Johnson</v>
      </c>
      <c r="M341" s="2" t="str">
        <f t="array" ref="M341">XLOOKUP(I341,customers_clean!$A$2:$A$701,customers_clean!$I$2:$I$701)</f>
        <v> hanna.johnson@gmail.com</v>
      </c>
      <c r="N341" s="10" t="str">
        <f t="array" ref="N341">XLOOKUP(I341,customers_clean!$A$2:$A$701,customers_clean!$H$2:$H$701)</f>
        <v>hanna.johnson@gmail.com</v>
      </c>
      <c r="O341" s="9" t="str">
        <f>IFERROR(__xludf.DUMMYFUNCTION("IF(REGEXMATCH(TRIM(N341),""^[A-Za-z0-9._%+-]+@[A-Za-z0-9.-]+\.[A-Za-z]{2,}$""),""✅ Valid"",""❌ Invalid"")"),"✅ Valid")</f>
        <v>✅ Valid</v>
      </c>
      <c r="P341" s="33" t="str">
        <f t="array" ref="P341">XLOOKUP(I341,customers_clean!$A$2:$A$701,customers_clean!$K$2:$K$701)</f>
        <v>3881539865</v>
      </c>
      <c r="Q341" s="10" t="str">
        <f t="array" ref="Q341">XLOOKUP(I341,customers_clean!$A$2:$A$701,customers_clean!$N$2:$N$701)</f>
        <v>3881539865</v>
      </c>
      <c r="R341" s="9" t="str">
        <f t="array" ref="R341">XLOOKUP(I341,customers_clean!$A$2:$A$701,customers_clean!$Q$2:$Q$701)</f>
        <v>❌ INVALID</v>
      </c>
      <c r="S341" s="10" t="s">
        <v>608</v>
      </c>
      <c r="T341" s="2" t="s">
        <v>778</v>
      </c>
      <c r="U341" s="2" t="s">
        <v>43</v>
      </c>
      <c r="V341" s="2" t="s">
        <v>117</v>
      </c>
      <c r="W341" s="9" t="str">
        <f t="array" ref="W341">IF(ISNA(XLOOKUP(V341,products_master_corrected!$A$2:$A$151,products_master_corrected!$A$2:$A$151, NA())),
    "❌ MISSING SKU", "✅")</f>
        <v>✅</v>
      </c>
      <c r="X341" s="2" t="s">
        <v>259</v>
      </c>
      <c r="Y341" s="2" t="s">
        <v>63</v>
      </c>
      <c r="Z341" s="10" t="s">
        <v>63</v>
      </c>
      <c r="AA341" s="27">
        <v>1.0</v>
      </c>
      <c r="AB341" s="9" t="s">
        <v>8649</v>
      </c>
      <c r="AC341" s="28">
        <f t="array" ref="AC341">XLOOKUP(V341,products_master_corrected!$A$2:$A$151,products_master_corrected!$E$2:$E$151)</f>
        <v>13.26</v>
      </c>
      <c r="AD341" s="28">
        <f t="shared" si="37"/>
        <v>13.26</v>
      </c>
      <c r="AE341" s="28">
        <f t="array" ref="AE341">XLOOKUP(V341,products_master_corrected!$A$2:$A$151,products_master_corrected!$H$2:$H$151)</f>
        <v>14.9</v>
      </c>
      <c r="AF341" s="29">
        <f t="shared" si="38"/>
        <v>14.9</v>
      </c>
      <c r="AG341" s="32" t="s">
        <v>8658</v>
      </c>
      <c r="AH341" s="2" t="s">
        <v>96</v>
      </c>
      <c r="AI341" s="10" t="s">
        <v>143</v>
      </c>
      <c r="AJ341" s="2" t="s">
        <v>132</v>
      </c>
      <c r="AK341" s="10" t="s">
        <v>192</v>
      </c>
      <c r="AL341" s="2" t="s">
        <v>81</v>
      </c>
    </row>
    <row r="342" ht="15.75" customHeight="1">
      <c r="A342" s="2" t="s">
        <v>3750</v>
      </c>
      <c r="B342" s="12" t="s">
        <v>3751</v>
      </c>
      <c r="C342" s="2" t="str">
        <f>IFERROR(__xludf.DUMMYFUNCTION("IF(ISNUMBER(B342),TEXT(B342,""yyyy-MM-dd""),REGEXREPLACE(REGEXREPLACE(TO_TEXT(B342),""[^0-9a-zA-Z]+"",""-""),""[^0-9]*$"",""""))"),"45571-05-31")</f>
        <v>45571-05-31</v>
      </c>
      <c r="D342" s="2" t="str">
        <f>TEXT(C342,"yyyy-MM-dd")</f>
        <v>45571-05-31</v>
      </c>
      <c r="E342" s="25" t="str">
        <f>CONCATENATE(LEFT(D342,5))</f>
        <v>45571</v>
      </c>
      <c r="F342" s="12">
        <f>DATE(1900,1,1) + E342 - 1</f>
        <v>45572</v>
      </c>
      <c r="G342" s="2" t="s">
        <v>8781</v>
      </c>
      <c r="H342" s="10" t="s">
        <v>8781</v>
      </c>
      <c r="I342" s="2" t="s">
        <v>1386</v>
      </c>
      <c r="J342" s="26" t="str">
        <f t="array" ref="J342">IF(ISNA(XLOOKUP(I342,customers_clean!$A$2:$A$701,customers_clean!$A$2:$A$701, NA()) ),
   "❌ MISSING CUSTOMER", "✅")</f>
        <v>✅</v>
      </c>
      <c r="K342" s="2" t="str">
        <f t="array" ref="K342">XLOOKUP(I342,customers_clean!$A$2:$A$701,customers_clean!$C$2:$C$701)</f>
        <v>Hanna Johnson</v>
      </c>
      <c r="L342" s="10" t="str">
        <f t="array" ref="L342">XLOOKUP(I342,customers_clean!$A$2:$A$701,customers_clean!$D$2:$D$701)</f>
        <v>Hanna Johnson</v>
      </c>
      <c r="M342" s="2" t="str">
        <f t="array" ref="M342">XLOOKUP(I342,customers_clean!$A$2:$A$701,customers_clean!$I$2:$I$701)</f>
        <v> hanna.johnson@gmail.com</v>
      </c>
      <c r="N342" s="10" t="str">
        <f t="array" ref="N342">XLOOKUP(I342,customers_clean!$A$2:$A$701,customers_clean!$H$2:$H$701)</f>
        <v>hanna.johnson@gmail.com</v>
      </c>
      <c r="O342" s="9" t="str">
        <f>IFERROR(__xludf.DUMMYFUNCTION("IF(REGEXMATCH(TRIM(N342),""^[A-Za-z0-9._%+-]+@[A-Za-z0-9.-]+\.[A-Za-z]{2,}$""),""✅ Valid"",""❌ Invalid"")"),"✅ Valid")</f>
        <v>✅ Valid</v>
      </c>
      <c r="P342" s="33" t="str">
        <f t="array" ref="P342">XLOOKUP(I342,customers_clean!$A$2:$A$701,customers_clean!$K$2:$K$701)</f>
        <v>3881539865</v>
      </c>
      <c r="Q342" s="10" t="str">
        <f t="array" ref="Q342">XLOOKUP(I342,customers_clean!$A$2:$A$701,customers_clean!$N$2:$N$701)</f>
        <v>3881539865</v>
      </c>
      <c r="R342" s="9" t="str">
        <f t="array" ref="R342">XLOOKUP(I342,customers_clean!$A$2:$A$701,customers_clean!$Q$2:$Q$701)</f>
        <v>❌ INVALID</v>
      </c>
      <c r="S342" s="10" t="s">
        <v>608</v>
      </c>
      <c r="T342" s="2" t="s">
        <v>323</v>
      </c>
      <c r="U342" s="2" t="s">
        <v>43</v>
      </c>
      <c r="V342" s="2" t="s">
        <v>2398</v>
      </c>
      <c r="W342" s="9" t="str">
        <f t="array" ref="W342">IF(ISNA(XLOOKUP(V342,products_master_corrected!$A$2:$A$151,products_master_corrected!$A$2:$A$151, NA())),
    "❌ MISSING SKU", "✅")</f>
        <v>✅</v>
      </c>
      <c r="X342" s="2" t="s">
        <v>225</v>
      </c>
      <c r="Y342" s="2" t="s">
        <v>179</v>
      </c>
      <c r="Z342" s="10" t="s">
        <v>179</v>
      </c>
      <c r="AA342" s="27">
        <v>1.0</v>
      </c>
      <c r="AB342" s="9" t="s">
        <v>8649</v>
      </c>
      <c r="AC342" s="28">
        <f t="array" ref="AC342">XLOOKUP(V342,products_master_corrected!$A$2:$A$151,products_master_corrected!$E$2:$E$151)</f>
        <v>40.55</v>
      </c>
      <c r="AD342" s="28">
        <f t="shared" si="37"/>
        <v>40.55</v>
      </c>
      <c r="AE342" s="28">
        <f t="array" ref="AE342">XLOOKUP(V342,products_master_corrected!$A$2:$A$151,products_master_corrected!$H$2:$H$151)</f>
        <v>45.56</v>
      </c>
      <c r="AF342" s="29">
        <f t="shared" si="38"/>
        <v>45.56</v>
      </c>
      <c r="AG342" s="32" t="s">
        <v>8658</v>
      </c>
      <c r="AH342" s="2" t="s">
        <v>526</v>
      </c>
      <c r="AI342" s="10" t="s">
        <v>49</v>
      </c>
      <c r="AJ342" s="2" t="s">
        <v>192</v>
      </c>
      <c r="AK342" s="10" t="s">
        <v>192</v>
      </c>
      <c r="AL342" s="2" t="s">
        <v>133</v>
      </c>
    </row>
    <row r="343" ht="15.75" customHeight="1">
      <c r="A343" s="2" t="s">
        <v>5816</v>
      </c>
      <c r="B343" s="12">
        <v>45794.288194444445</v>
      </c>
      <c r="C343" s="2" t="str">
        <f>IFERROR(__xludf.DUMMYFUNCTION("IF(ISNUMBER(B343),TEXT(B343,""yyyy-MM-dd""),REGEXREPLACE(REGEXREPLACE(TO_TEXT(B343),""[^0-9a-zA-Z]+"",""-""),""[^0-9]*$"",""""))"),"2025-05-17")</f>
        <v>2025-05-17</v>
      </c>
      <c r="D343" s="2" t="s">
        <v>6596</v>
      </c>
      <c r="H343" s="10" t="s">
        <v>6596</v>
      </c>
      <c r="I343" s="2" t="s">
        <v>2373</v>
      </c>
      <c r="J343" s="26" t="str">
        <f t="array" ref="J343">IF(ISNA(XLOOKUP(I343,customers_clean!$A$2:$A$701,customers_clean!$A$2:$A$701, NA()) ),
   "❌ MISSING CUSTOMER", "✅")</f>
        <v>✅</v>
      </c>
      <c r="K343" s="2" t="str">
        <f t="array" ref="K343">XLOOKUP(I343,customers_clean!$A$2:$A$701,customers_clean!$C$2:$C$701)</f>
        <v>TARA KOWALSKI</v>
      </c>
      <c r="L343" s="10" t="str">
        <f t="array" ref="L343">XLOOKUP(I343,customers_clean!$A$2:$A$701,customers_clean!$D$2:$D$701)</f>
        <v>Tara Kowalski</v>
      </c>
      <c r="M343" s="2" t="str">
        <f t="array" ref="M343">XLOOKUP(I343,customers_clean!$A$2:$A$701,customers_clean!$I$2:$I$701)</f>
        <v>tara.kowalski@example.com</v>
      </c>
      <c r="N343" s="10" t="str">
        <f t="array" ref="N343">XLOOKUP(I343,customers_clean!$A$2:$A$701,customers_clean!$H$2:$H$701)</f>
        <v>tara.kowalski@example.com</v>
      </c>
      <c r="O343" s="9" t="str">
        <f>IFERROR(__xludf.DUMMYFUNCTION("IF(REGEXMATCH(TRIM(N343),""^[A-Za-z0-9._%+-]+@[A-Za-z0-9.-]+\.[A-Za-z]{2,}$""),""✅ Valid"",""❌ Invalid"")"),"✅ Valid")</f>
        <v>✅ Valid</v>
      </c>
      <c r="P343" s="2">
        <f t="array" ref="P343">XLOOKUP(I343,customers_clean!$A$2:$A$701,customers_clean!$K$2:$K$701)</f>
        <v>78254919</v>
      </c>
      <c r="Q343" s="10" t="str">
        <f t="array" ref="Q343">XLOOKUP(I343,customers_clean!$A$2:$A$701,customers_clean!$N$2:$N$701)</f>
        <v>78254919</v>
      </c>
      <c r="R343" s="9" t="str">
        <f t="array" ref="R343">XLOOKUP(I343,customers_clean!$A$2:$A$701,customers_clean!$Q$2:$Q$701)</f>
        <v>❌ INVALID</v>
      </c>
      <c r="S343" s="10" t="s">
        <v>139</v>
      </c>
      <c r="T343" s="2" t="s">
        <v>59</v>
      </c>
      <c r="U343" s="2" t="s">
        <v>75</v>
      </c>
      <c r="V343" s="2" t="s">
        <v>3454</v>
      </c>
      <c r="W343" s="9" t="str">
        <f t="array" ref="W343">IF(ISNA(XLOOKUP(V343,products_master_corrected!$A$2:$A$151,products_master_corrected!$A$2:$A$151, NA())),
    "❌ MISSING SKU", "✅")</f>
        <v>✅</v>
      </c>
      <c r="X343" s="2" t="s">
        <v>524</v>
      </c>
      <c r="Y343" s="2" t="s">
        <v>179</v>
      </c>
      <c r="Z343" s="10" t="s">
        <v>179</v>
      </c>
      <c r="AA343" s="27">
        <v>1.0</v>
      </c>
      <c r="AB343" s="9" t="s">
        <v>8649</v>
      </c>
      <c r="AC343" s="28">
        <f t="array" ref="AC343">XLOOKUP(V343,products_master_corrected!$A$2:$A$151,products_master_corrected!$E$2:$E$151)</f>
        <v>270.01</v>
      </c>
      <c r="AD343" s="28">
        <f t="shared" si="37"/>
        <v>270.01</v>
      </c>
      <c r="AE343" s="28">
        <f t="array" ref="AE343">XLOOKUP(V343,products_master_corrected!$A$2:$A$151,products_master_corrected!$L$2:$L$151)</f>
        <v>292.02</v>
      </c>
      <c r="AF343" s="29">
        <f t="shared" si="38"/>
        <v>292.02</v>
      </c>
      <c r="AG343" s="32" t="s">
        <v>8665</v>
      </c>
      <c r="AH343" s="2" t="s">
        <v>505</v>
      </c>
      <c r="AI343" s="10" t="s">
        <v>181</v>
      </c>
      <c r="AJ343" s="2" t="s">
        <v>294</v>
      </c>
      <c r="AK343" s="10" t="s">
        <v>80</v>
      </c>
      <c r="AL343" s="2" t="s">
        <v>81</v>
      </c>
    </row>
    <row r="344" ht="15.75" customHeight="1">
      <c r="A344" s="2" t="s">
        <v>2371</v>
      </c>
      <c r="B344" s="12">
        <v>45683.680555555555</v>
      </c>
      <c r="C344" s="2" t="str">
        <f>IFERROR(__xludf.DUMMYFUNCTION("IF(ISNUMBER(B344),TEXT(B344,""yyyy-MM-dd""),REGEXREPLACE(REGEXREPLACE(TO_TEXT(B344),""[^0-9a-zA-Z]+"",""-""),""[^0-9]*$"",""""))"),"2025-01-26")</f>
        <v>2025-01-26</v>
      </c>
      <c r="D344" s="2" t="s">
        <v>8811</v>
      </c>
      <c r="H344" s="10" t="s">
        <v>8811</v>
      </c>
      <c r="I344" s="2" t="s">
        <v>2373</v>
      </c>
      <c r="J344" s="26" t="str">
        <f t="array" ref="J344">IF(ISNA(XLOOKUP(I344,customers_clean!$A$2:$A$701,customers_clean!$A$2:$A$701, NA()) ),
   "❌ MISSING CUSTOMER", "✅")</f>
        <v>✅</v>
      </c>
      <c r="K344" s="2" t="str">
        <f t="array" ref="K344">XLOOKUP(I344,customers_clean!$A$2:$A$701,customers_clean!$C$2:$C$701)</f>
        <v>TARA KOWALSKI</v>
      </c>
      <c r="L344" s="10" t="str">
        <f t="array" ref="L344">XLOOKUP(I344,customers_clean!$A$2:$A$701,customers_clean!$D$2:$D$701)</f>
        <v>Tara Kowalski</v>
      </c>
      <c r="M344" s="2" t="str">
        <f t="array" ref="M344">XLOOKUP(I344,customers_clean!$A$2:$A$701,customers_clean!$I$2:$I$701)</f>
        <v>tara.kowalski@example.com</v>
      </c>
      <c r="N344" s="10" t="str">
        <f t="array" ref="N344">XLOOKUP(I344,customers_clean!$A$2:$A$701,customers_clean!$H$2:$H$701)</f>
        <v>tara.kowalski@example.com</v>
      </c>
      <c r="O344" s="9" t="str">
        <f>IFERROR(__xludf.DUMMYFUNCTION("IF(REGEXMATCH(TRIM(N344),""^[A-Za-z0-9._%+-]+@[A-Za-z0-9.-]+\.[A-Za-z]{2,}$""),""✅ Valid"",""❌ Invalid"")"),"✅ Valid")</f>
        <v>✅ Valid</v>
      </c>
      <c r="P344" s="2">
        <f t="array" ref="P344">XLOOKUP(I344,customers_clean!$A$2:$A$701,customers_clean!$K$2:$K$701)</f>
        <v>78254919</v>
      </c>
      <c r="Q344" s="10" t="str">
        <f t="array" ref="Q344">XLOOKUP(I344,customers_clean!$A$2:$A$701,customers_clean!$N$2:$N$701)</f>
        <v>78254919</v>
      </c>
      <c r="R344" s="9" t="str">
        <f t="array" ref="R344">XLOOKUP(I344,customers_clean!$A$2:$A$701,customers_clean!$Q$2:$Q$701)</f>
        <v>❌ INVALID</v>
      </c>
      <c r="S344" s="10" t="s">
        <v>139</v>
      </c>
      <c r="T344" s="2" t="s">
        <v>2377</v>
      </c>
      <c r="U344" s="2" t="s">
        <v>401</v>
      </c>
      <c r="V344" s="2" t="s">
        <v>1815</v>
      </c>
      <c r="W344" s="9" t="str">
        <f t="array" ref="W344">IF(ISNA(XLOOKUP(V344,products_master_corrected!$A$2:$A$151,products_master_corrected!$A$2:$A$151, NA())),
    "❌ MISSING SKU", "✅")</f>
        <v>✅</v>
      </c>
      <c r="X344" s="2" t="s">
        <v>768</v>
      </c>
      <c r="Y344" s="2" t="s">
        <v>368</v>
      </c>
      <c r="Z344" s="10" t="s">
        <v>368</v>
      </c>
      <c r="AA344" s="27">
        <v>1.0</v>
      </c>
      <c r="AB344" s="9" t="s">
        <v>8649</v>
      </c>
      <c r="AC344" s="28">
        <f t="array" ref="AC344">XLOOKUP(V344,products_master_corrected!$A$2:$A$151,products_master_corrected!$E$2:$E$151)</f>
        <v>42.65</v>
      </c>
      <c r="AD344" s="28">
        <f t="shared" si="37"/>
        <v>42.65</v>
      </c>
      <c r="AE344" s="28">
        <f t="array" ref="AE344">XLOOKUP(V344,products_master_corrected!$A$2:$A$151,products_master_corrected!$L$2:$L$151)</f>
        <v>46.13</v>
      </c>
      <c r="AF344" s="29">
        <f t="shared" si="38"/>
        <v>46.13</v>
      </c>
      <c r="AG344" s="32" t="s">
        <v>8665</v>
      </c>
      <c r="AH344" s="2" t="s">
        <v>66</v>
      </c>
      <c r="AI344" s="10" t="s">
        <v>66</v>
      </c>
      <c r="AJ344" s="2" t="s">
        <v>345</v>
      </c>
      <c r="AK344" s="10" t="s">
        <v>261</v>
      </c>
      <c r="AL344" s="2" t="s">
        <v>51</v>
      </c>
    </row>
    <row r="345" ht="15.75" customHeight="1">
      <c r="A345" s="2" t="s">
        <v>5650</v>
      </c>
      <c r="B345" s="12" t="s">
        <v>5651</v>
      </c>
      <c r="C345" s="2" t="str">
        <f>IFERROR(__xludf.DUMMYFUNCTION("IF(ISNUMBER(B345),TEXT(B345,""yyyy-MM-dd""),REGEXREPLACE(REGEXREPLACE(TO_TEXT(B345),""[^0-9a-zA-Z]+"",""-""),""[^0-9]*$"",""""))"),"45178-12-52")</f>
        <v>45178-12-52</v>
      </c>
      <c r="D345" s="2" t="str">
        <f>TEXT(C345,"yyyy-MM-dd")</f>
        <v>45178-12-52</v>
      </c>
      <c r="E345" s="25" t="str">
        <f>CONCATENATE(LEFT(D345,5))</f>
        <v>45178</v>
      </c>
      <c r="F345" s="12">
        <f>DATE(1900,1,1) + E345 - 1</f>
        <v>45179</v>
      </c>
      <c r="G345" s="2" t="s">
        <v>8812</v>
      </c>
      <c r="H345" s="10" t="s">
        <v>8812</v>
      </c>
      <c r="I345" s="2" t="s">
        <v>5652</v>
      </c>
      <c r="J345" s="26" t="str">
        <f t="array" ref="J345">IF(ISNA(XLOOKUP(I345,customers_clean!$A$2:$A$701,customers_clean!$A$2:$A$701, NA()) ),
   "❌ MISSING CUSTOMER", "✅")</f>
        <v>✅</v>
      </c>
      <c r="K345" s="2" t="str">
        <f t="array" ref="K345">XLOOKUP(I345,customers_clean!$A$2:$A$701,customers_clean!$C$2:$C$701)</f>
        <v>Ethan Taylor</v>
      </c>
      <c r="L345" s="10" t="str">
        <f t="array" ref="L345">XLOOKUP(I345,customers_clean!$A$2:$A$701,customers_clean!$D$2:$D$701)</f>
        <v>Ethan Taylor</v>
      </c>
      <c r="M345" s="2" t="str">
        <f t="array" ref="M345">XLOOKUP(I345,customers_clean!$A$2:$A$701,customers_clean!$I$2:$I$701)</f>
        <v>ETHAN.TAYLOR@SHPO.IO</v>
      </c>
      <c r="N345" s="10" t="str">
        <f t="array" ref="N345">XLOOKUP(I345,customers_clean!$A$2:$A$701,customers_clean!$H$2:$H$701)</f>
        <v>ethan.taylor@shpo.io</v>
      </c>
      <c r="O345" s="9" t="str">
        <f>IFERROR(__xludf.DUMMYFUNCTION("IF(REGEXMATCH(TRIM(N345),""^[A-Za-z0-9._%+-]+@[A-Za-z0-9.-]+\.[A-Za-z]{2,}$""),""✅ Valid"",""❌ Invalid"")"),"✅ Valid")</f>
        <v>✅ Valid</v>
      </c>
      <c r="P345" s="2" t="str">
        <f t="array" ref="P345">XLOOKUP(I345,customers_clean!$A$2:$A$701,customers_clean!$K$2:$K$701)</f>
        <v>+39 97 24 00 33 44</v>
      </c>
      <c r="Q345" s="10" t="str">
        <f t="array" ref="Q345">XLOOKUP(I345,customers_clean!$A$2:$A$701,customers_clean!$N$2:$N$701)</f>
        <v>9724003344</v>
      </c>
      <c r="R345" s="9" t="str">
        <f t="array" ref="R345">XLOOKUP(I345,customers_clean!$A$2:$A$701,customers_clean!$Q$2:$Q$701)</f>
        <v>❌ INVALID</v>
      </c>
      <c r="S345" s="31" t="s">
        <v>671</v>
      </c>
      <c r="T345" s="2" t="s">
        <v>74</v>
      </c>
      <c r="U345" s="2" t="s">
        <v>1245</v>
      </c>
      <c r="V345" s="2" t="s">
        <v>2483</v>
      </c>
      <c r="W345" s="9" t="str">
        <f t="array" ref="W345">IF(ISNA(XLOOKUP(V345,products_master_corrected!$A$2:$A$151,products_master_corrected!$A$2:$A$151, NA())),
    "❌ MISSING SKU", "✅")</f>
        <v>✅</v>
      </c>
      <c r="X345" s="2" t="s">
        <v>280</v>
      </c>
      <c r="Y345" s="2" t="s">
        <v>503</v>
      </c>
      <c r="Z345" s="10" t="str">
        <f>PROPER(TRIM(Y345))</f>
        <v>Monitors</v>
      </c>
      <c r="AA345" s="27">
        <v>1.0</v>
      </c>
      <c r="AB345" s="9" t="s">
        <v>8649</v>
      </c>
      <c r="AC345" s="28">
        <f t="array" ref="AC345">XLOOKUP(V345,products_master_corrected!$A$2:$A$151,products_master_corrected!$E$2:$E$151)</f>
        <v>76.81</v>
      </c>
      <c r="AD345" s="28">
        <f t="shared" si="37"/>
        <v>76.81</v>
      </c>
      <c r="AE345" s="28">
        <f t="array" ref="AE345">XLOOKUP(V345,products_master_corrected!$A$2:$A$151,products_master_corrected!$J$2:$J$151)</f>
        <v>89.58</v>
      </c>
      <c r="AF345" s="29">
        <f t="shared" si="38"/>
        <v>89.58</v>
      </c>
      <c r="AG345" s="32" t="s">
        <v>8656</v>
      </c>
      <c r="AH345" s="2" t="s">
        <v>143</v>
      </c>
      <c r="AI345" s="10" t="s">
        <v>143</v>
      </c>
      <c r="AJ345" s="2" t="s">
        <v>818</v>
      </c>
      <c r="AK345" s="10" t="s">
        <v>818</v>
      </c>
      <c r="AL345" s="2" t="s">
        <v>67</v>
      </c>
    </row>
    <row r="346" ht="15.75" customHeight="1">
      <c r="A346" s="2" t="s">
        <v>4980</v>
      </c>
      <c r="B346" s="12">
        <v>45181.0</v>
      </c>
      <c r="C346" s="2" t="str">
        <f>IFERROR(__xludf.DUMMYFUNCTION("IF(ISNUMBER(B346),TEXT(B346,""yyyy-MM-dd""),REGEXREPLACE(REGEXREPLACE(TO_TEXT(B346),""[^0-9a-zA-Z]+"",""-""),""[^0-9]*$"",""""))"),"2023-09-12")</f>
        <v>2023-09-12</v>
      </c>
      <c r="D346" s="2" t="s">
        <v>7753</v>
      </c>
      <c r="H346" s="10" t="s">
        <v>7753</v>
      </c>
      <c r="I346" s="2" t="s">
        <v>4982</v>
      </c>
      <c r="J346" s="26" t="str">
        <f t="array" ref="J346">IF(ISNA(XLOOKUP(I346,customers_clean!$A$2:$A$701,customers_clean!$A$2:$A$701, NA()) ),
   "❌ MISSING CUSTOMER", "✅")</f>
        <v>✅</v>
      </c>
      <c r="K346" s="2" t="str">
        <f t="array" ref="K346">XLOOKUP(I346,customers_clean!$A$2:$A$701,customers_clean!$C$2:$C$701)</f>
        <v>Sam Davis</v>
      </c>
      <c r="L346" s="10" t="str">
        <f t="array" ref="L346">XLOOKUP(I346,customers_clean!$A$2:$A$701,customers_clean!$D$2:$D$701)</f>
        <v>Sam Davis</v>
      </c>
      <c r="M346" s="2" t="str">
        <f t="array" ref="M346">XLOOKUP(I346,customers_clean!$A$2:$A$701,customers_clean!$I$2:$I$701)</f>
        <v>Sam.Davis@Yahoo.Com</v>
      </c>
      <c r="N346" s="10" t="str">
        <f t="array" ref="N346">XLOOKUP(I346,customers_clean!$A$2:$A$701,customers_clean!$H$2:$H$701)</f>
        <v>sam.davis@yahoo.com</v>
      </c>
      <c r="O346" s="9" t="str">
        <f>IFERROR(__xludf.DUMMYFUNCTION("IF(REGEXMATCH(TRIM(N346),""^[A-Za-z0-9._%+-]+@[A-Za-z0-9.-]+\.[A-Za-z]{2,}$""),""✅ Valid"",""❌ Invalid"")"),"✅ Valid")</f>
        <v>✅ Valid</v>
      </c>
      <c r="P346" s="2" t="str">
        <f t="array" ref="P346">XLOOKUP(I346,customers_clean!$A$2:$A$701,customers_clean!$K$2:$K$701)</f>
        <v>(201) 52553</v>
      </c>
      <c r="Q346" s="10" t="str">
        <f t="array" ref="Q346">XLOOKUP(I346,customers_clean!$A$2:$A$701,customers_clean!$N$2:$N$701)</f>
        <v>20152553</v>
      </c>
      <c r="R346" s="9" t="str">
        <f t="array" ref="R346">XLOOKUP(I346,customers_clean!$A$2:$A$701,customers_clean!$Q$2:$Q$701)</f>
        <v>❌ INVALID</v>
      </c>
      <c r="S346" s="10" t="s">
        <v>25</v>
      </c>
      <c r="T346" s="2" t="s">
        <v>683</v>
      </c>
      <c r="U346" s="2" t="s">
        <v>480</v>
      </c>
      <c r="V346" s="2" t="s">
        <v>76</v>
      </c>
      <c r="W346" s="9" t="str">
        <f t="array" ref="W346">IF(ISNA(XLOOKUP(V346,products_master_corrected!$A$2:$A$151,products_master_corrected!$A$2:$A$151, NA())),
    "❌ MISSING SKU", "✅")</f>
        <v>✅</v>
      </c>
      <c r="X346" s="2" t="s">
        <v>77</v>
      </c>
      <c r="Y346" s="2" t="s">
        <v>78</v>
      </c>
      <c r="Z346" s="10" t="s">
        <v>355</v>
      </c>
      <c r="AA346" s="27">
        <v>1.0</v>
      </c>
      <c r="AB346" s="9" t="s">
        <v>8649</v>
      </c>
      <c r="AC346" s="28">
        <f t="array" ref="AC346">XLOOKUP(V346,products_master_corrected!$A$2:$A$151,products_master_corrected!$E$2:$E$151)</f>
        <v>153.16</v>
      </c>
      <c r="AD346" s="28">
        <f t="shared" si="37"/>
        <v>153.16</v>
      </c>
      <c r="AE346" s="28">
        <f t="array" ref="AE346">XLOOKUP(V346,products_master_corrected!$A$2:$A$151,products_master_corrected!$K$2:$K$151)</f>
        <v>788.01</v>
      </c>
      <c r="AF346" s="29">
        <f t="shared" si="38"/>
        <v>788.01</v>
      </c>
      <c r="AG346" s="30" t="s">
        <v>95</v>
      </c>
      <c r="AH346" s="2" t="s">
        <v>143</v>
      </c>
      <c r="AI346" s="10" t="s">
        <v>143</v>
      </c>
      <c r="AJ346" s="2" t="s">
        <v>192</v>
      </c>
      <c r="AK346" s="10" t="s">
        <v>192</v>
      </c>
    </row>
    <row r="347" ht="15.75" customHeight="1">
      <c r="A347" s="2" t="s">
        <v>5337</v>
      </c>
      <c r="B347" s="12">
        <v>45512.0</v>
      </c>
      <c r="C347" s="2" t="str">
        <f>IFERROR(__xludf.DUMMYFUNCTION("IF(ISNUMBER(B347),TEXT(B347,""yyyy-MM-dd""),REGEXREPLACE(REGEXREPLACE(TO_TEXT(B347),""[^0-9a-zA-Z]+"",""-""),""[^0-9]*$"",""""))"),"2024-08-08")</f>
        <v>2024-08-08</v>
      </c>
      <c r="D347" s="2" t="s">
        <v>8813</v>
      </c>
      <c r="H347" s="10" t="s">
        <v>8813</v>
      </c>
      <c r="I347" s="2" t="s">
        <v>1067</v>
      </c>
      <c r="J347" s="26" t="str">
        <f t="array" ref="J347">IF(ISNA(XLOOKUP(I347,customers_clean!$A$2:$A$701,customers_clean!$A$2:$A$701, NA()) ),
   "❌ MISSING CUSTOMER", "✅")</f>
        <v>✅</v>
      </c>
      <c r="K347" s="2" t="str">
        <f t="array" ref="K347">XLOOKUP(I347,customers_clean!$A$2:$A$701,customers_clean!$C$2:$C$701)</f>
        <v>Nina Rossi</v>
      </c>
      <c r="L347" s="10" t="str">
        <f t="array" ref="L347">XLOOKUP(I347,customers_clean!$A$2:$A$701,customers_clean!$D$2:$D$701)</f>
        <v>Nina Rossi</v>
      </c>
      <c r="M347" s="2" t="str">
        <f t="array" ref="M347">XLOOKUP(I347,customers_clean!$A$2:$A$701,customers_clean!$I$2:$I$701)</f>
        <v>nina.rossi@company.co.uk</v>
      </c>
      <c r="N347" s="10" t="str">
        <f t="array" ref="N347">XLOOKUP(I347,customers_clean!$A$2:$A$701,customers_clean!$H$2:$H$701)</f>
        <v>nina.rossi@company.co.uk</v>
      </c>
      <c r="O347" s="9" t="str">
        <f>IFERROR(__xludf.DUMMYFUNCTION("IF(REGEXMATCH(TRIM(N347),""^[A-Za-z0-9._%+-]+@[A-Za-z0-9.-]+\.[A-Za-z]{2,}$""),""✅ Valid"",""❌ Invalid"")"),"✅ Valid")</f>
        <v>✅ Valid</v>
      </c>
      <c r="P347" s="2" t="str">
        <f t="array" ref="P347">XLOOKUP(I347,customers_clean!$A$2:$A$701,customers_clean!$K$2:$K$701)</f>
        <v>+353 44 64 98 30 72</v>
      </c>
      <c r="Q347" s="10" t="str">
        <f t="array" ref="Q347">XLOOKUP(I347,customers_clean!$A$2:$A$701,customers_clean!$N$2:$N$701)</f>
        <v>4464983072</v>
      </c>
      <c r="R347" s="9" t="str">
        <f t="array" ref="R347">XLOOKUP(I347,customers_clean!$A$2:$A$701,customers_clean!$Q$2:$Q$701)</f>
        <v>❌ INVALID</v>
      </c>
      <c r="S347" s="10" t="s">
        <v>448</v>
      </c>
      <c r="T347" s="2" t="s">
        <v>42</v>
      </c>
      <c r="U347" s="2" t="s">
        <v>211</v>
      </c>
      <c r="V347" s="2" t="s">
        <v>3172</v>
      </c>
      <c r="W347" s="9" t="str">
        <f t="array" ref="W347">IF(ISNA(XLOOKUP(V347,products_master_corrected!$A$2:$A$151,products_master_corrected!$A$2:$A$151, NA())),
    "❌ MISSING SKU", "✅")</f>
        <v>✅</v>
      </c>
      <c r="X347" s="2" t="s">
        <v>8765</v>
      </c>
      <c r="Y347" s="2" t="s">
        <v>355</v>
      </c>
      <c r="Z347" s="10" t="s">
        <v>355</v>
      </c>
      <c r="AA347" s="27">
        <v>3.0</v>
      </c>
      <c r="AB347" s="9" t="s">
        <v>8649</v>
      </c>
      <c r="AC347" s="28">
        <f t="array" ref="AC347">XLOOKUP(V347,products_master_corrected!$A$2:$A$151,products_master_corrected!$E$2:$E$151)</f>
        <v>107.38</v>
      </c>
      <c r="AD347" s="28">
        <f t="shared" si="37"/>
        <v>322.14</v>
      </c>
      <c r="AE347" s="28">
        <f t="array" ref="AE347">XLOOKUP(V347,products_master_corrected!$A$2:$A$151,products_master_corrected!$M$2:$M$151)</f>
        <v>129.89</v>
      </c>
      <c r="AF347" s="29">
        <f t="shared" si="38"/>
        <v>389.67</v>
      </c>
      <c r="AG347" s="30" t="s">
        <v>48</v>
      </c>
      <c r="AH347" s="2" t="s">
        <v>49</v>
      </c>
      <c r="AI347" s="10" t="s">
        <v>49</v>
      </c>
      <c r="AJ347" s="2" t="s">
        <v>2855</v>
      </c>
      <c r="AK347" s="10" t="s">
        <v>261</v>
      </c>
    </row>
    <row r="348" ht="15.75" customHeight="1">
      <c r="A348" s="2" t="s">
        <v>1065</v>
      </c>
      <c r="B348" s="12">
        <v>45205.0</v>
      </c>
      <c r="C348" s="2" t="str">
        <f>IFERROR(__xludf.DUMMYFUNCTION("IF(ISNUMBER(B348),TEXT(B348,""yyyy-MM-dd""),REGEXREPLACE(REGEXREPLACE(TO_TEXT(B348),""[^0-9a-zA-Z]+"",""-""),""[^0-9]*$"",""""))"),"2023-10-06")</f>
        <v>2023-10-06</v>
      </c>
      <c r="D348" s="2" t="s">
        <v>7839</v>
      </c>
      <c r="H348" s="10" t="s">
        <v>7839</v>
      </c>
      <c r="I348" s="2" t="s">
        <v>1067</v>
      </c>
      <c r="J348" s="26" t="str">
        <f t="array" ref="J348">IF(ISNA(XLOOKUP(I348,customers_clean!$A$2:$A$701,customers_clean!$A$2:$A$701, NA()) ),
   "❌ MISSING CUSTOMER", "✅")</f>
        <v>✅</v>
      </c>
      <c r="K348" s="2" t="str">
        <f t="array" ref="K348">XLOOKUP(I348,customers_clean!$A$2:$A$701,customers_clean!$C$2:$C$701)</f>
        <v>Nina Rossi</v>
      </c>
      <c r="L348" s="10" t="str">
        <f t="array" ref="L348">XLOOKUP(I348,customers_clean!$A$2:$A$701,customers_clean!$D$2:$D$701)</f>
        <v>Nina Rossi</v>
      </c>
      <c r="M348" s="2" t="str">
        <f t="array" ref="M348">XLOOKUP(I348,customers_clean!$A$2:$A$701,customers_clean!$I$2:$I$701)</f>
        <v>nina.rossi@company.co.uk</v>
      </c>
      <c r="N348" s="10" t="str">
        <f t="array" ref="N348">XLOOKUP(I348,customers_clean!$A$2:$A$701,customers_clean!$H$2:$H$701)</f>
        <v>nina.rossi@company.co.uk</v>
      </c>
      <c r="O348" s="9" t="str">
        <f>IFERROR(__xludf.DUMMYFUNCTION("IF(REGEXMATCH(TRIM(N348),""^[A-Za-z0-9._%+-]+@[A-Za-z0-9.-]+\.[A-Za-z]{2,}$""),""✅ Valid"",""❌ Invalid"")"),"✅ Valid")</f>
        <v>✅ Valid</v>
      </c>
      <c r="P348" s="2" t="str">
        <f t="array" ref="P348">XLOOKUP(I348,customers_clean!$A$2:$A$701,customers_clean!$K$2:$K$701)</f>
        <v>+353 44 64 98 30 72</v>
      </c>
      <c r="Q348" s="10" t="str">
        <f t="array" ref="Q348">XLOOKUP(I348,customers_clean!$A$2:$A$701,customers_clean!$N$2:$N$701)</f>
        <v>4464983072</v>
      </c>
      <c r="R348" s="9" t="str">
        <f t="array" ref="R348">XLOOKUP(I348,customers_clean!$A$2:$A$701,customers_clean!$Q$2:$Q$701)</f>
        <v>❌ INVALID</v>
      </c>
      <c r="S348" s="10" t="s">
        <v>448</v>
      </c>
      <c r="T348" s="2" t="s">
        <v>323</v>
      </c>
      <c r="U348" s="2" t="s">
        <v>401</v>
      </c>
      <c r="V348" s="2" t="s">
        <v>939</v>
      </c>
      <c r="W348" s="9" t="str">
        <f t="array" ref="W348">IF(ISNA(XLOOKUP(V348,products_master_corrected!$A$2:$A$151,products_master_corrected!$A$2:$A$151, NA())),
    "❌ MISSING SKU", "✅")</f>
        <v>✅</v>
      </c>
      <c r="X348" s="2" t="s">
        <v>940</v>
      </c>
      <c r="Y348" s="2" t="s">
        <v>941</v>
      </c>
      <c r="Z348" s="10" t="str">
        <f>PROPER(TRIM(Y348))</f>
        <v>Monitors</v>
      </c>
      <c r="AA348" s="27">
        <v>5.0</v>
      </c>
      <c r="AB348" s="9" t="s">
        <v>8649</v>
      </c>
      <c r="AC348" s="28">
        <f t="array" ref="AC348">XLOOKUP(V348,products_master_corrected!$A$2:$A$151,products_master_corrected!$E$2:$E$151)</f>
        <v>215.15</v>
      </c>
      <c r="AD348" s="28">
        <f t="shared" si="37"/>
        <v>1075.75</v>
      </c>
      <c r="AE348" s="28">
        <f t="array" ref="AE348">XLOOKUP(V348,products_master_corrected!$A$2:$A$151,products_master_corrected!$M$2:$M$151)</f>
        <v>260.25</v>
      </c>
      <c r="AF348" s="29">
        <f t="shared" si="38"/>
        <v>1301.25</v>
      </c>
      <c r="AG348" s="30" t="s">
        <v>48</v>
      </c>
      <c r="AH348" s="2" t="s">
        <v>143</v>
      </c>
      <c r="AI348" s="10" t="s">
        <v>143</v>
      </c>
      <c r="AJ348" s="2" t="s">
        <v>120</v>
      </c>
      <c r="AK348" s="10" t="s">
        <v>818</v>
      </c>
      <c r="AL348" s="2" t="s">
        <v>81</v>
      </c>
    </row>
    <row r="349" ht="15.75" customHeight="1">
      <c r="A349" s="2" t="s">
        <v>4007</v>
      </c>
      <c r="B349" s="12">
        <v>45668.0</v>
      </c>
      <c r="C349" s="2" t="str">
        <f>IFERROR(__xludf.DUMMYFUNCTION("IF(ISNUMBER(B349),TEXT(B349,""yyyy-MM-dd""),REGEXREPLACE(REGEXREPLACE(TO_TEXT(B349),""[^0-9a-zA-Z]+"",""-""),""[^0-9]*$"",""""))"),"2025-01-11")</f>
        <v>2025-01-11</v>
      </c>
      <c r="D349" s="2" t="s">
        <v>4008</v>
      </c>
      <c r="H349" s="10" t="s">
        <v>4008</v>
      </c>
      <c r="I349" s="2" t="s">
        <v>1067</v>
      </c>
      <c r="J349" s="26" t="str">
        <f t="array" ref="J349">IF(ISNA(XLOOKUP(I349,customers_clean!$A$2:$A$701,customers_clean!$A$2:$A$701, NA()) ),
   "❌ MISSING CUSTOMER", "✅")</f>
        <v>✅</v>
      </c>
      <c r="K349" s="2" t="str">
        <f t="array" ref="K349">XLOOKUP(I349,customers_clean!$A$2:$A$701,customers_clean!$C$2:$C$701)</f>
        <v>Nina Rossi</v>
      </c>
      <c r="L349" s="10" t="str">
        <f t="array" ref="L349">XLOOKUP(I349,customers_clean!$A$2:$A$701,customers_clean!$D$2:$D$701)</f>
        <v>Nina Rossi</v>
      </c>
      <c r="M349" s="2" t="str">
        <f t="array" ref="M349">XLOOKUP(I349,customers_clean!$A$2:$A$701,customers_clean!$I$2:$I$701)</f>
        <v>nina.rossi@company.co.uk</v>
      </c>
      <c r="N349" s="10" t="str">
        <f t="array" ref="N349">XLOOKUP(I349,customers_clean!$A$2:$A$701,customers_clean!$H$2:$H$701)</f>
        <v>nina.rossi@company.co.uk</v>
      </c>
      <c r="O349" s="9" t="str">
        <f>IFERROR(__xludf.DUMMYFUNCTION("IF(REGEXMATCH(TRIM(N349),""^[A-Za-z0-9._%+-]+@[A-Za-z0-9.-]+\.[A-Za-z]{2,}$""),""✅ Valid"",""❌ Invalid"")"),"✅ Valid")</f>
        <v>✅ Valid</v>
      </c>
      <c r="P349" s="2" t="str">
        <f t="array" ref="P349">XLOOKUP(I349,customers_clean!$A$2:$A$701,customers_clean!$K$2:$K$701)</f>
        <v>+353 44 64 98 30 72</v>
      </c>
      <c r="Q349" s="10" t="str">
        <f t="array" ref="Q349">XLOOKUP(I349,customers_clean!$A$2:$A$701,customers_clean!$N$2:$N$701)</f>
        <v>4464983072</v>
      </c>
      <c r="R349" s="9" t="str">
        <f t="array" ref="R349">XLOOKUP(I349,customers_clean!$A$2:$A$701,customers_clean!$Q$2:$Q$701)</f>
        <v>❌ INVALID</v>
      </c>
      <c r="S349" s="10" t="s">
        <v>448</v>
      </c>
      <c r="T349" s="2" t="s">
        <v>223</v>
      </c>
      <c r="U349" s="2" t="s">
        <v>4009</v>
      </c>
      <c r="V349" s="2" t="s">
        <v>269</v>
      </c>
      <c r="W349" s="9" t="str">
        <f t="array" ref="W349">IF(ISNA(XLOOKUP(V349,products_master_corrected!$A$2:$A$151,products_master_corrected!$A$2:$A$151, NA())),
    "❌ MISSING SKU", "✅")</f>
        <v>✅</v>
      </c>
      <c r="X349" s="2" t="s">
        <v>524</v>
      </c>
      <c r="Y349" s="2" t="s">
        <v>271</v>
      </c>
      <c r="Z349" s="10" t="s">
        <v>368</v>
      </c>
      <c r="AA349" s="27">
        <v>1.0</v>
      </c>
      <c r="AB349" s="9" t="s">
        <v>8649</v>
      </c>
      <c r="AC349" s="28">
        <f t="array" ref="AC349">XLOOKUP(V349,products_master_corrected!$A$2:$A$151,products_master_corrected!$E$2:$E$151)</f>
        <v>219.29</v>
      </c>
      <c r="AD349" s="28">
        <f t="shared" si="37"/>
        <v>219.29</v>
      </c>
      <c r="AE349" s="28">
        <f t="array" ref="AE349">XLOOKUP(V349,products_master_corrected!$A$2:$A$151,products_master_corrected!$M$2:$M$151)</f>
        <v>265.25</v>
      </c>
      <c r="AF349" s="29">
        <f t="shared" si="38"/>
        <v>265.25</v>
      </c>
      <c r="AG349" s="30" t="s">
        <v>48</v>
      </c>
      <c r="AH349" s="2" t="s">
        <v>305</v>
      </c>
      <c r="AI349" s="10" t="s">
        <v>49</v>
      </c>
      <c r="AJ349" s="2" t="s">
        <v>380</v>
      </c>
      <c r="AK349" s="10" t="s">
        <v>80</v>
      </c>
    </row>
    <row r="350" ht="15.75" customHeight="1">
      <c r="A350" s="2" t="s">
        <v>5171</v>
      </c>
      <c r="B350" s="12">
        <v>45810.0</v>
      </c>
      <c r="C350" s="2" t="str">
        <f>IFERROR(__xludf.DUMMYFUNCTION("IF(ISNUMBER(B350),TEXT(B350,""yyyy-MM-dd""),REGEXREPLACE(REGEXREPLACE(TO_TEXT(B350),""[^0-9a-zA-Z]+"",""-""),""[^0-9]*$"",""""))"),"2025-06-02")</f>
        <v>2025-06-02</v>
      </c>
      <c r="D350" s="2" t="s">
        <v>8723</v>
      </c>
      <c r="H350" s="10" t="s">
        <v>8723</v>
      </c>
      <c r="I350" s="2" t="s">
        <v>1067</v>
      </c>
      <c r="J350" s="26" t="str">
        <f t="array" ref="J350">IF(ISNA(XLOOKUP(I350,customers_clean!$A$2:$A$701,customers_clean!$A$2:$A$701, NA()) ),
   "❌ MISSING CUSTOMER", "✅")</f>
        <v>✅</v>
      </c>
      <c r="K350" s="2" t="str">
        <f t="array" ref="K350">XLOOKUP(I350,customers_clean!$A$2:$A$701,customers_clean!$C$2:$C$701)</f>
        <v>Nina Rossi</v>
      </c>
      <c r="L350" s="10" t="str">
        <f t="array" ref="L350">XLOOKUP(I350,customers_clean!$A$2:$A$701,customers_clean!$D$2:$D$701)</f>
        <v>Nina Rossi</v>
      </c>
      <c r="M350" s="2" t="str">
        <f t="array" ref="M350">XLOOKUP(I350,customers_clean!$A$2:$A$701,customers_clean!$I$2:$I$701)</f>
        <v>nina.rossi@company.co.uk</v>
      </c>
      <c r="N350" s="10" t="str">
        <f t="array" ref="N350">XLOOKUP(I350,customers_clean!$A$2:$A$701,customers_clean!$H$2:$H$701)</f>
        <v>nina.rossi@company.co.uk</v>
      </c>
      <c r="O350" s="9" t="str">
        <f>IFERROR(__xludf.DUMMYFUNCTION("IF(REGEXMATCH(TRIM(N350),""^[A-Za-z0-9._%+-]+@[A-Za-z0-9.-]+\.[A-Za-z]{2,}$""),""✅ Valid"",""❌ Invalid"")"),"✅ Valid")</f>
        <v>✅ Valid</v>
      </c>
      <c r="P350" s="2" t="str">
        <f t="array" ref="P350">XLOOKUP(I350,customers_clean!$A$2:$A$701,customers_clean!$K$2:$K$701)</f>
        <v>+353 44 64 98 30 72</v>
      </c>
      <c r="Q350" s="10" t="str">
        <f t="array" ref="Q350">XLOOKUP(I350,customers_clean!$A$2:$A$701,customers_clean!$N$2:$N$701)</f>
        <v>4464983072</v>
      </c>
      <c r="R350" s="9" t="str">
        <f t="array" ref="R350">XLOOKUP(I350,customers_clean!$A$2:$A$701,customers_clean!$Q$2:$Q$701)</f>
        <v>❌ INVALID</v>
      </c>
      <c r="S350" s="10" t="s">
        <v>448</v>
      </c>
      <c r="T350" s="2" t="s">
        <v>223</v>
      </c>
      <c r="U350" s="2" t="s">
        <v>352</v>
      </c>
      <c r="V350" s="2" t="s">
        <v>2605</v>
      </c>
      <c r="W350" s="9" t="str">
        <f t="array" ref="W350">IF(ISNA(XLOOKUP(V350,products_master_corrected!$A$2:$A$151,products_master_corrected!$A$2:$A$151, NA())),
    "❌ MISSING SKU", "✅")</f>
        <v>✅</v>
      </c>
      <c r="X350" s="2" t="s">
        <v>280</v>
      </c>
      <c r="Y350" s="2" t="s">
        <v>292</v>
      </c>
      <c r="Z350" s="10" t="s">
        <v>63</v>
      </c>
      <c r="AA350" s="27">
        <v>2.0</v>
      </c>
      <c r="AB350" s="9" t="s">
        <v>8649</v>
      </c>
      <c r="AC350" s="28">
        <f t="array" ref="AC350">XLOOKUP(V350,products_master_corrected!$A$2:$A$151,products_master_corrected!$E$2:$E$151)</f>
        <v>142.47</v>
      </c>
      <c r="AD350" s="28">
        <f t="shared" si="37"/>
        <v>284.94</v>
      </c>
      <c r="AE350" s="28">
        <f t="array" ref="AE350">XLOOKUP(V350,products_master_corrected!$A$2:$A$151,products_master_corrected!$M$2:$M$151)</f>
        <v>172.33</v>
      </c>
      <c r="AF350" s="29">
        <f t="shared" si="38"/>
        <v>344.66</v>
      </c>
      <c r="AG350" s="30" t="s">
        <v>48</v>
      </c>
      <c r="AH350" s="2" t="s">
        <v>49</v>
      </c>
      <c r="AI350" s="10" t="s">
        <v>49</v>
      </c>
      <c r="AJ350" s="2" t="s">
        <v>192</v>
      </c>
      <c r="AK350" s="10" t="s">
        <v>192</v>
      </c>
      <c r="AL350" s="2" t="s">
        <v>133</v>
      </c>
    </row>
    <row r="351" ht="15.75" customHeight="1">
      <c r="A351" s="2" t="s">
        <v>2048</v>
      </c>
      <c r="B351" s="12">
        <v>45208.0</v>
      </c>
      <c r="C351" s="2" t="str">
        <f>IFERROR(__xludf.DUMMYFUNCTION("IF(ISNUMBER(B351),TEXT(B351,""yyyy-MM-dd""),REGEXREPLACE(REGEXREPLACE(TO_TEXT(B351),""[^0-9a-zA-Z]+"",""-""),""[^0-9]*$"",""""))"),"2023-10-09")</f>
        <v>2023-10-09</v>
      </c>
      <c r="D351" s="2" t="s">
        <v>1710</v>
      </c>
      <c r="H351" s="10" t="s">
        <v>1710</v>
      </c>
      <c r="I351" s="2" t="s">
        <v>427</v>
      </c>
      <c r="J351" s="26" t="str">
        <f t="array" ref="J351">IF(ISNA(XLOOKUP(I351,customers_clean!$A$2:$A$701,customers_clean!$A$2:$A$701, NA()) ),
   "❌ MISSING CUSTOMER", "✅")</f>
        <v>✅</v>
      </c>
      <c r="K351" s="2" t="str">
        <f t="array" ref="K351">XLOOKUP(I351,customers_clean!$A$2:$A$701,customers_clean!$C$2:$C$701)</f>
        <v>Igor Martinez</v>
      </c>
      <c r="L351" s="10" t="str">
        <f t="array" ref="L351">XLOOKUP(I351,customers_clean!$A$2:$A$701,customers_clean!$D$2:$D$701)</f>
        <v>Igor Martinez</v>
      </c>
      <c r="M351" s="2" t="str">
        <f t="array" ref="M351">XLOOKUP(I351,customers_clean!$A$2:$A$701,customers_clean!$I$2:$I$701)</f>
        <v>Igor.Martinez@Yahoo.Com</v>
      </c>
      <c r="N351" s="10" t="str">
        <f t="array" ref="N351">XLOOKUP(I351,customers_clean!$A$2:$A$701,customers_clean!$H$2:$H$701)</f>
        <v>igor.martinez@yahoo.com</v>
      </c>
      <c r="O351" s="9" t="str">
        <f>IFERROR(__xludf.DUMMYFUNCTION("IF(REGEXMATCH(TRIM(N351),""^[A-Za-z0-9._%+-]+@[A-Za-z0-9.-]+\.[A-Za-z]{2,}$""),""✅ Valid"",""❌ Invalid"")"),"✅ Valid")</f>
        <v>✅ Valid</v>
      </c>
      <c r="P351" s="2" t="str">
        <f t="array" ref="P351">XLOOKUP(I351,customers_clean!$A$2:$A$701,customers_clean!$K$2:$K$701)</f>
        <v>+49 606 7552955</v>
      </c>
      <c r="Q351" s="10" t="str">
        <f t="array" ref="Q351">XLOOKUP(I351,customers_clean!$A$2:$A$701,customers_clean!$N$2:$N$701)</f>
        <v>6067552955</v>
      </c>
      <c r="R351" s="9" t="str">
        <f t="array" ref="R351">XLOOKUP(I351,customers_clean!$A$2:$A$701,customers_clean!$Q$2:$Q$701)</f>
        <v>❌ INVALID</v>
      </c>
      <c r="S351" s="10" t="s">
        <v>448</v>
      </c>
      <c r="T351" s="2" t="s">
        <v>802</v>
      </c>
      <c r="U351" s="2" t="s">
        <v>43</v>
      </c>
      <c r="V351" s="2" t="s">
        <v>269</v>
      </c>
      <c r="W351" s="9" t="str">
        <f t="array" ref="W351">IF(ISNA(XLOOKUP(V351,products_master_corrected!$A$2:$A$151,products_master_corrected!$A$2:$A$151, NA())),
    "❌ MISSING SKU", "✅")</f>
        <v>✅</v>
      </c>
      <c r="X351" s="2" t="s">
        <v>524</v>
      </c>
      <c r="Y351" s="2" t="s">
        <v>271</v>
      </c>
      <c r="Z351" s="10" t="s">
        <v>368</v>
      </c>
      <c r="AA351" s="27">
        <v>1.0</v>
      </c>
      <c r="AB351" s="9" t="s">
        <v>8649</v>
      </c>
      <c r="AC351" s="28">
        <f t="array" ref="AC351">XLOOKUP(V351,products_master_corrected!$A$2:$A$151,products_master_corrected!$E$2:$E$151)</f>
        <v>219.29</v>
      </c>
      <c r="AD351" s="28">
        <f t="shared" si="37"/>
        <v>219.29</v>
      </c>
      <c r="AE351" s="28">
        <f t="array" ref="AE351">XLOOKUP(V351,products_master_corrected!$A$2:$A$151,products_master_corrected!$M$2:$M$151)</f>
        <v>265.25</v>
      </c>
      <c r="AF351" s="29">
        <f t="shared" si="38"/>
        <v>265.25</v>
      </c>
      <c r="AG351" s="30" t="s">
        <v>48</v>
      </c>
      <c r="AH351" s="2" t="s">
        <v>2051</v>
      </c>
      <c r="AI351" s="10" t="s">
        <v>66</v>
      </c>
      <c r="AJ351" s="2" t="s">
        <v>1171</v>
      </c>
      <c r="AK351" s="10" t="s">
        <v>80</v>
      </c>
    </row>
    <row r="352" ht="15.75" customHeight="1">
      <c r="A352" s="2" t="s">
        <v>5426</v>
      </c>
      <c r="B352" s="12">
        <v>45537.0</v>
      </c>
      <c r="C352" s="2" t="str">
        <f>IFERROR(__xludf.DUMMYFUNCTION("IF(ISNUMBER(B352),TEXT(B352,""yyyy-MM-dd""),REGEXREPLACE(REGEXREPLACE(TO_TEXT(B352),""[^0-9a-zA-Z]+"",""-""),""[^0-9]*$"",""""))"),"2024-09-02")</f>
        <v>2024-09-02</v>
      </c>
      <c r="D352" s="2" t="s">
        <v>8814</v>
      </c>
      <c r="H352" s="10" t="s">
        <v>8814</v>
      </c>
      <c r="I352" s="2" t="s">
        <v>427</v>
      </c>
      <c r="J352" s="26" t="str">
        <f t="array" ref="J352">IF(ISNA(XLOOKUP(I352,customers_clean!$A$2:$A$701,customers_clean!$A$2:$A$701, NA()) ),
   "❌ MISSING CUSTOMER", "✅")</f>
        <v>✅</v>
      </c>
      <c r="K352" s="2" t="str">
        <f t="array" ref="K352">XLOOKUP(I352,customers_clean!$A$2:$A$701,customers_clean!$C$2:$C$701)</f>
        <v>Igor Martinez</v>
      </c>
      <c r="L352" s="10" t="str">
        <f t="array" ref="L352">XLOOKUP(I352,customers_clean!$A$2:$A$701,customers_clean!$D$2:$D$701)</f>
        <v>Igor Martinez</v>
      </c>
      <c r="M352" s="2" t="str">
        <f t="array" ref="M352">XLOOKUP(I352,customers_clean!$A$2:$A$701,customers_clean!$I$2:$I$701)</f>
        <v>Igor.Martinez@Yahoo.Com</v>
      </c>
      <c r="N352" s="10" t="str">
        <f t="array" ref="N352">XLOOKUP(I352,customers_clean!$A$2:$A$701,customers_clean!$H$2:$H$701)</f>
        <v>igor.martinez@yahoo.com</v>
      </c>
      <c r="O352" s="9" t="str">
        <f>IFERROR(__xludf.DUMMYFUNCTION("IF(REGEXMATCH(TRIM(N352),""^[A-Za-z0-9._%+-]+@[A-Za-z0-9.-]+\.[A-Za-z]{2,}$""),""✅ Valid"",""❌ Invalid"")"),"✅ Valid")</f>
        <v>✅ Valid</v>
      </c>
      <c r="P352" s="2" t="str">
        <f t="array" ref="P352">XLOOKUP(I352,customers_clean!$A$2:$A$701,customers_clean!$K$2:$K$701)</f>
        <v>+49 606 7552955</v>
      </c>
      <c r="Q352" s="10" t="str">
        <f t="array" ref="Q352">XLOOKUP(I352,customers_clean!$A$2:$A$701,customers_clean!$N$2:$N$701)</f>
        <v>6067552955</v>
      </c>
      <c r="R352" s="9" t="str">
        <f t="array" ref="R352">XLOOKUP(I352,customers_clean!$A$2:$A$701,customers_clean!$Q$2:$Q$701)</f>
        <v>❌ INVALID</v>
      </c>
      <c r="S352" s="10" t="s">
        <v>448</v>
      </c>
      <c r="T352" s="2" t="s">
        <v>59</v>
      </c>
      <c r="U352" s="2" t="s">
        <v>870</v>
      </c>
      <c r="V352" s="2" t="s">
        <v>269</v>
      </c>
      <c r="W352" s="9" t="str">
        <f t="array" ref="W352">IF(ISNA(XLOOKUP(V352,products_master_corrected!$A$2:$A$151,products_master_corrected!$A$2:$A$151, NA())),
    "❌ MISSING SKU", "✅")</f>
        <v>✅</v>
      </c>
      <c r="X352" s="2" t="s">
        <v>524</v>
      </c>
      <c r="Y352" s="2" t="s">
        <v>271</v>
      </c>
      <c r="Z352" s="10" t="s">
        <v>368</v>
      </c>
      <c r="AA352" s="27">
        <v>2.0</v>
      </c>
      <c r="AB352" s="9" t="s">
        <v>8649</v>
      </c>
      <c r="AC352" s="28">
        <f t="array" ref="AC352">XLOOKUP(V352,products_master_corrected!$A$2:$A$151,products_master_corrected!$E$2:$E$151)</f>
        <v>219.29</v>
      </c>
      <c r="AD352" s="28">
        <f t="shared" si="37"/>
        <v>438.58</v>
      </c>
      <c r="AE352" s="28">
        <f t="array" ref="AE352">XLOOKUP(V352,products_master_corrected!$A$2:$A$151,products_master_corrected!$M$2:$M$151)</f>
        <v>265.25</v>
      </c>
      <c r="AF352" s="29">
        <f t="shared" si="38"/>
        <v>530.5</v>
      </c>
      <c r="AG352" s="30" t="s">
        <v>48</v>
      </c>
      <c r="AH352" s="2" t="s">
        <v>1287</v>
      </c>
      <c r="AI352" s="10" t="s">
        <v>49</v>
      </c>
      <c r="AJ352" s="2" t="s">
        <v>432</v>
      </c>
      <c r="AK352" s="10" t="s">
        <v>80</v>
      </c>
      <c r="AL352" s="2" t="s">
        <v>133</v>
      </c>
    </row>
    <row r="353" ht="15.75" customHeight="1">
      <c r="A353" s="2" t="s">
        <v>425</v>
      </c>
      <c r="B353" s="12">
        <v>45742.0</v>
      </c>
      <c r="C353" s="2" t="str">
        <f>IFERROR(__xludf.DUMMYFUNCTION("IF(ISNUMBER(B353),TEXT(B353,""yyyy-MM-dd""),REGEXREPLACE(REGEXREPLACE(TO_TEXT(B353),""[^0-9a-zA-Z]+"",""-""),""[^0-9]*$"",""""))"),"2025-03-26")</f>
        <v>2025-03-26</v>
      </c>
      <c r="D353" s="2" t="s">
        <v>8385</v>
      </c>
      <c r="H353" s="10" t="s">
        <v>8385</v>
      </c>
      <c r="I353" s="2" t="s">
        <v>427</v>
      </c>
      <c r="J353" s="26" t="str">
        <f t="array" ref="J353">IF(ISNA(XLOOKUP(I353,customers_clean!$A$2:$A$701,customers_clean!$A$2:$A$701, NA()) ),
   "❌ MISSING CUSTOMER", "✅")</f>
        <v>✅</v>
      </c>
      <c r="K353" s="2" t="str">
        <f t="array" ref="K353">XLOOKUP(I353,customers_clean!$A$2:$A$701,customers_clean!$C$2:$C$701)</f>
        <v>Igor Martinez</v>
      </c>
      <c r="L353" s="10" t="str">
        <f t="array" ref="L353">XLOOKUP(I353,customers_clean!$A$2:$A$701,customers_clean!$D$2:$D$701)</f>
        <v>Igor Martinez</v>
      </c>
      <c r="M353" s="2" t="str">
        <f t="array" ref="M353">XLOOKUP(I353,customers_clean!$A$2:$A$701,customers_clean!$I$2:$I$701)</f>
        <v>Igor.Martinez@Yahoo.Com</v>
      </c>
      <c r="N353" s="10" t="str">
        <f t="array" ref="N353">XLOOKUP(I353,customers_clean!$A$2:$A$701,customers_clean!$H$2:$H$701)</f>
        <v>igor.martinez@yahoo.com</v>
      </c>
      <c r="O353" s="9" t="str">
        <f>IFERROR(__xludf.DUMMYFUNCTION("IF(REGEXMATCH(TRIM(N353),""^[A-Za-z0-9._%+-]+@[A-Za-z0-9.-]+\.[A-Za-z]{2,}$""),""✅ Valid"",""❌ Invalid"")"),"✅ Valid")</f>
        <v>✅ Valid</v>
      </c>
      <c r="P353" s="2" t="str">
        <f t="array" ref="P353">XLOOKUP(I353,customers_clean!$A$2:$A$701,customers_clean!$K$2:$K$701)</f>
        <v>+49 606 7552955</v>
      </c>
      <c r="Q353" s="10" t="str">
        <f t="array" ref="Q353">XLOOKUP(I353,customers_clean!$A$2:$A$701,customers_clean!$N$2:$N$701)</f>
        <v>6067552955</v>
      </c>
      <c r="R353" s="9" t="str">
        <f t="array" ref="R353">XLOOKUP(I353,customers_clean!$A$2:$A$701,customers_clean!$Q$2:$Q$701)</f>
        <v>❌ INVALID</v>
      </c>
      <c r="S353" s="10" t="s">
        <v>448</v>
      </c>
      <c r="T353" s="2" t="s">
        <v>234</v>
      </c>
      <c r="U353" s="2" t="s">
        <v>43</v>
      </c>
      <c r="V353" s="2" t="s">
        <v>189</v>
      </c>
      <c r="W353" s="9" t="str">
        <f t="array" ref="W353">IF(ISNA(XLOOKUP(V353,products_master_corrected!$A$2:$A$151,products_master_corrected!$A$2:$A$151, NA())),
    "❌ MISSING SKU", "✅")</f>
        <v>✅</v>
      </c>
      <c r="X353" s="2" t="s">
        <v>190</v>
      </c>
      <c r="Y353" s="2" t="s">
        <v>167</v>
      </c>
      <c r="Z353" s="10" t="str">
        <f>PROPER(TRIM(Y353))</f>
        <v>Monitors</v>
      </c>
      <c r="AA353" s="27"/>
      <c r="AB353" s="9" t="s">
        <v>8677</v>
      </c>
      <c r="AC353" s="34"/>
      <c r="AD353" s="34"/>
      <c r="AE353" s="34"/>
      <c r="AF353" s="35"/>
      <c r="AG353" s="36" t="s">
        <v>65</v>
      </c>
      <c r="AH353" s="2" t="s">
        <v>370</v>
      </c>
      <c r="AI353" s="10" t="s">
        <v>143</v>
      </c>
      <c r="AJ353" s="2" t="s">
        <v>432</v>
      </c>
      <c r="AK353" s="10" t="s">
        <v>80</v>
      </c>
    </row>
    <row r="354" ht="15.75" customHeight="1">
      <c r="A354" s="2" t="s">
        <v>2553</v>
      </c>
      <c r="B354" s="12">
        <v>45399.0</v>
      </c>
      <c r="C354" s="2" t="str">
        <f>IFERROR(__xludf.DUMMYFUNCTION("IF(ISNUMBER(B354),TEXT(B354,""yyyy-MM-dd""),REGEXREPLACE(REGEXREPLACE(TO_TEXT(B354),""[^0-9a-zA-Z]+"",""-""),""[^0-9]*$"",""""))"),"2024-04-17")</f>
        <v>2024-04-17</v>
      </c>
      <c r="D354" s="2" t="s">
        <v>8815</v>
      </c>
      <c r="H354" s="10" t="s">
        <v>8815</v>
      </c>
      <c r="I354" s="2" t="s">
        <v>427</v>
      </c>
      <c r="J354" s="26" t="str">
        <f t="array" ref="J354">IF(ISNA(XLOOKUP(I354,customers_clean!$A$2:$A$701,customers_clean!$A$2:$A$701, NA()) ),
   "❌ MISSING CUSTOMER", "✅")</f>
        <v>✅</v>
      </c>
      <c r="K354" s="2" t="str">
        <f t="array" ref="K354">XLOOKUP(I354,customers_clean!$A$2:$A$701,customers_clean!$C$2:$C$701)</f>
        <v>Igor Martinez</v>
      </c>
      <c r="L354" s="10" t="str">
        <f t="array" ref="L354">XLOOKUP(I354,customers_clean!$A$2:$A$701,customers_clean!$D$2:$D$701)</f>
        <v>Igor Martinez</v>
      </c>
      <c r="M354" s="2" t="str">
        <f t="array" ref="M354">XLOOKUP(I354,customers_clean!$A$2:$A$701,customers_clean!$I$2:$I$701)</f>
        <v>Igor.Martinez@Yahoo.Com</v>
      </c>
      <c r="N354" s="10" t="str">
        <f t="array" ref="N354">XLOOKUP(I354,customers_clean!$A$2:$A$701,customers_clean!$H$2:$H$701)</f>
        <v>igor.martinez@yahoo.com</v>
      </c>
      <c r="O354" s="9" t="str">
        <f>IFERROR(__xludf.DUMMYFUNCTION("IF(REGEXMATCH(TRIM(N354),""^[A-Za-z0-9._%+-]+@[A-Za-z0-9.-]+\.[A-Za-z]{2,}$""),""✅ Valid"",""❌ Invalid"")"),"✅ Valid")</f>
        <v>✅ Valid</v>
      </c>
      <c r="P354" s="2" t="str">
        <f t="array" ref="P354">XLOOKUP(I354,customers_clean!$A$2:$A$701,customers_clean!$K$2:$K$701)</f>
        <v>+49 606 7552955</v>
      </c>
      <c r="Q354" s="10" t="str">
        <f t="array" ref="Q354">XLOOKUP(I354,customers_clean!$A$2:$A$701,customers_clean!$N$2:$N$701)</f>
        <v>6067552955</v>
      </c>
      <c r="R354" s="9" t="str">
        <f t="array" ref="R354">XLOOKUP(I354,customers_clean!$A$2:$A$701,customers_clean!$Q$2:$Q$701)</f>
        <v>❌ INVALID</v>
      </c>
      <c r="S354" s="10" t="s">
        <v>448</v>
      </c>
      <c r="T354" s="2" t="s">
        <v>223</v>
      </c>
      <c r="U354" s="2" t="s">
        <v>401</v>
      </c>
      <c r="V354" s="2" t="s">
        <v>390</v>
      </c>
      <c r="W354" s="9" t="str">
        <f t="array" ref="W354">IF(ISNA(XLOOKUP(V354,products_master_corrected!$A$2:$A$151,products_master_corrected!$A$2:$A$151, NA())),
    "❌ MISSING SKU", "✅")</f>
        <v>✅</v>
      </c>
      <c r="X354" s="2" t="s">
        <v>8673</v>
      </c>
      <c r="Y354" s="2" t="s">
        <v>248</v>
      </c>
      <c r="Z354" s="10" t="s">
        <v>248</v>
      </c>
      <c r="AA354" s="27">
        <v>1.0</v>
      </c>
      <c r="AB354" s="9" t="s">
        <v>8649</v>
      </c>
      <c r="AC354" s="28">
        <f t="array" ref="AC354">XLOOKUP(V354,products_master_corrected!$A$2:$A$151,products_master_corrected!$E$2:$E$151)</f>
        <v>310.34</v>
      </c>
      <c r="AD354" s="28">
        <f t="shared" ref="AD354:AD361" si="40">AA354*AC354</f>
        <v>310.34</v>
      </c>
      <c r="AE354" s="28">
        <f t="array" ref="AE354">XLOOKUP(V354,products_master_corrected!$A$2:$A$151,products_master_corrected!$M$2:$M$151)</f>
        <v>375.39</v>
      </c>
      <c r="AF354" s="29">
        <f t="shared" ref="AF354:AF361" si="41">AA354*AE354</f>
        <v>375.39</v>
      </c>
      <c r="AG354" s="30" t="s">
        <v>48</v>
      </c>
      <c r="AH354" s="2" t="s">
        <v>96</v>
      </c>
      <c r="AI354" s="10" t="s">
        <v>143</v>
      </c>
      <c r="AJ354" s="2" t="s">
        <v>192</v>
      </c>
      <c r="AK354" s="10" t="s">
        <v>192</v>
      </c>
    </row>
    <row r="355" ht="15.75" customHeight="1">
      <c r="A355" s="2" t="s">
        <v>5212</v>
      </c>
      <c r="B355" s="12">
        <v>45534.0</v>
      </c>
      <c r="C355" s="2" t="str">
        <f>IFERROR(__xludf.DUMMYFUNCTION("IF(ISNUMBER(B355),TEXT(B355,""yyyy-MM-dd""),REGEXREPLACE(REGEXREPLACE(TO_TEXT(B355),""[^0-9a-zA-Z]+"",""-""),""[^0-9]*$"",""""))"),"2024-08-30")</f>
        <v>2024-08-30</v>
      </c>
      <c r="D355" s="2" t="s">
        <v>8816</v>
      </c>
      <c r="H355" s="10" t="s">
        <v>8816</v>
      </c>
      <c r="I355" s="2" t="s">
        <v>5214</v>
      </c>
      <c r="J355" s="26" t="str">
        <f t="array" ref="J355">IF(ISNA(XLOOKUP(I355,customers_clean!$A$2:$A$701,customers_clean!$A$2:$A$701, NA()) ),
   "❌ MISSING CUSTOMER", "✅")</f>
        <v>✅</v>
      </c>
      <c r="K355" s="2" t="str">
        <f t="array" ref="K355">XLOOKUP(I355,customers_clean!$A$2:$A$701,customers_clean!$C$2:$C$701)</f>
        <v>Marek  Johnson</v>
      </c>
      <c r="L355" s="10" t="str">
        <f t="array" ref="L355">XLOOKUP(I355,customers_clean!$A$2:$A$701,customers_clean!$D$2:$D$701)</f>
        <v>Marek Johnson</v>
      </c>
      <c r="M355" s="2" t="str">
        <f t="array" ref="M355">XLOOKUP(I355,customers_clean!$A$2:$A$701,customers_clean!$I$2:$I$701)</f>
        <v>MAREK.JOHNSON@SHOP.IO</v>
      </c>
      <c r="N355" s="10" t="str">
        <f t="array" ref="N355">XLOOKUP(I355,customers_clean!$A$2:$A$701,customers_clean!$H$2:$H$701)</f>
        <v>marek.johnson@shop.io</v>
      </c>
      <c r="O355" s="9" t="str">
        <f>IFERROR(__xludf.DUMMYFUNCTION("IF(REGEXMATCH(TRIM(N355),""^[A-Za-z0-9._%+-]+@[A-Za-z0-9.-]+\.[A-Za-z]{2,}$""),""✅ Valid"",""❌ Invalid"")"),"✅ Valid")</f>
        <v>✅ Valid</v>
      </c>
      <c r="P355" s="2" t="str">
        <f t="array" ref="P355">XLOOKUP(I355,customers_clean!$A$2:$A$701,customers_clean!$K$2:$K$701)</f>
        <v>tel:+34712092934</v>
      </c>
      <c r="Q355" s="10" t="str">
        <f t="array" ref="Q355">XLOOKUP(I355,customers_clean!$A$2:$A$701,customers_clean!$N$2:$N$701)</f>
        <v>712092934</v>
      </c>
      <c r="R355" s="9" t="str">
        <f t="array" ref="R355">XLOOKUP(I355,customers_clean!$A$2:$A$701,customers_clean!$Q$2:$Q$701)</f>
        <v>✅ VALID</v>
      </c>
      <c r="S355" s="31" t="s">
        <v>671</v>
      </c>
      <c r="T355" s="2" t="s">
        <v>5218</v>
      </c>
      <c r="U355" s="2" t="s">
        <v>480</v>
      </c>
      <c r="V355" s="2" t="s">
        <v>189</v>
      </c>
      <c r="W355" s="9" t="str">
        <f t="array" ref="W355">IF(ISNA(XLOOKUP(V355,products_master_corrected!$A$2:$A$151,products_master_corrected!$A$2:$A$151, NA())),
    "❌ MISSING SKU", "✅")</f>
        <v>✅</v>
      </c>
      <c r="X355" s="2" t="s">
        <v>190</v>
      </c>
      <c r="Y355" s="2" t="s">
        <v>167</v>
      </c>
      <c r="Z355" s="10" t="str">
        <f>PROPER(TRIM(Y355))</f>
        <v>Monitors</v>
      </c>
      <c r="AA355" s="27">
        <v>5.0</v>
      </c>
      <c r="AB355" s="9" t="s">
        <v>8649</v>
      </c>
      <c r="AC355" s="28">
        <f t="array" ref="AC355">XLOOKUP(V355,products_master_corrected!$A$2:$A$151,products_master_corrected!$E$2:$E$151)</f>
        <v>57.69</v>
      </c>
      <c r="AD355" s="28">
        <f t="shared" si="40"/>
        <v>288.45</v>
      </c>
      <c r="AE355" s="28">
        <f t="array" ref="AE355">XLOOKUP(V355,products_master_corrected!$A$2:$A$151,products_master_corrected!$J$2:$J$151)</f>
        <v>67.28</v>
      </c>
      <c r="AF355" s="29">
        <f t="shared" si="41"/>
        <v>336.4</v>
      </c>
      <c r="AG355" s="32" t="s">
        <v>8656</v>
      </c>
      <c r="AH355" s="2" t="s">
        <v>49</v>
      </c>
      <c r="AI355" s="10" t="s">
        <v>49</v>
      </c>
      <c r="AJ355" s="2" t="s">
        <v>50</v>
      </c>
      <c r="AK355" s="10" t="s">
        <v>261</v>
      </c>
      <c r="AL355" s="2" t="s">
        <v>51</v>
      </c>
    </row>
    <row r="356" ht="15.75" customHeight="1">
      <c r="A356" s="2" t="s">
        <v>5753</v>
      </c>
      <c r="B356" s="12" t="s">
        <v>5754</v>
      </c>
      <c r="C356" s="2" t="str">
        <f>IFERROR(__xludf.DUMMYFUNCTION("IF(ISNUMBER(B356),TEXT(B356,""yyyy-MM-dd""),REGEXREPLACE(REGEXREPLACE(TO_TEXT(B356),""[^0-9a-zA-Z]+"",""-""),""[^0-9]*$"",""""))"),"01-29-2025")</f>
        <v>01-29-2025</v>
      </c>
      <c r="D356" s="2" t="str">
        <f>TEXT(C356,"yyyy-MM-dd")</f>
        <v>01-29-2025</v>
      </c>
      <c r="E356" s="2" t="s">
        <v>8727</v>
      </c>
      <c r="H356" s="10" t="s">
        <v>8727</v>
      </c>
      <c r="I356" s="2" t="s">
        <v>3335</v>
      </c>
      <c r="J356" s="26" t="str">
        <f t="array" ref="J356">IF(ISNA(XLOOKUP(I356,customers_clean!$A$2:$A$701,customers_clean!$A$2:$A$701, NA()) ),
   "❌ MISSING CUSTOMER", "✅")</f>
        <v>✅</v>
      </c>
      <c r="K356" s="2" t="str">
        <f t="array" ref="K356">XLOOKUP(I356,customers_clean!$A$2:$A$701,customers_clean!$C$2:$C$701)</f>
        <v>Lia Rodriguez</v>
      </c>
      <c r="L356" s="10" t="str">
        <f t="array" ref="L356">XLOOKUP(I356,customers_clean!$A$2:$A$701,customers_clean!$D$2:$D$701)</f>
        <v>Lia Rodriguez</v>
      </c>
      <c r="M356" s="2" t="str">
        <f t="array" ref="M356">XLOOKUP(I356,customers_clean!$A$2:$A$701,customers_clean!$I$2:$I$701)</f>
        <v>lia.rodriguez@yahoo.com </v>
      </c>
      <c r="N356" s="10" t="str">
        <f t="array" ref="N356">XLOOKUP(I356,customers_clean!$A$2:$A$701,customers_clean!$H$2:$H$701)</f>
        <v>lia.rodriguez@yahoo.com</v>
      </c>
      <c r="O356" s="9" t="str">
        <f>IFERROR(__xludf.DUMMYFUNCTION("IF(REGEXMATCH(TRIM(N356),""^[A-Za-z0-9._%+-]+@[A-Za-z0-9.-]+\.[A-Za-z]{2,}$""),""✅ Valid"",""❌ Invalid"")"),"✅ Valid")</f>
        <v>✅ Valid</v>
      </c>
      <c r="P356" s="2" t="str">
        <f t="array" ref="P356">XLOOKUP(I356,customers_clean!$A$2:$A$701,customers_clean!$K$2:$K$701)</f>
        <v>tel:+394102522095</v>
      </c>
      <c r="Q356" s="10" t="str">
        <f t="array" ref="Q356">XLOOKUP(I356,customers_clean!$A$2:$A$701,customers_clean!$N$2:$N$701)</f>
        <v>4102522095</v>
      </c>
      <c r="R356" s="9" t="str">
        <f t="array" ref="R356">XLOOKUP(I356,customers_clean!$A$2:$A$701,customers_clean!$Q$2:$Q$701)</f>
        <v>❌ INVALID</v>
      </c>
      <c r="S356" s="10" t="s">
        <v>58</v>
      </c>
      <c r="T356" s="2" t="s">
        <v>778</v>
      </c>
      <c r="U356" s="2" t="s">
        <v>352</v>
      </c>
      <c r="V356" s="2" t="s">
        <v>3582</v>
      </c>
      <c r="W356" s="9" t="str">
        <f t="array" ref="W356">IF(ISNA(XLOOKUP(V356,products_master_corrected!$A$2:$A$151,products_master_corrected!$A$2:$A$151, NA())),
    "❌ MISSING SKU", "✅")</f>
        <v>✅</v>
      </c>
      <c r="X356" s="2" t="s">
        <v>741</v>
      </c>
      <c r="Y356" s="2" t="s">
        <v>248</v>
      </c>
      <c r="Z356" s="10" t="s">
        <v>248</v>
      </c>
      <c r="AA356" s="27">
        <v>5.0</v>
      </c>
      <c r="AB356" s="9" t="s">
        <v>8649</v>
      </c>
      <c r="AC356" s="28">
        <f t="array" ref="AC356">XLOOKUP(V356,products_master_corrected!$A$2:$A$151,products_master_corrected!$E$2:$E$151)</f>
        <v>23.62</v>
      </c>
      <c r="AD356" s="28">
        <f t="shared" si="40"/>
        <v>118.1</v>
      </c>
      <c r="AE356" s="28">
        <f t="array" ref="AE356">XLOOKUP(V356,products_master_corrected!$A$2:$A$151,products_master_corrected!$G$2:$G$151)</f>
        <v>27.04</v>
      </c>
      <c r="AF356" s="29">
        <f t="shared" si="41"/>
        <v>135.2</v>
      </c>
      <c r="AG356" s="32" t="s">
        <v>8663</v>
      </c>
      <c r="AH356" s="2" t="s">
        <v>181</v>
      </c>
      <c r="AI356" s="10" t="s">
        <v>181</v>
      </c>
      <c r="AJ356" s="2" t="s">
        <v>132</v>
      </c>
      <c r="AK356" s="10" t="s">
        <v>192</v>
      </c>
    </row>
    <row r="357" ht="15.75" customHeight="1">
      <c r="A357" s="2" t="s">
        <v>3333</v>
      </c>
      <c r="B357" s="12">
        <v>45139.0</v>
      </c>
      <c r="C357" s="2" t="str">
        <f>IFERROR(__xludf.DUMMYFUNCTION("IF(ISNUMBER(B357),TEXT(B357,""yyyy-MM-dd""),REGEXREPLACE(REGEXREPLACE(TO_TEXT(B357),""[^0-9a-zA-Z]+"",""-""),""[^0-9]*$"",""""))"),"2023-08-01")</f>
        <v>2023-08-01</v>
      </c>
      <c r="D357" s="2" t="s">
        <v>8141</v>
      </c>
      <c r="H357" s="10" t="s">
        <v>8141</v>
      </c>
      <c r="I357" s="2" t="s">
        <v>3335</v>
      </c>
      <c r="J357" s="26" t="str">
        <f t="array" ref="J357">IF(ISNA(XLOOKUP(I357,customers_clean!$A$2:$A$701,customers_clean!$A$2:$A$701, NA()) ),
   "❌ MISSING CUSTOMER", "✅")</f>
        <v>✅</v>
      </c>
      <c r="K357" s="2" t="str">
        <f t="array" ref="K357">XLOOKUP(I357,customers_clean!$A$2:$A$701,customers_clean!$C$2:$C$701)</f>
        <v>Lia Rodriguez</v>
      </c>
      <c r="L357" s="10" t="str">
        <f t="array" ref="L357">XLOOKUP(I357,customers_clean!$A$2:$A$701,customers_clean!$D$2:$D$701)</f>
        <v>Lia Rodriguez</v>
      </c>
      <c r="M357" s="2" t="str">
        <f t="array" ref="M357">XLOOKUP(I357,customers_clean!$A$2:$A$701,customers_clean!$I$2:$I$701)</f>
        <v>lia.rodriguez@yahoo.com </v>
      </c>
      <c r="N357" s="10" t="str">
        <f t="array" ref="N357">XLOOKUP(I357,customers_clean!$A$2:$A$701,customers_clean!$H$2:$H$701)</f>
        <v>lia.rodriguez@yahoo.com</v>
      </c>
      <c r="O357" s="9" t="str">
        <f>IFERROR(__xludf.DUMMYFUNCTION("IF(REGEXMATCH(TRIM(N357),""^[A-Za-z0-9._%+-]+@[A-Za-z0-9.-]+\.[A-Za-z]{2,}$""),""✅ Valid"",""❌ Invalid"")"),"✅ Valid")</f>
        <v>✅ Valid</v>
      </c>
      <c r="P357" s="2" t="str">
        <f t="array" ref="P357">XLOOKUP(I357,customers_clean!$A$2:$A$701,customers_clean!$K$2:$K$701)</f>
        <v>tel:+394102522095</v>
      </c>
      <c r="Q357" s="10" t="str">
        <f t="array" ref="Q357">XLOOKUP(I357,customers_clean!$A$2:$A$701,customers_clean!$N$2:$N$701)</f>
        <v>4102522095</v>
      </c>
      <c r="R357" s="9" t="str">
        <f t="array" ref="R357">XLOOKUP(I357,customers_clean!$A$2:$A$701,customers_clean!$Q$2:$Q$701)</f>
        <v>❌ INVALID</v>
      </c>
      <c r="S357" s="10" t="s">
        <v>58</v>
      </c>
      <c r="T357" s="2" t="s">
        <v>59</v>
      </c>
      <c r="U357" s="2" t="s">
        <v>352</v>
      </c>
      <c r="V357" s="2" t="s">
        <v>1358</v>
      </c>
      <c r="W357" s="9" t="str">
        <f t="array" ref="W357">IF(ISNA(XLOOKUP(V357,products_master_corrected!$A$2:$A$151,products_master_corrected!$A$2:$A$151, NA())),
    "❌ MISSING SKU", "✅")</f>
        <v>✅</v>
      </c>
      <c r="X357" s="2" t="s">
        <v>259</v>
      </c>
      <c r="Y357" s="2" t="s">
        <v>941</v>
      </c>
      <c r="Z357" s="10" t="str">
        <f>PROPER(TRIM(Y357))</f>
        <v>Monitors</v>
      </c>
      <c r="AA357" s="27">
        <v>3.0</v>
      </c>
      <c r="AB357" s="9" t="s">
        <v>8649</v>
      </c>
      <c r="AC357" s="28">
        <f t="array" ref="AC357">XLOOKUP(V357,products_master_corrected!$A$2:$A$151,products_master_corrected!$E$2:$E$151)</f>
        <v>36.44</v>
      </c>
      <c r="AD357" s="28">
        <f t="shared" si="40"/>
        <v>109.32</v>
      </c>
      <c r="AE357" s="28">
        <f t="array" ref="AE357">XLOOKUP(V357,products_master_corrected!$A$2:$A$151,products_master_corrected!$G$2:$G$151)</f>
        <v>41.72</v>
      </c>
      <c r="AF357" s="29">
        <f t="shared" si="41"/>
        <v>125.16</v>
      </c>
      <c r="AG357" s="32" t="s">
        <v>8663</v>
      </c>
      <c r="AH357" s="2" t="s">
        <v>181</v>
      </c>
      <c r="AI357" s="10" t="s">
        <v>181</v>
      </c>
      <c r="AJ357" s="2" t="s">
        <v>294</v>
      </c>
      <c r="AK357" s="10" t="s">
        <v>80</v>
      </c>
    </row>
    <row r="358" ht="15.75" customHeight="1">
      <c r="A358" s="2" t="s">
        <v>3313</v>
      </c>
      <c r="B358" s="12">
        <v>44991.240277777775</v>
      </c>
      <c r="C358" s="2" t="str">
        <f>IFERROR(__xludf.DUMMYFUNCTION("IF(ISNUMBER(B358),TEXT(B358,""yyyy-MM-dd""),REGEXREPLACE(REGEXREPLACE(TO_TEXT(B358),""[^0-9a-zA-Z]+"",""-""),""[^0-9]*$"",""""))"),"2023-03-06")</f>
        <v>2023-03-06</v>
      </c>
      <c r="D358" s="2" t="s">
        <v>7814</v>
      </c>
      <c r="H358" s="10" t="s">
        <v>7814</v>
      </c>
      <c r="I358" s="2" t="s">
        <v>3315</v>
      </c>
      <c r="J358" s="26" t="str">
        <f t="array" ref="J358">IF(ISNA(XLOOKUP(I358,customers_clean!$A$2:$A$701,customers_clean!$A$2:$A$701, NA()) ),
   "❌ MISSING CUSTOMER", "✅")</f>
        <v>✅</v>
      </c>
      <c r="K358" s="2" t="str">
        <f t="array" ref="K358">XLOOKUP(I358,customers_clean!$A$2:$A$701,customers_clean!$C$2:$C$701)</f>
        <v>Adam Johnson</v>
      </c>
      <c r="L358" s="10" t="str">
        <f t="array" ref="L358">XLOOKUP(I358,customers_clean!$A$2:$A$701,customers_clean!$D$2:$D$701)</f>
        <v>Adam Johnson</v>
      </c>
      <c r="M358" s="2" t="str">
        <f t="array" ref="M358">XLOOKUP(I358,customers_clean!$A$2:$A$701,customers_clean!$I$2:$I$701)</f>
        <v>Adam.Johnson@Outloo.kCom</v>
      </c>
      <c r="N358" s="10" t="str">
        <f t="array" ref="N358">XLOOKUP(I358,customers_clean!$A$2:$A$701,customers_clean!$H$2:$H$701)</f>
        <v>adam.johnson@outloo.kcom</v>
      </c>
      <c r="O358" s="9" t="str">
        <f>IFERROR(__xludf.DUMMYFUNCTION("IF(REGEXMATCH(TRIM(N358),""^[A-Za-z0-9._%+-]+@[A-Za-z0-9.-]+\.[A-Za-z]{2,}$""),""✅ Valid"",""❌ Invalid"")"),"✅ Valid")</f>
        <v>✅ Valid</v>
      </c>
      <c r="P358" s="33" t="str">
        <f t="array" ref="P358">XLOOKUP(I358,customers_clean!$A$2:$A$701,customers_clean!$K$2:$K$701)</f>
        <v>3642155</v>
      </c>
      <c r="Q358" s="10" t="str">
        <f t="array" ref="Q358">XLOOKUP(I358,customers_clean!$A$2:$A$701,customers_clean!$N$2:$N$701)</f>
        <v>3642155</v>
      </c>
      <c r="R358" s="9" t="str">
        <f t="array" ref="R358">XLOOKUP(I358,customers_clean!$A$2:$A$701,customers_clean!$Q$2:$Q$701)</f>
        <v>❌ INVALID</v>
      </c>
      <c r="S358" s="10" t="s">
        <v>88</v>
      </c>
      <c r="T358" s="2" t="s">
        <v>26</v>
      </c>
      <c r="U358" s="2" t="s">
        <v>90</v>
      </c>
      <c r="V358" s="2" t="s">
        <v>702</v>
      </c>
      <c r="W358" s="9" t="str">
        <f t="array" ref="W358">IF(ISNA(XLOOKUP(V358,products_master_corrected!$A$2:$A$151,products_master_corrected!$A$2:$A$151, NA())),
    "❌ MISSING SKU", "✅")</f>
        <v>✅</v>
      </c>
      <c r="X358" s="2" t="s">
        <v>524</v>
      </c>
      <c r="Y358" s="2" t="s">
        <v>703</v>
      </c>
      <c r="Z358" s="10" t="s">
        <v>248</v>
      </c>
      <c r="AA358" s="27">
        <v>1.0</v>
      </c>
      <c r="AB358" s="9" t="s">
        <v>8649</v>
      </c>
      <c r="AC358" s="28">
        <f t="array" ref="AC358">XLOOKUP(V358,products_master_corrected!$A$2:$A$151,products_master_corrected!$E$2:$E$151)</f>
        <v>176.25</v>
      </c>
      <c r="AD358" s="28">
        <f t="shared" si="40"/>
        <v>176.25</v>
      </c>
      <c r="AE358" s="28">
        <f t="array" ref="AE358">XLOOKUP(V358,products_master_corrected!$A$2:$A$151,products_master_corrected!$I$2:$I$151)</f>
        <v>194.3</v>
      </c>
      <c r="AF358" s="29">
        <f t="shared" si="41"/>
        <v>194.3</v>
      </c>
      <c r="AG358" s="32" t="s">
        <v>8660</v>
      </c>
      <c r="AH358" s="2" t="s">
        <v>49</v>
      </c>
      <c r="AI358" s="10" t="s">
        <v>49</v>
      </c>
      <c r="AJ358" s="2" t="s">
        <v>294</v>
      </c>
      <c r="AK358" s="10" t="s">
        <v>80</v>
      </c>
      <c r="AL358" s="2" t="s">
        <v>133</v>
      </c>
    </row>
    <row r="359" ht="15.75" customHeight="1">
      <c r="A359" s="2" t="s">
        <v>4310</v>
      </c>
      <c r="B359" s="12" t="s">
        <v>4311</v>
      </c>
      <c r="C359" s="2" t="str">
        <f>IFERROR(__xludf.DUMMYFUNCTION("IF(ISNUMBER(B359),TEXT(B359,""yyyy-MM-dd""),REGEXREPLACE(REGEXREPLACE(TO_TEXT(B359),""[^0-9a-zA-Z]+"",""-""),""[^0-9]*$"",""""))"),"45375-09-28")</f>
        <v>45375-09-28</v>
      </c>
      <c r="D359" s="2" t="str">
        <f t="shared" ref="D359:D360" si="42">TEXT(C359,"yyyy-MM-dd")</f>
        <v>45375-09-28</v>
      </c>
      <c r="E359" s="25" t="str">
        <f>CONCATENATE(LEFT(D359,5))</f>
        <v>45375</v>
      </c>
      <c r="F359" s="12">
        <f>DATE(1900,1,1) + E359 - 1</f>
        <v>45376</v>
      </c>
      <c r="G359" s="2" t="s">
        <v>8695</v>
      </c>
      <c r="H359" s="10" t="s">
        <v>8695</v>
      </c>
      <c r="I359" s="2" t="s">
        <v>3038</v>
      </c>
      <c r="J359" s="26" t="str">
        <f t="array" ref="J359">IF(ISNA(XLOOKUP(I359,customers_clean!$A$2:$A$701,customers_clean!$A$2:$A$701, NA()) ),
   "❌ MISSING CUSTOMER", "✅")</f>
        <v>✅</v>
      </c>
      <c r="K359" s="2" t="str">
        <f t="array" ref="K359">XLOOKUP(I359,customers_clean!$A$2:$A$701,customers_clean!$C$2:$C$701)</f>
        <v>Zack Brown</v>
      </c>
      <c r="L359" s="10" t="str">
        <f t="array" ref="L359">XLOOKUP(I359,customers_clean!$A$2:$A$701,customers_clean!$D$2:$D$701)</f>
        <v>Zack Brown</v>
      </c>
      <c r="M359" s="2" t="str">
        <f t="array" ref="M359">XLOOKUP(I359,customers_clean!$A$2:$A$701,customers_clean!$I$2:$I$701)</f>
        <v>ZACK.BROWN@YAHOO.COM</v>
      </c>
      <c r="N359" s="10" t="str">
        <f t="array" ref="N359">XLOOKUP(I359,customers_clean!$A$2:$A$701,customers_clean!$H$2:$H$701)</f>
        <v>zack.brown@yahoo.com</v>
      </c>
      <c r="O359" s="9" t="str">
        <f>IFERROR(__xludf.DUMMYFUNCTION("IF(REGEXMATCH(TRIM(N359),""^[A-Za-z0-9._%+-]+@[A-Za-z0-9.-]+\.[A-Za-z]{2,}$""),""✅ Valid"",""❌ Invalid"")"),"✅ Valid")</f>
        <v>✅ Valid</v>
      </c>
      <c r="P359" s="2" t="str">
        <f t="array" ref="P359">XLOOKUP(I359,customers_clean!$A$2:$A$701,customers_clean!$K$2:$K$701)</f>
        <v>+1 0599 3549 15</v>
      </c>
      <c r="Q359" s="10" t="str">
        <f t="array" ref="Q359">XLOOKUP(I359,customers_clean!$A$2:$A$701,customers_clean!$N$2:$N$701)</f>
        <v>0599354915</v>
      </c>
      <c r="R359" s="9" t="str">
        <f t="array" ref="R359">XLOOKUP(I359,customers_clean!$A$2:$A$701,customers_clean!$Q$2:$Q$701)</f>
        <v>❌ INVALID</v>
      </c>
      <c r="S359" s="10" t="s">
        <v>25</v>
      </c>
      <c r="T359" s="2" t="s">
        <v>778</v>
      </c>
      <c r="U359" s="2" t="s">
        <v>4312</v>
      </c>
      <c r="V359" s="2" t="s">
        <v>1606</v>
      </c>
      <c r="W359" s="9" t="str">
        <f t="array" ref="W359">IF(ISNA(XLOOKUP(V359,products_master_corrected!$A$2:$A$151,products_master_corrected!$A$2:$A$151, NA())),
    "❌ MISSING SKU", "✅")</f>
        <v>✅</v>
      </c>
      <c r="X359" s="2" t="s">
        <v>213</v>
      </c>
      <c r="Y359" s="2" t="s">
        <v>106</v>
      </c>
      <c r="Z359" s="10" t="s">
        <v>368</v>
      </c>
      <c r="AA359" s="27">
        <v>1.0</v>
      </c>
      <c r="AB359" s="9" t="s">
        <v>8649</v>
      </c>
      <c r="AC359" s="28">
        <f t="array" ref="AC359">XLOOKUP(V359,products_master_corrected!$A$2:$A$151,products_master_corrected!$E$2:$E$151)</f>
        <v>1460.15</v>
      </c>
      <c r="AD359" s="28">
        <f t="shared" si="40"/>
        <v>1460.15</v>
      </c>
      <c r="AE359" s="28">
        <f t="array" ref="AE359">XLOOKUP(V359,products_master_corrected!$A$2:$A$151,products_master_corrected!$K$2:$K$151)</f>
        <v>7512.47</v>
      </c>
      <c r="AF359" s="29">
        <f t="shared" si="41"/>
        <v>7512.47</v>
      </c>
      <c r="AG359" s="30" t="s">
        <v>95</v>
      </c>
      <c r="AH359" s="2" t="s">
        <v>573</v>
      </c>
      <c r="AI359" s="10" t="s">
        <v>66</v>
      </c>
      <c r="AJ359" s="2" t="s">
        <v>192</v>
      </c>
      <c r="AK359" s="10" t="s">
        <v>192</v>
      </c>
    </row>
    <row r="360" ht="15.75" customHeight="1">
      <c r="A360" s="2" t="s">
        <v>3036</v>
      </c>
      <c r="B360" s="12" t="s">
        <v>3037</v>
      </c>
      <c r="C360" s="2" t="str">
        <f>IFERROR(__xludf.DUMMYFUNCTION("IF(ISNUMBER(B360),TEXT(B360,""yyyy-MM-dd""),REGEXREPLACE(REGEXREPLACE(TO_TEXT(B360),""[^0-9a-zA-Z]+"",""-""),""[^0-9]*$"",""""))"),"03-30-2023-20-01")</f>
        <v>03-30-2023-20-01</v>
      </c>
      <c r="D360" s="2" t="str">
        <f t="shared" si="42"/>
        <v>03-30-2023-20-01</v>
      </c>
      <c r="E360" s="12" t="str">
        <f>IFERROR(__xludf.DUMMYFUNCTION("REGEXEXTRACT(D360,""^\d{2}-\d{2}-\d{4}"")"),"03-30-2023")</f>
        <v>03-30-2023</v>
      </c>
      <c r="F360" s="2" t="str">
        <f>TEXT(E360,"yyyy-MM-dd")</f>
        <v>03-30-2023</v>
      </c>
      <c r="G360" s="2" t="s">
        <v>3176</v>
      </c>
      <c r="H360" s="10" t="s">
        <v>3176</v>
      </c>
      <c r="I360" s="2" t="s">
        <v>3038</v>
      </c>
      <c r="J360" s="26" t="str">
        <f t="array" ref="J360">IF(ISNA(XLOOKUP(I360,customers_clean!$A$2:$A$701,customers_clean!$A$2:$A$701, NA()) ),
   "❌ MISSING CUSTOMER", "✅")</f>
        <v>✅</v>
      </c>
      <c r="K360" s="2" t="str">
        <f t="array" ref="K360">XLOOKUP(I360,customers_clean!$A$2:$A$701,customers_clean!$C$2:$C$701)</f>
        <v>Zack Brown</v>
      </c>
      <c r="L360" s="10" t="str">
        <f t="array" ref="L360">XLOOKUP(I360,customers_clean!$A$2:$A$701,customers_clean!$D$2:$D$701)</f>
        <v>Zack Brown</v>
      </c>
      <c r="M360" s="2" t="str">
        <f t="array" ref="M360">XLOOKUP(I360,customers_clean!$A$2:$A$701,customers_clean!$I$2:$I$701)</f>
        <v>ZACK.BROWN@YAHOO.COM</v>
      </c>
      <c r="N360" s="10" t="str">
        <f t="array" ref="N360">XLOOKUP(I360,customers_clean!$A$2:$A$701,customers_clean!$H$2:$H$701)</f>
        <v>zack.brown@yahoo.com</v>
      </c>
      <c r="O360" s="9" t="str">
        <f>IFERROR(__xludf.DUMMYFUNCTION("IF(REGEXMATCH(TRIM(N360),""^[A-Za-z0-9._%+-]+@[A-Za-z0-9.-]+\.[A-Za-z]{2,}$""),""✅ Valid"",""❌ Invalid"")"),"✅ Valid")</f>
        <v>✅ Valid</v>
      </c>
      <c r="P360" s="2" t="str">
        <f t="array" ref="P360">XLOOKUP(I360,customers_clean!$A$2:$A$701,customers_clean!$K$2:$K$701)</f>
        <v>+1 0599 3549 15</v>
      </c>
      <c r="Q360" s="10" t="str">
        <f t="array" ref="Q360">XLOOKUP(I360,customers_clean!$A$2:$A$701,customers_clean!$N$2:$N$701)</f>
        <v>0599354915</v>
      </c>
      <c r="R360" s="9" t="str">
        <f t="array" ref="R360">XLOOKUP(I360,customers_clean!$A$2:$A$701,customers_clean!$Q$2:$Q$701)</f>
        <v>❌ INVALID</v>
      </c>
      <c r="S360" s="10" t="s">
        <v>25</v>
      </c>
      <c r="T360" s="2" t="s">
        <v>26</v>
      </c>
      <c r="U360" s="2" t="s">
        <v>870</v>
      </c>
      <c r="V360" s="2" t="s">
        <v>127</v>
      </c>
      <c r="W360" s="9" t="str">
        <f t="array" ref="W360">IF(ISNA(XLOOKUP(V360,products_master_corrected!$A$2:$A$151,products_master_corrected!$A$2:$A$151, NA())),
    "❌ MISSING SKU", "✅")</f>
        <v>✅</v>
      </c>
      <c r="X360" s="2" t="s">
        <v>8717</v>
      </c>
      <c r="Y360" s="2" t="s">
        <v>129</v>
      </c>
      <c r="Z360" s="10" t="s">
        <v>514</v>
      </c>
      <c r="AA360" s="27">
        <v>1.0</v>
      </c>
      <c r="AB360" s="9" t="s">
        <v>8649</v>
      </c>
      <c r="AC360" s="28">
        <f t="array" ref="AC360">XLOOKUP(V360,products_master_corrected!$A$2:$A$151,products_master_corrected!$E$2:$E$151)</f>
        <v>79.06</v>
      </c>
      <c r="AD360" s="28">
        <f t="shared" si="40"/>
        <v>79.06</v>
      </c>
      <c r="AE360" s="28">
        <f t="array" ref="AE360">XLOOKUP(V360,products_master_corrected!$A$2:$A$151,products_master_corrected!$K$2:$K$151)</f>
        <v>406.76</v>
      </c>
      <c r="AF360" s="29">
        <f t="shared" si="41"/>
        <v>406.76</v>
      </c>
      <c r="AG360" s="30" t="s">
        <v>95</v>
      </c>
      <c r="AH360" s="2" t="s">
        <v>204</v>
      </c>
      <c r="AI360" s="10" t="s">
        <v>143</v>
      </c>
      <c r="AJ360" s="2" t="s">
        <v>144</v>
      </c>
      <c r="AK360" s="10" t="s">
        <v>818</v>
      </c>
    </row>
    <row r="361" ht="15.75" customHeight="1">
      <c r="A361" s="2" t="s">
        <v>4803</v>
      </c>
      <c r="B361" s="12">
        <v>45486.0</v>
      </c>
      <c r="C361" s="2" t="str">
        <f>IFERROR(__xludf.DUMMYFUNCTION("IF(ISNUMBER(B361),TEXT(B361,""yyyy-MM-dd""),REGEXREPLACE(REGEXREPLACE(TO_TEXT(B361),""[^0-9a-zA-Z]+"",""-""),""[^0-9]*$"",""""))"),"2024-07-13")</f>
        <v>2024-07-13</v>
      </c>
      <c r="D361" s="2" t="s">
        <v>8817</v>
      </c>
      <c r="H361" s="10" t="s">
        <v>8817</v>
      </c>
      <c r="I361" s="2" t="s">
        <v>2407</v>
      </c>
      <c r="J361" s="26" t="str">
        <f t="array" ref="J361">IF(ISNA(XLOOKUP(I361,customers_clean!$A$2:$A$701,customers_clean!$A$2:$A$701, NA()) ),
   "❌ MISSING CUSTOMER", "✅")</f>
        <v>✅</v>
      </c>
      <c r="K361" s="2" t="str">
        <f t="array" ref="K361">XLOOKUP(I361,customers_clean!$A$2:$A$701,customers_clean!$C$2:$C$701)</f>
        <v>Uma Rodriguez</v>
      </c>
      <c r="L361" s="10" t="str">
        <f t="array" ref="L361">XLOOKUP(I361,customers_clean!$A$2:$A$701,customers_clean!$D$2:$D$701)</f>
        <v>Uma Rodriguez</v>
      </c>
      <c r="M361" s="2" t="str">
        <f t="array" ref="M361">XLOOKUP(I361,customers_clean!$A$2:$A$701,customers_clean!$I$2:$I$701)</f>
        <v>Uma.Rodriguez@Yahoo.Com</v>
      </c>
      <c r="N361" s="10" t="str">
        <f t="array" ref="N361">XLOOKUP(I361,customers_clean!$A$2:$A$701,customers_clean!$H$2:$H$701)</f>
        <v>uma.rodriguez@yahoo.com</v>
      </c>
      <c r="O361" s="9" t="str">
        <f>IFERROR(__xludf.DUMMYFUNCTION("IF(REGEXMATCH(TRIM(N361),""^[A-Za-z0-9._%+-]+@[A-Za-z0-9.-]+\.[A-Za-z]{2,}$""),""✅ Valid"",""❌ Invalid"")"),"✅ Valid")</f>
        <v>✅ Valid</v>
      </c>
      <c r="P361" s="2" t="str">
        <f t="array" ref="P361">XLOOKUP(I361,customers_clean!$A$2:$A$701,customers_clean!$K$2:$K$701)</f>
        <v>895-335-4571</v>
      </c>
      <c r="Q361" s="10" t="str">
        <f t="array" ref="Q361">XLOOKUP(I361,customers_clean!$A$2:$A$701,customers_clean!$N$2:$N$701)</f>
        <v>8953354571</v>
      </c>
      <c r="R361" s="9" t="str">
        <f t="array" ref="R361">XLOOKUP(I361,customers_clean!$A$2:$A$701,customers_clean!$Q$2:$Q$701)</f>
        <v>✅ VALID</v>
      </c>
      <c r="S361" s="10" t="s">
        <v>608</v>
      </c>
      <c r="T361" s="2" t="s">
        <v>152</v>
      </c>
      <c r="U361" s="2" t="s">
        <v>103</v>
      </c>
      <c r="V361" s="2" t="s">
        <v>390</v>
      </c>
      <c r="W361" s="9" t="str">
        <f t="array" ref="W361">IF(ISNA(XLOOKUP(V361,products_master_corrected!$A$2:$A$151,products_master_corrected!$A$2:$A$151, NA())),
    "❌ MISSING SKU", "✅")</f>
        <v>✅</v>
      </c>
      <c r="X361" s="2" t="s">
        <v>8673</v>
      </c>
      <c r="Y361" s="2" t="s">
        <v>248</v>
      </c>
      <c r="Z361" s="10" t="s">
        <v>248</v>
      </c>
      <c r="AA361" s="27">
        <v>1.0</v>
      </c>
      <c r="AB361" s="9" t="s">
        <v>8649</v>
      </c>
      <c r="AC361" s="28">
        <f t="array" ref="AC361">XLOOKUP(V361,products_master_corrected!$A$2:$A$151,products_master_corrected!$E$2:$E$151)</f>
        <v>310.34</v>
      </c>
      <c r="AD361" s="28">
        <f t="shared" si="40"/>
        <v>310.34</v>
      </c>
      <c r="AE361" s="28">
        <f t="array" ref="AE361">XLOOKUP(V361,products_master_corrected!$A$2:$A$151,products_master_corrected!$H$2:$H$151)</f>
        <v>348.67</v>
      </c>
      <c r="AF361" s="29">
        <f t="shared" si="41"/>
        <v>348.67</v>
      </c>
      <c r="AG361" s="32" t="s">
        <v>8658</v>
      </c>
      <c r="AH361" s="2" t="s">
        <v>49</v>
      </c>
      <c r="AI361" s="10" t="s">
        <v>49</v>
      </c>
      <c r="AJ361" s="2" t="s">
        <v>80</v>
      </c>
      <c r="AK361" s="10" t="s">
        <v>80</v>
      </c>
    </row>
    <row r="362" ht="15.75" customHeight="1">
      <c r="A362" s="2" t="s">
        <v>2405</v>
      </c>
      <c r="B362" s="12">
        <v>45441.56527777778</v>
      </c>
      <c r="C362" s="2" t="str">
        <f>IFERROR(__xludf.DUMMYFUNCTION("IF(ISNUMBER(B362),TEXT(B362,""yyyy-MM-dd""),REGEXREPLACE(REGEXREPLACE(TO_TEXT(B362),""[^0-9a-zA-Z]+"",""-""),""[^0-9]*$"",""""))"),"2024-05-29")</f>
        <v>2024-05-29</v>
      </c>
      <c r="D362" s="2" t="s">
        <v>8711</v>
      </c>
      <c r="H362" s="10" t="s">
        <v>8711</v>
      </c>
      <c r="I362" s="2" t="s">
        <v>2407</v>
      </c>
      <c r="J362" s="26" t="str">
        <f t="array" ref="J362">IF(ISNA(XLOOKUP(I362,customers_clean!$A$2:$A$701,customers_clean!$A$2:$A$701, NA()) ),
   "❌ MISSING CUSTOMER", "✅")</f>
        <v>✅</v>
      </c>
      <c r="K362" s="2" t="str">
        <f t="array" ref="K362">XLOOKUP(I362,customers_clean!$A$2:$A$701,customers_clean!$C$2:$C$701)</f>
        <v>Uma Rodriguez</v>
      </c>
      <c r="L362" s="10" t="str">
        <f t="array" ref="L362">XLOOKUP(I362,customers_clean!$A$2:$A$701,customers_clean!$D$2:$D$701)</f>
        <v>Uma Rodriguez</v>
      </c>
      <c r="M362" s="2" t="str">
        <f t="array" ref="M362">XLOOKUP(I362,customers_clean!$A$2:$A$701,customers_clean!$I$2:$I$701)</f>
        <v>Uma.Rodriguez@Yahoo.Com</v>
      </c>
      <c r="N362" s="10" t="str">
        <f t="array" ref="N362">XLOOKUP(I362,customers_clean!$A$2:$A$701,customers_clean!$H$2:$H$701)</f>
        <v>uma.rodriguez@yahoo.com</v>
      </c>
      <c r="O362" s="9" t="str">
        <f>IFERROR(__xludf.DUMMYFUNCTION("IF(REGEXMATCH(TRIM(N362),""^[A-Za-z0-9._%+-]+@[A-Za-z0-9.-]+\.[A-Za-z]{2,}$""),""✅ Valid"",""❌ Invalid"")"),"✅ Valid")</f>
        <v>✅ Valid</v>
      </c>
      <c r="P362" s="2" t="str">
        <f t="array" ref="P362">XLOOKUP(I362,customers_clean!$A$2:$A$701,customers_clean!$K$2:$K$701)</f>
        <v>895-335-4571</v>
      </c>
      <c r="Q362" s="10" t="str">
        <f t="array" ref="Q362">XLOOKUP(I362,customers_clean!$A$2:$A$701,customers_clean!$N$2:$N$701)</f>
        <v>8953354571</v>
      </c>
      <c r="R362" s="9" t="str">
        <f t="array" ref="R362">XLOOKUP(I362,customers_clean!$A$2:$A$701,customers_clean!$Q$2:$Q$701)</f>
        <v>✅ VALID</v>
      </c>
      <c r="S362" s="10" t="s">
        <v>608</v>
      </c>
      <c r="T362" s="2" t="s">
        <v>683</v>
      </c>
      <c r="U362" s="2" t="s">
        <v>60</v>
      </c>
      <c r="V362" s="2" t="s">
        <v>76</v>
      </c>
      <c r="W362" s="9" t="str">
        <f t="array" ref="W362">IF(ISNA(XLOOKUP(V362,products_master_corrected!$A$2:$A$151,products_master_corrected!$A$2:$A$151, NA())),
    "❌ MISSING SKU", "✅")</f>
        <v>✅</v>
      </c>
      <c r="X362" s="2" t="s">
        <v>77</v>
      </c>
      <c r="Y362" s="2" t="s">
        <v>78</v>
      </c>
      <c r="Z362" s="10" t="s">
        <v>355</v>
      </c>
      <c r="AA362" s="27"/>
      <c r="AB362" s="9" t="s">
        <v>8677</v>
      </c>
      <c r="AC362" s="34"/>
      <c r="AD362" s="34"/>
      <c r="AE362" s="34"/>
      <c r="AF362" s="35"/>
      <c r="AG362" s="36" t="s">
        <v>95</v>
      </c>
      <c r="AH362" s="2" t="s">
        <v>505</v>
      </c>
      <c r="AI362" s="10" t="s">
        <v>181</v>
      </c>
      <c r="AJ362" s="2" t="s">
        <v>158</v>
      </c>
      <c r="AK362" s="10" t="s">
        <v>818</v>
      </c>
      <c r="AL362" s="2" t="s">
        <v>67</v>
      </c>
    </row>
    <row r="363" ht="15.75" customHeight="1">
      <c r="A363" s="2" t="s">
        <v>5155</v>
      </c>
      <c r="B363" s="12">
        <v>45706.0</v>
      </c>
      <c r="C363" s="2" t="str">
        <f>IFERROR(__xludf.DUMMYFUNCTION("IF(ISNUMBER(B363),TEXT(B363,""yyyy-MM-dd""),REGEXREPLACE(REGEXREPLACE(TO_TEXT(B363),""[^0-9a-zA-Z]+"",""-""),""[^0-9]*$"",""""))"),"2025-02-18")</f>
        <v>2025-02-18</v>
      </c>
      <c r="D363" s="2" t="s">
        <v>8818</v>
      </c>
      <c r="H363" s="10" t="s">
        <v>8818</v>
      </c>
      <c r="I363" s="2" t="s">
        <v>5157</v>
      </c>
      <c r="J363" s="26" t="str">
        <f t="array" ref="J363">IF(ISNA(XLOOKUP(I363,customers_clean!$A$2:$A$701,customers_clean!$A$2:$A$701, NA()) ),
   "❌ MISSING CUSTOMER", "✅")</f>
        <v>✅</v>
      </c>
      <c r="K363" s="2" t="str">
        <f t="array" ref="K363">XLOOKUP(I363,customers_clean!$A$2:$A$701,customers_clean!$C$2:$C$701)</f>
        <v>Yara  Williams</v>
      </c>
      <c r="L363" s="10" t="str">
        <f t="array" ref="L363">XLOOKUP(I363,customers_clean!$A$2:$A$701,customers_clean!$D$2:$D$701)</f>
        <v>Yara Williams</v>
      </c>
      <c r="M363" s="2" t="str">
        <f t="array" ref="M363">XLOOKUP(I363,customers_clean!$A$2:$A$701,customers_clean!$I$2:$I$701)</f>
        <v> yara.williams@example.com</v>
      </c>
      <c r="N363" s="10" t="str">
        <f t="array" ref="N363">XLOOKUP(I363,customers_clean!$A$2:$A$701,customers_clean!$H$2:$H$701)</f>
        <v>yara.williams@example.com</v>
      </c>
      <c r="O363" s="9" t="str">
        <f>IFERROR(__xludf.DUMMYFUNCTION("IF(REGEXMATCH(TRIM(N363),""^[A-Za-z0-9._%+-]+@[A-Za-z0-9.-]+\.[A-Za-z]{2,}$""),""✅ Valid"",""❌ Invalid"")"),"✅ Valid")</f>
        <v>✅ Valid</v>
      </c>
      <c r="P363" s="2">
        <f t="array" ref="P363">XLOOKUP(I363,customers_clean!$A$2:$A$701,customers_clean!$K$2:$K$701)</f>
        <v>9381852559</v>
      </c>
      <c r="Q363" s="10" t="str">
        <f t="array" ref="Q363">XLOOKUP(I363,customers_clean!$A$2:$A$701,customers_clean!$N$2:$N$701)</f>
        <v>9381852559</v>
      </c>
      <c r="R363" s="9" t="str">
        <f t="array" ref="R363">XLOOKUP(I363,customers_clean!$A$2:$A$701,customers_clean!$Q$2:$Q$701)</f>
        <v>❌ INVALID</v>
      </c>
      <c r="S363" s="10" t="s">
        <v>608</v>
      </c>
      <c r="T363" s="2" t="s">
        <v>26</v>
      </c>
      <c r="U363" s="2" t="s">
        <v>103</v>
      </c>
      <c r="V363" s="2" t="s">
        <v>3596</v>
      </c>
      <c r="W363" s="9" t="str">
        <f t="array" ref="W363">IF(ISNA(XLOOKUP(V363,products_master_corrected!$A$2:$A$151,products_master_corrected!$A$2:$A$151, NA())),
    "❌ MISSING SKU", "✅")</f>
        <v>✅</v>
      </c>
      <c r="X363" s="2" t="s">
        <v>3597</v>
      </c>
      <c r="Y363" s="2" t="s">
        <v>63</v>
      </c>
      <c r="Z363" s="10" t="s">
        <v>63</v>
      </c>
      <c r="AA363" s="27">
        <v>3.0</v>
      </c>
      <c r="AB363" s="9" t="s">
        <v>8649</v>
      </c>
      <c r="AC363" s="28">
        <f t="array" ref="AC363">XLOOKUP(V363,products_master_corrected!$A$2:$A$151,products_master_corrected!$E$2:$E$151)</f>
        <v>160.36</v>
      </c>
      <c r="AD363" s="28">
        <f>AA363*AC363</f>
        <v>481.08</v>
      </c>
      <c r="AE363" s="28">
        <f t="array" ref="AE363">XLOOKUP(V363,products_master_corrected!$A$2:$A$151,products_master_corrected!$H$2:$H$151)</f>
        <v>180.16</v>
      </c>
      <c r="AF363" s="29">
        <f>AA363*AE363</f>
        <v>540.48</v>
      </c>
      <c r="AG363" s="32" t="s">
        <v>8658</v>
      </c>
      <c r="AH363" s="2" t="s">
        <v>664</v>
      </c>
      <c r="AI363" s="10" t="s">
        <v>66</v>
      </c>
      <c r="AJ363" s="2" t="s">
        <v>442</v>
      </c>
      <c r="AK363" s="10" t="s">
        <v>80</v>
      </c>
      <c r="AL363" s="2" t="s">
        <v>133</v>
      </c>
    </row>
    <row r="364" ht="15.75" customHeight="1">
      <c r="A364" s="2" t="s">
        <v>1902</v>
      </c>
      <c r="B364" s="12">
        <v>45243.0</v>
      </c>
      <c r="C364" s="2" t="str">
        <f>IFERROR(__xludf.DUMMYFUNCTION("IF(ISNUMBER(B364),TEXT(B364,""yyyy-MM-dd""),REGEXREPLACE(REGEXREPLACE(TO_TEXT(B364),""[^0-9a-zA-Z]+"",""-""),""[^0-9]*$"",""""))"),"2023-11-13")</f>
        <v>2023-11-13</v>
      </c>
      <c r="D364" s="2" t="s">
        <v>1385</v>
      </c>
      <c r="H364" s="10" t="s">
        <v>1385</v>
      </c>
      <c r="I364" s="2" t="s">
        <v>1904</v>
      </c>
      <c r="J364" s="26" t="str">
        <f t="array" ref="J364">IF(ISNA(XLOOKUP(I364,customers_clean!$A$2:$A$701,customers_clean!$A$2:$A$701, NA()) ),
   "❌ MISSING CUSTOMER", "✅")</f>
        <v>✅</v>
      </c>
      <c r="K364" s="2" t="str">
        <f t="array" ref="K364">XLOOKUP(I364,customers_clean!$A$2:$A$701,customers_clean!$C$2:$C$701)</f>
        <v>Hanna Muller</v>
      </c>
      <c r="L364" s="10" t="str">
        <f t="array" ref="L364">XLOOKUP(I364,customers_clean!$A$2:$A$701,customers_clean!$D$2:$D$701)</f>
        <v>Hanna Muller</v>
      </c>
      <c r="M364" s="2" t="str">
        <f t="array" ref="M364">XLOOKUP(I364,customers_clean!$A$2:$A$701,customers_clean!$I$2:$I$701)</f>
        <v>hanna.muller@outlook.com</v>
      </c>
      <c r="N364" s="10" t="str">
        <f t="array" ref="N364">XLOOKUP(I364,customers_clean!$A$2:$A$701,customers_clean!$H$2:$H$701)</f>
        <v>hanna.muller@outlook.com</v>
      </c>
      <c r="O364" s="9" t="str">
        <f>IFERROR(__xludf.DUMMYFUNCTION("IF(REGEXMATCH(TRIM(N364),""^[A-Za-z0-9._%+-]+@[A-Za-z0-9.-]+\.[A-Za-z]{2,}$""),""✅ Valid"",""❌ Invalid"")"),"✅ Valid")</f>
        <v>✅ Valid</v>
      </c>
      <c r="P364" s="2" t="str">
        <f t="array" ref="P364">XLOOKUP(I364,customers_clean!$A$2:$A$701,customers_clean!$K$2:$K$701)</f>
        <v>none</v>
      </c>
      <c r="Q364" s="10" t="str">
        <f t="array" ref="Q364">XLOOKUP(I364,customers_clean!$A$2:$A$701,customers_clean!$N$2:$N$701)</f>
        <v/>
      </c>
      <c r="R364" s="9" t="str">
        <f t="array" ref="R364">XLOOKUP(I364,customers_clean!$A$2:$A$701,customers_clean!$Q$2:$Q$701)</f>
        <v>❌ INVALID</v>
      </c>
      <c r="S364" s="10" t="s">
        <v>139</v>
      </c>
      <c r="T364" s="2" t="s">
        <v>1908</v>
      </c>
      <c r="U364" s="2" t="s">
        <v>103</v>
      </c>
      <c r="V364" s="2" t="s">
        <v>1327</v>
      </c>
      <c r="W364" s="9" t="str">
        <f t="array" ref="W364">IF(ISNA(XLOOKUP(V364,products_master_corrected!$A$2:$A$151,products_master_corrected!$A$2:$A$151, NA())),
    "❌ MISSING SKU", "✅")</f>
        <v>✅</v>
      </c>
      <c r="X364" s="2" t="s">
        <v>291</v>
      </c>
      <c r="Y364" s="2" t="s">
        <v>1328</v>
      </c>
      <c r="Z364" s="10" t="s">
        <v>179</v>
      </c>
      <c r="AA364" s="27"/>
      <c r="AB364" s="9" t="s">
        <v>8677</v>
      </c>
      <c r="AC364" s="34"/>
      <c r="AD364" s="34"/>
      <c r="AE364" s="34"/>
      <c r="AF364" s="35"/>
      <c r="AG364" s="36" t="s">
        <v>32</v>
      </c>
      <c r="AH364" s="2" t="s">
        <v>1910</v>
      </c>
      <c r="AI364" s="10" t="s">
        <v>143</v>
      </c>
      <c r="AJ364" s="2" t="s">
        <v>442</v>
      </c>
      <c r="AK364" s="10" t="s">
        <v>80</v>
      </c>
    </row>
    <row r="365" ht="15.75" customHeight="1">
      <c r="A365" s="2" t="s">
        <v>592</v>
      </c>
      <c r="B365" s="12">
        <v>45026.11388888889</v>
      </c>
      <c r="C365" s="2" t="str">
        <f>IFERROR(__xludf.DUMMYFUNCTION("IF(ISNUMBER(B365),TEXT(B365,""yyyy-MM-dd""),REGEXREPLACE(REGEXREPLACE(TO_TEXT(B365),""[^0-9a-zA-Z]+"",""-""),""[^0-9]*$"",""""))"),"2023-04-10")</f>
        <v>2023-04-10</v>
      </c>
      <c r="D365" s="2" t="s">
        <v>8744</v>
      </c>
      <c r="H365" s="10" t="s">
        <v>8744</v>
      </c>
      <c r="I365" s="2" t="s">
        <v>594</v>
      </c>
      <c r="J365" s="26" t="str">
        <f t="array" ref="J365">IF(ISNA(XLOOKUP(I365,customers_clean!$A$2:$A$701,customers_clean!$A$2:$A$701, NA()) ),
   "❌ MISSING CUSTOMER", "✅")</f>
        <v>✅</v>
      </c>
      <c r="K365" s="2" t="str">
        <f t="array" ref="K365">XLOOKUP(I365,customers_clean!$A$2:$A$701,customers_clean!$C$2:$C$701)</f>
        <v>Carlos Kowalczyk </v>
      </c>
      <c r="L365" s="10" t="str">
        <f t="array" ref="L365">XLOOKUP(I365,customers_clean!$A$2:$A$701,customers_clean!$D$2:$D$701)</f>
        <v>Carlos Kowalczyk</v>
      </c>
      <c r="M365" s="2" t="str">
        <f t="array" ref="M365">XLOOKUP(I365,customers_clean!$A$2:$A$701,customers_clean!$I$2:$I$701)</f>
        <v>carlos.kowalcyzk@shop.io</v>
      </c>
      <c r="N365" s="10" t="str">
        <f t="array" ref="N365">XLOOKUP(I365,customers_clean!$A$2:$A$701,customers_clean!$H$2:$H$701)</f>
        <v>carlos.kowalcyzk@shop.io</v>
      </c>
      <c r="O365" s="9" t="str">
        <f>IFERROR(__xludf.DUMMYFUNCTION("IF(REGEXMATCH(TRIM(N365),""^[A-Za-z0-9._%+-]+@[A-Za-z0-9.-]+\.[A-Za-z]{2,}$""),""✅ Valid"",""❌ Invalid"")"),"✅ Valid")</f>
        <v>✅ Valid</v>
      </c>
      <c r="P365" s="33" t="str">
        <f t="array" ref="P365">XLOOKUP(I365,customers_clean!$A$2:$A$701,customers_clean!$K$2:$K$701)</f>
        <v>(833) 207095</v>
      </c>
      <c r="Q365" s="10" t="str">
        <f t="array" ref="Q365">XLOOKUP(I365,customers_clean!$A$2:$A$701,customers_clean!$N$2:$N$701)</f>
        <v>833207095</v>
      </c>
      <c r="R365" s="9" t="str">
        <f t="array" ref="R365">XLOOKUP(I365,customers_clean!$A$2:$A$701,customers_clean!$Q$2:$Q$701)</f>
        <v>❌ INVALID</v>
      </c>
      <c r="S365" s="10" t="s">
        <v>139</v>
      </c>
      <c r="T365" s="2" t="s">
        <v>598</v>
      </c>
      <c r="U365" s="2" t="s">
        <v>176</v>
      </c>
      <c r="V365" s="2" t="s">
        <v>599</v>
      </c>
      <c r="W365" s="9" t="str">
        <f t="array" ref="W365">IF(ISNA(XLOOKUP(V365,products_master_corrected!$A$2:$A$151,products_master_corrected!$A$2:$A$151, NA())),
    "❌ MISSING SKU", "✅")</f>
        <v>✅</v>
      </c>
      <c r="X365" s="2" t="s">
        <v>524</v>
      </c>
      <c r="Y365" s="2" t="s">
        <v>167</v>
      </c>
      <c r="Z365" s="10" t="str">
        <f>PROPER(TRIM(Y365))</f>
        <v>Monitors</v>
      </c>
      <c r="AA365" s="27">
        <v>1.0</v>
      </c>
      <c r="AB365" s="9" t="s">
        <v>8649</v>
      </c>
      <c r="AC365" s="28">
        <f t="array" ref="AC365">XLOOKUP(V365,products_master_corrected!$A$2:$A$151,products_master_corrected!$E$2:$E$151)</f>
        <v>212.85</v>
      </c>
      <c r="AD365" s="28">
        <f t="shared" ref="AD365:AD383" si="43">AA365*AC365</f>
        <v>212.85</v>
      </c>
      <c r="AE365" s="28">
        <f t="array" ref="AE365">XLOOKUP(V365,products_master_corrected!$A$2:$A$151,products_master_corrected!$L$2:$L$151)</f>
        <v>230.2</v>
      </c>
      <c r="AF365" s="29">
        <f t="shared" ref="AF365:AF383" si="44">AA365*AE365</f>
        <v>230.2</v>
      </c>
      <c r="AG365" s="32" t="s">
        <v>8665</v>
      </c>
      <c r="AH365" s="2" t="s">
        <v>573</v>
      </c>
      <c r="AI365" s="10" t="s">
        <v>66</v>
      </c>
      <c r="AJ365" s="2" t="s">
        <v>306</v>
      </c>
      <c r="AK365" s="10" t="s">
        <v>192</v>
      </c>
      <c r="AL365" s="2" t="s">
        <v>67</v>
      </c>
    </row>
    <row r="366" ht="15.75" customHeight="1">
      <c r="A366" s="2" t="s">
        <v>4004</v>
      </c>
      <c r="B366" s="12">
        <v>45849.111805555556</v>
      </c>
      <c r="C366" s="2" t="str">
        <f>IFERROR(__xludf.DUMMYFUNCTION("IF(ISNUMBER(B366),TEXT(B366,""yyyy-MM-dd""),REGEXREPLACE(REGEXREPLACE(TO_TEXT(B366),""[^0-9a-zA-Z]+"",""-""),""[^0-9]*$"",""""))"),"2025-07-11")</f>
        <v>2025-07-11</v>
      </c>
      <c r="D366" s="2" t="s">
        <v>8491</v>
      </c>
      <c r="H366" s="10" t="s">
        <v>8491</v>
      </c>
      <c r="I366" s="2" t="s">
        <v>594</v>
      </c>
      <c r="J366" s="26" t="str">
        <f t="array" ref="J366">IF(ISNA(XLOOKUP(I366,customers_clean!$A$2:$A$701,customers_clean!$A$2:$A$701, NA()) ),
   "❌ MISSING CUSTOMER", "✅")</f>
        <v>✅</v>
      </c>
      <c r="K366" s="2" t="str">
        <f t="array" ref="K366">XLOOKUP(I366,customers_clean!$A$2:$A$701,customers_clean!$C$2:$C$701)</f>
        <v>Carlos Kowalczyk </v>
      </c>
      <c r="L366" s="10" t="str">
        <f t="array" ref="L366">XLOOKUP(I366,customers_clean!$A$2:$A$701,customers_clean!$D$2:$D$701)</f>
        <v>Carlos Kowalczyk</v>
      </c>
      <c r="M366" s="2" t="str">
        <f t="array" ref="M366">XLOOKUP(I366,customers_clean!$A$2:$A$701,customers_clean!$I$2:$I$701)</f>
        <v>carlos.kowalcyzk@shop.io</v>
      </c>
      <c r="N366" s="10" t="str">
        <f t="array" ref="N366">XLOOKUP(I366,customers_clean!$A$2:$A$701,customers_clean!$H$2:$H$701)</f>
        <v>carlos.kowalcyzk@shop.io</v>
      </c>
      <c r="O366" s="9" t="str">
        <f>IFERROR(__xludf.DUMMYFUNCTION("IF(REGEXMATCH(TRIM(N366),""^[A-Za-z0-9._%+-]+@[A-Za-z0-9.-]+\.[A-Za-z]{2,}$""),""✅ Valid"",""❌ Invalid"")"),"✅ Valid")</f>
        <v>✅ Valid</v>
      </c>
      <c r="P366" s="33" t="str">
        <f t="array" ref="P366">XLOOKUP(I366,customers_clean!$A$2:$A$701,customers_clean!$K$2:$K$701)</f>
        <v>(833) 207095</v>
      </c>
      <c r="Q366" s="10" t="str">
        <f t="array" ref="Q366">XLOOKUP(I366,customers_clean!$A$2:$A$701,customers_clean!$N$2:$N$701)</f>
        <v>833207095</v>
      </c>
      <c r="R366" s="9" t="str">
        <f t="array" ref="R366">XLOOKUP(I366,customers_clean!$A$2:$A$701,customers_clean!$Q$2:$Q$701)</f>
        <v>❌ INVALID</v>
      </c>
      <c r="S366" s="10" t="s">
        <v>139</v>
      </c>
      <c r="T366" s="2" t="s">
        <v>802</v>
      </c>
      <c r="U366" s="2" t="s">
        <v>289</v>
      </c>
      <c r="V366" s="2" t="s">
        <v>1014</v>
      </c>
      <c r="W366" s="9" t="str">
        <f t="array" ref="W366">IF(ISNA(XLOOKUP(V366,products_master_corrected!$A$2:$A$151,products_master_corrected!$A$2:$A$151, NA())),
    "❌ MISSING SKU", "✅")</f>
        <v>✅</v>
      </c>
      <c r="X366" s="2" t="s">
        <v>1015</v>
      </c>
      <c r="Y366" s="2" t="s">
        <v>1016</v>
      </c>
      <c r="Z366" s="10" t="s">
        <v>355</v>
      </c>
      <c r="AA366" s="27">
        <v>5.0</v>
      </c>
      <c r="AB366" s="9" t="s">
        <v>8649</v>
      </c>
      <c r="AC366" s="28">
        <f t="array" ref="AC366">XLOOKUP(V366,products_master_corrected!$A$2:$A$151,products_master_corrected!$E$2:$E$151)</f>
        <v>162.1</v>
      </c>
      <c r="AD366" s="28">
        <f t="shared" si="43"/>
        <v>810.5</v>
      </c>
      <c r="AE366" s="28">
        <f t="array" ref="AE366">XLOOKUP(V366,products_master_corrected!$A$2:$A$151,products_master_corrected!$L$2:$L$151)</f>
        <v>175.31</v>
      </c>
      <c r="AF366" s="29">
        <f t="shared" si="44"/>
        <v>876.55</v>
      </c>
      <c r="AG366" s="32" t="s">
        <v>8665</v>
      </c>
      <c r="AH366" s="2" t="s">
        <v>305</v>
      </c>
      <c r="AI366" s="10" t="s">
        <v>49</v>
      </c>
      <c r="AJ366" s="2" t="s">
        <v>818</v>
      </c>
      <c r="AK366" s="10" t="s">
        <v>818</v>
      </c>
    </row>
    <row r="367" ht="15.75" customHeight="1">
      <c r="A367" s="2" t="s">
        <v>2771</v>
      </c>
      <c r="B367" s="12" t="s">
        <v>2772</v>
      </c>
      <c r="C367" s="2" t="str">
        <f>IFERROR(__xludf.DUMMYFUNCTION("IF(ISNUMBER(B367),TEXT(B367,""yyyy-MM-dd""),REGEXREPLACE(REGEXREPLACE(TO_TEXT(B367),""[^0-9a-zA-Z]+"",""-""),""[^0-9]*$"",""""))"),"23-08-2023")</f>
        <v>23-08-2023</v>
      </c>
      <c r="D367" s="2" t="s">
        <v>7680</v>
      </c>
      <c r="H367" s="10" t="s">
        <v>7680</v>
      </c>
      <c r="I367" s="2" t="s">
        <v>594</v>
      </c>
      <c r="J367" s="26" t="str">
        <f t="array" ref="J367">IF(ISNA(XLOOKUP(I367,customers_clean!$A$2:$A$701,customers_clean!$A$2:$A$701, NA()) ),
   "❌ MISSING CUSTOMER", "✅")</f>
        <v>✅</v>
      </c>
      <c r="K367" s="2" t="str">
        <f t="array" ref="K367">XLOOKUP(I367,customers_clean!$A$2:$A$701,customers_clean!$C$2:$C$701)</f>
        <v>Carlos Kowalczyk </v>
      </c>
      <c r="L367" s="10" t="str">
        <f t="array" ref="L367">XLOOKUP(I367,customers_clean!$A$2:$A$701,customers_clean!$D$2:$D$701)</f>
        <v>Carlos Kowalczyk</v>
      </c>
      <c r="M367" s="2" t="str">
        <f t="array" ref="M367">XLOOKUP(I367,customers_clean!$A$2:$A$701,customers_clean!$I$2:$I$701)</f>
        <v>carlos.kowalcyzk@shop.io</v>
      </c>
      <c r="N367" s="10" t="str">
        <f t="array" ref="N367">XLOOKUP(I367,customers_clean!$A$2:$A$701,customers_clean!$H$2:$H$701)</f>
        <v>carlos.kowalcyzk@shop.io</v>
      </c>
      <c r="O367" s="9" t="str">
        <f>IFERROR(__xludf.DUMMYFUNCTION("IF(REGEXMATCH(TRIM(N367),""^[A-Za-z0-9._%+-]+@[A-Za-z0-9.-]+\.[A-Za-z]{2,}$""),""✅ Valid"",""❌ Invalid"")"),"✅ Valid")</f>
        <v>✅ Valid</v>
      </c>
      <c r="P367" s="33" t="str">
        <f t="array" ref="P367">XLOOKUP(I367,customers_clean!$A$2:$A$701,customers_clean!$K$2:$K$701)</f>
        <v>(833) 207095</v>
      </c>
      <c r="Q367" s="10" t="str">
        <f t="array" ref="Q367">XLOOKUP(I367,customers_clean!$A$2:$A$701,customers_clean!$N$2:$N$701)</f>
        <v>833207095</v>
      </c>
      <c r="R367" s="9" t="str">
        <f t="array" ref="R367">XLOOKUP(I367,customers_clean!$A$2:$A$701,customers_clean!$Q$2:$Q$701)</f>
        <v>❌ INVALID</v>
      </c>
      <c r="S367" s="10" t="s">
        <v>139</v>
      </c>
      <c r="T367" s="2" t="s">
        <v>2045</v>
      </c>
      <c r="U367" s="2" t="s">
        <v>480</v>
      </c>
      <c r="V367" s="2" t="s">
        <v>353</v>
      </c>
      <c r="W367" s="9" t="str">
        <f t="array" ref="W367">IF(ISNA(XLOOKUP(V367,products_master_corrected!$A$2:$A$151,products_master_corrected!$A$2:$A$151, NA())),
    "❌ MISSING SKU", "✅")</f>
        <v>✅</v>
      </c>
      <c r="X367" s="2" t="s">
        <v>62</v>
      </c>
      <c r="Y367" s="2" t="s">
        <v>355</v>
      </c>
      <c r="Z367" s="10" t="s">
        <v>355</v>
      </c>
      <c r="AA367" s="27">
        <v>1.0</v>
      </c>
      <c r="AB367" s="9" t="s">
        <v>8649</v>
      </c>
      <c r="AC367" s="28">
        <f t="array" ref="AC367">XLOOKUP(V367,products_master_corrected!$A$2:$A$151,products_master_corrected!$E$2:$E$151)</f>
        <v>106.56</v>
      </c>
      <c r="AD367" s="28">
        <f t="shared" si="43"/>
        <v>106.56</v>
      </c>
      <c r="AE367" s="28">
        <f t="array" ref="AE367">XLOOKUP(V367,products_master_corrected!$A$2:$A$151,products_master_corrected!$L$2:$L$151)</f>
        <v>115.24</v>
      </c>
      <c r="AF367" s="29">
        <f t="shared" si="44"/>
        <v>115.24</v>
      </c>
      <c r="AG367" s="32" t="s">
        <v>8665</v>
      </c>
      <c r="AH367" s="2" t="s">
        <v>526</v>
      </c>
      <c r="AI367" s="10" t="s">
        <v>49</v>
      </c>
      <c r="AJ367" s="2" t="s">
        <v>169</v>
      </c>
      <c r="AK367" s="10" t="s">
        <v>261</v>
      </c>
    </row>
    <row r="368" ht="15.75" customHeight="1">
      <c r="A368" s="2" t="s">
        <v>1595</v>
      </c>
      <c r="B368" s="12">
        <v>45424.0</v>
      </c>
      <c r="C368" s="2" t="str">
        <f>IFERROR(__xludf.DUMMYFUNCTION("IF(ISNUMBER(B368),TEXT(B368,""yyyy-MM-dd""),REGEXREPLACE(REGEXREPLACE(TO_TEXT(B368),""[^0-9a-zA-Z]+"",""-""),""[^0-9]*$"",""""))"),"2024-05-12")</f>
        <v>2024-05-12</v>
      </c>
      <c r="D368" s="2" t="s">
        <v>3104</v>
      </c>
      <c r="H368" s="10" t="s">
        <v>3104</v>
      </c>
      <c r="I368" s="2" t="s">
        <v>594</v>
      </c>
      <c r="J368" s="26" t="str">
        <f t="array" ref="J368">IF(ISNA(XLOOKUP(I368,customers_clean!$A$2:$A$701,customers_clean!$A$2:$A$701, NA()) ),
   "❌ MISSING CUSTOMER", "✅")</f>
        <v>✅</v>
      </c>
      <c r="K368" s="2" t="str">
        <f t="array" ref="K368">XLOOKUP(I368,customers_clean!$A$2:$A$701,customers_clean!$C$2:$C$701)</f>
        <v>Carlos Kowalczyk </v>
      </c>
      <c r="L368" s="10" t="str">
        <f t="array" ref="L368">XLOOKUP(I368,customers_clean!$A$2:$A$701,customers_clean!$D$2:$D$701)</f>
        <v>Carlos Kowalczyk</v>
      </c>
      <c r="M368" s="2" t="str">
        <f t="array" ref="M368">XLOOKUP(I368,customers_clean!$A$2:$A$701,customers_clean!$I$2:$I$701)</f>
        <v>carlos.kowalcyzk@shop.io</v>
      </c>
      <c r="N368" s="10" t="str">
        <f t="array" ref="N368">XLOOKUP(I368,customers_clean!$A$2:$A$701,customers_clean!$H$2:$H$701)</f>
        <v>carlos.kowalcyzk@shop.io</v>
      </c>
      <c r="O368" s="9" t="str">
        <f>IFERROR(__xludf.DUMMYFUNCTION("IF(REGEXMATCH(TRIM(N368),""^[A-Za-z0-9._%+-]+@[A-Za-z0-9.-]+\.[A-Za-z]{2,}$""),""✅ Valid"",""❌ Invalid"")"),"✅ Valid")</f>
        <v>✅ Valid</v>
      </c>
      <c r="P368" s="33" t="str">
        <f t="array" ref="P368">XLOOKUP(I368,customers_clean!$A$2:$A$701,customers_clean!$K$2:$K$701)</f>
        <v>(833) 207095</v>
      </c>
      <c r="Q368" s="10" t="str">
        <f t="array" ref="Q368">XLOOKUP(I368,customers_clean!$A$2:$A$701,customers_clean!$N$2:$N$701)</f>
        <v>833207095</v>
      </c>
      <c r="R368" s="9" t="str">
        <f t="array" ref="R368">XLOOKUP(I368,customers_clean!$A$2:$A$701,customers_clean!$Q$2:$Q$701)</f>
        <v>❌ INVALID</v>
      </c>
      <c r="S368" s="10" t="s">
        <v>139</v>
      </c>
      <c r="T368" s="2" t="s">
        <v>42</v>
      </c>
      <c r="U368" s="2" t="s">
        <v>312</v>
      </c>
      <c r="V368" s="2" t="s">
        <v>1597</v>
      </c>
      <c r="W368" s="9" t="str">
        <f t="array" ref="W368">IF(ISNA(XLOOKUP(V368,products_master_corrected!$A$2:$A$151,products_master_corrected!$A$2:$A$151, NA())),
    "❌ MISSING SKU", "✅")</f>
        <v>✅</v>
      </c>
      <c r="X368" s="2" t="s">
        <v>502</v>
      </c>
      <c r="Y368" s="2" t="s">
        <v>355</v>
      </c>
      <c r="Z368" s="10" t="s">
        <v>355</v>
      </c>
      <c r="AA368" s="27">
        <v>3.0</v>
      </c>
      <c r="AB368" s="9" t="s">
        <v>8649</v>
      </c>
      <c r="AC368" s="28">
        <f t="array" ref="AC368">XLOOKUP(V368,products_master_corrected!$A$2:$A$151,products_master_corrected!$E$2:$E$151)</f>
        <v>1002.55</v>
      </c>
      <c r="AD368" s="28">
        <f t="shared" si="43"/>
        <v>3007.65</v>
      </c>
      <c r="AE368" s="28">
        <f t="array" ref="AE368">XLOOKUP(V368,products_master_corrected!$A$2:$A$151,products_master_corrected!$L$2:$L$151)</f>
        <v>1084.26</v>
      </c>
      <c r="AF368" s="29">
        <f t="shared" si="44"/>
        <v>3252.78</v>
      </c>
      <c r="AG368" s="32" t="s">
        <v>8665</v>
      </c>
      <c r="AH368" s="2" t="s">
        <v>49</v>
      </c>
      <c r="AI368" s="10" t="s">
        <v>49</v>
      </c>
      <c r="AJ368" s="2" t="s">
        <v>380</v>
      </c>
      <c r="AK368" s="10" t="s">
        <v>80</v>
      </c>
    </row>
    <row r="369" ht="15.75" customHeight="1">
      <c r="A369" s="2" t="s">
        <v>4128</v>
      </c>
      <c r="B369" s="12">
        <v>45495.0</v>
      </c>
      <c r="C369" s="2" t="str">
        <f>IFERROR(__xludf.DUMMYFUNCTION("IF(ISNUMBER(B369),TEXT(B369,""yyyy-MM-dd""),REGEXREPLACE(REGEXREPLACE(TO_TEXT(B369),""[^0-9a-zA-Z]+"",""-""),""[^0-9]*$"",""""))"),"2024-07-22")</f>
        <v>2024-07-22</v>
      </c>
      <c r="D369" s="2" t="s">
        <v>8759</v>
      </c>
      <c r="H369" s="10" t="s">
        <v>8759</v>
      </c>
      <c r="I369" s="2" t="s">
        <v>4130</v>
      </c>
      <c r="J369" s="26" t="str">
        <f t="array" ref="J369">IF(ISNA(XLOOKUP(I369,customers_clean!$A$2:$A$701,customers_clean!$A$2:$A$701, NA()) ),
   "❌ MISSING CUSTOMER", "✅")</f>
        <v>✅</v>
      </c>
      <c r="K369" s="2" t="str">
        <f t="array" ref="K369">XLOOKUP(I369,customers_clean!$A$2:$A$701,customers_clean!$C$2:$C$701)</f>
        <v> Carlos Kowalczyk </v>
      </c>
      <c r="L369" s="10" t="str">
        <f t="array" ref="L369">XLOOKUP(I369,customers_clean!$A$2:$A$701,customers_clean!$D$2:$D$701)</f>
        <v>Carlos Kowalczyk</v>
      </c>
      <c r="M369" s="2" t="str">
        <f t="array" ref="M369">XLOOKUP(I369,customers_clean!$A$2:$A$701,customers_clean!$I$2:$I$701)</f>
        <v> carlos.kowalcyzk@shop.io</v>
      </c>
      <c r="N369" s="10" t="str">
        <f t="array" ref="N369">XLOOKUP(I369,customers_clean!$A$2:$A$701,customers_clean!$H$2:$H$701)</f>
        <v>carlos.kowalcyzk@shop.io</v>
      </c>
      <c r="O369" s="9" t="str">
        <f>IFERROR(__xludf.DUMMYFUNCTION("IF(REGEXMATCH(TRIM(N369),""^[A-Za-z0-9._%+-]+@[A-Za-z0-9.-]+\.[A-Za-z]{2,}$""),""✅ Valid"",""❌ Invalid"")"),"✅ Valid")</f>
        <v>✅ Valid</v>
      </c>
      <c r="P369" s="2" t="str">
        <f t="array" ref="P369">XLOOKUP(I369,customers_clean!$A$2:$A$701,customers_clean!$K$2:$K$701)</f>
        <v>+49724261691 ext 572</v>
      </c>
      <c r="Q369" s="10" t="str">
        <f t="array" ref="Q369">XLOOKUP(I369,customers_clean!$A$2:$A$701,customers_clean!$N$2:$N$701)</f>
        <v>724261691</v>
      </c>
      <c r="R369" s="9" t="str">
        <f t="array" ref="R369">XLOOKUP(I369,customers_clean!$A$2:$A$701,customers_clean!$Q$2:$Q$701)</f>
        <v>❌ INVALID</v>
      </c>
      <c r="S369" s="10" t="s">
        <v>139</v>
      </c>
      <c r="T369" s="2" t="s">
        <v>802</v>
      </c>
      <c r="U369" s="2" t="s">
        <v>211</v>
      </c>
      <c r="V369" s="2" t="s">
        <v>652</v>
      </c>
      <c r="W369" s="9" t="str">
        <f t="array" ref="W369">IF(ISNA(XLOOKUP(V369,products_master_corrected!$A$2:$A$151,products_master_corrected!$A$2:$A$151, NA())),
    "❌ MISSING SKU", "✅")</f>
        <v>✅</v>
      </c>
      <c r="X369" s="2" t="s">
        <v>8673</v>
      </c>
      <c r="Y369" s="2" t="s">
        <v>179</v>
      </c>
      <c r="Z369" s="10" t="s">
        <v>179</v>
      </c>
      <c r="AA369" s="27">
        <v>1.0</v>
      </c>
      <c r="AB369" s="9" t="s">
        <v>8649</v>
      </c>
      <c r="AC369" s="28">
        <f t="array" ref="AC369">XLOOKUP(V369,products_master_corrected!$A$2:$A$151,products_master_corrected!$E$2:$E$151)</f>
        <v>240.24</v>
      </c>
      <c r="AD369" s="28">
        <f t="shared" si="43"/>
        <v>240.24</v>
      </c>
      <c r="AE369" s="28">
        <f t="array" ref="AE369">XLOOKUP(V369,products_master_corrected!$A$2:$A$151,products_master_corrected!$L$2:$L$151)</f>
        <v>259.82</v>
      </c>
      <c r="AF369" s="29">
        <f t="shared" si="44"/>
        <v>259.82</v>
      </c>
      <c r="AG369" s="32" t="s">
        <v>8665</v>
      </c>
      <c r="AH369" s="2" t="s">
        <v>204</v>
      </c>
      <c r="AI369" s="10" t="s">
        <v>143</v>
      </c>
      <c r="AJ369" s="2" t="s">
        <v>80</v>
      </c>
      <c r="AK369" s="10" t="s">
        <v>80</v>
      </c>
      <c r="AL369" s="2" t="s">
        <v>133</v>
      </c>
    </row>
    <row r="370" ht="15.75" customHeight="1">
      <c r="A370" s="2" t="s">
        <v>5644</v>
      </c>
      <c r="B370" s="12">
        <v>45699.075694444444</v>
      </c>
      <c r="C370" s="2" t="str">
        <f>IFERROR(__xludf.DUMMYFUNCTION("IF(ISNUMBER(B370),TEXT(B370,""yyyy-MM-dd""),REGEXREPLACE(REGEXREPLACE(TO_TEXT(B370),""[^0-9a-zA-Z]+"",""-""),""[^0-9]*$"",""""))"),"2025-02-11")</f>
        <v>2025-02-11</v>
      </c>
      <c r="D370" s="2" t="s">
        <v>7799</v>
      </c>
      <c r="H370" s="10" t="s">
        <v>7799</v>
      </c>
      <c r="I370" s="2" t="s">
        <v>5646</v>
      </c>
      <c r="J370" s="26" t="str">
        <f t="array" ref="J370">IF(ISNA(XLOOKUP(I370,customers_clean!$A$2:$A$701,customers_clean!$A$2:$A$701, NA()) ),
   "❌ MISSING CUSTOMER", "✅")</f>
        <v>✅</v>
      </c>
      <c r="K370" s="2" t="str">
        <f t="array" ref="K370">XLOOKUP(I370,customers_clean!$A$2:$A$701,customers_clean!$C$2:$C$701)</f>
        <v>UMA NOVAK</v>
      </c>
      <c r="L370" s="10" t="str">
        <f t="array" ref="L370">XLOOKUP(I370,customers_clean!$A$2:$A$701,customers_clean!$D$2:$D$701)</f>
        <v>Uma Novak</v>
      </c>
      <c r="M370" s="2" t="str">
        <f t="array" ref="M370">XLOOKUP(I370,customers_clean!$A$2:$A$701,customers_clean!$I$2:$I$701)</f>
        <v>uma.novak@shop.io</v>
      </c>
      <c r="N370" s="10" t="str">
        <f t="array" ref="N370">XLOOKUP(I370,customers_clean!$A$2:$A$701,customers_clean!$H$2:$H$701)</f>
        <v>uma.novak@shop.io</v>
      </c>
      <c r="O370" s="9" t="str">
        <f>IFERROR(__xludf.DUMMYFUNCTION("IF(REGEXMATCH(TRIM(N370),""^[A-Za-z0-9._%+-]+@[A-Za-z0-9.-]+\.[A-Za-z]{2,}$""),""✅ Valid"",""❌ Invalid"")"),"✅ Valid")</f>
        <v>✅ Valid</v>
      </c>
      <c r="P370" s="2" t="str">
        <f t="array" ref="P370">XLOOKUP(I370,customers_clean!$A$2:$A$701,customers_clean!$K$2:$K$701)</f>
        <v>+49 086 1119747</v>
      </c>
      <c r="Q370" s="10" t="str">
        <f t="array" ref="Q370">XLOOKUP(I370,customers_clean!$A$2:$A$701,customers_clean!$N$2:$N$701)</f>
        <v>0861119747</v>
      </c>
      <c r="R370" s="9" t="str">
        <f t="array" ref="R370">XLOOKUP(I370,customers_clean!$A$2:$A$701,customers_clean!$Q$2:$Q$701)</f>
        <v>❌ INVALID</v>
      </c>
      <c r="S370" s="10" t="s">
        <v>88</v>
      </c>
      <c r="T370" s="2" t="s">
        <v>234</v>
      </c>
      <c r="U370" s="2" t="s">
        <v>103</v>
      </c>
      <c r="V370" s="2" t="s">
        <v>28</v>
      </c>
      <c r="W370" s="9" t="str">
        <f t="array" ref="W370">IF(ISNA(XLOOKUP(V370,products_master_corrected!$A$2:$A$151,products_master_corrected!$A$2:$A$151, NA())),
    "❌ MISSING SKU", "✅")</f>
        <v>✅</v>
      </c>
      <c r="X370" s="2" t="s">
        <v>29</v>
      </c>
      <c r="Y370" s="2" t="s">
        <v>30</v>
      </c>
      <c r="Z370" s="10" t="s">
        <v>179</v>
      </c>
      <c r="AA370" s="27">
        <v>1.0</v>
      </c>
      <c r="AB370" s="9" t="s">
        <v>8649</v>
      </c>
      <c r="AC370" s="28">
        <f t="array" ref="AC370">XLOOKUP(V370,products_master_corrected!$A$2:$A$151,products_master_corrected!$E$2:$E$151)</f>
        <v>145.2</v>
      </c>
      <c r="AD370" s="28">
        <f t="shared" si="43"/>
        <v>145.2</v>
      </c>
      <c r="AE370" s="28">
        <f t="array" ref="AE370">XLOOKUP(V370,products_master_corrected!$A$2:$A$151,products_master_corrected!$I$2:$I$151)</f>
        <v>160.07</v>
      </c>
      <c r="AF370" s="29">
        <f t="shared" si="44"/>
        <v>160.07</v>
      </c>
      <c r="AG370" s="32" t="s">
        <v>8660</v>
      </c>
      <c r="AH370" s="2" t="s">
        <v>573</v>
      </c>
      <c r="AI370" s="10" t="s">
        <v>66</v>
      </c>
      <c r="AJ370" s="2" t="s">
        <v>5649</v>
      </c>
      <c r="AK370" s="10" t="s">
        <v>192</v>
      </c>
      <c r="AL370" s="2" t="s">
        <v>81</v>
      </c>
    </row>
    <row r="371" ht="15.75" customHeight="1">
      <c r="A371" s="2" t="s">
        <v>3573</v>
      </c>
      <c r="B371" s="12">
        <v>45726.0</v>
      </c>
      <c r="C371" s="2" t="str">
        <f>IFERROR(__xludf.DUMMYFUNCTION("IF(ISNUMBER(B371),TEXT(B371,""yyyy-MM-dd""),REGEXREPLACE(REGEXREPLACE(TO_TEXT(B371),""[^0-9a-zA-Z]+"",""-""),""[^0-9]*$"",""""))"),"2025-03-10")</f>
        <v>2025-03-10</v>
      </c>
      <c r="D371" s="2" t="s">
        <v>8819</v>
      </c>
      <c r="H371" s="10" t="s">
        <v>8819</v>
      </c>
      <c r="I371" s="2" t="s">
        <v>3081</v>
      </c>
      <c r="J371" s="26" t="str">
        <f t="array" ref="J371">IF(ISNA(XLOOKUP(I371,customers_clean!$A$2:$A$701,customers_clean!$A$2:$A$701, NA()) ),
   "❌ MISSING CUSTOMER", "✅")</f>
        <v>✅</v>
      </c>
      <c r="K371" s="2" t="str">
        <f t="array" ref="K371">XLOOKUP(I371,customers_clean!$A$2:$A$701,customers_clean!$C$2:$C$701)</f>
        <v>Marek Smith </v>
      </c>
      <c r="L371" s="10" t="str">
        <f t="array" ref="L371">XLOOKUP(I371,customers_clean!$A$2:$A$701,customers_clean!$D$2:$D$701)</f>
        <v>Marek Smith</v>
      </c>
      <c r="M371" s="2" t="str">
        <f t="array" ref="M371">XLOOKUP(I371,customers_clean!$A$2:$A$701,customers_clean!$I$2:$I$701)</f>
        <v>marek.smith@shop.io</v>
      </c>
      <c r="N371" s="10" t="str">
        <f t="array" ref="N371">XLOOKUP(I371,customers_clean!$A$2:$A$701,customers_clean!$H$2:$H$701)</f>
        <v>marek.smith@shop.io</v>
      </c>
      <c r="O371" s="9" t="str">
        <f>IFERROR(__xludf.DUMMYFUNCTION("IF(REGEXMATCH(TRIM(N371),""^[A-Za-z0-9._%+-]+@[A-Za-z0-9.-]+\.[A-Za-z]{2,}$""),""✅ Valid"",""❌ Invalid"")"),"✅ Valid")</f>
        <v>✅ Valid</v>
      </c>
      <c r="P371" s="2" t="str">
        <f t="array" ref="P371">XLOOKUP(I371,customers_clean!$A$2:$A$701,customers_clean!$K$2:$K$701)</f>
        <v>+34 129 718 490</v>
      </c>
      <c r="Q371" s="10" t="str">
        <f t="array" ref="Q371">XLOOKUP(I371,customers_clean!$A$2:$A$701,customers_clean!$N$2:$N$701)</f>
        <v>129718490</v>
      </c>
      <c r="R371" s="9" t="str">
        <f t="array" ref="R371">XLOOKUP(I371,customers_clean!$A$2:$A$701,customers_clean!$Q$2:$Q$701)</f>
        <v>❌ INVALID</v>
      </c>
      <c r="S371" s="10" t="s">
        <v>139</v>
      </c>
      <c r="T371" s="2" t="s">
        <v>42</v>
      </c>
      <c r="U371" s="2" t="s">
        <v>43</v>
      </c>
      <c r="V371" s="2" t="s">
        <v>1460</v>
      </c>
      <c r="W371" s="9" t="str">
        <f t="array" ref="W371">IF(ISNA(XLOOKUP(V371,products_master_corrected!$A$2:$A$151,products_master_corrected!$A$2:$A$151, NA())),
    "❌ MISSING SKU", "✅")</f>
        <v>✅</v>
      </c>
      <c r="X371" s="2" t="s">
        <v>1138</v>
      </c>
      <c r="Y371" s="2" t="s">
        <v>368</v>
      </c>
      <c r="Z371" s="10" t="s">
        <v>368</v>
      </c>
      <c r="AA371" s="27">
        <v>2.0</v>
      </c>
      <c r="AB371" s="9" t="s">
        <v>8649</v>
      </c>
      <c r="AC371" s="28">
        <f t="array" ref="AC371">XLOOKUP(V371,products_master_corrected!$A$2:$A$151,products_master_corrected!$E$2:$E$151)</f>
        <v>271.81</v>
      </c>
      <c r="AD371" s="28">
        <f t="shared" si="43"/>
        <v>543.62</v>
      </c>
      <c r="AE371" s="28">
        <f t="array" ref="AE371">XLOOKUP(V371,products_master_corrected!$A$2:$A$151,products_master_corrected!$L$2:$L$151)</f>
        <v>293.96</v>
      </c>
      <c r="AF371" s="29">
        <f t="shared" si="44"/>
        <v>587.92</v>
      </c>
      <c r="AG371" s="32" t="s">
        <v>8665</v>
      </c>
      <c r="AH371" s="2" t="s">
        <v>131</v>
      </c>
      <c r="AI371" s="10" t="s">
        <v>181</v>
      </c>
      <c r="AJ371" s="2" t="s">
        <v>442</v>
      </c>
      <c r="AK371" s="10" t="s">
        <v>80</v>
      </c>
    </row>
    <row r="372" ht="15.75" customHeight="1">
      <c r="A372" s="2" t="s">
        <v>3079</v>
      </c>
      <c r="B372" s="12">
        <v>45791.0</v>
      </c>
      <c r="C372" s="2" t="str">
        <f>IFERROR(__xludf.DUMMYFUNCTION("IF(ISNUMBER(B372),TEXT(B372,""yyyy-MM-dd""),REGEXREPLACE(REGEXREPLACE(TO_TEXT(B372),""[^0-9a-zA-Z]+"",""-""),""[^0-9]*$"",""""))"),"2025-05-14")</f>
        <v>2025-05-14</v>
      </c>
      <c r="D372" s="2" t="s">
        <v>7626</v>
      </c>
      <c r="H372" s="10" t="s">
        <v>7626</v>
      </c>
      <c r="I372" s="2" t="s">
        <v>3081</v>
      </c>
      <c r="J372" s="26" t="str">
        <f t="array" ref="J372">IF(ISNA(XLOOKUP(I372,customers_clean!$A$2:$A$701,customers_clean!$A$2:$A$701, NA()) ),
   "❌ MISSING CUSTOMER", "✅")</f>
        <v>✅</v>
      </c>
      <c r="K372" s="2" t="str">
        <f t="array" ref="K372">XLOOKUP(I372,customers_clean!$A$2:$A$701,customers_clean!$C$2:$C$701)</f>
        <v>Marek Smith </v>
      </c>
      <c r="L372" s="10" t="str">
        <f t="array" ref="L372">XLOOKUP(I372,customers_clean!$A$2:$A$701,customers_clean!$D$2:$D$701)</f>
        <v>Marek Smith</v>
      </c>
      <c r="M372" s="2" t="str">
        <f t="array" ref="M372">XLOOKUP(I372,customers_clean!$A$2:$A$701,customers_clean!$I$2:$I$701)</f>
        <v>marek.smith@shop.io</v>
      </c>
      <c r="N372" s="10" t="str">
        <f t="array" ref="N372">XLOOKUP(I372,customers_clean!$A$2:$A$701,customers_clean!$H$2:$H$701)</f>
        <v>marek.smith@shop.io</v>
      </c>
      <c r="O372" s="9" t="str">
        <f>IFERROR(__xludf.DUMMYFUNCTION("IF(REGEXMATCH(TRIM(N372),""^[A-Za-z0-9._%+-]+@[A-Za-z0-9.-]+\.[A-Za-z]{2,}$""),""✅ Valid"",""❌ Invalid"")"),"✅ Valid")</f>
        <v>✅ Valid</v>
      </c>
      <c r="P372" s="2" t="str">
        <f t="array" ref="P372">XLOOKUP(I372,customers_clean!$A$2:$A$701,customers_clean!$K$2:$K$701)</f>
        <v>+34 129 718 490</v>
      </c>
      <c r="Q372" s="10" t="str">
        <f t="array" ref="Q372">XLOOKUP(I372,customers_clean!$A$2:$A$701,customers_clean!$N$2:$N$701)</f>
        <v>129718490</v>
      </c>
      <c r="R372" s="9" t="str">
        <f t="array" ref="R372">XLOOKUP(I372,customers_clean!$A$2:$A$701,customers_clean!$Q$2:$Q$701)</f>
        <v>❌ INVALID</v>
      </c>
      <c r="S372" s="10" t="s">
        <v>139</v>
      </c>
      <c r="T372" s="2" t="s">
        <v>210</v>
      </c>
      <c r="U372" s="2" t="s">
        <v>522</v>
      </c>
      <c r="V372" s="2" t="s">
        <v>1246</v>
      </c>
      <c r="W372" s="9" t="str">
        <f t="array" ref="W372">IF(ISNA(XLOOKUP(V372,products_master_corrected!$A$2:$A$151,products_master_corrected!$A$2:$A$151, NA())),
    "❌ MISSING SKU", "✅")</f>
        <v>✅</v>
      </c>
      <c r="X372" s="2" t="s">
        <v>804</v>
      </c>
      <c r="Y372" s="2" t="s">
        <v>514</v>
      </c>
      <c r="Z372" s="10" t="s">
        <v>514</v>
      </c>
      <c r="AA372" s="27">
        <v>1.0</v>
      </c>
      <c r="AB372" s="9" t="s">
        <v>8649</v>
      </c>
      <c r="AC372" s="28">
        <f t="array" ref="AC372">XLOOKUP(V372,products_master_corrected!$A$2:$A$151,products_master_corrected!$E$2:$E$151)</f>
        <v>11.43</v>
      </c>
      <c r="AD372" s="28">
        <f t="shared" si="43"/>
        <v>11.43</v>
      </c>
      <c r="AE372" s="28">
        <f t="array" ref="AE372">XLOOKUP(V372,products_master_corrected!$A$2:$A$151,products_master_corrected!$L$2:$L$151)</f>
        <v>12.36</v>
      </c>
      <c r="AF372" s="29">
        <f t="shared" si="44"/>
        <v>12.36</v>
      </c>
      <c r="AG372" s="32" t="s">
        <v>8665</v>
      </c>
      <c r="AH372" s="2" t="s">
        <v>143</v>
      </c>
      <c r="AI372" s="10" t="s">
        <v>143</v>
      </c>
      <c r="AJ372" s="2" t="s">
        <v>158</v>
      </c>
      <c r="AK372" s="10" t="s">
        <v>818</v>
      </c>
    </row>
    <row r="373" ht="15.75" customHeight="1">
      <c r="A373" s="2" t="s">
        <v>3397</v>
      </c>
      <c r="B373" s="12">
        <v>45100.0</v>
      </c>
      <c r="C373" s="2" t="str">
        <f>IFERROR(__xludf.DUMMYFUNCTION("IF(ISNUMBER(B373),TEXT(B373,""yyyy-MM-dd""),REGEXREPLACE(REGEXREPLACE(TO_TEXT(B373),""[^0-9a-zA-Z]+"",""-""),""[^0-9]*$"",""""))"),"2023-06-23")</f>
        <v>2023-06-23</v>
      </c>
      <c r="D373" s="2" t="s">
        <v>8820</v>
      </c>
      <c r="H373" s="10" t="s">
        <v>8820</v>
      </c>
      <c r="I373" s="2" t="s">
        <v>3399</v>
      </c>
      <c r="J373" s="26" t="str">
        <f t="array" ref="J373">IF(ISNA(XLOOKUP(I373,customers_clean!$A$2:$A$701,customers_clean!$A$2:$A$701, NA()) ),
   "❌ MISSING CUSTOMER", "✅")</f>
        <v>✅</v>
      </c>
      <c r="K373" s="2" t="str">
        <f t="array" ref="K373">XLOOKUP(I373,customers_clean!$A$2:$A$701,customers_clean!$C$2:$C$701)</f>
        <v>Daria Nowak</v>
      </c>
      <c r="L373" s="10" t="str">
        <f t="array" ref="L373">XLOOKUP(I373,customers_clean!$A$2:$A$701,customers_clean!$D$2:$D$701)</f>
        <v>Daria Nowak</v>
      </c>
      <c r="M373" s="2" t="str">
        <f t="array" ref="M373">XLOOKUP(I373,customers_clean!$A$2:$A$701,customers_clean!$I$2:$I$701)</f>
        <v>daria.nowak@gmail.com</v>
      </c>
      <c r="N373" s="10" t="str">
        <f t="array" ref="N373">XLOOKUP(I373,customers_clean!$A$2:$A$701,customers_clean!$H$2:$H$701)</f>
        <v>daria.nowak@gmail.com</v>
      </c>
      <c r="O373" s="9" t="str">
        <f>IFERROR(__xludf.DUMMYFUNCTION("IF(REGEXMATCH(TRIM(N373),""^[A-Za-z0-9._%+-]+@[A-Za-z0-9.-]+\.[A-Za-z]{2,}$""),""✅ Valid"",""❌ Invalid"")"),"✅ Valid")</f>
        <v>✅ Valid</v>
      </c>
      <c r="P373" s="2" t="str">
        <f t="array" ref="P373">XLOOKUP(I373,customers_clean!$A$2:$A$701,customers_clean!$K$2:$K$701)</f>
        <v>033x1717508</v>
      </c>
      <c r="Q373" s="10" t="str">
        <f t="array" ref="Q373">XLOOKUP(I373,customers_clean!$A$2:$A$701,customers_clean!$N$2:$N$701)</f>
        <v>0331717508</v>
      </c>
      <c r="R373" s="9" t="str">
        <f t="array" ref="R373">XLOOKUP(I373,customers_clean!$A$2:$A$701,customers_clean!$Q$2:$Q$701)</f>
        <v>❌ INVALID</v>
      </c>
      <c r="S373" s="31" t="s">
        <v>671</v>
      </c>
      <c r="T373" s="2" t="s">
        <v>74</v>
      </c>
      <c r="U373" s="2" t="s">
        <v>103</v>
      </c>
      <c r="V373" s="2" t="s">
        <v>313</v>
      </c>
      <c r="W373" s="9" t="str">
        <f t="array" ref="W373">IF(ISNA(XLOOKUP(V373,products_master_corrected!$A$2:$A$151,products_master_corrected!$A$2:$A$151, NA())),
    "❌ MISSING SKU", "✅")</f>
        <v>✅</v>
      </c>
      <c r="X373" s="2" t="s">
        <v>768</v>
      </c>
      <c r="Y373" s="2" t="s">
        <v>315</v>
      </c>
      <c r="Z373" s="10" t="s">
        <v>179</v>
      </c>
      <c r="AA373" s="27">
        <v>5.0</v>
      </c>
      <c r="AB373" s="9" t="s">
        <v>8649</v>
      </c>
      <c r="AC373" s="28">
        <f t="array" ref="AC373">XLOOKUP(V373,products_master_corrected!$A$2:$A$151,products_master_corrected!$E$2:$E$151)</f>
        <v>47.55</v>
      </c>
      <c r="AD373" s="28">
        <f t="shared" si="43"/>
        <v>237.75</v>
      </c>
      <c r="AE373" s="28">
        <f t="array" ref="AE373">XLOOKUP(V373,products_master_corrected!$A$2:$A$151,products_master_corrected!$J$2:$J$151)</f>
        <v>55.46</v>
      </c>
      <c r="AF373" s="29">
        <f t="shared" si="44"/>
        <v>277.3</v>
      </c>
      <c r="AG373" s="32" t="s">
        <v>8656</v>
      </c>
      <c r="AH373" s="2" t="s">
        <v>49</v>
      </c>
      <c r="AI373" s="10" t="s">
        <v>49</v>
      </c>
      <c r="AJ373" s="2" t="s">
        <v>345</v>
      </c>
      <c r="AK373" s="10" t="s">
        <v>261</v>
      </c>
    </row>
    <row r="374" ht="15.75" customHeight="1">
      <c r="A374" s="2" t="s">
        <v>6192</v>
      </c>
      <c r="B374" s="12">
        <v>45385.0</v>
      </c>
      <c r="C374" s="2" t="str">
        <f>IFERROR(__xludf.DUMMYFUNCTION("IF(ISNUMBER(B374),TEXT(B374,""yyyy-MM-dd""),REGEXREPLACE(REGEXREPLACE(TO_TEXT(B374),""[^0-9a-zA-Z]+"",""-""),""[^0-9]*$"",""""))"),"2024-04-03")</f>
        <v>2024-04-03</v>
      </c>
      <c r="D374" s="2" t="s">
        <v>8821</v>
      </c>
      <c r="H374" s="10" t="s">
        <v>8821</v>
      </c>
      <c r="I374" s="2" t="s">
        <v>3399</v>
      </c>
      <c r="J374" s="26" t="str">
        <f t="array" ref="J374">IF(ISNA(XLOOKUP(I374,customers_clean!$A$2:$A$701,customers_clean!$A$2:$A$701, NA()) ),
   "❌ MISSING CUSTOMER", "✅")</f>
        <v>✅</v>
      </c>
      <c r="K374" s="2" t="str">
        <f t="array" ref="K374">XLOOKUP(I374,customers_clean!$A$2:$A$701,customers_clean!$C$2:$C$701)</f>
        <v>Daria Nowak</v>
      </c>
      <c r="L374" s="10" t="str">
        <f t="array" ref="L374">XLOOKUP(I374,customers_clean!$A$2:$A$701,customers_clean!$D$2:$D$701)</f>
        <v>Daria Nowak</v>
      </c>
      <c r="M374" s="2" t="str">
        <f t="array" ref="M374">XLOOKUP(I374,customers_clean!$A$2:$A$701,customers_clean!$I$2:$I$701)</f>
        <v>daria.nowak@gmail.com</v>
      </c>
      <c r="N374" s="10" t="str">
        <f t="array" ref="N374">XLOOKUP(I374,customers_clean!$A$2:$A$701,customers_clean!$H$2:$H$701)</f>
        <v>daria.nowak@gmail.com</v>
      </c>
      <c r="O374" s="9" t="str">
        <f>IFERROR(__xludf.DUMMYFUNCTION("IF(REGEXMATCH(TRIM(N374),""^[A-Za-z0-9._%+-]+@[A-Za-z0-9.-]+\.[A-Za-z]{2,}$""),""✅ Valid"",""❌ Invalid"")"),"✅ Valid")</f>
        <v>✅ Valid</v>
      </c>
      <c r="P374" s="2" t="str">
        <f t="array" ref="P374">XLOOKUP(I374,customers_clean!$A$2:$A$701,customers_clean!$K$2:$K$701)</f>
        <v>033x1717508</v>
      </c>
      <c r="Q374" s="10" t="str">
        <f t="array" ref="Q374">XLOOKUP(I374,customers_clean!$A$2:$A$701,customers_clean!$N$2:$N$701)</f>
        <v>0331717508</v>
      </c>
      <c r="R374" s="9" t="str">
        <f t="array" ref="R374">XLOOKUP(I374,customers_clean!$A$2:$A$701,customers_clean!$Q$2:$Q$701)</f>
        <v>❌ INVALID</v>
      </c>
      <c r="S374" s="31" t="s">
        <v>671</v>
      </c>
      <c r="T374" s="2" t="s">
        <v>223</v>
      </c>
      <c r="U374" s="2" t="s">
        <v>401</v>
      </c>
      <c r="V374" s="2" t="s">
        <v>2425</v>
      </c>
      <c r="W374" s="9" t="str">
        <f t="array" ref="W374">IF(ISNA(XLOOKUP(V374,products_master_corrected!$A$2:$A$151,products_master_corrected!$A$2:$A$151, NA())),
    "❌ MISSING SKU", "✅")</f>
        <v>✅</v>
      </c>
      <c r="X374" s="2" t="s">
        <v>2426</v>
      </c>
      <c r="Y374" s="2" t="s">
        <v>2427</v>
      </c>
      <c r="Z374" s="10" t="s">
        <v>248</v>
      </c>
      <c r="AA374" s="27">
        <v>1.0</v>
      </c>
      <c r="AB374" s="9" t="s">
        <v>8649</v>
      </c>
      <c r="AC374" s="28">
        <f t="array" ref="AC374">XLOOKUP(V374,products_master_corrected!$A$2:$A$151,products_master_corrected!$E$2:$E$151)</f>
        <v>1071.06</v>
      </c>
      <c r="AD374" s="28">
        <f t="shared" si="43"/>
        <v>1071.06</v>
      </c>
      <c r="AE374" s="28">
        <f t="array" ref="AE374">XLOOKUP(V374,products_master_corrected!$A$2:$A$151,products_master_corrected!$J$2:$J$151)</f>
        <v>1249.18</v>
      </c>
      <c r="AF374" s="29">
        <f t="shared" si="44"/>
        <v>1249.18</v>
      </c>
      <c r="AG374" s="32" t="s">
        <v>8656</v>
      </c>
      <c r="AH374" s="2" t="s">
        <v>181</v>
      </c>
      <c r="AI374" s="10" t="s">
        <v>181</v>
      </c>
      <c r="AJ374" s="2" t="s">
        <v>3136</v>
      </c>
      <c r="AK374" s="10" t="s">
        <v>261</v>
      </c>
      <c r="AL374" s="2" t="s">
        <v>133</v>
      </c>
    </row>
    <row r="375" ht="15.75" customHeight="1">
      <c r="A375" s="2" t="s">
        <v>1956</v>
      </c>
      <c r="B375" s="12">
        <v>45569.0</v>
      </c>
      <c r="C375" s="2" t="str">
        <f>IFERROR(__xludf.DUMMYFUNCTION("IF(ISNUMBER(B375),TEXT(B375,""yyyy-MM-dd""),REGEXREPLACE(REGEXREPLACE(TO_TEXT(B375),""[^0-9a-zA-Z]+"",""-""),""[^0-9]*$"",""""))"),"2024-10-04")</f>
        <v>2024-10-04</v>
      </c>
      <c r="D375" s="2" t="s">
        <v>7697</v>
      </c>
      <c r="H375" s="10" t="s">
        <v>7697</v>
      </c>
      <c r="I375" s="2" t="s">
        <v>1703</v>
      </c>
      <c r="J375" s="26" t="str">
        <f t="array" ref="J375">IF(ISNA(XLOOKUP(I375,customers_clean!$A$2:$A$701,customers_clean!$A$2:$A$701, NA()) ),
   "❌ MISSING CUSTOMER", "✅")</f>
        <v>✅</v>
      </c>
      <c r="K375" s="2" t="str">
        <f t="array" ref="K375">XLOOKUP(I375,customers_clean!$A$2:$A$701,customers_clean!$C$2:$C$701)</f>
        <v>Xenia Rossi</v>
      </c>
      <c r="L375" s="10" t="str">
        <f t="array" ref="L375">XLOOKUP(I375,customers_clean!$A$2:$A$701,customers_clean!$D$2:$D$701)</f>
        <v>Xenia Rossi</v>
      </c>
      <c r="M375" s="2" t="str">
        <f t="array" ref="M375">XLOOKUP(I375,customers_clean!$A$2:$A$701,customers_clean!$I$2:$I$701)</f>
        <v>xenia.rossi@yahoo.com</v>
      </c>
      <c r="N375" s="10" t="str">
        <f t="array" ref="N375">XLOOKUP(I375,customers_clean!$A$2:$A$701,customers_clean!$H$2:$H$701)</f>
        <v>xenia.rossi@yahoo.com</v>
      </c>
      <c r="O375" s="9" t="str">
        <f>IFERROR(__xludf.DUMMYFUNCTION("IF(REGEXMATCH(TRIM(N375),""^[A-Za-z0-9._%+-]+@[A-Za-z0-9.-]+\.[A-Za-z]{2,}$""),""✅ Valid"",""❌ Invalid"")"),"✅ Valid")</f>
        <v>✅ Valid</v>
      </c>
      <c r="P375" s="2" t="str">
        <f t="array" ref="P375">XLOOKUP(I375,customers_clean!$A$2:$A$701,customers_clean!$K$2:$K$701)</f>
        <v>+34 125 15093</v>
      </c>
      <c r="Q375" s="10" t="str">
        <f t="array" ref="Q375">XLOOKUP(I375,customers_clean!$A$2:$A$701,customers_clean!$N$2:$N$701)</f>
        <v>12515093</v>
      </c>
      <c r="R375" s="9" t="str">
        <f t="array" ref="R375">XLOOKUP(I375,customers_clean!$A$2:$A$701,customers_clean!$Q$2:$Q$701)</f>
        <v>❌ INVALID</v>
      </c>
      <c r="S375" s="10" t="s">
        <v>25</v>
      </c>
      <c r="T375" s="2" t="s">
        <v>400</v>
      </c>
      <c r="U375" s="2" t="s">
        <v>401</v>
      </c>
      <c r="V375" s="2" t="s">
        <v>871</v>
      </c>
      <c r="W375" s="9" t="str">
        <f t="array" ref="W375">IF(ISNA(XLOOKUP(V375,products_master_corrected!$A$2:$A$151,products_master_corrected!$A$2:$A$151, NA())),
    "❌ MISSING SKU", "✅")</f>
        <v>✅</v>
      </c>
      <c r="X375" s="2" t="s">
        <v>29</v>
      </c>
      <c r="Y375" s="2" t="s">
        <v>292</v>
      </c>
      <c r="Z375" s="10" t="s">
        <v>63</v>
      </c>
      <c r="AA375" s="27">
        <v>2.0</v>
      </c>
      <c r="AB375" s="9" t="s">
        <v>8649</v>
      </c>
      <c r="AC375" s="28">
        <f t="array" ref="AC375">XLOOKUP(V375,products_master_corrected!$A$2:$A$151,products_master_corrected!$E$2:$E$151)</f>
        <v>178.58</v>
      </c>
      <c r="AD375" s="28">
        <f t="shared" si="43"/>
        <v>357.16</v>
      </c>
      <c r="AE375" s="28">
        <f t="array" ref="AE375">XLOOKUP(V375,products_master_corrected!$A$2:$A$151,products_master_corrected!$K$2:$K$151)</f>
        <v>918.79</v>
      </c>
      <c r="AF375" s="29">
        <f t="shared" si="44"/>
        <v>1837.58</v>
      </c>
      <c r="AG375" s="30" t="s">
        <v>95</v>
      </c>
      <c r="AH375" s="2" t="s">
        <v>1959</v>
      </c>
      <c r="AI375" s="10" t="s">
        <v>143</v>
      </c>
      <c r="AJ375" s="2" t="s">
        <v>50</v>
      </c>
      <c r="AK375" s="10" t="s">
        <v>261</v>
      </c>
      <c r="AL375" s="2" t="s">
        <v>133</v>
      </c>
    </row>
    <row r="376" ht="15.75" customHeight="1">
      <c r="A376" s="2" t="s">
        <v>1701</v>
      </c>
      <c r="B376" s="12" t="s">
        <v>1702</v>
      </c>
      <c r="C376" s="2" t="str">
        <f>IFERROR(__xludf.DUMMYFUNCTION("IF(ISNUMBER(B376),TEXT(B376,""yyyy-MM-dd""),REGEXREPLACE(REGEXREPLACE(TO_TEXT(B376),""[^0-9a-zA-Z]+"",""-""),""[^0-9]*$"",""""))"),"30-08-2025")</f>
        <v>30-08-2025</v>
      </c>
      <c r="D376" s="2" t="s">
        <v>8822</v>
      </c>
      <c r="H376" s="10" t="s">
        <v>8822</v>
      </c>
      <c r="I376" s="2" t="s">
        <v>1703</v>
      </c>
      <c r="J376" s="26" t="str">
        <f t="array" ref="J376">IF(ISNA(XLOOKUP(I376,customers_clean!$A$2:$A$701,customers_clean!$A$2:$A$701, NA()) ),
   "❌ MISSING CUSTOMER", "✅")</f>
        <v>✅</v>
      </c>
      <c r="K376" s="2" t="str">
        <f t="array" ref="K376">XLOOKUP(I376,customers_clean!$A$2:$A$701,customers_clean!$C$2:$C$701)</f>
        <v>Xenia Rossi</v>
      </c>
      <c r="L376" s="10" t="str">
        <f t="array" ref="L376">XLOOKUP(I376,customers_clean!$A$2:$A$701,customers_clean!$D$2:$D$701)</f>
        <v>Xenia Rossi</v>
      </c>
      <c r="M376" s="2" t="str">
        <f t="array" ref="M376">XLOOKUP(I376,customers_clean!$A$2:$A$701,customers_clean!$I$2:$I$701)</f>
        <v>xenia.rossi@yahoo.com</v>
      </c>
      <c r="N376" s="10" t="str">
        <f t="array" ref="N376">XLOOKUP(I376,customers_clean!$A$2:$A$701,customers_clean!$H$2:$H$701)</f>
        <v>xenia.rossi@yahoo.com</v>
      </c>
      <c r="O376" s="9" t="str">
        <f>IFERROR(__xludf.DUMMYFUNCTION("IF(REGEXMATCH(TRIM(N376),""^[A-Za-z0-9._%+-]+@[A-Za-z0-9.-]+\.[A-Za-z]{2,}$""),""✅ Valid"",""❌ Invalid"")"),"✅ Valid")</f>
        <v>✅ Valid</v>
      </c>
      <c r="P376" s="2" t="str">
        <f t="array" ref="P376">XLOOKUP(I376,customers_clean!$A$2:$A$701,customers_clean!$K$2:$K$701)</f>
        <v>+34 125 15093</v>
      </c>
      <c r="Q376" s="10" t="str">
        <f t="array" ref="Q376">XLOOKUP(I376,customers_clean!$A$2:$A$701,customers_clean!$N$2:$N$701)</f>
        <v>12515093</v>
      </c>
      <c r="R376" s="9" t="str">
        <f t="array" ref="R376">XLOOKUP(I376,customers_clean!$A$2:$A$701,customers_clean!$Q$2:$Q$701)</f>
        <v>❌ INVALID</v>
      </c>
      <c r="S376" s="10" t="s">
        <v>25</v>
      </c>
      <c r="T376" s="2" t="s">
        <v>26</v>
      </c>
      <c r="U376" s="2" t="s">
        <v>522</v>
      </c>
      <c r="V376" s="2" t="s">
        <v>1358</v>
      </c>
      <c r="W376" s="9" t="str">
        <f t="array" ref="W376">IF(ISNA(XLOOKUP(V376,products_master_corrected!$A$2:$A$151,products_master_corrected!$A$2:$A$151, NA())),
    "❌ MISSING SKU", "✅")</f>
        <v>✅</v>
      </c>
      <c r="X376" s="2" t="s">
        <v>259</v>
      </c>
      <c r="Y376" s="2" t="s">
        <v>941</v>
      </c>
      <c r="Z376" s="10" t="str">
        <f t="shared" ref="Z376:Z377" si="45">PROPER(TRIM(Y376))</f>
        <v>Monitors</v>
      </c>
      <c r="AA376" s="27">
        <v>5.0</v>
      </c>
      <c r="AB376" s="9" t="s">
        <v>8649</v>
      </c>
      <c r="AC376" s="28">
        <f t="array" ref="AC376">XLOOKUP(V376,products_master_corrected!$A$2:$A$151,products_master_corrected!$E$2:$E$151)</f>
        <v>36.44</v>
      </c>
      <c r="AD376" s="28">
        <f t="shared" si="43"/>
        <v>182.2</v>
      </c>
      <c r="AE376" s="28">
        <f t="array" ref="AE376">XLOOKUP(V376,products_master_corrected!$A$2:$A$151,products_master_corrected!$K$2:$K$151)</f>
        <v>187.48</v>
      </c>
      <c r="AF376" s="29">
        <f t="shared" si="44"/>
        <v>937.4</v>
      </c>
      <c r="AG376" s="30" t="s">
        <v>95</v>
      </c>
      <c r="AH376" s="2" t="s">
        <v>1708</v>
      </c>
      <c r="AI376" s="10" t="s">
        <v>181</v>
      </c>
      <c r="AJ376" s="2" t="s">
        <v>527</v>
      </c>
      <c r="AK376" s="10" t="s">
        <v>192</v>
      </c>
    </row>
    <row r="377" ht="15.75" customHeight="1">
      <c r="A377" s="2" t="s">
        <v>4779</v>
      </c>
      <c r="B377" s="12">
        <v>45400.0</v>
      </c>
      <c r="C377" s="2" t="str">
        <f>IFERROR(__xludf.DUMMYFUNCTION("IF(ISNUMBER(B377),TEXT(B377,""yyyy-MM-dd""),REGEXREPLACE(REGEXREPLACE(TO_TEXT(B377),""[^0-9a-zA-Z]+"",""-""),""[^0-9]*$"",""""))"),"2024-04-18")</f>
        <v>2024-04-18</v>
      </c>
      <c r="D377" s="2" t="s">
        <v>4780</v>
      </c>
      <c r="H377" s="10" t="s">
        <v>4780</v>
      </c>
      <c r="I377" s="2" t="s">
        <v>1703</v>
      </c>
      <c r="J377" s="26" t="str">
        <f t="array" ref="J377">IF(ISNA(XLOOKUP(I377,customers_clean!$A$2:$A$701,customers_clean!$A$2:$A$701, NA()) ),
   "❌ MISSING CUSTOMER", "✅")</f>
        <v>✅</v>
      </c>
      <c r="K377" s="2" t="str">
        <f t="array" ref="K377">XLOOKUP(I377,customers_clean!$A$2:$A$701,customers_clean!$C$2:$C$701)</f>
        <v>Xenia Rossi</v>
      </c>
      <c r="L377" s="10" t="str">
        <f t="array" ref="L377">XLOOKUP(I377,customers_clean!$A$2:$A$701,customers_clean!$D$2:$D$701)</f>
        <v>Xenia Rossi</v>
      </c>
      <c r="M377" s="2" t="str">
        <f t="array" ref="M377">XLOOKUP(I377,customers_clean!$A$2:$A$701,customers_clean!$I$2:$I$701)</f>
        <v>xenia.rossi@yahoo.com</v>
      </c>
      <c r="N377" s="10" t="str">
        <f t="array" ref="N377">XLOOKUP(I377,customers_clean!$A$2:$A$701,customers_clean!$H$2:$H$701)</f>
        <v>xenia.rossi@yahoo.com</v>
      </c>
      <c r="O377" s="9" t="str">
        <f>IFERROR(__xludf.DUMMYFUNCTION("IF(REGEXMATCH(TRIM(N377),""^[A-Za-z0-9._%+-]+@[A-Za-z0-9.-]+\.[A-Za-z]{2,}$""),""✅ Valid"",""❌ Invalid"")"),"✅ Valid")</f>
        <v>✅ Valid</v>
      </c>
      <c r="P377" s="2" t="str">
        <f t="array" ref="P377">XLOOKUP(I377,customers_clean!$A$2:$A$701,customers_clean!$K$2:$K$701)</f>
        <v>+34 125 15093</v>
      </c>
      <c r="Q377" s="10" t="str">
        <f t="array" ref="Q377">XLOOKUP(I377,customers_clean!$A$2:$A$701,customers_clean!$N$2:$N$701)</f>
        <v>12515093</v>
      </c>
      <c r="R377" s="9" t="str">
        <f t="array" ref="R377">XLOOKUP(I377,customers_clean!$A$2:$A$701,customers_clean!$Q$2:$Q$701)</f>
        <v>❌ INVALID</v>
      </c>
      <c r="S377" s="10" t="s">
        <v>25</v>
      </c>
      <c r="T377" s="2" t="s">
        <v>59</v>
      </c>
      <c r="U377" s="2" t="s">
        <v>352</v>
      </c>
      <c r="V377" s="2" t="s">
        <v>2483</v>
      </c>
      <c r="W377" s="9" t="str">
        <f t="array" ref="W377">IF(ISNA(XLOOKUP(V377,products_master_corrected!$A$2:$A$151,products_master_corrected!$A$2:$A$151, NA())),
    "❌ MISSING SKU", "✅")</f>
        <v>✅</v>
      </c>
      <c r="X377" s="2" t="s">
        <v>280</v>
      </c>
      <c r="Y377" s="2" t="s">
        <v>503</v>
      </c>
      <c r="Z377" s="10" t="str">
        <f t="shared" si="45"/>
        <v>Monitors</v>
      </c>
      <c r="AA377" s="27">
        <v>5.0</v>
      </c>
      <c r="AB377" s="9" t="s">
        <v>8649</v>
      </c>
      <c r="AC377" s="28">
        <f t="array" ref="AC377">XLOOKUP(V377,products_master_corrected!$A$2:$A$151,products_master_corrected!$E$2:$E$151)</f>
        <v>76.81</v>
      </c>
      <c r="AD377" s="28">
        <f t="shared" si="43"/>
        <v>384.05</v>
      </c>
      <c r="AE377" s="28">
        <f t="array" ref="AE377">XLOOKUP(V377,products_master_corrected!$A$2:$A$151,products_master_corrected!$K$2:$K$151)</f>
        <v>395.19</v>
      </c>
      <c r="AF377" s="29">
        <f t="shared" si="44"/>
        <v>1975.95</v>
      </c>
      <c r="AG377" s="30" t="s">
        <v>95</v>
      </c>
      <c r="AH377" s="2" t="s">
        <v>49</v>
      </c>
      <c r="AI377" s="10" t="s">
        <v>49</v>
      </c>
      <c r="AJ377" s="2" t="s">
        <v>132</v>
      </c>
      <c r="AK377" s="10" t="s">
        <v>192</v>
      </c>
    </row>
    <row r="378" ht="15.75" customHeight="1">
      <c r="A378" s="2" t="s">
        <v>5739</v>
      </c>
      <c r="B378" s="12">
        <v>45013.0</v>
      </c>
      <c r="C378" s="2" t="str">
        <f>IFERROR(__xludf.DUMMYFUNCTION("IF(ISNUMBER(B378),TEXT(B378,""yyyy-MM-dd""),REGEXREPLACE(REGEXREPLACE(TO_TEXT(B378),""[^0-9a-zA-Z]+"",""-""),""[^0-9]*$"",""""))"),"2023-03-28")</f>
        <v>2023-03-28</v>
      </c>
      <c r="D378" s="2" t="s">
        <v>7987</v>
      </c>
      <c r="H378" s="10" t="s">
        <v>7987</v>
      </c>
      <c r="I378" s="2" t="s">
        <v>1703</v>
      </c>
      <c r="J378" s="26" t="str">
        <f t="array" ref="J378">IF(ISNA(XLOOKUP(I378,customers_clean!$A$2:$A$701,customers_clean!$A$2:$A$701, NA()) ),
   "❌ MISSING CUSTOMER", "✅")</f>
        <v>✅</v>
      </c>
      <c r="K378" s="2" t="str">
        <f t="array" ref="K378">XLOOKUP(I378,customers_clean!$A$2:$A$701,customers_clean!$C$2:$C$701)</f>
        <v>Xenia Rossi</v>
      </c>
      <c r="L378" s="10" t="str">
        <f t="array" ref="L378">XLOOKUP(I378,customers_clean!$A$2:$A$701,customers_clean!$D$2:$D$701)</f>
        <v>Xenia Rossi</v>
      </c>
      <c r="M378" s="2" t="str">
        <f t="array" ref="M378">XLOOKUP(I378,customers_clean!$A$2:$A$701,customers_clean!$I$2:$I$701)</f>
        <v>xenia.rossi@yahoo.com</v>
      </c>
      <c r="N378" s="10" t="str">
        <f t="array" ref="N378">XLOOKUP(I378,customers_clean!$A$2:$A$701,customers_clean!$H$2:$H$701)</f>
        <v>xenia.rossi@yahoo.com</v>
      </c>
      <c r="O378" s="9" t="str">
        <f>IFERROR(__xludf.DUMMYFUNCTION("IF(REGEXMATCH(TRIM(N378),""^[A-Za-z0-9._%+-]+@[A-Za-z0-9.-]+\.[A-Za-z]{2,}$""),""✅ Valid"",""❌ Invalid"")"),"✅ Valid")</f>
        <v>✅ Valid</v>
      </c>
      <c r="P378" s="2" t="str">
        <f t="array" ref="P378">XLOOKUP(I378,customers_clean!$A$2:$A$701,customers_clean!$K$2:$K$701)</f>
        <v>+34 125 15093</v>
      </c>
      <c r="Q378" s="10" t="str">
        <f t="array" ref="Q378">XLOOKUP(I378,customers_clean!$A$2:$A$701,customers_clean!$N$2:$N$701)</f>
        <v>12515093</v>
      </c>
      <c r="R378" s="9" t="str">
        <f t="array" ref="R378">XLOOKUP(I378,customers_clean!$A$2:$A$701,customers_clean!$Q$2:$Q$701)</f>
        <v>❌ INVALID</v>
      </c>
      <c r="S378" s="10" t="s">
        <v>25</v>
      </c>
      <c r="T378" s="2" t="s">
        <v>74</v>
      </c>
      <c r="U378" s="2" t="s">
        <v>43</v>
      </c>
      <c r="V378" s="2" t="s">
        <v>2680</v>
      </c>
      <c r="W378" s="9" t="str">
        <f t="array" ref="W378">IF(ISNA(XLOOKUP(V378,products_master_corrected!$A$2:$A$151,products_master_corrected!$A$2:$A$151, NA())),
    "❌ MISSING SKU", "✅")</f>
        <v>✅</v>
      </c>
      <c r="X378" s="2" t="s">
        <v>303</v>
      </c>
      <c r="Y378" s="2" t="s">
        <v>2421</v>
      </c>
      <c r="Z378" s="10" t="s">
        <v>248</v>
      </c>
      <c r="AA378" s="27">
        <v>1.0</v>
      </c>
      <c r="AB378" s="9" t="s">
        <v>8649</v>
      </c>
      <c r="AC378" s="28">
        <f t="array" ref="AC378">XLOOKUP(V378,products_master_corrected!$A$2:$A$151,products_master_corrected!$E$2:$E$151)</f>
        <v>121.47</v>
      </c>
      <c r="AD378" s="28">
        <f t="shared" si="43"/>
        <v>121.47</v>
      </c>
      <c r="AE378" s="28">
        <f t="array" ref="AE378">XLOOKUP(V378,products_master_corrected!$A$2:$A$151,products_master_corrected!$K$2:$K$151)</f>
        <v>624.96</v>
      </c>
      <c r="AF378" s="29">
        <f t="shared" si="44"/>
        <v>624.96</v>
      </c>
      <c r="AG378" s="30" t="s">
        <v>95</v>
      </c>
      <c r="AH378" s="2" t="s">
        <v>414</v>
      </c>
      <c r="AI378" s="10" t="s">
        <v>49</v>
      </c>
      <c r="AJ378" s="2" t="s">
        <v>132</v>
      </c>
      <c r="AK378" s="10" t="s">
        <v>192</v>
      </c>
      <c r="AL378" s="2" t="s">
        <v>133</v>
      </c>
    </row>
    <row r="379" ht="15.75" customHeight="1">
      <c r="A379" s="2" t="s">
        <v>1048</v>
      </c>
      <c r="B379" s="12">
        <v>45898.0</v>
      </c>
      <c r="C379" s="2" t="str">
        <f>IFERROR(__xludf.DUMMYFUNCTION("IF(ISNUMBER(B379),TEXT(B379,""yyyy-MM-dd""),REGEXREPLACE(REGEXREPLACE(TO_TEXT(B379),""[^0-9a-zA-Z]+"",""-""),""[^0-9]*$"",""""))"),"2025-08-29")</f>
        <v>2025-08-29</v>
      </c>
      <c r="D379" s="2" t="s">
        <v>7909</v>
      </c>
      <c r="H379" s="10" t="s">
        <v>7909</v>
      </c>
      <c r="I379" s="2" t="s">
        <v>1050</v>
      </c>
      <c r="J379" s="26" t="str">
        <f t="array" ref="J379">IF(ISNA(XLOOKUP(I379,customers_clean!$A$2:$A$701,customers_clean!$A$2:$A$701, NA()) ),
   "❌ MISSING CUSTOMER", "✅")</f>
        <v>✅</v>
      </c>
      <c r="K379" s="2" t="str">
        <f t="array" ref="K379">XLOOKUP(I379,customers_clean!$A$2:$A$701,customers_clean!$C$2:$C$701)</f>
        <v>Marek Johnson</v>
      </c>
      <c r="L379" s="10" t="str">
        <f t="array" ref="L379">XLOOKUP(I379,customers_clean!$A$2:$A$701,customers_clean!$D$2:$D$701)</f>
        <v>Marek Johnson</v>
      </c>
      <c r="M379" s="2" t="str">
        <f t="array" ref="M379">XLOOKUP(I379,customers_clean!$A$2:$A$701,customers_clean!$I$2:$I$701)</f>
        <v/>
      </c>
      <c r="N379" s="10" t="str">
        <f t="array" ref="N379">XLOOKUP(I379,customers_clean!$A$2:$A$701,customers_clean!$H$2:$H$701)</f>
        <v/>
      </c>
      <c r="O379" s="9" t="str">
        <f>IFERROR(__xludf.DUMMYFUNCTION("IF(REGEXMATCH(TRIM(N379),""^[A-Za-z0-9._%+-]+@[A-Za-z0-9.-]+\.[A-Za-z]{2,}$""),""✅ Valid"",""❌ Invalid"")"),"❌ Invalid")</f>
        <v>❌ Invalid</v>
      </c>
      <c r="P379" s="2" t="str">
        <f t="array" ref="P379">XLOOKUP(I379,customers_clean!$A$2:$A$701,customers_clean!$K$2:$K$701)</f>
        <v>+1-856-887-9942</v>
      </c>
      <c r="Q379" s="10" t="str">
        <f t="array" ref="Q379">XLOOKUP(I379,customers_clean!$A$2:$A$701,customers_clean!$N$2:$N$701)</f>
        <v/>
      </c>
      <c r="R379" s="9" t="str">
        <f t="array" ref="R379">XLOOKUP(I379,customers_clean!$A$2:$A$701,customers_clean!$Q$2:$Q$701)</f>
        <v/>
      </c>
      <c r="S379" s="10" t="s">
        <v>608</v>
      </c>
      <c r="T379" s="2" t="s">
        <v>223</v>
      </c>
      <c r="U379" s="2" t="s">
        <v>870</v>
      </c>
      <c r="V379" s="2" t="s">
        <v>513</v>
      </c>
      <c r="W379" s="9" t="str">
        <f t="array" ref="W379">IF(ISNA(XLOOKUP(V379,products_master_corrected!$A$2:$A$151,products_master_corrected!$A$2:$A$151, NA())),
    "❌ MISSING SKU", "✅")</f>
        <v>✅</v>
      </c>
      <c r="X379" s="2" t="s">
        <v>8673</v>
      </c>
      <c r="Y379" s="2" t="s">
        <v>514</v>
      </c>
      <c r="Z379" s="10" t="s">
        <v>514</v>
      </c>
      <c r="AA379" s="27">
        <v>1.0</v>
      </c>
      <c r="AB379" s="9" t="s">
        <v>8649</v>
      </c>
      <c r="AC379" s="28">
        <f t="array" ref="AC379">XLOOKUP(V379,products_master_corrected!$A$2:$A$151,products_master_corrected!$E$2:$E$151)</f>
        <v>275.56</v>
      </c>
      <c r="AD379" s="28">
        <f t="shared" si="43"/>
        <v>275.56</v>
      </c>
      <c r="AE379" s="28">
        <f t="array" ref="AE379">XLOOKUP(V379,products_master_corrected!$A$2:$A$151,products_master_corrected!$H$2:$H$151)</f>
        <v>309.59</v>
      </c>
      <c r="AF379" s="29">
        <f t="shared" si="44"/>
        <v>309.59</v>
      </c>
      <c r="AG379" s="32" t="s">
        <v>8658</v>
      </c>
      <c r="AH379" s="2" t="s">
        <v>370</v>
      </c>
      <c r="AI379" s="10" t="s">
        <v>143</v>
      </c>
      <c r="AJ379" s="2" t="s">
        <v>1056</v>
      </c>
      <c r="AK379" s="10" t="s">
        <v>192</v>
      </c>
      <c r="AL379" s="2" t="s">
        <v>81</v>
      </c>
    </row>
    <row r="380" ht="15.75" customHeight="1">
      <c r="A380" s="2" t="s">
        <v>1165</v>
      </c>
      <c r="B380" s="12" t="s">
        <v>1166</v>
      </c>
      <c r="C380" s="2" t="str">
        <f>IFERROR(__xludf.DUMMYFUNCTION("IF(ISNUMBER(B380),TEXT(B380,""yyyy-MM-dd""),REGEXREPLACE(REGEXREPLACE(TO_TEXT(B380),""[^0-9a-zA-Z]+"",""-""),""[^0-9]*$"",""""))"),"45289-14-36")</f>
        <v>45289-14-36</v>
      </c>
      <c r="D380" s="2" t="str">
        <f>TEXT(C380,"yyyy-MM-dd")</f>
        <v>45289-14-36</v>
      </c>
      <c r="E380" s="25" t="str">
        <f>CONCATENATE(LEFT(D380,5))</f>
        <v>45289</v>
      </c>
      <c r="F380" s="12">
        <f>DATE(1900,1,1) + E380 - 1</f>
        <v>45290</v>
      </c>
      <c r="G380" s="2" t="s">
        <v>8802</v>
      </c>
      <c r="H380" s="10" t="s">
        <v>8802</v>
      </c>
      <c r="I380" s="2" t="s">
        <v>1050</v>
      </c>
      <c r="J380" s="26" t="str">
        <f t="array" ref="J380">IF(ISNA(XLOOKUP(I380,customers_clean!$A$2:$A$701,customers_clean!$A$2:$A$701, NA()) ),
   "❌ MISSING CUSTOMER", "✅")</f>
        <v>✅</v>
      </c>
      <c r="K380" s="2" t="str">
        <f t="array" ref="K380">XLOOKUP(I380,customers_clean!$A$2:$A$701,customers_clean!$C$2:$C$701)</f>
        <v>Marek Johnson</v>
      </c>
      <c r="L380" s="10" t="str">
        <f t="array" ref="L380">XLOOKUP(I380,customers_clean!$A$2:$A$701,customers_clean!$D$2:$D$701)</f>
        <v>Marek Johnson</v>
      </c>
      <c r="M380" s="2" t="str">
        <f t="array" ref="M380">XLOOKUP(I380,customers_clean!$A$2:$A$701,customers_clean!$I$2:$I$701)</f>
        <v/>
      </c>
      <c r="N380" s="10" t="str">
        <f t="array" ref="N380">XLOOKUP(I380,customers_clean!$A$2:$A$701,customers_clean!$H$2:$H$701)</f>
        <v/>
      </c>
      <c r="O380" s="9" t="str">
        <f>IFERROR(__xludf.DUMMYFUNCTION("IF(REGEXMATCH(TRIM(N380),""^[A-Za-z0-9._%+-]+@[A-Za-z0-9.-]+\.[A-Za-z]{2,}$""),""✅ Valid"",""❌ Invalid"")"),"❌ Invalid")</f>
        <v>❌ Invalid</v>
      </c>
      <c r="P380" s="2" t="str">
        <f t="array" ref="P380">XLOOKUP(I380,customers_clean!$A$2:$A$701,customers_clean!$K$2:$K$701)</f>
        <v>+1-856-887-9942</v>
      </c>
      <c r="Q380" s="10" t="str">
        <f t="array" ref="Q380">XLOOKUP(I380,customers_clean!$A$2:$A$701,customers_clean!$N$2:$N$701)</f>
        <v/>
      </c>
      <c r="R380" s="9" t="str">
        <f t="array" ref="R380">XLOOKUP(I380,customers_clean!$A$2:$A$701,customers_clean!$Q$2:$Q$701)</f>
        <v/>
      </c>
      <c r="S380" s="10" t="s">
        <v>608</v>
      </c>
      <c r="T380" s="2" t="s">
        <v>1167</v>
      </c>
      <c r="U380" s="2" t="s">
        <v>401</v>
      </c>
      <c r="V380" s="2" t="s">
        <v>1168</v>
      </c>
      <c r="W380" s="9" t="str">
        <f t="array" ref="W380">IF(ISNA(XLOOKUP(V380,products_master_corrected!$A$2:$A$151,products_master_corrected!$A$2:$A$151, NA())),
    "❌ MISSING SKU", "✅")</f>
        <v>✅</v>
      </c>
      <c r="X380" s="2" t="s">
        <v>423</v>
      </c>
      <c r="Y380" s="2" t="s">
        <v>63</v>
      </c>
      <c r="Z380" s="10" t="s">
        <v>63</v>
      </c>
      <c r="AA380" s="27">
        <v>1.0</v>
      </c>
      <c r="AB380" s="9" t="s">
        <v>8649</v>
      </c>
      <c r="AC380" s="28">
        <f t="array" ref="AC380">XLOOKUP(V380,products_master_corrected!$A$2:$A$151,products_master_corrected!$E$2:$E$151)</f>
        <v>106.64</v>
      </c>
      <c r="AD380" s="28">
        <f t="shared" si="43"/>
        <v>106.64</v>
      </c>
      <c r="AE380" s="28">
        <f t="array" ref="AE380">XLOOKUP(V380,products_master_corrected!$A$2:$A$151,products_master_corrected!$H$2:$H$151)</f>
        <v>119.81</v>
      </c>
      <c r="AF380" s="29">
        <f t="shared" si="44"/>
        <v>119.81</v>
      </c>
      <c r="AG380" s="32" t="s">
        <v>8658</v>
      </c>
      <c r="AH380" s="2" t="s">
        <v>143</v>
      </c>
      <c r="AI380" s="10" t="s">
        <v>143</v>
      </c>
      <c r="AJ380" s="2" t="s">
        <v>1171</v>
      </c>
      <c r="AK380" s="10" t="s">
        <v>80</v>
      </c>
      <c r="AL380" s="2" t="s">
        <v>51</v>
      </c>
    </row>
    <row r="381" ht="15.75" customHeight="1">
      <c r="A381" s="2" t="s">
        <v>4397</v>
      </c>
      <c r="B381" s="12">
        <v>45839.0</v>
      </c>
      <c r="C381" s="2" t="str">
        <f>IFERROR(__xludf.DUMMYFUNCTION("IF(ISNUMBER(B381),TEXT(B381,""yyyy-MM-dd""),REGEXREPLACE(REGEXREPLACE(TO_TEXT(B381),""[^0-9a-zA-Z]+"",""-""),""[^0-9]*$"",""""))"),"2025-07-01")</f>
        <v>2025-07-01</v>
      </c>
      <c r="D381" s="2" t="s">
        <v>5720</v>
      </c>
      <c r="H381" s="10" t="s">
        <v>5720</v>
      </c>
      <c r="I381" s="2" t="s">
        <v>1050</v>
      </c>
      <c r="J381" s="26" t="str">
        <f t="array" ref="J381">IF(ISNA(XLOOKUP(I381,customers_clean!$A$2:$A$701,customers_clean!$A$2:$A$701, NA()) ),
   "❌ MISSING CUSTOMER", "✅")</f>
        <v>✅</v>
      </c>
      <c r="K381" s="2" t="str">
        <f t="array" ref="K381">XLOOKUP(I381,customers_clean!$A$2:$A$701,customers_clean!$C$2:$C$701)</f>
        <v>Marek Johnson</v>
      </c>
      <c r="L381" s="10" t="str">
        <f t="array" ref="L381">XLOOKUP(I381,customers_clean!$A$2:$A$701,customers_clean!$D$2:$D$701)</f>
        <v>Marek Johnson</v>
      </c>
      <c r="M381" s="2" t="str">
        <f t="array" ref="M381">XLOOKUP(I381,customers_clean!$A$2:$A$701,customers_clean!$I$2:$I$701)</f>
        <v/>
      </c>
      <c r="N381" s="10" t="str">
        <f t="array" ref="N381">XLOOKUP(I381,customers_clean!$A$2:$A$701,customers_clean!$H$2:$H$701)</f>
        <v/>
      </c>
      <c r="O381" s="9" t="str">
        <f>IFERROR(__xludf.DUMMYFUNCTION("IF(REGEXMATCH(TRIM(N381),""^[A-Za-z0-9._%+-]+@[A-Za-z0-9.-]+\.[A-Za-z]{2,}$""),""✅ Valid"",""❌ Invalid"")"),"❌ Invalid")</f>
        <v>❌ Invalid</v>
      </c>
      <c r="P381" s="2" t="str">
        <f t="array" ref="P381">XLOOKUP(I381,customers_clean!$A$2:$A$701,customers_clean!$K$2:$K$701)</f>
        <v>+1-856-887-9942</v>
      </c>
      <c r="Q381" s="10" t="str">
        <f t="array" ref="Q381">XLOOKUP(I381,customers_clean!$A$2:$A$701,customers_clean!$N$2:$N$701)</f>
        <v/>
      </c>
      <c r="R381" s="9" t="str">
        <f t="array" ref="R381">XLOOKUP(I381,customers_clean!$A$2:$A$701,customers_clean!$Q$2:$Q$701)</f>
        <v/>
      </c>
      <c r="S381" s="10" t="s">
        <v>608</v>
      </c>
      <c r="T381" s="2" t="s">
        <v>400</v>
      </c>
      <c r="U381" s="2" t="s">
        <v>480</v>
      </c>
      <c r="V381" s="2" t="s">
        <v>1236</v>
      </c>
      <c r="W381" s="9" t="str">
        <f t="array" ref="W381">IF(ISNA(XLOOKUP(V381,products_master_corrected!$A$2:$A$151,products_master_corrected!$A$2:$A$151, NA())),
    "❌ MISSING SKU", "✅")</f>
        <v>✅</v>
      </c>
      <c r="X381" s="2" t="s">
        <v>524</v>
      </c>
      <c r="Y381" s="2" t="s">
        <v>637</v>
      </c>
      <c r="Z381" s="10" t="s">
        <v>514</v>
      </c>
      <c r="AA381" s="27">
        <v>2.0</v>
      </c>
      <c r="AB381" s="9" t="s">
        <v>8649</v>
      </c>
      <c r="AC381" s="28">
        <f t="array" ref="AC381">XLOOKUP(V381,products_master_corrected!$A$2:$A$151,products_master_corrected!$E$2:$E$151)</f>
        <v>140.44</v>
      </c>
      <c r="AD381" s="28">
        <f t="shared" si="43"/>
        <v>280.88</v>
      </c>
      <c r="AE381" s="28">
        <f t="array" ref="AE381">XLOOKUP(V381,products_master_corrected!$A$2:$A$151,products_master_corrected!$H$2:$H$151)</f>
        <v>157.78</v>
      </c>
      <c r="AF381" s="29">
        <f t="shared" si="44"/>
        <v>315.56</v>
      </c>
      <c r="AG381" s="32" t="s">
        <v>8658</v>
      </c>
      <c r="AH381" s="2" t="s">
        <v>66</v>
      </c>
      <c r="AI381" s="10" t="s">
        <v>66</v>
      </c>
      <c r="AJ381" s="2" t="s">
        <v>132</v>
      </c>
      <c r="AK381" s="10" t="s">
        <v>192</v>
      </c>
      <c r="AL381" s="2" t="s">
        <v>81</v>
      </c>
    </row>
    <row r="382" ht="15.75" customHeight="1">
      <c r="A382" s="2" t="s">
        <v>6154</v>
      </c>
      <c r="B382" s="12">
        <v>45496.51666666667</v>
      </c>
      <c r="C382" s="2" t="str">
        <f>IFERROR(__xludf.DUMMYFUNCTION("IF(ISNUMBER(B382),TEXT(B382,""yyyy-MM-dd""),REGEXREPLACE(REGEXREPLACE(TO_TEXT(B382),""[^0-9a-zA-Z]+"",""-""),""[^0-9]*$"",""""))"),"2024-07-23")</f>
        <v>2024-07-23</v>
      </c>
      <c r="D382" s="2" t="s">
        <v>6828</v>
      </c>
      <c r="H382" s="10" t="s">
        <v>6828</v>
      </c>
      <c r="I382" s="2" t="s">
        <v>6156</v>
      </c>
      <c r="J382" s="26" t="str">
        <f t="array" ref="J382">IF(ISNA(XLOOKUP(I382,customers_clean!$A$2:$A$701,customers_clean!$A$2:$A$701, NA()) ),
   "❌ MISSING CUSTOMER", "✅")</f>
        <v>✅</v>
      </c>
      <c r="K382" s="2" t="str">
        <f t="array" ref="K382">XLOOKUP(I382,customers_clean!$A$2:$A$701,customers_clean!$C$2:$C$701)</f>
        <v>Nina Young</v>
      </c>
      <c r="L382" s="10" t="str">
        <f t="array" ref="L382">XLOOKUP(I382,customers_clean!$A$2:$A$701,customers_clean!$D$2:$D$701)</f>
        <v>Nina Young</v>
      </c>
      <c r="M382" s="2" t="str">
        <f t="array" ref="M382">XLOOKUP(I382,customers_clean!$A$2:$A$701,customers_clean!$I$2:$I$701)</f>
        <v> nina.young@yahoo.com</v>
      </c>
      <c r="N382" s="10" t="str">
        <f t="array" ref="N382">XLOOKUP(I382,customers_clean!$A$2:$A$701,customers_clean!$H$2:$H$701)</f>
        <v>nina.young@yahoo.com</v>
      </c>
      <c r="O382" s="9" t="str">
        <f>IFERROR(__xludf.DUMMYFUNCTION("IF(REGEXMATCH(TRIM(N382),""^[A-Za-z0-9._%+-]+@[A-Za-z0-9.-]+\.[A-Za-z]{2,}$""),""✅ Valid"",""❌ Invalid"")"),"✅ Valid")</f>
        <v>✅ Valid</v>
      </c>
      <c r="P382" s="2" t="str">
        <f t="array" ref="P382">XLOOKUP(I382,customers_clean!$A$2:$A$701,customers_clean!$K$2:$K$701)</f>
        <v>+353+19233124</v>
      </c>
      <c r="Q382" s="10" t="str">
        <f t="array" ref="Q382">XLOOKUP(I382,customers_clean!$A$2:$A$701,customers_clean!$N$2:$N$701)</f>
        <v>19233124</v>
      </c>
      <c r="R382" s="9" t="str">
        <f t="array" ref="R382">XLOOKUP(I382,customers_clean!$A$2:$A$701,customers_clean!$Q$2:$Q$701)</f>
        <v>❌ INVALID</v>
      </c>
      <c r="S382" s="10" t="s">
        <v>25</v>
      </c>
      <c r="T382" s="2" t="s">
        <v>74</v>
      </c>
      <c r="U382" s="2" t="s">
        <v>116</v>
      </c>
      <c r="V382" s="2" t="s">
        <v>652</v>
      </c>
      <c r="W382" s="9" t="str">
        <f t="array" ref="W382">IF(ISNA(XLOOKUP(V382,products_master_corrected!$A$2:$A$151,products_master_corrected!$A$2:$A$151, NA())),
    "❌ MISSING SKU", "✅")</f>
        <v>✅</v>
      </c>
      <c r="X382" s="2" t="s">
        <v>8673</v>
      </c>
      <c r="Y382" s="2" t="s">
        <v>179</v>
      </c>
      <c r="Z382" s="10" t="s">
        <v>179</v>
      </c>
      <c r="AA382" s="27">
        <v>5.0</v>
      </c>
      <c r="AB382" s="9" t="s">
        <v>8649</v>
      </c>
      <c r="AC382" s="28">
        <f t="array" ref="AC382">XLOOKUP(V382,products_master_corrected!$A$2:$A$151,products_master_corrected!$E$2:$E$151)</f>
        <v>240.24</v>
      </c>
      <c r="AD382" s="28">
        <f t="shared" si="43"/>
        <v>1201.2</v>
      </c>
      <c r="AE382" s="28">
        <f t="array" ref="AE382">XLOOKUP(V382,products_master_corrected!$A$2:$A$151,products_master_corrected!$K$2:$K$151)</f>
        <v>1236.03</v>
      </c>
      <c r="AF382" s="29">
        <f t="shared" si="44"/>
        <v>6180.15</v>
      </c>
      <c r="AG382" s="30" t="s">
        <v>95</v>
      </c>
      <c r="AH382" s="2" t="s">
        <v>181</v>
      </c>
      <c r="AI382" s="10" t="s">
        <v>181</v>
      </c>
      <c r="AJ382" s="2" t="s">
        <v>306</v>
      </c>
      <c r="AK382" s="10" t="s">
        <v>192</v>
      </c>
      <c r="AL382" s="2" t="s">
        <v>133</v>
      </c>
    </row>
    <row r="383" ht="15.75" customHeight="1">
      <c r="A383" s="2" t="s">
        <v>4467</v>
      </c>
      <c r="B383" s="12" t="s">
        <v>4468</v>
      </c>
      <c r="C383" s="2" t="str">
        <f>IFERROR(__xludf.DUMMYFUNCTION("IF(ISNUMBER(B383),TEXT(B383,""yyyy-MM-dd""),REGEXREPLACE(REGEXREPLACE(TO_TEXT(B383),""[^0-9a-zA-Z]+"",""-""),""[^0-9]*$"",""""))"),"01-07-2024")</f>
        <v>01-07-2024</v>
      </c>
      <c r="D383" s="2" t="s">
        <v>8823</v>
      </c>
      <c r="H383" s="10" t="s">
        <v>8823</v>
      </c>
      <c r="I383" s="2" t="s">
        <v>3257</v>
      </c>
      <c r="J383" s="26" t="str">
        <f t="array" ref="J383">IF(ISNA(XLOOKUP(I383,customers_clean!$A$2:$A$701,customers_clean!$A$2:$A$701, NA()) ),
   "❌ MISSING CUSTOMER", "✅")</f>
        <v>✅</v>
      </c>
      <c r="K383" s="2" t="str">
        <f t="array" ref="K383">XLOOKUP(I383,customers_clean!$A$2:$A$701,customers_clean!$C$2:$C$701)</f>
        <v>Marek Davis</v>
      </c>
      <c r="L383" s="10" t="str">
        <f t="array" ref="L383">XLOOKUP(I383,customers_clean!$A$2:$A$701,customers_clean!$D$2:$D$701)</f>
        <v>Marek Davis</v>
      </c>
      <c r="M383" s="2" t="str">
        <f t="array" ref="M383">XLOOKUP(I383,customers_clean!$A$2:$A$701,customers_clean!$I$2:$I$701)</f>
        <v>MAREK.DAVIS@SHOP.IO</v>
      </c>
      <c r="N383" s="10" t="str">
        <f t="array" ref="N383">XLOOKUP(I383,customers_clean!$A$2:$A$701,customers_clean!$H$2:$H$701)</f>
        <v>marek.davis@shop.io</v>
      </c>
      <c r="O383" s="9" t="str">
        <f>IFERROR(__xludf.DUMMYFUNCTION("IF(REGEXMATCH(TRIM(N383),""^[A-Za-z0-9._%+-]+@[A-Za-z0-9.-]+\.[A-Za-z]{2,}$""),""✅ Valid"",""❌ Invalid"")"),"✅ Valid")</f>
        <v>✅ Valid</v>
      </c>
      <c r="P383" s="2" t="str">
        <f t="array" ref="P383">XLOOKUP(I383,customers_clean!$A$2:$A$701,customers_clean!$K$2:$K$701)</f>
        <v>+49918977460 ext 167</v>
      </c>
      <c r="Q383" s="10" t="str">
        <f t="array" ref="Q383">XLOOKUP(I383,customers_clean!$A$2:$A$701,customers_clean!$N$2:$N$701)</f>
        <v>918977460</v>
      </c>
      <c r="R383" s="9" t="str">
        <f t="array" ref="R383">XLOOKUP(I383,customers_clean!$A$2:$A$701,customers_clean!$Q$2:$Q$701)</f>
        <v>❌ INVALID</v>
      </c>
      <c r="S383" s="10" t="s">
        <v>114</v>
      </c>
      <c r="T383" s="2" t="s">
        <v>323</v>
      </c>
      <c r="U383" s="2" t="s">
        <v>870</v>
      </c>
      <c r="V383" s="2" t="s">
        <v>353</v>
      </c>
      <c r="W383" s="9" t="str">
        <f t="array" ref="W383">IF(ISNA(XLOOKUP(V383,products_master_corrected!$A$2:$A$151,products_master_corrected!$A$2:$A$151, NA())),
    "❌ MISSING SKU", "✅")</f>
        <v>✅</v>
      </c>
      <c r="X383" s="2" t="s">
        <v>62</v>
      </c>
      <c r="Y383" s="2" t="s">
        <v>355</v>
      </c>
      <c r="Z383" s="10" t="s">
        <v>355</v>
      </c>
      <c r="AA383" s="27">
        <v>1.0</v>
      </c>
      <c r="AB383" s="9" t="s">
        <v>8649</v>
      </c>
      <c r="AC383" s="28">
        <f t="array" ref="AC383">XLOOKUP(V383,products_master_corrected!$A$2:$A$151,products_master_corrected!$E$2:$E$151)</f>
        <v>106.56</v>
      </c>
      <c r="AD383" s="28">
        <f t="shared" si="43"/>
        <v>106.56</v>
      </c>
      <c r="AE383" s="28">
        <f t="array" ref="AE383">XLOOKUP(V383,products_master_corrected!$A$2:$A$151,products_master_corrected!$F$2:$F$151)</f>
        <v>106.56</v>
      </c>
      <c r="AF383" s="29">
        <f t="shared" si="44"/>
        <v>106.56</v>
      </c>
      <c r="AG383" s="30" t="s">
        <v>65</v>
      </c>
      <c r="AH383" s="2" t="s">
        <v>573</v>
      </c>
      <c r="AI383" s="10" t="s">
        <v>66</v>
      </c>
      <c r="AJ383" s="2" t="s">
        <v>1221</v>
      </c>
      <c r="AK383" s="10" t="s">
        <v>80</v>
      </c>
      <c r="AL383" s="2" t="s">
        <v>67</v>
      </c>
    </row>
    <row r="384" ht="15.75" customHeight="1">
      <c r="A384" s="2" t="s">
        <v>3255</v>
      </c>
      <c r="B384" s="12">
        <v>45115.55138888889</v>
      </c>
      <c r="C384" s="2" t="str">
        <f>IFERROR(__xludf.DUMMYFUNCTION("IF(ISNUMBER(B384),TEXT(B384,""yyyy-MM-dd""),REGEXREPLACE(REGEXREPLACE(TO_TEXT(B384),""[^0-9a-zA-Z]+"",""-""),""[^0-9]*$"",""""))"),"2023-07-08")</f>
        <v>2023-07-08</v>
      </c>
      <c r="D384" s="2" t="s">
        <v>8465</v>
      </c>
      <c r="H384" s="10" t="s">
        <v>8465</v>
      </c>
      <c r="I384" s="2" t="s">
        <v>3257</v>
      </c>
      <c r="J384" s="26" t="str">
        <f t="array" ref="J384">IF(ISNA(XLOOKUP(I384,customers_clean!$A$2:$A$701,customers_clean!$A$2:$A$701, NA()) ),
   "❌ MISSING CUSTOMER", "✅")</f>
        <v>✅</v>
      </c>
      <c r="K384" s="2" t="str">
        <f t="array" ref="K384">XLOOKUP(I384,customers_clean!$A$2:$A$701,customers_clean!$C$2:$C$701)</f>
        <v>Marek Davis</v>
      </c>
      <c r="L384" s="10" t="str">
        <f t="array" ref="L384">XLOOKUP(I384,customers_clean!$A$2:$A$701,customers_clean!$D$2:$D$701)</f>
        <v>Marek Davis</v>
      </c>
      <c r="M384" s="2" t="str">
        <f t="array" ref="M384">XLOOKUP(I384,customers_clean!$A$2:$A$701,customers_clean!$I$2:$I$701)</f>
        <v>MAREK.DAVIS@SHOP.IO</v>
      </c>
      <c r="N384" s="10" t="str">
        <f t="array" ref="N384">XLOOKUP(I384,customers_clean!$A$2:$A$701,customers_clean!$H$2:$H$701)</f>
        <v>marek.davis@shop.io</v>
      </c>
      <c r="O384" s="9" t="str">
        <f>IFERROR(__xludf.DUMMYFUNCTION("IF(REGEXMATCH(TRIM(N384),""^[A-Za-z0-9._%+-]+@[A-Za-z0-9.-]+\.[A-Za-z]{2,}$""),""✅ Valid"",""❌ Invalid"")"),"✅ Valid")</f>
        <v>✅ Valid</v>
      </c>
      <c r="P384" s="2" t="str">
        <f t="array" ref="P384">XLOOKUP(I384,customers_clean!$A$2:$A$701,customers_clean!$K$2:$K$701)</f>
        <v>+49918977460 ext 167</v>
      </c>
      <c r="Q384" s="10" t="str">
        <f t="array" ref="Q384">XLOOKUP(I384,customers_clean!$A$2:$A$701,customers_clean!$N$2:$N$701)</f>
        <v>918977460</v>
      </c>
      <c r="R384" s="9" t="str">
        <f t="array" ref="R384">XLOOKUP(I384,customers_clean!$A$2:$A$701,customers_clean!$Q$2:$Q$701)</f>
        <v>❌ INVALID</v>
      </c>
      <c r="S384" s="10" t="s">
        <v>114</v>
      </c>
      <c r="T384" s="2" t="s">
        <v>26</v>
      </c>
      <c r="U384" s="2" t="s">
        <v>90</v>
      </c>
      <c r="V384" s="2" t="s">
        <v>91</v>
      </c>
      <c r="W384" s="9" t="str">
        <f t="array" ref="W384">IF(ISNA(XLOOKUP(V384,products_master_corrected!$A$2:$A$151,products_master_corrected!$A$2:$A$151, NA())),
    "❌ MISSING SKU", "✅")</f>
        <v>✅</v>
      </c>
      <c r="X384" s="2" t="s">
        <v>259</v>
      </c>
      <c r="Y384" s="2" t="s">
        <v>93</v>
      </c>
      <c r="Z384" s="10" t="s">
        <v>368</v>
      </c>
      <c r="AA384" s="27"/>
      <c r="AB384" s="9" t="s">
        <v>8677</v>
      </c>
      <c r="AC384" s="34"/>
      <c r="AD384" s="34"/>
      <c r="AE384" s="34"/>
      <c r="AF384" s="35"/>
      <c r="AG384" s="36" t="s">
        <v>32</v>
      </c>
      <c r="AH384" s="2" t="s">
        <v>66</v>
      </c>
      <c r="AI384" s="10" t="s">
        <v>66</v>
      </c>
      <c r="AJ384" s="2" t="s">
        <v>34</v>
      </c>
      <c r="AK384" s="10" t="s">
        <v>80</v>
      </c>
      <c r="AL384" s="2" t="s">
        <v>133</v>
      </c>
    </row>
    <row r="385" ht="15.75" customHeight="1">
      <c r="A385" s="2" t="s">
        <v>3355</v>
      </c>
      <c r="B385" s="12" t="s">
        <v>3356</v>
      </c>
      <c r="C385" s="2" t="str">
        <f>IFERROR(__xludf.DUMMYFUNCTION("IF(ISNUMBER(B385),TEXT(B385,""yyyy-MM-dd""),REGEXREPLACE(REGEXREPLACE(TO_TEXT(B385),""[^0-9a-zA-Z]+"",""-""),""[^0-9]*$"",""""))"),"25-04-2025-12-14")</f>
        <v>25-04-2025-12-14</v>
      </c>
      <c r="D385" s="2" t="str">
        <f>TEXT(C385,"yyyy-MM-dd")</f>
        <v>25-04-2025-12-14</v>
      </c>
      <c r="E385" s="12" t="str">
        <f>IFERROR(__xludf.DUMMYFUNCTION("REGEXEXTRACT(D385,""^\d{2}-\d{2}-\d{4}"")"),"25-04-2025")</f>
        <v>25-04-2025</v>
      </c>
      <c r="F385" s="2" t="s">
        <v>4651</v>
      </c>
      <c r="H385" s="10" t="s">
        <v>4651</v>
      </c>
      <c r="I385" s="2" t="s">
        <v>3257</v>
      </c>
      <c r="J385" s="26" t="str">
        <f t="array" ref="J385">IF(ISNA(XLOOKUP(I385,customers_clean!$A$2:$A$701,customers_clean!$A$2:$A$701, NA()) ),
   "❌ MISSING CUSTOMER", "✅")</f>
        <v>✅</v>
      </c>
      <c r="K385" s="2" t="str">
        <f t="array" ref="K385">XLOOKUP(I385,customers_clean!$A$2:$A$701,customers_clean!$C$2:$C$701)</f>
        <v>Marek Davis</v>
      </c>
      <c r="L385" s="10" t="str">
        <f t="array" ref="L385">XLOOKUP(I385,customers_clean!$A$2:$A$701,customers_clean!$D$2:$D$701)</f>
        <v>Marek Davis</v>
      </c>
      <c r="M385" s="2" t="str">
        <f t="array" ref="M385">XLOOKUP(I385,customers_clean!$A$2:$A$701,customers_clean!$I$2:$I$701)</f>
        <v>MAREK.DAVIS@SHOP.IO</v>
      </c>
      <c r="N385" s="10" t="str">
        <f t="array" ref="N385">XLOOKUP(I385,customers_clean!$A$2:$A$701,customers_clean!$H$2:$H$701)</f>
        <v>marek.davis@shop.io</v>
      </c>
      <c r="O385" s="9" t="str">
        <f>IFERROR(__xludf.DUMMYFUNCTION("IF(REGEXMATCH(TRIM(N385),""^[A-Za-z0-9._%+-]+@[A-Za-z0-9.-]+\.[A-Za-z]{2,}$""),""✅ Valid"",""❌ Invalid"")"),"✅ Valid")</f>
        <v>✅ Valid</v>
      </c>
      <c r="P385" s="2" t="str">
        <f t="array" ref="P385">XLOOKUP(I385,customers_clean!$A$2:$A$701,customers_clean!$K$2:$K$701)</f>
        <v>+49918977460 ext 167</v>
      </c>
      <c r="Q385" s="10" t="str">
        <f t="array" ref="Q385">XLOOKUP(I385,customers_clean!$A$2:$A$701,customers_clean!$N$2:$N$701)</f>
        <v>918977460</v>
      </c>
      <c r="R385" s="9" t="str">
        <f t="array" ref="R385">XLOOKUP(I385,customers_clean!$A$2:$A$701,customers_clean!$Q$2:$Q$701)</f>
        <v>❌ INVALID</v>
      </c>
      <c r="S385" s="10" t="s">
        <v>114</v>
      </c>
      <c r="T385" s="2" t="s">
        <v>59</v>
      </c>
      <c r="U385" s="2" t="s">
        <v>103</v>
      </c>
      <c r="V385" s="2" t="s">
        <v>803</v>
      </c>
      <c r="W385" s="9" t="str">
        <f t="array" ref="W385">IF(ISNA(XLOOKUP(V385,products_master_corrected!$A$2:$A$151,products_master_corrected!$A$2:$A$151, NA())),
    "❌ MISSING SKU", "✅")</f>
        <v>✅</v>
      </c>
      <c r="X385" s="2" t="s">
        <v>804</v>
      </c>
      <c r="Y385" s="2" t="s">
        <v>805</v>
      </c>
      <c r="Z385" s="10" t="s">
        <v>355</v>
      </c>
      <c r="AA385" s="27">
        <v>1.0</v>
      </c>
      <c r="AB385" s="9" t="s">
        <v>8649</v>
      </c>
      <c r="AC385" s="28">
        <f t="array" ref="AC385">XLOOKUP(V385,products_master_corrected!$A$2:$A$151,products_master_corrected!$E$2:$E$151)</f>
        <v>20.39</v>
      </c>
      <c r="AD385" s="28">
        <f t="shared" ref="AD385:AD410" si="46">AA385*AC385</f>
        <v>20.39</v>
      </c>
      <c r="AE385" s="28">
        <f t="array" ref="AE385">XLOOKUP(V385,products_master_corrected!$A$2:$A$151,products_master_corrected!$F$2:$F$151)</f>
        <v>20.39</v>
      </c>
      <c r="AF385" s="29">
        <f t="shared" ref="AF385:AF410" si="47">AA385*AE385</f>
        <v>20.39</v>
      </c>
      <c r="AG385" s="30" t="s">
        <v>65</v>
      </c>
      <c r="AH385" s="2" t="s">
        <v>3358</v>
      </c>
      <c r="AI385" s="10" t="s">
        <v>66</v>
      </c>
      <c r="AJ385" s="2" t="s">
        <v>1650</v>
      </c>
      <c r="AK385" s="10" t="s">
        <v>192</v>
      </c>
      <c r="AL385" s="2" t="s">
        <v>51</v>
      </c>
    </row>
    <row r="386" ht="15.75" customHeight="1">
      <c r="A386" s="2" t="s">
        <v>4093</v>
      </c>
      <c r="B386" s="12">
        <v>45654.0</v>
      </c>
      <c r="C386" s="2" t="str">
        <f>IFERROR(__xludf.DUMMYFUNCTION("IF(ISNUMBER(B386),TEXT(B386,""yyyy-MM-dd""),REGEXREPLACE(REGEXREPLACE(TO_TEXT(B386),""[^0-9a-zA-Z]+"",""-""),""[^0-9]*$"",""""))"),"2024-12-28")</f>
        <v>2024-12-28</v>
      </c>
      <c r="D386" s="2" t="s">
        <v>8824</v>
      </c>
      <c r="H386" s="10" t="s">
        <v>8824</v>
      </c>
      <c r="I386" s="2" t="s">
        <v>4095</v>
      </c>
      <c r="J386" s="26" t="str">
        <f t="array" ref="J386">IF(ISNA(XLOOKUP(I386,customers_clean!$A$2:$A$701,customers_clean!$A$2:$A$701, NA()) ),
   "❌ MISSING CUSTOMER", "✅")</f>
        <v>✅</v>
      </c>
      <c r="K386" s="2" t="str">
        <f t="array" ref="K386">XLOOKUP(I386,customers_clean!$A$2:$A$701,customers_clean!$C$2:$C$701)</f>
        <v>Adam Khan</v>
      </c>
      <c r="L386" s="10" t="str">
        <f t="array" ref="L386">XLOOKUP(I386,customers_clean!$A$2:$A$701,customers_clean!$D$2:$D$701)</f>
        <v>Adam Khan</v>
      </c>
      <c r="M386" s="2" t="str">
        <f t="array" ref="M386">XLOOKUP(I386,customers_clean!$A$2:$A$701,customers_clean!$I$2:$I$701)</f>
        <v> adam.khna@shop.io</v>
      </c>
      <c r="N386" s="10" t="str">
        <f t="array" ref="N386">XLOOKUP(I386,customers_clean!$A$2:$A$701,customers_clean!$H$2:$H$701)</f>
        <v>adam.khna@shop.io</v>
      </c>
      <c r="O386" s="9" t="str">
        <f>IFERROR(__xludf.DUMMYFUNCTION("IF(REGEXMATCH(TRIM(N386),""^[A-Za-z0-9._%+-]+@[A-Za-z0-9.-]+\.[A-Za-z]{2,}$""),""✅ Valid"",""❌ Invalid"")"),"✅ Valid")</f>
        <v>✅ Valid</v>
      </c>
      <c r="P386" s="2">
        <f t="array" ref="P386">XLOOKUP(I386,customers_clean!$A$2:$A$701,customers_clean!$K$2:$K$701)</f>
        <v>347974303984</v>
      </c>
      <c r="Q386" s="10" t="str">
        <f t="array" ref="Q386">XLOOKUP(I386,customers_clean!$A$2:$A$701,customers_clean!$N$2:$N$701)</f>
        <v>7974303984</v>
      </c>
      <c r="R386" s="9" t="str">
        <f t="array" ref="R386">XLOOKUP(I386,customers_clean!$A$2:$A$701,customers_clean!$Q$2:$Q$701)</f>
        <v>❌ INVALID</v>
      </c>
      <c r="S386" s="10" t="s">
        <v>88</v>
      </c>
      <c r="T386" s="2" t="s">
        <v>26</v>
      </c>
      <c r="U386" s="2" t="s">
        <v>3595</v>
      </c>
      <c r="V386" s="2" t="s">
        <v>1529</v>
      </c>
      <c r="W386" s="9" t="str">
        <f t="array" ref="W386">IF(ISNA(XLOOKUP(V386,products_master_corrected!$A$2:$A$151,products_master_corrected!$A$2:$A$151, NA())),
    "❌ MISSING SKU", "✅")</f>
        <v>✅</v>
      </c>
      <c r="X386" s="2" t="s">
        <v>280</v>
      </c>
      <c r="Y386" s="2" t="s">
        <v>368</v>
      </c>
      <c r="Z386" s="10" t="s">
        <v>368</v>
      </c>
      <c r="AA386" s="27">
        <v>2.0</v>
      </c>
      <c r="AB386" s="9" t="s">
        <v>8649</v>
      </c>
      <c r="AC386" s="28">
        <f t="array" ref="AC386">XLOOKUP(V386,products_master_corrected!$A$2:$A$151,products_master_corrected!$E$2:$E$151)</f>
        <v>83.6</v>
      </c>
      <c r="AD386" s="28">
        <f t="shared" si="46"/>
        <v>167.2</v>
      </c>
      <c r="AE386" s="28">
        <f t="array" ref="AE386">XLOOKUP(V386,products_master_corrected!$A$2:$A$151,products_master_corrected!$I$2:$I$151)</f>
        <v>92.16</v>
      </c>
      <c r="AF386" s="29">
        <f t="shared" si="47"/>
        <v>184.32</v>
      </c>
      <c r="AG386" s="32" t="s">
        <v>8660</v>
      </c>
      <c r="AH386" s="2" t="s">
        <v>485</v>
      </c>
      <c r="AI386" s="10" t="s">
        <v>181</v>
      </c>
      <c r="AJ386" s="2" t="s">
        <v>527</v>
      </c>
      <c r="AK386" s="10" t="s">
        <v>192</v>
      </c>
      <c r="AL386" s="2" t="s">
        <v>133</v>
      </c>
    </row>
    <row r="387" ht="15.75" customHeight="1">
      <c r="A387" s="2" t="s">
        <v>4304</v>
      </c>
      <c r="B387" s="12">
        <v>45763.0</v>
      </c>
      <c r="C387" s="2" t="str">
        <f>IFERROR(__xludf.DUMMYFUNCTION("IF(ISNUMBER(B387),TEXT(B387,""yyyy-MM-dd""),REGEXREPLACE(REGEXREPLACE(TO_TEXT(B387),""[^0-9a-zA-Z]+"",""-""),""[^0-9]*$"",""""))"),"2025-04-16")</f>
        <v>2025-04-16</v>
      </c>
      <c r="D387" s="2" t="s">
        <v>8733</v>
      </c>
      <c r="H387" s="10" t="s">
        <v>8733</v>
      </c>
      <c r="I387" s="2" t="s">
        <v>4095</v>
      </c>
      <c r="J387" s="26" t="str">
        <f t="array" ref="J387">IF(ISNA(XLOOKUP(I387,customers_clean!$A$2:$A$701,customers_clean!$A$2:$A$701, NA()) ),
   "❌ MISSING CUSTOMER", "✅")</f>
        <v>✅</v>
      </c>
      <c r="K387" s="2" t="str">
        <f t="array" ref="K387">XLOOKUP(I387,customers_clean!$A$2:$A$701,customers_clean!$C$2:$C$701)</f>
        <v>Adam Khan</v>
      </c>
      <c r="L387" s="10" t="str">
        <f t="array" ref="L387">XLOOKUP(I387,customers_clean!$A$2:$A$701,customers_clean!$D$2:$D$701)</f>
        <v>Adam Khan</v>
      </c>
      <c r="M387" s="2" t="str">
        <f t="array" ref="M387">XLOOKUP(I387,customers_clean!$A$2:$A$701,customers_clean!$I$2:$I$701)</f>
        <v> adam.khna@shop.io</v>
      </c>
      <c r="N387" s="10" t="str">
        <f t="array" ref="N387">XLOOKUP(I387,customers_clean!$A$2:$A$701,customers_clean!$H$2:$H$701)</f>
        <v>adam.khna@shop.io</v>
      </c>
      <c r="O387" s="9" t="str">
        <f>IFERROR(__xludf.DUMMYFUNCTION("IF(REGEXMATCH(TRIM(N387),""^[A-Za-z0-9._%+-]+@[A-Za-z0-9.-]+\.[A-Za-z]{2,}$""),""✅ Valid"",""❌ Invalid"")"),"✅ Valid")</f>
        <v>✅ Valid</v>
      </c>
      <c r="P387" s="2">
        <f t="array" ref="P387">XLOOKUP(I387,customers_clean!$A$2:$A$701,customers_clean!$K$2:$K$701)</f>
        <v>347974303984</v>
      </c>
      <c r="Q387" s="10" t="str">
        <f t="array" ref="Q387">XLOOKUP(I387,customers_clean!$A$2:$A$701,customers_clean!$N$2:$N$701)</f>
        <v>7974303984</v>
      </c>
      <c r="R387" s="9" t="str">
        <f t="array" ref="R387">XLOOKUP(I387,customers_clean!$A$2:$A$701,customers_clean!$Q$2:$Q$701)</f>
        <v>❌ INVALID</v>
      </c>
      <c r="S387" s="10" t="s">
        <v>88</v>
      </c>
      <c r="T387" s="2" t="s">
        <v>26</v>
      </c>
      <c r="U387" s="2" t="s">
        <v>43</v>
      </c>
      <c r="V387" s="2" t="s">
        <v>889</v>
      </c>
      <c r="W387" s="9" t="str">
        <f t="array" ref="W387">IF(ISNA(XLOOKUP(V387,products_master_corrected!$A$2:$A$151,products_master_corrected!$A$2:$A$151, NA())),
    "❌ MISSING SKU", "✅")</f>
        <v>✅</v>
      </c>
      <c r="X387" s="2" t="s">
        <v>804</v>
      </c>
      <c r="Y387" s="2" t="s">
        <v>179</v>
      </c>
      <c r="Z387" s="10" t="s">
        <v>179</v>
      </c>
      <c r="AA387" s="27">
        <v>5.0</v>
      </c>
      <c r="AB387" s="9" t="s">
        <v>8649</v>
      </c>
      <c r="AC387" s="28">
        <f t="array" ref="AC387">XLOOKUP(V387,products_master_corrected!$A$2:$A$151,products_master_corrected!$E$2:$E$151)</f>
        <v>16.72</v>
      </c>
      <c r="AD387" s="28">
        <f t="shared" si="46"/>
        <v>83.6</v>
      </c>
      <c r="AE387" s="28">
        <f t="array" ref="AE387">XLOOKUP(V387,products_master_corrected!$A$2:$A$151,products_master_corrected!$I$2:$I$151)</f>
        <v>18.43</v>
      </c>
      <c r="AF387" s="29">
        <f t="shared" si="47"/>
        <v>92.15</v>
      </c>
      <c r="AG387" s="32" t="s">
        <v>8660</v>
      </c>
      <c r="AH387" s="2" t="s">
        <v>505</v>
      </c>
      <c r="AI387" s="10" t="s">
        <v>181</v>
      </c>
      <c r="AJ387" s="2" t="s">
        <v>132</v>
      </c>
      <c r="AK387" s="10" t="s">
        <v>192</v>
      </c>
      <c r="AL387" s="2" t="s">
        <v>81</v>
      </c>
    </row>
    <row r="388" ht="15.75" customHeight="1">
      <c r="A388" s="2" t="s">
        <v>3148</v>
      </c>
      <c r="B388" s="12">
        <v>45662.0</v>
      </c>
      <c r="C388" s="2" t="str">
        <f>IFERROR(__xludf.DUMMYFUNCTION("IF(ISNUMBER(B388),TEXT(B388,""yyyy-MM-dd""),REGEXREPLACE(REGEXREPLACE(TO_TEXT(B388),""[^0-9a-zA-Z]+"",""-""),""[^0-9]*$"",""""))"),"2025-01-05")</f>
        <v>2025-01-05</v>
      </c>
      <c r="D388" s="2" t="s">
        <v>3149</v>
      </c>
      <c r="H388" s="10" t="s">
        <v>3149</v>
      </c>
      <c r="I388" s="2" t="s">
        <v>3150</v>
      </c>
      <c r="J388" s="26" t="str">
        <f t="array" ref="J388">IF(ISNA(XLOOKUP(I388,customers_clean!$A$2:$A$701,customers_clean!$A$2:$A$701, NA()) ),
   "❌ MISSING CUSTOMER", "✅")</f>
        <v>✅</v>
      </c>
      <c r="K388" s="2" t="str">
        <f t="array" ref="K388">XLOOKUP(I388,customers_clean!$A$2:$A$701,customers_clean!$C$2:$C$701)</f>
        <v>Sam Williams</v>
      </c>
      <c r="L388" s="10" t="str">
        <f t="array" ref="L388">XLOOKUP(I388,customers_clean!$A$2:$A$701,customers_clean!$D$2:$D$701)</f>
        <v>Sam Williams</v>
      </c>
      <c r="M388" s="2" t="str">
        <f t="array" ref="M388">XLOOKUP(I388,customers_clean!$A$2:$A$701,customers_clean!$I$2:$I$701)</f>
        <v>sam.williams@outlook.com</v>
      </c>
      <c r="N388" s="10" t="str">
        <f t="array" ref="N388">XLOOKUP(I388,customers_clean!$A$2:$A$701,customers_clean!$H$2:$H$701)</f>
        <v>sam.williams@outlook.com</v>
      </c>
      <c r="O388" s="9" t="str">
        <f>IFERROR(__xludf.DUMMYFUNCTION("IF(REGEXMATCH(TRIM(N388),""^[A-Za-z0-9._%+-]+@[A-Za-z0-9.-]+\.[A-Za-z]{2,}$""),""✅ Valid"",""❌ Invalid"")"),"✅ Valid")</f>
        <v>✅ Valid</v>
      </c>
      <c r="P388" s="33" t="str">
        <f t="array" ref="P388">XLOOKUP(I388,customers_clean!$A$2:$A$701,customers_clean!$K$2:$K$701)</f>
        <v>+484253682061 ext 494</v>
      </c>
      <c r="Q388" s="10" t="str">
        <f t="array" ref="Q388">XLOOKUP(I388,customers_clean!$A$2:$A$701,customers_clean!$N$2:$N$701)</f>
        <v>4253682061</v>
      </c>
      <c r="R388" s="9" t="str">
        <f t="array" ref="R388">XLOOKUP(I388,customers_clean!$A$2:$A$701,customers_clean!$Q$2:$Q$701)</f>
        <v>❌ INVALID</v>
      </c>
      <c r="S388" s="31" t="s">
        <v>671</v>
      </c>
      <c r="T388" s="2" t="s">
        <v>683</v>
      </c>
      <c r="U388" s="2" t="s">
        <v>75</v>
      </c>
      <c r="V388" s="2" t="s">
        <v>661</v>
      </c>
      <c r="W388" s="9" t="str">
        <f t="array" ref="W388">IF(ISNA(XLOOKUP(V388,products_master_corrected!$A$2:$A$151,products_master_corrected!$A$2:$A$151, NA())),
    "❌ MISSING SKU", "✅")</f>
        <v>✅</v>
      </c>
      <c r="X388" s="2" t="s">
        <v>423</v>
      </c>
      <c r="Y388" s="2" t="s">
        <v>368</v>
      </c>
      <c r="Z388" s="10" t="s">
        <v>368</v>
      </c>
      <c r="AA388" s="27">
        <v>2.0</v>
      </c>
      <c r="AB388" s="9" t="s">
        <v>8649</v>
      </c>
      <c r="AC388" s="28">
        <f t="array" ref="AC388">XLOOKUP(V388,products_master_corrected!$A$2:$A$151,products_master_corrected!$E$2:$E$151)</f>
        <v>76.62</v>
      </c>
      <c r="AD388" s="28">
        <f t="shared" si="46"/>
        <v>153.24</v>
      </c>
      <c r="AE388" s="28">
        <f t="array" ref="AE388">XLOOKUP(V388,products_master_corrected!$A$2:$A$151,products_master_corrected!$J$2:$J$151)</f>
        <v>89.36</v>
      </c>
      <c r="AF388" s="29">
        <f t="shared" si="47"/>
        <v>178.72</v>
      </c>
      <c r="AG388" s="32" t="s">
        <v>8656</v>
      </c>
      <c r="AH388" s="2" t="s">
        <v>143</v>
      </c>
      <c r="AI388" s="10" t="s">
        <v>143</v>
      </c>
      <c r="AJ388" s="2" t="s">
        <v>294</v>
      </c>
      <c r="AK388" s="10" t="s">
        <v>80</v>
      </c>
      <c r="AL388" s="2" t="s">
        <v>133</v>
      </c>
    </row>
    <row r="389" ht="15.75" customHeight="1">
      <c r="A389" s="2" t="s">
        <v>550</v>
      </c>
      <c r="B389" s="12" t="s">
        <v>551</v>
      </c>
      <c r="C389" s="2" t="str">
        <f>IFERROR(__xludf.DUMMYFUNCTION("IF(ISNUMBER(B389),TEXT(B389,""yyyy-MM-dd""),REGEXREPLACE(REGEXREPLACE(TO_TEXT(B389),""[^0-9a-zA-Z]+"",""-""),""[^0-9]*$"",""""))"),"05-15-2024")</f>
        <v>05-15-2024</v>
      </c>
      <c r="D389" s="2" t="str">
        <f>TEXT(C389,"yyyy-MM-dd")</f>
        <v>05-15-2024</v>
      </c>
      <c r="E389" s="2" t="s">
        <v>8825</v>
      </c>
      <c r="H389" s="10" t="s">
        <v>8825</v>
      </c>
      <c r="I389" s="2" t="s">
        <v>552</v>
      </c>
      <c r="J389" s="26" t="str">
        <f t="array" ref="J389">IF(ISNA(XLOOKUP(I389,customers_clean!$A$2:$A$701,customers_clean!$A$2:$A$701, NA()) ),
   "❌ MISSING CUSTOMER", "✅")</f>
        <v>✅</v>
      </c>
      <c r="K389" s="2" t="str">
        <f t="array" ref="K389">XLOOKUP(I389,customers_clean!$A$2:$A$701,customers_clean!$C$2:$C$701)</f>
        <v>Omar  Rossi</v>
      </c>
      <c r="L389" s="10" t="str">
        <f t="array" ref="L389">XLOOKUP(I389,customers_clean!$A$2:$A$701,customers_clean!$D$2:$D$701)</f>
        <v>Omar Rossi</v>
      </c>
      <c r="M389" s="2" t="str">
        <f t="array" ref="M389">XLOOKUP(I389,customers_clean!$A$2:$A$701,customers_clean!$I$2:$I$701)</f>
        <v>OMAR.ROSSI@GMAIL.COM</v>
      </c>
      <c r="N389" s="10" t="str">
        <f t="array" ref="N389">XLOOKUP(I389,customers_clean!$A$2:$A$701,customers_clean!$H$2:$H$701)</f>
        <v>omar.rossi@gmail.com</v>
      </c>
      <c r="O389" s="9" t="str">
        <f>IFERROR(__xludf.DUMMYFUNCTION("IF(REGEXMATCH(TRIM(N389),""^[A-Za-z0-9._%+-]+@[A-Za-z0-9.-]+\.[A-Za-z]{2,}$""),""✅ Valid"",""❌ Invalid"")"),"✅ Valid")</f>
        <v>✅ Valid</v>
      </c>
      <c r="P389" s="33" t="str">
        <f t="array" ref="P389">XLOOKUP(I389,customers_clean!$A$2:$A$701,customers_clean!$K$2:$K$701)</f>
        <v>(230) 0992468</v>
      </c>
      <c r="Q389" s="10" t="str">
        <f t="array" ref="Q389">XLOOKUP(I389,customers_clean!$A$2:$A$701,customers_clean!$N$2:$N$701)</f>
        <v>2300992468</v>
      </c>
      <c r="R389" s="9" t="str">
        <f t="array" ref="R389">XLOOKUP(I389,customers_clean!$A$2:$A$701,customers_clean!$Q$2:$Q$701)</f>
        <v>❌ INVALID</v>
      </c>
      <c r="S389" s="31" t="s">
        <v>671</v>
      </c>
      <c r="T389" s="2" t="s">
        <v>74</v>
      </c>
      <c r="U389" s="2" t="s">
        <v>43</v>
      </c>
      <c r="V389" s="2" t="s">
        <v>556</v>
      </c>
      <c r="W389" s="9" t="str">
        <f t="array" ref="W389">IF(ISNA(XLOOKUP(V389,products_master_corrected!$A$2:$A$151,products_master_corrected!$A$2:$A$151, NA())),
    "❌ MISSING SKU", "✅")</f>
        <v>✅</v>
      </c>
      <c r="X389" s="2" t="s">
        <v>502</v>
      </c>
      <c r="Y389" s="2" t="s">
        <v>355</v>
      </c>
      <c r="Z389" s="10" t="s">
        <v>355</v>
      </c>
      <c r="AA389" s="27">
        <v>2.0</v>
      </c>
      <c r="AB389" s="9" t="s">
        <v>8649</v>
      </c>
      <c r="AC389" s="28">
        <f t="array" ref="AC389">XLOOKUP(V389,products_master_corrected!$A$2:$A$151,products_master_corrected!$E$2:$E$151)</f>
        <v>879.27</v>
      </c>
      <c r="AD389" s="28">
        <f t="shared" si="46"/>
        <v>1758.54</v>
      </c>
      <c r="AE389" s="28">
        <f t="array" ref="AE389">XLOOKUP(V389,products_master_corrected!$A$2:$A$151,products_master_corrected!$J$2:$J$151)</f>
        <v>1025.49</v>
      </c>
      <c r="AF389" s="29">
        <f t="shared" si="47"/>
        <v>2050.98</v>
      </c>
      <c r="AG389" s="32" t="s">
        <v>8656</v>
      </c>
      <c r="AH389" s="2" t="s">
        <v>66</v>
      </c>
      <c r="AI389" s="10" t="s">
        <v>66</v>
      </c>
      <c r="AJ389" s="2" t="s">
        <v>192</v>
      </c>
      <c r="AK389" s="10" t="s">
        <v>192</v>
      </c>
      <c r="AL389" s="2" t="s">
        <v>133</v>
      </c>
    </row>
    <row r="390" ht="15.75" customHeight="1">
      <c r="A390" s="2" t="s">
        <v>3208</v>
      </c>
      <c r="B390" s="12">
        <v>45830.0</v>
      </c>
      <c r="C390" s="2" t="str">
        <f>IFERROR(__xludf.DUMMYFUNCTION("IF(ISNUMBER(B390),TEXT(B390,""yyyy-MM-dd""),REGEXREPLACE(REGEXREPLACE(TO_TEXT(B390),""[^0-9a-zA-Z]+"",""-""),""[^0-9]*$"",""""))"),"2025-06-22")</f>
        <v>2025-06-22</v>
      </c>
      <c r="D390" s="2" t="s">
        <v>7639</v>
      </c>
      <c r="H390" s="10" t="s">
        <v>7639</v>
      </c>
      <c r="I390" s="2" t="s">
        <v>552</v>
      </c>
      <c r="J390" s="26" t="str">
        <f t="array" ref="J390">IF(ISNA(XLOOKUP(I390,customers_clean!$A$2:$A$701,customers_clean!$A$2:$A$701, NA()) ),
   "❌ MISSING CUSTOMER", "✅")</f>
        <v>✅</v>
      </c>
      <c r="K390" s="2" t="str">
        <f t="array" ref="K390">XLOOKUP(I390,customers_clean!$A$2:$A$701,customers_clean!$C$2:$C$701)</f>
        <v>Omar  Rossi</v>
      </c>
      <c r="L390" s="10" t="str">
        <f t="array" ref="L390">XLOOKUP(I390,customers_clean!$A$2:$A$701,customers_clean!$D$2:$D$701)</f>
        <v>Omar Rossi</v>
      </c>
      <c r="M390" s="2" t="str">
        <f t="array" ref="M390">XLOOKUP(I390,customers_clean!$A$2:$A$701,customers_clean!$I$2:$I$701)</f>
        <v>OMAR.ROSSI@GMAIL.COM</v>
      </c>
      <c r="N390" s="10" t="str">
        <f t="array" ref="N390">XLOOKUP(I390,customers_clean!$A$2:$A$701,customers_clean!$H$2:$H$701)</f>
        <v>omar.rossi@gmail.com</v>
      </c>
      <c r="O390" s="9" t="str">
        <f>IFERROR(__xludf.DUMMYFUNCTION("IF(REGEXMATCH(TRIM(N390),""^[A-Za-z0-9._%+-]+@[A-Za-z0-9.-]+\.[A-Za-z]{2,}$""),""✅ Valid"",""❌ Invalid"")"),"✅ Valid")</f>
        <v>✅ Valid</v>
      </c>
      <c r="P390" s="33" t="str">
        <f t="array" ref="P390">XLOOKUP(I390,customers_clean!$A$2:$A$701,customers_clean!$K$2:$K$701)</f>
        <v>(230) 0992468</v>
      </c>
      <c r="Q390" s="10" t="str">
        <f t="array" ref="Q390">XLOOKUP(I390,customers_clean!$A$2:$A$701,customers_clean!$N$2:$N$701)</f>
        <v>2300992468</v>
      </c>
      <c r="R390" s="9" t="str">
        <f t="array" ref="R390">XLOOKUP(I390,customers_clean!$A$2:$A$701,customers_clean!$Q$2:$Q$701)</f>
        <v>❌ INVALID</v>
      </c>
      <c r="S390" s="31" t="s">
        <v>671</v>
      </c>
      <c r="T390" s="2" t="s">
        <v>152</v>
      </c>
      <c r="U390" s="2" t="s">
        <v>75</v>
      </c>
      <c r="V390" s="2" t="s">
        <v>3210</v>
      </c>
      <c r="W390" s="9" t="str">
        <f t="array" ref="W390">IF(ISNA(XLOOKUP(V390,products_master_corrected!$A$2:$A$151,products_master_corrected!$A$2:$A$151, NA())),
    "❌ MISSING SKU", "✅")</f>
        <v>✅</v>
      </c>
      <c r="X390" s="2" t="s">
        <v>3597</v>
      </c>
      <c r="Y390" s="2" t="s">
        <v>167</v>
      </c>
      <c r="Z390" s="10" t="str">
        <f t="shared" ref="Z390:Z391" si="48">PROPER(TRIM(Y390))</f>
        <v>Monitors</v>
      </c>
      <c r="AA390" s="27">
        <v>5.0</v>
      </c>
      <c r="AB390" s="9" t="s">
        <v>8649</v>
      </c>
      <c r="AC390" s="28">
        <f t="array" ref="AC390">XLOOKUP(V390,products_master_corrected!$A$2:$A$151,products_master_corrected!$E$2:$E$151)</f>
        <v>253.27</v>
      </c>
      <c r="AD390" s="28">
        <f t="shared" si="46"/>
        <v>1266.35</v>
      </c>
      <c r="AE390" s="28">
        <f t="array" ref="AE390">XLOOKUP(V390,products_master_corrected!$A$2:$A$151,products_master_corrected!$J$2:$J$151)</f>
        <v>295.39</v>
      </c>
      <c r="AF390" s="29">
        <f t="shared" si="47"/>
        <v>1476.95</v>
      </c>
      <c r="AG390" s="32" t="s">
        <v>8656</v>
      </c>
      <c r="AH390" s="2" t="s">
        <v>66</v>
      </c>
      <c r="AI390" s="10" t="s">
        <v>66</v>
      </c>
      <c r="AJ390" s="2" t="s">
        <v>169</v>
      </c>
      <c r="AK390" s="10" t="s">
        <v>261</v>
      </c>
    </row>
    <row r="391" ht="15.75" customHeight="1">
      <c r="A391" s="2" t="s">
        <v>2457</v>
      </c>
      <c r="B391" s="12">
        <v>45748.0</v>
      </c>
      <c r="C391" s="2" t="str">
        <f>IFERROR(__xludf.DUMMYFUNCTION("IF(ISNUMBER(B391),TEXT(B391,""yyyy-MM-dd""),REGEXREPLACE(REGEXREPLACE(TO_TEXT(B391),""[^0-9a-zA-Z]+"",""-""),""[^0-9]*$"",""""))"),"2025-04-01")</f>
        <v>2025-04-01</v>
      </c>
      <c r="D391" s="2" t="s">
        <v>7874</v>
      </c>
      <c r="H391" s="10" t="s">
        <v>7874</v>
      </c>
      <c r="I391" s="2" t="s">
        <v>2459</v>
      </c>
      <c r="J391" s="26" t="str">
        <f t="array" ref="J391">IF(ISNA(XLOOKUP(I391,customers_clean!$A$2:$A$701,customers_clean!$A$2:$A$701, NA()) ),
   "❌ MISSING CUSTOMER", "✅")</f>
        <v>✅</v>
      </c>
      <c r="K391" s="2" t="str">
        <f t="array" ref="K391">XLOOKUP(I391,customers_clean!$A$2:$A$701,customers_clean!$C$2:$C$701)</f>
        <v>Paula Williams </v>
      </c>
      <c r="L391" s="10" t="str">
        <f t="array" ref="L391">XLOOKUP(I391,customers_clean!$A$2:$A$701,customers_clean!$D$2:$D$701)</f>
        <v>Paula Williams</v>
      </c>
      <c r="M391" s="2" t="str">
        <f t="array" ref="M391">XLOOKUP(I391,customers_clean!$A$2:$A$701,customers_clean!$I$2:$I$701)</f>
        <v> paula.williams@yahoo.com</v>
      </c>
      <c r="N391" s="10" t="str">
        <f t="array" ref="N391">XLOOKUP(I391,customers_clean!$A$2:$A$701,customers_clean!$H$2:$H$701)</f>
        <v>paula.williams@yahoo.com</v>
      </c>
      <c r="O391" s="9" t="str">
        <f>IFERROR(__xludf.DUMMYFUNCTION("IF(REGEXMATCH(TRIM(N391),""^[A-Za-z0-9._%+-]+@[A-Za-z0-9.-]+\.[A-Za-z]{2,}$""),""✅ Valid"",""❌ Invalid"")"),"✅ Valid")</f>
        <v>✅ Valid</v>
      </c>
      <c r="P391" s="2" t="str">
        <f t="array" ref="P391">XLOOKUP(I391,customers_clean!$A$2:$A$701,customers_clean!$K$2:$K$701)</f>
        <v>+353-847-182190</v>
      </c>
      <c r="Q391" s="10" t="str">
        <f t="array" ref="Q391">XLOOKUP(I391,customers_clean!$A$2:$A$701,customers_clean!$N$2:$N$701)</f>
        <v>847182190</v>
      </c>
      <c r="R391" s="9" t="str">
        <f t="array" ref="R391">XLOOKUP(I391,customers_clean!$A$2:$A$701,customers_clean!$Q$2:$Q$701)</f>
        <v>❌ INVALID</v>
      </c>
      <c r="S391" s="10" t="s">
        <v>448</v>
      </c>
      <c r="T391" s="2" t="s">
        <v>59</v>
      </c>
      <c r="U391" s="2" t="s">
        <v>176</v>
      </c>
      <c r="V391" s="2" t="s">
        <v>189</v>
      </c>
      <c r="W391" s="9" t="str">
        <f t="array" ref="W391">IF(ISNA(XLOOKUP(V391,products_master_corrected!$A$2:$A$151,products_master_corrected!$A$2:$A$151, NA())),
    "❌ MISSING SKU", "✅")</f>
        <v>✅</v>
      </c>
      <c r="X391" s="2" t="s">
        <v>190</v>
      </c>
      <c r="Y391" s="2" t="s">
        <v>167</v>
      </c>
      <c r="Z391" s="10" t="str">
        <f t="shared" si="48"/>
        <v>Monitors</v>
      </c>
      <c r="AA391" s="27">
        <v>3.0</v>
      </c>
      <c r="AB391" s="9" t="s">
        <v>8649</v>
      </c>
      <c r="AC391" s="28">
        <f t="array" ref="AC391">XLOOKUP(V391,products_master_corrected!$A$2:$A$151,products_master_corrected!$E$2:$E$151)</f>
        <v>57.69</v>
      </c>
      <c r="AD391" s="28">
        <f t="shared" si="46"/>
        <v>173.07</v>
      </c>
      <c r="AE391" s="28">
        <f t="array" ref="AE391">XLOOKUP(V391,products_master_corrected!$A$2:$A$151,products_master_corrected!$M$2:$M$151)</f>
        <v>69.78</v>
      </c>
      <c r="AF391" s="29">
        <f t="shared" si="47"/>
        <v>209.34</v>
      </c>
      <c r="AG391" s="30" t="s">
        <v>48</v>
      </c>
      <c r="AH391" s="2" t="s">
        <v>33</v>
      </c>
      <c r="AI391" s="10" t="s">
        <v>181</v>
      </c>
      <c r="AJ391" s="2" t="s">
        <v>306</v>
      </c>
      <c r="AK391" s="10" t="s">
        <v>192</v>
      </c>
    </row>
    <row r="392" ht="15.75" customHeight="1">
      <c r="A392" s="2" t="s">
        <v>3175</v>
      </c>
      <c r="B392" s="12">
        <v>45015.0</v>
      </c>
      <c r="C392" s="2" t="str">
        <f>IFERROR(__xludf.DUMMYFUNCTION("IF(ISNUMBER(B392),TEXT(B392,""yyyy-MM-dd""),REGEXREPLACE(REGEXREPLACE(TO_TEXT(B392),""[^0-9a-zA-Z]+"",""-""),""[^0-9]*$"",""""))"),"2023-03-30")</f>
        <v>2023-03-30</v>
      </c>
      <c r="D392" s="2" t="s">
        <v>3176</v>
      </c>
      <c r="H392" s="10" t="s">
        <v>3176</v>
      </c>
      <c r="I392" s="2" t="s">
        <v>3177</v>
      </c>
      <c r="J392" s="26" t="str">
        <f t="array" ref="J392">IF(ISNA(XLOOKUP(I392,customers_clean!$A$2:$A$701,customers_clean!$A$2:$A$701, NA()) ),
   "❌ MISSING CUSTOMER", "✅")</f>
        <v>✅</v>
      </c>
      <c r="K392" s="2" t="str">
        <f t="array" ref="K392">XLOOKUP(I392,customers_clean!$A$2:$A$701,customers_clean!$C$2:$C$701)</f>
        <v>Hanna  Lopez</v>
      </c>
      <c r="L392" s="10" t="str">
        <f t="array" ref="L392">XLOOKUP(I392,customers_clean!$A$2:$A$701,customers_clean!$D$2:$D$701)</f>
        <v>Hanna Lopez</v>
      </c>
      <c r="M392" s="2" t="str">
        <f t="array" ref="M392">XLOOKUP(I392,customers_clean!$A$2:$A$701,customers_clean!$I$2:$I$701)</f>
        <v/>
      </c>
      <c r="N392" s="10" t="str">
        <f t="array" ref="N392">XLOOKUP(I392,customers_clean!$A$2:$A$701,customers_clean!$H$2:$H$701)</f>
        <v/>
      </c>
      <c r="O392" s="9" t="str">
        <f>IFERROR(__xludf.DUMMYFUNCTION("IF(REGEXMATCH(TRIM(N392),""^[A-Za-z0-9._%+-]+@[A-Za-z0-9.-]+\.[A-Za-z]{2,}$""),""✅ Valid"",""❌ Invalid"")"),"❌ Invalid")</f>
        <v>❌ Invalid</v>
      </c>
      <c r="P392" s="2" t="str">
        <f t="array" ref="P392">XLOOKUP(I392,customers_clean!$A$2:$A$701,customers_clean!$K$2:$K$701)</f>
        <v>+1-736-958-9963 </v>
      </c>
      <c r="Q392" s="10" t="str">
        <f t="array" ref="Q392">XLOOKUP(I392,customers_clean!$A$2:$A$701,customers_clean!$N$2:$N$701)</f>
        <v/>
      </c>
      <c r="R392" s="9" t="str">
        <f t="array" ref="R392">XLOOKUP(I392,customers_clean!$A$2:$A$701,customers_clean!$Q$2:$Q$701)</f>
        <v/>
      </c>
      <c r="S392" s="31" t="s">
        <v>671</v>
      </c>
      <c r="T392" s="2" t="s">
        <v>26</v>
      </c>
      <c r="U392" s="2" t="s">
        <v>90</v>
      </c>
      <c r="V392" s="2" t="s">
        <v>652</v>
      </c>
      <c r="W392" s="9" t="str">
        <f t="array" ref="W392">IF(ISNA(XLOOKUP(V392,products_master_corrected!$A$2:$A$151,products_master_corrected!$A$2:$A$151, NA())),
    "❌ MISSING SKU", "✅")</f>
        <v>✅</v>
      </c>
      <c r="X392" s="2" t="s">
        <v>8673</v>
      </c>
      <c r="Y392" s="2" t="s">
        <v>179</v>
      </c>
      <c r="Z392" s="10" t="s">
        <v>179</v>
      </c>
      <c r="AA392" s="27">
        <v>2.0</v>
      </c>
      <c r="AB392" s="9" t="s">
        <v>8649</v>
      </c>
      <c r="AC392" s="28">
        <f t="array" ref="AC392">XLOOKUP(V392,products_master_corrected!$A$2:$A$151,products_master_corrected!$E$2:$E$151)</f>
        <v>240.24</v>
      </c>
      <c r="AD392" s="28">
        <f t="shared" si="46"/>
        <v>480.48</v>
      </c>
      <c r="AE392" s="28">
        <f t="array" ref="AE392">XLOOKUP(V392,products_master_corrected!$A$2:$A$151,products_master_corrected!$J$2:$J$151)</f>
        <v>280.19</v>
      </c>
      <c r="AF392" s="29">
        <f t="shared" si="47"/>
        <v>560.38</v>
      </c>
      <c r="AG392" s="32" t="s">
        <v>8656</v>
      </c>
      <c r="AH392" s="2" t="s">
        <v>49</v>
      </c>
      <c r="AI392" s="10" t="s">
        <v>49</v>
      </c>
      <c r="AJ392" s="2" t="s">
        <v>120</v>
      </c>
      <c r="AK392" s="10" t="s">
        <v>818</v>
      </c>
      <c r="AL392" s="2" t="s">
        <v>133</v>
      </c>
    </row>
    <row r="393" ht="15.75" customHeight="1">
      <c r="A393" s="2" t="s">
        <v>3723</v>
      </c>
      <c r="B393" s="12">
        <v>45024.0</v>
      </c>
      <c r="C393" s="2" t="str">
        <f>IFERROR(__xludf.DUMMYFUNCTION("IF(ISNUMBER(B393),TEXT(B393,""yyyy-MM-dd""),REGEXREPLACE(REGEXREPLACE(TO_TEXT(B393),""[^0-9a-zA-Z]+"",""-""),""[^0-9]*$"",""""))"),"2023-04-08")</f>
        <v>2023-04-08</v>
      </c>
      <c r="D393" s="2" t="s">
        <v>8826</v>
      </c>
      <c r="H393" s="10" t="s">
        <v>8826</v>
      </c>
      <c r="I393" s="2" t="s">
        <v>3725</v>
      </c>
      <c r="J393" s="26" t="str">
        <f t="array" ref="J393">IF(ISNA(XLOOKUP(I393,customers_clean!$A$2:$A$701,customers_clean!$A$2:$A$701, NA()) ),
   "❌ MISSING CUSTOMER", "✅")</f>
        <v>✅</v>
      </c>
      <c r="K393" s="2" t="str">
        <f t="array" ref="K393">XLOOKUP(I393,customers_clean!$A$2:$A$701,customers_clean!$C$2:$C$701)</f>
        <v>Nin aTaylor</v>
      </c>
      <c r="L393" s="10" t="str">
        <f t="array" ref="L393">XLOOKUP(I393,customers_clean!$A$2:$A$701,customers_clean!$D$2:$D$701)</f>
        <v>Nina Taylor</v>
      </c>
      <c r="M393" s="2" t="str">
        <f t="array" ref="M393">XLOOKUP(I393,customers_clean!$A$2:$A$701,customers_clean!$I$2:$I$701)</f>
        <v>Nina.Taylor@Yahoo.Com</v>
      </c>
      <c r="N393" s="10" t="str">
        <f t="array" ref="N393">XLOOKUP(I393,customers_clean!$A$2:$A$701,customers_clean!$H$2:$H$701)</f>
        <v>nina.taylor@yahoo.com</v>
      </c>
      <c r="O393" s="9" t="str">
        <f>IFERROR(__xludf.DUMMYFUNCTION("IF(REGEXMATCH(TRIM(N393),""^[A-Za-z0-9._%+-]+@[A-Za-z0-9.-]+\.[A-Za-z]{2,}$""),""✅ Valid"",""❌ Invalid"")"),"✅ Valid")</f>
        <v>✅ Valid</v>
      </c>
      <c r="P393" s="2" t="str">
        <f t="array" ref="P393">XLOOKUP(I393,customers_clean!$A$2:$A$701,customers_clean!$K$2:$K$701)</f>
        <v>missing</v>
      </c>
      <c r="Q393" s="10" t="str">
        <f t="array" ref="Q393">XLOOKUP(I393,customers_clean!$A$2:$A$701,customers_clean!$N$2:$N$701)</f>
        <v/>
      </c>
      <c r="R393" s="9" t="str">
        <f t="array" ref="R393">XLOOKUP(I393,customers_clean!$A$2:$A$701,customers_clean!$Q$2:$Q$701)</f>
        <v>❌ INVALID</v>
      </c>
      <c r="S393" s="10" t="s">
        <v>58</v>
      </c>
      <c r="T393" s="2" t="s">
        <v>42</v>
      </c>
      <c r="U393" s="2" t="s">
        <v>522</v>
      </c>
      <c r="V393" s="2" t="s">
        <v>325</v>
      </c>
      <c r="W393" s="9" t="str">
        <f t="array" ref="W393">IF(ISNA(XLOOKUP(V393,products_master_corrected!$A$2:$A$151,products_master_corrected!$A$2:$A$151, NA())),
    "❌ MISSING SKU", "✅")</f>
        <v>✅</v>
      </c>
      <c r="X393" s="2" t="s">
        <v>280</v>
      </c>
      <c r="Y393" s="2" t="s">
        <v>315</v>
      </c>
      <c r="Z393" s="10" t="s">
        <v>179</v>
      </c>
      <c r="AA393" s="27">
        <v>1.0</v>
      </c>
      <c r="AB393" s="9" t="s">
        <v>8649</v>
      </c>
      <c r="AC393" s="28">
        <f t="array" ref="AC393">XLOOKUP(V393,products_master_corrected!$A$2:$A$151,products_master_corrected!$E$2:$E$151)</f>
        <v>145.23</v>
      </c>
      <c r="AD393" s="28">
        <f t="shared" si="46"/>
        <v>145.23</v>
      </c>
      <c r="AE393" s="28">
        <f t="array" ref="AE393">XLOOKUP(V393,products_master_corrected!$A$2:$A$151,products_master_corrected!$G$2:$G$151)</f>
        <v>166.26</v>
      </c>
      <c r="AF393" s="29">
        <f t="shared" si="47"/>
        <v>166.26</v>
      </c>
      <c r="AG393" s="32" t="s">
        <v>8663</v>
      </c>
      <c r="AH393" s="2" t="s">
        <v>664</v>
      </c>
      <c r="AI393" s="10" t="s">
        <v>66</v>
      </c>
      <c r="AJ393" s="2" t="s">
        <v>169</v>
      </c>
      <c r="AK393" s="10" t="s">
        <v>261</v>
      </c>
      <c r="AL393" s="2" t="s">
        <v>133</v>
      </c>
    </row>
    <row r="394" ht="15.75" customHeight="1">
      <c r="A394" s="2" t="s">
        <v>5683</v>
      </c>
      <c r="B394" s="12" t="s">
        <v>4854</v>
      </c>
      <c r="C394" s="2" t="str">
        <f>IFERROR(__xludf.DUMMYFUNCTION("IF(ISNUMBER(B394),TEXT(B394,""yyyy-MM-dd""),REGEXREPLACE(REGEXREPLACE(TO_TEXT(B394),""[^0-9a-zA-Z]+"",""-""),""[^0-9]*$"",""""))"),"04-18-2023")</f>
        <v>04-18-2023</v>
      </c>
      <c r="D394" s="2" t="str">
        <f>TEXT(C394,"yyyy-MM-dd")</f>
        <v>04-18-2023</v>
      </c>
      <c r="E394" s="2" t="s">
        <v>8796</v>
      </c>
      <c r="H394" s="10" t="s">
        <v>8796</v>
      </c>
      <c r="I394" s="2" t="s">
        <v>657</v>
      </c>
      <c r="J394" s="26" t="str">
        <f t="array" ref="J394">IF(ISNA(XLOOKUP(I394,customers_clean!$A$2:$A$701,customers_clean!$A$2:$A$701, NA()) ),
   "❌ MISSING CUSTOMER", "✅")</f>
        <v>✅</v>
      </c>
      <c r="K394" s="2" t="str">
        <f t="array" ref="K394">XLOOKUP(I394,customers_clean!$A$2:$A$701,customers_clean!$C$2:$C$701)</f>
        <v> Tara Muller</v>
      </c>
      <c r="L394" s="10" t="str">
        <f t="array" ref="L394">XLOOKUP(I394,customers_clean!$A$2:$A$701,customers_clean!$D$2:$D$701)</f>
        <v>Tara Muller</v>
      </c>
      <c r="M394" s="2" t="str">
        <f t="array" ref="M394">XLOOKUP(I394,customers_clean!$A$2:$A$701,customers_clean!$I$2:$I$701)</f>
        <v>Tara.Muller@Example.Com</v>
      </c>
      <c r="N394" s="10" t="str">
        <f t="array" ref="N394">XLOOKUP(I394,customers_clean!$A$2:$A$701,customers_clean!$H$2:$H$701)</f>
        <v>tara.muller@example.com</v>
      </c>
      <c r="O394" s="9" t="str">
        <f>IFERROR(__xludf.DUMMYFUNCTION("IF(REGEXMATCH(TRIM(N394),""^[A-Za-z0-9._%+-]+@[A-Za-z0-9.-]+\.[A-Za-z]{2,}$""),""✅ Valid"",""❌ Invalid"")"),"✅ Valid")</f>
        <v>✅ Valid</v>
      </c>
      <c r="P394" s="2" t="str">
        <f t="array" ref="P394">XLOOKUP(I394,customers_clean!$A$2:$A$701,customers_clean!$K$2:$K$701)</f>
        <v>304-988-087</v>
      </c>
      <c r="Q394" s="10" t="str">
        <f t="array" ref="Q394">XLOOKUP(I394,customers_clean!$A$2:$A$701,customers_clean!$N$2:$N$701)</f>
        <v>304988087</v>
      </c>
      <c r="R394" s="9" t="str">
        <f t="array" ref="R394">XLOOKUP(I394,customers_clean!$A$2:$A$701,customers_clean!$Q$2:$Q$701)</f>
        <v>❌ INVALID</v>
      </c>
      <c r="S394" s="10" t="s">
        <v>88</v>
      </c>
      <c r="T394" s="2" t="s">
        <v>26</v>
      </c>
      <c r="U394" s="2" t="s">
        <v>43</v>
      </c>
      <c r="V394" s="2" t="s">
        <v>1926</v>
      </c>
      <c r="W394" s="9" t="str">
        <f t="array" ref="W394">IF(ISNA(XLOOKUP(V394,products_master_corrected!$A$2:$A$151,products_master_corrected!$A$2:$A$151, NA())),
    "❌ MISSING SKU", "✅")</f>
        <v>✅</v>
      </c>
      <c r="X394" s="2" t="s">
        <v>1927</v>
      </c>
      <c r="Y394" s="2" t="s">
        <v>63</v>
      </c>
      <c r="Z394" s="10" t="s">
        <v>63</v>
      </c>
      <c r="AA394" s="27">
        <v>1.0</v>
      </c>
      <c r="AB394" s="9" t="s">
        <v>8649</v>
      </c>
      <c r="AC394" s="28">
        <f t="array" ref="AC394">XLOOKUP(V394,products_master_corrected!$A$2:$A$151,products_master_corrected!$E$2:$E$151)</f>
        <v>452.71</v>
      </c>
      <c r="AD394" s="28">
        <f t="shared" si="46"/>
        <v>452.71</v>
      </c>
      <c r="AE394" s="28">
        <f t="array" ref="AE394">XLOOKUP(V394,products_master_corrected!$A$2:$A$151,products_master_corrected!$I$2:$I$151)</f>
        <v>499.07</v>
      </c>
      <c r="AF394" s="29">
        <f t="shared" si="47"/>
        <v>499.07</v>
      </c>
      <c r="AG394" s="32" t="s">
        <v>8660</v>
      </c>
      <c r="AH394" s="2" t="s">
        <v>131</v>
      </c>
      <c r="AI394" s="10" t="s">
        <v>181</v>
      </c>
      <c r="AJ394" s="2" t="s">
        <v>442</v>
      </c>
      <c r="AK394" s="10" t="s">
        <v>80</v>
      </c>
    </row>
    <row r="395" ht="15.75" customHeight="1">
      <c r="A395" s="2" t="s">
        <v>4335</v>
      </c>
      <c r="B395" s="12">
        <v>45917.0</v>
      </c>
      <c r="C395" s="2" t="str">
        <f>IFERROR(__xludf.DUMMYFUNCTION("IF(ISNUMBER(B395),TEXT(B395,""yyyy-MM-dd""),REGEXREPLACE(REGEXREPLACE(TO_TEXT(B395),""[^0-9a-zA-Z]+"",""-""),""[^0-9]*$"",""""))"),"2025-09-17")</f>
        <v>2025-09-17</v>
      </c>
      <c r="D395" s="2" t="s">
        <v>8827</v>
      </c>
      <c r="H395" s="10" t="s">
        <v>8827</v>
      </c>
      <c r="I395" s="2" t="s">
        <v>657</v>
      </c>
      <c r="J395" s="26" t="str">
        <f t="array" ref="J395">IF(ISNA(XLOOKUP(I395,customers_clean!$A$2:$A$701,customers_clean!$A$2:$A$701, NA()) ),
   "❌ MISSING CUSTOMER", "✅")</f>
        <v>✅</v>
      </c>
      <c r="K395" s="2" t="str">
        <f t="array" ref="K395">XLOOKUP(I395,customers_clean!$A$2:$A$701,customers_clean!$C$2:$C$701)</f>
        <v> Tara Muller</v>
      </c>
      <c r="L395" s="10" t="str">
        <f t="array" ref="L395">XLOOKUP(I395,customers_clean!$A$2:$A$701,customers_clean!$D$2:$D$701)</f>
        <v>Tara Muller</v>
      </c>
      <c r="M395" s="2" t="str">
        <f t="array" ref="M395">XLOOKUP(I395,customers_clean!$A$2:$A$701,customers_clean!$I$2:$I$701)</f>
        <v>Tara.Muller@Example.Com</v>
      </c>
      <c r="N395" s="10" t="str">
        <f t="array" ref="N395">XLOOKUP(I395,customers_clean!$A$2:$A$701,customers_clean!$H$2:$H$701)</f>
        <v>tara.muller@example.com</v>
      </c>
      <c r="O395" s="9" t="str">
        <f>IFERROR(__xludf.DUMMYFUNCTION("IF(REGEXMATCH(TRIM(N395),""^[A-Za-z0-9._%+-]+@[A-Za-z0-9.-]+\.[A-Za-z]{2,}$""),""✅ Valid"",""❌ Invalid"")"),"✅ Valid")</f>
        <v>✅ Valid</v>
      </c>
      <c r="P395" s="2" t="str">
        <f t="array" ref="P395">XLOOKUP(I395,customers_clean!$A$2:$A$701,customers_clean!$K$2:$K$701)</f>
        <v>304-988-087</v>
      </c>
      <c r="Q395" s="10" t="str">
        <f t="array" ref="Q395">XLOOKUP(I395,customers_clean!$A$2:$A$701,customers_clean!$N$2:$N$701)</f>
        <v>304988087</v>
      </c>
      <c r="R395" s="9" t="str">
        <f t="array" ref="R395">XLOOKUP(I395,customers_clean!$A$2:$A$701,customers_clean!$Q$2:$Q$701)</f>
        <v>❌ INVALID</v>
      </c>
      <c r="S395" s="10" t="s">
        <v>88</v>
      </c>
      <c r="T395" s="2" t="s">
        <v>223</v>
      </c>
      <c r="U395" s="2" t="s">
        <v>352</v>
      </c>
      <c r="V395" s="2" t="s">
        <v>581</v>
      </c>
      <c r="W395" s="9" t="str">
        <f t="array" ref="W395">IF(ISNA(XLOOKUP(V395,products_master_corrected!$A$2:$A$151,products_master_corrected!$A$2:$A$151, NA())),
    "❌ MISSING SKU", "✅")</f>
        <v>✅</v>
      </c>
      <c r="X395" s="2" t="s">
        <v>280</v>
      </c>
      <c r="Y395" s="2" t="s">
        <v>582</v>
      </c>
      <c r="Z395" s="10" t="s">
        <v>63</v>
      </c>
      <c r="AA395" s="27">
        <v>3.0</v>
      </c>
      <c r="AB395" s="9" t="s">
        <v>8649</v>
      </c>
      <c r="AC395" s="28">
        <f t="array" ref="AC395">XLOOKUP(V395,products_master_corrected!$A$2:$A$151,products_master_corrected!$E$2:$E$151)</f>
        <v>120.1</v>
      </c>
      <c r="AD395" s="28">
        <f t="shared" si="46"/>
        <v>360.3</v>
      </c>
      <c r="AE395" s="28">
        <f t="array" ref="AE395">XLOOKUP(V395,products_master_corrected!$A$2:$A$151,products_master_corrected!$I$2:$I$151)</f>
        <v>132.4</v>
      </c>
      <c r="AF395" s="29">
        <f t="shared" si="47"/>
        <v>397.2</v>
      </c>
      <c r="AG395" s="32" t="s">
        <v>8660</v>
      </c>
      <c r="AH395" s="2" t="s">
        <v>485</v>
      </c>
      <c r="AI395" s="10" t="s">
        <v>181</v>
      </c>
      <c r="AJ395" s="2" t="s">
        <v>169</v>
      </c>
      <c r="AK395" s="10" t="s">
        <v>261</v>
      </c>
    </row>
    <row r="396" ht="15.75" customHeight="1">
      <c r="A396" s="2" t="s">
        <v>5633</v>
      </c>
      <c r="B396" s="12">
        <v>45126.0</v>
      </c>
      <c r="C396" s="2" t="str">
        <f>IFERROR(__xludf.DUMMYFUNCTION("IF(ISNUMBER(B396),TEXT(B396,""yyyy-MM-dd""),REGEXREPLACE(REGEXREPLACE(TO_TEXT(B396),""[^0-9a-zA-Z]+"",""-""),""[^0-9]*$"",""""))"),"2023-07-19")</f>
        <v>2023-07-19</v>
      </c>
      <c r="D396" s="2" t="s">
        <v>5634</v>
      </c>
      <c r="H396" s="10" t="s">
        <v>5634</v>
      </c>
      <c r="I396" s="2" t="s">
        <v>657</v>
      </c>
      <c r="J396" s="26" t="str">
        <f t="array" ref="J396">IF(ISNA(XLOOKUP(I396,customers_clean!$A$2:$A$701,customers_clean!$A$2:$A$701, NA()) ),
   "❌ MISSING CUSTOMER", "✅")</f>
        <v>✅</v>
      </c>
      <c r="K396" s="2" t="str">
        <f t="array" ref="K396">XLOOKUP(I396,customers_clean!$A$2:$A$701,customers_clean!$C$2:$C$701)</f>
        <v> Tara Muller</v>
      </c>
      <c r="L396" s="10" t="str">
        <f t="array" ref="L396">XLOOKUP(I396,customers_clean!$A$2:$A$701,customers_clean!$D$2:$D$701)</f>
        <v>Tara Muller</v>
      </c>
      <c r="M396" s="2" t="str">
        <f t="array" ref="M396">XLOOKUP(I396,customers_clean!$A$2:$A$701,customers_clean!$I$2:$I$701)</f>
        <v>Tara.Muller@Example.Com</v>
      </c>
      <c r="N396" s="10" t="str">
        <f t="array" ref="N396">XLOOKUP(I396,customers_clean!$A$2:$A$701,customers_clean!$H$2:$H$701)</f>
        <v>tara.muller@example.com</v>
      </c>
      <c r="O396" s="9" t="str">
        <f>IFERROR(__xludf.DUMMYFUNCTION("IF(REGEXMATCH(TRIM(N396),""^[A-Za-z0-9._%+-]+@[A-Za-z0-9.-]+\.[A-Za-z]{2,}$""),""✅ Valid"",""❌ Invalid"")"),"✅ Valid")</f>
        <v>✅ Valid</v>
      </c>
      <c r="P396" s="2" t="str">
        <f t="array" ref="P396">XLOOKUP(I396,customers_clean!$A$2:$A$701,customers_clean!$K$2:$K$701)</f>
        <v>304-988-087</v>
      </c>
      <c r="Q396" s="10" t="str">
        <f t="array" ref="Q396">XLOOKUP(I396,customers_clean!$A$2:$A$701,customers_clean!$N$2:$N$701)</f>
        <v>304988087</v>
      </c>
      <c r="R396" s="9" t="str">
        <f t="array" ref="R396">XLOOKUP(I396,customers_clean!$A$2:$A$701,customers_clean!$Q$2:$Q$701)</f>
        <v>❌ INVALID</v>
      </c>
      <c r="S396" s="10" t="s">
        <v>88</v>
      </c>
      <c r="T396" s="2" t="s">
        <v>400</v>
      </c>
      <c r="U396" s="2" t="s">
        <v>401</v>
      </c>
      <c r="V396" s="2" t="s">
        <v>976</v>
      </c>
      <c r="W396" s="9" t="str">
        <f t="array" ref="W396">IF(ISNA(XLOOKUP(V396,products_master_corrected!$A$2:$A$151,products_master_corrected!$A$2:$A$151, NA())),
    "❌ MISSING SKU", "✅")</f>
        <v>✅</v>
      </c>
      <c r="X396" s="2" t="s">
        <v>29</v>
      </c>
      <c r="Y396" s="2" t="s">
        <v>214</v>
      </c>
      <c r="Z396" s="10" t="s">
        <v>368</v>
      </c>
      <c r="AA396" s="27">
        <v>1.0</v>
      </c>
      <c r="AB396" s="9" t="s">
        <v>8649</v>
      </c>
      <c r="AC396" s="28">
        <f t="array" ref="AC396">XLOOKUP(V396,products_master_corrected!$A$2:$A$151,products_master_corrected!$E$2:$E$151)</f>
        <v>107.91</v>
      </c>
      <c r="AD396" s="28">
        <f t="shared" si="46"/>
        <v>107.91</v>
      </c>
      <c r="AE396" s="28">
        <f t="array" ref="AE396">XLOOKUP(V396,products_master_corrected!$A$2:$A$151,products_master_corrected!$I$2:$I$151)</f>
        <v>118.96</v>
      </c>
      <c r="AF396" s="29">
        <f t="shared" si="47"/>
        <v>118.96</v>
      </c>
      <c r="AG396" s="32" t="s">
        <v>8660</v>
      </c>
      <c r="AH396" s="2" t="s">
        <v>181</v>
      </c>
      <c r="AI396" s="10" t="s">
        <v>181</v>
      </c>
      <c r="AJ396" s="2" t="s">
        <v>818</v>
      </c>
      <c r="AK396" s="10" t="s">
        <v>818</v>
      </c>
      <c r="AL396" s="2" t="s">
        <v>67</v>
      </c>
    </row>
    <row r="397" ht="15.75" customHeight="1">
      <c r="A397" s="2" t="s">
        <v>2208</v>
      </c>
      <c r="B397" s="12" t="s">
        <v>1871</v>
      </c>
      <c r="C397" s="2" t="str">
        <f>IFERROR(__xludf.DUMMYFUNCTION("IF(ISNUMBER(B397),TEXT(B397,""yyyy-MM-dd""),REGEXREPLACE(REGEXREPLACE(TO_TEXT(B397),""[^0-9a-zA-Z]+"",""-""),""[^0-9]*$"",""""))"),"09-19-2023")</f>
        <v>09-19-2023</v>
      </c>
      <c r="D397" s="2" t="str">
        <f>TEXT(C397,"yyyy-MM-dd")</f>
        <v>09-19-2023</v>
      </c>
      <c r="E397" s="2" t="s">
        <v>7834</v>
      </c>
      <c r="H397" s="10" t="s">
        <v>7834</v>
      </c>
      <c r="I397" s="2" t="s">
        <v>657</v>
      </c>
      <c r="J397" s="26" t="str">
        <f t="array" ref="J397">IF(ISNA(XLOOKUP(I397,customers_clean!$A$2:$A$701,customers_clean!$A$2:$A$701, NA()) ),
   "❌ MISSING CUSTOMER", "✅")</f>
        <v>✅</v>
      </c>
      <c r="K397" s="2" t="str">
        <f t="array" ref="K397">XLOOKUP(I397,customers_clean!$A$2:$A$701,customers_clean!$C$2:$C$701)</f>
        <v> Tara Muller</v>
      </c>
      <c r="L397" s="10" t="str">
        <f t="array" ref="L397">XLOOKUP(I397,customers_clean!$A$2:$A$701,customers_clean!$D$2:$D$701)</f>
        <v>Tara Muller</v>
      </c>
      <c r="M397" s="2" t="str">
        <f t="array" ref="M397">XLOOKUP(I397,customers_clean!$A$2:$A$701,customers_clean!$I$2:$I$701)</f>
        <v>Tara.Muller@Example.Com</v>
      </c>
      <c r="N397" s="10" t="str">
        <f t="array" ref="N397">XLOOKUP(I397,customers_clean!$A$2:$A$701,customers_clean!$H$2:$H$701)</f>
        <v>tara.muller@example.com</v>
      </c>
      <c r="O397" s="9" t="str">
        <f>IFERROR(__xludf.DUMMYFUNCTION("IF(REGEXMATCH(TRIM(N397),""^[A-Za-z0-9._%+-]+@[A-Za-z0-9.-]+\.[A-Za-z]{2,}$""),""✅ Valid"",""❌ Invalid"")"),"✅ Valid")</f>
        <v>✅ Valid</v>
      </c>
      <c r="P397" s="2" t="str">
        <f t="array" ref="P397">XLOOKUP(I397,customers_clean!$A$2:$A$701,customers_clean!$K$2:$K$701)</f>
        <v>304-988-087</v>
      </c>
      <c r="Q397" s="10" t="str">
        <f t="array" ref="Q397">XLOOKUP(I397,customers_clean!$A$2:$A$701,customers_clean!$N$2:$N$701)</f>
        <v>304988087</v>
      </c>
      <c r="R397" s="9" t="str">
        <f t="array" ref="R397">XLOOKUP(I397,customers_clean!$A$2:$A$701,customers_clean!$Q$2:$Q$701)</f>
        <v>❌ INVALID</v>
      </c>
      <c r="S397" s="10" t="s">
        <v>88</v>
      </c>
      <c r="T397" s="2" t="s">
        <v>152</v>
      </c>
      <c r="U397" s="2" t="s">
        <v>500</v>
      </c>
      <c r="V397" s="2" t="s">
        <v>200</v>
      </c>
      <c r="W397" s="9" t="str">
        <f t="array" ref="W397">IF(ISNA(XLOOKUP(V397,products_master_corrected!$A$2:$A$151,products_master_corrected!$A$2:$A$151, NA())),
    "❌ MISSING SKU", "✅")</f>
        <v>✅</v>
      </c>
      <c r="X397" s="2" t="s">
        <v>190</v>
      </c>
      <c r="Y397" s="2" t="s">
        <v>202</v>
      </c>
      <c r="Z397" s="10" t="s">
        <v>63</v>
      </c>
      <c r="AA397" s="27">
        <v>2.0</v>
      </c>
      <c r="AB397" s="9" t="s">
        <v>8649</v>
      </c>
      <c r="AC397" s="28">
        <f t="array" ref="AC397">XLOOKUP(V397,products_master_corrected!$A$2:$A$151,products_master_corrected!$E$2:$E$151)</f>
        <v>61.21</v>
      </c>
      <c r="AD397" s="28">
        <f t="shared" si="46"/>
        <v>122.42</v>
      </c>
      <c r="AE397" s="28">
        <f t="array" ref="AE397">XLOOKUP(V397,products_master_corrected!$A$2:$A$151,products_master_corrected!$I$2:$I$151)</f>
        <v>67.48</v>
      </c>
      <c r="AF397" s="29">
        <f t="shared" si="47"/>
        <v>134.96</v>
      </c>
      <c r="AG397" s="32" t="s">
        <v>8660</v>
      </c>
      <c r="AH397" s="2" t="s">
        <v>485</v>
      </c>
      <c r="AI397" s="10" t="s">
        <v>181</v>
      </c>
      <c r="AJ397" s="2" t="s">
        <v>158</v>
      </c>
      <c r="AK397" s="10" t="s">
        <v>818</v>
      </c>
    </row>
    <row r="398" ht="15.75" customHeight="1">
      <c r="A398" s="2" t="s">
        <v>655</v>
      </c>
      <c r="B398" s="12">
        <v>45835.95416666667</v>
      </c>
      <c r="C398" s="2" t="str">
        <f>IFERROR(__xludf.DUMMYFUNCTION("IF(ISNUMBER(B398),TEXT(B398,""yyyy-MM-dd""),REGEXREPLACE(REGEXREPLACE(TO_TEXT(B398),""[^0-9a-zA-Z]+"",""-""),""[^0-9]*$"",""""))"),"2025-06-27")</f>
        <v>2025-06-27</v>
      </c>
      <c r="D398" s="2" t="s">
        <v>8038</v>
      </c>
      <c r="H398" s="10" t="s">
        <v>8038</v>
      </c>
      <c r="I398" s="2" t="s">
        <v>657</v>
      </c>
      <c r="J398" s="26" t="str">
        <f t="array" ref="J398">IF(ISNA(XLOOKUP(I398,customers_clean!$A$2:$A$701,customers_clean!$A$2:$A$701, NA()) ),
   "❌ MISSING CUSTOMER", "✅")</f>
        <v>✅</v>
      </c>
      <c r="K398" s="2" t="str">
        <f t="array" ref="K398">XLOOKUP(I398,customers_clean!$A$2:$A$701,customers_clean!$C$2:$C$701)</f>
        <v> Tara Muller</v>
      </c>
      <c r="L398" s="10" t="str">
        <f t="array" ref="L398">XLOOKUP(I398,customers_clean!$A$2:$A$701,customers_clean!$D$2:$D$701)</f>
        <v>Tara Muller</v>
      </c>
      <c r="M398" s="2" t="str">
        <f t="array" ref="M398">XLOOKUP(I398,customers_clean!$A$2:$A$701,customers_clean!$I$2:$I$701)</f>
        <v>Tara.Muller@Example.Com</v>
      </c>
      <c r="N398" s="10" t="str">
        <f t="array" ref="N398">XLOOKUP(I398,customers_clean!$A$2:$A$701,customers_clean!$H$2:$H$701)</f>
        <v>tara.muller@example.com</v>
      </c>
      <c r="O398" s="9" t="str">
        <f>IFERROR(__xludf.DUMMYFUNCTION("IF(REGEXMATCH(TRIM(N398),""^[A-Za-z0-9._%+-]+@[A-Za-z0-9.-]+\.[A-Za-z]{2,}$""),""✅ Valid"",""❌ Invalid"")"),"✅ Valid")</f>
        <v>✅ Valid</v>
      </c>
      <c r="P398" s="2" t="str">
        <f t="array" ref="P398">XLOOKUP(I398,customers_clean!$A$2:$A$701,customers_clean!$K$2:$K$701)</f>
        <v>304-988-087</v>
      </c>
      <c r="Q398" s="10" t="str">
        <f t="array" ref="Q398">XLOOKUP(I398,customers_clean!$A$2:$A$701,customers_clean!$N$2:$N$701)</f>
        <v>304988087</v>
      </c>
      <c r="R398" s="9" t="str">
        <f t="array" ref="R398">XLOOKUP(I398,customers_clean!$A$2:$A$701,customers_clean!$Q$2:$Q$701)</f>
        <v>❌ INVALID</v>
      </c>
      <c r="S398" s="10" t="s">
        <v>88</v>
      </c>
      <c r="T398" s="2" t="s">
        <v>42</v>
      </c>
      <c r="U398" s="2" t="s">
        <v>90</v>
      </c>
      <c r="V398" s="2" t="s">
        <v>661</v>
      </c>
      <c r="W398" s="9" t="str">
        <f t="array" ref="W398">IF(ISNA(XLOOKUP(V398,products_master_corrected!$A$2:$A$151,products_master_corrected!$A$2:$A$151, NA())),
    "❌ MISSING SKU", "✅")</f>
        <v>✅</v>
      </c>
      <c r="X398" s="2" t="s">
        <v>423</v>
      </c>
      <c r="Y398" s="2" t="s">
        <v>368</v>
      </c>
      <c r="Z398" s="10" t="s">
        <v>368</v>
      </c>
      <c r="AA398" s="27">
        <v>2.0</v>
      </c>
      <c r="AB398" s="9" t="s">
        <v>8649</v>
      </c>
      <c r="AC398" s="28">
        <f t="array" ref="AC398">XLOOKUP(V398,products_master_corrected!$A$2:$A$151,products_master_corrected!$E$2:$E$151)</f>
        <v>76.62</v>
      </c>
      <c r="AD398" s="28">
        <f t="shared" si="46"/>
        <v>153.24</v>
      </c>
      <c r="AE398" s="28">
        <f t="array" ref="AE398">XLOOKUP(V398,products_master_corrected!$A$2:$A$151,products_master_corrected!$I$2:$I$151)</f>
        <v>84.47</v>
      </c>
      <c r="AF398" s="29">
        <f t="shared" si="47"/>
        <v>168.94</v>
      </c>
      <c r="AG398" s="32" t="s">
        <v>8660</v>
      </c>
      <c r="AH398" s="2" t="s">
        <v>664</v>
      </c>
      <c r="AI398" s="10" t="s">
        <v>66</v>
      </c>
      <c r="AJ398" s="2" t="s">
        <v>80</v>
      </c>
      <c r="AK398" s="10" t="s">
        <v>80</v>
      </c>
    </row>
    <row r="399" ht="15.75" customHeight="1">
      <c r="A399" s="2" t="s">
        <v>978</v>
      </c>
      <c r="B399" s="12">
        <v>45767.0</v>
      </c>
      <c r="C399" s="2" t="str">
        <f>IFERROR(__xludf.DUMMYFUNCTION("IF(ISNUMBER(B399),TEXT(B399,""yyyy-MM-dd""),REGEXREPLACE(REGEXREPLACE(TO_TEXT(B399),""[^0-9a-zA-Z]+"",""-""),""[^0-9]*$"",""""))"),"2025-04-20")</f>
        <v>2025-04-20</v>
      </c>
      <c r="D399" s="2" t="s">
        <v>8828</v>
      </c>
      <c r="H399" s="10" t="s">
        <v>8828</v>
      </c>
      <c r="I399" s="2" t="s">
        <v>980</v>
      </c>
      <c r="J399" s="26" t="str">
        <f t="array" ref="J399">IF(ISNA(XLOOKUP(I399,customers_clean!$A$2:$A$701,customers_clean!$A$2:$A$701, NA()) ),
   "❌ MISSING CUSTOMER", "✅")</f>
        <v>✅</v>
      </c>
      <c r="K399" s="2" t="str">
        <f t="array" ref="K399">XLOOKUP(I399,customers_clean!$A$2:$A$701,customers_clean!$C$2:$C$701)</f>
        <v>NINA DAVIS</v>
      </c>
      <c r="L399" s="10" t="str">
        <f t="array" ref="L399">XLOOKUP(I399,customers_clean!$A$2:$A$701,customers_clean!$D$2:$D$701)</f>
        <v>Nina Davis</v>
      </c>
      <c r="M399" s="2" t="str">
        <f t="array" ref="M399">XLOOKUP(I399,customers_clean!$A$2:$A$701,customers_clean!$I$2:$I$701)</f>
        <v>nina.davis@outlook.com</v>
      </c>
      <c r="N399" s="10" t="str">
        <f t="array" ref="N399">XLOOKUP(I399,customers_clean!$A$2:$A$701,customers_clean!$H$2:$H$701)</f>
        <v>nina.davis@outlook.com</v>
      </c>
      <c r="O399" s="9" t="str">
        <f>IFERROR(__xludf.DUMMYFUNCTION("IF(REGEXMATCH(TRIM(N399),""^[A-Za-z0-9._%+-]+@[A-Za-z0-9.-]+\.[A-Za-z]{2,}$""),""✅ Valid"",""❌ Invalid"")"),"✅ Valid")</f>
        <v>✅ Valid</v>
      </c>
      <c r="P399" s="2" t="str">
        <f t="array" ref="P399">XLOOKUP(I399,customers_clean!$A$2:$A$701,customers_clean!$K$2:$K$701)</f>
        <v>+39+9701160160</v>
      </c>
      <c r="Q399" s="10" t="str">
        <f t="array" ref="Q399">XLOOKUP(I399,customers_clean!$A$2:$A$701,customers_clean!$N$2:$N$701)</f>
        <v>9701160160</v>
      </c>
      <c r="R399" s="9" t="str">
        <f t="array" ref="R399">XLOOKUP(I399,customers_clean!$A$2:$A$701,customers_clean!$Q$2:$Q$701)</f>
        <v>❌ INVALID</v>
      </c>
      <c r="S399" s="10" t="s">
        <v>58</v>
      </c>
      <c r="T399" s="2" t="s">
        <v>115</v>
      </c>
      <c r="U399" s="2" t="s">
        <v>176</v>
      </c>
      <c r="V399" s="2" t="s">
        <v>334</v>
      </c>
      <c r="W399" s="9" t="str">
        <f t="array" ref="W399">IF(ISNA(XLOOKUP(V399,products_master_corrected!$A$2:$A$151,products_master_corrected!$A$2:$A$151, NA())),
    "❌ MISSING SKU", "✅")</f>
        <v>✅</v>
      </c>
      <c r="X399" s="2" t="s">
        <v>29</v>
      </c>
      <c r="Y399" s="2" t="s">
        <v>248</v>
      </c>
      <c r="Z399" s="10" t="s">
        <v>248</v>
      </c>
      <c r="AA399" s="27">
        <v>1.0</v>
      </c>
      <c r="AB399" s="9" t="s">
        <v>8649</v>
      </c>
      <c r="AC399" s="28">
        <f t="array" ref="AC399">XLOOKUP(V399,products_master_corrected!$A$2:$A$151,products_master_corrected!$E$2:$E$151)</f>
        <v>75.62</v>
      </c>
      <c r="AD399" s="28">
        <f t="shared" si="46"/>
        <v>75.62</v>
      </c>
      <c r="AE399" s="28">
        <f t="array" ref="AE399">XLOOKUP(V399,products_master_corrected!$A$2:$A$151,products_master_corrected!$G$2:$G$151)</f>
        <v>86.57</v>
      </c>
      <c r="AF399" s="29">
        <f t="shared" si="47"/>
        <v>86.57</v>
      </c>
      <c r="AG399" s="32" t="s">
        <v>8663</v>
      </c>
      <c r="AH399" s="2" t="s">
        <v>305</v>
      </c>
      <c r="AI399" s="10" t="s">
        <v>49</v>
      </c>
      <c r="AJ399" s="2" t="s">
        <v>294</v>
      </c>
      <c r="AK399" s="10" t="s">
        <v>80</v>
      </c>
      <c r="AL399" s="2" t="s">
        <v>81</v>
      </c>
    </row>
    <row r="400" ht="15.75" customHeight="1">
      <c r="A400" s="2" t="s">
        <v>6078</v>
      </c>
      <c r="B400" s="12">
        <v>45520.0</v>
      </c>
      <c r="C400" s="2" t="str">
        <f>IFERROR(__xludf.DUMMYFUNCTION("IF(ISNUMBER(B400),TEXT(B400,""yyyy-MM-dd""),REGEXREPLACE(REGEXREPLACE(TO_TEXT(B400),""[^0-9a-zA-Z]+"",""-""),""[^0-9]*$"",""""))"),"2024-08-16")</f>
        <v>2024-08-16</v>
      </c>
      <c r="D400" s="2" t="s">
        <v>8776</v>
      </c>
      <c r="H400" s="10" t="s">
        <v>8776</v>
      </c>
      <c r="I400" s="2" t="s">
        <v>980</v>
      </c>
      <c r="J400" s="26" t="str">
        <f t="array" ref="J400">IF(ISNA(XLOOKUP(I400,customers_clean!$A$2:$A$701,customers_clean!$A$2:$A$701, NA()) ),
   "❌ MISSING CUSTOMER", "✅")</f>
        <v>✅</v>
      </c>
      <c r="K400" s="2" t="str">
        <f t="array" ref="K400">XLOOKUP(I400,customers_clean!$A$2:$A$701,customers_clean!$C$2:$C$701)</f>
        <v>NINA DAVIS</v>
      </c>
      <c r="L400" s="10" t="str">
        <f t="array" ref="L400">XLOOKUP(I400,customers_clean!$A$2:$A$701,customers_clean!$D$2:$D$701)</f>
        <v>Nina Davis</v>
      </c>
      <c r="M400" s="2" t="str">
        <f t="array" ref="M400">XLOOKUP(I400,customers_clean!$A$2:$A$701,customers_clean!$I$2:$I$701)</f>
        <v>nina.davis@outlook.com</v>
      </c>
      <c r="N400" s="10" t="str">
        <f t="array" ref="N400">XLOOKUP(I400,customers_clean!$A$2:$A$701,customers_clean!$H$2:$H$701)</f>
        <v>nina.davis@outlook.com</v>
      </c>
      <c r="O400" s="9" t="str">
        <f>IFERROR(__xludf.DUMMYFUNCTION("IF(REGEXMATCH(TRIM(N400),""^[A-Za-z0-9._%+-]+@[A-Za-z0-9.-]+\.[A-Za-z]{2,}$""),""✅ Valid"",""❌ Invalid"")"),"✅ Valid")</f>
        <v>✅ Valid</v>
      </c>
      <c r="P400" s="2" t="str">
        <f t="array" ref="P400">XLOOKUP(I400,customers_clean!$A$2:$A$701,customers_clean!$K$2:$K$701)</f>
        <v>+39+9701160160</v>
      </c>
      <c r="Q400" s="10" t="str">
        <f t="array" ref="Q400">XLOOKUP(I400,customers_clean!$A$2:$A$701,customers_clean!$N$2:$N$701)</f>
        <v>9701160160</v>
      </c>
      <c r="R400" s="9" t="str">
        <f t="array" ref="R400">XLOOKUP(I400,customers_clean!$A$2:$A$701,customers_clean!$Q$2:$Q$701)</f>
        <v>❌ INVALID</v>
      </c>
      <c r="S400" s="10" t="s">
        <v>58</v>
      </c>
      <c r="T400" s="2" t="s">
        <v>802</v>
      </c>
      <c r="U400" s="2" t="s">
        <v>571</v>
      </c>
      <c r="V400" s="2" t="s">
        <v>609</v>
      </c>
      <c r="W400" s="9" t="str">
        <f t="array" ref="W400">IF(ISNA(XLOOKUP(V400,products_master_corrected!$A$2:$A$151,products_master_corrected!$A$2:$A$151, NA())),
    "❌ MISSING SKU", "✅")</f>
        <v>✅</v>
      </c>
      <c r="X400" s="2" t="s">
        <v>259</v>
      </c>
      <c r="Y400" s="2" t="s">
        <v>610</v>
      </c>
      <c r="Z400" s="10" t="s">
        <v>179</v>
      </c>
      <c r="AA400" s="27">
        <v>2.0</v>
      </c>
      <c r="AB400" s="9" t="s">
        <v>8649</v>
      </c>
      <c r="AC400" s="28">
        <f t="array" ref="AC400">XLOOKUP(V400,products_master_corrected!$A$2:$A$151,products_master_corrected!$E$2:$E$151)</f>
        <v>32.41</v>
      </c>
      <c r="AD400" s="28">
        <f t="shared" si="46"/>
        <v>64.82</v>
      </c>
      <c r="AE400" s="28">
        <f t="array" ref="AE400">XLOOKUP(V400,products_master_corrected!$A$2:$A$151,products_master_corrected!$G$2:$G$151)</f>
        <v>37.1</v>
      </c>
      <c r="AF400" s="29">
        <f t="shared" si="47"/>
        <v>74.2</v>
      </c>
      <c r="AG400" s="32" t="s">
        <v>8663</v>
      </c>
      <c r="AH400" s="2" t="s">
        <v>2456</v>
      </c>
      <c r="AI400" s="10" t="s">
        <v>143</v>
      </c>
      <c r="AJ400" s="2" t="s">
        <v>169</v>
      </c>
      <c r="AK400" s="10" t="s">
        <v>261</v>
      </c>
    </row>
    <row r="401" ht="15.75" customHeight="1">
      <c r="A401" s="2" t="s">
        <v>1791</v>
      </c>
      <c r="B401" s="12">
        <v>45151.0</v>
      </c>
      <c r="C401" s="2" t="str">
        <f>IFERROR(__xludf.DUMMYFUNCTION("IF(ISNUMBER(B401),TEXT(B401,""yyyy-MM-dd""),REGEXREPLACE(REGEXREPLACE(TO_TEXT(B401),""[^0-9a-zA-Z]+"",""-""),""[^0-9]*$"",""""))"),"2023-08-13")</f>
        <v>2023-08-13</v>
      </c>
      <c r="D401" s="2" t="s">
        <v>8318</v>
      </c>
      <c r="H401" s="10" t="s">
        <v>8318</v>
      </c>
      <c r="I401" s="2" t="s">
        <v>1793</v>
      </c>
      <c r="J401" s="26" t="str">
        <f t="array" ref="J401">IF(ISNA(XLOOKUP(I401,customers_clean!$A$2:$A$701,customers_clean!$A$2:$A$701, NA()) ),
   "❌ MISSING CUSTOMER", "✅")</f>
        <v>✅</v>
      </c>
      <c r="K401" s="2" t="str">
        <f t="array" ref="K401">XLOOKUP(I401,customers_clean!$A$2:$A$701,customers_clean!$C$2:$C$701)</f>
        <v>Nina Garcia </v>
      </c>
      <c r="L401" s="10" t="str">
        <f t="array" ref="L401">XLOOKUP(I401,customers_clean!$A$2:$A$701,customers_clean!$D$2:$D$701)</f>
        <v>Nina Garcia</v>
      </c>
      <c r="M401" s="2" t="str">
        <f t="array" ref="M401">XLOOKUP(I401,customers_clean!$A$2:$A$701,customers_clean!$I$2:$I$701)</f>
        <v>nina.garcia@yahoo.com</v>
      </c>
      <c r="N401" s="10" t="str">
        <f t="array" ref="N401">XLOOKUP(I401,customers_clean!$A$2:$A$701,customers_clean!$H$2:$H$701)</f>
        <v>nina.garcia@yahoo.com</v>
      </c>
      <c r="O401" s="9" t="str">
        <f>IFERROR(__xludf.DUMMYFUNCTION("IF(REGEXMATCH(TRIM(N401),""^[A-Za-z0-9._%+-]+@[A-Za-z0-9.-]+\.[A-Za-z]{2,}$""),""✅ Valid"",""❌ Invalid"")"),"✅ Valid")</f>
        <v>✅ Valid</v>
      </c>
      <c r="P401" s="2">
        <f t="array" ref="P401">XLOOKUP(I401,customers_clean!$A$2:$A$701,customers_clean!$K$2:$K$701)</f>
        <v>4979049411</v>
      </c>
      <c r="Q401" s="10" t="str">
        <f t="array" ref="Q401">XLOOKUP(I401,customers_clean!$A$2:$A$701,customers_clean!$N$2:$N$701)</f>
        <v>4979049411</v>
      </c>
      <c r="R401" s="9" t="str">
        <f t="array" ref="R401">XLOOKUP(I401,customers_clean!$A$2:$A$701,customers_clean!$Q$2:$Q$701)</f>
        <v>❌ INVALID</v>
      </c>
      <c r="S401" s="10" t="s">
        <v>139</v>
      </c>
      <c r="T401" s="2" t="s">
        <v>210</v>
      </c>
      <c r="U401" s="2" t="s">
        <v>103</v>
      </c>
      <c r="V401" s="2" t="s">
        <v>740</v>
      </c>
      <c r="W401" s="9" t="str">
        <f t="array" ref="W401">IF(ISNA(XLOOKUP(V401,products_master_corrected!$A$2:$A$151,products_master_corrected!$A$2:$A$151, NA())),
    "❌ MISSING SKU", "✅")</f>
        <v>✅</v>
      </c>
      <c r="X401" s="2" t="s">
        <v>741</v>
      </c>
      <c r="Y401" s="2" t="s">
        <v>742</v>
      </c>
      <c r="Z401" s="10" t="s">
        <v>355</v>
      </c>
      <c r="AA401" s="27">
        <v>5.0</v>
      </c>
      <c r="AB401" s="9" t="s">
        <v>8649</v>
      </c>
      <c r="AC401" s="28">
        <f t="array" ref="AC401">XLOOKUP(V401,products_master_corrected!$A$2:$A$151,products_master_corrected!$E$2:$E$151)</f>
        <v>35.77</v>
      </c>
      <c r="AD401" s="28">
        <f t="shared" si="46"/>
        <v>178.85</v>
      </c>
      <c r="AE401" s="28">
        <f t="array" ref="AE401">XLOOKUP(V401,products_master_corrected!$A$2:$A$151,products_master_corrected!$L$2:$L$151)</f>
        <v>38.69</v>
      </c>
      <c r="AF401" s="29">
        <f t="shared" si="47"/>
        <v>193.45</v>
      </c>
      <c r="AG401" s="32" t="s">
        <v>8665</v>
      </c>
      <c r="AH401" s="2" t="s">
        <v>305</v>
      </c>
      <c r="AI401" s="10" t="s">
        <v>49</v>
      </c>
      <c r="AJ401" s="2" t="s">
        <v>120</v>
      </c>
      <c r="AK401" s="10" t="s">
        <v>818</v>
      </c>
      <c r="AL401" s="2" t="s">
        <v>67</v>
      </c>
    </row>
    <row r="402" ht="15.75" customHeight="1">
      <c r="A402" s="2" t="s">
        <v>3380</v>
      </c>
      <c r="B402" s="12">
        <v>44952.498611111114</v>
      </c>
      <c r="C402" s="2" t="str">
        <f>IFERROR(__xludf.DUMMYFUNCTION("IF(ISNUMBER(B402),TEXT(B402,""yyyy-MM-dd""),REGEXREPLACE(REGEXREPLACE(TO_TEXT(B402),""[^0-9a-zA-Z]+"",""-""),""[^0-9]*$"",""""))"),"2023-01-26")</f>
        <v>2023-01-26</v>
      </c>
      <c r="D402" s="2" t="s">
        <v>8829</v>
      </c>
      <c r="H402" s="10" t="s">
        <v>8829</v>
      </c>
      <c r="I402" s="2" t="s">
        <v>1793</v>
      </c>
      <c r="J402" s="26" t="str">
        <f t="array" ref="J402">IF(ISNA(XLOOKUP(I402,customers_clean!$A$2:$A$701,customers_clean!$A$2:$A$701, NA()) ),
   "❌ MISSING CUSTOMER", "✅")</f>
        <v>✅</v>
      </c>
      <c r="K402" s="2" t="str">
        <f t="array" ref="K402">XLOOKUP(I402,customers_clean!$A$2:$A$701,customers_clean!$C$2:$C$701)</f>
        <v>Nina Garcia </v>
      </c>
      <c r="L402" s="10" t="str">
        <f t="array" ref="L402">XLOOKUP(I402,customers_clean!$A$2:$A$701,customers_clean!$D$2:$D$701)</f>
        <v>Nina Garcia</v>
      </c>
      <c r="M402" s="2" t="str">
        <f t="array" ref="M402">XLOOKUP(I402,customers_clean!$A$2:$A$701,customers_clean!$I$2:$I$701)</f>
        <v>nina.garcia@yahoo.com</v>
      </c>
      <c r="N402" s="10" t="str">
        <f t="array" ref="N402">XLOOKUP(I402,customers_clean!$A$2:$A$701,customers_clean!$H$2:$H$701)</f>
        <v>nina.garcia@yahoo.com</v>
      </c>
      <c r="O402" s="9" t="str">
        <f>IFERROR(__xludf.DUMMYFUNCTION("IF(REGEXMATCH(TRIM(N402),""^[A-Za-z0-9._%+-]+@[A-Za-z0-9.-]+\.[A-Za-z]{2,}$""),""✅ Valid"",""❌ Invalid"")"),"✅ Valid")</f>
        <v>✅ Valid</v>
      </c>
      <c r="P402" s="2">
        <f t="array" ref="P402">XLOOKUP(I402,customers_clean!$A$2:$A$701,customers_clean!$K$2:$K$701)</f>
        <v>4979049411</v>
      </c>
      <c r="Q402" s="10" t="str">
        <f t="array" ref="Q402">XLOOKUP(I402,customers_clean!$A$2:$A$701,customers_clean!$N$2:$N$701)</f>
        <v>4979049411</v>
      </c>
      <c r="R402" s="9" t="str">
        <f t="array" ref="R402">XLOOKUP(I402,customers_clean!$A$2:$A$701,customers_clean!$Q$2:$Q$701)</f>
        <v>❌ INVALID</v>
      </c>
      <c r="S402" s="10" t="s">
        <v>139</v>
      </c>
      <c r="T402" s="2" t="s">
        <v>234</v>
      </c>
      <c r="U402" s="2" t="s">
        <v>401</v>
      </c>
      <c r="V402" s="2" t="s">
        <v>1255</v>
      </c>
      <c r="W402" s="9" t="str">
        <f t="array" ref="W402">IF(ISNA(XLOOKUP(V402,products_master_corrected!$A$2:$A$151,products_master_corrected!$A$2:$A$151, NA())),
    "❌ MISSING SKU", "✅")</f>
        <v>✅</v>
      </c>
      <c r="X402" s="2" t="s">
        <v>29</v>
      </c>
      <c r="Y402" s="2" t="s">
        <v>271</v>
      </c>
      <c r="Z402" s="10" t="s">
        <v>368</v>
      </c>
      <c r="AA402" s="27">
        <v>2.0</v>
      </c>
      <c r="AB402" s="9" t="s">
        <v>8649</v>
      </c>
      <c r="AC402" s="28">
        <f t="array" ref="AC402">XLOOKUP(V402,products_master_corrected!$A$2:$A$151,products_master_corrected!$E$2:$E$151)</f>
        <v>161.4</v>
      </c>
      <c r="AD402" s="28">
        <f t="shared" si="46"/>
        <v>322.8</v>
      </c>
      <c r="AE402" s="28">
        <f t="array" ref="AE402">XLOOKUP(V402,products_master_corrected!$A$2:$A$151,products_master_corrected!$L$2:$L$151)</f>
        <v>174.55</v>
      </c>
      <c r="AF402" s="29">
        <f t="shared" si="47"/>
        <v>349.1</v>
      </c>
      <c r="AG402" s="32" t="s">
        <v>8665</v>
      </c>
      <c r="AH402" s="2" t="s">
        <v>370</v>
      </c>
      <c r="AI402" s="10" t="s">
        <v>143</v>
      </c>
      <c r="AJ402" s="2" t="s">
        <v>345</v>
      </c>
      <c r="AK402" s="10" t="s">
        <v>261</v>
      </c>
      <c r="AL402" s="2" t="s">
        <v>51</v>
      </c>
    </row>
    <row r="403" ht="15.75" customHeight="1">
      <c r="A403" s="2" t="s">
        <v>2701</v>
      </c>
      <c r="B403" s="12">
        <v>45633.44652777778</v>
      </c>
      <c r="C403" s="2" t="str">
        <f>IFERROR(__xludf.DUMMYFUNCTION("IF(ISNUMBER(B403),TEXT(B403,""yyyy-MM-dd""),REGEXREPLACE(REGEXREPLACE(TO_TEXT(B403),""[^0-9a-zA-Z]+"",""-""),""[^0-9]*$"",""""))"),"2024-12-07")</f>
        <v>2024-12-07</v>
      </c>
      <c r="D403" s="2" t="s">
        <v>2910</v>
      </c>
      <c r="H403" s="10" t="s">
        <v>2910</v>
      </c>
      <c r="I403" s="2" t="s">
        <v>1793</v>
      </c>
      <c r="J403" s="26" t="str">
        <f t="array" ref="J403">IF(ISNA(XLOOKUP(I403,customers_clean!$A$2:$A$701,customers_clean!$A$2:$A$701, NA()) ),
   "❌ MISSING CUSTOMER", "✅")</f>
        <v>✅</v>
      </c>
      <c r="K403" s="2" t="str">
        <f t="array" ref="K403">XLOOKUP(I403,customers_clean!$A$2:$A$701,customers_clean!$C$2:$C$701)</f>
        <v>Nina Garcia </v>
      </c>
      <c r="L403" s="10" t="str">
        <f t="array" ref="L403">XLOOKUP(I403,customers_clean!$A$2:$A$701,customers_clean!$D$2:$D$701)</f>
        <v>Nina Garcia</v>
      </c>
      <c r="M403" s="2" t="str">
        <f t="array" ref="M403">XLOOKUP(I403,customers_clean!$A$2:$A$701,customers_clean!$I$2:$I$701)</f>
        <v>nina.garcia@yahoo.com</v>
      </c>
      <c r="N403" s="10" t="str">
        <f t="array" ref="N403">XLOOKUP(I403,customers_clean!$A$2:$A$701,customers_clean!$H$2:$H$701)</f>
        <v>nina.garcia@yahoo.com</v>
      </c>
      <c r="O403" s="9" t="str">
        <f>IFERROR(__xludf.DUMMYFUNCTION("IF(REGEXMATCH(TRIM(N403),""^[A-Za-z0-9._%+-]+@[A-Za-z0-9.-]+\.[A-Za-z]{2,}$""),""✅ Valid"",""❌ Invalid"")"),"✅ Valid")</f>
        <v>✅ Valid</v>
      </c>
      <c r="P403" s="2">
        <f t="array" ref="P403">XLOOKUP(I403,customers_clean!$A$2:$A$701,customers_clean!$K$2:$K$701)</f>
        <v>4979049411</v>
      </c>
      <c r="Q403" s="10" t="str">
        <f t="array" ref="Q403">XLOOKUP(I403,customers_clean!$A$2:$A$701,customers_clean!$N$2:$N$701)</f>
        <v>4979049411</v>
      </c>
      <c r="R403" s="9" t="str">
        <f t="array" ref="R403">XLOOKUP(I403,customers_clean!$A$2:$A$701,customers_clean!$Q$2:$Q$701)</f>
        <v>❌ INVALID</v>
      </c>
      <c r="S403" s="10" t="s">
        <v>139</v>
      </c>
      <c r="T403" s="2" t="s">
        <v>802</v>
      </c>
      <c r="U403" s="2" t="s">
        <v>312</v>
      </c>
      <c r="V403" s="2" t="s">
        <v>792</v>
      </c>
      <c r="W403" s="9" t="str">
        <f t="array" ref="W403">IF(ISNA(XLOOKUP(V403,products_master_corrected!$A$2:$A$151,products_master_corrected!$A$2:$A$151, NA())),
    "❌ MISSING SKU", "✅")</f>
        <v>✅</v>
      </c>
      <c r="X403" s="2" t="s">
        <v>768</v>
      </c>
      <c r="Y403" s="2" t="s">
        <v>742</v>
      </c>
      <c r="Z403" s="10" t="s">
        <v>355</v>
      </c>
      <c r="AA403" s="27">
        <v>1.0</v>
      </c>
      <c r="AB403" s="9" t="s">
        <v>8649</v>
      </c>
      <c r="AC403" s="28">
        <f t="array" ref="AC403">XLOOKUP(V403,products_master_corrected!$A$2:$A$151,products_master_corrected!$E$2:$E$151)</f>
        <v>20.12</v>
      </c>
      <c r="AD403" s="28">
        <f t="shared" si="46"/>
        <v>20.12</v>
      </c>
      <c r="AE403" s="28">
        <f t="array" ref="AE403">XLOOKUP(V403,products_master_corrected!$A$2:$A$151,products_master_corrected!$L$2:$L$151)</f>
        <v>21.76</v>
      </c>
      <c r="AF403" s="29">
        <f t="shared" si="47"/>
        <v>21.76</v>
      </c>
      <c r="AG403" s="32" t="s">
        <v>8665</v>
      </c>
      <c r="AH403" s="2" t="s">
        <v>143</v>
      </c>
      <c r="AI403" s="10" t="s">
        <v>143</v>
      </c>
      <c r="AJ403" s="2" t="s">
        <v>380</v>
      </c>
      <c r="AK403" s="10" t="s">
        <v>80</v>
      </c>
    </row>
    <row r="404" ht="15.75" customHeight="1">
      <c r="A404" s="2" t="s">
        <v>3491</v>
      </c>
      <c r="B404" s="12" t="s">
        <v>3492</v>
      </c>
      <c r="C404" s="2" t="str">
        <f>IFERROR(__xludf.DUMMYFUNCTION("IF(ISNUMBER(B404),TEXT(B404,""yyyy-MM-dd""),REGEXREPLACE(REGEXREPLACE(TO_TEXT(B404),""[^0-9a-zA-Z]+"",""-""),""[^0-9]*$"",""""))"),"09-11-2024")</f>
        <v>09-11-2024</v>
      </c>
      <c r="D404" s="2" t="s">
        <v>8589</v>
      </c>
      <c r="H404" s="10" t="s">
        <v>8589</v>
      </c>
      <c r="I404" s="2" t="s">
        <v>1793</v>
      </c>
      <c r="J404" s="26" t="str">
        <f t="array" ref="J404">IF(ISNA(XLOOKUP(I404,customers_clean!$A$2:$A$701,customers_clean!$A$2:$A$701, NA()) ),
   "❌ MISSING CUSTOMER", "✅")</f>
        <v>✅</v>
      </c>
      <c r="K404" s="2" t="str">
        <f t="array" ref="K404">XLOOKUP(I404,customers_clean!$A$2:$A$701,customers_clean!$C$2:$C$701)</f>
        <v>Nina Garcia </v>
      </c>
      <c r="L404" s="10" t="str">
        <f t="array" ref="L404">XLOOKUP(I404,customers_clean!$A$2:$A$701,customers_clean!$D$2:$D$701)</f>
        <v>Nina Garcia</v>
      </c>
      <c r="M404" s="2" t="str">
        <f t="array" ref="M404">XLOOKUP(I404,customers_clean!$A$2:$A$701,customers_clean!$I$2:$I$701)</f>
        <v>nina.garcia@yahoo.com</v>
      </c>
      <c r="N404" s="10" t="str">
        <f t="array" ref="N404">XLOOKUP(I404,customers_clean!$A$2:$A$701,customers_clean!$H$2:$H$701)</f>
        <v>nina.garcia@yahoo.com</v>
      </c>
      <c r="O404" s="9" t="str">
        <f>IFERROR(__xludf.DUMMYFUNCTION("IF(REGEXMATCH(TRIM(N404),""^[A-Za-z0-9._%+-]+@[A-Za-z0-9.-]+\.[A-Za-z]{2,}$""),""✅ Valid"",""❌ Invalid"")"),"✅ Valid")</f>
        <v>✅ Valid</v>
      </c>
      <c r="P404" s="2">
        <f t="array" ref="P404">XLOOKUP(I404,customers_clean!$A$2:$A$701,customers_clean!$K$2:$K$701)</f>
        <v>4979049411</v>
      </c>
      <c r="Q404" s="10" t="str">
        <f t="array" ref="Q404">XLOOKUP(I404,customers_clean!$A$2:$A$701,customers_clean!$N$2:$N$701)</f>
        <v>4979049411</v>
      </c>
      <c r="R404" s="9" t="str">
        <f t="array" ref="R404">XLOOKUP(I404,customers_clean!$A$2:$A$701,customers_clean!$Q$2:$Q$701)</f>
        <v>❌ INVALID</v>
      </c>
      <c r="S404" s="10" t="s">
        <v>139</v>
      </c>
      <c r="T404" s="2" t="s">
        <v>42</v>
      </c>
      <c r="U404" s="2" t="s">
        <v>401</v>
      </c>
      <c r="V404" s="2" t="s">
        <v>2033</v>
      </c>
      <c r="W404" s="9" t="str">
        <f t="array" ref="W404">IF(ISNA(XLOOKUP(V404,products_master_corrected!$A$2:$A$151,products_master_corrected!$A$2:$A$151, NA())),
    "❌ MISSING SKU", "✅")</f>
        <v>✅</v>
      </c>
      <c r="X404" s="2" t="s">
        <v>2034</v>
      </c>
      <c r="Y404" s="2" t="s">
        <v>1016</v>
      </c>
      <c r="Z404" s="10" t="s">
        <v>355</v>
      </c>
      <c r="AA404" s="27">
        <v>2.0</v>
      </c>
      <c r="AB404" s="9" t="s">
        <v>8649</v>
      </c>
      <c r="AC404" s="28">
        <f t="array" ref="AC404">XLOOKUP(V404,products_master_corrected!$A$2:$A$151,products_master_corrected!$E$2:$E$151)</f>
        <v>938.62</v>
      </c>
      <c r="AD404" s="28">
        <f t="shared" si="46"/>
        <v>1877.24</v>
      </c>
      <c r="AE404" s="28">
        <f t="array" ref="AE404">XLOOKUP(V404,products_master_corrected!$A$2:$A$151,products_master_corrected!$L$2:$L$151)</f>
        <v>1015.12</v>
      </c>
      <c r="AF404" s="29">
        <f t="shared" si="47"/>
        <v>2030.24</v>
      </c>
      <c r="AG404" s="32" t="s">
        <v>8665</v>
      </c>
      <c r="AH404" s="2" t="s">
        <v>204</v>
      </c>
      <c r="AI404" s="10" t="s">
        <v>143</v>
      </c>
      <c r="AJ404" s="2" t="s">
        <v>261</v>
      </c>
      <c r="AK404" s="10" t="s">
        <v>261</v>
      </c>
      <c r="AL404" s="2" t="s">
        <v>67</v>
      </c>
    </row>
    <row r="405" ht="15.75" customHeight="1">
      <c r="A405" s="2" t="s">
        <v>6134</v>
      </c>
      <c r="B405" s="12">
        <v>45118.0</v>
      </c>
      <c r="C405" s="2" t="str">
        <f>IFERROR(__xludf.DUMMYFUNCTION("IF(ISNUMBER(B405),TEXT(B405,""yyyy-MM-dd""),REGEXREPLACE(REGEXREPLACE(TO_TEXT(B405),""[^0-9a-zA-Z]+"",""-""),""[^0-9]*$"",""""))"),"2023-07-11")</f>
        <v>2023-07-11</v>
      </c>
      <c r="D405" s="2" t="s">
        <v>4455</v>
      </c>
      <c r="H405" s="10" t="s">
        <v>4455</v>
      </c>
      <c r="I405" s="2" t="s">
        <v>1793</v>
      </c>
      <c r="J405" s="26" t="str">
        <f t="array" ref="J405">IF(ISNA(XLOOKUP(I405,customers_clean!$A$2:$A$701,customers_clean!$A$2:$A$701, NA()) ),
   "❌ MISSING CUSTOMER", "✅")</f>
        <v>✅</v>
      </c>
      <c r="K405" s="2" t="str">
        <f t="array" ref="K405">XLOOKUP(I405,customers_clean!$A$2:$A$701,customers_clean!$C$2:$C$701)</f>
        <v>Nina Garcia </v>
      </c>
      <c r="L405" s="10" t="str">
        <f t="array" ref="L405">XLOOKUP(I405,customers_clean!$A$2:$A$701,customers_clean!$D$2:$D$701)</f>
        <v>Nina Garcia</v>
      </c>
      <c r="M405" s="2" t="str">
        <f t="array" ref="M405">XLOOKUP(I405,customers_clean!$A$2:$A$701,customers_clean!$I$2:$I$701)</f>
        <v>nina.garcia@yahoo.com</v>
      </c>
      <c r="N405" s="10" t="str">
        <f t="array" ref="N405">XLOOKUP(I405,customers_clean!$A$2:$A$701,customers_clean!$H$2:$H$701)</f>
        <v>nina.garcia@yahoo.com</v>
      </c>
      <c r="O405" s="9" t="str">
        <f>IFERROR(__xludf.DUMMYFUNCTION("IF(REGEXMATCH(TRIM(N405),""^[A-Za-z0-9._%+-]+@[A-Za-z0-9.-]+\.[A-Za-z]{2,}$""),""✅ Valid"",""❌ Invalid"")"),"✅ Valid")</f>
        <v>✅ Valid</v>
      </c>
      <c r="P405" s="2">
        <f t="array" ref="P405">XLOOKUP(I405,customers_clean!$A$2:$A$701,customers_clean!$K$2:$K$701)</f>
        <v>4979049411</v>
      </c>
      <c r="Q405" s="10" t="str">
        <f t="array" ref="Q405">XLOOKUP(I405,customers_clean!$A$2:$A$701,customers_clean!$N$2:$N$701)</f>
        <v>4979049411</v>
      </c>
      <c r="R405" s="9" t="str">
        <f t="array" ref="R405">XLOOKUP(I405,customers_clean!$A$2:$A$701,customers_clean!$Q$2:$Q$701)</f>
        <v>❌ INVALID</v>
      </c>
      <c r="S405" s="10" t="s">
        <v>139</v>
      </c>
      <c r="T405" s="2" t="s">
        <v>42</v>
      </c>
      <c r="U405" s="2" t="s">
        <v>60</v>
      </c>
      <c r="V405" s="2" t="s">
        <v>1114</v>
      </c>
      <c r="W405" s="9" t="str">
        <f t="array" ref="W405">IF(ISNA(XLOOKUP(V405,products_master_corrected!$A$2:$A$151,products_master_corrected!$A$2:$A$151, NA())),
    "❌ MISSING SKU", "✅")</f>
        <v>✅</v>
      </c>
      <c r="X405" s="2" t="s">
        <v>1147</v>
      </c>
      <c r="Y405" s="2" t="s">
        <v>248</v>
      </c>
      <c r="Z405" s="10" t="s">
        <v>248</v>
      </c>
      <c r="AA405" s="27">
        <v>2.0</v>
      </c>
      <c r="AB405" s="9" t="s">
        <v>8649</v>
      </c>
      <c r="AC405" s="28">
        <f t="array" ref="AC405">XLOOKUP(V405,products_master_corrected!$A$2:$A$151,products_master_corrected!$E$2:$E$151)</f>
        <v>116.16</v>
      </c>
      <c r="AD405" s="28">
        <f t="shared" si="46"/>
        <v>232.32</v>
      </c>
      <c r="AE405" s="28">
        <f t="array" ref="AE405">XLOOKUP(V405,products_master_corrected!$A$2:$A$151,products_master_corrected!$L$2:$L$151)</f>
        <v>125.63</v>
      </c>
      <c r="AF405" s="29">
        <f t="shared" si="47"/>
        <v>251.26</v>
      </c>
      <c r="AG405" s="32" t="s">
        <v>8665</v>
      </c>
      <c r="AH405" s="2" t="s">
        <v>204</v>
      </c>
      <c r="AI405" s="10" t="s">
        <v>143</v>
      </c>
      <c r="AJ405" s="2" t="s">
        <v>432</v>
      </c>
      <c r="AK405" s="10" t="s">
        <v>80</v>
      </c>
    </row>
    <row r="406" ht="15.75" customHeight="1">
      <c r="A406" s="2" t="s">
        <v>2838</v>
      </c>
      <c r="B406" s="12">
        <v>45796.0</v>
      </c>
      <c r="C406" s="2" t="str">
        <f>IFERROR(__xludf.DUMMYFUNCTION("IF(ISNUMBER(B406),TEXT(B406,""yyyy-MM-dd""),REGEXREPLACE(REGEXREPLACE(TO_TEXT(B406),""[^0-9a-zA-Z]+"",""-""),""[^0-9]*$"",""""))"),"2025-05-19")</f>
        <v>2025-05-19</v>
      </c>
      <c r="D406" s="2" t="s">
        <v>8366</v>
      </c>
      <c r="H406" s="10" t="s">
        <v>8366</v>
      </c>
      <c r="I406" s="2" t="s">
        <v>1793</v>
      </c>
      <c r="J406" s="26" t="str">
        <f t="array" ref="J406">IF(ISNA(XLOOKUP(I406,customers_clean!$A$2:$A$701,customers_clean!$A$2:$A$701, NA()) ),
   "❌ MISSING CUSTOMER", "✅")</f>
        <v>✅</v>
      </c>
      <c r="K406" s="2" t="str">
        <f t="array" ref="K406">XLOOKUP(I406,customers_clean!$A$2:$A$701,customers_clean!$C$2:$C$701)</f>
        <v>Nina Garcia </v>
      </c>
      <c r="L406" s="10" t="str">
        <f t="array" ref="L406">XLOOKUP(I406,customers_clean!$A$2:$A$701,customers_clean!$D$2:$D$701)</f>
        <v>Nina Garcia</v>
      </c>
      <c r="M406" s="2" t="str">
        <f t="array" ref="M406">XLOOKUP(I406,customers_clean!$A$2:$A$701,customers_clean!$I$2:$I$701)</f>
        <v>nina.garcia@yahoo.com</v>
      </c>
      <c r="N406" s="10" t="str">
        <f t="array" ref="N406">XLOOKUP(I406,customers_clean!$A$2:$A$701,customers_clean!$H$2:$H$701)</f>
        <v>nina.garcia@yahoo.com</v>
      </c>
      <c r="O406" s="9" t="str">
        <f>IFERROR(__xludf.DUMMYFUNCTION("IF(REGEXMATCH(TRIM(N406),""^[A-Za-z0-9._%+-]+@[A-Za-z0-9.-]+\.[A-Za-z]{2,}$""),""✅ Valid"",""❌ Invalid"")"),"✅ Valid")</f>
        <v>✅ Valid</v>
      </c>
      <c r="P406" s="2">
        <f t="array" ref="P406">XLOOKUP(I406,customers_clean!$A$2:$A$701,customers_clean!$K$2:$K$701)</f>
        <v>4979049411</v>
      </c>
      <c r="Q406" s="10" t="str">
        <f t="array" ref="Q406">XLOOKUP(I406,customers_clean!$A$2:$A$701,customers_clean!$N$2:$N$701)</f>
        <v>4979049411</v>
      </c>
      <c r="R406" s="9" t="str">
        <f t="array" ref="R406">XLOOKUP(I406,customers_clean!$A$2:$A$701,customers_clean!$Q$2:$Q$701)</f>
        <v>❌ INVALID</v>
      </c>
      <c r="S406" s="10" t="s">
        <v>139</v>
      </c>
      <c r="T406" s="2" t="s">
        <v>152</v>
      </c>
      <c r="U406" s="2" t="s">
        <v>365</v>
      </c>
      <c r="V406" s="2" t="s">
        <v>2321</v>
      </c>
      <c r="W406" s="9" t="str">
        <f t="array" ref="W406">IF(ISNA(XLOOKUP(V406,products_master_corrected!$A$2:$A$151,products_master_corrected!$A$2:$A$151, NA())),
    "❌ MISSING SKU", "✅")</f>
        <v>✅</v>
      </c>
      <c r="X406" s="2" t="s">
        <v>2322</v>
      </c>
      <c r="Y406" s="2" t="s">
        <v>368</v>
      </c>
      <c r="Z406" s="10" t="s">
        <v>368</v>
      </c>
      <c r="AA406" s="27">
        <v>1.0</v>
      </c>
      <c r="AB406" s="9" t="s">
        <v>8649</v>
      </c>
      <c r="AC406" s="28">
        <f t="array" ref="AC406">XLOOKUP(V406,products_master_corrected!$A$2:$A$151,products_master_corrected!$E$2:$E$151)</f>
        <v>23.95</v>
      </c>
      <c r="AD406" s="28">
        <f t="shared" si="46"/>
        <v>23.95</v>
      </c>
      <c r="AE406" s="28">
        <f t="array" ref="AE406">XLOOKUP(V406,products_master_corrected!$A$2:$A$151,products_master_corrected!$L$2:$L$151)</f>
        <v>25.9</v>
      </c>
      <c r="AF406" s="29">
        <f t="shared" si="47"/>
        <v>25.9</v>
      </c>
      <c r="AG406" s="32" t="s">
        <v>8665</v>
      </c>
      <c r="AH406" s="2" t="s">
        <v>66</v>
      </c>
      <c r="AI406" s="10" t="s">
        <v>66</v>
      </c>
      <c r="AJ406" s="2" t="s">
        <v>442</v>
      </c>
      <c r="AK406" s="10" t="s">
        <v>80</v>
      </c>
    </row>
    <row r="407" ht="15.75" customHeight="1">
      <c r="A407" s="2" t="s">
        <v>1516</v>
      </c>
      <c r="B407" s="12">
        <v>45065.027083333334</v>
      </c>
      <c r="C407" s="2" t="str">
        <f>IFERROR(__xludf.DUMMYFUNCTION("IF(ISNUMBER(B407),TEXT(B407,""yyyy-MM-dd""),REGEXREPLACE(REGEXREPLACE(TO_TEXT(B407),""[^0-9a-zA-Z]+"",""-""),""[^0-9]*$"",""""))"),"2023-05-19")</f>
        <v>2023-05-19</v>
      </c>
      <c r="D407" s="2" t="s">
        <v>8830</v>
      </c>
      <c r="H407" s="10" t="s">
        <v>8830</v>
      </c>
      <c r="I407" s="2" t="s">
        <v>1518</v>
      </c>
      <c r="J407" s="26" t="str">
        <f t="array" ref="J407">IF(ISNA(XLOOKUP(I407,customers_clean!$A$2:$A$701,customers_clean!$A$2:$A$701, NA()) ),
   "❌ MISSING CUSTOMER", "✅")</f>
        <v>✅</v>
      </c>
      <c r="K407" s="2" t="str">
        <f t="array" ref="K407">XLOOKUP(I407,customers_clean!$A$2:$A$701,customers_clean!$C$2:$C$701)</f>
        <v>Daria Williams</v>
      </c>
      <c r="L407" s="10" t="str">
        <f t="array" ref="L407">XLOOKUP(I407,customers_clean!$A$2:$A$701,customers_clean!$D$2:$D$701)</f>
        <v>Daria Williams</v>
      </c>
      <c r="M407" s="2" t="str">
        <f t="array" ref="M407">XLOOKUP(I407,customers_clean!$A$2:$A$701,customers_clean!$I$2:$I$701)</f>
        <v>daria.williams@outlook.com </v>
      </c>
      <c r="N407" s="10" t="str">
        <f t="array" ref="N407">XLOOKUP(I407,customers_clean!$A$2:$A$701,customers_clean!$H$2:$H$701)</f>
        <v>daria.williams@outlook.com</v>
      </c>
      <c r="O407" s="9" t="str">
        <f>IFERROR(__xludf.DUMMYFUNCTION("IF(REGEXMATCH(TRIM(N407),""^[A-Za-z0-9._%+-]+@[A-Za-z0-9.-]+\.[A-Za-z]{2,}$""),""✅ Valid"",""❌ Invalid"")"),"✅ Valid")</f>
        <v>✅ Valid</v>
      </c>
      <c r="P407" s="2">
        <f t="array" ref="P407">XLOOKUP(I407,customers_clean!$A$2:$A$701,customers_clean!$K$2:$K$701)</f>
        <v>2580222689</v>
      </c>
      <c r="Q407" s="10" t="str">
        <f t="array" ref="Q407">XLOOKUP(I407,customers_clean!$A$2:$A$701,customers_clean!$N$2:$N$701)</f>
        <v>2580222689</v>
      </c>
      <c r="R407" s="9" t="str">
        <f t="array" ref="R407">XLOOKUP(I407,customers_clean!$A$2:$A$701,customers_clean!$Q$2:$Q$701)</f>
        <v>✅ VALID</v>
      </c>
      <c r="S407" s="10" t="s">
        <v>58</v>
      </c>
      <c r="T407" s="2" t="s">
        <v>683</v>
      </c>
      <c r="U407" s="2" t="s">
        <v>480</v>
      </c>
      <c r="V407" s="2" t="s">
        <v>1522</v>
      </c>
      <c r="W407" s="9" t="str">
        <f t="array" ref="W407">IF(ISNA(XLOOKUP(V407,products_master_corrected!$A$2:$A$151,products_master_corrected!$A$2:$A$151, NA())),
    "❌ MISSING SKU", "✅")</f>
        <v>✅</v>
      </c>
      <c r="X407" s="2" t="s">
        <v>1272</v>
      </c>
      <c r="Y407" s="2" t="s">
        <v>995</v>
      </c>
      <c r="Z407" s="10" t="s">
        <v>355</v>
      </c>
      <c r="AA407" s="27">
        <v>5.0</v>
      </c>
      <c r="AB407" s="9" t="s">
        <v>8649</v>
      </c>
      <c r="AC407" s="28">
        <f t="array" ref="AC407">XLOOKUP(V407,products_master_corrected!$A$2:$A$151,products_master_corrected!$E$2:$E$151)</f>
        <v>36</v>
      </c>
      <c r="AD407" s="28">
        <f t="shared" si="46"/>
        <v>180</v>
      </c>
      <c r="AE407" s="28">
        <f t="array" ref="AE407">XLOOKUP(V407,products_master_corrected!$A$2:$A$151,products_master_corrected!$G$2:$G$151)</f>
        <v>41.21</v>
      </c>
      <c r="AF407" s="29">
        <f t="shared" si="47"/>
        <v>206.05</v>
      </c>
      <c r="AG407" s="32" t="s">
        <v>8663</v>
      </c>
      <c r="AH407" s="2" t="s">
        <v>204</v>
      </c>
      <c r="AI407" s="10" t="s">
        <v>143</v>
      </c>
      <c r="AJ407" s="2" t="s">
        <v>158</v>
      </c>
      <c r="AK407" s="10" t="s">
        <v>818</v>
      </c>
    </row>
    <row r="408" ht="15.75" customHeight="1">
      <c r="A408" s="2" t="s">
        <v>5502</v>
      </c>
      <c r="B408" s="12">
        <v>45651.0</v>
      </c>
      <c r="C408" s="2" t="str">
        <f>IFERROR(__xludf.DUMMYFUNCTION("IF(ISNUMBER(B408),TEXT(B408,""yyyy-MM-dd""),REGEXREPLACE(REGEXREPLACE(TO_TEXT(B408),""[^0-9a-zA-Z]+"",""-""),""[^0-9]*$"",""""))"),"2024-12-25")</f>
        <v>2024-12-25</v>
      </c>
      <c r="D408" s="2" t="s">
        <v>8712</v>
      </c>
      <c r="H408" s="10" t="s">
        <v>8712</v>
      </c>
      <c r="I408" s="2" t="s">
        <v>1518</v>
      </c>
      <c r="J408" s="26" t="str">
        <f t="array" ref="J408">IF(ISNA(XLOOKUP(I408,customers_clean!$A$2:$A$701,customers_clean!$A$2:$A$701, NA()) ),
   "❌ MISSING CUSTOMER", "✅")</f>
        <v>✅</v>
      </c>
      <c r="K408" s="2" t="str">
        <f t="array" ref="K408">XLOOKUP(I408,customers_clean!$A$2:$A$701,customers_clean!$C$2:$C$701)</f>
        <v>Daria Williams</v>
      </c>
      <c r="L408" s="10" t="str">
        <f t="array" ref="L408">XLOOKUP(I408,customers_clean!$A$2:$A$701,customers_clean!$D$2:$D$701)</f>
        <v>Daria Williams</v>
      </c>
      <c r="M408" s="2" t="str">
        <f t="array" ref="M408">XLOOKUP(I408,customers_clean!$A$2:$A$701,customers_clean!$I$2:$I$701)</f>
        <v>daria.williams@outlook.com </v>
      </c>
      <c r="N408" s="10" t="str">
        <f t="array" ref="N408">XLOOKUP(I408,customers_clean!$A$2:$A$701,customers_clean!$H$2:$H$701)</f>
        <v>daria.williams@outlook.com</v>
      </c>
      <c r="O408" s="9" t="str">
        <f>IFERROR(__xludf.DUMMYFUNCTION("IF(REGEXMATCH(TRIM(N408),""^[A-Za-z0-9._%+-]+@[A-Za-z0-9.-]+\.[A-Za-z]{2,}$""),""✅ Valid"",""❌ Invalid"")"),"✅ Valid")</f>
        <v>✅ Valid</v>
      </c>
      <c r="P408" s="2">
        <f t="array" ref="P408">XLOOKUP(I408,customers_clean!$A$2:$A$701,customers_clean!$K$2:$K$701)</f>
        <v>2580222689</v>
      </c>
      <c r="Q408" s="10" t="str">
        <f t="array" ref="Q408">XLOOKUP(I408,customers_clean!$A$2:$A$701,customers_clean!$N$2:$N$701)</f>
        <v>2580222689</v>
      </c>
      <c r="R408" s="9" t="str">
        <f t="array" ref="R408">XLOOKUP(I408,customers_clean!$A$2:$A$701,customers_clean!$Q$2:$Q$701)</f>
        <v>✅ VALID</v>
      </c>
      <c r="S408" s="10" t="s">
        <v>58</v>
      </c>
      <c r="T408" s="2" t="s">
        <v>1167</v>
      </c>
      <c r="U408" s="2" t="s">
        <v>401</v>
      </c>
      <c r="V408" s="2" t="s">
        <v>965</v>
      </c>
      <c r="W408" s="9" t="str">
        <f t="array" ref="W408">IF(ISNA(XLOOKUP(V408,products_master_corrected!$A$2:$A$151,products_master_corrected!$A$2:$A$151, NA())),
    "❌ MISSING SKU", "✅")</f>
        <v>✅</v>
      </c>
      <c r="X408" s="2" t="s">
        <v>966</v>
      </c>
      <c r="Y408" s="2" t="s">
        <v>967</v>
      </c>
      <c r="Z408" s="10" t="s">
        <v>248</v>
      </c>
      <c r="AA408" s="27">
        <v>1.0</v>
      </c>
      <c r="AB408" s="9" t="s">
        <v>8649</v>
      </c>
      <c r="AC408" s="28">
        <f t="array" ref="AC408">XLOOKUP(V408,products_master_corrected!$A$2:$A$151,products_master_corrected!$E$2:$E$151)</f>
        <v>74.59</v>
      </c>
      <c r="AD408" s="28">
        <f t="shared" si="46"/>
        <v>74.59</v>
      </c>
      <c r="AE408" s="28">
        <f t="array" ref="AE408">XLOOKUP(V408,products_master_corrected!$A$2:$A$151,products_master_corrected!$G$2:$G$151)</f>
        <v>85.39</v>
      </c>
      <c r="AF408" s="29">
        <f t="shared" si="47"/>
        <v>85.39</v>
      </c>
      <c r="AG408" s="32" t="s">
        <v>8663</v>
      </c>
      <c r="AH408" s="2" t="s">
        <v>238</v>
      </c>
      <c r="AI408" s="10" t="s">
        <v>66</v>
      </c>
      <c r="AJ408" s="2" t="s">
        <v>1463</v>
      </c>
      <c r="AK408" s="10" t="s">
        <v>80</v>
      </c>
    </row>
    <row r="409" ht="15.75" customHeight="1">
      <c r="A409" s="2" t="s">
        <v>3696</v>
      </c>
      <c r="B409" s="12" t="s">
        <v>3697</v>
      </c>
      <c r="C409" s="2" t="str">
        <f>IFERROR(__xludf.DUMMYFUNCTION("IF(ISNUMBER(B409),TEXT(B409,""yyyy-MM-dd""),REGEXREPLACE(REGEXREPLACE(TO_TEXT(B409),""[^0-9a-zA-Z]+"",""-""),""[^0-9]*$"",""""))"),"08-07-2023")</f>
        <v>08-07-2023</v>
      </c>
      <c r="D409" s="2" t="s">
        <v>8465</v>
      </c>
      <c r="H409" s="10" t="s">
        <v>8465</v>
      </c>
      <c r="I409" s="2" t="s">
        <v>1518</v>
      </c>
      <c r="J409" s="26" t="str">
        <f t="array" ref="J409">IF(ISNA(XLOOKUP(I409,customers_clean!$A$2:$A$701,customers_clean!$A$2:$A$701, NA()) ),
   "❌ MISSING CUSTOMER", "✅")</f>
        <v>✅</v>
      </c>
      <c r="K409" s="2" t="str">
        <f t="array" ref="K409">XLOOKUP(I409,customers_clean!$A$2:$A$701,customers_clean!$C$2:$C$701)</f>
        <v>Daria Williams</v>
      </c>
      <c r="L409" s="10" t="str">
        <f t="array" ref="L409">XLOOKUP(I409,customers_clean!$A$2:$A$701,customers_clean!$D$2:$D$701)</f>
        <v>Daria Williams</v>
      </c>
      <c r="M409" s="2" t="str">
        <f t="array" ref="M409">XLOOKUP(I409,customers_clean!$A$2:$A$701,customers_clean!$I$2:$I$701)</f>
        <v>daria.williams@outlook.com </v>
      </c>
      <c r="N409" s="10" t="str">
        <f t="array" ref="N409">XLOOKUP(I409,customers_clean!$A$2:$A$701,customers_clean!$H$2:$H$701)</f>
        <v>daria.williams@outlook.com</v>
      </c>
      <c r="O409" s="9" t="str">
        <f>IFERROR(__xludf.DUMMYFUNCTION("IF(REGEXMATCH(TRIM(N409),""^[A-Za-z0-9._%+-]+@[A-Za-z0-9.-]+\.[A-Za-z]{2,}$""),""✅ Valid"",""❌ Invalid"")"),"✅ Valid")</f>
        <v>✅ Valid</v>
      </c>
      <c r="P409" s="2">
        <f t="array" ref="P409">XLOOKUP(I409,customers_clean!$A$2:$A$701,customers_clean!$K$2:$K$701)</f>
        <v>2580222689</v>
      </c>
      <c r="Q409" s="10" t="str">
        <f t="array" ref="Q409">XLOOKUP(I409,customers_clean!$A$2:$A$701,customers_clean!$N$2:$N$701)</f>
        <v>2580222689</v>
      </c>
      <c r="R409" s="9" t="str">
        <f t="array" ref="R409">XLOOKUP(I409,customers_clean!$A$2:$A$701,customers_clean!$Q$2:$Q$701)</f>
        <v>✅ VALID</v>
      </c>
      <c r="S409" s="10" t="s">
        <v>58</v>
      </c>
      <c r="T409" s="2" t="s">
        <v>42</v>
      </c>
      <c r="U409" s="2" t="s">
        <v>500</v>
      </c>
      <c r="V409" s="2" t="s">
        <v>721</v>
      </c>
      <c r="W409" s="9" t="str">
        <f t="array" ref="W409">IF(ISNA(XLOOKUP(V409,products_master_corrected!$A$2:$A$151,products_master_corrected!$A$2:$A$151, NA())),
    "❌ MISSING SKU", "✅")</f>
        <v>✅</v>
      </c>
      <c r="X409" s="2" t="s">
        <v>259</v>
      </c>
      <c r="Y409" s="2" t="s">
        <v>179</v>
      </c>
      <c r="Z409" s="10" t="s">
        <v>179</v>
      </c>
      <c r="AA409" s="27">
        <v>1.0</v>
      </c>
      <c r="AB409" s="9" t="s">
        <v>8649</v>
      </c>
      <c r="AC409" s="28">
        <f t="array" ref="AC409">XLOOKUP(V409,products_master_corrected!$A$2:$A$151,products_master_corrected!$E$2:$E$151)</f>
        <v>20.42</v>
      </c>
      <c r="AD409" s="28">
        <f t="shared" si="46"/>
        <v>20.42</v>
      </c>
      <c r="AE409" s="28">
        <f t="array" ref="AE409">XLOOKUP(V409,products_master_corrected!$A$2:$A$151,products_master_corrected!$G$2:$G$151)</f>
        <v>23.38</v>
      </c>
      <c r="AF409" s="29">
        <f t="shared" si="47"/>
        <v>23.38</v>
      </c>
      <c r="AG409" s="32" t="s">
        <v>8663</v>
      </c>
      <c r="AH409" s="2" t="s">
        <v>204</v>
      </c>
      <c r="AI409" s="10" t="s">
        <v>143</v>
      </c>
      <c r="AJ409" s="2" t="s">
        <v>80</v>
      </c>
      <c r="AK409" s="10" t="s">
        <v>80</v>
      </c>
      <c r="AL409" s="2" t="s">
        <v>51</v>
      </c>
    </row>
    <row r="410" ht="15.75" customHeight="1">
      <c r="A410" s="2" t="s">
        <v>898</v>
      </c>
      <c r="B410" s="12">
        <v>45910.0</v>
      </c>
      <c r="C410" s="2" t="str">
        <f>IFERROR(__xludf.DUMMYFUNCTION("IF(ISNUMBER(B410),TEXT(B410,""yyyy-MM-dd""),REGEXREPLACE(REGEXREPLACE(TO_TEXT(B410),""[^0-9a-zA-Z]+"",""-""),""[^0-9]*$"",""""))"),"2025-09-10")</f>
        <v>2025-09-10</v>
      </c>
      <c r="D410" s="2" t="s">
        <v>8831</v>
      </c>
      <c r="H410" s="10" t="s">
        <v>8831</v>
      </c>
      <c r="I410" s="2" t="s">
        <v>900</v>
      </c>
      <c r="J410" s="26" t="str">
        <f t="array" ref="J410">IF(ISNA(XLOOKUP(I410,customers_clean!$A$2:$A$701,customers_clean!$A$2:$A$701, NA()) ),
   "❌ MISSING CUSTOMER", "✅")</f>
        <v>✅</v>
      </c>
      <c r="K410" s="2" t="str">
        <f t="array" ref="K410">XLOOKUP(I410,customers_clean!$A$2:$A$701,customers_clean!$C$2:$C$701)</f>
        <v> Ethan Taylor</v>
      </c>
      <c r="L410" s="10" t="str">
        <f t="array" ref="L410">XLOOKUP(I410,customers_clean!$A$2:$A$701,customers_clean!$D$2:$D$701)</f>
        <v>Ethan Taylor</v>
      </c>
      <c r="M410" s="2" t="str">
        <f t="array" ref="M410">XLOOKUP(I410,customers_clean!$A$2:$A$701,customers_clean!$I$2:$I$701)</f>
        <v>ethan.taylor@companyc.o.uk</v>
      </c>
      <c r="N410" s="10" t="str">
        <f t="array" ref="N410">XLOOKUP(I410,customers_clean!$A$2:$A$701,customers_clean!$H$2:$H$701)</f>
        <v>ethan.taylor@companyc.o.uk</v>
      </c>
      <c r="O410" s="9" t="str">
        <f>IFERROR(__xludf.DUMMYFUNCTION("IF(REGEXMATCH(TRIM(N410),""^[A-Za-z0-9._%+-]+@[A-Za-z0-9.-]+\.[A-Za-z]{2,}$""),""✅ Valid"",""❌ Invalid"")"),"✅ Valid")</f>
        <v>✅ Valid</v>
      </c>
      <c r="P410" s="2" t="str">
        <f t="array" ref="P410">XLOOKUP(I410,customers_clean!$A$2:$A$701,customers_clean!$K$2:$K$701)</f>
        <v>+395482056240 ext 807</v>
      </c>
      <c r="Q410" s="10" t="str">
        <f t="array" ref="Q410">XLOOKUP(I410,customers_clean!$A$2:$A$701,customers_clean!$N$2:$N$701)</f>
        <v>5482056240</v>
      </c>
      <c r="R410" s="9" t="str">
        <f t="array" ref="R410">XLOOKUP(I410,customers_clean!$A$2:$A$701,customers_clean!$Q$2:$Q$701)</f>
        <v>❌ INVALID</v>
      </c>
      <c r="S410" s="10" t="s">
        <v>88</v>
      </c>
      <c r="T410" s="2" t="s">
        <v>778</v>
      </c>
      <c r="U410" s="2" t="s">
        <v>401</v>
      </c>
      <c r="V410" s="2" t="s">
        <v>904</v>
      </c>
      <c r="W410" s="9" t="str">
        <f t="array" ref="W410">IF(ISNA(XLOOKUP(V410,products_master_corrected!$A$2:$A$151,products_master_corrected!$A$2:$A$151, NA())),
    "❌ MISSING SKU", "✅")</f>
        <v>✅</v>
      </c>
      <c r="X410" s="2" t="s">
        <v>905</v>
      </c>
      <c r="Y410" s="2" t="s">
        <v>167</v>
      </c>
      <c r="Z410" s="10" t="str">
        <f>PROPER(TRIM(Y410))</f>
        <v>Monitors</v>
      </c>
      <c r="AA410" s="27">
        <v>2.0</v>
      </c>
      <c r="AB410" s="9" t="s">
        <v>8649</v>
      </c>
      <c r="AC410" s="28">
        <f t="array" ref="AC410">XLOOKUP(V410,products_master_corrected!$A$2:$A$151,products_master_corrected!$E$2:$E$151)</f>
        <v>132.42</v>
      </c>
      <c r="AD410" s="28">
        <f t="shared" si="46"/>
        <v>264.84</v>
      </c>
      <c r="AE410" s="28">
        <f t="array" ref="AE410">XLOOKUP(V410,products_master_corrected!$A$2:$A$151,products_master_corrected!$I$2:$I$151)</f>
        <v>145.98</v>
      </c>
      <c r="AF410" s="29">
        <f t="shared" si="47"/>
        <v>291.96</v>
      </c>
      <c r="AG410" s="32" t="s">
        <v>8660</v>
      </c>
      <c r="AH410" s="2" t="s">
        <v>305</v>
      </c>
      <c r="AI410" s="10" t="s">
        <v>49</v>
      </c>
      <c r="AJ410" s="2" t="s">
        <v>80</v>
      </c>
      <c r="AK410" s="10" t="s">
        <v>80</v>
      </c>
      <c r="AL410" s="2" t="s">
        <v>133</v>
      </c>
    </row>
    <row r="411" ht="15.75" customHeight="1">
      <c r="A411" s="2" t="s">
        <v>3559</v>
      </c>
      <c r="B411" s="12">
        <v>45480.0</v>
      </c>
      <c r="C411" s="2" t="str">
        <f>IFERROR(__xludf.DUMMYFUNCTION("IF(ISNUMBER(B411),TEXT(B411,""yyyy-MM-dd""),REGEXREPLACE(REGEXREPLACE(TO_TEXT(B411),""[^0-9a-zA-Z]+"",""-""),""[^0-9]*$"",""""))"),"2024-07-07")</f>
        <v>2024-07-07</v>
      </c>
      <c r="D411" s="2" t="s">
        <v>8832</v>
      </c>
      <c r="H411" s="10" t="s">
        <v>8832</v>
      </c>
      <c r="I411" s="2" t="s">
        <v>900</v>
      </c>
      <c r="J411" s="26" t="str">
        <f t="array" ref="J411">IF(ISNA(XLOOKUP(I411,customers_clean!$A$2:$A$701,customers_clean!$A$2:$A$701, NA()) ),
   "❌ MISSING CUSTOMER", "✅")</f>
        <v>✅</v>
      </c>
      <c r="K411" s="2" t="str">
        <f t="array" ref="K411">XLOOKUP(I411,customers_clean!$A$2:$A$701,customers_clean!$C$2:$C$701)</f>
        <v> Ethan Taylor</v>
      </c>
      <c r="L411" s="10" t="str">
        <f t="array" ref="L411">XLOOKUP(I411,customers_clean!$A$2:$A$701,customers_clean!$D$2:$D$701)</f>
        <v>Ethan Taylor</v>
      </c>
      <c r="M411" s="2" t="str">
        <f t="array" ref="M411">XLOOKUP(I411,customers_clean!$A$2:$A$701,customers_clean!$I$2:$I$701)</f>
        <v>ethan.taylor@companyc.o.uk</v>
      </c>
      <c r="N411" s="10" t="str">
        <f t="array" ref="N411">XLOOKUP(I411,customers_clean!$A$2:$A$701,customers_clean!$H$2:$H$701)</f>
        <v>ethan.taylor@companyc.o.uk</v>
      </c>
      <c r="O411" s="9" t="str">
        <f>IFERROR(__xludf.DUMMYFUNCTION("IF(REGEXMATCH(TRIM(N411),""^[A-Za-z0-9._%+-]+@[A-Za-z0-9.-]+\.[A-Za-z]{2,}$""),""✅ Valid"",""❌ Invalid"")"),"✅ Valid")</f>
        <v>✅ Valid</v>
      </c>
      <c r="P411" s="2" t="str">
        <f t="array" ref="P411">XLOOKUP(I411,customers_clean!$A$2:$A$701,customers_clean!$K$2:$K$701)</f>
        <v>+395482056240 ext 807</v>
      </c>
      <c r="Q411" s="10" t="str">
        <f t="array" ref="Q411">XLOOKUP(I411,customers_clean!$A$2:$A$701,customers_clean!$N$2:$N$701)</f>
        <v>5482056240</v>
      </c>
      <c r="R411" s="9" t="str">
        <f t="array" ref="R411">XLOOKUP(I411,customers_clean!$A$2:$A$701,customers_clean!$Q$2:$Q$701)</f>
        <v>❌ INVALID</v>
      </c>
      <c r="S411" s="10" t="s">
        <v>88</v>
      </c>
      <c r="T411" s="2" t="s">
        <v>223</v>
      </c>
      <c r="U411" s="2" t="s">
        <v>333</v>
      </c>
      <c r="V411" s="2" t="s">
        <v>1146</v>
      </c>
      <c r="W411" s="9" t="str">
        <f t="array" ref="W411">IF(ISNA(XLOOKUP(V411,products_master_corrected!$A$2:$A$151,products_master_corrected!$A$2:$A$151, NA())),
    "❌ MISSING SKU", "✅")</f>
        <v>✅</v>
      </c>
      <c r="X411" s="2" t="s">
        <v>1147</v>
      </c>
      <c r="Y411" s="2" t="s">
        <v>248</v>
      </c>
      <c r="Z411" s="10" t="s">
        <v>248</v>
      </c>
      <c r="AA411" s="27"/>
      <c r="AB411" s="9" t="s">
        <v>8677</v>
      </c>
      <c r="AC411" s="34"/>
      <c r="AD411" s="34"/>
      <c r="AE411" s="34"/>
      <c r="AF411" s="35"/>
      <c r="AG411" s="36" t="s">
        <v>32</v>
      </c>
      <c r="AH411" s="2" t="s">
        <v>49</v>
      </c>
      <c r="AI411" s="10" t="s">
        <v>49</v>
      </c>
      <c r="AJ411" s="2" t="s">
        <v>3562</v>
      </c>
      <c r="AK411" s="10" t="s">
        <v>818</v>
      </c>
      <c r="AL411" s="2" t="s">
        <v>67</v>
      </c>
    </row>
    <row r="412" ht="15.75" customHeight="1">
      <c r="A412" s="2" t="s">
        <v>4686</v>
      </c>
      <c r="B412" s="12">
        <v>45866.0</v>
      </c>
      <c r="C412" s="2" t="str">
        <f>IFERROR(__xludf.DUMMYFUNCTION("IF(ISNUMBER(B412),TEXT(B412,""yyyy-MM-dd""),REGEXREPLACE(REGEXREPLACE(TO_TEXT(B412),""[^0-9a-zA-Z]+"",""-""),""[^0-9]*$"",""""))"),"2025-07-28")</f>
        <v>2025-07-28</v>
      </c>
      <c r="D412" s="2" t="s">
        <v>6027</v>
      </c>
      <c r="H412" s="10" t="s">
        <v>6027</v>
      </c>
      <c r="I412" s="2" t="s">
        <v>900</v>
      </c>
      <c r="J412" s="26" t="str">
        <f t="array" ref="J412">IF(ISNA(XLOOKUP(I412,customers_clean!$A$2:$A$701,customers_clean!$A$2:$A$701, NA()) ),
   "❌ MISSING CUSTOMER", "✅")</f>
        <v>✅</v>
      </c>
      <c r="K412" s="2" t="str">
        <f t="array" ref="K412">XLOOKUP(I412,customers_clean!$A$2:$A$701,customers_clean!$C$2:$C$701)</f>
        <v> Ethan Taylor</v>
      </c>
      <c r="L412" s="10" t="str">
        <f t="array" ref="L412">XLOOKUP(I412,customers_clean!$A$2:$A$701,customers_clean!$D$2:$D$701)</f>
        <v>Ethan Taylor</v>
      </c>
      <c r="M412" s="2" t="str">
        <f t="array" ref="M412">XLOOKUP(I412,customers_clean!$A$2:$A$701,customers_clean!$I$2:$I$701)</f>
        <v>ethan.taylor@companyc.o.uk</v>
      </c>
      <c r="N412" s="10" t="str">
        <f t="array" ref="N412">XLOOKUP(I412,customers_clean!$A$2:$A$701,customers_clean!$H$2:$H$701)</f>
        <v>ethan.taylor@companyc.o.uk</v>
      </c>
      <c r="O412" s="9" t="str">
        <f>IFERROR(__xludf.DUMMYFUNCTION("IF(REGEXMATCH(TRIM(N412),""^[A-Za-z0-9._%+-]+@[A-Za-z0-9.-]+\.[A-Za-z]{2,}$""),""✅ Valid"",""❌ Invalid"")"),"✅ Valid")</f>
        <v>✅ Valid</v>
      </c>
      <c r="P412" s="2" t="str">
        <f t="array" ref="P412">XLOOKUP(I412,customers_clean!$A$2:$A$701,customers_clean!$K$2:$K$701)</f>
        <v>+395482056240 ext 807</v>
      </c>
      <c r="Q412" s="10" t="str">
        <f t="array" ref="Q412">XLOOKUP(I412,customers_clean!$A$2:$A$701,customers_clean!$N$2:$N$701)</f>
        <v>5482056240</v>
      </c>
      <c r="R412" s="9" t="str">
        <f t="array" ref="R412">XLOOKUP(I412,customers_clean!$A$2:$A$701,customers_clean!$Q$2:$Q$701)</f>
        <v>❌ INVALID</v>
      </c>
      <c r="S412" s="10" t="s">
        <v>88</v>
      </c>
      <c r="T412" s="2" t="s">
        <v>26</v>
      </c>
      <c r="U412" s="2" t="s">
        <v>4688</v>
      </c>
      <c r="V412" s="2" t="s">
        <v>2605</v>
      </c>
      <c r="W412" s="9" t="str">
        <f t="array" ref="W412">IF(ISNA(XLOOKUP(V412,products_master_corrected!$A$2:$A$151,products_master_corrected!$A$2:$A$151, NA())),
    "❌ MISSING SKU", "✅")</f>
        <v>✅</v>
      </c>
      <c r="X412" s="2" t="s">
        <v>280</v>
      </c>
      <c r="Y412" s="2" t="s">
        <v>292</v>
      </c>
      <c r="Z412" s="10" t="s">
        <v>63</v>
      </c>
      <c r="AA412" s="27">
        <v>3.0</v>
      </c>
      <c r="AB412" s="9" t="s">
        <v>8649</v>
      </c>
      <c r="AC412" s="28">
        <f t="array" ref="AC412">XLOOKUP(V412,products_master_corrected!$A$2:$A$151,products_master_corrected!$E$2:$E$151)</f>
        <v>142.47</v>
      </c>
      <c r="AD412" s="28">
        <f t="shared" ref="AD412:AD421" si="49">AA412*AC412</f>
        <v>427.41</v>
      </c>
      <c r="AE412" s="28">
        <f t="array" ref="AE412">XLOOKUP(V412,products_master_corrected!$A$2:$A$151,products_master_corrected!$I$2:$I$151)</f>
        <v>157.06</v>
      </c>
      <c r="AF412" s="29">
        <f t="shared" ref="AF412:AF421" si="50">AA412*AE412</f>
        <v>471.18</v>
      </c>
      <c r="AG412" s="32" t="s">
        <v>8660</v>
      </c>
      <c r="AH412" s="2" t="s">
        <v>2581</v>
      </c>
      <c r="AI412" s="10" t="s">
        <v>181</v>
      </c>
      <c r="AJ412" s="2" t="s">
        <v>818</v>
      </c>
      <c r="AK412" s="10" t="s">
        <v>818</v>
      </c>
      <c r="AL412" s="2" t="s">
        <v>133</v>
      </c>
    </row>
    <row r="413" ht="15.75" customHeight="1">
      <c r="A413" s="2" t="s">
        <v>5446</v>
      </c>
      <c r="B413" s="12" t="s">
        <v>5447</v>
      </c>
      <c r="C413" s="2" t="str">
        <f>IFERROR(__xludf.DUMMYFUNCTION("IF(ISNUMBER(B413),TEXT(B413,""yyyy-MM-dd""),REGEXREPLACE(REGEXREPLACE(TO_TEXT(B413),""[^0-9a-zA-Z]+"",""-""),""[^0-9]*$"",""""))"),"01-16-2024")</f>
        <v>01-16-2024</v>
      </c>
      <c r="D413" s="2" t="str">
        <f>TEXT(C413,"yyyy-MM-dd")</f>
        <v>01-16-2024</v>
      </c>
      <c r="E413" s="2" t="s">
        <v>8833</v>
      </c>
      <c r="H413" s="10" t="s">
        <v>8833</v>
      </c>
      <c r="I413" s="2" t="s">
        <v>1298</v>
      </c>
      <c r="J413" s="26" t="str">
        <f t="array" ref="J413">IF(ISNA(XLOOKUP(I413,customers_clean!$A$2:$A$701,customers_clean!$A$2:$A$701, NA()) ),
   "❌ MISSING CUSTOMER", "✅")</f>
        <v>✅</v>
      </c>
      <c r="K413" s="2" t="str">
        <f t="array" ref="K413">XLOOKUP(I413,customers_clean!$A$2:$A$701,customers_clean!$C$2:$C$701)</f>
        <v> Ken Davis</v>
      </c>
      <c r="L413" s="10" t="str">
        <f t="array" ref="L413">XLOOKUP(I413,customers_clean!$A$2:$A$701,customers_clean!$D$2:$D$701)</f>
        <v>Ken Davis</v>
      </c>
      <c r="M413" s="2" t="str">
        <f t="array" ref="M413">XLOOKUP(I413,customers_clean!$A$2:$A$701,customers_clean!$I$2:$I$701)</f>
        <v> ken.davis@yahoo.com</v>
      </c>
      <c r="N413" s="10" t="str">
        <f t="array" ref="N413">XLOOKUP(I413,customers_clean!$A$2:$A$701,customers_clean!$H$2:$H$701)</f>
        <v>ken.davis@yahoo.com</v>
      </c>
      <c r="O413" s="9" t="str">
        <f>IFERROR(__xludf.DUMMYFUNCTION("IF(REGEXMATCH(TRIM(N413),""^[A-Za-z0-9._%+-]+@[A-Za-z0-9.-]+\.[A-Za-z]{2,}$""),""✅ Valid"",""❌ Invalid"")"),"✅ Valid")</f>
        <v>✅ Valid</v>
      </c>
      <c r="P413" s="2" t="str">
        <f t="array" ref="P413">XLOOKUP(I413,customers_clean!$A$2:$A$701,customers_clean!$K$2:$K$701)</f>
        <v>+353 353 75585</v>
      </c>
      <c r="Q413" s="10" t="str">
        <f t="array" ref="Q413">XLOOKUP(I413,customers_clean!$A$2:$A$701,customers_clean!$N$2:$N$701)</f>
        <v>35375585</v>
      </c>
      <c r="R413" s="9" t="str">
        <f t="array" ref="R413">XLOOKUP(I413,customers_clean!$A$2:$A$701,customers_clean!$Q$2:$Q$701)</f>
        <v>❌ INVALID</v>
      </c>
      <c r="S413" s="10" t="s">
        <v>608</v>
      </c>
      <c r="T413" s="2" t="s">
        <v>59</v>
      </c>
      <c r="U413" s="2" t="s">
        <v>870</v>
      </c>
      <c r="V413" s="2" t="s">
        <v>556</v>
      </c>
      <c r="W413" s="9" t="str">
        <f t="array" ref="W413">IF(ISNA(XLOOKUP(V413,products_master_corrected!$A$2:$A$151,products_master_corrected!$A$2:$A$151, NA())),
    "❌ MISSING SKU", "✅")</f>
        <v>✅</v>
      </c>
      <c r="X413" s="2" t="s">
        <v>502</v>
      </c>
      <c r="Y413" s="2" t="s">
        <v>355</v>
      </c>
      <c r="Z413" s="10" t="s">
        <v>355</v>
      </c>
      <c r="AA413" s="27">
        <v>1.0</v>
      </c>
      <c r="AB413" s="9" t="s">
        <v>8649</v>
      </c>
      <c r="AC413" s="28">
        <f t="array" ref="AC413">XLOOKUP(V413,products_master_corrected!$A$2:$A$151,products_master_corrected!$E$2:$E$151)</f>
        <v>879.27</v>
      </c>
      <c r="AD413" s="28">
        <f t="shared" si="49"/>
        <v>879.27</v>
      </c>
      <c r="AE413" s="28">
        <f t="array" ref="AE413">XLOOKUP(V413,products_master_corrected!$A$2:$A$151,products_master_corrected!$H$2:$H$151)</f>
        <v>987.86</v>
      </c>
      <c r="AF413" s="29">
        <f t="shared" si="50"/>
        <v>987.86</v>
      </c>
      <c r="AG413" s="32" t="s">
        <v>8658</v>
      </c>
      <c r="AH413" s="2" t="s">
        <v>305</v>
      </c>
      <c r="AI413" s="10" t="s">
        <v>49</v>
      </c>
      <c r="AJ413" s="2" t="s">
        <v>345</v>
      </c>
      <c r="AK413" s="10" t="s">
        <v>261</v>
      </c>
      <c r="AL413" s="2" t="s">
        <v>67</v>
      </c>
    </row>
    <row r="414" ht="15.75" customHeight="1">
      <c r="A414" s="2" t="s">
        <v>1296</v>
      </c>
      <c r="B414" s="12">
        <v>45758.11666666667</v>
      </c>
      <c r="C414" s="2" t="str">
        <f>IFERROR(__xludf.DUMMYFUNCTION("IF(ISNUMBER(B414),TEXT(B414,""yyyy-MM-dd""),REGEXREPLACE(REGEXREPLACE(TO_TEXT(B414),""[^0-9a-zA-Z]+"",""-""),""[^0-9]*$"",""""))"),"2025-04-11")</f>
        <v>2025-04-11</v>
      </c>
      <c r="D414" s="2" t="s">
        <v>8834</v>
      </c>
      <c r="H414" s="10" t="s">
        <v>8834</v>
      </c>
      <c r="I414" s="2" t="s">
        <v>1298</v>
      </c>
      <c r="J414" s="26" t="str">
        <f t="array" ref="J414">IF(ISNA(XLOOKUP(I414,customers_clean!$A$2:$A$701,customers_clean!$A$2:$A$701, NA()) ),
   "❌ MISSING CUSTOMER", "✅")</f>
        <v>✅</v>
      </c>
      <c r="K414" s="2" t="str">
        <f t="array" ref="K414">XLOOKUP(I414,customers_clean!$A$2:$A$701,customers_clean!$C$2:$C$701)</f>
        <v> Ken Davis</v>
      </c>
      <c r="L414" s="10" t="str">
        <f t="array" ref="L414">XLOOKUP(I414,customers_clean!$A$2:$A$701,customers_clean!$D$2:$D$701)</f>
        <v>Ken Davis</v>
      </c>
      <c r="M414" s="2" t="str">
        <f t="array" ref="M414">XLOOKUP(I414,customers_clean!$A$2:$A$701,customers_clean!$I$2:$I$701)</f>
        <v> ken.davis@yahoo.com</v>
      </c>
      <c r="N414" s="10" t="str">
        <f t="array" ref="N414">XLOOKUP(I414,customers_clean!$A$2:$A$701,customers_clean!$H$2:$H$701)</f>
        <v>ken.davis@yahoo.com</v>
      </c>
      <c r="O414" s="9" t="str">
        <f>IFERROR(__xludf.DUMMYFUNCTION("IF(REGEXMATCH(TRIM(N414),""^[A-Za-z0-9._%+-]+@[A-Za-z0-9.-]+\.[A-Za-z]{2,}$""),""✅ Valid"",""❌ Invalid"")"),"✅ Valid")</f>
        <v>✅ Valid</v>
      </c>
      <c r="P414" s="2" t="str">
        <f t="array" ref="P414">XLOOKUP(I414,customers_clean!$A$2:$A$701,customers_clean!$K$2:$K$701)</f>
        <v>+353 353 75585</v>
      </c>
      <c r="Q414" s="10" t="str">
        <f t="array" ref="Q414">XLOOKUP(I414,customers_clean!$A$2:$A$701,customers_clean!$N$2:$N$701)</f>
        <v>35375585</v>
      </c>
      <c r="R414" s="9" t="str">
        <f t="array" ref="R414">XLOOKUP(I414,customers_clean!$A$2:$A$701,customers_clean!$Q$2:$Q$701)</f>
        <v>❌ INVALID</v>
      </c>
      <c r="S414" s="10" t="s">
        <v>608</v>
      </c>
      <c r="T414" s="2" t="s">
        <v>460</v>
      </c>
      <c r="U414" s="2" t="s">
        <v>103</v>
      </c>
      <c r="V414" s="2" t="s">
        <v>1302</v>
      </c>
      <c r="W414" s="9" t="str">
        <f t="array" ref="W414">IF(ISNA(XLOOKUP(V414,products_master_corrected!$A$2:$A$151,products_master_corrected!$A$2:$A$151, NA())),
    "❌ MISSING SKU", "✅")</f>
        <v>✅</v>
      </c>
      <c r="X414" s="2" t="s">
        <v>440</v>
      </c>
      <c r="Y414" s="2" t="s">
        <v>179</v>
      </c>
      <c r="Z414" s="10" t="s">
        <v>179</v>
      </c>
      <c r="AA414" s="27">
        <v>2.0</v>
      </c>
      <c r="AB414" s="9" t="s">
        <v>8649</v>
      </c>
      <c r="AC414" s="28">
        <f t="array" ref="AC414">XLOOKUP(V414,products_master_corrected!$A$2:$A$151,products_master_corrected!$E$2:$E$151)</f>
        <v>28.97</v>
      </c>
      <c r="AD414" s="28">
        <f t="shared" si="49"/>
        <v>57.94</v>
      </c>
      <c r="AE414" s="28">
        <f t="array" ref="AE414">XLOOKUP(V414,products_master_corrected!$A$2:$A$151,products_master_corrected!$H$2:$H$151)</f>
        <v>32.55</v>
      </c>
      <c r="AF414" s="29">
        <f t="shared" si="50"/>
        <v>65.1</v>
      </c>
      <c r="AG414" s="32" t="s">
        <v>8658</v>
      </c>
      <c r="AH414" s="2" t="s">
        <v>157</v>
      </c>
      <c r="AI414" s="10" t="s">
        <v>143</v>
      </c>
      <c r="AJ414" s="2" t="s">
        <v>345</v>
      </c>
      <c r="AK414" s="10" t="s">
        <v>261</v>
      </c>
    </row>
    <row r="415" ht="15.75" customHeight="1">
      <c r="A415" s="2" t="s">
        <v>5202</v>
      </c>
      <c r="B415" s="12">
        <v>45584.0</v>
      </c>
      <c r="C415" s="2" t="str">
        <f>IFERROR(__xludf.DUMMYFUNCTION("IF(ISNUMBER(B415),TEXT(B415,""yyyy-MM-dd""),REGEXREPLACE(REGEXREPLACE(TO_TEXT(B415),""[^0-9a-zA-Z]+"",""-""),""[^0-9]*$"",""""))"),"2024-10-19")</f>
        <v>2024-10-19</v>
      </c>
      <c r="D415" s="2" t="s">
        <v>8835</v>
      </c>
      <c r="H415" s="10" t="s">
        <v>8835</v>
      </c>
      <c r="I415" s="2" t="s">
        <v>5204</v>
      </c>
      <c r="J415" s="26" t="str">
        <f t="array" ref="J415">IF(ISNA(XLOOKUP(I415,customers_clean!$A$2:$A$701,customers_clean!$A$2:$A$701, NA()) ),
   "❌ MISSING CUSTOMER", "✅")</f>
        <v>✅</v>
      </c>
      <c r="K415" s="2" t="str">
        <f t="array" ref="K415">XLOOKUP(I415,customers_clean!$A$2:$A$701,customers_clean!$C$2:$C$701)</f>
        <v>  Ken Davis</v>
      </c>
      <c r="L415" s="10" t="str">
        <f t="array" ref="L415">XLOOKUP(I415,customers_clean!$A$2:$A$701,customers_clean!$D$2:$D$701)</f>
        <v>Ken Davis</v>
      </c>
      <c r="M415" s="2" t="str">
        <f t="array" ref="M415">XLOOKUP(I415,customers_clean!$A$2:$A$701,customers_clean!$I$2:$I$701)</f>
        <v> Ken.Davis@Yahoo.Com</v>
      </c>
      <c r="N415" s="10" t="str">
        <f t="array" ref="N415">XLOOKUP(I415,customers_clean!$A$2:$A$701,customers_clean!$H$2:$H$701)</f>
        <v>ken.davis@yahoo.com</v>
      </c>
      <c r="O415" s="9" t="str">
        <f>IFERROR(__xludf.DUMMYFUNCTION("IF(REGEXMATCH(TRIM(N415),""^[A-Za-z0-9._%+-]+@[A-Za-z0-9.-]+\.[A-Za-z]{2,}$""),""✅ Valid"",""❌ Invalid"")"),"✅ Valid")</f>
        <v>✅ Valid</v>
      </c>
      <c r="P415" s="2">
        <f t="array" ref="P415">XLOOKUP(I415,customers_clean!$A$2:$A$701,customers_clean!$K$2:$K$701)</f>
        <v>3364428832</v>
      </c>
      <c r="Q415" s="10" t="str">
        <f t="array" ref="Q415">XLOOKUP(I415,customers_clean!$A$2:$A$701,customers_clean!$N$2:$N$701)</f>
        <v>64428832</v>
      </c>
      <c r="R415" s="9" t="str">
        <f t="array" ref="R415">XLOOKUP(I415,customers_clean!$A$2:$A$701,customers_clean!$Q$2:$Q$701)</f>
        <v>❌ INVALID</v>
      </c>
      <c r="S415" s="10" t="s">
        <v>608</v>
      </c>
      <c r="T415" s="2" t="s">
        <v>323</v>
      </c>
      <c r="U415" s="2" t="s">
        <v>480</v>
      </c>
      <c r="V415" s="2" t="s">
        <v>189</v>
      </c>
      <c r="W415" s="9" t="str">
        <f t="array" ref="W415">IF(ISNA(XLOOKUP(V415,products_master_corrected!$A$2:$A$151,products_master_corrected!$A$2:$A$151, NA())),
    "❌ MISSING SKU", "✅")</f>
        <v>✅</v>
      </c>
      <c r="X415" s="2" t="s">
        <v>190</v>
      </c>
      <c r="Y415" s="2" t="s">
        <v>167</v>
      </c>
      <c r="Z415" s="10" t="str">
        <f>PROPER(TRIM(Y415))</f>
        <v>Monitors</v>
      </c>
      <c r="AA415" s="27">
        <v>5.0</v>
      </c>
      <c r="AB415" s="9" t="s">
        <v>8649</v>
      </c>
      <c r="AC415" s="28">
        <f t="array" ref="AC415">XLOOKUP(V415,products_master_corrected!$A$2:$A$151,products_master_corrected!$E$2:$E$151)</f>
        <v>57.69</v>
      </c>
      <c r="AD415" s="28">
        <f t="shared" si="49"/>
        <v>288.45</v>
      </c>
      <c r="AE415" s="28">
        <f t="array" ref="AE415">XLOOKUP(V415,products_master_corrected!$A$2:$A$151,products_master_corrected!$H$2:$H$151)</f>
        <v>64.81</v>
      </c>
      <c r="AF415" s="29">
        <f t="shared" si="50"/>
        <v>324.05</v>
      </c>
      <c r="AG415" s="32" t="s">
        <v>8658</v>
      </c>
      <c r="AH415" s="2" t="s">
        <v>33</v>
      </c>
      <c r="AI415" s="10" t="s">
        <v>181</v>
      </c>
      <c r="AJ415" s="2" t="s">
        <v>345</v>
      </c>
      <c r="AK415" s="10" t="s">
        <v>261</v>
      </c>
      <c r="AL415" s="2" t="s">
        <v>81</v>
      </c>
    </row>
    <row r="416" ht="15.75" customHeight="1">
      <c r="A416" s="2" t="s">
        <v>4080</v>
      </c>
      <c r="B416" s="12" t="s">
        <v>4081</v>
      </c>
      <c r="C416" s="2" t="str">
        <f>IFERROR(__xludf.DUMMYFUNCTION("IF(ISNUMBER(B416),TEXT(B416,""yyyy-MM-dd""),REGEXREPLACE(REGEXREPLACE(TO_TEXT(B416),""[^0-9a-zA-Z]+"",""-""),""[^0-9]*$"",""""))"),"01-25-2025")</f>
        <v>01-25-2025</v>
      </c>
      <c r="D416" s="2" t="str">
        <f>TEXT(C416,"yyyy-MM-dd")</f>
        <v>01-25-2025</v>
      </c>
      <c r="E416" s="2" t="s">
        <v>8672</v>
      </c>
      <c r="H416" s="10" t="s">
        <v>8672</v>
      </c>
      <c r="I416" s="2" t="s">
        <v>4082</v>
      </c>
      <c r="J416" s="26" t="str">
        <f t="array" ref="J416">IF(ISNA(XLOOKUP(I416,customers_clean!$A$2:$A$701,customers_clean!$A$2:$A$701, NA()) ),
   "❌ MISSING CUSTOMER", "✅")</f>
        <v>✅</v>
      </c>
      <c r="K416" s="2" t="str">
        <f t="array" ref="K416">XLOOKUP(I416,customers_clean!$A$2:$A$701,customers_clean!$C$2:$C$701)</f>
        <v>Uma Lee</v>
      </c>
      <c r="L416" s="10" t="str">
        <f t="array" ref="L416">XLOOKUP(I416,customers_clean!$A$2:$A$701,customers_clean!$D$2:$D$701)</f>
        <v>Uma Lee</v>
      </c>
      <c r="M416" s="2" t="str">
        <f t="array" ref="M416">XLOOKUP(I416,customers_clean!$A$2:$A$701,customers_clean!$I$2:$I$701)</f>
        <v>uma.lee@gmail.ocm </v>
      </c>
      <c r="N416" s="10" t="str">
        <f t="array" ref="N416">XLOOKUP(I416,customers_clean!$A$2:$A$701,customers_clean!$H$2:$H$701)</f>
        <v>uma.lee@gmail.ocm</v>
      </c>
      <c r="O416" s="9" t="str">
        <f>IFERROR(__xludf.DUMMYFUNCTION("IF(REGEXMATCH(TRIM(N416),""^[A-Za-z0-9._%+-]+@[A-Za-z0-9.-]+\.[A-Za-z]{2,}$""),""✅ Valid"",""❌ Invalid"")"),"✅ Valid")</f>
        <v>✅ Valid</v>
      </c>
      <c r="P416" s="2">
        <f t="array" ref="P416">XLOOKUP(I416,customers_clean!$A$2:$A$701,customers_clean!$K$2:$K$701)</f>
        <v>356404967</v>
      </c>
      <c r="Q416" s="10" t="str">
        <f t="array" ref="Q416">XLOOKUP(I416,customers_clean!$A$2:$A$701,customers_clean!$N$2:$N$701)</f>
        <v>356404967</v>
      </c>
      <c r="R416" s="9" t="str">
        <f t="array" ref="R416">XLOOKUP(I416,customers_clean!$A$2:$A$701,customers_clean!$Q$2:$Q$701)</f>
        <v>❌ INVALID</v>
      </c>
      <c r="S416" s="10" t="s">
        <v>25</v>
      </c>
      <c r="T416" s="2" t="s">
        <v>74</v>
      </c>
      <c r="U416" s="2" t="s">
        <v>289</v>
      </c>
      <c r="V416" s="2" t="s">
        <v>439</v>
      </c>
      <c r="W416" s="9" t="str">
        <f t="array" ref="W416">IF(ISNA(XLOOKUP(V416,products_master_corrected!$A$2:$A$151,products_master_corrected!$A$2:$A$151, NA())),
    "❌ MISSING SKU", "✅")</f>
        <v>✅</v>
      </c>
      <c r="X416" s="2" t="s">
        <v>440</v>
      </c>
      <c r="Y416" s="2" t="s">
        <v>63</v>
      </c>
      <c r="Z416" s="10" t="s">
        <v>63</v>
      </c>
      <c r="AA416" s="27">
        <v>1.0</v>
      </c>
      <c r="AB416" s="9" t="s">
        <v>8649</v>
      </c>
      <c r="AC416" s="28">
        <f t="array" ref="AC416">XLOOKUP(V416,products_master_corrected!$A$2:$A$151,products_master_corrected!$E$2:$E$151)</f>
        <v>70.84</v>
      </c>
      <c r="AD416" s="28">
        <f t="shared" si="49"/>
        <v>70.84</v>
      </c>
      <c r="AE416" s="28">
        <f t="array" ref="AE416">XLOOKUP(V416,products_master_corrected!$A$2:$A$151,products_master_corrected!$K$2:$K$151)</f>
        <v>364.47</v>
      </c>
      <c r="AF416" s="29">
        <f t="shared" si="50"/>
        <v>364.47</v>
      </c>
      <c r="AG416" s="30" t="s">
        <v>95</v>
      </c>
      <c r="AH416" s="2" t="s">
        <v>143</v>
      </c>
      <c r="AI416" s="10" t="s">
        <v>143</v>
      </c>
      <c r="AJ416" s="2" t="s">
        <v>261</v>
      </c>
      <c r="AK416" s="10" t="s">
        <v>261</v>
      </c>
      <c r="AL416" s="2" t="s">
        <v>67</v>
      </c>
    </row>
    <row r="417" ht="15.75" customHeight="1">
      <c r="A417" s="2" t="s">
        <v>2506</v>
      </c>
      <c r="B417" s="12">
        <v>45580.0</v>
      </c>
      <c r="C417" s="2" t="str">
        <f>IFERROR(__xludf.DUMMYFUNCTION("IF(ISNUMBER(B417),TEXT(B417,""yyyy-MM-dd""),REGEXREPLACE(REGEXREPLACE(TO_TEXT(B417),""[^0-9a-zA-Z]+"",""-""),""[^0-9]*$"",""""))"),"2024-10-15")</f>
        <v>2024-10-15</v>
      </c>
      <c r="D417" s="2" t="s">
        <v>8531</v>
      </c>
      <c r="H417" s="10" t="s">
        <v>8531</v>
      </c>
      <c r="I417" s="2" t="s">
        <v>2507</v>
      </c>
      <c r="J417" s="26" t="str">
        <f t="array" ref="J417">IF(ISNA(XLOOKUP(I417,customers_clean!$A$2:$A$701,customers_clean!$A$2:$A$701, NA()) ),
   "❌ MISSING CUSTOMER", "✅")</f>
        <v>✅</v>
      </c>
      <c r="K417" s="2" t="str">
        <f t="array" ref="K417">XLOOKUP(I417,customers_clean!$A$2:$A$701,customers_clean!$C$2:$C$701)</f>
        <v>Qi Kowalski</v>
      </c>
      <c r="L417" s="10" t="str">
        <f t="array" ref="L417">XLOOKUP(I417,customers_clean!$A$2:$A$701,customers_clean!$D$2:$D$701)</f>
        <v>Qi Kowalski</v>
      </c>
      <c r="M417" s="2" t="str">
        <f t="array" ref="M417">XLOOKUP(I417,customers_clean!$A$2:$A$701,customers_clean!$I$2:$I$701)</f>
        <v/>
      </c>
      <c r="N417" s="10" t="str">
        <f t="array" ref="N417">XLOOKUP(I417,customers_clean!$A$2:$A$701,customers_clean!$H$2:$H$701)</f>
        <v/>
      </c>
      <c r="O417" s="9" t="str">
        <f>IFERROR(__xludf.DUMMYFUNCTION("IF(REGEXMATCH(TRIM(N417),""^[A-Za-z0-9._%+-]+@[A-Za-z0-9.-]+\.[A-Za-z]{2,}$""),""✅ Valid"",""❌ Invalid"")"),"❌ Invalid")</f>
        <v>❌ Invalid</v>
      </c>
      <c r="P417" s="2" t="str">
        <f t="array" ref="P417">XLOOKUP(I417,customers_clean!$A$2:$A$701,customers_clean!$K$2:$K$701)</f>
        <v/>
      </c>
      <c r="Q417" s="10" t="str">
        <f t="array" ref="Q417">XLOOKUP(I417,customers_clean!$A$2:$A$701,customers_clean!$N$2:$N$701)</f>
        <v/>
      </c>
      <c r="R417" s="9" t="str">
        <f t="array" ref="R417">XLOOKUP(I417,customers_clean!$A$2:$A$701,customers_clean!$Q$2:$Q$701)</f>
        <v/>
      </c>
      <c r="S417" s="10" t="s">
        <v>25</v>
      </c>
      <c r="T417" s="2" t="s">
        <v>400</v>
      </c>
      <c r="U417" s="2" t="s">
        <v>870</v>
      </c>
      <c r="V417" s="2" t="s">
        <v>1641</v>
      </c>
      <c r="W417" s="9" t="str">
        <f t="array" ref="W417">IF(ISNA(XLOOKUP(V417,products_master_corrected!$A$2:$A$151,products_master_corrected!$A$2:$A$151, NA())),
    "❌ MISSING SKU", "✅")</f>
        <v>✅</v>
      </c>
      <c r="X417" s="2" t="s">
        <v>825</v>
      </c>
      <c r="Y417" s="2" t="s">
        <v>179</v>
      </c>
      <c r="Z417" s="10" t="s">
        <v>179</v>
      </c>
      <c r="AA417" s="27">
        <v>1.0</v>
      </c>
      <c r="AB417" s="9" t="s">
        <v>8649</v>
      </c>
      <c r="AC417" s="28">
        <f t="array" ref="AC417">XLOOKUP(V417,products_master_corrected!$A$2:$A$151,products_master_corrected!$E$2:$E$151)</f>
        <v>23.84</v>
      </c>
      <c r="AD417" s="28">
        <f t="shared" si="49"/>
        <v>23.84</v>
      </c>
      <c r="AE417" s="28">
        <f t="array" ref="AE417">XLOOKUP(V417,products_master_corrected!$A$2:$A$151,products_master_corrected!$K$2:$K$151)</f>
        <v>122.66</v>
      </c>
      <c r="AF417" s="29">
        <f t="shared" si="50"/>
        <v>122.66</v>
      </c>
      <c r="AG417" s="30" t="s">
        <v>95</v>
      </c>
      <c r="AH417" s="2" t="s">
        <v>66</v>
      </c>
      <c r="AI417" s="10" t="s">
        <v>66</v>
      </c>
      <c r="AJ417" s="2" t="s">
        <v>2512</v>
      </c>
      <c r="AK417" s="10" t="s">
        <v>80</v>
      </c>
    </row>
    <row r="418" ht="15.75" customHeight="1">
      <c r="A418" s="2" t="s">
        <v>5826</v>
      </c>
      <c r="B418" s="12">
        <v>45218.0</v>
      </c>
      <c r="C418" s="2" t="str">
        <f>IFERROR(__xludf.DUMMYFUNCTION("IF(ISNUMBER(B418),TEXT(B418,""yyyy-MM-dd""),REGEXREPLACE(REGEXREPLACE(TO_TEXT(B418),""[^0-9a-zA-Z]+"",""-""),""[^0-9]*$"",""""))"),"2023-10-19")</f>
        <v>2023-10-19</v>
      </c>
      <c r="D418" s="2" t="s">
        <v>5827</v>
      </c>
      <c r="H418" s="10" t="s">
        <v>5827</v>
      </c>
      <c r="I418" s="2" t="s">
        <v>2507</v>
      </c>
      <c r="J418" s="26" t="str">
        <f t="array" ref="J418">IF(ISNA(XLOOKUP(I418,customers_clean!$A$2:$A$701,customers_clean!$A$2:$A$701, NA()) ),
   "❌ MISSING CUSTOMER", "✅")</f>
        <v>✅</v>
      </c>
      <c r="K418" s="2" t="str">
        <f t="array" ref="K418">XLOOKUP(I418,customers_clean!$A$2:$A$701,customers_clean!$C$2:$C$701)</f>
        <v>Qi Kowalski</v>
      </c>
      <c r="L418" s="10" t="str">
        <f t="array" ref="L418">XLOOKUP(I418,customers_clean!$A$2:$A$701,customers_clean!$D$2:$D$701)</f>
        <v>Qi Kowalski</v>
      </c>
      <c r="M418" s="2" t="str">
        <f t="array" ref="M418">XLOOKUP(I418,customers_clean!$A$2:$A$701,customers_clean!$I$2:$I$701)</f>
        <v/>
      </c>
      <c r="N418" s="10" t="str">
        <f t="array" ref="N418">XLOOKUP(I418,customers_clean!$A$2:$A$701,customers_clean!$H$2:$H$701)</f>
        <v/>
      </c>
      <c r="O418" s="9" t="str">
        <f>IFERROR(__xludf.DUMMYFUNCTION("IF(REGEXMATCH(TRIM(N418),""^[A-Za-z0-9._%+-]+@[A-Za-z0-9.-]+\.[A-Za-z]{2,}$""),""✅ Valid"",""❌ Invalid"")"),"❌ Invalid")</f>
        <v>❌ Invalid</v>
      </c>
      <c r="P418" s="2" t="str">
        <f t="array" ref="P418">XLOOKUP(I418,customers_clean!$A$2:$A$701,customers_clean!$K$2:$K$701)</f>
        <v/>
      </c>
      <c r="Q418" s="10" t="str">
        <f t="array" ref="Q418">XLOOKUP(I418,customers_clean!$A$2:$A$701,customers_clean!$N$2:$N$701)</f>
        <v/>
      </c>
      <c r="R418" s="9" t="str">
        <f t="array" ref="R418">XLOOKUP(I418,customers_clean!$A$2:$A$701,customers_clean!$Q$2:$Q$701)</f>
        <v/>
      </c>
      <c r="S418" s="10" t="s">
        <v>25</v>
      </c>
      <c r="T418" s="2" t="s">
        <v>223</v>
      </c>
      <c r="U418" s="2" t="s">
        <v>43</v>
      </c>
      <c r="V418" s="2" t="s">
        <v>2425</v>
      </c>
      <c r="W418" s="9" t="str">
        <f t="array" ref="W418">IF(ISNA(XLOOKUP(V418,products_master_corrected!$A$2:$A$151,products_master_corrected!$A$2:$A$151, NA())),
    "❌ MISSING SKU", "✅")</f>
        <v>✅</v>
      </c>
      <c r="X418" s="2" t="s">
        <v>2426</v>
      </c>
      <c r="Y418" s="2" t="s">
        <v>2427</v>
      </c>
      <c r="Z418" s="10" t="s">
        <v>248</v>
      </c>
      <c r="AA418" s="27">
        <v>1.0</v>
      </c>
      <c r="AB418" s="9" t="s">
        <v>8649</v>
      </c>
      <c r="AC418" s="28">
        <f t="array" ref="AC418">XLOOKUP(V418,products_master_corrected!$A$2:$A$151,products_master_corrected!$E$2:$E$151)</f>
        <v>1071.06</v>
      </c>
      <c r="AD418" s="28">
        <f t="shared" si="49"/>
        <v>1071.06</v>
      </c>
      <c r="AE418" s="28">
        <f t="array" ref="AE418">XLOOKUP(V418,products_master_corrected!$A$2:$A$151,products_master_corrected!$K$2:$K$151)</f>
        <v>5510.6</v>
      </c>
      <c r="AF418" s="29">
        <f t="shared" si="50"/>
        <v>5510.6</v>
      </c>
      <c r="AG418" s="30" t="s">
        <v>95</v>
      </c>
      <c r="AH418" s="2" t="s">
        <v>526</v>
      </c>
      <c r="AI418" s="10" t="s">
        <v>49</v>
      </c>
      <c r="AJ418" s="2" t="s">
        <v>452</v>
      </c>
      <c r="AK418" s="10" t="s">
        <v>261</v>
      </c>
    </row>
    <row r="419" ht="15.75" customHeight="1">
      <c r="A419" s="2" t="s">
        <v>5152</v>
      </c>
      <c r="B419" s="12" t="s">
        <v>5153</v>
      </c>
      <c r="C419" s="2" t="str">
        <f>IFERROR(__xludf.DUMMYFUNCTION("IF(ISNUMBER(B419),TEXT(B419,""yyyy-MM-dd""),REGEXREPLACE(REGEXREPLACE(TO_TEXT(B419),""[^0-9a-zA-Z]+"",""-""),""[^0-9]*$"",""""))"),"01-30-2025-13-42")</f>
        <v>01-30-2025-13-42</v>
      </c>
      <c r="D419" s="2" t="str">
        <f>TEXT(C419,"yyyy-MM-dd")</f>
        <v>01-30-2025-13-42</v>
      </c>
      <c r="E419" s="12" t="str">
        <f>IFERROR(__xludf.DUMMYFUNCTION("REGEXEXTRACT(D419,""^\d{2}-\d{2}-\d{4}"")"),"01-30-2025")</f>
        <v>01-30-2025</v>
      </c>
      <c r="F419" s="2" t="str">
        <f>TEXT(E419,"yyyy-MM-dd")</f>
        <v>01-30-2025</v>
      </c>
      <c r="G419" s="2" t="s">
        <v>8295</v>
      </c>
      <c r="H419" s="10" t="s">
        <v>8295</v>
      </c>
      <c r="I419" s="2" t="s">
        <v>2507</v>
      </c>
      <c r="J419" s="26" t="str">
        <f t="array" ref="J419">IF(ISNA(XLOOKUP(I419,customers_clean!$A$2:$A$701,customers_clean!$A$2:$A$701, NA()) ),
   "❌ MISSING CUSTOMER", "✅")</f>
        <v>✅</v>
      </c>
      <c r="K419" s="2" t="str">
        <f t="array" ref="K419">XLOOKUP(I419,customers_clean!$A$2:$A$701,customers_clean!$C$2:$C$701)</f>
        <v>Qi Kowalski</v>
      </c>
      <c r="L419" s="10" t="str">
        <f t="array" ref="L419">XLOOKUP(I419,customers_clean!$A$2:$A$701,customers_clean!$D$2:$D$701)</f>
        <v>Qi Kowalski</v>
      </c>
      <c r="M419" s="2" t="str">
        <f t="array" ref="M419">XLOOKUP(I419,customers_clean!$A$2:$A$701,customers_clean!$I$2:$I$701)</f>
        <v/>
      </c>
      <c r="N419" s="10" t="str">
        <f t="array" ref="N419">XLOOKUP(I419,customers_clean!$A$2:$A$701,customers_clean!$H$2:$H$701)</f>
        <v/>
      </c>
      <c r="O419" s="9" t="str">
        <f>IFERROR(__xludf.DUMMYFUNCTION("IF(REGEXMATCH(TRIM(N419),""^[A-Za-z0-9._%+-]+@[A-Za-z0-9.-]+\.[A-Za-z]{2,}$""),""✅ Valid"",""❌ Invalid"")"),"❌ Invalid")</f>
        <v>❌ Invalid</v>
      </c>
      <c r="P419" s="2" t="str">
        <f t="array" ref="P419">XLOOKUP(I419,customers_clean!$A$2:$A$701,customers_clean!$K$2:$K$701)</f>
        <v/>
      </c>
      <c r="Q419" s="10" t="str">
        <f t="array" ref="Q419">XLOOKUP(I419,customers_clean!$A$2:$A$701,customers_clean!$N$2:$N$701)</f>
        <v/>
      </c>
      <c r="R419" s="9" t="str">
        <f t="array" ref="R419">XLOOKUP(I419,customers_clean!$A$2:$A$701,customers_clean!$Q$2:$Q$701)</f>
        <v/>
      </c>
      <c r="S419" s="10" t="s">
        <v>25</v>
      </c>
      <c r="T419" s="2" t="s">
        <v>59</v>
      </c>
      <c r="U419" s="2" t="s">
        <v>43</v>
      </c>
      <c r="V419" s="2" t="s">
        <v>1597</v>
      </c>
      <c r="W419" s="9" t="str">
        <f t="array" ref="W419">IF(ISNA(XLOOKUP(V419,products_master_corrected!$A$2:$A$151,products_master_corrected!$A$2:$A$151, NA())),
    "❌ MISSING SKU", "✅")</f>
        <v>✅</v>
      </c>
      <c r="X419" s="2" t="s">
        <v>502</v>
      </c>
      <c r="Y419" s="2" t="s">
        <v>355</v>
      </c>
      <c r="Z419" s="10" t="s">
        <v>355</v>
      </c>
      <c r="AA419" s="27">
        <v>2.0</v>
      </c>
      <c r="AB419" s="9" t="s">
        <v>8649</v>
      </c>
      <c r="AC419" s="28">
        <f t="array" ref="AC419">XLOOKUP(V419,products_master_corrected!$A$2:$A$151,products_master_corrected!$E$2:$E$151)</f>
        <v>1002.55</v>
      </c>
      <c r="AD419" s="28">
        <f t="shared" si="49"/>
        <v>2005.1</v>
      </c>
      <c r="AE419" s="28">
        <f t="array" ref="AE419">XLOOKUP(V419,products_master_corrected!$A$2:$A$151,products_master_corrected!$K$2:$K$151)</f>
        <v>5158.12</v>
      </c>
      <c r="AF419" s="29">
        <f t="shared" si="50"/>
        <v>10316.24</v>
      </c>
      <c r="AG419" s="30" t="s">
        <v>95</v>
      </c>
      <c r="AH419" s="2" t="s">
        <v>573</v>
      </c>
      <c r="AI419" s="10" t="s">
        <v>66</v>
      </c>
      <c r="AJ419" s="2" t="s">
        <v>120</v>
      </c>
      <c r="AK419" s="10" t="s">
        <v>818</v>
      </c>
      <c r="AL419" s="2" t="s">
        <v>81</v>
      </c>
    </row>
    <row r="420" ht="15.75" customHeight="1">
      <c r="A420" s="2" t="s">
        <v>2184</v>
      </c>
      <c r="B420" s="12">
        <v>45230.0</v>
      </c>
      <c r="C420" s="2" t="str">
        <f>IFERROR(__xludf.DUMMYFUNCTION("IF(ISNUMBER(B420),TEXT(B420,""yyyy-MM-dd""),REGEXREPLACE(REGEXREPLACE(TO_TEXT(B420),""[^0-9a-zA-Z]+"",""-""),""[^0-9]*$"",""""))"),"2023-10-31")</f>
        <v>2023-10-31</v>
      </c>
      <c r="D420" s="2" t="s">
        <v>8314</v>
      </c>
      <c r="H420" s="10" t="s">
        <v>8314</v>
      </c>
      <c r="I420" s="2" t="s">
        <v>2186</v>
      </c>
      <c r="J420" s="26" t="str">
        <f t="array" ref="J420">IF(ISNA(XLOOKUP(I420,customers_clean!$A$2:$A$701,customers_clean!$A$2:$A$701, NA()) ),
   "❌ MISSING CUSTOMER", "✅")</f>
        <v>✅</v>
      </c>
      <c r="K420" s="2" t="str">
        <f t="array" ref="K420">XLOOKUP(I420,customers_clean!$A$2:$A$701,customers_clean!$C$2:$C$701)</f>
        <v>Wiktor Novak</v>
      </c>
      <c r="L420" s="10" t="str">
        <f t="array" ref="L420">XLOOKUP(I420,customers_clean!$A$2:$A$701,customers_clean!$D$2:$D$701)</f>
        <v>Wiktor Novak</v>
      </c>
      <c r="M420" s="2" t="str">
        <f t="array" ref="M420">XLOOKUP(I420,customers_clean!$A$2:$A$701,customers_clean!$I$2:$I$701)</f>
        <v/>
      </c>
      <c r="N420" s="10" t="str">
        <f t="array" ref="N420">XLOOKUP(I420,customers_clean!$A$2:$A$701,customers_clean!$H$2:$H$701)</f>
        <v/>
      </c>
      <c r="O420" s="9" t="str">
        <f>IFERROR(__xludf.DUMMYFUNCTION("IF(REGEXMATCH(TRIM(N420),""^[A-Za-z0-9._%+-]+@[A-Za-z0-9.-]+\.[A-Za-z]{2,}$""),""✅ Valid"",""❌ Invalid"")"),"❌ Invalid")</f>
        <v>❌ Invalid</v>
      </c>
      <c r="P420" s="2" t="str">
        <f t="array" ref="P420">XLOOKUP(I420,customers_clean!$A$2:$A$701,customers_clean!$K$2:$K$701)</f>
        <v>+1-831-803-1949</v>
      </c>
      <c r="Q420" s="10" t="str">
        <f t="array" ref="Q420">XLOOKUP(I420,customers_clean!$A$2:$A$701,customers_clean!$N$2:$N$701)</f>
        <v/>
      </c>
      <c r="R420" s="9" t="str">
        <f t="array" ref="R420">XLOOKUP(I420,customers_clean!$A$2:$A$701,customers_clean!$Q$2:$Q$701)</f>
        <v/>
      </c>
      <c r="S420" s="10" t="s">
        <v>58</v>
      </c>
      <c r="T420" s="2" t="s">
        <v>59</v>
      </c>
      <c r="U420" s="2" t="s">
        <v>1245</v>
      </c>
      <c r="V420" s="2" t="s">
        <v>1432</v>
      </c>
      <c r="W420" s="9" t="str">
        <f t="array" ref="W420">IF(ISNA(XLOOKUP(V420,products_master_corrected!$A$2:$A$151,products_master_corrected!$A$2:$A$151, NA())),
    "❌ MISSING SKU", "✅")</f>
        <v>✅</v>
      </c>
      <c r="X420" s="2" t="s">
        <v>994</v>
      </c>
      <c r="Y420" s="2" t="s">
        <v>1328</v>
      </c>
      <c r="Z420" s="10" t="s">
        <v>179</v>
      </c>
      <c r="AA420" s="27">
        <v>5.0</v>
      </c>
      <c r="AB420" s="9" t="s">
        <v>8649</v>
      </c>
      <c r="AC420" s="28">
        <f t="array" ref="AC420">XLOOKUP(V420,products_master_corrected!$A$2:$A$151,products_master_corrected!$E$2:$E$151)</f>
        <v>513.1</v>
      </c>
      <c r="AD420" s="28">
        <f t="shared" si="49"/>
        <v>2565.5</v>
      </c>
      <c r="AE420" s="28">
        <f t="array" ref="AE420">XLOOKUP(V420,products_master_corrected!$A$2:$A$151,products_master_corrected!$G$2:$G$151)</f>
        <v>587.4</v>
      </c>
      <c r="AF420" s="29">
        <f t="shared" si="50"/>
        <v>2937</v>
      </c>
      <c r="AG420" s="32" t="s">
        <v>8663</v>
      </c>
      <c r="AH420" s="2" t="s">
        <v>181</v>
      </c>
      <c r="AI420" s="10" t="s">
        <v>181</v>
      </c>
      <c r="AJ420" s="2" t="s">
        <v>527</v>
      </c>
      <c r="AK420" s="10" t="s">
        <v>192</v>
      </c>
      <c r="AL420" s="2" t="s">
        <v>67</v>
      </c>
    </row>
    <row r="421" ht="15.75" customHeight="1">
      <c r="A421" s="2" t="s">
        <v>4031</v>
      </c>
      <c r="B421" s="12">
        <v>45727.0</v>
      </c>
      <c r="C421" s="2" t="str">
        <f>IFERROR(__xludf.DUMMYFUNCTION("IF(ISNUMBER(B421),TEXT(B421,""yyyy-MM-dd""),REGEXREPLACE(REGEXREPLACE(TO_TEXT(B421),""[^0-9a-zA-Z]+"",""-""),""[^0-9]*$"",""""))"),"2025-03-11")</f>
        <v>2025-03-11</v>
      </c>
      <c r="D421" s="2" t="s">
        <v>8836</v>
      </c>
      <c r="H421" s="10" t="s">
        <v>8836</v>
      </c>
      <c r="I421" s="2" t="s">
        <v>4033</v>
      </c>
      <c r="J421" s="26" t="str">
        <f t="array" ref="J421">IF(ISNA(XLOOKUP(I421,customers_clean!$A$2:$A$701,customers_clean!$A$2:$A$701, NA()) ),
   "❌ MISSING CUSTOMER", "✅")</f>
        <v>✅</v>
      </c>
      <c r="K421" s="2" t="str">
        <f t="array" ref="K421">XLOOKUP(I421,customers_clean!$A$2:$A$701,customers_clean!$C$2:$C$701)</f>
        <v> Qi Johnson</v>
      </c>
      <c r="L421" s="10" t="str">
        <f t="array" ref="L421">XLOOKUP(I421,customers_clean!$A$2:$A$701,customers_clean!$D$2:$D$701)</f>
        <v>Qi Johnson</v>
      </c>
      <c r="M421" s="2" t="str">
        <f t="array" ref="M421">XLOOKUP(I421,customers_clean!$A$2:$A$701,customers_clean!$I$2:$I$701)</f>
        <v>Qi.Johnson@Outlook.Com</v>
      </c>
      <c r="N421" s="10" t="str">
        <f t="array" ref="N421">XLOOKUP(I421,customers_clean!$A$2:$A$701,customers_clean!$H$2:$H$701)</f>
        <v>qi.johnson@outlook.com</v>
      </c>
      <c r="O421" s="9" t="str">
        <f>IFERROR(__xludf.DUMMYFUNCTION("IF(REGEXMATCH(TRIM(N421),""^[A-Za-z0-9._%+-]+@[A-Za-z0-9.-]+\.[A-Za-z]{2,}$""),""✅ Valid"",""❌ Invalid"")"),"✅ Valid")</f>
        <v>✅ Valid</v>
      </c>
      <c r="P421" s="2" t="str">
        <f t="array" ref="P421">XLOOKUP(I421,customers_clean!$A$2:$A$701,customers_clean!$K$2:$K$701)</f>
        <v>missing</v>
      </c>
      <c r="Q421" s="10" t="str">
        <f t="array" ref="Q421">XLOOKUP(I421,customers_clean!$A$2:$A$701,customers_clean!$N$2:$N$701)</f>
        <v/>
      </c>
      <c r="R421" s="9" t="str">
        <f t="array" ref="R421">XLOOKUP(I421,customers_clean!$A$2:$A$701,customers_clean!$Q$2:$Q$701)</f>
        <v>❌ INVALID</v>
      </c>
      <c r="S421" s="10" t="s">
        <v>448</v>
      </c>
      <c r="T421" s="2" t="s">
        <v>152</v>
      </c>
      <c r="U421" s="2" t="s">
        <v>43</v>
      </c>
      <c r="V421" s="2" t="s">
        <v>127</v>
      </c>
      <c r="W421" s="9" t="str">
        <f t="array" ref="W421">IF(ISNA(XLOOKUP(V421,products_master_corrected!$A$2:$A$151,products_master_corrected!$A$2:$A$151, NA())),
    "❌ MISSING SKU", "✅")</f>
        <v>✅</v>
      </c>
      <c r="X421" s="2" t="s">
        <v>8717</v>
      </c>
      <c r="Y421" s="2" t="s">
        <v>129</v>
      </c>
      <c r="Z421" s="10" t="s">
        <v>514</v>
      </c>
      <c r="AA421" s="27">
        <v>3.0</v>
      </c>
      <c r="AB421" s="9" t="s">
        <v>8649</v>
      </c>
      <c r="AC421" s="28">
        <f t="array" ref="AC421">XLOOKUP(V421,products_master_corrected!$A$2:$A$151,products_master_corrected!$E$2:$E$151)</f>
        <v>79.06</v>
      </c>
      <c r="AD421" s="28">
        <f t="shared" si="49"/>
        <v>237.18</v>
      </c>
      <c r="AE421" s="28">
        <f t="array" ref="AE421">XLOOKUP(V421,products_master_corrected!$A$2:$A$151,products_master_corrected!$M$2:$M$151)</f>
        <v>95.63</v>
      </c>
      <c r="AF421" s="29">
        <f t="shared" si="50"/>
        <v>286.89</v>
      </c>
      <c r="AG421" s="30" t="s">
        <v>48</v>
      </c>
      <c r="AH421" s="2" t="s">
        <v>49</v>
      </c>
      <c r="AI421" s="10" t="s">
        <v>49</v>
      </c>
      <c r="AJ421" s="2" t="s">
        <v>527</v>
      </c>
      <c r="AK421" s="10" t="s">
        <v>192</v>
      </c>
      <c r="AL421" s="2" t="s">
        <v>67</v>
      </c>
    </row>
    <row r="422" ht="15.75" customHeight="1">
      <c r="A422" s="2" t="s">
        <v>6207</v>
      </c>
      <c r="B422" s="12" t="s">
        <v>6208</v>
      </c>
      <c r="C422" s="2" t="str">
        <f>IFERROR(__xludf.DUMMYFUNCTION("IF(ISNUMBER(B422),TEXT(B422,""yyyy-MM-dd""),REGEXREPLACE(REGEXREPLACE(TO_TEXT(B422),""[^0-9a-zA-Z]+"",""-""),""[^0-9]*$"",""""))"),"45779-14-25")</f>
        <v>45779-14-25</v>
      </c>
      <c r="D422" s="2" t="str">
        <f>TEXT(C422,"yyyy-MM-dd")</f>
        <v>45779-14-25</v>
      </c>
      <c r="E422" s="25" t="str">
        <f>CONCATENATE(LEFT(D422,5))</f>
        <v>45779</v>
      </c>
      <c r="F422" s="12">
        <f>DATE(1900,1,1) + E422 - 1</f>
        <v>45780</v>
      </c>
      <c r="G422" s="2" t="s">
        <v>8837</v>
      </c>
      <c r="H422" s="10" t="s">
        <v>8837</v>
      </c>
      <c r="I422" s="2" t="s">
        <v>4033</v>
      </c>
      <c r="J422" s="26" t="str">
        <f t="array" ref="J422">IF(ISNA(XLOOKUP(I422,customers_clean!$A$2:$A$701,customers_clean!$A$2:$A$701, NA()) ),
   "❌ MISSING CUSTOMER", "✅")</f>
        <v>✅</v>
      </c>
      <c r="K422" s="2" t="str">
        <f t="array" ref="K422">XLOOKUP(I422,customers_clean!$A$2:$A$701,customers_clean!$C$2:$C$701)</f>
        <v> Qi Johnson</v>
      </c>
      <c r="L422" s="10" t="str">
        <f t="array" ref="L422">XLOOKUP(I422,customers_clean!$A$2:$A$701,customers_clean!$D$2:$D$701)</f>
        <v>Qi Johnson</v>
      </c>
      <c r="M422" s="2" t="str">
        <f t="array" ref="M422">XLOOKUP(I422,customers_clean!$A$2:$A$701,customers_clean!$I$2:$I$701)</f>
        <v>Qi.Johnson@Outlook.Com</v>
      </c>
      <c r="N422" s="10" t="str">
        <f t="array" ref="N422">XLOOKUP(I422,customers_clean!$A$2:$A$701,customers_clean!$H$2:$H$701)</f>
        <v>qi.johnson@outlook.com</v>
      </c>
      <c r="O422" s="9" t="str">
        <f>IFERROR(__xludf.DUMMYFUNCTION("IF(REGEXMATCH(TRIM(N422),""^[A-Za-z0-9._%+-]+@[A-Za-z0-9.-]+\.[A-Za-z]{2,}$""),""✅ Valid"",""❌ Invalid"")"),"✅ Valid")</f>
        <v>✅ Valid</v>
      </c>
      <c r="P422" s="2" t="str">
        <f t="array" ref="P422">XLOOKUP(I422,customers_clean!$A$2:$A$701,customers_clean!$K$2:$K$701)</f>
        <v>missing</v>
      </c>
      <c r="Q422" s="10" t="str">
        <f t="array" ref="Q422">XLOOKUP(I422,customers_clean!$A$2:$A$701,customers_clean!$N$2:$N$701)</f>
        <v/>
      </c>
      <c r="R422" s="9" t="str">
        <f t="array" ref="R422">XLOOKUP(I422,customers_clean!$A$2:$A$701,customers_clean!$Q$2:$Q$701)</f>
        <v>❌ INVALID</v>
      </c>
      <c r="S422" s="10" t="s">
        <v>448</v>
      </c>
      <c r="T422" s="2" t="s">
        <v>26</v>
      </c>
      <c r="U422" s="2" t="s">
        <v>401</v>
      </c>
      <c r="V422" s="2" t="s">
        <v>767</v>
      </c>
      <c r="W422" s="9" t="str">
        <f t="array" ref="W422">IF(ISNA(XLOOKUP(V422,products_master_corrected!$A$2:$A$151,products_master_corrected!$A$2:$A$151, NA())),
    "❌ MISSING SKU", "✅")</f>
        <v>✅</v>
      </c>
      <c r="X422" s="2" t="s">
        <v>768</v>
      </c>
      <c r="Y422" s="2" t="s">
        <v>769</v>
      </c>
      <c r="Z422" s="10" t="str">
        <f>PROPER(TRIM(Y422))</f>
        <v>Monitors</v>
      </c>
      <c r="AA422" s="27"/>
      <c r="AB422" s="9" t="s">
        <v>8677</v>
      </c>
      <c r="AC422" s="34"/>
      <c r="AD422" s="34"/>
      <c r="AE422" s="34"/>
      <c r="AF422" s="35"/>
      <c r="AG422" s="36" t="s">
        <v>32</v>
      </c>
      <c r="AH422" s="2" t="s">
        <v>143</v>
      </c>
      <c r="AI422" s="10" t="s">
        <v>143</v>
      </c>
      <c r="AJ422" s="2" t="s">
        <v>132</v>
      </c>
      <c r="AK422" s="10" t="s">
        <v>192</v>
      </c>
    </row>
    <row r="423" ht="15.75" customHeight="1">
      <c r="A423" s="2" t="s">
        <v>4505</v>
      </c>
      <c r="B423" s="12">
        <v>45270.28402777778</v>
      </c>
      <c r="C423" s="2" t="str">
        <f>IFERROR(__xludf.DUMMYFUNCTION("IF(ISNUMBER(B423),TEXT(B423,""yyyy-MM-dd""),REGEXREPLACE(REGEXREPLACE(TO_TEXT(B423),""[^0-9a-zA-Z]+"",""-""),""[^0-9]*$"",""""))"),"2023-12-10")</f>
        <v>2023-12-10</v>
      </c>
      <c r="D423" s="2" t="s">
        <v>8354</v>
      </c>
      <c r="H423" s="10" t="s">
        <v>8354</v>
      </c>
      <c r="I423" s="2" t="s">
        <v>4507</v>
      </c>
      <c r="J423" s="26" t="str">
        <f t="array" ref="J423">IF(ISNA(XLOOKUP(I423,customers_clean!$A$2:$A$701,customers_clean!$A$2:$A$701, NA()) ),
   "❌ MISSING CUSTOMER", "✅")</f>
        <v>✅</v>
      </c>
      <c r="K423" s="2" t="str">
        <f t="array" ref="K423">XLOOKUP(I423,customers_clean!$A$2:$A$701,customers_clean!$C$2:$C$701)</f>
        <v>Ethan Khan </v>
      </c>
      <c r="L423" s="10" t="str">
        <f t="array" ref="L423">XLOOKUP(I423,customers_clean!$A$2:$A$701,customers_clean!$D$2:$D$701)</f>
        <v>Ethan Khan</v>
      </c>
      <c r="M423" s="2" t="str">
        <f t="array" ref="M423">XLOOKUP(I423,customers_clean!$A$2:$A$701,customers_clean!$I$2:$I$701)</f>
        <v>Ethan.Khan@Yahoo.Com</v>
      </c>
      <c r="N423" s="10" t="str">
        <f t="array" ref="N423">XLOOKUP(I423,customers_clean!$A$2:$A$701,customers_clean!$H$2:$H$701)</f>
        <v>ethan.khan@yahoo.com</v>
      </c>
      <c r="O423" s="9" t="str">
        <f>IFERROR(__xludf.DUMMYFUNCTION("IF(REGEXMATCH(TRIM(N423),""^[A-Za-z0-9._%+-]+@[A-Za-z0-9.-]+\.[A-Za-z]{2,}$""),""✅ Valid"",""❌ Invalid"")"),"✅ Valid")</f>
        <v>✅ Valid</v>
      </c>
      <c r="P423" s="2" t="str">
        <f t="array" ref="P423">XLOOKUP(I423,customers_clean!$A$2:$A$701,customers_clean!$K$2:$K$701)</f>
        <v>+4992222110711</v>
      </c>
      <c r="Q423" s="10" t="str">
        <f t="array" ref="Q423">XLOOKUP(I423,customers_clean!$A$2:$A$701,customers_clean!$N$2:$N$701)</f>
        <v>92222110711</v>
      </c>
      <c r="R423" s="9" t="str">
        <f t="array" ref="R423">XLOOKUP(I423,customers_clean!$A$2:$A$701,customers_clean!$Q$2:$Q$701)</f>
        <v>❌ INVALID</v>
      </c>
      <c r="S423" s="10" t="s">
        <v>58</v>
      </c>
      <c r="T423" s="2" t="s">
        <v>42</v>
      </c>
      <c r="U423" s="2" t="s">
        <v>43</v>
      </c>
      <c r="V423" s="2" t="s">
        <v>471</v>
      </c>
      <c r="W423" s="9" t="str">
        <f t="array" ref="W423">IF(ISNA(XLOOKUP(V423,products_master_corrected!$A$2:$A$151,products_master_corrected!$A$2:$A$151, NA())),
    "❌ MISSING SKU", "✅")</f>
        <v>✅</v>
      </c>
      <c r="X423" s="2" t="s">
        <v>29</v>
      </c>
      <c r="Y423" s="2" t="s">
        <v>179</v>
      </c>
      <c r="Z423" s="10" t="s">
        <v>179</v>
      </c>
      <c r="AA423" s="27">
        <v>5.0</v>
      </c>
      <c r="AB423" s="9" t="s">
        <v>8649</v>
      </c>
      <c r="AC423" s="28">
        <f t="array" ref="AC423">XLOOKUP(V423,products_master_corrected!$A$2:$A$151,products_master_corrected!$E$2:$E$151)</f>
        <v>71.8</v>
      </c>
      <c r="AD423" s="28">
        <f t="shared" ref="AD423:AD427" si="51">AA423*AC423</f>
        <v>359</v>
      </c>
      <c r="AE423" s="28">
        <f t="array" ref="AE423">XLOOKUP(V423,products_master_corrected!$A$2:$A$151,products_master_corrected!$G$2:$G$151)</f>
        <v>82.2</v>
      </c>
      <c r="AF423" s="29">
        <f t="shared" ref="AF423:AF427" si="52">AA423*AE423</f>
        <v>411</v>
      </c>
      <c r="AG423" s="32" t="s">
        <v>8663</v>
      </c>
      <c r="AH423" s="2" t="s">
        <v>96</v>
      </c>
      <c r="AI423" s="10" t="s">
        <v>143</v>
      </c>
      <c r="AJ423" s="2" t="s">
        <v>1312</v>
      </c>
      <c r="AK423" s="10" t="s">
        <v>818</v>
      </c>
    </row>
    <row r="424" ht="15.75" customHeight="1">
      <c r="A424" s="2" t="s">
        <v>5070</v>
      </c>
      <c r="B424" s="12">
        <v>45172.0</v>
      </c>
      <c r="C424" s="2" t="str">
        <f>IFERROR(__xludf.DUMMYFUNCTION("IF(ISNUMBER(B424),TEXT(B424,""yyyy-MM-dd""),REGEXREPLACE(REGEXREPLACE(TO_TEXT(B424),""[^0-9a-zA-Z]+"",""-""),""[^0-9]*$"",""""))"),"2023-09-03")</f>
        <v>2023-09-03</v>
      </c>
      <c r="D424" s="2" t="s">
        <v>8003</v>
      </c>
      <c r="H424" s="10" t="s">
        <v>8003</v>
      </c>
      <c r="I424" s="2" t="s">
        <v>4507</v>
      </c>
      <c r="J424" s="26" t="str">
        <f t="array" ref="J424">IF(ISNA(XLOOKUP(I424,customers_clean!$A$2:$A$701,customers_clean!$A$2:$A$701, NA()) ),
   "❌ MISSING CUSTOMER", "✅")</f>
        <v>✅</v>
      </c>
      <c r="K424" s="2" t="str">
        <f t="array" ref="K424">XLOOKUP(I424,customers_clean!$A$2:$A$701,customers_clean!$C$2:$C$701)</f>
        <v>Ethan Khan </v>
      </c>
      <c r="L424" s="10" t="str">
        <f t="array" ref="L424">XLOOKUP(I424,customers_clean!$A$2:$A$701,customers_clean!$D$2:$D$701)</f>
        <v>Ethan Khan</v>
      </c>
      <c r="M424" s="2" t="str">
        <f t="array" ref="M424">XLOOKUP(I424,customers_clean!$A$2:$A$701,customers_clean!$I$2:$I$701)</f>
        <v>Ethan.Khan@Yahoo.Com</v>
      </c>
      <c r="N424" s="10" t="str">
        <f t="array" ref="N424">XLOOKUP(I424,customers_clean!$A$2:$A$701,customers_clean!$H$2:$H$701)</f>
        <v>ethan.khan@yahoo.com</v>
      </c>
      <c r="O424" s="9" t="str">
        <f>IFERROR(__xludf.DUMMYFUNCTION("IF(REGEXMATCH(TRIM(N424),""^[A-Za-z0-9._%+-]+@[A-Za-z0-9.-]+\.[A-Za-z]{2,}$""),""✅ Valid"",""❌ Invalid"")"),"✅ Valid")</f>
        <v>✅ Valid</v>
      </c>
      <c r="P424" s="2" t="str">
        <f t="array" ref="P424">XLOOKUP(I424,customers_clean!$A$2:$A$701,customers_clean!$K$2:$K$701)</f>
        <v>+4992222110711</v>
      </c>
      <c r="Q424" s="10" t="str">
        <f t="array" ref="Q424">XLOOKUP(I424,customers_clean!$A$2:$A$701,customers_clean!$N$2:$N$701)</f>
        <v>92222110711</v>
      </c>
      <c r="R424" s="9" t="str">
        <f t="array" ref="R424">XLOOKUP(I424,customers_clean!$A$2:$A$701,customers_clean!$Q$2:$Q$701)</f>
        <v>❌ INVALID</v>
      </c>
      <c r="S424" s="10" t="s">
        <v>58</v>
      </c>
      <c r="T424" s="2" t="s">
        <v>42</v>
      </c>
      <c r="U424" s="2" t="s">
        <v>90</v>
      </c>
      <c r="V424" s="2" t="s">
        <v>1597</v>
      </c>
      <c r="W424" s="9" t="str">
        <f t="array" ref="W424">IF(ISNA(XLOOKUP(V424,products_master_corrected!$A$2:$A$151,products_master_corrected!$A$2:$A$151, NA())),
    "❌ MISSING SKU", "✅")</f>
        <v>✅</v>
      </c>
      <c r="X424" s="2" t="s">
        <v>502</v>
      </c>
      <c r="Y424" s="2" t="s">
        <v>355</v>
      </c>
      <c r="Z424" s="10" t="s">
        <v>355</v>
      </c>
      <c r="AA424" s="27">
        <v>3.0</v>
      </c>
      <c r="AB424" s="9" t="s">
        <v>8649</v>
      </c>
      <c r="AC424" s="28">
        <f t="array" ref="AC424">XLOOKUP(V424,products_master_corrected!$A$2:$A$151,products_master_corrected!$E$2:$E$151)</f>
        <v>1002.55</v>
      </c>
      <c r="AD424" s="28">
        <f t="shared" si="51"/>
        <v>3007.65</v>
      </c>
      <c r="AE424" s="28">
        <f t="array" ref="AE424">XLOOKUP(V424,products_master_corrected!$A$2:$A$151,products_master_corrected!$G$2:$G$151)</f>
        <v>1147.72</v>
      </c>
      <c r="AF424" s="29">
        <f t="shared" si="52"/>
        <v>3443.16</v>
      </c>
      <c r="AG424" s="32" t="s">
        <v>8663</v>
      </c>
      <c r="AH424" s="2" t="s">
        <v>664</v>
      </c>
      <c r="AI424" s="10" t="s">
        <v>66</v>
      </c>
      <c r="AJ424" s="2" t="s">
        <v>169</v>
      </c>
      <c r="AK424" s="10" t="s">
        <v>261</v>
      </c>
    </row>
    <row r="425" ht="15.75" customHeight="1">
      <c r="A425" s="2" t="s">
        <v>5636</v>
      </c>
      <c r="B425" s="12">
        <v>45045.0</v>
      </c>
      <c r="C425" s="2" t="str">
        <f>IFERROR(__xludf.DUMMYFUNCTION("IF(ISNUMBER(B425),TEXT(B425,""yyyy-MM-dd""),REGEXREPLACE(REGEXREPLACE(TO_TEXT(B425),""[^0-9a-zA-Z]+"",""-""),""[^0-9]*$"",""""))"),"2023-04-29")</f>
        <v>2023-04-29</v>
      </c>
      <c r="D425" s="2" t="s">
        <v>5637</v>
      </c>
      <c r="H425" s="10" t="s">
        <v>5637</v>
      </c>
      <c r="I425" s="2" t="s">
        <v>5638</v>
      </c>
      <c r="J425" s="26" t="str">
        <f t="array" ref="J425">IF(ISNA(XLOOKUP(I425,customers_clean!$A$2:$A$701,customers_clean!$A$2:$A$701, NA()) ),
   "❌ MISSING CUSTOMER", "✅")</f>
        <v>✅</v>
      </c>
      <c r="K425" s="2" t="str">
        <f t="array" ref="K425">XLOOKUP(I425,customers_clean!$A$2:$A$701,customers_clean!$C$2:$C$701)</f>
        <v>Uma  Muller</v>
      </c>
      <c r="L425" s="10" t="str">
        <f t="array" ref="L425">XLOOKUP(I425,customers_clean!$A$2:$A$701,customers_clean!$D$2:$D$701)</f>
        <v>Uma Muller</v>
      </c>
      <c r="M425" s="2" t="str">
        <f t="array" ref="M425">XLOOKUP(I425,customers_clean!$A$2:$A$701,customers_clean!$I$2:$I$701)</f>
        <v> uma.muller@outlook.com</v>
      </c>
      <c r="N425" s="10" t="str">
        <f t="array" ref="N425">XLOOKUP(I425,customers_clean!$A$2:$A$701,customers_clean!$H$2:$H$701)</f>
        <v>uma.muller@outlook.com</v>
      </c>
      <c r="O425" s="9" t="str">
        <f>IFERROR(__xludf.DUMMYFUNCTION("IF(REGEXMATCH(TRIM(N425),""^[A-Za-z0-9._%+-]+@[A-Za-z0-9.-]+\.[A-Za-z]{2,}$""),""✅ Valid"",""❌ Invalid"")"),"✅ Valid")</f>
        <v>✅ Valid</v>
      </c>
      <c r="P425" s="2" t="str">
        <f t="array" ref="P425">XLOOKUP(I425,customers_clean!$A$2:$A$701,customers_clean!$K$2:$K$701)</f>
        <v>+497277845542</v>
      </c>
      <c r="Q425" s="10" t="str">
        <f t="array" ref="Q425">XLOOKUP(I425,customers_clean!$A$2:$A$701,customers_clean!$N$2:$N$701)</f>
        <v>7277845542</v>
      </c>
      <c r="R425" s="9" t="str">
        <f t="array" ref="R425">XLOOKUP(I425,customers_clean!$A$2:$A$701,customers_clean!$Q$2:$Q$701)</f>
        <v>❌ INVALID</v>
      </c>
      <c r="S425" s="10" t="s">
        <v>608</v>
      </c>
      <c r="T425" s="2" t="s">
        <v>223</v>
      </c>
      <c r="U425" s="2" t="s">
        <v>43</v>
      </c>
      <c r="V425" s="2" t="s">
        <v>1748</v>
      </c>
      <c r="W425" s="9" t="str">
        <f t="array" ref="W425">IF(ISNA(XLOOKUP(V425,products_master_corrected!$A$2:$A$151,products_master_corrected!$A$2:$A$151, NA())),
    "❌ MISSING SKU", "✅")</f>
        <v>✅</v>
      </c>
      <c r="X425" s="2" t="s">
        <v>62</v>
      </c>
      <c r="Y425" s="2" t="s">
        <v>315</v>
      </c>
      <c r="Z425" s="10" t="s">
        <v>179</v>
      </c>
      <c r="AA425" s="27">
        <v>5.0</v>
      </c>
      <c r="AB425" s="9" t="s">
        <v>8649</v>
      </c>
      <c r="AC425" s="28">
        <f t="array" ref="AC425">XLOOKUP(V425,products_master_corrected!$A$2:$A$151,products_master_corrected!$E$2:$E$151)</f>
        <v>94.26</v>
      </c>
      <c r="AD425" s="28">
        <f t="shared" si="51"/>
        <v>471.3</v>
      </c>
      <c r="AE425" s="28">
        <f t="array" ref="AE425">XLOOKUP(V425,products_master_corrected!$A$2:$A$151,products_master_corrected!$H$2:$H$151)</f>
        <v>105.9</v>
      </c>
      <c r="AF425" s="29">
        <f t="shared" si="52"/>
        <v>529.5</v>
      </c>
      <c r="AG425" s="32" t="s">
        <v>8658</v>
      </c>
      <c r="AH425" s="2" t="s">
        <v>664</v>
      </c>
      <c r="AI425" s="10" t="s">
        <v>66</v>
      </c>
      <c r="AJ425" s="2" t="s">
        <v>306</v>
      </c>
      <c r="AK425" s="10" t="s">
        <v>192</v>
      </c>
      <c r="AL425" s="2" t="s">
        <v>67</v>
      </c>
    </row>
    <row r="426" ht="15.75" customHeight="1">
      <c r="A426" s="2" t="s">
        <v>2289</v>
      </c>
      <c r="B426" s="12" t="s">
        <v>2290</v>
      </c>
      <c r="C426" s="2" t="str">
        <f>IFERROR(__xludf.DUMMYFUNCTION("IF(ISNUMBER(B426),TEXT(B426,""yyyy-MM-dd""),REGEXREPLACE(REGEXREPLACE(TO_TEXT(B426),""[^0-9a-zA-Z]+"",""-""),""[^0-9]*$"",""""))"),"01-07-2024-06-54")</f>
        <v>01-07-2024-06-54</v>
      </c>
      <c r="D426" s="2" t="str">
        <f>TEXT(C426,"yyyy-MM-dd")</f>
        <v>01-07-2024-06-54</v>
      </c>
      <c r="E426" s="12" t="str">
        <f>IFERROR(__xludf.DUMMYFUNCTION("REGEXEXTRACT(D426,""^\d{2}-\d{2}-\d{4}"")"),"01-07-2024")</f>
        <v>01-07-2024</v>
      </c>
      <c r="F426" s="2" t="s">
        <v>8823</v>
      </c>
      <c r="H426" s="10" t="s">
        <v>8823</v>
      </c>
      <c r="I426" s="2" t="s">
        <v>1466</v>
      </c>
      <c r="J426" s="26" t="str">
        <f t="array" ref="J426">IF(ISNA(XLOOKUP(I426,customers_clean!$A$2:$A$701,customers_clean!$A$2:$A$701, NA()) ),
   "❌ MISSING CUSTOMER", "✅")</f>
        <v>✅</v>
      </c>
      <c r="K426" s="2" t="str">
        <f t="array" ref="K426">XLOOKUP(I426,customers_clean!$A$2:$A$701,customers_clean!$C$2:$C$701)</f>
        <v> Marek King</v>
      </c>
      <c r="L426" s="10" t="str">
        <f t="array" ref="L426">XLOOKUP(I426,customers_clean!$A$2:$A$701,customers_clean!$D$2:$D$701)</f>
        <v>Marek King</v>
      </c>
      <c r="M426" s="2" t="str">
        <f t="array" ref="M426">XLOOKUP(I426,customers_clean!$A$2:$A$701,customers_clean!$I$2:$I$701)</f>
        <v>Marek.King@Company.Co.Uk</v>
      </c>
      <c r="N426" s="10" t="str">
        <f t="array" ref="N426">XLOOKUP(I426,customers_clean!$A$2:$A$701,customers_clean!$H$2:$H$701)</f>
        <v>marek.king@company.co.uk</v>
      </c>
      <c r="O426" s="9" t="str">
        <f>IFERROR(__xludf.DUMMYFUNCTION("IF(REGEXMATCH(TRIM(N426),""^[A-Za-z0-9._%+-]+@[A-Za-z0-9.-]+\.[A-Za-z]{2,}$""),""✅ Valid"",""❌ Invalid"")"),"✅ Valid")</f>
        <v>✅ Valid</v>
      </c>
      <c r="P426" s="33" t="str">
        <f t="array" ref="P426">XLOOKUP(I426,customers_clean!$A$2:$A$701,customers_clean!$K$2:$K$701)</f>
        <v>4811899089</v>
      </c>
      <c r="Q426" s="10" t="str">
        <f t="array" ref="Q426">XLOOKUP(I426,customers_clean!$A$2:$A$701,customers_clean!$N$2:$N$701)</f>
        <v>11899089</v>
      </c>
      <c r="R426" s="9" t="str">
        <f t="array" ref="R426">XLOOKUP(I426,customers_clean!$A$2:$A$701,customers_clean!$Q$2:$Q$701)</f>
        <v>❌ INVALID</v>
      </c>
      <c r="S426" s="10" t="s">
        <v>139</v>
      </c>
      <c r="T426" s="2" t="s">
        <v>301</v>
      </c>
      <c r="U426" s="2" t="s">
        <v>401</v>
      </c>
      <c r="V426" s="2" t="s">
        <v>1495</v>
      </c>
      <c r="W426" s="9" t="str">
        <f t="array" ref="W426">IF(ISNA(XLOOKUP(V426,products_master_corrected!$A$2:$A$151,products_master_corrected!$A$2:$A$151, NA())),
    "❌ MISSING SKU", "✅")</f>
        <v>✅</v>
      </c>
      <c r="X426" s="2" t="s">
        <v>1138</v>
      </c>
      <c r="Y426" s="2" t="s">
        <v>248</v>
      </c>
      <c r="Z426" s="10" t="s">
        <v>248</v>
      </c>
      <c r="AA426" s="27">
        <v>1.0</v>
      </c>
      <c r="AB426" s="9" t="s">
        <v>8649</v>
      </c>
      <c r="AC426" s="28">
        <f t="array" ref="AC426">XLOOKUP(V426,products_master_corrected!$A$2:$A$151,products_master_corrected!$E$2:$E$151)</f>
        <v>248.14</v>
      </c>
      <c r="AD426" s="28">
        <f t="shared" si="51"/>
        <v>248.14</v>
      </c>
      <c r="AE426" s="28">
        <f t="array" ref="AE426">XLOOKUP(V426,products_master_corrected!$A$2:$A$151,products_master_corrected!$L$2:$L$151)</f>
        <v>268.36</v>
      </c>
      <c r="AF426" s="29">
        <f t="shared" si="52"/>
        <v>268.36</v>
      </c>
      <c r="AG426" s="32" t="s">
        <v>8665</v>
      </c>
      <c r="AH426" s="2" t="s">
        <v>66</v>
      </c>
      <c r="AI426" s="10" t="s">
        <v>66</v>
      </c>
      <c r="AJ426" s="2" t="s">
        <v>294</v>
      </c>
      <c r="AK426" s="10" t="s">
        <v>80</v>
      </c>
    </row>
    <row r="427" ht="15.75" customHeight="1">
      <c r="A427" s="2" t="s">
        <v>1464</v>
      </c>
      <c r="B427" s="12">
        <v>45583.0</v>
      </c>
      <c r="C427" s="2" t="str">
        <f>IFERROR(__xludf.DUMMYFUNCTION("IF(ISNUMBER(B427),TEXT(B427,""yyyy-MM-dd""),REGEXREPLACE(REGEXREPLACE(TO_TEXT(B427),""[^0-9a-zA-Z]+"",""-""),""[^0-9]*$"",""""))"),"2024-10-18")</f>
        <v>2024-10-18</v>
      </c>
      <c r="D427" s="2" t="s">
        <v>7931</v>
      </c>
      <c r="H427" s="10" t="s">
        <v>7931</v>
      </c>
      <c r="I427" s="2" t="s">
        <v>1466</v>
      </c>
      <c r="J427" s="26" t="str">
        <f t="array" ref="J427">IF(ISNA(XLOOKUP(I427,customers_clean!$A$2:$A$701,customers_clean!$A$2:$A$701, NA()) ),
   "❌ MISSING CUSTOMER", "✅")</f>
        <v>✅</v>
      </c>
      <c r="K427" s="2" t="str">
        <f t="array" ref="K427">XLOOKUP(I427,customers_clean!$A$2:$A$701,customers_clean!$C$2:$C$701)</f>
        <v> Marek King</v>
      </c>
      <c r="L427" s="10" t="str">
        <f t="array" ref="L427">XLOOKUP(I427,customers_clean!$A$2:$A$701,customers_clean!$D$2:$D$701)</f>
        <v>Marek King</v>
      </c>
      <c r="M427" s="2" t="str">
        <f t="array" ref="M427">XLOOKUP(I427,customers_clean!$A$2:$A$701,customers_clean!$I$2:$I$701)</f>
        <v>Marek.King@Company.Co.Uk</v>
      </c>
      <c r="N427" s="10" t="str">
        <f t="array" ref="N427">XLOOKUP(I427,customers_clean!$A$2:$A$701,customers_clean!$H$2:$H$701)</f>
        <v>marek.king@company.co.uk</v>
      </c>
      <c r="O427" s="9" t="str">
        <f>IFERROR(__xludf.DUMMYFUNCTION("IF(REGEXMATCH(TRIM(N427),""^[A-Za-z0-9._%+-]+@[A-Za-z0-9.-]+\.[A-Za-z]{2,}$""),""✅ Valid"",""❌ Invalid"")"),"✅ Valid")</f>
        <v>✅ Valid</v>
      </c>
      <c r="P427" s="33" t="str">
        <f t="array" ref="P427">XLOOKUP(I427,customers_clean!$A$2:$A$701,customers_clean!$K$2:$K$701)</f>
        <v>4811899089</v>
      </c>
      <c r="Q427" s="10" t="str">
        <f t="array" ref="Q427">XLOOKUP(I427,customers_clean!$A$2:$A$701,customers_clean!$N$2:$N$701)</f>
        <v>11899089</v>
      </c>
      <c r="R427" s="9" t="str">
        <f t="array" ref="R427">XLOOKUP(I427,customers_clean!$A$2:$A$701,customers_clean!$Q$2:$Q$701)</f>
        <v>❌ INVALID</v>
      </c>
      <c r="S427" s="10" t="s">
        <v>139</v>
      </c>
      <c r="T427" s="2" t="s">
        <v>223</v>
      </c>
      <c r="U427" s="2" t="s">
        <v>176</v>
      </c>
      <c r="V427" s="2" t="s">
        <v>313</v>
      </c>
      <c r="W427" s="9" t="str">
        <f t="array" ref="W427">IF(ISNA(XLOOKUP(V427,products_master_corrected!$A$2:$A$151,products_master_corrected!$A$2:$A$151, NA())),
    "❌ MISSING SKU", "✅")</f>
        <v>✅</v>
      </c>
      <c r="X427" s="2" t="s">
        <v>768</v>
      </c>
      <c r="Y427" s="2" t="s">
        <v>315</v>
      </c>
      <c r="Z427" s="10" t="s">
        <v>179</v>
      </c>
      <c r="AA427" s="27">
        <v>3.0</v>
      </c>
      <c r="AB427" s="9" t="s">
        <v>8649</v>
      </c>
      <c r="AC427" s="28">
        <f t="array" ref="AC427">XLOOKUP(V427,products_master_corrected!$A$2:$A$151,products_master_corrected!$E$2:$E$151)</f>
        <v>47.55</v>
      </c>
      <c r="AD427" s="28">
        <f t="shared" si="51"/>
        <v>142.65</v>
      </c>
      <c r="AE427" s="28">
        <f t="array" ref="AE427">XLOOKUP(V427,products_master_corrected!$A$2:$A$151,products_master_corrected!$L$2:$L$151)</f>
        <v>51.43</v>
      </c>
      <c r="AF427" s="29">
        <f t="shared" si="52"/>
        <v>154.29</v>
      </c>
      <c r="AG427" s="32" t="s">
        <v>8665</v>
      </c>
      <c r="AH427" s="2" t="s">
        <v>414</v>
      </c>
      <c r="AI427" s="10" t="s">
        <v>49</v>
      </c>
      <c r="AJ427" s="2" t="s">
        <v>1312</v>
      </c>
      <c r="AK427" s="10" t="s">
        <v>818</v>
      </c>
      <c r="AL427" s="2" t="s">
        <v>67</v>
      </c>
    </row>
    <row r="428" ht="15.75" customHeight="1">
      <c r="A428" s="2" t="s">
        <v>4445</v>
      </c>
      <c r="B428" s="12">
        <v>45181.17222222222</v>
      </c>
      <c r="C428" s="2" t="str">
        <f>IFERROR(__xludf.DUMMYFUNCTION("IF(ISNUMBER(B428),TEXT(B428,""yyyy-MM-dd""),REGEXREPLACE(REGEXREPLACE(TO_TEXT(B428),""[^0-9a-zA-Z]+"",""-""),""[^0-9]*$"",""""))"),"2023-09-12")</f>
        <v>2023-09-12</v>
      </c>
      <c r="D428" s="2" t="s">
        <v>7753</v>
      </c>
      <c r="H428" s="10" t="s">
        <v>7753</v>
      </c>
      <c r="I428" s="2" t="s">
        <v>1466</v>
      </c>
      <c r="J428" s="26" t="str">
        <f t="array" ref="J428">IF(ISNA(XLOOKUP(I428,customers_clean!$A$2:$A$701,customers_clean!$A$2:$A$701, NA()) ),
   "❌ MISSING CUSTOMER", "✅")</f>
        <v>✅</v>
      </c>
      <c r="K428" s="2" t="str">
        <f t="array" ref="K428">XLOOKUP(I428,customers_clean!$A$2:$A$701,customers_clean!$C$2:$C$701)</f>
        <v> Marek King</v>
      </c>
      <c r="L428" s="10" t="str">
        <f t="array" ref="L428">XLOOKUP(I428,customers_clean!$A$2:$A$701,customers_clean!$D$2:$D$701)</f>
        <v>Marek King</v>
      </c>
      <c r="M428" s="2" t="str">
        <f t="array" ref="M428">XLOOKUP(I428,customers_clean!$A$2:$A$701,customers_clean!$I$2:$I$701)</f>
        <v>Marek.King@Company.Co.Uk</v>
      </c>
      <c r="N428" s="10" t="str">
        <f t="array" ref="N428">XLOOKUP(I428,customers_clean!$A$2:$A$701,customers_clean!$H$2:$H$701)</f>
        <v>marek.king@company.co.uk</v>
      </c>
      <c r="O428" s="9" t="str">
        <f>IFERROR(__xludf.DUMMYFUNCTION("IF(REGEXMATCH(TRIM(N428),""^[A-Za-z0-9._%+-]+@[A-Za-z0-9.-]+\.[A-Za-z]{2,}$""),""✅ Valid"",""❌ Invalid"")"),"✅ Valid")</f>
        <v>✅ Valid</v>
      </c>
      <c r="P428" s="33" t="str">
        <f t="array" ref="P428">XLOOKUP(I428,customers_clean!$A$2:$A$701,customers_clean!$K$2:$K$701)</f>
        <v>4811899089</v>
      </c>
      <c r="Q428" s="10" t="str">
        <f t="array" ref="Q428">XLOOKUP(I428,customers_clean!$A$2:$A$701,customers_clean!$N$2:$N$701)</f>
        <v>11899089</v>
      </c>
      <c r="R428" s="9" t="str">
        <f t="array" ref="R428">XLOOKUP(I428,customers_clean!$A$2:$A$701,customers_clean!$Q$2:$Q$701)</f>
        <v>❌ INVALID</v>
      </c>
      <c r="S428" s="10" t="s">
        <v>139</v>
      </c>
      <c r="T428" s="2" t="s">
        <v>26</v>
      </c>
      <c r="U428" s="2" t="s">
        <v>103</v>
      </c>
      <c r="V428" s="2" t="s">
        <v>1748</v>
      </c>
      <c r="W428" s="9" t="str">
        <f t="array" ref="W428">IF(ISNA(XLOOKUP(V428,products_master_corrected!$A$2:$A$151,products_master_corrected!$A$2:$A$151, NA())),
    "❌ MISSING SKU", "✅")</f>
        <v>✅</v>
      </c>
      <c r="X428" s="2" t="s">
        <v>62</v>
      </c>
      <c r="Y428" s="2" t="s">
        <v>315</v>
      </c>
      <c r="Z428" s="10" t="s">
        <v>179</v>
      </c>
      <c r="AA428" s="27"/>
      <c r="AB428" s="9" t="s">
        <v>8677</v>
      </c>
      <c r="AC428" s="34"/>
      <c r="AD428" s="34"/>
      <c r="AE428" s="34"/>
      <c r="AF428" s="35"/>
      <c r="AG428" s="36" t="s">
        <v>65</v>
      </c>
      <c r="AH428" s="2" t="s">
        <v>181</v>
      </c>
      <c r="AI428" s="10" t="s">
        <v>181</v>
      </c>
      <c r="AJ428" s="2" t="s">
        <v>50</v>
      </c>
      <c r="AK428" s="10" t="s">
        <v>261</v>
      </c>
      <c r="AL428" s="2" t="s">
        <v>81</v>
      </c>
    </row>
    <row r="429" ht="15.75" customHeight="1">
      <c r="A429" s="2" t="s">
        <v>2871</v>
      </c>
      <c r="B429" s="12">
        <v>45382.0</v>
      </c>
      <c r="C429" s="2" t="str">
        <f>IFERROR(__xludf.DUMMYFUNCTION("IF(ISNUMBER(B429),TEXT(B429,""yyyy-MM-dd""),REGEXREPLACE(REGEXREPLACE(TO_TEXT(B429),""[^0-9a-zA-Z]+"",""-""),""[^0-9]*$"",""""))"),"2024-03-31")</f>
        <v>2024-03-31</v>
      </c>
      <c r="D429" s="2" t="s">
        <v>6971</v>
      </c>
      <c r="H429" s="10" t="s">
        <v>6971</v>
      </c>
      <c r="I429" s="2" t="s">
        <v>2873</v>
      </c>
      <c r="J429" s="26" t="str">
        <f t="array" ref="J429">IF(ISNA(XLOOKUP(I429,customers_clean!$A$2:$A$701,customers_clean!$A$2:$A$701, NA()) ),
   "❌ MISSING CUSTOMER", "✅")</f>
        <v>✅</v>
      </c>
      <c r="K429" s="2" t="str">
        <f t="array" ref="K429">XLOOKUP(I429,customers_clean!$A$2:$A$701,customers_clean!$C$2:$C$701)</f>
        <v>Ken uDbois</v>
      </c>
      <c r="L429" s="10" t="str">
        <f t="array" ref="L429">XLOOKUP(I429,customers_clean!$A$2:$A$701,customers_clean!$D$2:$D$701)</f>
        <v>Ken Dubois</v>
      </c>
      <c r="M429" s="2" t="str">
        <f t="array" ref="M429">XLOOKUP(I429,customers_clean!$A$2:$A$701,customers_clean!$I$2:$I$701)</f>
        <v>Ken.Dubois@Gmail.Com</v>
      </c>
      <c r="N429" s="10" t="str">
        <f t="array" ref="N429">XLOOKUP(I429,customers_clean!$A$2:$A$701,customers_clean!$H$2:$H$701)</f>
        <v>ken.dubois@gmail.com</v>
      </c>
      <c r="O429" s="9" t="str">
        <f>IFERROR(__xludf.DUMMYFUNCTION("IF(REGEXMATCH(TRIM(N429),""^[A-Za-z0-9._%+-]+@[A-Za-z0-9.-]+\.[A-Za-z]{2,}$""),""✅ Valid"",""❌ Invalid"")"),"✅ Valid")</f>
        <v>✅ Valid</v>
      </c>
      <c r="P429" s="2">
        <f t="array" ref="P429">XLOOKUP(I429,customers_clean!$A$2:$A$701,customers_clean!$K$2:$K$701)</f>
        <v>585782249</v>
      </c>
      <c r="Q429" s="10" t="str">
        <f t="array" ref="Q429">XLOOKUP(I429,customers_clean!$A$2:$A$701,customers_clean!$N$2:$N$701)</f>
        <v>585782249</v>
      </c>
      <c r="R429" s="9" t="str">
        <f t="array" ref="R429">XLOOKUP(I429,customers_clean!$A$2:$A$701,customers_clean!$Q$2:$Q$701)</f>
        <v>❌ INVALID</v>
      </c>
      <c r="S429" s="10" t="s">
        <v>448</v>
      </c>
      <c r="T429" s="2" t="s">
        <v>42</v>
      </c>
      <c r="U429" s="2" t="s">
        <v>43</v>
      </c>
      <c r="V429" s="2" t="s">
        <v>290</v>
      </c>
      <c r="W429" s="9" t="str">
        <f t="array" ref="W429">IF(ISNA(XLOOKUP(V429,products_master_corrected!$A$2:$A$151,products_master_corrected!$A$2:$A$151, NA())),
    "❌ MISSING SKU", "✅")</f>
        <v>✅</v>
      </c>
      <c r="X429" s="2" t="s">
        <v>291</v>
      </c>
      <c r="Y429" s="2" t="s">
        <v>292</v>
      </c>
      <c r="Z429" s="10" t="s">
        <v>63</v>
      </c>
      <c r="AA429" s="27">
        <v>2.0</v>
      </c>
      <c r="AB429" s="9" t="s">
        <v>8649</v>
      </c>
      <c r="AC429" s="28">
        <f t="array" ref="AC429">XLOOKUP(V429,products_master_corrected!$A$2:$A$151,products_master_corrected!$E$2:$E$151)</f>
        <v>118.56</v>
      </c>
      <c r="AD429" s="28">
        <f t="shared" ref="AD429:AD431" si="53">AA429*AC429</f>
        <v>237.12</v>
      </c>
      <c r="AE429" s="28">
        <f t="array" ref="AE429">XLOOKUP(V429,products_master_corrected!$A$2:$A$151,products_master_corrected!$M$2:$M$151)</f>
        <v>143.41</v>
      </c>
      <c r="AF429" s="29">
        <f t="shared" ref="AF429:AF431" si="54">AA429*AE429</f>
        <v>286.82</v>
      </c>
      <c r="AG429" s="30" t="s">
        <v>48</v>
      </c>
      <c r="AH429" s="2" t="s">
        <v>414</v>
      </c>
      <c r="AI429" s="10" t="s">
        <v>49</v>
      </c>
      <c r="AJ429" s="2" t="s">
        <v>1463</v>
      </c>
      <c r="AK429" s="10" t="s">
        <v>80</v>
      </c>
    </row>
    <row r="430" ht="15.75" customHeight="1">
      <c r="A430" s="2" t="s">
        <v>3277</v>
      </c>
      <c r="B430" s="12">
        <v>45050.0</v>
      </c>
      <c r="C430" s="2" t="str">
        <f>IFERROR(__xludf.DUMMYFUNCTION("IF(ISNUMBER(B430),TEXT(B430,""yyyy-MM-dd""),REGEXREPLACE(REGEXREPLACE(TO_TEXT(B430),""[^0-9a-zA-Z]+"",""-""),""[^0-9]*$"",""""))"),"2023-05-04")</f>
        <v>2023-05-04</v>
      </c>
      <c r="D430" s="2" t="s">
        <v>8838</v>
      </c>
      <c r="H430" s="10" t="s">
        <v>8838</v>
      </c>
      <c r="I430" s="2" t="s">
        <v>3279</v>
      </c>
      <c r="J430" s="26" t="str">
        <f t="array" ref="J430">IF(ISNA(XLOOKUP(I430,customers_clean!$A$2:$A$701,customers_clean!$A$2:$A$701, NA()) ),
   "❌ MISSING CUSTOMER", "✅")</f>
        <v>✅</v>
      </c>
      <c r="K430" s="2" t="str">
        <f t="array" ref="K430">XLOOKUP(I430,customers_clean!$A$2:$A$701,customers_clean!$C$2:$C$701)</f>
        <v>Igor Muller</v>
      </c>
      <c r="L430" s="10" t="str">
        <f t="array" ref="L430">XLOOKUP(I430,customers_clean!$A$2:$A$701,customers_clean!$D$2:$D$701)</f>
        <v>Igor Muller</v>
      </c>
      <c r="M430" s="2" t="str">
        <f t="array" ref="M430">XLOOKUP(I430,customers_clean!$A$2:$A$701,customers_clean!$I$2:$I$701)</f>
        <v>igor.muller@yahoo.com</v>
      </c>
      <c r="N430" s="10" t="str">
        <f t="array" ref="N430">XLOOKUP(I430,customers_clean!$A$2:$A$701,customers_clean!$H$2:$H$701)</f>
        <v>igor.muller@yahoo.com</v>
      </c>
      <c r="O430" s="9" t="str">
        <f>IFERROR(__xludf.DUMMYFUNCTION("IF(REGEXMATCH(TRIM(N430),""^[A-Za-z0-9._%+-]+@[A-Za-z0-9.-]+\.[A-Za-z]{2,}$""),""✅ Valid"",""❌ Invalid"")"),"✅ Valid")</f>
        <v>✅ Valid</v>
      </c>
      <c r="P430" s="33" t="str">
        <f t="array" ref="P430">XLOOKUP(I430,customers_clean!$A$2:$A$701,customers_clean!$K$2:$K$701)</f>
        <v>363-99-22</v>
      </c>
      <c r="Q430" s="10" t="str">
        <f t="array" ref="Q430">XLOOKUP(I430,customers_clean!$A$2:$A$701,customers_clean!$N$2:$N$701)</f>
        <v>3639922</v>
      </c>
      <c r="R430" s="9" t="str">
        <f t="array" ref="R430">XLOOKUP(I430,customers_clean!$A$2:$A$701,customers_clean!$Q$2:$Q$701)</f>
        <v>❌ INVALID</v>
      </c>
      <c r="S430" s="10" t="s">
        <v>58</v>
      </c>
      <c r="T430" s="2" t="s">
        <v>26</v>
      </c>
      <c r="U430" s="2" t="s">
        <v>116</v>
      </c>
      <c r="V430" s="2" t="s">
        <v>2417</v>
      </c>
      <c r="W430" s="9" t="str">
        <f t="array" ref="W430">IF(ISNA(XLOOKUP(V430,products_master_corrected!$A$2:$A$151,products_master_corrected!$A$2:$A$151, NA())),
    "❌ MISSING SKU", "✅")</f>
        <v>✅</v>
      </c>
      <c r="X430" s="2" t="s">
        <v>225</v>
      </c>
      <c r="Y430" s="2" t="s">
        <v>503</v>
      </c>
      <c r="Z430" s="10" t="str">
        <f>PROPER(TRIM(Y430))</f>
        <v>Monitors</v>
      </c>
      <c r="AA430" s="27">
        <v>3.0</v>
      </c>
      <c r="AB430" s="9" t="s">
        <v>8649</v>
      </c>
      <c r="AC430" s="28">
        <f t="array" ref="AC430">XLOOKUP(V430,products_master_corrected!$A$2:$A$151,products_master_corrected!$E$2:$E$151)</f>
        <v>45.55</v>
      </c>
      <c r="AD430" s="28">
        <f t="shared" si="53"/>
        <v>136.65</v>
      </c>
      <c r="AE430" s="28">
        <f t="array" ref="AE430">XLOOKUP(V430,products_master_corrected!$A$2:$A$151,products_master_corrected!$G$2:$G$151)</f>
        <v>52.15</v>
      </c>
      <c r="AF430" s="29">
        <f t="shared" si="54"/>
        <v>156.45</v>
      </c>
      <c r="AG430" s="32" t="s">
        <v>8663</v>
      </c>
      <c r="AH430" s="2" t="s">
        <v>49</v>
      </c>
      <c r="AI430" s="10" t="s">
        <v>49</v>
      </c>
      <c r="AJ430" s="2" t="s">
        <v>80</v>
      </c>
      <c r="AK430" s="10" t="s">
        <v>80</v>
      </c>
    </row>
    <row r="431" ht="15.75" customHeight="1">
      <c r="A431" s="2" t="s">
        <v>5033</v>
      </c>
      <c r="B431" s="12">
        <v>45121.0</v>
      </c>
      <c r="C431" s="2" t="str">
        <f>IFERROR(__xludf.DUMMYFUNCTION("IF(ISNUMBER(B431),TEXT(B431,""yyyy-MM-dd""),REGEXREPLACE(REGEXREPLACE(TO_TEXT(B431),""[^0-9a-zA-Z]+"",""-""),""[^0-9]*$"",""""))"),"2023-07-14")</f>
        <v>2023-07-14</v>
      </c>
      <c r="D431" s="2" t="s">
        <v>8748</v>
      </c>
      <c r="H431" s="10" t="s">
        <v>8748</v>
      </c>
      <c r="I431" s="2" t="s">
        <v>3279</v>
      </c>
      <c r="J431" s="26" t="str">
        <f t="array" ref="J431">IF(ISNA(XLOOKUP(I431,customers_clean!$A$2:$A$701,customers_clean!$A$2:$A$701, NA()) ),
   "❌ MISSING CUSTOMER", "✅")</f>
        <v>✅</v>
      </c>
      <c r="K431" s="2" t="str">
        <f t="array" ref="K431">XLOOKUP(I431,customers_clean!$A$2:$A$701,customers_clean!$C$2:$C$701)</f>
        <v>Igor Muller</v>
      </c>
      <c r="L431" s="10" t="str">
        <f t="array" ref="L431">XLOOKUP(I431,customers_clean!$A$2:$A$701,customers_clean!$D$2:$D$701)</f>
        <v>Igor Muller</v>
      </c>
      <c r="M431" s="2" t="str">
        <f t="array" ref="M431">XLOOKUP(I431,customers_clean!$A$2:$A$701,customers_clean!$I$2:$I$701)</f>
        <v>igor.muller@yahoo.com</v>
      </c>
      <c r="N431" s="10" t="str">
        <f t="array" ref="N431">XLOOKUP(I431,customers_clean!$A$2:$A$701,customers_clean!$H$2:$H$701)</f>
        <v>igor.muller@yahoo.com</v>
      </c>
      <c r="O431" s="9" t="str">
        <f>IFERROR(__xludf.DUMMYFUNCTION("IF(REGEXMATCH(TRIM(N431),""^[A-Za-z0-9._%+-]+@[A-Za-z0-9.-]+\.[A-Za-z]{2,}$""),""✅ Valid"",""❌ Invalid"")"),"✅ Valid")</f>
        <v>✅ Valid</v>
      </c>
      <c r="P431" s="33" t="str">
        <f t="array" ref="P431">XLOOKUP(I431,customers_clean!$A$2:$A$701,customers_clean!$K$2:$K$701)</f>
        <v>363-99-22</v>
      </c>
      <c r="Q431" s="10" t="str">
        <f t="array" ref="Q431">XLOOKUP(I431,customers_clean!$A$2:$A$701,customers_clean!$N$2:$N$701)</f>
        <v>3639922</v>
      </c>
      <c r="R431" s="9" t="str">
        <f t="array" ref="R431">XLOOKUP(I431,customers_clean!$A$2:$A$701,customers_clean!$Q$2:$Q$701)</f>
        <v>❌ INVALID</v>
      </c>
      <c r="S431" s="10" t="s">
        <v>58</v>
      </c>
      <c r="T431" s="2" t="s">
        <v>223</v>
      </c>
      <c r="U431" s="2" t="s">
        <v>401</v>
      </c>
      <c r="V431" s="2" t="s">
        <v>2680</v>
      </c>
      <c r="W431" s="9" t="str">
        <f t="array" ref="W431">IF(ISNA(XLOOKUP(V431,products_master_corrected!$A$2:$A$151,products_master_corrected!$A$2:$A$151, NA())),
    "❌ MISSING SKU", "✅")</f>
        <v>✅</v>
      </c>
      <c r="X431" s="2" t="s">
        <v>303</v>
      </c>
      <c r="Y431" s="2" t="s">
        <v>2421</v>
      </c>
      <c r="Z431" s="10" t="s">
        <v>248</v>
      </c>
      <c r="AA431" s="27">
        <v>5.0</v>
      </c>
      <c r="AB431" s="9" t="s">
        <v>8649</v>
      </c>
      <c r="AC431" s="28">
        <f t="array" ref="AC431">XLOOKUP(V431,products_master_corrected!$A$2:$A$151,products_master_corrected!$E$2:$E$151)</f>
        <v>121.47</v>
      </c>
      <c r="AD431" s="28">
        <f t="shared" si="53"/>
        <v>607.35</v>
      </c>
      <c r="AE431" s="28">
        <f t="array" ref="AE431">XLOOKUP(V431,products_master_corrected!$A$2:$A$151,products_master_corrected!$G$2:$G$151)</f>
        <v>139.06</v>
      </c>
      <c r="AF431" s="29">
        <f t="shared" si="54"/>
        <v>695.3</v>
      </c>
      <c r="AG431" s="32" t="s">
        <v>8663</v>
      </c>
      <c r="AH431" s="2" t="s">
        <v>49</v>
      </c>
      <c r="AI431" s="10" t="s">
        <v>49</v>
      </c>
      <c r="AJ431" s="2" t="s">
        <v>192</v>
      </c>
      <c r="AK431" s="10" t="s">
        <v>192</v>
      </c>
      <c r="AL431" s="2" t="s">
        <v>81</v>
      </c>
    </row>
    <row r="432" ht="15.75" customHeight="1">
      <c r="A432" s="2" t="s">
        <v>5929</v>
      </c>
      <c r="B432" s="12">
        <v>45224.0</v>
      </c>
      <c r="C432" s="2" t="str">
        <f>IFERROR(__xludf.DUMMYFUNCTION("IF(ISNUMBER(B432),TEXT(B432,""yyyy-MM-dd""),REGEXREPLACE(REGEXREPLACE(TO_TEXT(B432),""[^0-9a-zA-Z]+"",""-""),""[^0-9]*$"",""""))"),"2023-10-25")</f>
        <v>2023-10-25</v>
      </c>
      <c r="D432" s="2" t="s">
        <v>8839</v>
      </c>
      <c r="H432" s="10" t="s">
        <v>8839</v>
      </c>
      <c r="I432" s="2" t="s">
        <v>5931</v>
      </c>
      <c r="J432" s="26" t="str">
        <f t="array" ref="J432">IF(ISNA(XLOOKUP(I432,customers_clean!$A$2:$A$701,customers_clean!$A$2:$A$701, NA()) ),
   "❌ MISSING CUSTOMER", "✅")</f>
        <v>✅</v>
      </c>
      <c r="K432" s="2" t="str">
        <f t="array" ref="K432">XLOOKUP(I432,customers_clean!$A$2:$A$701,customers_clean!$C$2:$C$701)</f>
        <v>Yara  Brown</v>
      </c>
      <c r="L432" s="10" t="str">
        <f t="array" ref="L432">XLOOKUP(I432,customers_clean!$A$2:$A$701,customers_clean!$D$2:$D$701)</f>
        <v>Yara Brown</v>
      </c>
      <c r="M432" s="2" t="str">
        <f t="array" ref="M432">XLOOKUP(I432,customers_clean!$A$2:$A$701,customers_clean!$I$2:$I$701)</f>
        <v> yara.brown@company.co.uk</v>
      </c>
      <c r="N432" s="10" t="str">
        <f t="array" ref="N432">XLOOKUP(I432,customers_clean!$A$2:$A$701,customers_clean!$H$2:$H$701)</f>
        <v>yara.brown@company.co.uk</v>
      </c>
      <c r="O432" s="9" t="str">
        <f>IFERROR(__xludf.DUMMYFUNCTION("IF(REGEXMATCH(TRIM(N432),""^[A-Za-z0-9._%+-]+@[A-Za-z0-9.-]+\.[A-Za-z]{2,}$""),""✅ Valid"",""❌ Invalid"")"),"✅ Valid")</f>
        <v>✅ Valid</v>
      </c>
      <c r="P432" s="2">
        <f t="array" ref="P432">XLOOKUP(I432,customers_clean!$A$2:$A$701,customers_clean!$K$2:$K$701)</f>
        <v>67593595867</v>
      </c>
      <c r="Q432" s="10" t="str">
        <f t="array" ref="Q432">XLOOKUP(I432,customers_clean!$A$2:$A$701,customers_clean!$N$2:$N$701)</f>
        <v>67593595867</v>
      </c>
      <c r="R432" s="9" t="str">
        <f t="array" ref="R432">XLOOKUP(I432,customers_clean!$A$2:$A$701,customers_clean!$Q$2:$Q$701)</f>
        <v>❌ INVALID</v>
      </c>
      <c r="S432" s="10" t="s">
        <v>58</v>
      </c>
      <c r="T432" s="2" t="s">
        <v>234</v>
      </c>
      <c r="U432" s="2" t="s">
        <v>480</v>
      </c>
      <c r="V432" s="2" t="s">
        <v>2425</v>
      </c>
      <c r="W432" s="9" t="str">
        <f t="array" ref="W432">IF(ISNA(XLOOKUP(V432,products_master_corrected!$A$2:$A$151,products_master_corrected!$A$2:$A$151, NA())),
    "❌ MISSING SKU", "✅")</f>
        <v>✅</v>
      </c>
      <c r="X432" s="2" t="s">
        <v>2426</v>
      </c>
      <c r="Y432" s="2" t="s">
        <v>2427</v>
      </c>
      <c r="Z432" s="10" t="s">
        <v>248</v>
      </c>
      <c r="AA432" s="27"/>
      <c r="AB432" s="9" t="s">
        <v>8677</v>
      </c>
      <c r="AC432" s="34"/>
      <c r="AD432" s="34"/>
      <c r="AE432" s="34"/>
      <c r="AF432" s="35"/>
      <c r="AG432" s="36" t="s">
        <v>32</v>
      </c>
      <c r="AH432" s="2" t="s">
        <v>143</v>
      </c>
      <c r="AI432" s="10" t="s">
        <v>143</v>
      </c>
      <c r="AJ432" s="2" t="s">
        <v>120</v>
      </c>
      <c r="AK432" s="10" t="s">
        <v>818</v>
      </c>
      <c r="AL432" s="2" t="s">
        <v>67</v>
      </c>
    </row>
    <row r="433" ht="15.75" customHeight="1">
      <c r="A433" s="2" t="s">
        <v>1569</v>
      </c>
      <c r="B433" s="12">
        <v>45556.0</v>
      </c>
      <c r="C433" s="2" t="str">
        <f>IFERROR(__xludf.DUMMYFUNCTION("IF(ISNUMBER(B433),TEXT(B433,""yyyy-MM-dd""),REGEXREPLACE(REGEXREPLACE(TO_TEXT(B433),""[^0-9a-zA-Z]+"",""-""),""[^0-9]*$"",""""))"),"2024-09-21")</f>
        <v>2024-09-21</v>
      </c>
      <c r="D433" s="2" t="s">
        <v>1570</v>
      </c>
      <c r="H433" s="10" t="s">
        <v>1570</v>
      </c>
      <c r="I433" s="2" t="s">
        <v>1571</v>
      </c>
      <c r="J433" s="26" t="str">
        <f t="array" ref="J433">IF(ISNA(XLOOKUP(I433,customers_clean!$A$2:$A$701,customers_clean!$A$2:$A$701, NA()) ),
   "❌ MISSING CUSTOMER", "✅")</f>
        <v>✅</v>
      </c>
      <c r="K433" s="2" t="str">
        <f t="array" ref="K433">XLOOKUP(I433,customers_clean!$A$2:$A$701,customers_clean!$C$2:$C$701)</f>
        <v>Fiona Martinez </v>
      </c>
      <c r="L433" s="10" t="str">
        <f t="array" ref="L433">XLOOKUP(I433,customers_clean!$A$2:$A$701,customers_clean!$D$2:$D$701)</f>
        <v>Fiona Martinez</v>
      </c>
      <c r="M433" s="2" t="str">
        <f t="array" ref="M433">XLOOKUP(I433,customers_clean!$A$2:$A$701,customers_clean!$I$2:$I$701)</f>
        <v>fiona.martinez@shop.io</v>
      </c>
      <c r="N433" s="10" t="str">
        <f t="array" ref="N433">XLOOKUP(I433,customers_clean!$A$2:$A$701,customers_clean!$H$2:$H$701)</f>
        <v>fiona.martinez@shop.io</v>
      </c>
      <c r="O433" s="9" t="str">
        <f>IFERROR(__xludf.DUMMYFUNCTION("IF(REGEXMATCH(TRIM(N433),""^[A-Za-z0-9._%+-]+@[A-Za-z0-9.-]+\.[A-Za-z]{2,}$""),""✅ Valid"",""❌ Invalid"")"),"✅ Valid")</f>
        <v>✅ Valid</v>
      </c>
      <c r="P433" s="2" t="str">
        <f t="array" ref="P433">XLOOKUP(I433,customers_clean!$A$2:$A$701,customers_clean!$K$2:$K$701)</f>
        <v>tel:+144955349928</v>
      </c>
      <c r="Q433" s="10" t="str">
        <f t="array" ref="Q433">XLOOKUP(I433,customers_clean!$A$2:$A$701,customers_clean!$N$2:$N$701)</f>
        <v>44955349928</v>
      </c>
      <c r="R433" s="9" t="str">
        <f t="array" ref="R433">XLOOKUP(I433,customers_clean!$A$2:$A$701,customers_clean!$Q$2:$Q$701)</f>
        <v>❌ INVALID</v>
      </c>
      <c r="S433" s="10" t="s">
        <v>114</v>
      </c>
      <c r="T433" s="2" t="s">
        <v>323</v>
      </c>
      <c r="U433" s="2" t="s">
        <v>312</v>
      </c>
      <c r="V433" s="2" t="s">
        <v>1575</v>
      </c>
      <c r="W433" s="9" t="str">
        <f t="array" ref="W433">IF(ISNA(XLOOKUP(V433,products_master_corrected!$A$2:$A$151,products_master_corrected!$A$2:$A$151, NA())),
    "❌ MISSING SKU", "✅")</f>
        <v>✅</v>
      </c>
      <c r="X433" s="2" t="s">
        <v>291</v>
      </c>
      <c r="Y433" s="2" t="s">
        <v>1577</v>
      </c>
      <c r="Z433" s="10" t="s">
        <v>63</v>
      </c>
      <c r="AA433" s="27">
        <v>1.0</v>
      </c>
      <c r="AB433" s="9" t="s">
        <v>8649</v>
      </c>
      <c r="AC433" s="28">
        <f t="array" ref="AC433">XLOOKUP(V433,products_master_corrected!$A$2:$A$151,products_master_corrected!$E$2:$E$151)</f>
        <v>195.63</v>
      </c>
      <c r="AD433" s="28">
        <f t="shared" ref="AD433:AD516" si="55">AA433*AC433</f>
        <v>195.63</v>
      </c>
      <c r="AE433" s="28">
        <f t="array" ref="AE433">XLOOKUP(V433,products_master_corrected!$A$2:$A$151,products_master_corrected!$F$2:$F$151)</f>
        <v>195.63</v>
      </c>
      <c r="AF433" s="29">
        <f t="shared" ref="AF433:AF516" si="56">AA433*AE433</f>
        <v>195.63</v>
      </c>
      <c r="AG433" s="30" t="s">
        <v>65</v>
      </c>
      <c r="AH433" s="2" t="s">
        <v>414</v>
      </c>
      <c r="AI433" s="10" t="s">
        <v>49</v>
      </c>
      <c r="AJ433" s="2" t="s">
        <v>294</v>
      </c>
      <c r="AK433" s="10" t="s">
        <v>80</v>
      </c>
      <c r="AL433" s="2" t="s">
        <v>51</v>
      </c>
    </row>
    <row r="434" ht="15.75" customHeight="1">
      <c r="A434" s="2" t="s">
        <v>3186</v>
      </c>
      <c r="B434" s="12">
        <v>45566.0</v>
      </c>
      <c r="C434" s="2" t="str">
        <f>IFERROR(__xludf.DUMMYFUNCTION("IF(ISNUMBER(B434),TEXT(B434,""yyyy-MM-dd""),REGEXREPLACE(REGEXREPLACE(TO_TEXT(B434),""[^0-9a-zA-Z]+"",""-""),""[^0-9]*$"",""""))"),"2024-10-01")</f>
        <v>2024-10-01</v>
      </c>
      <c r="D434" s="2" t="s">
        <v>3187</v>
      </c>
      <c r="H434" s="10" t="s">
        <v>3187</v>
      </c>
      <c r="I434" s="2" t="s">
        <v>1571</v>
      </c>
      <c r="J434" s="26" t="str">
        <f t="array" ref="J434">IF(ISNA(XLOOKUP(I434,customers_clean!$A$2:$A$701,customers_clean!$A$2:$A$701, NA()) ),
   "❌ MISSING CUSTOMER", "✅")</f>
        <v>✅</v>
      </c>
      <c r="K434" s="2" t="str">
        <f t="array" ref="K434">XLOOKUP(I434,customers_clean!$A$2:$A$701,customers_clean!$C$2:$C$701)</f>
        <v>Fiona Martinez </v>
      </c>
      <c r="L434" s="10" t="str">
        <f t="array" ref="L434">XLOOKUP(I434,customers_clean!$A$2:$A$701,customers_clean!$D$2:$D$701)</f>
        <v>Fiona Martinez</v>
      </c>
      <c r="M434" s="2" t="str">
        <f t="array" ref="M434">XLOOKUP(I434,customers_clean!$A$2:$A$701,customers_clean!$I$2:$I$701)</f>
        <v>fiona.martinez@shop.io</v>
      </c>
      <c r="N434" s="10" t="str">
        <f t="array" ref="N434">XLOOKUP(I434,customers_clean!$A$2:$A$701,customers_clean!$H$2:$H$701)</f>
        <v>fiona.martinez@shop.io</v>
      </c>
      <c r="O434" s="9" t="str">
        <f>IFERROR(__xludf.DUMMYFUNCTION("IF(REGEXMATCH(TRIM(N434),""^[A-Za-z0-9._%+-]+@[A-Za-z0-9.-]+\.[A-Za-z]{2,}$""),""✅ Valid"",""❌ Invalid"")"),"✅ Valid")</f>
        <v>✅ Valid</v>
      </c>
      <c r="P434" s="2" t="str">
        <f t="array" ref="P434">XLOOKUP(I434,customers_clean!$A$2:$A$701,customers_clean!$K$2:$K$701)</f>
        <v>tel:+144955349928</v>
      </c>
      <c r="Q434" s="10" t="str">
        <f t="array" ref="Q434">XLOOKUP(I434,customers_clean!$A$2:$A$701,customers_clean!$N$2:$N$701)</f>
        <v>44955349928</v>
      </c>
      <c r="R434" s="9" t="str">
        <f t="array" ref="R434">XLOOKUP(I434,customers_clean!$A$2:$A$701,customers_clean!$Q$2:$Q$701)</f>
        <v>❌ INVALID</v>
      </c>
      <c r="S434" s="10" t="s">
        <v>114</v>
      </c>
      <c r="T434" s="2" t="s">
        <v>460</v>
      </c>
      <c r="U434" s="2" t="s">
        <v>116</v>
      </c>
      <c r="V434" s="2" t="s">
        <v>534</v>
      </c>
      <c r="W434" s="9" t="str">
        <f t="array" ref="W434">IF(ISNA(XLOOKUP(V434,products_master_corrected!$A$2:$A$151,products_master_corrected!$A$2:$A$151, NA())),
    "❌ MISSING SKU", "✅")</f>
        <v>✅</v>
      </c>
      <c r="X434" s="2" t="s">
        <v>535</v>
      </c>
      <c r="Y434" s="2" t="s">
        <v>30</v>
      </c>
      <c r="Z434" s="10" t="s">
        <v>179</v>
      </c>
      <c r="AA434" s="27">
        <v>1.0</v>
      </c>
      <c r="AB434" s="9" t="s">
        <v>8649</v>
      </c>
      <c r="AC434" s="28">
        <f t="array" ref="AC434">XLOOKUP(V434,products_master_corrected!$A$2:$A$151,products_master_corrected!$E$2:$E$151)</f>
        <v>113.92</v>
      </c>
      <c r="AD434" s="28">
        <f t="shared" si="55"/>
        <v>113.92</v>
      </c>
      <c r="AE434" s="28">
        <f t="array" ref="AE434">XLOOKUP(V434,products_master_corrected!$A$2:$A$151,products_master_corrected!$F$2:$F$151)</f>
        <v>113.92</v>
      </c>
      <c r="AF434" s="29">
        <f t="shared" si="56"/>
        <v>113.92</v>
      </c>
      <c r="AG434" s="30" t="s">
        <v>65</v>
      </c>
      <c r="AH434" s="2" t="s">
        <v>3189</v>
      </c>
      <c r="AI434" s="10" t="s">
        <v>181</v>
      </c>
      <c r="AJ434" s="2" t="s">
        <v>1171</v>
      </c>
      <c r="AK434" s="10" t="s">
        <v>80</v>
      </c>
    </row>
    <row r="435" ht="15.75" customHeight="1">
      <c r="A435" s="2" t="s">
        <v>2564</v>
      </c>
      <c r="B435" s="12">
        <v>45270.0</v>
      </c>
      <c r="C435" s="2" t="str">
        <f>IFERROR(__xludf.DUMMYFUNCTION("IF(ISNUMBER(B435),TEXT(B435,""yyyy-MM-dd""),REGEXREPLACE(REGEXREPLACE(TO_TEXT(B435),""[^0-9a-zA-Z]+"",""-""),""[^0-9]*$"",""""))"),"2023-12-10")</f>
        <v>2023-12-10</v>
      </c>
      <c r="D435" s="2" t="s">
        <v>8354</v>
      </c>
      <c r="H435" s="10" t="s">
        <v>8354</v>
      </c>
      <c r="I435" s="2" t="s">
        <v>1571</v>
      </c>
      <c r="J435" s="26" t="str">
        <f t="array" ref="J435">IF(ISNA(XLOOKUP(I435,customers_clean!$A$2:$A$701,customers_clean!$A$2:$A$701, NA()) ),
   "❌ MISSING CUSTOMER", "✅")</f>
        <v>✅</v>
      </c>
      <c r="K435" s="2" t="str">
        <f t="array" ref="K435">XLOOKUP(I435,customers_clean!$A$2:$A$701,customers_clean!$C$2:$C$701)</f>
        <v>Fiona Martinez </v>
      </c>
      <c r="L435" s="10" t="str">
        <f t="array" ref="L435">XLOOKUP(I435,customers_clean!$A$2:$A$701,customers_clean!$D$2:$D$701)</f>
        <v>Fiona Martinez</v>
      </c>
      <c r="M435" s="2" t="str">
        <f t="array" ref="M435">XLOOKUP(I435,customers_clean!$A$2:$A$701,customers_clean!$I$2:$I$701)</f>
        <v>fiona.martinez@shop.io</v>
      </c>
      <c r="N435" s="10" t="str">
        <f t="array" ref="N435">XLOOKUP(I435,customers_clean!$A$2:$A$701,customers_clean!$H$2:$H$701)</f>
        <v>fiona.martinez@shop.io</v>
      </c>
      <c r="O435" s="9" t="str">
        <f>IFERROR(__xludf.DUMMYFUNCTION("IF(REGEXMATCH(TRIM(N435),""^[A-Za-z0-9._%+-]+@[A-Za-z0-9.-]+\.[A-Za-z]{2,}$""),""✅ Valid"",""❌ Invalid"")"),"✅ Valid")</f>
        <v>✅ Valid</v>
      </c>
      <c r="P435" s="2" t="str">
        <f t="array" ref="P435">XLOOKUP(I435,customers_clean!$A$2:$A$701,customers_clean!$K$2:$K$701)</f>
        <v>tel:+144955349928</v>
      </c>
      <c r="Q435" s="10" t="str">
        <f t="array" ref="Q435">XLOOKUP(I435,customers_clean!$A$2:$A$701,customers_clean!$N$2:$N$701)</f>
        <v>44955349928</v>
      </c>
      <c r="R435" s="9" t="str">
        <f t="array" ref="R435">XLOOKUP(I435,customers_clean!$A$2:$A$701,customers_clean!$Q$2:$Q$701)</f>
        <v>❌ INVALID</v>
      </c>
      <c r="S435" s="10" t="s">
        <v>114</v>
      </c>
      <c r="T435" s="2" t="s">
        <v>26</v>
      </c>
      <c r="U435" s="2" t="s">
        <v>312</v>
      </c>
      <c r="V435" s="2" t="s">
        <v>661</v>
      </c>
      <c r="W435" s="9" t="str">
        <f t="array" ref="W435">IF(ISNA(XLOOKUP(V435,products_master_corrected!$A$2:$A$151,products_master_corrected!$A$2:$A$151, NA())),
    "❌ MISSING SKU", "✅")</f>
        <v>✅</v>
      </c>
      <c r="X435" s="2" t="s">
        <v>423</v>
      </c>
      <c r="Y435" s="2" t="s">
        <v>368</v>
      </c>
      <c r="Z435" s="10" t="s">
        <v>368</v>
      </c>
      <c r="AA435" s="27">
        <v>3.0</v>
      </c>
      <c r="AB435" s="9" t="s">
        <v>8649</v>
      </c>
      <c r="AC435" s="28">
        <f t="array" ref="AC435">XLOOKUP(V435,products_master_corrected!$A$2:$A$151,products_master_corrected!$E$2:$E$151)</f>
        <v>76.62</v>
      </c>
      <c r="AD435" s="28">
        <f t="shared" si="55"/>
        <v>229.86</v>
      </c>
      <c r="AE435" s="28">
        <f t="array" ref="AE435">XLOOKUP(V435,products_master_corrected!$A$2:$A$151,products_master_corrected!$F$2:$F$151)</f>
        <v>76.62</v>
      </c>
      <c r="AF435" s="29">
        <f t="shared" si="56"/>
        <v>229.86</v>
      </c>
      <c r="AG435" s="30" t="s">
        <v>65</v>
      </c>
      <c r="AH435" s="2" t="s">
        <v>238</v>
      </c>
      <c r="AI435" s="10" t="s">
        <v>66</v>
      </c>
      <c r="AJ435" s="2" t="s">
        <v>169</v>
      </c>
      <c r="AK435" s="10" t="s">
        <v>261</v>
      </c>
      <c r="AL435" s="2" t="s">
        <v>81</v>
      </c>
    </row>
    <row r="436" ht="15.75" customHeight="1">
      <c r="A436" s="2" t="s">
        <v>3663</v>
      </c>
      <c r="B436" s="12">
        <v>45075.0</v>
      </c>
      <c r="C436" s="2" t="str">
        <f>IFERROR(__xludf.DUMMYFUNCTION("IF(ISNUMBER(B436),TEXT(B436,""yyyy-MM-dd""),REGEXREPLACE(REGEXREPLACE(TO_TEXT(B436),""[^0-9a-zA-Z]+"",""-""),""[^0-9]*$"",""""))"),"2023-05-29")</f>
        <v>2023-05-29</v>
      </c>
      <c r="D436" s="2" t="s">
        <v>8782</v>
      </c>
      <c r="H436" s="10" t="s">
        <v>8782</v>
      </c>
      <c r="I436" s="2" t="s">
        <v>1450</v>
      </c>
      <c r="J436" s="26" t="str">
        <f t="array" ref="J436">IF(ISNA(XLOOKUP(I436,customers_clean!$A$2:$A$701,customers_clean!$A$2:$A$701, NA()) ),
   "❌ MISSING CUSTOMER", "✅")</f>
        <v>✅</v>
      </c>
      <c r="K436" s="2" t="str">
        <f t="array" ref="K436">XLOOKUP(I436,customers_clean!$A$2:$A$701,customers_clean!$C$2:$C$701)</f>
        <v>Adam Johnson</v>
      </c>
      <c r="L436" s="10" t="str">
        <f t="array" ref="L436">XLOOKUP(I436,customers_clean!$A$2:$A$701,customers_clean!$D$2:$D$701)</f>
        <v>Adam Johnson</v>
      </c>
      <c r="M436" s="2" t="str">
        <f t="array" ref="M436">XLOOKUP(I436,customers_clean!$A$2:$A$701,customers_clean!$I$2:$I$701)</f>
        <v>adam.johnson@example.com</v>
      </c>
      <c r="N436" s="10" t="str">
        <f t="array" ref="N436">XLOOKUP(I436,customers_clean!$A$2:$A$701,customers_clean!$H$2:$H$701)</f>
        <v>adam.johnson@example.com</v>
      </c>
      <c r="O436" s="9" t="str">
        <f>IFERROR(__xludf.DUMMYFUNCTION("IF(REGEXMATCH(TRIM(N436),""^[A-Za-z0-9._%+-]+@[A-Za-z0-9.-]+\.[A-Za-z]{2,}$""),""✅ Valid"",""❌ Invalid"")"),"✅ Valid")</f>
        <v>✅ Valid</v>
      </c>
      <c r="P436" s="2" t="str">
        <f t="array" ref="P436">XLOOKUP(I436,customers_clean!$A$2:$A$701,customers_clean!$K$2:$K$701)</f>
        <v>993-510-0614</v>
      </c>
      <c r="Q436" s="10" t="str">
        <f t="array" ref="Q436">XLOOKUP(I436,customers_clean!$A$2:$A$701,customers_clean!$N$2:$N$701)</f>
        <v>9935100614</v>
      </c>
      <c r="R436" s="9" t="str">
        <f t="array" ref="R436">XLOOKUP(I436,customers_clean!$A$2:$A$701,customers_clean!$Q$2:$Q$701)</f>
        <v>❌ INVALID</v>
      </c>
      <c r="S436" s="10" t="s">
        <v>114</v>
      </c>
      <c r="T436" s="2" t="s">
        <v>802</v>
      </c>
      <c r="U436" s="2" t="s">
        <v>401</v>
      </c>
      <c r="V436" s="2" t="s">
        <v>177</v>
      </c>
      <c r="W436" s="9" t="str">
        <f t="array" ref="W436">IF(ISNA(XLOOKUP(V436,products_master_corrected!$A$2:$A$151,products_master_corrected!$A$2:$A$151, NA())),
    "❌ MISSING SKU", "✅")</f>
        <v>✅</v>
      </c>
      <c r="X436" s="2" t="s">
        <v>8680</v>
      </c>
      <c r="Y436" s="2" t="s">
        <v>179</v>
      </c>
      <c r="Z436" s="10" t="s">
        <v>179</v>
      </c>
      <c r="AA436" s="27">
        <v>2.0</v>
      </c>
      <c r="AB436" s="9" t="s">
        <v>8649</v>
      </c>
      <c r="AC436" s="28">
        <f t="array" ref="AC436">XLOOKUP(V436,products_master_corrected!$A$2:$A$151,products_master_corrected!$E$2:$E$151)</f>
        <v>272.72</v>
      </c>
      <c r="AD436" s="28">
        <f t="shared" si="55"/>
        <v>545.44</v>
      </c>
      <c r="AE436" s="28">
        <f t="array" ref="AE436">XLOOKUP(V436,products_master_corrected!$A$2:$A$151,products_master_corrected!$F$2:$F$151)</f>
        <v>272.72</v>
      </c>
      <c r="AF436" s="29">
        <f t="shared" si="56"/>
        <v>545.44</v>
      </c>
      <c r="AG436" s="30" t="s">
        <v>65</v>
      </c>
      <c r="AH436" s="2" t="s">
        <v>66</v>
      </c>
      <c r="AI436" s="10" t="s">
        <v>66</v>
      </c>
      <c r="AJ436" s="2" t="s">
        <v>192</v>
      </c>
      <c r="AK436" s="10" t="s">
        <v>192</v>
      </c>
      <c r="AL436" s="2" t="s">
        <v>133</v>
      </c>
    </row>
    <row r="437" ht="15.75" customHeight="1">
      <c r="A437" s="2" t="s">
        <v>1448</v>
      </c>
      <c r="B437" s="12">
        <v>45385.0</v>
      </c>
      <c r="C437" s="2" t="str">
        <f>IFERROR(__xludf.DUMMYFUNCTION("IF(ISNUMBER(B437),TEXT(B437,""yyyy-MM-dd""),REGEXREPLACE(REGEXREPLACE(TO_TEXT(B437),""[^0-9a-zA-Z]+"",""-""),""[^0-9]*$"",""""))"),"2024-04-03")</f>
        <v>2024-04-03</v>
      </c>
      <c r="D437" s="2" t="s">
        <v>8821</v>
      </c>
      <c r="H437" s="10" t="s">
        <v>8821</v>
      </c>
      <c r="I437" s="2" t="s">
        <v>1450</v>
      </c>
      <c r="J437" s="26" t="str">
        <f t="array" ref="J437">IF(ISNA(XLOOKUP(I437,customers_clean!$A$2:$A$701,customers_clean!$A$2:$A$701, NA()) ),
   "❌ MISSING CUSTOMER", "✅")</f>
        <v>✅</v>
      </c>
      <c r="K437" s="2" t="str">
        <f t="array" ref="K437">XLOOKUP(I437,customers_clean!$A$2:$A$701,customers_clean!$C$2:$C$701)</f>
        <v>Adam Johnson</v>
      </c>
      <c r="L437" s="10" t="str">
        <f t="array" ref="L437">XLOOKUP(I437,customers_clean!$A$2:$A$701,customers_clean!$D$2:$D$701)</f>
        <v>Adam Johnson</v>
      </c>
      <c r="M437" s="2" t="str">
        <f t="array" ref="M437">XLOOKUP(I437,customers_clean!$A$2:$A$701,customers_clean!$I$2:$I$701)</f>
        <v>adam.johnson@example.com</v>
      </c>
      <c r="N437" s="10" t="str">
        <f t="array" ref="N437">XLOOKUP(I437,customers_clean!$A$2:$A$701,customers_clean!$H$2:$H$701)</f>
        <v>adam.johnson@example.com</v>
      </c>
      <c r="O437" s="9" t="str">
        <f>IFERROR(__xludf.DUMMYFUNCTION("IF(REGEXMATCH(TRIM(N437),""^[A-Za-z0-9._%+-]+@[A-Za-z0-9.-]+\.[A-Za-z]{2,}$""),""✅ Valid"",""❌ Invalid"")"),"✅ Valid")</f>
        <v>✅ Valid</v>
      </c>
      <c r="P437" s="2" t="str">
        <f t="array" ref="P437">XLOOKUP(I437,customers_clean!$A$2:$A$701,customers_clean!$K$2:$K$701)</f>
        <v>993-510-0614</v>
      </c>
      <c r="Q437" s="10" t="str">
        <f t="array" ref="Q437">XLOOKUP(I437,customers_clean!$A$2:$A$701,customers_clean!$N$2:$N$701)</f>
        <v>9935100614</v>
      </c>
      <c r="R437" s="9" t="str">
        <f t="array" ref="R437">XLOOKUP(I437,customers_clean!$A$2:$A$701,customers_clean!$Q$2:$Q$701)</f>
        <v>❌ INVALID</v>
      </c>
      <c r="S437" s="10" t="s">
        <v>114</v>
      </c>
      <c r="T437" s="2" t="s">
        <v>683</v>
      </c>
      <c r="U437" s="2" t="s">
        <v>1245</v>
      </c>
      <c r="V437" s="2" t="s">
        <v>1263</v>
      </c>
      <c r="W437" s="9" t="str">
        <f t="array" ref="W437">IF(ISNA(XLOOKUP(V437,products_master_corrected!$A$2:$A$151,products_master_corrected!$A$2:$A$151, NA())),
    "❌ MISSING SKU", "✅")</f>
        <v>✅</v>
      </c>
      <c r="X437" s="2" t="s">
        <v>741</v>
      </c>
      <c r="Y437" s="2" t="s">
        <v>368</v>
      </c>
      <c r="Z437" s="10" t="s">
        <v>368</v>
      </c>
      <c r="AA437" s="27">
        <v>1.0</v>
      </c>
      <c r="AB437" s="9" t="s">
        <v>8649</v>
      </c>
      <c r="AC437" s="28">
        <f t="array" ref="AC437">XLOOKUP(V437,products_master_corrected!$A$2:$A$151,products_master_corrected!$E$2:$E$151)</f>
        <v>36.2</v>
      </c>
      <c r="AD437" s="28">
        <f t="shared" si="55"/>
        <v>36.2</v>
      </c>
      <c r="AE437" s="28">
        <f t="array" ref="AE437">XLOOKUP(V437,products_master_corrected!$A$2:$A$151,products_master_corrected!$F$2:$F$151)</f>
        <v>36.2</v>
      </c>
      <c r="AF437" s="29">
        <f t="shared" si="56"/>
        <v>36.2</v>
      </c>
      <c r="AG437" s="30" t="s">
        <v>65</v>
      </c>
      <c r="AH437" s="2" t="s">
        <v>49</v>
      </c>
      <c r="AI437" s="10" t="s">
        <v>49</v>
      </c>
      <c r="AJ437" s="2" t="s">
        <v>132</v>
      </c>
      <c r="AK437" s="10" t="s">
        <v>192</v>
      </c>
      <c r="AL437" s="2" t="s">
        <v>51</v>
      </c>
    </row>
    <row r="438" ht="15.75" customHeight="1">
      <c r="A438" s="2" t="s">
        <v>1651</v>
      </c>
      <c r="B438" s="12">
        <v>45385.0</v>
      </c>
      <c r="C438" s="2" t="str">
        <f>IFERROR(__xludf.DUMMYFUNCTION("IF(ISNUMBER(B438),TEXT(B438,""yyyy-MM-dd""),REGEXREPLACE(REGEXREPLACE(TO_TEXT(B438),""[^0-9a-zA-Z]+"",""-""),""[^0-9]*$"",""""))"),"2024-04-03")</f>
        <v>2024-04-03</v>
      </c>
      <c r="D438" s="2" t="s">
        <v>8821</v>
      </c>
      <c r="H438" s="10" t="s">
        <v>8821</v>
      </c>
      <c r="I438" s="2" t="s">
        <v>1653</v>
      </c>
      <c r="J438" s="26" t="str">
        <f t="array" ref="J438">IF(ISNA(XLOOKUP(I438,customers_clean!$A$2:$A$701,customers_clean!$A$2:$A$701, NA()) ),
   "❌ MISSING CUSTOMER", "✅")</f>
        <v>✅</v>
      </c>
      <c r="K438" s="2" t="str">
        <f t="array" ref="K438">XLOOKUP(I438,customers_clean!$A$2:$A$701,customers_clean!$C$2:$C$701)</f>
        <v>Wiktor Mratinez</v>
      </c>
      <c r="L438" s="10" t="str">
        <f t="array" ref="L438">XLOOKUP(I438,customers_clean!$A$2:$A$701,customers_clean!$D$2:$D$701)</f>
        <v>Wiktor Martinez</v>
      </c>
      <c r="M438" s="2" t="str">
        <f t="array" ref="M438">XLOOKUP(I438,customers_clean!$A$2:$A$701,customers_clean!$I$2:$I$701)</f>
        <v>wiktor.martinez@gmail.com</v>
      </c>
      <c r="N438" s="10" t="str">
        <f t="array" ref="N438">XLOOKUP(I438,customers_clean!$A$2:$A$701,customers_clean!$H$2:$H$701)</f>
        <v>wiktor.martinez@gmail.com</v>
      </c>
      <c r="O438" s="9" t="str">
        <f>IFERROR(__xludf.DUMMYFUNCTION("IF(REGEXMATCH(TRIM(N438),""^[A-Za-z0-9._%+-]+@[A-Za-z0-9.-]+\.[A-Za-z]{2,}$""),""✅ Valid"",""❌ Invalid"")"),"✅ Valid")</f>
        <v>✅ Valid</v>
      </c>
      <c r="P438" s="2" t="str">
        <f t="array" ref="P438">XLOOKUP(I438,customers_clean!$A$2:$A$701,customers_clean!$K$2:$K$701)</f>
        <v>+49+63787658680 ext 55</v>
      </c>
      <c r="Q438" s="10" t="str">
        <f t="array" ref="Q438">XLOOKUP(I438,customers_clean!$A$2:$A$701,customers_clean!$N$2:$N$701)</f>
        <v>63787658680</v>
      </c>
      <c r="R438" s="9" t="str">
        <f t="array" ref="R438">XLOOKUP(I438,customers_clean!$A$2:$A$701,customers_clean!$Q$2:$Q$701)</f>
        <v>❌ INVALID</v>
      </c>
      <c r="S438" s="10" t="s">
        <v>88</v>
      </c>
      <c r="T438" s="2" t="s">
        <v>234</v>
      </c>
      <c r="U438" s="2" t="s">
        <v>1245</v>
      </c>
      <c r="V438" s="2" t="s">
        <v>1432</v>
      </c>
      <c r="W438" s="9" t="str">
        <f t="array" ref="W438">IF(ISNA(XLOOKUP(V438,products_master_corrected!$A$2:$A$151,products_master_corrected!$A$2:$A$151, NA())),
    "❌ MISSING SKU", "✅")</f>
        <v>✅</v>
      </c>
      <c r="X438" s="2" t="s">
        <v>994</v>
      </c>
      <c r="Y438" s="2" t="s">
        <v>1328</v>
      </c>
      <c r="Z438" s="10" t="s">
        <v>179</v>
      </c>
      <c r="AA438" s="27">
        <v>2.0</v>
      </c>
      <c r="AB438" s="9" t="s">
        <v>8649</v>
      </c>
      <c r="AC438" s="28">
        <f t="array" ref="AC438">XLOOKUP(V438,products_master_corrected!$A$2:$A$151,products_master_corrected!$E$2:$E$151)</f>
        <v>513.1</v>
      </c>
      <c r="AD438" s="28">
        <f t="shared" si="55"/>
        <v>1026.2</v>
      </c>
      <c r="AE438" s="28">
        <f t="array" ref="AE438">XLOOKUP(V438,products_master_corrected!$A$2:$A$151,products_master_corrected!$I$2:$I$151)</f>
        <v>565.64</v>
      </c>
      <c r="AF438" s="29">
        <f t="shared" si="56"/>
        <v>1131.28</v>
      </c>
      <c r="AG438" s="32" t="s">
        <v>8660</v>
      </c>
      <c r="AH438" s="2" t="s">
        <v>414</v>
      </c>
      <c r="AI438" s="10" t="s">
        <v>49</v>
      </c>
      <c r="AJ438" s="2" t="s">
        <v>1171</v>
      </c>
      <c r="AK438" s="10" t="s">
        <v>80</v>
      </c>
      <c r="AL438" s="2" t="s">
        <v>67</v>
      </c>
    </row>
    <row r="439" ht="15.75" customHeight="1">
      <c r="A439" s="2" t="s">
        <v>2201</v>
      </c>
      <c r="B439" s="12">
        <v>45140.0</v>
      </c>
      <c r="C439" s="2" t="str">
        <f>IFERROR(__xludf.DUMMYFUNCTION("IF(ISNUMBER(B439),TEXT(B439,""yyyy-MM-dd""),REGEXREPLACE(REGEXREPLACE(TO_TEXT(B439),""[^0-9a-zA-Z]+"",""-""),""[^0-9]*$"",""""))"),"2023-08-02")</f>
        <v>2023-08-02</v>
      </c>
      <c r="D439" s="2" t="s">
        <v>8558</v>
      </c>
      <c r="H439" s="10" t="s">
        <v>8558</v>
      </c>
      <c r="I439" s="2" t="s">
        <v>2203</v>
      </c>
      <c r="J439" s="26" t="str">
        <f t="array" ref="J439">IF(ISNA(XLOOKUP(I439,customers_clean!$A$2:$A$701,customers_clean!$A$2:$A$701, NA()) ),
   "❌ MISSING CUSTOMER", "✅")</f>
        <v>✅</v>
      </c>
      <c r="K439" s="2" t="str">
        <f t="array" ref="K439">XLOOKUP(I439,customers_clean!$A$2:$A$701,customers_clean!$C$2:$C$701)</f>
        <v>Vla dLee </v>
      </c>
      <c r="L439" s="10" t="str">
        <f t="array" ref="L439">XLOOKUP(I439,customers_clean!$A$2:$A$701,customers_clean!$D$2:$D$701)</f>
        <v>Vlad Lee</v>
      </c>
      <c r="M439" s="2" t="str">
        <f t="array" ref="M439">XLOOKUP(I439,customers_clean!$A$2:$A$701,customers_clean!$I$2:$I$701)</f>
        <v>vlad.lee@shop.io</v>
      </c>
      <c r="N439" s="10" t="str">
        <f t="array" ref="N439">XLOOKUP(I439,customers_clean!$A$2:$A$701,customers_clean!$H$2:$H$701)</f>
        <v>vlad.lee@shop.io</v>
      </c>
      <c r="O439" s="9" t="str">
        <f>IFERROR(__xludf.DUMMYFUNCTION("IF(REGEXMATCH(TRIM(N439),""^[A-Za-z0-9._%+-]+@[A-Za-z0-9.-]+\.[A-Za-z]{2,}$""),""✅ Valid"",""❌ Invalid"")"),"✅ Valid")</f>
        <v>✅ Valid</v>
      </c>
      <c r="P439" s="2" t="str">
        <f t="array" ref="P439">XLOOKUP(I439,customers_clean!$A$2:$A$701,customers_clean!$K$2:$K$701)</f>
        <v>120x138370</v>
      </c>
      <c r="Q439" s="10" t="str">
        <f t="array" ref="Q439">XLOOKUP(I439,customers_clean!$A$2:$A$701,customers_clean!$N$2:$N$701)</f>
        <v>20138370</v>
      </c>
      <c r="R439" s="9" t="str">
        <f t="array" ref="R439">XLOOKUP(I439,customers_clean!$A$2:$A$701,customers_clean!$Q$2:$Q$701)</f>
        <v>❌ INVALID</v>
      </c>
      <c r="S439" s="10" t="s">
        <v>88</v>
      </c>
      <c r="T439" s="2" t="s">
        <v>210</v>
      </c>
      <c r="U439" s="2" t="s">
        <v>43</v>
      </c>
      <c r="V439" s="2" t="s">
        <v>490</v>
      </c>
      <c r="W439" s="9" t="str">
        <f t="array" ref="W439">IF(ISNA(XLOOKUP(V439,products_master_corrected!$A$2:$A$151,products_master_corrected!$A$2:$A$151, NA())),
    "❌ MISSING SKU", "✅")</f>
        <v>✅</v>
      </c>
      <c r="X439" s="2" t="s">
        <v>29</v>
      </c>
      <c r="Y439" s="2" t="s">
        <v>492</v>
      </c>
      <c r="Z439" s="10" t="s">
        <v>514</v>
      </c>
      <c r="AA439" s="27">
        <v>5.0</v>
      </c>
      <c r="AB439" s="9" t="s">
        <v>8649</v>
      </c>
      <c r="AC439" s="28">
        <f t="array" ref="AC439">XLOOKUP(V439,products_master_corrected!$A$2:$A$151,products_master_corrected!$E$2:$E$151)</f>
        <v>116.45</v>
      </c>
      <c r="AD439" s="28">
        <f t="shared" si="55"/>
        <v>582.25</v>
      </c>
      <c r="AE439" s="28">
        <f t="array" ref="AE439">XLOOKUP(V439,products_master_corrected!$A$2:$A$151,products_master_corrected!$I$2:$I$151)</f>
        <v>128.37</v>
      </c>
      <c r="AF439" s="29">
        <f t="shared" si="56"/>
        <v>641.85</v>
      </c>
      <c r="AG439" s="32" t="s">
        <v>8660</v>
      </c>
      <c r="AH439" s="2" t="s">
        <v>66</v>
      </c>
      <c r="AI439" s="10" t="s">
        <v>66</v>
      </c>
      <c r="AJ439" s="2" t="s">
        <v>818</v>
      </c>
      <c r="AK439" s="10" t="s">
        <v>818</v>
      </c>
      <c r="AL439" s="2" t="s">
        <v>51</v>
      </c>
    </row>
    <row r="440" ht="15.75" customHeight="1">
      <c r="A440" s="2" t="s">
        <v>2868</v>
      </c>
      <c r="B440" s="12">
        <v>45711.0</v>
      </c>
      <c r="C440" s="2" t="str">
        <f>IFERROR(__xludf.DUMMYFUNCTION("IF(ISNUMBER(B440),TEXT(B440,""yyyy-MM-dd""),REGEXREPLACE(REGEXREPLACE(TO_TEXT(B440),""[^0-9a-zA-Z]+"",""-""),""[^0-9]*$"",""""))"),"2025-02-23")</f>
        <v>2025-02-23</v>
      </c>
      <c r="D440" s="2" t="s">
        <v>8840</v>
      </c>
      <c r="H440" s="10" t="s">
        <v>8840</v>
      </c>
      <c r="I440" s="2" t="s">
        <v>2203</v>
      </c>
      <c r="J440" s="26" t="str">
        <f t="array" ref="J440">IF(ISNA(XLOOKUP(I440,customers_clean!$A$2:$A$701,customers_clean!$A$2:$A$701, NA()) ),
   "❌ MISSING CUSTOMER", "✅")</f>
        <v>✅</v>
      </c>
      <c r="K440" s="2" t="str">
        <f t="array" ref="K440">XLOOKUP(I440,customers_clean!$A$2:$A$701,customers_clean!$C$2:$C$701)</f>
        <v>Vla dLee </v>
      </c>
      <c r="L440" s="10" t="str">
        <f t="array" ref="L440">XLOOKUP(I440,customers_clean!$A$2:$A$701,customers_clean!$D$2:$D$701)</f>
        <v>Vlad Lee</v>
      </c>
      <c r="M440" s="2" t="str">
        <f t="array" ref="M440">XLOOKUP(I440,customers_clean!$A$2:$A$701,customers_clean!$I$2:$I$701)</f>
        <v>vlad.lee@shop.io</v>
      </c>
      <c r="N440" s="10" t="str">
        <f t="array" ref="N440">XLOOKUP(I440,customers_clean!$A$2:$A$701,customers_clean!$H$2:$H$701)</f>
        <v>vlad.lee@shop.io</v>
      </c>
      <c r="O440" s="9" t="str">
        <f>IFERROR(__xludf.DUMMYFUNCTION("IF(REGEXMATCH(TRIM(N440),""^[A-Za-z0-9._%+-]+@[A-Za-z0-9.-]+\.[A-Za-z]{2,}$""),""✅ Valid"",""❌ Invalid"")"),"✅ Valid")</f>
        <v>✅ Valid</v>
      </c>
      <c r="P440" s="2" t="str">
        <f t="array" ref="P440">XLOOKUP(I440,customers_clean!$A$2:$A$701,customers_clean!$K$2:$K$701)</f>
        <v>120x138370</v>
      </c>
      <c r="Q440" s="10" t="str">
        <f t="array" ref="Q440">XLOOKUP(I440,customers_clean!$A$2:$A$701,customers_clean!$N$2:$N$701)</f>
        <v>20138370</v>
      </c>
      <c r="R440" s="9" t="str">
        <f t="array" ref="R440">XLOOKUP(I440,customers_clean!$A$2:$A$701,customers_clean!$Q$2:$Q$701)</f>
        <v>❌ INVALID</v>
      </c>
      <c r="S440" s="10" t="s">
        <v>88</v>
      </c>
      <c r="T440" s="2" t="s">
        <v>234</v>
      </c>
      <c r="U440" s="2" t="s">
        <v>27</v>
      </c>
      <c r="V440" s="2" t="s">
        <v>246</v>
      </c>
      <c r="W440" s="9" t="str">
        <f t="array" ref="W440">IF(ISNA(XLOOKUP(V440,products_master_corrected!$A$2:$A$151,products_master_corrected!$A$2:$A$151, NA())),
    "❌ MISSING SKU", "✅")</f>
        <v>✅</v>
      </c>
      <c r="X440" s="2" t="s">
        <v>1138</v>
      </c>
      <c r="Y440" s="2" t="s">
        <v>248</v>
      </c>
      <c r="Z440" s="10" t="s">
        <v>248</v>
      </c>
      <c r="AA440" s="27">
        <v>2.0</v>
      </c>
      <c r="AB440" s="9" t="s">
        <v>8649</v>
      </c>
      <c r="AC440" s="28">
        <f t="array" ref="AC440">XLOOKUP(V440,products_master_corrected!$A$2:$A$151,products_master_corrected!$E$2:$E$151)</f>
        <v>259.62</v>
      </c>
      <c r="AD440" s="28">
        <f t="shared" si="55"/>
        <v>519.24</v>
      </c>
      <c r="AE440" s="28">
        <f t="array" ref="AE440">XLOOKUP(V440,products_master_corrected!$A$2:$A$151,products_master_corrected!$I$2:$I$151)</f>
        <v>286.21</v>
      </c>
      <c r="AF440" s="29">
        <f t="shared" si="56"/>
        <v>572.42</v>
      </c>
      <c r="AG440" s="32" t="s">
        <v>8660</v>
      </c>
      <c r="AH440" s="2" t="s">
        <v>238</v>
      </c>
      <c r="AI440" s="10" t="s">
        <v>66</v>
      </c>
      <c r="AJ440" s="2" t="s">
        <v>1312</v>
      </c>
      <c r="AK440" s="10" t="s">
        <v>818</v>
      </c>
      <c r="AL440" s="2" t="s">
        <v>81</v>
      </c>
    </row>
    <row r="441" ht="15.75" customHeight="1">
      <c r="A441" s="2" t="s">
        <v>5056</v>
      </c>
      <c r="B441" s="12">
        <v>45656.0</v>
      </c>
      <c r="C441" s="2" t="str">
        <f>IFERROR(__xludf.DUMMYFUNCTION("IF(ISNUMBER(B441),TEXT(B441,""yyyy-MM-dd""),REGEXREPLACE(REGEXREPLACE(TO_TEXT(B441),""[^0-9a-zA-Z]+"",""-""),""[^0-9]*$"",""""))"),"2024-12-30")</f>
        <v>2024-12-30</v>
      </c>
      <c r="D441" s="2" t="s">
        <v>8841</v>
      </c>
      <c r="H441" s="10" t="s">
        <v>8841</v>
      </c>
      <c r="I441" s="2" t="s">
        <v>5058</v>
      </c>
      <c r="J441" s="26" t="str">
        <f t="array" ref="J441">IF(ISNA(XLOOKUP(I441,customers_clean!$A$2:$A$701,customers_clean!$A$2:$A$701, NA()) ),
   "❌ MISSING CUSTOMER", "✅")</f>
        <v>✅</v>
      </c>
      <c r="K441" s="2" t="str">
        <f t="array" ref="K441">XLOOKUP(I441,customers_clean!$A$2:$A$701,customers_clean!$C$2:$C$701)</f>
        <v>LIA KAHN</v>
      </c>
      <c r="L441" s="10" t="str">
        <f t="array" ref="L441">XLOOKUP(I441,customers_clean!$A$2:$A$701,customers_clean!$D$2:$D$701)</f>
        <v>Lia Khan</v>
      </c>
      <c r="M441" s="2" t="str">
        <f t="array" ref="M441">XLOOKUP(I441,customers_clean!$A$2:$A$701,customers_clean!$I$2:$I$701)</f>
        <v> lia.khan@outlook.com</v>
      </c>
      <c r="N441" s="10" t="str">
        <f t="array" ref="N441">XLOOKUP(I441,customers_clean!$A$2:$A$701,customers_clean!$H$2:$H$701)</f>
        <v>lia.khan@outlook.com</v>
      </c>
      <c r="O441" s="9" t="str">
        <f>IFERROR(__xludf.DUMMYFUNCTION("IF(REGEXMATCH(TRIM(N441),""^[A-Za-z0-9._%+-]+@[A-Za-z0-9.-]+\.[A-Za-z]{2,}$""),""✅ Valid"",""❌ Invalid"")"),"✅ Valid")</f>
        <v>✅ Valid</v>
      </c>
      <c r="P441" s="33" t="str">
        <f t="array" ref="P441">XLOOKUP(I441,customers_clean!$A$2:$A$701,customers_clean!$K$2:$K$701)</f>
        <v>48 94-39-08-25-9</v>
      </c>
      <c r="Q441" s="10" t="str">
        <f t="array" ref="Q441">XLOOKUP(I441,customers_clean!$A$2:$A$701,customers_clean!$N$2:$N$701)</f>
        <v>943908259</v>
      </c>
      <c r="R441" s="9" t="str">
        <f t="array" ref="R441">XLOOKUP(I441,customers_clean!$A$2:$A$701,customers_clean!$Q$2:$Q$701)</f>
        <v>❌ INVALID</v>
      </c>
      <c r="S441" s="10" t="s">
        <v>448</v>
      </c>
      <c r="T441" s="2" t="s">
        <v>115</v>
      </c>
      <c r="U441" s="2" t="s">
        <v>5062</v>
      </c>
      <c r="V441" s="2" t="s">
        <v>1137</v>
      </c>
      <c r="W441" s="9" t="str">
        <f t="array" ref="W441">IF(ISNA(XLOOKUP(V441,products_master_corrected!$A$2:$A$151,products_master_corrected!$A$2:$A$151, NA())),
    "❌ MISSING SKU", "✅")</f>
        <v>✅</v>
      </c>
      <c r="X441" s="2" t="s">
        <v>1138</v>
      </c>
      <c r="Y441" s="2" t="s">
        <v>30</v>
      </c>
      <c r="Z441" s="10" t="s">
        <v>179</v>
      </c>
      <c r="AA441" s="27">
        <v>2.0</v>
      </c>
      <c r="AB441" s="9" t="s">
        <v>8649</v>
      </c>
      <c r="AC441" s="28">
        <f t="array" ref="AC441">XLOOKUP(V441,products_master_corrected!$A$2:$A$151,products_master_corrected!$E$2:$E$151)</f>
        <v>305.43</v>
      </c>
      <c r="AD441" s="28">
        <f t="shared" si="55"/>
        <v>610.86</v>
      </c>
      <c r="AE441" s="28">
        <f t="array" ref="AE441">XLOOKUP(V441,products_master_corrected!$A$2:$A$151,products_master_corrected!$M$2:$M$151)</f>
        <v>369.45</v>
      </c>
      <c r="AF441" s="29">
        <f t="shared" si="56"/>
        <v>738.9</v>
      </c>
      <c r="AG441" s="30" t="s">
        <v>48</v>
      </c>
      <c r="AH441" s="2" t="s">
        <v>238</v>
      </c>
      <c r="AI441" s="10" t="s">
        <v>66</v>
      </c>
      <c r="AJ441" s="2" t="s">
        <v>432</v>
      </c>
      <c r="AK441" s="10" t="s">
        <v>80</v>
      </c>
    </row>
    <row r="442" ht="15.75" customHeight="1">
      <c r="A442" s="2" t="s">
        <v>5732</v>
      </c>
      <c r="B442" s="12">
        <v>45749.0</v>
      </c>
      <c r="C442" s="2" t="str">
        <f>IFERROR(__xludf.DUMMYFUNCTION("IF(ISNUMBER(B442),TEXT(B442,""yyyy-MM-dd""),REGEXREPLACE(REGEXREPLACE(TO_TEXT(B442),""[^0-9a-zA-Z]+"",""-""),""[^0-9]*$"",""""))"),"2025-04-02")</f>
        <v>2025-04-02</v>
      </c>
      <c r="D442" s="2" t="s">
        <v>8842</v>
      </c>
      <c r="H442" s="10" t="s">
        <v>8842</v>
      </c>
      <c r="I442" s="2" t="s">
        <v>5734</v>
      </c>
      <c r="J442" s="26" t="str">
        <f t="array" ref="J442">IF(ISNA(XLOOKUP(I442,customers_clean!$A$2:$A$701,customers_clean!$A$2:$A$701, NA()) ),
   "❌ MISSING CUSTOMER", "✅")</f>
        <v>✅</v>
      </c>
      <c r="K442" s="2" t="str">
        <f t="array" ref="K442">XLOOKUP(I442,customers_clean!$A$2:$A$701,customers_clean!$C$2:$C$701)</f>
        <v>Zack Rodriguez </v>
      </c>
      <c r="L442" s="10" t="str">
        <f t="array" ref="L442">XLOOKUP(I442,customers_clean!$A$2:$A$701,customers_clean!$D$2:$D$701)</f>
        <v>Zack Rodriguez</v>
      </c>
      <c r="M442" s="2" t="str">
        <f t="array" ref="M442">XLOOKUP(I442,customers_clean!$A$2:$A$701,customers_clean!$I$2:$I$701)</f>
        <v>ZACK.RODRIGUEZ@OUTLOOK.COM</v>
      </c>
      <c r="N442" s="10" t="str">
        <f t="array" ref="N442">XLOOKUP(I442,customers_clean!$A$2:$A$701,customers_clean!$H$2:$H$701)</f>
        <v>zack.rodriguez@outlook.com</v>
      </c>
      <c r="O442" s="9" t="str">
        <f>IFERROR(__xludf.DUMMYFUNCTION("IF(REGEXMATCH(TRIM(N442),""^[A-Za-z0-9._%+-]+@[A-Za-z0-9.-]+\.[A-Za-z]{2,}$""),""✅ Valid"",""❌ Invalid"")"),"✅ Valid")</f>
        <v>✅ Valid</v>
      </c>
      <c r="P442" s="2" t="str">
        <f t="array" ref="P442">XLOOKUP(I442,customers_clean!$A$2:$A$701,customers_clean!$K$2:$K$701)</f>
        <v>733-34-9595</v>
      </c>
      <c r="Q442" s="10" t="str">
        <f t="array" ref="Q442">XLOOKUP(I442,customers_clean!$A$2:$A$701,customers_clean!$N$2:$N$701)</f>
        <v>733349595</v>
      </c>
      <c r="R442" s="9" t="str">
        <f t="array" ref="R442">XLOOKUP(I442,customers_clean!$A$2:$A$701,customers_clean!$Q$2:$Q$701)</f>
        <v>❌ INVALID</v>
      </c>
      <c r="S442" s="10" t="s">
        <v>139</v>
      </c>
      <c r="T442" s="2" t="s">
        <v>59</v>
      </c>
      <c r="U442" s="2" t="s">
        <v>211</v>
      </c>
      <c r="V442" s="2" t="s">
        <v>1575</v>
      </c>
      <c r="W442" s="9" t="str">
        <f t="array" ref="W442">IF(ISNA(XLOOKUP(V442,products_master_corrected!$A$2:$A$151,products_master_corrected!$A$2:$A$151, NA())),
    "❌ MISSING SKU", "✅")</f>
        <v>✅</v>
      </c>
      <c r="X442" s="2" t="s">
        <v>291</v>
      </c>
      <c r="Y442" s="2" t="s">
        <v>1577</v>
      </c>
      <c r="Z442" s="10" t="s">
        <v>63</v>
      </c>
      <c r="AA442" s="27">
        <v>2.0</v>
      </c>
      <c r="AB442" s="9" t="s">
        <v>8649</v>
      </c>
      <c r="AC442" s="28">
        <f t="array" ref="AC442">XLOOKUP(V442,products_master_corrected!$A$2:$A$151,products_master_corrected!$E$2:$E$151)</f>
        <v>195.63</v>
      </c>
      <c r="AD442" s="28">
        <f t="shared" si="55"/>
        <v>391.26</v>
      </c>
      <c r="AE442" s="28">
        <f t="array" ref="AE442">XLOOKUP(V442,products_master_corrected!$A$2:$A$151,products_master_corrected!$L$2:$L$151)</f>
        <v>211.57</v>
      </c>
      <c r="AF442" s="29">
        <f t="shared" si="56"/>
        <v>423.14</v>
      </c>
      <c r="AG442" s="32" t="s">
        <v>8665</v>
      </c>
      <c r="AH442" s="2" t="s">
        <v>33</v>
      </c>
      <c r="AI442" s="10" t="s">
        <v>181</v>
      </c>
      <c r="AJ442" s="2" t="s">
        <v>345</v>
      </c>
      <c r="AK442" s="10" t="s">
        <v>261</v>
      </c>
    </row>
    <row r="443" ht="15.75" customHeight="1">
      <c r="A443" s="2" t="s">
        <v>5898</v>
      </c>
      <c r="B443" s="12">
        <v>45355.638194444444</v>
      </c>
      <c r="C443" s="2" t="str">
        <f>IFERROR(__xludf.DUMMYFUNCTION("IF(ISNUMBER(B443),TEXT(B443,""yyyy-MM-dd""),REGEXREPLACE(REGEXREPLACE(TO_TEXT(B443),""[^0-9a-zA-Z]+"",""-""),""[^0-9]*$"",""""))"),"2024-03-04")</f>
        <v>2024-03-04</v>
      </c>
      <c r="D443" s="2" t="s">
        <v>8843</v>
      </c>
      <c r="H443" s="10" t="s">
        <v>8843</v>
      </c>
      <c r="I443" s="2" t="s">
        <v>5734</v>
      </c>
      <c r="J443" s="26" t="str">
        <f t="array" ref="J443">IF(ISNA(XLOOKUP(I443,customers_clean!$A$2:$A$701,customers_clean!$A$2:$A$701, NA()) ),
   "❌ MISSING CUSTOMER", "✅")</f>
        <v>✅</v>
      </c>
      <c r="K443" s="2" t="str">
        <f t="array" ref="K443">XLOOKUP(I443,customers_clean!$A$2:$A$701,customers_clean!$C$2:$C$701)</f>
        <v>Zack Rodriguez </v>
      </c>
      <c r="L443" s="10" t="str">
        <f t="array" ref="L443">XLOOKUP(I443,customers_clean!$A$2:$A$701,customers_clean!$D$2:$D$701)</f>
        <v>Zack Rodriguez</v>
      </c>
      <c r="M443" s="2" t="str">
        <f t="array" ref="M443">XLOOKUP(I443,customers_clean!$A$2:$A$701,customers_clean!$I$2:$I$701)</f>
        <v>ZACK.RODRIGUEZ@OUTLOOK.COM</v>
      </c>
      <c r="N443" s="10" t="str">
        <f t="array" ref="N443">XLOOKUP(I443,customers_clean!$A$2:$A$701,customers_clean!$H$2:$H$701)</f>
        <v>zack.rodriguez@outlook.com</v>
      </c>
      <c r="O443" s="9" t="str">
        <f>IFERROR(__xludf.DUMMYFUNCTION("IF(REGEXMATCH(TRIM(N443),""^[A-Za-z0-9._%+-]+@[A-Za-z0-9.-]+\.[A-Za-z]{2,}$""),""✅ Valid"",""❌ Invalid"")"),"✅ Valid")</f>
        <v>✅ Valid</v>
      </c>
      <c r="P443" s="2" t="str">
        <f t="array" ref="P443">XLOOKUP(I443,customers_clean!$A$2:$A$701,customers_clean!$K$2:$K$701)</f>
        <v>733-34-9595</v>
      </c>
      <c r="Q443" s="10" t="str">
        <f t="array" ref="Q443">XLOOKUP(I443,customers_clean!$A$2:$A$701,customers_clean!$N$2:$N$701)</f>
        <v>733349595</v>
      </c>
      <c r="R443" s="9" t="str">
        <f t="array" ref="R443">XLOOKUP(I443,customers_clean!$A$2:$A$701,customers_clean!$Q$2:$Q$701)</f>
        <v>❌ INVALID</v>
      </c>
      <c r="S443" s="10" t="s">
        <v>139</v>
      </c>
      <c r="T443" s="2" t="s">
        <v>802</v>
      </c>
      <c r="U443" s="2" t="s">
        <v>401</v>
      </c>
      <c r="V443" s="2" t="s">
        <v>117</v>
      </c>
      <c r="W443" s="9" t="str">
        <f t="array" ref="W443">IF(ISNA(XLOOKUP(V443,products_master_corrected!$A$2:$A$151,products_master_corrected!$A$2:$A$151, NA())),
    "❌ MISSING SKU", "✅")</f>
        <v>✅</v>
      </c>
      <c r="X443" s="2" t="s">
        <v>259</v>
      </c>
      <c r="Y443" s="2" t="s">
        <v>63</v>
      </c>
      <c r="Z443" s="10" t="s">
        <v>63</v>
      </c>
      <c r="AA443" s="27">
        <v>1.0</v>
      </c>
      <c r="AB443" s="9" t="s">
        <v>8649</v>
      </c>
      <c r="AC443" s="28">
        <f t="array" ref="AC443">XLOOKUP(V443,products_master_corrected!$A$2:$A$151,products_master_corrected!$E$2:$E$151)</f>
        <v>13.26</v>
      </c>
      <c r="AD443" s="28">
        <f t="shared" si="55"/>
        <v>13.26</v>
      </c>
      <c r="AE443" s="28">
        <f t="array" ref="AE443">XLOOKUP(V443,products_master_corrected!$A$2:$A$151,products_master_corrected!$L$2:$L$151)</f>
        <v>14.34</v>
      </c>
      <c r="AF443" s="29">
        <f t="shared" si="56"/>
        <v>14.34</v>
      </c>
      <c r="AG443" s="32" t="s">
        <v>8665</v>
      </c>
      <c r="AH443" s="2" t="s">
        <v>131</v>
      </c>
      <c r="AI443" s="10" t="s">
        <v>181</v>
      </c>
      <c r="AJ443" s="2" t="s">
        <v>80</v>
      </c>
      <c r="AK443" s="10" t="s">
        <v>80</v>
      </c>
    </row>
    <row r="444" ht="15.75" customHeight="1">
      <c r="A444" s="2" t="s">
        <v>5685</v>
      </c>
      <c r="B444" s="12" t="s">
        <v>5686</v>
      </c>
      <c r="C444" s="2" t="str">
        <f>IFERROR(__xludf.DUMMYFUNCTION("IF(ISNUMBER(B444),TEXT(B444,""yyyy-MM-dd""),REGEXREPLACE(REGEXREPLACE(TO_TEXT(B444),""[^0-9a-zA-Z]+"",""-""),""[^0-9]*$"",""""))"),"45296-07-22")</f>
        <v>45296-07-22</v>
      </c>
      <c r="D444" s="2" t="str">
        <f>TEXT(C444,"yyyy-MM-dd")</f>
        <v>45296-07-22</v>
      </c>
      <c r="E444" s="25" t="str">
        <f>CONCATENATE(LEFT(D444,5))</f>
        <v>45296</v>
      </c>
      <c r="F444" s="12">
        <f>DATE(1900,1,1) + E444 - 1</f>
        <v>45297</v>
      </c>
      <c r="G444" s="2" t="s">
        <v>6768</v>
      </c>
      <c r="H444" s="10" t="s">
        <v>6768</v>
      </c>
      <c r="I444" s="2" t="s">
        <v>2145</v>
      </c>
      <c r="J444" s="26" t="str">
        <f t="array" ref="J444">IF(ISNA(XLOOKUP(I444,customers_clean!$A$2:$A$701,customers_clean!$A$2:$A$701, NA()) ),
   "❌ MISSING CUSTOMER", "✅")</f>
        <v>✅</v>
      </c>
      <c r="K444" s="2" t="str">
        <f t="array" ref="K444">XLOOKUP(I444,customers_clean!$A$2:$A$701,customers_clean!$C$2:$C$701)</f>
        <v>Gabe Davis</v>
      </c>
      <c r="L444" s="10" t="str">
        <f t="array" ref="L444">XLOOKUP(I444,customers_clean!$A$2:$A$701,customers_clean!$D$2:$D$701)</f>
        <v>Gabe Davis</v>
      </c>
      <c r="M444" s="2" t="str">
        <f t="array" ref="M444">XLOOKUP(I444,customers_clean!$A$2:$A$701,customers_clean!$I$2:$I$701)</f>
        <v>gabe.davis@yahoo.com</v>
      </c>
      <c r="N444" s="10" t="str">
        <f t="array" ref="N444">XLOOKUP(I444,customers_clean!$A$2:$A$701,customers_clean!$H$2:$H$701)</f>
        <v>gabe.davis@yahoo.com</v>
      </c>
      <c r="O444" s="9" t="str">
        <f>IFERROR(__xludf.DUMMYFUNCTION("IF(REGEXMATCH(TRIM(N444),""^[A-Za-z0-9._%+-]+@[A-Za-z0-9.-]+\.[A-Za-z]{2,}$""),""✅ Valid"",""❌ Invalid"")"),"✅ Valid")</f>
        <v>✅ Valid</v>
      </c>
      <c r="P444" s="2">
        <f t="array" ref="P444">XLOOKUP(I444,customers_clean!$A$2:$A$701,customers_clean!$K$2:$K$701)</f>
        <v>4960328291</v>
      </c>
      <c r="Q444" s="10" t="str">
        <f t="array" ref="Q444">XLOOKUP(I444,customers_clean!$A$2:$A$701,customers_clean!$N$2:$N$701)</f>
        <v>60328291</v>
      </c>
      <c r="R444" s="9" t="str">
        <f t="array" ref="R444">XLOOKUP(I444,customers_clean!$A$2:$A$701,customers_clean!$Q$2:$Q$701)</f>
        <v>❌ INVALID</v>
      </c>
      <c r="S444" s="10" t="s">
        <v>448</v>
      </c>
      <c r="T444" s="2" t="s">
        <v>74</v>
      </c>
      <c r="U444" s="2" t="s">
        <v>5687</v>
      </c>
      <c r="V444" s="2" t="s">
        <v>2417</v>
      </c>
      <c r="W444" s="9" t="str">
        <f t="array" ref="W444">IF(ISNA(XLOOKUP(V444,products_master_corrected!$A$2:$A$151,products_master_corrected!$A$2:$A$151, NA())),
    "❌ MISSING SKU", "✅")</f>
        <v>✅</v>
      </c>
      <c r="X444" s="2" t="s">
        <v>225</v>
      </c>
      <c r="Y444" s="2" t="s">
        <v>503</v>
      </c>
      <c r="Z444" s="10" t="str">
        <f>PROPER(TRIM(Y444))</f>
        <v>Monitors</v>
      </c>
      <c r="AA444" s="27">
        <v>1.0</v>
      </c>
      <c r="AB444" s="9" t="s">
        <v>8649</v>
      </c>
      <c r="AC444" s="28">
        <f t="array" ref="AC444">XLOOKUP(V444,products_master_corrected!$A$2:$A$151,products_master_corrected!$E$2:$E$151)</f>
        <v>45.55</v>
      </c>
      <c r="AD444" s="28">
        <f t="shared" si="55"/>
        <v>45.55</v>
      </c>
      <c r="AE444" s="28">
        <f t="array" ref="AE444">XLOOKUP(V444,products_master_corrected!$A$2:$A$151,products_master_corrected!$M$2:$M$151)</f>
        <v>55.1</v>
      </c>
      <c r="AF444" s="29">
        <f t="shared" si="56"/>
        <v>55.1</v>
      </c>
      <c r="AG444" s="30" t="s">
        <v>48</v>
      </c>
      <c r="AH444" s="2" t="s">
        <v>33</v>
      </c>
      <c r="AI444" s="10" t="s">
        <v>181</v>
      </c>
      <c r="AJ444" s="2" t="s">
        <v>345</v>
      </c>
      <c r="AK444" s="10" t="s">
        <v>261</v>
      </c>
    </row>
    <row r="445" ht="15.75" customHeight="1">
      <c r="A445" s="2" t="s">
        <v>2143</v>
      </c>
      <c r="B445" s="12">
        <v>45599.0</v>
      </c>
      <c r="C445" s="2" t="str">
        <f>IFERROR(__xludf.DUMMYFUNCTION("IF(ISNUMBER(B445),TEXT(B445,""yyyy-MM-dd""),REGEXREPLACE(REGEXREPLACE(TO_TEXT(B445),""[^0-9a-zA-Z]+"",""-""),""[^0-9]*$"",""""))"),"2024-11-03")</f>
        <v>2024-11-03</v>
      </c>
      <c r="D445" s="2" t="s">
        <v>8844</v>
      </c>
      <c r="H445" s="10" t="s">
        <v>8844</v>
      </c>
      <c r="I445" s="2" t="s">
        <v>2145</v>
      </c>
      <c r="J445" s="26" t="str">
        <f t="array" ref="J445">IF(ISNA(XLOOKUP(I445,customers_clean!$A$2:$A$701,customers_clean!$A$2:$A$701, NA()) ),
   "❌ MISSING CUSTOMER", "✅")</f>
        <v>✅</v>
      </c>
      <c r="K445" s="2" t="str">
        <f t="array" ref="K445">XLOOKUP(I445,customers_clean!$A$2:$A$701,customers_clean!$C$2:$C$701)</f>
        <v>Gabe Davis</v>
      </c>
      <c r="L445" s="10" t="str">
        <f t="array" ref="L445">XLOOKUP(I445,customers_clean!$A$2:$A$701,customers_clean!$D$2:$D$701)</f>
        <v>Gabe Davis</v>
      </c>
      <c r="M445" s="2" t="str">
        <f t="array" ref="M445">XLOOKUP(I445,customers_clean!$A$2:$A$701,customers_clean!$I$2:$I$701)</f>
        <v>gabe.davis@yahoo.com</v>
      </c>
      <c r="N445" s="10" t="str">
        <f t="array" ref="N445">XLOOKUP(I445,customers_clean!$A$2:$A$701,customers_clean!$H$2:$H$701)</f>
        <v>gabe.davis@yahoo.com</v>
      </c>
      <c r="O445" s="9" t="str">
        <f>IFERROR(__xludf.DUMMYFUNCTION("IF(REGEXMATCH(TRIM(N445),""^[A-Za-z0-9._%+-]+@[A-Za-z0-9.-]+\.[A-Za-z]{2,}$""),""✅ Valid"",""❌ Invalid"")"),"✅ Valid")</f>
        <v>✅ Valid</v>
      </c>
      <c r="P445" s="2">
        <f t="array" ref="P445">XLOOKUP(I445,customers_clean!$A$2:$A$701,customers_clean!$K$2:$K$701)</f>
        <v>4960328291</v>
      </c>
      <c r="Q445" s="10" t="str">
        <f t="array" ref="Q445">XLOOKUP(I445,customers_clean!$A$2:$A$701,customers_clean!$N$2:$N$701)</f>
        <v>60328291</v>
      </c>
      <c r="R445" s="9" t="str">
        <f t="array" ref="R445">XLOOKUP(I445,customers_clean!$A$2:$A$701,customers_clean!$Q$2:$Q$701)</f>
        <v>❌ INVALID</v>
      </c>
      <c r="S445" s="10" t="s">
        <v>448</v>
      </c>
      <c r="T445" s="2" t="s">
        <v>223</v>
      </c>
      <c r="U445" s="2" t="s">
        <v>480</v>
      </c>
      <c r="V445" s="2" t="s">
        <v>28</v>
      </c>
      <c r="W445" s="9" t="str">
        <f t="array" ref="W445">IF(ISNA(XLOOKUP(V445,products_master_corrected!$A$2:$A$151,products_master_corrected!$A$2:$A$151, NA())),
    "❌ MISSING SKU", "✅")</f>
        <v>✅</v>
      </c>
      <c r="X445" s="2" t="s">
        <v>29</v>
      </c>
      <c r="Y445" s="2" t="s">
        <v>30</v>
      </c>
      <c r="Z445" s="10" t="s">
        <v>179</v>
      </c>
      <c r="AA445" s="27">
        <v>3.0</v>
      </c>
      <c r="AB445" s="9" t="s">
        <v>8649</v>
      </c>
      <c r="AC445" s="28">
        <f t="array" ref="AC445">XLOOKUP(V445,products_master_corrected!$A$2:$A$151,products_master_corrected!$E$2:$E$151)</f>
        <v>145.2</v>
      </c>
      <c r="AD445" s="28">
        <f t="shared" si="55"/>
        <v>435.6</v>
      </c>
      <c r="AE445" s="28">
        <f t="array" ref="AE445">XLOOKUP(V445,products_master_corrected!$A$2:$A$151,products_master_corrected!$M$2:$M$151)</f>
        <v>175.63</v>
      </c>
      <c r="AF445" s="29">
        <f t="shared" si="56"/>
        <v>526.89</v>
      </c>
      <c r="AG445" s="30" t="s">
        <v>48</v>
      </c>
      <c r="AH445" s="2" t="s">
        <v>664</v>
      </c>
      <c r="AI445" s="10" t="s">
        <v>66</v>
      </c>
      <c r="AJ445" s="2" t="s">
        <v>80</v>
      </c>
      <c r="AK445" s="10" t="s">
        <v>80</v>
      </c>
    </row>
    <row r="446" ht="15.75" customHeight="1">
      <c r="A446" s="2" t="s">
        <v>1425</v>
      </c>
      <c r="B446" s="12" t="s">
        <v>1426</v>
      </c>
      <c r="C446" s="2" t="str">
        <f>IFERROR(__xludf.DUMMYFUNCTION("IF(ISNUMBER(B446),TEXT(B446,""yyyy-MM-dd""),REGEXREPLACE(REGEXREPLACE(TO_TEXT(B446),""[^0-9a-zA-Z]+"",""-""),""[^0-9]*$"",""""))"),"45222-10-49")</f>
        <v>45222-10-49</v>
      </c>
      <c r="D446" s="2" t="str">
        <f>TEXT(C446,"yyyy-MM-dd")</f>
        <v>45222-10-49</v>
      </c>
      <c r="E446" s="25" t="str">
        <f>CONCATENATE(LEFT(D446,5))</f>
        <v>45222</v>
      </c>
      <c r="F446" s="12">
        <f>DATE(1900,1,1) + E446 - 1</f>
        <v>45223</v>
      </c>
      <c r="G446" s="2" t="s">
        <v>7936</v>
      </c>
      <c r="H446" s="10" t="s">
        <v>7936</v>
      </c>
      <c r="I446" s="2" t="s">
        <v>1427</v>
      </c>
      <c r="J446" s="26" t="str">
        <f t="array" ref="J446">IF(ISNA(XLOOKUP(I446,customers_clean!$A$2:$A$701,customers_clean!$A$2:$A$701, NA()) ),
   "❌ MISSING CUSTOMER", "✅")</f>
        <v>✅</v>
      </c>
      <c r="K446" s="2" t="str">
        <f t="array" ref="K446">XLOOKUP(I446,customers_clean!$A$2:$A$701,customers_clean!$C$2:$C$701)</f>
        <v>Paula Nowak</v>
      </c>
      <c r="L446" s="10" t="str">
        <f t="array" ref="L446">XLOOKUP(I446,customers_clean!$A$2:$A$701,customers_clean!$D$2:$D$701)</f>
        <v>Paula Nowak</v>
      </c>
      <c r="M446" s="2" t="str">
        <f t="array" ref="M446">XLOOKUP(I446,customers_clean!$A$2:$A$701,customers_clean!$I$2:$I$701)</f>
        <v> paula.nowak@example.com</v>
      </c>
      <c r="N446" s="10" t="str">
        <f t="array" ref="N446">XLOOKUP(I446,customers_clean!$A$2:$A$701,customers_clean!$H$2:$H$701)</f>
        <v>paula.nowak@example.com</v>
      </c>
      <c r="O446" s="9" t="str">
        <f>IFERROR(__xludf.DUMMYFUNCTION("IF(REGEXMATCH(TRIM(N446),""^[A-Za-z0-9._%+-]+@[A-Za-z0-9.-]+\.[A-Za-z]{2,}$""),""✅ Valid"",""❌ Invalid"")"),"✅ Valid")</f>
        <v>✅ Valid</v>
      </c>
      <c r="P446" s="2" t="str">
        <f t="array" ref="P446">XLOOKUP(I446,customers_clean!$A$2:$A$701,customers_clean!$K$2:$K$701)</f>
        <v>+44 079 151 958</v>
      </c>
      <c r="Q446" s="10" t="str">
        <f t="array" ref="Q446">XLOOKUP(I446,customers_clean!$A$2:$A$701,customers_clean!$N$2:$N$701)</f>
        <v>079151958</v>
      </c>
      <c r="R446" s="9" t="str">
        <f t="array" ref="R446">XLOOKUP(I446,customers_clean!$A$2:$A$701,customers_clean!$Q$2:$Q$701)</f>
        <v>❌ INVALID</v>
      </c>
      <c r="S446" s="10" t="s">
        <v>114</v>
      </c>
      <c r="T446" s="2" t="s">
        <v>210</v>
      </c>
      <c r="U446" s="2" t="s">
        <v>1431</v>
      </c>
      <c r="V446" s="2" t="s">
        <v>1432</v>
      </c>
      <c r="W446" s="9" t="str">
        <f t="array" ref="W446">IF(ISNA(XLOOKUP(V446,products_master_corrected!$A$2:$A$151,products_master_corrected!$A$2:$A$151, NA())),
    "❌ MISSING SKU", "✅")</f>
        <v>✅</v>
      </c>
      <c r="X446" s="2" t="s">
        <v>994</v>
      </c>
      <c r="Y446" s="2" t="s">
        <v>1328</v>
      </c>
      <c r="Z446" s="10" t="s">
        <v>179</v>
      </c>
      <c r="AA446" s="27">
        <v>2.0</v>
      </c>
      <c r="AB446" s="9" t="s">
        <v>8649</v>
      </c>
      <c r="AC446" s="28">
        <f t="array" ref="AC446">XLOOKUP(V446,products_master_corrected!$A$2:$A$151,products_master_corrected!$E$2:$E$151)</f>
        <v>513.1</v>
      </c>
      <c r="AD446" s="28">
        <f t="shared" si="55"/>
        <v>1026.2</v>
      </c>
      <c r="AE446" s="28">
        <f t="array" ref="AE446">XLOOKUP(V446,products_master_corrected!$A$2:$A$151,products_master_corrected!$F$2:$F$151)</f>
        <v>513.1</v>
      </c>
      <c r="AF446" s="29">
        <f t="shared" si="56"/>
        <v>1026.2</v>
      </c>
      <c r="AG446" s="30" t="s">
        <v>65</v>
      </c>
      <c r="AH446" s="2" t="s">
        <v>1434</v>
      </c>
      <c r="AI446" s="10" t="s">
        <v>49</v>
      </c>
      <c r="AJ446" s="2" t="s">
        <v>380</v>
      </c>
      <c r="AK446" s="10" t="s">
        <v>80</v>
      </c>
    </row>
    <row r="447" ht="15.75" customHeight="1">
      <c r="A447" s="2" t="s">
        <v>1893</v>
      </c>
      <c r="B447" s="12">
        <v>45536.91388888889</v>
      </c>
      <c r="C447" s="2" t="str">
        <f>IFERROR(__xludf.DUMMYFUNCTION("IF(ISNUMBER(B447),TEXT(B447,""yyyy-MM-dd""),REGEXREPLACE(REGEXREPLACE(TO_TEXT(B447),""[^0-9a-zA-Z]+"",""-""),""[^0-9]*$"",""""))"),"2024-09-01")</f>
        <v>2024-09-01</v>
      </c>
      <c r="D447" s="2" t="s">
        <v>8411</v>
      </c>
      <c r="H447" s="10" t="s">
        <v>8411</v>
      </c>
      <c r="I447" s="2" t="s">
        <v>1427</v>
      </c>
      <c r="J447" s="26" t="str">
        <f t="array" ref="J447">IF(ISNA(XLOOKUP(I447,customers_clean!$A$2:$A$701,customers_clean!$A$2:$A$701, NA()) ),
   "❌ MISSING CUSTOMER", "✅")</f>
        <v>✅</v>
      </c>
      <c r="K447" s="2" t="str">
        <f t="array" ref="K447">XLOOKUP(I447,customers_clean!$A$2:$A$701,customers_clean!$C$2:$C$701)</f>
        <v>Paula Nowak</v>
      </c>
      <c r="L447" s="10" t="str">
        <f t="array" ref="L447">XLOOKUP(I447,customers_clean!$A$2:$A$701,customers_clean!$D$2:$D$701)</f>
        <v>Paula Nowak</v>
      </c>
      <c r="M447" s="2" t="str">
        <f t="array" ref="M447">XLOOKUP(I447,customers_clean!$A$2:$A$701,customers_clean!$I$2:$I$701)</f>
        <v> paula.nowak@example.com</v>
      </c>
      <c r="N447" s="10" t="str">
        <f t="array" ref="N447">XLOOKUP(I447,customers_clean!$A$2:$A$701,customers_clean!$H$2:$H$701)</f>
        <v>paula.nowak@example.com</v>
      </c>
      <c r="O447" s="9" t="str">
        <f>IFERROR(__xludf.DUMMYFUNCTION("IF(REGEXMATCH(TRIM(N447),""^[A-Za-z0-9._%+-]+@[A-Za-z0-9.-]+\.[A-Za-z]{2,}$""),""✅ Valid"",""❌ Invalid"")"),"✅ Valid")</f>
        <v>✅ Valid</v>
      </c>
      <c r="P447" s="2" t="str">
        <f t="array" ref="P447">XLOOKUP(I447,customers_clean!$A$2:$A$701,customers_clean!$K$2:$K$701)</f>
        <v>+44 079 151 958</v>
      </c>
      <c r="Q447" s="10" t="str">
        <f t="array" ref="Q447">XLOOKUP(I447,customers_clean!$A$2:$A$701,customers_clean!$N$2:$N$701)</f>
        <v>079151958</v>
      </c>
      <c r="R447" s="9" t="str">
        <f t="array" ref="R447">XLOOKUP(I447,customers_clean!$A$2:$A$701,customers_clean!$Q$2:$Q$701)</f>
        <v>❌ INVALID</v>
      </c>
      <c r="S447" s="10" t="s">
        <v>114</v>
      </c>
      <c r="T447" s="2" t="s">
        <v>59</v>
      </c>
      <c r="U447" s="2" t="s">
        <v>480</v>
      </c>
      <c r="V447" s="2" t="s">
        <v>976</v>
      </c>
      <c r="W447" s="9" t="str">
        <f t="array" ref="W447">IF(ISNA(XLOOKUP(V447,products_master_corrected!$A$2:$A$151,products_master_corrected!$A$2:$A$151, NA())),
    "❌ MISSING SKU", "✅")</f>
        <v>✅</v>
      </c>
      <c r="X447" s="2" t="s">
        <v>29</v>
      </c>
      <c r="Y447" s="2" t="s">
        <v>214</v>
      </c>
      <c r="Z447" s="10" t="s">
        <v>368</v>
      </c>
      <c r="AA447" s="27">
        <v>1.0</v>
      </c>
      <c r="AB447" s="9" t="s">
        <v>8649</v>
      </c>
      <c r="AC447" s="28">
        <f t="array" ref="AC447">XLOOKUP(V447,products_master_corrected!$A$2:$A$151,products_master_corrected!$E$2:$E$151)</f>
        <v>107.91</v>
      </c>
      <c r="AD447" s="28">
        <f t="shared" si="55"/>
        <v>107.91</v>
      </c>
      <c r="AE447" s="28">
        <f t="array" ref="AE447">XLOOKUP(V447,products_master_corrected!$A$2:$A$151,products_master_corrected!$F$2:$F$151)</f>
        <v>107.91</v>
      </c>
      <c r="AF447" s="29">
        <f t="shared" si="56"/>
        <v>107.91</v>
      </c>
      <c r="AG447" s="30" t="s">
        <v>65</v>
      </c>
      <c r="AH447" s="2" t="s">
        <v>664</v>
      </c>
      <c r="AI447" s="10" t="s">
        <v>66</v>
      </c>
      <c r="AJ447" s="2" t="s">
        <v>192</v>
      </c>
      <c r="AK447" s="10" t="s">
        <v>192</v>
      </c>
    </row>
    <row r="448" ht="15.75" customHeight="1">
      <c r="A448" s="2" t="s">
        <v>4907</v>
      </c>
      <c r="B448" s="12">
        <v>45647.625</v>
      </c>
      <c r="C448" s="2" t="str">
        <f>IFERROR(__xludf.DUMMYFUNCTION("IF(ISNUMBER(B448),TEXT(B448,""yyyy-MM-dd""),REGEXREPLACE(REGEXREPLACE(TO_TEXT(B448),""[^0-9a-zA-Z]+"",""-""),""[^0-9]*$"",""""))"),"2024-12-21")</f>
        <v>2024-12-21</v>
      </c>
      <c r="D448" s="2" t="s">
        <v>6761</v>
      </c>
      <c r="H448" s="10" t="s">
        <v>6761</v>
      </c>
      <c r="I448" s="2" t="s">
        <v>4909</v>
      </c>
      <c r="J448" s="26" t="str">
        <f t="array" ref="J448">IF(ISNA(XLOOKUP(I448,customers_clean!$A$2:$A$701,customers_clean!$A$2:$A$701, NA()) ),
   "❌ MISSING CUSTOMER", "✅")</f>
        <v>✅</v>
      </c>
      <c r="K448" s="2" t="str">
        <f t="array" ref="K448">XLOOKUP(I448,customers_clean!$A$2:$A$701,customers_clean!$C$2:$C$701)</f>
        <v>Paula Lee</v>
      </c>
      <c r="L448" s="10" t="str">
        <f t="array" ref="L448">XLOOKUP(I448,customers_clean!$A$2:$A$701,customers_clean!$D$2:$D$701)</f>
        <v>Paula Lee</v>
      </c>
      <c r="M448" s="2" t="str">
        <f t="array" ref="M448">XLOOKUP(I448,customers_clean!$A$2:$A$701,customers_clean!$I$2:$I$701)</f>
        <v>paula.lee@shop.io</v>
      </c>
      <c r="N448" s="10" t="str">
        <f t="array" ref="N448">XLOOKUP(I448,customers_clean!$A$2:$A$701,customers_clean!$H$2:$H$701)</f>
        <v>paula.lee@shop.io</v>
      </c>
      <c r="O448" s="9" t="str">
        <f>IFERROR(__xludf.DUMMYFUNCTION("IF(REGEXMATCH(TRIM(N448),""^[A-Za-z0-9._%+-]+@[A-Za-z0-9.-]+\.[A-Za-z]{2,}$""),""✅ Valid"",""❌ Invalid"")"),"✅ Valid")</f>
        <v>✅ Valid</v>
      </c>
      <c r="P448" s="2" t="str">
        <f t="array" ref="P448">XLOOKUP(I448,customers_clean!$A$2:$A$701,customers_clean!$K$2:$K$701)</f>
        <v>315 537 102</v>
      </c>
      <c r="Q448" s="10" t="str">
        <f t="array" ref="Q448">XLOOKUP(I448,customers_clean!$A$2:$A$701,customers_clean!$N$2:$N$701)</f>
        <v>315537102</v>
      </c>
      <c r="R448" s="9" t="str">
        <f t="array" ref="R448">XLOOKUP(I448,customers_clean!$A$2:$A$701,customers_clean!$Q$2:$Q$701)</f>
        <v>❌ INVALID</v>
      </c>
      <c r="S448" s="10" t="s">
        <v>25</v>
      </c>
      <c r="T448" s="2" t="s">
        <v>802</v>
      </c>
      <c r="U448" s="2" t="s">
        <v>103</v>
      </c>
      <c r="V448" s="2" t="s">
        <v>117</v>
      </c>
      <c r="W448" s="9" t="str">
        <f t="array" ref="W448">IF(ISNA(XLOOKUP(V448,products_master_corrected!$A$2:$A$151,products_master_corrected!$A$2:$A$151, NA())),
    "❌ MISSING SKU", "✅")</f>
        <v>✅</v>
      </c>
      <c r="X448" s="2" t="s">
        <v>259</v>
      </c>
      <c r="Y448" s="2" t="s">
        <v>63</v>
      </c>
      <c r="Z448" s="10" t="s">
        <v>63</v>
      </c>
      <c r="AA448" s="27">
        <v>2.0</v>
      </c>
      <c r="AB448" s="9" t="s">
        <v>8649</v>
      </c>
      <c r="AC448" s="28">
        <f t="array" ref="AC448">XLOOKUP(V448,products_master_corrected!$A$2:$A$151,products_master_corrected!$E$2:$E$151)</f>
        <v>13.26</v>
      </c>
      <c r="AD448" s="28">
        <f t="shared" si="55"/>
        <v>26.52</v>
      </c>
      <c r="AE448" s="28">
        <f t="array" ref="AE448">XLOOKUP(V448,products_master_corrected!$A$2:$A$151,products_master_corrected!$K$2:$K$151)</f>
        <v>68.22</v>
      </c>
      <c r="AF448" s="29">
        <f t="shared" si="56"/>
        <v>136.44</v>
      </c>
      <c r="AG448" s="30" t="s">
        <v>95</v>
      </c>
      <c r="AH448" s="2" t="s">
        <v>664</v>
      </c>
      <c r="AI448" s="10" t="s">
        <v>66</v>
      </c>
      <c r="AJ448" s="2" t="s">
        <v>50</v>
      </c>
      <c r="AK448" s="10" t="s">
        <v>261</v>
      </c>
      <c r="AL448" s="2" t="s">
        <v>133</v>
      </c>
    </row>
    <row r="449" ht="15.75" customHeight="1">
      <c r="A449" s="2" t="s">
        <v>5914</v>
      </c>
      <c r="B449" s="12">
        <v>45757.0</v>
      </c>
      <c r="C449" s="2" t="str">
        <f>IFERROR(__xludf.DUMMYFUNCTION("IF(ISNUMBER(B449),TEXT(B449,""yyyy-MM-dd""),REGEXREPLACE(REGEXREPLACE(TO_TEXT(B449),""[^0-9a-zA-Z]+"",""-""),""[^0-9]*$"",""""))"),"2025-04-10")</f>
        <v>2025-04-10</v>
      </c>
      <c r="D449" s="2" t="s">
        <v>5915</v>
      </c>
      <c r="H449" s="10" t="s">
        <v>5915</v>
      </c>
      <c r="I449" s="2" t="s">
        <v>5773</v>
      </c>
      <c r="J449" s="26" t="str">
        <f t="array" ref="J449">IF(ISNA(XLOOKUP(I449,customers_clean!$A$2:$A$701,customers_clean!$A$2:$A$701, NA()) ),
   "❌ MISSING CUSTOMER", "✅")</f>
        <v>✅</v>
      </c>
      <c r="K449" s="2" t="str">
        <f t="array" ref="K449">XLOOKUP(I449,customers_clean!$A$2:$A$701,customers_clean!$C$2:$C$701)</f>
        <v>mUa  Khan</v>
      </c>
      <c r="L449" s="10" t="str">
        <f t="array" ref="L449">XLOOKUP(I449,customers_clean!$A$2:$A$701,customers_clean!$D$2:$D$701)</f>
        <v>Uma Khan</v>
      </c>
      <c r="M449" s="2" t="str">
        <f t="array" ref="M449">XLOOKUP(I449,customers_clean!$A$2:$A$701,customers_clean!$I$2:$I$701)</f>
        <v>uma.khan@gmail.com</v>
      </c>
      <c r="N449" s="10" t="str">
        <f t="array" ref="N449">XLOOKUP(I449,customers_clean!$A$2:$A$701,customers_clean!$H$2:$H$701)</f>
        <v>uma.khan@gmail.com</v>
      </c>
      <c r="O449" s="9" t="str">
        <f>IFERROR(__xludf.DUMMYFUNCTION("IF(REGEXMATCH(TRIM(N449),""^[A-Za-z0-9._%+-]+@[A-Za-z0-9.-]+\.[A-Za-z]{2,}$""),""✅ Valid"",""❌ Invalid"")"),"✅ Valid")</f>
        <v>✅ Valid</v>
      </c>
      <c r="P449" s="2" t="str">
        <f t="array" ref="P449">XLOOKUP(I449,customers_clean!$A$2:$A$701,customers_clean!$K$2:$K$701)</f>
        <v>+3454070037</v>
      </c>
      <c r="Q449" s="10" t="str">
        <f t="array" ref="Q449">XLOOKUP(I449,customers_clean!$A$2:$A$701,customers_clean!$N$2:$N$701)</f>
        <v>54070037</v>
      </c>
      <c r="R449" s="9" t="str">
        <f t="array" ref="R449">XLOOKUP(I449,customers_clean!$A$2:$A$701,customers_clean!$Q$2:$Q$701)</f>
        <v>❌ INVALID</v>
      </c>
      <c r="S449" s="31" t="s">
        <v>671</v>
      </c>
      <c r="T449" s="2" t="s">
        <v>59</v>
      </c>
      <c r="U449" s="2" t="s">
        <v>176</v>
      </c>
      <c r="V449" s="2" t="s">
        <v>1211</v>
      </c>
      <c r="W449" s="9" t="str">
        <f t="array" ref="W449">IF(ISNA(XLOOKUP(V449,products_master_corrected!$A$2:$A$151,products_master_corrected!$A$2:$A$151, NA())),
    "❌ MISSING SKU", "✅")</f>
        <v>✅</v>
      </c>
      <c r="X449" s="2" t="s">
        <v>804</v>
      </c>
      <c r="Y449" s="2" t="s">
        <v>63</v>
      </c>
      <c r="Z449" s="10" t="s">
        <v>63</v>
      </c>
      <c r="AA449" s="27">
        <v>2.0</v>
      </c>
      <c r="AB449" s="9" t="s">
        <v>8649</v>
      </c>
      <c r="AC449" s="28">
        <f t="array" ref="AC449">XLOOKUP(V449,products_master_corrected!$A$2:$A$151,products_master_corrected!$E$2:$E$151)</f>
        <v>19.27</v>
      </c>
      <c r="AD449" s="28">
        <f t="shared" si="55"/>
        <v>38.54</v>
      </c>
      <c r="AE449" s="28">
        <f t="array" ref="AE449">XLOOKUP(V449,products_master_corrected!$A$2:$A$151,products_master_corrected!$J$2:$J$151)</f>
        <v>22.47</v>
      </c>
      <c r="AF449" s="29">
        <f t="shared" si="56"/>
        <v>44.94</v>
      </c>
      <c r="AG449" s="32" t="s">
        <v>8656</v>
      </c>
      <c r="AH449" s="2" t="s">
        <v>305</v>
      </c>
      <c r="AI449" s="10" t="s">
        <v>49</v>
      </c>
      <c r="AJ449" s="2" t="s">
        <v>192</v>
      </c>
      <c r="AK449" s="10" t="s">
        <v>192</v>
      </c>
    </row>
    <row r="450" ht="15.75" customHeight="1">
      <c r="A450" s="2" t="s">
        <v>5771</v>
      </c>
      <c r="B450" s="12">
        <v>45254.0</v>
      </c>
      <c r="C450" s="2" t="str">
        <f>IFERROR(__xludf.DUMMYFUNCTION("IF(ISNUMBER(B450),TEXT(B450,""yyyy-MM-dd""),REGEXREPLACE(REGEXREPLACE(TO_TEXT(B450),""[^0-9a-zA-Z]+"",""-""),""[^0-9]*$"",""""))"),"2023-11-24")</f>
        <v>2023-11-24</v>
      </c>
      <c r="D450" s="2" t="s">
        <v>8845</v>
      </c>
      <c r="H450" s="10" t="s">
        <v>8845</v>
      </c>
      <c r="I450" s="2" t="s">
        <v>5773</v>
      </c>
      <c r="J450" s="26" t="str">
        <f t="array" ref="J450">IF(ISNA(XLOOKUP(I450,customers_clean!$A$2:$A$701,customers_clean!$A$2:$A$701, NA()) ),
   "❌ MISSING CUSTOMER", "✅")</f>
        <v>✅</v>
      </c>
      <c r="K450" s="2" t="str">
        <f t="array" ref="K450">XLOOKUP(I450,customers_clean!$A$2:$A$701,customers_clean!$C$2:$C$701)</f>
        <v>mUa  Khan</v>
      </c>
      <c r="L450" s="10" t="str">
        <f t="array" ref="L450">XLOOKUP(I450,customers_clean!$A$2:$A$701,customers_clean!$D$2:$D$701)</f>
        <v>Uma Khan</v>
      </c>
      <c r="M450" s="2" t="str">
        <f t="array" ref="M450">XLOOKUP(I450,customers_clean!$A$2:$A$701,customers_clean!$I$2:$I$701)</f>
        <v>uma.khan@gmail.com</v>
      </c>
      <c r="N450" s="10" t="str">
        <f t="array" ref="N450">XLOOKUP(I450,customers_clean!$A$2:$A$701,customers_clean!$H$2:$H$701)</f>
        <v>uma.khan@gmail.com</v>
      </c>
      <c r="O450" s="9" t="str">
        <f>IFERROR(__xludf.DUMMYFUNCTION("IF(REGEXMATCH(TRIM(N450),""^[A-Za-z0-9._%+-]+@[A-Za-z0-9.-]+\.[A-Za-z]{2,}$""),""✅ Valid"",""❌ Invalid"")"),"✅ Valid")</f>
        <v>✅ Valid</v>
      </c>
      <c r="P450" s="2" t="str">
        <f t="array" ref="P450">XLOOKUP(I450,customers_clean!$A$2:$A$701,customers_clean!$K$2:$K$701)</f>
        <v>+3454070037</v>
      </c>
      <c r="Q450" s="10" t="str">
        <f t="array" ref="Q450">XLOOKUP(I450,customers_clean!$A$2:$A$701,customers_clean!$N$2:$N$701)</f>
        <v>54070037</v>
      </c>
      <c r="R450" s="9" t="str">
        <f t="array" ref="R450">XLOOKUP(I450,customers_clean!$A$2:$A$701,customers_clean!$Q$2:$Q$701)</f>
        <v>❌ INVALID</v>
      </c>
      <c r="S450" s="31" t="s">
        <v>671</v>
      </c>
      <c r="T450" s="2" t="s">
        <v>59</v>
      </c>
      <c r="U450" s="2" t="s">
        <v>401</v>
      </c>
      <c r="V450" s="2" t="s">
        <v>2024</v>
      </c>
      <c r="W450" s="9" t="str">
        <f t="array" ref="W450">IF(ISNA(XLOOKUP(V450,products_master_corrected!$A$2:$A$151,products_master_corrected!$A$2:$A$151, NA())),
    "❌ MISSING SKU", "✅")</f>
        <v>✅</v>
      </c>
      <c r="X450" s="2" t="s">
        <v>2025</v>
      </c>
      <c r="Y450" s="2" t="s">
        <v>63</v>
      </c>
      <c r="Z450" s="10" t="s">
        <v>63</v>
      </c>
      <c r="AA450" s="27">
        <v>1.0</v>
      </c>
      <c r="AB450" s="9" t="s">
        <v>8649</v>
      </c>
      <c r="AC450" s="28">
        <f t="array" ref="AC450">XLOOKUP(V450,products_master_corrected!$A$2:$A$151,products_master_corrected!$E$2:$E$151)</f>
        <v>1358.96</v>
      </c>
      <c r="AD450" s="28">
        <f t="shared" si="55"/>
        <v>1358.96</v>
      </c>
      <c r="AE450" s="28">
        <f t="array" ref="AE450">XLOOKUP(V450,products_master_corrected!$A$2:$A$151,products_master_corrected!$J$2:$J$151)</f>
        <v>1584.96</v>
      </c>
      <c r="AF450" s="29">
        <f t="shared" si="56"/>
        <v>1584.96</v>
      </c>
      <c r="AG450" s="32" t="s">
        <v>8656</v>
      </c>
      <c r="AH450" s="2" t="s">
        <v>96</v>
      </c>
      <c r="AI450" s="10" t="s">
        <v>143</v>
      </c>
      <c r="AJ450" s="2" t="s">
        <v>818</v>
      </c>
      <c r="AK450" s="10" t="s">
        <v>818</v>
      </c>
    </row>
    <row r="451" ht="15.75" customHeight="1">
      <c r="A451" s="2" t="s">
        <v>1657</v>
      </c>
      <c r="B451" s="12">
        <v>45192.0</v>
      </c>
      <c r="C451" s="2" t="str">
        <f>IFERROR(__xludf.DUMMYFUNCTION("IF(ISNUMBER(B451),TEXT(B451,""yyyy-MM-dd""),REGEXREPLACE(REGEXREPLACE(TO_TEXT(B451),""[^0-9a-zA-Z]+"",""-""),""[^0-9]*$"",""""))"),"2023-09-23")</f>
        <v>2023-09-23</v>
      </c>
      <c r="D451" s="2" t="s">
        <v>1658</v>
      </c>
      <c r="H451" s="10" t="s">
        <v>1658</v>
      </c>
      <c r="I451" s="2" t="s">
        <v>1659</v>
      </c>
      <c r="J451" s="26" t="str">
        <f t="array" ref="J451">IF(ISNA(XLOOKUP(I451,customers_clean!$A$2:$A$701,customers_clean!$A$2:$A$701, NA()) ),
   "❌ MISSING CUSTOMER", "✅")</f>
        <v>✅</v>
      </c>
      <c r="K451" s="2" t="str">
        <f t="array" ref="K451">XLOOKUP(I451,customers_clean!$A$2:$A$701,customers_clean!$C$2:$C$701)</f>
        <v> Jade King</v>
      </c>
      <c r="L451" s="10" t="str">
        <f t="array" ref="L451">XLOOKUP(I451,customers_clean!$A$2:$A$701,customers_clean!$D$2:$D$701)</f>
        <v>Jade King</v>
      </c>
      <c r="M451" s="2" t="str">
        <f t="array" ref="M451">XLOOKUP(I451,customers_clean!$A$2:$A$701,customers_clean!$I$2:$I$701)</f>
        <v> jade.king@exapmle.com</v>
      </c>
      <c r="N451" s="10" t="str">
        <f t="array" ref="N451">XLOOKUP(I451,customers_clean!$A$2:$A$701,customers_clean!$H$2:$H$701)</f>
        <v>jade.king@exapmle.com</v>
      </c>
      <c r="O451" s="9" t="str">
        <f>IFERROR(__xludf.DUMMYFUNCTION("IF(REGEXMATCH(TRIM(N451),""^[A-Za-z0-9._%+-]+@[A-Za-z0-9.-]+\.[A-Za-z]{2,}$""),""✅ Valid"",""❌ Invalid"")"),"✅ Valid")</f>
        <v>✅ Valid</v>
      </c>
      <c r="P451" s="2" t="str">
        <f t="array" ref="P451">XLOOKUP(I451,customers_clean!$A$2:$A$701,customers_clean!$K$2:$K$701)</f>
        <v>(713) 3899316</v>
      </c>
      <c r="Q451" s="10" t="str">
        <f t="array" ref="Q451">XLOOKUP(I451,customers_clean!$A$2:$A$701,customers_clean!$N$2:$N$701)</f>
        <v>7133899316</v>
      </c>
      <c r="R451" s="9" t="str">
        <f t="array" ref="R451">XLOOKUP(I451,customers_clean!$A$2:$A$701,customers_clean!$Q$2:$Q$701)</f>
        <v>❌ INVALID</v>
      </c>
      <c r="S451" s="10" t="s">
        <v>114</v>
      </c>
      <c r="T451" s="2" t="s">
        <v>460</v>
      </c>
      <c r="U451" s="2" t="s">
        <v>312</v>
      </c>
      <c r="V451" s="2" t="s">
        <v>976</v>
      </c>
      <c r="W451" s="9" t="str">
        <f t="array" ref="W451">IF(ISNA(XLOOKUP(V451,products_master_corrected!$A$2:$A$151,products_master_corrected!$A$2:$A$151, NA())),
    "❌ MISSING SKU", "✅")</f>
        <v>✅</v>
      </c>
      <c r="X451" s="2" t="s">
        <v>29</v>
      </c>
      <c r="Y451" s="2" t="s">
        <v>214</v>
      </c>
      <c r="Z451" s="10" t="s">
        <v>368</v>
      </c>
      <c r="AA451" s="27">
        <v>3.0</v>
      </c>
      <c r="AB451" s="9" t="s">
        <v>8649</v>
      </c>
      <c r="AC451" s="28">
        <f t="array" ref="AC451">XLOOKUP(V451,products_master_corrected!$A$2:$A$151,products_master_corrected!$E$2:$E$151)</f>
        <v>107.91</v>
      </c>
      <c r="AD451" s="28">
        <f t="shared" si="55"/>
        <v>323.73</v>
      </c>
      <c r="AE451" s="28">
        <f t="array" ref="AE451">XLOOKUP(V451,products_master_corrected!$A$2:$A$151,products_master_corrected!$F$2:$F$151)</f>
        <v>107.91</v>
      </c>
      <c r="AF451" s="29">
        <f t="shared" si="56"/>
        <v>323.73</v>
      </c>
      <c r="AG451" s="30" t="s">
        <v>65</v>
      </c>
      <c r="AH451" s="2" t="s">
        <v>573</v>
      </c>
      <c r="AI451" s="10" t="s">
        <v>66</v>
      </c>
      <c r="AJ451" s="2" t="s">
        <v>432</v>
      </c>
      <c r="AK451" s="10" t="s">
        <v>80</v>
      </c>
    </row>
    <row r="452" ht="15.75" customHeight="1">
      <c r="A452" s="2" t="s">
        <v>6070</v>
      </c>
      <c r="B452" s="12">
        <v>45070.0</v>
      </c>
      <c r="C452" s="2" t="str">
        <f>IFERROR(__xludf.DUMMYFUNCTION("IF(ISNUMBER(B452),TEXT(B452,""yyyy-MM-dd""),REGEXREPLACE(REGEXREPLACE(TO_TEXT(B452),""[^0-9a-zA-Z]+"",""-""),""[^0-9]*$"",""""))"),"2023-05-24")</f>
        <v>2023-05-24</v>
      </c>
      <c r="D452" s="2" t="s">
        <v>8499</v>
      </c>
      <c r="H452" s="10" t="s">
        <v>8499</v>
      </c>
      <c r="I452" s="2" t="s">
        <v>1659</v>
      </c>
      <c r="J452" s="26" t="str">
        <f t="array" ref="J452">IF(ISNA(XLOOKUP(I452,customers_clean!$A$2:$A$701,customers_clean!$A$2:$A$701, NA()) ),
   "❌ MISSING CUSTOMER", "✅")</f>
        <v>✅</v>
      </c>
      <c r="K452" s="2" t="str">
        <f t="array" ref="K452">XLOOKUP(I452,customers_clean!$A$2:$A$701,customers_clean!$C$2:$C$701)</f>
        <v> Jade King</v>
      </c>
      <c r="L452" s="10" t="str">
        <f t="array" ref="L452">XLOOKUP(I452,customers_clean!$A$2:$A$701,customers_clean!$D$2:$D$701)</f>
        <v>Jade King</v>
      </c>
      <c r="M452" s="2" t="str">
        <f t="array" ref="M452">XLOOKUP(I452,customers_clean!$A$2:$A$701,customers_clean!$I$2:$I$701)</f>
        <v> jade.king@exapmle.com</v>
      </c>
      <c r="N452" s="10" t="str">
        <f t="array" ref="N452">XLOOKUP(I452,customers_clean!$A$2:$A$701,customers_clean!$H$2:$H$701)</f>
        <v>jade.king@exapmle.com</v>
      </c>
      <c r="O452" s="9" t="str">
        <f>IFERROR(__xludf.DUMMYFUNCTION("IF(REGEXMATCH(TRIM(N452),""^[A-Za-z0-9._%+-]+@[A-Za-z0-9.-]+\.[A-Za-z]{2,}$""),""✅ Valid"",""❌ Invalid"")"),"✅ Valid")</f>
        <v>✅ Valid</v>
      </c>
      <c r="P452" s="2" t="str">
        <f t="array" ref="P452">XLOOKUP(I452,customers_clean!$A$2:$A$701,customers_clean!$K$2:$K$701)</f>
        <v>(713) 3899316</v>
      </c>
      <c r="Q452" s="10" t="str">
        <f t="array" ref="Q452">XLOOKUP(I452,customers_clean!$A$2:$A$701,customers_clean!$N$2:$N$701)</f>
        <v>7133899316</v>
      </c>
      <c r="R452" s="9" t="str">
        <f t="array" ref="R452">XLOOKUP(I452,customers_clean!$A$2:$A$701,customers_clean!$Q$2:$Q$701)</f>
        <v>❌ INVALID</v>
      </c>
      <c r="S452" s="10" t="s">
        <v>114</v>
      </c>
      <c r="T452" s="2" t="s">
        <v>223</v>
      </c>
      <c r="U452" s="2" t="s">
        <v>522</v>
      </c>
      <c r="V452" s="2" t="s">
        <v>824</v>
      </c>
      <c r="W452" s="9" t="str">
        <f t="array" ref="W452">IF(ISNA(XLOOKUP(V452,products_master_corrected!$A$2:$A$151,products_master_corrected!$A$2:$A$151, NA())),
    "❌ MISSING SKU", "✅")</f>
        <v>✅</v>
      </c>
      <c r="X452" s="2" t="s">
        <v>825</v>
      </c>
      <c r="Y452" s="2" t="s">
        <v>826</v>
      </c>
      <c r="Z452" s="10" t="s">
        <v>63</v>
      </c>
      <c r="AA452" s="27">
        <v>3.0</v>
      </c>
      <c r="AB452" s="9" t="s">
        <v>8649</v>
      </c>
      <c r="AC452" s="28">
        <f t="array" ref="AC452">XLOOKUP(V452,products_master_corrected!$A$2:$A$151,products_master_corrected!$E$2:$E$151)</f>
        <v>49.58</v>
      </c>
      <c r="AD452" s="28">
        <f t="shared" si="55"/>
        <v>148.74</v>
      </c>
      <c r="AE452" s="28">
        <f t="array" ref="AE452">XLOOKUP(V452,products_master_corrected!$A$2:$A$151,products_master_corrected!$F$2:$F$151)</f>
        <v>49.58</v>
      </c>
      <c r="AF452" s="29">
        <f t="shared" si="56"/>
        <v>148.74</v>
      </c>
      <c r="AG452" s="30" t="s">
        <v>65</v>
      </c>
      <c r="AH452" s="2" t="s">
        <v>66</v>
      </c>
      <c r="AI452" s="10" t="s">
        <v>66</v>
      </c>
      <c r="AJ452" s="2" t="s">
        <v>818</v>
      </c>
      <c r="AK452" s="10" t="s">
        <v>818</v>
      </c>
      <c r="AL452" s="2" t="s">
        <v>51</v>
      </c>
    </row>
    <row r="453" ht="15.75" customHeight="1">
      <c r="A453" s="2" t="s">
        <v>2198</v>
      </c>
      <c r="B453" s="12">
        <v>45761.74722222222</v>
      </c>
      <c r="C453" s="2" t="str">
        <f>IFERROR(__xludf.DUMMYFUNCTION("IF(ISNUMBER(B453),TEXT(B453,""yyyy-MM-dd""),REGEXREPLACE(REGEXREPLACE(TO_TEXT(B453),""[^0-9a-zA-Z]+"",""-""),""[^0-9]*$"",""""))"),"2025-04-14")</f>
        <v>2025-04-14</v>
      </c>
      <c r="D453" s="2" t="s">
        <v>8483</v>
      </c>
      <c r="H453" s="10" t="s">
        <v>8483</v>
      </c>
      <c r="I453" s="2" t="s">
        <v>927</v>
      </c>
      <c r="J453" s="26" t="str">
        <f t="array" ref="J453">IF(ISNA(XLOOKUP(I453,customers_clean!$A$2:$A$701,customers_clean!$A$2:$A$701, NA()) ),
   "❌ MISSING CUSTOMER", "✅")</f>
        <v>✅</v>
      </c>
      <c r="K453" s="2" t="str">
        <f t="array" ref="K453">XLOOKUP(I453,customers_clean!$A$2:$A$701,customers_clean!$C$2:$C$701)</f>
        <v>Marek Novak</v>
      </c>
      <c r="L453" s="10" t="str">
        <f t="array" ref="L453">XLOOKUP(I453,customers_clean!$A$2:$A$701,customers_clean!$D$2:$D$701)</f>
        <v>Marek Novak</v>
      </c>
      <c r="M453" s="2" t="str">
        <f t="array" ref="M453">XLOOKUP(I453,customers_clean!$A$2:$A$701,customers_clean!$I$2:$I$701)</f>
        <v>marek.novak@example.com</v>
      </c>
      <c r="N453" s="10" t="str">
        <f t="array" ref="N453">XLOOKUP(I453,customers_clean!$A$2:$A$701,customers_clean!$H$2:$H$701)</f>
        <v>marek.novak@example.com</v>
      </c>
      <c r="O453" s="9" t="str">
        <f>IFERROR(__xludf.DUMMYFUNCTION("IF(REGEXMATCH(TRIM(N453),""^[A-Za-z0-9._%+-]+@[A-Za-z0-9.-]+\.[A-Za-z]{2,}$""),""✅ Valid"",""❌ Invalid"")"),"✅ Valid")</f>
        <v>✅ Valid</v>
      </c>
      <c r="P453" s="33" t="str">
        <f t="array" ref="P453">XLOOKUP(I453,customers_clean!$A$2:$A$701,customers_clean!$K$2:$K$701)</f>
        <v>+48-891-182719</v>
      </c>
      <c r="Q453" s="10" t="str">
        <f t="array" ref="Q453">XLOOKUP(I453,customers_clean!$A$2:$A$701,customers_clean!$N$2:$N$701)</f>
        <v>891182719</v>
      </c>
      <c r="R453" s="9" t="str">
        <f t="array" ref="R453">XLOOKUP(I453,customers_clean!$A$2:$A$701,customers_clean!$Q$2:$Q$701)</f>
        <v>❌ INVALID</v>
      </c>
      <c r="S453" s="10" t="s">
        <v>448</v>
      </c>
      <c r="T453" s="2" t="s">
        <v>26</v>
      </c>
      <c r="U453" s="2" t="s">
        <v>352</v>
      </c>
      <c r="V453" s="2" t="s">
        <v>692</v>
      </c>
      <c r="W453" s="9" t="str">
        <f t="array" ref="W453">IF(ISNA(XLOOKUP(V453,products_master_corrected!$A$2:$A$151,products_master_corrected!$A$2:$A$151, NA())),
    "❌ MISSING SKU", "✅")</f>
        <v>✅</v>
      </c>
      <c r="X453" s="2" t="s">
        <v>8661</v>
      </c>
      <c r="Y453" s="2" t="s">
        <v>368</v>
      </c>
      <c r="Z453" s="10" t="s">
        <v>368</v>
      </c>
      <c r="AA453" s="27">
        <v>1.0</v>
      </c>
      <c r="AB453" s="9" t="s">
        <v>8649</v>
      </c>
      <c r="AC453" s="28">
        <f t="array" ref="AC453">XLOOKUP(V453,products_master_corrected!$A$2:$A$151,products_master_corrected!$E$2:$E$151)</f>
        <v>65.53</v>
      </c>
      <c r="AD453" s="28">
        <f t="shared" si="55"/>
        <v>65.53</v>
      </c>
      <c r="AE453" s="28">
        <f t="array" ref="AE453">XLOOKUP(V453,products_master_corrected!$A$2:$A$151,products_master_corrected!$M$2:$M$151)</f>
        <v>79.27</v>
      </c>
      <c r="AF453" s="29">
        <f t="shared" si="56"/>
        <v>79.27</v>
      </c>
      <c r="AG453" s="30" t="s">
        <v>48</v>
      </c>
      <c r="AH453" s="2" t="s">
        <v>305</v>
      </c>
      <c r="AI453" s="10" t="s">
        <v>49</v>
      </c>
      <c r="AJ453" s="2" t="s">
        <v>132</v>
      </c>
      <c r="AK453" s="10" t="s">
        <v>192</v>
      </c>
    </row>
    <row r="454" ht="15.75" customHeight="1">
      <c r="A454" s="2" t="s">
        <v>925</v>
      </c>
      <c r="B454" s="12" t="s">
        <v>926</v>
      </c>
      <c r="C454" s="2" t="str">
        <f>IFERROR(__xludf.DUMMYFUNCTION("IF(ISNUMBER(B454),TEXT(B454,""yyyy-MM-dd""),REGEXREPLACE(REGEXREPLACE(TO_TEXT(B454),""[^0-9a-zA-Z]+"",""-""),""[^0-9]*$"",""""))"),"45205-08-16")</f>
        <v>45205-08-16</v>
      </c>
      <c r="D454" s="2" t="str">
        <f>TEXT(C454,"yyyy-MM-dd")</f>
        <v>45205-08-16</v>
      </c>
      <c r="E454" s="25" t="str">
        <f>CONCATENATE(LEFT(D454,5))</f>
        <v>45205</v>
      </c>
      <c r="F454" s="12">
        <f>DATE(1900,1,1) + E454 - 1</f>
        <v>45206</v>
      </c>
      <c r="G454" s="2" t="s">
        <v>8784</v>
      </c>
      <c r="H454" s="10" t="s">
        <v>8784</v>
      </c>
      <c r="I454" s="2" t="s">
        <v>927</v>
      </c>
      <c r="J454" s="26" t="str">
        <f t="array" ref="J454">IF(ISNA(XLOOKUP(I454,customers_clean!$A$2:$A$701,customers_clean!$A$2:$A$701, NA()) ),
   "❌ MISSING CUSTOMER", "✅")</f>
        <v>✅</v>
      </c>
      <c r="K454" s="2" t="str">
        <f t="array" ref="K454">XLOOKUP(I454,customers_clean!$A$2:$A$701,customers_clean!$C$2:$C$701)</f>
        <v>Marek Novak</v>
      </c>
      <c r="L454" s="10" t="str">
        <f t="array" ref="L454">XLOOKUP(I454,customers_clean!$A$2:$A$701,customers_clean!$D$2:$D$701)</f>
        <v>Marek Novak</v>
      </c>
      <c r="M454" s="2" t="str">
        <f t="array" ref="M454">XLOOKUP(I454,customers_clean!$A$2:$A$701,customers_clean!$I$2:$I$701)</f>
        <v>marek.novak@example.com</v>
      </c>
      <c r="N454" s="10" t="str">
        <f t="array" ref="N454">XLOOKUP(I454,customers_clean!$A$2:$A$701,customers_clean!$H$2:$H$701)</f>
        <v>marek.novak@example.com</v>
      </c>
      <c r="O454" s="9" t="str">
        <f>IFERROR(__xludf.DUMMYFUNCTION("IF(REGEXMATCH(TRIM(N454),""^[A-Za-z0-9._%+-]+@[A-Za-z0-9.-]+\.[A-Za-z]{2,}$""),""✅ Valid"",""❌ Invalid"")"),"✅ Valid")</f>
        <v>✅ Valid</v>
      </c>
      <c r="P454" s="33" t="str">
        <f t="array" ref="P454">XLOOKUP(I454,customers_clean!$A$2:$A$701,customers_clean!$K$2:$K$701)</f>
        <v>+48-891-182719</v>
      </c>
      <c r="Q454" s="10" t="str">
        <f t="array" ref="Q454">XLOOKUP(I454,customers_clean!$A$2:$A$701,customers_clean!$N$2:$N$701)</f>
        <v>891182719</v>
      </c>
      <c r="R454" s="9" t="str">
        <f t="array" ref="R454">XLOOKUP(I454,customers_clean!$A$2:$A$701,customers_clean!$Q$2:$Q$701)</f>
        <v>❌ INVALID</v>
      </c>
      <c r="S454" s="10" t="s">
        <v>448</v>
      </c>
      <c r="T454" s="2" t="s">
        <v>931</v>
      </c>
      <c r="U454" s="2" t="s">
        <v>116</v>
      </c>
      <c r="V454" s="2" t="s">
        <v>889</v>
      </c>
      <c r="W454" s="9" t="str">
        <f t="array" ref="W454">IF(ISNA(XLOOKUP(V454,products_master_corrected!$A$2:$A$151,products_master_corrected!$A$2:$A$151, NA())),
    "❌ MISSING SKU", "✅")</f>
        <v>✅</v>
      </c>
      <c r="X454" s="2" t="s">
        <v>804</v>
      </c>
      <c r="Y454" s="2" t="s">
        <v>179</v>
      </c>
      <c r="Z454" s="10" t="s">
        <v>179</v>
      </c>
      <c r="AA454" s="27">
        <v>1.0</v>
      </c>
      <c r="AB454" s="9" t="s">
        <v>8649</v>
      </c>
      <c r="AC454" s="28">
        <f t="array" ref="AC454">XLOOKUP(V454,products_master_corrected!$A$2:$A$151,products_master_corrected!$E$2:$E$151)</f>
        <v>16.72</v>
      </c>
      <c r="AD454" s="28">
        <f t="shared" si="55"/>
        <v>16.72</v>
      </c>
      <c r="AE454" s="28">
        <f t="array" ref="AE454">XLOOKUP(V454,products_master_corrected!$A$2:$A$151,products_master_corrected!$M$2:$M$151)</f>
        <v>20.22</v>
      </c>
      <c r="AF454" s="29">
        <f t="shared" si="56"/>
        <v>20.22</v>
      </c>
      <c r="AG454" s="30" t="s">
        <v>48</v>
      </c>
      <c r="AH454" s="2" t="s">
        <v>664</v>
      </c>
      <c r="AI454" s="10" t="s">
        <v>66</v>
      </c>
      <c r="AJ454" s="2" t="s">
        <v>80</v>
      </c>
      <c r="AK454" s="10" t="s">
        <v>80</v>
      </c>
      <c r="AL454" s="2" t="s">
        <v>133</v>
      </c>
    </row>
    <row r="455" ht="15.75" customHeight="1">
      <c r="A455" s="2" t="s">
        <v>2828</v>
      </c>
      <c r="B455" s="12">
        <v>45148.0</v>
      </c>
      <c r="C455" s="2" t="str">
        <f>IFERROR(__xludf.DUMMYFUNCTION("IF(ISNUMBER(B455),TEXT(B455,""yyyy-MM-dd""),REGEXREPLACE(REGEXREPLACE(TO_TEXT(B455),""[^0-9a-zA-Z]+"",""-""),""[^0-9]*$"",""""))"),"2023-08-10")</f>
        <v>2023-08-10</v>
      </c>
      <c r="D455" s="2" t="s">
        <v>8846</v>
      </c>
      <c r="H455" s="10" t="s">
        <v>8846</v>
      </c>
      <c r="I455" s="2" t="s">
        <v>2830</v>
      </c>
      <c r="J455" s="26" t="str">
        <f t="array" ref="J455">IF(ISNA(XLOOKUP(I455,customers_clean!$A$2:$A$701,customers_clean!$A$2:$A$701, NA()) ),
   "❌ MISSING CUSTOMER", "✅")</f>
        <v>✅</v>
      </c>
      <c r="K455" s="2" t="str">
        <f t="array" ref="K455">XLOOKUP(I455,customers_clean!$A$2:$A$701,customers_clean!$C$2:$C$701)</f>
        <v>SAM TAYLOR</v>
      </c>
      <c r="L455" s="10" t="str">
        <f t="array" ref="L455">XLOOKUP(I455,customers_clean!$A$2:$A$701,customers_clean!$D$2:$D$701)</f>
        <v>Sam Taylor</v>
      </c>
      <c r="M455" s="2" t="str">
        <f t="array" ref="M455">XLOOKUP(I455,customers_clean!$A$2:$A$701,customers_clean!$I$2:$I$701)</f>
        <v>sam.taylor@yahoo.com </v>
      </c>
      <c r="N455" s="10" t="str">
        <f t="array" ref="N455">XLOOKUP(I455,customers_clean!$A$2:$A$701,customers_clean!$H$2:$H$701)</f>
        <v>sam.taylor@yahoo.com</v>
      </c>
      <c r="O455" s="9" t="str">
        <f>IFERROR(__xludf.DUMMYFUNCTION("IF(REGEXMATCH(TRIM(N455),""^[A-Za-z0-9._%+-]+@[A-Za-z0-9.-]+\.[A-Za-z]{2,}$""),""✅ Valid"",""❌ Invalid"")"),"✅ Valid")</f>
        <v>✅ Valid</v>
      </c>
      <c r="P455" s="2" t="str">
        <f t="array" ref="P455">XLOOKUP(I455,customers_clean!$A$2:$A$701,customers_clean!$K$2:$K$701)</f>
        <v>+34-396-028852</v>
      </c>
      <c r="Q455" s="10" t="str">
        <f t="array" ref="Q455">XLOOKUP(I455,customers_clean!$A$2:$A$701,customers_clean!$N$2:$N$701)</f>
        <v>396028852</v>
      </c>
      <c r="R455" s="9" t="str">
        <f t="array" ref="R455">XLOOKUP(I455,customers_clean!$A$2:$A$701,customers_clean!$Q$2:$Q$701)</f>
        <v>❌ INVALID</v>
      </c>
      <c r="S455" s="10" t="s">
        <v>88</v>
      </c>
      <c r="T455" s="2" t="s">
        <v>42</v>
      </c>
      <c r="U455" s="2" t="s">
        <v>60</v>
      </c>
      <c r="V455" s="2" t="s">
        <v>919</v>
      </c>
      <c r="W455" s="9" t="str">
        <f t="array" ref="W455">IF(ISNA(XLOOKUP(V455,products_master_corrected!$A$2:$A$151,products_master_corrected!$A$2:$A$151, NA())),
    "❌ MISSING SKU", "✅")</f>
        <v>✅</v>
      </c>
      <c r="X455" s="2" t="s">
        <v>423</v>
      </c>
      <c r="Y455" s="2" t="s">
        <v>179</v>
      </c>
      <c r="Z455" s="10" t="s">
        <v>179</v>
      </c>
      <c r="AA455" s="27">
        <v>1.0</v>
      </c>
      <c r="AB455" s="9" t="s">
        <v>8649</v>
      </c>
      <c r="AC455" s="28">
        <f t="array" ref="AC455">XLOOKUP(V455,products_master_corrected!$A$2:$A$151,products_master_corrected!$E$2:$E$151)</f>
        <v>52.04</v>
      </c>
      <c r="AD455" s="28">
        <f t="shared" si="55"/>
        <v>52.04</v>
      </c>
      <c r="AE455" s="28">
        <f t="array" ref="AE455">XLOOKUP(V455,products_master_corrected!$A$2:$A$151,products_master_corrected!$I$2:$I$151)</f>
        <v>57.37</v>
      </c>
      <c r="AF455" s="29">
        <f t="shared" si="56"/>
        <v>57.37</v>
      </c>
      <c r="AG455" s="32" t="s">
        <v>8660</v>
      </c>
      <c r="AH455" s="2" t="s">
        <v>370</v>
      </c>
      <c r="AI455" s="10" t="s">
        <v>143</v>
      </c>
      <c r="AJ455" s="2" t="s">
        <v>818</v>
      </c>
      <c r="AK455" s="10" t="s">
        <v>818</v>
      </c>
      <c r="AL455" s="2" t="s">
        <v>81</v>
      </c>
    </row>
    <row r="456" ht="15.75" customHeight="1">
      <c r="A456" s="2" t="s">
        <v>2653</v>
      </c>
      <c r="B456" s="12" t="s">
        <v>2654</v>
      </c>
      <c r="C456" s="2" t="str">
        <f>IFERROR(__xludf.DUMMYFUNCTION("IF(ISNUMBER(B456),TEXT(B456,""yyyy-MM-dd""),REGEXREPLACE(REGEXREPLACE(TO_TEXT(B456),""[^0-9a-zA-Z]+"",""-""),""[^0-9]*$"",""""))"),"45620-04-57")</f>
        <v>45620-04-57</v>
      </c>
      <c r="D456" s="2" t="str">
        <f>TEXT(C456,"yyyy-MM-dd")</f>
        <v>45620-04-57</v>
      </c>
      <c r="E456" s="25" t="str">
        <f>CONCATENATE(LEFT(D456,5))</f>
        <v>45620</v>
      </c>
      <c r="F456" s="12">
        <f>DATE(1900,1,1) + E456 - 1</f>
        <v>45621</v>
      </c>
      <c r="G456" s="2" t="s">
        <v>8847</v>
      </c>
      <c r="H456" s="10" t="s">
        <v>8847</v>
      </c>
      <c r="I456" s="2" t="s">
        <v>2655</v>
      </c>
      <c r="J456" s="26" t="str">
        <f t="array" ref="J456">IF(ISNA(XLOOKUP(I456,customers_clean!$A$2:$A$701,customers_clean!$A$2:$A$701, NA()) ),
   "❌ MISSING CUSTOMER", "✅")</f>
        <v>✅</v>
      </c>
      <c r="K456" s="2" t="str">
        <f t="array" ref="K456">XLOOKUP(I456,customers_clean!$A$2:$A$701,customers_clean!$C$2:$C$701)</f>
        <v>Igor Martinez</v>
      </c>
      <c r="L456" s="10" t="str">
        <f t="array" ref="L456">XLOOKUP(I456,customers_clean!$A$2:$A$701,customers_clean!$D$2:$D$701)</f>
        <v>Igor Martinez</v>
      </c>
      <c r="M456" s="2" t="str">
        <f t="array" ref="M456">XLOOKUP(I456,customers_clean!$A$2:$A$701,customers_clean!$I$2:$I$701)</f>
        <v>IGOR.MARTINEZ@COMPANY.CO.UK</v>
      </c>
      <c r="N456" s="10" t="str">
        <f t="array" ref="N456">XLOOKUP(I456,customers_clean!$A$2:$A$701,customers_clean!$H$2:$H$701)</f>
        <v>igor.martinez@company.co.uk</v>
      </c>
      <c r="O456" s="9" t="str">
        <f>IFERROR(__xludf.DUMMYFUNCTION("IF(REGEXMATCH(TRIM(N456),""^[A-Za-z0-9._%+-]+@[A-Za-z0-9.-]+\.[A-Za-z]{2,}$""),""✅ Valid"",""❌ Invalid"")"),"✅ Valid")</f>
        <v>✅ Valid</v>
      </c>
      <c r="P456" s="2" t="str">
        <f t="array" ref="P456">XLOOKUP(I456,customers_clean!$A$2:$A$701,customers_clean!$K$2:$K$701)</f>
        <v>53-723-7094 ext 55</v>
      </c>
      <c r="Q456" s="10" t="str">
        <f t="array" ref="Q456">XLOOKUP(I456,customers_clean!$A$2:$A$701,customers_clean!$N$2:$N$701)</f>
        <v>537237094</v>
      </c>
      <c r="R456" s="9" t="str">
        <f t="array" ref="R456">XLOOKUP(I456,customers_clean!$A$2:$A$701,customers_clean!$Q$2:$Q$701)</f>
        <v>❌ INVALID</v>
      </c>
      <c r="S456" s="10" t="s">
        <v>114</v>
      </c>
      <c r="T456" s="2" t="s">
        <v>778</v>
      </c>
      <c r="U456" s="2" t="s">
        <v>90</v>
      </c>
      <c r="V456" s="2" t="s">
        <v>1926</v>
      </c>
      <c r="W456" s="9" t="str">
        <f t="array" ref="W456">IF(ISNA(XLOOKUP(V456,products_master_corrected!$A$2:$A$151,products_master_corrected!$A$2:$A$151, NA())),
    "❌ MISSING SKU", "✅")</f>
        <v>✅</v>
      </c>
      <c r="X456" s="2" t="s">
        <v>1927</v>
      </c>
      <c r="Y456" s="2" t="s">
        <v>63</v>
      </c>
      <c r="Z456" s="10" t="s">
        <v>63</v>
      </c>
      <c r="AA456" s="27">
        <v>1.0</v>
      </c>
      <c r="AB456" s="9" t="s">
        <v>8649</v>
      </c>
      <c r="AC456" s="28">
        <f t="array" ref="AC456">XLOOKUP(V456,products_master_corrected!$A$2:$A$151,products_master_corrected!$E$2:$E$151)</f>
        <v>452.71</v>
      </c>
      <c r="AD456" s="28">
        <f t="shared" si="55"/>
        <v>452.71</v>
      </c>
      <c r="AE456" s="28">
        <f t="array" ref="AE456">XLOOKUP(V456,products_master_corrected!$A$2:$A$151,products_master_corrected!$F$2:$F$151)</f>
        <v>452.71</v>
      </c>
      <c r="AF456" s="29">
        <f t="shared" si="56"/>
        <v>452.71</v>
      </c>
      <c r="AG456" s="30" t="s">
        <v>65</v>
      </c>
      <c r="AH456" s="2" t="s">
        <v>2660</v>
      </c>
      <c r="AI456" s="10" t="s">
        <v>181</v>
      </c>
      <c r="AJ456" s="2" t="s">
        <v>169</v>
      </c>
      <c r="AK456" s="10" t="s">
        <v>261</v>
      </c>
    </row>
    <row r="457" ht="15.75" customHeight="1">
      <c r="A457" s="2" t="s">
        <v>4883</v>
      </c>
      <c r="B457" s="12">
        <v>45793.75902777778</v>
      </c>
      <c r="C457" s="2" t="str">
        <f>IFERROR(__xludf.DUMMYFUNCTION("IF(ISNUMBER(B457),TEXT(B457,""yyyy-MM-dd""),REGEXREPLACE(REGEXREPLACE(TO_TEXT(B457),""[^0-9a-zA-Z]+"",""-""),""[^0-9]*$"",""""))"),"2025-05-16")</f>
        <v>2025-05-16</v>
      </c>
      <c r="D457" s="2" t="s">
        <v>8591</v>
      </c>
      <c r="H457" s="10" t="s">
        <v>8591</v>
      </c>
      <c r="I457" s="2" t="s">
        <v>4570</v>
      </c>
      <c r="J457" s="26" t="str">
        <f t="array" ref="J457">IF(ISNA(XLOOKUP(I457,customers_clean!$A$2:$A$701,customers_clean!$A$2:$A$701, NA()) ),
   "❌ MISSING CUSTOMER", "✅")</f>
        <v>✅</v>
      </c>
      <c r="K457" s="2" t="str">
        <f t="array" ref="K457">XLOOKUP(I457,customers_clean!$A$2:$A$701,customers_clean!$C$2:$C$701)</f>
        <v>Omar Lee </v>
      </c>
      <c r="L457" s="10" t="str">
        <f t="array" ref="L457">XLOOKUP(I457,customers_clean!$A$2:$A$701,customers_clean!$D$2:$D$701)</f>
        <v>Omar Lee</v>
      </c>
      <c r="M457" s="2" t="str">
        <f t="array" ref="M457">XLOOKUP(I457,customers_clean!$A$2:$A$701,customers_clean!$I$2:$I$701)</f>
        <v>omar.lee@yahoo.com</v>
      </c>
      <c r="N457" s="10" t="str">
        <f t="array" ref="N457">XLOOKUP(I457,customers_clean!$A$2:$A$701,customers_clean!$H$2:$H$701)</f>
        <v>omar.lee@yahoo.com</v>
      </c>
      <c r="O457" s="9" t="str">
        <f>IFERROR(__xludf.DUMMYFUNCTION("IF(REGEXMATCH(TRIM(N457),""^[A-Za-z0-9._%+-]+@[A-Za-z0-9.-]+\.[A-Za-z]{2,}$""),""✅ Valid"",""❌ Invalid"")"),"✅ Valid")</f>
        <v>✅ Valid</v>
      </c>
      <c r="P457" s="2" t="str">
        <f t="array" ref="P457">XLOOKUP(I457,customers_clean!$A$2:$A$701,customers_clean!$K$2:$K$701)</f>
        <v>+44+14862486694</v>
      </c>
      <c r="Q457" s="10" t="str">
        <f t="array" ref="Q457">XLOOKUP(I457,customers_clean!$A$2:$A$701,customers_clean!$N$2:$N$701)</f>
        <v>14862486694</v>
      </c>
      <c r="R457" s="9" t="str">
        <f t="array" ref="R457">XLOOKUP(I457,customers_clean!$A$2:$A$701,customers_clean!$Q$2:$Q$701)</f>
        <v>❌ INVALID</v>
      </c>
      <c r="S457" s="10" t="s">
        <v>114</v>
      </c>
      <c r="T457" s="2" t="s">
        <v>59</v>
      </c>
      <c r="U457" s="2" t="s">
        <v>43</v>
      </c>
      <c r="V457" s="2" t="s">
        <v>325</v>
      </c>
      <c r="W457" s="9" t="str">
        <f t="array" ref="W457">IF(ISNA(XLOOKUP(V457,products_master_corrected!$A$2:$A$151,products_master_corrected!$A$2:$A$151, NA())),
    "❌ MISSING SKU", "✅")</f>
        <v>✅</v>
      </c>
      <c r="X457" s="2" t="s">
        <v>280</v>
      </c>
      <c r="Y457" s="2" t="s">
        <v>315</v>
      </c>
      <c r="Z457" s="10" t="s">
        <v>179</v>
      </c>
      <c r="AA457" s="27">
        <v>3.0</v>
      </c>
      <c r="AB457" s="9" t="s">
        <v>8649</v>
      </c>
      <c r="AC457" s="28">
        <f t="array" ref="AC457">XLOOKUP(V457,products_master_corrected!$A$2:$A$151,products_master_corrected!$E$2:$E$151)</f>
        <v>145.23</v>
      </c>
      <c r="AD457" s="28">
        <f t="shared" si="55"/>
        <v>435.69</v>
      </c>
      <c r="AE457" s="28">
        <f t="array" ref="AE457">XLOOKUP(V457,products_master_corrected!$A$2:$A$151,products_master_corrected!$F$2:$F$151)</f>
        <v>145.23</v>
      </c>
      <c r="AF457" s="29">
        <f t="shared" si="56"/>
        <v>435.69</v>
      </c>
      <c r="AG457" s="30" t="s">
        <v>65</v>
      </c>
      <c r="AH457" s="2" t="s">
        <v>49</v>
      </c>
      <c r="AI457" s="10" t="s">
        <v>49</v>
      </c>
      <c r="AJ457" s="2" t="s">
        <v>380</v>
      </c>
      <c r="AK457" s="10" t="s">
        <v>80</v>
      </c>
    </row>
    <row r="458" ht="15.75" customHeight="1">
      <c r="A458" s="2" t="s">
        <v>4568</v>
      </c>
      <c r="B458" s="12">
        <v>45364.0</v>
      </c>
      <c r="C458" s="2" t="str">
        <f>IFERROR(__xludf.DUMMYFUNCTION("IF(ISNUMBER(B458),TEXT(B458,""yyyy-MM-dd""),REGEXREPLACE(REGEXREPLACE(TO_TEXT(B458),""[^0-9a-zA-Z]+"",""-""),""[^0-9]*$"",""""))"),"2024-03-13")</f>
        <v>2024-03-13</v>
      </c>
      <c r="D458" s="2" t="s">
        <v>7362</v>
      </c>
      <c r="H458" s="10" t="s">
        <v>7362</v>
      </c>
      <c r="I458" s="2" t="s">
        <v>4570</v>
      </c>
      <c r="J458" s="26" t="str">
        <f t="array" ref="J458">IF(ISNA(XLOOKUP(I458,customers_clean!$A$2:$A$701,customers_clean!$A$2:$A$701, NA()) ),
   "❌ MISSING CUSTOMER", "✅")</f>
        <v>✅</v>
      </c>
      <c r="K458" s="2" t="str">
        <f t="array" ref="K458">XLOOKUP(I458,customers_clean!$A$2:$A$701,customers_clean!$C$2:$C$701)</f>
        <v>Omar Lee </v>
      </c>
      <c r="L458" s="10" t="str">
        <f t="array" ref="L458">XLOOKUP(I458,customers_clean!$A$2:$A$701,customers_clean!$D$2:$D$701)</f>
        <v>Omar Lee</v>
      </c>
      <c r="M458" s="2" t="str">
        <f t="array" ref="M458">XLOOKUP(I458,customers_clean!$A$2:$A$701,customers_clean!$I$2:$I$701)</f>
        <v>omar.lee@yahoo.com</v>
      </c>
      <c r="N458" s="10" t="str">
        <f t="array" ref="N458">XLOOKUP(I458,customers_clean!$A$2:$A$701,customers_clean!$H$2:$H$701)</f>
        <v>omar.lee@yahoo.com</v>
      </c>
      <c r="O458" s="9" t="str">
        <f>IFERROR(__xludf.DUMMYFUNCTION("IF(REGEXMATCH(TRIM(N458),""^[A-Za-z0-9._%+-]+@[A-Za-z0-9.-]+\.[A-Za-z]{2,}$""),""✅ Valid"",""❌ Invalid"")"),"✅ Valid")</f>
        <v>✅ Valid</v>
      </c>
      <c r="P458" s="2" t="str">
        <f t="array" ref="P458">XLOOKUP(I458,customers_clean!$A$2:$A$701,customers_clean!$K$2:$K$701)</f>
        <v>+44+14862486694</v>
      </c>
      <c r="Q458" s="10" t="str">
        <f t="array" ref="Q458">XLOOKUP(I458,customers_clean!$A$2:$A$701,customers_clean!$N$2:$N$701)</f>
        <v>14862486694</v>
      </c>
      <c r="R458" s="9" t="str">
        <f t="array" ref="R458">XLOOKUP(I458,customers_clean!$A$2:$A$701,customers_clean!$Q$2:$Q$701)</f>
        <v>❌ INVALID</v>
      </c>
      <c r="S458" s="10" t="s">
        <v>114</v>
      </c>
      <c r="T458" s="2" t="s">
        <v>74</v>
      </c>
      <c r="U458" s="2" t="s">
        <v>522</v>
      </c>
      <c r="V458" s="2" t="s">
        <v>1679</v>
      </c>
      <c r="W458" s="9" t="str">
        <f t="array" ref="W458">IF(ISNA(XLOOKUP(V458,products_master_corrected!$A$2:$A$151,products_master_corrected!$A$2:$A$151, NA())),
    "❌ MISSING SKU", "✅")</f>
        <v>✅</v>
      </c>
      <c r="X458" s="2" t="s">
        <v>280</v>
      </c>
      <c r="Y458" s="2" t="s">
        <v>514</v>
      </c>
      <c r="Z458" s="10" t="s">
        <v>514</v>
      </c>
      <c r="AA458" s="27">
        <v>2.0</v>
      </c>
      <c r="AB458" s="9" t="s">
        <v>8649</v>
      </c>
      <c r="AC458" s="28">
        <f t="array" ref="AC458">XLOOKUP(V458,products_master_corrected!$A$2:$A$151,products_master_corrected!$E$2:$E$151)</f>
        <v>130.95</v>
      </c>
      <c r="AD458" s="28">
        <f t="shared" si="55"/>
        <v>261.9</v>
      </c>
      <c r="AE458" s="28">
        <f t="array" ref="AE458">XLOOKUP(V458,products_master_corrected!$A$2:$A$151,products_master_corrected!$F$2:$F$151)</f>
        <v>130.95</v>
      </c>
      <c r="AF458" s="29">
        <f t="shared" si="56"/>
        <v>261.9</v>
      </c>
      <c r="AG458" s="30" t="s">
        <v>65</v>
      </c>
      <c r="AH458" s="2" t="s">
        <v>49</v>
      </c>
      <c r="AI458" s="10" t="s">
        <v>49</v>
      </c>
      <c r="AJ458" s="2" t="s">
        <v>80</v>
      </c>
      <c r="AK458" s="10" t="s">
        <v>80</v>
      </c>
    </row>
    <row r="459" ht="15.75" customHeight="1">
      <c r="A459" s="2" t="s">
        <v>4913</v>
      </c>
      <c r="B459" s="12" t="s">
        <v>4914</v>
      </c>
      <c r="C459" s="2" t="str">
        <f>IFERROR(__xludf.DUMMYFUNCTION("IF(ISNUMBER(B459),TEXT(B459,""yyyy-MM-dd""),REGEXREPLACE(REGEXREPLACE(TO_TEXT(B459),""[^0-9a-zA-Z]+"",""-""),""[^0-9]*$"",""""))"),"17-01-2024-15-25")</f>
        <v>17-01-2024-15-25</v>
      </c>
      <c r="D459" s="2" t="str">
        <f t="shared" ref="D459:D460" si="57">TEXT(C459,"yyyy-MM-dd")</f>
        <v>17-01-2024-15-25</v>
      </c>
      <c r="E459" s="12" t="str">
        <f>IFERROR(__xludf.DUMMYFUNCTION("REGEXEXTRACT(D459,""^\d{2}-\d{2}-\d{4}"")"),"17-01-2024")</f>
        <v>17-01-2024</v>
      </c>
      <c r="F459" s="2" t="s">
        <v>5150</v>
      </c>
      <c r="H459" s="10" t="s">
        <v>5150</v>
      </c>
      <c r="I459" s="2" t="s">
        <v>1838</v>
      </c>
      <c r="J459" s="26" t="str">
        <f t="array" ref="J459">IF(ISNA(XLOOKUP(I459,customers_clean!$A$2:$A$701,customers_clean!$A$2:$A$701, NA()) ),
   "❌ MISSING CUSTOMER", "✅")</f>
        <v>✅</v>
      </c>
      <c r="K459" s="2" t="str">
        <f t="array" ref="K459">XLOOKUP(I459,customers_clean!$A$2:$A$701,customers_clean!$C$2:$C$701)</f>
        <v>Ethan Muller</v>
      </c>
      <c r="L459" s="10" t="str">
        <f t="array" ref="L459">XLOOKUP(I459,customers_clean!$A$2:$A$701,customers_clean!$D$2:$D$701)</f>
        <v>Ethan Muller</v>
      </c>
      <c r="M459" s="2" t="str">
        <f t="array" ref="M459">XLOOKUP(I459,customers_clean!$A$2:$A$701,customers_clean!$I$2:$I$701)</f>
        <v>ethan.muller@company.co.uk</v>
      </c>
      <c r="N459" s="10" t="str">
        <f t="array" ref="N459">XLOOKUP(I459,customers_clean!$A$2:$A$701,customers_clean!$H$2:$H$701)</f>
        <v>ethan.muller@company.co.uk</v>
      </c>
      <c r="O459" s="9" t="str">
        <f>IFERROR(__xludf.DUMMYFUNCTION("IF(REGEXMATCH(TRIM(N459),""^[A-Za-z0-9._%+-]+@[A-Za-z0-9.-]+\.[A-Za-z]{2,}$""),""✅ Valid"",""❌ Invalid"")"),"✅ Valid")</f>
        <v>✅ Valid</v>
      </c>
      <c r="P459" s="33" t="str">
        <f t="array" ref="P459">XLOOKUP(I459,customers_clean!$A$2:$A$701,customers_clean!$K$2:$K$701)</f>
        <v>951) 44810</v>
      </c>
      <c r="Q459" s="10" t="str">
        <f t="array" ref="Q459">XLOOKUP(I459,customers_clean!$A$2:$A$701,customers_clean!$N$2:$N$701)</f>
        <v>95144810</v>
      </c>
      <c r="R459" s="9" t="str">
        <f t="array" ref="R459">XLOOKUP(I459,customers_clean!$A$2:$A$701,customers_clean!$Q$2:$Q$701)</f>
        <v>❌ INVALID</v>
      </c>
      <c r="S459" s="10" t="s">
        <v>608</v>
      </c>
      <c r="T459" s="2" t="s">
        <v>234</v>
      </c>
      <c r="U459" s="2" t="s">
        <v>103</v>
      </c>
      <c r="V459" s="2" t="s">
        <v>501</v>
      </c>
      <c r="W459" s="9" t="str">
        <f t="array" ref="W459">IF(ISNA(XLOOKUP(V459,products_master_corrected!$A$2:$A$151,products_master_corrected!$A$2:$A$151, NA())),
    "❌ MISSING SKU", "✅")</f>
        <v>✅</v>
      </c>
      <c r="X459" s="2" t="s">
        <v>502</v>
      </c>
      <c r="Y459" s="2" t="s">
        <v>503</v>
      </c>
      <c r="Z459" s="10" t="str">
        <f>PROPER(TRIM(Y459))</f>
        <v>Monitors</v>
      </c>
      <c r="AA459" s="27">
        <v>2.0</v>
      </c>
      <c r="AB459" s="9" t="s">
        <v>8649</v>
      </c>
      <c r="AC459" s="28">
        <f t="array" ref="AC459">XLOOKUP(V459,products_master_corrected!$A$2:$A$151,products_master_corrected!$E$2:$E$151)</f>
        <v>1071.94</v>
      </c>
      <c r="AD459" s="28">
        <f t="shared" si="55"/>
        <v>2143.88</v>
      </c>
      <c r="AE459" s="28">
        <f t="array" ref="AE459">XLOOKUP(V459,products_master_corrected!$A$2:$A$151,products_master_corrected!$H$2:$H$151)</f>
        <v>1204.32</v>
      </c>
      <c r="AF459" s="29">
        <f t="shared" si="56"/>
        <v>2408.64</v>
      </c>
      <c r="AG459" s="32" t="s">
        <v>8658</v>
      </c>
      <c r="AH459" s="2" t="s">
        <v>131</v>
      </c>
      <c r="AI459" s="10" t="s">
        <v>181</v>
      </c>
      <c r="AJ459" s="2" t="s">
        <v>818</v>
      </c>
      <c r="AK459" s="10" t="s">
        <v>818</v>
      </c>
    </row>
    <row r="460" ht="15.75" customHeight="1">
      <c r="A460" s="2" t="s">
        <v>1836</v>
      </c>
      <c r="B460" s="12" t="s">
        <v>1837</v>
      </c>
      <c r="C460" s="2" t="str">
        <f>IFERROR(__xludf.DUMMYFUNCTION("IF(ISNUMBER(B460),TEXT(B460,""yyyy-MM-dd""),REGEXREPLACE(REGEXREPLACE(TO_TEXT(B460),""[^0-9a-zA-Z]+"",""-""),""[^0-9]*$"",""""))"),"04-26-2023")</f>
        <v>04-26-2023</v>
      </c>
      <c r="D460" s="2" t="str">
        <f t="shared" si="57"/>
        <v>04-26-2023</v>
      </c>
      <c r="E460" s="2" t="s">
        <v>8848</v>
      </c>
      <c r="H460" s="10" t="s">
        <v>8848</v>
      </c>
      <c r="I460" s="2" t="s">
        <v>1838</v>
      </c>
      <c r="J460" s="26" t="str">
        <f t="array" ref="J460">IF(ISNA(XLOOKUP(I460,customers_clean!$A$2:$A$701,customers_clean!$A$2:$A$701, NA()) ),
   "❌ MISSING CUSTOMER", "✅")</f>
        <v>✅</v>
      </c>
      <c r="K460" s="2" t="str">
        <f t="array" ref="K460">XLOOKUP(I460,customers_clean!$A$2:$A$701,customers_clean!$C$2:$C$701)</f>
        <v>Ethan Muller</v>
      </c>
      <c r="L460" s="10" t="str">
        <f t="array" ref="L460">XLOOKUP(I460,customers_clean!$A$2:$A$701,customers_clean!$D$2:$D$701)</f>
        <v>Ethan Muller</v>
      </c>
      <c r="M460" s="2" t="str">
        <f t="array" ref="M460">XLOOKUP(I460,customers_clean!$A$2:$A$701,customers_clean!$I$2:$I$701)</f>
        <v>ethan.muller@company.co.uk</v>
      </c>
      <c r="N460" s="10" t="str">
        <f t="array" ref="N460">XLOOKUP(I460,customers_clean!$A$2:$A$701,customers_clean!$H$2:$H$701)</f>
        <v>ethan.muller@company.co.uk</v>
      </c>
      <c r="O460" s="9" t="str">
        <f>IFERROR(__xludf.DUMMYFUNCTION("IF(REGEXMATCH(TRIM(N460),""^[A-Za-z0-9._%+-]+@[A-Za-z0-9.-]+\.[A-Za-z]{2,}$""),""✅ Valid"",""❌ Invalid"")"),"✅ Valid")</f>
        <v>✅ Valid</v>
      </c>
      <c r="P460" s="33" t="str">
        <f t="array" ref="P460">XLOOKUP(I460,customers_clean!$A$2:$A$701,customers_clean!$K$2:$K$701)</f>
        <v>951) 44810</v>
      </c>
      <c r="Q460" s="10" t="str">
        <f t="array" ref="Q460">XLOOKUP(I460,customers_clean!$A$2:$A$701,customers_clean!$N$2:$N$701)</f>
        <v>95144810</v>
      </c>
      <c r="R460" s="9" t="str">
        <f t="array" ref="R460">XLOOKUP(I460,customers_clean!$A$2:$A$701,customers_clean!$Q$2:$Q$701)</f>
        <v>❌ INVALID</v>
      </c>
      <c r="S460" s="10" t="s">
        <v>608</v>
      </c>
      <c r="T460" s="2" t="s">
        <v>683</v>
      </c>
      <c r="U460" s="2" t="s">
        <v>522</v>
      </c>
      <c r="V460" s="2" t="s">
        <v>1733</v>
      </c>
      <c r="W460" s="9" t="str">
        <f t="array" ref="W460">IF(ISNA(XLOOKUP(V460,products_master_corrected!$A$2:$A$151,products_master_corrected!$A$2:$A$151, NA())),
    "❌ MISSING SKU", "✅")</f>
        <v>✅</v>
      </c>
      <c r="X460" s="2" t="s">
        <v>440</v>
      </c>
      <c r="Y460" s="2" t="s">
        <v>315</v>
      </c>
      <c r="Z460" s="10" t="s">
        <v>179</v>
      </c>
      <c r="AA460" s="27">
        <v>1.0</v>
      </c>
      <c r="AB460" s="9" t="s">
        <v>8649</v>
      </c>
      <c r="AC460" s="28">
        <f t="array" ref="AC460">XLOOKUP(V460,products_master_corrected!$A$2:$A$151,products_master_corrected!$E$2:$E$151)</f>
        <v>35.69</v>
      </c>
      <c r="AD460" s="28">
        <f t="shared" si="55"/>
        <v>35.69</v>
      </c>
      <c r="AE460" s="28">
        <f t="array" ref="AE460">XLOOKUP(V460,products_master_corrected!$A$2:$A$151,products_master_corrected!$H$2:$H$151)</f>
        <v>40.1</v>
      </c>
      <c r="AF460" s="29">
        <f t="shared" si="56"/>
        <v>40.1</v>
      </c>
      <c r="AG460" s="32" t="s">
        <v>8658</v>
      </c>
      <c r="AH460" s="2" t="s">
        <v>370</v>
      </c>
      <c r="AI460" s="10" t="s">
        <v>143</v>
      </c>
      <c r="AJ460" s="2" t="s">
        <v>294</v>
      </c>
      <c r="AK460" s="10" t="s">
        <v>80</v>
      </c>
    </row>
    <row r="461" ht="15.75" customHeight="1">
      <c r="A461" s="2" t="s">
        <v>4747</v>
      </c>
      <c r="B461" s="12">
        <v>45665.0</v>
      </c>
      <c r="C461" s="2" t="str">
        <f>IFERROR(__xludf.DUMMYFUNCTION("IF(ISNUMBER(B461),TEXT(B461,""yyyy-MM-dd""),REGEXREPLACE(REGEXREPLACE(TO_TEXT(B461),""[^0-9a-zA-Z]+"",""-""),""[^0-9]*$"",""""))"),"2025-01-08")</f>
        <v>2025-01-08</v>
      </c>
      <c r="D461" s="2" t="s">
        <v>4748</v>
      </c>
      <c r="H461" s="10" t="s">
        <v>4748</v>
      </c>
      <c r="I461" s="2" t="s">
        <v>3927</v>
      </c>
      <c r="J461" s="26" t="str">
        <f t="array" ref="J461">IF(ISNA(XLOOKUP(I461,customers_clean!$A$2:$A$701,customers_clean!$A$2:$A$701, NA()) ),
   "❌ MISSING CUSTOMER", "✅")</f>
        <v>✅</v>
      </c>
      <c r="K461" s="2" t="str">
        <f t="array" ref="K461">XLOOKUP(I461,customers_clean!$A$2:$A$701,customers_clean!$C$2:$C$701)</f>
        <v> Ethan Muller</v>
      </c>
      <c r="L461" s="10" t="str">
        <f t="array" ref="L461">XLOOKUP(I461,customers_clean!$A$2:$A$701,customers_clean!$D$2:$D$701)</f>
        <v>Ethan Muller</v>
      </c>
      <c r="M461" s="2" t="str">
        <f t="array" ref="M461">XLOOKUP(I461,customers_clean!$A$2:$A$701,customers_clean!$I$2:$I$701)</f>
        <v>ETHAN.MULLER@COMPANY.CO.KU</v>
      </c>
      <c r="N461" s="10" t="str">
        <f t="array" ref="N461">XLOOKUP(I461,customers_clean!$A$2:$A$701,customers_clean!$H$2:$H$701)</f>
        <v>ethan.muller@company.co.ku</v>
      </c>
      <c r="O461" s="9" t="str">
        <f>IFERROR(__xludf.DUMMYFUNCTION("IF(REGEXMATCH(TRIM(N461),""^[A-Za-z0-9._%+-]+@[A-Za-z0-9.-]+\.[A-Za-z]{2,}$""),""✅ Valid"",""❌ Invalid"")"),"✅ Valid")</f>
        <v>✅ Valid</v>
      </c>
      <c r="P461" s="2" t="str">
        <f t="array" ref="P461">XLOOKUP(I461,customers_clean!$A$2:$A$701,customers_clean!$K$2:$K$701)</f>
        <v>+39 4830-1072-2</v>
      </c>
      <c r="Q461" s="10" t="str">
        <f t="array" ref="Q461">XLOOKUP(I461,customers_clean!$A$2:$A$701,customers_clean!$N$2:$N$701)</f>
        <v>483010722</v>
      </c>
      <c r="R461" s="9" t="str">
        <f t="array" ref="R461">XLOOKUP(I461,customers_clean!$A$2:$A$701,customers_clean!$Q$2:$Q$701)</f>
        <v>❌ INVALID</v>
      </c>
      <c r="S461" s="10" t="s">
        <v>58</v>
      </c>
      <c r="T461" s="2" t="s">
        <v>223</v>
      </c>
      <c r="U461" s="2" t="s">
        <v>480</v>
      </c>
      <c r="V461" s="2" t="s">
        <v>2631</v>
      </c>
      <c r="W461" s="9" t="str">
        <f t="array" ref="W461">IF(ISNA(XLOOKUP(V461,products_master_corrected!$A$2:$A$151,products_master_corrected!$A$2:$A$151, NA())),
    "❌ MISSING SKU", "✅")</f>
        <v>✅</v>
      </c>
      <c r="X461" s="2" t="s">
        <v>905</v>
      </c>
      <c r="Y461" s="2" t="s">
        <v>248</v>
      </c>
      <c r="Z461" s="10" t="s">
        <v>248</v>
      </c>
      <c r="AA461" s="27">
        <v>1.0</v>
      </c>
      <c r="AB461" s="9" t="s">
        <v>8649</v>
      </c>
      <c r="AC461" s="28">
        <f t="array" ref="AC461">XLOOKUP(V461,products_master_corrected!$A$2:$A$151,products_master_corrected!$E$2:$E$151)</f>
        <v>143.88</v>
      </c>
      <c r="AD461" s="28">
        <f t="shared" si="55"/>
        <v>143.88</v>
      </c>
      <c r="AE461" s="28">
        <f t="array" ref="AE461">XLOOKUP(V461,products_master_corrected!$A$2:$A$151,products_master_corrected!$G$2:$G$151)</f>
        <v>164.71</v>
      </c>
      <c r="AF461" s="29">
        <f t="shared" si="56"/>
        <v>164.71</v>
      </c>
      <c r="AG461" s="32" t="s">
        <v>8663</v>
      </c>
      <c r="AH461" s="2" t="s">
        <v>305</v>
      </c>
      <c r="AI461" s="10" t="s">
        <v>49</v>
      </c>
      <c r="AJ461" s="2" t="s">
        <v>294</v>
      </c>
      <c r="AK461" s="10" t="s">
        <v>80</v>
      </c>
    </row>
    <row r="462" ht="15.75" customHeight="1">
      <c r="A462" s="2" t="s">
        <v>3925</v>
      </c>
      <c r="B462" s="12" t="s">
        <v>3926</v>
      </c>
      <c r="C462" s="2" t="str">
        <f>IFERROR(__xludf.DUMMYFUNCTION("IF(ISNUMBER(B462),TEXT(B462,""yyyy-MM-dd""),REGEXREPLACE(REGEXREPLACE(TO_TEXT(B462),""[^0-9a-zA-Z]+"",""-""),""[^0-9]*$"",""""))"),"07-28-2024")</f>
        <v>07-28-2024</v>
      </c>
      <c r="D462" s="2" t="str">
        <f>TEXT(C462,"yyyy-MM-dd")</f>
        <v>07-28-2024</v>
      </c>
      <c r="E462" s="2" t="s">
        <v>7682</v>
      </c>
      <c r="H462" s="10" t="s">
        <v>7682</v>
      </c>
      <c r="I462" s="2" t="s">
        <v>3927</v>
      </c>
      <c r="J462" s="26" t="str">
        <f t="array" ref="J462">IF(ISNA(XLOOKUP(I462,customers_clean!$A$2:$A$701,customers_clean!$A$2:$A$701, NA()) ),
   "❌ MISSING CUSTOMER", "✅")</f>
        <v>✅</v>
      </c>
      <c r="K462" s="2" t="str">
        <f t="array" ref="K462">XLOOKUP(I462,customers_clean!$A$2:$A$701,customers_clean!$C$2:$C$701)</f>
        <v> Ethan Muller</v>
      </c>
      <c r="L462" s="10" t="str">
        <f t="array" ref="L462">XLOOKUP(I462,customers_clean!$A$2:$A$701,customers_clean!$D$2:$D$701)</f>
        <v>Ethan Muller</v>
      </c>
      <c r="M462" s="2" t="str">
        <f t="array" ref="M462">XLOOKUP(I462,customers_clean!$A$2:$A$701,customers_clean!$I$2:$I$701)</f>
        <v>ETHAN.MULLER@COMPANY.CO.KU</v>
      </c>
      <c r="N462" s="10" t="str">
        <f t="array" ref="N462">XLOOKUP(I462,customers_clean!$A$2:$A$701,customers_clean!$H$2:$H$701)</f>
        <v>ethan.muller@company.co.ku</v>
      </c>
      <c r="O462" s="9" t="str">
        <f>IFERROR(__xludf.DUMMYFUNCTION("IF(REGEXMATCH(TRIM(N462),""^[A-Za-z0-9._%+-]+@[A-Za-z0-9.-]+\.[A-Za-z]{2,}$""),""✅ Valid"",""❌ Invalid"")"),"✅ Valid")</f>
        <v>✅ Valid</v>
      </c>
      <c r="P462" s="2" t="str">
        <f t="array" ref="P462">XLOOKUP(I462,customers_clean!$A$2:$A$701,customers_clean!$K$2:$K$701)</f>
        <v>+39 4830-1072-2</v>
      </c>
      <c r="Q462" s="10" t="str">
        <f t="array" ref="Q462">XLOOKUP(I462,customers_clean!$A$2:$A$701,customers_clean!$N$2:$N$701)</f>
        <v>483010722</v>
      </c>
      <c r="R462" s="9" t="str">
        <f t="array" ref="R462">XLOOKUP(I462,customers_clean!$A$2:$A$701,customers_clean!$Q$2:$Q$701)</f>
        <v>❌ INVALID</v>
      </c>
      <c r="S462" s="10" t="s">
        <v>58</v>
      </c>
      <c r="T462" s="2" t="s">
        <v>400</v>
      </c>
      <c r="U462" s="2" t="s">
        <v>522</v>
      </c>
      <c r="V462" s="2" t="s">
        <v>449</v>
      </c>
      <c r="W462" s="9" t="str">
        <f t="array" ref="W462">IF(ISNA(XLOOKUP(V462,products_master_corrected!$A$2:$A$151,products_master_corrected!$A$2:$A$151, NA())),
    "❌ MISSING SKU", "✅")</f>
        <v>✅</v>
      </c>
      <c r="X462" s="2" t="s">
        <v>213</v>
      </c>
      <c r="Y462" s="2" t="s">
        <v>315</v>
      </c>
      <c r="Z462" s="10" t="s">
        <v>179</v>
      </c>
      <c r="AA462" s="27">
        <v>2.0</v>
      </c>
      <c r="AB462" s="9" t="s">
        <v>8649</v>
      </c>
      <c r="AC462" s="28">
        <f t="array" ref="AC462">XLOOKUP(V462,products_master_corrected!$A$2:$A$151,products_master_corrected!$E$2:$E$151)</f>
        <v>1404.25</v>
      </c>
      <c r="AD462" s="28">
        <f t="shared" si="55"/>
        <v>2808.5</v>
      </c>
      <c r="AE462" s="28">
        <f t="array" ref="AE462">XLOOKUP(V462,products_master_corrected!$A$2:$A$151,products_master_corrected!$G$2:$G$151)</f>
        <v>1607.59</v>
      </c>
      <c r="AF462" s="29">
        <f t="shared" si="56"/>
        <v>3215.18</v>
      </c>
      <c r="AG462" s="32" t="s">
        <v>8663</v>
      </c>
      <c r="AH462" s="2" t="s">
        <v>204</v>
      </c>
      <c r="AI462" s="10" t="s">
        <v>143</v>
      </c>
      <c r="AJ462" s="2" t="s">
        <v>80</v>
      </c>
      <c r="AK462" s="10" t="s">
        <v>80</v>
      </c>
      <c r="AL462" s="2" t="s">
        <v>51</v>
      </c>
    </row>
    <row r="463" ht="15.75" customHeight="1">
      <c r="A463" s="2" t="s">
        <v>3477</v>
      </c>
      <c r="B463" s="12">
        <v>45070.0</v>
      </c>
      <c r="C463" s="2" t="str">
        <f>IFERROR(__xludf.DUMMYFUNCTION("IF(ISNUMBER(B463),TEXT(B463,""yyyy-MM-dd""),REGEXREPLACE(REGEXREPLACE(TO_TEXT(B463),""[^0-9a-zA-Z]+"",""-""),""[^0-9]*$"",""""))"),"2023-05-24")</f>
        <v>2023-05-24</v>
      </c>
      <c r="D463" s="2" t="s">
        <v>8499</v>
      </c>
      <c r="H463" s="10" t="s">
        <v>8499</v>
      </c>
      <c r="I463" s="2" t="s">
        <v>1581</v>
      </c>
      <c r="J463" s="26" t="str">
        <f t="array" ref="J463">IF(ISNA(XLOOKUP(I463,customers_clean!$A$2:$A$701,customers_clean!$A$2:$A$701, NA()) ),
   "❌ MISSING CUSTOMER", "✅")</f>
        <v>✅</v>
      </c>
      <c r="K463" s="2" t="str">
        <f t="array" ref="K463">XLOOKUP(I463,customers_clean!$A$2:$A$701,customers_clean!$C$2:$C$701)</f>
        <v>Vlad Garcia</v>
      </c>
      <c r="L463" s="10" t="str">
        <f t="array" ref="L463">XLOOKUP(I463,customers_clean!$A$2:$A$701,customers_clean!$D$2:$D$701)</f>
        <v>Vlad Garcia</v>
      </c>
      <c r="M463" s="2" t="str">
        <f t="array" ref="M463">XLOOKUP(I463,customers_clean!$A$2:$A$701,customers_clean!$I$2:$I$701)</f>
        <v>vlad.garcia@outlook.com</v>
      </c>
      <c r="N463" s="10" t="str">
        <f t="array" ref="N463">XLOOKUP(I463,customers_clean!$A$2:$A$701,customers_clean!$H$2:$H$701)</f>
        <v>vlad.garcia@outlook.com</v>
      </c>
      <c r="O463" s="9" t="str">
        <f>IFERROR(__xludf.DUMMYFUNCTION("IF(REGEXMATCH(TRIM(N463),""^[A-Za-z0-9._%+-]+@[A-Za-z0-9.-]+\.[A-Za-z]{2,}$""),""✅ Valid"",""❌ Invalid"")"),"✅ Valid")</f>
        <v>✅ Valid</v>
      </c>
      <c r="P463" s="2" t="str">
        <f t="array" ref="P463">XLOOKUP(I463,customers_clean!$A$2:$A$701,customers_clean!$K$2:$K$701)</f>
        <v>+44 571-008-040-26</v>
      </c>
      <c r="Q463" s="10" t="str">
        <f t="array" ref="Q463">XLOOKUP(I463,customers_clean!$A$2:$A$701,customers_clean!$N$2:$N$701)</f>
        <v>57100804026</v>
      </c>
      <c r="R463" s="9" t="str">
        <f t="array" ref="R463">XLOOKUP(I463,customers_clean!$A$2:$A$701,customers_clean!$Q$2:$Q$701)</f>
        <v>❌ INVALID</v>
      </c>
      <c r="S463" s="10" t="s">
        <v>25</v>
      </c>
      <c r="T463" s="2" t="s">
        <v>152</v>
      </c>
      <c r="U463" s="2" t="s">
        <v>512</v>
      </c>
      <c r="V463" s="2" t="s">
        <v>2688</v>
      </c>
      <c r="W463" s="9" t="str">
        <f t="array" ref="W463">IF(ISNA(XLOOKUP(V463,products_master_corrected!$A$2:$A$151,products_master_corrected!$A$2:$A$151, NA())),
    "❌ MISSING SKU", "✅")</f>
        <v>✅</v>
      </c>
      <c r="X463" s="2" t="s">
        <v>502</v>
      </c>
      <c r="Y463" s="2" t="s">
        <v>179</v>
      </c>
      <c r="Z463" s="10" t="s">
        <v>179</v>
      </c>
      <c r="AA463" s="27">
        <v>5.0</v>
      </c>
      <c r="AB463" s="9" t="s">
        <v>8649</v>
      </c>
      <c r="AC463" s="28">
        <f t="array" ref="AC463">XLOOKUP(V463,products_master_corrected!$A$2:$A$151,products_master_corrected!$E$2:$E$151)</f>
        <v>985.77</v>
      </c>
      <c r="AD463" s="28">
        <f t="shared" si="55"/>
        <v>4928.85</v>
      </c>
      <c r="AE463" s="28">
        <f t="array" ref="AE463">XLOOKUP(V463,products_master_corrected!$A$2:$A$151,products_master_corrected!$K$2:$K$151)</f>
        <v>5071.79</v>
      </c>
      <c r="AF463" s="29">
        <f t="shared" si="56"/>
        <v>25358.95</v>
      </c>
      <c r="AG463" s="30" t="s">
        <v>95</v>
      </c>
      <c r="AH463" s="2" t="s">
        <v>49</v>
      </c>
      <c r="AI463" s="10" t="s">
        <v>49</v>
      </c>
      <c r="AJ463" s="2" t="s">
        <v>169</v>
      </c>
      <c r="AK463" s="10" t="s">
        <v>261</v>
      </c>
    </row>
    <row r="464" ht="15.75" customHeight="1">
      <c r="A464" s="2" t="s">
        <v>1579</v>
      </c>
      <c r="B464" s="12">
        <v>45029.0</v>
      </c>
      <c r="C464" s="2" t="str">
        <f>IFERROR(__xludf.DUMMYFUNCTION("IF(ISNUMBER(B464),TEXT(B464,""yyyy-MM-dd""),REGEXREPLACE(REGEXREPLACE(TO_TEXT(B464),""[^0-9a-zA-Z]+"",""-""),""[^0-9]*$"",""""))"),"2023-04-13")</f>
        <v>2023-04-13</v>
      </c>
      <c r="D464" s="2" t="s">
        <v>8849</v>
      </c>
      <c r="H464" s="10" t="s">
        <v>8849</v>
      </c>
      <c r="I464" s="2" t="s">
        <v>1581</v>
      </c>
      <c r="J464" s="26" t="str">
        <f t="array" ref="J464">IF(ISNA(XLOOKUP(I464,customers_clean!$A$2:$A$701,customers_clean!$A$2:$A$701, NA()) ),
   "❌ MISSING CUSTOMER", "✅")</f>
        <v>✅</v>
      </c>
      <c r="K464" s="2" t="str">
        <f t="array" ref="K464">XLOOKUP(I464,customers_clean!$A$2:$A$701,customers_clean!$C$2:$C$701)</f>
        <v>Vlad Garcia</v>
      </c>
      <c r="L464" s="10" t="str">
        <f t="array" ref="L464">XLOOKUP(I464,customers_clean!$A$2:$A$701,customers_clean!$D$2:$D$701)</f>
        <v>Vlad Garcia</v>
      </c>
      <c r="M464" s="2" t="str">
        <f t="array" ref="M464">XLOOKUP(I464,customers_clean!$A$2:$A$701,customers_clean!$I$2:$I$701)</f>
        <v>vlad.garcia@outlook.com</v>
      </c>
      <c r="N464" s="10" t="str">
        <f t="array" ref="N464">XLOOKUP(I464,customers_clean!$A$2:$A$701,customers_clean!$H$2:$H$701)</f>
        <v>vlad.garcia@outlook.com</v>
      </c>
      <c r="O464" s="9" t="str">
        <f>IFERROR(__xludf.DUMMYFUNCTION("IF(REGEXMATCH(TRIM(N464),""^[A-Za-z0-9._%+-]+@[A-Za-z0-9.-]+\.[A-Za-z]{2,}$""),""✅ Valid"",""❌ Invalid"")"),"✅ Valid")</f>
        <v>✅ Valid</v>
      </c>
      <c r="P464" s="2" t="str">
        <f t="array" ref="P464">XLOOKUP(I464,customers_clean!$A$2:$A$701,customers_clean!$K$2:$K$701)</f>
        <v>+44 571-008-040-26</v>
      </c>
      <c r="Q464" s="10" t="str">
        <f t="array" ref="Q464">XLOOKUP(I464,customers_clean!$A$2:$A$701,customers_clean!$N$2:$N$701)</f>
        <v>57100804026</v>
      </c>
      <c r="R464" s="9" t="str">
        <f t="array" ref="R464">XLOOKUP(I464,customers_clean!$A$2:$A$701,customers_clean!$Q$2:$Q$701)</f>
        <v>❌ INVALID</v>
      </c>
      <c r="S464" s="10" t="s">
        <v>25</v>
      </c>
      <c r="T464" s="2" t="s">
        <v>1585</v>
      </c>
      <c r="U464" s="2" t="s">
        <v>401</v>
      </c>
      <c r="V464" s="2" t="s">
        <v>61</v>
      </c>
      <c r="W464" s="9" t="str">
        <f t="array" ref="W464">IF(ISNA(XLOOKUP(V464,products_master_corrected!$A$2:$A$151,products_master_corrected!$A$2:$A$151, NA())),
    "❌ MISSING SKU", "✅")</f>
        <v>✅</v>
      </c>
      <c r="X464" s="2" t="s">
        <v>62</v>
      </c>
      <c r="Y464" s="2" t="s">
        <v>63</v>
      </c>
      <c r="Z464" s="10" t="s">
        <v>63</v>
      </c>
      <c r="AA464" s="27">
        <v>5.0</v>
      </c>
      <c r="AB464" s="9" t="s">
        <v>8649</v>
      </c>
      <c r="AC464" s="28">
        <f t="array" ref="AC464">XLOOKUP(V464,products_master_corrected!$A$2:$A$151,products_master_corrected!$E$2:$E$151)</f>
        <v>62.81</v>
      </c>
      <c r="AD464" s="28">
        <f t="shared" si="55"/>
        <v>314.05</v>
      </c>
      <c r="AE464" s="28">
        <f t="array" ref="AE464">XLOOKUP(V464,products_master_corrected!$A$2:$A$151,products_master_corrected!$K$2:$K$151)</f>
        <v>323.16</v>
      </c>
      <c r="AF464" s="29">
        <f t="shared" si="56"/>
        <v>1615.8</v>
      </c>
      <c r="AG464" s="30" t="s">
        <v>95</v>
      </c>
      <c r="AH464" s="2" t="s">
        <v>143</v>
      </c>
      <c r="AI464" s="10" t="s">
        <v>143</v>
      </c>
      <c r="AJ464" s="2" t="s">
        <v>144</v>
      </c>
      <c r="AK464" s="10" t="s">
        <v>818</v>
      </c>
      <c r="AL464" s="2" t="s">
        <v>133</v>
      </c>
    </row>
    <row r="465" ht="15.75" customHeight="1">
      <c r="A465" s="2" t="s">
        <v>1960</v>
      </c>
      <c r="B465" s="12">
        <v>45018.0</v>
      </c>
      <c r="C465" s="2" t="str">
        <f>IFERROR(__xludf.DUMMYFUNCTION("IF(ISNUMBER(B465),TEXT(B465,""yyyy-MM-dd""),REGEXREPLACE(REGEXREPLACE(TO_TEXT(B465),""[^0-9a-zA-Z]+"",""-""),""[^0-9]*$"",""""))"),"2023-04-02")</f>
        <v>2023-04-02</v>
      </c>
      <c r="D465" s="2" t="s">
        <v>8850</v>
      </c>
      <c r="H465" s="10" t="s">
        <v>8850</v>
      </c>
      <c r="I465" s="2" t="s">
        <v>1962</v>
      </c>
      <c r="J465" s="26" t="str">
        <f t="array" ref="J465">IF(ISNA(XLOOKUP(I465,customers_clean!$A$2:$A$701,customers_clean!$A$2:$A$701, NA()) ),
   "❌ MISSING CUSTOMER", "✅")</f>
        <v>✅</v>
      </c>
      <c r="K465" s="2" t="str">
        <f t="array" ref="K465">XLOOKUP(I465,customers_clean!$A$2:$A$701,customers_clean!$C$2:$C$701)</f>
        <v>Carlos Brown</v>
      </c>
      <c r="L465" s="10" t="str">
        <f t="array" ref="L465">XLOOKUP(I465,customers_clean!$A$2:$A$701,customers_clean!$D$2:$D$701)</f>
        <v>Carlos Brown</v>
      </c>
      <c r="M465" s="2" t="str">
        <f t="array" ref="M465">XLOOKUP(I465,customers_clean!$A$2:$A$701,customers_clean!$I$2:$I$701)</f>
        <v>carlos.brown@example.com</v>
      </c>
      <c r="N465" s="10" t="str">
        <f t="array" ref="N465">XLOOKUP(I465,customers_clean!$A$2:$A$701,customers_clean!$H$2:$H$701)</f>
        <v>carlos.brown@example.com</v>
      </c>
      <c r="O465" s="9" t="str">
        <f>IFERROR(__xludf.DUMMYFUNCTION("IF(REGEXMATCH(TRIM(N465),""^[A-Za-z0-9._%+-]+@[A-Za-z0-9.-]+\.[A-Za-z]{2,}$""),""✅ Valid"",""❌ Invalid"")"),"✅ Valid")</f>
        <v>✅ Valid</v>
      </c>
      <c r="P465" s="2" t="str">
        <f t="array" ref="P465">XLOOKUP(I465,customers_clean!$A$2:$A$701,customers_clean!$K$2:$K$701)</f>
        <v>+1 7490 9256 61</v>
      </c>
      <c r="Q465" s="10" t="str">
        <f t="array" ref="Q465">XLOOKUP(I465,customers_clean!$A$2:$A$701,customers_clean!$N$2:$N$701)</f>
        <v>7490925661</v>
      </c>
      <c r="R465" s="9" t="str">
        <f t="array" ref="R465">XLOOKUP(I465,customers_clean!$A$2:$A$701,customers_clean!$Q$2:$Q$701)</f>
        <v>✅ VALID</v>
      </c>
      <c r="S465" s="10" t="s">
        <v>88</v>
      </c>
      <c r="T465" s="2" t="s">
        <v>210</v>
      </c>
      <c r="U465" s="2" t="s">
        <v>103</v>
      </c>
      <c r="V465" s="2" t="s">
        <v>490</v>
      </c>
      <c r="W465" s="9" t="str">
        <f t="array" ref="W465">IF(ISNA(XLOOKUP(V465,products_master_corrected!$A$2:$A$151,products_master_corrected!$A$2:$A$151, NA())),
    "❌ MISSING SKU", "✅")</f>
        <v>✅</v>
      </c>
      <c r="X465" s="2" t="s">
        <v>29</v>
      </c>
      <c r="Y465" s="2" t="s">
        <v>492</v>
      </c>
      <c r="Z465" s="10" t="s">
        <v>514</v>
      </c>
      <c r="AA465" s="27">
        <v>2.0</v>
      </c>
      <c r="AB465" s="9" t="s">
        <v>8649</v>
      </c>
      <c r="AC465" s="28">
        <f t="array" ref="AC465">XLOOKUP(V465,products_master_corrected!$A$2:$A$151,products_master_corrected!$E$2:$E$151)</f>
        <v>116.45</v>
      </c>
      <c r="AD465" s="28">
        <f t="shared" si="55"/>
        <v>232.9</v>
      </c>
      <c r="AE465" s="28">
        <f t="array" ref="AE465">XLOOKUP(V465,products_master_corrected!$A$2:$A$151,products_master_corrected!$I$2:$I$151)</f>
        <v>128.37</v>
      </c>
      <c r="AF465" s="29">
        <f t="shared" si="56"/>
        <v>256.74</v>
      </c>
      <c r="AG465" s="32" t="s">
        <v>8660</v>
      </c>
      <c r="AH465" s="2" t="s">
        <v>49</v>
      </c>
      <c r="AI465" s="10" t="s">
        <v>49</v>
      </c>
      <c r="AJ465" s="2" t="s">
        <v>80</v>
      </c>
      <c r="AK465" s="10" t="s">
        <v>80</v>
      </c>
      <c r="AL465" s="2" t="s">
        <v>51</v>
      </c>
    </row>
    <row r="466" ht="15.75" customHeight="1">
      <c r="A466" s="2" t="s">
        <v>4020</v>
      </c>
      <c r="B466" s="12">
        <v>45793.86319444444</v>
      </c>
      <c r="C466" s="2" t="str">
        <f>IFERROR(__xludf.DUMMYFUNCTION("IF(ISNUMBER(B466),TEXT(B466,""yyyy-MM-dd""),REGEXREPLACE(REGEXREPLACE(TO_TEXT(B466),""[^0-9a-zA-Z]+"",""-""),""[^0-9]*$"",""""))"),"2025-05-16")</f>
        <v>2025-05-16</v>
      </c>
      <c r="D466" s="2" t="s">
        <v>8591</v>
      </c>
      <c r="H466" s="10" t="s">
        <v>8591</v>
      </c>
      <c r="I466" s="2" t="s">
        <v>1962</v>
      </c>
      <c r="J466" s="26" t="str">
        <f t="array" ref="J466">IF(ISNA(XLOOKUP(I466,customers_clean!$A$2:$A$701,customers_clean!$A$2:$A$701, NA()) ),
   "❌ MISSING CUSTOMER", "✅")</f>
        <v>✅</v>
      </c>
      <c r="K466" s="2" t="str">
        <f t="array" ref="K466">XLOOKUP(I466,customers_clean!$A$2:$A$701,customers_clean!$C$2:$C$701)</f>
        <v>Carlos Brown</v>
      </c>
      <c r="L466" s="10" t="str">
        <f t="array" ref="L466">XLOOKUP(I466,customers_clean!$A$2:$A$701,customers_clean!$D$2:$D$701)</f>
        <v>Carlos Brown</v>
      </c>
      <c r="M466" s="2" t="str">
        <f t="array" ref="M466">XLOOKUP(I466,customers_clean!$A$2:$A$701,customers_clean!$I$2:$I$701)</f>
        <v>carlos.brown@example.com</v>
      </c>
      <c r="N466" s="10" t="str">
        <f t="array" ref="N466">XLOOKUP(I466,customers_clean!$A$2:$A$701,customers_clean!$H$2:$H$701)</f>
        <v>carlos.brown@example.com</v>
      </c>
      <c r="O466" s="9" t="str">
        <f>IFERROR(__xludf.DUMMYFUNCTION("IF(REGEXMATCH(TRIM(N466),""^[A-Za-z0-9._%+-]+@[A-Za-z0-9.-]+\.[A-Za-z]{2,}$""),""✅ Valid"",""❌ Invalid"")"),"✅ Valid")</f>
        <v>✅ Valid</v>
      </c>
      <c r="P466" s="2" t="str">
        <f t="array" ref="P466">XLOOKUP(I466,customers_clean!$A$2:$A$701,customers_clean!$K$2:$K$701)</f>
        <v>+1 7490 9256 61</v>
      </c>
      <c r="Q466" s="10" t="str">
        <f t="array" ref="Q466">XLOOKUP(I466,customers_clean!$A$2:$A$701,customers_clean!$N$2:$N$701)</f>
        <v>7490925661</v>
      </c>
      <c r="R466" s="9" t="str">
        <f t="array" ref="R466">XLOOKUP(I466,customers_clean!$A$2:$A$701,customers_clean!$Q$2:$Q$701)</f>
        <v>✅ VALID</v>
      </c>
      <c r="S466" s="10" t="s">
        <v>88</v>
      </c>
      <c r="T466" s="2" t="s">
        <v>4022</v>
      </c>
      <c r="U466" s="2" t="s">
        <v>176</v>
      </c>
      <c r="V466" s="2" t="s">
        <v>1856</v>
      </c>
      <c r="W466" s="9" t="str">
        <f t="array" ref="W466">IF(ISNA(XLOOKUP(V466,products_master_corrected!$A$2:$A$151,products_master_corrected!$A$2:$A$151, NA())),
    "❌ MISSING SKU", "✅")</f>
        <v>✅</v>
      </c>
      <c r="X466" s="2" t="s">
        <v>259</v>
      </c>
      <c r="Y466" s="2" t="s">
        <v>167</v>
      </c>
      <c r="Z466" s="10" t="str">
        <f>PROPER(TRIM(Y466))</f>
        <v>Monitors</v>
      </c>
      <c r="AA466" s="27">
        <v>2.0</v>
      </c>
      <c r="AB466" s="9" t="s">
        <v>8649</v>
      </c>
      <c r="AC466" s="28">
        <f t="array" ref="AC466">XLOOKUP(V466,products_master_corrected!$A$2:$A$151,products_master_corrected!$E$2:$E$151)</f>
        <v>13.34</v>
      </c>
      <c r="AD466" s="28">
        <f t="shared" si="55"/>
        <v>26.68</v>
      </c>
      <c r="AE466" s="28">
        <f t="array" ref="AE466">XLOOKUP(V466,products_master_corrected!$A$2:$A$151,products_master_corrected!$I$2:$I$151)</f>
        <v>14.71</v>
      </c>
      <c r="AF466" s="29">
        <f t="shared" si="56"/>
        <v>29.42</v>
      </c>
      <c r="AG466" s="32" t="s">
        <v>8660</v>
      </c>
      <c r="AH466" s="2" t="s">
        <v>143</v>
      </c>
      <c r="AI466" s="10" t="s">
        <v>143</v>
      </c>
      <c r="AJ466" s="2" t="s">
        <v>818</v>
      </c>
      <c r="AK466" s="10" t="s">
        <v>818</v>
      </c>
      <c r="AL466" s="2" t="s">
        <v>67</v>
      </c>
    </row>
    <row r="467" ht="15.75" customHeight="1">
      <c r="A467" s="2" t="s">
        <v>795</v>
      </c>
      <c r="B467" s="12">
        <v>45507.0</v>
      </c>
      <c r="C467" s="2" t="str">
        <f>IFERROR(__xludf.DUMMYFUNCTION("IF(ISNUMBER(B467),TEXT(B467,""yyyy-MM-dd""),REGEXREPLACE(REGEXREPLACE(TO_TEXT(B467),""[^0-9a-zA-Z]+"",""-""),""[^0-9]*$"",""""))"),"2024-08-03")</f>
        <v>2024-08-03</v>
      </c>
      <c r="D467" s="2" t="s">
        <v>8804</v>
      </c>
      <c r="H467" s="10" t="s">
        <v>8804</v>
      </c>
      <c r="I467" s="2" t="s">
        <v>797</v>
      </c>
      <c r="J467" s="26" t="str">
        <f t="array" ref="J467">IF(ISNA(XLOOKUP(I467,customers_clean!$A$2:$A$701,customers_clean!$A$2:$A$701, NA()) ),
   "❌ MISSING CUSTOMER", "✅")</f>
        <v>✅</v>
      </c>
      <c r="K467" s="2" t="str">
        <f t="array" ref="K467">XLOOKUP(I467,customers_clean!$A$2:$A$701,customers_clean!$C$2:$C$701)</f>
        <v>Ken  Martinez</v>
      </c>
      <c r="L467" s="10" t="str">
        <f t="array" ref="L467">XLOOKUP(I467,customers_clean!$A$2:$A$701,customers_clean!$D$2:$D$701)</f>
        <v>Ken Martinez</v>
      </c>
      <c r="M467" s="2" t="str">
        <f t="array" ref="M467">XLOOKUP(I467,customers_clean!$A$2:$A$701,customers_clean!$I$2:$I$701)</f>
        <v> ken.martinez@example.com</v>
      </c>
      <c r="N467" s="10" t="str">
        <f t="array" ref="N467">XLOOKUP(I467,customers_clean!$A$2:$A$701,customers_clean!$H$2:$H$701)</f>
        <v>ken.martinez@example.com</v>
      </c>
      <c r="O467" s="9" t="str">
        <f>IFERROR(__xludf.DUMMYFUNCTION("IF(REGEXMATCH(TRIM(N467),""^[A-Za-z0-9._%+-]+@[A-Za-z0-9.-]+\.[A-Za-z]{2,}$""),""✅ Valid"",""❌ Invalid"")"),"✅ Valid")</f>
        <v>✅ Valid</v>
      </c>
      <c r="P467" s="2" t="str">
        <f t="array" ref="P467">XLOOKUP(I467,customers_clean!$A$2:$A$701,customers_clean!$K$2:$K$701)</f>
        <v>85x222720812</v>
      </c>
      <c r="Q467" s="10" t="str">
        <f t="array" ref="Q467">XLOOKUP(I467,customers_clean!$A$2:$A$701,customers_clean!$N$2:$N$701)</f>
        <v>85222720812</v>
      </c>
      <c r="R467" s="9" t="str">
        <f t="array" ref="R467">XLOOKUP(I467,customers_clean!$A$2:$A$701,customers_clean!$Q$2:$Q$701)</f>
        <v>❌ INVALID</v>
      </c>
      <c r="S467" s="10" t="s">
        <v>88</v>
      </c>
      <c r="T467" s="2" t="s">
        <v>802</v>
      </c>
      <c r="U467" s="2" t="s">
        <v>103</v>
      </c>
      <c r="V467" s="2" t="s">
        <v>803</v>
      </c>
      <c r="W467" s="9" t="str">
        <f t="array" ref="W467">IF(ISNA(XLOOKUP(V467,products_master_corrected!$A$2:$A$151,products_master_corrected!$A$2:$A$151, NA())),
    "❌ MISSING SKU", "✅")</f>
        <v>✅</v>
      </c>
      <c r="X467" s="2" t="s">
        <v>804</v>
      </c>
      <c r="Y467" s="2" t="s">
        <v>805</v>
      </c>
      <c r="Z467" s="10" t="s">
        <v>355</v>
      </c>
      <c r="AA467" s="27">
        <v>5.0</v>
      </c>
      <c r="AB467" s="9" t="s">
        <v>8649</v>
      </c>
      <c r="AC467" s="28">
        <f t="array" ref="AC467">XLOOKUP(V467,products_master_corrected!$A$2:$A$151,products_master_corrected!$E$2:$E$151)</f>
        <v>20.39</v>
      </c>
      <c r="AD467" s="28">
        <f t="shared" si="55"/>
        <v>101.95</v>
      </c>
      <c r="AE467" s="28">
        <f t="array" ref="AE467">XLOOKUP(V467,products_master_corrected!$A$2:$A$151,products_master_corrected!$I$2:$I$151)</f>
        <v>22.48</v>
      </c>
      <c r="AF467" s="29">
        <f t="shared" si="56"/>
        <v>112.4</v>
      </c>
      <c r="AG467" s="32" t="s">
        <v>8660</v>
      </c>
      <c r="AH467" s="2" t="s">
        <v>66</v>
      </c>
      <c r="AI467" s="10" t="s">
        <v>66</v>
      </c>
      <c r="AJ467" s="2" t="s">
        <v>380</v>
      </c>
      <c r="AK467" s="10" t="s">
        <v>80</v>
      </c>
    </row>
    <row r="468" ht="15.75" customHeight="1">
      <c r="A468" s="2" t="s">
        <v>4371</v>
      </c>
      <c r="B468" s="12">
        <v>45562.0</v>
      </c>
      <c r="C468" s="2" t="str">
        <f>IFERROR(__xludf.DUMMYFUNCTION("IF(ISNUMBER(B468),TEXT(B468,""yyyy-MM-dd""),REGEXREPLACE(REGEXREPLACE(TO_TEXT(B468),""[^0-9a-zA-Z]+"",""-""),""[^0-9]*$"",""""))"),"2024-09-27")</f>
        <v>2024-09-27</v>
      </c>
      <c r="D468" s="2" t="s">
        <v>8851</v>
      </c>
      <c r="H468" s="10" t="s">
        <v>8851</v>
      </c>
      <c r="I468" s="2" t="s">
        <v>4373</v>
      </c>
      <c r="J468" s="26" t="str">
        <f t="array" ref="J468">IF(ISNA(XLOOKUP(I468,customers_clean!$A$2:$A$701,customers_clean!$A$2:$A$701, NA()) ),
   "❌ MISSING CUSTOMER", "✅")</f>
        <v>✅</v>
      </c>
      <c r="K468" s="2" t="str">
        <f t="array" ref="K468">XLOOKUP(I468,customers_clean!$A$2:$A$701,customers_clean!$C$2:$C$701)</f>
        <v>Uma Davis</v>
      </c>
      <c r="L468" s="10" t="str">
        <f t="array" ref="L468">XLOOKUP(I468,customers_clean!$A$2:$A$701,customers_clean!$D$2:$D$701)</f>
        <v>Uma Davis</v>
      </c>
      <c r="M468" s="2" t="str">
        <f t="array" ref="M468">XLOOKUP(I468,customers_clean!$A$2:$A$701,customers_clean!$I$2:$I$701)</f>
        <v>UMA.DAVIS@OUTLOOK.COM</v>
      </c>
      <c r="N468" s="10" t="str">
        <f t="array" ref="N468">XLOOKUP(I468,customers_clean!$A$2:$A$701,customers_clean!$H$2:$H$701)</f>
        <v>uma.davis@outlook.com</v>
      </c>
      <c r="O468" s="9" t="str">
        <f>IFERROR(__xludf.DUMMYFUNCTION("IF(REGEXMATCH(TRIM(N468),""^[A-Za-z0-9._%+-]+@[A-Za-z0-9.-]+\.[A-Za-z]{2,}$""),""✅ Valid"",""❌ Invalid"")"),"✅ Valid")</f>
        <v>✅ Valid</v>
      </c>
      <c r="P468" s="2" t="str">
        <f t="array" ref="P468">XLOOKUP(I468,customers_clean!$A$2:$A$701,customers_clean!$K$2:$K$701)</f>
        <v>931-552-998</v>
      </c>
      <c r="Q468" s="10" t="str">
        <f t="array" ref="Q468">XLOOKUP(I468,customers_clean!$A$2:$A$701,customers_clean!$N$2:$N$701)</f>
        <v>931552998</v>
      </c>
      <c r="R468" s="9" t="str">
        <f t="array" ref="R468">XLOOKUP(I468,customers_clean!$A$2:$A$701,customers_clean!$Q$2:$Q$701)</f>
        <v>❌ INVALID</v>
      </c>
      <c r="S468" s="10" t="s">
        <v>139</v>
      </c>
      <c r="T468" s="2" t="s">
        <v>1167</v>
      </c>
      <c r="U468" s="2" t="s">
        <v>1245</v>
      </c>
      <c r="V468" s="2" t="s">
        <v>1255</v>
      </c>
      <c r="W468" s="9" t="str">
        <f t="array" ref="W468">IF(ISNA(XLOOKUP(V468,products_master_corrected!$A$2:$A$151,products_master_corrected!$A$2:$A$151, NA())),
    "❌ MISSING SKU", "✅")</f>
        <v>✅</v>
      </c>
      <c r="X468" s="2" t="s">
        <v>29</v>
      </c>
      <c r="Y468" s="2" t="s">
        <v>271</v>
      </c>
      <c r="Z468" s="10" t="s">
        <v>368</v>
      </c>
      <c r="AA468" s="27">
        <v>2.0</v>
      </c>
      <c r="AB468" s="9" t="s">
        <v>8649</v>
      </c>
      <c r="AC468" s="28">
        <f t="array" ref="AC468">XLOOKUP(V468,products_master_corrected!$A$2:$A$151,products_master_corrected!$E$2:$E$151)</f>
        <v>161.4</v>
      </c>
      <c r="AD468" s="28">
        <f t="shared" si="55"/>
        <v>322.8</v>
      </c>
      <c r="AE468" s="28">
        <f t="array" ref="AE468">XLOOKUP(V468,products_master_corrected!$A$2:$A$151,products_master_corrected!$L$2:$L$151)</f>
        <v>174.55</v>
      </c>
      <c r="AF468" s="29">
        <f t="shared" si="56"/>
        <v>349.1</v>
      </c>
      <c r="AG468" s="32" t="s">
        <v>8665</v>
      </c>
      <c r="AH468" s="2" t="s">
        <v>238</v>
      </c>
      <c r="AI468" s="10" t="s">
        <v>66</v>
      </c>
      <c r="AJ468" s="2" t="s">
        <v>432</v>
      </c>
      <c r="AK468" s="10" t="s">
        <v>80</v>
      </c>
    </row>
    <row r="469" ht="15.75" customHeight="1">
      <c r="A469" s="2" t="s">
        <v>2989</v>
      </c>
      <c r="B469" s="12" t="s">
        <v>2990</v>
      </c>
      <c r="C469" s="2" t="str">
        <f>IFERROR(__xludf.DUMMYFUNCTION("IF(ISNUMBER(B469),TEXT(B469,""yyyy-MM-dd""),REGEXREPLACE(REGEXREPLACE(TO_TEXT(B469),""[^0-9a-zA-Z]+"",""-""),""[^0-9]*$"",""""))"),"26-01-2023")</f>
        <v>26-01-2023</v>
      </c>
      <c r="D469" s="2" t="s">
        <v>8829</v>
      </c>
      <c r="H469" s="10" t="s">
        <v>8829</v>
      </c>
      <c r="I469" s="2" t="s">
        <v>1267</v>
      </c>
      <c r="J469" s="26" t="str">
        <f t="array" ref="J469">IF(ISNA(XLOOKUP(I469,customers_clean!$A$2:$A$701,customers_clean!$A$2:$A$701, NA()) ),
   "❌ MISSING CUSTOMER", "✅")</f>
        <v>✅</v>
      </c>
      <c r="K469" s="2" t="str">
        <f t="array" ref="K469">XLOOKUP(I469,customers_clean!$A$2:$A$701,customers_clean!$C$2:$C$701)</f>
        <v>Fioan  Rodriguez</v>
      </c>
      <c r="L469" s="10" t="str">
        <f t="array" ref="L469">XLOOKUP(I469,customers_clean!$A$2:$A$701,customers_clean!$D$2:$D$701)</f>
        <v>Fiona Rodriguez</v>
      </c>
      <c r="M469" s="2" t="str">
        <f t="array" ref="M469">XLOOKUP(I469,customers_clean!$A$2:$A$701,customers_clean!$I$2:$I$701)</f>
        <v>fiona.rodriguez@gmail.com </v>
      </c>
      <c r="N469" s="10" t="str">
        <f t="array" ref="N469">XLOOKUP(I469,customers_clean!$A$2:$A$701,customers_clean!$H$2:$H$701)</f>
        <v>fiona.rodriguez@gmail.com</v>
      </c>
      <c r="O469" s="9" t="str">
        <f>IFERROR(__xludf.DUMMYFUNCTION("IF(REGEXMATCH(TRIM(N469),""^[A-Za-z0-9._%+-]+@[A-Za-z0-9.-]+\.[A-Za-z]{2,}$""),""✅ Valid"",""❌ Invalid"")"),"✅ Valid")</f>
        <v>✅ Valid</v>
      </c>
      <c r="P469" s="2" t="str">
        <f t="array" ref="P469">XLOOKUP(I469,customers_clean!$A$2:$A$701,customers_clean!$K$2:$K$701)</f>
        <v>+353 82-06-96-41-8</v>
      </c>
      <c r="Q469" s="10" t="str">
        <f t="array" ref="Q469">XLOOKUP(I469,customers_clean!$A$2:$A$701,customers_clean!$N$2:$N$701)</f>
        <v>820696418</v>
      </c>
      <c r="R469" s="9" t="str">
        <f t="array" ref="R469">XLOOKUP(I469,customers_clean!$A$2:$A$701,customers_clean!$Q$2:$Q$701)</f>
        <v>❌ INVALID</v>
      </c>
      <c r="S469" s="10" t="s">
        <v>139</v>
      </c>
      <c r="T469" s="2" t="s">
        <v>778</v>
      </c>
      <c r="U469" s="2" t="s">
        <v>103</v>
      </c>
      <c r="V469" s="2" t="s">
        <v>871</v>
      </c>
      <c r="W469" s="9" t="str">
        <f t="array" ref="W469">IF(ISNA(XLOOKUP(V469,products_master_corrected!$A$2:$A$151,products_master_corrected!$A$2:$A$151, NA())),
    "❌ MISSING SKU", "✅")</f>
        <v>✅</v>
      </c>
      <c r="X469" s="2" t="s">
        <v>29</v>
      </c>
      <c r="Y469" s="2" t="s">
        <v>292</v>
      </c>
      <c r="Z469" s="10" t="s">
        <v>63</v>
      </c>
      <c r="AA469" s="27">
        <v>1.0</v>
      </c>
      <c r="AB469" s="9" t="s">
        <v>8649</v>
      </c>
      <c r="AC469" s="28">
        <f t="array" ref="AC469">XLOOKUP(V469,products_master_corrected!$A$2:$A$151,products_master_corrected!$E$2:$E$151)</f>
        <v>178.58</v>
      </c>
      <c r="AD469" s="28">
        <f t="shared" si="55"/>
        <v>178.58</v>
      </c>
      <c r="AE469" s="28">
        <f t="array" ref="AE469">XLOOKUP(V469,products_master_corrected!$A$2:$A$151,products_master_corrected!$L$2:$L$151)</f>
        <v>193.13</v>
      </c>
      <c r="AF469" s="29">
        <f t="shared" si="56"/>
        <v>193.13</v>
      </c>
      <c r="AG469" s="32" t="s">
        <v>8665</v>
      </c>
      <c r="AH469" s="2" t="s">
        <v>181</v>
      </c>
      <c r="AI469" s="10" t="s">
        <v>181</v>
      </c>
      <c r="AJ469" s="2" t="s">
        <v>345</v>
      </c>
      <c r="AK469" s="10" t="s">
        <v>261</v>
      </c>
      <c r="AL469" s="2" t="s">
        <v>67</v>
      </c>
    </row>
    <row r="470" ht="15.75" customHeight="1">
      <c r="A470" s="2" t="s">
        <v>3168</v>
      </c>
      <c r="B470" s="12" t="s">
        <v>3169</v>
      </c>
      <c r="C470" s="2" t="str">
        <f>IFERROR(__xludf.DUMMYFUNCTION("IF(ISNUMBER(B470),TEXT(B470,""yyyy-MM-dd""),REGEXREPLACE(REGEXREPLACE(TO_TEXT(B470),""[^0-9a-zA-Z]+"",""-""),""[^0-9]*$"",""""))"),"05-28-2023")</f>
        <v>05-28-2023</v>
      </c>
      <c r="D470" s="2" t="str">
        <f>TEXT(C470,"yyyy-MM-dd")</f>
        <v>05-28-2023</v>
      </c>
      <c r="E470" s="2" t="s">
        <v>8256</v>
      </c>
      <c r="H470" s="10" t="s">
        <v>8256</v>
      </c>
      <c r="I470" s="2" t="s">
        <v>1267</v>
      </c>
      <c r="J470" s="26" t="str">
        <f t="array" ref="J470">IF(ISNA(XLOOKUP(I470,customers_clean!$A$2:$A$701,customers_clean!$A$2:$A$701, NA()) ),
   "❌ MISSING CUSTOMER", "✅")</f>
        <v>✅</v>
      </c>
      <c r="K470" s="2" t="str">
        <f t="array" ref="K470">XLOOKUP(I470,customers_clean!$A$2:$A$701,customers_clean!$C$2:$C$701)</f>
        <v>Fioan  Rodriguez</v>
      </c>
      <c r="L470" s="10" t="str">
        <f t="array" ref="L470">XLOOKUP(I470,customers_clean!$A$2:$A$701,customers_clean!$D$2:$D$701)</f>
        <v>Fiona Rodriguez</v>
      </c>
      <c r="M470" s="2" t="str">
        <f t="array" ref="M470">XLOOKUP(I470,customers_clean!$A$2:$A$701,customers_clean!$I$2:$I$701)</f>
        <v>fiona.rodriguez@gmail.com </v>
      </c>
      <c r="N470" s="10" t="str">
        <f t="array" ref="N470">XLOOKUP(I470,customers_clean!$A$2:$A$701,customers_clean!$H$2:$H$701)</f>
        <v>fiona.rodriguez@gmail.com</v>
      </c>
      <c r="O470" s="9" t="str">
        <f>IFERROR(__xludf.DUMMYFUNCTION("IF(REGEXMATCH(TRIM(N470),""^[A-Za-z0-9._%+-]+@[A-Za-z0-9.-]+\.[A-Za-z]{2,}$""),""✅ Valid"",""❌ Invalid"")"),"✅ Valid")</f>
        <v>✅ Valid</v>
      </c>
      <c r="P470" s="2" t="str">
        <f t="array" ref="P470">XLOOKUP(I470,customers_clean!$A$2:$A$701,customers_clean!$K$2:$K$701)</f>
        <v>+353 82-06-96-41-8</v>
      </c>
      <c r="Q470" s="10" t="str">
        <f t="array" ref="Q470">XLOOKUP(I470,customers_clean!$A$2:$A$701,customers_clean!$N$2:$N$701)</f>
        <v>820696418</v>
      </c>
      <c r="R470" s="9" t="str">
        <f t="array" ref="R470">XLOOKUP(I470,customers_clean!$A$2:$A$701,customers_clean!$Q$2:$Q$701)</f>
        <v>❌ INVALID</v>
      </c>
      <c r="S470" s="10" t="s">
        <v>139</v>
      </c>
      <c r="T470" s="2" t="s">
        <v>400</v>
      </c>
      <c r="U470" s="2" t="s">
        <v>43</v>
      </c>
      <c r="V470" s="2" t="s">
        <v>3172</v>
      </c>
      <c r="W470" s="9" t="str">
        <f t="array" ref="W470">IF(ISNA(XLOOKUP(V470,products_master_corrected!$A$2:$A$151,products_master_corrected!$A$2:$A$151, NA())),
    "❌ MISSING SKU", "✅")</f>
        <v>✅</v>
      </c>
      <c r="X470" s="2" t="s">
        <v>8765</v>
      </c>
      <c r="Y470" s="2" t="s">
        <v>355</v>
      </c>
      <c r="Z470" s="10" t="s">
        <v>355</v>
      </c>
      <c r="AA470" s="27">
        <v>2.0</v>
      </c>
      <c r="AB470" s="9" t="s">
        <v>8649</v>
      </c>
      <c r="AC470" s="28">
        <f t="array" ref="AC470">XLOOKUP(V470,products_master_corrected!$A$2:$A$151,products_master_corrected!$E$2:$E$151)</f>
        <v>107.38</v>
      </c>
      <c r="AD470" s="28">
        <f t="shared" si="55"/>
        <v>214.76</v>
      </c>
      <c r="AE470" s="28">
        <f t="array" ref="AE470">XLOOKUP(V470,products_master_corrected!$A$2:$A$151,products_master_corrected!$L$2:$L$151)</f>
        <v>116.13</v>
      </c>
      <c r="AF470" s="29">
        <f t="shared" si="56"/>
        <v>232.26</v>
      </c>
      <c r="AG470" s="32" t="s">
        <v>8665</v>
      </c>
      <c r="AH470" s="2" t="s">
        <v>143</v>
      </c>
      <c r="AI470" s="10" t="s">
        <v>143</v>
      </c>
      <c r="AJ470" s="2" t="s">
        <v>50</v>
      </c>
      <c r="AK470" s="10" t="s">
        <v>261</v>
      </c>
    </row>
    <row r="471" ht="15.75" customHeight="1">
      <c r="A471" s="2" t="s">
        <v>3051</v>
      </c>
      <c r="B471" s="12">
        <v>45012.0</v>
      </c>
      <c r="C471" s="2" t="str">
        <f>IFERROR(__xludf.DUMMYFUNCTION("IF(ISNUMBER(B471),TEXT(B471,""yyyy-MM-dd""),REGEXREPLACE(REGEXREPLACE(TO_TEXT(B471),""[^0-9a-zA-Z]+"",""-""),""[^0-9]*$"",""""))"),"2023-03-27")</f>
        <v>2023-03-27</v>
      </c>
      <c r="D471" s="2" t="s">
        <v>8852</v>
      </c>
      <c r="H471" s="10" t="s">
        <v>8852</v>
      </c>
      <c r="I471" s="2" t="s">
        <v>1267</v>
      </c>
      <c r="J471" s="26" t="str">
        <f t="array" ref="J471">IF(ISNA(XLOOKUP(I471,customers_clean!$A$2:$A$701,customers_clean!$A$2:$A$701, NA()) ),
   "❌ MISSING CUSTOMER", "✅")</f>
        <v>✅</v>
      </c>
      <c r="K471" s="2" t="str">
        <f t="array" ref="K471">XLOOKUP(I471,customers_clean!$A$2:$A$701,customers_clean!$C$2:$C$701)</f>
        <v>Fioan  Rodriguez</v>
      </c>
      <c r="L471" s="10" t="str">
        <f t="array" ref="L471">XLOOKUP(I471,customers_clean!$A$2:$A$701,customers_clean!$D$2:$D$701)</f>
        <v>Fiona Rodriguez</v>
      </c>
      <c r="M471" s="2" t="str">
        <f t="array" ref="M471">XLOOKUP(I471,customers_clean!$A$2:$A$701,customers_clean!$I$2:$I$701)</f>
        <v>fiona.rodriguez@gmail.com </v>
      </c>
      <c r="N471" s="10" t="str">
        <f t="array" ref="N471">XLOOKUP(I471,customers_clean!$A$2:$A$701,customers_clean!$H$2:$H$701)</f>
        <v>fiona.rodriguez@gmail.com</v>
      </c>
      <c r="O471" s="9" t="str">
        <f>IFERROR(__xludf.DUMMYFUNCTION("IF(REGEXMATCH(TRIM(N471),""^[A-Za-z0-9._%+-]+@[A-Za-z0-9.-]+\.[A-Za-z]{2,}$""),""✅ Valid"",""❌ Invalid"")"),"✅ Valid")</f>
        <v>✅ Valid</v>
      </c>
      <c r="P471" s="2" t="str">
        <f t="array" ref="P471">XLOOKUP(I471,customers_clean!$A$2:$A$701,customers_clean!$K$2:$K$701)</f>
        <v>+353 82-06-96-41-8</v>
      </c>
      <c r="Q471" s="10" t="str">
        <f t="array" ref="Q471">XLOOKUP(I471,customers_clean!$A$2:$A$701,customers_clean!$N$2:$N$701)</f>
        <v>820696418</v>
      </c>
      <c r="R471" s="9" t="str">
        <f t="array" ref="R471">XLOOKUP(I471,customers_clean!$A$2:$A$701,customers_clean!$Q$2:$Q$701)</f>
        <v>❌ INVALID</v>
      </c>
      <c r="S471" s="10" t="s">
        <v>139</v>
      </c>
      <c r="T471" s="2" t="s">
        <v>42</v>
      </c>
      <c r="U471" s="2" t="s">
        <v>211</v>
      </c>
      <c r="V471" s="2" t="s">
        <v>3053</v>
      </c>
      <c r="W471" s="9" t="str">
        <f t="array" ref="W471">IF(ISNA(XLOOKUP(V471,products_master_corrected!$A$2:$A$151,products_master_corrected!$A$2:$A$151, NA())),
    "❌ MISSING SKU", "✅")</f>
        <v>✅</v>
      </c>
      <c r="X471" s="2" t="s">
        <v>741</v>
      </c>
      <c r="Y471" s="2" t="s">
        <v>63</v>
      </c>
      <c r="Z471" s="10" t="s">
        <v>63</v>
      </c>
      <c r="AA471" s="27">
        <v>3.0</v>
      </c>
      <c r="AB471" s="9" t="s">
        <v>8649</v>
      </c>
      <c r="AC471" s="28">
        <f t="array" ref="AC471">XLOOKUP(V471,products_master_corrected!$A$2:$A$151,products_master_corrected!$E$2:$E$151)</f>
        <v>15.82</v>
      </c>
      <c r="AD471" s="28">
        <f t="shared" si="55"/>
        <v>47.46</v>
      </c>
      <c r="AE471" s="28">
        <f t="array" ref="AE471">XLOOKUP(V471,products_master_corrected!$A$2:$A$151,products_master_corrected!$L$2:$L$151)</f>
        <v>17.11</v>
      </c>
      <c r="AF471" s="29">
        <f t="shared" si="56"/>
        <v>51.33</v>
      </c>
      <c r="AG471" s="32" t="s">
        <v>8665</v>
      </c>
      <c r="AH471" s="2" t="s">
        <v>143</v>
      </c>
      <c r="AI471" s="10" t="s">
        <v>143</v>
      </c>
      <c r="AJ471" s="2" t="s">
        <v>169</v>
      </c>
      <c r="AK471" s="10" t="s">
        <v>261</v>
      </c>
    </row>
    <row r="472" ht="15.75" customHeight="1">
      <c r="A472" s="2" t="s">
        <v>1265</v>
      </c>
      <c r="B472" s="12">
        <v>45612.0</v>
      </c>
      <c r="C472" s="2" t="str">
        <f>IFERROR(__xludf.DUMMYFUNCTION("IF(ISNUMBER(B472),TEXT(B472,""yyyy-MM-dd""),REGEXREPLACE(REGEXREPLACE(TO_TEXT(B472),""[^0-9a-zA-Z]+"",""-""),""[^0-9]*$"",""""))"),"2024-11-16")</f>
        <v>2024-11-16</v>
      </c>
      <c r="D472" s="2" t="s">
        <v>8853</v>
      </c>
      <c r="H472" s="10" t="s">
        <v>8853</v>
      </c>
      <c r="I472" s="2" t="s">
        <v>1267</v>
      </c>
      <c r="J472" s="26" t="str">
        <f t="array" ref="J472">IF(ISNA(XLOOKUP(I472,customers_clean!$A$2:$A$701,customers_clean!$A$2:$A$701, NA()) ),
   "❌ MISSING CUSTOMER", "✅")</f>
        <v>✅</v>
      </c>
      <c r="K472" s="2" t="str">
        <f t="array" ref="K472">XLOOKUP(I472,customers_clean!$A$2:$A$701,customers_clean!$C$2:$C$701)</f>
        <v>Fioan  Rodriguez</v>
      </c>
      <c r="L472" s="10" t="str">
        <f t="array" ref="L472">XLOOKUP(I472,customers_clean!$A$2:$A$701,customers_clean!$D$2:$D$701)</f>
        <v>Fiona Rodriguez</v>
      </c>
      <c r="M472" s="2" t="str">
        <f t="array" ref="M472">XLOOKUP(I472,customers_clean!$A$2:$A$701,customers_clean!$I$2:$I$701)</f>
        <v>fiona.rodriguez@gmail.com </v>
      </c>
      <c r="N472" s="10" t="str">
        <f t="array" ref="N472">XLOOKUP(I472,customers_clean!$A$2:$A$701,customers_clean!$H$2:$H$701)</f>
        <v>fiona.rodriguez@gmail.com</v>
      </c>
      <c r="O472" s="9" t="str">
        <f>IFERROR(__xludf.DUMMYFUNCTION("IF(REGEXMATCH(TRIM(N472),""^[A-Za-z0-9._%+-]+@[A-Za-z0-9.-]+\.[A-Za-z]{2,}$""),""✅ Valid"",""❌ Invalid"")"),"✅ Valid")</f>
        <v>✅ Valid</v>
      </c>
      <c r="P472" s="2" t="str">
        <f t="array" ref="P472">XLOOKUP(I472,customers_clean!$A$2:$A$701,customers_clean!$K$2:$K$701)</f>
        <v>+353 82-06-96-41-8</v>
      </c>
      <c r="Q472" s="10" t="str">
        <f t="array" ref="Q472">XLOOKUP(I472,customers_clean!$A$2:$A$701,customers_clean!$N$2:$N$701)</f>
        <v>820696418</v>
      </c>
      <c r="R472" s="9" t="str">
        <f t="array" ref="R472">XLOOKUP(I472,customers_clean!$A$2:$A$701,customers_clean!$Q$2:$Q$701)</f>
        <v>❌ INVALID</v>
      </c>
      <c r="S472" s="10" t="s">
        <v>139</v>
      </c>
      <c r="T472" s="2" t="s">
        <v>323</v>
      </c>
      <c r="U472" s="2" t="s">
        <v>75</v>
      </c>
      <c r="V472" s="2" t="s">
        <v>1271</v>
      </c>
      <c r="W472" s="9" t="str">
        <f t="array" ref="W472">IF(ISNA(XLOOKUP(V472,products_master_corrected!$A$2:$A$151,products_master_corrected!$A$2:$A$151, NA())),
    "❌ MISSING SKU", "✅")</f>
        <v>✅</v>
      </c>
      <c r="X472" s="2" t="s">
        <v>1272</v>
      </c>
      <c r="Y472" s="2" t="s">
        <v>167</v>
      </c>
      <c r="Z472" s="10" t="str">
        <f>PROPER(TRIM(Y472))</f>
        <v>Monitors</v>
      </c>
      <c r="AA472" s="27">
        <v>2.0</v>
      </c>
      <c r="AB472" s="9" t="s">
        <v>8649</v>
      </c>
      <c r="AC472" s="28">
        <f t="array" ref="AC472">XLOOKUP(V472,products_master_corrected!$A$2:$A$151,products_master_corrected!$E$2:$E$151)</f>
        <v>78.18</v>
      </c>
      <c r="AD472" s="28">
        <f t="shared" si="55"/>
        <v>156.36</v>
      </c>
      <c r="AE472" s="28">
        <f t="array" ref="AE472">XLOOKUP(V472,products_master_corrected!$A$2:$A$151,products_master_corrected!$L$2:$L$151)</f>
        <v>84.55</v>
      </c>
      <c r="AF472" s="29">
        <f t="shared" si="56"/>
        <v>169.1</v>
      </c>
      <c r="AG472" s="32" t="s">
        <v>8665</v>
      </c>
      <c r="AH472" s="2" t="s">
        <v>664</v>
      </c>
      <c r="AI472" s="10" t="s">
        <v>66</v>
      </c>
      <c r="AJ472" s="2" t="s">
        <v>818</v>
      </c>
      <c r="AK472" s="10" t="s">
        <v>818</v>
      </c>
      <c r="AL472" s="2" t="s">
        <v>51</v>
      </c>
    </row>
    <row r="473" ht="15.75" customHeight="1">
      <c r="A473" s="2" t="s">
        <v>4638</v>
      </c>
      <c r="B473" s="12">
        <v>45921.29791666667</v>
      </c>
      <c r="C473" s="2" t="str">
        <f>IFERROR(__xludf.DUMMYFUNCTION("IF(ISNUMBER(B473),TEXT(B473,""yyyy-MM-dd""),REGEXREPLACE(REGEXREPLACE(TO_TEXT(B473),""[^0-9a-zA-Z]+"",""-""),""[^0-9]*$"",""""))"),"2025-09-21")</f>
        <v>2025-09-21</v>
      </c>
      <c r="D473" s="2" t="s">
        <v>8775</v>
      </c>
      <c r="H473" s="10" t="s">
        <v>8775</v>
      </c>
      <c r="I473" s="2" t="s">
        <v>1267</v>
      </c>
      <c r="J473" s="26" t="str">
        <f t="array" ref="J473">IF(ISNA(XLOOKUP(I473,customers_clean!$A$2:$A$701,customers_clean!$A$2:$A$701, NA()) ),
   "❌ MISSING CUSTOMER", "✅")</f>
        <v>✅</v>
      </c>
      <c r="K473" s="2" t="str">
        <f t="array" ref="K473">XLOOKUP(I473,customers_clean!$A$2:$A$701,customers_clean!$C$2:$C$701)</f>
        <v>Fioan  Rodriguez</v>
      </c>
      <c r="L473" s="10" t="str">
        <f t="array" ref="L473">XLOOKUP(I473,customers_clean!$A$2:$A$701,customers_clean!$D$2:$D$701)</f>
        <v>Fiona Rodriguez</v>
      </c>
      <c r="M473" s="2" t="str">
        <f t="array" ref="M473">XLOOKUP(I473,customers_clean!$A$2:$A$701,customers_clean!$I$2:$I$701)</f>
        <v>fiona.rodriguez@gmail.com </v>
      </c>
      <c r="N473" s="10" t="str">
        <f t="array" ref="N473">XLOOKUP(I473,customers_clean!$A$2:$A$701,customers_clean!$H$2:$H$701)</f>
        <v>fiona.rodriguez@gmail.com</v>
      </c>
      <c r="O473" s="9" t="str">
        <f>IFERROR(__xludf.DUMMYFUNCTION("IF(REGEXMATCH(TRIM(N473),""^[A-Za-z0-9._%+-]+@[A-Za-z0-9.-]+\.[A-Za-z]{2,}$""),""✅ Valid"",""❌ Invalid"")"),"✅ Valid")</f>
        <v>✅ Valid</v>
      </c>
      <c r="P473" s="2" t="str">
        <f t="array" ref="P473">XLOOKUP(I473,customers_clean!$A$2:$A$701,customers_clean!$K$2:$K$701)</f>
        <v>+353 82-06-96-41-8</v>
      </c>
      <c r="Q473" s="10" t="str">
        <f t="array" ref="Q473">XLOOKUP(I473,customers_clean!$A$2:$A$701,customers_clean!$N$2:$N$701)</f>
        <v>820696418</v>
      </c>
      <c r="R473" s="9" t="str">
        <f t="array" ref="R473">XLOOKUP(I473,customers_clean!$A$2:$A$701,customers_clean!$Q$2:$Q$701)</f>
        <v>❌ INVALID</v>
      </c>
      <c r="S473" s="10" t="s">
        <v>139</v>
      </c>
      <c r="T473" s="2" t="s">
        <v>42</v>
      </c>
      <c r="U473" s="2" t="s">
        <v>401</v>
      </c>
      <c r="V473" s="2" t="s">
        <v>422</v>
      </c>
      <c r="W473" s="9" t="str">
        <f t="array" ref="W473">IF(ISNA(XLOOKUP(V473,products_master_corrected!$A$2:$A$151,products_master_corrected!$A$2:$A$151, NA())),
    "❌ MISSING SKU", "✅")</f>
        <v>✅</v>
      </c>
      <c r="X473" s="2" t="s">
        <v>423</v>
      </c>
      <c r="Y473" s="2" t="s">
        <v>292</v>
      </c>
      <c r="Z473" s="10" t="s">
        <v>63</v>
      </c>
      <c r="AA473" s="27">
        <v>3.0</v>
      </c>
      <c r="AB473" s="9" t="s">
        <v>8649</v>
      </c>
      <c r="AC473" s="28">
        <f t="array" ref="AC473">XLOOKUP(V473,products_master_corrected!$A$2:$A$151,products_master_corrected!$E$2:$E$151)</f>
        <v>74.3</v>
      </c>
      <c r="AD473" s="28">
        <f t="shared" si="55"/>
        <v>222.9</v>
      </c>
      <c r="AE473" s="28">
        <f t="array" ref="AE473">XLOOKUP(V473,products_master_corrected!$A$2:$A$151,products_master_corrected!$L$2:$L$151)</f>
        <v>80.36</v>
      </c>
      <c r="AF473" s="29">
        <f t="shared" si="56"/>
        <v>241.08</v>
      </c>
      <c r="AG473" s="32" t="s">
        <v>8665</v>
      </c>
      <c r="AH473" s="2" t="s">
        <v>414</v>
      </c>
      <c r="AI473" s="10" t="s">
        <v>49</v>
      </c>
      <c r="AJ473" s="2" t="s">
        <v>144</v>
      </c>
      <c r="AK473" s="10" t="s">
        <v>818</v>
      </c>
      <c r="AL473" s="2" t="s">
        <v>81</v>
      </c>
    </row>
    <row r="474" ht="15.75" customHeight="1">
      <c r="A474" s="2" t="s">
        <v>6182</v>
      </c>
      <c r="B474" s="12">
        <v>45776.0</v>
      </c>
      <c r="C474" s="2" t="str">
        <f>IFERROR(__xludf.DUMMYFUNCTION("IF(ISNUMBER(B474),TEXT(B474,""yyyy-MM-dd""),REGEXREPLACE(REGEXREPLACE(TO_TEXT(B474),""[^0-9a-zA-Z]+"",""-""),""[^0-9]*$"",""""))"),"2025-04-29")</f>
        <v>2025-04-29</v>
      </c>
      <c r="D474" s="2" t="s">
        <v>6183</v>
      </c>
      <c r="H474" s="10" t="s">
        <v>6183</v>
      </c>
      <c r="I474" s="2" t="s">
        <v>4365</v>
      </c>
      <c r="J474" s="26" t="str">
        <f t="array" ref="J474">IF(ISNA(XLOOKUP(I474,customers_clean!$A$2:$A$701,customers_clean!$A$2:$A$701, NA()) ),
   "❌ MISSING CUSTOMER", "✅")</f>
        <v>✅</v>
      </c>
      <c r="K474" s="2" t="str">
        <f t="array" ref="K474">XLOOKUP(I474,customers_clean!$A$2:$A$701,customers_clean!$C$2:$C$701)</f>
        <v>Vla dRodriguez </v>
      </c>
      <c r="L474" s="10" t="str">
        <f t="array" ref="L474">XLOOKUP(I474,customers_clean!$A$2:$A$701,customers_clean!$D$2:$D$701)</f>
        <v>Vlad Rodriguez</v>
      </c>
      <c r="M474" s="2" t="str">
        <f t="array" ref="M474">XLOOKUP(I474,customers_clean!$A$2:$A$701,customers_clean!$I$2:$I$701)</f>
        <v>Vlad.Rodriguez@Example.Com</v>
      </c>
      <c r="N474" s="10" t="str">
        <f t="array" ref="N474">XLOOKUP(I474,customers_clean!$A$2:$A$701,customers_clean!$H$2:$H$701)</f>
        <v>vlad.rodriguez@example.com</v>
      </c>
      <c r="O474" s="9" t="str">
        <f>IFERROR(__xludf.DUMMYFUNCTION("IF(REGEXMATCH(TRIM(N474),""^[A-Za-z0-9._%+-]+@[A-Za-z0-9.-]+\.[A-Za-z]{2,}$""),""✅ Valid"",""❌ Invalid"")"),"✅ Valid")</f>
        <v>✅ Valid</v>
      </c>
      <c r="P474" s="2" t="str">
        <f t="array" ref="P474">XLOOKUP(I474,customers_clean!$A$2:$A$701,customers_clean!$K$2:$K$701)</f>
        <v>tel:+449621825054</v>
      </c>
      <c r="Q474" s="10" t="str">
        <f t="array" ref="Q474">XLOOKUP(I474,customers_clean!$A$2:$A$701,customers_clean!$N$2:$N$701)</f>
        <v>9621825054</v>
      </c>
      <c r="R474" s="9" t="str">
        <f t="array" ref="R474">XLOOKUP(I474,customers_clean!$A$2:$A$701,customers_clean!$Q$2:$Q$701)</f>
        <v>❌ INVALID</v>
      </c>
      <c r="S474" s="31" t="s">
        <v>671</v>
      </c>
      <c r="T474" s="2" t="s">
        <v>301</v>
      </c>
      <c r="U474" s="2" t="s">
        <v>176</v>
      </c>
      <c r="V474" s="2" t="s">
        <v>993</v>
      </c>
      <c r="W474" s="9" t="str">
        <f t="array" ref="W474">IF(ISNA(XLOOKUP(V474,products_master_corrected!$A$2:$A$151,products_master_corrected!$A$2:$A$151, NA())),
    "❌ MISSING SKU", "✅")</f>
        <v>✅</v>
      </c>
      <c r="X474" s="2" t="s">
        <v>994</v>
      </c>
      <c r="Y474" s="2" t="s">
        <v>995</v>
      </c>
      <c r="Z474" s="10" t="s">
        <v>355</v>
      </c>
      <c r="AA474" s="27">
        <v>1.0</v>
      </c>
      <c r="AB474" s="9" t="s">
        <v>8649</v>
      </c>
      <c r="AC474" s="28">
        <f t="array" ref="AC474">XLOOKUP(V474,products_master_corrected!$A$2:$A$151,products_master_corrected!$E$2:$E$151)</f>
        <v>566.38</v>
      </c>
      <c r="AD474" s="28">
        <f t="shared" si="55"/>
        <v>566.38</v>
      </c>
      <c r="AE474" s="28">
        <f t="array" ref="AE474">XLOOKUP(V474,products_master_corrected!$A$2:$A$151,products_master_corrected!$J$2:$J$151)</f>
        <v>660.57</v>
      </c>
      <c r="AF474" s="29">
        <f t="shared" si="56"/>
        <v>660.57</v>
      </c>
      <c r="AG474" s="32" t="s">
        <v>8656</v>
      </c>
      <c r="AH474" s="2" t="s">
        <v>66</v>
      </c>
      <c r="AI474" s="10" t="s">
        <v>66</v>
      </c>
      <c r="AJ474" s="2" t="s">
        <v>294</v>
      </c>
      <c r="AK474" s="10" t="s">
        <v>80</v>
      </c>
      <c r="AL474" s="2" t="s">
        <v>51</v>
      </c>
    </row>
    <row r="475" ht="15.75" customHeight="1">
      <c r="A475" s="2" t="s">
        <v>4363</v>
      </c>
      <c r="B475" s="12">
        <v>45839.0</v>
      </c>
      <c r="C475" s="2" t="str">
        <f>IFERROR(__xludf.DUMMYFUNCTION("IF(ISNUMBER(B475),TEXT(B475,""yyyy-MM-dd""),REGEXREPLACE(REGEXREPLACE(TO_TEXT(B475),""[^0-9a-zA-Z]+"",""-""),""[^0-9]*$"",""""))"),"2025-07-01")</f>
        <v>2025-07-01</v>
      </c>
      <c r="D475" s="2" t="s">
        <v>5720</v>
      </c>
      <c r="H475" s="10" t="s">
        <v>5720</v>
      </c>
      <c r="I475" s="2" t="s">
        <v>4365</v>
      </c>
      <c r="J475" s="26" t="str">
        <f t="array" ref="J475">IF(ISNA(XLOOKUP(I475,customers_clean!$A$2:$A$701,customers_clean!$A$2:$A$701, NA()) ),
   "❌ MISSING CUSTOMER", "✅")</f>
        <v>✅</v>
      </c>
      <c r="K475" s="2" t="str">
        <f t="array" ref="K475">XLOOKUP(I475,customers_clean!$A$2:$A$701,customers_clean!$C$2:$C$701)</f>
        <v>Vla dRodriguez </v>
      </c>
      <c r="L475" s="10" t="str">
        <f t="array" ref="L475">XLOOKUP(I475,customers_clean!$A$2:$A$701,customers_clean!$D$2:$D$701)</f>
        <v>Vlad Rodriguez</v>
      </c>
      <c r="M475" s="2" t="str">
        <f t="array" ref="M475">XLOOKUP(I475,customers_clean!$A$2:$A$701,customers_clean!$I$2:$I$701)</f>
        <v>Vlad.Rodriguez@Example.Com</v>
      </c>
      <c r="N475" s="10" t="str">
        <f t="array" ref="N475">XLOOKUP(I475,customers_clean!$A$2:$A$701,customers_clean!$H$2:$H$701)</f>
        <v>vlad.rodriguez@example.com</v>
      </c>
      <c r="O475" s="9" t="str">
        <f>IFERROR(__xludf.DUMMYFUNCTION("IF(REGEXMATCH(TRIM(N475),""^[A-Za-z0-9._%+-]+@[A-Za-z0-9.-]+\.[A-Za-z]{2,}$""),""✅ Valid"",""❌ Invalid"")"),"✅ Valid")</f>
        <v>✅ Valid</v>
      </c>
      <c r="P475" s="2" t="str">
        <f t="array" ref="P475">XLOOKUP(I475,customers_clean!$A$2:$A$701,customers_clean!$K$2:$K$701)</f>
        <v>tel:+449621825054</v>
      </c>
      <c r="Q475" s="10" t="str">
        <f t="array" ref="Q475">XLOOKUP(I475,customers_clean!$A$2:$A$701,customers_clean!$N$2:$N$701)</f>
        <v>9621825054</v>
      </c>
      <c r="R475" s="9" t="str">
        <f t="array" ref="R475">XLOOKUP(I475,customers_clean!$A$2:$A$701,customers_clean!$Q$2:$Q$701)</f>
        <v>❌ INVALID</v>
      </c>
      <c r="S475" s="31" t="s">
        <v>671</v>
      </c>
      <c r="T475" s="2" t="s">
        <v>400</v>
      </c>
      <c r="U475" s="2" t="s">
        <v>4369</v>
      </c>
      <c r="V475" s="2" t="s">
        <v>3101</v>
      </c>
      <c r="W475" s="9" t="str">
        <f t="array" ref="W475">IF(ISNA(XLOOKUP(V475,products_master_corrected!$A$2:$A$151,products_master_corrected!$A$2:$A$151, NA())),
    "❌ MISSING SKU", "✅")</f>
        <v>✅</v>
      </c>
      <c r="X475" s="2" t="s">
        <v>804</v>
      </c>
      <c r="Y475" s="2" t="s">
        <v>248</v>
      </c>
      <c r="Z475" s="10" t="s">
        <v>248</v>
      </c>
      <c r="AA475" s="27">
        <v>3.0</v>
      </c>
      <c r="AB475" s="9" t="s">
        <v>8649</v>
      </c>
      <c r="AC475" s="28">
        <f t="array" ref="AC475">XLOOKUP(V475,products_master_corrected!$A$2:$A$151,products_master_corrected!$E$2:$E$151)</f>
        <v>23.37</v>
      </c>
      <c r="AD475" s="28">
        <f t="shared" si="55"/>
        <v>70.11</v>
      </c>
      <c r="AE475" s="28">
        <f t="array" ref="AE475">XLOOKUP(V475,products_master_corrected!$A$2:$A$151,products_master_corrected!$J$2:$J$151)</f>
        <v>27.26</v>
      </c>
      <c r="AF475" s="29">
        <f t="shared" si="56"/>
        <v>81.78</v>
      </c>
      <c r="AG475" s="32" t="s">
        <v>8656</v>
      </c>
      <c r="AH475" s="2" t="s">
        <v>305</v>
      </c>
      <c r="AI475" s="10" t="s">
        <v>49</v>
      </c>
      <c r="AJ475" s="2" t="s">
        <v>345</v>
      </c>
      <c r="AK475" s="10" t="s">
        <v>261</v>
      </c>
    </row>
    <row r="476" ht="15.75" customHeight="1">
      <c r="A476" s="2" t="s">
        <v>5121</v>
      </c>
      <c r="B476" s="12" t="s">
        <v>5122</v>
      </c>
      <c r="C476" s="2" t="str">
        <f>IFERROR(__xludf.DUMMYFUNCTION("IF(ISNUMBER(B476),TEXT(B476,""yyyy-MM-dd""),REGEXREPLACE(REGEXREPLACE(TO_TEXT(B476),""[^0-9a-zA-Z]+"",""-""),""[^0-9]*$"",""""))"),"45869-16-46")</f>
        <v>45869-16-46</v>
      </c>
      <c r="D476" s="2" t="str">
        <f>TEXT(C476,"yyyy-MM-dd")</f>
        <v>45869-16-46</v>
      </c>
      <c r="E476" s="25" t="str">
        <f>CONCATENATE(LEFT(D476,5))</f>
        <v>45869</v>
      </c>
      <c r="F476" s="12">
        <f>DATE(1900,1,1) + E476 - 1</f>
        <v>45870</v>
      </c>
      <c r="G476" s="2" t="s">
        <v>4015</v>
      </c>
      <c r="H476" s="10" t="s">
        <v>4015</v>
      </c>
      <c r="I476" s="2" t="s">
        <v>4365</v>
      </c>
      <c r="J476" s="26" t="str">
        <f t="array" ref="J476">IF(ISNA(XLOOKUP(I476,customers_clean!$A$2:$A$701,customers_clean!$A$2:$A$701, NA()) ),
   "❌ MISSING CUSTOMER", "✅")</f>
        <v>✅</v>
      </c>
      <c r="K476" s="2" t="str">
        <f t="array" ref="K476">XLOOKUP(I476,customers_clean!$A$2:$A$701,customers_clean!$C$2:$C$701)</f>
        <v>Vla dRodriguez </v>
      </c>
      <c r="L476" s="10" t="str">
        <f t="array" ref="L476">XLOOKUP(I476,customers_clean!$A$2:$A$701,customers_clean!$D$2:$D$701)</f>
        <v>Vlad Rodriguez</v>
      </c>
      <c r="M476" s="2" t="str">
        <f t="array" ref="M476">XLOOKUP(I476,customers_clean!$A$2:$A$701,customers_clean!$I$2:$I$701)</f>
        <v>Vlad.Rodriguez@Example.Com</v>
      </c>
      <c r="N476" s="10" t="str">
        <f t="array" ref="N476">XLOOKUP(I476,customers_clean!$A$2:$A$701,customers_clean!$H$2:$H$701)</f>
        <v>vlad.rodriguez@example.com</v>
      </c>
      <c r="O476" s="9" t="str">
        <f>IFERROR(__xludf.DUMMYFUNCTION("IF(REGEXMATCH(TRIM(N476),""^[A-Za-z0-9._%+-]+@[A-Za-z0-9.-]+\.[A-Za-z]{2,}$""),""✅ Valid"",""❌ Invalid"")"),"✅ Valid")</f>
        <v>✅ Valid</v>
      </c>
      <c r="P476" s="2" t="str">
        <f t="array" ref="P476">XLOOKUP(I476,customers_clean!$A$2:$A$701,customers_clean!$K$2:$K$701)</f>
        <v>tel:+449621825054</v>
      </c>
      <c r="Q476" s="10" t="str">
        <f t="array" ref="Q476">XLOOKUP(I476,customers_clean!$A$2:$A$701,customers_clean!$N$2:$N$701)</f>
        <v>9621825054</v>
      </c>
      <c r="R476" s="9" t="str">
        <f t="array" ref="R476">XLOOKUP(I476,customers_clean!$A$2:$A$701,customers_clean!$Q$2:$Q$701)</f>
        <v>❌ INVALID</v>
      </c>
      <c r="S476" s="31" t="s">
        <v>671</v>
      </c>
      <c r="T476" s="2" t="s">
        <v>223</v>
      </c>
      <c r="U476" s="2" t="s">
        <v>60</v>
      </c>
      <c r="V476" s="2" t="s">
        <v>1236</v>
      </c>
      <c r="W476" s="9" t="str">
        <f t="array" ref="W476">IF(ISNA(XLOOKUP(V476,products_master_corrected!$A$2:$A$151,products_master_corrected!$A$2:$A$151, NA())),
    "❌ MISSING SKU", "✅")</f>
        <v>✅</v>
      </c>
      <c r="X476" s="2" t="s">
        <v>524</v>
      </c>
      <c r="Y476" s="2" t="s">
        <v>637</v>
      </c>
      <c r="Z476" s="10" t="s">
        <v>514</v>
      </c>
      <c r="AA476" s="27">
        <v>2.0</v>
      </c>
      <c r="AB476" s="9" t="s">
        <v>8649</v>
      </c>
      <c r="AC476" s="28">
        <f t="array" ref="AC476">XLOOKUP(V476,products_master_corrected!$A$2:$A$151,products_master_corrected!$E$2:$E$151)</f>
        <v>140.44</v>
      </c>
      <c r="AD476" s="28">
        <f t="shared" si="55"/>
        <v>280.88</v>
      </c>
      <c r="AE476" s="28">
        <f t="array" ref="AE476">XLOOKUP(V476,products_master_corrected!$A$2:$A$151,products_master_corrected!$J$2:$J$151)</f>
        <v>163.8</v>
      </c>
      <c r="AF476" s="29">
        <f t="shared" si="56"/>
        <v>327.6</v>
      </c>
      <c r="AG476" s="32" t="s">
        <v>8656</v>
      </c>
      <c r="AH476" s="2" t="s">
        <v>131</v>
      </c>
      <c r="AI476" s="10" t="s">
        <v>181</v>
      </c>
      <c r="AJ476" s="2" t="s">
        <v>818</v>
      </c>
      <c r="AK476" s="10" t="s">
        <v>818</v>
      </c>
    </row>
    <row r="477" ht="15.75" customHeight="1">
      <c r="A477" s="2" t="s">
        <v>338</v>
      </c>
      <c r="B477" s="12">
        <v>45927.0</v>
      </c>
      <c r="C477" s="2" t="str">
        <f>IFERROR(__xludf.DUMMYFUNCTION("IF(ISNUMBER(B477),TEXT(B477,""yyyy-MM-dd""),REGEXREPLACE(REGEXREPLACE(TO_TEXT(B477),""[^0-9a-zA-Z]+"",""-""),""[^0-9]*$"",""""))"),"2025-09-27")</f>
        <v>2025-09-27</v>
      </c>
      <c r="D477" s="2" t="s">
        <v>146</v>
      </c>
      <c r="H477" s="10" t="s">
        <v>146</v>
      </c>
      <c r="I477" s="2" t="s">
        <v>340</v>
      </c>
      <c r="J477" s="26" t="str">
        <f t="array" ref="J477">IF(ISNA(XLOOKUP(I477,customers_clean!$A$2:$A$701,customers_clean!$A$2:$A$701, NA()) ),
   "❌ MISSING CUSTOMER", "✅")</f>
        <v>✅</v>
      </c>
      <c r="K477" s="2" t="str">
        <f t="array" ref="K477">XLOOKUP(I477,customers_clean!$A$2:$A$701,customers_clean!$C$2:$C$701)</f>
        <v> Marek Davis</v>
      </c>
      <c r="L477" s="10" t="str">
        <f t="array" ref="L477">XLOOKUP(I477,customers_clean!$A$2:$A$701,customers_clean!$D$2:$D$701)</f>
        <v>Marek Davis</v>
      </c>
      <c r="M477" s="2" t="str">
        <f t="array" ref="M477">XLOOKUP(I477,customers_clean!$A$2:$A$701,customers_clean!$I$2:$I$701)</f>
        <v>marek.davis@yahoo.com</v>
      </c>
      <c r="N477" s="10" t="str">
        <f t="array" ref="N477">XLOOKUP(I477,customers_clean!$A$2:$A$701,customers_clean!$H$2:$H$701)</f>
        <v>marek.davis@yahoo.com</v>
      </c>
      <c r="O477" s="9" t="str">
        <f>IFERROR(__xludf.DUMMYFUNCTION("IF(REGEXMATCH(TRIM(N477),""^[A-Za-z0-9._%+-]+@[A-Za-z0-9.-]+\.[A-Za-z]{2,}$""),""✅ Valid"",""❌ Invalid"")"),"✅ Valid")</f>
        <v>✅ Valid</v>
      </c>
      <c r="P477" s="2" t="str">
        <f t="array" ref="P477">XLOOKUP(I477,customers_clean!$A$2:$A$701,customers_clean!$K$2:$K$701)</f>
        <v>+44 865 7717580</v>
      </c>
      <c r="Q477" s="10" t="str">
        <f t="array" ref="Q477">XLOOKUP(I477,customers_clean!$A$2:$A$701,customers_clean!$N$2:$N$701)</f>
        <v>8657717580</v>
      </c>
      <c r="R477" s="9" t="str">
        <f t="array" ref="R477">XLOOKUP(I477,customers_clean!$A$2:$A$701,customers_clean!$Q$2:$Q$701)</f>
        <v>❌ INVALID</v>
      </c>
      <c r="S477" s="10" t="s">
        <v>25</v>
      </c>
      <c r="T477" s="2" t="s">
        <v>42</v>
      </c>
      <c r="U477" s="2" t="s">
        <v>176</v>
      </c>
      <c r="V477" s="2" t="s">
        <v>269</v>
      </c>
      <c r="W477" s="9" t="str">
        <f t="array" ref="W477">IF(ISNA(XLOOKUP(V477,products_master_corrected!$A$2:$A$151,products_master_corrected!$A$2:$A$151, NA())),
    "❌ MISSING SKU", "✅")</f>
        <v>✅</v>
      </c>
      <c r="X477" s="2" t="s">
        <v>524</v>
      </c>
      <c r="Y477" s="2" t="s">
        <v>271</v>
      </c>
      <c r="Z477" s="10" t="s">
        <v>368</v>
      </c>
      <c r="AA477" s="27">
        <v>1.0</v>
      </c>
      <c r="AB477" s="9" t="s">
        <v>8649</v>
      </c>
      <c r="AC477" s="28">
        <f t="array" ref="AC477">XLOOKUP(V477,products_master_corrected!$A$2:$A$151,products_master_corrected!$E$2:$E$151)</f>
        <v>219.29</v>
      </c>
      <c r="AD477" s="28">
        <f t="shared" si="55"/>
        <v>219.29</v>
      </c>
      <c r="AE477" s="28">
        <f t="array" ref="AE477">XLOOKUP(V477,products_master_corrected!$A$2:$A$151,products_master_corrected!$K$2:$K$151)</f>
        <v>1128.25</v>
      </c>
      <c r="AF477" s="29">
        <f t="shared" si="56"/>
        <v>1128.25</v>
      </c>
      <c r="AG477" s="30" t="s">
        <v>95</v>
      </c>
      <c r="AH477" s="2" t="s">
        <v>143</v>
      </c>
      <c r="AI477" s="10" t="s">
        <v>143</v>
      </c>
      <c r="AJ477" s="2" t="s">
        <v>345</v>
      </c>
      <c r="AK477" s="10" t="s">
        <v>261</v>
      </c>
      <c r="AL477" s="2" t="s">
        <v>133</v>
      </c>
    </row>
    <row r="478" ht="15.75" customHeight="1">
      <c r="A478" s="2" t="s">
        <v>6176</v>
      </c>
      <c r="B478" s="12">
        <v>45323.0</v>
      </c>
      <c r="C478" s="2" t="str">
        <f>IFERROR(__xludf.DUMMYFUNCTION("IF(ISNUMBER(B478),TEXT(B478,""yyyy-MM-dd""),REGEXREPLACE(REGEXREPLACE(TO_TEXT(B478),""[^0-9a-zA-Z]+"",""-""),""[^0-9]*$"",""""))"),"2024-02-01")</f>
        <v>2024-02-01</v>
      </c>
      <c r="D478" s="2" t="s">
        <v>3074</v>
      </c>
      <c r="H478" s="10" t="s">
        <v>3074</v>
      </c>
      <c r="I478" s="2" t="s">
        <v>340</v>
      </c>
      <c r="J478" s="26" t="str">
        <f t="array" ref="J478">IF(ISNA(XLOOKUP(I478,customers_clean!$A$2:$A$701,customers_clean!$A$2:$A$701, NA()) ),
   "❌ MISSING CUSTOMER", "✅")</f>
        <v>✅</v>
      </c>
      <c r="K478" s="2" t="str">
        <f t="array" ref="K478">XLOOKUP(I478,customers_clean!$A$2:$A$701,customers_clean!$C$2:$C$701)</f>
        <v> Marek Davis</v>
      </c>
      <c r="L478" s="10" t="str">
        <f t="array" ref="L478">XLOOKUP(I478,customers_clean!$A$2:$A$701,customers_clean!$D$2:$D$701)</f>
        <v>Marek Davis</v>
      </c>
      <c r="M478" s="2" t="str">
        <f t="array" ref="M478">XLOOKUP(I478,customers_clean!$A$2:$A$701,customers_clean!$I$2:$I$701)</f>
        <v>marek.davis@yahoo.com</v>
      </c>
      <c r="N478" s="10" t="str">
        <f t="array" ref="N478">XLOOKUP(I478,customers_clean!$A$2:$A$701,customers_clean!$H$2:$H$701)</f>
        <v>marek.davis@yahoo.com</v>
      </c>
      <c r="O478" s="9" t="str">
        <f>IFERROR(__xludf.DUMMYFUNCTION("IF(REGEXMATCH(TRIM(N478),""^[A-Za-z0-9._%+-]+@[A-Za-z0-9.-]+\.[A-Za-z]{2,}$""),""✅ Valid"",""❌ Invalid"")"),"✅ Valid")</f>
        <v>✅ Valid</v>
      </c>
      <c r="P478" s="2" t="str">
        <f t="array" ref="P478">XLOOKUP(I478,customers_clean!$A$2:$A$701,customers_clean!$K$2:$K$701)</f>
        <v>+44 865 7717580</v>
      </c>
      <c r="Q478" s="10" t="str">
        <f t="array" ref="Q478">XLOOKUP(I478,customers_clean!$A$2:$A$701,customers_clean!$N$2:$N$701)</f>
        <v>8657717580</v>
      </c>
      <c r="R478" s="9" t="str">
        <f t="array" ref="R478">XLOOKUP(I478,customers_clean!$A$2:$A$701,customers_clean!$Q$2:$Q$701)</f>
        <v>❌ INVALID</v>
      </c>
      <c r="S478" s="10" t="s">
        <v>25</v>
      </c>
      <c r="T478" s="2" t="s">
        <v>223</v>
      </c>
      <c r="U478" s="2" t="s">
        <v>43</v>
      </c>
      <c r="V478" s="2" t="s">
        <v>439</v>
      </c>
      <c r="W478" s="9" t="str">
        <f t="array" ref="W478">IF(ISNA(XLOOKUP(V478,products_master_corrected!$A$2:$A$151,products_master_corrected!$A$2:$A$151, NA())),
    "❌ MISSING SKU", "✅")</f>
        <v>✅</v>
      </c>
      <c r="X478" s="2" t="s">
        <v>440</v>
      </c>
      <c r="Y478" s="2" t="s">
        <v>63</v>
      </c>
      <c r="Z478" s="10" t="s">
        <v>63</v>
      </c>
      <c r="AA478" s="27">
        <v>1.0</v>
      </c>
      <c r="AB478" s="9" t="s">
        <v>8649</v>
      </c>
      <c r="AC478" s="28">
        <f t="array" ref="AC478">XLOOKUP(V478,products_master_corrected!$A$2:$A$151,products_master_corrected!$E$2:$E$151)</f>
        <v>70.84</v>
      </c>
      <c r="AD478" s="28">
        <f t="shared" si="55"/>
        <v>70.84</v>
      </c>
      <c r="AE478" s="28">
        <f t="array" ref="AE478">XLOOKUP(V478,products_master_corrected!$A$2:$A$151,products_master_corrected!$K$2:$K$151)</f>
        <v>364.47</v>
      </c>
      <c r="AF478" s="29">
        <f t="shared" si="56"/>
        <v>364.47</v>
      </c>
      <c r="AG478" s="30" t="s">
        <v>95</v>
      </c>
      <c r="AH478" s="2" t="s">
        <v>526</v>
      </c>
      <c r="AI478" s="10" t="s">
        <v>49</v>
      </c>
      <c r="AJ478" s="2" t="s">
        <v>818</v>
      </c>
      <c r="AK478" s="10" t="s">
        <v>818</v>
      </c>
    </row>
    <row r="479" ht="15.75" customHeight="1">
      <c r="A479" s="2" t="s">
        <v>1615</v>
      </c>
      <c r="B479" s="12">
        <v>45782.0</v>
      </c>
      <c r="C479" s="2" t="str">
        <f>IFERROR(__xludf.DUMMYFUNCTION("IF(ISNUMBER(B479),TEXT(B479,""yyyy-MM-dd""),REGEXREPLACE(REGEXREPLACE(TO_TEXT(B479),""[^0-9a-zA-Z]+"",""-""),""[^0-9]*$"",""""))"),"2025-05-05")</f>
        <v>2025-05-05</v>
      </c>
      <c r="D479" s="2" t="s">
        <v>8854</v>
      </c>
      <c r="H479" s="10" t="s">
        <v>8854</v>
      </c>
      <c r="I479" s="2" t="s">
        <v>161</v>
      </c>
      <c r="J479" s="26" t="str">
        <f t="array" ref="J479">IF(ISNA(XLOOKUP(I479,customers_clean!$A$2:$A$701,customers_clean!$A$2:$A$701, NA()) ),
   "❌ MISSING CUSTOMER", "✅")</f>
        <v>✅</v>
      </c>
      <c r="K479" s="2" t="str">
        <f t="array" ref="K479">XLOOKUP(I479,customers_clean!$A$2:$A$701,customers_clean!$C$2:$C$701)</f>
        <v>Adam Williams</v>
      </c>
      <c r="L479" s="10" t="str">
        <f t="array" ref="L479">XLOOKUP(I479,customers_clean!$A$2:$A$701,customers_clean!$D$2:$D$701)</f>
        <v>Adam Williams</v>
      </c>
      <c r="M479" s="2" t="str">
        <f t="array" ref="M479">XLOOKUP(I479,customers_clean!$A$2:$A$701,customers_clean!$I$2:$I$701)</f>
        <v>adam.williams@shop.io </v>
      </c>
      <c r="N479" s="10" t="str">
        <f t="array" ref="N479">XLOOKUP(I479,customers_clean!$A$2:$A$701,customers_clean!$H$2:$H$701)</f>
        <v>adam.williams@shop.io</v>
      </c>
      <c r="O479" s="9" t="str">
        <f>IFERROR(__xludf.DUMMYFUNCTION("IF(REGEXMATCH(TRIM(N479),""^[A-Za-z0-9._%+-]+@[A-Za-z0-9.-]+\.[A-Za-z]{2,}$""),""✅ Valid"",""❌ Invalid"")"),"✅ Valid")</f>
        <v>✅ Valid</v>
      </c>
      <c r="P479" s="2" t="str">
        <f t="array" ref="P479">XLOOKUP(I479,customers_clean!$A$2:$A$701,customers_clean!$K$2:$K$701)</f>
        <v>+49095032867 ext 852</v>
      </c>
      <c r="Q479" s="10" t="str">
        <f t="array" ref="Q479">XLOOKUP(I479,customers_clean!$A$2:$A$701,customers_clean!$N$2:$N$701)</f>
        <v>095032867</v>
      </c>
      <c r="R479" s="9" t="str">
        <f t="array" ref="R479">XLOOKUP(I479,customers_clean!$A$2:$A$701,customers_clean!$Q$2:$Q$701)</f>
        <v>❌ INVALID</v>
      </c>
      <c r="S479" s="10" t="s">
        <v>448</v>
      </c>
      <c r="T479" s="2" t="s">
        <v>778</v>
      </c>
      <c r="U479" s="2" t="s">
        <v>401</v>
      </c>
      <c r="V479" s="2" t="s">
        <v>1495</v>
      </c>
      <c r="W479" s="9" t="str">
        <f t="array" ref="W479">IF(ISNA(XLOOKUP(V479,products_master_corrected!$A$2:$A$151,products_master_corrected!$A$2:$A$151, NA())),
    "❌ MISSING SKU", "✅")</f>
        <v>✅</v>
      </c>
      <c r="X479" s="2" t="s">
        <v>1138</v>
      </c>
      <c r="Y479" s="2" t="s">
        <v>248</v>
      </c>
      <c r="Z479" s="10" t="s">
        <v>248</v>
      </c>
      <c r="AA479" s="27">
        <v>5.0</v>
      </c>
      <c r="AB479" s="9" t="s">
        <v>8649</v>
      </c>
      <c r="AC479" s="28">
        <f t="array" ref="AC479">XLOOKUP(V479,products_master_corrected!$A$2:$A$151,products_master_corrected!$E$2:$E$151)</f>
        <v>248.14</v>
      </c>
      <c r="AD479" s="28">
        <f t="shared" si="55"/>
        <v>1240.7</v>
      </c>
      <c r="AE479" s="28">
        <f t="array" ref="AE479">XLOOKUP(V479,products_master_corrected!$A$2:$A$151,products_master_corrected!$M$2:$M$151)</f>
        <v>300.15</v>
      </c>
      <c r="AF479" s="29">
        <f t="shared" si="56"/>
        <v>1500.75</v>
      </c>
      <c r="AG479" s="30" t="s">
        <v>48</v>
      </c>
      <c r="AH479" s="2" t="s">
        <v>33</v>
      </c>
      <c r="AI479" s="10" t="s">
        <v>181</v>
      </c>
      <c r="AJ479" s="2" t="s">
        <v>306</v>
      </c>
      <c r="AK479" s="10" t="s">
        <v>192</v>
      </c>
      <c r="AL479" s="2" t="s">
        <v>81</v>
      </c>
    </row>
    <row r="480" ht="15.75" customHeight="1">
      <c r="A480" s="2" t="s">
        <v>159</v>
      </c>
      <c r="B480" s="12">
        <v>45713.0</v>
      </c>
      <c r="C480" s="2" t="str">
        <f>IFERROR(__xludf.DUMMYFUNCTION("IF(ISNUMBER(B480),TEXT(B480,""yyyy-MM-dd""),REGEXREPLACE(REGEXREPLACE(TO_TEXT(B480),""[^0-9a-zA-Z]+"",""-""),""[^0-9]*$"",""""))"),"2025-02-25")</f>
        <v>2025-02-25</v>
      </c>
      <c r="D480" s="2" t="s">
        <v>7714</v>
      </c>
      <c r="H480" s="10" t="s">
        <v>7714</v>
      </c>
      <c r="I480" s="2" t="s">
        <v>161</v>
      </c>
      <c r="J480" s="26" t="str">
        <f t="array" ref="J480">IF(ISNA(XLOOKUP(I480,customers_clean!$A$2:$A$701,customers_clean!$A$2:$A$701, NA()) ),
   "❌ MISSING CUSTOMER", "✅")</f>
        <v>✅</v>
      </c>
      <c r="K480" s="2" t="str">
        <f t="array" ref="K480">XLOOKUP(I480,customers_clean!$A$2:$A$701,customers_clean!$C$2:$C$701)</f>
        <v>Adam Williams</v>
      </c>
      <c r="L480" s="10" t="str">
        <f t="array" ref="L480">XLOOKUP(I480,customers_clean!$A$2:$A$701,customers_clean!$D$2:$D$701)</f>
        <v>Adam Williams</v>
      </c>
      <c r="M480" s="2" t="str">
        <f t="array" ref="M480">XLOOKUP(I480,customers_clean!$A$2:$A$701,customers_clean!$I$2:$I$701)</f>
        <v>adam.williams@shop.io </v>
      </c>
      <c r="N480" s="10" t="str">
        <f t="array" ref="N480">XLOOKUP(I480,customers_clean!$A$2:$A$701,customers_clean!$H$2:$H$701)</f>
        <v>adam.williams@shop.io</v>
      </c>
      <c r="O480" s="9" t="str">
        <f>IFERROR(__xludf.DUMMYFUNCTION("IF(REGEXMATCH(TRIM(N480),""^[A-Za-z0-9._%+-]+@[A-Za-z0-9.-]+\.[A-Za-z]{2,}$""),""✅ Valid"",""❌ Invalid"")"),"✅ Valid")</f>
        <v>✅ Valid</v>
      </c>
      <c r="P480" s="2" t="str">
        <f t="array" ref="P480">XLOOKUP(I480,customers_clean!$A$2:$A$701,customers_clean!$K$2:$K$701)</f>
        <v>+49095032867 ext 852</v>
      </c>
      <c r="Q480" s="10" t="str">
        <f t="array" ref="Q480">XLOOKUP(I480,customers_clean!$A$2:$A$701,customers_clean!$N$2:$N$701)</f>
        <v>095032867</v>
      </c>
      <c r="R480" s="9" t="str">
        <f t="array" ref="R480">XLOOKUP(I480,customers_clean!$A$2:$A$701,customers_clean!$Q$2:$Q$701)</f>
        <v>❌ INVALID</v>
      </c>
      <c r="S480" s="10" t="s">
        <v>448</v>
      </c>
      <c r="T480" s="2" t="s">
        <v>152</v>
      </c>
      <c r="U480" s="2" t="s">
        <v>90</v>
      </c>
      <c r="V480" s="2" t="s">
        <v>166</v>
      </c>
      <c r="W480" s="9" t="str">
        <f t="array" ref="W480">IF(ISNA(XLOOKUP(V480,products_master_corrected!$A$2:$A$151,products_master_corrected!$A$2:$A$151, NA())),
    "❌ MISSING SKU", "✅")</f>
        <v>✅</v>
      </c>
      <c r="X480" s="2" t="s">
        <v>259</v>
      </c>
      <c r="Y480" s="2" t="s">
        <v>167</v>
      </c>
      <c r="Z480" s="10" t="str">
        <f>PROPER(TRIM(Y480))</f>
        <v>Monitors</v>
      </c>
      <c r="AA480" s="27">
        <v>2.0</v>
      </c>
      <c r="AB480" s="9" t="s">
        <v>8649</v>
      </c>
      <c r="AC480" s="28">
        <f t="array" ref="AC480">XLOOKUP(V480,products_master_corrected!$A$2:$A$151,products_master_corrected!$E$2:$E$151)</f>
        <v>16.9</v>
      </c>
      <c r="AD480" s="28">
        <f t="shared" si="55"/>
        <v>33.8</v>
      </c>
      <c r="AE480" s="28">
        <f t="array" ref="AE480">XLOOKUP(V480,products_master_corrected!$A$2:$A$151,products_master_corrected!$M$2:$M$151)</f>
        <v>20.44</v>
      </c>
      <c r="AF480" s="29">
        <f t="shared" si="56"/>
        <v>40.88</v>
      </c>
      <c r="AG480" s="30" t="s">
        <v>48</v>
      </c>
      <c r="AH480" s="2" t="s">
        <v>49</v>
      </c>
      <c r="AI480" s="10" t="s">
        <v>49</v>
      </c>
      <c r="AJ480" s="2" t="s">
        <v>169</v>
      </c>
      <c r="AK480" s="10" t="s">
        <v>261</v>
      </c>
    </row>
    <row r="481" ht="15.75" customHeight="1">
      <c r="A481" s="2" t="s">
        <v>4000</v>
      </c>
      <c r="B481" s="12">
        <v>45576.0</v>
      </c>
      <c r="C481" s="2" t="str">
        <f>IFERROR(__xludf.DUMMYFUNCTION("IF(ISNUMBER(B481),TEXT(B481,""yyyy-MM-dd""),REGEXREPLACE(REGEXREPLACE(TO_TEXT(B481),""[^0-9a-zA-Z]+"",""-""),""[^0-9]*$"",""""))"),"2024-10-11")</f>
        <v>2024-10-11</v>
      </c>
      <c r="D481" s="2" t="s">
        <v>8855</v>
      </c>
      <c r="H481" s="10" t="s">
        <v>8855</v>
      </c>
      <c r="I481" s="2" t="s">
        <v>161</v>
      </c>
      <c r="J481" s="26" t="str">
        <f t="array" ref="J481">IF(ISNA(XLOOKUP(I481,customers_clean!$A$2:$A$701,customers_clean!$A$2:$A$701, NA()) ),
   "❌ MISSING CUSTOMER", "✅")</f>
        <v>✅</v>
      </c>
      <c r="K481" s="2" t="str">
        <f t="array" ref="K481">XLOOKUP(I481,customers_clean!$A$2:$A$701,customers_clean!$C$2:$C$701)</f>
        <v>Adam Williams</v>
      </c>
      <c r="L481" s="10" t="str">
        <f t="array" ref="L481">XLOOKUP(I481,customers_clean!$A$2:$A$701,customers_clean!$D$2:$D$701)</f>
        <v>Adam Williams</v>
      </c>
      <c r="M481" s="2" t="str">
        <f t="array" ref="M481">XLOOKUP(I481,customers_clean!$A$2:$A$701,customers_clean!$I$2:$I$701)</f>
        <v>adam.williams@shop.io </v>
      </c>
      <c r="N481" s="10" t="str">
        <f t="array" ref="N481">XLOOKUP(I481,customers_clean!$A$2:$A$701,customers_clean!$H$2:$H$701)</f>
        <v>adam.williams@shop.io</v>
      </c>
      <c r="O481" s="9" t="str">
        <f>IFERROR(__xludf.DUMMYFUNCTION("IF(REGEXMATCH(TRIM(N481),""^[A-Za-z0-9._%+-]+@[A-Za-z0-9.-]+\.[A-Za-z]{2,}$""),""✅ Valid"",""❌ Invalid"")"),"✅ Valid")</f>
        <v>✅ Valid</v>
      </c>
      <c r="P481" s="2" t="str">
        <f t="array" ref="P481">XLOOKUP(I481,customers_clean!$A$2:$A$701,customers_clean!$K$2:$K$701)</f>
        <v>+49095032867 ext 852</v>
      </c>
      <c r="Q481" s="10" t="str">
        <f t="array" ref="Q481">XLOOKUP(I481,customers_clean!$A$2:$A$701,customers_clean!$N$2:$N$701)</f>
        <v>095032867</v>
      </c>
      <c r="R481" s="9" t="str">
        <f t="array" ref="R481">XLOOKUP(I481,customers_clean!$A$2:$A$701,customers_clean!$Q$2:$Q$701)</f>
        <v>❌ INVALID</v>
      </c>
      <c r="S481" s="10" t="s">
        <v>448</v>
      </c>
      <c r="T481" s="2" t="s">
        <v>59</v>
      </c>
      <c r="U481" s="2" t="s">
        <v>401</v>
      </c>
      <c r="V481" s="2" t="s">
        <v>481</v>
      </c>
      <c r="W481" s="9" t="str">
        <f t="array" ref="W481">IF(ISNA(XLOOKUP(V481,products_master_corrected!$A$2:$A$151,products_master_corrected!$A$2:$A$151, NA())),
    "❌ MISSING SKU", "✅")</f>
        <v>✅</v>
      </c>
      <c r="X481" s="2" t="s">
        <v>291</v>
      </c>
      <c r="Y481" s="2" t="s">
        <v>482</v>
      </c>
      <c r="Z481" s="10" t="s">
        <v>63</v>
      </c>
      <c r="AA481" s="27">
        <v>2.0</v>
      </c>
      <c r="AB481" s="9" t="s">
        <v>8649</v>
      </c>
      <c r="AC481" s="28">
        <f t="array" ref="AC481">XLOOKUP(V481,products_master_corrected!$A$2:$A$151,products_master_corrected!$E$2:$E$151)</f>
        <v>190.18</v>
      </c>
      <c r="AD481" s="28">
        <f t="shared" si="55"/>
        <v>380.36</v>
      </c>
      <c r="AE481" s="28">
        <f t="array" ref="AE481">XLOOKUP(V481,products_master_corrected!$A$2:$A$151,products_master_corrected!$M$2:$M$151)</f>
        <v>230.04</v>
      </c>
      <c r="AF481" s="29">
        <f t="shared" si="56"/>
        <v>460.08</v>
      </c>
      <c r="AG481" s="30" t="s">
        <v>48</v>
      </c>
      <c r="AH481" s="2" t="s">
        <v>49</v>
      </c>
      <c r="AI481" s="10" t="s">
        <v>49</v>
      </c>
      <c r="AJ481" s="2" t="s">
        <v>4003</v>
      </c>
      <c r="AK481" s="10" t="s">
        <v>192</v>
      </c>
    </row>
    <row r="482" ht="15.75" customHeight="1">
      <c r="A482" s="2" t="s">
        <v>4607</v>
      </c>
      <c r="B482" s="12">
        <v>45417.39513888889</v>
      </c>
      <c r="C482" s="2" t="str">
        <f>IFERROR(__xludf.DUMMYFUNCTION("IF(ISNUMBER(B482),TEXT(B482,""yyyy-MM-dd""),REGEXREPLACE(REGEXREPLACE(TO_TEXT(B482),""[^0-9a-zA-Z]+"",""-""),""[^0-9]*$"",""""))"),"2024-05-05")</f>
        <v>2024-05-05</v>
      </c>
      <c r="D482" s="2" t="s">
        <v>8856</v>
      </c>
      <c r="H482" s="10" t="s">
        <v>8856</v>
      </c>
      <c r="I482" s="2" t="s">
        <v>230</v>
      </c>
      <c r="J482" s="26" t="str">
        <f t="array" ref="J482">IF(ISNA(XLOOKUP(I482,customers_clean!$A$2:$A$701,customers_clean!$A$2:$A$701, NA()) ),
   "❌ MISSING CUSTOMER", "✅")</f>
        <v>✅</v>
      </c>
      <c r="K482" s="2" t="str">
        <f t="array" ref="K482">XLOOKUP(I482,customers_clean!$A$2:$A$701,customers_clean!$C$2:$C$701)</f>
        <v> Omar Lee</v>
      </c>
      <c r="L482" s="10" t="str">
        <f t="array" ref="L482">XLOOKUP(I482,customers_clean!$A$2:$A$701,customers_clean!$D$2:$D$701)</f>
        <v>Omar Lee</v>
      </c>
      <c r="M482" s="2" t="str">
        <f t="array" ref="M482">XLOOKUP(I482,customers_clean!$A$2:$A$701,customers_clean!$I$2:$I$701)</f>
        <v>omar.lee@gmail.com</v>
      </c>
      <c r="N482" s="10" t="str">
        <f t="array" ref="N482">XLOOKUP(I482,customers_clean!$A$2:$A$701,customers_clean!$H$2:$H$701)</f>
        <v>omar.lee@gmail.com</v>
      </c>
      <c r="O482" s="9" t="str">
        <f>IFERROR(__xludf.DUMMYFUNCTION("IF(REGEXMATCH(TRIM(N482),""^[A-Za-z0-9._%+-]+@[A-Za-z0-9.-]+\.[A-Za-z]{2,}$""),""✅ Valid"",""❌ Invalid"")"),"✅ Valid")</f>
        <v>✅ Valid</v>
      </c>
      <c r="P482" s="2" t="str">
        <f t="array" ref="P482">XLOOKUP(I482,customers_clean!$A$2:$A$701,customers_clean!$K$2:$K$701)</f>
        <v>360-397-68</v>
      </c>
      <c r="Q482" s="10" t="str">
        <f t="array" ref="Q482">XLOOKUP(I482,customers_clean!$A$2:$A$701,customers_clean!$N$2:$N$701)</f>
        <v>36039768</v>
      </c>
      <c r="R482" s="9" t="str">
        <f t="array" ref="R482">XLOOKUP(I482,customers_clean!$A$2:$A$701,customers_clean!$Q$2:$Q$701)</f>
        <v>❌ INVALID</v>
      </c>
      <c r="S482" s="10" t="s">
        <v>88</v>
      </c>
      <c r="T482" s="2" t="s">
        <v>59</v>
      </c>
      <c r="U482" s="2" t="s">
        <v>75</v>
      </c>
      <c r="V482" s="2" t="s">
        <v>957</v>
      </c>
      <c r="W482" s="9" t="str">
        <f t="array" ref="W482">IF(ISNA(XLOOKUP(V482,products_master_corrected!$A$2:$A$151,products_master_corrected!$A$2:$A$151, NA())),
    "❌ MISSING SKU", "✅")</f>
        <v>✅</v>
      </c>
      <c r="X482" s="2" t="s">
        <v>403</v>
      </c>
      <c r="Y482" s="2" t="s">
        <v>167</v>
      </c>
      <c r="Z482" s="10" t="str">
        <f t="shared" ref="Z482:Z483" si="58">PROPER(TRIM(Y482))</f>
        <v>Monitors</v>
      </c>
      <c r="AA482" s="27">
        <v>5.0</v>
      </c>
      <c r="AB482" s="9" t="s">
        <v>8649</v>
      </c>
      <c r="AC482" s="28">
        <f t="array" ref="AC482">XLOOKUP(V482,products_master_corrected!$A$2:$A$151,products_master_corrected!$E$2:$E$151)</f>
        <v>55.87</v>
      </c>
      <c r="AD482" s="28">
        <f t="shared" si="55"/>
        <v>279.35</v>
      </c>
      <c r="AE482" s="28">
        <f t="array" ref="AE482">XLOOKUP(V482,products_master_corrected!$A$2:$A$151,products_master_corrected!$I$2:$I$151)</f>
        <v>61.59</v>
      </c>
      <c r="AF482" s="29">
        <f t="shared" si="56"/>
        <v>307.95</v>
      </c>
      <c r="AG482" s="32" t="s">
        <v>8660</v>
      </c>
      <c r="AH482" s="2" t="s">
        <v>49</v>
      </c>
      <c r="AI482" s="10" t="s">
        <v>49</v>
      </c>
      <c r="AJ482" s="2" t="s">
        <v>34</v>
      </c>
      <c r="AK482" s="10" t="s">
        <v>80</v>
      </c>
      <c r="AL482" s="2" t="s">
        <v>81</v>
      </c>
    </row>
    <row r="483" ht="15.75" customHeight="1">
      <c r="A483" s="2" t="s">
        <v>3284</v>
      </c>
      <c r="B483" s="12">
        <v>45867.77847222222</v>
      </c>
      <c r="C483" s="2" t="str">
        <f>IFERROR(__xludf.DUMMYFUNCTION("IF(ISNUMBER(B483),TEXT(B483,""yyyy-MM-dd""),REGEXREPLACE(REGEXREPLACE(TO_TEXT(B483),""[^0-9a-zA-Z]+"",""-""),""[^0-9]*$"",""""))"),"2025-07-29")</f>
        <v>2025-07-29</v>
      </c>
      <c r="D483" s="2" t="s">
        <v>8538</v>
      </c>
      <c r="H483" s="10" t="s">
        <v>8538</v>
      </c>
      <c r="I483" s="2" t="s">
        <v>230</v>
      </c>
      <c r="J483" s="26" t="str">
        <f t="array" ref="J483">IF(ISNA(XLOOKUP(I483,customers_clean!$A$2:$A$701,customers_clean!$A$2:$A$701, NA()) ),
   "❌ MISSING CUSTOMER", "✅")</f>
        <v>✅</v>
      </c>
      <c r="K483" s="2" t="str">
        <f t="array" ref="K483">XLOOKUP(I483,customers_clean!$A$2:$A$701,customers_clean!$C$2:$C$701)</f>
        <v> Omar Lee</v>
      </c>
      <c r="L483" s="10" t="str">
        <f t="array" ref="L483">XLOOKUP(I483,customers_clean!$A$2:$A$701,customers_clean!$D$2:$D$701)</f>
        <v>Omar Lee</v>
      </c>
      <c r="M483" s="2" t="str">
        <f t="array" ref="M483">XLOOKUP(I483,customers_clean!$A$2:$A$701,customers_clean!$I$2:$I$701)</f>
        <v>omar.lee@gmail.com</v>
      </c>
      <c r="N483" s="10" t="str">
        <f t="array" ref="N483">XLOOKUP(I483,customers_clean!$A$2:$A$701,customers_clean!$H$2:$H$701)</f>
        <v>omar.lee@gmail.com</v>
      </c>
      <c r="O483" s="9" t="str">
        <f>IFERROR(__xludf.DUMMYFUNCTION("IF(REGEXMATCH(TRIM(N483),""^[A-Za-z0-9._%+-]+@[A-Za-z0-9.-]+\.[A-Za-z]{2,}$""),""✅ Valid"",""❌ Invalid"")"),"✅ Valid")</f>
        <v>✅ Valid</v>
      </c>
      <c r="P483" s="2" t="str">
        <f t="array" ref="P483">XLOOKUP(I483,customers_clean!$A$2:$A$701,customers_clean!$K$2:$K$701)</f>
        <v>360-397-68</v>
      </c>
      <c r="Q483" s="10" t="str">
        <f t="array" ref="Q483">XLOOKUP(I483,customers_clean!$A$2:$A$701,customers_clean!$N$2:$N$701)</f>
        <v>36039768</v>
      </c>
      <c r="R483" s="9" t="str">
        <f t="array" ref="R483">XLOOKUP(I483,customers_clean!$A$2:$A$701,customers_clean!$Q$2:$Q$701)</f>
        <v>❌ INVALID</v>
      </c>
      <c r="S483" s="10" t="s">
        <v>88</v>
      </c>
      <c r="T483" s="2" t="s">
        <v>683</v>
      </c>
      <c r="U483" s="2" t="s">
        <v>401</v>
      </c>
      <c r="V483" s="2" t="s">
        <v>565</v>
      </c>
      <c r="W483" s="9" t="str">
        <f t="array" ref="W483">IF(ISNA(XLOOKUP(V483,products_master_corrected!$A$2:$A$151,products_master_corrected!$A$2:$A$151, NA())),
    "❌ MISSING SKU", "✅")</f>
        <v>✅</v>
      </c>
      <c r="X483" s="2" t="s">
        <v>566</v>
      </c>
      <c r="Y483" s="2" t="s">
        <v>167</v>
      </c>
      <c r="Z483" s="10" t="str">
        <f t="shared" si="58"/>
        <v>Monitors</v>
      </c>
      <c r="AA483" s="27">
        <v>3.0</v>
      </c>
      <c r="AB483" s="9" t="s">
        <v>8649</v>
      </c>
      <c r="AC483" s="28">
        <f t="array" ref="AC483">XLOOKUP(V483,products_master_corrected!$A$2:$A$151,products_master_corrected!$E$2:$E$151)</f>
        <v>43.38</v>
      </c>
      <c r="AD483" s="28">
        <f t="shared" si="55"/>
        <v>130.14</v>
      </c>
      <c r="AE483" s="28">
        <f t="array" ref="AE483">XLOOKUP(V483,products_master_corrected!$A$2:$A$151,products_master_corrected!$I$2:$I$151)</f>
        <v>47.82</v>
      </c>
      <c r="AF483" s="29">
        <f t="shared" si="56"/>
        <v>143.46</v>
      </c>
      <c r="AG483" s="32" t="s">
        <v>8660</v>
      </c>
      <c r="AH483" s="2" t="s">
        <v>96</v>
      </c>
      <c r="AI483" s="10" t="s">
        <v>143</v>
      </c>
      <c r="AJ483" s="2" t="s">
        <v>251</v>
      </c>
      <c r="AK483" s="10" t="s">
        <v>192</v>
      </c>
      <c r="AL483" s="2" t="s">
        <v>51</v>
      </c>
    </row>
    <row r="484" ht="15.75" customHeight="1">
      <c r="A484" s="2" t="s">
        <v>228</v>
      </c>
      <c r="B484" s="12" t="s">
        <v>229</v>
      </c>
      <c r="C484" s="2" t="str">
        <f>IFERROR(__xludf.DUMMYFUNCTION("IF(ISNUMBER(B484),TEXT(B484,""yyyy-MM-dd""),REGEXREPLACE(REGEXREPLACE(TO_TEXT(B484),""[^0-9a-zA-Z]+"",""-""),""[^0-9]*$"",""""))"),"25-12-2024-22-49")</f>
        <v>25-12-2024-22-49</v>
      </c>
      <c r="D484" s="2" t="str">
        <f>TEXT(C484,"yyyy-MM-dd")</f>
        <v>25-12-2024-22-49</v>
      </c>
      <c r="E484" s="12" t="str">
        <f>IFERROR(__xludf.DUMMYFUNCTION("REGEXEXTRACT(D484,""^\d{2}-\d{2}-\d{4}"")"),"25-12-2024")</f>
        <v>25-12-2024</v>
      </c>
      <c r="F484" s="2" t="s">
        <v>8712</v>
      </c>
      <c r="H484" s="10" t="s">
        <v>8712</v>
      </c>
      <c r="I484" s="2" t="s">
        <v>230</v>
      </c>
      <c r="J484" s="26" t="str">
        <f t="array" ref="J484">IF(ISNA(XLOOKUP(I484,customers_clean!$A$2:$A$701,customers_clean!$A$2:$A$701, NA()) ),
   "❌ MISSING CUSTOMER", "✅")</f>
        <v>✅</v>
      </c>
      <c r="K484" s="2" t="str">
        <f t="array" ref="K484">XLOOKUP(I484,customers_clean!$A$2:$A$701,customers_clean!$C$2:$C$701)</f>
        <v> Omar Lee</v>
      </c>
      <c r="L484" s="10" t="str">
        <f t="array" ref="L484">XLOOKUP(I484,customers_clean!$A$2:$A$701,customers_clean!$D$2:$D$701)</f>
        <v>Omar Lee</v>
      </c>
      <c r="M484" s="2" t="str">
        <f t="array" ref="M484">XLOOKUP(I484,customers_clean!$A$2:$A$701,customers_clean!$I$2:$I$701)</f>
        <v>omar.lee@gmail.com</v>
      </c>
      <c r="N484" s="10" t="str">
        <f t="array" ref="N484">XLOOKUP(I484,customers_clean!$A$2:$A$701,customers_clean!$H$2:$H$701)</f>
        <v>omar.lee@gmail.com</v>
      </c>
      <c r="O484" s="9" t="str">
        <f>IFERROR(__xludf.DUMMYFUNCTION("IF(REGEXMATCH(TRIM(N484),""^[A-Za-z0-9._%+-]+@[A-Za-z0-9.-]+\.[A-Za-z]{2,}$""),""✅ Valid"",""❌ Invalid"")"),"✅ Valid")</f>
        <v>✅ Valid</v>
      </c>
      <c r="P484" s="2" t="str">
        <f t="array" ref="P484">XLOOKUP(I484,customers_clean!$A$2:$A$701,customers_clean!$K$2:$K$701)</f>
        <v>360-397-68</v>
      </c>
      <c r="Q484" s="10" t="str">
        <f t="array" ref="Q484">XLOOKUP(I484,customers_clean!$A$2:$A$701,customers_clean!$N$2:$N$701)</f>
        <v>36039768</v>
      </c>
      <c r="R484" s="9" t="str">
        <f t="array" ref="R484">XLOOKUP(I484,customers_clean!$A$2:$A$701,customers_clean!$Q$2:$Q$701)</f>
        <v>❌ INVALID</v>
      </c>
      <c r="S484" s="10" t="s">
        <v>88</v>
      </c>
      <c r="T484" s="2" t="s">
        <v>234</v>
      </c>
      <c r="U484" s="2" t="s">
        <v>103</v>
      </c>
      <c r="V484" s="2" t="s">
        <v>235</v>
      </c>
      <c r="W484" s="9" t="str">
        <f t="array" ref="W484">IF(ISNA(XLOOKUP(V484,products_master_corrected!$A$2:$A$151,products_master_corrected!$A$2:$A$151, NA())),
    "❌ MISSING SKU", "✅")</f>
        <v>✅</v>
      </c>
      <c r="X484" s="2" t="s">
        <v>768</v>
      </c>
      <c r="Y484" s="2" t="s">
        <v>30</v>
      </c>
      <c r="Z484" s="10" t="s">
        <v>179</v>
      </c>
      <c r="AA484" s="27">
        <v>1.0</v>
      </c>
      <c r="AB484" s="9" t="s">
        <v>8649</v>
      </c>
      <c r="AC484" s="28">
        <f t="array" ref="AC484">XLOOKUP(V484,products_master_corrected!$A$2:$A$151,products_master_corrected!$E$2:$E$151)</f>
        <v>10.17</v>
      </c>
      <c r="AD484" s="28">
        <f t="shared" si="55"/>
        <v>10.17</v>
      </c>
      <c r="AE484" s="28">
        <f t="array" ref="AE484">XLOOKUP(V484,products_master_corrected!$A$2:$A$151,products_master_corrected!$I$2:$I$151)</f>
        <v>11.21</v>
      </c>
      <c r="AF484" s="29">
        <f t="shared" si="56"/>
        <v>11.21</v>
      </c>
      <c r="AG484" s="32" t="s">
        <v>8660</v>
      </c>
      <c r="AH484" s="2" t="s">
        <v>238</v>
      </c>
      <c r="AI484" s="10" t="s">
        <v>66</v>
      </c>
      <c r="AJ484" s="2" t="s">
        <v>239</v>
      </c>
      <c r="AK484" s="10" t="s">
        <v>192</v>
      </c>
    </row>
    <row r="485" ht="15.75" customHeight="1">
      <c r="A485" s="2" t="s">
        <v>4782</v>
      </c>
      <c r="B485" s="12">
        <v>45080.958333333336</v>
      </c>
      <c r="C485" s="2" t="str">
        <f>IFERROR(__xludf.DUMMYFUNCTION("IF(ISNUMBER(B485),TEXT(B485,""yyyy-MM-dd""),REGEXREPLACE(REGEXREPLACE(TO_TEXT(B485),""[^0-9a-zA-Z]+"",""-""),""[^0-9]*$"",""""))"),"2023-06-03")</f>
        <v>2023-06-03</v>
      </c>
      <c r="D485" s="2" t="s">
        <v>8190</v>
      </c>
      <c r="H485" s="10" t="s">
        <v>8190</v>
      </c>
      <c r="I485" s="2" t="s">
        <v>230</v>
      </c>
      <c r="J485" s="26" t="str">
        <f t="array" ref="J485">IF(ISNA(XLOOKUP(I485,customers_clean!$A$2:$A$701,customers_clean!$A$2:$A$701, NA()) ),
   "❌ MISSING CUSTOMER", "✅")</f>
        <v>✅</v>
      </c>
      <c r="K485" s="2" t="str">
        <f t="array" ref="K485">XLOOKUP(I485,customers_clean!$A$2:$A$701,customers_clean!$C$2:$C$701)</f>
        <v> Omar Lee</v>
      </c>
      <c r="L485" s="10" t="str">
        <f t="array" ref="L485">XLOOKUP(I485,customers_clean!$A$2:$A$701,customers_clean!$D$2:$D$701)</f>
        <v>Omar Lee</v>
      </c>
      <c r="M485" s="2" t="str">
        <f t="array" ref="M485">XLOOKUP(I485,customers_clean!$A$2:$A$701,customers_clean!$I$2:$I$701)</f>
        <v>omar.lee@gmail.com</v>
      </c>
      <c r="N485" s="10" t="str">
        <f t="array" ref="N485">XLOOKUP(I485,customers_clean!$A$2:$A$701,customers_clean!$H$2:$H$701)</f>
        <v>omar.lee@gmail.com</v>
      </c>
      <c r="O485" s="9" t="str">
        <f>IFERROR(__xludf.DUMMYFUNCTION("IF(REGEXMATCH(TRIM(N485),""^[A-Za-z0-9._%+-]+@[A-Za-z0-9.-]+\.[A-Za-z]{2,}$""),""✅ Valid"",""❌ Invalid"")"),"✅ Valid")</f>
        <v>✅ Valid</v>
      </c>
      <c r="P485" s="2" t="str">
        <f t="array" ref="P485">XLOOKUP(I485,customers_clean!$A$2:$A$701,customers_clean!$K$2:$K$701)</f>
        <v>360-397-68</v>
      </c>
      <c r="Q485" s="10" t="str">
        <f t="array" ref="Q485">XLOOKUP(I485,customers_clean!$A$2:$A$701,customers_clean!$N$2:$N$701)</f>
        <v>36039768</v>
      </c>
      <c r="R485" s="9" t="str">
        <f t="array" ref="R485">XLOOKUP(I485,customers_clean!$A$2:$A$701,customers_clean!$Q$2:$Q$701)</f>
        <v>❌ INVALID</v>
      </c>
      <c r="S485" s="10" t="s">
        <v>88</v>
      </c>
      <c r="T485" s="2" t="s">
        <v>223</v>
      </c>
      <c r="U485" s="2" t="s">
        <v>312</v>
      </c>
      <c r="V485" s="2" t="s">
        <v>4784</v>
      </c>
      <c r="W485" s="9" t="str">
        <f t="array" ref="W485">IF(ISNA(XLOOKUP(V485,products_master_corrected!$A$2:$A$151,products_master_corrected!$A$2:$A$151, NA())),
    "❌ MISSING SKU", "✅")</f>
        <v>✅</v>
      </c>
      <c r="X485" s="2" t="s">
        <v>2322</v>
      </c>
      <c r="Y485" s="2" t="s">
        <v>167</v>
      </c>
      <c r="Z485" s="10" t="str">
        <f t="shared" ref="Z485:Z486" si="59">PROPER(TRIM(Y485))</f>
        <v>Monitors</v>
      </c>
      <c r="AA485" s="27">
        <v>5.0</v>
      </c>
      <c r="AB485" s="9" t="s">
        <v>8649</v>
      </c>
      <c r="AC485" s="28">
        <f t="array" ref="AC485">XLOOKUP(V485,products_master_corrected!$A$2:$A$151,products_master_corrected!$E$2:$E$151)</f>
        <v>22.87</v>
      </c>
      <c r="AD485" s="28">
        <f t="shared" si="55"/>
        <v>114.35</v>
      </c>
      <c r="AE485" s="28">
        <f t="array" ref="AE485">XLOOKUP(V485,products_master_corrected!$A$2:$A$151,products_master_corrected!$I$2:$I$151)</f>
        <v>25.21</v>
      </c>
      <c r="AF485" s="29">
        <f t="shared" si="56"/>
        <v>126.05</v>
      </c>
      <c r="AG485" s="32" t="s">
        <v>8660</v>
      </c>
      <c r="AH485" s="2" t="s">
        <v>143</v>
      </c>
      <c r="AI485" s="10" t="s">
        <v>143</v>
      </c>
      <c r="AJ485" s="2" t="s">
        <v>818</v>
      </c>
      <c r="AK485" s="10" t="s">
        <v>818</v>
      </c>
    </row>
    <row r="486" ht="15.75" customHeight="1">
      <c r="A486" s="2" t="s">
        <v>3915</v>
      </c>
      <c r="B486" s="12" t="s">
        <v>3916</v>
      </c>
      <c r="C486" s="2" t="str">
        <f>IFERROR(__xludf.DUMMYFUNCTION("IF(ISNUMBER(B486),TEXT(B486,""yyyy-MM-dd""),REGEXREPLACE(REGEXREPLACE(TO_TEXT(B486),""[^0-9a-zA-Z]+"",""-""),""[^0-9]*$"",""""))"),"45750-07-49")</f>
        <v>45750-07-49</v>
      </c>
      <c r="D486" s="2" t="str">
        <f t="shared" ref="D486:D487" si="60">TEXT(C486,"yyyy-MM-dd")</f>
        <v>45750-07-49</v>
      </c>
      <c r="E486" s="25" t="str">
        <f>CONCATENATE(LEFT(D486,5))</f>
        <v>45750</v>
      </c>
      <c r="F486" s="12">
        <f>DATE(1900,1,1) + E486 - 1</f>
        <v>45751</v>
      </c>
      <c r="G486" s="2" t="s">
        <v>8250</v>
      </c>
      <c r="H486" s="10" t="s">
        <v>8250</v>
      </c>
      <c r="I486" s="2" t="s">
        <v>3917</v>
      </c>
      <c r="J486" s="26" t="str">
        <f t="array" ref="J486">IF(ISNA(XLOOKUP(I486,customers_clean!$A$2:$A$701,customers_clean!$A$2:$A$701, NA()) ),
   "❌ MISSING CUSTOMER", "✅")</f>
        <v>✅</v>
      </c>
      <c r="K486" s="2" t="str">
        <f t="array" ref="K486">XLOOKUP(I486,customers_clean!$A$2:$A$701,customers_clean!$C$2:$C$701)</f>
        <v>Rit aDubois</v>
      </c>
      <c r="L486" s="10" t="str">
        <f t="array" ref="L486">XLOOKUP(I486,customers_clean!$A$2:$A$701,customers_clean!$D$2:$D$701)</f>
        <v>Rita Dubois</v>
      </c>
      <c r="M486" s="2" t="str">
        <f t="array" ref="M486">XLOOKUP(I486,customers_clean!$A$2:$A$701,customers_clean!$I$2:$I$701)</f>
        <v> rita.dubois@yahoo.com</v>
      </c>
      <c r="N486" s="10" t="str">
        <f t="array" ref="N486">XLOOKUP(I486,customers_clean!$A$2:$A$701,customers_clean!$H$2:$H$701)</f>
        <v>rita.dubois@yahoo.com</v>
      </c>
      <c r="O486" s="9" t="str">
        <f>IFERROR(__xludf.DUMMYFUNCTION("IF(REGEXMATCH(TRIM(N486),""^[A-Za-z0-9._%+-]+@[A-Za-z0-9.-]+\.[A-Za-z]{2,}$""),""✅ Valid"",""❌ Invalid"")"),"✅ Valid")</f>
        <v>✅ Valid</v>
      </c>
      <c r="P486" s="33" t="str">
        <f t="array" ref="P486">XLOOKUP(I486,customers_clean!$A$2:$A$701,customers_clean!$K$2:$K$701)</f>
        <v>750-530-7823</v>
      </c>
      <c r="Q486" s="10" t="str">
        <f t="array" ref="Q486">XLOOKUP(I486,customers_clean!$A$2:$A$701,customers_clean!$N$2:$N$701)</f>
        <v>7505307823</v>
      </c>
      <c r="R486" s="9" t="str">
        <f t="array" ref="R486">XLOOKUP(I486,customers_clean!$A$2:$A$701,customers_clean!$Q$2:$Q$701)</f>
        <v>❌ INVALID</v>
      </c>
      <c r="S486" s="10" t="s">
        <v>608</v>
      </c>
      <c r="T486" s="2" t="s">
        <v>301</v>
      </c>
      <c r="U486" s="2" t="s">
        <v>289</v>
      </c>
      <c r="V486" s="2" t="s">
        <v>411</v>
      </c>
      <c r="W486" s="9" t="str">
        <f t="array" ref="W486">IF(ISNA(XLOOKUP(V486,products_master_corrected!$A$2:$A$151,products_master_corrected!$A$2:$A$151, NA())),
    "❌ MISSING SKU", "✅")</f>
        <v>✅</v>
      </c>
      <c r="X486" s="2" t="s">
        <v>412</v>
      </c>
      <c r="Y486" s="2" t="s">
        <v>167</v>
      </c>
      <c r="Z486" s="10" t="str">
        <f t="shared" si="59"/>
        <v>Monitors</v>
      </c>
      <c r="AA486" s="27">
        <v>1.0</v>
      </c>
      <c r="AB486" s="9" t="s">
        <v>8649</v>
      </c>
      <c r="AC486" s="28">
        <f t="array" ref="AC486">XLOOKUP(V486,products_master_corrected!$A$2:$A$151,products_master_corrected!$E$2:$E$151)</f>
        <v>363.33</v>
      </c>
      <c r="AD486" s="28">
        <f t="shared" si="55"/>
        <v>363.33</v>
      </c>
      <c r="AE486" s="28">
        <f t="array" ref="AE486">XLOOKUP(V486,products_master_corrected!$A$2:$A$151,products_master_corrected!$H$2:$H$151)</f>
        <v>408.2</v>
      </c>
      <c r="AF486" s="29">
        <f t="shared" si="56"/>
        <v>408.2</v>
      </c>
      <c r="AG486" s="32" t="s">
        <v>8658</v>
      </c>
      <c r="AH486" s="2" t="s">
        <v>204</v>
      </c>
      <c r="AI486" s="10" t="s">
        <v>143</v>
      </c>
      <c r="AJ486" s="2" t="s">
        <v>3921</v>
      </c>
      <c r="AK486" s="10" t="s">
        <v>261</v>
      </c>
      <c r="AL486" s="2" t="s">
        <v>81</v>
      </c>
    </row>
    <row r="487" ht="15.75" customHeight="1">
      <c r="A487" s="2" t="s">
        <v>4400</v>
      </c>
      <c r="B487" s="12" t="s">
        <v>4401</v>
      </c>
      <c r="C487" s="2" t="str">
        <f>IFERROR(__xludf.DUMMYFUNCTION("IF(ISNUMBER(B487),TEXT(B487,""yyyy-MM-dd""),REGEXREPLACE(REGEXREPLACE(TO_TEXT(B487),""[^0-9a-zA-Z]+"",""-""),""[^0-9]*$"",""""))"),"02-27-2024")</f>
        <v>02-27-2024</v>
      </c>
      <c r="D487" s="2" t="str">
        <f t="shared" si="60"/>
        <v>02-27-2024</v>
      </c>
      <c r="E487" s="2" t="s">
        <v>8429</v>
      </c>
      <c r="H487" s="10" t="s">
        <v>8429</v>
      </c>
      <c r="I487" s="2" t="s">
        <v>4393</v>
      </c>
      <c r="J487" s="26" t="str">
        <f t="array" ref="J487">IF(ISNA(XLOOKUP(I487,customers_clean!$A$2:$A$701,customers_clean!$A$2:$A$701, NA()) ),
   "❌ MISSING CUSTOMER", "✅")</f>
        <v>✅</v>
      </c>
      <c r="K487" s="2" t="str">
        <f t="array" ref="K487">XLOOKUP(I487,customers_clean!$A$2:$A$701,customers_clean!$C$2:$C$701)</f>
        <v>Zack Johnson</v>
      </c>
      <c r="L487" s="10" t="str">
        <f t="array" ref="L487">XLOOKUP(I487,customers_clean!$A$2:$A$701,customers_clean!$D$2:$D$701)</f>
        <v>Zack Johnson</v>
      </c>
      <c r="M487" s="2" t="str">
        <f t="array" ref="M487">XLOOKUP(I487,customers_clean!$A$2:$A$701,customers_clean!$I$2:$I$701)</f>
        <v>zack.johnson@example.com</v>
      </c>
      <c r="N487" s="10" t="str">
        <f t="array" ref="N487">XLOOKUP(I487,customers_clean!$A$2:$A$701,customers_clean!$H$2:$H$701)</f>
        <v>zack.johnson@example.com</v>
      </c>
      <c r="O487" s="9" t="str">
        <f>IFERROR(__xludf.DUMMYFUNCTION("IF(REGEXMATCH(TRIM(N487),""^[A-Za-z0-9._%+-]+@[A-Za-z0-9.-]+\.[A-Za-z]{2,}$""),""✅ Valid"",""❌ Invalid"")"),"✅ Valid")</f>
        <v>✅ Valid</v>
      </c>
      <c r="P487" s="2" t="str">
        <f t="array" ref="P487">XLOOKUP(I487,customers_clean!$A$2:$A$701,customers_clean!$K$2:$K$701)</f>
        <v>(804) 930926</v>
      </c>
      <c r="Q487" s="10" t="str">
        <f t="array" ref="Q487">XLOOKUP(I487,customers_clean!$A$2:$A$701,customers_clean!$N$2:$N$701)</f>
        <v>804930926</v>
      </c>
      <c r="R487" s="9" t="str">
        <f t="array" ref="R487">XLOOKUP(I487,customers_clean!$A$2:$A$701,customers_clean!$Q$2:$Q$701)</f>
        <v>❌ INVALID</v>
      </c>
      <c r="S487" s="10" t="s">
        <v>58</v>
      </c>
      <c r="T487" s="2" t="s">
        <v>223</v>
      </c>
      <c r="U487" s="2" t="s">
        <v>176</v>
      </c>
      <c r="V487" s="2" t="s">
        <v>366</v>
      </c>
      <c r="W487" s="9" t="str">
        <f t="array" ref="W487">IF(ISNA(XLOOKUP(V487,products_master_corrected!$A$2:$A$151,products_master_corrected!$A$2:$A$151, NA())),
    "❌ MISSING SKU", "✅")</f>
        <v>✅</v>
      </c>
      <c r="X487" s="2" t="s">
        <v>367</v>
      </c>
      <c r="Y487" s="2" t="s">
        <v>368</v>
      </c>
      <c r="Z487" s="10" t="s">
        <v>368</v>
      </c>
      <c r="AA487" s="27">
        <v>1.0</v>
      </c>
      <c r="AB487" s="9" t="s">
        <v>8649</v>
      </c>
      <c r="AC487" s="28">
        <f t="array" ref="AC487">XLOOKUP(V487,products_master_corrected!$A$2:$A$151,products_master_corrected!$E$2:$E$151)</f>
        <v>1117.67</v>
      </c>
      <c r="AD487" s="28">
        <f t="shared" si="55"/>
        <v>1117.67</v>
      </c>
      <c r="AE487" s="28">
        <f t="array" ref="AE487">XLOOKUP(V487,products_master_corrected!$A$2:$A$151,products_master_corrected!$G$2:$G$151)</f>
        <v>1279.51</v>
      </c>
      <c r="AF487" s="29">
        <f t="shared" si="56"/>
        <v>1279.51</v>
      </c>
      <c r="AG487" s="32" t="s">
        <v>8663</v>
      </c>
      <c r="AH487" s="2" t="s">
        <v>66</v>
      </c>
      <c r="AI487" s="10" t="s">
        <v>66</v>
      </c>
      <c r="AJ487" s="2" t="s">
        <v>818</v>
      </c>
      <c r="AK487" s="10" t="s">
        <v>818</v>
      </c>
    </row>
    <row r="488" ht="15.75" customHeight="1">
      <c r="A488" s="2" t="s">
        <v>4987</v>
      </c>
      <c r="B488" s="12">
        <v>45484.0</v>
      </c>
      <c r="C488" s="2" t="str">
        <f>IFERROR(__xludf.DUMMYFUNCTION("IF(ISNUMBER(B488),TEXT(B488,""yyyy-MM-dd""),REGEXREPLACE(REGEXREPLACE(TO_TEXT(B488),""[^0-9a-zA-Z]+"",""-""),""[^0-9]*$"",""""))"),"2024-07-11")</f>
        <v>2024-07-11</v>
      </c>
      <c r="D488" s="2" t="s">
        <v>8742</v>
      </c>
      <c r="H488" s="10" t="s">
        <v>8742</v>
      </c>
      <c r="I488" s="2" t="s">
        <v>4393</v>
      </c>
      <c r="J488" s="26" t="str">
        <f t="array" ref="J488">IF(ISNA(XLOOKUP(I488,customers_clean!$A$2:$A$701,customers_clean!$A$2:$A$701, NA()) ),
   "❌ MISSING CUSTOMER", "✅")</f>
        <v>✅</v>
      </c>
      <c r="K488" s="2" t="str">
        <f t="array" ref="K488">XLOOKUP(I488,customers_clean!$A$2:$A$701,customers_clean!$C$2:$C$701)</f>
        <v>Zack Johnson</v>
      </c>
      <c r="L488" s="10" t="str">
        <f t="array" ref="L488">XLOOKUP(I488,customers_clean!$A$2:$A$701,customers_clean!$D$2:$D$701)</f>
        <v>Zack Johnson</v>
      </c>
      <c r="M488" s="2" t="str">
        <f t="array" ref="M488">XLOOKUP(I488,customers_clean!$A$2:$A$701,customers_clean!$I$2:$I$701)</f>
        <v>zack.johnson@example.com</v>
      </c>
      <c r="N488" s="10" t="str">
        <f t="array" ref="N488">XLOOKUP(I488,customers_clean!$A$2:$A$701,customers_clean!$H$2:$H$701)</f>
        <v>zack.johnson@example.com</v>
      </c>
      <c r="O488" s="9" t="str">
        <f>IFERROR(__xludf.DUMMYFUNCTION("IF(REGEXMATCH(TRIM(N488),""^[A-Za-z0-9._%+-]+@[A-Za-z0-9.-]+\.[A-Za-z]{2,}$""),""✅ Valid"",""❌ Invalid"")"),"✅ Valid")</f>
        <v>✅ Valid</v>
      </c>
      <c r="P488" s="2" t="str">
        <f t="array" ref="P488">XLOOKUP(I488,customers_clean!$A$2:$A$701,customers_clean!$K$2:$K$701)</f>
        <v>(804) 930926</v>
      </c>
      <c r="Q488" s="10" t="str">
        <f t="array" ref="Q488">XLOOKUP(I488,customers_clean!$A$2:$A$701,customers_clean!$N$2:$N$701)</f>
        <v>804930926</v>
      </c>
      <c r="R488" s="9" t="str">
        <f t="array" ref="R488">XLOOKUP(I488,customers_clean!$A$2:$A$701,customers_clean!$Q$2:$Q$701)</f>
        <v>❌ INVALID</v>
      </c>
      <c r="S488" s="10" t="s">
        <v>58</v>
      </c>
      <c r="T488" s="2" t="s">
        <v>802</v>
      </c>
      <c r="U488" s="2" t="s">
        <v>480</v>
      </c>
      <c r="V488" s="2" t="s">
        <v>852</v>
      </c>
      <c r="W488" s="9" t="str">
        <f t="array" ref="W488">IF(ISNA(XLOOKUP(V488,products_master_corrected!$A$2:$A$151,products_master_corrected!$A$2:$A$151, NA())),
    "❌ MISSING SKU", "✅")</f>
        <v>✅</v>
      </c>
      <c r="X488" s="2" t="s">
        <v>213</v>
      </c>
      <c r="Y488" s="2" t="s">
        <v>167</v>
      </c>
      <c r="Z488" s="10" t="str">
        <f>PROPER(TRIM(Y488))</f>
        <v>Monitors</v>
      </c>
      <c r="AA488" s="27">
        <v>2.0</v>
      </c>
      <c r="AB488" s="9" t="s">
        <v>8649</v>
      </c>
      <c r="AC488" s="28">
        <f t="array" ref="AC488">XLOOKUP(V488,products_master_corrected!$A$2:$A$151,products_master_corrected!$E$2:$E$151)</f>
        <v>1114.6</v>
      </c>
      <c r="AD488" s="28">
        <f t="shared" si="55"/>
        <v>2229.2</v>
      </c>
      <c r="AE488" s="28">
        <f t="array" ref="AE488">XLOOKUP(V488,products_master_corrected!$A$2:$A$151,products_master_corrected!$G$2:$G$151)</f>
        <v>1275.99</v>
      </c>
      <c r="AF488" s="29">
        <f t="shared" si="56"/>
        <v>2551.98</v>
      </c>
      <c r="AG488" s="32" t="s">
        <v>8663</v>
      </c>
      <c r="AH488" s="2" t="s">
        <v>66</v>
      </c>
      <c r="AI488" s="10" t="s">
        <v>66</v>
      </c>
      <c r="AJ488" s="2" t="s">
        <v>169</v>
      </c>
      <c r="AK488" s="10" t="s">
        <v>261</v>
      </c>
    </row>
    <row r="489" ht="15.75" customHeight="1">
      <c r="A489" s="2" t="s">
        <v>5208</v>
      </c>
      <c r="B489" s="12">
        <v>45527.68958333333</v>
      </c>
      <c r="C489" s="2" t="str">
        <f>IFERROR(__xludf.DUMMYFUNCTION("IF(ISNUMBER(B489),TEXT(B489,""yyyy-MM-dd""),REGEXREPLACE(REGEXREPLACE(TO_TEXT(B489),""[^0-9a-zA-Z]+"",""-""),""[^0-9]*$"",""""))"),"2024-08-23")</f>
        <v>2024-08-23</v>
      </c>
      <c r="D489" s="2" t="s">
        <v>7892</v>
      </c>
      <c r="H489" s="10" t="s">
        <v>7892</v>
      </c>
      <c r="I489" s="2" t="s">
        <v>4393</v>
      </c>
      <c r="J489" s="26" t="str">
        <f t="array" ref="J489">IF(ISNA(XLOOKUP(I489,customers_clean!$A$2:$A$701,customers_clean!$A$2:$A$701, NA()) ),
   "❌ MISSING CUSTOMER", "✅")</f>
        <v>✅</v>
      </c>
      <c r="K489" s="2" t="str">
        <f t="array" ref="K489">XLOOKUP(I489,customers_clean!$A$2:$A$701,customers_clean!$C$2:$C$701)</f>
        <v>Zack Johnson</v>
      </c>
      <c r="L489" s="10" t="str">
        <f t="array" ref="L489">XLOOKUP(I489,customers_clean!$A$2:$A$701,customers_clean!$D$2:$D$701)</f>
        <v>Zack Johnson</v>
      </c>
      <c r="M489" s="2" t="str">
        <f t="array" ref="M489">XLOOKUP(I489,customers_clean!$A$2:$A$701,customers_clean!$I$2:$I$701)</f>
        <v>zack.johnson@example.com</v>
      </c>
      <c r="N489" s="10" t="str">
        <f t="array" ref="N489">XLOOKUP(I489,customers_clean!$A$2:$A$701,customers_clean!$H$2:$H$701)</f>
        <v>zack.johnson@example.com</v>
      </c>
      <c r="O489" s="9" t="str">
        <f>IFERROR(__xludf.DUMMYFUNCTION("IF(REGEXMATCH(TRIM(N489),""^[A-Za-z0-9._%+-]+@[A-Za-z0-9.-]+\.[A-Za-z]{2,}$""),""✅ Valid"",""❌ Invalid"")"),"✅ Valid")</f>
        <v>✅ Valid</v>
      </c>
      <c r="P489" s="2" t="str">
        <f t="array" ref="P489">XLOOKUP(I489,customers_clean!$A$2:$A$701,customers_clean!$K$2:$K$701)</f>
        <v>(804) 930926</v>
      </c>
      <c r="Q489" s="10" t="str">
        <f t="array" ref="Q489">XLOOKUP(I489,customers_clean!$A$2:$A$701,customers_clean!$N$2:$N$701)</f>
        <v>804930926</v>
      </c>
      <c r="R489" s="9" t="str">
        <f t="array" ref="R489">XLOOKUP(I489,customers_clean!$A$2:$A$701,customers_clean!$Q$2:$Q$701)</f>
        <v>❌ INVALID</v>
      </c>
      <c r="S489" s="10" t="s">
        <v>58</v>
      </c>
      <c r="T489" s="2" t="s">
        <v>5210</v>
      </c>
      <c r="U489" s="2" t="s">
        <v>480</v>
      </c>
      <c r="V489" s="2" t="s">
        <v>334</v>
      </c>
      <c r="W489" s="9" t="str">
        <f t="array" ref="W489">IF(ISNA(XLOOKUP(V489,products_master_corrected!$A$2:$A$151,products_master_corrected!$A$2:$A$151, NA())),
    "❌ MISSING SKU", "✅")</f>
        <v>✅</v>
      </c>
      <c r="X489" s="2" t="s">
        <v>29</v>
      </c>
      <c r="Y489" s="2" t="s">
        <v>248</v>
      </c>
      <c r="Z489" s="10" t="s">
        <v>248</v>
      </c>
      <c r="AA489" s="27">
        <v>1.0</v>
      </c>
      <c r="AB489" s="9" t="s">
        <v>8649</v>
      </c>
      <c r="AC489" s="28">
        <f t="array" ref="AC489">XLOOKUP(V489,products_master_corrected!$A$2:$A$151,products_master_corrected!$E$2:$E$151)</f>
        <v>75.62</v>
      </c>
      <c r="AD489" s="28">
        <f t="shared" si="55"/>
        <v>75.62</v>
      </c>
      <c r="AE489" s="28">
        <f t="array" ref="AE489">XLOOKUP(V489,products_master_corrected!$A$2:$A$151,products_master_corrected!$G$2:$G$151)</f>
        <v>86.57</v>
      </c>
      <c r="AF489" s="29">
        <f t="shared" si="56"/>
        <v>86.57</v>
      </c>
      <c r="AG489" s="32" t="s">
        <v>8663</v>
      </c>
      <c r="AH489" s="2" t="s">
        <v>305</v>
      </c>
      <c r="AI489" s="10" t="s">
        <v>49</v>
      </c>
      <c r="AJ489" s="2" t="s">
        <v>50</v>
      </c>
      <c r="AK489" s="10" t="s">
        <v>261</v>
      </c>
      <c r="AL489" s="2" t="s">
        <v>133</v>
      </c>
    </row>
    <row r="490" ht="15.75" customHeight="1">
      <c r="A490" s="2" t="s">
        <v>4391</v>
      </c>
      <c r="B490" s="12">
        <v>45005.0</v>
      </c>
      <c r="C490" s="2" t="str">
        <f>IFERROR(__xludf.DUMMYFUNCTION("IF(ISNUMBER(B490),TEXT(B490,""yyyy-MM-dd""),REGEXREPLACE(REGEXREPLACE(TO_TEXT(B490),""[^0-9a-zA-Z]+"",""-""),""[^0-9]*$"",""""))"),"2023-03-20")</f>
        <v>2023-03-20</v>
      </c>
      <c r="D490" s="2" t="s">
        <v>4392</v>
      </c>
      <c r="H490" s="10" t="s">
        <v>4392</v>
      </c>
      <c r="I490" s="2" t="s">
        <v>4393</v>
      </c>
      <c r="J490" s="26" t="str">
        <f t="array" ref="J490">IF(ISNA(XLOOKUP(I490,customers_clean!$A$2:$A$701,customers_clean!$A$2:$A$701, NA()) ),
   "❌ MISSING CUSTOMER", "✅")</f>
        <v>✅</v>
      </c>
      <c r="K490" s="2" t="str">
        <f t="array" ref="K490">XLOOKUP(I490,customers_clean!$A$2:$A$701,customers_clean!$C$2:$C$701)</f>
        <v>Zack Johnson</v>
      </c>
      <c r="L490" s="10" t="str">
        <f t="array" ref="L490">XLOOKUP(I490,customers_clean!$A$2:$A$701,customers_clean!$D$2:$D$701)</f>
        <v>Zack Johnson</v>
      </c>
      <c r="M490" s="2" t="str">
        <f t="array" ref="M490">XLOOKUP(I490,customers_clean!$A$2:$A$701,customers_clean!$I$2:$I$701)</f>
        <v>zack.johnson@example.com</v>
      </c>
      <c r="N490" s="10" t="str">
        <f t="array" ref="N490">XLOOKUP(I490,customers_clean!$A$2:$A$701,customers_clean!$H$2:$H$701)</f>
        <v>zack.johnson@example.com</v>
      </c>
      <c r="O490" s="9" t="str">
        <f>IFERROR(__xludf.DUMMYFUNCTION("IF(REGEXMATCH(TRIM(N490),""^[A-Za-z0-9._%+-]+@[A-Za-z0-9.-]+\.[A-Za-z]{2,}$""),""✅ Valid"",""❌ Invalid"")"),"✅ Valid")</f>
        <v>✅ Valid</v>
      </c>
      <c r="P490" s="2" t="str">
        <f t="array" ref="P490">XLOOKUP(I490,customers_clean!$A$2:$A$701,customers_clean!$K$2:$K$701)</f>
        <v>(804) 930926</v>
      </c>
      <c r="Q490" s="10" t="str">
        <f t="array" ref="Q490">XLOOKUP(I490,customers_clean!$A$2:$A$701,customers_clean!$N$2:$N$701)</f>
        <v>804930926</v>
      </c>
      <c r="R490" s="9" t="str">
        <f t="array" ref="R490">XLOOKUP(I490,customers_clean!$A$2:$A$701,customers_clean!$Q$2:$Q$701)</f>
        <v>❌ INVALID</v>
      </c>
      <c r="S490" s="10" t="s">
        <v>58</v>
      </c>
      <c r="T490" s="2" t="s">
        <v>74</v>
      </c>
      <c r="U490" s="2" t="s">
        <v>480</v>
      </c>
      <c r="V490" s="2" t="s">
        <v>3101</v>
      </c>
      <c r="W490" s="9" t="str">
        <f t="array" ref="W490">IF(ISNA(XLOOKUP(V490,products_master_corrected!$A$2:$A$151,products_master_corrected!$A$2:$A$151, NA())),
    "❌ MISSING SKU", "✅")</f>
        <v>✅</v>
      </c>
      <c r="X490" s="2" t="s">
        <v>804</v>
      </c>
      <c r="Y490" s="2" t="s">
        <v>248</v>
      </c>
      <c r="Z490" s="10" t="s">
        <v>248</v>
      </c>
      <c r="AA490" s="27">
        <v>1.0</v>
      </c>
      <c r="AB490" s="9" t="s">
        <v>8649</v>
      </c>
      <c r="AC490" s="28">
        <f t="array" ref="AC490">XLOOKUP(V490,products_master_corrected!$A$2:$A$151,products_master_corrected!$E$2:$E$151)</f>
        <v>23.37</v>
      </c>
      <c r="AD490" s="28">
        <f t="shared" si="55"/>
        <v>23.37</v>
      </c>
      <c r="AE490" s="28">
        <f t="array" ref="AE490">XLOOKUP(V490,products_master_corrected!$A$2:$A$151,products_master_corrected!$G$2:$G$151)</f>
        <v>26.75</v>
      </c>
      <c r="AF490" s="29">
        <f t="shared" si="56"/>
        <v>26.75</v>
      </c>
      <c r="AG490" s="32" t="s">
        <v>8663</v>
      </c>
      <c r="AH490" s="2" t="s">
        <v>664</v>
      </c>
      <c r="AI490" s="10" t="s">
        <v>66</v>
      </c>
      <c r="AJ490" s="2" t="s">
        <v>442</v>
      </c>
      <c r="AK490" s="10" t="s">
        <v>80</v>
      </c>
    </row>
    <row r="491" ht="15.75" customHeight="1">
      <c r="A491" s="2" t="s">
        <v>1736</v>
      </c>
      <c r="B491" s="12">
        <v>45511.29513888889</v>
      </c>
      <c r="C491" s="2" t="str">
        <f>IFERROR(__xludf.DUMMYFUNCTION("IF(ISNUMBER(B491),TEXT(B491,""yyyy-MM-dd""),REGEXREPLACE(REGEXREPLACE(TO_TEXT(B491),""[^0-9a-zA-Z]+"",""-""),""[^0-9]*$"",""""))"),"2024-08-07")</f>
        <v>2024-08-07</v>
      </c>
      <c r="D491" s="2" t="s">
        <v>8857</v>
      </c>
      <c r="H491" s="10" t="s">
        <v>8857</v>
      </c>
      <c r="I491" s="2" t="s">
        <v>1738</v>
      </c>
      <c r="J491" s="26" t="str">
        <f t="array" ref="J491">IF(ISNA(XLOOKUP(I491,customers_clean!$A$2:$A$701,customers_clean!$A$2:$A$701, NA()) ),
   "❌ MISSING CUSTOMER", "✅")</f>
        <v>✅</v>
      </c>
      <c r="K491" s="2" t="str">
        <f t="array" ref="K491">XLOOKUP(I491,customers_clean!$A$2:$A$701,customers_clean!$C$2:$C$701)</f>
        <v>Zcak Davis</v>
      </c>
      <c r="L491" s="10" t="str">
        <f t="array" ref="L491">XLOOKUP(I491,customers_clean!$A$2:$A$701,customers_clean!$D$2:$D$701)</f>
        <v>Zack Davis</v>
      </c>
      <c r="M491" s="2" t="str">
        <f t="array" ref="M491">XLOOKUP(I491,customers_clean!$A$2:$A$701,customers_clean!$I$2:$I$701)</f>
        <v>zack.davis@gmail.com</v>
      </c>
      <c r="N491" s="10" t="str">
        <f t="array" ref="N491">XLOOKUP(I491,customers_clean!$A$2:$A$701,customers_clean!$H$2:$H$701)</f>
        <v>zack.davis@gmail.com</v>
      </c>
      <c r="O491" s="9" t="str">
        <f>IFERROR(__xludf.DUMMYFUNCTION("IF(REGEXMATCH(TRIM(N491),""^[A-Za-z0-9._%+-]+@[A-Za-z0-9.-]+\.[A-Za-z]{2,}$""),""✅ Valid"",""❌ Invalid"")"),"✅ Valid")</f>
        <v>✅ Valid</v>
      </c>
      <c r="P491" s="2" t="str">
        <f t="array" ref="P491">XLOOKUP(I491,customers_clean!$A$2:$A$701,customers_clean!$K$2:$K$701)</f>
        <v>+3530339537633 ext 537</v>
      </c>
      <c r="Q491" s="10" t="str">
        <f t="array" ref="Q491">XLOOKUP(I491,customers_clean!$A$2:$A$701,customers_clean!$N$2:$N$701)</f>
        <v>0339537633</v>
      </c>
      <c r="R491" s="9" t="str">
        <f t="array" ref="R491">XLOOKUP(I491,customers_clean!$A$2:$A$701,customers_clean!$Q$2:$Q$701)</f>
        <v>❌ INVALID</v>
      </c>
      <c r="S491" s="10" t="s">
        <v>608</v>
      </c>
      <c r="T491" s="2" t="s">
        <v>42</v>
      </c>
      <c r="U491" s="2" t="s">
        <v>103</v>
      </c>
      <c r="V491" s="2" t="s">
        <v>290</v>
      </c>
      <c r="W491" s="9" t="str">
        <f t="array" ref="W491">IF(ISNA(XLOOKUP(V491,products_master_corrected!$A$2:$A$151,products_master_corrected!$A$2:$A$151, NA())),
    "❌ MISSING SKU", "✅")</f>
        <v>✅</v>
      </c>
      <c r="X491" s="2" t="s">
        <v>291</v>
      </c>
      <c r="Y491" s="2" t="s">
        <v>292</v>
      </c>
      <c r="Z491" s="10" t="s">
        <v>63</v>
      </c>
      <c r="AA491" s="27">
        <v>1.0</v>
      </c>
      <c r="AB491" s="9" t="s">
        <v>8649</v>
      </c>
      <c r="AC491" s="28">
        <f t="array" ref="AC491">XLOOKUP(V491,products_master_corrected!$A$2:$A$151,products_master_corrected!$E$2:$E$151)</f>
        <v>118.56</v>
      </c>
      <c r="AD491" s="28">
        <f t="shared" si="55"/>
        <v>118.56</v>
      </c>
      <c r="AE491" s="28">
        <f t="array" ref="AE491">XLOOKUP(V491,products_master_corrected!$A$2:$A$151,products_master_corrected!$H$2:$H$151)</f>
        <v>133.2</v>
      </c>
      <c r="AF491" s="29">
        <f t="shared" si="56"/>
        <v>133.2</v>
      </c>
      <c r="AG491" s="32" t="s">
        <v>8658</v>
      </c>
      <c r="AH491" s="2" t="s">
        <v>204</v>
      </c>
      <c r="AI491" s="10" t="s">
        <v>143</v>
      </c>
      <c r="AJ491" s="2" t="s">
        <v>50</v>
      </c>
      <c r="AK491" s="10" t="s">
        <v>261</v>
      </c>
    </row>
    <row r="492" ht="15.75" customHeight="1">
      <c r="A492" s="2" t="s">
        <v>1833</v>
      </c>
      <c r="B492" s="12">
        <v>45691.0</v>
      </c>
      <c r="C492" s="2" t="str">
        <f>IFERROR(__xludf.DUMMYFUNCTION("IF(ISNUMBER(B492),TEXT(B492,""yyyy-MM-dd""),REGEXREPLACE(REGEXREPLACE(TO_TEXT(B492),""[^0-9a-zA-Z]+"",""-""),""[^0-9]*$"",""""))"),"2025-02-03")</f>
        <v>2025-02-03</v>
      </c>
      <c r="D492" s="2" t="s">
        <v>8858</v>
      </c>
      <c r="H492" s="10" t="s">
        <v>8858</v>
      </c>
      <c r="I492" s="2" t="s">
        <v>1738</v>
      </c>
      <c r="J492" s="26" t="str">
        <f t="array" ref="J492">IF(ISNA(XLOOKUP(I492,customers_clean!$A$2:$A$701,customers_clean!$A$2:$A$701, NA()) ),
   "❌ MISSING CUSTOMER", "✅")</f>
        <v>✅</v>
      </c>
      <c r="K492" s="2" t="str">
        <f t="array" ref="K492">XLOOKUP(I492,customers_clean!$A$2:$A$701,customers_clean!$C$2:$C$701)</f>
        <v>Zcak Davis</v>
      </c>
      <c r="L492" s="10" t="str">
        <f t="array" ref="L492">XLOOKUP(I492,customers_clean!$A$2:$A$701,customers_clean!$D$2:$D$701)</f>
        <v>Zack Davis</v>
      </c>
      <c r="M492" s="2" t="str">
        <f t="array" ref="M492">XLOOKUP(I492,customers_clean!$A$2:$A$701,customers_clean!$I$2:$I$701)</f>
        <v>zack.davis@gmail.com</v>
      </c>
      <c r="N492" s="10" t="str">
        <f t="array" ref="N492">XLOOKUP(I492,customers_clean!$A$2:$A$701,customers_clean!$H$2:$H$701)</f>
        <v>zack.davis@gmail.com</v>
      </c>
      <c r="O492" s="9" t="str">
        <f>IFERROR(__xludf.DUMMYFUNCTION("IF(REGEXMATCH(TRIM(N492),""^[A-Za-z0-9._%+-]+@[A-Za-z0-9.-]+\.[A-Za-z]{2,}$""),""✅ Valid"",""❌ Invalid"")"),"✅ Valid")</f>
        <v>✅ Valid</v>
      </c>
      <c r="P492" s="2" t="str">
        <f t="array" ref="P492">XLOOKUP(I492,customers_clean!$A$2:$A$701,customers_clean!$K$2:$K$701)</f>
        <v>+3530339537633 ext 537</v>
      </c>
      <c r="Q492" s="10" t="str">
        <f t="array" ref="Q492">XLOOKUP(I492,customers_clean!$A$2:$A$701,customers_clean!$N$2:$N$701)</f>
        <v>0339537633</v>
      </c>
      <c r="R492" s="9" t="str">
        <f t="array" ref="R492">XLOOKUP(I492,customers_clean!$A$2:$A$701,customers_clean!$Q$2:$Q$701)</f>
        <v>❌ INVALID</v>
      </c>
      <c r="S492" s="10" t="s">
        <v>608</v>
      </c>
      <c r="T492" s="2" t="s">
        <v>778</v>
      </c>
      <c r="U492" s="2" t="s">
        <v>480</v>
      </c>
      <c r="V492" s="2" t="s">
        <v>711</v>
      </c>
      <c r="W492" s="9" t="str">
        <f t="array" ref="W492">IF(ISNA(XLOOKUP(V492,products_master_corrected!$A$2:$A$151,products_master_corrected!$A$2:$A$151, NA())),
    "❌ MISSING SKU", "✅")</f>
        <v>✅</v>
      </c>
      <c r="X492" s="2" t="s">
        <v>403</v>
      </c>
      <c r="Y492" s="2" t="s">
        <v>637</v>
      </c>
      <c r="Z492" s="10" t="s">
        <v>514</v>
      </c>
      <c r="AA492" s="27">
        <v>3.0</v>
      </c>
      <c r="AB492" s="9" t="s">
        <v>8649</v>
      </c>
      <c r="AC492" s="28">
        <f t="array" ref="AC492">XLOOKUP(V492,products_master_corrected!$A$2:$A$151,products_master_corrected!$E$2:$E$151)</f>
        <v>43.64</v>
      </c>
      <c r="AD492" s="28">
        <f t="shared" si="55"/>
        <v>130.92</v>
      </c>
      <c r="AE492" s="28">
        <f t="array" ref="AE492">XLOOKUP(V492,products_master_corrected!$A$2:$A$151,products_master_corrected!$H$2:$H$151)</f>
        <v>49.03</v>
      </c>
      <c r="AF492" s="29">
        <f t="shared" si="56"/>
        <v>147.09</v>
      </c>
      <c r="AG492" s="32" t="s">
        <v>8658</v>
      </c>
      <c r="AH492" s="2" t="s">
        <v>49</v>
      </c>
      <c r="AI492" s="10" t="s">
        <v>49</v>
      </c>
      <c r="AJ492" s="2" t="s">
        <v>144</v>
      </c>
      <c r="AK492" s="10" t="s">
        <v>818</v>
      </c>
    </row>
    <row r="493" ht="15.75" customHeight="1">
      <c r="A493" s="2" t="s">
        <v>4011</v>
      </c>
      <c r="B493" s="12">
        <v>45690.0</v>
      </c>
      <c r="C493" s="2" t="str">
        <f>IFERROR(__xludf.DUMMYFUNCTION("IF(ISNUMBER(B493),TEXT(B493,""yyyy-MM-dd""),REGEXREPLACE(REGEXREPLACE(TO_TEXT(B493),""[^0-9a-zA-Z]+"",""-""),""[^0-9]*$"",""""))"),"2025-02-02")</f>
        <v>2025-02-02</v>
      </c>
      <c r="D493" s="2" t="s">
        <v>4012</v>
      </c>
      <c r="H493" s="10" t="s">
        <v>4012</v>
      </c>
      <c r="I493" s="2" t="s">
        <v>1738</v>
      </c>
      <c r="J493" s="26" t="str">
        <f t="array" ref="J493">IF(ISNA(XLOOKUP(I493,customers_clean!$A$2:$A$701,customers_clean!$A$2:$A$701, NA()) ),
   "❌ MISSING CUSTOMER", "✅")</f>
        <v>✅</v>
      </c>
      <c r="K493" s="2" t="str">
        <f t="array" ref="K493">XLOOKUP(I493,customers_clean!$A$2:$A$701,customers_clean!$C$2:$C$701)</f>
        <v>Zcak Davis</v>
      </c>
      <c r="L493" s="10" t="str">
        <f t="array" ref="L493">XLOOKUP(I493,customers_clean!$A$2:$A$701,customers_clean!$D$2:$D$701)</f>
        <v>Zack Davis</v>
      </c>
      <c r="M493" s="2" t="str">
        <f t="array" ref="M493">XLOOKUP(I493,customers_clean!$A$2:$A$701,customers_clean!$I$2:$I$701)</f>
        <v>zack.davis@gmail.com</v>
      </c>
      <c r="N493" s="10" t="str">
        <f t="array" ref="N493">XLOOKUP(I493,customers_clean!$A$2:$A$701,customers_clean!$H$2:$H$701)</f>
        <v>zack.davis@gmail.com</v>
      </c>
      <c r="O493" s="9" t="str">
        <f>IFERROR(__xludf.DUMMYFUNCTION("IF(REGEXMATCH(TRIM(N493),""^[A-Za-z0-9._%+-]+@[A-Za-z0-9.-]+\.[A-Za-z]{2,}$""),""✅ Valid"",""❌ Invalid"")"),"✅ Valid")</f>
        <v>✅ Valid</v>
      </c>
      <c r="P493" s="2" t="str">
        <f t="array" ref="P493">XLOOKUP(I493,customers_clean!$A$2:$A$701,customers_clean!$K$2:$K$701)</f>
        <v>+3530339537633 ext 537</v>
      </c>
      <c r="Q493" s="10" t="str">
        <f t="array" ref="Q493">XLOOKUP(I493,customers_clean!$A$2:$A$701,customers_clean!$N$2:$N$701)</f>
        <v>0339537633</v>
      </c>
      <c r="R493" s="9" t="str">
        <f t="array" ref="R493">XLOOKUP(I493,customers_clean!$A$2:$A$701,customers_clean!$Q$2:$Q$701)</f>
        <v>❌ INVALID</v>
      </c>
      <c r="S493" s="10" t="s">
        <v>608</v>
      </c>
      <c r="T493" s="2" t="s">
        <v>3607</v>
      </c>
      <c r="U493" s="2" t="s">
        <v>43</v>
      </c>
      <c r="V493" s="2" t="s">
        <v>2321</v>
      </c>
      <c r="W493" s="9" t="str">
        <f t="array" ref="W493">IF(ISNA(XLOOKUP(V493,products_master_corrected!$A$2:$A$151,products_master_corrected!$A$2:$A$151, NA())),
    "❌ MISSING SKU", "✅")</f>
        <v>✅</v>
      </c>
      <c r="X493" s="2" t="s">
        <v>2322</v>
      </c>
      <c r="Y493" s="2" t="s">
        <v>368</v>
      </c>
      <c r="Z493" s="10" t="s">
        <v>368</v>
      </c>
      <c r="AA493" s="27">
        <v>2.0</v>
      </c>
      <c r="AB493" s="9" t="s">
        <v>8649</v>
      </c>
      <c r="AC493" s="28">
        <f t="array" ref="AC493">XLOOKUP(V493,products_master_corrected!$A$2:$A$151,products_master_corrected!$E$2:$E$151)</f>
        <v>23.95</v>
      </c>
      <c r="AD493" s="28">
        <f t="shared" si="55"/>
        <v>47.9</v>
      </c>
      <c r="AE493" s="28">
        <f t="array" ref="AE493">XLOOKUP(V493,products_master_corrected!$A$2:$A$151,products_master_corrected!$H$2:$H$151)</f>
        <v>26.91</v>
      </c>
      <c r="AF493" s="29">
        <f t="shared" si="56"/>
        <v>53.82</v>
      </c>
      <c r="AG493" s="32" t="s">
        <v>8658</v>
      </c>
      <c r="AH493" s="2" t="s">
        <v>49</v>
      </c>
      <c r="AI493" s="10" t="s">
        <v>49</v>
      </c>
      <c r="AJ493" s="2" t="s">
        <v>393</v>
      </c>
      <c r="AK493" s="10" t="s">
        <v>80</v>
      </c>
    </row>
    <row r="494" ht="15.75" customHeight="1">
      <c r="A494" s="2" t="s">
        <v>5744</v>
      </c>
      <c r="B494" s="12" t="s">
        <v>466</v>
      </c>
      <c r="C494" s="2" t="str">
        <f>IFERROR(__xludf.DUMMYFUNCTION("IF(ISNUMBER(B494),TEXT(B494,""yyyy-MM-dd""),REGEXREPLACE(REGEXREPLACE(TO_TEXT(B494),""[^0-9a-zA-Z]+"",""-""),""[^0-9]*$"",""""))"),"19-11-2023")</f>
        <v>19-11-2023</v>
      </c>
      <c r="D494" s="2" t="s">
        <v>8859</v>
      </c>
      <c r="H494" s="10" t="s">
        <v>8859</v>
      </c>
      <c r="I494" s="2" t="s">
        <v>5745</v>
      </c>
      <c r="J494" s="26" t="str">
        <f t="array" ref="J494">IF(ISNA(XLOOKUP(I494,customers_clean!$A$2:$A$701,customers_clean!$A$2:$A$701, NA()) ),
   "❌ MISSING CUSTOMER", "✅")</f>
        <v>✅</v>
      </c>
      <c r="K494" s="2" t="str">
        <f t="array" ref="K494">XLOOKUP(I494,customers_clean!$A$2:$A$701,customers_clean!$C$2:$C$701)</f>
        <v>Uma King</v>
      </c>
      <c r="L494" s="10" t="str">
        <f t="array" ref="L494">XLOOKUP(I494,customers_clean!$A$2:$A$701,customers_clean!$D$2:$D$701)</f>
        <v>Uma King</v>
      </c>
      <c r="M494" s="2" t="str">
        <f t="array" ref="M494">XLOOKUP(I494,customers_clean!$A$2:$A$701,customers_clean!$I$2:$I$701)</f>
        <v>uma.king@gmail.com </v>
      </c>
      <c r="N494" s="10" t="str">
        <f t="array" ref="N494">XLOOKUP(I494,customers_clean!$A$2:$A$701,customers_clean!$H$2:$H$701)</f>
        <v>uma.king@gmail.com</v>
      </c>
      <c r="O494" s="9" t="str">
        <f>IFERROR(__xludf.DUMMYFUNCTION("IF(REGEXMATCH(TRIM(N494),""^[A-Za-z0-9._%+-]+@[A-Za-z0-9.-]+\.[A-Za-z]{2,}$""),""✅ Valid"",""❌ Invalid"")"),"✅ Valid")</f>
        <v>✅ Valid</v>
      </c>
      <c r="P494" s="2">
        <f t="array" ref="P494">XLOOKUP(I494,customers_clean!$A$2:$A$701,customers_clean!$K$2:$K$701)</f>
        <v>70265494</v>
      </c>
      <c r="Q494" s="10" t="str">
        <f t="array" ref="Q494">XLOOKUP(I494,customers_clean!$A$2:$A$701,customers_clean!$N$2:$N$701)</f>
        <v>70265494</v>
      </c>
      <c r="R494" s="9" t="str">
        <f t="array" ref="R494">XLOOKUP(I494,customers_clean!$A$2:$A$701,customers_clean!$Q$2:$Q$701)</f>
        <v>❌ INVALID</v>
      </c>
      <c r="S494" s="10" t="s">
        <v>139</v>
      </c>
      <c r="T494" s="2" t="s">
        <v>234</v>
      </c>
      <c r="U494" s="2" t="s">
        <v>103</v>
      </c>
      <c r="V494" s="2" t="s">
        <v>2420</v>
      </c>
      <c r="W494" s="9" t="str">
        <f t="array" ref="W494">IF(ISNA(XLOOKUP(V494,products_master_corrected!$A$2:$A$151,products_master_corrected!$A$2:$A$151, NA())),
    "❌ MISSING SKU", "✅")</f>
        <v>✅</v>
      </c>
      <c r="X494" s="2" t="s">
        <v>804</v>
      </c>
      <c r="Y494" s="2" t="s">
        <v>2421</v>
      </c>
      <c r="Z494" s="10" t="s">
        <v>248</v>
      </c>
      <c r="AA494" s="27">
        <v>5.0</v>
      </c>
      <c r="AB494" s="9" t="s">
        <v>8649</v>
      </c>
      <c r="AC494" s="28">
        <f t="array" ref="AC494">XLOOKUP(V494,products_master_corrected!$A$2:$A$151,products_master_corrected!$E$2:$E$151)</f>
        <v>21.44</v>
      </c>
      <c r="AD494" s="28">
        <f t="shared" si="55"/>
        <v>107.2</v>
      </c>
      <c r="AE494" s="28">
        <f t="array" ref="AE494">XLOOKUP(V494,products_master_corrected!$A$2:$A$151,products_master_corrected!$L$2:$L$151)</f>
        <v>23.19</v>
      </c>
      <c r="AF494" s="29">
        <f t="shared" si="56"/>
        <v>115.95</v>
      </c>
      <c r="AG494" s="32" t="s">
        <v>8665</v>
      </c>
      <c r="AH494" s="2" t="s">
        <v>370</v>
      </c>
      <c r="AI494" s="10" t="s">
        <v>143</v>
      </c>
      <c r="AJ494" s="2" t="s">
        <v>818</v>
      </c>
      <c r="AK494" s="10" t="s">
        <v>818</v>
      </c>
    </row>
    <row r="495" ht="15.75" customHeight="1">
      <c r="A495" s="2" t="s">
        <v>3434</v>
      </c>
      <c r="B495" s="12" t="s">
        <v>3435</v>
      </c>
      <c r="C495" s="2" t="str">
        <f>IFERROR(__xludf.DUMMYFUNCTION("IF(ISNUMBER(B495),TEXT(B495,""yyyy-MM-dd""),REGEXREPLACE(REGEXREPLACE(TO_TEXT(B495),""[^0-9a-zA-Z]+"",""-""),""[^0-9]*$"",""""))"),"04-27-2023")</f>
        <v>04-27-2023</v>
      </c>
      <c r="D495" s="2" t="str">
        <f t="shared" ref="D495:D497" si="61">TEXT(C495,"yyyy-MM-dd")</f>
        <v>04-27-2023</v>
      </c>
      <c r="E495" s="2" t="s">
        <v>8566</v>
      </c>
      <c r="H495" s="10" t="s">
        <v>8566</v>
      </c>
      <c r="I495" s="2" t="s">
        <v>886</v>
      </c>
      <c r="J495" s="26" t="str">
        <f t="array" ref="J495">IF(ISNA(XLOOKUP(I495,customers_clean!$A$2:$A$701,customers_clean!$A$2:$A$701, NA()) ),
   "❌ MISSING CUSTOMER", "✅")</f>
        <v>✅</v>
      </c>
      <c r="K495" s="2" t="str">
        <f t="array" ref="K495">XLOOKUP(I495,customers_clean!$A$2:$A$701,customers_clean!$C$2:$C$701)</f>
        <v>Uma King </v>
      </c>
      <c r="L495" s="10" t="str">
        <f t="array" ref="L495">XLOOKUP(I495,customers_clean!$A$2:$A$701,customers_clean!$D$2:$D$701)</f>
        <v>Uma King</v>
      </c>
      <c r="M495" s="2" t="str">
        <f t="array" ref="M495">XLOOKUP(I495,customers_clean!$A$2:$A$701,customers_clean!$I$2:$I$701)</f>
        <v>uma.king@gmail.com  </v>
      </c>
      <c r="N495" s="10" t="str">
        <f t="array" ref="N495">XLOOKUP(I495,customers_clean!$A$2:$A$701,customers_clean!$H$2:$H$701)</f>
        <v>uma.king@gmail.com</v>
      </c>
      <c r="O495" s="9" t="str">
        <f>IFERROR(__xludf.DUMMYFUNCTION("IF(REGEXMATCH(TRIM(N495),""^[A-Za-z0-9._%+-]+@[A-Za-z0-9.-]+\.[A-Za-z]{2,}$""),""✅ Valid"",""❌ Invalid"")"),"✅ Valid")</f>
        <v>✅ Valid</v>
      </c>
      <c r="P495" s="2" t="str">
        <f t="array" ref="P495">XLOOKUP(I495,customers_clean!$A$2:$A$701,customers_clean!$K$2:$K$701)</f>
        <v/>
      </c>
      <c r="Q495" s="10" t="str">
        <f t="array" ref="Q495">XLOOKUP(I495,customers_clean!$A$2:$A$701,customers_clean!$N$2:$N$701)</f>
        <v/>
      </c>
      <c r="R495" s="9" t="str">
        <f t="array" ref="R495">XLOOKUP(I495,customers_clean!$A$2:$A$701,customers_clean!$Q$2:$Q$701)</f>
        <v>❌ INVALID</v>
      </c>
      <c r="S495" s="10" t="s">
        <v>139</v>
      </c>
      <c r="T495" s="2" t="s">
        <v>778</v>
      </c>
      <c r="U495" s="2" t="s">
        <v>3436</v>
      </c>
      <c r="V495" s="2" t="s">
        <v>673</v>
      </c>
      <c r="W495" s="9" t="str">
        <f t="array" ref="W495">IF(ISNA(XLOOKUP(V495,products_master_corrected!$A$2:$A$151,products_master_corrected!$A$2:$A$151, NA())),
    "❌ MISSING SKU", "✅")</f>
        <v>✅</v>
      </c>
      <c r="X495" s="2" t="s">
        <v>259</v>
      </c>
      <c r="Y495" s="2" t="s">
        <v>674</v>
      </c>
      <c r="Z495" s="10" t="s">
        <v>514</v>
      </c>
      <c r="AA495" s="27">
        <v>2.0</v>
      </c>
      <c r="AB495" s="9" t="s">
        <v>8649</v>
      </c>
      <c r="AC495" s="28">
        <f t="array" ref="AC495">XLOOKUP(V495,products_master_corrected!$A$2:$A$151,products_master_corrected!$E$2:$E$151)</f>
        <v>38.5</v>
      </c>
      <c r="AD495" s="28">
        <f t="shared" si="55"/>
        <v>77</v>
      </c>
      <c r="AE495" s="28">
        <f t="array" ref="AE495">XLOOKUP(V495,products_master_corrected!$A$2:$A$151,products_master_corrected!$L$2:$L$151)</f>
        <v>41.64</v>
      </c>
      <c r="AF495" s="29">
        <f t="shared" si="56"/>
        <v>83.28</v>
      </c>
      <c r="AG495" s="32" t="s">
        <v>8665</v>
      </c>
      <c r="AH495" s="2" t="s">
        <v>414</v>
      </c>
      <c r="AI495" s="10" t="s">
        <v>49</v>
      </c>
      <c r="AJ495" s="2" t="s">
        <v>294</v>
      </c>
      <c r="AK495" s="10" t="s">
        <v>80</v>
      </c>
      <c r="AL495" s="2" t="s">
        <v>133</v>
      </c>
    </row>
    <row r="496" ht="15.75" customHeight="1">
      <c r="A496" s="2" t="s">
        <v>4870</v>
      </c>
      <c r="B496" s="12" t="s">
        <v>4871</v>
      </c>
      <c r="C496" s="2" t="str">
        <f>IFERROR(__xludf.DUMMYFUNCTION("IF(ISNUMBER(B496),TEXT(B496,""yyyy-MM-dd""),REGEXREPLACE(REGEXREPLACE(TO_TEXT(B496),""[^0-9a-zA-Z]+"",""-""),""[^0-9]*$"",""""))"),"09-15-2024")</f>
        <v>09-15-2024</v>
      </c>
      <c r="D496" s="2" t="str">
        <f t="shared" si="61"/>
        <v>09-15-2024</v>
      </c>
      <c r="E496" s="2" t="s">
        <v>7627</v>
      </c>
      <c r="H496" s="10" t="s">
        <v>7627</v>
      </c>
      <c r="I496" s="2" t="s">
        <v>886</v>
      </c>
      <c r="J496" s="26" t="str">
        <f t="array" ref="J496">IF(ISNA(XLOOKUP(I496,customers_clean!$A$2:$A$701,customers_clean!$A$2:$A$701, NA()) ),
   "❌ MISSING CUSTOMER", "✅")</f>
        <v>✅</v>
      </c>
      <c r="K496" s="2" t="str">
        <f t="array" ref="K496">XLOOKUP(I496,customers_clean!$A$2:$A$701,customers_clean!$C$2:$C$701)</f>
        <v>Uma King </v>
      </c>
      <c r="L496" s="10" t="str">
        <f t="array" ref="L496">XLOOKUP(I496,customers_clean!$A$2:$A$701,customers_clean!$D$2:$D$701)</f>
        <v>Uma King</v>
      </c>
      <c r="M496" s="2" t="str">
        <f t="array" ref="M496">XLOOKUP(I496,customers_clean!$A$2:$A$701,customers_clean!$I$2:$I$701)</f>
        <v>uma.king@gmail.com  </v>
      </c>
      <c r="N496" s="10" t="str">
        <f t="array" ref="N496">XLOOKUP(I496,customers_clean!$A$2:$A$701,customers_clean!$H$2:$H$701)</f>
        <v>uma.king@gmail.com</v>
      </c>
      <c r="O496" s="9" t="str">
        <f>IFERROR(__xludf.DUMMYFUNCTION("IF(REGEXMATCH(TRIM(N496),""^[A-Za-z0-9._%+-]+@[A-Za-z0-9.-]+\.[A-Za-z]{2,}$""),""✅ Valid"",""❌ Invalid"")"),"✅ Valid")</f>
        <v>✅ Valid</v>
      </c>
      <c r="P496" s="2" t="str">
        <f t="array" ref="P496">XLOOKUP(I496,customers_clean!$A$2:$A$701,customers_clean!$K$2:$K$701)</f>
        <v/>
      </c>
      <c r="Q496" s="10" t="str">
        <f t="array" ref="Q496">XLOOKUP(I496,customers_clean!$A$2:$A$701,customers_clean!$N$2:$N$701)</f>
        <v/>
      </c>
      <c r="R496" s="9" t="str">
        <f t="array" ref="R496">XLOOKUP(I496,customers_clean!$A$2:$A$701,customers_clean!$Q$2:$Q$701)</f>
        <v>❌ INVALID</v>
      </c>
      <c r="S496" s="10" t="s">
        <v>139</v>
      </c>
      <c r="T496" s="2" t="s">
        <v>1151</v>
      </c>
      <c r="U496" s="2" t="s">
        <v>512</v>
      </c>
      <c r="V496" s="2" t="s">
        <v>2425</v>
      </c>
      <c r="W496" s="9" t="str">
        <f t="array" ref="W496">IF(ISNA(XLOOKUP(V496,products_master_corrected!$A$2:$A$151,products_master_corrected!$A$2:$A$151, NA())),
    "❌ MISSING SKU", "✅")</f>
        <v>✅</v>
      </c>
      <c r="X496" s="2" t="s">
        <v>2426</v>
      </c>
      <c r="Y496" s="2" t="s">
        <v>2427</v>
      </c>
      <c r="Z496" s="10" t="s">
        <v>248</v>
      </c>
      <c r="AA496" s="27">
        <v>1.0</v>
      </c>
      <c r="AB496" s="9" t="s">
        <v>8649</v>
      </c>
      <c r="AC496" s="28">
        <f t="array" ref="AC496">XLOOKUP(V496,products_master_corrected!$A$2:$A$151,products_master_corrected!$E$2:$E$151)</f>
        <v>1071.06</v>
      </c>
      <c r="AD496" s="28">
        <f t="shared" si="55"/>
        <v>1071.06</v>
      </c>
      <c r="AE496" s="28">
        <f t="array" ref="AE496">XLOOKUP(V496,products_master_corrected!$A$2:$A$151,products_master_corrected!$L$2:$L$151)</f>
        <v>1158.35</v>
      </c>
      <c r="AF496" s="29">
        <f t="shared" si="56"/>
        <v>1158.35</v>
      </c>
      <c r="AG496" s="32" t="s">
        <v>8665</v>
      </c>
      <c r="AH496" s="2" t="s">
        <v>66</v>
      </c>
      <c r="AI496" s="10" t="s">
        <v>66</v>
      </c>
      <c r="AJ496" s="2" t="s">
        <v>80</v>
      </c>
      <c r="AK496" s="10" t="s">
        <v>80</v>
      </c>
      <c r="AL496" s="2" t="s">
        <v>51</v>
      </c>
    </row>
    <row r="497" ht="15.75" customHeight="1">
      <c r="A497" s="2" t="s">
        <v>884</v>
      </c>
      <c r="B497" s="12" t="s">
        <v>885</v>
      </c>
      <c r="C497" s="2" t="str">
        <f>IFERROR(__xludf.DUMMYFUNCTION("IF(ISNUMBER(B497),TEXT(B497,""yyyy-MM-dd""),REGEXREPLACE(REGEXREPLACE(TO_TEXT(B497),""[^0-9a-zA-Z]+"",""-""),""[^0-9]*$"",""""))"),"09-28-2023")</f>
        <v>09-28-2023</v>
      </c>
      <c r="D497" s="2" t="str">
        <f t="shared" si="61"/>
        <v>09-28-2023</v>
      </c>
      <c r="E497" s="2" t="s">
        <v>8860</v>
      </c>
      <c r="H497" s="10" t="s">
        <v>8860</v>
      </c>
      <c r="I497" s="2" t="s">
        <v>886</v>
      </c>
      <c r="J497" s="26" t="str">
        <f t="array" ref="J497">IF(ISNA(XLOOKUP(I497,customers_clean!$A$2:$A$701,customers_clean!$A$2:$A$701, NA()) ),
   "❌ MISSING CUSTOMER", "✅")</f>
        <v>✅</v>
      </c>
      <c r="K497" s="2" t="str">
        <f t="array" ref="K497">XLOOKUP(I497,customers_clean!$A$2:$A$701,customers_clean!$C$2:$C$701)</f>
        <v>Uma King </v>
      </c>
      <c r="L497" s="10" t="str">
        <f t="array" ref="L497">XLOOKUP(I497,customers_clean!$A$2:$A$701,customers_clean!$D$2:$D$701)</f>
        <v>Uma King</v>
      </c>
      <c r="M497" s="2" t="str">
        <f t="array" ref="M497">XLOOKUP(I497,customers_clean!$A$2:$A$701,customers_clean!$I$2:$I$701)</f>
        <v>uma.king@gmail.com  </v>
      </c>
      <c r="N497" s="10" t="str">
        <f t="array" ref="N497">XLOOKUP(I497,customers_clean!$A$2:$A$701,customers_clean!$H$2:$H$701)</f>
        <v>uma.king@gmail.com</v>
      </c>
      <c r="O497" s="9" t="str">
        <f>IFERROR(__xludf.DUMMYFUNCTION("IF(REGEXMATCH(TRIM(N497),""^[A-Za-z0-9._%+-]+@[A-Za-z0-9.-]+\.[A-Za-z]{2,}$""),""✅ Valid"",""❌ Invalid"")"),"✅ Valid")</f>
        <v>✅ Valid</v>
      </c>
      <c r="P497" s="2" t="str">
        <f t="array" ref="P497">XLOOKUP(I497,customers_clean!$A$2:$A$701,customers_clean!$K$2:$K$701)</f>
        <v/>
      </c>
      <c r="Q497" s="10" t="str">
        <f t="array" ref="Q497">XLOOKUP(I497,customers_clean!$A$2:$A$701,customers_clean!$N$2:$N$701)</f>
        <v/>
      </c>
      <c r="R497" s="9" t="str">
        <f t="array" ref="R497">XLOOKUP(I497,customers_clean!$A$2:$A$701,customers_clean!$Q$2:$Q$701)</f>
        <v>❌ INVALID</v>
      </c>
      <c r="S497" s="10" t="s">
        <v>139</v>
      </c>
      <c r="T497" s="2" t="s">
        <v>26</v>
      </c>
      <c r="U497" s="2" t="s">
        <v>90</v>
      </c>
      <c r="V497" s="2" t="s">
        <v>889</v>
      </c>
      <c r="W497" s="9" t="str">
        <f t="array" ref="W497">IF(ISNA(XLOOKUP(V497,products_master_corrected!$A$2:$A$151,products_master_corrected!$A$2:$A$151, NA())),
    "❌ MISSING SKU", "✅")</f>
        <v>✅</v>
      </c>
      <c r="X497" s="2" t="s">
        <v>804</v>
      </c>
      <c r="Y497" s="2" t="s">
        <v>179</v>
      </c>
      <c r="Z497" s="10" t="s">
        <v>179</v>
      </c>
      <c r="AA497" s="27">
        <v>5.0</v>
      </c>
      <c r="AB497" s="9" t="s">
        <v>8649</v>
      </c>
      <c r="AC497" s="28">
        <f t="array" ref="AC497">XLOOKUP(V497,products_master_corrected!$A$2:$A$151,products_master_corrected!$E$2:$E$151)</f>
        <v>16.72</v>
      </c>
      <c r="AD497" s="28">
        <f t="shared" si="55"/>
        <v>83.6</v>
      </c>
      <c r="AE497" s="28">
        <f t="array" ref="AE497">XLOOKUP(V497,products_master_corrected!$A$2:$A$151,products_master_corrected!$L$2:$L$151)</f>
        <v>18.08</v>
      </c>
      <c r="AF497" s="29">
        <f t="shared" si="56"/>
        <v>90.4</v>
      </c>
      <c r="AG497" s="32" t="s">
        <v>8665</v>
      </c>
      <c r="AH497" s="2" t="s">
        <v>485</v>
      </c>
      <c r="AI497" s="10" t="s">
        <v>181</v>
      </c>
      <c r="AJ497" s="2" t="s">
        <v>306</v>
      </c>
      <c r="AK497" s="10" t="s">
        <v>192</v>
      </c>
    </row>
    <row r="498" ht="15.75" customHeight="1">
      <c r="A498" s="2" t="s">
        <v>1929</v>
      </c>
      <c r="B498" s="12">
        <v>45324.0</v>
      </c>
      <c r="C498" s="2" t="str">
        <f>IFERROR(__xludf.DUMMYFUNCTION("IF(ISNUMBER(B498),TEXT(B498,""yyyy-MM-dd""),REGEXREPLACE(REGEXREPLACE(TO_TEXT(B498),""[^0-9a-zA-Z]+"",""-""),""[^0-9]*$"",""""))"),"2024-02-02")</f>
        <v>2024-02-02</v>
      </c>
      <c r="D498" s="2" t="s">
        <v>8338</v>
      </c>
      <c r="H498" s="10" t="s">
        <v>8338</v>
      </c>
      <c r="I498" s="2" t="s">
        <v>1931</v>
      </c>
      <c r="J498" s="26" t="str">
        <f t="array" ref="J498">IF(ISNA(XLOOKUP(I498,customers_clean!$A$2:$A$701,customers_clean!$A$2:$A$701, NA()) ),
   "❌ MISSING CUSTOMER", "✅")</f>
        <v>✅</v>
      </c>
      <c r="K498" s="2" t="str">
        <f t="array" ref="K498">XLOOKUP(I498,customers_clean!$A$2:$A$701,customers_clean!$C$2:$C$701)</f>
        <v>Tara Lee</v>
      </c>
      <c r="L498" s="10" t="str">
        <f t="array" ref="L498">XLOOKUP(I498,customers_clean!$A$2:$A$701,customers_clean!$D$2:$D$701)</f>
        <v>Tara Lee</v>
      </c>
      <c r="M498" s="2" t="str">
        <f t="array" ref="M498">XLOOKUP(I498,customers_clean!$A$2:$A$701,customers_clean!$I$2:$I$701)</f>
        <v>TARA.LEE@EXAMPLE.COM</v>
      </c>
      <c r="N498" s="10" t="str">
        <f t="array" ref="N498">XLOOKUP(I498,customers_clean!$A$2:$A$701,customers_clean!$H$2:$H$701)</f>
        <v>tara.lee@example.com</v>
      </c>
      <c r="O498" s="9" t="str">
        <f>IFERROR(__xludf.DUMMYFUNCTION("IF(REGEXMATCH(TRIM(N498),""^[A-Za-z0-9._%+-]+@[A-Za-z0-9.-]+\.[A-Za-z]{2,}$""),""✅ Valid"",""❌ Invalid"")"),"✅ Valid")</f>
        <v>✅ Valid</v>
      </c>
      <c r="P498" s="2">
        <f t="array" ref="P498">XLOOKUP(I498,customers_clean!$A$2:$A$701,customers_clean!$K$2:$K$701)</f>
        <v>855802634</v>
      </c>
      <c r="Q498" s="10" t="str">
        <f t="array" ref="Q498">XLOOKUP(I498,customers_clean!$A$2:$A$701,customers_clean!$N$2:$N$701)</f>
        <v>855802634</v>
      </c>
      <c r="R498" s="9" t="str">
        <f t="array" ref="R498">XLOOKUP(I498,customers_clean!$A$2:$A$701,customers_clean!$Q$2:$Q$701)</f>
        <v>❌ INVALID</v>
      </c>
      <c r="S498" s="10" t="s">
        <v>114</v>
      </c>
      <c r="T498" s="2" t="s">
        <v>42</v>
      </c>
      <c r="U498" s="2" t="s">
        <v>176</v>
      </c>
      <c r="V498" s="2" t="s">
        <v>1772</v>
      </c>
      <c r="W498" s="9" t="str">
        <f t="array" ref="W498">IF(ISNA(XLOOKUP(V498,products_master_corrected!$A$2:$A$151,products_master_corrected!$A$2:$A$151, NA())),
    "❌ MISSING SKU", "✅")</f>
        <v>✅</v>
      </c>
      <c r="X498" s="2" t="s">
        <v>403</v>
      </c>
      <c r="Y498" s="2" t="s">
        <v>995</v>
      </c>
      <c r="Z498" s="10" t="s">
        <v>355</v>
      </c>
      <c r="AA498" s="27">
        <v>2.0</v>
      </c>
      <c r="AB498" s="9" t="s">
        <v>8649</v>
      </c>
      <c r="AC498" s="28">
        <f t="array" ref="AC498">XLOOKUP(V498,products_master_corrected!$A$2:$A$151,products_master_corrected!$E$2:$E$151)</f>
        <v>39.48</v>
      </c>
      <c r="AD498" s="28">
        <f t="shared" si="55"/>
        <v>78.96</v>
      </c>
      <c r="AE498" s="28">
        <f t="array" ref="AE498">XLOOKUP(V498,products_master_corrected!$A$2:$A$151,products_master_corrected!$F$2:$F$151)</f>
        <v>39.48</v>
      </c>
      <c r="AF498" s="29">
        <f t="shared" si="56"/>
        <v>78.96</v>
      </c>
      <c r="AG498" s="30" t="s">
        <v>65</v>
      </c>
      <c r="AH498" s="2" t="s">
        <v>131</v>
      </c>
      <c r="AI498" s="10" t="s">
        <v>181</v>
      </c>
      <c r="AJ498" s="2" t="s">
        <v>34</v>
      </c>
      <c r="AK498" s="10" t="s">
        <v>80</v>
      </c>
      <c r="AL498" s="2" t="s">
        <v>81</v>
      </c>
    </row>
    <row r="499" ht="15.75" customHeight="1">
      <c r="A499" s="2" t="s">
        <v>5195</v>
      </c>
      <c r="B499" s="12">
        <v>45713.222916666666</v>
      </c>
      <c r="C499" s="2" t="str">
        <f>IFERROR(__xludf.DUMMYFUNCTION("IF(ISNUMBER(B499),TEXT(B499,""yyyy-MM-dd""),REGEXREPLACE(REGEXREPLACE(TO_TEXT(B499),""[^0-9a-zA-Z]+"",""-""),""[^0-9]*$"",""""))"),"2025-02-25")</f>
        <v>2025-02-25</v>
      </c>
      <c r="D499" s="2" t="s">
        <v>7714</v>
      </c>
      <c r="H499" s="10" t="s">
        <v>7714</v>
      </c>
      <c r="I499" s="2" t="s">
        <v>5197</v>
      </c>
      <c r="J499" s="26" t="str">
        <f t="array" ref="J499">IF(ISNA(XLOOKUP(I499,customers_clean!$A$2:$A$701,customers_clean!$A$2:$A$701, NA()) ),
   "❌ MISSING CUSTOMER", "✅")</f>
        <v>✅</v>
      </c>
      <c r="K499" s="2" t="str">
        <f t="array" ref="K499">XLOOKUP(I499,customers_clean!$A$2:$A$701,customers_clean!$C$2:$C$701)</f>
        <v>PAULA NOVAK</v>
      </c>
      <c r="L499" s="10" t="str">
        <f t="array" ref="L499">XLOOKUP(I499,customers_clean!$A$2:$A$701,customers_clean!$D$2:$D$701)</f>
        <v>Paula Novak</v>
      </c>
      <c r="M499" s="2" t="str">
        <f t="array" ref="M499">XLOOKUP(I499,customers_clean!$A$2:$A$701,customers_clean!$I$2:$I$701)</f>
        <v>paula.novak@gmail.com </v>
      </c>
      <c r="N499" s="10" t="str">
        <f t="array" ref="N499">XLOOKUP(I499,customers_clean!$A$2:$A$701,customers_clean!$H$2:$H$701)</f>
        <v>paula.novak@gmail.com</v>
      </c>
      <c r="O499" s="9" t="str">
        <f>IFERROR(__xludf.DUMMYFUNCTION("IF(REGEXMATCH(TRIM(N499),""^[A-Za-z0-9._%+-]+@[A-Za-z0-9.-]+\.[A-Za-z]{2,}$""),""✅ Valid"",""❌ Invalid"")"),"✅ Valid")</f>
        <v>✅ Valid</v>
      </c>
      <c r="P499" s="2" t="str">
        <f t="array" ref="P499">XLOOKUP(I499,customers_clean!$A$2:$A$701,customers_clean!$K$2:$K$701)</f>
        <v>+34 743 147 529 8</v>
      </c>
      <c r="Q499" s="10" t="str">
        <f t="array" ref="Q499">XLOOKUP(I499,customers_clean!$A$2:$A$701,customers_clean!$N$2:$N$701)</f>
        <v>7431475298</v>
      </c>
      <c r="R499" s="9" t="str">
        <f t="array" ref="R499">XLOOKUP(I499,customers_clean!$A$2:$A$701,customers_clean!$Q$2:$Q$701)</f>
        <v>❌ INVALID</v>
      </c>
      <c r="S499" s="10" t="s">
        <v>88</v>
      </c>
      <c r="T499" s="2" t="s">
        <v>223</v>
      </c>
      <c r="U499" s="2" t="s">
        <v>103</v>
      </c>
      <c r="V499" s="2" t="s">
        <v>402</v>
      </c>
      <c r="W499" s="9" t="str">
        <f t="array" ref="W499">IF(ISNA(XLOOKUP(V499,products_master_corrected!$A$2:$A$151,products_master_corrected!$A$2:$A$151, NA())),
    "❌ MISSING SKU", "✅")</f>
        <v>✅</v>
      </c>
      <c r="X499" s="2" t="s">
        <v>403</v>
      </c>
      <c r="Y499" s="2" t="s">
        <v>404</v>
      </c>
      <c r="Z499" s="10" t="s">
        <v>248</v>
      </c>
      <c r="AA499" s="27">
        <v>1.0</v>
      </c>
      <c r="AB499" s="9" t="s">
        <v>8649</v>
      </c>
      <c r="AC499" s="28">
        <f t="array" ref="AC499">XLOOKUP(V499,products_master_corrected!$A$2:$A$151,products_master_corrected!$E$2:$E$151)</f>
        <v>20.48</v>
      </c>
      <c r="AD499" s="28">
        <f t="shared" si="55"/>
        <v>20.48</v>
      </c>
      <c r="AE499" s="28">
        <f t="array" ref="AE499">XLOOKUP(V499,products_master_corrected!$A$2:$A$151,products_master_corrected!$I$2:$I$151)</f>
        <v>22.58</v>
      </c>
      <c r="AF499" s="29">
        <f t="shared" si="56"/>
        <v>22.58</v>
      </c>
      <c r="AG499" s="32" t="s">
        <v>8660</v>
      </c>
      <c r="AH499" s="2" t="s">
        <v>143</v>
      </c>
      <c r="AI499" s="10" t="s">
        <v>143</v>
      </c>
      <c r="AJ499" s="2" t="s">
        <v>192</v>
      </c>
      <c r="AK499" s="10" t="s">
        <v>192</v>
      </c>
      <c r="AL499" s="2" t="s">
        <v>51</v>
      </c>
    </row>
    <row r="500" ht="15.75" customHeight="1">
      <c r="A500" s="2" t="s">
        <v>6101</v>
      </c>
      <c r="B500" s="12" t="s">
        <v>6102</v>
      </c>
      <c r="C500" s="2" t="str">
        <f>IFERROR(__xludf.DUMMYFUNCTION("IF(ISNUMBER(B500),TEXT(B500,""yyyy-MM-dd""),REGEXREPLACE(REGEXREPLACE(TO_TEXT(B500),""[^0-9a-zA-Z]+"",""-""),""[^0-9]*$"",""""))"),"30-05-2024")</f>
        <v>30-05-2024</v>
      </c>
      <c r="D500" s="2" t="s">
        <v>8754</v>
      </c>
      <c r="H500" s="10" t="s">
        <v>8754</v>
      </c>
      <c r="I500" s="2" t="s">
        <v>5197</v>
      </c>
      <c r="J500" s="26" t="str">
        <f t="array" ref="J500">IF(ISNA(XLOOKUP(I500,customers_clean!$A$2:$A$701,customers_clean!$A$2:$A$701, NA()) ),
   "❌ MISSING CUSTOMER", "✅")</f>
        <v>✅</v>
      </c>
      <c r="K500" s="2" t="str">
        <f t="array" ref="K500">XLOOKUP(I500,customers_clean!$A$2:$A$701,customers_clean!$C$2:$C$701)</f>
        <v>PAULA NOVAK</v>
      </c>
      <c r="L500" s="10" t="str">
        <f t="array" ref="L500">XLOOKUP(I500,customers_clean!$A$2:$A$701,customers_clean!$D$2:$D$701)</f>
        <v>Paula Novak</v>
      </c>
      <c r="M500" s="2" t="str">
        <f t="array" ref="M500">XLOOKUP(I500,customers_clean!$A$2:$A$701,customers_clean!$I$2:$I$701)</f>
        <v>paula.novak@gmail.com </v>
      </c>
      <c r="N500" s="10" t="str">
        <f t="array" ref="N500">XLOOKUP(I500,customers_clean!$A$2:$A$701,customers_clean!$H$2:$H$701)</f>
        <v>paula.novak@gmail.com</v>
      </c>
      <c r="O500" s="9" t="str">
        <f>IFERROR(__xludf.DUMMYFUNCTION("IF(REGEXMATCH(TRIM(N500),""^[A-Za-z0-9._%+-]+@[A-Za-z0-9.-]+\.[A-Za-z]{2,}$""),""✅ Valid"",""❌ Invalid"")"),"✅ Valid")</f>
        <v>✅ Valid</v>
      </c>
      <c r="P500" s="2" t="str">
        <f t="array" ref="P500">XLOOKUP(I500,customers_clean!$A$2:$A$701,customers_clean!$K$2:$K$701)</f>
        <v>+34 743 147 529 8</v>
      </c>
      <c r="Q500" s="10" t="str">
        <f t="array" ref="Q500">XLOOKUP(I500,customers_clean!$A$2:$A$701,customers_clean!$N$2:$N$701)</f>
        <v>7431475298</v>
      </c>
      <c r="R500" s="9" t="str">
        <f t="array" ref="R500">XLOOKUP(I500,customers_clean!$A$2:$A$701,customers_clean!$Q$2:$Q$701)</f>
        <v>❌ INVALID</v>
      </c>
      <c r="S500" s="10" t="s">
        <v>88</v>
      </c>
      <c r="T500" s="2" t="s">
        <v>234</v>
      </c>
      <c r="U500" s="2" t="s">
        <v>480</v>
      </c>
      <c r="V500" s="2" t="s">
        <v>269</v>
      </c>
      <c r="W500" s="9" t="str">
        <f t="array" ref="W500">IF(ISNA(XLOOKUP(V500,products_master_corrected!$A$2:$A$151,products_master_corrected!$A$2:$A$151, NA())),
    "❌ MISSING SKU", "✅")</f>
        <v>✅</v>
      </c>
      <c r="X500" s="2" t="s">
        <v>524</v>
      </c>
      <c r="Y500" s="2" t="s">
        <v>271</v>
      </c>
      <c r="Z500" s="10" t="s">
        <v>368</v>
      </c>
      <c r="AA500" s="27">
        <v>5.0</v>
      </c>
      <c r="AB500" s="9" t="s">
        <v>8649</v>
      </c>
      <c r="AC500" s="28">
        <f t="array" ref="AC500">XLOOKUP(V500,products_master_corrected!$A$2:$A$151,products_master_corrected!$E$2:$E$151)</f>
        <v>219.29</v>
      </c>
      <c r="AD500" s="28">
        <f t="shared" si="55"/>
        <v>1096.45</v>
      </c>
      <c r="AE500" s="28">
        <f t="array" ref="AE500">XLOOKUP(V500,products_master_corrected!$A$2:$A$151,products_master_corrected!$I$2:$I$151)</f>
        <v>241.75</v>
      </c>
      <c r="AF500" s="29">
        <f t="shared" si="56"/>
        <v>1208.75</v>
      </c>
      <c r="AG500" s="32" t="s">
        <v>8660</v>
      </c>
      <c r="AH500" s="2" t="s">
        <v>143</v>
      </c>
      <c r="AI500" s="10" t="s">
        <v>143</v>
      </c>
      <c r="AJ500" s="2" t="s">
        <v>6104</v>
      </c>
      <c r="AK500" s="10" t="s">
        <v>192</v>
      </c>
    </row>
    <row r="501" ht="15.75" customHeight="1">
      <c r="A501" s="2" t="s">
        <v>5053</v>
      </c>
      <c r="B501" s="12">
        <v>45667.0</v>
      </c>
      <c r="C501" s="2" t="str">
        <f>IFERROR(__xludf.DUMMYFUNCTION("IF(ISNUMBER(B501),TEXT(B501,""yyyy-MM-dd""),REGEXREPLACE(REGEXREPLACE(TO_TEXT(B501),""[^0-9a-zA-Z]+"",""-""),""[^0-9]*$"",""""))"),"2025-01-10")</f>
        <v>2025-01-10</v>
      </c>
      <c r="D501" s="2" t="s">
        <v>5054</v>
      </c>
      <c r="H501" s="10" t="s">
        <v>5054</v>
      </c>
      <c r="I501" s="2" t="s">
        <v>3882</v>
      </c>
      <c r="J501" s="26" t="str">
        <f t="array" ref="J501">IF(ISNA(XLOOKUP(I501,customers_clean!$A$2:$A$701,customers_clean!$A$2:$A$701, NA()) ),
   "❌ MISSING CUSTOMER", "✅")</f>
        <v>✅</v>
      </c>
      <c r="K501" s="2" t="str">
        <f t="array" ref="K501">XLOOKUP(I501,customers_clean!$A$2:$A$701,customers_clean!$C$2:$C$701)</f>
        <v>Lia Taylor</v>
      </c>
      <c r="L501" s="10" t="str">
        <f t="array" ref="L501">XLOOKUP(I501,customers_clean!$A$2:$A$701,customers_clean!$D$2:$D$701)</f>
        <v>Lia Taylor</v>
      </c>
      <c r="M501" s="2" t="str">
        <f t="array" ref="M501">XLOOKUP(I501,customers_clean!$A$2:$A$701,customers_clean!$I$2:$I$701)</f>
        <v>Lia.Taylor@Example.Com</v>
      </c>
      <c r="N501" s="10" t="str">
        <f t="array" ref="N501">XLOOKUP(I501,customers_clean!$A$2:$A$701,customers_clean!$H$2:$H$701)</f>
        <v>lia.taylor@example.com</v>
      </c>
      <c r="O501" s="9" t="str">
        <f>IFERROR(__xludf.DUMMYFUNCTION("IF(REGEXMATCH(TRIM(N501),""^[A-Za-z0-9._%+-]+@[A-Za-z0-9.-]+\.[A-Za-z]{2,}$""),""✅ Valid"",""❌ Invalid"")"),"✅ Valid")</f>
        <v>✅ Valid</v>
      </c>
      <c r="P501" s="2" t="str">
        <f t="array" ref="P501">XLOOKUP(I501,customers_clean!$A$2:$A$701,customers_clean!$K$2:$K$701)</f>
        <v>+39+488741803</v>
      </c>
      <c r="Q501" s="10" t="str">
        <f t="array" ref="Q501">XLOOKUP(I501,customers_clean!$A$2:$A$701,customers_clean!$N$2:$N$701)</f>
        <v>488741803</v>
      </c>
      <c r="R501" s="9" t="str">
        <f t="array" ref="R501">XLOOKUP(I501,customers_clean!$A$2:$A$701,customers_clean!$Q$2:$Q$701)</f>
        <v>❌ INVALID</v>
      </c>
      <c r="S501" s="10" t="s">
        <v>114</v>
      </c>
      <c r="T501" s="2" t="s">
        <v>74</v>
      </c>
      <c r="U501" s="2" t="s">
        <v>103</v>
      </c>
      <c r="V501" s="2" t="s">
        <v>4068</v>
      </c>
      <c r="W501" s="9" t="str">
        <f t="array" ref="W501">IF(ISNA(XLOOKUP(V501,products_master_corrected!$A$2:$A$151,products_master_corrected!$A$2:$A$151, NA())),
    "❌ MISSING SKU", "✅")</f>
        <v>✅</v>
      </c>
      <c r="X501" s="2" t="s">
        <v>403</v>
      </c>
      <c r="Y501" s="2" t="s">
        <v>1016</v>
      </c>
      <c r="Z501" s="10" t="s">
        <v>355</v>
      </c>
      <c r="AA501" s="27">
        <v>1.0</v>
      </c>
      <c r="AB501" s="9" t="s">
        <v>8649</v>
      </c>
      <c r="AC501" s="28">
        <f t="array" ref="AC501">XLOOKUP(V501,products_master_corrected!$A$2:$A$151,products_master_corrected!$E$2:$E$151)</f>
        <v>49.62</v>
      </c>
      <c r="AD501" s="28">
        <f t="shared" si="55"/>
        <v>49.62</v>
      </c>
      <c r="AE501" s="28">
        <f t="array" ref="AE501">XLOOKUP(V501,products_master_corrected!$A$2:$A$151,products_master_corrected!$F$2:$F$151)</f>
        <v>49.62</v>
      </c>
      <c r="AF501" s="29">
        <f t="shared" si="56"/>
        <v>49.62</v>
      </c>
      <c r="AG501" s="30" t="s">
        <v>65</v>
      </c>
      <c r="AH501" s="2" t="s">
        <v>664</v>
      </c>
      <c r="AI501" s="10" t="s">
        <v>66</v>
      </c>
      <c r="AJ501" s="2" t="s">
        <v>306</v>
      </c>
      <c r="AK501" s="10" t="s">
        <v>192</v>
      </c>
    </row>
    <row r="502" ht="15.75" customHeight="1">
      <c r="A502" s="2" t="s">
        <v>4494</v>
      </c>
      <c r="B502" s="12" t="s">
        <v>4495</v>
      </c>
      <c r="C502" s="2" t="str">
        <f>IFERROR(__xludf.DUMMYFUNCTION("IF(ISNUMBER(B502),TEXT(B502,""yyyy-MM-dd""),REGEXREPLACE(REGEXREPLACE(TO_TEXT(B502),""[^0-9a-zA-Z]+"",""-""),""[^0-9]*$"",""""))"),"45297-17-14")</f>
        <v>45297-17-14</v>
      </c>
      <c r="D502" s="2" t="str">
        <f>TEXT(C502,"yyyy-MM-dd")</f>
        <v>45297-17-14</v>
      </c>
      <c r="E502" s="25" t="str">
        <f>CONCATENATE(LEFT(D502,5))</f>
        <v>45297</v>
      </c>
      <c r="F502" s="12">
        <f>DATE(1900,1,1) + E502 - 1</f>
        <v>45298</v>
      </c>
      <c r="G502" s="2" t="s">
        <v>7794</v>
      </c>
      <c r="H502" s="10" t="s">
        <v>7794</v>
      </c>
      <c r="I502" s="2" t="s">
        <v>3882</v>
      </c>
      <c r="J502" s="26" t="str">
        <f t="array" ref="J502">IF(ISNA(XLOOKUP(I502,customers_clean!$A$2:$A$701,customers_clean!$A$2:$A$701, NA()) ),
   "❌ MISSING CUSTOMER", "✅")</f>
        <v>✅</v>
      </c>
      <c r="K502" s="2" t="str">
        <f t="array" ref="K502">XLOOKUP(I502,customers_clean!$A$2:$A$701,customers_clean!$C$2:$C$701)</f>
        <v>Lia Taylor</v>
      </c>
      <c r="L502" s="10" t="str">
        <f t="array" ref="L502">XLOOKUP(I502,customers_clean!$A$2:$A$701,customers_clean!$D$2:$D$701)</f>
        <v>Lia Taylor</v>
      </c>
      <c r="M502" s="2" t="str">
        <f t="array" ref="M502">XLOOKUP(I502,customers_clean!$A$2:$A$701,customers_clean!$I$2:$I$701)</f>
        <v>Lia.Taylor@Example.Com</v>
      </c>
      <c r="N502" s="10" t="str">
        <f t="array" ref="N502">XLOOKUP(I502,customers_clean!$A$2:$A$701,customers_clean!$H$2:$H$701)</f>
        <v>lia.taylor@example.com</v>
      </c>
      <c r="O502" s="9" t="str">
        <f>IFERROR(__xludf.DUMMYFUNCTION("IF(REGEXMATCH(TRIM(N502),""^[A-Za-z0-9._%+-]+@[A-Za-z0-9.-]+\.[A-Za-z]{2,}$""),""✅ Valid"",""❌ Invalid"")"),"✅ Valid")</f>
        <v>✅ Valid</v>
      </c>
      <c r="P502" s="2" t="str">
        <f t="array" ref="P502">XLOOKUP(I502,customers_clean!$A$2:$A$701,customers_clean!$K$2:$K$701)</f>
        <v>+39+488741803</v>
      </c>
      <c r="Q502" s="10" t="str">
        <f t="array" ref="Q502">XLOOKUP(I502,customers_clean!$A$2:$A$701,customers_clean!$N$2:$N$701)</f>
        <v>488741803</v>
      </c>
      <c r="R502" s="9" t="str">
        <f t="array" ref="R502">XLOOKUP(I502,customers_clean!$A$2:$A$701,customers_clean!$Q$2:$Q$701)</f>
        <v>❌ INVALID</v>
      </c>
      <c r="S502" s="10" t="s">
        <v>114</v>
      </c>
      <c r="T502" s="2" t="s">
        <v>74</v>
      </c>
      <c r="U502" s="2" t="s">
        <v>4496</v>
      </c>
      <c r="V502" s="2" t="s">
        <v>4497</v>
      </c>
      <c r="W502" s="9" t="str">
        <f t="array" ref="W502">IF(ISNA(XLOOKUP(V502,products_master_corrected!$A$2:$A$151,products_master_corrected!$A$2:$A$151, NA())),
    "❌ MISSING SKU", "✅")</f>
        <v>✅</v>
      </c>
      <c r="X502" s="2" t="s">
        <v>403</v>
      </c>
      <c r="Y502" s="2" t="s">
        <v>995</v>
      </c>
      <c r="Z502" s="10" t="s">
        <v>355</v>
      </c>
      <c r="AA502" s="27">
        <v>3.0</v>
      </c>
      <c r="AB502" s="9" t="s">
        <v>8649</v>
      </c>
      <c r="AC502" s="28">
        <f t="array" ref="AC502">XLOOKUP(V502,products_master_corrected!$A$2:$A$151,products_master_corrected!$E$2:$E$151)</f>
        <v>23.53</v>
      </c>
      <c r="AD502" s="28">
        <f t="shared" si="55"/>
        <v>70.59</v>
      </c>
      <c r="AE502" s="28">
        <f t="array" ref="AE502">XLOOKUP(V502,products_master_corrected!$A$2:$A$151,products_master_corrected!$F$2:$F$151)</f>
        <v>23.53</v>
      </c>
      <c r="AF502" s="29">
        <f t="shared" si="56"/>
        <v>70.59</v>
      </c>
      <c r="AG502" s="30" t="s">
        <v>65</v>
      </c>
      <c r="AH502" s="2" t="s">
        <v>305</v>
      </c>
      <c r="AI502" s="10" t="s">
        <v>49</v>
      </c>
      <c r="AJ502" s="2" t="s">
        <v>527</v>
      </c>
      <c r="AK502" s="10" t="s">
        <v>192</v>
      </c>
      <c r="AL502" s="2" t="s">
        <v>67</v>
      </c>
    </row>
    <row r="503" ht="15.75" customHeight="1">
      <c r="A503" s="2" t="s">
        <v>3880</v>
      </c>
      <c r="B503" s="12" t="s">
        <v>3881</v>
      </c>
      <c r="C503" s="2" t="str">
        <f>IFERROR(__xludf.DUMMYFUNCTION("IF(ISNUMBER(B503),TEXT(B503,""yyyy-MM-dd""),REGEXREPLACE(REGEXREPLACE(TO_TEXT(B503),""[^0-9a-zA-Z]+"",""-""),""[^0-9]*$"",""""))"),"03-07-2023")</f>
        <v>03-07-2023</v>
      </c>
      <c r="D503" s="2" t="s">
        <v>8764</v>
      </c>
      <c r="H503" s="10" t="s">
        <v>8764</v>
      </c>
      <c r="I503" s="2" t="s">
        <v>3882</v>
      </c>
      <c r="J503" s="26" t="str">
        <f t="array" ref="J503">IF(ISNA(XLOOKUP(I503,customers_clean!$A$2:$A$701,customers_clean!$A$2:$A$701, NA()) ),
   "❌ MISSING CUSTOMER", "✅")</f>
        <v>✅</v>
      </c>
      <c r="K503" s="2" t="str">
        <f t="array" ref="K503">XLOOKUP(I503,customers_clean!$A$2:$A$701,customers_clean!$C$2:$C$701)</f>
        <v>Lia Taylor</v>
      </c>
      <c r="L503" s="10" t="str">
        <f t="array" ref="L503">XLOOKUP(I503,customers_clean!$A$2:$A$701,customers_clean!$D$2:$D$701)</f>
        <v>Lia Taylor</v>
      </c>
      <c r="M503" s="2" t="str">
        <f t="array" ref="M503">XLOOKUP(I503,customers_clean!$A$2:$A$701,customers_clean!$I$2:$I$701)</f>
        <v>Lia.Taylor@Example.Com</v>
      </c>
      <c r="N503" s="10" t="str">
        <f t="array" ref="N503">XLOOKUP(I503,customers_clean!$A$2:$A$701,customers_clean!$H$2:$H$701)</f>
        <v>lia.taylor@example.com</v>
      </c>
      <c r="O503" s="9" t="str">
        <f>IFERROR(__xludf.DUMMYFUNCTION("IF(REGEXMATCH(TRIM(N503),""^[A-Za-z0-9._%+-]+@[A-Za-z0-9.-]+\.[A-Za-z]{2,}$""),""✅ Valid"",""❌ Invalid"")"),"✅ Valid")</f>
        <v>✅ Valid</v>
      </c>
      <c r="P503" s="2" t="str">
        <f t="array" ref="P503">XLOOKUP(I503,customers_clean!$A$2:$A$701,customers_clean!$K$2:$K$701)</f>
        <v>+39+488741803</v>
      </c>
      <c r="Q503" s="10" t="str">
        <f t="array" ref="Q503">XLOOKUP(I503,customers_clean!$A$2:$A$701,customers_clean!$N$2:$N$701)</f>
        <v>488741803</v>
      </c>
      <c r="R503" s="9" t="str">
        <f t="array" ref="R503">XLOOKUP(I503,customers_clean!$A$2:$A$701,customers_clean!$Q$2:$Q$701)</f>
        <v>❌ INVALID</v>
      </c>
      <c r="S503" s="10" t="s">
        <v>114</v>
      </c>
      <c r="T503" s="2" t="s">
        <v>210</v>
      </c>
      <c r="U503" s="2" t="s">
        <v>401</v>
      </c>
      <c r="V503" s="2" t="s">
        <v>2012</v>
      </c>
      <c r="W503" s="9" t="str">
        <f t="array" ref="W503">IF(ISNA(XLOOKUP(V503,products_master_corrected!$A$2:$A$151,products_master_corrected!$A$2:$A$151, NA())),
    "❌ MISSING SKU", "✅")</f>
        <v>✅</v>
      </c>
      <c r="X503" s="2" t="s">
        <v>741</v>
      </c>
      <c r="Y503" s="2" t="s">
        <v>514</v>
      </c>
      <c r="Z503" s="10" t="s">
        <v>514</v>
      </c>
      <c r="AA503" s="27">
        <v>3.0</v>
      </c>
      <c r="AB503" s="9" t="s">
        <v>8649</v>
      </c>
      <c r="AC503" s="28">
        <f t="array" ref="AC503">XLOOKUP(V503,products_master_corrected!$A$2:$A$151,products_master_corrected!$E$2:$E$151)</f>
        <v>40.87</v>
      </c>
      <c r="AD503" s="28">
        <f t="shared" si="55"/>
        <v>122.61</v>
      </c>
      <c r="AE503" s="28">
        <f t="array" ref="AE503">XLOOKUP(V503,products_master_corrected!$A$2:$A$151,products_master_corrected!$F$2:$F$151)</f>
        <v>40.87</v>
      </c>
      <c r="AF503" s="29">
        <f t="shared" si="56"/>
        <v>122.61</v>
      </c>
      <c r="AG503" s="30" t="s">
        <v>65</v>
      </c>
      <c r="AH503" s="2" t="s">
        <v>664</v>
      </c>
      <c r="AI503" s="10" t="s">
        <v>66</v>
      </c>
      <c r="AJ503" s="2" t="s">
        <v>261</v>
      </c>
      <c r="AK503" s="10" t="s">
        <v>261</v>
      </c>
      <c r="AL503" s="2" t="s">
        <v>133</v>
      </c>
    </row>
    <row r="504" ht="15.75" customHeight="1">
      <c r="A504" s="2" t="s">
        <v>5580</v>
      </c>
      <c r="B504" s="12">
        <v>45375.0</v>
      </c>
      <c r="C504" s="2" t="str">
        <f>IFERROR(__xludf.DUMMYFUNCTION("IF(ISNUMBER(B504),TEXT(B504,""yyyy-MM-dd""),REGEXREPLACE(REGEXREPLACE(TO_TEXT(B504),""[^0-9a-zA-Z]+"",""-""),""[^0-9]*$"",""""))"),"2024-03-24")</f>
        <v>2024-03-24</v>
      </c>
      <c r="D504" s="2" t="s">
        <v>5844</v>
      </c>
      <c r="H504" s="10" t="s">
        <v>5844</v>
      </c>
      <c r="I504" s="2" t="s">
        <v>3417</v>
      </c>
      <c r="J504" s="26" t="str">
        <f t="array" ref="J504">IF(ISNA(XLOOKUP(I504,customers_clean!$A$2:$A$701,customers_clean!$A$2:$A$701, NA()) ),
   "❌ MISSING CUSTOMER", "✅")</f>
        <v>✅</v>
      </c>
      <c r="K504" s="2" t="str">
        <f t="array" ref="K504">XLOOKUP(I504,customers_clean!$A$2:$A$701,customers_clean!$C$2:$C$701)</f>
        <v>Rita Khan</v>
      </c>
      <c r="L504" s="10" t="str">
        <f t="array" ref="L504">XLOOKUP(I504,customers_clean!$A$2:$A$701,customers_clean!$D$2:$D$701)</f>
        <v>Rita Khan</v>
      </c>
      <c r="M504" s="2" t="str">
        <f t="array" ref="M504">XLOOKUP(I504,customers_clean!$A$2:$A$701,customers_clean!$I$2:$I$701)</f>
        <v>rita.khan@yahoo.com</v>
      </c>
      <c r="N504" s="10" t="str">
        <f t="array" ref="N504">XLOOKUP(I504,customers_clean!$A$2:$A$701,customers_clean!$H$2:$H$701)</f>
        <v>rita.khan@yahoo.com</v>
      </c>
      <c r="O504" s="9" t="str">
        <f>IFERROR(__xludf.DUMMYFUNCTION("IF(REGEXMATCH(TRIM(N504),""^[A-Za-z0-9._%+-]+@[A-Za-z0-9.-]+\.[A-Za-z]{2,}$""),""✅ Valid"",""❌ Invalid"")"),"✅ Valid")</f>
        <v>✅ Valid</v>
      </c>
      <c r="P504" s="2" t="str">
        <f t="array" ref="P504">XLOOKUP(I504,customers_clean!$A$2:$A$701,customers_clean!$K$2:$K$701)</f>
        <v>+1 855 43443383</v>
      </c>
      <c r="Q504" s="10" t="str">
        <f t="array" ref="Q504">XLOOKUP(I504,customers_clean!$A$2:$A$701,customers_clean!$N$2:$N$701)</f>
        <v>85543443383</v>
      </c>
      <c r="R504" s="9" t="str">
        <f t="array" ref="R504">XLOOKUP(I504,customers_clean!$A$2:$A$701,customers_clean!$Q$2:$Q$701)</f>
        <v>❌ INVALID</v>
      </c>
      <c r="S504" s="31" t="s">
        <v>671</v>
      </c>
      <c r="T504" s="2" t="s">
        <v>210</v>
      </c>
      <c r="U504" s="2" t="s">
        <v>176</v>
      </c>
      <c r="V504" s="2" t="s">
        <v>556</v>
      </c>
      <c r="W504" s="9" t="str">
        <f t="array" ref="W504">IF(ISNA(XLOOKUP(V504,products_master_corrected!$A$2:$A$151,products_master_corrected!$A$2:$A$151, NA())),
    "❌ MISSING SKU", "✅")</f>
        <v>✅</v>
      </c>
      <c r="X504" s="2" t="s">
        <v>502</v>
      </c>
      <c r="Y504" s="2" t="s">
        <v>355</v>
      </c>
      <c r="Z504" s="10" t="s">
        <v>355</v>
      </c>
      <c r="AA504" s="27">
        <v>3.0</v>
      </c>
      <c r="AB504" s="9" t="s">
        <v>8649</v>
      </c>
      <c r="AC504" s="28">
        <f t="array" ref="AC504">XLOOKUP(V504,products_master_corrected!$A$2:$A$151,products_master_corrected!$E$2:$E$151)</f>
        <v>879.27</v>
      </c>
      <c r="AD504" s="28">
        <f t="shared" si="55"/>
        <v>2637.81</v>
      </c>
      <c r="AE504" s="28">
        <f t="array" ref="AE504">XLOOKUP(V504,products_master_corrected!$A$2:$A$151,products_master_corrected!$J$2:$J$151)</f>
        <v>1025.49</v>
      </c>
      <c r="AF504" s="29">
        <f t="shared" si="56"/>
        <v>3076.47</v>
      </c>
      <c r="AG504" s="32" t="s">
        <v>8656</v>
      </c>
      <c r="AH504" s="2" t="s">
        <v>143</v>
      </c>
      <c r="AI504" s="10" t="s">
        <v>143</v>
      </c>
      <c r="AJ504" s="2" t="s">
        <v>818</v>
      </c>
      <c r="AK504" s="10" t="s">
        <v>818</v>
      </c>
      <c r="AL504" s="2" t="s">
        <v>133</v>
      </c>
    </row>
    <row r="505" ht="15.75" customHeight="1">
      <c r="A505" s="2" t="s">
        <v>3415</v>
      </c>
      <c r="B505" s="12">
        <v>45433.0</v>
      </c>
      <c r="C505" s="2" t="str">
        <f>IFERROR(__xludf.DUMMYFUNCTION("IF(ISNUMBER(B505),TEXT(B505,""yyyy-MM-dd""),REGEXREPLACE(REGEXREPLACE(TO_TEXT(B505),""[^0-9a-zA-Z]+"",""-""),""[^0-9]*$"",""""))"),"2024-05-21")</f>
        <v>2024-05-21</v>
      </c>
      <c r="D505" s="2" t="s">
        <v>8861</v>
      </c>
      <c r="H505" s="10" t="s">
        <v>8861</v>
      </c>
      <c r="I505" s="2" t="s">
        <v>3417</v>
      </c>
      <c r="J505" s="26" t="str">
        <f t="array" ref="J505">IF(ISNA(XLOOKUP(I505,customers_clean!$A$2:$A$701,customers_clean!$A$2:$A$701, NA()) ),
   "❌ MISSING CUSTOMER", "✅")</f>
        <v>✅</v>
      </c>
      <c r="K505" s="2" t="str">
        <f t="array" ref="K505">XLOOKUP(I505,customers_clean!$A$2:$A$701,customers_clean!$C$2:$C$701)</f>
        <v>Rita Khan</v>
      </c>
      <c r="L505" s="10" t="str">
        <f t="array" ref="L505">XLOOKUP(I505,customers_clean!$A$2:$A$701,customers_clean!$D$2:$D$701)</f>
        <v>Rita Khan</v>
      </c>
      <c r="M505" s="2" t="str">
        <f t="array" ref="M505">XLOOKUP(I505,customers_clean!$A$2:$A$701,customers_clean!$I$2:$I$701)</f>
        <v>rita.khan@yahoo.com</v>
      </c>
      <c r="N505" s="10" t="str">
        <f t="array" ref="N505">XLOOKUP(I505,customers_clean!$A$2:$A$701,customers_clean!$H$2:$H$701)</f>
        <v>rita.khan@yahoo.com</v>
      </c>
      <c r="O505" s="9" t="str">
        <f>IFERROR(__xludf.DUMMYFUNCTION("IF(REGEXMATCH(TRIM(N505),""^[A-Za-z0-9._%+-]+@[A-Za-z0-9.-]+\.[A-Za-z]{2,}$""),""✅ Valid"",""❌ Invalid"")"),"✅ Valid")</f>
        <v>✅ Valid</v>
      </c>
      <c r="P505" s="2" t="str">
        <f t="array" ref="P505">XLOOKUP(I505,customers_clean!$A$2:$A$701,customers_clean!$K$2:$K$701)</f>
        <v>+1 855 43443383</v>
      </c>
      <c r="Q505" s="10" t="str">
        <f t="array" ref="Q505">XLOOKUP(I505,customers_clean!$A$2:$A$701,customers_clean!$N$2:$N$701)</f>
        <v>85543443383</v>
      </c>
      <c r="R505" s="9" t="str">
        <f t="array" ref="R505">XLOOKUP(I505,customers_clean!$A$2:$A$701,customers_clean!$Q$2:$Q$701)</f>
        <v>❌ INVALID</v>
      </c>
      <c r="S505" s="31" t="s">
        <v>671</v>
      </c>
      <c r="T505" s="2" t="s">
        <v>683</v>
      </c>
      <c r="U505" s="2" t="s">
        <v>103</v>
      </c>
      <c r="V505" s="2" t="s">
        <v>1114</v>
      </c>
      <c r="W505" s="9" t="str">
        <f t="array" ref="W505">IF(ISNA(XLOOKUP(V505,products_master_corrected!$A$2:$A$151,products_master_corrected!$A$2:$A$151, NA())),
    "❌ MISSING SKU", "✅")</f>
        <v>✅</v>
      </c>
      <c r="X505" s="2" t="s">
        <v>1147</v>
      </c>
      <c r="Y505" s="2" t="s">
        <v>248</v>
      </c>
      <c r="Z505" s="10" t="s">
        <v>248</v>
      </c>
      <c r="AA505" s="27">
        <v>1.0</v>
      </c>
      <c r="AB505" s="9" t="s">
        <v>8649</v>
      </c>
      <c r="AC505" s="28">
        <f t="array" ref="AC505">XLOOKUP(V505,products_master_corrected!$A$2:$A$151,products_master_corrected!$E$2:$E$151)</f>
        <v>116.16</v>
      </c>
      <c r="AD505" s="28">
        <f t="shared" si="55"/>
        <v>116.16</v>
      </c>
      <c r="AE505" s="28">
        <f t="array" ref="AE505">XLOOKUP(V505,products_master_corrected!$A$2:$A$151,products_master_corrected!$J$2:$J$151)</f>
        <v>135.48</v>
      </c>
      <c r="AF505" s="29">
        <f t="shared" si="56"/>
        <v>135.48</v>
      </c>
      <c r="AG505" s="32" t="s">
        <v>8656</v>
      </c>
      <c r="AH505" s="2" t="s">
        <v>526</v>
      </c>
      <c r="AI505" s="10" t="s">
        <v>49</v>
      </c>
      <c r="AJ505" s="2" t="s">
        <v>294</v>
      </c>
      <c r="AK505" s="10" t="s">
        <v>80</v>
      </c>
    </row>
    <row r="506" ht="15.75" customHeight="1">
      <c r="A506" s="2" t="s">
        <v>5107</v>
      </c>
      <c r="B506" s="12">
        <v>45838.20486111111</v>
      </c>
      <c r="C506" s="2" t="str">
        <f>IFERROR(__xludf.DUMMYFUNCTION("IF(ISNUMBER(B506),TEXT(B506,""yyyy-MM-dd""),REGEXREPLACE(REGEXREPLACE(TO_TEXT(B506),""[^0-9a-zA-Z]+"",""-""),""[^0-9]*$"",""""))"),"2025-06-30")</f>
        <v>2025-06-30</v>
      </c>
      <c r="D506" s="2" t="s">
        <v>1103</v>
      </c>
      <c r="H506" s="10" t="s">
        <v>1103</v>
      </c>
      <c r="I506" s="2" t="s">
        <v>5109</v>
      </c>
      <c r="J506" s="26" t="str">
        <f t="array" ref="J506">IF(ISNA(XLOOKUP(I506,customers_clean!$A$2:$A$701,customers_clean!$A$2:$A$701, NA()) ),
   "❌ MISSING CUSTOMER", "✅")</f>
        <v>✅</v>
      </c>
      <c r="K506" s="2" t="str">
        <f t="array" ref="K506">XLOOKUP(I506,customers_clean!$A$2:$A$701,customers_clean!$C$2:$C$701)</f>
        <v>Rita Williams</v>
      </c>
      <c r="L506" s="10" t="str">
        <f t="array" ref="L506">XLOOKUP(I506,customers_clean!$A$2:$A$701,customers_clean!$D$2:$D$701)</f>
        <v>Rita Williams</v>
      </c>
      <c r="M506" s="2" t="str">
        <f t="array" ref="M506">XLOOKUP(I506,customers_clean!$A$2:$A$701,customers_clean!$I$2:$I$701)</f>
        <v>rita.williams@outlook.com </v>
      </c>
      <c r="N506" s="10" t="str">
        <f t="array" ref="N506">XLOOKUP(I506,customers_clean!$A$2:$A$701,customers_clean!$H$2:$H$701)</f>
        <v>rita.williams@outlook.com</v>
      </c>
      <c r="O506" s="9" t="str">
        <f>IFERROR(__xludf.DUMMYFUNCTION("IF(REGEXMATCH(TRIM(N506),""^[A-Za-z0-9._%+-]+@[A-Za-z0-9.-]+\.[A-Za-z]{2,}$""),""✅ Valid"",""❌ Invalid"")"),"✅ Valid")</f>
        <v>✅ Valid</v>
      </c>
      <c r="P506" s="2" t="str">
        <f t="array" ref="P506">XLOOKUP(I506,customers_clean!$A$2:$A$701,customers_clean!$K$2:$K$701)</f>
        <v>+49737850010</v>
      </c>
      <c r="Q506" s="10" t="str">
        <f t="array" ref="Q506">XLOOKUP(I506,customers_clean!$A$2:$A$701,customers_clean!$N$2:$N$701)</f>
        <v>737850010</v>
      </c>
      <c r="R506" s="9" t="str">
        <f t="array" ref="R506">XLOOKUP(I506,customers_clean!$A$2:$A$701,customers_clean!$Q$2:$Q$701)</f>
        <v>❌ INVALID</v>
      </c>
      <c r="S506" s="10" t="s">
        <v>88</v>
      </c>
      <c r="T506" s="2" t="s">
        <v>26</v>
      </c>
      <c r="U506" s="2" t="s">
        <v>176</v>
      </c>
      <c r="V506" s="2" t="s">
        <v>993</v>
      </c>
      <c r="W506" s="9" t="str">
        <f t="array" ref="W506">IF(ISNA(XLOOKUP(V506,products_master_corrected!$A$2:$A$151,products_master_corrected!$A$2:$A$151, NA())),
    "❌ MISSING SKU", "✅")</f>
        <v>✅</v>
      </c>
      <c r="X506" s="2" t="s">
        <v>994</v>
      </c>
      <c r="Y506" s="2" t="s">
        <v>995</v>
      </c>
      <c r="Z506" s="10" t="s">
        <v>355</v>
      </c>
      <c r="AA506" s="27">
        <v>2.0</v>
      </c>
      <c r="AB506" s="9" t="s">
        <v>8649</v>
      </c>
      <c r="AC506" s="28">
        <f t="array" ref="AC506">XLOOKUP(V506,products_master_corrected!$A$2:$A$151,products_master_corrected!$E$2:$E$151)</f>
        <v>566.38</v>
      </c>
      <c r="AD506" s="28">
        <f t="shared" si="55"/>
        <v>1132.76</v>
      </c>
      <c r="AE506" s="28">
        <f t="array" ref="AE506">XLOOKUP(V506,products_master_corrected!$A$2:$A$151,products_master_corrected!$I$2:$I$151)</f>
        <v>624.38</v>
      </c>
      <c r="AF506" s="29">
        <f t="shared" si="56"/>
        <v>1248.76</v>
      </c>
      <c r="AG506" s="32" t="s">
        <v>8660</v>
      </c>
      <c r="AH506" s="2" t="s">
        <v>5114</v>
      </c>
      <c r="AI506" s="10" t="s">
        <v>181</v>
      </c>
      <c r="AJ506" s="2" t="s">
        <v>132</v>
      </c>
      <c r="AK506" s="10" t="s">
        <v>192</v>
      </c>
    </row>
    <row r="507" ht="15.75" customHeight="1">
      <c r="A507" s="2" t="s">
        <v>2418</v>
      </c>
      <c r="B507" s="12">
        <v>45870.0</v>
      </c>
      <c r="C507" s="2" t="str">
        <f>IFERROR(__xludf.DUMMYFUNCTION("IF(ISNUMBER(B507),TEXT(B507,""yyyy-MM-dd""),REGEXREPLACE(REGEXREPLACE(TO_TEXT(B507),""[^0-9a-zA-Z]+"",""-""),""[^0-9]*$"",""""))"),"2025-08-01")</f>
        <v>2025-08-01</v>
      </c>
      <c r="D507" s="2" t="s">
        <v>4015</v>
      </c>
      <c r="H507" s="10" t="s">
        <v>4015</v>
      </c>
      <c r="I507" s="2" t="s">
        <v>586</v>
      </c>
      <c r="J507" s="26" t="str">
        <f t="array" ref="J507">IF(ISNA(XLOOKUP(I507,customers_clean!$A$2:$A$701,customers_clean!$A$2:$A$701, NA()) ),
   "❌ MISSING CUSTOMER", "✅")</f>
        <v>✅</v>
      </c>
      <c r="K507" s="2" t="str">
        <f t="array" ref="K507">XLOOKUP(I507,customers_clean!$A$2:$A$701,customers_clean!$C$2:$C$701)</f>
        <v> Ken Young</v>
      </c>
      <c r="L507" s="10" t="str">
        <f t="array" ref="L507">XLOOKUP(I507,customers_clean!$A$2:$A$701,customers_clean!$D$2:$D$701)</f>
        <v>Ken Young</v>
      </c>
      <c r="M507" s="2" t="str">
        <f t="array" ref="M507">XLOOKUP(I507,customers_clean!$A$2:$A$701,customers_clean!$I$2:$I$701)</f>
        <v>ken.young@yahoo.com</v>
      </c>
      <c r="N507" s="10" t="str">
        <f t="array" ref="N507">XLOOKUP(I507,customers_clean!$A$2:$A$701,customers_clean!$H$2:$H$701)</f>
        <v>ken.young@yahoo.com</v>
      </c>
      <c r="O507" s="9" t="str">
        <f>IFERROR(__xludf.DUMMYFUNCTION("IF(REGEXMATCH(TRIM(N507),""^[A-Za-z0-9._%+-]+@[A-Za-z0-9.-]+\.[A-Za-z]{2,}$""),""✅ Valid"",""❌ Invalid"")"),"✅ Valid")</f>
        <v>✅ Valid</v>
      </c>
      <c r="P507" s="2" t="str">
        <f t="array" ref="P507">XLOOKUP(I507,customers_clean!$A$2:$A$701,customers_clean!$K$2:$K$701)</f>
        <v>+49892863143</v>
      </c>
      <c r="Q507" s="10" t="str">
        <f t="array" ref="Q507">XLOOKUP(I507,customers_clean!$A$2:$A$701,customers_clean!$N$2:$N$701)</f>
        <v>892863143</v>
      </c>
      <c r="R507" s="9" t="str">
        <f t="array" ref="R507">XLOOKUP(I507,customers_clean!$A$2:$A$701,customers_clean!$Q$2:$Q$701)</f>
        <v>❌ INVALID</v>
      </c>
      <c r="S507" s="10" t="s">
        <v>448</v>
      </c>
      <c r="T507" s="2" t="s">
        <v>42</v>
      </c>
      <c r="U507" s="2" t="s">
        <v>43</v>
      </c>
      <c r="V507" s="2" t="s">
        <v>2420</v>
      </c>
      <c r="W507" s="9" t="str">
        <f t="array" ref="W507">IF(ISNA(XLOOKUP(V507,products_master_corrected!$A$2:$A$151,products_master_corrected!$A$2:$A$151, NA())),
    "❌ MISSING SKU", "✅")</f>
        <v>✅</v>
      </c>
      <c r="X507" s="2" t="s">
        <v>804</v>
      </c>
      <c r="Y507" s="2" t="s">
        <v>2421</v>
      </c>
      <c r="Z507" s="10" t="s">
        <v>248</v>
      </c>
      <c r="AA507" s="27">
        <v>2.0</v>
      </c>
      <c r="AB507" s="9" t="s">
        <v>8649</v>
      </c>
      <c r="AC507" s="28">
        <f t="array" ref="AC507">XLOOKUP(V507,products_master_corrected!$A$2:$A$151,products_master_corrected!$E$2:$E$151)</f>
        <v>21.44</v>
      </c>
      <c r="AD507" s="28">
        <f t="shared" si="55"/>
        <v>42.88</v>
      </c>
      <c r="AE507" s="28">
        <f t="array" ref="AE507">XLOOKUP(V507,products_master_corrected!$A$2:$A$151,products_master_corrected!$M$2:$M$151)</f>
        <v>25.93</v>
      </c>
      <c r="AF507" s="29">
        <f t="shared" si="56"/>
        <v>51.86</v>
      </c>
      <c r="AG507" s="30" t="s">
        <v>48</v>
      </c>
      <c r="AH507" s="2" t="s">
        <v>505</v>
      </c>
      <c r="AI507" s="10" t="s">
        <v>181</v>
      </c>
      <c r="AJ507" s="2" t="s">
        <v>158</v>
      </c>
      <c r="AK507" s="10" t="s">
        <v>818</v>
      </c>
      <c r="AL507" s="2" t="s">
        <v>81</v>
      </c>
    </row>
    <row r="508" ht="15.75" customHeight="1">
      <c r="A508" s="2" t="s">
        <v>584</v>
      </c>
      <c r="B508" s="12">
        <v>45925.0</v>
      </c>
      <c r="C508" s="2" t="str">
        <f>IFERROR(__xludf.DUMMYFUNCTION("IF(ISNUMBER(B508),TEXT(B508,""yyyy-MM-dd""),REGEXREPLACE(REGEXREPLACE(TO_TEXT(B508),""[^0-9a-zA-Z]+"",""-""),""[^0-9]*$"",""""))"),"2025-09-25")</f>
        <v>2025-09-25</v>
      </c>
      <c r="D508" s="2" t="s">
        <v>6244</v>
      </c>
      <c r="H508" s="10" t="s">
        <v>6244</v>
      </c>
      <c r="I508" s="2" t="s">
        <v>586</v>
      </c>
      <c r="J508" s="26" t="str">
        <f t="array" ref="J508">IF(ISNA(XLOOKUP(I508,customers_clean!$A$2:$A$701,customers_clean!$A$2:$A$701, NA()) ),
   "❌ MISSING CUSTOMER", "✅")</f>
        <v>✅</v>
      </c>
      <c r="K508" s="2" t="str">
        <f t="array" ref="K508">XLOOKUP(I508,customers_clean!$A$2:$A$701,customers_clean!$C$2:$C$701)</f>
        <v> Ken Young</v>
      </c>
      <c r="L508" s="10" t="str">
        <f t="array" ref="L508">XLOOKUP(I508,customers_clean!$A$2:$A$701,customers_clean!$D$2:$D$701)</f>
        <v>Ken Young</v>
      </c>
      <c r="M508" s="2" t="str">
        <f t="array" ref="M508">XLOOKUP(I508,customers_clean!$A$2:$A$701,customers_clean!$I$2:$I$701)</f>
        <v>ken.young@yahoo.com</v>
      </c>
      <c r="N508" s="10" t="str">
        <f t="array" ref="N508">XLOOKUP(I508,customers_clean!$A$2:$A$701,customers_clean!$H$2:$H$701)</f>
        <v>ken.young@yahoo.com</v>
      </c>
      <c r="O508" s="9" t="str">
        <f>IFERROR(__xludf.DUMMYFUNCTION("IF(REGEXMATCH(TRIM(N508),""^[A-Za-z0-9._%+-]+@[A-Za-z0-9.-]+\.[A-Za-z]{2,}$""),""✅ Valid"",""❌ Invalid"")"),"✅ Valid")</f>
        <v>✅ Valid</v>
      </c>
      <c r="P508" s="2" t="str">
        <f t="array" ref="P508">XLOOKUP(I508,customers_clean!$A$2:$A$701,customers_clean!$K$2:$K$701)</f>
        <v>+49892863143</v>
      </c>
      <c r="Q508" s="10" t="str">
        <f t="array" ref="Q508">XLOOKUP(I508,customers_clean!$A$2:$A$701,customers_clean!$N$2:$N$701)</f>
        <v>892863143</v>
      </c>
      <c r="R508" s="9" t="str">
        <f t="array" ref="R508">XLOOKUP(I508,customers_clean!$A$2:$A$701,customers_clean!$Q$2:$Q$701)</f>
        <v>❌ INVALID</v>
      </c>
      <c r="S508" s="10" t="s">
        <v>448</v>
      </c>
      <c r="T508" s="2" t="s">
        <v>234</v>
      </c>
      <c r="U508" s="2" t="s">
        <v>590</v>
      </c>
      <c r="V508" s="2" t="s">
        <v>402</v>
      </c>
      <c r="W508" s="9" t="str">
        <f t="array" ref="W508">IF(ISNA(XLOOKUP(V508,products_master_corrected!$A$2:$A$151,products_master_corrected!$A$2:$A$151, NA())),
    "❌ MISSING SKU", "✅")</f>
        <v>✅</v>
      </c>
      <c r="X508" s="2" t="s">
        <v>403</v>
      </c>
      <c r="Y508" s="2" t="s">
        <v>404</v>
      </c>
      <c r="Z508" s="10" t="s">
        <v>248</v>
      </c>
      <c r="AA508" s="27">
        <v>2.0</v>
      </c>
      <c r="AB508" s="9" t="s">
        <v>8649</v>
      </c>
      <c r="AC508" s="28">
        <f t="array" ref="AC508">XLOOKUP(V508,products_master_corrected!$A$2:$A$151,products_master_corrected!$E$2:$E$151)</f>
        <v>20.48</v>
      </c>
      <c r="AD508" s="28">
        <f t="shared" si="55"/>
        <v>40.96</v>
      </c>
      <c r="AE508" s="28">
        <f t="array" ref="AE508">XLOOKUP(V508,products_master_corrected!$A$2:$A$151,products_master_corrected!$M$2:$M$151)</f>
        <v>24.77</v>
      </c>
      <c r="AF508" s="29">
        <f t="shared" si="56"/>
        <v>49.54</v>
      </c>
      <c r="AG508" s="30" t="s">
        <v>48</v>
      </c>
      <c r="AH508" s="2" t="s">
        <v>131</v>
      </c>
      <c r="AI508" s="10" t="s">
        <v>181</v>
      </c>
      <c r="AJ508" s="2" t="s">
        <v>80</v>
      </c>
      <c r="AK508" s="10" t="s">
        <v>80</v>
      </c>
      <c r="AL508" s="2" t="s">
        <v>51</v>
      </c>
    </row>
    <row r="509" ht="15.75" customHeight="1">
      <c r="A509" s="2" t="s">
        <v>880</v>
      </c>
      <c r="B509" s="12">
        <v>45363.0</v>
      </c>
      <c r="C509" s="2" t="str">
        <f>IFERROR(__xludf.DUMMYFUNCTION("IF(ISNUMBER(B509),TEXT(B509,""yyyy-MM-dd""),REGEXREPLACE(REGEXREPLACE(TO_TEXT(B509),""[^0-9a-zA-Z]+"",""-""),""[^0-9]*$"",""""))"),"2024-03-12")</f>
        <v>2024-03-12</v>
      </c>
      <c r="D509" s="2" t="s">
        <v>8862</v>
      </c>
      <c r="H509" s="10" t="s">
        <v>8862</v>
      </c>
      <c r="I509" s="2" t="s">
        <v>586</v>
      </c>
      <c r="J509" s="26" t="str">
        <f t="array" ref="J509">IF(ISNA(XLOOKUP(I509,customers_clean!$A$2:$A$701,customers_clean!$A$2:$A$701, NA()) ),
   "❌ MISSING CUSTOMER", "✅")</f>
        <v>✅</v>
      </c>
      <c r="K509" s="2" t="str">
        <f t="array" ref="K509">XLOOKUP(I509,customers_clean!$A$2:$A$701,customers_clean!$C$2:$C$701)</f>
        <v> Ken Young</v>
      </c>
      <c r="L509" s="10" t="str">
        <f t="array" ref="L509">XLOOKUP(I509,customers_clean!$A$2:$A$701,customers_clean!$D$2:$D$701)</f>
        <v>Ken Young</v>
      </c>
      <c r="M509" s="2" t="str">
        <f t="array" ref="M509">XLOOKUP(I509,customers_clean!$A$2:$A$701,customers_clean!$I$2:$I$701)</f>
        <v>ken.young@yahoo.com</v>
      </c>
      <c r="N509" s="10" t="str">
        <f t="array" ref="N509">XLOOKUP(I509,customers_clean!$A$2:$A$701,customers_clean!$H$2:$H$701)</f>
        <v>ken.young@yahoo.com</v>
      </c>
      <c r="O509" s="9" t="str">
        <f>IFERROR(__xludf.DUMMYFUNCTION("IF(REGEXMATCH(TRIM(N509),""^[A-Za-z0-9._%+-]+@[A-Za-z0-9.-]+\.[A-Za-z]{2,}$""),""✅ Valid"",""❌ Invalid"")"),"✅ Valid")</f>
        <v>✅ Valid</v>
      </c>
      <c r="P509" s="2" t="str">
        <f t="array" ref="P509">XLOOKUP(I509,customers_clean!$A$2:$A$701,customers_clean!$K$2:$K$701)</f>
        <v>+49892863143</v>
      </c>
      <c r="Q509" s="10" t="str">
        <f t="array" ref="Q509">XLOOKUP(I509,customers_clean!$A$2:$A$701,customers_clean!$N$2:$N$701)</f>
        <v>892863143</v>
      </c>
      <c r="R509" s="9" t="str">
        <f t="array" ref="R509">XLOOKUP(I509,customers_clean!$A$2:$A$701,customers_clean!$Q$2:$Q$701)</f>
        <v>❌ INVALID</v>
      </c>
      <c r="S509" s="10" t="s">
        <v>448</v>
      </c>
      <c r="T509" s="2" t="s">
        <v>802</v>
      </c>
      <c r="U509" s="2" t="s">
        <v>43</v>
      </c>
      <c r="V509" s="2" t="s">
        <v>471</v>
      </c>
      <c r="W509" s="9" t="str">
        <f t="array" ref="W509">IF(ISNA(XLOOKUP(V509,products_master_corrected!$A$2:$A$151,products_master_corrected!$A$2:$A$151, NA())),
    "❌ MISSING SKU", "✅")</f>
        <v>✅</v>
      </c>
      <c r="X509" s="2" t="s">
        <v>29</v>
      </c>
      <c r="Y509" s="2" t="s">
        <v>179</v>
      </c>
      <c r="Z509" s="10" t="s">
        <v>179</v>
      </c>
      <c r="AA509" s="27">
        <v>3.0</v>
      </c>
      <c r="AB509" s="9" t="s">
        <v>8649</v>
      </c>
      <c r="AC509" s="28">
        <f t="array" ref="AC509">XLOOKUP(V509,products_master_corrected!$A$2:$A$151,products_master_corrected!$E$2:$E$151)</f>
        <v>71.8</v>
      </c>
      <c r="AD509" s="28">
        <f t="shared" si="55"/>
        <v>215.4</v>
      </c>
      <c r="AE509" s="28">
        <f t="array" ref="AE509">XLOOKUP(V509,products_master_corrected!$A$2:$A$151,products_master_corrected!$M$2:$M$151)</f>
        <v>86.85</v>
      </c>
      <c r="AF509" s="29">
        <f t="shared" si="56"/>
        <v>260.55</v>
      </c>
      <c r="AG509" s="30" t="s">
        <v>48</v>
      </c>
      <c r="AH509" s="2" t="s">
        <v>505</v>
      </c>
      <c r="AI509" s="10" t="s">
        <v>181</v>
      </c>
      <c r="AJ509" s="2" t="s">
        <v>883</v>
      </c>
      <c r="AK509" s="10" t="s">
        <v>80</v>
      </c>
    </row>
    <row r="510" ht="15.75" customHeight="1">
      <c r="A510" s="2" t="s">
        <v>3190</v>
      </c>
      <c r="B510" s="12">
        <v>45894.2625</v>
      </c>
      <c r="C510" s="2" t="str">
        <f>IFERROR(__xludf.DUMMYFUNCTION("IF(ISNUMBER(B510),TEXT(B510,""yyyy-MM-dd""),REGEXREPLACE(REGEXREPLACE(TO_TEXT(B510),""[^0-9a-zA-Z]+"",""-""),""[^0-9]*$"",""""))"),"2025-08-25")</f>
        <v>2025-08-25</v>
      </c>
      <c r="D510" s="2" t="s">
        <v>8863</v>
      </c>
      <c r="H510" s="10" t="s">
        <v>8863</v>
      </c>
      <c r="I510" s="2" t="s">
        <v>586</v>
      </c>
      <c r="J510" s="26" t="str">
        <f t="array" ref="J510">IF(ISNA(XLOOKUP(I510,customers_clean!$A$2:$A$701,customers_clean!$A$2:$A$701, NA()) ),
   "❌ MISSING CUSTOMER", "✅")</f>
        <v>✅</v>
      </c>
      <c r="K510" s="2" t="str">
        <f t="array" ref="K510">XLOOKUP(I510,customers_clean!$A$2:$A$701,customers_clean!$C$2:$C$701)</f>
        <v> Ken Young</v>
      </c>
      <c r="L510" s="10" t="str">
        <f t="array" ref="L510">XLOOKUP(I510,customers_clean!$A$2:$A$701,customers_clean!$D$2:$D$701)</f>
        <v>Ken Young</v>
      </c>
      <c r="M510" s="2" t="str">
        <f t="array" ref="M510">XLOOKUP(I510,customers_clean!$A$2:$A$701,customers_clean!$I$2:$I$701)</f>
        <v>ken.young@yahoo.com</v>
      </c>
      <c r="N510" s="10" t="str">
        <f t="array" ref="N510">XLOOKUP(I510,customers_clean!$A$2:$A$701,customers_clean!$H$2:$H$701)</f>
        <v>ken.young@yahoo.com</v>
      </c>
      <c r="O510" s="9" t="str">
        <f>IFERROR(__xludf.DUMMYFUNCTION("IF(REGEXMATCH(TRIM(N510),""^[A-Za-z0-9._%+-]+@[A-Za-z0-9.-]+\.[A-Za-z]{2,}$""),""✅ Valid"",""❌ Invalid"")"),"✅ Valid")</f>
        <v>✅ Valid</v>
      </c>
      <c r="P510" s="2" t="str">
        <f t="array" ref="P510">XLOOKUP(I510,customers_clean!$A$2:$A$701,customers_clean!$K$2:$K$701)</f>
        <v>+49892863143</v>
      </c>
      <c r="Q510" s="10" t="str">
        <f t="array" ref="Q510">XLOOKUP(I510,customers_clean!$A$2:$A$701,customers_clean!$N$2:$N$701)</f>
        <v>892863143</v>
      </c>
      <c r="R510" s="9" t="str">
        <f t="array" ref="R510">XLOOKUP(I510,customers_clean!$A$2:$A$701,customers_clean!$Q$2:$Q$701)</f>
        <v>❌ INVALID</v>
      </c>
      <c r="S510" s="10" t="s">
        <v>448</v>
      </c>
      <c r="T510" s="2" t="s">
        <v>1167</v>
      </c>
      <c r="U510" s="2" t="s">
        <v>590</v>
      </c>
      <c r="V510" s="2" t="s">
        <v>353</v>
      </c>
      <c r="W510" s="9" t="str">
        <f t="array" ref="W510">IF(ISNA(XLOOKUP(V510,products_master_corrected!$A$2:$A$151,products_master_corrected!$A$2:$A$151, NA())),
    "❌ MISSING SKU", "✅")</f>
        <v>✅</v>
      </c>
      <c r="X510" s="2" t="s">
        <v>62</v>
      </c>
      <c r="Y510" s="2" t="s">
        <v>355</v>
      </c>
      <c r="Z510" s="10" t="s">
        <v>355</v>
      </c>
      <c r="AA510" s="27">
        <v>3.0</v>
      </c>
      <c r="AB510" s="9" t="s">
        <v>8649</v>
      </c>
      <c r="AC510" s="28">
        <f t="array" ref="AC510">XLOOKUP(V510,products_master_corrected!$A$2:$A$151,products_master_corrected!$E$2:$E$151)</f>
        <v>106.56</v>
      </c>
      <c r="AD510" s="28">
        <f t="shared" si="55"/>
        <v>319.68</v>
      </c>
      <c r="AE510" s="28">
        <f t="array" ref="AE510">XLOOKUP(V510,products_master_corrected!$A$2:$A$151,products_master_corrected!$M$2:$M$151)</f>
        <v>128.89</v>
      </c>
      <c r="AF510" s="29">
        <f t="shared" si="56"/>
        <v>386.67</v>
      </c>
      <c r="AG510" s="30" t="s">
        <v>48</v>
      </c>
      <c r="AH510" s="2" t="s">
        <v>526</v>
      </c>
      <c r="AI510" s="10" t="s">
        <v>49</v>
      </c>
      <c r="AJ510" s="2" t="s">
        <v>132</v>
      </c>
      <c r="AK510" s="10" t="s">
        <v>192</v>
      </c>
    </row>
    <row r="511" ht="15.75" customHeight="1">
      <c r="A511" s="2" t="s">
        <v>3154</v>
      </c>
      <c r="B511" s="12">
        <v>45201.0</v>
      </c>
      <c r="C511" s="2" t="str">
        <f>IFERROR(__xludf.DUMMYFUNCTION("IF(ISNUMBER(B511),TEXT(B511,""yyyy-MM-dd""),REGEXREPLACE(REGEXREPLACE(TO_TEXT(B511),""[^0-9a-zA-Z]+"",""-""),""[^0-9]*$"",""""))"),"2023-10-02")</f>
        <v>2023-10-02</v>
      </c>
      <c r="D511" s="2" t="s">
        <v>3155</v>
      </c>
      <c r="H511" s="10" t="s">
        <v>3155</v>
      </c>
      <c r="I511" s="2" t="s">
        <v>3156</v>
      </c>
      <c r="J511" s="26" t="str">
        <f t="array" ref="J511">IF(ISNA(XLOOKUP(I511,customers_clean!$A$2:$A$701,customers_clean!$A$2:$A$701, NA()) ),
   "❌ MISSING CUSTOMER", "✅")</f>
        <v>✅</v>
      </c>
      <c r="K511" s="2" t="str">
        <f t="array" ref="K511">XLOOKUP(I511,customers_clean!$A$2:$A$701,customers_clean!$C$2:$C$701)</f>
        <v>Uma  Williams</v>
      </c>
      <c r="L511" s="10" t="str">
        <f t="array" ref="L511">XLOOKUP(I511,customers_clean!$A$2:$A$701,customers_clean!$D$2:$D$701)</f>
        <v>Uma Williams</v>
      </c>
      <c r="M511" s="2" t="str">
        <f t="array" ref="M511">XLOOKUP(I511,customers_clean!$A$2:$A$701,customers_clean!$I$2:$I$701)</f>
        <v>uma.williams@shop.io</v>
      </c>
      <c r="N511" s="10" t="str">
        <f t="array" ref="N511">XLOOKUP(I511,customers_clean!$A$2:$A$701,customers_clean!$H$2:$H$701)</f>
        <v>uma.williams@shop.io</v>
      </c>
      <c r="O511" s="9" t="str">
        <f>IFERROR(__xludf.DUMMYFUNCTION("IF(REGEXMATCH(TRIM(N511),""^[A-Za-z0-9._%+-]+@[A-Za-z0-9.-]+\.[A-Za-z]{2,}$""),""✅ Valid"",""❌ Invalid"")"),"✅ Valid")</f>
        <v>✅ Valid</v>
      </c>
      <c r="P511" s="2" t="str">
        <f t="array" ref="P511">XLOOKUP(I511,customers_clean!$A$2:$A$701,customers_clean!$K$2:$K$701)</f>
        <v>+34 6897-3545</v>
      </c>
      <c r="Q511" s="10" t="str">
        <f t="array" ref="Q511">XLOOKUP(I511,customers_clean!$A$2:$A$701,customers_clean!$N$2:$N$701)</f>
        <v>68973545</v>
      </c>
      <c r="R511" s="9" t="str">
        <f t="array" ref="R511">XLOOKUP(I511,customers_clean!$A$2:$A$701,customers_clean!$Q$2:$Q$701)</f>
        <v>❌ INVALID</v>
      </c>
      <c r="S511" s="10" t="s">
        <v>608</v>
      </c>
      <c r="T511" s="2" t="s">
        <v>460</v>
      </c>
      <c r="U511" s="2" t="s">
        <v>176</v>
      </c>
      <c r="V511" s="2" t="s">
        <v>2012</v>
      </c>
      <c r="W511" s="9" t="str">
        <f t="array" ref="W511">IF(ISNA(XLOOKUP(V511,products_master_corrected!$A$2:$A$151,products_master_corrected!$A$2:$A$151, NA())),
    "❌ MISSING SKU", "✅")</f>
        <v>✅</v>
      </c>
      <c r="X511" s="2" t="s">
        <v>741</v>
      </c>
      <c r="Y511" s="2" t="s">
        <v>514</v>
      </c>
      <c r="Z511" s="10" t="s">
        <v>514</v>
      </c>
      <c r="AA511" s="27">
        <v>1.0</v>
      </c>
      <c r="AB511" s="9" t="s">
        <v>8649</v>
      </c>
      <c r="AC511" s="28">
        <f t="array" ref="AC511">XLOOKUP(V511,products_master_corrected!$A$2:$A$151,products_master_corrected!$E$2:$E$151)</f>
        <v>40.87</v>
      </c>
      <c r="AD511" s="28">
        <f t="shared" si="55"/>
        <v>40.87</v>
      </c>
      <c r="AE511" s="28">
        <f t="array" ref="AE511">XLOOKUP(V511,products_master_corrected!$A$2:$A$151,products_master_corrected!$H$2:$H$151)</f>
        <v>45.92</v>
      </c>
      <c r="AF511" s="29">
        <f t="shared" si="56"/>
        <v>45.92</v>
      </c>
      <c r="AG511" s="32" t="s">
        <v>8658</v>
      </c>
      <c r="AH511" s="2" t="s">
        <v>66</v>
      </c>
      <c r="AI511" s="10" t="s">
        <v>66</v>
      </c>
      <c r="AJ511" s="2" t="s">
        <v>818</v>
      </c>
      <c r="AK511" s="10" t="s">
        <v>818</v>
      </c>
    </row>
    <row r="512" ht="15.75" customHeight="1">
      <c r="A512" s="2" t="s">
        <v>4230</v>
      </c>
      <c r="B512" s="12" t="s">
        <v>4231</v>
      </c>
      <c r="C512" s="2" t="str">
        <f>IFERROR(__xludf.DUMMYFUNCTION("IF(ISNUMBER(B512),TEXT(B512,""yyyy-MM-dd""),REGEXREPLACE(REGEXREPLACE(TO_TEXT(B512),""[^0-9a-zA-Z]+"",""-""),""[^0-9]*$"",""""))"),"15-08-2024-17-00")</f>
        <v>15-08-2024-17-00</v>
      </c>
      <c r="D512" s="2" t="str">
        <f>TEXT(C512,"yyyy-MM-dd")</f>
        <v>15-08-2024-17-00</v>
      </c>
      <c r="E512" s="12" t="str">
        <f>IFERROR(__xludf.DUMMYFUNCTION("REGEXEXTRACT(D512,""^\d{2}-\d{2}-\d{4}"")"),"15-08-2024")</f>
        <v>15-08-2024</v>
      </c>
      <c r="F512" s="2" t="s">
        <v>4275</v>
      </c>
      <c r="H512" s="10" t="s">
        <v>4275</v>
      </c>
      <c r="I512" s="2" t="s">
        <v>4232</v>
      </c>
      <c r="J512" s="26" t="str">
        <f t="array" ref="J512">IF(ISNA(XLOOKUP(I512,customers_clean!$A$2:$A$701,customers_clean!$A$2:$A$701, NA()) ),
   "❌ MISSING CUSTOMER", "✅")</f>
        <v>✅</v>
      </c>
      <c r="K512" s="2" t="str">
        <f t="array" ref="K512">XLOOKUP(I512,customers_clean!$A$2:$A$701,customers_clean!$C$2:$C$701)</f>
        <v>Tara Young</v>
      </c>
      <c r="L512" s="10" t="str">
        <f t="array" ref="L512">XLOOKUP(I512,customers_clean!$A$2:$A$701,customers_clean!$D$2:$D$701)</f>
        <v>Tara Young</v>
      </c>
      <c r="M512" s="2" t="str">
        <f t="array" ref="M512">XLOOKUP(I512,customers_clean!$A$2:$A$701,customers_clean!$I$2:$I$701)</f>
        <v>tara.young@yahoo.com </v>
      </c>
      <c r="N512" s="10" t="str">
        <f t="array" ref="N512">XLOOKUP(I512,customers_clean!$A$2:$A$701,customers_clean!$H$2:$H$701)</f>
        <v>tara.young@yahoo.com</v>
      </c>
      <c r="O512" s="9" t="str">
        <f>IFERROR(__xludf.DUMMYFUNCTION("IF(REGEXMATCH(TRIM(N512),""^[A-Za-z0-9._%+-]+@[A-Za-z0-9.-]+\.[A-Za-z]{2,}$""),""✅ Valid"",""❌ Invalid"")"),"✅ Valid")</f>
        <v>✅ Valid</v>
      </c>
      <c r="P512" s="2" t="str">
        <f t="array" ref="P512">XLOOKUP(I512,customers_clean!$A$2:$A$701,customers_clean!$K$2:$K$701)</f>
        <v>+34 364 25342</v>
      </c>
      <c r="Q512" s="10" t="str">
        <f t="array" ref="Q512">XLOOKUP(I512,customers_clean!$A$2:$A$701,customers_clean!$N$2:$N$701)</f>
        <v>36425342</v>
      </c>
      <c r="R512" s="9" t="str">
        <f t="array" ref="R512">XLOOKUP(I512,customers_clean!$A$2:$A$701,customers_clean!$Q$2:$Q$701)</f>
        <v>❌ INVALID</v>
      </c>
      <c r="S512" s="10" t="s">
        <v>58</v>
      </c>
      <c r="T512" s="2" t="s">
        <v>26</v>
      </c>
      <c r="U512" s="2" t="s">
        <v>60</v>
      </c>
      <c r="V512" s="2" t="s">
        <v>711</v>
      </c>
      <c r="W512" s="9" t="str">
        <f t="array" ref="W512">IF(ISNA(XLOOKUP(V512,products_master_corrected!$A$2:$A$151,products_master_corrected!$A$2:$A$151, NA())),
    "❌ MISSING SKU", "✅")</f>
        <v>✅</v>
      </c>
      <c r="X512" s="2" t="s">
        <v>403</v>
      </c>
      <c r="Y512" s="2" t="s">
        <v>637</v>
      </c>
      <c r="Z512" s="10" t="s">
        <v>514</v>
      </c>
      <c r="AA512" s="27">
        <v>5.0</v>
      </c>
      <c r="AB512" s="9" t="s">
        <v>8649</v>
      </c>
      <c r="AC512" s="28">
        <f t="array" ref="AC512">XLOOKUP(V512,products_master_corrected!$A$2:$A$151,products_master_corrected!$E$2:$E$151)</f>
        <v>43.64</v>
      </c>
      <c r="AD512" s="28">
        <f t="shared" si="55"/>
        <v>218.2</v>
      </c>
      <c r="AE512" s="28">
        <f t="array" ref="AE512">XLOOKUP(V512,products_master_corrected!$A$2:$A$151,products_master_corrected!$G$2:$G$151)</f>
        <v>49.96</v>
      </c>
      <c r="AF512" s="29">
        <f t="shared" si="56"/>
        <v>249.8</v>
      </c>
      <c r="AG512" s="32" t="s">
        <v>8663</v>
      </c>
      <c r="AH512" s="2" t="s">
        <v>305</v>
      </c>
      <c r="AI512" s="10" t="s">
        <v>49</v>
      </c>
      <c r="AJ512" s="2" t="s">
        <v>50</v>
      </c>
      <c r="AK512" s="10" t="s">
        <v>261</v>
      </c>
      <c r="AL512" s="2" t="s">
        <v>51</v>
      </c>
    </row>
    <row r="513" ht="15.75" customHeight="1">
      <c r="A513" s="2" t="s">
        <v>6048</v>
      </c>
      <c r="B513" s="12">
        <v>45744.0</v>
      </c>
      <c r="C513" s="2" t="str">
        <f>IFERROR(__xludf.DUMMYFUNCTION("IF(ISNUMBER(B513),TEXT(B513,""yyyy-MM-dd""),REGEXREPLACE(REGEXREPLACE(TO_TEXT(B513),""[^0-9a-zA-Z]+"",""-""),""[^0-9]*$"",""""))"),"2025-03-28")</f>
        <v>2025-03-28</v>
      </c>
      <c r="D513" s="2" t="s">
        <v>8864</v>
      </c>
      <c r="H513" s="10" t="s">
        <v>8864</v>
      </c>
      <c r="I513" s="2" t="s">
        <v>4232</v>
      </c>
      <c r="J513" s="26" t="str">
        <f t="array" ref="J513">IF(ISNA(XLOOKUP(I513,customers_clean!$A$2:$A$701,customers_clean!$A$2:$A$701, NA()) ),
   "❌ MISSING CUSTOMER", "✅")</f>
        <v>✅</v>
      </c>
      <c r="K513" s="2" t="str">
        <f t="array" ref="K513">XLOOKUP(I513,customers_clean!$A$2:$A$701,customers_clean!$C$2:$C$701)</f>
        <v>Tara Young</v>
      </c>
      <c r="L513" s="10" t="str">
        <f t="array" ref="L513">XLOOKUP(I513,customers_clean!$A$2:$A$701,customers_clean!$D$2:$D$701)</f>
        <v>Tara Young</v>
      </c>
      <c r="M513" s="2" t="str">
        <f t="array" ref="M513">XLOOKUP(I513,customers_clean!$A$2:$A$701,customers_clean!$I$2:$I$701)</f>
        <v>tara.young@yahoo.com </v>
      </c>
      <c r="N513" s="10" t="str">
        <f t="array" ref="N513">XLOOKUP(I513,customers_clean!$A$2:$A$701,customers_clean!$H$2:$H$701)</f>
        <v>tara.young@yahoo.com</v>
      </c>
      <c r="O513" s="9" t="str">
        <f>IFERROR(__xludf.DUMMYFUNCTION("IF(REGEXMATCH(TRIM(N513),""^[A-Za-z0-9._%+-]+@[A-Za-z0-9.-]+\.[A-Za-z]{2,}$""),""✅ Valid"",""❌ Invalid"")"),"✅ Valid")</f>
        <v>✅ Valid</v>
      </c>
      <c r="P513" s="2" t="str">
        <f t="array" ref="P513">XLOOKUP(I513,customers_clean!$A$2:$A$701,customers_clean!$K$2:$K$701)</f>
        <v>+34 364 25342</v>
      </c>
      <c r="Q513" s="10" t="str">
        <f t="array" ref="Q513">XLOOKUP(I513,customers_clean!$A$2:$A$701,customers_clean!$N$2:$N$701)</f>
        <v>36425342</v>
      </c>
      <c r="R513" s="9" t="str">
        <f t="array" ref="R513">XLOOKUP(I513,customers_clean!$A$2:$A$701,customers_clean!$Q$2:$Q$701)</f>
        <v>❌ INVALID</v>
      </c>
      <c r="S513" s="10" t="s">
        <v>58</v>
      </c>
      <c r="T513" s="2" t="s">
        <v>323</v>
      </c>
      <c r="U513" s="2" t="s">
        <v>401</v>
      </c>
      <c r="V513" s="2" t="s">
        <v>279</v>
      </c>
      <c r="W513" s="9" t="str">
        <f t="array" ref="W513">IF(ISNA(XLOOKUP(V513,products_master_corrected!$A$2:$A$151,products_master_corrected!$A$2:$A$151, NA())),
    "❌ MISSING SKU", "✅")</f>
        <v>✅</v>
      </c>
      <c r="X513" s="2" t="s">
        <v>280</v>
      </c>
      <c r="Y513" s="2" t="s">
        <v>281</v>
      </c>
      <c r="Z513" s="10" t="s">
        <v>248</v>
      </c>
      <c r="AA513" s="27">
        <v>1.0</v>
      </c>
      <c r="AB513" s="9" t="s">
        <v>8649</v>
      </c>
      <c r="AC513" s="28">
        <f t="array" ref="AC513">XLOOKUP(V513,products_master_corrected!$A$2:$A$151,products_master_corrected!$E$2:$E$151)</f>
        <v>95.88</v>
      </c>
      <c r="AD513" s="28">
        <f t="shared" si="55"/>
        <v>95.88</v>
      </c>
      <c r="AE513" s="28">
        <f t="array" ref="AE513">XLOOKUP(V513,products_master_corrected!$A$2:$A$151,products_master_corrected!$G$2:$G$151)</f>
        <v>109.76</v>
      </c>
      <c r="AF513" s="29">
        <f t="shared" si="56"/>
        <v>109.76</v>
      </c>
      <c r="AG513" s="32" t="s">
        <v>8663</v>
      </c>
      <c r="AH513" s="2" t="s">
        <v>181</v>
      </c>
      <c r="AI513" s="10" t="s">
        <v>181</v>
      </c>
      <c r="AJ513" s="2" t="s">
        <v>3223</v>
      </c>
      <c r="AK513" s="10" t="s">
        <v>261</v>
      </c>
      <c r="AL513" s="2" t="s">
        <v>67</v>
      </c>
    </row>
    <row r="514" ht="15.75" customHeight="1">
      <c r="A514" s="2" t="s">
        <v>5505</v>
      </c>
      <c r="B514" s="12" t="s">
        <v>5506</v>
      </c>
      <c r="C514" s="2" t="str">
        <f>IFERROR(__xludf.DUMMYFUNCTION("IF(ISNUMBER(B514),TEXT(B514,""yyyy-MM-dd""),REGEXREPLACE(REGEXREPLACE(TO_TEXT(B514),""[^0-9a-zA-Z]+"",""-""),""[^0-9]*$"",""""))"),"01-30-2024")</f>
        <v>01-30-2024</v>
      </c>
      <c r="D514" s="2" t="str">
        <f>TEXT(C514,"yyyy-MM-dd")</f>
        <v>01-30-2024</v>
      </c>
      <c r="E514" s="2" t="s">
        <v>7004</v>
      </c>
      <c r="H514" s="10" t="s">
        <v>7004</v>
      </c>
      <c r="I514" s="2" t="s">
        <v>5507</v>
      </c>
      <c r="J514" s="26" t="str">
        <f t="array" ref="J514">IF(ISNA(XLOOKUP(I514,customers_clean!$A$2:$A$701,customers_clean!$A$2:$A$701, NA()) ),
   "❌ MISSING CUSTOMER", "✅")</f>
        <v>✅</v>
      </c>
      <c r="K514" s="2" t="str">
        <f t="array" ref="K514">XLOOKUP(I514,customers_clean!$A$2:$A$701,customers_clean!$C$2:$C$701)</f>
        <v> Nina Rodriguez</v>
      </c>
      <c r="L514" s="10" t="str">
        <f t="array" ref="L514">XLOOKUP(I514,customers_clean!$A$2:$A$701,customers_clean!$D$2:$D$701)</f>
        <v>Nina Rodriguez</v>
      </c>
      <c r="M514" s="2" t="str">
        <f t="array" ref="M514">XLOOKUP(I514,customers_clean!$A$2:$A$701,customers_clean!$I$2:$I$701)</f>
        <v>Nina.Rodriguez@Gamil.Com</v>
      </c>
      <c r="N514" s="10" t="str">
        <f t="array" ref="N514">XLOOKUP(I514,customers_clean!$A$2:$A$701,customers_clean!$H$2:$H$701)</f>
        <v>nina.rodriguez@gamil.com</v>
      </c>
      <c r="O514" s="9" t="str">
        <f>IFERROR(__xludf.DUMMYFUNCTION("IF(REGEXMATCH(TRIM(N514),""^[A-Za-z0-9._%+-]+@[A-Za-z0-9.-]+\.[A-Za-z]{2,}$""),""✅ Valid"",""❌ Invalid"")"),"✅ Valid")</f>
        <v>✅ Valid</v>
      </c>
      <c r="P514" s="2" t="str">
        <f t="array" ref="P514">XLOOKUP(I514,customers_clean!$A$2:$A$701,customers_clean!$K$2:$K$701)</f>
        <v>+44431695571</v>
      </c>
      <c r="Q514" s="10" t="str">
        <f t="array" ref="Q514">XLOOKUP(I514,customers_clean!$A$2:$A$701,customers_clean!$N$2:$N$701)</f>
        <v>431695571</v>
      </c>
      <c r="R514" s="9" t="str">
        <f t="array" ref="R514">XLOOKUP(I514,customers_clean!$A$2:$A$701,customers_clean!$Q$2:$Q$701)</f>
        <v>❌ INVALID</v>
      </c>
      <c r="S514" s="31" t="s">
        <v>671</v>
      </c>
      <c r="T514" s="2" t="s">
        <v>301</v>
      </c>
      <c r="U514" s="2" t="s">
        <v>333</v>
      </c>
      <c r="V514" s="2" t="s">
        <v>224</v>
      </c>
      <c r="W514" s="9" t="str">
        <f t="array" ref="W514">IF(ISNA(XLOOKUP(V514,products_master_corrected!$A$2:$A$151,products_master_corrected!$A$2:$A$151, NA())),
    "❌ MISSING SKU", "✅")</f>
        <v>✅</v>
      </c>
      <c r="X514" s="2" t="s">
        <v>225</v>
      </c>
      <c r="Y514" s="2" t="s">
        <v>214</v>
      </c>
      <c r="Z514" s="10" t="s">
        <v>368</v>
      </c>
      <c r="AA514" s="27">
        <v>1.0</v>
      </c>
      <c r="AB514" s="9" t="s">
        <v>8649</v>
      </c>
      <c r="AC514" s="28">
        <f t="array" ref="AC514">XLOOKUP(V514,products_master_corrected!$A$2:$A$151,products_master_corrected!$E$2:$E$151)</f>
        <v>19.28</v>
      </c>
      <c r="AD514" s="28">
        <f t="shared" si="55"/>
        <v>19.28</v>
      </c>
      <c r="AE514" s="28">
        <f t="array" ref="AE514">XLOOKUP(V514,products_master_corrected!$A$2:$A$151,products_master_corrected!$J$2:$J$151)</f>
        <v>22.49</v>
      </c>
      <c r="AF514" s="29">
        <f t="shared" si="56"/>
        <v>22.49</v>
      </c>
      <c r="AG514" s="32" t="s">
        <v>8656</v>
      </c>
      <c r="AH514" s="2" t="s">
        <v>143</v>
      </c>
      <c r="AI514" s="10" t="s">
        <v>143</v>
      </c>
      <c r="AJ514" s="2" t="s">
        <v>5512</v>
      </c>
      <c r="AK514" s="10" t="s">
        <v>818</v>
      </c>
      <c r="AL514" s="2" t="s">
        <v>67</v>
      </c>
    </row>
    <row r="515" ht="15.75" customHeight="1">
      <c r="A515" s="2" t="s">
        <v>1230</v>
      </c>
      <c r="B515" s="12">
        <v>45138.0</v>
      </c>
      <c r="C515" s="2" t="str">
        <f>IFERROR(__xludf.DUMMYFUNCTION("IF(ISNUMBER(B515),TEXT(B515,""yyyy-MM-dd""),REGEXREPLACE(REGEXREPLACE(TO_TEXT(B515),""[^0-9a-zA-Z]+"",""-""),""[^0-9]*$"",""""))"),"2023-07-31")</f>
        <v>2023-07-31</v>
      </c>
      <c r="D515" s="2" t="s">
        <v>7736</v>
      </c>
      <c r="H515" s="10" t="s">
        <v>7736</v>
      </c>
      <c r="I515" s="2" t="s">
        <v>1232</v>
      </c>
      <c r="J515" s="26" t="str">
        <f t="array" ref="J515">IF(ISNA(XLOOKUP(I515,customers_clean!$A$2:$A$701,customers_clean!$A$2:$A$701, NA()) ),
   "❌ MISSING CUSTOMER", "✅")</f>
        <v>✅</v>
      </c>
      <c r="K515" s="2" t="str">
        <f t="array" ref="K515">XLOOKUP(I515,customers_clean!$A$2:$A$701,customers_clean!$C$2:$C$701)</f>
        <v>Fiona King</v>
      </c>
      <c r="L515" s="10" t="str">
        <f t="array" ref="L515">XLOOKUP(I515,customers_clean!$A$2:$A$701,customers_clean!$D$2:$D$701)</f>
        <v>Fiona King</v>
      </c>
      <c r="M515" s="2" t="str">
        <f t="array" ref="M515">XLOOKUP(I515,customers_clean!$A$2:$A$701,customers_clean!$I$2:$I$701)</f>
        <v> fiona.king@outlook.com</v>
      </c>
      <c r="N515" s="10" t="str">
        <f t="array" ref="N515">XLOOKUP(I515,customers_clean!$A$2:$A$701,customers_clean!$H$2:$H$701)</f>
        <v>fiona.king@outlook.com</v>
      </c>
      <c r="O515" s="9" t="str">
        <f>IFERROR(__xludf.DUMMYFUNCTION("IF(REGEXMATCH(TRIM(N515),""^[A-Za-z0-9._%+-]+@[A-Za-z0-9.-]+\.[A-Za-z]{2,}$""),""✅ Valid"",""❌ Invalid"")"),"✅ Valid")</f>
        <v>✅ Valid</v>
      </c>
      <c r="P515" s="2" t="str">
        <f t="array" ref="P515">XLOOKUP(I515,customers_clean!$A$2:$A$701,customers_clean!$K$2:$K$701)</f>
        <v>+353 743 42799</v>
      </c>
      <c r="Q515" s="10" t="str">
        <f t="array" ref="Q515">XLOOKUP(I515,customers_clean!$A$2:$A$701,customers_clean!$N$2:$N$701)</f>
        <v>74342799</v>
      </c>
      <c r="R515" s="9" t="str">
        <f t="array" ref="R515">XLOOKUP(I515,customers_clean!$A$2:$A$701,customers_clean!$Q$2:$Q$701)</f>
        <v>❌ INVALID</v>
      </c>
      <c r="S515" s="10" t="s">
        <v>448</v>
      </c>
      <c r="T515" s="2" t="s">
        <v>26</v>
      </c>
      <c r="U515" s="2" t="s">
        <v>176</v>
      </c>
      <c r="V515" s="2" t="s">
        <v>1236</v>
      </c>
      <c r="W515" s="9" t="str">
        <f t="array" ref="W515">IF(ISNA(XLOOKUP(V515,products_master_corrected!$A$2:$A$151,products_master_corrected!$A$2:$A$151, NA())),
    "❌ MISSING SKU", "✅")</f>
        <v>✅</v>
      </c>
      <c r="X515" s="2" t="s">
        <v>524</v>
      </c>
      <c r="Y515" s="2" t="s">
        <v>637</v>
      </c>
      <c r="Z515" s="10" t="s">
        <v>514</v>
      </c>
      <c r="AA515" s="27">
        <v>1.0</v>
      </c>
      <c r="AB515" s="9" t="s">
        <v>8649</v>
      </c>
      <c r="AC515" s="28">
        <f t="array" ref="AC515">XLOOKUP(V515,products_master_corrected!$A$2:$A$151,products_master_corrected!$E$2:$E$151)</f>
        <v>140.44</v>
      </c>
      <c r="AD515" s="28">
        <f t="shared" si="55"/>
        <v>140.44</v>
      </c>
      <c r="AE515" s="28">
        <f t="array" ref="AE515">XLOOKUP(V515,products_master_corrected!$A$2:$A$151,products_master_corrected!$M$2:$M$151)</f>
        <v>169.88</v>
      </c>
      <c r="AF515" s="29">
        <f t="shared" si="56"/>
        <v>169.88</v>
      </c>
      <c r="AG515" s="30" t="s">
        <v>48</v>
      </c>
      <c r="AH515" s="2" t="s">
        <v>66</v>
      </c>
      <c r="AI515" s="10" t="s">
        <v>66</v>
      </c>
      <c r="AJ515" s="2" t="s">
        <v>294</v>
      </c>
      <c r="AK515" s="10" t="s">
        <v>80</v>
      </c>
    </row>
    <row r="516" ht="15.75" customHeight="1">
      <c r="A516" s="2" t="s">
        <v>3954</v>
      </c>
      <c r="B516" s="12">
        <v>45101.472916666666</v>
      </c>
      <c r="C516" s="2" t="str">
        <f>IFERROR(__xludf.DUMMYFUNCTION("IF(ISNUMBER(B516),TEXT(B516,""yyyy-MM-dd""),REGEXREPLACE(REGEXREPLACE(TO_TEXT(B516),""[^0-9a-zA-Z]+"",""-""),""[^0-9]*$"",""""))"),"2023-06-24")</f>
        <v>2023-06-24</v>
      </c>
      <c r="D516" s="2" t="s">
        <v>8865</v>
      </c>
      <c r="H516" s="10" t="s">
        <v>8865</v>
      </c>
      <c r="I516" s="2" t="s">
        <v>3956</v>
      </c>
      <c r="J516" s="26" t="str">
        <f t="array" ref="J516">IF(ISNA(XLOOKUP(I516,customers_clean!$A$2:$A$701,customers_clean!$A$2:$A$701, NA()) ),
   "❌ MISSING CUSTOMER", "✅")</f>
        <v>✅</v>
      </c>
      <c r="K516" s="2" t="str">
        <f t="array" ref="K516">XLOOKUP(I516,customers_clean!$A$2:$A$701,customers_clean!$C$2:$C$701)</f>
        <v>XENIA DUBOIS</v>
      </c>
      <c r="L516" s="10" t="str">
        <f t="array" ref="L516">XLOOKUP(I516,customers_clean!$A$2:$A$701,customers_clean!$D$2:$D$701)</f>
        <v>Xenia Dubois</v>
      </c>
      <c r="M516" s="2" t="str">
        <f t="array" ref="M516">XLOOKUP(I516,customers_clean!$A$2:$A$701,customers_clean!$I$2:$I$701)</f>
        <v>xenia.dubois@shop.io</v>
      </c>
      <c r="N516" s="10" t="str">
        <f t="array" ref="N516">XLOOKUP(I516,customers_clean!$A$2:$A$701,customers_clean!$H$2:$H$701)</f>
        <v>xenia.dubois@shop.io</v>
      </c>
      <c r="O516" s="9" t="str">
        <f>IFERROR(__xludf.DUMMYFUNCTION("IF(REGEXMATCH(TRIM(N516),""^[A-Za-z0-9._%+-]+@[A-Za-z0-9.-]+\.[A-Za-z]{2,}$""),""✅ Valid"",""❌ Invalid"")"),"✅ Valid")</f>
        <v>✅ Valid</v>
      </c>
      <c r="P516" s="2" t="str">
        <f t="array" ref="P516">XLOOKUP(I516,customers_clean!$A$2:$A$701,customers_clean!$K$2:$K$701)</f>
        <v>+330565568874</v>
      </c>
      <c r="Q516" s="10" t="str">
        <f t="array" ref="Q516">XLOOKUP(I516,customers_clean!$A$2:$A$701,customers_clean!$N$2:$N$701)</f>
        <v>0565568874</v>
      </c>
      <c r="R516" s="9" t="str">
        <f t="array" ref="R516">XLOOKUP(I516,customers_clean!$A$2:$A$701,customers_clean!$Q$2:$Q$701)</f>
        <v>❌ INVALID</v>
      </c>
      <c r="S516" s="10" t="s">
        <v>139</v>
      </c>
      <c r="T516" s="2" t="s">
        <v>683</v>
      </c>
      <c r="U516" s="2" t="s">
        <v>43</v>
      </c>
      <c r="V516" s="2" t="s">
        <v>1460</v>
      </c>
      <c r="W516" s="9" t="str">
        <f t="array" ref="W516">IF(ISNA(XLOOKUP(V516,products_master_corrected!$A$2:$A$151,products_master_corrected!$A$2:$A$151, NA())),
    "❌ MISSING SKU", "✅")</f>
        <v>✅</v>
      </c>
      <c r="X516" s="2" t="s">
        <v>1138</v>
      </c>
      <c r="Y516" s="2" t="s">
        <v>368</v>
      </c>
      <c r="Z516" s="10" t="s">
        <v>368</v>
      </c>
      <c r="AA516" s="27">
        <v>2.0</v>
      </c>
      <c r="AB516" s="9" t="s">
        <v>8649</v>
      </c>
      <c r="AC516" s="28">
        <f t="array" ref="AC516">XLOOKUP(V516,products_master_corrected!$A$2:$A$151,products_master_corrected!$E$2:$E$151)</f>
        <v>271.81</v>
      </c>
      <c r="AD516" s="28">
        <f t="shared" si="55"/>
        <v>543.62</v>
      </c>
      <c r="AE516" s="28">
        <f t="array" ref="AE516">XLOOKUP(V516,products_master_corrected!$A$2:$A$151,products_master_corrected!$L$2:$L$151)</f>
        <v>293.96</v>
      </c>
      <c r="AF516" s="29">
        <f t="shared" si="56"/>
        <v>587.92</v>
      </c>
      <c r="AG516" s="32" t="s">
        <v>8665</v>
      </c>
      <c r="AH516" s="2" t="s">
        <v>181</v>
      </c>
      <c r="AI516" s="10" t="s">
        <v>181</v>
      </c>
      <c r="AJ516" s="2" t="s">
        <v>294</v>
      </c>
      <c r="AK516" s="10" t="s">
        <v>80</v>
      </c>
      <c r="AL516" s="2" t="s">
        <v>67</v>
      </c>
    </row>
    <row r="517" ht="15.75" customHeight="1">
      <c r="A517" s="2" t="s">
        <v>2485</v>
      </c>
      <c r="B517" s="12" t="s">
        <v>2486</v>
      </c>
      <c r="C517" s="2" t="str">
        <f>IFERROR(__xludf.DUMMYFUNCTION("IF(ISNUMBER(B517),TEXT(B517,""yyyy-MM-dd""),REGEXREPLACE(REGEXREPLACE(TO_TEXT(B517),""[^0-9a-zA-Z]+"",""-""),""[^0-9]*$"",""""))"),"04-28-2024")</f>
        <v>04-28-2024</v>
      </c>
      <c r="D517" s="2" t="str">
        <f>TEXT(C517,"yyyy-MM-dd")</f>
        <v>04-28-2024</v>
      </c>
      <c r="E517" s="2" t="s">
        <v>8154</v>
      </c>
      <c r="H517" s="10" t="s">
        <v>8154</v>
      </c>
      <c r="I517" s="2" t="s">
        <v>2487</v>
      </c>
      <c r="J517" s="26" t="str">
        <f t="array" ref="J517">IF(ISNA(XLOOKUP(I517,customers_clean!$A$2:$A$701,customers_clean!$A$2:$A$701, NA()) ),
   "❌ MISSING CUSTOMER", "✅")</f>
        <v>✅</v>
      </c>
      <c r="K517" s="2" t="str">
        <f t="array" ref="K517">XLOOKUP(I517,customers_clean!$A$2:$A$701,customers_clean!$C$2:$C$701)</f>
        <v>Yara  Smith</v>
      </c>
      <c r="L517" s="10" t="str">
        <f t="array" ref="L517">XLOOKUP(I517,customers_clean!$A$2:$A$701,customers_clean!$D$2:$D$701)</f>
        <v>Yara Smith</v>
      </c>
      <c r="M517" s="2" t="str">
        <f t="array" ref="M517">XLOOKUP(I517,customers_clean!$A$2:$A$701,customers_clean!$I$2:$I$701)</f>
        <v>yara.smith@example.com</v>
      </c>
      <c r="N517" s="10" t="str">
        <f t="array" ref="N517">XLOOKUP(I517,customers_clean!$A$2:$A$701,customers_clean!$H$2:$H$701)</f>
        <v>yara.smith@example.com</v>
      </c>
      <c r="O517" s="9" t="str">
        <f>IFERROR(__xludf.DUMMYFUNCTION("IF(REGEXMATCH(TRIM(N517),""^[A-Za-z0-9._%+-]+@[A-Za-z0-9.-]+\.[A-Za-z]{2,}$""),""✅ Valid"",""❌ Invalid"")"),"✅ Valid")</f>
        <v>✅ Valid</v>
      </c>
      <c r="P517" s="2" t="str">
        <f t="array" ref="P517">XLOOKUP(I517,customers_clean!$A$2:$A$701,customers_clean!$K$2:$K$701)</f>
        <v>+39 896 269879</v>
      </c>
      <c r="Q517" s="10" t="str">
        <f t="array" ref="Q517">XLOOKUP(I517,customers_clean!$A$2:$A$701,customers_clean!$N$2:$N$701)</f>
        <v>896269879</v>
      </c>
      <c r="R517" s="9" t="str">
        <f t="array" ref="R517">XLOOKUP(I517,customers_clean!$A$2:$A$701,customers_clean!$Q$2:$Q$701)</f>
        <v>❌ INVALID</v>
      </c>
      <c r="S517" s="10" t="s">
        <v>139</v>
      </c>
      <c r="T517" s="2" t="s">
        <v>26</v>
      </c>
      <c r="U517" s="2" t="s">
        <v>480</v>
      </c>
      <c r="V517" s="2" t="s">
        <v>1606</v>
      </c>
      <c r="W517" s="9" t="str">
        <f t="array" ref="W517">IF(ISNA(XLOOKUP(V517,products_master_corrected!$A$2:$A$151,products_master_corrected!$A$2:$A$151, NA())),
    "❌ MISSING SKU", "✅")</f>
        <v>✅</v>
      </c>
      <c r="X517" s="2" t="s">
        <v>213</v>
      </c>
      <c r="Y517" s="2" t="s">
        <v>106</v>
      </c>
      <c r="Z517" s="10" t="s">
        <v>368</v>
      </c>
      <c r="AA517" s="27"/>
      <c r="AB517" s="9" t="s">
        <v>8677</v>
      </c>
      <c r="AC517" s="34"/>
      <c r="AD517" s="34"/>
      <c r="AE517" s="34"/>
      <c r="AF517" s="35"/>
      <c r="AG517" s="36" t="s">
        <v>95</v>
      </c>
      <c r="AH517" s="2" t="s">
        <v>131</v>
      </c>
      <c r="AI517" s="10" t="s">
        <v>181</v>
      </c>
      <c r="AJ517" s="2" t="s">
        <v>294</v>
      </c>
      <c r="AK517" s="10" t="s">
        <v>80</v>
      </c>
    </row>
    <row r="518" ht="15.75" customHeight="1">
      <c r="A518" s="2" t="s">
        <v>5190</v>
      </c>
      <c r="B518" s="12">
        <v>45876.0</v>
      </c>
      <c r="C518" s="2" t="str">
        <f>IFERROR(__xludf.DUMMYFUNCTION("IF(ISNUMBER(B518),TEXT(B518,""yyyy-MM-dd""),REGEXREPLACE(REGEXREPLACE(TO_TEXT(B518),""[^0-9a-zA-Z]+"",""-""),""[^0-9]*$"",""""))"),"2025-08-07")</f>
        <v>2025-08-07</v>
      </c>
      <c r="D518" s="2" t="s">
        <v>8760</v>
      </c>
      <c r="H518" s="10" t="s">
        <v>8760</v>
      </c>
      <c r="I518" s="2" t="s">
        <v>2487</v>
      </c>
      <c r="J518" s="26" t="str">
        <f t="array" ref="J518">IF(ISNA(XLOOKUP(I518,customers_clean!$A$2:$A$701,customers_clean!$A$2:$A$701, NA()) ),
   "❌ MISSING CUSTOMER", "✅")</f>
        <v>✅</v>
      </c>
      <c r="K518" s="2" t="str">
        <f t="array" ref="K518">XLOOKUP(I518,customers_clean!$A$2:$A$701,customers_clean!$C$2:$C$701)</f>
        <v>Yara  Smith</v>
      </c>
      <c r="L518" s="10" t="str">
        <f t="array" ref="L518">XLOOKUP(I518,customers_clean!$A$2:$A$701,customers_clean!$D$2:$D$701)</f>
        <v>Yara Smith</v>
      </c>
      <c r="M518" s="2" t="str">
        <f t="array" ref="M518">XLOOKUP(I518,customers_clean!$A$2:$A$701,customers_clean!$I$2:$I$701)</f>
        <v>yara.smith@example.com</v>
      </c>
      <c r="N518" s="10" t="str">
        <f t="array" ref="N518">XLOOKUP(I518,customers_clean!$A$2:$A$701,customers_clean!$H$2:$H$701)</f>
        <v>yara.smith@example.com</v>
      </c>
      <c r="O518" s="9" t="str">
        <f>IFERROR(__xludf.DUMMYFUNCTION("IF(REGEXMATCH(TRIM(N518),""^[A-Za-z0-9._%+-]+@[A-Za-z0-9.-]+\.[A-Za-z]{2,}$""),""✅ Valid"",""❌ Invalid"")"),"✅ Valid")</f>
        <v>✅ Valid</v>
      </c>
      <c r="P518" s="2" t="str">
        <f t="array" ref="P518">XLOOKUP(I518,customers_clean!$A$2:$A$701,customers_clean!$K$2:$K$701)</f>
        <v>+39 896 269879</v>
      </c>
      <c r="Q518" s="10" t="str">
        <f t="array" ref="Q518">XLOOKUP(I518,customers_clean!$A$2:$A$701,customers_clean!$N$2:$N$701)</f>
        <v>896269879</v>
      </c>
      <c r="R518" s="9" t="str">
        <f t="array" ref="R518">XLOOKUP(I518,customers_clean!$A$2:$A$701,customers_clean!$Q$2:$Q$701)</f>
        <v>❌ INVALID</v>
      </c>
      <c r="S518" s="10" t="s">
        <v>139</v>
      </c>
      <c r="T518" s="2" t="s">
        <v>74</v>
      </c>
      <c r="U518" s="2" t="s">
        <v>571</v>
      </c>
      <c r="V518" s="2" t="s">
        <v>1014</v>
      </c>
      <c r="W518" s="9" t="str">
        <f t="array" ref="W518">IF(ISNA(XLOOKUP(V518,products_master_corrected!$A$2:$A$151,products_master_corrected!$A$2:$A$151, NA())),
    "❌ MISSING SKU", "✅")</f>
        <v>✅</v>
      </c>
      <c r="X518" s="2" t="s">
        <v>1015</v>
      </c>
      <c r="Y518" s="2" t="s">
        <v>1016</v>
      </c>
      <c r="Z518" s="10" t="s">
        <v>355</v>
      </c>
      <c r="AA518" s="27">
        <v>2.0</v>
      </c>
      <c r="AB518" s="9" t="s">
        <v>8649</v>
      </c>
      <c r="AC518" s="28">
        <f t="array" ref="AC518">XLOOKUP(V518,products_master_corrected!$A$2:$A$151,products_master_corrected!$E$2:$E$151)</f>
        <v>162.1</v>
      </c>
      <c r="AD518" s="28">
        <f t="shared" ref="AD518:AD531" si="62">AA518*AC518</f>
        <v>324.2</v>
      </c>
      <c r="AE518" s="28">
        <f t="array" ref="AE518">XLOOKUP(V518,products_master_corrected!$A$2:$A$151,products_master_corrected!$L$2:$L$151)</f>
        <v>175.31</v>
      </c>
      <c r="AF518" s="29">
        <f t="shared" ref="AF518:AF531" si="63">AA518*AE518</f>
        <v>350.62</v>
      </c>
      <c r="AG518" s="32" t="s">
        <v>8665</v>
      </c>
      <c r="AH518" s="2" t="s">
        <v>305</v>
      </c>
      <c r="AI518" s="10" t="s">
        <v>49</v>
      </c>
      <c r="AJ518" s="2" t="s">
        <v>144</v>
      </c>
      <c r="AK518" s="10" t="s">
        <v>818</v>
      </c>
      <c r="AL518" s="2" t="s">
        <v>67</v>
      </c>
    </row>
    <row r="519" ht="15.75" customHeight="1">
      <c r="A519" s="2" t="s">
        <v>6067</v>
      </c>
      <c r="B519" s="12">
        <v>45281.08819444444</v>
      </c>
      <c r="C519" s="2" t="str">
        <f>IFERROR(__xludf.DUMMYFUNCTION("IF(ISNUMBER(B519),TEXT(B519,""yyyy-MM-dd""),REGEXREPLACE(REGEXREPLACE(TO_TEXT(B519),""[^0-9a-zA-Z]+"",""-""),""[^0-9]*$"",""""))"),"2023-12-21")</f>
        <v>2023-12-21</v>
      </c>
      <c r="D519" s="2" t="s">
        <v>7855</v>
      </c>
      <c r="H519" s="10" t="s">
        <v>7855</v>
      </c>
      <c r="I519" s="2" t="s">
        <v>5853</v>
      </c>
      <c r="J519" s="26" t="str">
        <f t="array" ref="J519">IF(ISNA(XLOOKUP(I519,customers_clean!$A$2:$A$701,customers_clean!$A$2:$A$701, NA()) ),
   "❌ MISSING CUSTOMER", "✅")</f>
        <v>✅</v>
      </c>
      <c r="K519" s="2" t="str">
        <f t="array" ref="K519">XLOOKUP(I519,customers_clean!$A$2:$A$701,customers_clean!$C$2:$C$701)</f>
        <v>MAREK DUBOIS</v>
      </c>
      <c r="L519" s="10" t="str">
        <f t="array" ref="L519">XLOOKUP(I519,customers_clean!$A$2:$A$701,customers_clean!$D$2:$D$701)</f>
        <v>Marek Dubois</v>
      </c>
      <c r="M519" s="2" t="str">
        <f t="array" ref="M519">XLOOKUP(I519,customers_clean!$A$2:$A$701,customers_clean!$I$2:$I$701)</f>
        <v> marek.dubois@company.co.uk</v>
      </c>
      <c r="N519" s="10" t="str">
        <f t="array" ref="N519">XLOOKUP(I519,customers_clean!$A$2:$A$701,customers_clean!$H$2:$H$701)</f>
        <v>marek.dubois@company.co.uk</v>
      </c>
      <c r="O519" s="9" t="str">
        <f>IFERROR(__xludf.DUMMYFUNCTION("IF(REGEXMATCH(TRIM(N519),""^[A-Za-z0-9._%+-]+@[A-Za-z0-9.-]+\.[A-Za-z]{2,}$""),""✅ Valid"",""❌ Invalid"")"),"✅ Valid")</f>
        <v>✅ Valid</v>
      </c>
      <c r="P519" s="2" t="str">
        <f t="array" ref="P519">XLOOKUP(I519,customers_clean!$A$2:$A$701,customers_clean!$K$2:$K$701)</f>
        <v>968-751-8960</v>
      </c>
      <c r="Q519" s="10" t="str">
        <f t="array" ref="Q519">XLOOKUP(I519,customers_clean!$A$2:$A$701,customers_clean!$N$2:$N$701)</f>
        <v>9687518960</v>
      </c>
      <c r="R519" s="9" t="str">
        <f t="array" ref="R519">XLOOKUP(I519,customers_clean!$A$2:$A$701,customers_clean!$Q$2:$Q$701)</f>
        <v>❌ INVALID</v>
      </c>
      <c r="S519" s="10" t="s">
        <v>608</v>
      </c>
      <c r="T519" s="2" t="s">
        <v>26</v>
      </c>
      <c r="U519" s="2" t="s">
        <v>352</v>
      </c>
      <c r="V519" s="2" t="s">
        <v>302</v>
      </c>
      <c r="W519" s="9" t="str">
        <f t="array" ref="W519">IF(ISNA(XLOOKUP(V519,products_master_corrected!$A$2:$A$151,products_master_corrected!$A$2:$A$151, NA())),
    "❌ MISSING SKU", "✅")</f>
        <v>✅</v>
      </c>
      <c r="X519" s="2" t="s">
        <v>303</v>
      </c>
      <c r="Y519" s="2" t="s">
        <v>248</v>
      </c>
      <c r="Z519" s="10" t="s">
        <v>248</v>
      </c>
      <c r="AA519" s="27">
        <v>5.0</v>
      </c>
      <c r="AB519" s="9" t="s">
        <v>8649</v>
      </c>
      <c r="AC519" s="28">
        <f t="array" ref="AC519">XLOOKUP(V519,products_master_corrected!$A$2:$A$151,products_master_corrected!$E$2:$E$151)</f>
        <v>172.22</v>
      </c>
      <c r="AD519" s="28">
        <f t="shared" si="62"/>
        <v>861.1</v>
      </c>
      <c r="AE519" s="28">
        <f t="array" ref="AE519">XLOOKUP(V519,products_master_corrected!$A$2:$A$151,products_master_corrected!$H$2:$H$151)</f>
        <v>193.49</v>
      </c>
      <c r="AF519" s="29">
        <f t="shared" si="63"/>
        <v>967.45</v>
      </c>
      <c r="AG519" s="32" t="s">
        <v>8658</v>
      </c>
      <c r="AH519" s="2" t="s">
        <v>33</v>
      </c>
      <c r="AI519" s="10" t="s">
        <v>181</v>
      </c>
      <c r="AJ519" s="2" t="s">
        <v>158</v>
      </c>
      <c r="AK519" s="10" t="s">
        <v>818</v>
      </c>
      <c r="AL519" s="2" t="s">
        <v>67</v>
      </c>
    </row>
    <row r="520" ht="15.75" customHeight="1">
      <c r="A520" s="2" t="s">
        <v>5852</v>
      </c>
      <c r="B520" s="12">
        <v>45322.0</v>
      </c>
      <c r="C520" s="2" t="str">
        <f>IFERROR(__xludf.DUMMYFUNCTION("IF(ISNUMBER(B520),TEXT(B520,""yyyy-MM-dd""),REGEXREPLACE(REGEXREPLACE(TO_TEXT(B520),""[^0-9a-zA-Z]+"",""-""),""[^0-9]*$"",""""))"),"2024-01-31")</f>
        <v>2024-01-31</v>
      </c>
      <c r="D520" s="2" t="s">
        <v>3044</v>
      </c>
      <c r="H520" s="10" t="s">
        <v>3044</v>
      </c>
      <c r="I520" s="2" t="s">
        <v>5853</v>
      </c>
      <c r="J520" s="26" t="str">
        <f t="array" ref="J520">IF(ISNA(XLOOKUP(I520,customers_clean!$A$2:$A$701,customers_clean!$A$2:$A$701, NA()) ),
   "❌ MISSING CUSTOMER", "✅")</f>
        <v>✅</v>
      </c>
      <c r="K520" s="2" t="str">
        <f t="array" ref="K520">XLOOKUP(I520,customers_clean!$A$2:$A$701,customers_clean!$C$2:$C$701)</f>
        <v>MAREK DUBOIS</v>
      </c>
      <c r="L520" s="10" t="str">
        <f t="array" ref="L520">XLOOKUP(I520,customers_clean!$A$2:$A$701,customers_clean!$D$2:$D$701)</f>
        <v>Marek Dubois</v>
      </c>
      <c r="M520" s="2" t="str">
        <f t="array" ref="M520">XLOOKUP(I520,customers_clean!$A$2:$A$701,customers_clean!$I$2:$I$701)</f>
        <v> marek.dubois@company.co.uk</v>
      </c>
      <c r="N520" s="10" t="str">
        <f t="array" ref="N520">XLOOKUP(I520,customers_clean!$A$2:$A$701,customers_clean!$H$2:$H$701)</f>
        <v>marek.dubois@company.co.uk</v>
      </c>
      <c r="O520" s="9" t="str">
        <f>IFERROR(__xludf.DUMMYFUNCTION("IF(REGEXMATCH(TRIM(N520),""^[A-Za-z0-9._%+-]+@[A-Za-z0-9.-]+\.[A-Za-z]{2,}$""),""✅ Valid"",""❌ Invalid"")"),"✅ Valid")</f>
        <v>✅ Valid</v>
      </c>
      <c r="P520" s="2" t="str">
        <f t="array" ref="P520">XLOOKUP(I520,customers_clean!$A$2:$A$701,customers_clean!$K$2:$K$701)</f>
        <v>968-751-8960</v>
      </c>
      <c r="Q520" s="10" t="str">
        <f t="array" ref="Q520">XLOOKUP(I520,customers_clean!$A$2:$A$701,customers_clean!$N$2:$N$701)</f>
        <v>9687518960</v>
      </c>
      <c r="R520" s="9" t="str">
        <f t="array" ref="R520">XLOOKUP(I520,customers_clean!$A$2:$A$701,customers_clean!$Q$2:$Q$701)</f>
        <v>❌ INVALID</v>
      </c>
      <c r="S520" s="10" t="s">
        <v>608</v>
      </c>
      <c r="T520" s="2" t="s">
        <v>4664</v>
      </c>
      <c r="U520" s="2" t="s">
        <v>103</v>
      </c>
      <c r="V520" s="2" t="s">
        <v>76</v>
      </c>
      <c r="W520" s="9" t="str">
        <f t="array" ref="W520">IF(ISNA(XLOOKUP(V520,products_master_corrected!$A$2:$A$151,products_master_corrected!$A$2:$A$151, NA())),
    "❌ MISSING SKU", "✅")</f>
        <v>✅</v>
      </c>
      <c r="X520" s="2" t="s">
        <v>77</v>
      </c>
      <c r="Y520" s="2" t="s">
        <v>78</v>
      </c>
      <c r="Z520" s="10" t="s">
        <v>355</v>
      </c>
      <c r="AA520" s="27">
        <v>2.0</v>
      </c>
      <c r="AB520" s="9" t="s">
        <v>8649</v>
      </c>
      <c r="AC520" s="28">
        <f t="array" ref="AC520">XLOOKUP(V520,products_master_corrected!$A$2:$A$151,products_master_corrected!$E$2:$E$151)</f>
        <v>153.16</v>
      </c>
      <c r="AD520" s="28">
        <f t="shared" si="62"/>
        <v>306.32</v>
      </c>
      <c r="AE520" s="28">
        <f t="array" ref="AE520">XLOOKUP(V520,products_master_corrected!$A$2:$A$151,products_master_corrected!$H$2:$H$151)</f>
        <v>172.08</v>
      </c>
      <c r="AF520" s="29">
        <f t="shared" si="63"/>
        <v>344.16</v>
      </c>
      <c r="AG520" s="32" t="s">
        <v>8658</v>
      </c>
      <c r="AH520" s="2" t="s">
        <v>238</v>
      </c>
      <c r="AI520" s="10" t="s">
        <v>66</v>
      </c>
      <c r="AJ520" s="2" t="s">
        <v>34</v>
      </c>
      <c r="AK520" s="10" t="s">
        <v>80</v>
      </c>
      <c r="AL520" s="2" t="s">
        <v>81</v>
      </c>
    </row>
    <row r="521" ht="15.75" customHeight="1">
      <c r="A521" s="2" t="s">
        <v>2629</v>
      </c>
      <c r="B521" s="12">
        <v>45052.0</v>
      </c>
      <c r="C521" s="2" t="str">
        <f>IFERROR(__xludf.DUMMYFUNCTION("IF(ISNUMBER(B521),TEXT(B521,""yyyy-MM-dd""),REGEXREPLACE(REGEXREPLACE(TO_TEXT(B521),""[^0-9a-zA-Z]+"",""-""),""[^0-9]*$"",""""))"),"2023-05-06")</f>
        <v>2023-05-06</v>
      </c>
      <c r="D521" s="2" t="s">
        <v>8866</v>
      </c>
      <c r="H521" s="10" t="s">
        <v>8866</v>
      </c>
      <c r="I521" s="2" t="s">
        <v>1945</v>
      </c>
      <c r="J521" s="26" t="str">
        <f t="array" ref="J521">IF(ISNA(XLOOKUP(I521,customers_clean!$A$2:$A$701,customers_clean!$A$2:$A$701, NA()) ),
   "❌ MISSING CUSTOMER", "✅")</f>
        <v>✅</v>
      </c>
      <c r="K521" s="2" t="str">
        <f t="array" ref="K521">XLOOKUP(I521,customers_clean!$A$2:$A$701,customers_clean!$C$2:$C$701)</f>
        <v>Yara Kowalski</v>
      </c>
      <c r="L521" s="10" t="str">
        <f t="array" ref="L521">XLOOKUP(I521,customers_clean!$A$2:$A$701,customers_clean!$D$2:$D$701)</f>
        <v>Yara Kowalski</v>
      </c>
      <c r="M521" s="2" t="str">
        <f t="array" ref="M521">XLOOKUP(I521,customers_clean!$A$2:$A$701,customers_clean!$I$2:$I$701)</f>
        <v> yara.kowalski@company.co.uk</v>
      </c>
      <c r="N521" s="10" t="str">
        <f t="array" ref="N521">XLOOKUP(I521,customers_clean!$A$2:$A$701,customers_clean!$H$2:$H$701)</f>
        <v>yara.kowalski@company.co.uk</v>
      </c>
      <c r="O521" s="9" t="str">
        <f>IFERROR(__xludf.DUMMYFUNCTION("IF(REGEXMATCH(TRIM(N521),""^[A-Za-z0-9._%+-]+@[A-Za-z0-9.-]+\.[A-Za-z]{2,}$""),""✅ Valid"",""❌ Invalid"")"),"✅ Valid")</f>
        <v>✅ Valid</v>
      </c>
      <c r="P521" s="2">
        <f t="array" ref="P521">XLOOKUP(I521,customers_clean!$A$2:$A$701,customers_clean!$K$2:$K$701)</f>
        <v>35335648848</v>
      </c>
      <c r="Q521" s="10" t="str">
        <f t="array" ref="Q521">XLOOKUP(I521,customers_clean!$A$2:$A$701,customers_clean!$N$2:$N$701)</f>
        <v>35648848</v>
      </c>
      <c r="R521" s="9" t="str">
        <f t="array" ref="R521">XLOOKUP(I521,customers_clean!$A$2:$A$701,customers_clean!$Q$2:$Q$701)</f>
        <v>❌ INVALID</v>
      </c>
      <c r="S521" s="10" t="s">
        <v>608</v>
      </c>
      <c r="T521" s="2" t="s">
        <v>59</v>
      </c>
      <c r="U521" s="2" t="s">
        <v>1245</v>
      </c>
      <c r="V521" s="2" t="s">
        <v>2631</v>
      </c>
      <c r="W521" s="9" t="str">
        <f t="array" ref="W521">IF(ISNA(XLOOKUP(V521,products_master_corrected!$A$2:$A$151,products_master_corrected!$A$2:$A$151, NA())),
    "❌ MISSING SKU", "✅")</f>
        <v>✅</v>
      </c>
      <c r="X521" s="2" t="s">
        <v>905</v>
      </c>
      <c r="Y521" s="2" t="s">
        <v>248</v>
      </c>
      <c r="Z521" s="10" t="s">
        <v>248</v>
      </c>
      <c r="AA521" s="27">
        <v>2.0</v>
      </c>
      <c r="AB521" s="9" t="s">
        <v>8649</v>
      </c>
      <c r="AC521" s="28">
        <f t="array" ref="AC521">XLOOKUP(V521,products_master_corrected!$A$2:$A$151,products_master_corrected!$E$2:$E$151)</f>
        <v>143.88</v>
      </c>
      <c r="AD521" s="28">
        <f t="shared" si="62"/>
        <v>287.76</v>
      </c>
      <c r="AE521" s="28">
        <f t="array" ref="AE521">XLOOKUP(V521,products_master_corrected!$A$2:$A$151,products_master_corrected!$H$2:$H$151)</f>
        <v>161.65</v>
      </c>
      <c r="AF521" s="29">
        <f t="shared" si="63"/>
        <v>323.3</v>
      </c>
      <c r="AG521" s="32" t="s">
        <v>8658</v>
      </c>
      <c r="AH521" s="2" t="s">
        <v>49</v>
      </c>
      <c r="AI521" s="10" t="s">
        <v>49</v>
      </c>
      <c r="AJ521" s="2" t="s">
        <v>50</v>
      </c>
      <c r="AK521" s="10" t="s">
        <v>261</v>
      </c>
      <c r="AL521" s="2" t="s">
        <v>51</v>
      </c>
    </row>
    <row r="522" ht="15.75" customHeight="1">
      <c r="A522" s="2" t="s">
        <v>1943</v>
      </c>
      <c r="B522" s="12">
        <v>45053.0</v>
      </c>
      <c r="C522" s="2" t="str">
        <f>IFERROR(__xludf.DUMMYFUNCTION("IF(ISNUMBER(B522),TEXT(B522,""yyyy-MM-dd""),REGEXREPLACE(REGEXREPLACE(TO_TEXT(B522),""[^0-9a-zA-Z]+"",""-""),""[^0-9]*$"",""""))"),"2023-05-07")</f>
        <v>2023-05-07</v>
      </c>
      <c r="D522" s="2" t="s">
        <v>8867</v>
      </c>
      <c r="H522" s="10" t="s">
        <v>8867</v>
      </c>
      <c r="I522" s="2" t="s">
        <v>1945</v>
      </c>
      <c r="J522" s="26" t="str">
        <f t="array" ref="J522">IF(ISNA(XLOOKUP(I522,customers_clean!$A$2:$A$701,customers_clean!$A$2:$A$701, NA()) ),
   "❌ MISSING CUSTOMER", "✅")</f>
        <v>✅</v>
      </c>
      <c r="K522" s="2" t="str">
        <f t="array" ref="K522">XLOOKUP(I522,customers_clean!$A$2:$A$701,customers_clean!$C$2:$C$701)</f>
        <v>Yara Kowalski</v>
      </c>
      <c r="L522" s="10" t="str">
        <f t="array" ref="L522">XLOOKUP(I522,customers_clean!$A$2:$A$701,customers_clean!$D$2:$D$701)</f>
        <v>Yara Kowalski</v>
      </c>
      <c r="M522" s="2" t="str">
        <f t="array" ref="M522">XLOOKUP(I522,customers_clean!$A$2:$A$701,customers_clean!$I$2:$I$701)</f>
        <v> yara.kowalski@company.co.uk</v>
      </c>
      <c r="N522" s="10" t="str">
        <f t="array" ref="N522">XLOOKUP(I522,customers_clean!$A$2:$A$701,customers_clean!$H$2:$H$701)</f>
        <v>yara.kowalski@company.co.uk</v>
      </c>
      <c r="O522" s="9" t="str">
        <f>IFERROR(__xludf.DUMMYFUNCTION("IF(REGEXMATCH(TRIM(N522),""^[A-Za-z0-9._%+-]+@[A-Za-z0-9.-]+\.[A-Za-z]{2,}$""),""✅ Valid"",""❌ Invalid"")"),"✅ Valid")</f>
        <v>✅ Valid</v>
      </c>
      <c r="P522" s="2">
        <f t="array" ref="P522">XLOOKUP(I522,customers_clean!$A$2:$A$701,customers_clean!$K$2:$K$701)</f>
        <v>35335648848</v>
      </c>
      <c r="Q522" s="10" t="str">
        <f t="array" ref="Q522">XLOOKUP(I522,customers_clean!$A$2:$A$701,customers_clean!$N$2:$N$701)</f>
        <v>35648848</v>
      </c>
      <c r="R522" s="9" t="str">
        <f t="array" ref="R522">XLOOKUP(I522,customers_clean!$A$2:$A$701,customers_clean!$Q$2:$Q$701)</f>
        <v>❌ INVALID</v>
      </c>
      <c r="S522" s="10" t="s">
        <v>608</v>
      </c>
      <c r="T522" s="2" t="s">
        <v>223</v>
      </c>
      <c r="U522" s="2" t="s">
        <v>352</v>
      </c>
      <c r="V522" s="2" t="s">
        <v>302</v>
      </c>
      <c r="W522" s="9" t="str">
        <f t="array" ref="W522">IF(ISNA(XLOOKUP(V522,products_master_corrected!$A$2:$A$151,products_master_corrected!$A$2:$A$151, NA())),
    "❌ MISSING SKU", "✅")</f>
        <v>✅</v>
      </c>
      <c r="X522" s="2" t="s">
        <v>303</v>
      </c>
      <c r="Y522" s="2" t="s">
        <v>248</v>
      </c>
      <c r="Z522" s="10" t="s">
        <v>248</v>
      </c>
      <c r="AA522" s="27">
        <v>1.0</v>
      </c>
      <c r="AB522" s="9" t="s">
        <v>8649</v>
      </c>
      <c r="AC522" s="28">
        <f t="array" ref="AC522">XLOOKUP(V522,products_master_corrected!$A$2:$A$151,products_master_corrected!$E$2:$E$151)</f>
        <v>172.22</v>
      </c>
      <c r="AD522" s="28">
        <f t="shared" si="62"/>
        <v>172.22</v>
      </c>
      <c r="AE522" s="28">
        <f t="array" ref="AE522">XLOOKUP(V522,products_master_corrected!$A$2:$A$151,products_master_corrected!$H$2:$H$151)</f>
        <v>193.49</v>
      </c>
      <c r="AF522" s="29">
        <f t="shared" si="63"/>
        <v>193.49</v>
      </c>
      <c r="AG522" s="32" t="s">
        <v>8658</v>
      </c>
      <c r="AH522" s="2" t="s">
        <v>1497</v>
      </c>
      <c r="AI522" s="10" t="s">
        <v>181</v>
      </c>
      <c r="AJ522" s="2" t="s">
        <v>192</v>
      </c>
      <c r="AK522" s="10" t="s">
        <v>192</v>
      </c>
    </row>
    <row r="523" ht="15.75" customHeight="1">
      <c r="A523" s="2" t="s">
        <v>5571</v>
      </c>
      <c r="B523" s="12" t="s">
        <v>5572</v>
      </c>
      <c r="C523" s="2" t="str">
        <f>IFERROR(__xludf.DUMMYFUNCTION("IF(ISNUMBER(B523),TEXT(B523,""yyyy-MM-dd""),REGEXREPLACE(REGEXREPLACE(TO_TEXT(B523),""[^0-9a-zA-Z]+"",""-""),""[^0-9]*$"",""""))"),"07-14-2023-14-16")</f>
        <v>07-14-2023-14-16</v>
      </c>
      <c r="D523" s="2" t="str">
        <f>TEXT(C523,"yyyy-MM-dd")</f>
        <v>07-14-2023-14-16</v>
      </c>
      <c r="E523" s="12" t="str">
        <f>IFERROR(__xludf.DUMMYFUNCTION("REGEXEXTRACT(D523,""^\d{2}-\d{2}-\d{4}"")"),"07-14-2023")</f>
        <v>07-14-2023</v>
      </c>
      <c r="F523" s="2" t="str">
        <f>TEXT(E523,"yyyy-MM-dd")</f>
        <v>07-14-2023</v>
      </c>
      <c r="G523" s="2" t="s">
        <v>8748</v>
      </c>
      <c r="H523" s="10" t="s">
        <v>8748</v>
      </c>
      <c r="I523" s="2" t="s">
        <v>1945</v>
      </c>
      <c r="J523" s="26" t="str">
        <f t="array" ref="J523">IF(ISNA(XLOOKUP(I523,customers_clean!$A$2:$A$701,customers_clean!$A$2:$A$701, NA()) ),
   "❌ MISSING CUSTOMER", "✅")</f>
        <v>✅</v>
      </c>
      <c r="K523" s="2" t="str">
        <f t="array" ref="K523">XLOOKUP(I523,customers_clean!$A$2:$A$701,customers_clean!$C$2:$C$701)</f>
        <v>Yara Kowalski</v>
      </c>
      <c r="L523" s="10" t="str">
        <f t="array" ref="L523">XLOOKUP(I523,customers_clean!$A$2:$A$701,customers_clean!$D$2:$D$701)</f>
        <v>Yara Kowalski</v>
      </c>
      <c r="M523" s="2" t="str">
        <f t="array" ref="M523">XLOOKUP(I523,customers_clean!$A$2:$A$701,customers_clean!$I$2:$I$701)</f>
        <v> yara.kowalski@company.co.uk</v>
      </c>
      <c r="N523" s="10" t="str">
        <f t="array" ref="N523">XLOOKUP(I523,customers_clean!$A$2:$A$701,customers_clean!$H$2:$H$701)</f>
        <v>yara.kowalski@company.co.uk</v>
      </c>
      <c r="O523" s="9" t="str">
        <f>IFERROR(__xludf.DUMMYFUNCTION("IF(REGEXMATCH(TRIM(N523),""^[A-Za-z0-9._%+-]+@[A-Za-z0-9.-]+\.[A-Za-z]{2,}$""),""✅ Valid"",""❌ Invalid"")"),"✅ Valid")</f>
        <v>✅ Valid</v>
      </c>
      <c r="P523" s="2">
        <f t="array" ref="P523">XLOOKUP(I523,customers_clean!$A$2:$A$701,customers_clean!$K$2:$K$701)</f>
        <v>35335648848</v>
      </c>
      <c r="Q523" s="10" t="str">
        <f t="array" ref="Q523">XLOOKUP(I523,customers_clean!$A$2:$A$701,customers_clean!$N$2:$N$701)</f>
        <v>35648848</v>
      </c>
      <c r="R523" s="9" t="str">
        <f t="array" ref="R523">XLOOKUP(I523,customers_clean!$A$2:$A$701,customers_clean!$Q$2:$Q$701)</f>
        <v>❌ INVALID</v>
      </c>
      <c r="S523" s="10" t="s">
        <v>608</v>
      </c>
      <c r="T523" s="2" t="s">
        <v>89</v>
      </c>
      <c r="U523" s="2" t="s">
        <v>401</v>
      </c>
      <c r="V523" s="2" t="s">
        <v>1302</v>
      </c>
      <c r="W523" s="9" t="str">
        <f t="array" ref="W523">IF(ISNA(XLOOKUP(V523,products_master_corrected!$A$2:$A$151,products_master_corrected!$A$2:$A$151, NA())),
    "❌ MISSING SKU", "✅")</f>
        <v>✅</v>
      </c>
      <c r="X523" s="2" t="s">
        <v>440</v>
      </c>
      <c r="Y523" s="2" t="s">
        <v>179</v>
      </c>
      <c r="Z523" s="10" t="s">
        <v>179</v>
      </c>
      <c r="AA523" s="27">
        <v>1.0</v>
      </c>
      <c r="AB523" s="9" t="s">
        <v>8649</v>
      </c>
      <c r="AC523" s="28">
        <f t="array" ref="AC523">XLOOKUP(V523,products_master_corrected!$A$2:$A$151,products_master_corrected!$E$2:$E$151)</f>
        <v>28.97</v>
      </c>
      <c r="AD523" s="28">
        <f t="shared" si="62"/>
        <v>28.97</v>
      </c>
      <c r="AE523" s="28">
        <f t="array" ref="AE523">XLOOKUP(V523,products_master_corrected!$A$2:$A$151,products_master_corrected!$H$2:$H$151)</f>
        <v>32.55</v>
      </c>
      <c r="AF523" s="29">
        <f t="shared" si="63"/>
        <v>32.55</v>
      </c>
      <c r="AG523" s="32" t="s">
        <v>8658</v>
      </c>
      <c r="AH523" s="2" t="s">
        <v>49</v>
      </c>
      <c r="AI523" s="10" t="s">
        <v>49</v>
      </c>
      <c r="AJ523" s="2" t="s">
        <v>294</v>
      </c>
      <c r="AK523" s="10" t="s">
        <v>80</v>
      </c>
      <c r="AL523" s="2" t="s">
        <v>133</v>
      </c>
    </row>
    <row r="524" ht="15.75" customHeight="1">
      <c r="A524" s="2" t="s">
        <v>381</v>
      </c>
      <c r="B524" s="12">
        <v>45785.0</v>
      </c>
      <c r="C524" s="2" t="str">
        <f>IFERROR(__xludf.DUMMYFUNCTION("IF(ISNUMBER(B524),TEXT(B524,""yyyy-MM-dd""),REGEXREPLACE(REGEXREPLACE(TO_TEXT(B524),""[^0-9a-zA-Z]+"",""-""),""[^0-9]*$"",""""))"),"2025-05-08")</f>
        <v>2025-05-08</v>
      </c>
      <c r="D524" s="2" t="s">
        <v>7919</v>
      </c>
      <c r="H524" s="10" t="s">
        <v>7919</v>
      </c>
      <c r="I524" s="2" t="s">
        <v>383</v>
      </c>
      <c r="J524" s="26" t="str">
        <f t="array" ref="J524">IF(ISNA(XLOOKUP(I524,customers_clean!$A$2:$A$701,customers_clean!$A$2:$A$701, NA()) ),
   "❌ MISSING CUSTOMER", "✅")</f>
        <v>✅</v>
      </c>
      <c r="K524" s="2" t="str">
        <f t="array" ref="K524">XLOOKUP(I524,customers_clean!$A$2:$A$701,customers_clean!$C$2:$C$701)</f>
        <v>Fiona Lee</v>
      </c>
      <c r="L524" s="10" t="str">
        <f t="array" ref="L524">XLOOKUP(I524,customers_clean!$A$2:$A$701,customers_clean!$D$2:$D$701)</f>
        <v>Fiona Lee</v>
      </c>
      <c r="M524" s="2" t="str">
        <f t="array" ref="M524">XLOOKUP(I524,customers_clean!$A$2:$A$701,customers_clean!$I$2:$I$701)</f>
        <v>fiona.lee@outlook.com</v>
      </c>
      <c r="N524" s="10" t="str">
        <f t="array" ref="N524">XLOOKUP(I524,customers_clean!$A$2:$A$701,customers_clean!$H$2:$H$701)</f>
        <v>fiona.lee@outlook.com</v>
      </c>
      <c r="O524" s="9" t="str">
        <f>IFERROR(__xludf.DUMMYFUNCTION("IF(REGEXMATCH(TRIM(N524),""^[A-Za-z0-9._%+-]+@[A-Za-z0-9.-]+\.[A-Za-z]{2,}$""),""✅ Valid"",""❌ Invalid"")"),"✅ Valid")</f>
        <v>✅ Valid</v>
      </c>
      <c r="P524" s="2" t="str">
        <f t="array" ref="P524">XLOOKUP(I524,customers_clean!$A$2:$A$701,customers_clean!$K$2:$K$701)</f>
        <v>+449960169990</v>
      </c>
      <c r="Q524" s="10" t="str">
        <f t="array" ref="Q524">XLOOKUP(I524,customers_clean!$A$2:$A$701,customers_clean!$N$2:$N$701)</f>
        <v>9960169990</v>
      </c>
      <c r="R524" s="9" t="str">
        <f t="array" ref="R524">XLOOKUP(I524,customers_clean!$A$2:$A$701,customers_clean!$Q$2:$Q$701)</f>
        <v>❌ INVALID</v>
      </c>
      <c r="S524" s="31" t="s">
        <v>671</v>
      </c>
      <c r="T524" s="2" t="s">
        <v>388</v>
      </c>
      <c r="U524" s="2" t="s">
        <v>389</v>
      </c>
      <c r="V524" s="2" t="s">
        <v>390</v>
      </c>
      <c r="W524" s="9" t="str">
        <f t="array" ref="W524">IF(ISNA(XLOOKUP(V524,products_master_corrected!$A$2:$A$151,products_master_corrected!$A$2:$A$151, NA())),
    "❌ MISSING SKU", "✅")</f>
        <v>✅</v>
      </c>
      <c r="X524" s="2" t="s">
        <v>8673</v>
      </c>
      <c r="Y524" s="2" t="s">
        <v>248</v>
      </c>
      <c r="Z524" s="10" t="s">
        <v>248</v>
      </c>
      <c r="AA524" s="27">
        <v>2.0</v>
      </c>
      <c r="AB524" s="9" t="s">
        <v>8649</v>
      </c>
      <c r="AC524" s="28">
        <f t="array" ref="AC524">XLOOKUP(V524,products_master_corrected!$A$2:$A$151,products_master_corrected!$E$2:$E$151)</f>
        <v>310.34</v>
      </c>
      <c r="AD524" s="28">
        <f t="shared" si="62"/>
        <v>620.68</v>
      </c>
      <c r="AE524" s="28">
        <f t="array" ref="AE524">XLOOKUP(V524,products_master_corrected!$A$2:$A$151,products_master_corrected!$J$2:$J$151)</f>
        <v>361.95</v>
      </c>
      <c r="AF524" s="29">
        <f t="shared" si="63"/>
        <v>723.9</v>
      </c>
      <c r="AG524" s="32" t="s">
        <v>8656</v>
      </c>
      <c r="AH524" s="2" t="s">
        <v>204</v>
      </c>
      <c r="AI524" s="10" t="s">
        <v>143</v>
      </c>
      <c r="AJ524" s="2" t="s">
        <v>393</v>
      </c>
      <c r="AK524" s="10" t="s">
        <v>80</v>
      </c>
      <c r="AL524" s="2" t="s">
        <v>133</v>
      </c>
    </row>
    <row r="525" ht="15.75" customHeight="1">
      <c r="A525" s="2" t="s">
        <v>4014</v>
      </c>
      <c r="B525" s="12">
        <v>45870.0</v>
      </c>
      <c r="C525" s="2" t="str">
        <f>IFERROR(__xludf.DUMMYFUNCTION("IF(ISNUMBER(B525),TEXT(B525,""yyyy-MM-dd""),REGEXREPLACE(REGEXREPLACE(TO_TEXT(B525),""[^0-9a-zA-Z]+"",""-""),""[^0-9]*$"",""""))"),"2025-08-01")</f>
        <v>2025-08-01</v>
      </c>
      <c r="D525" s="2" t="s">
        <v>4015</v>
      </c>
      <c r="H525" s="10" t="s">
        <v>4015</v>
      </c>
      <c r="I525" s="2" t="s">
        <v>4016</v>
      </c>
      <c r="J525" s="26" t="str">
        <f t="array" ref="J525">IF(ISNA(XLOOKUP(I525,customers_clean!$A$2:$A$701,customers_clean!$A$2:$A$701, NA()) ),
   "❌ MISSING CUSTOMER", "✅")</f>
        <v>✅</v>
      </c>
      <c r="K525" s="2" t="str">
        <f t="array" ref="K525">XLOOKUP(I525,customers_clean!$A$2:$A$701,customers_clean!$C$2:$C$701)</f>
        <v>Igor  Rossi</v>
      </c>
      <c r="L525" s="10" t="str">
        <f t="array" ref="L525">XLOOKUP(I525,customers_clean!$A$2:$A$701,customers_clean!$D$2:$D$701)</f>
        <v>Igor Rossi</v>
      </c>
      <c r="M525" s="2" t="str">
        <f t="array" ref="M525">XLOOKUP(I525,customers_clean!$A$2:$A$701,customers_clean!$I$2:$I$701)</f>
        <v>IGOR.ROSSI@GMAIL.COM</v>
      </c>
      <c r="N525" s="10" t="str">
        <f t="array" ref="N525">XLOOKUP(I525,customers_clean!$A$2:$A$701,customers_clean!$H$2:$H$701)</f>
        <v>igor.rossi@gmail.com</v>
      </c>
      <c r="O525" s="9" t="str">
        <f>IFERROR(__xludf.DUMMYFUNCTION("IF(REGEXMATCH(TRIM(N525),""^[A-Za-z0-9._%+-]+@[A-Za-z0-9.-]+\.[A-Za-z]{2,}$""),""✅ Valid"",""❌ Invalid"")"),"✅ Valid")</f>
        <v>✅ Valid</v>
      </c>
      <c r="P525" s="2" t="str">
        <f t="array" ref="P525">XLOOKUP(I525,customers_clean!$A$2:$A$701,customers_clean!$K$2:$K$701)</f>
        <v>97557x37341</v>
      </c>
      <c r="Q525" s="10" t="str">
        <f t="array" ref="Q525">XLOOKUP(I525,customers_clean!$A$2:$A$701,customers_clean!$N$2:$N$701)</f>
        <v>9755737341</v>
      </c>
      <c r="R525" s="9" t="str">
        <f t="array" ref="R525">XLOOKUP(I525,customers_clean!$A$2:$A$701,customers_clean!$Q$2:$Q$701)</f>
        <v>✅ VALID</v>
      </c>
      <c r="S525" s="10" t="s">
        <v>88</v>
      </c>
      <c r="T525" s="2" t="s">
        <v>74</v>
      </c>
      <c r="U525" s="2" t="s">
        <v>43</v>
      </c>
      <c r="V525" s="2" t="s">
        <v>1575</v>
      </c>
      <c r="W525" s="9" t="str">
        <f t="array" ref="W525">IF(ISNA(XLOOKUP(V525,products_master_corrected!$A$2:$A$151,products_master_corrected!$A$2:$A$151, NA())),
    "❌ MISSING SKU", "✅")</f>
        <v>✅</v>
      </c>
      <c r="X525" s="2" t="s">
        <v>291</v>
      </c>
      <c r="Y525" s="2" t="s">
        <v>1577</v>
      </c>
      <c r="Z525" s="10" t="s">
        <v>63</v>
      </c>
      <c r="AA525" s="27">
        <v>5.0</v>
      </c>
      <c r="AB525" s="9" t="s">
        <v>8649</v>
      </c>
      <c r="AC525" s="28">
        <f t="array" ref="AC525">XLOOKUP(V525,products_master_corrected!$A$2:$A$151,products_master_corrected!$E$2:$E$151)</f>
        <v>195.63</v>
      </c>
      <c r="AD525" s="28">
        <f t="shared" si="62"/>
        <v>978.15</v>
      </c>
      <c r="AE525" s="28">
        <f t="array" ref="AE525">XLOOKUP(V525,products_master_corrected!$A$2:$A$151,products_master_corrected!$I$2:$I$151)</f>
        <v>215.66</v>
      </c>
      <c r="AF525" s="29">
        <f t="shared" si="63"/>
        <v>1078.3</v>
      </c>
      <c r="AG525" s="32" t="s">
        <v>8660</v>
      </c>
      <c r="AH525" s="2" t="s">
        <v>664</v>
      </c>
      <c r="AI525" s="10" t="s">
        <v>66</v>
      </c>
      <c r="AJ525" s="2" t="s">
        <v>50</v>
      </c>
      <c r="AK525" s="10" t="s">
        <v>261</v>
      </c>
      <c r="AL525" s="2" t="s">
        <v>51</v>
      </c>
    </row>
    <row r="526" ht="15.75" customHeight="1">
      <c r="A526" s="2" t="s">
        <v>3320</v>
      </c>
      <c r="B526" s="12">
        <v>45432.0</v>
      </c>
      <c r="C526" s="2" t="str">
        <f>IFERROR(__xludf.DUMMYFUNCTION("IF(ISNUMBER(B526),TEXT(B526,""yyyy-MM-dd""),REGEXREPLACE(REGEXREPLACE(TO_TEXT(B526),""[^0-9a-zA-Z]+"",""-""),""[^0-9]*$"",""""))"),"2024-05-20")</f>
        <v>2024-05-20</v>
      </c>
      <c r="D526" s="2" t="s">
        <v>7671</v>
      </c>
      <c r="H526" s="10" t="s">
        <v>7671</v>
      </c>
      <c r="I526" s="2" t="s">
        <v>3322</v>
      </c>
      <c r="J526" s="26" t="str">
        <f t="array" ref="J526">IF(ISNA(XLOOKUP(I526,customers_clean!$A$2:$A$701,customers_clean!$A$2:$A$701, NA()) ),
   "❌ MISSING CUSTOMER", "✅")</f>
        <v>✅</v>
      </c>
      <c r="K526" s="2" t="str">
        <f t="array" ref="K526">XLOOKUP(I526,customers_clean!$A$2:$A$701,customers_clean!$C$2:$C$701)</f>
        <v>Nina Taylor</v>
      </c>
      <c r="L526" s="10" t="str">
        <f t="array" ref="L526">XLOOKUP(I526,customers_clean!$A$2:$A$701,customers_clean!$D$2:$D$701)</f>
        <v>Nina Taylor</v>
      </c>
      <c r="M526" s="2" t="str">
        <f t="array" ref="M526">XLOOKUP(I526,customers_clean!$A$2:$A$701,customers_clean!$I$2:$I$701)</f>
        <v>NINA.TAYLOR@COMPANY.CO.UK</v>
      </c>
      <c r="N526" s="10" t="str">
        <f t="array" ref="N526">XLOOKUP(I526,customers_clean!$A$2:$A$701,customers_clean!$H$2:$H$701)</f>
        <v>nina.taylor@company.co.uk</v>
      </c>
      <c r="O526" s="9" t="str">
        <f>IFERROR(__xludf.DUMMYFUNCTION("IF(REGEXMATCH(TRIM(N526),""^[A-Za-z0-9._%+-]+@[A-Za-z0-9.-]+\.[A-Za-z]{2,}$""),""✅ Valid"",""❌ Invalid"")"),"✅ Valid")</f>
        <v>✅ Valid</v>
      </c>
      <c r="P526" s="2" t="str">
        <f t="array" ref="P526">XLOOKUP(I526,customers_clean!$A$2:$A$701,customers_clean!$K$2:$K$701)</f>
        <v> 494 0215274</v>
      </c>
      <c r="Q526" s="10" t="str">
        <f t="array" ref="Q526">XLOOKUP(I526,customers_clean!$A$2:$A$701,customers_clean!$N$2:$N$701)</f>
        <v>40215274</v>
      </c>
      <c r="R526" s="9" t="str">
        <f t="array" ref="R526">XLOOKUP(I526,customers_clean!$A$2:$A$701,customers_clean!$Q$2:$Q$701)</f>
        <v>❌ INVALID</v>
      </c>
      <c r="S526" s="31" t="s">
        <v>671</v>
      </c>
      <c r="T526" s="2" t="s">
        <v>223</v>
      </c>
      <c r="U526" s="2" t="s">
        <v>401</v>
      </c>
      <c r="V526" s="2" t="s">
        <v>1137</v>
      </c>
      <c r="W526" s="9" t="str">
        <f t="array" ref="W526">IF(ISNA(XLOOKUP(V526,products_master_corrected!$A$2:$A$151,products_master_corrected!$A$2:$A$151, NA())),
    "❌ MISSING SKU", "✅")</f>
        <v>✅</v>
      </c>
      <c r="X526" s="2" t="s">
        <v>1138</v>
      </c>
      <c r="Y526" s="2" t="s">
        <v>30</v>
      </c>
      <c r="Z526" s="10" t="s">
        <v>179</v>
      </c>
      <c r="AA526" s="27">
        <v>1.0</v>
      </c>
      <c r="AB526" s="9" t="s">
        <v>8649</v>
      </c>
      <c r="AC526" s="28">
        <f t="array" ref="AC526">XLOOKUP(V526,products_master_corrected!$A$2:$A$151,products_master_corrected!$E$2:$E$151)</f>
        <v>305.43</v>
      </c>
      <c r="AD526" s="28">
        <f t="shared" si="62"/>
        <v>305.43</v>
      </c>
      <c r="AE526" s="28">
        <f t="array" ref="AE526">XLOOKUP(V526,products_master_corrected!$A$2:$A$151,products_master_corrected!$J$2:$J$151)</f>
        <v>356.22</v>
      </c>
      <c r="AF526" s="29">
        <f t="shared" si="63"/>
        <v>356.22</v>
      </c>
      <c r="AG526" s="32" t="s">
        <v>8656</v>
      </c>
      <c r="AH526" s="2" t="s">
        <v>66</v>
      </c>
      <c r="AI526" s="10" t="s">
        <v>66</v>
      </c>
      <c r="AJ526" s="2" t="s">
        <v>34</v>
      </c>
      <c r="AK526" s="10" t="s">
        <v>80</v>
      </c>
    </row>
    <row r="527" ht="15.75" customHeight="1">
      <c r="A527" s="2" t="s">
        <v>5846</v>
      </c>
      <c r="B527" s="12">
        <v>45431.0</v>
      </c>
      <c r="C527" s="2" t="str">
        <f>IFERROR(__xludf.DUMMYFUNCTION("IF(ISNUMBER(B527),TEXT(B527,""yyyy-MM-dd""),REGEXREPLACE(REGEXREPLACE(TO_TEXT(B527),""[^0-9a-zA-Z]+"",""-""),""[^0-9]*$"",""""))"),"2024-05-19")</f>
        <v>2024-05-19</v>
      </c>
      <c r="D527" s="2" t="s">
        <v>5847</v>
      </c>
      <c r="H527" s="10" t="s">
        <v>5847</v>
      </c>
      <c r="I527" s="2" t="s">
        <v>604</v>
      </c>
      <c r="J527" s="26" t="str">
        <f t="array" ref="J527">IF(ISNA(XLOOKUP(I527,customers_clean!$A$2:$A$701,customers_clean!$A$2:$A$701, NA()) ),
   "❌ MISSING CUSTOMER", "✅")</f>
        <v>✅</v>
      </c>
      <c r="K527" s="2" t="str">
        <f t="array" ref="K527">XLOOKUP(I527,customers_clean!$A$2:$A$701,customers_clean!$C$2:$C$701)</f>
        <v> Ken Taylor</v>
      </c>
      <c r="L527" s="10" t="str">
        <f t="array" ref="L527">XLOOKUP(I527,customers_clean!$A$2:$A$701,customers_clean!$D$2:$D$701)</f>
        <v>Ken Taylor</v>
      </c>
      <c r="M527" s="2" t="str">
        <f t="array" ref="M527">XLOOKUP(I527,customers_clean!$A$2:$A$701,customers_clean!$I$2:$I$701)</f>
        <v>Ken.Taylor@Example.Com</v>
      </c>
      <c r="N527" s="10" t="str">
        <f t="array" ref="N527">XLOOKUP(I527,customers_clean!$A$2:$A$701,customers_clean!$H$2:$H$701)</f>
        <v>ken.taylor@example.com</v>
      </c>
      <c r="O527" s="9" t="str">
        <f>IFERROR(__xludf.DUMMYFUNCTION("IF(REGEXMATCH(TRIM(N527),""^[A-Za-z0-9._%+-]+@[A-Za-z0-9.-]+\.[A-Za-z]{2,}$""),""✅ Valid"",""❌ Invalid"")"),"✅ Valid")</f>
        <v>✅ Valid</v>
      </c>
      <c r="P527" s="2" t="str">
        <f t="array" ref="P527">XLOOKUP(I527,customers_clean!$A$2:$A$701,customers_clean!$K$2:$K$701)</f>
        <v>(548) 57584</v>
      </c>
      <c r="Q527" s="10" t="str">
        <f t="array" ref="Q527">XLOOKUP(I527,customers_clean!$A$2:$A$701,customers_clean!$N$2:$N$701)</f>
        <v>54857584</v>
      </c>
      <c r="R527" s="9" t="str">
        <f t="array" ref="R527">XLOOKUP(I527,customers_clean!$A$2:$A$701,customers_clean!$Q$2:$Q$701)</f>
        <v>❌ INVALID</v>
      </c>
      <c r="S527" s="10" t="s">
        <v>608</v>
      </c>
      <c r="T527" s="2" t="s">
        <v>223</v>
      </c>
      <c r="U527" s="2" t="s">
        <v>401</v>
      </c>
      <c r="V527" s="2" t="s">
        <v>1109</v>
      </c>
      <c r="W527" s="9" t="str">
        <f t="array" ref="W527">IF(ISNA(XLOOKUP(V527,products_master_corrected!$A$2:$A$151,products_master_corrected!$A$2:$A$151, NA())),
    "❌ MISSING SKU", "✅")</f>
        <v>✅</v>
      </c>
      <c r="X527" s="2" t="s">
        <v>62</v>
      </c>
      <c r="Y527" s="2" t="s">
        <v>826</v>
      </c>
      <c r="Z527" s="10" t="s">
        <v>63</v>
      </c>
      <c r="AA527" s="27">
        <v>3.0</v>
      </c>
      <c r="AB527" s="9" t="s">
        <v>8649</v>
      </c>
      <c r="AC527" s="28">
        <f t="array" ref="AC527">XLOOKUP(V527,products_master_corrected!$A$2:$A$151,products_master_corrected!$E$2:$E$151)</f>
        <v>115.14</v>
      </c>
      <c r="AD527" s="28">
        <f t="shared" si="62"/>
        <v>345.42</v>
      </c>
      <c r="AE527" s="28">
        <f t="array" ref="AE527">XLOOKUP(V527,products_master_corrected!$A$2:$A$151,products_master_corrected!$H$2:$H$151)</f>
        <v>129.36</v>
      </c>
      <c r="AF527" s="29">
        <f t="shared" si="63"/>
        <v>388.08</v>
      </c>
      <c r="AG527" s="32" t="s">
        <v>8658</v>
      </c>
      <c r="AH527" s="2" t="s">
        <v>66</v>
      </c>
      <c r="AI527" s="10" t="s">
        <v>66</v>
      </c>
      <c r="AJ527" s="2" t="s">
        <v>158</v>
      </c>
      <c r="AK527" s="10" t="s">
        <v>818</v>
      </c>
      <c r="AL527" s="2" t="s">
        <v>67</v>
      </c>
    </row>
    <row r="528" ht="15.75" customHeight="1">
      <c r="A528" s="2" t="s">
        <v>602</v>
      </c>
      <c r="B528" s="12" t="s">
        <v>603</v>
      </c>
      <c r="C528" s="2" t="str">
        <f>IFERROR(__xludf.DUMMYFUNCTION("IF(ISNUMBER(B528),TEXT(B528,""yyyy-MM-dd""),REGEXREPLACE(REGEXREPLACE(TO_TEXT(B528),""[^0-9a-zA-Z]+"",""-""),""[^0-9]*$"",""""))"),"44938-22-40")</f>
        <v>44938-22-40</v>
      </c>
      <c r="D528" s="2" t="str">
        <f>TEXT(C528,"yyyy-MM-dd")</f>
        <v>44938-22-40</v>
      </c>
      <c r="E528" s="25" t="str">
        <f>CONCATENATE(LEFT(D528,5))</f>
        <v>44938</v>
      </c>
      <c r="F528" s="12">
        <f>DATE(1900,1,1) + E528 - 1</f>
        <v>44939</v>
      </c>
      <c r="G528" s="2" t="s">
        <v>8793</v>
      </c>
      <c r="H528" s="10" t="s">
        <v>8793</v>
      </c>
      <c r="I528" s="2" t="s">
        <v>604</v>
      </c>
      <c r="J528" s="26" t="str">
        <f t="array" ref="J528">IF(ISNA(XLOOKUP(I528,customers_clean!$A$2:$A$701,customers_clean!$A$2:$A$701, NA()) ),
   "❌ MISSING CUSTOMER", "✅")</f>
        <v>✅</v>
      </c>
      <c r="K528" s="2" t="str">
        <f t="array" ref="K528">XLOOKUP(I528,customers_clean!$A$2:$A$701,customers_clean!$C$2:$C$701)</f>
        <v> Ken Taylor</v>
      </c>
      <c r="L528" s="10" t="str">
        <f t="array" ref="L528">XLOOKUP(I528,customers_clean!$A$2:$A$701,customers_clean!$D$2:$D$701)</f>
        <v>Ken Taylor</v>
      </c>
      <c r="M528" s="2" t="str">
        <f t="array" ref="M528">XLOOKUP(I528,customers_clean!$A$2:$A$701,customers_clean!$I$2:$I$701)</f>
        <v>Ken.Taylor@Example.Com</v>
      </c>
      <c r="N528" s="10" t="str">
        <f t="array" ref="N528">XLOOKUP(I528,customers_clean!$A$2:$A$701,customers_clean!$H$2:$H$701)</f>
        <v>ken.taylor@example.com</v>
      </c>
      <c r="O528" s="9" t="str">
        <f>IFERROR(__xludf.DUMMYFUNCTION("IF(REGEXMATCH(TRIM(N528),""^[A-Za-z0-9._%+-]+@[A-Za-z0-9.-]+\.[A-Za-z]{2,}$""),""✅ Valid"",""❌ Invalid"")"),"✅ Valid")</f>
        <v>✅ Valid</v>
      </c>
      <c r="P528" s="2" t="str">
        <f t="array" ref="P528">XLOOKUP(I528,customers_clean!$A$2:$A$701,customers_clean!$K$2:$K$701)</f>
        <v>(548) 57584</v>
      </c>
      <c r="Q528" s="10" t="str">
        <f t="array" ref="Q528">XLOOKUP(I528,customers_clean!$A$2:$A$701,customers_clean!$N$2:$N$701)</f>
        <v>54857584</v>
      </c>
      <c r="R528" s="9" t="str">
        <f t="array" ref="R528">XLOOKUP(I528,customers_clean!$A$2:$A$701,customers_clean!$Q$2:$Q$701)</f>
        <v>❌ INVALID</v>
      </c>
      <c r="S528" s="10" t="s">
        <v>608</v>
      </c>
      <c r="T528" s="2" t="s">
        <v>26</v>
      </c>
      <c r="U528" s="2" t="s">
        <v>90</v>
      </c>
      <c r="V528" s="2" t="s">
        <v>609</v>
      </c>
      <c r="W528" s="9" t="str">
        <f t="array" ref="W528">IF(ISNA(XLOOKUP(V528,products_master_corrected!$A$2:$A$151,products_master_corrected!$A$2:$A$151, NA())),
    "❌ MISSING SKU", "✅")</f>
        <v>✅</v>
      </c>
      <c r="X528" s="2" t="s">
        <v>259</v>
      </c>
      <c r="Y528" s="2" t="s">
        <v>610</v>
      </c>
      <c r="Z528" s="10" t="s">
        <v>179</v>
      </c>
      <c r="AA528" s="27">
        <v>1.0</v>
      </c>
      <c r="AB528" s="9" t="s">
        <v>8649</v>
      </c>
      <c r="AC528" s="28">
        <f t="array" ref="AC528">XLOOKUP(V528,products_master_corrected!$A$2:$A$151,products_master_corrected!$E$2:$E$151)</f>
        <v>32.41</v>
      </c>
      <c r="AD528" s="28">
        <f t="shared" si="62"/>
        <v>32.41</v>
      </c>
      <c r="AE528" s="28">
        <f t="array" ref="AE528">XLOOKUP(V528,products_master_corrected!$A$2:$A$151,products_master_corrected!$H$2:$H$151)</f>
        <v>36.41</v>
      </c>
      <c r="AF528" s="29">
        <f t="shared" si="63"/>
        <v>36.41</v>
      </c>
      <c r="AG528" s="32" t="s">
        <v>8658</v>
      </c>
      <c r="AH528" s="2" t="s">
        <v>66</v>
      </c>
      <c r="AI528" s="10" t="s">
        <v>66</v>
      </c>
      <c r="AJ528" s="2" t="s">
        <v>158</v>
      </c>
      <c r="AK528" s="10" t="s">
        <v>818</v>
      </c>
      <c r="AL528" s="2" t="s">
        <v>51</v>
      </c>
    </row>
    <row r="529" ht="15.75" customHeight="1">
      <c r="A529" s="2" t="s">
        <v>3876</v>
      </c>
      <c r="B529" s="12">
        <v>45405.0</v>
      </c>
      <c r="C529" s="2" t="str">
        <f>IFERROR(__xludf.DUMMYFUNCTION("IF(ISNUMBER(B529),TEXT(B529,""yyyy-MM-dd""),REGEXREPLACE(REGEXREPLACE(TO_TEXT(B529),""[^0-9a-zA-Z]+"",""-""),""[^0-9]*$"",""""))"),"2024-04-23")</f>
        <v>2024-04-23</v>
      </c>
      <c r="D529" s="2" t="s">
        <v>8868</v>
      </c>
      <c r="H529" s="10" t="s">
        <v>8868</v>
      </c>
      <c r="I529" s="2" t="s">
        <v>821</v>
      </c>
      <c r="J529" s="26" t="str">
        <f t="array" ref="J529">IF(ISNA(XLOOKUP(I529,customers_clean!$A$2:$A$701,customers_clean!$A$2:$A$701, NA()) ),
   "❌ MISSING CUSTOMER", "✅")</f>
        <v>✅</v>
      </c>
      <c r="K529" s="2" t="str">
        <f t="array" ref="K529">XLOOKUP(I529,customers_clean!$A$2:$A$701,customers_clean!$C$2:$C$701)</f>
        <v>Ken Rossi</v>
      </c>
      <c r="L529" s="10" t="str">
        <f t="array" ref="L529">XLOOKUP(I529,customers_clean!$A$2:$A$701,customers_clean!$D$2:$D$701)</f>
        <v>Ken Rossi</v>
      </c>
      <c r="M529" s="2" t="str">
        <f t="array" ref="M529">XLOOKUP(I529,customers_clean!$A$2:$A$701,customers_clean!$I$2:$I$701)</f>
        <v> ken.rossi@gmail.com</v>
      </c>
      <c r="N529" s="10" t="str">
        <f t="array" ref="N529">XLOOKUP(I529,customers_clean!$A$2:$A$701,customers_clean!$H$2:$H$701)</f>
        <v>ken.rossi@gmail.com</v>
      </c>
      <c r="O529" s="9" t="str">
        <f>IFERROR(__xludf.DUMMYFUNCTION("IF(REGEXMATCH(TRIM(N529),""^[A-Za-z0-9._%+-]+@[A-Za-z0-9.-]+\.[A-Za-z]{2,}$""),""✅ Valid"",""❌ Invalid"")"),"✅ Valid")</f>
        <v>✅ Valid</v>
      </c>
      <c r="P529" s="2">
        <f t="array" ref="P529">XLOOKUP(I529,customers_clean!$A$2:$A$701,customers_clean!$K$2:$K$701)</f>
        <v>390026963</v>
      </c>
      <c r="Q529" s="10" t="str">
        <f t="array" ref="Q529">XLOOKUP(I529,customers_clean!$A$2:$A$701,customers_clean!$N$2:$N$701)</f>
        <v>0026963</v>
      </c>
      <c r="R529" s="9" t="str">
        <f t="array" ref="R529">XLOOKUP(I529,customers_clean!$A$2:$A$701,customers_clean!$Q$2:$Q$701)</f>
        <v>❌ INVALID</v>
      </c>
      <c r="S529" s="10" t="s">
        <v>448</v>
      </c>
      <c r="T529" s="2" t="s">
        <v>683</v>
      </c>
      <c r="U529" s="2" t="s">
        <v>43</v>
      </c>
      <c r="V529" s="2" t="s">
        <v>189</v>
      </c>
      <c r="W529" s="9" t="str">
        <f t="array" ref="W529">IF(ISNA(XLOOKUP(V529,products_master_corrected!$A$2:$A$151,products_master_corrected!$A$2:$A$151, NA())),
    "❌ MISSING SKU", "✅")</f>
        <v>✅</v>
      </c>
      <c r="X529" s="2" t="s">
        <v>190</v>
      </c>
      <c r="Y529" s="2" t="s">
        <v>167</v>
      </c>
      <c r="Z529" s="10" t="str">
        <f>PROPER(TRIM(Y529))</f>
        <v>Monitors</v>
      </c>
      <c r="AA529" s="27">
        <v>2.0</v>
      </c>
      <c r="AB529" s="9" t="s">
        <v>8649</v>
      </c>
      <c r="AC529" s="28">
        <f t="array" ref="AC529">XLOOKUP(V529,products_master_corrected!$A$2:$A$151,products_master_corrected!$E$2:$E$151)</f>
        <v>57.69</v>
      </c>
      <c r="AD529" s="28">
        <f t="shared" si="62"/>
        <v>115.38</v>
      </c>
      <c r="AE529" s="28">
        <f t="array" ref="AE529">XLOOKUP(V529,products_master_corrected!$A$2:$A$151,products_master_corrected!$M$2:$M$151)</f>
        <v>69.78</v>
      </c>
      <c r="AF529" s="29">
        <f t="shared" si="63"/>
        <v>139.56</v>
      </c>
      <c r="AG529" s="30" t="s">
        <v>48</v>
      </c>
      <c r="AH529" s="2" t="s">
        <v>181</v>
      </c>
      <c r="AI529" s="10" t="s">
        <v>181</v>
      </c>
      <c r="AJ529" s="2" t="s">
        <v>144</v>
      </c>
      <c r="AK529" s="10" t="s">
        <v>818</v>
      </c>
    </row>
    <row r="530" ht="15.75" customHeight="1">
      <c r="A530" s="2" t="s">
        <v>819</v>
      </c>
      <c r="B530" s="12">
        <v>45729.95277777778</v>
      </c>
      <c r="C530" s="2" t="str">
        <f>IFERROR(__xludf.DUMMYFUNCTION("IF(ISNUMBER(B530),TEXT(B530,""yyyy-MM-dd""),REGEXREPLACE(REGEXREPLACE(TO_TEXT(B530),""[^0-9a-zA-Z]+"",""-""),""[^0-9]*$"",""""))"),"2025-03-13")</f>
        <v>2025-03-13</v>
      </c>
      <c r="D530" s="2" t="s">
        <v>8280</v>
      </c>
      <c r="H530" s="10" t="s">
        <v>8280</v>
      </c>
      <c r="I530" s="2" t="s">
        <v>821</v>
      </c>
      <c r="J530" s="26" t="str">
        <f t="array" ref="J530">IF(ISNA(XLOOKUP(I530,customers_clean!$A$2:$A$701,customers_clean!$A$2:$A$701, NA()) ),
   "❌ MISSING CUSTOMER", "✅")</f>
        <v>✅</v>
      </c>
      <c r="K530" s="2" t="str">
        <f t="array" ref="K530">XLOOKUP(I530,customers_clean!$A$2:$A$701,customers_clean!$C$2:$C$701)</f>
        <v>Ken Rossi</v>
      </c>
      <c r="L530" s="10" t="str">
        <f t="array" ref="L530">XLOOKUP(I530,customers_clean!$A$2:$A$701,customers_clean!$D$2:$D$701)</f>
        <v>Ken Rossi</v>
      </c>
      <c r="M530" s="2" t="str">
        <f t="array" ref="M530">XLOOKUP(I530,customers_clean!$A$2:$A$701,customers_clean!$I$2:$I$701)</f>
        <v> ken.rossi@gmail.com</v>
      </c>
      <c r="N530" s="10" t="str">
        <f t="array" ref="N530">XLOOKUP(I530,customers_clean!$A$2:$A$701,customers_clean!$H$2:$H$701)</f>
        <v>ken.rossi@gmail.com</v>
      </c>
      <c r="O530" s="9" t="str">
        <f>IFERROR(__xludf.DUMMYFUNCTION("IF(REGEXMATCH(TRIM(N530),""^[A-Za-z0-9._%+-]+@[A-Za-z0-9.-]+\.[A-Za-z]{2,}$""),""✅ Valid"",""❌ Invalid"")"),"✅ Valid")</f>
        <v>✅ Valid</v>
      </c>
      <c r="P530" s="2">
        <f t="array" ref="P530">XLOOKUP(I530,customers_clean!$A$2:$A$701,customers_clean!$K$2:$K$701)</f>
        <v>390026963</v>
      </c>
      <c r="Q530" s="10" t="str">
        <f t="array" ref="Q530">XLOOKUP(I530,customers_clean!$A$2:$A$701,customers_clean!$N$2:$N$701)</f>
        <v>0026963</v>
      </c>
      <c r="R530" s="9" t="str">
        <f t="array" ref="R530">XLOOKUP(I530,customers_clean!$A$2:$A$701,customers_clean!$Q$2:$Q$701)</f>
        <v>❌ INVALID</v>
      </c>
      <c r="S530" s="10" t="s">
        <v>448</v>
      </c>
      <c r="T530" s="2" t="s">
        <v>223</v>
      </c>
      <c r="U530" s="2" t="s">
        <v>43</v>
      </c>
      <c r="V530" s="2" t="s">
        <v>824</v>
      </c>
      <c r="W530" s="9" t="str">
        <f t="array" ref="W530">IF(ISNA(XLOOKUP(V530,products_master_corrected!$A$2:$A$151,products_master_corrected!$A$2:$A$151, NA())),
    "❌ MISSING SKU", "✅")</f>
        <v>✅</v>
      </c>
      <c r="X530" s="2" t="s">
        <v>825</v>
      </c>
      <c r="Y530" s="2" t="s">
        <v>826</v>
      </c>
      <c r="Z530" s="10" t="s">
        <v>63</v>
      </c>
      <c r="AA530" s="27">
        <v>1.0</v>
      </c>
      <c r="AB530" s="9" t="s">
        <v>8649</v>
      </c>
      <c r="AC530" s="28">
        <f t="array" ref="AC530">XLOOKUP(V530,products_master_corrected!$A$2:$A$151,products_master_corrected!$E$2:$E$151)</f>
        <v>49.58</v>
      </c>
      <c r="AD530" s="28">
        <f t="shared" si="62"/>
        <v>49.58</v>
      </c>
      <c r="AE530" s="28">
        <f t="array" ref="AE530">XLOOKUP(V530,products_master_corrected!$A$2:$A$151,products_master_corrected!$M$2:$M$151)</f>
        <v>59.97</v>
      </c>
      <c r="AF530" s="29">
        <f t="shared" si="63"/>
        <v>59.97</v>
      </c>
      <c r="AG530" s="30" t="s">
        <v>48</v>
      </c>
      <c r="AH530" s="2" t="s">
        <v>664</v>
      </c>
      <c r="AI530" s="10" t="s">
        <v>66</v>
      </c>
      <c r="AJ530" s="2" t="s">
        <v>452</v>
      </c>
      <c r="AK530" s="10" t="s">
        <v>261</v>
      </c>
    </row>
    <row r="531" ht="15.75" customHeight="1">
      <c r="A531" s="2" t="s">
        <v>5181</v>
      </c>
      <c r="B531" s="12">
        <v>45449.0</v>
      </c>
      <c r="C531" s="2" t="str">
        <f>IFERROR(__xludf.DUMMYFUNCTION("IF(ISNUMBER(B531),TEXT(B531,""yyyy-MM-dd""),REGEXREPLACE(REGEXREPLACE(TO_TEXT(B531),""[^0-9a-zA-Z]+"",""-""),""[^0-9]*$"",""""))"),"2024-06-06")</f>
        <v>2024-06-06</v>
      </c>
      <c r="D531" s="2" t="s">
        <v>7836</v>
      </c>
      <c r="H531" s="10" t="s">
        <v>7836</v>
      </c>
      <c r="I531" s="2" t="s">
        <v>781</v>
      </c>
      <c r="J531" s="26" t="str">
        <f t="array" ref="J531">IF(ISNA(XLOOKUP(I531,customers_clean!$A$2:$A$701,customers_clean!$A$2:$A$701, NA()) ),
   "❌ MISSING CUSTOMER", "✅")</f>
        <v>✅</v>
      </c>
      <c r="K531" s="2" t="str">
        <f t="array" ref="K531">XLOOKUP(I531,customers_clean!$A$2:$A$701,customers_clean!$C$2:$C$701)</f>
        <v>Omar King</v>
      </c>
      <c r="L531" s="10" t="str">
        <f t="array" ref="L531">XLOOKUP(I531,customers_clean!$A$2:$A$701,customers_clean!$D$2:$D$701)</f>
        <v>Omar King</v>
      </c>
      <c r="M531" s="2" t="str">
        <f t="array" ref="M531">XLOOKUP(I531,customers_clean!$A$2:$A$701,customers_clean!$I$2:$I$701)</f>
        <v>omar.king@yahoo.com </v>
      </c>
      <c r="N531" s="10" t="str">
        <f t="array" ref="N531">XLOOKUP(I531,customers_clean!$A$2:$A$701,customers_clean!$H$2:$H$701)</f>
        <v>omar.king@yahoo.com</v>
      </c>
      <c r="O531" s="9" t="str">
        <f>IFERROR(__xludf.DUMMYFUNCTION("IF(REGEXMATCH(TRIM(N531),""^[A-Za-z0-9._%+-]+@[A-Za-z0-9.-]+\.[A-Za-z]{2,}$""),""✅ Valid"",""❌ Invalid"")"),"✅ Valid")</f>
        <v>✅ Valid</v>
      </c>
      <c r="P531" s="2">
        <f t="array" ref="P531">XLOOKUP(I531,customers_clean!$A$2:$A$701,customers_clean!$K$2:$K$701)</f>
        <v>490870859912</v>
      </c>
      <c r="Q531" s="10" t="str">
        <f t="array" ref="Q531">XLOOKUP(I531,customers_clean!$A$2:$A$701,customers_clean!$N$2:$N$701)</f>
        <v>0870859912</v>
      </c>
      <c r="R531" s="9" t="str">
        <f t="array" ref="R531">XLOOKUP(I531,customers_clean!$A$2:$A$701,customers_clean!$Q$2:$Q$701)</f>
        <v>❌ INVALID</v>
      </c>
      <c r="S531" s="31" t="s">
        <v>671</v>
      </c>
      <c r="T531" s="2" t="s">
        <v>400</v>
      </c>
      <c r="U531" s="2" t="s">
        <v>401</v>
      </c>
      <c r="V531" s="2" t="s">
        <v>513</v>
      </c>
      <c r="W531" s="9" t="str">
        <f t="array" ref="W531">IF(ISNA(XLOOKUP(V531,products_master_corrected!$A$2:$A$151,products_master_corrected!$A$2:$A$151, NA())),
    "❌ MISSING SKU", "✅")</f>
        <v>✅</v>
      </c>
      <c r="X531" s="2" t="s">
        <v>8673</v>
      </c>
      <c r="Y531" s="2" t="s">
        <v>514</v>
      </c>
      <c r="Z531" s="10" t="s">
        <v>514</v>
      </c>
      <c r="AA531" s="27">
        <v>2.0</v>
      </c>
      <c r="AB531" s="9" t="s">
        <v>8649</v>
      </c>
      <c r="AC531" s="28">
        <f t="array" ref="AC531">XLOOKUP(V531,products_master_corrected!$A$2:$A$151,products_master_corrected!$E$2:$E$151)</f>
        <v>275.56</v>
      </c>
      <c r="AD531" s="28">
        <f t="shared" si="62"/>
        <v>551.12</v>
      </c>
      <c r="AE531" s="28">
        <f t="array" ref="AE531">XLOOKUP(V531,products_master_corrected!$A$2:$A$151,products_master_corrected!$J$2:$J$151)</f>
        <v>321.39</v>
      </c>
      <c r="AF531" s="29">
        <f t="shared" si="63"/>
        <v>642.78</v>
      </c>
      <c r="AG531" s="32" t="s">
        <v>8656</v>
      </c>
      <c r="AH531" s="2" t="s">
        <v>66</v>
      </c>
      <c r="AI531" s="10" t="s">
        <v>66</v>
      </c>
      <c r="AJ531" s="2" t="s">
        <v>380</v>
      </c>
      <c r="AK531" s="10" t="s">
        <v>80</v>
      </c>
      <c r="AL531" s="2" t="s">
        <v>133</v>
      </c>
    </row>
    <row r="532" ht="15.75" customHeight="1">
      <c r="A532" s="2" t="s">
        <v>779</v>
      </c>
      <c r="B532" s="12">
        <v>45125.0</v>
      </c>
      <c r="C532" s="2" t="str">
        <f>IFERROR(__xludf.DUMMYFUNCTION("IF(ISNUMBER(B532),TEXT(B532,""yyyy-MM-dd""),REGEXREPLACE(REGEXREPLACE(TO_TEXT(B532),""[^0-9a-zA-Z]+"",""-""),""[^0-9]*$"",""""))"),"2023-07-18")</f>
        <v>2023-07-18</v>
      </c>
      <c r="D532" s="2" t="s">
        <v>8164</v>
      </c>
      <c r="H532" s="10" t="s">
        <v>8164</v>
      </c>
      <c r="I532" s="2" t="s">
        <v>781</v>
      </c>
      <c r="J532" s="26" t="str">
        <f t="array" ref="J532">IF(ISNA(XLOOKUP(I532,customers_clean!$A$2:$A$701,customers_clean!$A$2:$A$701, NA()) ),
   "❌ MISSING CUSTOMER", "✅")</f>
        <v>✅</v>
      </c>
      <c r="K532" s="2" t="str">
        <f t="array" ref="K532">XLOOKUP(I532,customers_clean!$A$2:$A$701,customers_clean!$C$2:$C$701)</f>
        <v>Omar King</v>
      </c>
      <c r="L532" s="10" t="str">
        <f t="array" ref="L532">XLOOKUP(I532,customers_clean!$A$2:$A$701,customers_clean!$D$2:$D$701)</f>
        <v>Omar King</v>
      </c>
      <c r="M532" s="2" t="str">
        <f t="array" ref="M532">XLOOKUP(I532,customers_clean!$A$2:$A$701,customers_clean!$I$2:$I$701)</f>
        <v>omar.king@yahoo.com </v>
      </c>
      <c r="N532" s="10" t="str">
        <f t="array" ref="N532">XLOOKUP(I532,customers_clean!$A$2:$A$701,customers_clean!$H$2:$H$701)</f>
        <v>omar.king@yahoo.com</v>
      </c>
      <c r="O532" s="9" t="str">
        <f>IFERROR(__xludf.DUMMYFUNCTION("IF(REGEXMATCH(TRIM(N532),""^[A-Za-z0-9._%+-]+@[A-Za-z0-9.-]+\.[A-Za-z]{2,}$""),""✅ Valid"",""❌ Invalid"")"),"✅ Valid")</f>
        <v>✅ Valid</v>
      </c>
      <c r="P532" s="2">
        <f t="array" ref="P532">XLOOKUP(I532,customers_clean!$A$2:$A$701,customers_clean!$K$2:$K$701)</f>
        <v>490870859912</v>
      </c>
      <c r="Q532" s="10" t="str">
        <f t="array" ref="Q532">XLOOKUP(I532,customers_clean!$A$2:$A$701,customers_clean!$N$2:$N$701)</f>
        <v>0870859912</v>
      </c>
      <c r="R532" s="9" t="str">
        <f t="array" ref="R532">XLOOKUP(I532,customers_clean!$A$2:$A$701,customers_clean!$Q$2:$Q$701)</f>
        <v>❌ INVALID</v>
      </c>
      <c r="S532" s="31" t="s">
        <v>671</v>
      </c>
      <c r="T532" s="2" t="s">
        <v>42</v>
      </c>
      <c r="U532" s="2" t="s">
        <v>176</v>
      </c>
      <c r="V532" s="2" t="s">
        <v>767</v>
      </c>
      <c r="W532" s="9" t="str">
        <f t="array" ref="W532">IF(ISNA(XLOOKUP(V532,products_master_corrected!$A$2:$A$151,products_master_corrected!$A$2:$A$151, NA())),
    "❌ MISSING SKU", "✅")</f>
        <v>✅</v>
      </c>
      <c r="X532" s="2" t="s">
        <v>768</v>
      </c>
      <c r="Y532" s="2" t="s">
        <v>769</v>
      </c>
      <c r="Z532" s="10" t="str">
        <f>PROPER(TRIM(Y532))</f>
        <v>Monitors</v>
      </c>
      <c r="AA532" s="27"/>
      <c r="AB532" s="9" t="s">
        <v>8677</v>
      </c>
      <c r="AC532" s="34"/>
      <c r="AD532" s="34"/>
      <c r="AE532" s="34"/>
      <c r="AF532" s="35"/>
      <c r="AG532" s="36" t="s">
        <v>32</v>
      </c>
      <c r="AH532" s="2" t="s">
        <v>33</v>
      </c>
      <c r="AI532" s="10" t="s">
        <v>181</v>
      </c>
      <c r="AJ532" s="2" t="s">
        <v>294</v>
      </c>
      <c r="AK532" s="10" t="s">
        <v>80</v>
      </c>
    </row>
    <row r="533" ht="15.75" customHeight="1">
      <c r="A533" s="2" t="s">
        <v>3117</v>
      </c>
      <c r="B533" s="12">
        <v>45727.0</v>
      </c>
      <c r="C533" s="2" t="str">
        <f>IFERROR(__xludf.DUMMYFUNCTION("IF(ISNUMBER(B533),TEXT(B533,""yyyy-MM-dd""),REGEXREPLACE(REGEXREPLACE(TO_TEXT(B533),""[^0-9a-zA-Z]+"",""-""),""[^0-9]*$"",""""))"),"2025-03-11")</f>
        <v>2025-03-11</v>
      </c>
      <c r="D533" s="2" t="s">
        <v>8836</v>
      </c>
      <c r="H533" s="10" t="s">
        <v>8836</v>
      </c>
      <c r="I533" s="2" t="s">
        <v>3119</v>
      </c>
      <c r="J533" s="26" t="str">
        <f t="array" ref="J533">IF(ISNA(XLOOKUP(I533,customers_clean!$A$2:$A$701,customers_clean!$A$2:$A$701, NA()) ),
   "❌ MISSING CUSTOMER", "✅")</f>
        <v>✅</v>
      </c>
      <c r="K533" s="2" t="str">
        <f t="array" ref="K533">XLOOKUP(I533,customers_clean!$A$2:$A$701,customers_clean!$C$2:$C$701)</f>
        <v>Omar Rodriguez</v>
      </c>
      <c r="L533" s="10" t="str">
        <f t="array" ref="L533">XLOOKUP(I533,customers_clean!$A$2:$A$701,customers_clean!$D$2:$D$701)</f>
        <v>Omar Rodriguez</v>
      </c>
      <c r="M533" s="2" t="str">
        <f t="array" ref="M533">XLOOKUP(I533,customers_clean!$A$2:$A$701,customers_clean!$I$2:$I$701)</f>
        <v>Omar.Rodriguez@Yahoo.Com</v>
      </c>
      <c r="N533" s="10" t="str">
        <f t="array" ref="N533">XLOOKUP(I533,customers_clean!$A$2:$A$701,customers_clean!$H$2:$H$701)</f>
        <v>omar.rodriguez@yahoo.com</v>
      </c>
      <c r="O533" s="9" t="str">
        <f>IFERROR(__xludf.DUMMYFUNCTION("IF(REGEXMATCH(TRIM(N533),""^[A-Za-z0-9._%+-]+@[A-Za-z0-9.-]+\.[A-Za-z]{2,}$""),""✅ Valid"",""❌ Invalid"")"),"✅ Valid")</f>
        <v>✅ Valid</v>
      </c>
      <c r="P533" s="2" t="str">
        <f t="array" ref="P533">XLOOKUP(I533,customers_clean!$A$2:$A$701,customers_clean!$K$2:$K$701)</f>
        <v>tel:+341556853741</v>
      </c>
      <c r="Q533" s="10" t="str">
        <f t="array" ref="Q533">XLOOKUP(I533,customers_clean!$A$2:$A$701,customers_clean!$N$2:$N$701)</f>
        <v>1556853741</v>
      </c>
      <c r="R533" s="9" t="str">
        <f t="array" ref="R533">XLOOKUP(I533,customers_clean!$A$2:$A$701,customers_clean!$Q$2:$Q$701)</f>
        <v>❌ INVALID</v>
      </c>
      <c r="S533" s="10" t="s">
        <v>58</v>
      </c>
      <c r="T533" s="2" t="s">
        <v>152</v>
      </c>
      <c r="U533" s="2" t="s">
        <v>1245</v>
      </c>
      <c r="V533" s="2" t="s">
        <v>673</v>
      </c>
      <c r="W533" s="9" t="str">
        <f t="array" ref="W533">IF(ISNA(XLOOKUP(V533,products_master_corrected!$A$2:$A$151,products_master_corrected!$A$2:$A$151, NA())),
    "❌ MISSING SKU", "✅")</f>
        <v>✅</v>
      </c>
      <c r="X533" s="2" t="s">
        <v>259</v>
      </c>
      <c r="Y533" s="2" t="s">
        <v>674</v>
      </c>
      <c r="Z533" s="10" t="s">
        <v>514</v>
      </c>
      <c r="AA533" s="27">
        <v>5.0</v>
      </c>
      <c r="AB533" s="9" t="s">
        <v>8649</v>
      </c>
      <c r="AC533" s="28">
        <f t="array" ref="AC533">XLOOKUP(V533,products_master_corrected!$A$2:$A$151,products_master_corrected!$E$2:$E$151)</f>
        <v>38.5</v>
      </c>
      <c r="AD533" s="28">
        <f t="shared" ref="AD533:AD574" si="64">AA533*AC533</f>
        <v>192.5</v>
      </c>
      <c r="AE533" s="28">
        <f t="array" ref="AE533">XLOOKUP(V533,products_master_corrected!$A$2:$A$151,products_master_corrected!$G$2:$G$151)</f>
        <v>44.07</v>
      </c>
      <c r="AF533" s="29">
        <f t="shared" ref="AF533:AF574" si="65">AA533*AE533</f>
        <v>220.35</v>
      </c>
      <c r="AG533" s="32" t="s">
        <v>8663</v>
      </c>
      <c r="AH533" s="2" t="s">
        <v>66</v>
      </c>
      <c r="AI533" s="10" t="s">
        <v>66</v>
      </c>
      <c r="AJ533" s="2" t="s">
        <v>192</v>
      </c>
      <c r="AK533" s="10" t="s">
        <v>192</v>
      </c>
      <c r="AL533" s="2" t="s">
        <v>81</v>
      </c>
    </row>
    <row r="534" ht="15.75" customHeight="1">
      <c r="A534" s="2" t="s">
        <v>5729</v>
      </c>
      <c r="B534" s="12" t="s">
        <v>5730</v>
      </c>
      <c r="C534" s="2" t="str">
        <f>IFERROR(__xludf.DUMMYFUNCTION("IF(ISNUMBER(B534),TEXT(B534,""yyyy-MM-dd""),REGEXREPLACE(REGEXREPLACE(TO_TEXT(B534),""[^0-9a-zA-Z]+"",""-""),""[^0-9]*$"",""""))"),"45322-19-10")</f>
        <v>45322-19-10</v>
      </c>
      <c r="D534" s="2" t="str">
        <f>TEXT(C534,"yyyy-MM-dd")</f>
        <v>45322-19-10</v>
      </c>
      <c r="E534" s="25" t="str">
        <f>CONCATENATE(LEFT(D534,5))</f>
        <v>45322</v>
      </c>
      <c r="F534" s="12">
        <f>DATE(1900,1,1) + E534 - 1</f>
        <v>45323</v>
      </c>
      <c r="G534" s="2" t="s">
        <v>3074</v>
      </c>
      <c r="H534" s="10" t="s">
        <v>3074</v>
      </c>
      <c r="I534" s="2" t="s">
        <v>1096</v>
      </c>
      <c r="J534" s="26" t="str">
        <f t="array" ref="J534">IF(ISNA(XLOOKUP(I534,customers_clean!$A$2:$A$701,customers_clean!$A$2:$A$701, NA()) ),
   "❌ MISSING CUSTOMER", "✅")</f>
        <v>✅</v>
      </c>
      <c r="K534" s="2" t="str">
        <f t="array" ref="K534">XLOOKUP(I534,customers_clean!$A$2:$A$701,customers_clean!$C$2:$C$701)</f>
        <v>Jade Lopez</v>
      </c>
      <c r="L534" s="10" t="str">
        <f t="array" ref="L534">XLOOKUP(I534,customers_clean!$A$2:$A$701,customers_clean!$D$2:$D$701)</f>
        <v>Jade Lopez</v>
      </c>
      <c r="M534" s="2" t="str">
        <f t="array" ref="M534">XLOOKUP(I534,customers_clean!$A$2:$A$701,customers_clean!$I$2:$I$701)</f>
        <v>jade.lopez@outlook.com</v>
      </c>
      <c r="N534" s="10" t="str">
        <f t="array" ref="N534">XLOOKUP(I534,customers_clean!$A$2:$A$701,customers_clean!$H$2:$H$701)</f>
        <v>jade.lopez@outlook.com</v>
      </c>
      <c r="O534" s="9" t="str">
        <f>IFERROR(__xludf.DUMMYFUNCTION("IF(REGEXMATCH(TRIM(N534),""^[A-Za-z0-9._%+-]+@[A-Za-z0-9.-]+\.[A-Za-z]{2,}$""),""✅ Valid"",""❌ Invalid"")"),"✅ Valid")</f>
        <v>✅ Valid</v>
      </c>
      <c r="P534" s="2" t="str">
        <f t="array" ref="P534">XLOOKUP(I534,customers_clean!$A$2:$A$701,customers_clean!$K$2:$K$701)</f>
        <v>09x767057</v>
      </c>
      <c r="Q534" s="10" t="str">
        <f t="array" ref="Q534">XLOOKUP(I534,customers_clean!$A$2:$A$701,customers_clean!$N$2:$N$701)</f>
        <v>09767057</v>
      </c>
      <c r="R534" s="9" t="str">
        <f t="array" ref="R534">XLOOKUP(I534,customers_clean!$A$2:$A$701,customers_clean!$Q$2:$Q$701)</f>
        <v>❌ INVALID</v>
      </c>
      <c r="S534" s="10" t="s">
        <v>448</v>
      </c>
      <c r="T534" s="2" t="s">
        <v>152</v>
      </c>
      <c r="U534" s="2" t="s">
        <v>43</v>
      </c>
      <c r="V534" s="2" t="s">
        <v>2012</v>
      </c>
      <c r="W534" s="9" t="str">
        <f t="array" ref="W534">IF(ISNA(XLOOKUP(V534,products_master_corrected!$A$2:$A$151,products_master_corrected!$A$2:$A$151, NA())),
    "❌ MISSING SKU", "✅")</f>
        <v>✅</v>
      </c>
      <c r="X534" s="2" t="s">
        <v>741</v>
      </c>
      <c r="Y534" s="2" t="s">
        <v>514</v>
      </c>
      <c r="Z534" s="10" t="s">
        <v>514</v>
      </c>
      <c r="AA534" s="27">
        <v>3.0</v>
      </c>
      <c r="AB534" s="9" t="s">
        <v>8649</v>
      </c>
      <c r="AC534" s="28">
        <f t="array" ref="AC534">XLOOKUP(V534,products_master_corrected!$A$2:$A$151,products_master_corrected!$E$2:$E$151)</f>
        <v>40.87</v>
      </c>
      <c r="AD534" s="28">
        <f t="shared" si="64"/>
        <v>122.61</v>
      </c>
      <c r="AE534" s="28">
        <f t="array" ref="AE534">XLOOKUP(V534,products_master_corrected!$A$2:$A$151,products_master_corrected!$M$2:$M$151)</f>
        <v>49.44</v>
      </c>
      <c r="AF534" s="29">
        <f t="shared" si="65"/>
        <v>148.32</v>
      </c>
      <c r="AG534" s="30" t="s">
        <v>48</v>
      </c>
      <c r="AH534" s="2" t="s">
        <v>5284</v>
      </c>
      <c r="AI534" s="10" t="s">
        <v>143</v>
      </c>
      <c r="AJ534" s="2" t="s">
        <v>144</v>
      </c>
      <c r="AK534" s="10" t="s">
        <v>818</v>
      </c>
      <c r="AL534" s="2" t="s">
        <v>51</v>
      </c>
    </row>
    <row r="535" ht="15.75" customHeight="1">
      <c r="A535" s="2" t="s">
        <v>1094</v>
      </c>
      <c r="B535" s="12">
        <v>45133.0</v>
      </c>
      <c r="C535" s="2" t="str">
        <f>IFERROR(__xludf.DUMMYFUNCTION("IF(ISNUMBER(B535),TEXT(B535,""yyyy-MM-dd""),REGEXREPLACE(REGEXREPLACE(TO_TEXT(B535),""[^0-9a-zA-Z]+"",""-""),""[^0-9]*$"",""""))"),"2023-07-26")</f>
        <v>2023-07-26</v>
      </c>
      <c r="D535" s="2" t="s">
        <v>8263</v>
      </c>
      <c r="H535" s="10" t="s">
        <v>8263</v>
      </c>
      <c r="I535" s="2" t="s">
        <v>1096</v>
      </c>
      <c r="J535" s="26" t="str">
        <f t="array" ref="J535">IF(ISNA(XLOOKUP(I535,customers_clean!$A$2:$A$701,customers_clean!$A$2:$A$701, NA()) ),
   "❌ MISSING CUSTOMER", "✅")</f>
        <v>✅</v>
      </c>
      <c r="K535" s="2" t="str">
        <f t="array" ref="K535">XLOOKUP(I535,customers_clean!$A$2:$A$701,customers_clean!$C$2:$C$701)</f>
        <v>Jade Lopez</v>
      </c>
      <c r="L535" s="10" t="str">
        <f t="array" ref="L535">XLOOKUP(I535,customers_clean!$A$2:$A$701,customers_clean!$D$2:$D$701)</f>
        <v>Jade Lopez</v>
      </c>
      <c r="M535" s="2" t="str">
        <f t="array" ref="M535">XLOOKUP(I535,customers_clean!$A$2:$A$701,customers_clean!$I$2:$I$701)</f>
        <v>jade.lopez@outlook.com</v>
      </c>
      <c r="N535" s="10" t="str">
        <f t="array" ref="N535">XLOOKUP(I535,customers_clean!$A$2:$A$701,customers_clean!$H$2:$H$701)</f>
        <v>jade.lopez@outlook.com</v>
      </c>
      <c r="O535" s="9" t="str">
        <f>IFERROR(__xludf.DUMMYFUNCTION("IF(REGEXMATCH(TRIM(N535),""^[A-Za-z0-9._%+-]+@[A-Za-z0-9.-]+\.[A-Za-z]{2,}$""),""✅ Valid"",""❌ Invalid"")"),"✅ Valid")</f>
        <v>✅ Valid</v>
      </c>
      <c r="P535" s="2" t="str">
        <f t="array" ref="P535">XLOOKUP(I535,customers_clean!$A$2:$A$701,customers_clean!$K$2:$K$701)</f>
        <v>09x767057</v>
      </c>
      <c r="Q535" s="10" t="str">
        <f t="array" ref="Q535">XLOOKUP(I535,customers_clean!$A$2:$A$701,customers_clean!$N$2:$N$701)</f>
        <v>09767057</v>
      </c>
      <c r="R535" s="9" t="str">
        <f t="array" ref="R535">XLOOKUP(I535,customers_clean!$A$2:$A$701,customers_clean!$Q$2:$Q$701)</f>
        <v>❌ INVALID</v>
      </c>
      <c r="S535" s="10" t="s">
        <v>448</v>
      </c>
      <c r="T535" s="2" t="s">
        <v>400</v>
      </c>
      <c r="U535" s="2" t="s">
        <v>522</v>
      </c>
      <c r="V535" s="2" t="s">
        <v>643</v>
      </c>
      <c r="W535" s="9" t="str">
        <f t="array" ref="W535">IF(ISNA(XLOOKUP(V535,products_master_corrected!$A$2:$A$151,products_master_corrected!$A$2:$A$151, NA())),
    "❌ MISSING SKU", "✅")</f>
        <v>✅</v>
      </c>
      <c r="X535" s="2" t="s">
        <v>1147</v>
      </c>
      <c r="Y535" s="2" t="s">
        <v>368</v>
      </c>
      <c r="Z535" s="10" t="s">
        <v>368</v>
      </c>
      <c r="AA535" s="27">
        <v>1.0</v>
      </c>
      <c r="AB535" s="9" t="s">
        <v>8649</v>
      </c>
      <c r="AC535" s="28">
        <f t="array" ref="AC535">XLOOKUP(V535,products_master_corrected!$A$2:$A$151,products_master_corrected!$E$2:$E$151)</f>
        <v>62.12</v>
      </c>
      <c r="AD535" s="28">
        <f t="shared" si="64"/>
        <v>62.12</v>
      </c>
      <c r="AE535" s="28">
        <f t="array" ref="AE535">XLOOKUP(V535,products_master_corrected!$A$2:$A$151,products_master_corrected!$M$2:$M$151)</f>
        <v>75.14</v>
      </c>
      <c r="AF535" s="29">
        <f t="shared" si="65"/>
        <v>75.14</v>
      </c>
      <c r="AG535" s="30" t="s">
        <v>48</v>
      </c>
      <c r="AH535" s="2" t="s">
        <v>305</v>
      </c>
      <c r="AI535" s="10" t="s">
        <v>49</v>
      </c>
      <c r="AJ535" s="2" t="s">
        <v>1100</v>
      </c>
      <c r="AK535" s="10" t="s">
        <v>818</v>
      </c>
    </row>
    <row r="536" ht="15.75" customHeight="1">
      <c r="A536" s="2" t="s">
        <v>2449</v>
      </c>
      <c r="B536" s="12" t="s">
        <v>2450</v>
      </c>
      <c r="C536" s="2" t="str">
        <f>IFERROR(__xludf.DUMMYFUNCTION("IF(ISNUMBER(B536),TEXT(B536,""yyyy-MM-dd""),REGEXREPLACE(REGEXREPLACE(TO_TEXT(B536),""[^0-9a-zA-Z]+"",""-""),""[^0-9]*$"",""""))"),"07-30-2023-09-23")</f>
        <v>07-30-2023-09-23</v>
      </c>
      <c r="D536" s="2" t="str">
        <f>TEXT(C536,"yyyy-MM-dd")</f>
        <v>07-30-2023-09-23</v>
      </c>
      <c r="E536" s="12" t="str">
        <f>IFERROR(__xludf.DUMMYFUNCTION("REGEXEXTRACT(D536,""^\d{2}-\d{2}-\d{4}"")"),"07-30-2023")</f>
        <v>07-30-2023</v>
      </c>
      <c r="F536" s="2" t="str">
        <f>TEXT(E536,"yyyy-MM-dd")</f>
        <v>07-30-2023</v>
      </c>
      <c r="G536" s="2" t="s">
        <v>8790</v>
      </c>
      <c r="H536" s="10" t="s">
        <v>8790</v>
      </c>
      <c r="I536" s="2" t="s">
        <v>2451</v>
      </c>
      <c r="J536" s="26" t="str">
        <f t="array" ref="J536">IF(ISNA(XLOOKUP(I536,customers_clean!$A$2:$A$701,customers_clean!$A$2:$A$701, NA()) ),
   "❌ MISSING CUSTOMER", "✅")</f>
        <v>✅</v>
      </c>
      <c r="K536" s="2" t="str">
        <f t="array" ref="K536">XLOOKUP(I536,customers_clean!$A$2:$A$701,customers_clean!$C$2:$C$701)</f>
        <v>ACRLOS DUBOIS</v>
      </c>
      <c r="L536" s="10" t="str">
        <f t="array" ref="L536">XLOOKUP(I536,customers_clean!$A$2:$A$701,customers_clean!$D$2:$D$701)</f>
        <v>Carlos Dubois</v>
      </c>
      <c r="M536" s="2" t="str">
        <f t="array" ref="M536">XLOOKUP(I536,customers_clean!$A$2:$A$701,customers_clean!$I$2:$I$701)</f>
        <v>carlos.dubois@gmail.com </v>
      </c>
      <c r="N536" s="10" t="str">
        <f t="array" ref="N536">XLOOKUP(I536,customers_clean!$A$2:$A$701,customers_clean!$H$2:$H$701)</f>
        <v>carlos.dubois@gmail.com</v>
      </c>
      <c r="O536" s="9" t="str">
        <f>IFERROR(__xludf.DUMMYFUNCTION("IF(REGEXMATCH(TRIM(N536),""^[A-Za-z0-9._%+-]+@[A-Za-z0-9.-]+\.[A-Za-z]{2,}$""),""✅ Valid"",""❌ Invalid"")"),"✅ Valid")</f>
        <v>✅ Valid</v>
      </c>
      <c r="P536" s="2" t="str">
        <f t="array" ref="P536">XLOOKUP(I536,customers_clean!$A$2:$A$701,customers_clean!$K$2:$K$701)</f>
        <v>+490445152364</v>
      </c>
      <c r="Q536" s="10" t="str">
        <f t="array" ref="Q536">XLOOKUP(I536,customers_clean!$A$2:$A$701,customers_clean!$N$2:$N$701)</f>
        <v>0445152364</v>
      </c>
      <c r="R536" s="9" t="str">
        <f t="array" ref="R536">XLOOKUP(I536,customers_clean!$A$2:$A$701,customers_clean!$Q$2:$Q$701)</f>
        <v>❌ INVALID</v>
      </c>
      <c r="S536" s="10" t="s">
        <v>25</v>
      </c>
      <c r="T536" s="2" t="s">
        <v>301</v>
      </c>
      <c r="U536" s="2" t="s">
        <v>480</v>
      </c>
      <c r="V536" s="2" t="s">
        <v>28</v>
      </c>
      <c r="W536" s="9" t="str">
        <f t="array" ref="W536">IF(ISNA(XLOOKUP(V536,products_master_corrected!$A$2:$A$151,products_master_corrected!$A$2:$A$151, NA())),
    "❌ MISSING SKU", "✅")</f>
        <v>✅</v>
      </c>
      <c r="X536" s="2" t="s">
        <v>29</v>
      </c>
      <c r="Y536" s="2" t="s">
        <v>30</v>
      </c>
      <c r="Z536" s="10" t="s">
        <v>179</v>
      </c>
      <c r="AA536" s="27">
        <v>1.0</v>
      </c>
      <c r="AB536" s="9" t="s">
        <v>8649</v>
      </c>
      <c r="AC536" s="28">
        <f t="array" ref="AC536">XLOOKUP(V536,products_master_corrected!$A$2:$A$151,products_master_corrected!$E$2:$E$151)</f>
        <v>145.2</v>
      </c>
      <c r="AD536" s="28">
        <f t="shared" si="64"/>
        <v>145.2</v>
      </c>
      <c r="AE536" s="28">
        <f t="array" ref="AE536">XLOOKUP(V536,products_master_corrected!$A$2:$A$151,products_master_corrected!$K$2:$K$151)</f>
        <v>747.05</v>
      </c>
      <c r="AF536" s="29">
        <f t="shared" si="65"/>
        <v>747.05</v>
      </c>
      <c r="AG536" s="30" t="s">
        <v>95</v>
      </c>
      <c r="AH536" s="2" t="s">
        <v>2456</v>
      </c>
      <c r="AI536" s="10" t="s">
        <v>143</v>
      </c>
      <c r="AJ536" s="2" t="s">
        <v>306</v>
      </c>
      <c r="AK536" s="10" t="s">
        <v>192</v>
      </c>
    </row>
    <row r="537" ht="15.75" customHeight="1">
      <c r="A537" s="2" t="s">
        <v>5274</v>
      </c>
      <c r="B537" s="12">
        <v>45698.0</v>
      </c>
      <c r="C537" s="2" t="str">
        <f>IFERROR(__xludf.DUMMYFUNCTION("IF(ISNUMBER(B537),TEXT(B537,""yyyy-MM-dd""),REGEXREPLACE(REGEXREPLACE(TO_TEXT(B537),""[^0-9a-zA-Z]+"",""-""),""[^0-9]*$"",""""))"),"2025-02-10")</f>
        <v>2025-02-10</v>
      </c>
      <c r="D537" s="2" t="s">
        <v>7993</v>
      </c>
      <c r="H537" s="10" t="s">
        <v>7993</v>
      </c>
      <c r="I537" s="2" t="s">
        <v>5276</v>
      </c>
      <c r="J537" s="26" t="str">
        <f t="array" ref="J537">IF(ISNA(XLOOKUP(I537,customers_clean!$A$2:$A$701,customers_clean!$A$2:$A$701, NA()) ),
   "❌ MISSING CUSTOMER", "✅")</f>
        <v>✅</v>
      </c>
      <c r="K537" s="2" t="str">
        <f t="array" ref="K537">XLOOKUP(I537,customers_clean!$A$2:$A$701,customers_clean!$C$2:$C$701)</f>
        <v>Gabe King </v>
      </c>
      <c r="L537" s="10" t="str">
        <f t="array" ref="L537">XLOOKUP(I537,customers_clean!$A$2:$A$701,customers_clean!$D$2:$D$701)</f>
        <v>Gabe King</v>
      </c>
      <c r="M537" s="2" t="str">
        <f t="array" ref="M537">XLOOKUP(I537,customers_clean!$A$2:$A$701,customers_clean!$I$2:$I$701)</f>
        <v>GABE.KING@EXAMPLE.COM</v>
      </c>
      <c r="N537" s="10" t="str">
        <f t="array" ref="N537">XLOOKUP(I537,customers_clean!$A$2:$A$701,customers_clean!$H$2:$H$701)</f>
        <v>gabe.king@example.com</v>
      </c>
      <c r="O537" s="9" t="str">
        <f>IFERROR(__xludf.DUMMYFUNCTION("IF(REGEXMATCH(TRIM(N537),""^[A-Za-z0-9._%+-]+@[A-Za-z0-9.-]+\.[A-Za-z]{2,}$""),""✅ Valid"",""❌ Invalid"")"),"✅ Valid")</f>
        <v>✅ Valid</v>
      </c>
      <c r="P537" s="2" t="str">
        <f t="array" ref="P537">XLOOKUP(I537,customers_clean!$A$2:$A$701,customers_clean!$K$2:$K$701)</f>
        <v>+49 435 6856683</v>
      </c>
      <c r="Q537" s="10" t="str">
        <f t="array" ref="Q537">XLOOKUP(I537,customers_clean!$A$2:$A$701,customers_clean!$N$2:$N$701)</f>
        <v>4356856683</v>
      </c>
      <c r="R537" s="9" t="str">
        <f t="array" ref="R537">XLOOKUP(I537,customers_clean!$A$2:$A$701,customers_clean!$Q$2:$Q$701)</f>
        <v>❌ INVALID</v>
      </c>
      <c r="S537" s="10" t="s">
        <v>25</v>
      </c>
      <c r="T537" s="2" t="s">
        <v>683</v>
      </c>
      <c r="U537" s="2" t="s">
        <v>90</v>
      </c>
      <c r="V537" s="2" t="s">
        <v>556</v>
      </c>
      <c r="W537" s="9" t="str">
        <f t="array" ref="W537">IF(ISNA(XLOOKUP(V537,products_master_corrected!$A$2:$A$151,products_master_corrected!$A$2:$A$151, NA())),
    "❌ MISSING SKU", "✅")</f>
        <v>✅</v>
      </c>
      <c r="X537" s="2" t="s">
        <v>502</v>
      </c>
      <c r="Y537" s="2" t="s">
        <v>355</v>
      </c>
      <c r="Z537" s="10" t="s">
        <v>355</v>
      </c>
      <c r="AA537" s="27">
        <v>1.0</v>
      </c>
      <c r="AB537" s="9" t="s">
        <v>8649</v>
      </c>
      <c r="AC537" s="28">
        <f t="array" ref="AC537">XLOOKUP(V537,products_master_corrected!$A$2:$A$151,products_master_corrected!$E$2:$E$151)</f>
        <v>879.27</v>
      </c>
      <c r="AD537" s="28">
        <f t="shared" si="64"/>
        <v>879.27</v>
      </c>
      <c r="AE537" s="28">
        <f t="array" ref="AE537">XLOOKUP(V537,products_master_corrected!$A$2:$A$151,products_master_corrected!$K$2:$K$151)</f>
        <v>4523.84</v>
      </c>
      <c r="AF537" s="29">
        <f t="shared" si="65"/>
        <v>4523.84</v>
      </c>
      <c r="AG537" s="30" t="s">
        <v>95</v>
      </c>
      <c r="AH537" s="2" t="s">
        <v>33</v>
      </c>
      <c r="AI537" s="10" t="s">
        <v>181</v>
      </c>
      <c r="AJ537" s="2" t="s">
        <v>452</v>
      </c>
      <c r="AK537" s="10" t="s">
        <v>261</v>
      </c>
    </row>
    <row r="538" ht="15.75" customHeight="1">
      <c r="A538" s="2" t="s">
        <v>5891</v>
      </c>
      <c r="B538" s="12">
        <v>45584.0</v>
      </c>
      <c r="C538" s="2" t="str">
        <f>IFERROR(__xludf.DUMMYFUNCTION("IF(ISNUMBER(B538),TEXT(B538,""yyyy-MM-dd""),REGEXREPLACE(REGEXREPLACE(TO_TEXT(B538),""[^0-9a-zA-Z]+"",""-""),""[^0-9]*$"",""""))"),"2024-10-19")</f>
        <v>2024-10-19</v>
      </c>
      <c r="D538" s="2" t="s">
        <v>8835</v>
      </c>
      <c r="H538" s="10" t="s">
        <v>8835</v>
      </c>
      <c r="I538" s="2" t="s">
        <v>5893</v>
      </c>
      <c r="J538" s="26" t="str">
        <f t="array" ref="J538">IF(ISNA(XLOOKUP(I538,customers_clean!$A$2:$A$701,customers_clean!$A$2:$A$701, NA()) ),
   "❌ MISSING CUSTOMER", "✅")</f>
        <v>✅</v>
      </c>
      <c r="K538" s="2" t="str">
        <f t="array" ref="K538">XLOOKUP(I538,customers_clean!$A$2:$A$701,customers_clean!$C$2:$C$701)</f>
        <v>Vlad  Muller</v>
      </c>
      <c r="L538" s="10" t="str">
        <f t="array" ref="L538">XLOOKUP(I538,customers_clean!$A$2:$A$701,customers_clean!$D$2:$D$701)</f>
        <v>Vlad Muller</v>
      </c>
      <c r="M538" s="2" t="str">
        <f t="array" ref="M538">XLOOKUP(I538,customers_clean!$A$2:$A$701,customers_clean!$I$2:$I$701)</f>
        <v> vlad.muller@shop.io</v>
      </c>
      <c r="N538" s="10" t="str">
        <f t="array" ref="N538">XLOOKUP(I538,customers_clean!$A$2:$A$701,customers_clean!$H$2:$H$701)</f>
        <v>vlad.muller@shop.io</v>
      </c>
      <c r="O538" s="9" t="str">
        <f>IFERROR(__xludf.DUMMYFUNCTION("IF(REGEXMATCH(TRIM(N538),""^[A-Za-z0-9._%+-]+@[A-Za-z0-9.-]+\.[A-Za-z]{2,}$""),""✅ Valid"",""❌ Invalid"")"),"✅ Valid")</f>
        <v>✅ Valid</v>
      </c>
      <c r="P538" s="2" t="str">
        <f t="array" ref="P538">XLOOKUP(I538,customers_clean!$A$2:$A$701,customers_clean!$K$2:$K$701)</f>
        <v>+39+404028120</v>
      </c>
      <c r="Q538" s="10" t="str">
        <f t="array" ref="Q538">XLOOKUP(I538,customers_clean!$A$2:$A$701,customers_clean!$N$2:$N$701)</f>
        <v>404028120</v>
      </c>
      <c r="R538" s="9" t="str">
        <f t="array" ref="R538">XLOOKUP(I538,customers_clean!$A$2:$A$701,customers_clean!$Q$2:$Q$701)</f>
        <v>❌ INVALID</v>
      </c>
      <c r="S538" s="10" t="s">
        <v>88</v>
      </c>
      <c r="T538" s="2" t="s">
        <v>460</v>
      </c>
      <c r="U538" s="2" t="s">
        <v>75</v>
      </c>
      <c r="V538" s="2" t="s">
        <v>2483</v>
      </c>
      <c r="W538" s="9" t="str">
        <f t="array" ref="W538">IF(ISNA(XLOOKUP(V538,products_master_corrected!$A$2:$A$151,products_master_corrected!$A$2:$A$151, NA())),
    "❌ MISSING SKU", "✅")</f>
        <v>✅</v>
      </c>
      <c r="X538" s="2" t="s">
        <v>280</v>
      </c>
      <c r="Y538" s="2" t="s">
        <v>503</v>
      </c>
      <c r="Z538" s="10" t="str">
        <f>PROPER(TRIM(Y538))</f>
        <v>Monitors</v>
      </c>
      <c r="AA538" s="27">
        <v>5.0</v>
      </c>
      <c r="AB538" s="9" t="s">
        <v>8649</v>
      </c>
      <c r="AC538" s="28">
        <f t="array" ref="AC538">XLOOKUP(V538,products_master_corrected!$A$2:$A$151,products_master_corrected!$E$2:$E$151)</f>
        <v>76.81</v>
      </c>
      <c r="AD538" s="28">
        <f t="shared" si="64"/>
        <v>384.05</v>
      </c>
      <c r="AE538" s="28">
        <f t="array" ref="AE538">XLOOKUP(V538,products_master_corrected!$A$2:$A$151,products_master_corrected!$I$2:$I$151)</f>
        <v>84.68</v>
      </c>
      <c r="AF538" s="29">
        <f t="shared" si="65"/>
        <v>423.4</v>
      </c>
      <c r="AG538" s="32" t="s">
        <v>8660</v>
      </c>
      <c r="AH538" s="2" t="s">
        <v>143</v>
      </c>
      <c r="AI538" s="10" t="s">
        <v>143</v>
      </c>
      <c r="AJ538" s="2" t="s">
        <v>306</v>
      </c>
      <c r="AK538" s="10" t="s">
        <v>192</v>
      </c>
      <c r="AL538" s="2" t="s">
        <v>51</v>
      </c>
    </row>
    <row r="539" ht="15.75" customHeight="1">
      <c r="A539" s="2" t="s">
        <v>3065</v>
      </c>
      <c r="B539" s="12">
        <v>45078.0</v>
      </c>
      <c r="C539" s="2" t="str">
        <f>IFERROR(__xludf.DUMMYFUNCTION("IF(ISNUMBER(B539),TEXT(B539,""yyyy-MM-dd""),REGEXREPLACE(REGEXREPLACE(TO_TEXT(B539),""[^0-9a-zA-Z]+"",""-""),""[^0-9]*$"",""""))"),"2023-06-01")</f>
        <v>2023-06-01</v>
      </c>
      <c r="D539" s="2" t="s">
        <v>570</v>
      </c>
      <c r="H539" s="10" t="s">
        <v>570</v>
      </c>
      <c r="I539" s="2" t="s">
        <v>3067</v>
      </c>
      <c r="J539" s="26" t="str">
        <f t="array" ref="J539">IF(ISNA(XLOOKUP(I539,customers_clean!$A$2:$A$701,customers_clean!$A$2:$A$701, NA()) ),
   "❌ MISSING CUSTOMER", "✅")</f>
        <v>✅</v>
      </c>
      <c r="K539" s="2" t="str">
        <f t="array" ref="K539">XLOOKUP(I539,customers_clean!$A$2:$A$701,customers_clean!$C$2:$C$701)</f>
        <v> Qi Taylor</v>
      </c>
      <c r="L539" s="10" t="str">
        <f t="array" ref="L539">XLOOKUP(I539,customers_clean!$A$2:$A$701,customers_clean!$D$2:$D$701)</f>
        <v>Qi Taylor</v>
      </c>
      <c r="M539" s="2" t="str">
        <f t="array" ref="M539">XLOOKUP(I539,customers_clean!$A$2:$A$701,customers_clean!$I$2:$I$701)</f>
        <v>QI.TAYLOR@EXAMPLE.COM</v>
      </c>
      <c r="N539" s="10" t="str">
        <f t="array" ref="N539">XLOOKUP(I539,customers_clean!$A$2:$A$701,customers_clean!$H$2:$H$701)</f>
        <v>qi.taylor@example.com</v>
      </c>
      <c r="O539" s="9" t="str">
        <f>IFERROR(__xludf.DUMMYFUNCTION("IF(REGEXMATCH(TRIM(N539),""^[A-Za-z0-9._%+-]+@[A-Za-z0-9.-]+\.[A-Za-z]{2,}$""),""✅ Valid"",""❌ Invalid"")"),"✅ Valid")</f>
        <v>✅ Valid</v>
      </c>
      <c r="P539" s="2" t="str">
        <f t="array" ref="P539">XLOOKUP(I539,customers_clean!$A$2:$A$701,customers_clean!$K$2:$K$701)</f>
        <v>+353365861339</v>
      </c>
      <c r="Q539" s="10" t="str">
        <f t="array" ref="Q539">XLOOKUP(I539,customers_clean!$A$2:$A$701,customers_clean!$N$2:$N$701)</f>
        <v>365861339</v>
      </c>
      <c r="R539" s="9" t="str">
        <f t="array" ref="R539">XLOOKUP(I539,customers_clean!$A$2:$A$701,customers_clean!$Q$2:$Q$701)</f>
        <v>❌ INVALID</v>
      </c>
      <c r="S539" s="31" t="s">
        <v>671</v>
      </c>
      <c r="T539" s="2" t="s">
        <v>778</v>
      </c>
      <c r="U539" s="2" t="s">
        <v>75</v>
      </c>
      <c r="V539" s="2" t="s">
        <v>721</v>
      </c>
      <c r="W539" s="9" t="str">
        <f t="array" ref="W539">IF(ISNA(XLOOKUP(V539,products_master_corrected!$A$2:$A$151,products_master_corrected!$A$2:$A$151, NA())),
    "❌ MISSING SKU", "✅")</f>
        <v>✅</v>
      </c>
      <c r="X539" s="2" t="s">
        <v>259</v>
      </c>
      <c r="Y539" s="2" t="s">
        <v>179</v>
      </c>
      <c r="Z539" s="10" t="s">
        <v>179</v>
      </c>
      <c r="AA539" s="27">
        <v>3.0</v>
      </c>
      <c r="AB539" s="9" t="s">
        <v>8649</v>
      </c>
      <c r="AC539" s="28">
        <f t="array" ref="AC539">XLOOKUP(V539,products_master_corrected!$A$2:$A$151,products_master_corrected!$E$2:$E$151)</f>
        <v>20.42</v>
      </c>
      <c r="AD539" s="28">
        <f t="shared" si="64"/>
        <v>61.26</v>
      </c>
      <c r="AE539" s="28">
        <f t="array" ref="AE539">XLOOKUP(V539,products_master_corrected!$A$2:$A$151,products_master_corrected!$J$2:$J$151)</f>
        <v>23.82</v>
      </c>
      <c r="AF539" s="29">
        <f t="shared" si="65"/>
        <v>71.46</v>
      </c>
      <c r="AG539" s="32" t="s">
        <v>8656</v>
      </c>
      <c r="AH539" s="2" t="s">
        <v>3072</v>
      </c>
      <c r="AI539" s="10" t="s">
        <v>49</v>
      </c>
      <c r="AJ539" s="2" t="s">
        <v>380</v>
      </c>
      <c r="AK539" s="10" t="s">
        <v>80</v>
      </c>
      <c r="AL539" s="2" t="s">
        <v>67</v>
      </c>
    </row>
    <row r="540" ht="15.75" customHeight="1">
      <c r="A540" s="2" t="s">
        <v>3822</v>
      </c>
      <c r="B540" s="12">
        <v>45130.0</v>
      </c>
      <c r="C540" s="2" t="str">
        <f>IFERROR(__xludf.DUMMYFUNCTION("IF(ISNUMBER(B540),TEXT(B540,""yyyy-MM-dd""),REGEXREPLACE(REGEXREPLACE(TO_TEXT(B540),""[^0-9a-zA-Z]+"",""-""),""[^0-9]*$"",""""))"),"2023-07-23")</f>
        <v>2023-07-23</v>
      </c>
      <c r="D540" s="2" t="s">
        <v>8419</v>
      </c>
      <c r="H540" s="10" t="s">
        <v>8419</v>
      </c>
      <c r="I540" s="2" t="s">
        <v>3067</v>
      </c>
      <c r="J540" s="26" t="str">
        <f t="array" ref="J540">IF(ISNA(XLOOKUP(I540,customers_clean!$A$2:$A$701,customers_clean!$A$2:$A$701, NA()) ),
   "❌ MISSING CUSTOMER", "✅")</f>
        <v>✅</v>
      </c>
      <c r="K540" s="2" t="str">
        <f t="array" ref="K540">XLOOKUP(I540,customers_clean!$A$2:$A$701,customers_clean!$C$2:$C$701)</f>
        <v> Qi Taylor</v>
      </c>
      <c r="L540" s="10" t="str">
        <f t="array" ref="L540">XLOOKUP(I540,customers_clean!$A$2:$A$701,customers_clean!$D$2:$D$701)</f>
        <v>Qi Taylor</v>
      </c>
      <c r="M540" s="2" t="str">
        <f t="array" ref="M540">XLOOKUP(I540,customers_clean!$A$2:$A$701,customers_clean!$I$2:$I$701)</f>
        <v>QI.TAYLOR@EXAMPLE.COM</v>
      </c>
      <c r="N540" s="10" t="str">
        <f t="array" ref="N540">XLOOKUP(I540,customers_clean!$A$2:$A$701,customers_clean!$H$2:$H$701)</f>
        <v>qi.taylor@example.com</v>
      </c>
      <c r="O540" s="9" t="str">
        <f>IFERROR(__xludf.DUMMYFUNCTION("IF(REGEXMATCH(TRIM(N540),""^[A-Za-z0-9._%+-]+@[A-Za-z0-9.-]+\.[A-Za-z]{2,}$""),""✅ Valid"",""❌ Invalid"")"),"✅ Valid")</f>
        <v>✅ Valid</v>
      </c>
      <c r="P540" s="2" t="str">
        <f t="array" ref="P540">XLOOKUP(I540,customers_clean!$A$2:$A$701,customers_clean!$K$2:$K$701)</f>
        <v>+353365861339</v>
      </c>
      <c r="Q540" s="10" t="str">
        <f t="array" ref="Q540">XLOOKUP(I540,customers_clean!$A$2:$A$701,customers_clean!$N$2:$N$701)</f>
        <v>365861339</v>
      </c>
      <c r="R540" s="9" t="str">
        <f t="array" ref="R540">XLOOKUP(I540,customers_clean!$A$2:$A$701,customers_clean!$Q$2:$Q$701)</f>
        <v>❌ INVALID</v>
      </c>
      <c r="S540" s="31" t="s">
        <v>671</v>
      </c>
      <c r="T540" s="2" t="s">
        <v>400</v>
      </c>
      <c r="U540" s="2" t="s">
        <v>480</v>
      </c>
      <c r="V540" s="2" t="s">
        <v>1856</v>
      </c>
      <c r="W540" s="9" t="str">
        <f t="array" ref="W540">IF(ISNA(XLOOKUP(V540,products_master_corrected!$A$2:$A$151,products_master_corrected!$A$2:$A$151, NA())),
    "❌ MISSING SKU", "✅")</f>
        <v>✅</v>
      </c>
      <c r="X540" s="2" t="s">
        <v>259</v>
      </c>
      <c r="Y540" s="2" t="s">
        <v>167</v>
      </c>
      <c r="Z540" s="10" t="str">
        <f>PROPER(TRIM(Y540))</f>
        <v>Monitors</v>
      </c>
      <c r="AA540" s="27">
        <v>1.0</v>
      </c>
      <c r="AB540" s="9" t="s">
        <v>8649</v>
      </c>
      <c r="AC540" s="28">
        <f t="array" ref="AC540">XLOOKUP(V540,products_master_corrected!$A$2:$A$151,products_master_corrected!$E$2:$E$151)</f>
        <v>13.34</v>
      </c>
      <c r="AD540" s="28">
        <f t="shared" si="64"/>
        <v>13.34</v>
      </c>
      <c r="AE540" s="28">
        <f t="array" ref="AE540">XLOOKUP(V540,products_master_corrected!$A$2:$A$151,products_master_corrected!$J$2:$J$151)</f>
        <v>15.56</v>
      </c>
      <c r="AF540" s="29">
        <f t="shared" si="65"/>
        <v>15.56</v>
      </c>
      <c r="AG540" s="32" t="s">
        <v>8656</v>
      </c>
      <c r="AH540" s="2" t="s">
        <v>143</v>
      </c>
      <c r="AI540" s="10" t="s">
        <v>143</v>
      </c>
      <c r="AJ540" s="2" t="s">
        <v>294</v>
      </c>
      <c r="AK540" s="10" t="s">
        <v>80</v>
      </c>
      <c r="AL540" s="2" t="s">
        <v>51</v>
      </c>
    </row>
    <row r="541" ht="15.75" customHeight="1">
      <c r="A541" s="2" t="s">
        <v>465</v>
      </c>
      <c r="B541" s="12" t="s">
        <v>466</v>
      </c>
      <c r="C541" s="2" t="str">
        <f>IFERROR(__xludf.DUMMYFUNCTION("IF(ISNUMBER(B541),TEXT(B541,""yyyy-MM-dd""),REGEXREPLACE(REGEXREPLACE(TO_TEXT(B541),""[^0-9a-zA-Z]+"",""-""),""[^0-9]*$"",""""))"),"19-11-2023")</f>
        <v>19-11-2023</v>
      </c>
      <c r="D541" s="2" t="s">
        <v>8859</v>
      </c>
      <c r="H541" s="10" t="s">
        <v>8859</v>
      </c>
      <c r="I541" s="2" t="s">
        <v>467</v>
      </c>
      <c r="J541" s="26" t="str">
        <f t="array" ref="J541">IF(ISNA(XLOOKUP(I541,customers_clean!$A$2:$A$701,customers_clean!$A$2:$A$701, NA()) ),
   "❌ MISSING CUSTOMER", "✅")</f>
        <v>✅</v>
      </c>
      <c r="K541" s="2" t="str">
        <f t="array" ref="K541">XLOOKUP(I541,customers_clean!$A$2:$A$701,customers_clean!$C$2:$C$701)</f>
        <v>Marek Garcia</v>
      </c>
      <c r="L541" s="10" t="str">
        <f t="array" ref="L541">XLOOKUP(I541,customers_clean!$A$2:$A$701,customers_clean!$D$2:$D$701)</f>
        <v>Marek Garcia</v>
      </c>
      <c r="M541" s="2" t="str">
        <f t="array" ref="M541">XLOOKUP(I541,customers_clean!$A$2:$A$701,customers_clean!$I$2:$I$701)</f>
        <v>marek.garcia@shop.io</v>
      </c>
      <c r="N541" s="10" t="str">
        <f t="array" ref="N541">XLOOKUP(I541,customers_clean!$A$2:$A$701,customers_clean!$H$2:$H$701)</f>
        <v>marek.garcia@shop.io</v>
      </c>
      <c r="O541" s="9" t="str">
        <f>IFERROR(__xludf.DUMMYFUNCTION("IF(REGEXMATCH(TRIM(N541),""^[A-Za-z0-9._%+-]+@[A-Za-z0-9.-]+\.[A-Za-z]{2,}$""),""✅ Valid"",""❌ Invalid"")"),"✅ Valid")</f>
        <v>✅ Valid</v>
      </c>
      <c r="P541" s="2" t="str">
        <f t="array" ref="P541">XLOOKUP(I541,customers_clean!$A$2:$A$701,customers_clean!$K$2:$K$701)</f>
        <v>tel:+3904713181</v>
      </c>
      <c r="Q541" s="10" t="str">
        <f t="array" ref="Q541">XLOOKUP(I541,customers_clean!$A$2:$A$701,customers_clean!$N$2:$N$701)</f>
        <v>04713181</v>
      </c>
      <c r="R541" s="9" t="str">
        <f t="array" ref="R541">XLOOKUP(I541,customers_clean!$A$2:$A$701,customers_clean!$Q$2:$Q$701)</f>
        <v>❌ INVALID</v>
      </c>
      <c r="S541" s="10" t="s">
        <v>448</v>
      </c>
      <c r="T541" s="2" t="s">
        <v>74</v>
      </c>
      <c r="U541" s="2" t="s">
        <v>289</v>
      </c>
      <c r="V541" s="2" t="s">
        <v>471</v>
      </c>
      <c r="W541" s="9" t="str">
        <f t="array" ref="W541">IF(ISNA(XLOOKUP(V541,products_master_corrected!$A$2:$A$151,products_master_corrected!$A$2:$A$151, NA())),
    "❌ MISSING SKU", "✅")</f>
        <v>✅</v>
      </c>
      <c r="X541" s="2" t="s">
        <v>29</v>
      </c>
      <c r="Y541" s="2" t="s">
        <v>179</v>
      </c>
      <c r="Z541" s="10" t="s">
        <v>179</v>
      </c>
      <c r="AA541" s="27">
        <v>1.0</v>
      </c>
      <c r="AB541" s="9" t="s">
        <v>8649</v>
      </c>
      <c r="AC541" s="28">
        <f t="array" ref="AC541">XLOOKUP(V541,products_master_corrected!$A$2:$A$151,products_master_corrected!$E$2:$E$151)</f>
        <v>71.8</v>
      </c>
      <c r="AD541" s="28">
        <f t="shared" si="64"/>
        <v>71.8</v>
      </c>
      <c r="AE541" s="28">
        <f t="array" ref="AE541">XLOOKUP(V541,products_master_corrected!$A$2:$A$151,products_master_corrected!$M$2:$M$151)</f>
        <v>86.85</v>
      </c>
      <c r="AF541" s="29">
        <f t="shared" si="65"/>
        <v>86.85</v>
      </c>
      <c r="AG541" s="30" t="s">
        <v>48</v>
      </c>
      <c r="AH541" s="2" t="s">
        <v>143</v>
      </c>
      <c r="AI541" s="10" t="s">
        <v>143</v>
      </c>
      <c r="AJ541" s="2" t="s">
        <v>393</v>
      </c>
      <c r="AK541" s="10" t="s">
        <v>80</v>
      </c>
    </row>
    <row r="542" ht="15.75" customHeight="1">
      <c r="A542" s="2" t="s">
        <v>6201</v>
      </c>
      <c r="B542" s="12">
        <v>45929.705555555556</v>
      </c>
      <c r="C542" s="2" t="str">
        <f>IFERROR(__xludf.DUMMYFUNCTION("IF(ISNUMBER(B542),TEXT(B542,""yyyy-MM-dd""),REGEXREPLACE(REGEXREPLACE(TO_TEXT(B542),""[^0-9a-zA-Z]+"",""-""),""[^0-9]*$"",""""))"),"2025-09-29")</f>
        <v>2025-09-29</v>
      </c>
      <c r="D542" s="2" t="s">
        <v>7018</v>
      </c>
      <c r="H542" s="10" t="s">
        <v>7018</v>
      </c>
      <c r="I542" s="2" t="s">
        <v>467</v>
      </c>
      <c r="J542" s="26" t="str">
        <f t="array" ref="J542">IF(ISNA(XLOOKUP(I542,customers_clean!$A$2:$A$701,customers_clean!$A$2:$A$701, NA()) ),
   "❌ MISSING CUSTOMER", "✅")</f>
        <v>✅</v>
      </c>
      <c r="K542" s="2" t="str">
        <f t="array" ref="K542">XLOOKUP(I542,customers_clean!$A$2:$A$701,customers_clean!$C$2:$C$701)</f>
        <v>Marek Garcia</v>
      </c>
      <c r="L542" s="10" t="str">
        <f t="array" ref="L542">XLOOKUP(I542,customers_clean!$A$2:$A$701,customers_clean!$D$2:$D$701)</f>
        <v>Marek Garcia</v>
      </c>
      <c r="M542" s="2" t="str">
        <f t="array" ref="M542">XLOOKUP(I542,customers_clean!$A$2:$A$701,customers_clean!$I$2:$I$701)</f>
        <v>marek.garcia@shop.io</v>
      </c>
      <c r="N542" s="10" t="str">
        <f t="array" ref="N542">XLOOKUP(I542,customers_clean!$A$2:$A$701,customers_clean!$H$2:$H$701)</f>
        <v>marek.garcia@shop.io</v>
      </c>
      <c r="O542" s="9" t="str">
        <f>IFERROR(__xludf.DUMMYFUNCTION("IF(REGEXMATCH(TRIM(N542),""^[A-Za-z0-9._%+-]+@[A-Za-z0-9.-]+\.[A-Za-z]{2,}$""),""✅ Valid"",""❌ Invalid"")"),"✅ Valid")</f>
        <v>✅ Valid</v>
      </c>
      <c r="P542" s="2" t="str">
        <f t="array" ref="P542">XLOOKUP(I542,customers_clean!$A$2:$A$701,customers_clean!$K$2:$K$701)</f>
        <v>tel:+3904713181</v>
      </c>
      <c r="Q542" s="10" t="str">
        <f t="array" ref="Q542">XLOOKUP(I542,customers_clean!$A$2:$A$701,customers_clean!$N$2:$N$701)</f>
        <v>04713181</v>
      </c>
      <c r="R542" s="9" t="str">
        <f t="array" ref="R542">XLOOKUP(I542,customers_clean!$A$2:$A$701,customers_clean!$Q$2:$Q$701)</f>
        <v>❌ INVALID</v>
      </c>
      <c r="S542" s="10" t="s">
        <v>448</v>
      </c>
      <c r="T542" s="2" t="s">
        <v>26</v>
      </c>
      <c r="U542" s="2" t="s">
        <v>289</v>
      </c>
      <c r="V542" s="2" t="s">
        <v>976</v>
      </c>
      <c r="W542" s="9" t="str">
        <f t="array" ref="W542">IF(ISNA(XLOOKUP(V542,products_master_corrected!$A$2:$A$151,products_master_corrected!$A$2:$A$151, NA())),
    "❌ MISSING SKU", "✅")</f>
        <v>✅</v>
      </c>
      <c r="X542" s="2" t="s">
        <v>29</v>
      </c>
      <c r="Y542" s="2" t="s">
        <v>214</v>
      </c>
      <c r="Z542" s="10" t="s">
        <v>368</v>
      </c>
      <c r="AA542" s="27">
        <v>2.0</v>
      </c>
      <c r="AB542" s="9" t="s">
        <v>8649</v>
      </c>
      <c r="AC542" s="28">
        <f t="array" ref="AC542">XLOOKUP(V542,products_master_corrected!$A$2:$A$151,products_master_corrected!$E$2:$E$151)</f>
        <v>107.91</v>
      </c>
      <c r="AD542" s="28">
        <f t="shared" si="64"/>
        <v>215.82</v>
      </c>
      <c r="AE542" s="28">
        <f t="array" ref="AE542">XLOOKUP(V542,products_master_corrected!$A$2:$A$151,products_master_corrected!$M$2:$M$151)</f>
        <v>130.53</v>
      </c>
      <c r="AF542" s="29">
        <f t="shared" si="65"/>
        <v>261.06</v>
      </c>
      <c r="AG542" s="30" t="s">
        <v>48</v>
      </c>
      <c r="AH542" s="2" t="s">
        <v>370</v>
      </c>
      <c r="AI542" s="10" t="s">
        <v>143</v>
      </c>
      <c r="AJ542" s="2" t="s">
        <v>818</v>
      </c>
      <c r="AK542" s="10" t="s">
        <v>818</v>
      </c>
    </row>
    <row r="543" ht="15.75" customHeight="1">
      <c r="A543" s="2" t="s">
        <v>2765</v>
      </c>
      <c r="B543" s="12">
        <v>44944.42222222222</v>
      </c>
      <c r="C543" s="2" t="str">
        <f>IFERROR(__xludf.DUMMYFUNCTION("IF(ISNUMBER(B543),TEXT(B543,""yyyy-MM-dd""),REGEXREPLACE(REGEXREPLACE(TO_TEXT(B543),""[^0-9a-zA-Z]+"",""-""),""[^0-9]*$"",""""))"),"2023-01-18")</f>
        <v>2023-01-18</v>
      </c>
      <c r="D543" s="2" t="s">
        <v>8735</v>
      </c>
      <c r="H543" s="10" t="s">
        <v>8735</v>
      </c>
      <c r="I543" s="2" t="s">
        <v>467</v>
      </c>
      <c r="J543" s="26" t="str">
        <f t="array" ref="J543">IF(ISNA(XLOOKUP(I543,customers_clean!$A$2:$A$701,customers_clean!$A$2:$A$701, NA()) ),
   "❌ MISSING CUSTOMER", "✅")</f>
        <v>✅</v>
      </c>
      <c r="K543" s="2" t="str">
        <f t="array" ref="K543">XLOOKUP(I543,customers_clean!$A$2:$A$701,customers_clean!$C$2:$C$701)</f>
        <v>Marek Garcia</v>
      </c>
      <c r="L543" s="10" t="str">
        <f t="array" ref="L543">XLOOKUP(I543,customers_clean!$A$2:$A$701,customers_clean!$D$2:$D$701)</f>
        <v>Marek Garcia</v>
      </c>
      <c r="M543" s="2" t="str">
        <f t="array" ref="M543">XLOOKUP(I543,customers_clean!$A$2:$A$701,customers_clean!$I$2:$I$701)</f>
        <v>marek.garcia@shop.io</v>
      </c>
      <c r="N543" s="10" t="str">
        <f t="array" ref="N543">XLOOKUP(I543,customers_clean!$A$2:$A$701,customers_clean!$H$2:$H$701)</f>
        <v>marek.garcia@shop.io</v>
      </c>
      <c r="O543" s="9" t="str">
        <f>IFERROR(__xludf.DUMMYFUNCTION("IF(REGEXMATCH(TRIM(N543),""^[A-Za-z0-9._%+-]+@[A-Za-z0-9.-]+\.[A-Za-z]{2,}$""),""✅ Valid"",""❌ Invalid"")"),"✅ Valid")</f>
        <v>✅ Valid</v>
      </c>
      <c r="P543" s="2" t="str">
        <f t="array" ref="P543">XLOOKUP(I543,customers_clean!$A$2:$A$701,customers_clean!$K$2:$K$701)</f>
        <v>tel:+3904713181</v>
      </c>
      <c r="Q543" s="10" t="str">
        <f t="array" ref="Q543">XLOOKUP(I543,customers_clean!$A$2:$A$701,customers_clean!$N$2:$N$701)</f>
        <v>04713181</v>
      </c>
      <c r="R543" s="9" t="str">
        <f t="array" ref="R543">XLOOKUP(I543,customers_clean!$A$2:$A$701,customers_clean!$Q$2:$Q$701)</f>
        <v>❌ INVALID</v>
      </c>
      <c r="S543" s="10" t="s">
        <v>448</v>
      </c>
      <c r="T543" s="2" t="s">
        <v>42</v>
      </c>
      <c r="U543" s="2" t="s">
        <v>43</v>
      </c>
      <c r="V543" s="2" t="s">
        <v>1114</v>
      </c>
      <c r="W543" s="9" t="str">
        <f t="array" ref="W543">IF(ISNA(XLOOKUP(V543,products_master_corrected!$A$2:$A$151,products_master_corrected!$A$2:$A$151, NA())),
    "❌ MISSING SKU", "✅")</f>
        <v>✅</v>
      </c>
      <c r="X543" s="2" t="s">
        <v>1147</v>
      </c>
      <c r="Y543" s="2" t="s">
        <v>248</v>
      </c>
      <c r="Z543" s="10" t="s">
        <v>248</v>
      </c>
      <c r="AA543" s="27">
        <v>1.0</v>
      </c>
      <c r="AB543" s="9" t="s">
        <v>8649</v>
      </c>
      <c r="AC543" s="28">
        <f t="array" ref="AC543">XLOOKUP(V543,products_master_corrected!$A$2:$A$151,products_master_corrected!$E$2:$E$151)</f>
        <v>116.16</v>
      </c>
      <c r="AD543" s="28">
        <f t="shared" si="64"/>
        <v>116.16</v>
      </c>
      <c r="AE543" s="28">
        <f t="array" ref="AE543">XLOOKUP(V543,products_master_corrected!$A$2:$A$151,products_master_corrected!$M$2:$M$151)</f>
        <v>140.51</v>
      </c>
      <c r="AF543" s="29">
        <f t="shared" si="65"/>
        <v>140.51</v>
      </c>
      <c r="AG543" s="30" t="s">
        <v>48</v>
      </c>
      <c r="AH543" s="2" t="s">
        <v>66</v>
      </c>
      <c r="AI543" s="10" t="s">
        <v>66</v>
      </c>
      <c r="AJ543" s="2" t="s">
        <v>169</v>
      </c>
      <c r="AK543" s="10" t="s">
        <v>261</v>
      </c>
      <c r="AL543" s="2" t="s">
        <v>81</v>
      </c>
    </row>
    <row r="544" ht="15.75" customHeight="1">
      <c r="A544" s="2" t="s">
        <v>4406</v>
      </c>
      <c r="B544" s="12">
        <v>45183.0</v>
      </c>
      <c r="C544" s="2" t="str">
        <f>IFERROR(__xludf.DUMMYFUNCTION("IF(ISNUMBER(B544),TEXT(B544,""yyyy-MM-dd""),REGEXREPLACE(REGEXREPLACE(TO_TEXT(B544),""[^0-9a-zA-Z]+"",""-""),""[^0-9]*$"",""""))"),"2023-09-14")</f>
        <v>2023-09-14</v>
      </c>
      <c r="D544" s="2" t="s">
        <v>8869</v>
      </c>
      <c r="H544" s="10" t="s">
        <v>8869</v>
      </c>
      <c r="I544" s="2" t="s">
        <v>4408</v>
      </c>
      <c r="J544" s="26" t="str">
        <f t="array" ref="J544">IF(ISNA(XLOOKUP(I544,customers_clean!$A$2:$A$701,customers_clean!$A$2:$A$701, NA()) ),
   "❌ MISSING CUSTOMER", "✅")</f>
        <v>✅</v>
      </c>
      <c r="K544" s="2" t="str">
        <f t="array" ref="K544">XLOOKUP(I544,customers_clean!$A$2:$A$701,customers_clean!$C$2:$C$701)</f>
        <v>Wiktor Williams</v>
      </c>
      <c r="L544" s="10" t="str">
        <f t="array" ref="L544">XLOOKUP(I544,customers_clean!$A$2:$A$701,customers_clean!$D$2:$D$701)</f>
        <v>Wiktor Williams</v>
      </c>
      <c r="M544" s="2" t="str">
        <f t="array" ref="M544">XLOOKUP(I544,customers_clean!$A$2:$A$701,customers_clean!$I$2:$I$701)</f>
        <v>wiktor.williams@example.com</v>
      </c>
      <c r="N544" s="10" t="str">
        <f t="array" ref="N544">XLOOKUP(I544,customers_clean!$A$2:$A$701,customers_clean!$H$2:$H$701)</f>
        <v>wiktor.williams@example.com</v>
      </c>
      <c r="O544" s="9" t="str">
        <f>IFERROR(__xludf.DUMMYFUNCTION("IF(REGEXMATCH(TRIM(N544),""^[A-Za-z0-9._%+-]+@[A-Za-z0-9.-]+\.[A-Za-z]{2,}$""),""✅ Valid"",""❌ Invalid"")"),"✅ Valid")</f>
        <v>✅ Valid</v>
      </c>
      <c r="P544" s="2" t="str">
        <f t="array" ref="P544">XLOOKUP(I544,customers_clean!$A$2:$A$701,customers_clean!$K$2:$K$701)</f>
        <v>+49+2642044661 ext 55</v>
      </c>
      <c r="Q544" s="10" t="str">
        <f t="array" ref="Q544">XLOOKUP(I544,customers_clean!$A$2:$A$701,customers_clean!$N$2:$N$701)</f>
        <v>2642044661</v>
      </c>
      <c r="R544" s="9" t="str">
        <f t="array" ref="R544">XLOOKUP(I544,customers_clean!$A$2:$A$701,customers_clean!$Q$2:$Q$701)</f>
        <v>❌ INVALID</v>
      </c>
      <c r="S544" s="31" t="s">
        <v>671</v>
      </c>
      <c r="T544" s="2" t="s">
        <v>42</v>
      </c>
      <c r="U544" s="2" t="s">
        <v>60</v>
      </c>
      <c r="V544" s="2" t="s">
        <v>471</v>
      </c>
      <c r="W544" s="9" t="str">
        <f t="array" ref="W544">IF(ISNA(XLOOKUP(V544,products_master_corrected!$A$2:$A$151,products_master_corrected!$A$2:$A$151, NA())),
    "❌ MISSING SKU", "✅")</f>
        <v>✅</v>
      </c>
      <c r="X544" s="2" t="s">
        <v>29</v>
      </c>
      <c r="Y544" s="2" t="s">
        <v>179</v>
      </c>
      <c r="Z544" s="10" t="s">
        <v>179</v>
      </c>
      <c r="AA544" s="27">
        <v>5.0</v>
      </c>
      <c r="AB544" s="9" t="s">
        <v>8649</v>
      </c>
      <c r="AC544" s="28">
        <f t="array" ref="AC544">XLOOKUP(V544,products_master_corrected!$A$2:$A$151,products_master_corrected!$E$2:$E$151)</f>
        <v>71.8</v>
      </c>
      <c r="AD544" s="28">
        <f t="shared" si="64"/>
        <v>359</v>
      </c>
      <c r="AE544" s="28">
        <f t="array" ref="AE544">XLOOKUP(V544,products_master_corrected!$A$2:$A$151,products_master_corrected!$J$2:$J$151)</f>
        <v>83.74</v>
      </c>
      <c r="AF544" s="29">
        <f t="shared" si="65"/>
        <v>418.7</v>
      </c>
      <c r="AG544" s="32" t="s">
        <v>8656</v>
      </c>
      <c r="AH544" s="2" t="s">
        <v>305</v>
      </c>
      <c r="AI544" s="10" t="s">
        <v>49</v>
      </c>
      <c r="AJ544" s="2" t="s">
        <v>132</v>
      </c>
      <c r="AK544" s="10" t="s">
        <v>192</v>
      </c>
      <c r="AL544" s="2" t="s">
        <v>67</v>
      </c>
    </row>
    <row r="545" ht="15.75" customHeight="1">
      <c r="A545" s="2" t="s">
        <v>5316</v>
      </c>
      <c r="B545" s="12">
        <v>45347.03680555556</v>
      </c>
      <c r="C545" s="2" t="str">
        <f>IFERROR(__xludf.DUMMYFUNCTION("IF(ISNUMBER(B545),TEXT(B545,""yyyy-MM-dd""),REGEXREPLACE(REGEXREPLACE(TO_TEXT(B545),""[^0-9a-zA-Z]+"",""-""),""[^0-9]*$"",""""))"),"2024-02-25")</f>
        <v>2024-02-25</v>
      </c>
      <c r="D545" s="2" t="s">
        <v>7940</v>
      </c>
      <c r="H545" s="10" t="s">
        <v>7940</v>
      </c>
      <c r="I545" s="2" t="s">
        <v>4434</v>
      </c>
      <c r="J545" s="26" t="str">
        <f t="array" ref="J545">IF(ISNA(XLOOKUP(I545,customers_clean!$A$2:$A$701,customers_clean!$A$2:$A$701, NA()) ),
   "❌ MISSING CUSTOMER", "✅")</f>
        <v>✅</v>
      </c>
      <c r="K545" s="2" t="str">
        <f t="array" ref="K545">XLOOKUP(I545,customers_clean!$A$2:$A$701,customers_clean!$C$2:$C$701)</f>
        <v>Vlad Dubois</v>
      </c>
      <c r="L545" s="10" t="str">
        <f t="array" ref="L545">XLOOKUP(I545,customers_clean!$A$2:$A$701,customers_clean!$D$2:$D$701)</f>
        <v>Vlad Dubois</v>
      </c>
      <c r="M545" s="2" t="str">
        <f t="array" ref="M545">XLOOKUP(I545,customers_clean!$A$2:$A$701,customers_clean!$I$2:$I$701)</f>
        <v>vlad.dubois@yahoo.com</v>
      </c>
      <c r="N545" s="10" t="str">
        <f t="array" ref="N545">XLOOKUP(I545,customers_clean!$A$2:$A$701,customers_clean!$H$2:$H$701)</f>
        <v>vlad.dubois@yahoo.com</v>
      </c>
      <c r="O545" s="9" t="str">
        <f>IFERROR(__xludf.DUMMYFUNCTION("IF(REGEXMATCH(TRIM(N545),""^[A-Za-z0-9._%+-]+@[A-Za-z0-9.-]+\.[A-Za-z]{2,}$""),""✅ Valid"",""❌ Invalid"")"),"✅ Valid")</f>
        <v>✅ Valid</v>
      </c>
      <c r="P545" s="2" t="str">
        <f t="array" ref="P545">XLOOKUP(I545,customers_clean!$A$2:$A$701,customers_clean!$K$2:$K$701)</f>
        <v>+1 68-74-51-55-59-7</v>
      </c>
      <c r="Q545" s="10" t="str">
        <f t="array" ref="Q545">XLOOKUP(I545,customers_clean!$A$2:$A$701,customers_clean!$N$2:$N$701)</f>
        <v>68745155597</v>
      </c>
      <c r="R545" s="9" t="str">
        <f t="array" ref="R545">XLOOKUP(I545,customers_clean!$A$2:$A$701,customers_clean!$Q$2:$Q$701)</f>
        <v>❌ INVALID</v>
      </c>
      <c r="S545" s="10" t="s">
        <v>139</v>
      </c>
      <c r="T545" s="2" t="s">
        <v>59</v>
      </c>
      <c r="U545" s="2" t="s">
        <v>116</v>
      </c>
      <c r="V545" s="2" t="s">
        <v>2012</v>
      </c>
      <c r="W545" s="9" t="str">
        <f t="array" ref="W545">IF(ISNA(XLOOKUP(V545,products_master_corrected!$A$2:$A$151,products_master_corrected!$A$2:$A$151, NA())),
    "❌ MISSING SKU", "✅")</f>
        <v>✅</v>
      </c>
      <c r="X545" s="2" t="s">
        <v>741</v>
      </c>
      <c r="Y545" s="2" t="s">
        <v>514</v>
      </c>
      <c r="Z545" s="10" t="s">
        <v>514</v>
      </c>
      <c r="AA545" s="27">
        <v>2.0</v>
      </c>
      <c r="AB545" s="9" t="s">
        <v>8649</v>
      </c>
      <c r="AC545" s="28">
        <f t="array" ref="AC545">XLOOKUP(V545,products_master_corrected!$A$2:$A$151,products_master_corrected!$E$2:$E$151)</f>
        <v>40.87</v>
      </c>
      <c r="AD545" s="28">
        <f t="shared" si="64"/>
        <v>81.74</v>
      </c>
      <c r="AE545" s="28">
        <f t="array" ref="AE545">XLOOKUP(V545,products_master_corrected!$A$2:$A$151,products_master_corrected!$L$2:$L$151)</f>
        <v>44.2</v>
      </c>
      <c r="AF545" s="29">
        <f t="shared" si="65"/>
        <v>88.4</v>
      </c>
      <c r="AG545" s="32" t="s">
        <v>8665</v>
      </c>
      <c r="AH545" s="2" t="s">
        <v>181</v>
      </c>
      <c r="AI545" s="10" t="s">
        <v>181</v>
      </c>
      <c r="AJ545" s="2" t="s">
        <v>192</v>
      </c>
      <c r="AK545" s="10" t="s">
        <v>192</v>
      </c>
    </row>
    <row r="546" ht="15.75" customHeight="1">
      <c r="A546" s="2" t="s">
        <v>4432</v>
      </c>
      <c r="B546" s="12" t="s">
        <v>4433</v>
      </c>
      <c r="C546" s="2" t="str">
        <f>IFERROR(__xludf.DUMMYFUNCTION("IF(ISNUMBER(B546),TEXT(B546,""yyyy-MM-dd""),REGEXREPLACE(REGEXREPLACE(TO_TEXT(B546),""[^0-9a-zA-Z]+"",""-""),""[^0-9]*$"",""""))"),"08-03-2024")</f>
        <v>08-03-2024</v>
      </c>
      <c r="D546" s="2" t="s">
        <v>8652</v>
      </c>
      <c r="H546" s="10" t="s">
        <v>8652</v>
      </c>
      <c r="I546" s="2" t="s">
        <v>4434</v>
      </c>
      <c r="J546" s="26" t="str">
        <f t="array" ref="J546">IF(ISNA(XLOOKUP(I546,customers_clean!$A$2:$A$701,customers_clean!$A$2:$A$701, NA()) ),
   "❌ MISSING CUSTOMER", "✅")</f>
        <v>✅</v>
      </c>
      <c r="K546" s="2" t="str">
        <f t="array" ref="K546">XLOOKUP(I546,customers_clean!$A$2:$A$701,customers_clean!$C$2:$C$701)</f>
        <v>Vlad Dubois</v>
      </c>
      <c r="L546" s="10" t="str">
        <f t="array" ref="L546">XLOOKUP(I546,customers_clean!$A$2:$A$701,customers_clean!$D$2:$D$701)</f>
        <v>Vlad Dubois</v>
      </c>
      <c r="M546" s="2" t="str">
        <f t="array" ref="M546">XLOOKUP(I546,customers_clean!$A$2:$A$701,customers_clean!$I$2:$I$701)</f>
        <v>vlad.dubois@yahoo.com</v>
      </c>
      <c r="N546" s="10" t="str">
        <f t="array" ref="N546">XLOOKUP(I546,customers_clean!$A$2:$A$701,customers_clean!$H$2:$H$701)</f>
        <v>vlad.dubois@yahoo.com</v>
      </c>
      <c r="O546" s="9" t="str">
        <f>IFERROR(__xludf.DUMMYFUNCTION("IF(REGEXMATCH(TRIM(N546),""^[A-Za-z0-9._%+-]+@[A-Za-z0-9.-]+\.[A-Za-z]{2,}$""),""✅ Valid"",""❌ Invalid"")"),"✅ Valid")</f>
        <v>✅ Valid</v>
      </c>
      <c r="P546" s="2" t="str">
        <f t="array" ref="P546">XLOOKUP(I546,customers_clean!$A$2:$A$701,customers_clean!$K$2:$K$701)</f>
        <v>+1 68-74-51-55-59-7</v>
      </c>
      <c r="Q546" s="10" t="str">
        <f t="array" ref="Q546">XLOOKUP(I546,customers_clean!$A$2:$A$701,customers_clean!$N$2:$N$701)</f>
        <v>68745155597</v>
      </c>
      <c r="R546" s="9" t="str">
        <f t="array" ref="R546">XLOOKUP(I546,customers_clean!$A$2:$A$701,customers_clean!$Q$2:$Q$701)</f>
        <v>❌ INVALID</v>
      </c>
      <c r="S546" s="10" t="s">
        <v>139</v>
      </c>
      <c r="T546" s="2" t="s">
        <v>223</v>
      </c>
      <c r="U546" s="2" t="s">
        <v>176</v>
      </c>
      <c r="V546" s="2" t="s">
        <v>3596</v>
      </c>
      <c r="W546" s="9" t="str">
        <f t="array" ref="W546">IF(ISNA(XLOOKUP(V546,products_master_corrected!$A$2:$A$151,products_master_corrected!$A$2:$A$151, NA())),
    "❌ MISSING SKU", "✅")</f>
        <v>✅</v>
      </c>
      <c r="X546" s="2" t="s">
        <v>3597</v>
      </c>
      <c r="Y546" s="2" t="s">
        <v>63</v>
      </c>
      <c r="Z546" s="10" t="s">
        <v>63</v>
      </c>
      <c r="AA546" s="27">
        <v>2.0</v>
      </c>
      <c r="AB546" s="9" t="s">
        <v>8649</v>
      </c>
      <c r="AC546" s="28">
        <f t="array" ref="AC546">XLOOKUP(V546,products_master_corrected!$A$2:$A$151,products_master_corrected!$E$2:$E$151)</f>
        <v>160.36</v>
      </c>
      <c r="AD546" s="28">
        <f t="shared" si="64"/>
        <v>320.72</v>
      </c>
      <c r="AE546" s="28">
        <f t="array" ref="AE546">XLOOKUP(V546,products_master_corrected!$A$2:$A$151,products_master_corrected!$L$2:$L$151)</f>
        <v>173.43</v>
      </c>
      <c r="AF546" s="29">
        <f t="shared" si="65"/>
        <v>346.86</v>
      </c>
      <c r="AG546" s="32" t="s">
        <v>8665</v>
      </c>
      <c r="AH546" s="2" t="s">
        <v>66</v>
      </c>
      <c r="AI546" s="10" t="s">
        <v>66</v>
      </c>
      <c r="AJ546" s="2" t="s">
        <v>393</v>
      </c>
      <c r="AK546" s="10" t="s">
        <v>80</v>
      </c>
      <c r="AL546" s="2" t="s">
        <v>51</v>
      </c>
    </row>
    <row r="547" ht="15.75" customHeight="1">
      <c r="A547" s="2" t="s">
        <v>4925</v>
      </c>
      <c r="B547" s="12">
        <v>45157.0</v>
      </c>
      <c r="C547" s="2" t="str">
        <f>IFERROR(__xludf.DUMMYFUNCTION("IF(ISNUMBER(B547),TEXT(B547,""yyyy-MM-dd""),REGEXREPLACE(REGEXREPLACE(TO_TEXT(B547),""[^0-9a-zA-Z]+"",""-""),""[^0-9]*$"",""""))"),"2023-08-19")</f>
        <v>2023-08-19</v>
      </c>
      <c r="D547" s="2" t="s">
        <v>8016</v>
      </c>
      <c r="H547" s="10" t="s">
        <v>8016</v>
      </c>
      <c r="I547" s="2" t="s">
        <v>4927</v>
      </c>
      <c r="J547" s="26" t="str">
        <f t="array" ref="J547">IF(ISNA(XLOOKUP(I547,customers_clean!$A$2:$A$701,customers_clean!$A$2:$A$701, NA()) ),
   "❌ MISSING CUSTOMER", "✅")</f>
        <v>✅</v>
      </c>
      <c r="K547" s="2" t="str">
        <f t="array" ref="K547">XLOOKUP(I547,customers_clean!$A$2:$A$701,customers_clean!$C$2:$C$701)</f>
        <v>Bella King </v>
      </c>
      <c r="L547" s="10" t="str">
        <f t="array" ref="L547">XLOOKUP(I547,customers_clean!$A$2:$A$701,customers_clean!$D$2:$D$701)</f>
        <v>Bella King</v>
      </c>
      <c r="M547" s="2" t="str">
        <f t="array" ref="M547">XLOOKUP(I547,customers_clean!$A$2:$A$701,customers_clean!$I$2:$I$701)</f>
        <v>bella.king@yahoo.com</v>
      </c>
      <c r="N547" s="10" t="str">
        <f t="array" ref="N547">XLOOKUP(I547,customers_clean!$A$2:$A$701,customers_clean!$H$2:$H$701)</f>
        <v>bella.king@yahoo.com</v>
      </c>
      <c r="O547" s="9" t="str">
        <f>IFERROR(__xludf.DUMMYFUNCTION("IF(REGEXMATCH(TRIM(N547),""^[A-Za-z0-9._%+-]+@[A-Za-z0-9.-]+\.[A-Za-z]{2,}$""),""✅ Valid"",""❌ Invalid"")"),"✅ Valid")</f>
        <v>✅ Valid</v>
      </c>
      <c r="P547" s="33" t="str">
        <f t="array" ref="P547">XLOOKUP(I547,customers_clean!$A$2:$A$701,customers_clean!$K$2:$K$701)</f>
        <v>tel:+48907495961 x</v>
      </c>
      <c r="Q547" s="10" t="str">
        <f t="array" ref="Q547">XLOOKUP(I547,customers_clean!$A$2:$A$701,customers_clean!$N$2:$N$701)</f>
        <v>907495961</v>
      </c>
      <c r="R547" s="9" t="str">
        <f t="array" ref="R547">XLOOKUP(I547,customers_clean!$A$2:$A$701,customers_clean!$Q$2:$Q$701)</f>
        <v>❌ INVALID</v>
      </c>
      <c r="S547" s="10" t="s">
        <v>58</v>
      </c>
      <c r="T547" s="2" t="s">
        <v>152</v>
      </c>
      <c r="U547" s="2" t="s">
        <v>43</v>
      </c>
      <c r="V547" s="2" t="s">
        <v>948</v>
      </c>
      <c r="W547" s="9" t="str">
        <f t="array" ref="W547">IF(ISNA(XLOOKUP(V547,products_master_corrected!$A$2:$A$151,products_master_corrected!$A$2:$A$151, NA())),
    "❌ MISSING SKU", "✅")</f>
        <v>✅</v>
      </c>
      <c r="X547" s="2" t="s">
        <v>213</v>
      </c>
      <c r="Y547" s="2" t="s">
        <v>129</v>
      </c>
      <c r="Z547" s="10" t="s">
        <v>514</v>
      </c>
      <c r="AA547" s="27">
        <v>3.0</v>
      </c>
      <c r="AB547" s="9" t="s">
        <v>8649</v>
      </c>
      <c r="AC547" s="28">
        <f t="array" ref="AC547">XLOOKUP(V547,products_master_corrected!$A$2:$A$151,products_master_corrected!$E$2:$E$151)</f>
        <v>1470.18</v>
      </c>
      <c r="AD547" s="28">
        <f t="shared" si="64"/>
        <v>4410.54</v>
      </c>
      <c r="AE547" s="28">
        <f t="array" ref="AE547">XLOOKUP(V547,products_master_corrected!$A$2:$A$151,products_master_corrected!$G$2:$G$151)</f>
        <v>1683.06</v>
      </c>
      <c r="AF547" s="29">
        <f t="shared" si="65"/>
        <v>5049.18</v>
      </c>
      <c r="AG547" s="32" t="s">
        <v>8663</v>
      </c>
      <c r="AH547" s="2" t="s">
        <v>33</v>
      </c>
      <c r="AI547" s="10" t="s">
        <v>181</v>
      </c>
      <c r="AJ547" s="2" t="s">
        <v>818</v>
      </c>
      <c r="AK547" s="10" t="s">
        <v>818</v>
      </c>
      <c r="AL547" s="2" t="s">
        <v>51</v>
      </c>
    </row>
    <row r="548" ht="15.75" customHeight="1">
      <c r="A548" s="2" t="s">
        <v>2379</v>
      </c>
      <c r="B548" s="12">
        <v>45214.728472222225</v>
      </c>
      <c r="C548" s="2" t="str">
        <f>IFERROR(__xludf.DUMMYFUNCTION("IF(ISNUMBER(B548),TEXT(B548,""yyyy-MM-dd""),REGEXREPLACE(REGEXREPLACE(TO_TEXT(B548),""[^0-9a-zA-Z]+"",""-""),""[^0-9]*$"",""""))"),"2023-10-15")</f>
        <v>2023-10-15</v>
      </c>
      <c r="D548" s="2" t="s">
        <v>8678</v>
      </c>
      <c r="H548" s="10" t="s">
        <v>8678</v>
      </c>
      <c r="I548" s="2" t="s">
        <v>2381</v>
      </c>
      <c r="J548" s="26" t="str">
        <f t="array" ref="J548">IF(ISNA(XLOOKUP(I548,customers_clean!$A$2:$A$701,customers_clean!$A$2:$A$701, NA()) ),
   "❌ MISSING CUSTOMER", "✅")</f>
        <v>✅</v>
      </c>
      <c r="K548" s="2" t="str">
        <f t="array" ref="K548">XLOOKUP(I548,customers_clean!$A$2:$A$701,customers_clean!$C$2:$C$701)</f>
        <v>Bella King </v>
      </c>
      <c r="L548" s="10" t="str">
        <f t="array" ref="L548">XLOOKUP(I548,customers_clean!$A$2:$A$701,customers_clean!$D$2:$D$701)</f>
        <v>Bella King</v>
      </c>
      <c r="M548" s="2" t="str">
        <f t="array" ref="M548">XLOOKUP(I548,customers_clean!$A$2:$A$701,customers_clean!$I$2:$I$701)</f>
        <v>bella.king@yahoo.com </v>
      </c>
      <c r="N548" s="10" t="str">
        <f t="array" ref="N548">XLOOKUP(I548,customers_clean!$A$2:$A$701,customers_clean!$H$2:$H$701)</f>
        <v>bella.king@yahoo.com</v>
      </c>
      <c r="O548" s="9" t="str">
        <f>IFERROR(__xludf.DUMMYFUNCTION("IF(REGEXMATCH(TRIM(N548),""^[A-Za-z0-9._%+-]+@[A-Za-z0-9.-]+\.[A-Za-z]{2,}$""),""✅ Valid"",""❌ Invalid"")"),"✅ Valid")</f>
        <v>✅ Valid</v>
      </c>
      <c r="P548" s="2" t="str">
        <f t="array" ref="P548">XLOOKUP(I548,customers_clean!$A$2:$A$701,customers_clean!$K$2:$K$701)</f>
        <v>+39901008882</v>
      </c>
      <c r="Q548" s="10" t="str">
        <f t="array" ref="Q548">XLOOKUP(I548,customers_clean!$A$2:$A$701,customers_clean!$N$2:$N$701)</f>
        <v>901008882</v>
      </c>
      <c r="R548" s="9" t="str">
        <f t="array" ref="R548">XLOOKUP(I548,customers_clean!$A$2:$A$701,customers_clean!$Q$2:$Q$701)</f>
        <v>❌ INVALID</v>
      </c>
      <c r="S548" s="31" t="s">
        <v>671</v>
      </c>
      <c r="T548" s="2" t="s">
        <v>1167</v>
      </c>
      <c r="U548" s="2" t="s">
        <v>522</v>
      </c>
      <c r="V548" s="2" t="s">
        <v>792</v>
      </c>
      <c r="W548" s="9" t="str">
        <f t="array" ref="W548">IF(ISNA(XLOOKUP(V548,products_master_corrected!$A$2:$A$151,products_master_corrected!$A$2:$A$151, NA())),
    "❌ MISSING SKU", "✅")</f>
        <v>✅</v>
      </c>
      <c r="X548" s="2" t="s">
        <v>768</v>
      </c>
      <c r="Y548" s="2" t="s">
        <v>742</v>
      </c>
      <c r="Z548" s="10" t="s">
        <v>355</v>
      </c>
      <c r="AA548" s="27">
        <v>2.0</v>
      </c>
      <c r="AB548" s="9" t="s">
        <v>8649</v>
      </c>
      <c r="AC548" s="28">
        <f t="array" ref="AC548">XLOOKUP(V548,products_master_corrected!$A$2:$A$151,products_master_corrected!$E$2:$E$151)</f>
        <v>20.12</v>
      </c>
      <c r="AD548" s="28">
        <f t="shared" si="64"/>
        <v>40.24</v>
      </c>
      <c r="AE548" s="28">
        <f t="array" ref="AE548">XLOOKUP(V548,products_master_corrected!$A$2:$A$151,products_master_corrected!$J$2:$J$151)</f>
        <v>23.47</v>
      </c>
      <c r="AF548" s="29">
        <f t="shared" si="65"/>
        <v>46.94</v>
      </c>
      <c r="AG548" s="32" t="s">
        <v>8656</v>
      </c>
      <c r="AH548" s="2" t="s">
        <v>96</v>
      </c>
      <c r="AI548" s="10" t="s">
        <v>143</v>
      </c>
      <c r="AJ548" s="2" t="s">
        <v>294</v>
      </c>
      <c r="AK548" s="10" t="s">
        <v>80</v>
      </c>
      <c r="AL548" s="2" t="s">
        <v>51</v>
      </c>
    </row>
    <row r="549" ht="15.75" customHeight="1">
      <c r="A549" s="2" t="s">
        <v>3252</v>
      </c>
      <c r="B549" s="12" t="s">
        <v>3253</v>
      </c>
      <c r="C549" s="2" t="str">
        <f>IFERROR(__xludf.DUMMYFUNCTION("IF(ISNUMBER(B549),TEXT(B549,""yyyy-MM-dd""),REGEXREPLACE(REGEXREPLACE(TO_TEXT(B549),""[^0-9a-zA-Z]+"",""-""),""[^0-9]*$"",""""))"),"01-01-2023")</f>
        <v>01-01-2023</v>
      </c>
      <c r="D549" s="2" t="s">
        <v>8106</v>
      </c>
      <c r="H549" s="10" t="s">
        <v>8106</v>
      </c>
      <c r="I549" s="2" t="s">
        <v>2381</v>
      </c>
      <c r="J549" s="26" t="str">
        <f t="array" ref="J549">IF(ISNA(XLOOKUP(I549,customers_clean!$A$2:$A$701,customers_clean!$A$2:$A$701, NA()) ),
   "❌ MISSING CUSTOMER", "✅")</f>
        <v>✅</v>
      </c>
      <c r="K549" s="2" t="str">
        <f t="array" ref="K549">XLOOKUP(I549,customers_clean!$A$2:$A$701,customers_clean!$C$2:$C$701)</f>
        <v>Bella King </v>
      </c>
      <c r="L549" s="10" t="str">
        <f t="array" ref="L549">XLOOKUP(I549,customers_clean!$A$2:$A$701,customers_clean!$D$2:$D$701)</f>
        <v>Bella King</v>
      </c>
      <c r="M549" s="2" t="str">
        <f t="array" ref="M549">XLOOKUP(I549,customers_clean!$A$2:$A$701,customers_clean!$I$2:$I$701)</f>
        <v>bella.king@yahoo.com </v>
      </c>
      <c r="N549" s="10" t="str">
        <f t="array" ref="N549">XLOOKUP(I549,customers_clean!$A$2:$A$701,customers_clean!$H$2:$H$701)</f>
        <v>bella.king@yahoo.com</v>
      </c>
      <c r="O549" s="9" t="str">
        <f>IFERROR(__xludf.DUMMYFUNCTION("IF(REGEXMATCH(TRIM(N549),""^[A-Za-z0-9._%+-]+@[A-Za-z0-9.-]+\.[A-Za-z]{2,}$""),""✅ Valid"",""❌ Invalid"")"),"✅ Valid")</f>
        <v>✅ Valid</v>
      </c>
      <c r="P549" s="2" t="str">
        <f t="array" ref="P549">XLOOKUP(I549,customers_clean!$A$2:$A$701,customers_clean!$K$2:$K$701)</f>
        <v>+39901008882</v>
      </c>
      <c r="Q549" s="10" t="str">
        <f t="array" ref="Q549">XLOOKUP(I549,customers_clean!$A$2:$A$701,customers_clean!$N$2:$N$701)</f>
        <v>901008882</v>
      </c>
      <c r="R549" s="9" t="str">
        <f t="array" ref="R549">XLOOKUP(I549,customers_clean!$A$2:$A$701,customers_clean!$Q$2:$Q$701)</f>
        <v>❌ INVALID</v>
      </c>
      <c r="S549" s="31" t="s">
        <v>671</v>
      </c>
      <c r="T549" s="2" t="s">
        <v>223</v>
      </c>
      <c r="U549" s="2" t="s">
        <v>522</v>
      </c>
      <c r="V549" s="2" t="s">
        <v>1114</v>
      </c>
      <c r="W549" s="9" t="str">
        <f t="array" ref="W549">IF(ISNA(XLOOKUP(V549,products_master_corrected!$A$2:$A$151,products_master_corrected!$A$2:$A$151, NA())),
    "❌ MISSING SKU", "✅")</f>
        <v>✅</v>
      </c>
      <c r="X549" s="2" t="s">
        <v>1147</v>
      </c>
      <c r="Y549" s="2" t="s">
        <v>248</v>
      </c>
      <c r="Z549" s="10" t="s">
        <v>248</v>
      </c>
      <c r="AA549" s="27">
        <v>2.0</v>
      </c>
      <c r="AB549" s="9" t="s">
        <v>8649</v>
      </c>
      <c r="AC549" s="28">
        <f t="array" ref="AC549">XLOOKUP(V549,products_master_corrected!$A$2:$A$151,products_master_corrected!$E$2:$E$151)</f>
        <v>116.16</v>
      </c>
      <c r="AD549" s="28">
        <f t="shared" si="64"/>
        <v>232.32</v>
      </c>
      <c r="AE549" s="28">
        <f t="array" ref="AE549">XLOOKUP(V549,products_master_corrected!$A$2:$A$151,products_master_corrected!$J$2:$J$151)</f>
        <v>135.48</v>
      </c>
      <c r="AF549" s="29">
        <f t="shared" si="65"/>
        <v>270.96</v>
      </c>
      <c r="AG549" s="32" t="s">
        <v>8656</v>
      </c>
      <c r="AH549" s="2" t="s">
        <v>414</v>
      </c>
      <c r="AI549" s="10" t="s">
        <v>49</v>
      </c>
      <c r="AJ549" s="2" t="s">
        <v>158</v>
      </c>
      <c r="AK549" s="10" t="s">
        <v>818</v>
      </c>
      <c r="AL549" s="2" t="s">
        <v>51</v>
      </c>
    </row>
    <row r="550" ht="15.75" customHeight="1">
      <c r="A550" s="2" t="s">
        <v>5026</v>
      </c>
      <c r="B550" s="12">
        <v>45087.0</v>
      </c>
      <c r="C550" s="2" t="str">
        <f>IFERROR(__xludf.DUMMYFUNCTION("IF(ISNUMBER(B550),TEXT(B550,""yyyy-MM-dd""),REGEXREPLACE(REGEXREPLACE(TO_TEXT(B550),""[^0-9a-zA-Z]+"",""-""),""[^0-9]*$"",""""))"),"2023-06-10")</f>
        <v>2023-06-10</v>
      </c>
      <c r="D550" s="2" t="s">
        <v>8870</v>
      </c>
      <c r="H550" s="10" t="s">
        <v>8870</v>
      </c>
      <c r="I550" s="2" t="s">
        <v>5028</v>
      </c>
      <c r="J550" s="26" t="str">
        <f t="array" ref="J550">IF(ISNA(XLOOKUP(I550,customers_clean!$A$2:$A$701,customers_clean!$A$2:$A$701, NA()) ),
   "❌ MISSING CUSTOMER", "✅")</f>
        <v>✅</v>
      </c>
      <c r="K550" s="2" t="str">
        <f t="array" ref="K550">XLOOKUP(I550,customers_clean!$A$2:$A$701,customers_clean!$C$2:$C$701)</f>
        <v> Paul aMartinez</v>
      </c>
      <c r="L550" s="10" t="str">
        <f t="array" ref="L550">XLOOKUP(I550,customers_clean!$A$2:$A$701,customers_clean!$D$2:$D$701)</f>
        <v>Paula Martinez</v>
      </c>
      <c r="M550" s="2" t="str">
        <f t="array" ref="M550">XLOOKUP(I550,customers_clean!$A$2:$A$701,customers_clean!$I$2:$I$701)</f>
        <v> paula.martinez@yahoo.com</v>
      </c>
      <c r="N550" s="10" t="str">
        <f t="array" ref="N550">XLOOKUP(I550,customers_clean!$A$2:$A$701,customers_clean!$H$2:$H$701)</f>
        <v>paula.martinez@yahoo.com</v>
      </c>
      <c r="O550" s="9" t="str">
        <f>IFERROR(__xludf.DUMMYFUNCTION("IF(REGEXMATCH(TRIM(N550),""^[A-Za-z0-9._%+-]+@[A-Za-z0-9.-]+\.[A-Za-z]{2,}$""),""✅ Valid"",""❌ Invalid"")"),"✅ Valid")</f>
        <v>✅ Valid</v>
      </c>
      <c r="P550" s="2" t="str">
        <f t="array" ref="P550">XLOOKUP(I550,customers_clean!$A$2:$A$701,customers_clean!$K$2:$K$701)</f>
        <v>+337936335756</v>
      </c>
      <c r="Q550" s="10" t="str">
        <f t="array" ref="Q550">XLOOKUP(I550,customers_clean!$A$2:$A$701,customers_clean!$N$2:$N$701)</f>
        <v>7936335756</v>
      </c>
      <c r="R550" s="9" t="str">
        <f t="array" ref="R550">XLOOKUP(I550,customers_clean!$A$2:$A$701,customers_clean!$Q$2:$Q$701)</f>
        <v>❌ INVALID</v>
      </c>
      <c r="S550" s="31" t="s">
        <v>671</v>
      </c>
      <c r="T550" s="2" t="s">
        <v>59</v>
      </c>
      <c r="U550" s="2" t="s">
        <v>43</v>
      </c>
      <c r="V550" s="2" t="s">
        <v>513</v>
      </c>
      <c r="W550" s="9" t="str">
        <f t="array" ref="W550">IF(ISNA(XLOOKUP(V550,products_master_corrected!$A$2:$A$151,products_master_corrected!$A$2:$A$151, NA())),
    "❌ MISSING SKU", "✅")</f>
        <v>✅</v>
      </c>
      <c r="X550" s="2" t="s">
        <v>8673</v>
      </c>
      <c r="Y550" s="2" t="s">
        <v>514</v>
      </c>
      <c r="Z550" s="10" t="s">
        <v>514</v>
      </c>
      <c r="AA550" s="27">
        <v>1.0</v>
      </c>
      <c r="AB550" s="9" t="s">
        <v>8649</v>
      </c>
      <c r="AC550" s="28">
        <f t="array" ref="AC550">XLOOKUP(V550,products_master_corrected!$A$2:$A$151,products_master_corrected!$E$2:$E$151)</f>
        <v>275.56</v>
      </c>
      <c r="AD550" s="28">
        <f t="shared" si="64"/>
        <v>275.56</v>
      </c>
      <c r="AE550" s="28">
        <f t="array" ref="AE550">XLOOKUP(V550,products_master_corrected!$A$2:$A$151,products_master_corrected!$J$2:$J$151)</f>
        <v>321.39</v>
      </c>
      <c r="AF550" s="29">
        <f t="shared" si="65"/>
        <v>321.39</v>
      </c>
      <c r="AG550" s="32" t="s">
        <v>8656</v>
      </c>
      <c r="AH550" s="2" t="s">
        <v>485</v>
      </c>
      <c r="AI550" s="10" t="s">
        <v>181</v>
      </c>
      <c r="AJ550" s="2" t="s">
        <v>120</v>
      </c>
      <c r="AK550" s="10" t="s">
        <v>818</v>
      </c>
      <c r="AL550" s="2" t="s">
        <v>81</v>
      </c>
    </row>
    <row r="551" ht="15.75" customHeight="1">
      <c r="A551" s="2" t="s">
        <v>2119</v>
      </c>
      <c r="B551" s="12">
        <v>45129.0</v>
      </c>
      <c r="C551" s="2" t="str">
        <f>IFERROR(__xludf.DUMMYFUNCTION("IF(ISNUMBER(B551),TEXT(B551,""yyyy-MM-dd""),REGEXREPLACE(REGEXREPLACE(TO_TEXT(B551),""[^0-9a-zA-Z]+"",""-""),""[^0-9]*$"",""""))"),"2023-07-22")</f>
        <v>2023-07-22</v>
      </c>
      <c r="D551" s="2" t="s">
        <v>1418</v>
      </c>
      <c r="H551" s="10" t="s">
        <v>1418</v>
      </c>
      <c r="I551" s="2" t="s">
        <v>2120</v>
      </c>
      <c r="J551" s="26" t="str">
        <f t="array" ref="J551">IF(ISNA(XLOOKUP(I551,customers_clean!$A$2:$A$701,customers_clean!$A$2:$A$701, NA()) ),
   "❌ MISSING CUSTOMER", "✅")</f>
        <v>✅</v>
      </c>
      <c r="K551" s="2" t="str">
        <f t="array" ref="K551">XLOOKUP(I551,customers_clean!$A$2:$A$701,customers_clean!$C$2:$C$701)</f>
        <v>Rita Khan</v>
      </c>
      <c r="L551" s="10" t="str">
        <f t="array" ref="L551">XLOOKUP(I551,customers_clean!$A$2:$A$701,customers_clean!$D$2:$D$701)</f>
        <v>Rita Khan</v>
      </c>
      <c r="M551" s="2" t="str">
        <f t="array" ref="M551">XLOOKUP(I551,customers_clean!$A$2:$A$701,customers_clean!$I$2:$I$701)</f>
        <v> rita.khan@yahoo.com</v>
      </c>
      <c r="N551" s="10" t="str">
        <f t="array" ref="N551">XLOOKUP(I551,customers_clean!$A$2:$A$701,customers_clean!$H$2:$H$701)</f>
        <v>rita.khan@yahoo.com</v>
      </c>
      <c r="O551" s="9" t="str">
        <f>IFERROR(__xludf.DUMMYFUNCTION("IF(REGEXMATCH(TRIM(N551),""^[A-Za-z0-9._%+-]+@[A-Za-z0-9.-]+\.[A-Za-z]{2,}$""),""✅ Valid"",""❌ Invalid"")"),"✅ Valid")</f>
        <v>✅ Valid</v>
      </c>
      <c r="P551" s="2">
        <f t="array" ref="P551">XLOOKUP(I551,customers_clean!$A$2:$A$701,customers_clean!$K$2:$K$701)</f>
        <v>30259030</v>
      </c>
      <c r="Q551" s="10" t="str">
        <f t="array" ref="Q551">XLOOKUP(I551,customers_clean!$A$2:$A$701,customers_clean!$N$2:$N$701)</f>
        <v>30259030</v>
      </c>
      <c r="R551" s="9" t="str">
        <f t="array" ref="R551">XLOOKUP(I551,customers_clean!$A$2:$A$701,customers_clean!$Q$2:$Q$701)</f>
        <v>❌ INVALID</v>
      </c>
      <c r="S551" s="10" t="s">
        <v>58</v>
      </c>
      <c r="T551" s="2" t="s">
        <v>223</v>
      </c>
      <c r="U551" s="2" t="s">
        <v>401</v>
      </c>
      <c r="V551" s="2" t="s">
        <v>948</v>
      </c>
      <c r="W551" s="9" t="str">
        <f t="array" ref="W551">IF(ISNA(XLOOKUP(V551,products_master_corrected!$A$2:$A$151,products_master_corrected!$A$2:$A$151, NA())),
    "❌ MISSING SKU", "✅")</f>
        <v>✅</v>
      </c>
      <c r="X551" s="2" t="s">
        <v>213</v>
      </c>
      <c r="Y551" s="2" t="s">
        <v>129</v>
      </c>
      <c r="Z551" s="10" t="s">
        <v>514</v>
      </c>
      <c r="AA551" s="27">
        <v>5.0</v>
      </c>
      <c r="AB551" s="9" t="s">
        <v>8649</v>
      </c>
      <c r="AC551" s="28">
        <f t="array" ref="AC551">XLOOKUP(V551,products_master_corrected!$A$2:$A$151,products_master_corrected!$E$2:$E$151)</f>
        <v>1470.18</v>
      </c>
      <c r="AD551" s="28">
        <f t="shared" si="64"/>
        <v>7350.9</v>
      </c>
      <c r="AE551" s="28">
        <f t="array" ref="AE551">XLOOKUP(V551,products_master_corrected!$A$2:$A$151,products_master_corrected!$G$2:$G$151)</f>
        <v>1683.06</v>
      </c>
      <c r="AF551" s="29">
        <f t="shared" si="65"/>
        <v>8415.3</v>
      </c>
      <c r="AG551" s="32" t="s">
        <v>8663</v>
      </c>
      <c r="AH551" s="2" t="s">
        <v>204</v>
      </c>
      <c r="AI551" s="10" t="s">
        <v>143</v>
      </c>
      <c r="AJ551" s="2" t="s">
        <v>452</v>
      </c>
      <c r="AK551" s="10" t="s">
        <v>261</v>
      </c>
      <c r="AL551" s="2" t="s">
        <v>67</v>
      </c>
    </row>
    <row r="552" ht="15.75" customHeight="1">
      <c r="A552" s="2" t="s">
        <v>3585</v>
      </c>
      <c r="B552" s="12">
        <v>45395.55486111111</v>
      </c>
      <c r="C552" s="2" t="str">
        <f>IFERROR(__xludf.DUMMYFUNCTION("IF(ISNUMBER(B552),TEXT(B552,""yyyy-MM-dd""),REGEXREPLACE(REGEXREPLACE(TO_TEXT(B552),""[^0-9a-zA-Z]+"",""-""),""[^0-9]*$"",""""))"),"2024-04-13")</f>
        <v>2024-04-13</v>
      </c>
      <c r="D552" s="2" t="s">
        <v>8871</v>
      </c>
      <c r="H552" s="10" t="s">
        <v>8871</v>
      </c>
      <c r="I552" s="2" t="s">
        <v>2120</v>
      </c>
      <c r="J552" s="26" t="str">
        <f t="array" ref="J552">IF(ISNA(XLOOKUP(I552,customers_clean!$A$2:$A$701,customers_clean!$A$2:$A$701, NA()) ),
   "❌ MISSING CUSTOMER", "✅")</f>
        <v>✅</v>
      </c>
      <c r="K552" s="2" t="str">
        <f t="array" ref="K552">XLOOKUP(I552,customers_clean!$A$2:$A$701,customers_clean!$C$2:$C$701)</f>
        <v>Rita Khan</v>
      </c>
      <c r="L552" s="10" t="str">
        <f t="array" ref="L552">XLOOKUP(I552,customers_clean!$A$2:$A$701,customers_clean!$D$2:$D$701)</f>
        <v>Rita Khan</v>
      </c>
      <c r="M552" s="2" t="str">
        <f t="array" ref="M552">XLOOKUP(I552,customers_clean!$A$2:$A$701,customers_clean!$I$2:$I$701)</f>
        <v> rita.khan@yahoo.com</v>
      </c>
      <c r="N552" s="10" t="str">
        <f t="array" ref="N552">XLOOKUP(I552,customers_clean!$A$2:$A$701,customers_clean!$H$2:$H$701)</f>
        <v>rita.khan@yahoo.com</v>
      </c>
      <c r="O552" s="9" t="str">
        <f>IFERROR(__xludf.DUMMYFUNCTION("IF(REGEXMATCH(TRIM(N552),""^[A-Za-z0-9._%+-]+@[A-Za-z0-9.-]+\.[A-Za-z]{2,}$""),""✅ Valid"",""❌ Invalid"")"),"✅ Valid")</f>
        <v>✅ Valid</v>
      </c>
      <c r="P552" s="2">
        <f t="array" ref="P552">XLOOKUP(I552,customers_clean!$A$2:$A$701,customers_clean!$K$2:$K$701)</f>
        <v>30259030</v>
      </c>
      <c r="Q552" s="10" t="str">
        <f t="array" ref="Q552">XLOOKUP(I552,customers_clean!$A$2:$A$701,customers_clean!$N$2:$N$701)</f>
        <v>30259030</v>
      </c>
      <c r="R552" s="9" t="str">
        <f t="array" ref="R552">XLOOKUP(I552,customers_clean!$A$2:$A$701,customers_clean!$Q$2:$Q$701)</f>
        <v>❌ INVALID</v>
      </c>
      <c r="S552" s="10" t="s">
        <v>58</v>
      </c>
      <c r="T552" s="2" t="s">
        <v>223</v>
      </c>
      <c r="U552" s="2" t="s">
        <v>43</v>
      </c>
      <c r="V552" s="2" t="s">
        <v>1146</v>
      </c>
      <c r="W552" s="9" t="str">
        <f t="array" ref="W552">IF(ISNA(XLOOKUP(V552,products_master_corrected!$A$2:$A$151,products_master_corrected!$A$2:$A$151, NA())),
    "❌ MISSING SKU", "✅")</f>
        <v>✅</v>
      </c>
      <c r="X552" s="2" t="s">
        <v>1147</v>
      </c>
      <c r="Y552" s="2" t="s">
        <v>248</v>
      </c>
      <c r="Z552" s="10" t="s">
        <v>248</v>
      </c>
      <c r="AA552" s="27">
        <v>1.0</v>
      </c>
      <c r="AB552" s="9" t="s">
        <v>8649</v>
      </c>
      <c r="AC552" s="28">
        <f t="array" ref="AC552">XLOOKUP(V552,products_master_corrected!$A$2:$A$151,products_master_corrected!$E$2:$E$151)</f>
        <v>152.4</v>
      </c>
      <c r="AD552" s="28">
        <f t="shared" si="64"/>
        <v>152.4</v>
      </c>
      <c r="AE552" s="28">
        <f t="array" ref="AE552">XLOOKUP(V552,products_master_corrected!$A$2:$A$151,products_master_corrected!$G$2:$G$151)</f>
        <v>174.47</v>
      </c>
      <c r="AF552" s="29">
        <f t="shared" si="65"/>
        <v>174.47</v>
      </c>
      <c r="AG552" s="32" t="s">
        <v>8663</v>
      </c>
      <c r="AH552" s="2" t="s">
        <v>49</v>
      </c>
      <c r="AI552" s="10" t="s">
        <v>49</v>
      </c>
      <c r="AJ552" s="2" t="s">
        <v>3588</v>
      </c>
      <c r="AK552" s="10" t="s">
        <v>818</v>
      </c>
    </row>
    <row r="553" ht="15.75" customHeight="1">
      <c r="A553" s="2" t="s">
        <v>284</v>
      </c>
      <c r="B553" s="12">
        <v>45704.0</v>
      </c>
      <c r="C553" s="2" t="str">
        <f>IFERROR(__xludf.DUMMYFUNCTION("IF(ISNUMBER(B553),TEXT(B553,""yyyy-MM-dd""),REGEXREPLACE(REGEXREPLACE(TO_TEXT(B553),""[^0-9a-zA-Z]+"",""-""),""[^0-9]*$"",""""))"),"2025-02-16")</f>
        <v>2025-02-16</v>
      </c>
      <c r="D553" s="2" t="s">
        <v>8872</v>
      </c>
      <c r="H553" s="10" t="s">
        <v>8872</v>
      </c>
      <c r="I553" s="2" t="s">
        <v>286</v>
      </c>
      <c r="J553" s="26" t="str">
        <f t="array" ref="J553">IF(ISNA(XLOOKUP(I553,customers_clean!$A$2:$A$701,customers_clean!$A$2:$A$701, NA()) ),
   "❌ MISSING CUSTOMER", "✅")</f>
        <v>✅</v>
      </c>
      <c r="K553" s="2" t="str">
        <f t="array" ref="K553">XLOOKUP(I553,customers_clean!$A$2:$A$701,customers_clean!$C$2:$C$701)</f>
        <v>Carlos Lopez</v>
      </c>
      <c r="L553" s="10" t="str">
        <f t="array" ref="L553">XLOOKUP(I553,customers_clean!$A$2:$A$701,customers_clean!$D$2:$D$701)</f>
        <v>Carlos Lopez</v>
      </c>
      <c r="M553" s="2" t="str">
        <f t="array" ref="M553">XLOOKUP(I553,customers_clean!$A$2:$A$701,customers_clean!$I$2:$I$701)</f>
        <v>carlos.lopez@shop.io</v>
      </c>
      <c r="N553" s="10" t="str">
        <f t="array" ref="N553">XLOOKUP(I553,customers_clean!$A$2:$A$701,customers_clean!$H$2:$H$701)</f>
        <v>carlos.lopez@shop.io</v>
      </c>
      <c r="O553" s="9" t="str">
        <f>IFERROR(__xludf.DUMMYFUNCTION("IF(REGEXMATCH(TRIM(N553),""^[A-Za-z0-9._%+-]+@[A-Za-z0-9.-]+\.[A-Za-z]{2,}$""),""✅ Valid"",""❌ Invalid"")"),"✅ Valid")</f>
        <v>✅ Valid</v>
      </c>
      <c r="P553" s="33" t="str">
        <f t="array" ref="P553">XLOOKUP(I553,customers_clean!$A$2:$A$701,customers_clean!$K$2:$K$701)</f>
        <v>N/A</v>
      </c>
      <c r="Q553" s="10" t="str">
        <f t="array" ref="Q553">XLOOKUP(I553,customers_clean!$A$2:$A$701,customers_clean!$N$2:$N$701)</f>
        <v/>
      </c>
      <c r="R553" s="9" t="str">
        <f t="array" ref="R553">XLOOKUP(I553,customers_clean!$A$2:$A$701,customers_clean!$Q$2:$Q$701)</f>
        <v>❌ INVALID</v>
      </c>
      <c r="S553" s="10" t="s">
        <v>114</v>
      </c>
      <c r="T553" s="2" t="s">
        <v>115</v>
      </c>
      <c r="U553" s="2" t="s">
        <v>289</v>
      </c>
      <c r="V553" s="2" t="s">
        <v>290</v>
      </c>
      <c r="W553" s="9" t="str">
        <f t="array" ref="W553">IF(ISNA(XLOOKUP(V553,products_master_corrected!$A$2:$A$151,products_master_corrected!$A$2:$A$151, NA())),
    "❌ MISSING SKU", "✅")</f>
        <v>✅</v>
      </c>
      <c r="X553" s="2" t="s">
        <v>291</v>
      </c>
      <c r="Y553" s="2" t="s">
        <v>292</v>
      </c>
      <c r="Z553" s="10" t="s">
        <v>63</v>
      </c>
      <c r="AA553" s="27">
        <v>3.0</v>
      </c>
      <c r="AB553" s="9" t="s">
        <v>8649</v>
      </c>
      <c r="AC553" s="28">
        <f t="array" ref="AC553">XLOOKUP(V553,products_master_corrected!$A$2:$A$151,products_master_corrected!$E$2:$E$151)</f>
        <v>118.56</v>
      </c>
      <c r="AD553" s="28">
        <f t="shared" si="64"/>
        <v>355.68</v>
      </c>
      <c r="AE553" s="28">
        <f t="array" ref="AE553">XLOOKUP(V553,products_master_corrected!$A$2:$A$151,products_master_corrected!$F$2:$F$151)</f>
        <v>118.56</v>
      </c>
      <c r="AF553" s="29">
        <f t="shared" si="65"/>
        <v>355.68</v>
      </c>
      <c r="AG553" s="30" t="s">
        <v>65</v>
      </c>
      <c r="AH553" s="2" t="s">
        <v>49</v>
      </c>
      <c r="AI553" s="10" t="s">
        <v>49</v>
      </c>
      <c r="AJ553" s="2" t="s">
        <v>294</v>
      </c>
      <c r="AK553" s="10" t="s">
        <v>80</v>
      </c>
    </row>
    <row r="554" ht="15.75" customHeight="1">
      <c r="A554" s="2" t="s">
        <v>4345</v>
      </c>
      <c r="B554" s="12">
        <v>45002.0</v>
      </c>
      <c r="C554" s="2" t="str">
        <f>IFERROR(__xludf.DUMMYFUNCTION("IF(ISNUMBER(B554),TEXT(B554,""yyyy-MM-dd""),REGEXREPLACE(REGEXREPLACE(TO_TEXT(B554),""[^0-9a-zA-Z]+"",""-""),""[^0-9]*$"",""""))"),"2023-03-17")</f>
        <v>2023-03-17</v>
      </c>
      <c r="D554" s="2" t="s">
        <v>8242</v>
      </c>
      <c r="H554" s="10" t="s">
        <v>8242</v>
      </c>
      <c r="I554" s="2" t="s">
        <v>286</v>
      </c>
      <c r="J554" s="26" t="str">
        <f t="array" ref="J554">IF(ISNA(XLOOKUP(I554,customers_clean!$A$2:$A$701,customers_clean!$A$2:$A$701, NA()) ),
   "❌ MISSING CUSTOMER", "✅")</f>
        <v>✅</v>
      </c>
      <c r="K554" s="2" t="str">
        <f t="array" ref="K554">XLOOKUP(I554,customers_clean!$A$2:$A$701,customers_clean!$C$2:$C$701)</f>
        <v>Carlos Lopez</v>
      </c>
      <c r="L554" s="10" t="str">
        <f t="array" ref="L554">XLOOKUP(I554,customers_clean!$A$2:$A$701,customers_clean!$D$2:$D$701)</f>
        <v>Carlos Lopez</v>
      </c>
      <c r="M554" s="2" t="str">
        <f t="array" ref="M554">XLOOKUP(I554,customers_clean!$A$2:$A$701,customers_clean!$I$2:$I$701)</f>
        <v>carlos.lopez@shop.io</v>
      </c>
      <c r="N554" s="10" t="str">
        <f t="array" ref="N554">XLOOKUP(I554,customers_clean!$A$2:$A$701,customers_clean!$H$2:$H$701)</f>
        <v>carlos.lopez@shop.io</v>
      </c>
      <c r="O554" s="9" t="str">
        <f>IFERROR(__xludf.DUMMYFUNCTION("IF(REGEXMATCH(TRIM(N554),""^[A-Za-z0-9._%+-]+@[A-Za-z0-9.-]+\.[A-Za-z]{2,}$""),""✅ Valid"",""❌ Invalid"")"),"✅ Valid")</f>
        <v>✅ Valid</v>
      </c>
      <c r="P554" s="33" t="str">
        <f t="array" ref="P554">XLOOKUP(I554,customers_clean!$A$2:$A$701,customers_clean!$K$2:$K$701)</f>
        <v>N/A</v>
      </c>
      <c r="Q554" s="10" t="str">
        <f t="array" ref="Q554">XLOOKUP(I554,customers_clean!$A$2:$A$701,customers_clean!$N$2:$N$701)</f>
        <v/>
      </c>
      <c r="R554" s="9" t="str">
        <f t="array" ref="R554">XLOOKUP(I554,customers_clean!$A$2:$A$701,customers_clean!$Q$2:$Q$701)</f>
        <v>❌ INVALID</v>
      </c>
      <c r="S554" s="10" t="s">
        <v>114</v>
      </c>
      <c r="T554" s="2" t="s">
        <v>42</v>
      </c>
      <c r="U554" s="2" t="s">
        <v>333</v>
      </c>
      <c r="V554" s="2" t="s">
        <v>871</v>
      </c>
      <c r="W554" s="9" t="str">
        <f t="array" ref="W554">IF(ISNA(XLOOKUP(V554,products_master_corrected!$A$2:$A$151,products_master_corrected!$A$2:$A$151, NA())),
    "❌ MISSING SKU", "✅")</f>
        <v>✅</v>
      </c>
      <c r="X554" s="2" t="s">
        <v>29</v>
      </c>
      <c r="Y554" s="2" t="s">
        <v>292</v>
      </c>
      <c r="Z554" s="10" t="s">
        <v>63</v>
      </c>
      <c r="AA554" s="27">
        <v>2.0</v>
      </c>
      <c r="AB554" s="9" t="s">
        <v>8649</v>
      </c>
      <c r="AC554" s="28">
        <f t="array" ref="AC554">XLOOKUP(V554,products_master_corrected!$A$2:$A$151,products_master_corrected!$E$2:$E$151)</f>
        <v>178.58</v>
      </c>
      <c r="AD554" s="28">
        <f t="shared" si="64"/>
        <v>357.16</v>
      </c>
      <c r="AE554" s="28">
        <f t="array" ref="AE554">XLOOKUP(V554,products_master_corrected!$A$2:$A$151,products_master_corrected!$F$2:$F$151)</f>
        <v>178.58</v>
      </c>
      <c r="AF554" s="29">
        <f t="shared" si="65"/>
        <v>357.16</v>
      </c>
      <c r="AG554" s="30" t="s">
        <v>65</v>
      </c>
      <c r="AH554" s="2" t="s">
        <v>370</v>
      </c>
      <c r="AI554" s="10" t="s">
        <v>143</v>
      </c>
      <c r="AJ554" s="2" t="s">
        <v>4348</v>
      </c>
      <c r="AK554" s="10" t="s">
        <v>192</v>
      </c>
    </row>
    <row r="555" ht="15.75" customHeight="1">
      <c r="A555" s="2" t="s">
        <v>695</v>
      </c>
      <c r="B555" s="12">
        <v>45650.0</v>
      </c>
      <c r="C555" s="2" t="str">
        <f>IFERROR(__xludf.DUMMYFUNCTION("IF(ISNUMBER(B555),TEXT(B555,""yyyy-MM-dd""),REGEXREPLACE(REGEXREPLACE(TO_TEXT(B555),""[^0-9a-zA-Z]+"",""-""),""[^0-9]*$"",""""))"),"2024-12-24")</f>
        <v>2024-12-24</v>
      </c>
      <c r="D555" s="2" t="s">
        <v>5116</v>
      </c>
      <c r="H555" s="10" t="s">
        <v>5116</v>
      </c>
      <c r="I555" s="2" t="s">
        <v>286</v>
      </c>
      <c r="J555" s="26" t="str">
        <f t="array" ref="J555">IF(ISNA(XLOOKUP(I555,customers_clean!$A$2:$A$701,customers_clean!$A$2:$A$701, NA()) ),
   "❌ MISSING CUSTOMER", "✅")</f>
        <v>✅</v>
      </c>
      <c r="K555" s="2" t="str">
        <f t="array" ref="K555">XLOOKUP(I555,customers_clean!$A$2:$A$701,customers_clean!$C$2:$C$701)</f>
        <v>Carlos Lopez</v>
      </c>
      <c r="L555" s="10" t="str">
        <f t="array" ref="L555">XLOOKUP(I555,customers_clean!$A$2:$A$701,customers_clean!$D$2:$D$701)</f>
        <v>Carlos Lopez</v>
      </c>
      <c r="M555" s="2" t="str">
        <f t="array" ref="M555">XLOOKUP(I555,customers_clean!$A$2:$A$701,customers_clean!$I$2:$I$701)</f>
        <v>carlos.lopez@shop.io</v>
      </c>
      <c r="N555" s="10" t="str">
        <f t="array" ref="N555">XLOOKUP(I555,customers_clean!$A$2:$A$701,customers_clean!$H$2:$H$701)</f>
        <v>carlos.lopez@shop.io</v>
      </c>
      <c r="O555" s="9" t="str">
        <f>IFERROR(__xludf.DUMMYFUNCTION("IF(REGEXMATCH(TRIM(N555),""^[A-Za-z0-9._%+-]+@[A-Za-z0-9.-]+\.[A-Za-z]{2,}$""),""✅ Valid"",""❌ Invalid"")"),"✅ Valid")</f>
        <v>✅ Valid</v>
      </c>
      <c r="P555" s="33" t="str">
        <f t="array" ref="P555">XLOOKUP(I555,customers_clean!$A$2:$A$701,customers_clean!$K$2:$K$701)</f>
        <v>N/A</v>
      </c>
      <c r="Q555" s="10" t="str">
        <f t="array" ref="Q555">XLOOKUP(I555,customers_clean!$A$2:$A$701,customers_clean!$N$2:$N$701)</f>
        <v/>
      </c>
      <c r="R555" s="9" t="str">
        <f t="array" ref="R555">XLOOKUP(I555,customers_clean!$A$2:$A$701,customers_clean!$Q$2:$Q$701)</f>
        <v>❌ INVALID</v>
      </c>
      <c r="S555" s="10" t="s">
        <v>114</v>
      </c>
      <c r="T555" s="2" t="s">
        <v>301</v>
      </c>
      <c r="U555" s="2" t="s">
        <v>312</v>
      </c>
      <c r="V555" s="2" t="s">
        <v>235</v>
      </c>
      <c r="W555" s="9" t="str">
        <f t="array" ref="W555">IF(ISNA(XLOOKUP(V555,products_master_corrected!$A$2:$A$151,products_master_corrected!$A$2:$A$151, NA())),
    "❌ MISSING SKU", "✅")</f>
        <v>✅</v>
      </c>
      <c r="X555" s="2" t="s">
        <v>768</v>
      </c>
      <c r="Y555" s="2" t="s">
        <v>30</v>
      </c>
      <c r="Z555" s="10" t="s">
        <v>179</v>
      </c>
      <c r="AA555" s="27">
        <v>2.0</v>
      </c>
      <c r="AB555" s="9" t="s">
        <v>8649</v>
      </c>
      <c r="AC555" s="28">
        <f t="array" ref="AC555">XLOOKUP(V555,products_master_corrected!$A$2:$A$151,products_master_corrected!$E$2:$E$151)</f>
        <v>10.17</v>
      </c>
      <c r="AD555" s="28">
        <f t="shared" si="64"/>
        <v>20.34</v>
      </c>
      <c r="AE555" s="28">
        <f t="array" ref="AE555">XLOOKUP(V555,products_master_corrected!$A$2:$A$151,products_master_corrected!$F$2:$F$151)</f>
        <v>10.17</v>
      </c>
      <c r="AF555" s="29">
        <f t="shared" si="65"/>
        <v>20.34</v>
      </c>
      <c r="AG555" s="30" t="s">
        <v>65</v>
      </c>
      <c r="AH555" s="2" t="s">
        <v>583</v>
      </c>
      <c r="AI555" s="10" t="s">
        <v>181</v>
      </c>
      <c r="AJ555" s="2" t="s">
        <v>80</v>
      </c>
      <c r="AK555" s="10" t="s">
        <v>80</v>
      </c>
    </row>
    <row r="556" ht="15.75" customHeight="1">
      <c r="A556" s="2" t="s">
        <v>5226</v>
      </c>
      <c r="B556" s="12">
        <v>45250.0</v>
      </c>
      <c r="C556" s="2" t="str">
        <f>IFERROR(__xludf.DUMMYFUNCTION("IF(ISNUMBER(B556),TEXT(B556,""yyyy-MM-dd""),REGEXREPLACE(REGEXREPLACE(TO_TEXT(B556),""[^0-9a-zA-Z]+"",""-""),""[^0-9]*$"",""""))"),"2023-11-20")</f>
        <v>2023-11-20</v>
      </c>
      <c r="D556" s="2" t="s">
        <v>2087</v>
      </c>
      <c r="H556" s="10" t="s">
        <v>2087</v>
      </c>
      <c r="I556" s="2" t="s">
        <v>286</v>
      </c>
      <c r="J556" s="26" t="str">
        <f t="array" ref="J556">IF(ISNA(XLOOKUP(I556,customers_clean!$A$2:$A$701,customers_clean!$A$2:$A$701, NA()) ),
   "❌ MISSING CUSTOMER", "✅")</f>
        <v>✅</v>
      </c>
      <c r="K556" s="2" t="str">
        <f t="array" ref="K556">XLOOKUP(I556,customers_clean!$A$2:$A$701,customers_clean!$C$2:$C$701)</f>
        <v>Carlos Lopez</v>
      </c>
      <c r="L556" s="10" t="str">
        <f t="array" ref="L556">XLOOKUP(I556,customers_clean!$A$2:$A$701,customers_clean!$D$2:$D$701)</f>
        <v>Carlos Lopez</v>
      </c>
      <c r="M556" s="2" t="str">
        <f t="array" ref="M556">XLOOKUP(I556,customers_clean!$A$2:$A$701,customers_clean!$I$2:$I$701)</f>
        <v>carlos.lopez@shop.io</v>
      </c>
      <c r="N556" s="10" t="str">
        <f t="array" ref="N556">XLOOKUP(I556,customers_clean!$A$2:$A$701,customers_clean!$H$2:$H$701)</f>
        <v>carlos.lopez@shop.io</v>
      </c>
      <c r="O556" s="9" t="str">
        <f>IFERROR(__xludf.DUMMYFUNCTION("IF(REGEXMATCH(TRIM(N556),""^[A-Za-z0-9._%+-]+@[A-Za-z0-9.-]+\.[A-Za-z]{2,}$""),""✅ Valid"",""❌ Invalid"")"),"✅ Valid")</f>
        <v>✅ Valid</v>
      </c>
      <c r="P556" s="33" t="str">
        <f t="array" ref="P556">XLOOKUP(I556,customers_clean!$A$2:$A$701,customers_clean!$K$2:$K$701)</f>
        <v>N/A</v>
      </c>
      <c r="Q556" s="10" t="str">
        <f t="array" ref="Q556">XLOOKUP(I556,customers_clean!$A$2:$A$701,customers_clean!$N$2:$N$701)</f>
        <v/>
      </c>
      <c r="R556" s="9" t="str">
        <f t="array" ref="R556">XLOOKUP(I556,customers_clean!$A$2:$A$701,customers_clean!$Q$2:$Q$701)</f>
        <v>❌ INVALID</v>
      </c>
      <c r="S556" s="10" t="s">
        <v>114</v>
      </c>
      <c r="T556" s="2" t="s">
        <v>301</v>
      </c>
      <c r="U556" s="2" t="s">
        <v>352</v>
      </c>
      <c r="V556" s="2" t="s">
        <v>269</v>
      </c>
      <c r="W556" s="9" t="str">
        <f t="array" ref="W556">IF(ISNA(XLOOKUP(V556,products_master_corrected!$A$2:$A$151,products_master_corrected!$A$2:$A$151, NA())),
    "❌ MISSING SKU", "✅")</f>
        <v>✅</v>
      </c>
      <c r="X556" s="2" t="s">
        <v>524</v>
      </c>
      <c r="Y556" s="2" t="s">
        <v>271</v>
      </c>
      <c r="Z556" s="10" t="s">
        <v>368</v>
      </c>
      <c r="AA556" s="27">
        <v>2.0</v>
      </c>
      <c r="AB556" s="9" t="s">
        <v>8649</v>
      </c>
      <c r="AC556" s="28">
        <f t="array" ref="AC556">XLOOKUP(V556,products_master_corrected!$A$2:$A$151,products_master_corrected!$E$2:$E$151)</f>
        <v>219.29</v>
      </c>
      <c r="AD556" s="28">
        <f t="shared" si="64"/>
        <v>438.58</v>
      </c>
      <c r="AE556" s="28">
        <f t="array" ref="AE556">XLOOKUP(V556,products_master_corrected!$A$2:$A$151,products_master_corrected!$F$2:$F$151)</f>
        <v>219.29</v>
      </c>
      <c r="AF556" s="29">
        <f t="shared" si="65"/>
        <v>438.58</v>
      </c>
      <c r="AG556" s="30" t="s">
        <v>65</v>
      </c>
      <c r="AH556" s="2" t="s">
        <v>49</v>
      </c>
      <c r="AI556" s="10" t="s">
        <v>49</v>
      </c>
      <c r="AJ556" s="2" t="s">
        <v>192</v>
      </c>
      <c r="AK556" s="10" t="s">
        <v>192</v>
      </c>
    </row>
    <row r="557" ht="15.75" customHeight="1">
      <c r="A557" s="2" t="s">
        <v>3182</v>
      </c>
      <c r="B557" s="12">
        <v>45720.29027777778</v>
      </c>
      <c r="C557" s="2" t="str">
        <f>IFERROR(__xludf.DUMMYFUNCTION("IF(ISNUMBER(B557),TEXT(B557,""yyyy-MM-dd""),REGEXREPLACE(REGEXREPLACE(TO_TEXT(B557),""[^0-9a-zA-Z]+"",""-""),""[^0-9]*$"",""""))"),"2025-03-04")</f>
        <v>2025-03-04</v>
      </c>
      <c r="D557" s="2" t="s">
        <v>8747</v>
      </c>
      <c r="H557" s="10" t="s">
        <v>8747</v>
      </c>
      <c r="I557" s="2" t="s">
        <v>286</v>
      </c>
      <c r="J557" s="26" t="str">
        <f t="array" ref="J557">IF(ISNA(XLOOKUP(I557,customers_clean!$A$2:$A$701,customers_clean!$A$2:$A$701, NA()) ),
   "❌ MISSING CUSTOMER", "✅")</f>
        <v>✅</v>
      </c>
      <c r="K557" s="2" t="str">
        <f t="array" ref="K557">XLOOKUP(I557,customers_clean!$A$2:$A$701,customers_clean!$C$2:$C$701)</f>
        <v>Carlos Lopez</v>
      </c>
      <c r="L557" s="10" t="str">
        <f t="array" ref="L557">XLOOKUP(I557,customers_clean!$A$2:$A$701,customers_clean!$D$2:$D$701)</f>
        <v>Carlos Lopez</v>
      </c>
      <c r="M557" s="2" t="str">
        <f t="array" ref="M557">XLOOKUP(I557,customers_clean!$A$2:$A$701,customers_clean!$I$2:$I$701)</f>
        <v>carlos.lopez@shop.io</v>
      </c>
      <c r="N557" s="10" t="str">
        <f t="array" ref="N557">XLOOKUP(I557,customers_clean!$A$2:$A$701,customers_clean!$H$2:$H$701)</f>
        <v>carlos.lopez@shop.io</v>
      </c>
      <c r="O557" s="9" t="str">
        <f>IFERROR(__xludf.DUMMYFUNCTION("IF(REGEXMATCH(TRIM(N557),""^[A-Za-z0-9._%+-]+@[A-Za-z0-9.-]+\.[A-Za-z]{2,}$""),""✅ Valid"",""❌ Invalid"")"),"✅ Valid")</f>
        <v>✅ Valid</v>
      </c>
      <c r="P557" s="33" t="str">
        <f t="array" ref="P557">XLOOKUP(I557,customers_clean!$A$2:$A$701,customers_clean!$K$2:$K$701)</f>
        <v>N/A</v>
      </c>
      <c r="Q557" s="10" t="str">
        <f t="array" ref="Q557">XLOOKUP(I557,customers_clean!$A$2:$A$701,customers_clean!$N$2:$N$701)</f>
        <v/>
      </c>
      <c r="R557" s="9" t="str">
        <f t="array" ref="R557">XLOOKUP(I557,customers_clean!$A$2:$A$701,customers_clean!$Q$2:$Q$701)</f>
        <v>❌ INVALID</v>
      </c>
      <c r="S557" s="10" t="s">
        <v>114</v>
      </c>
      <c r="T557" s="2" t="s">
        <v>802</v>
      </c>
      <c r="U557" s="2" t="s">
        <v>312</v>
      </c>
      <c r="V557" s="2" t="s">
        <v>224</v>
      </c>
      <c r="W557" s="9" t="str">
        <f t="array" ref="W557">IF(ISNA(XLOOKUP(V557,products_master_corrected!$A$2:$A$151,products_master_corrected!$A$2:$A$151, NA())),
    "❌ MISSING SKU", "✅")</f>
        <v>✅</v>
      </c>
      <c r="X557" s="2" t="s">
        <v>225</v>
      </c>
      <c r="Y557" s="2" t="s">
        <v>214</v>
      </c>
      <c r="Z557" s="10" t="s">
        <v>368</v>
      </c>
      <c r="AA557" s="27">
        <v>1.0</v>
      </c>
      <c r="AB557" s="9" t="s">
        <v>8649</v>
      </c>
      <c r="AC557" s="28">
        <f t="array" ref="AC557">XLOOKUP(V557,products_master_corrected!$A$2:$A$151,products_master_corrected!$E$2:$E$151)</f>
        <v>19.28</v>
      </c>
      <c r="AD557" s="28">
        <f t="shared" si="64"/>
        <v>19.28</v>
      </c>
      <c r="AE557" s="28">
        <f t="array" ref="AE557">XLOOKUP(V557,products_master_corrected!$A$2:$A$151,products_master_corrected!$F$2:$F$151)</f>
        <v>19.28</v>
      </c>
      <c r="AF557" s="29">
        <f t="shared" si="65"/>
        <v>19.28</v>
      </c>
      <c r="AG557" s="30" t="s">
        <v>65</v>
      </c>
      <c r="AH557" s="2" t="s">
        <v>3185</v>
      </c>
      <c r="AI557" s="10" t="s">
        <v>49</v>
      </c>
      <c r="AJ557" s="2" t="s">
        <v>2512</v>
      </c>
      <c r="AK557" s="10" t="s">
        <v>80</v>
      </c>
    </row>
    <row r="558" ht="15.75" customHeight="1">
      <c r="A558" s="2" t="s">
        <v>3576</v>
      </c>
      <c r="B558" s="12">
        <v>45626.0</v>
      </c>
      <c r="C558" s="2" t="str">
        <f>IFERROR(__xludf.DUMMYFUNCTION("IF(ISNUMBER(B558),TEXT(B558,""yyyy-MM-dd""),REGEXREPLACE(REGEXREPLACE(TO_TEXT(B558),""[^0-9a-zA-Z]+"",""-""),""[^0-9]*$"",""""))"),"2024-11-30")</f>
        <v>2024-11-30</v>
      </c>
      <c r="D558" s="2" t="s">
        <v>8670</v>
      </c>
      <c r="H558" s="10" t="s">
        <v>8670</v>
      </c>
      <c r="I558" s="2" t="s">
        <v>3578</v>
      </c>
      <c r="J558" s="26" t="str">
        <f t="array" ref="J558">IF(ISNA(XLOOKUP(I558,customers_clean!$A$2:$A$701,customers_clean!$A$2:$A$701, NA()) ),
   "❌ MISSING CUSTOMER", "✅")</f>
        <v>✅</v>
      </c>
      <c r="K558" s="2" t="str">
        <f t="array" ref="K558">XLOOKUP(I558,customers_clean!$A$2:$A$701,customers_clean!$C$2:$C$701)</f>
        <v>Bella Williams</v>
      </c>
      <c r="L558" s="10" t="str">
        <f t="array" ref="L558">XLOOKUP(I558,customers_clean!$A$2:$A$701,customers_clean!$D$2:$D$701)</f>
        <v>Bella Williams</v>
      </c>
      <c r="M558" s="2" t="str">
        <f t="array" ref="M558">XLOOKUP(I558,customers_clean!$A$2:$A$701,customers_clean!$I$2:$I$701)</f>
        <v> bella.wililams@gmail.com</v>
      </c>
      <c r="N558" s="10" t="str">
        <f t="array" ref="N558">XLOOKUP(I558,customers_clean!$A$2:$A$701,customers_clean!$H$2:$H$701)</f>
        <v>bella.wililams@gmail.com</v>
      </c>
      <c r="O558" s="9" t="str">
        <f>IFERROR(__xludf.DUMMYFUNCTION("IF(REGEXMATCH(TRIM(N558),""^[A-Za-z0-9._%+-]+@[A-Za-z0-9.-]+\.[A-Za-z]{2,}$""),""✅ Valid"",""❌ Invalid"")"),"✅ Valid")</f>
        <v>✅ Valid</v>
      </c>
      <c r="P558" s="33" t="str">
        <f t="array" ref="P558">XLOOKUP(I558,customers_clean!$A$2:$A$701,customers_clean!$K$2:$K$701)</f>
        <v>2058144939</v>
      </c>
      <c r="Q558" s="10" t="str">
        <f t="array" ref="Q558">XLOOKUP(I558,customers_clean!$A$2:$A$701,customers_clean!$N$2:$N$701)</f>
        <v>2058144939</v>
      </c>
      <c r="R558" s="9" t="str">
        <f t="array" ref="R558">XLOOKUP(I558,customers_clean!$A$2:$A$701,customers_clean!$Q$2:$Q$701)</f>
        <v>❌ INVALID</v>
      </c>
      <c r="S558" s="10" t="s">
        <v>25</v>
      </c>
      <c r="T558" s="2" t="s">
        <v>400</v>
      </c>
      <c r="U558" s="2" t="s">
        <v>116</v>
      </c>
      <c r="V558" s="2" t="s">
        <v>3582</v>
      </c>
      <c r="W558" s="9" t="str">
        <f t="array" ref="W558">IF(ISNA(XLOOKUP(V558,products_master_corrected!$A$2:$A$151,products_master_corrected!$A$2:$A$151, NA())),
    "❌ MISSING SKU", "✅")</f>
        <v>✅</v>
      </c>
      <c r="X558" s="2" t="s">
        <v>741</v>
      </c>
      <c r="Y558" s="2" t="s">
        <v>248</v>
      </c>
      <c r="Z558" s="10" t="s">
        <v>248</v>
      </c>
      <c r="AA558" s="27">
        <v>1.0</v>
      </c>
      <c r="AB558" s="9" t="s">
        <v>8649</v>
      </c>
      <c r="AC558" s="28">
        <f t="array" ref="AC558">XLOOKUP(V558,products_master_corrected!$A$2:$A$151,products_master_corrected!$E$2:$E$151)</f>
        <v>23.62</v>
      </c>
      <c r="AD558" s="28">
        <f t="shared" si="64"/>
        <v>23.62</v>
      </c>
      <c r="AE558" s="28">
        <f t="array" ref="AE558">XLOOKUP(V558,products_master_corrected!$A$2:$A$151,products_master_corrected!$K$2:$K$151)</f>
        <v>121.52</v>
      </c>
      <c r="AF558" s="29">
        <f t="shared" si="65"/>
        <v>121.52</v>
      </c>
      <c r="AG558" s="30" t="s">
        <v>95</v>
      </c>
      <c r="AH558" s="2" t="s">
        <v>49</v>
      </c>
      <c r="AI558" s="10" t="s">
        <v>49</v>
      </c>
      <c r="AJ558" s="2" t="s">
        <v>452</v>
      </c>
      <c r="AK558" s="10" t="s">
        <v>261</v>
      </c>
      <c r="AL558" s="2" t="s">
        <v>67</v>
      </c>
    </row>
    <row r="559" ht="15.75" customHeight="1">
      <c r="A559" s="2" t="s">
        <v>1671</v>
      </c>
      <c r="B559" s="12">
        <v>45747.0</v>
      </c>
      <c r="C559" s="2" t="str">
        <f>IFERROR(__xludf.DUMMYFUNCTION("IF(ISNUMBER(B559),TEXT(B559,""yyyy-MM-dd""),REGEXREPLACE(REGEXREPLACE(TO_TEXT(B559),""[^0-9a-zA-Z]+"",""-""),""[^0-9]*$"",""""))"),"2025-03-31")</f>
        <v>2025-03-31</v>
      </c>
      <c r="D559" s="2" t="s">
        <v>2647</v>
      </c>
      <c r="H559" s="10" t="s">
        <v>2647</v>
      </c>
      <c r="I559" s="2" t="s">
        <v>1673</v>
      </c>
      <c r="J559" s="26" t="str">
        <f t="array" ref="J559">IF(ISNA(XLOOKUP(I559,customers_clean!$A$2:$A$701,customers_clean!$A$2:$A$701, NA()) ),
   "❌ MISSING CUSTOMER", "✅")</f>
        <v>✅</v>
      </c>
      <c r="K559" s="2" t="str">
        <f t="array" ref="K559">XLOOKUP(I559,customers_clean!$A$2:$A$701,customers_clean!$C$2:$C$701)</f>
        <v>ADAM IWLLIAMS</v>
      </c>
      <c r="L559" s="10" t="str">
        <f t="array" ref="L559">XLOOKUP(I559,customers_clean!$A$2:$A$701,customers_clean!$D$2:$D$701)</f>
        <v>Adam Wililams</v>
      </c>
      <c r="M559" s="2" t="str">
        <f t="array" ref="M559">XLOOKUP(I559,customers_clean!$A$2:$A$701,customers_clean!$I$2:$I$701)</f>
        <v>adam.wililams@shop.io</v>
      </c>
      <c r="N559" s="10" t="str">
        <f t="array" ref="N559">XLOOKUP(I559,customers_clean!$A$2:$A$701,customers_clean!$H$2:$H$701)</f>
        <v>adam.wililams@shop.io</v>
      </c>
      <c r="O559" s="9" t="str">
        <f>IFERROR(__xludf.DUMMYFUNCTION("IF(REGEXMATCH(TRIM(N559),""^[A-Za-z0-9._%+-]+@[A-Za-z0-9.-]+\.[A-Za-z]{2,}$""),""✅ Valid"",""❌ Invalid"")"),"✅ Valid")</f>
        <v>✅ Valid</v>
      </c>
      <c r="P559" s="2" t="str">
        <f t="array" ref="P559">XLOOKUP(I559,customers_clean!$A$2:$A$701,customers_clean!$K$2:$K$701)</f>
        <v>+353054155378 ext 580</v>
      </c>
      <c r="Q559" s="10" t="str">
        <f t="array" ref="Q559">XLOOKUP(I559,customers_clean!$A$2:$A$701,customers_clean!$N$2:$N$701)</f>
        <v>054155378</v>
      </c>
      <c r="R559" s="9" t="str">
        <f t="array" ref="R559">XLOOKUP(I559,customers_clean!$A$2:$A$701,customers_clean!$Q$2:$Q$701)</f>
        <v>❌ INVALID</v>
      </c>
      <c r="S559" s="10" t="s">
        <v>608</v>
      </c>
      <c r="T559" s="2" t="s">
        <v>223</v>
      </c>
      <c r="U559" s="2" t="s">
        <v>60</v>
      </c>
      <c r="V559" s="2" t="s">
        <v>1197</v>
      </c>
      <c r="W559" s="9" t="str">
        <f t="array" ref="W559">IF(ISNA(XLOOKUP(V559,products_master_corrected!$A$2:$A$151,products_master_corrected!$A$2:$A$151, NA())),
    "❌ MISSING SKU", "✅")</f>
        <v>✅</v>
      </c>
      <c r="X559" s="2" t="s">
        <v>1138</v>
      </c>
      <c r="Y559" s="2" t="s">
        <v>1199</v>
      </c>
      <c r="Z559" s="10" t="s">
        <v>179</v>
      </c>
      <c r="AA559" s="27">
        <v>5.0</v>
      </c>
      <c r="AB559" s="9" t="s">
        <v>8649</v>
      </c>
      <c r="AC559" s="28">
        <f t="array" ref="AC559">XLOOKUP(V559,products_master_corrected!$A$2:$A$151,products_master_corrected!$E$2:$E$151)</f>
        <v>80.95</v>
      </c>
      <c r="AD559" s="28">
        <f t="shared" si="64"/>
        <v>404.75</v>
      </c>
      <c r="AE559" s="28">
        <f t="array" ref="AE559">XLOOKUP(V559,products_master_corrected!$A$2:$A$151,products_master_corrected!$H$2:$H$151)</f>
        <v>90.95</v>
      </c>
      <c r="AF559" s="29">
        <f t="shared" si="65"/>
        <v>454.75</v>
      </c>
      <c r="AG559" s="32" t="s">
        <v>8658</v>
      </c>
      <c r="AH559" s="2" t="s">
        <v>573</v>
      </c>
      <c r="AI559" s="10" t="s">
        <v>66</v>
      </c>
      <c r="AJ559" s="2" t="s">
        <v>294</v>
      </c>
      <c r="AK559" s="10" t="s">
        <v>80</v>
      </c>
      <c r="AL559" s="2" t="s">
        <v>51</v>
      </c>
    </row>
    <row r="560" ht="15.75" customHeight="1">
      <c r="A560" s="2" t="s">
        <v>5832</v>
      </c>
      <c r="B560" s="12">
        <v>45215.0</v>
      </c>
      <c r="C560" s="2" t="str">
        <f>IFERROR(__xludf.DUMMYFUNCTION("IF(ISNUMBER(B560),TEXT(B560,""yyyy-MM-dd""),REGEXREPLACE(REGEXREPLACE(TO_TEXT(B560),""[^0-9a-zA-Z]+"",""-""),""[^0-9]*$"",""""))"),"2023-10-16")</f>
        <v>2023-10-16</v>
      </c>
      <c r="D560" s="2" t="s">
        <v>8654</v>
      </c>
      <c r="H560" s="10" t="s">
        <v>8654</v>
      </c>
      <c r="I560" s="2" t="s">
        <v>1673</v>
      </c>
      <c r="J560" s="26" t="str">
        <f t="array" ref="J560">IF(ISNA(XLOOKUP(I560,customers_clean!$A$2:$A$701,customers_clean!$A$2:$A$701, NA()) ),
   "❌ MISSING CUSTOMER", "✅")</f>
        <v>✅</v>
      </c>
      <c r="K560" s="2" t="str">
        <f t="array" ref="K560">XLOOKUP(I560,customers_clean!$A$2:$A$701,customers_clean!$C$2:$C$701)</f>
        <v>ADAM IWLLIAMS</v>
      </c>
      <c r="L560" s="10" t="str">
        <f t="array" ref="L560">XLOOKUP(I560,customers_clean!$A$2:$A$701,customers_clean!$D$2:$D$701)</f>
        <v>Adam Wililams</v>
      </c>
      <c r="M560" s="2" t="str">
        <f t="array" ref="M560">XLOOKUP(I560,customers_clean!$A$2:$A$701,customers_clean!$I$2:$I$701)</f>
        <v>adam.wililams@shop.io</v>
      </c>
      <c r="N560" s="10" t="str">
        <f t="array" ref="N560">XLOOKUP(I560,customers_clean!$A$2:$A$701,customers_clean!$H$2:$H$701)</f>
        <v>adam.wililams@shop.io</v>
      </c>
      <c r="O560" s="9" t="str">
        <f>IFERROR(__xludf.DUMMYFUNCTION("IF(REGEXMATCH(TRIM(N560),""^[A-Za-z0-9._%+-]+@[A-Za-z0-9.-]+\.[A-Za-z]{2,}$""),""✅ Valid"",""❌ Invalid"")"),"✅ Valid")</f>
        <v>✅ Valid</v>
      </c>
      <c r="P560" s="2" t="str">
        <f t="array" ref="P560">XLOOKUP(I560,customers_clean!$A$2:$A$701,customers_clean!$K$2:$K$701)</f>
        <v>+353054155378 ext 580</v>
      </c>
      <c r="Q560" s="10" t="str">
        <f t="array" ref="Q560">XLOOKUP(I560,customers_clean!$A$2:$A$701,customers_clean!$N$2:$N$701)</f>
        <v>054155378</v>
      </c>
      <c r="R560" s="9" t="str">
        <f t="array" ref="R560">XLOOKUP(I560,customers_clean!$A$2:$A$701,customers_clean!$Q$2:$Q$701)</f>
        <v>❌ INVALID</v>
      </c>
      <c r="S560" s="10" t="s">
        <v>608</v>
      </c>
      <c r="T560" s="2" t="s">
        <v>223</v>
      </c>
      <c r="U560" s="2" t="s">
        <v>480</v>
      </c>
      <c r="V560" s="2" t="s">
        <v>61</v>
      </c>
      <c r="W560" s="9" t="str">
        <f t="array" ref="W560">IF(ISNA(XLOOKUP(V560,products_master_corrected!$A$2:$A$151,products_master_corrected!$A$2:$A$151, NA())),
    "❌ MISSING SKU", "✅")</f>
        <v>✅</v>
      </c>
      <c r="X560" s="2" t="s">
        <v>62</v>
      </c>
      <c r="Y560" s="2" t="s">
        <v>63</v>
      </c>
      <c r="Z560" s="10" t="s">
        <v>63</v>
      </c>
      <c r="AA560" s="27">
        <v>1.0</v>
      </c>
      <c r="AB560" s="9" t="s">
        <v>8649</v>
      </c>
      <c r="AC560" s="28">
        <f t="array" ref="AC560">XLOOKUP(V560,products_master_corrected!$A$2:$A$151,products_master_corrected!$E$2:$E$151)</f>
        <v>62.81</v>
      </c>
      <c r="AD560" s="28">
        <f t="shared" si="64"/>
        <v>62.81</v>
      </c>
      <c r="AE560" s="28">
        <f t="array" ref="AE560">XLOOKUP(V560,products_master_corrected!$A$2:$A$151,products_master_corrected!$H$2:$H$151)</f>
        <v>70.57</v>
      </c>
      <c r="AF560" s="29">
        <f t="shared" si="65"/>
        <v>70.57</v>
      </c>
      <c r="AG560" s="32" t="s">
        <v>8658</v>
      </c>
      <c r="AH560" s="2" t="s">
        <v>370</v>
      </c>
      <c r="AI560" s="10" t="s">
        <v>143</v>
      </c>
      <c r="AJ560" s="2" t="s">
        <v>306</v>
      </c>
      <c r="AK560" s="10" t="s">
        <v>192</v>
      </c>
      <c r="AL560" s="2" t="s">
        <v>81</v>
      </c>
    </row>
    <row r="561" ht="15.75" customHeight="1">
      <c r="A561" s="2" t="s">
        <v>2814</v>
      </c>
      <c r="B561" s="12">
        <v>44970.84583333333</v>
      </c>
      <c r="C561" s="2" t="str">
        <f>IFERROR(__xludf.DUMMYFUNCTION("IF(ISNUMBER(B561),TEXT(B561,""yyyy-MM-dd""),REGEXREPLACE(REGEXREPLACE(TO_TEXT(B561),""[^0-9a-zA-Z]+"",""-""),""[^0-9]*$"",""""))"),"2023-02-13")</f>
        <v>2023-02-13</v>
      </c>
      <c r="D561" s="2" t="s">
        <v>8731</v>
      </c>
      <c r="H561" s="10" t="s">
        <v>8731</v>
      </c>
      <c r="I561" s="2" t="s">
        <v>496</v>
      </c>
      <c r="J561" s="26" t="str">
        <f t="array" ref="J561">IF(ISNA(XLOOKUP(I561,customers_clean!$A$2:$A$701,customers_clean!$A$2:$A$701, NA()) ),
   "❌ MISSING CUSTOMER", "✅")</f>
        <v>✅</v>
      </c>
      <c r="K561" s="2" t="str">
        <f t="array" ref="K561">XLOOKUP(I561,customers_clean!$A$2:$A$701,customers_clean!$C$2:$C$701)</f>
        <v>Ken Dubois</v>
      </c>
      <c r="L561" s="10" t="str">
        <f t="array" ref="L561">XLOOKUP(I561,customers_clean!$A$2:$A$701,customers_clean!$D$2:$D$701)</f>
        <v>Ken Dubois</v>
      </c>
      <c r="M561" s="2" t="str">
        <f t="array" ref="M561">XLOOKUP(I561,customers_clean!$A$2:$A$701,customers_clean!$I$2:$I$701)</f>
        <v>ken.dubois@shop.io</v>
      </c>
      <c r="N561" s="10" t="str">
        <f t="array" ref="N561">XLOOKUP(I561,customers_clean!$A$2:$A$701,customers_clean!$H$2:$H$701)</f>
        <v>ken.dubois@shop.io</v>
      </c>
      <c r="O561" s="9" t="str">
        <f>IFERROR(__xludf.DUMMYFUNCTION("IF(REGEXMATCH(TRIM(N561),""^[A-Za-z0-9._%+-]+@[A-Za-z0-9.-]+\.[A-Za-z]{2,}$""),""✅ Valid"",""❌ Invalid"")"),"✅ Valid")</f>
        <v>✅ Valid</v>
      </c>
      <c r="P561" s="2" t="str">
        <f t="array" ref="P561">XLOOKUP(I561,customers_clean!$A$2:$A$701,customers_clean!$K$2:$K$701)</f>
        <v>+3961528135</v>
      </c>
      <c r="Q561" s="10" t="str">
        <f t="array" ref="Q561">XLOOKUP(I561,customers_clean!$A$2:$A$701,customers_clean!$N$2:$N$701)</f>
        <v>61528135</v>
      </c>
      <c r="R561" s="9" t="str">
        <f t="array" ref="R561">XLOOKUP(I561,customers_clean!$A$2:$A$701,customers_clean!$Q$2:$Q$701)</f>
        <v>❌ INVALID</v>
      </c>
      <c r="S561" s="10" t="s">
        <v>139</v>
      </c>
      <c r="T561" s="2" t="s">
        <v>26</v>
      </c>
      <c r="U561" s="2" t="s">
        <v>43</v>
      </c>
      <c r="V561" s="2" t="s">
        <v>1211</v>
      </c>
      <c r="W561" s="9" t="str">
        <f t="array" ref="W561">IF(ISNA(XLOOKUP(V561,products_master_corrected!$A$2:$A$151,products_master_corrected!$A$2:$A$151, NA())),
    "❌ MISSING SKU", "✅")</f>
        <v>✅</v>
      </c>
      <c r="X561" s="2" t="s">
        <v>804</v>
      </c>
      <c r="Y561" s="2" t="s">
        <v>63</v>
      </c>
      <c r="Z561" s="10" t="s">
        <v>63</v>
      </c>
      <c r="AA561" s="27">
        <v>3.0</v>
      </c>
      <c r="AB561" s="9" t="s">
        <v>8649</v>
      </c>
      <c r="AC561" s="28">
        <f t="array" ref="AC561">XLOOKUP(V561,products_master_corrected!$A$2:$A$151,products_master_corrected!$E$2:$E$151)</f>
        <v>19.27</v>
      </c>
      <c r="AD561" s="28">
        <f t="shared" si="64"/>
        <v>57.81</v>
      </c>
      <c r="AE561" s="28">
        <f t="array" ref="AE561">XLOOKUP(V561,products_master_corrected!$A$2:$A$151,products_master_corrected!$L$2:$L$151)</f>
        <v>20.84</v>
      </c>
      <c r="AF561" s="29">
        <f t="shared" si="65"/>
        <v>62.52</v>
      </c>
      <c r="AG561" s="32" t="s">
        <v>8665</v>
      </c>
      <c r="AH561" s="2" t="s">
        <v>573</v>
      </c>
      <c r="AI561" s="10" t="s">
        <v>66</v>
      </c>
      <c r="AJ561" s="2" t="s">
        <v>452</v>
      </c>
      <c r="AK561" s="10" t="s">
        <v>261</v>
      </c>
      <c r="AL561" s="2" t="s">
        <v>133</v>
      </c>
    </row>
    <row r="562" ht="15.75" customHeight="1">
      <c r="A562" s="2" t="s">
        <v>494</v>
      </c>
      <c r="B562" s="12" t="s">
        <v>495</v>
      </c>
      <c r="C562" s="2" t="str">
        <f>IFERROR(__xludf.DUMMYFUNCTION("IF(ISNUMBER(B562),TEXT(B562,""yyyy-MM-dd""),REGEXREPLACE(REGEXREPLACE(TO_TEXT(B562),""[^0-9a-zA-Z]+"",""-""),""[^0-9]*$"",""""))"),"28-03-2024-03-00")</f>
        <v>28-03-2024-03-00</v>
      </c>
      <c r="D562" s="2" t="str">
        <f>TEXT(C562,"yyyy-MM-dd")</f>
        <v>28-03-2024-03-00</v>
      </c>
      <c r="E562" s="12" t="str">
        <f>IFERROR(__xludf.DUMMYFUNCTION("REGEXEXTRACT(D562,""^\d{2}-\d{2}-\d{4}"")"),"28-03-2024")</f>
        <v>28-03-2024</v>
      </c>
      <c r="F562" s="2" t="s">
        <v>8873</v>
      </c>
      <c r="H562" s="10" t="s">
        <v>8873</v>
      </c>
      <c r="I562" s="2" t="s">
        <v>496</v>
      </c>
      <c r="J562" s="26" t="str">
        <f t="array" ref="J562">IF(ISNA(XLOOKUP(I562,customers_clean!$A$2:$A$701,customers_clean!$A$2:$A$701, NA()) ),
   "❌ MISSING CUSTOMER", "✅")</f>
        <v>✅</v>
      </c>
      <c r="K562" s="2" t="str">
        <f t="array" ref="K562">XLOOKUP(I562,customers_clean!$A$2:$A$701,customers_clean!$C$2:$C$701)</f>
        <v>Ken Dubois</v>
      </c>
      <c r="L562" s="10" t="str">
        <f t="array" ref="L562">XLOOKUP(I562,customers_clean!$A$2:$A$701,customers_clean!$D$2:$D$701)</f>
        <v>Ken Dubois</v>
      </c>
      <c r="M562" s="2" t="str">
        <f t="array" ref="M562">XLOOKUP(I562,customers_clean!$A$2:$A$701,customers_clean!$I$2:$I$701)</f>
        <v>ken.dubois@shop.io</v>
      </c>
      <c r="N562" s="10" t="str">
        <f t="array" ref="N562">XLOOKUP(I562,customers_clean!$A$2:$A$701,customers_clean!$H$2:$H$701)</f>
        <v>ken.dubois@shop.io</v>
      </c>
      <c r="O562" s="9" t="str">
        <f>IFERROR(__xludf.DUMMYFUNCTION("IF(REGEXMATCH(TRIM(N562),""^[A-Za-z0-9._%+-]+@[A-Za-z0-9.-]+\.[A-Za-z]{2,}$""),""✅ Valid"",""❌ Invalid"")"),"✅ Valid")</f>
        <v>✅ Valid</v>
      </c>
      <c r="P562" s="2" t="str">
        <f t="array" ref="P562">XLOOKUP(I562,customers_clean!$A$2:$A$701,customers_clean!$K$2:$K$701)</f>
        <v>+3961528135</v>
      </c>
      <c r="Q562" s="10" t="str">
        <f t="array" ref="Q562">XLOOKUP(I562,customers_clean!$A$2:$A$701,customers_clean!$N$2:$N$701)</f>
        <v>61528135</v>
      </c>
      <c r="R562" s="9" t="str">
        <f t="array" ref="R562">XLOOKUP(I562,customers_clean!$A$2:$A$701,customers_clean!$Q$2:$Q$701)</f>
        <v>❌ INVALID</v>
      </c>
      <c r="S562" s="10" t="s">
        <v>139</v>
      </c>
      <c r="T562" s="2" t="s">
        <v>26</v>
      </c>
      <c r="U562" s="2" t="s">
        <v>500</v>
      </c>
      <c r="V562" s="2" t="s">
        <v>501</v>
      </c>
      <c r="W562" s="9" t="str">
        <f t="array" ref="W562">IF(ISNA(XLOOKUP(V562,products_master_corrected!$A$2:$A$151,products_master_corrected!$A$2:$A$151, NA())),
    "❌ MISSING SKU", "✅")</f>
        <v>✅</v>
      </c>
      <c r="X562" s="2" t="s">
        <v>502</v>
      </c>
      <c r="Y562" s="2" t="s">
        <v>503</v>
      </c>
      <c r="Z562" s="10" t="str">
        <f>PROPER(TRIM(Y562))</f>
        <v>Monitors</v>
      </c>
      <c r="AA562" s="27">
        <v>1.0</v>
      </c>
      <c r="AB562" s="9" t="s">
        <v>8649</v>
      </c>
      <c r="AC562" s="28">
        <f t="array" ref="AC562">XLOOKUP(V562,products_master_corrected!$A$2:$A$151,products_master_corrected!$E$2:$E$151)</f>
        <v>1071.94</v>
      </c>
      <c r="AD562" s="28">
        <f t="shared" si="64"/>
        <v>1071.94</v>
      </c>
      <c r="AE562" s="28">
        <f t="array" ref="AE562">XLOOKUP(V562,products_master_corrected!$A$2:$A$151,products_master_corrected!$L$2:$L$151)</f>
        <v>1159.3</v>
      </c>
      <c r="AF562" s="29">
        <f t="shared" si="65"/>
        <v>1159.3</v>
      </c>
      <c r="AG562" s="32" t="s">
        <v>8665</v>
      </c>
      <c r="AH562" s="2" t="s">
        <v>505</v>
      </c>
      <c r="AI562" s="10" t="s">
        <v>181</v>
      </c>
      <c r="AJ562" s="2" t="s">
        <v>432</v>
      </c>
      <c r="AK562" s="10" t="s">
        <v>80</v>
      </c>
      <c r="AL562" s="2" t="s">
        <v>51</v>
      </c>
    </row>
    <row r="563" ht="15.75" customHeight="1">
      <c r="A563" s="2" t="s">
        <v>3835</v>
      </c>
      <c r="B563" s="12" t="s">
        <v>3836</v>
      </c>
      <c r="C563" s="2" t="str">
        <f>IFERROR(__xludf.DUMMYFUNCTION("IF(ISNUMBER(B563),TEXT(B563,""yyyy-MM-dd""),REGEXREPLACE(REGEXREPLACE(TO_TEXT(B563),""[^0-9a-zA-Z]+"",""-""),""[^0-9]*$"",""""))"),"02-10-2023")</f>
        <v>02-10-2023</v>
      </c>
      <c r="D563" s="2" t="s">
        <v>3155</v>
      </c>
      <c r="H563" s="10" t="s">
        <v>3155</v>
      </c>
      <c r="I563" s="2" t="s">
        <v>496</v>
      </c>
      <c r="J563" s="26" t="str">
        <f t="array" ref="J563">IF(ISNA(XLOOKUP(I563,customers_clean!$A$2:$A$701,customers_clean!$A$2:$A$701, NA()) ),
   "❌ MISSING CUSTOMER", "✅")</f>
        <v>✅</v>
      </c>
      <c r="K563" s="2" t="str">
        <f t="array" ref="K563">XLOOKUP(I563,customers_clean!$A$2:$A$701,customers_clean!$C$2:$C$701)</f>
        <v>Ken Dubois</v>
      </c>
      <c r="L563" s="10" t="str">
        <f t="array" ref="L563">XLOOKUP(I563,customers_clean!$A$2:$A$701,customers_clean!$D$2:$D$701)</f>
        <v>Ken Dubois</v>
      </c>
      <c r="M563" s="2" t="str">
        <f t="array" ref="M563">XLOOKUP(I563,customers_clean!$A$2:$A$701,customers_clean!$I$2:$I$701)</f>
        <v>ken.dubois@shop.io</v>
      </c>
      <c r="N563" s="10" t="str">
        <f t="array" ref="N563">XLOOKUP(I563,customers_clean!$A$2:$A$701,customers_clean!$H$2:$H$701)</f>
        <v>ken.dubois@shop.io</v>
      </c>
      <c r="O563" s="9" t="str">
        <f>IFERROR(__xludf.DUMMYFUNCTION("IF(REGEXMATCH(TRIM(N563),""^[A-Za-z0-9._%+-]+@[A-Za-z0-9.-]+\.[A-Za-z]{2,}$""),""✅ Valid"",""❌ Invalid"")"),"✅ Valid")</f>
        <v>✅ Valid</v>
      </c>
      <c r="P563" s="2" t="str">
        <f t="array" ref="P563">XLOOKUP(I563,customers_clean!$A$2:$A$701,customers_clean!$K$2:$K$701)</f>
        <v>+3961528135</v>
      </c>
      <c r="Q563" s="10" t="str">
        <f t="array" ref="Q563">XLOOKUP(I563,customers_clean!$A$2:$A$701,customers_clean!$N$2:$N$701)</f>
        <v>61528135</v>
      </c>
      <c r="R563" s="9" t="str">
        <f t="array" ref="R563">XLOOKUP(I563,customers_clean!$A$2:$A$701,customers_clean!$Q$2:$Q$701)</f>
        <v>❌ INVALID</v>
      </c>
      <c r="S563" s="10" t="s">
        <v>139</v>
      </c>
      <c r="T563" s="2" t="s">
        <v>3837</v>
      </c>
      <c r="U563" s="2" t="s">
        <v>43</v>
      </c>
      <c r="V563" s="2" t="s">
        <v>325</v>
      </c>
      <c r="W563" s="9" t="str">
        <f t="array" ref="W563">IF(ISNA(XLOOKUP(V563,products_master_corrected!$A$2:$A$151,products_master_corrected!$A$2:$A$151, NA())),
    "❌ MISSING SKU", "✅")</f>
        <v>✅</v>
      </c>
      <c r="X563" s="2" t="s">
        <v>280</v>
      </c>
      <c r="Y563" s="2" t="s">
        <v>315</v>
      </c>
      <c r="Z563" s="10" t="s">
        <v>179</v>
      </c>
      <c r="AA563" s="27">
        <v>2.0</v>
      </c>
      <c r="AB563" s="9" t="s">
        <v>8649</v>
      </c>
      <c r="AC563" s="28">
        <f t="array" ref="AC563">XLOOKUP(V563,products_master_corrected!$A$2:$A$151,products_master_corrected!$E$2:$E$151)</f>
        <v>145.23</v>
      </c>
      <c r="AD563" s="28">
        <f t="shared" si="64"/>
        <v>290.46</v>
      </c>
      <c r="AE563" s="28">
        <f t="array" ref="AE563">XLOOKUP(V563,products_master_corrected!$A$2:$A$151,products_master_corrected!$L$2:$L$151)</f>
        <v>157.07</v>
      </c>
      <c r="AF563" s="29">
        <f t="shared" si="65"/>
        <v>314.14</v>
      </c>
      <c r="AG563" s="32" t="s">
        <v>8665</v>
      </c>
      <c r="AH563" s="2" t="s">
        <v>49</v>
      </c>
      <c r="AI563" s="10" t="s">
        <v>49</v>
      </c>
      <c r="AJ563" s="2" t="s">
        <v>306</v>
      </c>
      <c r="AK563" s="10" t="s">
        <v>192</v>
      </c>
      <c r="AL563" s="2" t="s">
        <v>67</v>
      </c>
    </row>
    <row r="564" ht="15.75" customHeight="1">
      <c r="A564" s="2" t="s">
        <v>4789</v>
      </c>
      <c r="B564" s="12">
        <v>45868.0</v>
      </c>
      <c r="C564" s="2" t="str">
        <f>IFERROR(__xludf.DUMMYFUNCTION("IF(ISNUMBER(B564),TEXT(B564,""yyyy-MM-dd""),REGEXREPLACE(REGEXREPLACE(TO_TEXT(B564),""[^0-9a-zA-Z]+"",""-""),""[^0-9]*$"",""""))"),"2025-07-30")</f>
        <v>2025-07-30</v>
      </c>
      <c r="D564" s="2" t="s">
        <v>7999</v>
      </c>
      <c r="H564" s="10" t="s">
        <v>7999</v>
      </c>
      <c r="I564" s="2" t="s">
        <v>496</v>
      </c>
      <c r="J564" s="26" t="str">
        <f t="array" ref="J564">IF(ISNA(XLOOKUP(I564,customers_clean!$A$2:$A$701,customers_clean!$A$2:$A$701, NA()) ),
   "❌ MISSING CUSTOMER", "✅")</f>
        <v>✅</v>
      </c>
      <c r="K564" s="2" t="str">
        <f t="array" ref="K564">XLOOKUP(I564,customers_clean!$A$2:$A$701,customers_clean!$C$2:$C$701)</f>
        <v>Ken Dubois</v>
      </c>
      <c r="L564" s="10" t="str">
        <f t="array" ref="L564">XLOOKUP(I564,customers_clean!$A$2:$A$701,customers_clean!$D$2:$D$701)</f>
        <v>Ken Dubois</v>
      </c>
      <c r="M564" s="2" t="str">
        <f t="array" ref="M564">XLOOKUP(I564,customers_clean!$A$2:$A$701,customers_clean!$I$2:$I$701)</f>
        <v>ken.dubois@shop.io</v>
      </c>
      <c r="N564" s="10" t="str">
        <f t="array" ref="N564">XLOOKUP(I564,customers_clean!$A$2:$A$701,customers_clean!$H$2:$H$701)</f>
        <v>ken.dubois@shop.io</v>
      </c>
      <c r="O564" s="9" t="str">
        <f>IFERROR(__xludf.DUMMYFUNCTION("IF(REGEXMATCH(TRIM(N564),""^[A-Za-z0-9._%+-]+@[A-Za-z0-9.-]+\.[A-Za-z]{2,}$""),""✅ Valid"",""❌ Invalid"")"),"✅ Valid")</f>
        <v>✅ Valid</v>
      </c>
      <c r="P564" s="2" t="str">
        <f t="array" ref="P564">XLOOKUP(I564,customers_clean!$A$2:$A$701,customers_clean!$K$2:$K$701)</f>
        <v>+3961528135</v>
      </c>
      <c r="Q564" s="10" t="str">
        <f t="array" ref="Q564">XLOOKUP(I564,customers_clean!$A$2:$A$701,customers_clean!$N$2:$N$701)</f>
        <v>61528135</v>
      </c>
      <c r="R564" s="9" t="str">
        <f t="array" ref="R564">XLOOKUP(I564,customers_clean!$A$2:$A$701,customers_clean!$Q$2:$Q$701)</f>
        <v>❌ INVALID</v>
      </c>
      <c r="S564" s="10" t="s">
        <v>139</v>
      </c>
      <c r="T564" s="2" t="s">
        <v>74</v>
      </c>
      <c r="U564" s="2" t="s">
        <v>4791</v>
      </c>
      <c r="V564" s="2" t="s">
        <v>2321</v>
      </c>
      <c r="W564" s="9" t="str">
        <f t="array" ref="W564">IF(ISNA(XLOOKUP(V564,products_master_corrected!$A$2:$A$151,products_master_corrected!$A$2:$A$151, NA())),
    "❌ MISSING SKU", "✅")</f>
        <v>✅</v>
      </c>
      <c r="X564" s="2" t="s">
        <v>2322</v>
      </c>
      <c r="Y564" s="2" t="s">
        <v>368</v>
      </c>
      <c r="Z564" s="10" t="s">
        <v>368</v>
      </c>
      <c r="AA564" s="27">
        <v>2.0</v>
      </c>
      <c r="AB564" s="9" t="s">
        <v>8649</v>
      </c>
      <c r="AC564" s="28">
        <f t="array" ref="AC564">XLOOKUP(V564,products_master_corrected!$A$2:$A$151,products_master_corrected!$E$2:$E$151)</f>
        <v>23.95</v>
      </c>
      <c r="AD564" s="28">
        <f t="shared" si="64"/>
        <v>47.9</v>
      </c>
      <c r="AE564" s="28">
        <f t="array" ref="AE564">XLOOKUP(V564,products_master_corrected!$A$2:$A$151,products_master_corrected!$L$2:$L$151)</f>
        <v>25.9</v>
      </c>
      <c r="AF564" s="29">
        <f t="shared" si="65"/>
        <v>51.8</v>
      </c>
      <c r="AG564" s="32" t="s">
        <v>8665</v>
      </c>
      <c r="AH564" s="2" t="s">
        <v>96</v>
      </c>
      <c r="AI564" s="10" t="s">
        <v>143</v>
      </c>
      <c r="AJ564" s="2" t="s">
        <v>432</v>
      </c>
      <c r="AK564" s="10" t="s">
        <v>80</v>
      </c>
    </row>
    <row r="565" ht="15.75" customHeight="1">
      <c r="A565" s="2" t="s">
        <v>3058</v>
      </c>
      <c r="B565" s="12">
        <v>45509.0</v>
      </c>
      <c r="C565" s="2" t="str">
        <f>IFERROR(__xludf.DUMMYFUNCTION("IF(ISNUMBER(B565),TEXT(B565,""yyyy-MM-dd""),REGEXREPLACE(REGEXREPLACE(TO_TEXT(B565),""[^0-9a-zA-Z]+"",""-""),""[^0-9]*$"",""""))"),"2024-08-05")</f>
        <v>2024-08-05</v>
      </c>
      <c r="D565" s="2" t="s">
        <v>8874</v>
      </c>
      <c r="H565" s="10" t="s">
        <v>8874</v>
      </c>
      <c r="I565" s="2" t="s">
        <v>3060</v>
      </c>
      <c r="J565" s="26" t="str">
        <f t="array" ref="J565">IF(ISNA(XLOOKUP(I565,customers_clean!$A$2:$A$701,customers_clean!$A$2:$A$701, NA()) ),
   "❌ MISSING CUSTOMER", "✅")</f>
        <v>✅</v>
      </c>
      <c r="K565" s="2" t="str">
        <f t="array" ref="K565">XLOOKUP(I565,customers_clean!$A$2:$A$701,customers_clean!$C$2:$C$701)</f>
        <v> Hanna Johnson</v>
      </c>
      <c r="L565" s="10" t="str">
        <f t="array" ref="L565">XLOOKUP(I565,customers_clean!$A$2:$A$701,customers_clean!$D$2:$D$701)</f>
        <v>Hanna Johnson</v>
      </c>
      <c r="M565" s="2" t="str">
        <f t="array" ref="M565">XLOOKUP(I565,customers_clean!$A$2:$A$701,customers_clean!$I$2:$I$701)</f>
        <v/>
      </c>
      <c r="N565" s="10" t="str">
        <f t="array" ref="N565">XLOOKUP(I565,customers_clean!$A$2:$A$701,customers_clean!$H$2:$H$701)</f>
        <v/>
      </c>
      <c r="O565" s="9" t="str">
        <f>IFERROR(__xludf.DUMMYFUNCTION("IF(REGEXMATCH(TRIM(N565),""^[A-Za-z0-9._%+-]+@[A-Za-z0-9.-]+\.[A-Za-z]{2,}$""),""✅ Valid"",""❌ Invalid"")"),"❌ Invalid")</f>
        <v>❌ Invalid</v>
      </c>
      <c r="P565" s="2" t="str">
        <f t="array" ref="P565">XLOOKUP(I565,customers_clean!$A$2:$A$701,customers_clean!$K$2:$K$701)</f>
        <v>+1-566-455-1513 </v>
      </c>
      <c r="Q565" s="10" t="str">
        <f t="array" ref="Q565">XLOOKUP(I565,customers_clean!$A$2:$A$701,customers_clean!$N$2:$N$701)</f>
        <v/>
      </c>
      <c r="R565" s="9" t="str">
        <f t="array" ref="R565">XLOOKUP(I565,customers_clean!$A$2:$A$701,customers_clean!$Q$2:$Q$701)</f>
        <v/>
      </c>
      <c r="S565" s="31" t="s">
        <v>671</v>
      </c>
      <c r="T565" s="2" t="s">
        <v>802</v>
      </c>
      <c r="U565" s="2" t="s">
        <v>289</v>
      </c>
      <c r="V565" s="2" t="s">
        <v>140</v>
      </c>
      <c r="W565" s="9" t="str">
        <f t="array" ref="W565">IF(ISNA(XLOOKUP(V565,products_master_corrected!$A$2:$A$151,products_master_corrected!$A$2:$A$151, NA())),
    "❌ MISSING SKU", "✅")</f>
        <v>✅</v>
      </c>
      <c r="X565" s="2" t="s">
        <v>741</v>
      </c>
      <c r="Y565" s="2" t="s">
        <v>63</v>
      </c>
      <c r="Z565" s="10" t="s">
        <v>63</v>
      </c>
      <c r="AA565" s="27">
        <v>1.0</v>
      </c>
      <c r="AB565" s="9" t="s">
        <v>8649</v>
      </c>
      <c r="AC565" s="28">
        <f t="array" ref="AC565">XLOOKUP(V565,products_master_corrected!$A$2:$A$151,products_master_corrected!$E$2:$E$151)</f>
        <v>30.67</v>
      </c>
      <c r="AD565" s="28">
        <f t="shared" si="64"/>
        <v>30.67</v>
      </c>
      <c r="AE565" s="28">
        <f t="array" ref="AE565">XLOOKUP(V565,products_master_corrected!$A$2:$A$151,products_master_corrected!$J$2:$J$151)</f>
        <v>35.77</v>
      </c>
      <c r="AF565" s="29">
        <f t="shared" si="65"/>
        <v>35.77</v>
      </c>
      <c r="AG565" s="32" t="s">
        <v>8656</v>
      </c>
      <c r="AH565" s="2" t="s">
        <v>573</v>
      </c>
      <c r="AI565" s="10" t="s">
        <v>66</v>
      </c>
      <c r="AJ565" s="2" t="s">
        <v>169</v>
      </c>
      <c r="AK565" s="10" t="s">
        <v>261</v>
      </c>
    </row>
    <row r="566" ht="15.75" customHeight="1">
      <c r="A566" s="2" t="s">
        <v>4603</v>
      </c>
      <c r="B566" s="12" t="s">
        <v>4604</v>
      </c>
      <c r="C566" s="2" t="str">
        <f>IFERROR(__xludf.DUMMYFUNCTION("IF(ISNUMBER(B566),TEXT(B566,""yyyy-MM-dd""),REGEXREPLACE(REGEXREPLACE(TO_TEXT(B566),""[^0-9a-zA-Z]+"",""-""),""[^0-9]*$"",""""))"),"12-31-2024")</f>
        <v>12-31-2024</v>
      </c>
      <c r="D566" s="2" t="str">
        <f>TEXT(C566,"yyyy-MM-dd")</f>
        <v>12-31-2024</v>
      </c>
      <c r="E566" s="2" t="s">
        <v>7984</v>
      </c>
      <c r="H566" s="10" t="s">
        <v>7984</v>
      </c>
      <c r="I566" s="2" t="s">
        <v>3060</v>
      </c>
      <c r="J566" s="26" t="str">
        <f t="array" ref="J566">IF(ISNA(XLOOKUP(I566,customers_clean!$A$2:$A$701,customers_clean!$A$2:$A$701, NA()) ),
   "❌ MISSING CUSTOMER", "✅")</f>
        <v>✅</v>
      </c>
      <c r="K566" s="2" t="str">
        <f t="array" ref="K566">XLOOKUP(I566,customers_clean!$A$2:$A$701,customers_clean!$C$2:$C$701)</f>
        <v> Hanna Johnson</v>
      </c>
      <c r="L566" s="10" t="str">
        <f t="array" ref="L566">XLOOKUP(I566,customers_clean!$A$2:$A$701,customers_clean!$D$2:$D$701)</f>
        <v>Hanna Johnson</v>
      </c>
      <c r="M566" s="2" t="str">
        <f t="array" ref="M566">XLOOKUP(I566,customers_clean!$A$2:$A$701,customers_clean!$I$2:$I$701)</f>
        <v/>
      </c>
      <c r="N566" s="10" t="str">
        <f t="array" ref="N566">XLOOKUP(I566,customers_clean!$A$2:$A$701,customers_clean!$H$2:$H$701)</f>
        <v/>
      </c>
      <c r="O566" s="9" t="str">
        <f>IFERROR(__xludf.DUMMYFUNCTION("IF(REGEXMATCH(TRIM(N566),""^[A-Za-z0-9._%+-]+@[A-Za-z0-9.-]+\.[A-Za-z]{2,}$""),""✅ Valid"",""❌ Invalid"")"),"❌ Invalid")</f>
        <v>❌ Invalid</v>
      </c>
      <c r="P566" s="2" t="str">
        <f t="array" ref="P566">XLOOKUP(I566,customers_clean!$A$2:$A$701,customers_clean!$K$2:$K$701)</f>
        <v>+1-566-455-1513 </v>
      </c>
      <c r="Q566" s="10" t="str">
        <f t="array" ref="Q566">XLOOKUP(I566,customers_clean!$A$2:$A$701,customers_clean!$N$2:$N$701)</f>
        <v/>
      </c>
      <c r="R566" s="9" t="str">
        <f t="array" ref="R566">XLOOKUP(I566,customers_clean!$A$2:$A$701,customers_clean!$Q$2:$Q$701)</f>
        <v/>
      </c>
      <c r="S566" s="31" t="s">
        <v>671</v>
      </c>
      <c r="T566" s="2" t="s">
        <v>4605</v>
      </c>
      <c r="U566" s="2" t="s">
        <v>401</v>
      </c>
      <c r="V566" s="2" t="s">
        <v>177</v>
      </c>
      <c r="W566" s="9" t="str">
        <f t="array" ref="W566">IF(ISNA(XLOOKUP(V566,products_master_corrected!$A$2:$A$151,products_master_corrected!$A$2:$A$151, NA())),
    "❌ MISSING SKU", "✅")</f>
        <v>✅</v>
      </c>
      <c r="X566" s="2" t="s">
        <v>8680</v>
      </c>
      <c r="Y566" s="2" t="s">
        <v>179</v>
      </c>
      <c r="Z566" s="10" t="s">
        <v>179</v>
      </c>
      <c r="AA566" s="27">
        <v>1.0</v>
      </c>
      <c r="AB566" s="9" t="s">
        <v>8649</v>
      </c>
      <c r="AC566" s="28">
        <f t="array" ref="AC566">XLOOKUP(V566,products_master_corrected!$A$2:$A$151,products_master_corrected!$E$2:$E$151)</f>
        <v>272.72</v>
      </c>
      <c r="AD566" s="28">
        <f t="shared" si="64"/>
        <v>272.72</v>
      </c>
      <c r="AE566" s="28">
        <f t="array" ref="AE566">XLOOKUP(V566,products_master_corrected!$A$2:$A$151,products_master_corrected!$J$2:$J$151)</f>
        <v>318.07</v>
      </c>
      <c r="AF566" s="29">
        <f t="shared" si="65"/>
        <v>318.07</v>
      </c>
      <c r="AG566" s="32" t="s">
        <v>8656</v>
      </c>
      <c r="AH566" s="2" t="s">
        <v>96</v>
      </c>
      <c r="AI566" s="10" t="s">
        <v>143</v>
      </c>
      <c r="AJ566" s="2" t="s">
        <v>144</v>
      </c>
      <c r="AK566" s="10" t="s">
        <v>818</v>
      </c>
      <c r="AL566" s="2" t="s">
        <v>81</v>
      </c>
    </row>
    <row r="567" ht="15.75" customHeight="1">
      <c r="A567" s="2" t="s">
        <v>5936</v>
      </c>
      <c r="B567" s="12">
        <v>45591.0</v>
      </c>
      <c r="C567" s="2" t="str">
        <f>IFERROR(__xludf.DUMMYFUNCTION("IF(ISNUMBER(B567),TEXT(B567,""yyyy-MM-dd""),REGEXREPLACE(REGEXREPLACE(TO_TEXT(B567),""[^0-9a-zA-Z]+"",""-""),""[^0-9]*$"",""""))"),"2024-10-26")</f>
        <v>2024-10-26</v>
      </c>
      <c r="D567" s="2" t="s">
        <v>8875</v>
      </c>
      <c r="H567" s="10" t="s">
        <v>8875</v>
      </c>
      <c r="I567" s="2" t="s">
        <v>3060</v>
      </c>
      <c r="J567" s="26" t="str">
        <f t="array" ref="J567">IF(ISNA(XLOOKUP(I567,customers_clean!$A$2:$A$701,customers_clean!$A$2:$A$701, NA()) ),
   "❌ MISSING CUSTOMER", "✅")</f>
        <v>✅</v>
      </c>
      <c r="K567" s="2" t="str">
        <f t="array" ref="K567">XLOOKUP(I567,customers_clean!$A$2:$A$701,customers_clean!$C$2:$C$701)</f>
        <v> Hanna Johnson</v>
      </c>
      <c r="L567" s="10" t="str">
        <f t="array" ref="L567">XLOOKUP(I567,customers_clean!$A$2:$A$701,customers_clean!$D$2:$D$701)</f>
        <v>Hanna Johnson</v>
      </c>
      <c r="M567" s="2" t="str">
        <f t="array" ref="M567">XLOOKUP(I567,customers_clean!$A$2:$A$701,customers_clean!$I$2:$I$701)</f>
        <v/>
      </c>
      <c r="N567" s="10" t="str">
        <f t="array" ref="N567">XLOOKUP(I567,customers_clean!$A$2:$A$701,customers_clean!$H$2:$H$701)</f>
        <v/>
      </c>
      <c r="O567" s="9" t="str">
        <f>IFERROR(__xludf.DUMMYFUNCTION("IF(REGEXMATCH(TRIM(N567),""^[A-Za-z0-9._%+-]+@[A-Za-z0-9.-]+\.[A-Za-z]{2,}$""),""✅ Valid"",""❌ Invalid"")"),"❌ Invalid")</f>
        <v>❌ Invalid</v>
      </c>
      <c r="P567" s="2" t="str">
        <f t="array" ref="P567">XLOOKUP(I567,customers_clean!$A$2:$A$701,customers_clean!$K$2:$K$701)</f>
        <v>+1-566-455-1513 </v>
      </c>
      <c r="Q567" s="10" t="str">
        <f t="array" ref="Q567">XLOOKUP(I567,customers_clean!$A$2:$A$701,customers_clean!$N$2:$N$701)</f>
        <v/>
      </c>
      <c r="R567" s="9" t="str">
        <f t="array" ref="R567">XLOOKUP(I567,customers_clean!$A$2:$A$701,customers_clean!$Q$2:$Q$701)</f>
        <v/>
      </c>
      <c r="S567" s="31" t="s">
        <v>671</v>
      </c>
      <c r="T567" s="2" t="s">
        <v>1167</v>
      </c>
      <c r="U567" s="2" t="s">
        <v>103</v>
      </c>
      <c r="V567" s="2" t="s">
        <v>1783</v>
      </c>
      <c r="W567" s="9" t="str">
        <f t="array" ref="W567">IF(ISNA(XLOOKUP(V567,products_master_corrected!$A$2:$A$151,products_master_corrected!$A$2:$A$151, NA())),
    "❌ MISSING SKU", "✅")</f>
        <v>✅</v>
      </c>
      <c r="X567" s="2" t="s">
        <v>966</v>
      </c>
      <c r="Y567" s="2" t="s">
        <v>514</v>
      </c>
      <c r="Z567" s="10" t="s">
        <v>514</v>
      </c>
      <c r="AA567" s="27">
        <v>2.0</v>
      </c>
      <c r="AB567" s="9" t="s">
        <v>8649</v>
      </c>
      <c r="AC567" s="28">
        <f t="array" ref="AC567">XLOOKUP(V567,products_master_corrected!$A$2:$A$151,products_master_corrected!$E$2:$E$151)</f>
        <v>23.25</v>
      </c>
      <c r="AD567" s="28">
        <f t="shared" si="64"/>
        <v>46.5</v>
      </c>
      <c r="AE567" s="28">
        <f t="array" ref="AE567">XLOOKUP(V567,products_master_corrected!$A$2:$A$151,products_master_corrected!$J$2:$J$151)</f>
        <v>27.12</v>
      </c>
      <c r="AF567" s="29">
        <f t="shared" si="65"/>
        <v>54.24</v>
      </c>
      <c r="AG567" s="32" t="s">
        <v>8656</v>
      </c>
      <c r="AH567" s="2" t="s">
        <v>204</v>
      </c>
      <c r="AI567" s="10" t="s">
        <v>143</v>
      </c>
      <c r="AJ567" s="2" t="s">
        <v>169</v>
      </c>
      <c r="AK567" s="10" t="s">
        <v>261</v>
      </c>
      <c r="AL567" s="2" t="s">
        <v>51</v>
      </c>
    </row>
    <row r="568" ht="15.75" customHeight="1">
      <c r="A568" s="2" t="s">
        <v>3693</v>
      </c>
      <c r="B568" s="12">
        <v>45633.615277777775</v>
      </c>
      <c r="C568" s="2" t="str">
        <f>IFERROR(__xludf.DUMMYFUNCTION("IF(ISNUMBER(B568),TEXT(B568,""yyyy-MM-dd""),REGEXREPLACE(REGEXREPLACE(TO_TEXT(B568),""[^0-9a-zA-Z]+"",""-""),""[^0-9]*$"",""""))"),"2024-12-07")</f>
        <v>2024-12-07</v>
      </c>
      <c r="D568" s="2" t="s">
        <v>2910</v>
      </c>
      <c r="H568" s="10" t="s">
        <v>2910</v>
      </c>
      <c r="I568" s="2" t="s">
        <v>3060</v>
      </c>
      <c r="J568" s="26" t="str">
        <f t="array" ref="J568">IF(ISNA(XLOOKUP(I568,customers_clean!$A$2:$A$701,customers_clean!$A$2:$A$701, NA()) ),
   "❌ MISSING CUSTOMER", "✅")</f>
        <v>✅</v>
      </c>
      <c r="K568" s="2" t="str">
        <f t="array" ref="K568">XLOOKUP(I568,customers_clean!$A$2:$A$701,customers_clean!$C$2:$C$701)</f>
        <v> Hanna Johnson</v>
      </c>
      <c r="L568" s="10" t="str">
        <f t="array" ref="L568">XLOOKUP(I568,customers_clean!$A$2:$A$701,customers_clean!$D$2:$D$701)</f>
        <v>Hanna Johnson</v>
      </c>
      <c r="M568" s="2" t="str">
        <f t="array" ref="M568">XLOOKUP(I568,customers_clean!$A$2:$A$701,customers_clean!$I$2:$I$701)</f>
        <v/>
      </c>
      <c r="N568" s="10" t="str">
        <f t="array" ref="N568">XLOOKUP(I568,customers_clean!$A$2:$A$701,customers_clean!$H$2:$H$701)</f>
        <v/>
      </c>
      <c r="O568" s="9" t="str">
        <f>IFERROR(__xludf.DUMMYFUNCTION("IF(REGEXMATCH(TRIM(N568),""^[A-Za-z0-9._%+-]+@[A-Za-z0-9.-]+\.[A-Za-z]{2,}$""),""✅ Valid"",""❌ Invalid"")"),"❌ Invalid")</f>
        <v>❌ Invalid</v>
      </c>
      <c r="P568" s="2" t="str">
        <f t="array" ref="P568">XLOOKUP(I568,customers_clean!$A$2:$A$701,customers_clean!$K$2:$K$701)</f>
        <v>+1-566-455-1513 </v>
      </c>
      <c r="Q568" s="10" t="str">
        <f t="array" ref="Q568">XLOOKUP(I568,customers_clean!$A$2:$A$701,customers_clean!$N$2:$N$701)</f>
        <v/>
      </c>
      <c r="R568" s="9" t="str">
        <f t="array" ref="R568">XLOOKUP(I568,customers_clean!$A$2:$A$701,customers_clean!$Q$2:$Q$701)</f>
        <v/>
      </c>
      <c r="S568" s="31" t="s">
        <v>671</v>
      </c>
      <c r="T568" s="2" t="s">
        <v>26</v>
      </c>
      <c r="U568" s="2" t="s">
        <v>1046</v>
      </c>
      <c r="V568" s="2" t="s">
        <v>2240</v>
      </c>
      <c r="W568" s="9" t="str">
        <f t="array" ref="W568">IF(ISNA(XLOOKUP(V568,products_master_corrected!$A$2:$A$151,products_master_corrected!$A$2:$A$151, NA())),
    "❌ MISSING SKU", "✅")</f>
        <v>✅</v>
      </c>
      <c r="X568" s="2" t="s">
        <v>403</v>
      </c>
      <c r="Y568" s="2" t="s">
        <v>742</v>
      </c>
      <c r="Z568" s="10" t="s">
        <v>355</v>
      </c>
      <c r="AA568" s="27">
        <v>5.0</v>
      </c>
      <c r="AB568" s="9" t="s">
        <v>8649</v>
      </c>
      <c r="AC568" s="28">
        <f t="array" ref="AC568">XLOOKUP(V568,products_master_corrected!$A$2:$A$151,products_master_corrected!$E$2:$E$151)</f>
        <v>23.6</v>
      </c>
      <c r="AD568" s="28">
        <f t="shared" si="64"/>
        <v>118</v>
      </c>
      <c r="AE568" s="28">
        <f t="array" ref="AE568">XLOOKUP(V568,products_master_corrected!$A$2:$A$151,products_master_corrected!$J$2:$J$151)</f>
        <v>27.52</v>
      </c>
      <c r="AF568" s="29">
        <f t="shared" si="65"/>
        <v>137.6</v>
      </c>
      <c r="AG568" s="32" t="s">
        <v>8656</v>
      </c>
      <c r="AH568" s="2" t="s">
        <v>664</v>
      </c>
      <c r="AI568" s="10" t="s">
        <v>66</v>
      </c>
      <c r="AJ568" s="2" t="s">
        <v>80</v>
      </c>
      <c r="AK568" s="10" t="s">
        <v>80</v>
      </c>
      <c r="AL568" s="2" t="s">
        <v>133</v>
      </c>
    </row>
    <row r="569" ht="15.75" customHeight="1">
      <c r="A569" s="2" t="s">
        <v>3103</v>
      </c>
      <c r="B569" s="12">
        <v>45424.0</v>
      </c>
      <c r="C569" s="2" t="str">
        <f>IFERROR(__xludf.DUMMYFUNCTION("IF(ISNUMBER(B569),TEXT(B569,""yyyy-MM-dd""),REGEXREPLACE(REGEXREPLACE(TO_TEXT(B569),""[^0-9a-zA-Z]+"",""-""),""[^0-9]*$"",""""))"),"2024-05-12")</f>
        <v>2024-05-12</v>
      </c>
      <c r="D569" s="2" t="s">
        <v>3104</v>
      </c>
      <c r="H569" s="10" t="s">
        <v>3104</v>
      </c>
      <c r="I569" s="2" t="s">
        <v>3060</v>
      </c>
      <c r="J569" s="26" t="str">
        <f t="array" ref="J569">IF(ISNA(XLOOKUP(I569,customers_clean!$A$2:$A$701,customers_clean!$A$2:$A$701, NA()) ),
   "❌ MISSING CUSTOMER", "✅")</f>
        <v>✅</v>
      </c>
      <c r="K569" s="2" t="str">
        <f t="array" ref="K569">XLOOKUP(I569,customers_clean!$A$2:$A$701,customers_clean!$C$2:$C$701)</f>
        <v> Hanna Johnson</v>
      </c>
      <c r="L569" s="10" t="str">
        <f t="array" ref="L569">XLOOKUP(I569,customers_clean!$A$2:$A$701,customers_clean!$D$2:$D$701)</f>
        <v>Hanna Johnson</v>
      </c>
      <c r="M569" s="2" t="str">
        <f t="array" ref="M569">XLOOKUP(I569,customers_clean!$A$2:$A$701,customers_clean!$I$2:$I$701)</f>
        <v/>
      </c>
      <c r="N569" s="10" t="str">
        <f t="array" ref="N569">XLOOKUP(I569,customers_clean!$A$2:$A$701,customers_clean!$H$2:$H$701)</f>
        <v/>
      </c>
      <c r="O569" s="9" t="str">
        <f>IFERROR(__xludf.DUMMYFUNCTION("IF(REGEXMATCH(TRIM(N569),""^[A-Za-z0-9._%+-]+@[A-Za-z0-9.-]+\.[A-Za-z]{2,}$""),""✅ Valid"",""❌ Invalid"")"),"❌ Invalid")</f>
        <v>❌ Invalid</v>
      </c>
      <c r="P569" s="2" t="str">
        <f t="array" ref="P569">XLOOKUP(I569,customers_clean!$A$2:$A$701,customers_clean!$K$2:$K$701)</f>
        <v>+1-566-455-1513 </v>
      </c>
      <c r="Q569" s="10" t="str">
        <f t="array" ref="Q569">XLOOKUP(I569,customers_clean!$A$2:$A$701,customers_clean!$N$2:$N$701)</f>
        <v/>
      </c>
      <c r="R569" s="9" t="str">
        <f t="array" ref="R569">XLOOKUP(I569,customers_clean!$A$2:$A$701,customers_clean!$Q$2:$Q$701)</f>
        <v/>
      </c>
      <c r="S569" s="31" t="s">
        <v>671</v>
      </c>
      <c r="T569" s="2" t="s">
        <v>323</v>
      </c>
      <c r="U569" s="2" t="s">
        <v>116</v>
      </c>
      <c r="V569" s="2" t="s">
        <v>2680</v>
      </c>
      <c r="W569" s="9" t="str">
        <f t="array" ref="W569">IF(ISNA(XLOOKUP(V569,products_master_corrected!$A$2:$A$151,products_master_corrected!$A$2:$A$151, NA())),
    "❌ MISSING SKU", "✅")</f>
        <v>✅</v>
      </c>
      <c r="X569" s="2" t="s">
        <v>303</v>
      </c>
      <c r="Y569" s="2" t="s">
        <v>2421</v>
      </c>
      <c r="Z569" s="10" t="s">
        <v>248</v>
      </c>
      <c r="AA569" s="27">
        <v>2.0</v>
      </c>
      <c r="AB569" s="9" t="s">
        <v>8649</v>
      </c>
      <c r="AC569" s="28">
        <f t="array" ref="AC569">XLOOKUP(V569,products_master_corrected!$A$2:$A$151,products_master_corrected!$E$2:$E$151)</f>
        <v>121.47</v>
      </c>
      <c r="AD569" s="28">
        <f t="shared" si="64"/>
        <v>242.94</v>
      </c>
      <c r="AE569" s="28">
        <f t="array" ref="AE569">XLOOKUP(V569,products_master_corrected!$A$2:$A$151,products_master_corrected!$J$2:$J$151)</f>
        <v>141.67</v>
      </c>
      <c r="AF569" s="29">
        <f t="shared" si="65"/>
        <v>283.34</v>
      </c>
      <c r="AG569" s="32" t="s">
        <v>8656</v>
      </c>
      <c r="AH569" s="2" t="s">
        <v>96</v>
      </c>
      <c r="AI569" s="10" t="s">
        <v>143</v>
      </c>
      <c r="AJ569" s="2" t="s">
        <v>80</v>
      </c>
      <c r="AK569" s="10" t="s">
        <v>80</v>
      </c>
      <c r="AL569" s="2" t="s">
        <v>81</v>
      </c>
    </row>
    <row r="570" ht="15.75" customHeight="1">
      <c r="A570" s="2" t="s">
        <v>4438</v>
      </c>
      <c r="B570" s="12">
        <v>44988.24930555555</v>
      </c>
      <c r="C570" s="2" t="str">
        <f>IFERROR(__xludf.DUMMYFUNCTION("IF(ISNUMBER(B570),TEXT(B570,""yyyy-MM-dd""),REGEXREPLACE(REGEXREPLACE(TO_TEXT(B570),""[^0-9a-zA-Z]+"",""-""),""[^0-9]*$"",""""))"),"2023-03-03")</f>
        <v>2023-03-03</v>
      </c>
      <c r="D570" s="2" t="s">
        <v>8876</v>
      </c>
      <c r="H570" s="10" t="s">
        <v>8876</v>
      </c>
      <c r="I570" s="2" t="s">
        <v>2172</v>
      </c>
      <c r="J570" s="26" t="str">
        <f t="array" ref="J570">IF(ISNA(XLOOKUP(I570,customers_clean!$A$2:$A$701,customers_clean!$A$2:$A$701, NA()) ),
   "❌ MISSING CUSTOMER", "✅")</f>
        <v>✅</v>
      </c>
      <c r="K570" s="2" t="str">
        <f t="array" ref="K570">XLOOKUP(I570,customers_clean!$A$2:$A$701,customers_clean!$C$2:$C$701)</f>
        <v>Paula Johnson</v>
      </c>
      <c r="L570" s="10" t="str">
        <f t="array" ref="L570">XLOOKUP(I570,customers_clean!$A$2:$A$701,customers_clean!$D$2:$D$701)</f>
        <v>Paula Johnson</v>
      </c>
      <c r="M570" s="2" t="str">
        <f t="array" ref="M570">XLOOKUP(I570,customers_clean!$A$2:$A$701,customers_clean!$I$2:$I$701)</f>
        <v>PAULA.JOHNSON@EXAMPLE.COM</v>
      </c>
      <c r="N570" s="10" t="str">
        <f t="array" ref="N570">XLOOKUP(I570,customers_clean!$A$2:$A$701,customers_clean!$H$2:$H$701)</f>
        <v>paula.johnson@example.com</v>
      </c>
      <c r="O570" s="9" t="str">
        <f>IFERROR(__xludf.DUMMYFUNCTION("IF(REGEXMATCH(TRIM(N570),""^[A-Za-z0-9._%+-]+@[A-Za-z0-9.-]+\.[A-Za-z]{2,}$""),""✅ Valid"",""❌ Invalid"")"),"✅ Valid")</f>
        <v>✅ Valid</v>
      </c>
      <c r="P570" s="2" t="str">
        <f t="array" ref="P570">XLOOKUP(I570,customers_clean!$A$2:$A$701,customers_clean!$K$2:$K$701)</f>
        <v>+34 347 1650453</v>
      </c>
      <c r="Q570" s="10" t="str">
        <f t="array" ref="Q570">XLOOKUP(I570,customers_clean!$A$2:$A$701,customers_clean!$N$2:$N$701)</f>
        <v>3471650453</v>
      </c>
      <c r="R570" s="9" t="str">
        <f t="array" ref="R570">XLOOKUP(I570,customers_clean!$A$2:$A$701,customers_clean!$Q$2:$Q$701)</f>
        <v>❌ INVALID</v>
      </c>
      <c r="S570" s="10" t="s">
        <v>448</v>
      </c>
      <c r="T570" s="2" t="s">
        <v>1151</v>
      </c>
      <c r="U570" s="2" t="s">
        <v>43</v>
      </c>
      <c r="V570" s="2" t="s">
        <v>1302</v>
      </c>
      <c r="W570" s="9" t="str">
        <f t="array" ref="W570">IF(ISNA(XLOOKUP(V570,products_master_corrected!$A$2:$A$151,products_master_corrected!$A$2:$A$151, NA())),
    "❌ MISSING SKU", "✅")</f>
        <v>✅</v>
      </c>
      <c r="X570" s="2" t="s">
        <v>440</v>
      </c>
      <c r="Y570" s="2" t="s">
        <v>179</v>
      </c>
      <c r="Z570" s="10" t="s">
        <v>179</v>
      </c>
      <c r="AA570" s="27">
        <v>5.0</v>
      </c>
      <c r="AB570" s="9" t="s">
        <v>8649</v>
      </c>
      <c r="AC570" s="28">
        <f t="array" ref="AC570">XLOOKUP(V570,products_master_corrected!$A$2:$A$151,products_master_corrected!$E$2:$E$151)</f>
        <v>28.97</v>
      </c>
      <c r="AD570" s="28">
        <f t="shared" si="64"/>
        <v>144.85</v>
      </c>
      <c r="AE570" s="28">
        <f t="array" ref="AE570">XLOOKUP(V570,products_master_corrected!$A$2:$A$151,products_master_corrected!$M$2:$M$151)</f>
        <v>35.04</v>
      </c>
      <c r="AF570" s="29">
        <f t="shared" si="65"/>
        <v>175.2</v>
      </c>
      <c r="AG570" s="30" t="s">
        <v>48</v>
      </c>
      <c r="AH570" s="2" t="s">
        <v>4441</v>
      </c>
      <c r="AI570" s="10" t="s">
        <v>49</v>
      </c>
      <c r="AJ570" s="2" t="s">
        <v>120</v>
      </c>
      <c r="AK570" s="10" t="s">
        <v>818</v>
      </c>
      <c r="AL570" s="2" t="s">
        <v>51</v>
      </c>
    </row>
    <row r="571" ht="15.75" customHeight="1">
      <c r="A571" s="2" t="s">
        <v>2170</v>
      </c>
      <c r="B571" s="12">
        <v>45445.13333333333</v>
      </c>
      <c r="C571" s="2" t="str">
        <f>IFERROR(__xludf.DUMMYFUNCTION("IF(ISNUMBER(B571),TEXT(B571,""yyyy-MM-dd""),REGEXREPLACE(REGEXREPLACE(TO_TEXT(B571),""[^0-9a-zA-Z]+"",""-""),""[^0-9]*$"",""""))"),"2024-06-02")</f>
        <v>2024-06-02</v>
      </c>
      <c r="D571" s="2" t="s">
        <v>8472</v>
      </c>
      <c r="H571" s="10" t="s">
        <v>8472</v>
      </c>
      <c r="I571" s="2" t="s">
        <v>2172</v>
      </c>
      <c r="J571" s="26" t="str">
        <f t="array" ref="J571">IF(ISNA(XLOOKUP(I571,customers_clean!$A$2:$A$701,customers_clean!$A$2:$A$701, NA()) ),
   "❌ MISSING CUSTOMER", "✅")</f>
        <v>✅</v>
      </c>
      <c r="K571" s="2" t="str">
        <f t="array" ref="K571">XLOOKUP(I571,customers_clean!$A$2:$A$701,customers_clean!$C$2:$C$701)</f>
        <v>Paula Johnson</v>
      </c>
      <c r="L571" s="10" t="str">
        <f t="array" ref="L571">XLOOKUP(I571,customers_clean!$A$2:$A$701,customers_clean!$D$2:$D$701)</f>
        <v>Paula Johnson</v>
      </c>
      <c r="M571" s="2" t="str">
        <f t="array" ref="M571">XLOOKUP(I571,customers_clean!$A$2:$A$701,customers_clean!$I$2:$I$701)</f>
        <v>PAULA.JOHNSON@EXAMPLE.COM</v>
      </c>
      <c r="N571" s="10" t="str">
        <f t="array" ref="N571">XLOOKUP(I571,customers_clean!$A$2:$A$701,customers_clean!$H$2:$H$701)</f>
        <v>paula.johnson@example.com</v>
      </c>
      <c r="O571" s="9" t="str">
        <f>IFERROR(__xludf.DUMMYFUNCTION("IF(REGEXMATCH(TRIM(N571),""^[A-Za-z0-9._%+-]+@[A-Za-z0-9.-]+\.[A-Za-z]{2,}$""),""✅ Valid"",""❌ Invalid"")"),"✅ Valid")</f>
        <v>✅ Valid</v>
      </c>
      <c r="P571" s="2" t="str">
        <f t="array" ref="P571">XLOOKUP(I571,customers_clean!$A$2:$A$701,customers_clean!$K$2:$K$701)</f>
        <v>+34 347 1650453</v>
      </c>
      <c r="Q571" s="10" t="str">
        <f t="array" ref="Q571">XLOOKUP(I571,customers_clean!$A$2:$A$701,customers_clean!$N$2:$N$701)</f>
        <v>3471650453</v>
      </c>
      <c r="R571" s="9" t="str">
        <f t="array" ref="R571">XLOOKUP(I571,customers_clean!$A$2:$A$701,customers_clean!$Q$2:$Q$701)</f>
        <v>❌ INVALID</v>
      </c>
      <c r="S571" s="10" t="s">
        <v>448</v>
      </c>
      <c r="T571" s="2" t="s">
        <v>74</v>
      </c>
      <c r="U571" s="2" t="s">
        <v>43</v>
      </c>
      <c r="V571" s="2" t="s">
        <v>461</v>
      </c>
      <c r="W571" s="9" t="str">
        <f t="array" ref="W571">IF(ISNA(XLOOKUP(V571,products_master_corrected!$A$2:$A$151,products_master_corrected!$A$2:$A$151, NA())),
    "❌ MISSING SKU", "✅")</f>
        <v>✅</v>
      </c>
      <c r="X571" s="2" t="s">
        <v>804</v>
      </c>
      <c r="Y571" s="2" t="s">
        <v>463</v>
      </c>
      <c r="Z571" s="10" t="s">
        <v>514</v>
      </c>
      <c r="AA571" s="27">
        <v>2.0</v>
      </c>
      <c r="AB571" s="9" t="s">
        <v>8649</v>
      </c>
      <c r="AC571" s="28">
        <f t="array" ref="AC571">XLOOKUP(V571,products_master_corrected!$A$2:$A$151,products_master_corrected!$E$2:$E$151)</f>
        <v>17.15</v>
      </c>
      <c r="AD571" s="28">
        <f t="shared" si="64"/>
        <v>34.3</v>
      </c>
      <c r="AE571" s="28">
        <f t="array" ref="AE571">XLOOKUP(V571,products_master_corrected!$A$2:$A$151,products_master_corrected!$M$2:$M$151)</f>
        <v>20.74</v>
      </c>
      <c r="AF571" s="29">
        <f t="shared" si="65"/>
        <v>41.48</v>
      </c>
      <c r="AG571" s="30" t="s">
        <v>48</v>
      </c>
      <c r="AH571" s="2" t="s">
        <v>96</v>
      </c>
      <c r="AI571" s="10" t="s">
        <v>143</v>
      </c>
      <c r="AJ571" s="2" t="s">
        <v>261</v>
      </c>
      <c r="AK571" s="10" t="s">
        <v>261</v>
      </c>
      <c r="AL571" s="2" t="s">
        <v>81</v>
      </c>
    </row>
    <row r="572" ht="15.75" customHeight="1">
      <c r="A572" s="2" t="s">
        <v>5083</v>
      </c>
      <c r="B572" s="12">
        <v>45654.0</v>
      </c>
      <c r="C572" s="2" t="str">
        <f>IFERROR(__xludf.DUMMYFUNCTION("IF(ISNUMBER(B572),TEXT(B572,""yyyy-MM-dd""),REGEXREPLACE(REGEXREPLACE(TO_TEXT(B572),""[^0-9a-zA-Z]+"",""-""),""[^0-9]*$"",""""))"),"2024-12-28")</f>
        <v>2024-12-28</v>
      </c>
      <c r="D572" s="2" t="s">
        <v>8824</v>
      </c>
      <c r="H572" s="10" t="s">
        <v>8824</v>
      </c>
      <c r="I572" s="2" t="s">
        <v>5085</v>
      </c>
      <c r="J572" s="26" t="str">
        <f t="array" ref="J572">IF(ISNA(XLOOKUP(I572,customers_clean!$A$2:$A$701,customers_clean!$A$2:$A$701, NA()) ),
   "❌ MISSING CUSTOMER", "✅")</f>
        <v>✅</v>
      </c>
      <c r="K572" s="2" t="str">
        <f t="array" ref="K572">XLOOKUP(I572,customers_clean!$A$2:$A$701,customers_clean!$C$2:$C$701)</f>
        <v>Nin aMartinez</v>
      </c>
      <c r="L572" s="10" t="str">
        <f t="array" ref="L572">XLOOKUP(I572,customers_clean!$A$2:$A$701,customers_clean!$D$2:$D$701)</f>
        <v>Nina Martinez</v>
      </c>
      <c r="M572" s="2" t="str">
        <f t="array" ref="M572">XLOOKUP(I572,customers_clean!$A$2:$A$701,customers_clean!$I$2:$I$701)</f>
        <v>nina.martinez@shop.io</v>
      </c>
      <c r="N572" s="10" t="str">
        <f t="array" ref="N572">XLOOKUP(I572,customers_clean!$A$2:$A$701,customers_clean!$H$2:$H$701)</f>
        <v>nina.martinez@shop.io</v>
      </c>
      <c r="O572" s="9" t="str">
        <f>IFERROR(__xludf.DUMMYFUNCTION("IF(REGEXMATCH(TRIM(N572),""^[A-Za-z0-9._%+-]+@[A-Za-z0-9.-]+\.[A-Za-z]{2,}$""),""✅ Valid"",""❌ Invalid"")"),"✅ Valid")</f>
        <v>✅ Valid</v>
      </c>
      <c r="P572" s="2" t="str">
        <f t="array" ref="P572">XLOOKUP(I572,customers_clean!$A$2:$A$701,customers_clean!$K$2:$K$701)</f>
        <v>633x70393</v>
      </c>
      <c r="Q572" s="10" t="str">
        <f t="array" ref="Q572">XLOOKUP(I572,customers_clean!$A$2:$A$701,customers_clean!$N$2:$N$701)</f>
        <v>63370393</v>
      </c>
      <c r="R572" s="9" t="str">
        <f t="array" ref="R572">XLOOKUP(I572,customers_clean!$A$2:$A$701,customers_clean!$Q$2:$Q$701)</f>
        <v>❌ INVALID</v>
      </c>
      <c r="S572" s="10" t="s">
        <v>114</v>
      </c>
      <c r="T572" s="2" t="s">
        <v>460</v>
      </c>
      <c r="U572" s="2" t="s">
        <v>401</v>
      </c>
      <c r="V572" s="2" t="s">
        <v>1085</v>
      </c>
      <c r="W572" s="9" t="str">
        <f t="array" ref="W572">IF(ISNA(XLOOKUP(V572,products_master_corrected!$A$2:$A$151,products_master_corrected!$A$2:$A$151, NA())),
    "❌ MISSING SKU", "✅")</f>
        <v>✅</v>
      </c>
      <c r="X572" s="2" t="s">
        <v>29</v>
      </c>
      <c r="Y572" s="2" t="s">
        <v>368</v>
      </c>
      <c r="Z572" s="10" t="s">
        <v>368</v>
      </c>
      <c r="AA572" s="27">
        <v>5.0</v>
      </c>
      <c r="AB572" s="9" t="s">
        <v>8649</v>
      </c>
      <c r="AC572" s="28">
        <f t="array" ref="AC572">XLOOKUP(V572,products_master_corrected!$A$2:$A$151,products_master_corrected!$E$2:$E$151)</f>
        <v>171.42</v>
      </c>
      <c r="AD572" s="28">
        <f t="shared" si="64"/>
        <v>857.1</v>
      </c>
      <c r="AE572" s="28">
        <f t="array" ref="AE572">XLOOKUP(V572,products_master_corrected!$A$2:$A$151,products_master_corrected!$F$2:$F$151)</f>
        <v>171.42</v>
      </c>
      <c r="AF572" s="29">
        <f t="shared" si="65"/>
        <v>857.1</v>
      </c>
      <c r="AG572" s="30" t="s">
        <v>65</v>
      </c>
      <c r="AH572" s="2" t="s">
        <v>204</v>
      </c>
      <c r="AI572" s="10" t="s">
        <v>143</v>
      </c>
      <c r="AJ572" s="2" t="s">
        <v>294</v>
      </c>
      <c r="AK572" s="10" t="s">
        <v>80</v>
      </c>
      <c r="AL572" s="2" t="s">
        <v>67</v>
      </c>
    </row>
    <row r="573" ht="15.75" customHeight="1">
      <c r="A573" s="2" t="s">
        <v>3273</v>
      </c>
      <c r="B573" s="12">
        <v>45164.0</v>
      </c>
      <c r="C573" s="2" t="str">
        <f>IFERROR(__xludf.DUMMYFUNCTION("IF(ISNUMBER(B573),TEXT(B573,""yyyy-MM-dd""),REGEXREPLACE(REGEXREPLACE(TO_TEXT(B573),""[^0-9a-zA-Z]+"",""-""),""[^0-9]*$"",""""))"),"2023-08-26")</f>
        <v>2023-08-26</v>
      </c>
      <c r="D573" s="2" t="s">
        <v>3274</v>
      </c>
      <c r="H573" s="10" t="s">
        <v>3274</v>
      </c>
      <c r="I573" s="2" t="s">
        <v>999</v>
      </c>
      <c r="J573" s="26" t="str">
        <f t="array" ref="J573">IF(ISNA(XLOOKUP(I573,customers_clean!$A$2:$A$701,customers_clean!$A$2:$A$701, NA()) ),
   "❌ MISSING CUSTOMER", "✅")</f>
        <v>✅</v>
      </c>
      <c r="K573" s="2" t="str">
        <f t="array" ref="K573">XLOOKUP(I573,customers_clean!$A$2:$A$701,customers_clean!$C$2:$C$701)</f>
        <v>Igor Garcia</v>
      </c>
      <c r="L573" s="10" t="str">
        <f t="array" ref="L573">XLOOKUP(I573,customers_clean!$A$2:$A$701,customers_clean!$D$2:$D$701)</f>
        <v>Igor Garcia</v>
      </c>
      <c r="M573" s="2" t="str">
        <f t="array" ref="M573">XLOOKUP(I573,customers_clean!$A$2:$A$701,customers_clean!$I$2:$I$701)</f>
        <v> igor.garcia@gmail.com</v>
      </c>
      <c r="N573" s="10" t="str">
        <f t="array" ref="N573">XLOOKUP(I573,customers_clean!$A$2:$A$701,customers_clean!$H$2:$H$701)</f>
        <v>igor.garcia@gmail.com</v>
      </c>
      <c r="O573" s="9" t="str">
        <f>IFERROR(__xludf.DUMMYFUNCTION("IF(REGEXMATCH(TRIM(N573),""^[A-Za-z0-9._%+-]+@[A-Za-z0-9.-]+\.[A-Za-z]{2,}$""),""✅ Valid"",""❌ Invalid"")"),"✅ Valid")</f>
        <v>✅ Valid</v>
      </c>
      <c r="P573" s="2" t="str">
        <f t="array" ref="P573">XLOOKUP(I573,customers_clean!$A$2:$A$701,customers_clean!$K$2:$K$701)</f>
        <v>+39 428-283-965</v>
      </c>
      <c r="Q573" s="10" t="str">
        <f t="array" ref="Q573">XLOOKUP(I573,customers_clean!$A$2:$A$701,customers_clean!$N$2:$N$701)</f>
        <v>428283965</v>
      </c>
      <c r="R573" s="9" t="str">
        <f t="array" ref="R573">XLOOKUP(I573,customers_clean!$A$2:$A$701,customers_clean!$Q$2:$Q$701)</f>
        <v>❌ INVALID</v>
      </c>
      <c r="S573" s="10" t="s">
        <v>608</v>
      </c>
      <c r="T573" s="2" t="s">
        <v>3275</v>
      </c>
      <c r="U573" s="2" t="s">
        <v>43</v>
      </c>
      <c r="V573" s="2" t="s">
        <v>449</v>
      </c>
      <c r="W573" s="9" t="str">
        <f t="array" ref="W573">IF(ISNA(XLOOKUP(V573,products_master_corrected!$A$2:$A$151,products_master_corrected!$A$2:$A$151, NA())),
    "❌ MISSING SKU", "✅")</f>
        <v>✅</v>
      </c>
      <c r="X573" s="2" t="s">
        <v>213</v>
      </c>
      <c r="Y573" s="2" t="s">
        <v>315</v>
      </c>
      <c r="Z573" s="10" t="s">
        <v>179</v>
      </c>
      <c r="AA573" s="27">
        <v>3.0</v>
      </c>
      <c r="AB573" s="9" t="s">
        <v>8649</v>
      </c>
      <c r="AC573" s="28">
        <f t="array" ref="AC573">XLOOKUP(V573,products_master_corrected!$A$2:$A$151,products_master_corrected!$E$2:$E$151)</f>
        <v>1404.25</v>
      </c>
      <c r="AD573" s="28">
        <f t="shared" si="64"/>
        <v>4212.75</v>
      </c>
      <c r="AE573" s="28">
        <f t="array" ref="AE573">XLOOKUP(V573,products_master_corrected!$A$2:$A$151,products_master_corrected!$H$2:$H$151)</f>
        <v>1577.67</v>
      </c>
      <c r="AF573" s="29">
        <f t="shared" si="65"/>
        <v>4733.01</v>
      </c>
      <c r="AG573" s="32" t="s">
        <v>8658</v>
      </c>
      <c r="AH573" s="2" t="s">
        <v>238</v>
      </c>
      <c r="AI573" s="10" t="s">
        <v>66</v>
      </c>
      <c r="AJ573" s="2" t="s">
        <v>432</v>
      </c>
      <c r="AK573" s="10" t="s">
        <v>80</v>
      </c>
      <c r="AL573" s="2" t="s">
        <v>51</v>
      </c>
    </row>
    <row r="574" ht="15.75" customHeight="1">
      <c r="A574" s="2" t="s">
        <v>3055</v>
      </c>
      <c r="B574" s="12" t="s">
        <v>3056</v>
      </c>
      <c r="C574" s="2" t="str">
        <f>IFERROR(__xludf.DUMMYFUNCTION("IF(ISNUMBER(B574),TEXT(B574,""yyyy-MM-dd""),REGEXREPLACE(REGEXREPLACE(TO_TEXT(B574),""[^0-9a-zA-Z]+"",""-""),""[^0-9]*$"",""""))"),"16-11-2023")</f>
        <v>16-11-2023</v>
      </c>
      <c r="D574" s="2" t="s">
        <v>8481</v>
      </c>
      <c r="H574" s="10" t="s">
        <v>8481</v>
      </c>
      <c r="I574" s="2" t="s">
        <v>999</v>
      </c>
      <c r="J574" s="26" t="str">
        <f t="array" ref="J574">IF(ISNA(XLOOKUP(I574,customers_clean!$A$2:$A$701,customers_clean!$A$2:$A$701, NA()) ),
   "❌ MISSING CUSTOMER", "✅")</f>
        <v>✅</v>
      </c>
      <c r="K574" s="2" t="str">
        <f t="array" ref="K574">XLOOKUP(I574,customers_clean!$A$2:$A$701,customers_clean!$C$2:$C$701)</f>
        <v>Igor Garcia</v>
      </c>
      <c r="L574" s="10" t="str">
        <f t="array" ref="L574">XLOOKUP(I574,customers_clean!$A$2:$A$701,customers_clean!$D$2:$D$701)</f>
        <v>Igor Garcia</v>
      </c>
      <c r="M574" s="2" t="str">
        <f t="array" ref="M574">XLOOKUP(I574,customers_clean!$A$2:$A$701,customers_clean!$I$2:$I$701)</f>
        <v> igor.garcia@gmail.com</v>
      </c>
      <c r="N574" s="10" t="str">
        <f t="array" ref="N574">XLOOKUP(I574,customers_clean!$A$2:$A$701,customers_clean!$H$2:$H$701)</f>
        <v>igor.garcia@gmail.com</v>
      </c>
      <c r="O574" s="9" t="str">
        <f>IFERROR(__xludf.DUMMYFUNCTION("IF(REGEXMATCH(TRIM(N574),""^[A-Za-z0-9._%+-]+@[A-Za-z0-9.-]+\.[A-Za-z]{2,}$""),""✅ Valid"",""❌ Invalid"")"),"✅ Valid")</f>
        <v>✅ Valid</v>
      </c>
      <c r="P574" s="2" t="str">
        <f t="array" ref="P574">XLOOKUP(I574,customers_clean!$A$2:$A$701,customers_clean!$K$2:$K$701)</f>
        <v>+39 428-283-965</v>
      </c>
      <c r="Q574" s="10" t="str">
        <f t="array" ref="Q574">XLOOKUP(I574,customers_clean!$A$2:$A$701,customers_clean!$N$2:$N$701)</f>
        <v>428283965</v>
      </c>
      <c r="R574" s="9" t="str">
        <f t="array" ref="R574">XLOOKUP(I574,customers_clean!$A$2:$A$701,customers_clean!$Q$2:$Q$701)</f>
        <v>❌ INVALID</v>
      </c>
      <c r="S574" s="10" t="s">
        <v>608</v>
      </c>
      <c r="T574" s="2" t="s">
        <v>59</v>
      </c>
      <c r="U574" s="2" t="s">
        <v>103</v>
      </c>
      <c r="V574" s="2" t="s">
        <v>1146</v>
      </c>
      <c r="W574" s="9" t="str">
        <f t="array" ref="W574">IF(ISNA(XLOOKUP(V574,products_master_corrected!$A$2:$A$151,products_master_corrected!$A$2:$A$151, NA())),
    "❌ MISSING SKU", "✅")</f>
        <v>✅</v>
      </c>
      <c r="X574" s="2" t="s">
        <v>1147</v>
      </c>
      <c r="Y574" s="2" t="s">
        <v>248</v>
      </c>
      <c r="Z574" s="10" t="s">
        <v>248</v>
      </c>
      <c r="AA574" s="27">
        <v>1.0</v>
      </c>
      <c r="AB574" s="9" t="s">
        <v>8649</v>
      </c>
      <c r="AC574" s="28">
        <f t="array" ref="AC574">XLOOKUP(V574,products_master_corrected!$A$2:$A$151,products_master_corrected!$E$2:$E$151)</f>
        <v>152.4</v>
      </c>
      <c r="AD574" s="28">
        <f t="shared" si="64"/>
        <v>152.4</v>
      </c>
      <c r="AE574" s="28">
        <f t="array" ref="AE574">XLOOKUP(V574,products_master_corrected!$A$2:$A$151,products_master_corrected!$H$2:$H$151)</f>
        <v>171.22</v>
      </c>
      <c r="AF574" s="29">
        <f t="shared" si="65"/>
        <v>171.22</v>
      </c>
      <c r="AG574" s="32" t="s">
        <v>8658</v>
      </c>
      <c r="AH574" s="2" t="s">
        <v>143</v>
      </c>
      <c r="AI574" s="10" t="s">
        <v>143</v>
      </c>
      <c r="AJ574" s="2" t="s">
        <v>294</v>
      </c>
      <c r="AK574" s="10" t="s">
        <v>80</v>
      </c>
      <c r="AL574" s="2" t="s">
        <v>51</v>
      </c>
    </row>
    <row r="575" ht="15.75" customHeight="1">
      <c r="A575" s="2" t="s">
        <v>6128</v>
      </c>
      <c r="B575" s="12">
        <v>45074.0</v>
      </c>
      <c r="C575" s="2" t="str">
        <f>IFERROR(__xludf.DUMMYFUNCTION("IF(ISNUMBER(B575),TEXT(B575,""yyyy-MM-dd""),REGEXREPLACE(REGEXREPLACE(TO_TEXT(B575),""[^0-9a-zA-Z]+"",""-""),""[^0-9]*$"",""""))"),"2023-05-28")</f>
        <v>2023-05-28</v>
      </c>
      <c r="D575" s="2" t="s">
        <v>8256</v>
      </c>
      <c r="H575" s="10" t="s">
        <v>8256</v>
      </c>
      <c r="I575" s="2" t="s">
        <v>999</v>
      </c>
      <c r="J575" s="26" t="str">
        <f t="array" ref="J575">IF(ISNA(XLOOKUP(I575,customers_clean!$A$2:$A$701,customers_clean!$A$2:$A$701, NA()) ),
   "❌ MISSING CUSTOMER", "✅")</f>
        <v>✅</v>
      </c>
      <c r="K575" s="2" t="str">
        <f t="array" ref="K575">XLOOKUP(I575,customers_clean!$A$2:$A$701,customers_clean!$C$2:$C$701)</f>
        <v>Igor Garcia</v>
      </c>
      <c r="L575" s="10" t="str">
        <f t="array" ref="L575">XLOOKUP(I575,customers_clean!$A$2:$A$701,customers_clean!$D$2:$D$701)</f>
        <v>Igor Garcia</v>
      </c>
      <c r="M575" s="2" t="str">
        <f t="array" ref="M575">XLOOKUP(I575,customers_clean!$A$2:$A$701,customers_clean!$I$2:$I$701)</f>
        <v> igor.garcia@gmail.com</v>
      </c>
      <c r="N575" s="10" t="str">
        <f t="array" ref="N575">XLOOKUP(I575,customers_clean!$A$2:$A$701,customers_clean!$H$2:$H$701)</f>
        <v>igor.garcia@gmail.com</v>
      </c>
      <c r="O575" s="9" t="str">
        <f>IFERROR(__xludf.DUMMYFUNCTION("IF(REGEXMATCH(TRIM(N575),""^[A-Za-z0-9._%+-]+@[A-Za-z0-9.-]+\.[A-Za-z]{2,}$""),""✅ Valid"",""❌ Invalid"")"),"✅ Valid")</f>
        <v>✅ Valid</v>
      </c>
      <c r="P575" s="2" t="str">
        <f t="array" ref="P575">XLOOKUP(I575,customers_clean!$A$2:$A$701,customers_clean!$K$2:$K$701)</f>
        <v>+39 428-283-965</v>
      </c>
      <c r="Q575" s="10" t="str">
        <f t="array" ref="Q575">XLOOKUP(I575,customers_clean!$A$2:$A$701,customers_clean!$N$2:$N$701)</f>
        <v>428283965</v>
      </c>
      <c r="R575" s="9" t="str">
        <f t="array" ref="R575">XLOOKUP(I575,customers_clean!$A$2:$A$701,customers_clean!$Q$2:$Q$701)</f>
        <v>❌ INVALID</v>
      </c>
      <c r="S575" s="10" t="s">
        <v>608</v>
      </c>
      <c r="T575" s="2" t="s">
        <v>42</v>
      </c>
      <c r="U575" s="2" t="s">
        <v>176</v>
      </c>
      <c r="V575" s="2" t="s">
        <v>702</v>
      </c>
      <c r="W575" s="9" t="str">
        <f t="array" ref="W575">IF(ISNA(XLOOKUP(V575,products_master_corrected!$A$2:$A$151,products_master_corrected!$A$2:$A$151, NA())),
    "❌ MISSING SKU", "✅")</f>
        <v>✅</v>
      </c>
      <c r="X575" s="2" t="s">
        <v>524</v>
      </c>
      <c r="Y575" s="2" t="s">
        <v>703</v>
      </c>
      <c r="Z575" s="10" t="s">
        <v>248</v>
      </c>
      <c r="AA575" s="27"/>
      <c r="AB575" s="9" t="s">
        <v>8677</v>
      </c>
      <c r="AC575" s="34"/>
      <c r="AD575" s="34"/>
      <c r="AE575" s="34"/>
      <c r="AF575" s="35"/>
      <c r="AG575" s="36" t="s">
        <v>65</v>
      </c>
      <c r="AH575" s="2" t="s">
        <v>143</v>
      </c>
      <c r="AI575" s="10" t="s">
        <v>143</v>
      </c>
      <c r="AJ575" s="2" t="s">
        <v>818</v>
      </c>
      <c r="AK575" s="10" t="s">
        <v>818</v>
      </c>
      <c r="AL575" s="2" t="s">
        <v>67</v>
      </c>
    </row>
    <row r="576" ht="15.75" customHeight="1">
      <c r="A576" s="2" t="s">
        <v>4684</v>
      </c>
      <c r="B576" s="12">
        <v>45458.0</v>
      </c>
      <c r="C576" s="2" t="str">
        <f>IFERROR(__xludf.DUMMYFUNCTION("IF(ISNUMBER(B576),TEXT(B576,""yyyy-MM-dd""),REGEXREPLACE(REGEXREPLACE(TO_TEXT(B576),""[^0-9a-zA-Z]+"",""-""),""[^0-9]*$"",""""))"),"2024-06-15")</f>
        <v>2024-06-15</v>
      </c>
      <c r="D576" s="2" t="s">
        <v>8755</v>
      </c>
      <c r="H576" s="10" t="s">
        <v>8755</v>
      </c>
      <c r="I576" s="2" t="s">
        <v>999</v>
      </c>
      <c r="J576" s="26" t="str">
        <f t="array" ref="J576">IF(ISNA(XLOOKUP(I576,customers_clean!$A$2:$A$701,customers_clean!$A$2:$A$701, NA()) ),
   "❌ MISSING CUSTOMER", "✅")</f>
        <v>✅</v>
      </c>
      <c r="K576" s="2" t="str">
        <f t="array" ref="K576">XLOOKUP(I576,customers_clean!$A$2:$A$701,customers_clean!$C$2:$C$701)</f>
        <v>Igor Garcia</v>
      </c>
      <c r="L576" s="10" t="str">
        <f t="array" ref="L576">XLOOKUP(I576,customers_clean!$A$2:$A$701,customers_clean!$D$2:$D$701)</f>
        <v>Igor Garcia</v>
      </c>
      <c r="M576" s="2" t="str">
        <f t="array" ref="M576">XLOOKUP(I576,customers_clean!$A$2:$A$701,customers_clean!$I$2:$I$701)</f>
        <v> igor.garcia@gmail.com</v>
      </c>
      <c r="N576" s="10" t="str">
        <f t="array" ref="N576">XLOOKUP(I576,customers_clean!$A$2:$A$701,customers_clean!$H$2:$H$701)</f>
        <v>igor.garcia@gmail.com</v>
      </c>
      <c r="O576" s="9" t="str">
        <f>IFERROR(__xludf.DUMMYFUNCTION("IF(REGEXMATCH(TRIM(N576),""^[A-Za-z0-9._%+-]+@[A-Za-z0-9.-]+\.[A-Za-z]{2,}$""),""✅ Valid"",""❌ Invalid"")"),"✅ Valid")</f>
        <v>✅ Valid</v>
      </c>
      <c r="P576" s="2" t="str">
        <f t="array" ref="P576">XLOOKUP(I576,customers_clean!$A$2:$A$701,customers_clean!$K$2:$K$701)</f>
        <v>+39 428-283-965</v>
      </c>
      <c r="Q576" s="10" t="str">
        <f t="array" ref="Q576">XLOOKUP(I576,customers_clean!$A$2:$A$701,customers_clean!$N$2:$N$701)</f>
        <v>428283965</v>
      </c>
      <c r="R576" s="9" t="str">
        <f t="array" ref="R576">XLOOKUP(I576,customers_clean!$A$2:$A$701,customers_clean!$Q$2:$Q$701)</f>
        <v>❌ INVALID</v>
      </c>
      <c r="S576" s="10" t="s">
        <v>608</v>
      </c>
      <c r="T576" s="2" t="s">
        <v>42</v>
      </c>
      <c r="U576" s="2" t="s">
        <v>312</v>
      </c>
      <c r="V576" s="2" t="s">
        <v>824</v>
      </c>
      <c r="W576" s="9" t="str">
        <f t="array" ref="W576">IF(ISNA(XLOOKUP(V576,products_master_corrected!$A$2:$A$151,products_master_corrected!$A$2:$A$151, NA())),
    "❌ MISSING SKU", "✅")</f>
        <v>✅</v>
      </c>
      <c r="X576" s="2" t="s">
        <v>825</v>
      </c>
      <c r="Y576" s="2" t="s">
        <v>826</v>
      </c>
      <c r="Z576" s="10" t="s">
        <v>63</v>
      </c>
      <c r="AA576" s="27">
        <v>5.0</v>
      </c>
      <c r="AB576" s="9" t="s">
        <v>8649</v>
      </c>
      <c r="AC576" s="28">
        <f t="array" ref="AC576">XLOOKUP(V576,products_master_corrected!$A$2:$A$151,products_master_corrected!$E$2:$E$151)</f>
        <v>49.58</v>
      </c>
      <c r="AD576" s="28">
        <f t="shared" ref="AD576:AD587" si="66">AA576*AC576</f>
        <v>247.9</v>
      </c>
      <c r="AE576" s="28">
        <f t="array" ref="AE576">XLOOKUP(V576,products_master_corrected!$A$2:$A$151,products_master_corrected!$H$2:$H$151)</f>
        <v>55.7</v>
      </c>
      <c r="AF576" s="29">
        <f t="shared" ref="AF576:AF587" si="67">AA576*AE576</f>
        <v>278.5</v>
      </c>
      <c r="AG576" s="32" t="s">
        <v>8658</v>
      </c>
      <c r="AH576" s="2" t="s">
        <v>414</v>
      </c>
      <c r="AI576" s="10" t="s">
        <v>49</v>
      </c>
      <c r="AJ576" s="2" t="s">
        <v>345</v>
      </c>
      <c r="AK576" s="10" t="s">
        <v>261</v>
      </c>
      <c r="AL576" s="2" t="s">
        <v>133</v>
      </c>
    </row>
    <row r="577" ht="15.75" customHeight="1">
      <c r="A577" s="2" t="s">
        <v>997</v>
      </c>
      <c r="B577" s="12">
        <v>45632.0</v>
      </c>
      <c r="C577" s="2" t="str">
        <f>IFERROR(__xludf.DUMMYFUNCTION("IF(ISNUMBER(B577),TEXT(B577,""yyyy-MM-dd""),REGEXREPLACE(REGEXREPLACE(TO_TEXT(B577),""[^0-9a-zA-Z]+"",""-""),""[^0-9]*$"",""""))"),"2024-12-06")</f>
        <v>2024-12-06</v>
      </c>
      <c r="D577" s="2" t="s">
        <v>8877</v>
      </c>
      <c r="H577" s="10" t="s">
        <v>8877</v>
      </c>
      <c r="I577" s="2" t="s">
        <v>999</v>
      </c>
      <c r="J577" s="26" t="str">
        <f t="array" ref="J577">IF(ISNA(XLOOKUP(I577,customers_clean!$A$2:$A$701,customers_clean!$A$2:$A$701, NA()) ),
   "❌ MISSING CUSTOMER", "✅")</f>
        <v>✅</v>
      </c>
      <c r="K577" s="2" t="str">
        <f t="array" ref="K577">XLOOKUP(I577,customers_clean!$A$2:$A$701,customers_clean!$C$2:$C$701)</f>
        <v>Igor Garcia</v>
      </c>
      <c r="L577" s="10" t="str">
        <f t="array" ref="L577">XLOOKUP(I577,customers_clean!$A$2:$A$701,customers_clean!$D$2:$D$701)</f>
        <v>Igor Garcia</v>
      </c>
      <c r="M577" s="2" t="str">
        <f t="array" ref="M577">XLOOKUP(I577,customers_clean!$A$2:$A$701,customers_clean!$I$2:$I$701)</f>
        <v> igor.garcia@gmail.com</v>
      </c>
      <c r="N577" s="10" t="str">
        <f t="array" ref="N577">XLOOKUP(I577,customers_clean!$A$2:$A$701,customers_clean!$H$2:$H$701)</f>
        <v>igor.garcia@gmail.com</v>
      </c>
      <c r="O577" s="9" t="str">
        <f>IFERROR(__xludf.DUMMYFUNCTION("IF(REGEXMATCH(TRIM(N577),""^[A-Za-z0-9._%+-]+@[A-Za-z0-9.-]+\.[A-Za-z]{2,}$""),""✅ Valid"",""❌ Invalid"")"),"✅ Valid")</f>
        <v>✅ Valid</v>
      </c>
      <c r="P577" s="2" t="str">
        <f t="array" ref="P577">XLOOKUP(I577,customers_clean!$A$2:$A$701,customers_clean!$K$2:$K$701)</f>
        <v>+39 428-283-965</v>
      </c>
      <c r="Q577" s="10" t="str">
        <f t="array" ref="Q577">XLOOKUP(I577,customers_clean!$A$2:$A$701,customers_clean!$N$2:$N$701)</f>
        <v>428283965</v>
      </c>
      <c r="R577" s="9" t="str">
        <f t="array" ref="R577">XLOOKUP(I577,customers_clean!$A$2:$A$701,customers_clean!$Q$2:$Q$701)</f>
        <v>❌ INVALID</v>
      </c>
      <c r="S577" s="10" t="s">
        <v>608</v>
      </c>
      <c r="T577" s="2" t="s">
        <v>59</v>
      </c>
      <c r="U577" s="2" t="s">
        <v>500</v>
      </c>
      <c r="V577" s="2" t="s">
        <v>200</v>
      </c>
      <c r="W577" s="9" t="str">
        <f t="array" ref="W577">IF(ISNA(XLOOKUP(V577,products_master_corrected!$A$2:$A$151,products_master_corrected!$A$2:$A$151, NA())),
    "❌ MISSING SKU", "✅")</f>
        <v>✅</v>
      </c>
      <c r="X577" s="2" t="s">
        <v>190</v>
      </c>
      <c r="Y577" s="2" t="s">
        <v>202</v>
      </c>
      <c r="Z577" s="10" t="s">
        <v>63</v>
      </c>
      <c r="AA577" s="27">
        <v>1.0</v>
      </c>
      <c r="AB577" s="9" t="s">
        <v>8649</v>
      </c>
      <c r="AC577" s="28">
        <f t="array" ref="AC577">XLOOKUP(V577,products_master_corrected!$A$2:$A$151,products_master_corrected!$E$2:$E$151)</f>
        <v>61.21</v>
      </c>
      <c r="AD577" s="28">
        <f t="shared" si="66"/>
        <v>61.21</v>
      </c>
      <c r="AE577" s="28">
        <f t="array" ref="AE577">XLOOKUP(V577,products_master_corrected!$A$2:$A$151,products_master_corrected!$H$2:$H$151)</f>
        <v>68.77</v>
      </c>
      <c r="AF577" s="29">
        <f t="shared" si="67"/>
        <v>68.77</v>
      </c>
      <c r="AG577" s="32" t="s">
        <v>8658</v>
      </c>
      <c r="AH577" s="2" t="s">
        <v>204</v>
      </c>
      <c r="AI577" s="10" t="s">
        <v>143</v>
      </c>
      <c r="AJ577" s="2" t="s">
        <v>380</v>
      </c>
      <c r="AK577" s="10" t="s">
        <v>80</v>
      </c>
    </row>
    <row r="578" ht="15.75" customHeight="1">
      <c r="A578" s="2" t="s">
        <v>2098</v>
      </c>
      <c r="B578" s="12" t="s">
        <v>2099</v>
      </c>
      <c r="C578" s="2" t="str">
        <f>IFERROR(__xludf.DUMMYFUNCTION("IF(ISNUMBER(B578),TEXT(B578,""yyyy-MM-dd""),REGEXREPLACE(REGEXREPLACE(TO_TEXT(B578),""[^0-9a-zA-Z]+"",""-""),""[^0-9]*$"",""""))"),"19-03-2024")</f>
        <v>19-03-2024</v>
      </c>
      <c r="D578" s="2" t="s">
        <v>8497</v>
      </c>
      <c r="H578" s="10" t="s">
        <v>8497</v>
      </c>
      <c r="I578" s="2" t="s">
        <v>2100</v>
      </c>
      <c r="J578" s="26" t="str">
        <f t="array" ref="J578">IF(ISNA(XLOOKUP(I578,customers_clean!$A$2:$A$701,customers_clean!$A$2:$A$701, NA()) ),
   "❌ MISSING CUSTOMER", "✅")</f>
        <v>✅</v>
      </c>
      <c r="K578" s="2" t="str">
        <f t="array" ref="K578">XLOOKUP(I578,customers_clean!$A$2:$A$701,customers_clean!$C$2:$C$701)</f>
        <v>OmarK ing</v>
      </c>
      <c r="L578" s="10" t="str">
        <f t="array" ref="L578">XLOOKUP(I578,customers_clean!$A$2:$A$701,customers_clean!$D$2:$D$701)</f>
        <v>Omar King</v>
      </c>
      <c r="M578" s="2" t="str">
        <f t="array" ref="M578">XLOOKUP(I578,customers_clean!$A$2:$A$701,customers_clean!$I$2:$I$701)</f>
        <v>omar.king@yahoo.com</v>
      </c>
      <c r="N578" s="10" t="str">
        <f t="array" ref="N578">XLOOKUP(I578,customers_clean!$A$2:$A$701,customers_clean!$H$2:$H$701)</f>
        <v>omar.king@yahoo.com</v>
      </c>
      <c r="O578" s="9" t="str">
        <f>IFERROR(__xludf.DUMMYFUNCTION("IF(REGEXMATCH(TRIM(N578),""^[A-Za-z0-9._%+-]+@[A-Za-z0-9.-]+\.[A-Za-z]{2,}$""),""✅ Valid"",""❌ Invalid"")"),"✅ Valid")</f>
        <v>✅ Valid</v>
      </c>
      <c r="P578" s="2">
        <f t="array" ref="P578">XLOOKUP(I578,customers_clean!$A$2:$A$701,customers_clean!$K$2:$K$701)</f>
        <v>3972529188</v>
      </c>
      <c r="Q578" s="10" t="str">
        <f t="array" ref="Q578">XLOOKUP(I578,customers_clean!$A$2:$A$701,customers_clean!$N$2:$N$701)</f>
        <v>72529188</v>
      </c>
      <c r="R578" s="9" t="str">
        <f t="array" ref="R578">XLOOKUP(I578,customers_clean!$A$2:$A$701,customers_clean!$Q$2:$Q$701)</f>
        <v>❌ INVALID</v>
      </c>
      <c r="S578" s="10" t="s">
        <v>608</v>
      </c>
      <c r="T578" s="2" t="s">
        <v>683</v>
      </c>
      <c r="U578" s="2" t="s">
        <v>1245</v>
      </c>
      <c r="V578" s="2" t="s">
        <v>353</v>
      </c>
      <c r="W578" s="9" t="str">
        <f t="array" ref="W578">IF(ISNA(XLOOKUP(V578,products_master_corrected!$A$2:$A$151,products_master_corrected!$A$2:$A$151, NA())),
    "❌ MISSING SKU", "✅")</f>
        <v>✅</v>
      </c>
      <c r="X578" s="2" t="s">
        <v>62</v>
      </c>
      <c r="Y578" s="2" t="s">
        <v>355</v>
      </c>
      <c r="Z578" s="10" t="s">
        <v>355</v>
      </c>
      <c r="AA578" s="27">
        <v>1.0</v>
      </c>
      <c r="AB578" s="9" t="s">
        <v>8649</v>
      </c>
      <c r="AC578" s="28">
        <f t="array" ref="AC578">XLOOKUP(V578,products_master_corrected!$A$2:$A$151,products_master_corrected!$E$2:$E$151)</f>
        <v>106.56</v>
      </c>
      <c r="AD578" s="28">
        <f t="shared" si="66"/>
        <v>106.56</v>
      </c>
      <c r="AE578" s="28">
        <f t="array" ref="AE578">XLOOKUP(V578,products_master_corrected!$A$2:$A$151,products_master_corrected!$H$2:$H$151)</f>
        <v>119.72</v>
      </c>
      <c r="AF578" s="29">
        <f t="shared" si="67"/>
        <v>119.72</v>
      </c>
      <c r="AG578" s="32" t="s">
        <v>8658</v>
      </c>
      <c r="AH578" s="2" t="s">
        <v>664</v>
      </c>
      <c r="AI578" s="10" t="s">
        <v>66</v>
      </c>
      <c r="AJ578" s="2" t="s">
        <v>34</v>
      </c>
      <c r="AK578" s="10" t="s">
        <v>80</v>
      </c>
      <c r="AL578" s="2" t="s">
        <v>81</v>
      </c>
    </row>
    <row r="579" ht="15.75" customHeight="1">
      <c r="A579" s="2" t="s">
        <v>3563</v>
      </c>
      <c r="B579" s="12">
        <v>45774.0</v>
      </c>
      <c r="C579" s="2" t="str">
        <f>IFERROR(__xludf.DUMMYFUNCTION("IF(ISNUMBER(B579),TEXT(B579,""yyyy-MM-dd""),REGEXREPLACE(REGEXREPLACE(TO_TEXT(B579),""[^0-9a-zA-Z]+"",""-""),""[^0-9]*$"",""""))"),"2025-04-27")</f>
        <v>2025-04-27</v>
      </c>
      <c r="D579" s="2" t="s">
        <v>3564</v>
      </c>
      <c r="H579" s="10" t="s">
        <v>3564</v>
      </c>
      <c r="I579" s="2" t="s">
        <v>1787</v>
      </c>
      <c r="J579" s="26" t="str">
        <f t="array" ref="J579">IF(ISNA(XLOOKUP(I579,customers_clean!$A$2:$A$701,customers_clean!$A$2:$A$701, NA()) ),
   "❌ MISSING CUSTOMER", "✅")</f>
        <v>✅</v>
      </c>
      <c r="K579" s="2" t="str">
        <f t="array" ref="K579">XLOOKUP(I579,customers_clean!$A$2:$A$701,customers_clean!$C$2:$C$701)</f>
        <v>Hanna Dubois</v>
      </c>
      <c r="L579" s="10" t="str">
        <f t="array" ref="L579">XLOOKUP(I579,customers_clean!$A$2:$A$701,customers_clean!$D$2:$D$701)</f>
        <v>Hanna Dubois</v>
      </c>
      <c r="M579" s="2" t="str">
        <f t="array" ref="M579">XLOOKUP(I579,customers_clean!$A$2:$A$701,customers_clean!$I$2:$I$701)</f>
        <v/>
      </c>
      <c r="N579" s="10" t="str">
        <f t="array" ref="N579">XLOOKUP(I579,customers_clean!$A$2:$A$701,customers_clean!$H$2:$H$701)</f>
        <v/>
      </c>
      <c r="O579" s="9" t="str">
        <f>IFERROR(__xludf.DUMMYFUNCTION("IF(REGEXMATCH(TRIM(N579),""^[A-Za-z0-9._%+-]+@[A-Za-z0-9.-]+\.[A-Za-z]{2,}$""),""✅ Valid"",""❌ Invalid"")"),"❌ Invalid")</f>
        <v>❌ Invalid</v>
      </c>
      <c r="P579" s="2" t="str">
        <f t="array" ref="P579">XLOOKUP(I579,customers_clean!$A$2:$A$701,customers_clean!$K$2:$K$701)</f>
        <v> +1-528-332-1975</v>
      </c>
      <c r="Q579" s="10" t="str">
        <f t="array" ref="Q579">XLOOKUP(I579,customers_clean!$A$2:$A$701,customers_clean!$N$2:$N$701)</f>
        <v/>
      </c>
      <c r="R579" s="9" t="str">
        <f t="array" ref="R579">XLOOKUP(I579,customers_clean!$A$2:$A$701,customers_clean!$Q$2:$Q$701)</f>
        <v/>
      </c>
      <c r="S579" s="10" t="s">
        <v>58</v>
      </c>
      <c r="T579" s="2" t="s">
        <v>74</v>
      </c>
      <c r="U579" s="2" t="s">
        <v>312</v>
      </c>
      <c r="V579" s="2" t="s">
        <v>313</v>
      </c>
      <c r="W579" s="9" t="str">
        <f t="array" ref="W579">IF(ISNA(XLOOKUP(V579,products_master_corrected!$A$2:$A$151,products_master_corrected!$A$2:$A$151, NA())),
    "❌ MISSING SKU", "✅")</f>
        <v>✅</v>
      </c>
      <c r="X579" s="2" t="s">
        <v>768</v>
      </c>
      <c r="Y579" s="2" t="s">
        <v>315</v>
      </c>
      <c r="Z579" s="10" t="s">
        <v>179</v>
      </c>
      <c r="AA579" s="27">
        <v>1.0</v>
      </c>
      <c r="AB579" s="9" t="s">
        <v>8649</v>
      </c>
      <c r="AC579" s="28">
        <f t="array" ref="AC579">XLOOKUP(V579,products_master_corrected!$A$2:$A$151,products_master_corrected!$E$2:$E$151)</f>
        <v>47.55</v>
      </c>
      <c r="AD579" s="28">
        <f t="shared" si="66"/>
        <v>47.55</v>
      </c>
      <c r="AE579" s="28">
        <f t="array" ref="AE579">XLOOKUP(V579,products_master_corrected!$A$2:$A$151,products_master_corrected!$G$2:$G$151)</f>
        <v>54.44</v>
      </c>
      <c r="AF579" s="29">
        <f t="shared" si="67"/>
        <v>54.44</v>
      </c>
      <c r="AG579" s="32" t="s">
        <v>8663</v>
      </c>
      <c r="AH579" s="2" t="s">
        <v>49</v>
      </c>
      <c r="AI579" s="10" t="s">
        <v>49</v>
      </c>
      <c r="AJ579" s="2" t="s">
        <v>527</v>
      </c>
      <c r="AK579" s="10" t="s">
        <v>192</v>
      </c>
      <c r="AL579" s="2" t="s">
        <v>133</v>
      </c>
    </row>
    <row r="580" ht="15.75" customHeight="1">
      <c r="A580" s="2" t="s">
        <v>4565</v>
      </c>
      <c r="B580" s="12">
        <v>45799.0</v>
      </c>
      <c r="C580" s="2" t="str">
        <f>IFERROR(__xludf.DUMMYFUNCTION("IF(ISNUMBER(B580),TEXT(B580,""yyyy-MM-dd""),REGEXREPLACE(REGEXREPLACE(TO_TEXT(B580),""[^0-9a-zA-Z]+"",""-""),""[^0-9]*$"",""""))"),"2025-05-22")</f>
        <v>2025-05-22</v>
      </c>
      <c r="D580" s="2" t="s">
        <v>3271</v>
      </c>
      <c r="H580" s="10" t="s">
        <v>3271</v>
      </c>
      <c r="I580" s="2" t="s">
        <v>1787</v>
      </c>
      <c r="J580" s="26" t="str">
        <f t="array" ref="J580">IF(ISNA(XLOOKUP(I580,customers_clean!$A$2:$A$701,customers_clean!$A$2:$A$701, NA()) ),
   "❌ MISSING CUSTOMER", "✅")</f>
        <v>✅</v>
      </c>
      <c r="K580" s="2" t="str">
        <f t="array" ref="K580">XLOOKUP(I580,customers_clean!$A$2:$A$701,customers_clean!$C$2:$C$701)</f>
        <v>Hanna Dubois</v>
      </c>
      <c r="L580" s="10" t="str">
        <f t="array" ref="L580">XLOOKUP(I580,customers_clean!$A$2:$A$701,customers_clean!$D$2:$D$701)</f>
        <v>Hanna Dubois</v>
      </c>
      <c r="M580" s="2" t="str">
        <f t="array" ref="M580">XLOOKUP(I580,customers_clean!$A$2:$A$701,customers_clean!$I$2:$I$701)</f>
        <v/>
      </c>
      <c r="N580" s="10" t="str">
        <f t="array" ref="N580">XLOOKUP(I580,customers_clean!$A$2:$A$701,customers_clean!$H$2:$H$701)</f>
        <v/>
      </c>
      <c r="O580" s="9" t="str">
        <f>IFERROR(__xludf.DUMMYFUNCTION("IF(REGEXMATCH(TRIM(N580),""^[A-Za-z0-9._%+-]+@[A-Za-z0-9.-]+\.[A-Za-z]{2,}$""),""✅ Valid"",""❌ Invalid"")"),"❌ Invalid")</f>
        <v>❌ Invalid</v>
      </c>
      <c r="P580" s="2" t="str">
        <f t="array" ref="P580">XLOOKUP(I580,customers_clean!$A$2:$A$701,customers_clean!$K$2:$K$701)</f>
        <v> +1-528-332-1975</v>
      </c>
      <c r="Q580" s="10" t="str">
        <f t="array" ref="Q580">XLOOKUP(I580,customers_clean!$A$2:$A$701,customers_clean!$N$2:$N$701)</f>
        <v/>
      </c>
      <c r="R580" s="9" t="str">
        <f t="array" ref="R580">XLOOKUP(I580,customers_clean!$A$2:$A$701,customers_clean!$Q$2:$Q$701)</f>
        <v/>
      </c>
      <c r="S580" s="10" t="s">
        <v>58</v>
      </c>
      <c r="T580" s="2" t="s">
        <v>323</v>
      </c>
      <c r="U580" s="2" t="s">
        <v>480</v>
      </c>
      <c r="V580" s="2" t="s">
        <v>1255</v>
      </c>
      <c r="W580" s="9" t="str">
        <f t="array" ref="W580">IF(ISNA(XLOOKUP(V580,products_master_corrected!$A$2:$A$151,products_master_corrected!$A$2:$A$151, NA())),
    "❌ MISSING SKU", "✅")</f>
        <v>✅</v>
      </c>
      <c r="X580" s="2" t="s">
        <v>29</v>
      </c>
      <c r="Y580" s="2" t="s">
        <v>271</v>
      </c>
      <c r="Z580" s="10" t="s">
        <v>368</v>
      </c>
      <c r="AA580" s="27">
        <v>2.0</v>
      </c>
      <c r="AB580" s="9" t="s">
        <v>8649</v>
      </c>
      <c r="AC580" s="28">
        <f t="array" ref="AC580">XLOOKUP(V580,products_master_corrected!$A$2:$A$151,products_master_corrected!$E$2:$E$151)</f>
        <v>161.4</v>
      </c>
      <c r="AD580" s="28">
        <f t="shared" si="66"/>
        <v>322.8</v>
      </c>
      <c r="AE580" s="28">
        <f t="array" ref="AE580">XLOOKUP(V580,products_master_corrected!$A$2:$A$151,products_master_corrected!$G$2:$G$151)</f>
        <v>184.77</v>
      </c>
      <c r="AF580" s="29">
        <f t="shared" si="67"/>
        <v>369.54</v>
      </c>
      <c r="AG580" s="32" t="s">
        <v>8663</v>
      </c>
      <c r="AH580" s="2" t="s">
        <v>49</v>
      </c>
      <c r="AI580" s="10" t="s">
        <v>49</v>
      </c>
      <c r="AJ580" s="2" t="s">
        <v>393</v>
      </c>
      <c r="AK580" s="10" t="s">
        <v>80</v>
      </c>
    </row>
    <row r="581" ht="15.75" customHeight="1">
      <c r="A581" s="2" t="s">
        <v>1785</v>
      </c>
      <c r="B581" s="12">
        <v>45770.0</v>
      </c>
      <c r="C581" s="2" t="str">
        <f>IFERROR(__xludf.DUMMYFUNCTION("IF(ISNUMBER(B581),TEXT(B581,""yyyy-MM-dd""),REGEXREPLACE(REGEXREPLACE(TO_TEXT(B581),""[^0-9a-zA-Z]+"",""-""),""[^0-9]*$"",""""))"),"2025-04-23")</f>
        <v>2025-04-23</v>
      </c>
      <c r="D581" s="2" t="s">
        <v>8878</v>
      </c>
      <c r="H581" s="10" t="s">
        <v>8878</v>
      </c>
      <c r="I581" s="2" t="s">
        <v>1787</v>
      </c>
      <c r="J581" s="26" t="str">
        <f t="array" ref="J581">IF(ISNA(XLOOKUP(I581,customers_clean!$A$2:$A$701,customers_clean!$A$2:$A$701, NA()) ),
   "❌ MISSING CUSTOMER", "✅")</f>
        <v>✅</v>
      </c>
      <c r="K581" s="2" t="str">
        <f t="array" ref="K581">XLOOKUP(I581,customers_clean!$A$2:$A$701,customers_clean!$C$2:$C$701)</f>
        <v>Hanna Dubois</v>
      </c>
      <c r="L581" s="10" t="str">
        <f t="array" ref="L581">XLOOKUP(I581,customers_clean!$A$2:$A$701,customers_clean!$D$2:$D$701)</f>
        <v>Hanna Dubois</v>
      </c>
      <c r="M581" s="2" t="str">
        <f t="array" ref="M581">XLOOKUP(I581,customers_clean!$A$2:$A$701,customers_clean!$I$2:$I$701)</f>
        <v/>
      </c>
      <c r="N581" s="10" t="str">
        <f t="array" ref="N581">XLOOKUP(I581,customers_clean!$A$2:$A$701,customers_clean!$H$2:$H$701)</f>
        <v/>
      </c>
      <c r="O581" s="9" t="str">
        <f>IFERROR(__xludf.DUMMYFUNCTION("IF(REGEXMATCH(TRIM(N581),""^[A-Za-z0-9._%+-]+@[A-Za-z0-9.-]+\.[A-Za-z]{2,}$""),""✅ Valid"",""❌ Invalid"")"),"❌ Invalid")</f>
        <v>❌ Invalid</v>
      </c>
      <c r="P581" s="2" t="str">
        <f t="array" ref="P581">XLOOKUP(I581,customers_clean!$A$2:$A$701,customers_clean!$K$2:$K$701)</f>
        <v> +1-528-332-1975</v>
      </c>
      <c r="Q581" s="10" t="str">
        <f t="array" ref="Q581">XLOOKUP(I581,customers_clean!$A$2:$A$701,customers_clean!$N$2:$N$701)</f>
        <v/>
      </c>
      <c r="R581" s="9" t="str">
        <f t="array" ref="R581">XLOOKUP(I581,customers_clean!$A$2:$A$701,customers_clean!$Q$2:$Q$701)</f>
        <v/>
      </c>
      <c r="S581" s="10" t="s">
        <v>58</v>
      </c>
      <c r="T581" s="2" t="s">
        <v>26</v>
      </c>
      <c r="U581" s="2" t="s">
        <v>43</v>
      </c>
      <c r="V581" s="2" t="s">
        <v>756</v>
      </c>
      <c r="W581" s="9" t="str">
        <f t="array" ref="W581">IF(ISNA(XLOOKUP(V581,products_master_corrected!$A$2:$A$151,products_master_corrected!$A$2:$A$151, NA())),
    "❌ MISSING SKU", "✅")</f>
        <v>✅</v>
      </c>
      <c r="X581" s="2" t="s">
        <v>8737</v>
      </c>
      <c r="Y581" s="2" t="s">
        <v>30</v>
      </c>
      <c r="Z581" s="10" t="s">
        <v>179</v>
      </c>
      <c r="AA581" s="27">
        <v>1.0</v>
      </c>
      <c r="AB581" s="9" t="s">
        <v>8649</v>
      </c>
      <c r="AC581" s="28">
        <f t="array" ref="AC581">XLOOKUP(V581,products_master_corrected!$A$2:$A$151,products_master_corrected!$E$2:$E$151)</f>
        <v>61.04</v>
      </c>
      <c r="AD581" s="28">
        <f t="shared" si="66"/>
        <v>61.04</v>
      </c>
      <c r="AE581" s="28">
        <f t="array" ref="AE581">XLOOKUP(V581,products_master_corrected!$A$2:$A$151,products_master_corrected!$G$2:$G$151)</f>
        <v>69.88</v>
      </c>
      <c r="AF581" s="29">
        <f t="shared" si="67"/>
        <v>69.88</v>
      </c>
      <c r="AG581" s="32" t="s">
        <v>8663</v>
      </c>
      <c r="AH581" s="2" t="s">
        <v>204</v>
      </c>
      <c r="AI581" s="10" t="s">
        <v>143</v>
      </c>
      <c r="AJ581" s="2" t="s">
        <v>192</v>
      </c>
      <c r="AK581" s="10" t="s">
        <v>192</v>
      </c>
    </row>
    <row r="582" ht="15.75" customHeight="1">
      <c r="A582" s="2" t="s">
        <v>295</v>
      </c>
      <c r="B582" s="12">
        <v>45654.0</v>
      </c>
      <c r="C582" s="2" t="str">
        <f>IFERROR(__xludf.DUMMYFUNCTION("IF(ISNUMBER(B582),TEXT(B582,""yyyy-MM-dd""),REGEXREPLACE(REGEXREPLACE(TO_TEXT(B582),""[^0-9a-zA-Z]+"",""-""),""[^0-9]*$"",""""))"),"2024-12-28")</f>
        <v>2024-12-28</v>
      </c>
      <c r="D582" s="2" t="s">
        <v>8824</v>
      </c>
      <c r="H582" s="10" t="s">
        <v>8824</v>
      </c>
      <c r="I582" s="2" t="s">
        <v>297</v>
      </c>
      <c r="J582" s="26" t="str">
        <f t="array" ref="J582">IF(ISNA(XLOOKUP(I582,customers_clean!$A$2:$A$701,customers_clean!$A$2:$A$701, NA()) ),
   "❌ MISSING CUSTOMER", "✅")</f>
        <v>✅</v>
      </c>
      <c r="K582" s="2" t="str">
        <f t="array" ref="K582">XLOOKUP(I582,customers_clean!$A$2:$A$701,customers_clean!$C$2:$C$701)</f>
        <v>Zack Khan</v>
      </c>
      <c r="L582" s="10" t="str">
        <f t="array" ref="L582">XLOOKUP(I582,customers_clean!$A$2:$A$701,customers_clean!$D$2:$D$701)</f>
        <v>Zack Khan</v>
      </c>
      <c r="M582" s="2" t="str">
        <f t="array" ref="M582">XLOOKUP(I582,customers_clean!$A$2:$A$701,customers_clean!$I$2:$I$701)</f>
        <v>zack.khan@example.com</v>
      </c>
      <c r="N582" s="10" t="str">
        <f t="array" ref="N582">XLOOKUP(I582,customers_clean!$A$2:$A$701,customers_clean!$H$2:$H$701)</f>
        <v>zack.khan@example.com</v>
      </c>
      <c r="O582" s="9" t="str">
        <f>IFERROR(__xludf.DUMMYFUNCTION("IF(REGEXMATCH(TRIM(N582),""^[A-Za-z0-9._%+-]+@[A-Za-z0-9.-]+\.[A-Za-z]{2,}$""),""✅ Valid"",""❌ Invalid"")"),"✅ Valid")</f>
        <v>✅ Valid</v>
      </c>
      <c r="P582" s="33" t="str">
        <f t="array" ref="P582">XLOOKUP(I582,customers_clean!$A$2:$A$701,customers_clean!$K$2:$K$701)</f>
        <v>4871386217</v>
      </c>
      <c r="Q582" s="10" t="str">
        <f t="array" ref="Q582">XLOOKUP(I582,customers_clean!$A$2:$A$701,customers_clean!$N$2:$N$701)</f>
        <v>71386217</v>
      </c>
      <c r="R582" s="9" t="str">
        <f t="array" ref="R582">XLOOKUP(I582,customers_clean!$A$2:$A$701,customers_clean!$Q$2:$Q$701)</f>
        <v>❌ INVALID</v>
      </c>
      <c r="S582" s="10" t="s">
        <v>139</v>
      </c>
      <c r="T582" s="2" t="s">
        <v>301</v>
      </c>
      <c r="U582" s="2" t="s">
        <v>103</v>
      </c>
      <c r="V582" s="2" t="s">
        <v>302</v>
      </c>
      <c r="W582" s="9" t="str">
        <f t="array" ref="W582">IF(ISNA(XLOOKUP(V582,products_master_corrected!$A$2:$A$151,products_master_corrected!$A$2:$A$151, NA())),
    "❌ MISSING SKU", "✅")</f>
        <v>✅</v>
      </c>
      <c r="X582" s="2" t="s">
        <v>303</v>
      </c>
      <c r="Y582" s="2" t="s">
        <v>248</v>
      </c>
      <c r="Z582" s="10" t="s">
        <v>248</v>
      </c>
      <c r="AA582" s="27">
        <v>1.0</v>
      </c>
      <c r="AB582" s="9" t="s">
        <v>8649</v>
      </c>
      <c r="AC582" s="28">
        <f t="array" ref="AC582">XLOOKUP(V582,products_master_corrected!$A$2:$A$151,products_master_corrected!$E$2:$E$151)</f>
        <v>172.22</v>
      </c>
      <c r="AD582" s="28">
        <f t="shared" si="66"/>
        <v>172.22</v>
      </c>
      <c r="AE582" s="28">
        <f t="array" ref="AE582">XLOOKUP(V582,products_master_corrected!$A$2:$A$151,products_master_corrected!$L$2:$L$151)</f>
        <v>186.26</v>
      </c>
      <c r="AF582" s="29">
        <f t="shared" si="67"/>
        <v>186.26</v>
      </c>
      <c r="AG582" s="32" t="s">
        <v>8665</v>
      </c>
      <c r="AH582" s="2" t="s">
        <v>305</v>
      </c>
      <c r="AI582" s="10" t="s">
        <v>49</v>
      </c>
      <c r="AJ582" s="2" t="s">
        <v>306</v>
      </c>
      <c r="AK582" s="10" t="s">
        <v>192</v>
      </c>
      <c r="AL582" s="2" t="s">
        <v>67</v>
      </c>
    </row>
    <row r="583" ht="15.75" customHeight="1">
      <c r="A583" s="2" t="s">
        <v>4290</v>
      </c>
      <c r="B583" s="12">
        <v>44958.0</v>
      </c>
      <c r="C583" s="2" t="str">
        <f>IFERROR(__xludf.DUMMYFUNCTION("IF(ISNUMBER(B583),TEXT(B583,""yyyy-MM-dd""),REGEXREPLACE(REGEXREPLACE(TO_TEXT(B583),""[^0-9a-zA-Z]+"",""-""),""[^0-9]*$"",""""))"),"2023-02-01")</f>
        <v>2023-02-01</v>
      </c>
      <c r="D583" s="2" t="s">
        <v>8879</v>
      </c>
      <c r="H583" s="10" t="s">
        <v>8879</v>
      </c>
      <c r="I583" s="2" t="s">
        <v>297</v>
      </c>
      <c r="J583" s="26" t="str">
        <f t="array" ref="J583">IF(ISNA(XLOOKUP(I583,customers_clean!$A$2:$A$701,customers_clean!$A$2:$A$701, NA()) ),
   "❌ MISSING CUSTOMER", "✅")</f>
        <v>✅</v>
      </c>
      <c r="K583" s="2" t="str">
        <f t="array" ref="K583">XLOOKUP(I583,customers_clean!$A$2:$A$701,customers_clean!$C$2:$C$701)</f>
        <v>Zack Khan</v>
      </c>
      <c r="L583" s="10" t="str">
        <f t="array" ref="L583">XLOOKUP(I583,customers_clean!$A$2:$A$701,customers_clean!$D$2:$D$701)</f>
        <v>Zack Khan</v>
      </c>
      <c r="M583" s="2" t="str">
        <f t="array" ref="M583">XLOOKUP(I583,customers_clean!$A$2:$A$701,customers_clean!$I$2:$I$701)</f>
        <v>zack.khan@example.com</v>
      </c>
      <c r="N583" s="10" t="str">
        <f t="array" ref="N583">XLOOKUP(I583,customers_clean!$A$2:$A$701,customers_clean!$H$2:$H$701)</f>
        <v>zack.khan@example.com</v>
      </c>
      <c r="O583" s="9" t="str">
        <f>IFERROR(__xludf.DUMMYFUNCTION("IF(REGEXMATCH(TRIM(N583),""^[A-Za-z0-9._%+-]+@[A-Za-z0-9.-]+\.[A-Za-z]{2,}$""),""✅ Valid"",""❌ Invalid"")"),"✅ Valid")</f>
        <v>✅ Valid</v>
      </c>
      <c r="P583" s="33" t="str">
        <f t="array" ref="P583">XLOOKUP(I583,customers_clean!$A$2:$A$701,customers_clean!$K$2:$K$701)</f>
        <v>4871386217</v>
      </c>
      <c r="Q583" s="10" t="str">
        <f t="array" ref="Q583">XLOOKUP(I583,customers_clean!$A$2:$A$701,customers_clean!$N$2:$N$701)</f>
        <v>71386217</v>
      </c>
      <c r="R583" s="9" t="str">
        <f t="array" ref="R583">XLOOKUP(I583,customers_clean!$A$2:$A$701,customers_clean!$Q$2:$Q$701)</f>
        <v>❌ INVALID</v>
      </c>
      <c r="S583" s="10" t="s">
        <v>139</v>
      </c>
      <c r="T583" s="2" t="s">
        <v>323</v>
      </c>
      <c r="U583" s="2" t="s">
        <v>480</v>
      </c>
      <c r="V583" s="2" t="s">
        <v>1856</v>
      </c>
      <c r="W583" s="9" t="str">
        <f t="array" ref="W583">IF(ISNA(XLOOKUP(V583,products_master_corrected!$A$2:$A$151,products_master_corrected!$A$2:$A$151, NA())),
    "❌ MISSING SKU", "✅")</f>
        <v>✅</v>
      </c>
      <c r="X583" s="2" t="s">
        <v>259</v>
      </c>
      <c r="Y583" s="2" t="s">
        <v>167</v>
      </c>
      <c r="Z583" s="10" t="str">
        <f t="shared" ref="Z583:Z585" si="68">PROPER(TRIM(Y583))</f>
        <v>Monitors</v>
      </c>
      <c r="AA583" s="27">
        <v>2.0</v>
      </c>
      <c r="AB583" s="9" t="s">
        <v>8649</v>
      </c>
      <c r="AC583" s="28">
        <f t="array" ref="AC583">XLOOKUP(V583,products_master_corrected!$A$2:$A$151,products_master_corrected!$E$2:$E$151)</f>
        <v>13.34</v>
      </c>
      <c r="AD583" s="28">
        <f t="shared" si="66"/>
        <v>26.68</v>
      </c>
      <c r="AE583" s="28">
        <f t="array" ref="AE583">XLOOKUP(V583,products_master_corrected!$A$2:$A$151,products_master_corrected!$L$2:$L$151)</f>
        <v>14.43</v>
      </c>
      <c r="AF583" s="29">
        <f t="shared" si="67"/>
        <v>28.86</v>
      </c>
      <c r="AG583" s="32" t="s">
        <v>8665</v>
      </c>
      <c r="AH583" s="2" t="s">
        <v>414</v>
      </c>
      <c r="AI583" s="10" t="s">
        <v>49</v>
      </c>
      <c r="AJ583" s="2" t="s">
        <v>251</v>
      </c>
      <c r="AK583" s="10" t="s">
        <v>192</v>
      </c>
      <c r="AL583" s="2" t="s">
        <v>67</v>
      </c>
    </row>
    <row r="584" ht="15.75" customHeight="1">
      <c r="A584" s="2" t="s">
        <v>2899</v>
      </c>
      <c r="B584" s="12">
        <v>45009.0</v>
      </c>
      <c r="C584" s="2" t="str">
        <f>IFERROR(__xludf.DUMMYFUNCTION("IF(ISNUMBER(B584),TEXT(B584,""yyyy-MM-dd""),REGEXREPLACE(REGEXREPLACE(TO_TEXT(B584),""[^0-9a-zA-Z]+"",""-""),""[^0-9]*$"",""""))"),"2023-03-24")</f>
        <v>2023-03-24</v>
      </c>
      <c r="D584" s="2" t="s">
        <v>8880</v>
      </c>
      <c r="H584" s="10" t="s">
        <v>8880</v>
      </c>
      <c r="I584" s="2" t="s">
        <v>2901</v>
      </c>
      <c r="J584" s="26" t="str">
        <f t="array" ref="J584">IF(ISNA(XLOOKUP(I584,customers_clean!$A$2:$A$701,customers_clean!$A$2:$A$701, NA()) ),
   "❌ MISSING CUSTOMER", "✅")</f>
        <v>✅</v>
      </c>
      <c r="K584" s="2" t="str">
        <f t="array" ref="K584">XLOOKUP(I584,customers_clean!$A$2:$A$701,customers_clean!$C$2:$C$701)</f>
        <v>Adam Lopez</v>
      </c>
      <c r="L584" s="10" t="str">
        <f t="array" ref="L584">XLOOKUP(I584,customers_clean!$A$2:$A$701,customers_clean!$D$2:$D$701)</f>
        <v>Adam Lopez</v>
      </c>
      <c r="M584" s="2" t="str">
        <f t="array" ref="M584">XLOOKUP(I584,customers_clean!$A$2:$A$701,customers_clean!$I$2:$I$701)</f>
        <v>adam.lopez@company.co.uk</v>
      </c>
      <c r="N584" s="10" t="str">
        <f t="array" ref="N584">XLOOKUP(I584,customers_clean!$A$2:$A$701,customers_clean!$H$2:$H$701)</f>
        <v>adam.lopez@company.co.uk</v>
      </c>
      <c r="O584" s="9" t="str">
        <f>IFERROR(__xludf.DUMMYFUNCTION("IF(REGEXMATCH(TRIM(N584),""^[A-Za-z0-9._%+-]+@[A-Za-z0-9.-]+\.[A-Za-z]{2,}$""),""✅ Valid"",""❌ Invalid"")"),"✅ Valid")</f>
        <v>✅ Valid</v>
      </c>
      <c r="P584" s="2">
        <f t="array" ref="P584">XLOOKUP(I584,customers_clean!$A$2:$A$701,customers_clean!$K$2:$K$701)</f>
        <v>441623815</v>
      </c>
      <c r="Q584" s="10" t="str">
        <f t="array" ref="Q584">XLOOKUP(I584,customers_clean!$A$2:$A$701,customers_clean!$N$2:$N$701)</f>
        <v>1623815</v>
      </c>
      <c r="R584" s="9" t="str">
        <f t="array" ref="R584">XLOOKUP(I584,customers_clean!$A$2:$A$701,customers_clean!$Q$2:$Q$701)</f>
        <v>❌ INVALID</v>
      </c>
      <c r="S584" s="10" t="s">
        <v>88</v>
      </c>
      <c r="T584" s="2" t="s">
        <v>26</v>
      </c>
      <c r="U584" s="2" t="s">
        <v>480</v>
      </c>
      <c r="V584" s="2" t="s">
        <v>1063</v>
      </c>
      <c r="W584" s="9" t="str">
        <f t="array" ref="W584">IF(ISNA(XLOOKUP(V584,products_master_corrected!$A$2:$A$151,products_master_corrected!$A$2:$A$151, NA())),
    "❌ MISSING SKU", "✅")</f>
        <v>✅</v>
      </c>
      <c r="X584" s="2" t="s">
        <v>291</v>
      </c>
      <c r="Y584" s="2" t="s">
        <v>167</v>
      </c>
      <c r="Z584" s="10" t="str">
        <f t="shared" si="68"/>
        <v>Monitors</v>
      </c>
      <c r="AA584" s="27">
        <v>5.0</v>
      </c>
      <c r="AB584" s="9" t="s">
        <v>8649</v>
      </c>
      <c r="AC584" s="28">
        <f t="array" ref="AC584">XLOOKUP(V584,products_master_corrected!$A$2:$A$151,products_master_corrected!$E$2:$E$151)</f>
        <v>136.55</v>
      </c>
      <c r="AD584" s="28">
        <f t="shared" si="66"/>
        <v>682.75</v>
      </c>
      <c r="AE584" s="28">
        <f t="array" ref="AE584">XLOOKUP(V584,products_master_corrected!$A$2:$A$151,products_master_corrected!$I$2:$I$151)</f>
        <v>150.53</v>
      </c>
      <c r="AF584" s="29">
        <f t="shared" si="67"/>
        <v>752.65</v>
      </c>
      <c r="AG584" s="32" t="s">
        <v>8660</v>
      </c>
      <c r="AH584" s="2" t="s">
        <v>66</v>
      </c>
      <c r="AI584" s="10" t="s">
        <v>66</v>
      </c>
      <c r="AJ584" s="2" t="s">
        <v>80</v>
      </c>
      <c r="AK584" s="10" t="s">
        <v>80</v>
      </c>
      <c r="AL584" s="2" t="s">
        <v>51</v>
      </c>
    </row>
    <row r="585" ht="15.75" customHeight="1">
      <c r="A585" s="2" t="s">
        <v>5357</v>
      </c>
      <c r="B585" s="12">
        <v>45140.0</v>
      </c>
      <c r="C585" s="2" t="str">
        <f>IFERROR(__xludf.DUMMYFUNCTION("IF(ISNUMBER(B585),TEXT(B585,""yyyy-MM-dd""),REGEXREPLACE(REGEXREPLACE(TO_TEXT(B585),""[^0-9a-zA-Z]+"",""-""),""[^0-9]*$"",""""))"),"2023-08-02")</f>
        <v>2023-08-02</v>
      </c>
      <c r="D585" s="2" t="s">
        <v>8558</v>
      </c>
      <c r="H585" s="10" t="s">
        <v>8558</v>
      </c>
      <c r="I585" s="2" t="s">
        <v>2901</v>
      </c>
      <c r="J585" s="26" t="str">
        <f t="array" ref="J585">IF(ISNA(XLOOKUP(I585,customers_clean!$A$2:$A$701,customers_clean!$A$2:$A$701, NA()) ),
   "❌ MISSING CUSTOMER", "✅")</f>
        <v>✅</v>
      </c>
      <c r="K585" s="2" t="str">
        <f t="array" ref="K585">XLOOKUP(I585,customers_clean!$A$2:$A$701,customers_clean!$C$2:$C$701)</f>
        <v>Adam Lopez</v>
      </c>
      <c r="L585" s="10" t="str">
        <f t="array" ref="L585">XLOOKUP(I585,customers_clean!$A$2:$A$701,customers_clean!$D$2:$D$701)</f>
        <v>Adam Lopez</v>
      </c>
      <c r="M585" s="2" t="str">
        <f t="array" ref="M585">XLOOKUP(I585,customers_clean!$A$2:$A$701,customers_clean!$I$2:$I$701)</f>
        <v>adam.lopez@company.co.uk</v>
      </c>
      <c r="N585" s="10" t="str">
        <f t="array" ref="N585">XLOOKUP(I585,customers_clean!$A$2:$A$701,customers_clean!$H$2:$H$701)</f>
        <v>adam.lopez@company.co.uk</v>
      </c>
      <c r="O585" s="9" t="str">
        <f>IFERROR(__xludf.DUMMYFUNCTION("IF(REGEXMATCH(TRIM(N585),""^[A-Za-z0-9._%+-]+@[A-Za-z0-9.-]+\.[A-Za-z]{2,}$""),""✅ Valid"",""❌ Invalid"")"),"✅ Valid")</f>
        <v>✅ Valid</v>
      </c>
      <c r="P585" s="2">
        <f t="array" ref="P585">XLOOKUP(I585,customers_clean!$A$2:$A$701,customers_clean!$K$2:$K$701)</f>
        <v>441623815</v>
      </c>
      <c r="Q585" s="10" t="str">
        <f t="array" ref="Q585">XLOOKUP(I585,customers_clean!$A$2:$A$701,customers_clean!$N$2:$N$701)</f>
        <v>1623815</v>
      </c>
      <c r="R585" s="9" t="str">
        <f t="array" ref="R585">XLOOKUP(I585,customers_clean!$A$2:$A$701,customers_clean!$Q$2:$Q$701)</f>
        <v>❌ INVALID</v>
      </c>
      <c r="S585" s="10" t="s">
        <v>88</v>
      </c>
      <c r="T585" s="2" t="s">
        <v>802</v>
      </c>
      <c r="U585" s="2" t="s">
        <v>289</v>
      </c>
      <c r="V585" s="2" t="s">
        <v>1063</v>
      </c>
      <c r="W585" s="9" t="str">
        <f t="array" ref="W585">IF(ISNA(XLOOKUP(V585,products_master_corrected!$A$2:$A$151,products_master_corrected!$A$2:$A$151, NA())),
    "❌ MISSING SKU", "✅")</f>
        <v>✅</v>
      </c>
      <c r="X585" s="2" t="s">
        <v>291</v>
      </c>
      <c r="Y585" s="2" t="s">
        <v>167</v>
      </c>
      <c r="Z585" s="10" t="str">
        <f t="shared" si="68"/>
        <v>Monitors</v>
      </c>
      <c r="AA585" s="27">
        <v>2.0</v>
      </c>
      <c r="AB585" s="9" t="s">
        <v>8649</v>
      </c>
      <c r="AC585" s="28">
        <f t="array" ref="AC585">XLOOKUP(V585,products_master_corrected!$A$2:$A$151,products_master_corrected!$E$2:$E$151)</f>
        <v>136.55</v>
      </c>
      <c r="AD585" s="28">
        <f t="shared" si="66"/>
        <v>273.1</v>
      </c>
      <c r="AE585" s="28">
        <f t="array" ref="AE585">XLOOKUP(V585,products_master_corrected!$A$2:$A$151,products_master_corrected!$I$2:$I$151)</f>
        <v>150.53</v>
      </c>
      <c r="AF585" s="29">
        <f t="shared" si="67"/>
        <v>301.06</v>
      </c>
      <c r="AG585" s="32" t="s">
        <v>8660</v>
      </c>
      <c r="AH585" s="2" t="s">
        <v>66</v>
      </c>
      <c r="AI585" s="10" t="s">
        <v>66</v>
      </c>
      <c r="AJ585" s="2" t="s">
        <v>452</v>
      </c>
      <c r="AK585" s="10" t="s">
        <v>261</v>
      </c>
      <c r="AL585" s="2" t="s">
        <v>81</v>
      </c>
    </row>
    <row r="586" ht="15.75" customHeight="1">
      <c r="A586" s="2" t="s">
        <v>3404</v>
      </c>
      <c r="B586" s="12">
        <v>44995.0</v>
      </c>
      <c r="C586" s="2" t="str">
        <f>IFERROR(__xludf.DUMMYFUNCTION("IF(ISNUMBER(B586),TEXT(B586,""yyyy-MM-dd""),REGEXREPLACE(REGEXREPLACE(TO_TEXT(B586),""[^0-9a-zA-Z]+"",""-""),""[^0-9]*$"",""""))"),"2023-03-10")</f>
        <v>2023-03-10</v>
      </c>
      <c r="D586" s="2" t="s">
        <v>6763</v>
      </c>
      <c r="H586" s="10" t="s">
        <v>6763</v>
      </c>
      <c r="I586" s="2" t="s">
        <v>3406</v>
      </c>
      <c r="J586" s="26" t="str">
        <f t="array" ref="J586">IF(ISNA(XLOOKUP(I586,customers_clean!$A$2:$A$701,customers_clean!$A$2:$A$701, NA()) ),
   "❌ MISSING CUSTOMER", "✅")</f>
        <v>✅</v>
      </c>
      <c r="K586" s="2" t="str">
        <f t="array" ref="K586">XLOOKUP(I586,customers_clean!$A$2:$A$701,customers_clean!$C$2:$C$701)</f>
        <v>Ethan Walker</v>
      </c>
      <c r="L586" s="10" t="str">
        <f t="array" ref="L586">XLOOKUP(I586,customers_clean!$A$2:$A$701,customers_clean!$D$2:$D$701)</f>
        <v>Ethan Walker</v>
      </c>
      <c r="M586" s="2" t="str">
        <f t="array" ref="M586">XLOOKUP(I586,customers_clean!$A$2:$A$701,customers_clean!$I$2:$I$701)</f>
        <v>Ethan.Walker@Company.Co.Uk</v>
      </c>
      <c r="N586" s="10" t="str">
        <f t="array" ref="N586">XLOOKUP(I586,customers_clean!$A$2:$A$701,customers_clean!$H$2:$H$701)</f>
        <v>ethan.walker@company.co.uk</v>
      </c>
      <c r="O586" s="9" t="str">
        <f>IFERROR(__xludf.DUMMYFUNCTION("IF(REGEXMATCH(TRIM(N586),""^[A-Za-z0-9._%+-]+@[A-Za-z0-9.-]+\.[A-Za-z]{2,}$""),""✅ Valid"",""❌ Invalid"")"),"✅ Valid")</f>
        <v>✅ Valid</v>
      </c>
      <c r="P586" s="33" t="str">
        <f t="array" ref="P586">XLOOKUP(I586,customers_clean!$A$2:$A$701,customers_clean!$K$2:$K$701)</f>
        <v>48329373752</v>
      </c>
      <c r="Q586" s="10" t="str">
        <f t="array" ref="Q586">XLOOKUP(I586,customers_clean!$A$2:$A$701,customers_clean!$N$2:$N$701)</f>
        <v>329373752</v>
      </c>
      <c r="R586" s="9" t="str">
        <f t="array" ref="R586">XLOOKUP(I586,customers_clean!$A$2:$A$701,customers_clean!$Q$2:$Q$701)</f>
        <v>❌ INVALID</v>
      </c>
      <c r="S586" s="10" t="s">
        <v>608</v>
      </c>
      <c r="T586" s="2" t="s">
        <v>115</v>
      </c>
      <c r="U586" s="2" t="s">
        <v>289</v>
      </c>
      <c r="V586" s="2" t="s">
        <v>1606</v>
      </c>
      <c r="W586" s="9" t="str">
        <f t="array" ref="W586">IF(ISNA(XLOOKUP(V586,products_master_corrected!$A$2:$A$151,products_master_corrected!$A$2:$A$151, NA())),
    "❌ MISSING SKU", "✅")</f>
        <v>✅</v>
      </c>
      <c r="X586" s="2" t="s">
        <v>213</v>
      </c>
      <c r="Y586" s="2" t="s">
        <v>106</v>
      </c>
      <c r="Z586" s="10" t="s">
        <v>368</v>
      </c>
      <c r="AA586" s="27">
        <v>3.0</v>
      </c>
      <c r="AB586" s="9" t="s">
        <v>8649</v>
      </c>
      <c r="AC586" s="28">
        <f t="array" ref="AC586">XLOOKUP(V586,products_master_corrected!$A$2:$A$151,products_master_corrected!$E$2:$E$151)</f>
        <v>1460.15</v>
      </c>
      <c r="AD586" s="28">
        <f t="shared" si="66"/>
        <v>4380.45</v>
      </c>
      <c r="AE586" s="28">
        <f t="array" ref="AE586">XLOOKUP(V586,products_master_corrected!$A$2:$A$151,products_master_corrected!$H$2:$H$151)</f>
        <v>1640.48</v>
      </c>
      <c r="AF586" s="29">
        <f t="shared" si="67"/>
        <v>4921.44</v>
      </c>
      <c r="AG586" s="32" t="s">
        <v>8658</v>
      </c>
      <c r="AH586" s="2" t="s">
        <v>664</v>
      </c>
      <c r="AI586" s="10" t="s">
        <v>66</v>
      </c>
      <c r="AJ586" s="2" t="s">
        <v>80</v>
      </c>
      <c r="AK586" s="10" t="s">
        <v>80</v>
      </c>
      <c r="AL586" s="2" t="s">
        <v>51</v>
      </c>
    </row>
    <row r="587" ht="15.75" customHeight="1">
      <c r="A587" s="2" t="s">
        <v>5492</v>
      </c>
      <c r="B587" s="12">
        <v>45537.0</v>
      </c>
      <c r="C587" s="2" t="str">
        <f>IFERROR(__xludf.DUMMYFUNCTION("IF(ISNUMBER(B587),TEXT(B587,""yyyy-MM-dd""),REGEXREPLACE(REGEXREPLACE(TO_TEXT(B587),""[^0-9a-zA-Z]+"",""-""),""[^0-9]*$"",""""))"),"2024-09-02")</f>
        <v>2024-09-02</v>
      </c>
      <c r="D587" s="2" t="s">
        <v>8814</v>
      </c>
      <c r="H587" s="10" t="s">
        <v>8814</v>
      </c>
      <c r="I587" s="2" t="s">
        <v>3406</v>
      </c>
      <c r="J587" s="26" t="str">
        <f t="array" ref="J587">IF(ISNA(XLOOKUP(I587,customers_clean!$A$2:$A$701,customers_clean!$A$2:$A$701, NA()) ),
   "❌ MISSING CUSTOMER", "✅")</f>
        <v>✅</v>
      </c>
      <c r="K587" s="2" t="str">
        <f t="array" ref="K587">XLOOKUP(I587,customers_clean!$A$2:$A$701,customers_clean!$C$2:$C$701)</f>
        <v>Ethan Walker</v>
      </c>
      <c r="L587" s="10" t="str">
        <f t="array" ref="L587">XLOOKUP(I587,customers_clean!$A$2:$A$701,customers_clean!$D$2:$D$701)</f>
        <v>Ethan Walker</v>
      </c>
      <c r="M587" s="2" t="str">
        <f t="array" ref="M587">XLOOKUP(I587,customers_clean!$A$2:$A$701,customers_clean!$I$2:$I$701)</f>
        <v>Ethan.Walker@Company.Co.Uk</v>
      </c>
      <c r="N587" s="10" t="str">
        <f t="array" ref="N587">XLOOKUP(I587,customers_clean!$A$2:$A$701,customers_clean!$H$2:$H$701)</f>
        <v>ethan.walker@company.co.uk</v>
      </c>
      <c r="O587" s="9" t="str">
        <f>IFERROR(__xludf.DUMMYFUNCTION("IF(REGEXMATCH(TRIM(N587),""^[A-Za-z0-9._%+-]+@[A-Za-z0-9.-]+\.[A-Za-z]{2,}$""),""✅ Valid"",""❌ Invalid"")"),"✅ Valid")</f>
        <v>✅ Valid</v>
      </c>
      <c r="P587" s="33" t="str">
        <f t="array" ref="P587">XLOOKUP(I587,customers_clean!$A$2:$A$701,customers_clean!$K$2:$K$701)</f>
        <v>48329373752</v>
      </c>
      <c r="Q587" s="10" t="str">
        <f t="array" ref="Q587">XLOOKUP(I587,customers_clean!$A$2:$A$701,customers_clean!$N$2:$N$701)</f>
        <v>329373752</v>
      </c>
      <c r="R587" s="9" t="str">
        <f t="array" ref="R587">XLOOKUP(I587,customers_clean!$A$2:$A$701,customers_clean!$Q$2:$Q$701)</f>
        <v>❌ INVALID</v>
      </c>
      <c r="S587" s="10" t="s">
        <v>608</v>
      </c>
      <c r="T587" s="2" t="s">
        <v>26</v>
      </c>
      <c r="U587" s="2" t="s">
        <v>103</v>
      </c>
      <c r="V587" s="2" t="s">
        <v>235</v>
      </c>
      <c r="W587" s="9" t="str">
        <f t="array" ref="W587">IF(ISNA(XLOOKUP(V587,products_master_corrected!$A$2:$A$151,products_master_corrected!$A$2:$A$151, NA())),
    "❌ MISSING SKU", "✅")</f>
        <v>✅</v>
      </c>
      <c r="X587" s="2" t="s">
        <v>768</v>
      </c>
      <c r="Y587" s="2" t="s">
        <v>30</v>
      </c>
      <c r="Z587" s="10" t="s">
        <v>179</v>
      </c>
      <c r="AA587" s="27">
        <v>2.0</v>
      </c>
      <c r="AB587" s="9" t="s">
        <v>8649</v>
      </c>
      <c r="AC587" s="28">
        <f t="array" ref="AC587">XLOOKUP(V587,products_master_corrected!$A$2:$A$151,products_master_corrected!$E$2:$E$151)</f>
        <v>10.17</v>
      </c>
      <c r="AD587" s="28">
        <f t="shared" si="66"/>
        <v>20.34</v>
      </c>
      <c r="AE587" s="28">
        <f t="array" ref="AE587">XLOOKUP(V587,products_master_corrected!$A$2:$A$151,products_master_corrected!$H$2:$H$151)</f>
        <v>11.43</v>
      </c>
      <c r="AF587" s="29">
        <f t="shared" si="67"/>
        <v>22.86</v>
      </c>
      <c r="AG587" s="32" t="s">
        <v>8658</v>
      </c>
      <c r="AH587" s="2" t="s">
        <v>33</v>
      </c>
      <c r="AI587" s="10" t="s">
        <v>181</v>
      </c>
      <c r="AJ587" s="2" t="s">
        <v>432</v>
      </c>
      <c r="AK587" s="10" t="s">
        <v>80</v>
      </c>
    </row>
    <row r="588" ht="15.75" customHeight="1">
      <c r="A588" s="2" t="s">
        <v>3412</v>
      </c>
      <c r="B588" s="12">
        <v>45844.0</v>
      </c>
      <c r="C588" s="2" t="str">
        <f>IFERROR(__xludf.DUMMYFUNCTION("IF(ISNUMBER(B588),TEXT(B588,""yyyy-MM-dd""),REGEXREPLACE(REGEXREPLACE(TO_TEXT(B588),""[^0-9a-zA-Z]+"",""-""),""[^0-9]*$"",""""))"),"2025-07-06")</f>
        <v>2025-07-06</v>
      </c>
      <c r="D588" s="2" t="s">
        <v>7622</v>
      </c>
      <c r="H588" s="10" t="s">
        <v>7622</v>
      </c>
      <c r="I588" s="2" t="s">
        <v>3406</v>
      </c>
      <c r="J588" s="26" t="str">
        <f t="array" ref="J588">IF(ISNA(XLOOKUP(I588,customers_clean!$A$2:$A$701,customers_clean!$A$2:$A$701, NA()) ),
   "❌ MISSING CUSTOMER", "✅")</f>
        <v>✅</v>
      </c>
      <c r="K588" s="2" t="str">
        <f t="array" ref="K588">XLOOKUP(I588,customers_clean!$A$2:$A$701,customers_clean!$C$2:$C$701)</f>
        <v>Ethan Walker</v>
      </c>
      <c r="L588" s="10" t="str">
        <f t="array" ref="L588">XLOOKUP(I588,customers_clean!$A$2:$A$701,customers_clean!$D$2:$D$701)</f>
        <v>Ethan Walker</v>
      </c>
      <c r="M588" s="2" t="str">
        <f t="array" ref="M588">XLOOKUP(I588,customers_clean!$A$2:$A$701,customers_clean!$I$2:$I$701)</f>
        <v>Ethan.Walker@Company.Co.Uk</v>
      </c>
      <c r="N588" s="10" t="str">
        <f t="array" ref="N588">XLOOKUP(I588,customers_clean!$A$2:$A$701,customers_clean!$H$2:$H$701)</f>
        <v>ethan.walker@company.co.uk</v>
      </c>
      <c r="O588" s="9" t="str">
        <f>IFERROR(__xludf.DUMMYFUNCTION("IF(REGEXMATCH(TRIM(N588),""^[A-Za-z0-9._%+-]+@[A-Za-z0-9.-]+\.[A-Za-z]{2,}$""),""✅ Valid"",""❌ Invalid"")"),"✅ Valid")</f>
        <v>✅ Valid</v>
      </c>
      <c r="P588" s="33" t="str">
        <f t="array" ref="P588">XLOOKUP(I588,customers_clean!$A$2:$A$701,customers_clean!$K$2:$K$701)</f>
        <v>48329373752</v>
      </c>
      <c r="Q588" s="10" t="str">
        <f t="array" ref="Q588">XLOOKUP(I588,customers_clean!$A$2:$A$701,customers_clean!$N$2:$N$701)</f>
        <v>329373752</v>
      </c>
      <c r="R588" s="9" t="str">
        <f t="array" ref="R588">XLOOKUP(I588,customers_clean!$A$2:$A$701,customers_clean!$Q$2:$Q$701)</f>
        <v>❌ INVALID</v>
      </c>
      <c r="S588" s="10" t="s">
        <v>608</v>
      </c>
      <c r="T588" s="2" t="s">
        <v>301</v>
      </c>
      <c r="U588" s="2" t="s">
        <v>480</v>
      </c>
      <c r="V588" s="2" t="s">
        <v>513</v>
      </c>
      <c r="W588" s="9" t="str">
        <f t="array" ref="W588">IF(ISNA(XLOOKUP(V588,products_master_corrected!$A$2:$A$151,products_master_corrected!$A$2:$A$151, NA())),
    "❌ MISSING SKU", "✅")</f>
        <v>✅</v>
      </c>
      <c r="X588" s="2" t="s">
        <v>8673</v>
      </c>
      <c r="Y588" s="2" t="s">
        <v>514</v>
      </c>
      <c r="Z588" s="10" t="s">
        <v>514</v>
      </c>
      <c r="AA588" s="27"/>
      <c r="AB588" s="9" t="s">
        <v>8677</v>
      </c>
      <c r="AC588" s="34"/>
      <c r="AD588" s="34"/>
      <c r="AE588" s="34"/>
      <c r="AF588" s="35"/>
      <c r="AG588" s="36" t="s">
        <v>32</v>
      </c>
      <c r="AH588" s="2" t="s">
        <v>66</v>
      </c>
      <c r="AI588" s="10" t="s">
        <v>66</v>
      </c>
      <c r="AJ588" s="2" t="s">
        <v>345</v>
      </c>
      <c r="AK588" s="10" t="s">
        <v>261</v>
      </c>
    </row>
    <row r="589" ht="15.75" customHeight="1">
      <c r="A589" s="2" t="s">
        <v>6112</v>
      </c>
      <c r="B589" s="12">
        <v>45519.0</v>
      </c>
      <c r="C589" s="2" t="str">
        <f>IFERROR(__xludf.DUMMYFUNCTION("IF(ISNUMBER(B589),TEXT(B589,""yyyy-MM-dd""),REGEXREPLACE(REGEXREPLACE(TO_TEXT(B589),""[^0-9a-zA-Z]+"",""-""),""[^0-9]*$"",""""))"),"2024-08-15")</f>
        <v>2024-08-15</v>
      </c>
      <c r="D589" s="2" t="s">
        <v>4275</v>
      </c>
      <c r="H589" s="10" t="s">
        <v>4275</v>
      </c>
      <c r="I589" s="2" t="s">
        <v>3406</v>
      </c>
      <c r="J589" s="26" t="str">
        <f t="array" ref="J589">IF(ISNA(XLOOKUP(I589,customers_clean!$A$2:$A$701,customers_clean!$A$2:$A$701, NA()) ),
   "❌ MISSING CUSTOMER", "✅")</f>
        <v>✅</v>
      </c>
      <c r="K589" s="2" t="str">
        <f t="array" ref="K589">XLOOKUP(I589,customers_clean!$A$2:$A$701,customers_clean!$C$2:$C$701)</f>
        <v>Ethan Walker</v>
      </c>
      <c r="L589" s="10" t="str">
        <f t="array" ref="L589">XLOOKUP(I589,customers_clean!$A$2:$A$701,customers_clean!$D$2:$D$701)</f>
        <v>Ethan Walker</v>
      </c>
      <c r="M589" s="2" t="str">
        <f t="array" ref="M589">XLOOKUP(I589,customers_clean!$A$2:$A$701,customers_clean!$I$2:$I$701)</f>
        <v>Ethan.Walker@Company.Co.Uk</v>
      </c>
      <c r="N589" s="10" t="str">
        <f t="array" ref="N589">XLOOKUP(I589,customers_clean!$A$2:$A$701,customers_clean!$H$2:$H$701)</f>
        <v>ethan.walker@company.co.uk</v>
      </c>
      <c r="O589" s="9" t="str">
        <f>IFERROR(__xludf.DUMMYFUNCTION("IF(REGEXMATCH(TRIM(N589),""^[A-Za-z0-9._%+-]+@[A-Za-z0-9.-]+\.[A-Za-z]{2,}$""),""✅ Valid"",""❌ Invalid"")"),"✅ Valid")</f>
        <v>✅ Valid</v>
      </c>
      <c r="P589" s="33" t="str">
        <f t="array" ref="P589">XLOOKUP(I589,customers_clean!$A$2:$A$701,customers_clean!$K$2:$K$701)</f>
        <v>48329373752</v>
      </c>
      <c r="Q589" s="10" t="str">
        <f t="array" ref="Q589">XLOOKUP(I589,customers_clean!$A$2:$A$701,customers_clean!$N$2:$N$701)</f>
        <v>329373752</v>
      </c>
      <c r="R589" s="9" t="str">
        <f t="array" ref="R589">XLOOKUP(I589,customers_clean!$A$2:$A$701,customers_clean!$Q$2:$Q$701)</f>
        <v>❌ INVALID</v>
      </c>
      <c r="S589" s="10" t="s">
        <v>608</v>
      </c>
      <c r="T589" s="2" t="s">
        <v>26</v>
      </c>
      <c r="U589" s="2" t="s">
        <v>75</v>
      </c>
      <c r="V589" s="2" t="s">
        <v>246</v>
      </c>
      <c r="W589" s="9" t="str">
        <f t="array" ref="W589">IF(ISNA(XLOOKUP(V589,products_master_corrected!$A$2:$A$151,products_master_corrected!$A$2:$A$151, NA())),
    "❌ MISSING SKU", "✅")</f>
        <v>✅</v>
      </c>
      <c r="X589" s="2" t="s">
        <v>1138</v>
      </c>
      <c r="Y589" s="2" t="s">
        <v>248</v>
      </c>
      <c r="Z589" s="10" t="s">
        <v>248</v>
      </c>
      <c r="AA589" s="27">
        <v>1.0</v>
      </c>
      <c r="AB589" s="9" t="s">
        <v>8649</v>
      </c>
      <c r="AC589" s="28">
        <f t="array" ref="AC589">XLOOKUP(V589,products_master_corrected!$A$2:$A$151,products_master_corrected!$E$2:$E$151)</f>
        <v>259.62</v>
      </c>
      <c r="AD589" s="28">
        <f t="shared" ref="AD589:AD591" si="69">AA589*AC589</f>
        <v>259.62</v>
      </c>
      <c r="AE589" s="28">
        <f t="array" ref="AE589">XLOOKUP(V589,products_master_corrected!$A$2:$A$151,products_master_corrected!$H$2:$H$151)</f>
        <v>291.68</v>
      </c>
      <c r="AF589" s="29">
        <f t="shared" ref="AF589:AF591" si="70">AA589*AE589</f>
        <v>291.68</v>
      </c>
      <c r="AG589" s="32" t="s">
        <v>8658</v>
      </c>
      <c r="AH589" s="2" t="s">
        <v>526</v>
      </c>
      <c r="AI589" s="10" t="s">
        <v>49</v>
      </c>
      <c r="AJ589" s="2" t="s">
        <v>294</v>
      </c>
      <c r="AK589" s="10" t="s">
        <v>80</v>
      </c>
      <c r="AL589" s="2" t="s">
        <v>51</v>
      </c>
    </row>
    <row r="590" ht="15.75" customHeight="1">
      <c r="A590" s="2" t="s">
        <v>4977</v>
      </c>
      <c r="B590" s="12">
        <v>45530.0</v>
      </c>
      <c r="C590" s="2" t="str">
        <f>IFERROR(__xludf.DUMMYFUNCTION("IF(ISNUMBER(B590),TEXT(B590,""yyyy-MM-dd""),REGEXREPLACE(REGEXREPLACE(TO_TEXT(B590),""[^0-9a-zA-Z]+"",""-""),""[^0-9]*$"",""""))"),"2024-08-26")</f>
        <v>2024-08-26</v>
      </c>
      <c r="D590" s="2" t="s">
        <v>7812</v>
      </c>
      <c r="H590" s="10" t="s">
        <v>7812</v>
      </c>
      <c r="I590" s="2" t="s">
        <v>3406</v>
      </c>
      <c r="J590" s="26" t="str">
        <f t="array" ref="J590">IF(ISNA(XLOOKUP(I590,customers_clean!$A$2:$A$701,customers_clean!$A$2:$A$701, NA()) ),
   "❌ MISSING CUSTOMER", "✅")</f>
        <v>✅</v>
      </c>
      <c r="K590" s="2" t="str">
        <f t="array" ref="K590">XLOOKUP(I590,customers_clean!$A$2:$A$701,customers_clean!$C$2:$C$701)</f>
        <v>Ethan Walker</v>
      </c>
      <c r="L590" s="10" t="str">
        <f t="array" ref="L590">XLOOKUP(I590,customers_clean!$A$2:$A$701,customers_clean!$D$2:$D$701)</f>
        <v>Ethan Walker</v>
      </c>
      <c r="M590" s="2" t="str">
        <f t="array" ref="M590">XLOOKUP(I590,customers_clean!$A$2:$A$701,customers_clean!$I$2:$I$701)</f>
        <v>Ethan.Walker@Company.Co.Uk</v>
      </c>
      <c r="N590" s="10" t="str">
        <f t="array" ref="N590">XLOOKUP(I590,customers_clean!$A$2:$A$701,customers_clean!$H$2:$H$701)</f>
        <v>ethan.walker@company.co.uk</v>
      </c>
      <c r="O590" s="9" t="str">
        <f>IFERROR(__xludf.DUMMYFUNCTION("IF(REGEXMATCH(TRIM(N590),""^[A-Za-z0-9._%+-]+@[A-Za-z0-9.-]+\.[A-Za-z]{2,}$""),""✅ Valid"",""❌ Invalid"")"),"✅ Valid")</f>
        <v>✅ Valid</v>
      </c>
      <c r="P590" s="33" t="str">
        <f t="array" ref="P590">XLOOKUP(I590,customers_clean!$A$2:$A$701,customers_clean!$K$2:$K$701)</f>
        <v>48329373752</v>
      </c>
      <c r="Q590" s="10" t="str">
        <f t="array" ref="Q590">XLOOKUP(I590,customers_clean!$A$2:$A$701,customers_clean!$N$2:$N$701)</f>
        <v>329373752</v>
      </c>
      <c r="R590" s="9" t="str">
        <f t="array" ref="R590">XLOOKUP(I590,customers_clean!$A$2:$A$701,customers_clean!$Q$2:$Q$701)</f>
        <v>❌ INVALID</v>
      </c>
      <c r="S590" s="10" t="s">
        <v>608</v>
      </c>
      <c r="T590" s="2" t="s">
        <v>2672</v>
      </c>
      <c r="U590" s="2" t="s">
        <v>103</v>
      </c>
      <c r="V590" s="2" t="s">
        <v>1849</v>
      </c>
      <c r="W590" s="9" t="str">
        <f t="array" ref="W590">IF(ISNA(XLOOKUP(V590,products_master_corrected!$A$2:$A$151,products_master_corrected!$A$2:$A$151, NA())),
    "❌ MISSING SKU", "✅")</f>
        <v>✅</v>
      </c>
      <c r="X590" s="2" t="s">
        <v>403</v>
      </c>
      <c r="Y590" s="2" t="s">
        <v>248</v>
      </c>
      <c r="Z590" s="10" t="s">
        <v>248</v>
      </c>
      <c r="AA590" s="27">
        <v>2.0</v>
      </c>
      <c r="AB590" s="9" t="s">
        <v>8649</v>
      </c>
      <c r="AC590" s="28">
        <f t="array" ref="AC590">XLOOKUP(V590,products_master_corrected!$A$2:$A$151,products_master_corrected!$E$2:$E$151)</f>
        <v>46.23</v>
      </c>
      <c r="AD590" s="28">
        <f t="shared" si="69"/>
        <v>92.46</v>
      </c>
      <c r="AE590" s="28">
        <f t="array" ref="AE590">XLOOKUP(V590,products_master_corrected!$A$2:$A$151,products_master_corrected!$H$2:$H$151)</f>
        <v>51.94</v>
      </c>
      <c r="AF590" s="29">
        <f t="shared" si="70"/>
        <v>103.88</v>
      </c>
      <c r="AG590" s="32" t="s">
        <v>8658</v>
      </c>
      <c r="AH590" s="2" t="s">
        <v>1980</v>
      </c>
      <c r="AI590" s="10" t="s">
        <v>49</v>
      </c>
      <c r="AJ590" s="2" t="s">
        <v>192</v>
      </c>
      <c r="AK590" s="10" t="s">
        <v>192</v>
      </c>
      <c r="AL590" s="2" t="s">
        <v>67</v>
      </c>
    </row>
    <row r="591" ht="15.75" customHeight="1">
      <c r="A591" s="2" t="s">
        <v>1896</v>
      </c>
      <c r="B591" s="12" t="s">
        <v>1897</v>
      </c>
      <c r="C591" s="2" t="str">
        <f>IFERROR(__xludf.DUMMYFUNCTION("IF(ISNUMBER(B591),TEXT(B591,""yyyy-MM-dd""),REGEXREPLACE(REGEXREPLACE(TO_TEXT(B591),""[^0-9a-zA-Z]+"",""-""),""[^0-9]*$"",""""))"),"03-20-2025")</f>
        <v>03-20-2025</v>
      </c>
      <c r="D591" s="2" t="str">
        <f>TEXT(C591,"yyyy-MM-dd")</f>
        <v>03-20-2025</v>
      </c>
      <c r="E591" s="2" t="s">
        <v>8881</v>
      </c>
      <c r="H591" s="10" t="s">
        <v>8881</v>
      </c>
      <c r="I591" s="2" t="s">
        <v>1898</v>
      </c>
      <c r="J591" s="26" t="str">
        <f t="array" ref="J591">IF(ISNA(XLOOKUP(I591,customers_clean!$A$2:$A$701,customers_clean!$A$2:$A$701, NA()) ),
   "❌ MISSING CUSTOMER", "✅")</f>
        <v>✅</v>
      </c>
      <c r="K591" s="2" t="str">
        <f t="array" ref="K591">XLOOKUP(I591,customers_clean!$A$2:$A$701,customers_clean!$C$2:$C$701)</f>
        <v>Fiona Johnson </v>
      </c>
      <c r="L591" s="10" t="str">
        <f t="array" ref="L591">XLOOKUP(I591,customers_clean!$A$2:$A$701,customers_clean!$D$2:$D$701)</f>
        <v>Fiona Johnson</v>
      </c>
      <c r="M591" s="2" t="str">
        <f t="array" ref="M591">XLOOKUP(I591,customers_clean!$A$2:$A$701,customers_clean!$I$2:$I$701)</f>
        <v>Fiona.Johnson@Gmail.Com</v>
      </c>
      <c r="N591" s="10" t="str">
        <f t="array" ref="N591">XLOOKUP(I591,customers_clean!$A$2:$A$701,customers_clean!$H$2:$H$701)</f>
        <v>fiona.johnson@gmail.com</v>
      </c>
      <c r="O591" s="9" t="str">
        <f>IFERROR(__xludf.DUMMYFUNCTION("IF(REGEXMATCH(TRIM(N591),""^[A-Za-z0-9._%+-]+@[A-Za-z0-9.-]+\.[A-Za-z]{2,}$""),""✅ Valid"",""❌ Invalid"")"),"✅ Valid")</f>
        <v>✅ Valid</v>
      </c>
      <c r="P591" s="2" t="str">
        <f t="array" ref="P591">XLOOKUP(I591,customers_clean!$A$2:$A$701,customers_clean!$K$2:$K$701)</f>
        <v>+49 31 42 08 14 45 9</v>
      </c>
      <c r="Q591" s="10" t="str">
        <f t="array" ref="Q591">XLOOKUP(I591,customers_clean!$A$2:$A$701,customers_clean!$N$2:$N$701)</f>
        <v>31420814459</v>
      </c>
      <c r="R591" s="9" t="str">
        <f t="array" ref="R591">XLOOKUP(I591,customers_clean!$A$2:$A$701,customers_clean!$Q$2:$Q$701)</f>
        <v>❌ INVALID</v>
      </c>
      <c r="S591" s="10" t="s">
        <v>608</v>
      </c>
      <c r="T591" s="2" t="s">
        <v>59</v>
      </c>
      <c r="U591" s="2" t="s">
        <v>176</v>
      </c>
      <c r="V591" s="2" t="s">
        <v>993</v>
      </c>
      <c r="W591" s="9" t="str">
        <f t="array" ref="W591">IF(ISNA(XLOOKUP(V591,products_master_corrected!$A$2:$A$151,products_master_corrected!$A$2:$A$151, NA())),
    "❌ MISSING SKU", "✅")</f>
        <v>✅</v>
      </c>
      <c r="X591" s="2" t="s">
        <v>994</v>
      </c>
      <c r="Y591" s="2" t="s">
        <v>995</v>
      </c>
      <c r="Z591" s="10" t="s">
        <v>355</v>
      </c>
      <c r="AA591" s="27">
        <v>3.0</v>
      </c>
      <c r="AB591" s="9" t="s">
        <v>8649</v>
      </c>
      <c r="AC591" s="28">
        <f t="array" ref="AC591">XLOOKUP(V591,products_master_corrected!$A$2:$A$151,products_master_corrected!$E$2:$E$151)</f>
        <v>566.38</v>
      </c>
      <c r="AD591" s="28">
        <f t="shared" si="69"/>
        <v>1699.14</v>
      </c>
      <c r="AE591" s="28">
        <f t="array" ref="AE591">XLOOKUP(V591,products_master_corrected!$A$2:$A$151,products_master_corrected!$H$2:$H$151)</f>
        <v>636.33</v>
      </c>
      <c r="AF591" s="29">
        <f t="shared" si="70"/>
        <v>1908.99</v>
      </c>
      <c r="AG591" s="32" t="s">
        <v>8658</v>
      </c>
      <c r="AH591" s="2" t="s">
        <v>66</v>
      </c>
      <c r="AI591" s="10" t="s">
        <v>66</v>
      </c>
      <c r="AJ591" s="2" t="s">
        <v>393</v>
      </c>
      <c r="AK591" s="10" t="s">
        <v>80</v>
      </c>
    </row>
    <row r="592" ht="15.75" customHeight="1">
      <c r="A592" s="2" t="s">
        <v>4057</v>
      </c>
      <c r="B592" s="12">
        <v>45680.0</v>
      </c>
      <c r="C592" s="2" t="str">
        <f>IFERROR(__xludf.DUMMYFUNCTION("IF(ISNUMBER(B592),TEXT(B592,""yyyy-MM-dd""),REGEXREPLACE(REGEXREPLACE(TO_TEXT(B592),""[^0-9a-zA-Z]+"",""-""),""[^0-9]*$"",""""))"),"2025-01-23")</f>
        <v>2025-01-23</v>
      </c>
      <c r="D592" s="2" t="s">
        <v>8882</v>
      </c>
      <c r="H592" s="10" t="s">
        <v>8882</v>
      </c>
      <c r="I592" s="2" t="s">
        <v>1898</v>
      </c>
      <c r="J592" s="26" t="str">
        <f t="array" ref="J592">IF(ISNA(XLOOKUP(I592,customers_clean!$A$2:$A$701,customers_clean!$A$2:$A$701, NA()) ),
   "❌ MISSING CUSTOMER", "✅")</f>
        <v>✅</v>
      </c>
      <c r="K592" s="2" t="str">
        <f t="array" ref="K592">XLOOKUP(I592,customers_clean!$A$2:$A$701,customers_clean!$C$2:$C$701)</f>
        <v>Fiona Johnson </v>
      </c>
      <c r="L592" s="10" t="str">
        <f t="array" ref="L592">XLOOKUP(I592,customers_clean!$A$2:$A$701,customers_clean!$D$2:$D$701)</f>
        <v>Fiona Johnson</v>
      </c>
      <c r="M592" s="2" t="str">
        <f t="array" ref="M592">XLOOKUP(I592,customers_clean!$A$2:$A$701,customers_clean!$I$2:$I$701)</f>
        <v>Fiona.Johnson@Gmail.Com</v>
      </c>
      <c r="N592" s="10" t="str">
        <f t="array" ref="N592">XLOOKUP(I592,customers_clean!$A$2:$A$701,customers_clean!$H$2:$H$701)</f>
        <v>fiona.johnson@gmail.com</v>
      </c>
      <c r="O592" s="9" t="str">
        <f>IFERROR(__xludf.DUMMYFUNCTION("IF(REGEXMATCH(TRIM(N592),""^[A-Za-z0-9._%+-]+@[A-Za-z0-9.-]+\.[A-Za-z]{2,}$""),""✅ Valid"",""❌ Invalid"")"),"✅ Valid")</f>
        <v>✅ Valid</v>
      </c>
      <c r="P592" s="2" t="str">
        <f t="array" ref="P592">XLOOKUP(I592,customers_clean!$A$2:$A$701,customers_clean!$K$2:$K$701)</f>
        <v>+49 31 42 08 14 45 9</v>
      </c>
      <c r="Q592" s="10" t="str">
        <f t="array" ref="Q592">XLOOKUP(I592,customers_clean!$A$2:$A$701,customers_clean!$N$2:$N$701)</f>
        <v>31420814459</v>
      </c>
      <c r="R592" s="9" t="str">
        <f t="array" ref="R592">XLOOKUP(I592,customers_clean!$A$2:$A$701,customers_clean!$Q$2:$Q$701)</f>
        <v>❌ INVALID</v>
      </c>
      <c r="S592" s="10" t="s">
        <v>608</v>
      </c>
      <c r="T592" s="2" t="s">
        <v>223</v>
      </c>
      <c r="U592" s="2" t="s">
        <v>333</v>
      </c>
      <c r="V592" s="2" t="s">
        <v>1146</v>
      </c>
      <c r="W592" s="9" t="str">
        <f t="array" ref="W592">IF(ISNA(XLOOKUP(V592,products_master_corrected!$A$2:$A$151,products_master_corrected!$A$2:$A$151, NA())),
    "❌ MISSING SKU", "✅")</f>
        <v>✅</v>
      </c>
      <c r="X592" s="2" t="s">
        <v>1147</v>
      </c>
      <c r="Y592" s="2" t="s">
        <v>248</v>
      </c>
      <c r="Z592" s="10" t="s">
        <v>248</v>
      </c>
      <c r="AA592" s="27"/>
      <c r="AB592" s="9" t="s">
        <v>8677</v>
      </c>
      <c r="AC592" s="34"/>
      <c r="AD592" s="34"/>
      <c r="AE592" s="34"/>
      <c r="AF592" s="35"/>
      <c r="AG592" s="36" t="s">
        <v>95</v>
      </c>
      <c r="AH592" s="2" t="s">
        <v>238</v>
      </c>
      <c r="AI592" s="10" t="s">
        <v>66</v>
      </c>
      <c r="AJ592" s="2" t="s">
        <v>132</v>
      </c>
      <c r="AK592" s="10" t="s">
        <v>192</v>
      </c>
    </row>
    <row r="593" ht="15.75" customHeight="1">
      <c r="A593" s="2" t="s">
        <v>4387</v>
      </c>
      <c r="B593" s="12">
        <v>45645.0</v>
      </c>
      <c r="C593" s="2" t="str">
        <f>IFERROR(__xludf.DUMMYFUNCTION("IF(ISNUMBER(B593),TEXT(B593,""yyyy-MM-dd""),REGEXREPLACE(REGEXREPLACE(TO_TEXT(B593),""[^0-9a-zA-Z]+"",""-""),""[^0-9]*$"",""""))"),"2024-12-19")</f>
        <v>2024-12-19</v>
      </c>
      <c r="D593" s="2" t="s">
        <v>2168</v>
      </c>
      <c r="H593" s="10" t="s">
        <v>2168</v>
      </c>
      <c r="I593" s="2" t="s">
        <v>1898</v>
      </c>
      <c r="J593" s="26" t="str">
        <f t="array" ref="J593">IF(ISNA(XLOOKUP(I593,customers_clean!$A$2:$A$701,customers_clean!$A$2:$A$701, NA()) ),
   "❌ MISSING CUSTOMER", "✅")</f>
        <v>✅</v>
      </c>
      <c r="K593" s="2" t="str">
        <f t="array" ref="K593">XLOOKUP(I593,customers_clean!$A$2:$A$701,customers_clean!$C$2:$C$701)</f>
        <v>Fiona Johnson </v>
      </c>
      <c r="L593" s="10" t="str">
        <f t="array" ref="L593">XLOOKUP(I593,customers_clean!$A$2:$A$701,customers_clean!$D$2:$D$701)</f>
        <v>Fiona Johnson</v>
      </c>
      <c r="M593" s="2" t="str">
        <f t="array" ref="M593">XLOOKUP(I593,customers_clean!$A$2:$A$701,customers_clean!$I$2:$I$701)</f>
        <v>Fiona.Johnson@Gmail.Com</v>
      </c>
      <c r="N593" s="10" t="str">
        <f t="array" ref="N593">XLOOKUP(I593,customers_clean!$A$2:$A$701,customers_clean!$H$2:$H$701)</f>
        <v>fiona.johnson@gmail.com</v>
      </c>
      <c r="O593" s="9" t="str">
        <f>IFERROR(__xludf.DUMMYFUNCTION("IF(REGEXMATCH(TRIM(N593),""^[A-Za-z0-9._%+-]+@[A-Za-z0-9.-]+\.[A-Za-z]{2,}$""),""✅ Valid"",""❌ Invalid"")"),"✅ Valid")</f>
        <v>✅ Valid</v>
      </c>
      <c r="P593" s="2" t="str">
        <f t="array" ref="P593">XLOOKUP(I593,customers_clean!$A$2:$A$701,customers_clean!$K$2:$K$701)</f>
        <v>+49 31 42 08 14 45 9</v>
      </c>
      <c r="Q593" s="10" t="str">
        <f t="array" ref="Q593">XLOOKUP(I593,customers_clean!$A$2:$A$701,customers_clean!$N$2:$N$701)</f>
        <v>31420814459</v>
      </c>
      <c r="R593" s="9" t="str">
        <f t="array" ref="R593">XLOOKUP(I593,customers_clean!$A$2:$A$701,customers_clean!$Q$2:$Q$701)</f>
        <v>❌ INVALID</v>
      </c>
      <c r="S593" s="10" t="s">
        <v>608</v>
      </c>
      <c r="T593" s="2" t="s">
        <v>115</v>
      </c>
      <c r="U593" s="2" t="s">
        <v>176</v>
      </c>
      <c r="V593" s="2" t="s">
        <v>2605</v>
      </c>
      <c r="W593" s="9" t="str">
        <f t="array" ref="W593">IF(ISNA(XLOOKUP(V593,products_master_corrected!$A$2:$A$151,products_master_corrected!$A$2:$A$151, NA())),
    "❌ MISSING SKU", "✅")</f>
        <v>✅</v>
      </c>
      <c r="X593" s="2" t="s">
        <v>280</v>
      </c>
      <c r="Y593" s="2" t="s">
        <v>292</v>
      </c>
      <c r="Z593" s="10" t="s">
        <v>63</v>
      </c>
      <c r="AA593" s="27">
        <v>5.0</v>
      </c>
      <c r="AB593" s="9" t="s">
        <v>8649</v>
      </c>
      <c r="AC593" s="28">
        <f t="array" ref="AC593">XLOOKUP(V593,products_master_corrected!$A$2:$A$151,products_master_corrected!$E$2:$E$151)</f>
        <v>142.47</v>
      </c>
      <c r="AD593" s="28">
        <f t="shared" ref="AD593:AD640" si="71">AA593*AC593</f>
        <v>712.35</v>
      </c>
      <c r="AE593" s="28">
        <f t="array" ref="AE593">XLOOKUP(V593,products_master_corrected!$A$2:$A$151,products_master_corrected!$H$2:$H$151)</f>
        <v>160.07</v>
      </c>
      <c r="AF593" s="29">
        <f t="shared" ref="AF593:AF640" si="72">AA593*AE593</f>
        <v>800.35</v>
      </c>
      <c r="AG593" s="32" t="s">
        <v>8658</v>
      </c>
      <c r="AH593" s="2" t="s">
        <v>370</v>
      </c>
      <c r="AI593" s="10" t="s">
        <v>143</v>
      </c>
      <c r="AJ593" s="2" t="s">
        <v>4390</v>
      </c>
      <c r="AK593" s="10" t="s">
        <v>818</v>
      </c>
    </row>
    <row r="594" ht="15.75" customHeight="1">
      <c r="A594" s="2" t="s">
        <v>2533</v>
      </c>
      <c r="B594" s="12">
        <v>45178.0</v>
      </c>
      <c r="C594" s="2" t="str">
        <f>IFERROR(__xludf.DUMMYFUNCTION("IF(ISNUMBER(B594),TEXT(B594,""yyyy-MM-dd""),REGEXREPLACE(REGEXREPLACE(TO_TEXT(B594),""[^0-9a-zA-Z]+"",""-""),""[^0-9]*$"",""""))"),"2023-09-09")</f>
        <v>2023-09-09</v>
      </c>
      <c r="D594" s="2" t="s">
        <v>8883</v>
      </c>
      <c r="H594" s="10" t="s">
        <v>8883</v>
      </c>
      <c r="I594" s="2" t="s">
        <v>2535</v>
      </c>
      <c r="J594" s="26" t="str">
        <f t="array" ref="J594">IF(ISNA(XLOOKUP(I594,customers_clean!$A$2:$A$701,customers_clean!$A$2:$A$701, NA()) ),
   "❌ MISSING CUSTOMER", "✅")</f>
        <v>✅</v>
      </c>
      <c r="K594" s="2" t="str">
        <f t="array" ref="K594">XLOOKUP(I594,customers_clean!$A$2:$A$701,customers_clean!$C$2:$C$701)</f>
        <v> Qi Davsi</v>
      </c>
      <c r="L594" s="10" t="str">
        <f t="array" ref="L594">XLOOKUP(I594,customers_clean!$A$2:$A$701,customers_clean!$D$2:$D$701)</f>
        <v>Qi Davis</v>
      </c>
      <c r="M594" s="2" t="str">
        <f t="array" ref="M594">XLOOKUP(I594,customers_clean!$A$2:$A$701,customers_clean!$I$2:$I$701)</f>
        <v>qi.davis@yahoo.com </v>
      </c>
      <c r="N594" s="10" t="str">
        <f t="array" ref="N594">XLOOKUP(I594,customers_clean!$A$2:$A$701,customers_clean!$H$2:$H$701)</f>
        <v>qi.davis@yahoo.com</v>
      </c>
      <c r="O594" s="9" t="str">
        <f>IFERROR(__xludf.DUMMYFUNCTION("IF(REGEXMATCH(TRIM(N594),""^[A-Za-z0-9._%+-]+@[A-Za-z0-9.-]+\.[A-Za-z]{2,}$""),""✅ Valid"",""❌ Invalid"")"),"✅ Valid")</f>
        <v>✅ Valid</v>
      </c>
      <c r="P594" s="2" t="str">
        <f t="array" ref="P594">XLOOKUP(I594,customers_clean!$A$2:$A$701,customers_clean!$K$2:$K$701)</f>
        <v>+39 494-978-837</v>
      </c>
      <c r="Q594" s="10" t="str">
        <f t="array" ref="Q594">XLOOKUP(I594,customers_clean!$A$2:$A$701,customers_clean!$N$2:$N$701)</f>
        <v>494978837</v>
      </c>
      <c r="R594" s="9" t="str">
        <f t="array" ref="R594">XLOOKUP(I594,customers_clean!$A$2:$A$701,customers_clean!$Q$2:$Q$701)</f>
        <v>❌ INVALID</v>
      </c>
      <c r="S594" s="10" t="s">
        <v>88</v>
      </c>
      <c r="T594" s="2" t="s">
        <v>802</v>
      </c>
      <c r="U594" s="2" t="s">
        <v>211</v>
      </c>
      <c r="V594" s="2" t="s">
        <v>2539</v>
      </c>
      <c r="W594" s="9" t="str">
        <f t="array" ref="W594">IF(ISNA(XLOOKUP(V594,products_master_corrected!$A$2:$A$151,products_master_corrected!$A$2:$A$151, NA())),
    "❌ MISSING SKU", "✅")</f>
        <v>✅</v>
      </c>
      <c r="X594" s="2" t="s">
        <v>403</v>
      </c>
      <c r="Y594" s="2" t="s">
        <v>1328</v>
      </c>
      <c r="Z594" s="10" t="s">
        <v>179</v>
      </c>
      <c r="AA594" s="27">
        <v>3.0</v>
      </c>
      <c r="AB594" s="9" t="s">
        <v>8649</v>
      </c>
      <c r="AC594" s="28">
        <f t="array" ref="AC594">XLOOKUP(V594,products_master_corrected!$A$2:$A$151,products_master_corrected!$E$2:$E$151)</f>
        <v>25.41</v>
      </c>
      <c r="AD594" s="28">
        <f t="shared" si="71"/>
        <v>76.23</v>
      </c>
      <c r="AE594" s="28">
        <f t="array" ref="AE594">XLOOKUP(V594,products_master_corrected!$A$2:$A$151,products_master_corrected!$I$2:$I$151)</f>
        <v>28.01</v>
      </c>
      <c r="AF594" s="29">
        <f t="shared" si="72"/>
        <v>84.03</v>
      </c>
      <c r="AG594" s="32" t="s">
        <v>8660</v>
      </c>
      <c r="AH594" s="2" t="s">
        <v>485</v>
      </c>
      <c r="AI594" s="10" t="s">
        <v>181</v>
      </c>
      <c r="AJ594" s="2" t="s">
        <v>527</v>
      </c>
      <c r="AK594" s="10" t="s">
        <v>192</v>
      </c>
    </row>
    <row r="595" ht="15.75" customHeight="1">
      <c r="A595" s="2" t="s">
        <v>3984</v>
      </c>
      <c r="B595" s="12" t="s">
        <v>3985</v>
      </c>
      <c r="C595" s="2" t="str">
        <f>IFERROR(__xludf.DUMMYFUNCTION("IF(ISNUMBER(B595),TEXT(B595,""yyyy-MM-dd""),REGEXREPLACE(REGEXREPLACE(TO_TEXT(B595),""[^0-9a-zA-Z]+"",""-""),""[^0-9]*$"",""""))"),"45161-09-44")</f>
        <v>45161-09-44</v>
      </c>
      <c r="D595" s="2" t="str">
        <f>TEXT(C595,"yyyy-MM-dd")</f>
        <v>45161-09-44</v>
      </c>
      <c r="E595" s="25" t="str">
        <f>CONCATENATE(LEFT(D595,5))</f>
        <v>45161</v>
      </c>
      <c r="F595" s="12">
        <f>DATE(1900,1,1) + E595 - 1</f>
        <v>45162</v>
      </c>
      <c r="G595" s="2" t="s">
        <v>987</v>
      </c>
      <c r="H595" s="10" t="s">
        <v>987</v>
      </c>
      <c r="I595" s="2" t="s">
        <v>3986</v>
      </c>
      <c r="J595" s="26" t="str">
        <f t="array" ref="J595">IF(ISNA(XLOOKUP(I595,customers_clean!$A$2:$A$701,customers_clean!$A$2:$A$701, NA()) ),
   "❌ MISSING CUSTOMER", "✅")</f>
        <v>✅</v>
      </c>
      <c r="K595" s="2" t="str">
        <f t="array" ref="K595">XLOOKUP(I595,customers_clean!$A$2:$A$701,customers_clean!$C$2:$C$701)</f>
        <v>Fiona Dubois </v>
      </c>
      <c r="L595" s="10" t="str">
        <f t="array" ref="L595">XLOOKUP(I595,customers_clean!$A$2:$A$701,customers_clean!$D$2:$D$701)</f>
        <v>Fiona Dubois</v>
      </c>
      <c r="M595" s="2" t="str">
        <f t="array" ref="M595">XLOOKUP(I595,customers_clean!$A$2:$A$701,customers_clean!$I$2:$I$701)</f>
        <v>fiona.dubois@yahoo.com</v>
      </c>
      <c r="N595" s="10" t="str">
        <f t="array" ref="N595">XLOOKUP(I595,customers_clean!$A$2:$A$701,customers_clean!$H$2:$H$701)</f>
        <v>fiona.dubois@yahoo.com</v>
      </c>
      <c r="O595" s="9" t="str">
        <f>IFERROR(__xludf.DUMMYFUNCTION("IF(REGEXMATCH(TRIM(N595),""^[A-Za-z0-9._%+-]+@[A-Za-z0-9.-]+\.[A-Za-z]{2,}$""),""✅ Valid"",""❌ Invalid"")"),"✅ Valid")</f>
        <v>✅ Valid</v>
      </c>
      <c r="P595" s="2" t="str">
        <f t="array" ref="P595">XLOOKUP(I595,customers_clean!$A$2:$A$701,customers_clean!$K$2:$K$701)</f>
        <v>+1 7268-1763-78</v>
      </c>
      <c r="Q595" s="10" t="str">
        <f t="array" ref="Q595">XLOOKUP(I595,customers_clean!$A$2:$A$701,customers_clean!$N$2:$N$701)</f>
        <v>7268176378</v>
      </c>
      <c r="R595" s="9" t="str">
        <f t="array" ref="R595">XLOOKUP(I595,customers_clean!$A$2:$A$701,customers_clean!$Q$2:$Q$701)</f>
        <v>✅ VALID</v>
      </c>
      <c r="S595" s="10" t="s">
        <v>139</v>
      </c>
      <c r="T595" s="2" t="s">
        <v>323</v>
      </c>
      <c r="U595" s="2" t="s">
        <v>176</v>
      </c>
      <c r="V595" s="2" t="s">
        <v>635</v>
      </c>
      <c r="W595" s="9" t="str">
        <f t="array" ref="W595">IF(ISNA(XLOOKUP(V595,products_master_corrected!$A$2:$A$151,products_master_corrected!$A$2:$A$151, NA())),
    "❌ MISSING SKU", "✅")</f>
        <v>✅</v>
      </c>
      <c r="X595" s="2" t="s">
        <v>636</v>
      </c>
      <c r="Y595" s="2" t="s">
        <v>637</v>
      </c>
      <c r="Z595" s="10" t="s">
        <v>514</v>
      </c>
      <c r="AA595" s="27">
        <v>2.0</v>
      </c>
      <c r="AB595" s="9" t="s">
        <v>8649</v>
      </c>
      <c r="AC595" s="28">
        <f t="array" ref="AC595">XLOOKUP(V595,products_master_corrected!$A$2:$A$151,products_master_corrected!$E$2:$E$151)</f>
        <v>30.93</v>
      </c>
      <c r="AD595" s="28">
        <f t="shared" si="71"/>
        <v>61.86</v>
      </c>
      <c r="AE595" s="28">
        <f t="array" ref="AE595">XLOOKUP(V595,products_master_corrected!$A$2:$A$151,products_master_corrected!$L$2:$L$151)</f>
        <v>33.45</v>
      </c>
      <c r="AF595" s="29">
        <f t="shared" si="72"/>
        <v>66.9</v>
      </c>
      <c r="AG595" s="32" t="s">
        <v>8665</v>
      </c>
      <c r="AH595" s="2" t="s">
        <v>66</v>
      </c>
      <c r="AI595" s="10" t="s">
        <v>66</v>
      </c>
      <c r="AJ595" s="2" t="s">
        <v>3991</v>
      </c>
      <c r="AK595" s="10" t="s">
        <v>192</v>
      </c>
      <c r="AL595" s="2" t="s">
        <v>133</v>
      </c>
    </row>
    <row r="596" ht="15.75" customHeight="1">
      <c r="A596" s="2" t="s">
        <v>5165</v>
      </c>
      <c r="B596" s="12">
        <v>45658.0</v>
      </c>
      <c r="C596" s="2" t="str">
        <f>IFERROR(__xludf.DUMMYFUNCTION("IF(ISNUMBER(B596),TEXT(B596,""yyyy-MM-dd""),REGEXREPLACE(REGEXREPLACE(TO_TEXT(B596),""[^0-9a-zA-Z]+"",""-""),""[^0-9]*$"",""""))"),"2025-01-01")</f>
        <v>2025-01-01</v>
      </c>
      <c r="D596" s="2" t="s">
        <v>8884</v>
      </c>
      <c r="H596" s="10" t="s">
        <v>8884</v>
      </c>
      <c r="I596" s="2" t="s">
        <v>3986</v>
      </c>
      <c r="J596" s="26" t="str">
        <f t="array" ref="J596">IF(ISNA(XLOOKUP(I596,customers_clean!$A$2:$A$701,customers_clean!$A$2:$A$701, NA()) ),
   "❌ MISSING CUSTOMER", "✅")</f>
        <v>✅</v>
      </c>
      <c r="K596" s="2" t="str">
        <f t="array" ref="K596">XLOOKUP(I596,customers_clean!$A$2:$A$701,customers_clean!$C$2:$C$701)</f>
        <v>Fiona Dubois </v>
      </c>
      <c r="L596" s="10" t="str">
        <f t="array" ref="L596">XLOOKUP(I596,customers_clean!$A$2:$A$701,customers_clean!$D$2:$D$701)</f>
        <v>Fiona Dubois</v>
      </c>
      <c r="M596" s="2" t="str">
        <f t="array" ref="M596">XLOOKUP(I596,customers_clean!$A$2:$A$701,customers_clean!$I$2:$I$701)</f>
        <v>fiona.dubois@yahoo.com</v>
      </c>
      <c r="N596" s="10" t="str">
        <f t="array" ref="N596">XLOOKUP(I596,customers_clean!$A$2:$A$701,customers_clean!$H$2:$H$701)</f>
        <v>fiona.dubois@yahoo.com</v>
      </c>
      <c r="O596" s="9" t="str">
        <f>IFERROR(__xludf.DUMMYFUNCTION("IF(REGEXMATCH(TRIM(N596),""^[A-Za-z0-9._%+-]+@[A-Za-z0-9.-]+\.[A-Za-z]{2,}$""),""✅ Valid"",""❌ Invalid"")"),"✅ Valid")</f>
        <v>✅ Valid</v>
      </c>
      <c r="P596" s="2" t="str">
        <f t="array" ref="P596">XLOOKUP(I596,customers_clean!$A$2:$A$701,customers_clean!$K$2:$K$701)</f>
        <v>+1 7268-1763-78</v>
      </c>
      <c r="Q596" s="10" t="str">
        <f t="array" ref="Q596">XLOOKUP(I596,customers_clean!$A$2:$A$701,customers_clean!$N$2:$N$701)</f>
        <v>7268176378</v>
      </c>
      <c r="R596" s="9" t="str">
        <f t="array" ref="R596">XLOOKUP(I596,customers_clean!$A$2:$A$701,customers_clean!$Q$2:$Q$701)</f>
        <v>✅ VALID</v>
      </c>
      <c r="S596" s="10" t="s">
        <v>139</v>
      </c>
      <c r="T596" s="2" t="s">
        <v>323</v>
      </c>
      <c r="U596" s="2" t="s">
        <v>401</v>
      </c>
      <c r="V596" s="2" t="s">
        <v>740</v>
      </c>
      <c r="W596" s="9" t="str">
        <f t="array" ref="W596">IF(ISNA(XLOOKUP(V596,products_master_corrected!$A$2:$A$151,products_master_corrected!$A$2:$A$151, NA())),
    "❌ MISSING SKU", "✅")</f>
        <v>✅</v>
      </c>
      <c r="X596" s="2" t="s">
        <v>741</v>
      </c>
      <c r="Y596" s="2" t="s">
        <v>742</v>
      </c>
      <c r="Z596" s="10" t="s">
        <v>355</v>
      </c>
      <c r="AA596" s="27">
        <v>2.0</v>
      </c>
      <c r="AB596" s="9" t="s">
        <v>8649</v>
      </c>
      <c r="AC596" s="28">
        <f t="array" ref="AC596">XLOOKUP(V596,products_master_corrected!$A$2:$A$151,products_master_corrected!$E$2:$E$151)</f>
        <v>35.77</v>
      </c>
      <c r="AD596" s="28">
        <f t="shared" si="71"/>
        <v>71.54</v>
      </c>
      <c r="AE596" s="28">
        <f t="array" ref="AE596">XLOOKUP(V596,products_master_corrected!$A$2:$A$151,products_master_corrected!$L$2:$L$151)</f>
        <v>38.69</v>
      </c>
      <c r="AF596" s="29">
        <f t="shared" si="72"/>
        <v>77.38</v>
      </c>
      <c r="AG596" s="32" t="s">
        <v>8665</v>
      </c>
      <c r="AH596" s="2" t="s">
        <v>505</v>
      </c>
      <c r="AI596" s="10" t="s">
        <v>181</v>
      </c>
      <c r="AJ596" s="2" t="s">
        <v>192</v>
      </c>
      <c r="AK596" s="10" t="s">
        <v>192</v>
      </c>
      <c r="AL596" s="2" t="s">
        <v>133</v>
      </c>
    </row>
    <row r="597" ht="15.75" customHeight="1">
      <c r="A597" s="2" t="s">
        <v>732</v>
      </c>
      <c r="B597" s="12">
        <v>45816.0</v>
      </c>
      <c r="C597" s="2" t="str">
        <f>IFERROR(__xludf.DUMMYFUNCTION("IF(ISNUMBER(B597),TEXT(B597,""yyyy-MM-dd""),REGEXREPLACE(REGEXREPLACE(TO_TEXT(B597),""[^0-9a-zA-Z]+"",""-""),""[^0-9]*$"",""""))"),"2025-06-08")</f>
        <v>2025-06-08</v>
      </c>
      <c r="D597" s="2" t="s">
        <v>733</v>
      </c>
      <c r="H597" s="10" t="s">
        <v>733</v>
      </c>
      <c r="I597" s="2" t="s">
        <v>734</v>
      </c>
      <c r="J597" s="26" t="str">
        <f t="array" ref="J597">IF(ISNA(XLOOKUP(I597,customers_clean!$A$2:$A$701,customers_clean!$A$2:$A$701, NA()) ),
   "❌ MISSING CUSTOMER", "✅")</f>
        <v>✅</v>
      </c>
      <c r="K597" s="2" t="str">
        <f t="array" ref="K597">XLOOKUP(I597,customers_clean!$A$2:$A$701,customers_clean!$C$2:$C$701)</f>
        <v>Adam Martinez</v>
      </c>
      <c r="L597" s="10" t="str">
        <f t="array" ref="L597">XLOOKUP(I597,customers_clean!$A$2:$A$701,customers_clean!$D$2:$D$701)</f>
        <v>Adam Martinez</v>
      </c>
      <c r="M597" s="2" t="str">
        <f t="array" ref="M597">XLOOKUP(I597,customers_clean!$A$2:$A$701,customers_clean!$I$2:$I$701)</f>
        <v> adam.martinez@outlook.com</v>
      </c>
      <c r="N597" s="10" t="str">
        <f t="array" ref="N597">XLOOKUP(I597,customers_clean!$A$2:$A$701,customers_clean!$H$2:$H$701)</f>
        <v>adam.martinez@outlook.com</v>
      </c>
      <c r="O597" s="9" t="str">
        <f>IFERROR(__xludf.DUMMYFUNCTION("IF(REGEXMATCH(TRIM(N597),""^[A-Za-z0-9._%+-]+@[A-Za-z0-9.-]+\.[A-Za-z]{2,}$""),""✅ Valid"",""❌ Invalid"")"),"✅ Valid")</f>
        <v>✅ Valid</v>
      </c>
      <c r="P597" s="2" t="str">
        <f t="array" ref="P597">XLOOKUP(I597,customers_clean!$A$2:$A$701,customers_clean!$K$2:$K$701)</f>
        <v>+44 46 44 35 61 71 ext 55</v>
      </c>
      <c r="Q597" s="10" t="str">
        <f t="array" ref="Q597">XLOOKUP(I597,customers_clean!$A$2:$A$701,customers_clean!$N$2:$N$701)</f>
        <v>4644356171</v>
      </c>
      <c r="R597" s="9" t="str">
        <f t="array" ref="R597">XLOOKUP(I597,customers_clean!$A$2:$A$701,customers_clean!$Q$2:$Q$701)</f>
        <v>❌ INVALID</v>
      </c>
      <c r="S597" s="10" t="s">
        <v>25</v>
      </c>
      <c r="T597" s="2" t="s">
        <v>234</v>
      </c>
      <c r="U597" s="2" t="s">
        <v>739</v>
      </c>
      <c r="V597" s="2" t="s">
        <v>740</v>
      </c>
      <c r="W597" s="9" t="str">
        <f t="array" ref="W597">IF(ISNA(XLOOKUP(V597,products_master_corrected!$A$2:$A$151,products_master_corrected!$A$2:$A$151, NA())),
    "❌ MISSING SKU", "✅")</f>
        <v>✅</v>
      </c>
      <c r="X597" s="2" t="s">
        <v>741</v>
      </c>
      <c r="Y597" s="2" t="s">
        <v>742</v>
      </c>
      <c r="Z597" s="10" t="s">
        <v>355</v>
      </c>
      <c r="AA597" s="27">
        <v>2.0</v>
      </c>
      <c r="AB597" s="9" t="s">
        <v>8649</v>
      </c>
      <c r="AC597" s="28">
        <f t="array" ref="AC597">XLOOKUP(V597,products_master_corrected!$A$2:$A$151,products_master_corrected!$E$2:$E$151)</f>
        <v>35.77</v>
      </c>
      <c r="AD597" s="28">
        <f t="shared" si="71"/>
        <v>71.54</v>
      </c>
      <c r="AE597" s="28">
        <f t="array" ref="AE597">XLOOKUP(V597,products_master_corrected!$A$2:$A$151,products_master_corrected!$K$2:$K$151)</f>
        <v>184.04</v>
      </c>
      <c r="AF597" s="29">
        <f t="shared" si="72"/>
        <v>368.08</v>
      </c>
      <c r="AG597" s="30" t="s">
        <v>95</v>
      </c>
      <c r="AH597" s="2" t="s">
        <v>414</v>
      </c>
      <c r="AI597" s="10" t="s">
        <v>49</v>
      </c>
      <c r="AJ597" s="2" t="s">
        <v>192</v>
      </c>
      <c r="AK597" s="10" t="s">
        <v>192</v>
      </c>
    </row>
    <row r="598" ht="15.75" customHeight="1">
      <c r="A598" s="2" t="s">
        <v>1217</v>
      </c>
      <c r="B598" s="12">
        <v>45801.39513888889</v>
      </c>
      <c r="C598" s="2" t="str">
        <f>IFERROR(__xludf.DUMMYFUNCTION("IF(ISNUMBER(B598),TEXT(B598,""yyyy-MM-dd""),REGEXREPLACE(REGEXREPLACE(TO_TEXT(B598),""[^0-9a-zA-Z]+"",""-""),""[^0-9]*$"",""""))"),"2025-05-24")</f>
        <v>2025-05-24</v>
      </c>
      <c r="D598" s="2" t="s">
        <v>7221</v>
      </c>
      <c r="H598" s="10" t="s">
        <v>7221</v>
      </c>
      <c r="I598" s="2" t="s">
        <v>734</v>
      </c>
      <c r="J598" s="26" t="str">
        <f t="array" ref="J598">IF(ISNA(XLOOKUP(I598,customers_clean!$A$2:$A$701,customers_clean!$A$2:$A$701, NA()) ),
   "❌ MISSING CUSTOMER", "✅")</f>
        <v>✅</v>
      </c>
      <c r="K598" s="2" t="str">
        <f t="array" ref="K598">XLOOKUP(I598,customers_clean!$A$2:$A$701,customers_clean!$C$2:$C$701)</f>
        <v>Adam Martinez</v>
      </c>
      <c r="L598" s="10" t="str">
        <f t="array" ref="L598">XLOOKUP(I598,customers_clean!$A$2:$A$701,customers_clean!$D$2:$D$701)</f>
        <v>Adam Martinez</v>
      </c>
      <c r="M598" s="2" t="str">
        <f t="array" ref="M598">XLOOKUP(I598,customers_clean!$A$2:$A$701,customers_clean!$I$2:$I$701)</f>
        <v> adam.martinez@outlook.com</v>
      </c>
      <c r="N598" s="10" t="str">
        <f t="array" ref="N598">XLOOKUP(I598,customers_clean!$A$2:$A$701,customers_clean!$H$2:$H$701)</f>
        <v>adam.martinez@outlook.com</v>
      </c>
      <c r="O598" s="9" t="str">
        <f>IFERROR(__xludf.DUMMYFUNCTION("IF(REGEXMATCH(TRIM(N598),""^[A-Za-z0-9._%+-]+@[A-Za-z0-9.-]+\.[A-Za-z]{2,}$""),""✅ Valid"",""❌ Invalid"")"),"✅ Valid")</f>
        <v>✅ Valid</v>
      </c>
      <c r="P598" s="2" t="str">
        <f t="array" ref="P598">XLOOKUP(I598,customers_clean!$A$2:$A$701,customers_clean!$K$2:$K$701)</f>
        <v>+44 46 44 35 61 71 ext 55</v>
      </c>
      <c r="Q598" s="10" t="str">
        <f t="array" ref="Q598">XLOOKUP(I598,customers_clean!$A$2:$A$701,customers_clean!$N$2:$N$701)</f>
        <v>4644356171</v>
      </c>
      <c r="R598" s="9" t="str">
        <f t="array" ref="R598">XLOOKUP(I598,customers_clean!$A$2:$A$701,customers_clean!$Q$2:$Q$701)</f>
        <v>❌ INVALID</v>
      </c>
      <c r="S598" s="10" t="s">
        <v>25</v>
      </c>
      <c r="T598" s="2" t="s">
        <v>74</v>
      </c>
      <c r="U598" s="2" t="s">
        <v>1219</v>
      </c>
      <c r="V598" s="2" t="s">
        <v>1063</v>
      </c>
      <c r="W598" s="9" t="str">
        <f t="array" ref="W598">IF(ISNA(XLOOKUP(V598,products_master_corrected!$A$2:$A$151,products_master_corrected!$A$2:$A$151, NA())),
    "❌ MISSING SKU", "✅")</f>
        <v>✅</v>
      </c>
      <c r="X598" s="2" t="s">
        <v>291</v>
      </c>
      <c r="Y598" s="2" t="s">
        <v>167</v>
      </c>
      <c r="Z598" s="10" t="str">
        <f>PROPER(TRIM(Y598))</f>
        <v>Monitors</v>
      </c>
      <c r="AA598" s="27">
        <v>1.0</v>
      </c>
      <c r="AB598" s="9" t="s">
        <v>8649</v>
      </c>
      <c r="AC598" s="28">
        <f t="array" ref="AC598">XLOOKUP(V598,products_master_corrected!$A$2:$A$151,products_master_corrected!$E$2:$E$151)</f>
        <v>136.55</v>
      </c>
      <c r="AD598" s="28">
        <f t="shared" si="71"/>
        <v>136.55</v>
      </c>
      <c r="AE598" s="28">
        <f t="array" ref="AE598">XLOOKUP(V598,products_master_corrected!$A$2:$A$151,products_master_corrected!$K$2:$K$151)</f>
        <v>702.55</v>
      </c>
      <c r="AF598" s="29">
        <f t="shared" si="72"/>
        <v>702.55</v>
      </c>
      <c r="AG598" s="30" t="s">
        <v>95</v>
      </c>
      <c r="AH598" s="2" t="s">
        <v>181</v>
      </c>
      <c r="AI598" s="10" t="s">
        <v>181</v>
      </c>
      <c r="AJ598" s="2" t="s">
        <v>1221</v>
      </c>
      <c r="AK598" s="10" t="s">
        <v>80</v>
      </c>
      <c r="AL598" s="2" t="s">
        <v>81</v>
      </c>
    </row>
    <row r="599" ht="15.75" customHeight="1">
      <c r="A599" s="2" t="s">
        <v>4796</v>
      </c>
      <c r="B599" s="12" t="s">
        <v>4797</v>
      </c>
      <c r="C599" s="2" t="str">
        <f>IFERROR(__xludf.DUMMYFUNCTION("IF(ISNUMBER(B599),TEXT(B599,""yyyy-MM-dd""),REGEXREPLACE(REGEXREPLACE(TO_TEXT(B599),""[^0-9a-zA-Z]+"",""-""),""[^0-9]*$"",""""))"),"01-04-2025")</f>
        <v>01-04-2025</v>
      </c>
      <c r="D599" s="2" t="s">
        <v>7874</v>
      </c>
      <c r="H599" s="10" t="s">
        <v>7874</v>
      </c>
      <c r="I599" s="2" t="s">
        <v>4798</v>
      </c>
      <c r="J599" s="26" t="str">
        <f t="array" ref="J599">IF(ISNA(XLOOKUP(I599,customers_clean!$A$2:$A$701,customers_clean!$A$2:$A$701, NA()) ),
   "❌ MISSING CUSTOMER", "✅")</f>
        <v>✅</v>
      </c>
      <c r="K599" s="2" t="str">
        <f t="array" ref="K599">XLOOKUP(I599,customers_clean!$A$2:$A$701,customers_clean!$C$2:$C$701)</f>
        <v>Qi Lee</v>
      </c>
      <c r="L599" s="10" t="str">
        <f t="array" ref="L599">XLOOKUP(I599,customers_clean!$A$2:$A$701,customers_clean!$D$2:$D$701)</f>
        <v>Qi Lee</v>
      </c>
      <c r="M599" s="2" t="str">
        <f t="array" ref="M599">XLOOKUP(I599,customers_clean!$A$2:$A$701,customers_clean!$I$2:$I$701)</f>
        <v/>
      </c>
      <c r="N599" s="10" t="str">
        <f t="array" ref="N599">XLOOKUP(I599,customers_clean!$A$2:$A$701,customers_clean!$H$2:$H$701)</f>
        <v/>
      </c>
      <c r="O599" s="9" t="str">
        <f>IFERROR(__xludf.DUMMYFUNCTION("IF(REGEXMATCH(TRIM(N599),""^[A-Za-z0-9._%+-]+@[A-Za-z0-9.-]+\.[A-Za-z]{2,}$""),""✅ Valid"",""❌ Invalid"")"),"❌ Invalid")</f>
        <v>❌ Invalid</v>
      </c>
      <c r="P599" s="2" t="str">
        <f t="array" ref="P599">XLOOKUP(I599,customers_clean!$A$2:$A$701,customers_clean!$K$2:$K$701)</f>
        <v> +1-824-934-1719</v>
      </c>
      <c r="Q599" s="10" t="str">
        <f t="array" ref="Q599">XLOOKUP(I599,customers_clean!$A$2:$A$701,customers_clean!$N$2:$N$701)</f>
        <v/>
      </c>
      <c r="R599" s="9" t="str">
        <f t="array" ref="R599">XLOOKUP(I599,customers_clean!$A$2:$A$701,customers_clean!$Q$2:$Q$701)</f>
        <v/>
      </c>
      <c r="S599" s="10" t="s">
        <v>88</v>
      </c>
      <c r="T599" s="2" t="s">
        <v>26</v>
      </c>
      <c r="U599" s="2" t="s">
        <v>43</v>
      </c>
      <c r="V599" s="2" t="s">
        <v>1085</v>
      </c>
      <c r="W599" s="9" t="str">
        <f t="array" ref="W599">IF(ISNA(XLOOKUP(V599,products_master_corrected!$A$2:$A$151,products_master_corrected!$A$2:$A$151, NA())),
    "❌ MISSING SKU", "✅")</f>
        <v>✅</v>
      </c>
      <c r="X599" s="2" t="s">
        <v>29</v>
      </c>
      <c r="Y599" s="2" t="s">
        <v>368</v>
      </c>
      <c r="Z599" s="10" t="s">
        <v>368</v>
      </c>
      <c r="AA599" s="27">
        <v>1.0</v>
      </c>
      <c r="AB599" s="9" t="s">
        <v>8649</v>
      </c>
      <c r="AC599" s="28">
        <f t="array" ref="AC599">XLOOKUP(V599,products_master_corrected!$A$2:$A$151,products_master_corrected!$E$2:$E$151)</f>
        <v>171.42</v>
      </c>
      <c r="AD599" s="28">
        <f t="shared" si="71"/>
        <v>171.42</v>
      </c>
      <c r="AE599" s="28">
        <f t="array" ref="AE599">XLOOKUP(V599,products_master_corrected!$A$2:$A$151,products_master_corrected!$I$2:$I$151)</f>
        <v>188.97</v>
      </c>
      <c r="AF599" s="29">
        <f t="shared" si="72"/>
        <v>188.97</v>
      </c>
      <c r="AG599" s="32" t="s">
        <v>8660</v>
      </c>
      <c r="AH599" s="2" t="s">
        <v>573</v>
      </c>
      <c r="AI599" s="10" t="s">
        <v>66</v>
      </c>
      <c r="AJ599" s="2" t="s">
        <v>261</v>
      </c>
      <c r="AK599" s="10" t="s">
        <v>261</v>
      </c>
      <c r="AL599" s="2" t="s">
        <v>67</v>
      </c>
    </row>
    <row r="600" ht="15.75" customHeight="1">
      <c r="A600" s="2" t="s">
        <v>906</v>
      </c>
      <c r="B600" s="12">
        <v>45190.59652777778</v>
      </c>
      <c r="C600" s="2" t="str">
        <f>IFERROR(__xludf.DUMMYFUNCTION("IF(ISNUMBER(B600),TEXT(B600,""yyyy-MM-dd""),REGEXREPLACE(REGEXREPLACE(TO_TEXT(B600),""[^0-9a-zA-Z]+"",""-""),""[^0-9]*$"",""""))"),"2023-09-21")</f>
        <v>2023-09-21</v>
      </c>
      <c r="D600" s="2" t="s">
        <v>8885</v>
      </c>
      <c r="H600" s="10" t="s">
        <v>8885</v>
      </c>
      <c r="I600" s="2" t="s">
        <v>908</v>
      </c>
      <c r="J600" s="26" t="str">
        <f t="array" ref="J600">IF(ISNA(XLOOKUP(I600,customers_clean!$A$2:$A$701,customers_clean!$A$2:$A$701, NA()) ),
   "❌ MISSING CUSTOMER", "✅")</f>
        <v>✅</v>
      </c>
      <c r="K600" s="2" t="str">
        <f t="array" ref="K600">XLOOKUP(I600,customers_clean!$A$2:$A$701,customers_clean!$C$2:$C$701)</f>
        <v>Uma Kowalczyk</v>
      </c>
      <c r="L600" s="10" t="str">
        <f t="array" ref="L600">XLOOKUP(I600,customers_clean!$A$2:$A$701,customers_clean!$D$2:$D$701)</f>
        <v>Uma Kowalczyk</v>
      </c>
      <c r="M600" s="2" t="str">
        <f t="array" ref="M600">XLOOKUP(I600,customers_clean!$A$2:$A$701,customers_clean!$I$2:$I$701)</f>
        <v>uma.kowalczyk@example.com</v>
      </c>
      <c r="N600" s="10" t="str">
        <f t="array" ref="N600">XLOOKUP(I600,customers_clean!$A$2:$A$701,customers_clean!$H$2:$H$701)</f>
        <v>uma.kowalczyk@example.com</v>
      </c>
      <c r="O600" s="9" t="str">
        <f>IFERROR(__xludf.DUMMYFUNCTION("IF(REGEXMATCH(TRIM(N600),""^[A-Za-z0-9._%+-]+@[A-Za-z0-9.-]+\.[A-Za-z]{2,}$""),""✅ Valid"",""❌ Invalid"")"),"✅ Valid")</f>
        <v>✅ Valid</v>
      </c>
      <c r="P600" s="2" t="str">
        <f t="array" ref="P600">XLOOKUP(I600,customers_clean!$A$2:$A$701,customers_clean!$K$2:$K$701)</f>
        <v>+33935012211 ext 619</v>
      </c>
      <c r="Q600" s="10" t="str">
        <f t="array" ref="Q600">XLOOKUP(I600,customers_clean!$A$2:$A$701,customers_clean!$N$2:$N$701)</f>
        <v>935012211</v>
      </c>
      <c r="R600" s="9" t="str">
        <f t="array" ref="R600">XLOOKUP(I600,customers_clean!$A$2:$A$701,customers_clean!$Q$2:$Q$701)</f>
        <v>❌ INVALID</v>
      </c>
      <c r="S600" s="10" t="s">
        <v>88</v>
      </c>
      <c r="T600" s="2" t="s">
        <v>152</v>
      </c>
      <c r="U600" s="2" t="s">
        <v>176</v>
      </c>
      <c r="V600" s="2" t="s">
        <v>513</v>
      </c>
      <c r="W600" s="9" t="str">
        <f t="array" ref="W600">IF(ISNA(XLOOKUP(V600,products_master_corrected!$A$2:$A$151,products_master_corrected!$A$2:$A$151, NA())),
    "❌ MISSING SKU", "✅")</f>
        <v>✅</v>
      </c>
      <c r="X600" s="2" t="s">
        <v>8673</v>
      </c>
      <c r="Y600" s="2" t="s">
        <v>514</v>
      </c>
      <c r="Z600" s="10" t="s">
        <v>514</v>
      </c>
      <c r="AA600" s="27">
        <v>3.0</v>
      </c>
      <c r="AB600" s="9" t="s">
        <v>8649</v>
      </c>
      <c r="AC600" s="28">
        <f t="array" ref="AC600">XLOOKUP(V600,products_master_corrected!$A$2:$A$151,products_master_corrected!$E$2:$E$151)</f>
        <v>275.56</v>
      </c>
      <c r="AD600" s="28">
        <f t="shared" si="71"/>
        <v>826.68</v>
      </c>
      <c r="AE600" s="28">
        <f t="array" ref="AE600">XLOOKUP(V600,products_master_corrected!$A$2:$A$151,products_master_corrected!$I$2:$I$151)</f>
        <v>303.78</v>
      </c>
      <c r="AF600" s="29">
        <f t="shared" si="72"/>
        <v>911.34</v>
      </c>
      <c r="AG600" s="32" t="s">
        <v>8660</v>
      </c>
      <c r="AH600" s="2" t="s">
        <v>664</v>
      </c>
      <c r="AI600" s="10" t="s">
        <v>66</v>
      </c>
      <c r="AJ600" s="2" t="s">
        <v>345</v>
      </c>
      <c r="AK600" s="10" t="s">
        <v>261</v>
      </c>
      <c r="AL600" s="2" t="s">
        <v>51</v>
      </c>
    </row>
    <row r="601" ht="15.75" customHeight="1">
      <c r="A601" s="2" t="s">
        <v>1854</v>
      </c>
      <c r="B601" s="12">
        <v>45774.645833333336</v>
      </c>
      <c r="C601" s="2" t="str">
        <f>IFERROR(__xludf.DUMMYFUNCTION("IF(ISNUMBER(B601),TEXT(B601,""yyyy-MM-dd""),REGEXREPLACE(REGEXREPLACE(TO_TEXT(B601),""[^0-9a-zA-Z]+"",""-""),""[^0-9]*$"",""""))"),"2025-04-27")</f>
        <v>2025-04-27</v>
      </c>
      <c r="D601" s="2" t="s">
        <v>3564</v>
      </c>
      <c r="H601" s="10" t="s">
        <v>3564</v>
      </c>
      <c r="I601" s="2" t="s">
        <v>908</v>
      </c>
      <c r="J601" s="26" t="str">
        <f t="array" ref="J601">IF(ISNA(XLOOKUP(I601,customers_clean!$A$2:$A$701,customers_clean!$A$2:$A$701, NA()) ),
   "❌ MISSING CUSTOMER", "✅")</f>
        <v>✅</v>
      </c>
      <c r="K601" s="2" t="str">
        <f t="array" ref="K601">XLOOKUP(I601,customers_clean!$A$2:$A$701,customers_clean!$C$2:$C$701)</f>
        <v>Uma Kowalczyk</v>
      </c>
      <c r="L601" s="10" t="str">
        <f t="array" ref="L601">XLOOKUP(I601,customers_clean!$A$2:$A$701,customers_clean!$D$2:$D$701)</f>
        <v>Uma Kowalczyk</v>
      </c>
      <c r="M601" s="2" t="str">
        <f t="array" ref="M601">XLOOKUP(I601,customers_clean!$A$2:$A$701,customers_clean!$I$2:$I$701)</f>
        <v>uma.kowalczyk@example.com</v>
      </c>
      <c r="N601" s="10" t="str">
        <f t="array" ref="N601">XLOOKUP(I601,customers_clean!$A$2:$A$701,customers_clean!$H$2:$H$701)</f>
        <v>uma.kowalczyk@example.com</v>
      </c>
      <c r="O601" s="9" t="str">
        <f>IFERROR(__xludf.DUMMYFUNCTION("IF(REGEXMATCH(TRIM(N601),""^[A-Za-z0-9._%+-]+@[A-Za-z0-9.-]+\.[A-Za-z]{2,}$""),""✅ Valid"",""❌ Invalid"")"),"✅ Valid")</f>
        <v>✅ Valid</v>
      </c>
      <c r="P601" s="2" t="str">
        <f t="array" ref="P601">XLOOKUP(I601,customers_clean!$A$2:$A$701,customers_clean!$K$2:$K$701)</f>
        <v>+33935012211 ext 619</v>
      </c>
      <c r="Q601" s="10" t="str">
        <f t="array" ref="Q601">XLOOKUP(I601,customers_clean!$A$2:$A$701,customers_clean!$N$2:$N$701)</f>
        <v>935012211</v>
      </c>
      <c r="R601" s="9" t="str">
        <f t="array" ref="R601">XLOOKUP(I601,customers_clean!$A$2:$A$701,customers_clean!$Q$2:$Q$701)</f>
        <v>❌ INVALID</v>
      </c>
      <c r="S601" s="10" t="s">
        <v>88</v>
      </c>
      <c r="T601" s="2" t="s">
        <v>223</v>
      </c>
      <c r="U601" s="2" t="s">
        <v>43</v>
      </c>
      <c r="V601" s="2" t="s">
        <v>1856</v>
      </c>
      <c r="W601" s="9" t="str">
        <f t="array" ref="W601">IF(ISNA(XLOOKUP(V601,products_master_corrected!$A$2:$A$151,products_master_corrected!$A$2:$A$151, NA())),
    "❌ MISSING SKU", "✅")</f>
        <v>✅</v>
      </c>
      <c r="X601" s="2" t="s">
        <v>259</v>
      </c>
      <c r="Y601" s="2" t="s">
        <v>167</v>
      </c>
      <c r="Z601" s="10" t="str">
        <f>PROPER(TRIM(Y601))</f>
        <v>Monitors</v>
      </c>
      <c r="AA601" s="27">
        <v>1.0</v>
      </c>
      <c r="AB601" s="9" t="s">
        <v>8649</v>
      </c>
      <c r="AC601" s="28">
        <f t="array" ref="AC601">XLOOKUP(V601,products_master_corrected!$A$2:$A$151,products_master_corrected!$E$2:$E$151)</f>
        <v>13.34</v>
      </c>
      <c r="AD601" s="28">
        <f t="shared" si="71"/>
        <v>13.34</v>
      </c>
      <c r="AE601" s="28">
        <f t="array" ref="AE601">XLOOKUP(V601,products_master_corrected!$A$2:$A$151,products_master_corrected!$I$2:$I$151)</f>
        <v>14.71</v>
      </c>
      <c r="AF601" s="29">
        <f t="shared" si="72"/>
        <v>14.71</v>
      </c>
      <c r="AG601" s="32" t="s">
        <v>8660</v>
      </c>
      <c r="AH601" s="2" t="s">
        <v>526</v>
      </c>
      <c r="AI601" s="10" t="s">
        <v>49</v>
      </c>
      <c r="AJ601" s="2" t="s">
        <v>169</v>
      </c>
      <c r="AK601" s="10" t="s">
        <v>261</v>
      </c>
      <c r="AL601" s="2" t="s">
        <v>51</v>
      </c>
    </row>
    <row r="602" ht="15.75" customHeight="1">
      <c r="A602" s="2" t="s">
        <v>4938</v>
      </c>
      <c r="B602" s="12">
        <v>45834.0</v>
      </c>
      <c r="C602" s="2" t="str">
        <f>IFERROR(__xludf.DUMMYFUNCTION("IF(ISNUMBER(B602),TEXT(B602,""yyyy-MM-dd""),REGEXREPLACE(REGEXREPLACE(TO_TEXT(B602),""[^0-9a-zA-Z]+"",""-""),""[^0-9]*$"",""""))"),"2025-06-26")</f>
        <v>2025-06-26</v>
      </c>
      <c r="D602" s="2" t="s">
        <v>8886</v>
      </c>
      <c r="H602" s="10" t="s">
        <v>8886</v>
      </c>
      <c r="I602" s="2" t="s">
        <v>908</v>
      </c>
      <c r="J602" s="26" t="str">
        <f t="array" ref="J602">IF(ISNA(XLOOKUP(I602,customers_clean!$A$2:$A$701,customers_clean!$A$2:$A$701, NA()) ),
   "❌ MISSING CUSTOMER", "✅")</f>
        <v>✅</v>
      </c>
      <c r="K602" s="2" t="str">
        <f t="array" ref="K602">XLOOKUP(I602,customers_clean!$A$2:$A$701,customers_clean!$C$2:$C$701)</f>
        <v>Uma Kowalczyk</v>
      </c>
      <c r="L602" s="10" t="str">
        <f t="array" ref="L602">XLOOKUP(I602,customers_clean!$A$2:$A$701,customers_clean!$D$2:$D$701)</f>
        <v>Uma Kowalczyk</v>
      </c>
      <c r="M602" s="2" t="str">
        <f t="array" ref="M602">XLOOKUP(I602,customers_clean!$A$2:$A$701,customers_clean!$I$2:$I$701)</f>
        <v>uma.kowalczyk@example.com</v>
      </c>
      <c r="N602" s="10" t="str">
        <f t="array" ref="N602">XLOOKUP(I602,customers_clean!$A$2:$A$701,customers_clean!$H$2:$H$701)</f>
        <v>uma.kowalczyk@example.com</v>
      </c>
      <c r="O602" s="9" t="str">
        <f>IFERROR(__xludf.DUMMYFUNCTION("IF(REGEXMATCH(TRIM(N602),""^[A-Za-z0-9._%+-]+@[A-Za-z0-9.-]+\.[A-Za-z]{2,}$""),""✅ Valid"",""❌ Invalid"")"),"✅ Valid")</f>
        <v>✅ Valid</v>
      </c>
      <c r="P602" s="2" t="str">
        <f t="array" ref="P602">XLOOKUP(I602,customers_clean!$A$2:$A$701,customers_clean!$K$2:$K$701)</f>
        <v>+33935012211 ext 619</v>
      </c>
      <c r="Q602" s="10" t="str">
        <f t="array" ref="Q602">XLOOKUP(I602,customers_clean!$A$2:$A$701,customers_clean!$N$2:$N$701)</f>
        <v>935012211</v>
      </c>
      <c r="R602" s="9" t="str">
        <f t="array" ref="R602">XLOOKUP(I602,customers_clean!$A$2:$A$701,customers_clean!$Q$2:$Q$701)</f>
        <v>❌ INVALID</v>
      </c>
      <c r="S602" s="10" t="s">
        <v>88</v>
      </c>
      <c r="T602" s="2" t="s">
        <v>42</v>
      </c>
      <c r="U602" s="2" t="s">
        <v>352</v>
      </c>
      <c r="V602" s="2" t="s">
        <v>746</v>
      </c>
      <c r="W602" s="9" t="str">
        <f t="array" ref="W602">IF(ISNA(XLOOKUP(V602,products_master_corrected!$A$2:$A$151,products_master_corrected!$A$2:$A$151, NA())),
    "❌ MISSING SKU", "✅")</f>
        <v>✅</v>
      </c>
      <c r="X602" s="2" t="s">
        <v>747</v>
      </c>
      <c r="Y602" s="2" t="s">
        <v>748</v>
      </c>
      <c r="Z602" s="10" t="s">
        <v>355</v>
      </c>
      <c r="AA602" s="27">
        <v>3.0</v>
      </c>
      <c r="AB602" s="9" t="s">
        <v>8649</v>
      </c>
      <c r="AC602" s="28">
        <f t="array" ref="AC602">XLOOKUP(V602,products_master_corrected!$A$2:$A$151,products_master_corrected!$E$2:$E$151)</f>
        <v>346</v>
      </c>
      <c r="AD602" s="28">
        <f t="shared" si="71"/>
        <v>1038</v>
      </c>
      <c r="AE602" s="28">
        <f t="array" ref="AE602">XLOOKUP(V602,products_master_corrected!$A$2:$A$151,products_master_corrected!$I$2:$I$151)</f>
        <v>381.43</v>
      </c>
      <c r="AF602" s="29">
        <f t="shared" si="72"/>
        <v>1144.29</v>
      </c>
      <c r="AG602" s="32" t="s">
        <v>8660</v>
      </c>
      <c r="AH602" s="2" t="s">
        <v>143</v>
      </c>
      <c r="AI602" s="10" t="s">
        <v>143</v>
      </c>
      <c r="AJ602" s="2" t="s">
        <v>818</v>
      </c>
      <c r="AK602" s="10" t="s">
        <v>818</v>
      </c>
    </row>
    <row r="603" ht="15.75" customHeight="1">
      <c r="A603" s="2" t="s">
        <v>4756</v>
      </c>
      <c r="B603" s="12">
        <v>45304.0</v>
      </c>
      <c r="C603" s="2" t="str">
        <f>IFERROR(__xludf.DUMMYFUNCTION("IF(ISNUMBER(B603),TEXT(B603,""yyyy-MM-dd""),REGEXREPLACE(REGEXREPLACE(TO_TEXT(B603),""[^0-9a-zA-Z]+"",""-""),""[^0-9]*$"",""""))"),"2024-01-13")</f>
        <v>2024-01-13</v>
      </c>
      <c r="D603" s="2" t="s">
        <v>8458</v>
      </c>
      <c r="H603" s="10" t="s">
        <v>8458</v>
      </c>
      <c r="I603" s="2" t="s">
        <v>908</v>
      </c>
      <c r="J603" s="26" t="str">
        <f t="array" ref="J603">IF(ISNA(XLOOKUP(I603,customers_clean!$A$2:$A$701,customers_clean!$A$2:$A$701, NA()) ),
   "❌ MISSING CUSTOMER", "✅")</f>
        <v>✅</v>
      </c>
      <c r="K603" s="2" t="str">
        <f t="array" ref="K603">XLOOKUP(I603,customers_clean!$A$2:$A$701,customers_clean!$C$2:$C$701)</f>
        <v>Uma Kowalczyk</v>
      </c>
      <c r="L603" s="10" t="str">
        <f t="array" ref="L603">XLOOKUP(I603,customers_clean!$A$2:$A$701,customers_clean!$D$2:$D$701)</f>
        <v>Uma Kowalczyk</v>
      </c>
      <c r="M603" s="2" t="str">
        <f t="array" ref="M603">XLOOKUP(I603,customers_clean!$A$2:$A$701,customers_clean!$I$2:$I$701)</f>
        <v>uma.kowalczyk@example.com</v>
      </c>
      <c r="N603" s="10" t="str">
        <f t="array" ref="N603">XLOOKUP(I603,customers_clean!$A$2:$A$701,customers_clean!$H$2:$H$701)</f>
        <v>uma.kowalczyk@example.com</v>
      </c>
      <c r="O603" s="9" t="str">
        <f>IFERROR(__xludf.DUMMYFUNCTION("IF(REGEXMATCH(TRIM(N603),""^[A-Za-z0-9._%+-]+@[A-Za-z0-9.-]+\.[A-Za-z]{2,}$""),""✅ Valid"",""❌ Invalid"")"),"✅ Valid")</f>
        <v>✅ Valid</v>
      </c>
      <c r="P603" s="2" t="str">
        <f t="array" ref="P603">XLOOKUP(I603,customers_clean!$A$2:$A$701,customers_clean!$K$2:$K$701)</f>
        <v>+33935012211 ext 619</v>
      </c>
      <c r="Q603" s="10" t="str">
        <f t="array" ref="Q603">XLOOKUP(I603,customers_clean!$A$2:$A$701,customers_clean!$N$2:$N$701)</f>
        <v>935012211</v>
      </c>
      <c r="R603" s="9" t="str">
        <f t="array" ref="R603">XLOOKUP(I603,customers_clean!$A$2:$A$701,customers_clean!$Q$2:$Q$701)</f>
        <v>❌ INVALID</v>
      </c>
      <c r="S603" s="10" t="s">
        <v>88</v>
      </c>
      <c r="T603" s="2" t="s">
        <v>301</v>
      </c>
      <c r="U603" s="2" t="s">
        <v>401</v>
      </c>
      <c r="V603" s="2" t="s">
        <v>439</v>
      </c>
      <c r="W603" s="9" t="str">
        <f t="array" ref="W603">IF(ISNA(XLOOKUP(V603,products_master_corrected!$A$2:$A$151,products_master_corrected!$A$2:$A$151, NA())),
    "❌ MISSING SKU", "✅")</f>
        <v>✅</v>
      </c>
      <c r="X603" s="2" t="s">
        <v>440</v>
      </c>
      <c r="Y603" s="2" t="s">
        <v>63</v>
      </c>
      <c r="Z603" s="10" t="s">
        <v>63</v>
      </c>
      <c r="AA603" s="27">
        <v>2.0</v>
      </c>
      <c r="AB603" s="9" t="s">
        <v>8649</v>
      </c>
      <c r="AC603" s="28">
        <f t="array" ref="AC603">XLOOKUP(V603,products_master_corrected!$A$2:$A$151,products_master_corrected!$E$2:$E$151)</f>
        <v>70.84</v>
      </c>
      <c r="AD603" s="28">
        <f t="shared" si="71"/>
        <v>141.68</v>
      </c>
      <c r="AE603" s="28">
        <f t="array" ref="AE603">XLOOKUP(V603,products_master_corrected!$A$2:$A$151,products_master_corrected!$I$2:$I$151)</f>
        <v>78.09</v>
      </c>
      <c r="AF603" s="29">
        <f t="shared" si="72"/>
        <v>156.18</v>
      </c>
      <c r="AG603" s="32" t="s">
        <v>8660</v>
      </c>
      <c r="AH603" s="2" t="s">
        <v>238</v>
      </c>
      <c r="AI603" s="10" t="s">
        <v>66</v>
      </c>
      <c r="AJ603" s="2" t="s">
        <v>452</v>
      </c>
      <c r="AK603" s="10" t="s">
        <v>261</v>
      </c>
      <c r="AL603" s="2" t="s">
        <v>51</v>
      </c>
    </row>
    <row r="604" ht="15.75" customHeight="1">
      <c r="A604" s="2" t="s">
        <v>1608</v>
      </c>
      <c r="B604" s="12">
        <v>45386.0</v>
      </c>
      <c r="C604" s="2" t="str">
        <f>IFERROR(__xludf.DUMMYFUNCTION("IF(ISNUMBER(B604),TEXT(B604,""yyyy-MM-dd""),REGEXREPLACE(REGEXREPLACE(TO_TEXT(B604),""[^0-9a-zA-Z]+"",""-""),""[^0-9]*$"",""""))"),"2024-04-04")</f>
        <v>2024-04-04</v>
      </c>
      <c r="D604" s="2" t="s">
        <v>8694</v>
      </c>
      <c r="H604" s="10" t="s">
        <v>8694</v>
      </c>
      <c r="I604" s="2" t="s">
        <v>1610</v>
      </c>
      <c r="J604" s="26" t="str">
        <f t="array" ref="J604">IF(ISNA(XLOOKUP(I604,customers_clean!$A$2:$A$701,customers_clean!$A$2:$A$701, NA()) ),
   "❌ MISSING CUSTOMER", "✅")</f>
        <v>✅</v>
      </c>
      <c r="K604" s="2" t="str">
        <f t="array" ref="K604">XLOOKUP(I604,customers_clean!$A$2:$A$701,customers_clean!$C$2:$C$701)</f>
        <v> Ken Young</v>
      </c>
      <c r="L604" s="10" t="str">
        <f t="array" ref="L604">XLOOKUP(I604,customers_clean!$A$2:$A$701,customers_clean!$D$2:$D$701)</f>
        <v>Ken Young</v>
      </c>
      <c r="M604" s="2" t="str">
        <f t="array" ref="M604">XLOOKUP(I604,customers_clean!$A$2:$A$701,customers_clean!$I$2:$I$701)</f>
        <v>ken.young@outlook.com </v>
      </c>
      <c r="N604" s="10" t="str">
        <f t="array" ref="N604">XLOOKUP(I604,customers_clean!$A$2:$A$701,customers_clean!$H$2:$H$701)</f>
        <v>ken.young@outlook.com</v>
      </c>
      <c r="O604" s="9" t="str">
        <f>IFERROR(__xludf.DUMMYFUNCTION("IF(REGEXMATCH(TRIM(N604),""^[A-Za-z0-9._%+-]+@[A-Za-z0-9.-]+\.[A-Za-z]{2,}$""),""✅ Valid"",""❌ Invalid"")"),"✅ Valid")</f>
        <v>✅ Valid</v>
      </c>
      <c r="P604" s="2" t="str">
        <f t="array" ref="P604">XLOOKUP(I604,customers_clean!$A$2:$A$701,customers_clean!$K$2:$K$701)</f>
        <v>none</v>
      </c>
      <c r="Q604" s="10" t="str">
        <f t="array" ref="Q604">XLOOKUP(I604,customers_clean!$A$2:$A$701,customers_clean!$N$2:$N$701)</f>
        <v/>
      </c>
      <c r="R604" s="9" t="str">
        <f t="array" ref="R604">XLOOKUP(I604,customers_clean!$A$2:$A$701,customers_clean!$Q$2:$Q$701)</f>
        <v>❌ INVALID</v>
      </c>
      <c r="S604" s="10" t="s">
        <v>139</v>
      </c>
      <c r="T604" s="2" t="s">
        <v>42</v>
      </c>
      <c r="U604" s="2" t="s">
        <v>522</v>
      </c>
      <c r="V604" s="2" t="s">
        <v>1236</v>
      </c>
      <c r="W604" s="9" t="str">
        <f t="array" ref="W604">IF(ISNA(XLOOKUP(V604,products_master_corrected!$A$2:$A$151,products_master_corrected!$A$2:$A$151, NA())),
    "❌ MISSING SKU", "✅")</f>
        <v>✅</v>
      </c>
      <c r="X604" s="2" t="s">
        <v>524</v>
      </c>
      <c r="Y604" s="2" t="s">
        <v>637</v>
      </c>
      <c r="Z604" s="10" t="s">
        <v>514</v>
      </c>
      <c r="AA604" s="27">
        <v>2.0</v>
      </c>
      <c r="AB604" s="9" t="s">
        <v>8649</v>
      </c>
      <c r="AC604" s="28">
        <f t="array" ref="AC604">XLOOKUP(V604,products_master_corrected!$A$2:$A$151,products_master_corrected!$E$2:$E$151)</f>
        <v>140.44</v>
      </c>
      <c r="AD604" s="28">
        <f t="shared" si="71"/>
        <v>280.88</v>
      </c>
      <c r="AE604" s="28">
        <f t="array" ref="AE604">XLOOKUP(V604,products_master_corrected!$A$2:$A$151,products_master_corrected!$L$2:$L$151)</f>
        <v>151.89</v>
      </c>
      <c r="AF604" s="29">
        <f t="shared" si="72"/>
        <v>303.78</v>
      </c>
      <c r="AG604" s="32" t="s">
        <v>8665</v>
      </c>
      <c r="AH604" s="2" t="s">
        <v>573</v>
      </c>
      <c r="AI604" s="10" t="s">
        <v>66</v>
      </c>
      <c r="AJ604" s="2" t="s">
        <v>442</v>
      </c>
      <c r="AK604" s="10" t="s">
        <v>80</v>
      </c>
      <c r="AL604" s="2" t="s">
        <v>133</v>
      </c>
    </row>
    <row r="605" ht="15.75" customHeight="1">
      <c r="A605" s="2" t="s">
        <v>913</v>
      </c>
      <c r="B605" s="12">
        <v>45139.0</v>
      </c>
      <c r="C605" s="2" t="str">
        <f>IFERROR(__xludf.DUMMYFUNCTION("IF(ISNUMBER(B605),TEXT(B605,""yyyy-MM-dd""),REGEXREPLACE(REGEXREPLACE(TO_TEXT(B605),""[^0-9a-zA-Z]+"",""-""),""[^0-9]*$"",""""))"),"2023-08-01")</f>
        <v>2023-08-01</v>
      </c>
      <c r="D605" s="2" t="s">
        <v>8141</v>
      </c>
      <c r="H605" s="10" t="s">
        <v>8141</v>
      </c>
      <c r="I605" s="2" t="s">
        <v>915</v>
      </c>
      <c r="J605" s="26" t="str">
        <f t="array" ref="J605">IF(ISNA(XLOOKUP(I605,customers_clean!$A$2:$A$701,customers_clean!$A$2:$A$701, NA()) ),
   "❌ MISSING CUSTOMER", "✅")</f>
        <v>✅</v>
      </c>
      <c r="K605" s="2" t="str">
        <f t="array" ref="K605">XLOOKUP(I605,customers_clean!$A$2:$A$701,customers_clean!$C$2:$C$701)</f>
        <v> MarekK owalczyk</v>
      </c>
      <c r="L605" s="10" t="str">
        <f t="array" ref="L605">XLOOKUP(I605,customers_clean!$A$2:$A$701,customers_clean!$D$2:$D$701)</f>
        <v>Marek Kowalczyk</v>
      </c>
      <c r="M605" s="2" t="str">
        <f t="array" ref="M605">XLOOKUP(I605,customers_clean!$A$2:$A$701,customers_clean!$I$2:$I$701)</f>
        <v>marek.kowalczyk@yahoo.com</v>
      </c>
      <c r="N605" s="10" t="str">
        <f t="array" ref="N605">XLOOKUP(I605,customers_clean!$A$2:$A$701,customers_clean!$H$2:$H$701)</f>
        <v>marek.kowalczyk@yahoo.com</v>
      </c>
      <c r="O605" s="9" t="str">
        <f>IFERROR(__xludf.DUMMYFUNCTION("IF(REGEXMATCH(TRIM(N605),""^[A-Za-z0-9._%+-]+@[A-Za-z0-9.-]+\.[A-Za-z]{2,}$""),""✅ Valid"",""❌ Invalid"")"),"✅ Valid")</f>
        <v>✅ Valid</v>
      </c>
      <c r="P605" s="2" t="str">
        <f t="array" ref="P605">XLOOKUP(I605,customers_clean!$A$2:$A$701,customers_clean!$K$2:$K$701)</f>
        <v>+49 07-46-01-88-76</v>
      </c>
      <c r="Q605" s="10" t="str">
        <f t="array" ref="Q605">XLOOKUP(I605,customers_clean!$A$2:$A$701,customers_clean!$N$2:$N$701)</f>
        <v>0746018876</v>
      </c>
      <c r="R605" s="9" t="str">
        <f t="array" ref="R605">XLOOKUP(I605,customers_clean!$A$2:$A$701,customers_clean!$Q$2:$Q$701)</f>
        <v>❌ INVALID</v>
      </c>
      <c r="S605" s="31" t="s">
        <v>671</v>
      </c>
      <c r="T605" s="2" t="s">
        <v>400</v>
      </c>
      <c r="U605" s="2" t="s">
        <v>480</v>
      </c>
      <c r="V605" s="2" t="s">
        <v>919</v>
      </c>
      <c r="W605" s="9" t="str">
        <f t="array" ref="W605">IF(ISNA(XLOOKUP(V605,products_master_corrected!$A$2:$A$151,products_master_corrected!$A$2:$A$151, NA())),
    "❌ MISSING SKU", "✅")</f>
        <v>✅</v>
      </c>
      <c r="X605" s="2" t="s">
        <v>423</v>
      </c>
      <c r="Y605" s="2" t="s">
        <v>179</v>
      </c>
      <c r="Z605" s="10" t="s">
        <v>179</v>
      </c>
      <c r="AA605" s="27">
        <v>5.0</v>
      </c>
      <c r="AB605" s="9" t="s">
        <v>8649</v>
      </c>
      <c r="AC605" s="28">
        <f t="array" ref="AC605">XLOOKUP(V605,products_master_corrected!$A$2:$A$151,products_master_corrected!$E$2:$E$151)</f>
        <v>52.04</v>
      </c>
      <c r="AD605" s="28">
        <f t="shared" si="71"/>
        <v>260.2</v>
      </c>
      <c r="AE605" s="28">
        <f t="array" ref="AE605">XLOOKUP(V605,products_master_corrected!$A$2:$A$151,products_master_corrected!$J$2:$J$151)</f>
        <v>60.69</v>
      </c>
      <c r="AF605" s="29">
        <f t="shared" si="72"/>
        <v>303.45</v>
      </c>
      <c r="AG605" s="32" t="s">
        <v>8656</v>
      </c>
      <c r="AH605" s="2" t="s">
        <v>66</v>
      </c>
      <c r="AI605" s="10" t="s">
        <v>66</v>
      </c>
      <c r="AJ605" s="2" t="s">
        <v>306</v>
      </c>
      <c r="AK605" s="10" t="s">
        <v>192</v>
      </c>
    </row>
    <row r="606" ht="15.75" customHeight="1">
      <c r="A606" s="2" t="s">
        <v>4951</v>
      </c>
      <c r="B606" s="12" t="s">
        <v>4952</v>
      </c>
      <c r="C606" s="2" t="str">
        <f>IFERROR(__xludf.DUMMYFUNCTION("IF(ISNUMBER(B606),TEXT(B606,""yyyy-MM-dd""),REGEXREPLACE(REGEXREPLACE(TO_TEXT(B606),""[^0-9a-zA-Z]+"",""-""),""[^0-9]*$"",""""))"),"04-22-2024")</f>
        <v>04-22-2024</v>
      </c>
      <c r="D606" s="2" t="str">
        <f>TEXT(C606,"yyyy-MM-dd")</f>
        <v>04-22-2024</v>
      </c>
      <c r="E606" s="2" t="s">
        <v>8887</v>
      </c>
      <c r="H606" s="10" t="s">
        <v>8887</v>
      </c>
      <c r="I606" s="2" t="s">
        <v>915</v>
      </c>
      <c r="J606" s="26" t="str">
        <f t="array" ref="J606">IF(ISNA(XLOOKUP(I606,customers_clean!$A$2:$A$701,customers_clean!$A$2:$A$701, NA()) ),
   "❌ MISSING CUSTOMER", "✅")</f>
        <v>✅</v>
      </c>
      <c r="K606" s="2" t="str">
        <f t="array" ref="K606">XLOOKUP(I606,customers_clean!$A$2:$A$701,customers_clean!$C$2:$C$701)</f>
        <v> MarekK owalczyk</v>
      </c>
      <c r="L606" s="10" t="str">
        <f t="array" ref="L606">XLOOKUP(I606,customers_clean!$A$2:$A$701,customers_clean!$D$2:$D$701)</f>
        <v>Marek Kowalczyk</v>
      </c>
      <c r="M606" s="2" t="str">
        <f t="array" ref="M606">XLOOKUP(I606,customers_clean!$A$2:$A$701,customers_clean!$I$2:$I$701)</f>
        <v>marek.kowalczyk@yahoo.com</v>
      </c>
      <c r="N606" s="10" t="str">
        <f t="array" ref="N606">XLOOKUP(I606,customers_clean!$A$2:$A$701,customers_clean!$H$2:$H$701)</f>
        <v>marek.kowalczyk@yahoo.com</v>
      </c>
      <c r="O606" s="9" t="str">
        <f>IFERROR(__xludf.DUMMYFUNCTION("IF(REGEXMATCH(TRIM(N606),""^[A-Za-z0-9._%+-]+@[A-Za-z0-9.-]+\.[A-Za-z]{2,}$""),""✅ Valid"",""❌ Invalid"")"),"✅ Valid")</f>
        <v>✅ Valid</v>
      </c>
      <c r="P606" s="2" t="str">
        <f t="array" ref="P606">XLOOKUP(I606,customers_clean!$A$2:$A$701,customers_clean!$K$2:$K$701)</f>
        <v>+49 07-46-01-88-76</v>
      </c>
      <c r="Q606" s="10" t="str">
        <f t="array" ref="Q606">XLOOKUP(I606,customers_clean!$A$2:$A$701,customers_clean!$N$2:$N$701)</f>
        <v>0746018876</v>
      </c>
      <c r="R606" s="9" t="str">
        <f t="array" ref="R606">XLOOKUP(I606,customers_clean!$A$2:$A$701,customers_clean!$Q$2:$Q$701)</f>
        <v>❌ INVALID</v>
      </c>
      <c r="S606" s="31" t="s">
        <v>671</v>
      </c>
      <c r="T606" s="2" t="s">
        <v>42</v>
      </c>
      <c r="U606" s="2" t="s">
        <v>75</v>
      </c>
      <c r="V606" s="2" t="s">
        <v>792</v>
      </c>
      <c r="W606" s="9" t="str">
        <f t="array" ref="W606">IF(ISNA(XLOOKUP(V606,products_master_corrected!$A$2:$A$151,products_master_corrected!$A$2:$A$151, NA())),
    "❌ MISSING SKU", "✅")</f>
        <v>✅</v>
      </c>
      <c r="X606" s="2" t="s">
        <v>768</v>
      </c>
      <c r="Y606" s="2" t="s">
        <v>742</v>
      </c>
      <c r="Z606" s="10" t="s">
        <v>355</v>
      </c>
      <c r="AA606" s="27">
        <v>1.0</v>
      </c>
      <c r="AB606" s="9" t="s">
        <v>8649</v>
      </c>
      <c r="AC606" s="28">
        <f t="array" ref="AC606">XLOOKUP(V606,products_master_corrected!$A$2:$A$151,products_master_corrected!$E$2:$E$151)</f>
        <v>20.12</v>
      </c>
      <c r="AD606" s="28">
        <f t="shared" si="71"/>
        <v>20.12</v>
      </c>
      <c r="AE606" s="28">
        <f t="array" ref="AE606">XLOOKUP(V606,products_master_corrected!$A$2:$A$151,products_master_corrected!$J$2:$J$151)</f>
        <v>23.47</v>
      </c>
      <c r="AF606" s="29">
        <f t="shared" si="72"/>
        <v>23.47</v>
      </c>
      <c r="AG606" s="32" t="s">
        <v>8656</v>
      </c>
      <c r="AH606" s="2" t="s">
        <v>414</v>
      </c>
      <c r="AI606" s="10" t="s">
        <v>49</v>
      </c>
      <c r="AJ606" s="2" t="s">
        <v>192</v>
      </c>
      <c r="AK606" s="10" t="s">
        <v>192</v>
      </c>
    </row>
    <row r="607" ht="15.75" customHeight="1">
      <c r="A607" s="2" t="s">
        <v>3887</v>
      </c>
      <c r="B607" s="12">
        <v>45513.0</v>
      </c>
      <c r="C607" s="2" t="str">
        <f>IFERROR(__xludf.DUMMYFUNCTION("IF(ISNUMBER(B607),TEXT(B607,""yyyy-MM-dd""),REGEXREPLACE(REGEXREPLACE(TO_TEXT(B607),""[^0-9a-zA-Z]+"",""-""),""[^0-9]*$"",""""))"),"2024-08-09")</f>
        <v>2024-08-09</v>
      </c>
      <c r="D607" s="2" t="s">
        <v>8888</v>
      </c>
      <c r="H607" s="10" t="s">
        <v>8888</v>
      </c>
      <c r="I607" s="2" t="s">
        <v>915</v>
      </c>
      <c r="J607" s="26" t="str">
        <f t="array" ref="J607">IF(ISNA(XLOOKUP(I607,customers_clean!$A$2:$A$701,customers_clean!$A$2:$A$701, NA()) ),
   "❌ MISSING CUSTOMER", "✅")</f>
        <v>✅</v>
      </c>
      <c r="K607" s="2" t="str">
        <f t="array" ref="K607">XLOOKUP(I607,customers_clean!$A$2:$A$701,customers_clean!$C$2:$C$701)</f>
        <v> MarekK owalczyk</v>
      </c>
      <c r="L607" s="10" t="str">
        <f t="array" ref="L607">XLOOKUP(I607,customers_clean!$A$2:$A$701,customers_clean!$D$2:$D$701)</f>
        <v>Marek Kowalczyk</v>
      </c>
      <c r="M607" s="2" t="str">
        <f t="array" ref="M607">XLOOKUP(I607,customers_clean!$A$2:$A$701,customers_clean!$I$2:$I$701)</f>
        <v>marek.kowalczyk@yahoo.com</v>
      </c>
      <c r="N607" s="10" t="str">
        <f t="array" ref="N607">XLOOKUP(I607,customers_clean!$A$2:$A$701,customers_clean!$H$2:$H$701)</f>
        <v>marek.kowalczyk@yahoo.com</v>
      </c>
      <c r="O607" s="9" t="str">
        <f>IFERROR(__xludf.DUMMYFUNCTION("IF(REGEXMATCH(TRIM(N607),""^[A-Za-z0-9._%+-]+@[A-Za-z0-9.-]+\.[A-Za-z]{2,}$""),""✅ Valid"",""❌ Invalid"")"),"✅ Valid")</f>
        <v>✅ Valid</v>
      </c>
      <c r="P607" s="2" t="str">
        <f t="array" ref="P607">XLOOKUP(I607,customers_clean!$A$2:$A$701,customers_clean!$K$2:$K$701)</f>
        <v>+49 07-46-01-88-76</v>
      </c>
      <c r="Q607" s="10" t="str">
        <f t="array" ref="Q607">XLOOKUP(I607,customers_clean!$A$2:$A$701,customers_clean!$N$2:$N$701)</f>
        <v>0746018876</v>
      </c>
      <c r="R607" s="9" t="str">
        <f t="array" ref="R607">XLOOKUP(I607,customers_clean!$A$2:$A$701,customers_clean!$Q$2:$Q$701)</f>
        <v>❌ INVALID</v>
      </c>
      <c r="S607" s="31" t="s">
        <v>671</v>
      </c>
      <c r="T607" s="2" t="s">
        <v>683</v>
      </c>
      <c r="U607" s="2" t="s">
        <v>333</v>
      </c>
      <c r="V607" s="2" t="s">
        <v>1271</v>
      </c>
      <c r="W607" s="9" t="str">
        <f t="array" ref="W607">IF(ISNA(XLOOKUP(V607,products_master_corrected!$A$2:$A$151,products_master_corrected!$A$2:$A$151, NA())),
    "❌ MISSING SKU", "✅")</f>
        <v>✅</v>
      </c>
      <c r="X607" s="2" t="s">
        <v>1272</v>
      </c>
      <c r="Y607" s="2" t="s">
        <v>167</v>
      </c>
      <c r="Z607" s="10" t="str">
        <f>PROPER(TRIM(Y607))</f>
        <v>Monitors</v>
      </c>
      <c r="AA607" s="27">
        <v>1.0</v>
      </c>
      <c r="AB607" s="9" t="s">
        <v>8649</v>
      </c>
      <c r="AC607" s="28">
        <f t="array" ref="AC607">XLOOKUP(V607,products_master_corrected!$A$2:$A$151,products_master_corrected!$E$2:$E$151)</f>
        <v>78.18</v>
      </c>
      <c r="AD607" s="28">
        <f t="shared" si="71"/>
        <v>78.18</v>
      </c>
      <c r="AE607" s="28">
        <f t="array" ref="AE607">XLOOKUP(V607,products_master_corrected!$A$2:$A$151,products_master_corrected!$J$2:$J$151)</f>
        <v>91.18</v>
      </c>
      <c r="AF607" s="29">
        <f t="shared" si="72"/>
        <v>91.18</v>
      </c>
      <c r="AG607" s="32" t="s">
        <v>8656</v>
      </c>
      <c r="AH607" s="2" t="s">
        <v>33</v>
      </c>
      <c r="AI607" s="10" t="s">
        <v>181</v>
      </c>
      <c r="AJ607" s="2" t="s">
        <v>158</v>
      </c>
      <c r="AK607" s="10" t="s">
        <v>818</v>
      </c>
      <c r="AL607" s="2" t="s">
        <v>133</v>
      </c>
    </row>
    <row r="608" ht="15.75" customHeight="1">
      <c r="A608" s="2" t="s">
        <v>6035</v>
      </c>
      <c r="B608" s="12">
        <v>45601.0</v>
      </c>
      <c r="C608" s="2" t="str">
        <f>IFERROR(__xludf.DUMMYFUNCTION("IF(ISNUMBER(B608),TEXT(B608,""yyyy-MM-dd""),REGEXREPLACE(REGEXREPLACE(TO_TEXT(B608),""[^0-9a-zA-Z]+"",""-""),""[^0-9]*$"",""""))"),"2024-11-05")</f>
        <v>2024-11-05</v>
      </c>
      <c r="D608" s="2" t="s">
        <v>8889</v>
      </c>
      <c r="H608" s="10" t="s">
        <v>8889</v>
      </c>
      <c r="I608" s="2" t="s">
        <v>6037</v>
      </c>
      <c r="J608" s="26" t="str">
        <f t="array" ref="J608">IF(ISNA(XLOOKUP(I608,customers_clean!$A$2:$A$701,customers_clean!$A$2:$A$701, NA()) ),
   "❌ MISSING CUSTOMER", "✅")</f>
        <v>✅</v>
      </c>
      <c r="K608" s="2" t="str">
        <f t="array" ref="K608">XLOOKUP(I608,customers_clean!$A$2:$A$701,customers_clean!$C$2:$C$701)</f>
        <v>UMA LOPEZ</v>
      </c>
      <c r="L608" s="10" t="str">
        <f t="array" ref="L608">XLOOKUP(I608,customers_clean!$A$2:$A$701,customers_clean!$D$2:$D$701)</f>
        <v>Uma Lopez</v>
      </c>
      <c r="M608" s="2" t="str">
        <f t="array" ref="M608">XLOOKUP(I608,customers_clean!$A$2:$A$701,customers_clean!$I$2:$I$701)</f>
        <v>Uma.Lopez@Company.Co.Uk</v>
      </c>
      <c r="N608" s="10" t="str">
        <f t="array" ref="N608">XLOOKUP(I608,customers_clean!$A$2:$A$701,customers_clean!$H$2:$H$701)</f>
        <v>uma.lopez@company.co.uk</v>
      </c>
      <c r="O608" s="9" t="str">
        <f>IFERROR(__xludf.DUMMYFUNCTION("IF(REGEXMATCH(TRIM(N608),""^[A-Za-z0-9._%+-]+@[A-Za-z0-9.-]+\.[A-Za-z]{2,}$""),""✅ Valid"",""❌ Invalid"")"),"✅ Valid")</f>
        <v>✅ Valid</v>
      </c>
      <c r="P608" s="2" t="str">
        <f t="array" ref="P608">XLOOKUP(I608,customers_clean!$A$2:$A$701,customers_clean!$K$2:$K$701)</f>
        <v>+39 244 85406</v>
      </c>
      <c r="Q608" s="10" t="str">
        <f t="array" ref="Q608">XLOOKUP(I608,customers_clean!$A$2:$A$701,customers_clean!$N$2:$N$701)</f>
        <v>24485406</v>
      </c>
      <c r="R608" s="9" t="str">
        <f t="array" ref="R608">XLOOKUP(I608,customers_clean!$A$2:$A$701,customers_clean!$Q$2:$Q$701)</f>
        <v>❌ INVALID</v>
      </c>
      <c r="S608" s="10" t="s">
        <v>58</v>
      </c>
      <c r="T608" s="2" t="s">
        <v>400</v>
      </c>
      <c r="U608" s="2" t="s">
        <v>90</v>
      </c>
      <c r="V608" s="2" t="s">
        <v>246</v>
      </c>
      <c r="W608" s="9" t="str">
        <f t="array" ref="W608">IF(ISNA(XLOOKUP(V608,products_master_corrected!$A$2:$A$151,products_master_corrected!$A$2:$A$151, NA())),
    "❌ MISSING SKU", "✅")</f>
        <v>✅</v>
      </c>
      <c r="X608" s="2" t="s">
        <v>1138</v>
      </c>
      <c r="Y608" s="2" t="s">
        <v>248</v>
      </c>
      <c r="Z608" s="10" t="s">
        <v>248</v>
      </c>
      <c r="AA608" s="27">
        <v>1.0</v>
      </c>
      <c r="AB608" s="9" t="s">
        <v>8649</v>
      </c>
      <c r="AC608" s="28">
        <f t="array" ref="AC608">XLOOKUP(V608,products_master_corrected!$A$2:$A$151,products_master_corrected!$E$2:$E$151)</f>
        <v>259.62</v>
      </c>
      <c r="AD608" s="28">
        <f t="shared" si="71"/>
        <v>259.62</v>
      </c>
      <c r="AE608" s="28">
        <f t="array" ref="AE608">XLOOKUP(V608,products_master_corrected!$A$2:$A$151,products_master_corrected!$G$2:$G$151)</f>
        <v>297.21</v>
      </c>
      <c r="AF608" s="29">
        <f t="shared" si="72"/>
        <v>297.21</v>
      </c>
      <c r="AG608" s="32" t="s">
        <v>8663</v>
      </c>
      <c r="AH608" s="2" t="s">
        <v>181</v>
      </c>
      <c r="AI608" s="10" t="s">
        <v>181</v>
      </c>
      <c r="AJ608" s="2" t="s">
        <v>144</v>
      </c>
      <c r="AK608" s="10" t="s">
        <v>818</v>
      </c>
    </row>
    <row r="609" ht="15.75" customHeight="1">
      <c r="A609" s="2" t="s">
        <v>2682</v>
      </c>
      <c r="B609" s="12">
        <v>45453.0</v>
      </c>
      <c r="C609" s="2" t="str">
        <f>IFERROR(__xludf.DUMMYFUNCTION("IF(ISNUMBER(B609),TEXT(B609,""yyyy-MM-dd""),REGEXREPLACE(REGEXREPLACE(TO_TEXT(B609),""[^0-9a-zA-Z]+"",""-""),""[^0-9]*$"",""""))"),"2024-06-10")</f>
        <v>2024-06-10</v>
      </c>
      <c r="D609" s="2" t="s">
        <v>8890</v>
      </c>
      <c r="H609" s="10" t="s">
        <v>8890</v>
      </c>
      <c r="I609" s="2" t="s">
        <v>2684</v>
      </c>
      <c r="J609" s="26" t="str">
        <f t="array" ref="J609">IF(ISNA(XLOOKUP(I609,customers_clean!$A$2:$A$701,customers_clean!$A$2:$A$701, NA()) ),
   "❌ MISSING CUSTOMER", "✅")</f>
        <v>✅</v>
      </c>
      <c r="K609" s="2" t="str">
        <f t="array" ref="K609">XLOOKUP(I609,customers_clean!$A$2:$A$701,customers_clean!$C$2:$C$701)</f>
        <v> Marek Johnson</v>
      </c>
      <c r="L609" s="10" t="str">
        <f t="array" ref="L609">XLOOKUP(I609,customers_clean!$A$2:$A$701,customers_clean!$D$2:$D$701)</f>
        <v>Marek Johnson</v>
      </c>
      <c r="M609" s="2" t="str">
        <f t="array" ref="M609">XLOOKUP(I609,customers_clean!$A$2:$A$701,customers_clean!$I$2:$I$701)</f>
        <v>marek.johnson@yahoo.com </v>
      </c>
      <c r="N609" s="10" t="str">
        <f t="array" ref="N609">XLOOKUP(I609,customers_clean!$A$2:$A$701,customers_clean!$H$2:$H$701)</f>
        <v>marek.johnson@yahoo.com</v>
      </c>
      <c r="O609" s="9" t="str">
        <f>IFERROR(__xludf.DUMMYFUNCTION("IF(REGEXMATCH(TRIM(N609),""^[A-Za-z0-9._%+-]+@[A-Za-z0-9.-]+\.[A-Za-z]{2,}$""),""✅ Valid"",""❌ Invalid"")"),"✅ Valid")</f>
        <v>✅ Valid</v>
      </c>
      <c r="P609" s="2" t="str">
        <f t="array" ref="P609">XLOOKUP(I609,customers_clean!$A$2:$A$701,customers_clean!$K$2:$K$701)</f>
        <v>+446600614449</v>
      </c>
      <c r="Q609" s="10" t="str">
        <f t="array" ref="Q609">XLOOKUP(I609,customers_clean!$A$2:$A$701,customers_clean!$N$2:$N$701)</f>
        <v>6600614449</v>
      </c>
      <c r="R609" s="9" t="str">
        <f t="array" ref="R609">XLOOKUP(I609,customers_clean!$A$2:$A$701,customers_clean!$Q$2:$Q$701)</f>
        <v>❌ INVALID</v>
      </c>
      <c r="S609" s="10" t="s">
        <v>608</v>
      </c>
      <c r="T609" s="2" t="s">
        <v>59</v>
      </c>
      <c r="U609" s="2" t="s">
        <v>103</v>
      </c>
      <c r="V609" s="2" t="s">
        <v>2688</v>
      </c>
      <c r="W609" s="9" t="str">
        <f t="array" ref="W609">IF(ISNA(XLOOKUP(V609,products_master_corrected!$A$2:$A$151,products_master_corrected!$A$2:$A$151, NA())),
    "❌ MISSING SKU", "✅")</f>
        <v>✅</v>
      </c>
      <c r="X609" s="2" t="s">
        <v>502</v>
      </c>
      <c r="Y609" s="2" t="s">
        <v>179</v>
      </c>
      <c r="Z609" s="10" t="s">
        <v>179</v>
      </c>
      <c r="AA609" s="27">
        <v>2.0</v>
      </c>
      <c r="AB609" s="9" t="s">
        <v>8649</v>
      </c>
      <c r="AC609" s="28">
        <f t="array" ref="AC609">XLOOKUP(V609,products_master_corrected!$A$2:$A$151,products_master_corrected!$E$2:$E$151)</f>
        <v>985.77</v>
      </c>
      <c r="AD609" s="28">
        <f t="shared" si="71"/>
        <v>1971.54</v>
      </c>
      <c r="AE609" s="28">
        <f t="array" ref="AE609">XLOOKUP(V609,products_master_corrected!$A$2:$A$151,products_master_corrected!$H$2:$H$151)</f>
        <v>1107.51</v>
      </c>
      <c r="AF609" s="29">
        <f t="shared" si="72"/>
        <v>2215.02</v>
      </c>
      <c r="AG609" s="32" t="s">
        <v>8658</v>
      </c>
      <c r="AH609" s="2" t="s">
        <v>370</v>
      </c>
      <c r="AI609" s="10" t="s">
        <v>143</v>
      </c>
      <c r="AJ609" s="2" t="s">
        <v>432</v>
      </c>
      <c r="AK609" s="10" t="s">
        <v>80</v>
      </c>
      <c r="AL609" s="2" t="s">
        <v>133</v>
      </c>
    </row>
    <row r="610" ht="15.75" customHeight="1">
      <c r="A610" s="2" t="s">
        <v>4157</v>
      </c>
      <c r="B610" s="12">
        <v>44933.0</v>
      </c>
      <c r="C610" s="2" t="str">
        <f>IFERROR(__xludf.DUMMYFUNCTION("IF(ISNUMBER(B610),TEXT(B610,""yyyy-MM-dd""),REGEXREPLACE(REGEXREPLACE(TO_TEXT(B610),""[^0-9a-zA-Z]+"",""-""),""[^0-9]*$"",""""))"),"2023-01-07")</f>
        <v>2023-01-07</v>
      </c>
      <c r="D610" s="2" t="s">
        <v>8891</v>
      </c>
      <c r="H610" s="10" t="s">
        <v>8891</v>
      </c>
      <c r="I610" s="2" t="s">
        <v>2684</v>
      </c>
      <c r="J610" s="26" t="str">
        <f t="array" ref="J610">IF(ISNA(XLOOKUP(I610,customers_clean!$A$2:$A$701,customers_clean!$A$2:$A$701, NA()) ),
   "❌ MISSING CUSTOMER", "✅")</f>
        <v>✅</v>
      </c>
      <c r="K610" s="2" t="str">
        <f t="array" ref="K610">XLOOKUP(I610,customers_clean!$A$2:$A$701,customers_clean!$C$2:$C$701)</f>
        <v> Marek Johnson</v>
      </c>
      <c r="L610" s="10" t="str">
        <f t="array" ref="L610">XLOOKUP(I610,customers_clean!$A$2:$A$701,customers_clean!$D$2:$D$701)</f>
        <v>Marek Johnson</v>
      </c>
      <c r="M610" s="2" t="str">
        <f t="array" ref="M610">XLOOKUP(I610,customers_clean!$A$2:$A$701,customers_clean!$I$2:$I$701)</f>
        <v>marek.johnson@yahoo.com </v>
      </c>
      <c r="N610" s="10" t="str">
        <f t="array" ref="N610">XLOOKUP(I610,customers_clean!$A$2:$A$701,customers_clean!$H$2:$H$701)</f>
        <v>marek.johnson@yahoo.com</v>
      </c>
      <c r="O610" s="9" t="str">
        <f>IFERROR(__xludf.DUMMYFUNCTION("IF(REGEXMATCH(TRIM(N610),""^[A-Za-z0-9._%+-]+@[A-Za-z0-9.-]+\.[A-Za-z]{2,}$""),""✅ Valid"",""❌ Invalid"")"),"✅ Valid")</f>
        <v>✅ Valid</v>
      </c>
      <c r="P610" s="2" t="str">
        <f t="array" ref="P610">XLOOKUP(I610,customers_clean!$A$2:$A$701,customers_clean!$K$2:$K$701)</f>
        <v>+446600614449</v>
      </c>
      <c r="Q610" s="10" t="str">
        <f t="array" ref="Q610">XLOOKUP(I610,customers_clean!$A$2:$A$701,customers_clean!$N$2:$N$701)</f>
        <v>6600614449</v>
      </c>
      <c r="R610" s="9" t="str">
        <f t="array" ref="R610">XLOOKUP(I610,customers_clean!$A$2:$A$701,customers_clean!$Q$2:$Q$701)</f>
        <v>❌ INVALID</v>
      </c>
      <c r="S610" s="10" t="s">
        <v>608</v>
      </c>
      <c r="T610" s="2" t="s">
        <v>59</v>
      </c>
      <c r="U610" s="2" t="s">
        <v>401</v>
      </c>
      <c r="V610" s="2" t="s">
        <v>643</v>
      </c>
      <c r="W610" s="9" t="str">
        <f t="array" ref="W610">IF(ISNA(XLOOKUP(V610,products_master_corrected!$A$2:$A$151,products_master_corrected!$A$2:$A$151, NA())),
    "❌ MISSING SKU", "✅")</f>
        <v>✅</v>
      </c>
      <c r="X610" s="2" t="s">
        <v>1147</v>
      </c>
      <c r="Y610" s="2" t="s">
        <v>368</v>
      </c>
      <c r="Z610" s="10" t="s">
        <v>368</v>
      </c>
      <c r="AA610" s="27">
        <v>2.0</v>
      </c>
      <c r="AB610" s="9" t="s">
        <v>8649</v>
      </c>
      <c r="AC610" s="28">
        <f t="array" ref="AC610">XLOOKUP(V610,products_master_corrected!$A$2:$A$151,products_master_corrected!$E$2:$E$151)</f>
        <v>62.12</v>
      </c>
      <c r="AD610" s="28">
        <f t="shared" si="71"/>
        <v>124.24</v>
      </c>
      <c r="AE610" s="28">
        <f t="array" ref="AE610">XLOOKUP(V610,products_master_corrected!$A$2:$A$151,products_master_corrected!$H$2:$H$151)</f>
        <v>69.79</v>
      </c>
      <c r="AF610" s="29">
        <f t="shared" si="72"/>
        <v>139.58</v>
      </c>
      <c r="AG610" s="32" t="s">
        <v>8658</v>
      </c>
      <c r="AH610" s="2" t="s">
        <v>49</v>
      </c>
      <c r="AI610" s="10" t="s">
        <v>49</v>
      </c>
      <c r="AJ610" s="2" t="s">
        <v>34</v>
      </c>
      <c r="AK610" s="10" t="s">
        <v>80</v>
      </c>
    </row>
    <row r="611" ht="15.75" customHeight="1">
      <c r="A611" s="2" t="s">
        <v>5146</v>
      </c>
      <c r="B611" s="12">
        <v>45461.0</v>
      </c>
      <c r="C611" s="2" t="str">
        <f>IFERROR(__xludf.DUMMYFUNCTION("IF(ISNUMBER(B611),TEXT(B611,""yyyy-MM-dd""),REGEXREPLACE(REGEXREPLACE(TO_TEXT(B611),""[^0-9a-zA-Z]+"",""-""),""[^0-9]*$"",""""))"),"2024-06-18")</f>
        <v>2024-06-18</v>
      </c>
      <c r="D611" s="2" t="s">
        <v>7635</v>
      </c>
      <c r="H611" s="10" t="s">
        <v>7635</v>
      </c>
      <c r="I611" s="2" t="s">
        <v>3625</v>
      </c>
      <c r="J611" s="26" t="str">
        <f t="array" ref="J611">IF(ISNA(XLOOKUP(I611,customers_clean!$A$2:$A$701,customers_clean!$A$2:$A$701, NA()) ),
   "❌ MISSING CUSTOMER", "✅")</f>
        <v>✅</v>
      </c>
      <c r="K611" s="2" t="str">
        <f t="array" ref="K611">XLOOKUP(I611,customers_clean!$A$2:$A$701,customers_clean!$C$2:$C$701)</f>
        <v>Gabe Nowak</v>
      </c>
      <c r="L611" s="10" t="str">
        <f t="array" ref="L611">XLOOKUP(I611,customers_clean!$A$2:$A$701,customers_clean!$D$2:$D$701)</f>
        <v>Gabe Nowak</v>
      </c>
      <c r="M611" s="2" t="str">
        <f t="array" ref="M611">XLOOKUP(I611,customers_clean!$A$2:$A$701,customers_clean!$I$2:$I$701)</f>
        <v>gabe.nowak@company.co.uk</v>
      </c>
      <c r="N611" s="10" t="str">
        <f t="array" ref="N611">XLOOKUP(I611,customers_clean!$A$2:$A$701,customers_clean!$H$2:$H$701)</f>
        <v>gabe.nowak@company.co.uk</v>
      </c>
      <c r="O611" s="9" t="str">
        <f>IFERROR(__xludf.DUMMYFUNCTION("IF(REGEXMATCH(TRIM(N611),""^[A-Za-z0-9._%+-]+@[A-Za-z0-9.-]+\.[A-Za-z]{2,}$""),""✅ Valid"",""❌ Invalid"")"),"✅ Valid")</f>
        <v>✅ Valid</v>
      </c>
      <c r="P611" s="2" t="str">
        <f t="array" ref="P611">XLOOKUP(I611,customers_clean!$A$2:$A$701,customers_clean!$K$2:$K$701)</f>
        <v>(297) 352497</v>
      </c>
      <c r="Q611" s="10" t="str">
        <f t="array" ref="Q611">XLOOKUP(I611,customers_clean!$A$2:$A$701,customers_clean!$N$2:$N$701)</f>
        <v>297352497</v>
      </c>
      <c r="R611" s="9" t="str">
        <f t="array" ref="R611">XLOOKUP(I611,customers_clean!$A$2:$A$701,customers_clean!$Q$2:$Q$701)</f>
        <v>❌ INVALID</v>
      </c>
      <c r="S611" s="10" t="s">
        <v>25</v>
      </c>
      <c r="T611" s="2" t="s">
        <v>301</v>
      </c>
      <c r="U611" s="2" t="s">
        <v>352</v>
      </c>
      <c r="V611" s="2" t="s">
        <v>2398</v>
      </c>
      <c r="W611" s="9" t="str">
        <f t="array" ref="W611">IF(ISNA(XLOOKUP(V611,products_master_corrected!$A$2:$A$151,products_master_corrected!$A$2:$A$151, NA())),
    "❌ MISSING SKU", "✅")</f>
        <v>✅</v>
      </c>
      <c r="X611" s="2" t="s">
        <v>225</v>
      </c>
      <c r="Y611" s="2" t="s">
        <v>179</v>
      </c>
      <c r="Z611" s="10" t="s">
        <v>179</v>
      </c>
      <c r="AA611" s="27">
        <v>5.0</v>
      </c>
      <c r="AB611" s="9" t="s">
        <v>8649</v>
      </c>
      <c r="AC611" s="28">
        <f t="array" ref="AC611">XLOOKUP(V611,products_master_corrected!$A$2:$A$151,products_master_corrected!$E$2:$E$151)</f>
        <v>40.55</v>
      </c>
      <c r="AD611" s="28">
        <f t="shared" si="71"/>
        <v>202.75</v>
      </c>
      <c r="AE611" s="28">
        <f t="array" ref="AE611">XLOOKUP(V611,products_master_corrected!$A$2:$A$151,products_master_corrected!$K$2:$K$151)</f>
        <v>208.63</v>
      </c>
      <c r="AF611" s="29">
        <f t="shared" si="72"/>
        <v>1043.15</v>
      </c>
      <c r="AG611" s="30" t="s">
        <v>95</v>
      </c>
      <c r="AH611" s="2" t="s">
        <v>204</v>
      </c>
      <c r="AI611" s="10" t="s">
        <v>143</v>
      </c>
      <c r="AJ611" s="2" t="s">
        <v>818</v>
      </c>
      <c r="AK611" s="10" t="s">
        <v>818</v>
      </c>
      <c r="AL611" s="2" t="s">
        <v>81</v>
      </c>
    </row>
    <row r="612" ht="15.75" customHeight="1">
      <c r="A612" s="2" t="s">
        <v>3623</v>
      </c>
      <c r="B612" s="12" t="s">
        <v>3624</v>
      </c>
      <c r="C612" s="2" t="str">
        <f>IFERROR(__xludf.DUMMYFUNCTION("IF(ISNUMBER(B612),TEXT(B612,""yyyy-MM-dd""),REGEXREPLACE(REGEXREPLACE(TO_TEXT(B612),""[^0-9a-zA-Z]+"",""-""),""[^0-9]*$"",""""))"),"01-07-2023")</f>
        <v>01-07-2023</v>
      </c>
      <c r="D612" s="2" t="s">
        <v>7859</v>
      </c>
      <c r="H612" s="10" t="s">
        <v>7859</v>
      </c>
      <c r="I612" s="2" t="s">
        <v>3625</v>
      </c>
      <c r="J612" s="26" t="str">
        <f t="array" ref="J612">IF(ISNA(XLOOKUP(I612,customers_clean!$A$2:$A$701,customers_clean!$A$2:$A$701, NA()) ),
   "❌ MISSING CUSTOMER", "✅")</f>
        <v>✅</v>
      </c>
      <c r="K612" s="2" t="str">
        <f t="array" ref="K612">XLOOKUP(I612,customers_clean!$A$2:$A$701,customers_clean!$C$2:$C$701)</f>
        <v>Gabe Nowak</v>
      </c>
      <c r="L612" s="10" t="str">
        <f t="array" ref="L612">XLOOKUP(I612,customers_clean!$A$2:$A$701,customers_clean!$D$2:$D$701)</f>
        <v>Gabe Nowak</v>
      </c>
      <c r="M612" s="2" t="str">
        <f t="array" ref="M612">XLOOKUP(I612,customers_clean!$A$2:$A$701,customers_clean!$I$2:$I$701)</f>
        <v>gabe.nowak@company.co.uk</v>
      </c>
      <c r="N612" s="10" t="str">
        <f t="array" ref="N612">XLOOKUP(I612,customers_clean!$A$2:$A$701,customers_clean!$H$2:$H$701)</f>
        <v>gabe.nowak@company.co.uk</v>
      </c>
      <c r="O612" s="9" t="str">
        <f>IFERROR(__xludf.DUMMYFUNCTION("IF(REGEXMATCH(TRIM(N612),""^[A-Za-z0-9._%+-]+@[A-Za-z0-9.-]+\.[A-Za-z]{2,}$""),""✅ Valid"",""❌ Invalid"")"),"✅ Valid")</f>
        <v>✅ Valid</v>
      </c>
      <c r="P612" s="2" t="str">
        <f t="array" ref="P612">XLOOKUP(I612,customers_clean!$A$2:$A$701,customers_clean!$K$2:$K$701)</f>
        <v>(297) 352497</v>
      </c>
      <c r="Q612" s="10" t="str">
        <f t="array" ref="Q612">XLOOKUP(I612,customers_clean!$A$2:$A$701,customers_clean!$N$2:$N$701)</f>
        <v>297352497</v>
      </c>
      <c r="R612" s="9" t="str">
        <f t="array" ref="R612">XLOOKUP(I612,customers_clean!$A$2:$A$701,customers_clean!$Q$2:$Q$701)</f>
        <v>❌ INVALID</v>
      </c>
      <c r="S612" s="10" t="s">
        <v>25</v>
      </c>
      <c r="T612" s="2" t="s">
        <v>223</v>
      </c>
      <c r="U612" s="2" t="s">
        <v>401</v>
      </c>
      <c r="V612" s="2" t="s">
        <v>792</v>
      </c>
      <c r="W612" s="9" t="str">
        <f t="array" ref="W612">IF(ISNA(XLOOKUP(V612,products_master_corrected!$A$2:$A$151,products_master_corrected!$A$2:$A$151, NA())),
    "❌ MISSING SKU", "✅")</f>
        <v>✅</v>
      </c>
      <c r="X612" s="2" t="s">
        <v>768</v>
      </c>
      <c r="Y612" s="2" t="s">
        <v>742</v>
      </c>
      <c r="Z612" s="10" t="s">
        <v>355</v>
      </c>
      <c r="AA612" s="27">
        <v>5.0</v>
      </c>
      <c r="AB612" s="9" t="s">
        <v>8649</v>
      </c>
      <c r="AC612" s="28">
        <f t="array" ref="AC612">XLOOKUP(V612,products_master_corrected!$A$2:$A$151,products_master_corrected!$E$2:$E$151)</f>
        <v>20.12</v>
      </c>
      <c r="AD612" s="28">
        <f t="shared" si="71"/>
        <v>100.6</v>
      </c>
      <c r="AE612" s="28">
        <f t="array" ref="AE612">XLOOKUP(V612,products_master_corrected!$A$2:$A$151,products_master_corrected!$K$2:$K$151)</f>
        <v>103.52</v>
      </c>
      <c r="AF612" s="29">
        <f t="shared" si="72"/>
        <v>517.6</v>
      </c>
      <c r="AG612" s="30" t="s">
        <v>95</v>
      </c>
      <c r="AH612" s="2" t="s">
        <v>664</v>
      </c>
      <c r="AI612" s="10" t="s">
        <v>66</v>
      </c>
      <c r="AJ612" s="2" t="s">
        <v>34</v>
      </c>
      <c r="AK612" s="10" t="s">
        <v>80</v>
      </c>
    </row>
    <row r="613" ht="15.75" customHeight="1">
      <c r="A613" s="2" t="s">
        <v>5184</v>
      </c>
      <c r="B613" s="12">
        <v>45589.0</v>
      </c>
      <c r="C613" s="2" t="str">
        <f>IFERROR(__xludf.DUMMYFUNCTION("IF(ISNUMBER(B613),TEXT(B613,""yyyy-MM-dd""),REGEXREPLACE(REGEXREPLACE(TO_TEXT(B613),""[^0-9a-zA-Z]+"",""-""),""[^0-9]*$"",""""))"),"2024-10-24")</f>
        <v>2024-10-24</v>
      </c>
      <c r="D613" s="2" t="s">
        <v>8749</v>
      </c>
      <c r="H613" s="10" t="s">
        <v>8749</v>
      </c>
      <c r="I613" s="2" t="s">
        <v>3625</v>
      </c>
      <c r="J613" s="26" t="str">
        <f t="array" ref="J613">IF(ISNA(XLOOKUP(I613,customers_clean!$A$2:$A$701,customers_clean!$A$2:$A$701, NA()) ),
   "❌ MISSING CUSTOMER", "✅")</f>
        <v>✅</v>
      </c>
      <c r="K613" s="2" t="str">
        <f t="array" ref="K613">XLOOKUP(I613,customers_clean!$A$2:$A$701,customers_clean!$C$2:$C$701)</f>
        <v>Gabe Nowak</v>
      </c>
      <c r="L613" s="10" t="str">
        <f t="array" ref="L613">XLOOKUP(I613,customers_clean!$A$2:$A$701,customers_clean!$D$2:$D$701)</f>
        <v>Gabe Nowak</v>
      </c>
      <c r="M613" s="2" t="str">
        <f t="array" ref="M613">XLOOKUP(I613,customers_clean!$A$2:$A$701,customers_clean!$I$2:$I$701)</f>
        <v>gabe.nowak@company.co.uk</v>
      </c>
      <c r="N613" s="10" t="str">
        <f t="array" ref="N613">XLOOKUP(I613,customers_clean!$A$2:$A$701,customers_clean!$H$2:$H$701)</f>
        <v>gabe.nowak@company.co.uk</v>
      </c>
      <c r="O613" s="9" t="str">
        <f>IFERROR(__xludf.DUMMYFUNCTION("IF(REGEXMATCH(TRIM(N613),""^[A-Za-z0-9._%+-]+@[A-Za-z0-9.-]+\.[A-Za-z]{2,}$""),""✅ Valid"",""❌ Invalid"")"),"✅ Valid")</f>
        <v>✅ Valid</v>
      </c>
      <c r="P613" s="2" t="str">
        <f t="array" ref="P613">XLOOKUP(I613,customers_clean!$A$2:$A$701,customers_clean!$K$2:$K$701)</f>
        <v>(297) 352497</v>
      </c>
      <c r="Q613" s="10" t="str">
        <f t="array" ref="Q613">XLOOKUP(I613,customers_clean!$A$2:$A$701,customers_clean!$N$2:$N$701)</f>
        <v>297352497</v>
      </c>
      <c r="R613" s="9" t="str">
        <f t="array" ref="R613">XLOOKUP(I613,customers_clean!$A$2:$A$701,customers_clean!$Q$2:$Q$701)</f>
        <v>❌ INVALID</v>
      </c>
      <c r="S613" s="10" t="s">
        <v>25</v>
      </c>
      <c r="T613" s="2" t="s">
        <v>400</v>
      </c>
      <c r="U613" s="2" t="s">
        <v>333</v>
      </c>
      <c r="V613" s="2" t="s">
        <v>2321</v>
      </c>
      <c r="W613" s="9" t="str">
        <f t="array" ref="W613">IF(ISNA(XLOOKUP(V613,products_master_corrected!$A$2:$A$151,products_master_corrected!$A$2:$A$151, NA())),
    "❌ MISSING SKU", "✅")</f>
        <v>✅</v>
      </c>
      <c r="X613" s="2" t="s">
        <v>2322</v>
      </c>
      <c r="Y613" s="2" t="s">
        <v>368</v>
      </c>
      <c r="Z613" s="10" t="s">
        <v>368</v>
      </c>
      <c r="AA613" s="27">
        <v>3.0</v>
      </c>
      <c r="AB613" s="9" t="s">
        <v>8649</v>
      </c>
      <c r="AC613" s="28">
        <f t="array" ref="AC613">XLOOKUP(V613,products_master_corrected!$A$2:$A$151,products_master_corrected!$E$2:$E$151)</f>
        <v>23.95</v>
      </c>
      <c r="AD613" s="28">
        <f t="shared" si="71"/>
        <v>71.85</v>
      </c>
      <c r="AE613" s="28">
        <f t="array" ref="AE613">XLOOKUP(V613,products_master_corrected!$A$2:$A$151,products_master_corrected!$K$2:$K$151)</f>
        <v>123.22</v>
      </c>
      <c r="AF613" s="29">
        <f t="shared" si="72"/>
        <v>369.66</v>
      </c>
      <c r="AG613" s="30" t="s">
        <v>95</v>
      </c>
      <c r="AH613" s="2" t="s">
        <v>526</v>
      </c>
      <c r="AI613" s="10" t="s">
        <v>49</v>
      </c>
      <c r="AJ613" s="2" t="s">
        <v>676</v>
      </c>
      <c r="AK613" s="10" t="s">
        <v>80</v>
      </c>
      <c r="AL613" s="2" t="s">
        <v>133</v>
      </c>
    </row>
    <row r="614" ht="15.75" customHeight="1">
      <c r="A614" s="2" t="s">
        <v>4618</v>
      </c>
      <c r="B614" s="12">
        <v>45917.0</v>
      </c>
      <c r="C614" s="2" t="str">
        <f>IFERROR(__xludf.DUMMYFUNCTION("IF(ISNUMBER(B614),TEXT(B614,""yyyy-MM-dd""),REGEXREPLACE(REGEXREPLACE(TO_TEXT(B614),""[^0-9a-zA-Z]+"",""-""),""[^0-9]*$"",""""))"),"2025-09-17")</f>
        <v>2025-09-17</v>
      </c>
      <c r="D614" s="2" t="s">
        <v>8827</v>
      </c>
      <c r="H614" s="10" t="s">
        <v>8827</v>
      </c>
      <c r="I614" s="2" t="s">
        <v>2929</v>
      </c>
      <c r="J614" s="26" t="str">
        <f t="array" ref="J614">IF(ISNA(XLOOKUP(I614,customers_clean!$A$2:$A$701,customers_clean!$A$2:$A$701, NA()) ),
   "❌ MISSING CUSTOMER", "✅")</f>
        <v>✅</v>
      </c>
      <c r="K614" s="2" t="str">
        <f t="array" ref="K614">XLOOKUP(I614,customers_clean!$A$2:$A$701,customers_clean!$C$2:$C$701)</f>
        <v>LIA LOPEZ</v>
      </c>
      <c r="L614" s="10" t="str">
        <f t="array" ref="L614">XLOOKUP(I614,customers_clean!$A$2:$A$701,customers_clean!$D$2:$D$701)</f>
        <v>Lia Lopez</v>
      </c>
      <c r="M614" s="2" t="str">
        <f t="array" ref="M614">XLOOKUP(I614,customers_clean!$A$2:$A$701,customers_clean!$I$2:$I$701)</f>
        <v>lia.lopez@outlook.com</v>
      </c>
      <c r="N614" s="10" t="str">
        <f t="array" ref="N614">XLOOKUP(I614,customers_clean!$A$2:$A$701,customers_clean!$H$2:$H$701)</f>
        <v>lia.lopez@outlook.com</v>
      </c>
      <c r="O614" s="9" t="str">
        <f>IFERROR(__xludf.DUMMYFUNCTION("IF(REGEXMATCH(TRIM(N614),""^[A-Za-z0-9._%+-]+@[A-Za-z0-9.-]+\.[A-Za-z]{2,}$""),""✅ Valid"",""❌ Invalid"")"),"✅ Valid")</f>
        <v>✅ Valid</v>
      </c>
      <c r="P614" s="2" t="str">
        <f t="array" ref="P614">XLOOKUP(I614,customers_clean!$A$2:$A$701,customers_clean!$K$2:$K$701)</f>
        <v>+3207609461</v>
      </c>
      <c r="Q614" s="10" t="str">
        <f t="array" ref="Q614">XLOOKUP(I614,customers_clean!$A$2:$A$701,customers_clean!$N$2:$N$701)</f>
        <v>3207609461</v>
      </c>
      <c r="R614" s="9" t="str">
        <f t="array" ref="R614">XLOOKUP(I614,customers_clean!$A$2:$A$701,customers_clean!$Q$2:$Q$701)</f>
        <v>❌ INVALID</v>
      </c>
      <c r="S614" s="10" t="s">
        <v>608</v>
      </c>
      <c r="T614" s="2" t="s">
        <v>683</v>
      </c>
      <c r="U614" s="2" t="s">
        <v>103</v>
      </c>
      <c r="V614" s="2" t="s">
        <v>2398</v>
      </c>
      <c r="W614" s="9" t="str">
        <f t="array" ref="W614">IF(ISNA(XLOOKUP(V614,products_master_corrected!$A$2:$A$151,products_master_corrected!$A$2:$A$151, NA())),
    "❌ MISSING SKU", "✅")</f>
        <v>✅</v>
      </c>
      <c r="X614" s="2" t="s">
        <v>225</v>
      </c>
      <c r="Y614" s="2" t="s">
        <v>179</v>
      </c>
      <c r="Z614" s="10" t="s">
        <v>179</v>
      </c>
      <c r="AA614" s="27">
        <v>2.0</v>
      </c>
      <c r="AB614" s="9" t="s">
        <v>8649</v>
      </c>
      <c r="AC614" s="28">
        <f t="array" ref="AC614">XLOOKUP(V614,products_master_corrected!$A$2:$A$151,products_master_corrected!$E$2:$E$151)</f>
        <v>40.55</v>
      </c>
      <c r="AD614" s="28">
        <f t="shared" si="71"/>
        <v>81.1</v>
      </c>
      <c r="AE614" s="28">
        <f t="array" ref="AE614">XLOOKUP(V614,products_master_corrected!$A$2:$A$151,products_master_corrected!$H$2:$H$151)</f>
        <v>45.56</v>
      </c>
      <c r="AF614" s="29">
        <f t="shared" si="72"/>
        <v>91.12</v>
      </c>
      <c r="AG614" s="32" t="s">
        <v>8658</v>
      </c>
      <c r="AH614" s="2" t="s">
        <v>49</v>
      </c>
      <c r="AI614" s="10" t="s">
        <v>49</v>
      </c>
      <c r="AJ614" s="2" t="s">
        <v>192</v>
      </c>
      <c r="AK614" s="10" t="s">
        <v>192</v>
      </c>
      <c r="AL614" s="2" t="s">
        <v>81</v>
      </c>
    </row>
    <row r="615" ht="15.75" customHeight="1">
      <c r="A615" s="2" t="s">
        <v>2927</v>
      </c>
      <c r="B615" s="12">
        <v>45051.2875</v>
      </c>
      <c r="C615" s="2" t="str">
        <f>IFERROR(__xludf.DUMMYFUNCTION("IF(ISNUMBER(B615),TEXT(B615,""yyyy-MM-dd""),REGEXREPLACE(REGEXREPLACE(TO_TEXT(B615),""[^0-9a-zA-Z]+"",""-""),""[^0-9]*$"",""""))"),"2023-05-05")</f>
        <v>2023-05-05</v>
      </c>
      <c r="D615" s="2" t="s">
        <v>8393</v>
      </c>
      <c r="H615" s="10" t="s">
        <v>8393</v>
      </c>
      <c r="I615" s="2" t="s">
        <v>2929</v>
      </c>
      <c r="J615" s="26" t="str">
        <f t="array" ref="J615">IF(ISNA(XLOOKUP(I615,customers_clean!$A$2:$A$701,customers_clean!$A$2:$A$701, NA()) ),
   "❌ MISSING CUSTOMER", "✅")</f>
        <v>✅</v>
      </c>
      <c r="K615" s="2" t="str">
        <f t="array" ref="K615">XLOOKUP(I615,customers_clean!$A$2:$A$701,customers_clean!$C$2:$C$701)</f>
        <v>LIA LOPEZ</v>
      </c>
      <c r="L615" s="10" t="str">
        <f t="array" ref="L615">XLOOKUP(I615,customers_clean!$A$2:$A$701,customers_clean!$D$2:$D$701)</f>
        <v>Lia Lopez</v>
      </c>
      <c r="M615" s="2" t="str">
        <f t="array" ref="M615">XLOOKUP(I615,customers_clean!$A$2:$A$701,customers_clean!$I$2:$I$701)</f>
        <v>lia.lopez@outlook.com</v>
      </c>
      <c r="N615" s="10" t="str">
        <f t="array" ref="N615">XLOOKUP(I615,customers_clean!$A$2:$A$701,customers_clean!$H$2:$H$701)</f>
        <v>lia.lopez@outlook.com</v>
      </c>
      <c r="O615" s="9" t="str">
        <f>IFERROR(__xludf.DUMMYFUNCTION("IF(REGEXMATCH(TRIM(N615),""^[A-Za-z0-9._%+-]+@[A-Za-z0-9.-]+\.[A-Za-z]{2,}$""),""✅ Valid"",""❌ Invalid"")"),"✅ Valid")</f>
        <v>✅ Valid</v>
      </c>
      <c r="P615" s="2" t="str">
        <f t="array" ref="P615">XLOOKUP(I615,customers_clean!$A$2:$A$701,customers_clean!$K$2:$K$701)</f>
        <v>+3207609461</v>
      </c>
      <c r="Q615" s="10" t="str">
        <f t="array" ref="Q615">XLOOKUP(I615,customers_clean!$A$2:$A$701,customers_clean!$N$2:$N$701)</f>
        <v>3207609461</v>
      </c>
      <c r="R615" s="9" t="str">
        <f t="array" ref="R615">XLOOKUP(I615,customers_clean!$A$2:$A$701,customers_clean!$Q$2:$Q$701)</f>
        <v>❌ INVALID</v>
      </c>
      <c r="S615" s="10" t="s">
        <v>608</v>
      </c>
      <c r="T615" s="2" t="s">
        <v>301</v>
      </c>
      <c r="U615" s="2" t="s">
        <v>522</v>
      </c>
      <c r="V615" s="2" t="s">
        <v>1722</v>
      </c>
      <c r="W615" s="9" t="str">
        <f t="array" ref="W615">IF(ISNA(XLOOKUP(V615,products_master_corrected!$A$2:$A$151,products_master_corrected!$A$2:$A$151, NA())),
    "❌ MISSING SKU", "✅")</f>
        <v>✅</v>
      </c>
      <c r="X615" s="2" t="s">
        <v>804</v>
      </c>
      <c r="Y615" s="2" t="s">
        <v>368</v>
      </c>
      <c r="Z615" s="10" t="s">
        <v>368</v>
      </c>
      <c r="AA615" s="27">
        <v>2.0</v>
      </c>
      <c r="AB615" s="9" t="s">
        <v>8649</v>
      </c>
      <c r="AC615" s="28">
        <f t="array" ref="AC615">XLOOKUP(V615,products_master_corrected!$A$2:$A$151,products_master_corrected!$E$2:$E$151)</f>
        <v>13.05</v>
      </c>
      <c r="AD615" s="28">
        <f t="shared" si="71"/>
        <v>26.1</v>
      </c>
      <c r="AE615" s="28">
        <f t="array" ref="AE615">XLOOKUP(V615,products_master_corrected!$A$2:$A$151,products_master_corrected!$H$2:$H$151)</f>
        <v>14.66</v>
      </c>
      <c r="AF615" s="29">
        <f t="shared" si="72"/>
        <v>29.32</v>
      </c>
      <c r="AG615" s="32" t="s">
        <v>8658</v>
      </c>
      <c r="AH615" s="2" t="s">
        <v>370</v>
      </c>
      <c r="AI615" s="10" t="s">
        <v>143</v>
      </c>
      <c r="AJ615" s="2" t="s">
        <v>144</v>
      </c>
      <c r="AK615" s="10" t="s">
        <v>818</v>
      </c>
      <c r="AL615" s="2" t="s">
        <v>67</v>
      </c>
    </row>
    <row r="616" ht="15.75" customHeight="1">
      <c r="A616" s="2" t="s">
        <v>6098</v>
      </c>
      <c r="B616" s="12" t="s">
        <v>6099</v>
      </c>
      <c r="C616" s="2" t="str">
        <f>IFERROR(__xludf.DUMMYFUNCTION("IF(ISNUMBER(B616),TEXT(B616,""yyyy-MM-dd""),REGEXREPLACE(REGEXREPLACE(TO_TEXT(B616),""[^0-9a-zA-Z]+"",""-""),""[^0-9]*$"",""""))"),"31-12-2024")</f>
        <v>31-12-2024</v>
      </c>
      <c r="D616" s="2" t="s">
        <v>7984</v>
      </c>
      <c r="H616" s="10" t="s">
        <v>7984</v>
      </c>
      <c r="I616" s="2" t="s">
        <v>3994</v>
      </c>
      <c r="J616" s="26" t="str">
        <f t="array" ref="J616">IF(ISNA(XLOOKUP(I616,customers_clean!$A$2:$A$701,customers_clean!$A$2:$A$701, NA()) ),
   "❌ MISSING CUSTOMER", "✅")</f>
        <v>✅</v>
      </c>
      <c r="K616" s="2" t="str">
        <f t="array" ref="K616">XLOOKUP(I616,customers_clean!$A$2:$A$701,customers_clean!$C$2:$C$701)</f>
        <v>Marek  Rodriguez</v>
      </c>
      <c r="L616" s="10" t="str">
        <f t="array" ref="L616">XLOOKUP(I616,customers_clean!$A$2:$A$701,customers_clean!$D$2:$D$701)</f>
        <v>Marek Rodriguez</v>
      </c>
      <c r="M616" s="2" t="str">
        <f t="array" ref="M616">XLOOKUP(I616,customers_clean!$A$2:$A$701,customers_clean!$I$2:$I$701)</f>
        <v>Marek.Rodriguez@Shop.Io</v>
      </c>
      <c r="N616" s="10" t="str">
        <f t="array" ref="N616">XLOOKUP(I616,customers_clean!$A$2:$A$701,customers_clean!$H$2:$H$701)</f>
        <v>marek.rodriguez@shop.io</v>
      </c>
      <c r="O616" s="9" t="str">
        <f>IFERROR(__xludf.DUMMYFUNCTION("IF(REGEXMATCH(TRIM(N616),""^[A-Za-z0-9._%+-]+@[A-Za-z0-9.-]+\.[A-Za-z]{2,}$""),""✅ Valid"",""❌ Invalid"")"),"✅ Valid")</f>
        <v>✅ Valid</v>
      </c>
      <c r="P616" s="33" t="str">
        <f t="array" ref="P616">XLOOKUP(I616,customers_clean!$A$2:$A$701,customers_clean!$K$2:$K$701)</f>
        <v>+484824470726</v>
      </c>
      <c r="Q616" s="10" t="str">
        <f t="array" ref="Q616">XLOOKUP(I616,customers_clean!$A$2:$A$701,customers_clean!$N$2:$N$701)</f>
        <v>4824470726</v>
      </c>
      <c r="R616" s="9" t="str">
        <f t="array" ref="R616">XLOOKUP(I616,customers_clean!$A$2:$A$701,customers_clean!$Q$2:$Q$701)</f>
        <v>❌ INVALID</v>
      </c>
      <c r="S616" s="10" t="s">
        <v>608</v>
      </c>
      <c r="T616" s="2" t="s">
        <v>26</v>
      </c>
      <c r="U616" s="2" t="s">
        <v>352</v>
      </c>
      <c r="V616" s="2" t="s">
        <v>104</v>
      </c>
      <c r="W616" s="9" t="str">
        <f t="array" ref="W616">IF(ISNA(XLOOKUP(V616,products_master_corrected!$A$2:$A$151,products_master_corrected!$A$2:$A$151, NA())),
    "❌ MISSING SKU", "✅")</f>
        <v>✅</v>
      </c>
      <c r="X616" s="2" t="s">
        <v>8703</v>
      </c>
      <c r="Y616" s="2" t="s">
        <v>106</v>
      </c>
      <c r="Z616" s="10" t="s">
        <v>368</v>
      </c>
      <c r="AA616" s="27">
        <v>1.0</v>
      </c>
      <c r="AB616" s="9" t="s">
        <v>8649</v>
      </c>
      <c r="AC616" s="28">
        <f t="array" ref="AC616">XLOOKUP(V616,products_master_corrected!$A$2:$A$151,products_master_corrected!$E$2:$E$151)</f>
        <v>135.16</v>
      </c>
      <c r="AD616" s="28">
        <f t="shared" si="71"/>
        <v>135.16</v>
      </c>
      <c r="AE616" s="28">
        <f t="array" ref="AE616">XLOOKUP(V616,products_master_corrected!$A$2:$A$151,products_master_corrected!$H$2:$H$151)</f>
        <v>151.85</v>
      </c>
      <c r="AF616" s="29">
        <f t="shared" si="72"/>
        <v>151.85</v>
      </c>
      <c r="AG616" s="32" t="s">
        <v>8658</v>
      </c>
      <c r="AH616" s="2" t="s">
        <v>49</v>
      </c>
      <c r="AI616" s="10" t="s">
        <v>49</v>
      </c>
      <c r="AJ616" s="2" t="s">
        <v>80</v>
      </c>
      <c r="AK616" s="10" t="s">
        <v>80</v>
      </c>
      <c r="AL616" s="2" t="s">
        <v>51</v>
      </c>
    </row>
    <row r="617" ht="15.75" customHeight="1">
      <c r="A617" s="2" t="s">
        <v>4954</v>
      </c>
      <c r="B617" s="12">
        <v>45125.0</v>
      </c>
      <c r="C617" s="2" t="str">
        <f>IFERROR(__xludf.DUMMYFUNCTION("IF(ISNUMBER(B617),TEXT(B617,""yyyy-MM-dd""),REGEXREPLACE(REGEXREPLACE(TO_TEXT(B617),""[^0-9a-zA-Z]+"",""-""),""[^0-9]*$"",""""))"),"2023-07-18")</f>
        <v>2023-07-18</v>
      </c>
      <c r="D617" s="2" t="s">
        <v>8164</v>
      </c>
      <c r="H617" s="10" t="s">
        <v>8164</v>
      </c>
      <c r="I617" s="2" t="s">
        <v>3994</v>
      </c>
      <c r="J617" s="26" t="str">
        <f t="array" ref="J617">IF(ISNA(XLOOKUP(I617,customers_clean!$A$2:$A$701,customers_clean!$A$2:$A$701, NA()) ),
   "❌ MISSING CUSTOMER", "✅")</f>
        <v>✅</v>
      </c>
      <c r="K617" s="2" t="str">
        <f t="array" ref="K617">XLOOKUP(I617,customers_clean!$A$2:$A$701,customers_clean!$C$2:$C$701)</f>
        <v>Marek  Rodriguez</v>
      </c>
      <c r="L617" s="10" t="str">
        <f t="array" ref="L617">XLOOKUP(I617,customers_clean!$A$2:$A$701,customers_clean!$D$2:$D$701)</f>
        <v>Marek Rodriguez</v>
      </c>
      <c r="M617" s="2" t="str">
        <f t="array" ref="M617">XLOOKUP(I617,customers_clean!$A$2:$A$701,customers_clean!$I$2:$I$701)</f>
        <v>Marek.Rodriguez@Shop.Io</v>
      </c>
      <c r="N617" s="10" t="str">
        <f t="array" ref="N617">XLOOKUP(I617,customers_clean!$A$2:$A$701,customers_clean!$H$2:$H$701)</f>
        <v>marek.rodriguez@shop.io</v>
      </c>
      <c r="O617" s="9" t="str">
        <f>IFERROR(__xludf.DUMMYFUNCTION("IF(REGEXMATCH(TRIM(N617),""^[A-Za-z0-9._%+-]+@[A-Za-z0-9.-]+\.[A-Za-z]{2,}$""),""✅ Valid"",""❌ Invalid"")"),"✅ Valid")</f>
        <v>✅ Valid</v>
      </c>
      <c r="P617" s="33" t="str">
        <f t="array" ref="P617">XLOOKUP(I617,customers_clean!$A$2:$A$701,customers_clean!$K$2:$K$701)</f>
        <v>+484824470726</v>
      </c>
      <c r="Q617" s="10" t="str">
        <f t="array" ref="Q617">XLOOKUP(I617,customers_clean!$A$2:$A$701,customers_clean!$N$2:$N$701)</f>
        <v>4824470726</v>
      </c>
      <c r="R617" s="9" t="str">
        <f t="array" ref="R617">XLOOKUP(I617,customers_clean!$A$2:$A$701,customers_clean!$Q$2:$Q$701)</f>
        <v>❌ INVALID</v>
      </c>
      <c r="S617" s="10" t="s">
        <v>608</v>
      </c>
      <c r="T617" s="2" t="s">
        <v>26</v>
      </c>
      <c r="U617" s="2" t="s">
        <v>870</v>
      </c>
      <c r="V617" s="2" t="s">
        <v>2605</v>
      </c>
      <c r="W617" s="9" t="str">
        <f t="array" ref="W617">IF(ISNA(XLOOKUP(V617,products_master_corrected!$A$2:$A$151,products_master_corrected!$A$2:$A$151, NA())),
    "❌ MISSING SKU", "✅")</f>
        <v>✅</v>
      </c>
      <c r="X617" s="2" t="s">
        <v>280</v>
      </c>
      <c r="Y617" s="2" t="s">
        <v>292</v>
      </c>
      <c r="Z617" s="10" t="s">
        <v>63</v>
      </c>
      <c r="AA617" s="27">
        <v>1.0</v>
      </c>
      <c r="AB617" s="9" t="s">
        <v>8649</v>
      </c>
      <c r="AC617" s="28">
        <f t="array" ref="AC617">XLOOKUP(V617,products_master_corrected!$A$2:$A$151,products_master_corrected!$E$2:$E$151)</f>
        <v>142.47</v>
      </c>
      <c r="AD617" s="28">
        <f t="shared" si="71"/>
        <v>142.47</v>
      </c>
      <c r="AE617" s="28">
        <f t="array" ref="AE617">XLOOKUP(V617,products_master_corrected!$A$2:$A$151,products_master_corrected!$H$2:$H$151)</f>
        <v>160.07</v>
      </c>
      <c r="AF617" s="29">
        <f t="shared" si="72"/>
        <v>160.07</v>
      </c>
      <c r="AG617" s="32" t="s">
        <v>8658</v>
      </c>
      <c r="AH617" s="2" t="s">
        <v>204</v>
      </c>
      <c r="AI617" s="10" t="s">
        <v>143</v>
      </c>
      <c r="AJ617" s="2" t="s">
        <v>192</v>
      </c>
      <c r="AK617" s="10" t="s">
        <v>192</v>
      </c>
      <c r="AL617" s="2" t="s">
        <v>133</v>
      </c>
    </row>
    <row r="618" ht="15.75" customHeight="1">
      <c r="A618" s="2" t="s">
        <v>4993</v>
      </c>
      <c r="B618" s="12">
        <v>45830.23541666667</v>
      </c>
      <c r="C618" s="2" t="str">
        <f>IFERROR(__xludf.DUMMYFUNCTION("IF(ISNUMBER(B618),TEXT(B618,""yyyy-MM-dd""),REGEXREPLACE(REGEXREPLACE(TO_TEXT(B618),""[^0-9a-zA-Z]+"",""-""),""[^0-9]*$"",""""))"),"2025-06-22")</f>
        <v>2025-06-22</v>
      </c>
      <c r="D618" s="2" t="s">
        <v>7639</v>
      </c>
      <c r="H618" s="10" t="s">
        <v>7639</v>
      </c>
      <c r="I618" s="2" t="s">
        <v>3994</v>
      </c>
      <c r="J618" s="26" t="str">
        <f t="array" ref="J618">IF(ISNA(XLOOKUP(I618,customers_clean!$A$2:$A$701,customers_clean!$A$2:$A$701, NA()) ),
   "❌ MISSING CUSTOMER", "✅")</f>
        <v>✅</v>
      </c>
      <c r="K618" s="2" t="str">
        <f t="array" ref="K618">XLOOKUP(I618,customers_clean!$A$2:$A$701,customers_clean!$C$2:$C$701)</f>
        <v>Marek  Rodriguez</v>
      </c>
      <c r="L618" s="10" t="str">
        <f t="array" ref="L618">XLOOKUP(I618,customers_clean!$A$2:$A$701,customers_clean!$D$2:$D$701)</f>
        <v>Marek Rodriguez</v>
      </c>
      <c r="M618" s="2" t="str">
        <f t="array" ref="M618">XLOOKUP(I618,customers_clean!$A$2:$A$701,customers_clean!$I$2:$I$701)</f>
        <v>Marek.Rodriguez@Shop.Io</v>
      </c>
      <c r="N618" s="10" t="str">
        <f t="array" ref="N618">XLOOKUP(I618,customers_clean!$A$2:$A$701,customers_clean!$H$2:$H$701)</f>
        <v>marek.rodriguez@shop.io</v>
      </c>
      <c r="O618" s="9" t="str">
        <f>IFERROR(__xludf.DUMMYFUNCTION("IF(REGEXMATCH(TRIM(N618),""^[A-Za-z0-9._%+-]+@[A-Za-z0-9.-]+\.[A-Za-z]{2,}$""),""✅ Valid"",""❌ Invalid"")"),"✅ Valid")</f>
        <v>✅ Valid</v>
      </c>
      <c r="P618" s="33" t="str">
        <f t="array" ref="P618">XLOOKUP(I618,customers_clean!$A$2:$A$701,customers_clean!$K$2:$K$701)</f>
        <v>+484824470726</v>
      </c>
      <c r="Q618" s="10" t="str">
        <f t="array" ref="Q618">XLOOKUP(I618,customers_clean!$A$2:$A$701,customers_clean!$N$2:$N$701)</f>
        <v>4824470726</v>
      </c>
      <c r="R618" s="9" t="str">
        <f t="array" ref="R618">XLOOKUP(I618,customers_clean!$A$2:$A$701,customers_clean!$Q$2:$Q$701)</f>
        <v>❌ INVALID</v>
      </c>
      <c r="S618" s="10" t="s">
        <v>608</v>
      </c>
      <c r="T618" s="2" t="s">
        <v>301</v>
      </c>
      <c r="U618" s="2" t="s">
        <v>1032</v>
      </c>
      <c r="V618" s="2" t="s">
        <v>3101</v>
      </c>
      <c r="W618" s="9" t="str">
        <f t="array" ref="W618">IF(ISNA(XLOOKUP(V618,products_master_corrected!$A$2:$A$151,products_master_corrected!$A$2:$A$151, NA())),
    "❌ MISSING SKU", "✅")</f>
        <v>✅</v>
      </c>
      <c r="X618" s="2" t="s">
        <v>804</v>
      </c>
      <c r="Y618" s="2" t="s">
        <v>248</v>
      </c>
      <c r="Z618" s="10" t="s">
        <v>248</v>
      </c>
      <c r="AA618" s="27">
        <v>2.0</v>
      </c>
      <c r="AB618" s="9" t="s">
        <v>8649</v>
      </c>
      <c r="AC618" s="28">
        <f t="array" ref="AC618">XLOOKUP(V618,products_master_corrected!$A$2:$A$151,products_master_corrected!$E$2:$E$151)</f>
        <v>23.37</v>
      </c>
      <c r="AD618" s="28">
        <f t="shared" si="71"/>
        <v>46.74</v>
      </c>
      <c r="AE618" s="28">
        <f t="array" ref="AE618">XLOOKUP(V618,products_master_corrected!$A$2:$A$151,products_master_corrected!$H$2:$H$151)</f>
        <v>26.26</v>
      </c>
      <c r="AF618" s="29">
        <f t="shared" si="72"/>
        <v>52.52</v>
      </c>
      <c r="AG618" s="32" t="s">
        <v>8658</v>
      </c>
      <c r="AH618" s="2" t="s">
        <v>143</v>
      </c>
      <c r="AI618" s="10" t="s">
        <v>143</v>
      </c>
      <c r="AJ618" s="2" t="s">
        <v>393</v>
      </c>
      <c r="AK618" s="10" t="s">
        <v>80</v>
      </c>
    </row>
    <row r="619" ht="15.75" customHeight="1">
      <c r="A619" s="2" t="s">
        <v>3992</v>
      </c>
      <c r="B619" s="12">
        <v>45058.0</v>
      </c>
      <c r="C619" s="2" t="str">
        <f>IFERROR(__xludf.DUMMYFUNCTION("IF(ISNUMBER(B619),TEXT(B619,""yyyy-MM-dd""),REGEXREPLACE(REGEXREPLACE(TO_TEXT(B619),""[^0-9a-zA-Z]+"",""-""),""[^0-9]*$"",""""))"),"2023-05-12")</f>
        <v>2023-05-12</v>
      </c>
      <c r="D619" s="2" t="s">
        <v>8659</v>
      </c>
      <c r="H619" s="10" t="s">
        <v>8659</v>
      </c>
      <c r="I619" s="2" t="s">
        <v>3994</v>
      </c>
      <c r="J619" s="26" t="str">
        <f t="array" ref="J619">IF(ISNA(XLOOKUP(I619,customers_clean!$A$2:$A$701,customers_clean!$A$2:$A$701, NA()) ),
   "❌ MISSING CUSTOMER", "✅")</f>
        <v>✅</v>
      </c>
      <c r="K619" s="2" t="str">
        <f t="array" ref="K619">XLOOKUP(I619,customers_clean!$A$2:$A$701,customers_clean!$C$2:$C$701)</f>
        <v>Marek  Rodriguez</v>
      </c>
      <c r="L619" s="10" t="str">
        <f t="array" ref="L619">XLOOKUP(I619,customers_clean!$A$2:$A$701,customers_clean!$D$2:$D$701)</f>
        <v>Marek Rodriguez</v>
      </c>
      <c r="M619" s="2" t="str">
        <f t="array" ref="M619">XLOOKUP(I619,customers_clean!$A$2:$A$701,customers_clean!$I$2:$I$701)</f>
        <v>Marek.Rodriguez@Shop.Io</v>
      </c>
      <c r="N619" s="10" t="str">
        <f t="array" ref="N619">XLOOKUP(I619,customers_clean!$A$2:$A$701,customers_clean!$H$2:$H$701)</f>
        <v>marek.rodriguez@shop.io</v>
      </c>
      <c r="O619" s="9" t="str">
        <f>IFERROR(__xludf.DUMMYFUNCTION("IF(REGEXMATCH(TRIM(N619),""^[A-Za-z0-9._%+-]+@[A-Za-z0-9.-]+\.[A-Za-z]{2,}$""),""✅ Valid"",""❌ Invalid"")"),"✅ Valid")</f>
        <v>✅ Valid</v>
      </c>
      <c r="P619" s="33" t="str">
        <f t="array" ref="P619">XLOOKUP(I619,customers_clean!$A$2:$A$701,customers_clean!$K$2:$K$701)</f>
        <v>+484824470726</v>
      </c>
      <c r="Q619" s="10" t="str">
        <f t="array" ref="Q619">XLOOKUP(I619,customers_clean!$A$2:$A$701,customers_clean!$N$2:$N$701)</f>
        <v>4824470726</v>
      </c>
      <c r="R619" s="9" t="str">
        <f t="array" ref="R619">XLOOKUP(I619,customers_clean!$A$2:$A$701,customers_clean!$Q$2:$Q$701)</f>
        <v>❌ INVALID</v>
      </c>
      <c r="S619" s="10" t="s">
        <v>608</v>
      </c>
      <c r="T619" s="2" t="s">
        <v>210</v>
      </c>
      <c r="U619" s="2" t="s">
        <v>401</v>
      </c>
      <c r="V619" s="2" t="s">
        <v>1400</v>
      </c>
      <c r="W619" s="9" t="str">
        <f t="array" ref="W619">IF(ISNA(XLOOKUP(V619,products_master_corrected!$A$2:$A$151,products_master_corrected!$A$2:$A$151, NA())),
    "❌ MISSING SKU", "✅")</f>
        <v>✅</v>
      </c>
      <c r="X619" s="2" t="s">
        <v>524</v>
      </c>
      <c r="Y619" s="2" t="s">
        <v>1401</v>
      </c>
      <c r="Z619" s="10" t="s">
        <v>63</v>
      </c>
      <c r="AA619" s="27">
        <v>5.0</v>
      </c>
      <c r="AB619" s="9" t="s">
        <v>8649</v>
      </c>
      <c r="AC619" s="28">
        <f t="array" ref="AC619">XLOOKUP(V619,products_master_corrected!$A$2:$A$151,products_master_corrected!$E$2:$E$151)</f>
        <v>145.12</v>
      </c>
      <c r="AD619" s="28">
        <f t="shared" si="71"/>
        <v>725.6</v>
      </c>
      <c r="AE619" s="28">
        <f t="array" ref="AE619">XLOOKUP(V619,products_master_corrected!$A$2:$A$151,products_master_corrected!$H$2:$H$151)</f>
        <v>163.04</v>
      </c>
      <c r="AF619" s="29">
        <f t="shared" si="72"/>
        <v>815.2</v>
      </c>
      <c r="AG619" s="32" t="s">
        <v>8658</v>
      </c>
      <c r="AH619" s="2" t="s">
        <v>66</v>
      </c>
      <c r="AI619" s="10" t="s">
        <v>66</v>
      </c>
      <c r="AJ619" s="2" t="s">
        <v>306</v>
      </c>
      <c r="AK619" s="10" t="s">
        <v>192</v>
      </c>
    </row>
    <row r="620" ht="15.75" customHeight="1">
      <c r="A620" s="2" t="s">
        <v>5669</v>
      </c>
      <c r="B620" s="12" t="s">
        <v>5670</v>
      </c>
      <c r="C620" s="2" t="str">
        <f>IFERROR(__xludf.DUMMYFUNCTION("IF(ISNUMBER(B620),TEXT(B620,""yyyy-MM-dd""),REGEXREPLACE(REGEXREPLACE(TO_TEXT(B620),""[^0-9a-zA-Z]+"",""-""),""[^0-9]*$"",""""))"),"28-12-2024")</f>
        <v>28-12-2024</v>
      </c>
      <c r="D620" s="2" t="s">
        <v>8824</v>
      </c>
      <c r="H620" s="10" t="s">
        <v>8824</v>
      </c>
      <c r="I620" s="2" t="s">
        <v>5671</v>
      </c>
      <c r="J620" s="26" t="str">
        <f t="array" ref="J620">IF(ISNA(XLOOKUP(I620,customers_clean!$A$2:$A$701,customers_clean!$A$2:$A$701, NA()) ),
   "❌ MISSING CUSTOMER", "✅")</f>
        <v>✅</v>
      </c>
      <c r="K620" s="2" t="str">
        <f t="array" ref="K620">XLOOKUP(I620,customers_clean!$A$2:$A$701,customers_clean!$C$2:$C$701)</f>
        <v>Vlad Taylor </v>
      </c>
      <c r="L620" s="10" t="str">
        <f t="array" ref="L620">XLOOKUP(I620,customers_clean!$A$2:$A$701,customers_clean!$D$2:$D$701)</f>
        <v>Vlad Taylor</v>
      </c>
      <c r="M620" s="2" t="str">
        <f t="array" ref="M620">XLOOKUP(I620,customers_clean!$A$2:$A$701,customers_clean!$I$2:$I$701)</f>
        <v>Vlad.Taylor@Example.Com</v>
      </c>
      <c r="N620" s="10" t="str">
        <f t="array" ref="N620">XLOOKUP(I620,customers_clean!$A$2:$A$701,customers_clean!$H$2:$H$701)</f>
        <v>vlad.taylor@example.com</v>
      </c>
      <c r="O620" s="9" t="str">
        <f>IFERROR(__xludf.DUMMYFUNCTION("IF(REGEXMATCH(TRIM(N620),""^[A-Za-z0-9._%+-]+@[A-Za-z0-9.-]+\.[A-Za-z]{2,}$""),""✅ Valid"",""❌ Invalid"")"),"✅ Valid")</f>
        <v>✅ Valid</v>
      </c>
      <c r="P620" s="2" t="str">
        <f t="array" ref="P620">XLOOKUP(I620,customers_clean!$A$2:$A$701,customers_clean!$K$2:$K$701)</f>
        <v>065-055-784</v>
      </c>
      <c r="Q620" s="10" t="str">
        <f t="array" ref="Q620">XLOOKUP(I620,customers_clean!$A$2:$A$701,customers_clean!$N$2:$N$701)</f>
        <v>065055784</v>
      </c>
      <c r="R620" s="9" t="str">
        <f t="array" ref="R620">XLOOKUP(I620,customers_clean!$A$2:$A$701,customers_clean!$Q$2:$Q$701)</f>
        <v>❌ INVALID</v>
      </c>
      <c r="S620" s="31" t="s">
        <v>671</v>
      </c>
      <c r="T620" s="2" t="s">
        <v>42</v>
      </c>
      <c r="U620" s="2" t="s">
        <v>5675</v>
      </c>
      <c r="V620" s="2" t="s">
        <v>4048</v>
      </c>
      <c r="W620" s="9" t="str">
        <f t="array" ref="W620">IF(ISNA(XLOOKUP(V620,products_master_corrected!$A$2:$A$151,products_master_corrected!$A$2:$A$151, NA())),
    "❌ MISSING SKU", "✅")</f>
        <v>✅</v>
      </c>
      <c r="X620" s="2" t="s">
        <v>190</v>
      </c>
      <c r="Y620" s="2" t="s">
        <v>214</v>
      </c>
      <c r="Z620" s="10" t="s">
        <v>368</v>
      </c>
      <c r="AA620" s="27">
        <v>5.0</v>
      </c>
      <c r="AB620" s="9" t="s">
        <v>8649</v>
      </c>
      <c r="AC620" s="28">
        <f t="array" ref="AC620">XLOOKUP(V620,products_master_corrected!$A$2:$A$151,products_master_corrected!$E$2:$E$151)</f>
        <v>147.02</v>
      </c>
      <c r="AD620" s="28">
        <f t="shared" si="71"/>
        <v>735.1</v>
      </c>
      <c r="AE620" s="28">
        <f t="array" ref="AE620">XLOOKUP(V620,products_master_corrected!$A$2:$A$151,products_master_corrected!$J$2:$J$151)</f>
        <v>171.47</v>
      </c>
      <c r="AF620" s="29">
        <f t="shared" si="72"/>
        <v>857.35</v>
      </c>
      <c r="AG620" s="32" t="s">
        <v>8656</v>
      </c>
      <c r="AH620" s="2" t="s">
        <v>305</v>
      </c>
      <c r="AI620" s="10" t="s">
        <v>49</v>
      </c>
      <c r="AJ620" s="2" t="s">
        <v>192</v>
      </c>
      <c r="AK620" s="10" t="s">
        <v>192</v>
      </c>
      <c r="AL620" s="2" t="s">
        <v>67</v>
      </c>
    </row>
    <row r="621" ht="15.75" customHeight="1">
      <c r="A621" s="2" t="s">
        <v>1950</v>
      </c>
      <c r="B621" s="12">
        <v>45160.0</v>
      </c>
      <c r="C621" s="2" t="str">
        <f>IFERROR(__xludf.DUMMYFUNCTION("IF(ISNUMBER(B621),TEXT(B621,""yyyy-MM-dd""),REGEXREPLACE(REGEXREPLACE(TO_TEXT(B621),""[^0-9a-zA-Z]+"",""-""),""[^0-9]*$"",""""))"),"2023-08-22")</f>
        <v>2023-08-22</v>
      </c>
      <c r="D621" s="2" t="s">
        <v>8892</v>
      </c>
      <c r="H621" s="10" t="s">
        <v>8892</v>
      </c>
      <c r="I621" s="2" t="s">
        <v>37</v>
      </c>
      <c r="J621" s="26" t="str">
        <f t="array" ref="J621">IF(ISNA(XLOOKUP(I621,customers_clean!$A$2:$A$701,customers_clean!$A$2:$A$701, NA()) ),
   "❌ MISSING CUSTOMER", "✅")</f>
        <v>✅</v>
      </c>
      <c r="K621" s="2" t="str">
        <f t="array" ref="K621">XLOOKUP(I621,customers_clean!$A$2:$A$701,customers_clean!$C$2:$C$701)</f>
        <v>IGOR TAYLOR</v>
      </c>
      <c r="L621" s="10" t="str">
        <f t="array" ref="L621">XLOOKUP(I621,customers_clean!$A$2:$A$701,customers_clean!$D$2:$D$701)</f>
        <v>Igor Taylor</v>
      </c>
      <c r="M621" s="2" t="str">
        <f t="array" ref="M621">XLOOKUP(I621,customers_clean!$A$2:$A$701,customers_clean!$I$2:$I$701)</f>
        <v>Igor.Taylor@Example.Com</v>
      </c>
      <c r="N621" s="10" t="str">
        <f t="array" ref="N621">XLOOKUP(I621,customers_clean!$A$2:$A$701,customers_clean!$H$2:$H$701)</f>
        <v>igor.taylor@example.com</v>
      </c>
      <c r="O621" s="9" t="str">
        <f>IFERROR(__xludf.DUMMYFUNCTION("IF(REGEXMATCH(TRIM(N621),""^[A-Za-z0-9._%+-]+@[A-Za-z0-9.-]+\.[A-Za-z]{2,}$""),""✅ Valid"",""❌ Invalid"")"),"✅ Valid")</f>
        <v>✅ Valid</v>
      </c>
      <c r="P621" s="2" t="str">
        <f t="array" ref="P621">XLOOKUP(I621,customers_clean!$A$2:$A$701,customers_clean!$K$2:$K$701)</f>
        <v>+353206382548</v>
      </c>
      <c r="Q621" s="10" t="str">
        <f t="array" ref="Q621">XLOOKUP(I621,customers_clean!$A$2:$A$701,customers_clean!$N$2:$N$701)</f>
        <v>206382548</v>
      </c>
      <c r="R621" s="9" t="str">
        <f t="array" ref="R621">XLOOKUP(I621,customers_clean!$A$2:$A$701,customers_clean!$Q$2:$Q$701)</f>
        <v>❌ INVALID</v>
      </c>
      <c r="S621" s="10" t="s">
        <v>139</v>
      </c>
      <c r="T621" s="2" t="s">
        <v>59</v>
      </c>
      <c r="U621" s="2" t="s">
        <v>176</v>
      </c>
      <c r="V621" s="2" t="s">
        <v>140</v>
      </c>
      <c r="W621" s="9" t="str">
        <f t="array" ref="W621">IF(ISNA(XLOOKUP(V621,products_master_corrected!$A$2:$A$151,products_master_corrected!$A$2:$A$151, NA())),
    "❌ MISSING SKU", "✅")</f>
        <v>✅</v>
      </c>
      <c r="X621" s="2" t="s">
        <v>741</v>
      </c>
      <c r="Y621" s="2" t="s">
        <v>63</v>
      </c>
      <c r="Z621" s="10" t="s">
        <v>63</v>
      </c>
      <c r="AA621" s="27">
        <v>1.0</v>
      </c>
      <c r="AB621" s="9" t="s">
        <v>8649</v>
      </c>
      <c r="AC621" s="28">
        <f t="array" ref="AC621">XLOOKUP(V621,products_master_corrected!$A$2:$A$151,products_master_corrected!$E$2:$E$151)</f>
        <v>30.67</v>
      </c>
      <c r="AD621" s="28">
        <f t="shared" si="71"/>
        <v>30.67</v>
      </c>
      <c r="AE621" s="28">
        <f t="array" ref="AE621">XLOOKUP(V621,products_master_corrected!$A$2:$A$151,products_master_corrected!$L$2:$L$151)</f>
        <v>33.17</v>
      </c>
      <c r="AF621" s="29">
        <f t="shared" si="72"/>
        <v>33.17</v>
      </c>
      <c r="AG621" s="32" t="s">
        <v>8665</v>
      </c>
      <c r="AH621" s="2" t="s">
        <v>131</v>
      </c>
      <c r="AI621" s="10" t="s">
        <v>181</v>
      </c>
      <c r="AJ621" s="2" t="s">
        <v>442</v>
      </c>
      <c r="AK621" s="10" t="s">
        <v>80</v>
      </c>
    </row>
    <row r="622" ht="15.75" customHeight="1">
      <c r="A622" s="2" t="s">
        <v>35</v>
      </c>
      <c r="B622" s="12" t="s">
        <v>36</v>
      </c>
      <c r="C622" s="2" t="str">
        <f>IFERROR(__xludf.DUMMYFUNCTION("IF(ISNUMBER(B622),TEXT(B622,""yyyy-MM-dd""),REGEXREPLACE(REGEXREPLACE(TO_TEXT(B622),""[^0-9a-zA-Z]+"",""-""),""[^0-9]*$"",""""))"),"06-02-2023")</f>
        <v>06-02-2023</v>
      </c>
      <c r="D622" s="2" t="s">
        <v>8684</v>
      </c>
      <c r="H622" s="10" t="s">
        <v>8684</v>
      </c>
      <c r="I622" s="2" t="s">
        <v>37</v>
      </c>
      <c r="J622" s="26" t="str">
        <f t="array" ref="J622">IF(ISNA(XLOOKUP(I622,customers_clean!$A$2:$A$701,customers_clean!$A$2:$A$701, NA()) ),
   "❌ MISSING CUSTOMER", "✅")</f>
        <v>✅</v>
      </c>
      <c r="K622" s="2" t="str">
        <f t="array" ref="K622">XLOOKUP(I622,customers_clean!$A$2:$A$701,customers_clean!$C$2:$C$701)</f>
        <v>IGOR TAYLOR</v>
      </c>
      <c r="L622" s="10" t="str">
        <f t="array" ref="L622">XLOOKUP(I622,customers_clean!$A$2:$A$701,customers_clean!$D$2:$D$701)</f>
        <v>Igor Taylor</v>
      </c>
      <c r="M622" s="2" t="str">
        <f t="array" ref="M622">XLOOKUP(I622,customers_clean!$A$2:$A$701,customers_clean!$I$2:$I$701)</f>
        <v>Igor.Taylor@Example.Com</v>
      </c>
      <c r="N622" s="10" t="str">
        <f t="array" ref="N622">XLOOKUP(I622,customers_clean!$A$2:$A$701,customers_clean!$H$2:$H$701)</f>
        <v>igor.taylor@example.com</v>
      </c>
      <c r="O622" s="9" t="str">
        <f>IFERROR(__xludf.DUMMYFUNCTION("IF(REGEXMATCH(TRIM(N622),""^[A-Za-z0-9._%+-]+@[A-Za-z0-9.-]+\.[A-Za-z]{2,}$""),""✅ Valid"",""❌ Invalid"")"),"✅ Valid")</f>
        <v>✅ Valid</v>
      </c>
      <c r="P622" s="2" t="str">
        <f t="array" ref="P622">XLOOKUP(I622,customers_clean!$A$2:$A$701,customers_clean!$K$2:$K$701)</f>
        <v>+353206382548</v>
      </c>
      <c r="Q622" s="10" t="str">
        <f t="array" ref="Q622">XLOOKUP(I622,customers_clean!$A$2:$A$701,customers_clean!$N$2:$N$701)</f>
        <v>206382548</v>
      </c>
      <c r="R622" s="9" t="str">
        <f t="array" ref="R622">XLOOKUP(I622,customers_clean!$A$2:$A$701,customers_clean!$Q$2:$Q$701)</f>
        <v>❌ INVALID</v>
      </c>
      <c r="S622" s="10" t="s">
        <v>139</v>
      </c>
      <c r="T622" s="2" t="s">
        <v>42</v>
      </c>
      <c r="U622" s="2" t="s">
        <v>43</v>
      </c>
      <c r="V622" s="2" t="s">
        <v>44</v>
      </c>
      <c r="W622" s="9" t="str">
        <f t="array" ref="W622">IF(ISNA(XLOOKUP(V622,products_master_corrected!$A$2:$A$151,products_master_corrected!$A$2:$A$151, NA())),
    "❌ MISSING SKU", "✅")</f>
        <v>✅</v>
      </c>
      <c r="X622" s="2" t="s">
        <v>502</v>
      </c>
      <c r="Y622" s="2" t="s">
        <v>46</v>
      </c>
      <c r="Z622" s="10" t="s">
        <v>248</v>
      </c>
      <c r="AA622" s="27">
        <v>2.0</v>
      </c>
      <c r="AB622" s="9" t="s">
        <v>8649</v>
      </c>
      <c r="AC622" s="28">
        <f t="array" ref="AC622">XLOOKUP(V622,products_master_corrected!$A$2:$A$151,products_master_corrected!$E$2:$E$151)</f>
        <v>755.05</v>
      </c>
      <c r="AD622" s="28">
        <f t="shared" si="71"/>
        <v>1510.1</v>
      </c>
      <c r="AE622" s="28">
        <f t="array" ref="AE622">XLOOKUP(V622,products_master_corrected!$A$2:$A$151,products_master_corrected!$L$2:$L$151)</f>
        <v>816.59</v>
      </c>
      <c r="AF622" s="29">
        <f t="shared" si="72"/>
        <v>1633.18</v>
      </c>
      <c r="AG622" s="32" t="s">
        <v>8665</v>
      </c>
      <c r="AH622" s="2" t="s">
        <v>49</v>
      </c>
      <c r="AI622" s="10" t="s">
        <v>49</v>
      </c>
      <c r="AJ622" s="2" t="s">
        <v>50</v>
      </c>
      <c r="AK622" s="10" t="s">
        <v>261</v>
      </c>
      <c r="AL622" s="2" t="s">
        <v>51</v>
      </c>
    </row>
    <row r="623" ht="15.75" customHeight="1">
      <c r="A623" s="2" t="s">
        <v>2522</v>
      </c>
      <c r="B623" s="12">
        <v>45185.714583333334</v>
      </c>
      <c r="C623" s="2" t="str">
        <f>IFERROR(__xludf.DUMMYFUNCTION("IF(ISNUMBER(B623),TEXT(B623,""yyyy-MM-dd""),REGEXREPLACE(REGEXREPLACE(TO_TEXT(B623),""[^0-9a-zA-Z]+"",""-""),""[^0-9]*$"",""""))"),"2023-09-16")</f>
        <v>2023-09-16</v>
      </c>
      <c r="D623" s="2" t="s">
        <v>8800</v>
      </c>
      <c r="H623" s="10" t="s">
        <v>8800</v>
      </c>
      <c r="I623" s="2" t="s">
        <v>37</v>
      </c>
      <c r="J623" s="26" t="str">
        <f t="array" ref="J623">IF(ISNA(XLOOKUP(I623,customers_clean!$A$2:$A$701,customers_clean!$A$2:$A$701, NA()) ),
   "❌ MISSING CUSTOMER", "✅")</f>
        <v>✅</v>
      </c>
      <c r="K623" s="2" t="str">
        <f t="array" ref="K623">XLOOKUP(I623,customers_clean!$A$2:$A$701,customers_clean!$C$2:$C$701)</f>
        <v>IGOR TAYLOR</v>
      </c>
      <c r="L623" s="10" t="str">
        <f t="array" ref="L623">XLOOKUP(I623,customers_clean!$A$2:$A$701,customers_clean!$D$2:$D$701)</f>
        <v>Igor Taylor</v>
      </c>
      <c r="M623" s="2" t="str">
        <f t="array" ref="M623">XLOOKUP(I623,customers_clean!$A$2:$A$701,customers_clean!$I$2:$I$701)</f>
        <v>Igor.Taylor@Example.Com</v>
      </c>
      <c r="N623" s="10" t="str">
        <f t="array" ref="N623">XLOOKUP(I623,customers_clean!$A$2:$A$701,customers_clean!$H$2:$H$701)</f>
        <v>igor.taylor@example.com</v>
      </c>
      <c r="O623" s="9" t="str">
        <f>IFERROR(__xludf.DUMMYFUNCTION("IF(REGEXMATCH(TRIM(N623),""^[A-Za-z0-9._%+-]+@[A-Za-z0-9.-]+\.[A-Za-z]{2,}$""),""✅ Valid"",""❌ Invalid"")"),"✅ Valid")</f>
        <v>✅ Valid</v>
      </c>
      <c r="P623" s="2" t="str">
        <f t="array" ref="P623">XLOOKUP(I623,customers_clean!$A$2:$A$701,customers_clean!$K$2:$K$701)</f>
        <v>+353206382548</v>
      </c>
      <c r="Q623" s="10" t="str">
        <f t="array" ref="Q623">XLOOKUP(I623,customers_clean!$A$2:$A$701,customers_clean!$N$2:$N$701)</f>
        <v>206382548</v>
      </c>
      <c r="R623" s="9" t="str">
        <f t="array" ref="R623">XLOOKUP(I623,customers_clean!$A$2:$A$701,customers_clean!$Q$2:$Q$701)</f>
        <v>❌ INVALID</v>
      </c>
      <c r="S623" s="10" t="s">
        <v>139</v>
      </c>
      <c r="T623" s="2" t="s">
        <v>59</v>
      </c>
      <c r="U623" s="2" t="s">
        <v>75</v>
      </c>
      <c r="V623" s="2" t="s">
        <v>824</v>
      </c>
      <c r="W623" s="9" t="str">
        <f t="array" ref="W623">IF(ISNA(XLOOKUP(V623,products_master_corrected!$A$2:$A$151,products_master_corrected!$A$2:$A$151, NA())),
    "❌ MISSING SKU", "✅")</f>
        <v>✅</v>
      </c>
      <c r="X623" s="2" t="s">
        <v>825</v>
      </c>
      <c r="Y623" s="2" t="s">
        <v>826</v>
      </c>
      <c r="Z623" s="10" t="s">
        <v>63</v>
      </c>
      <c r="AA623" s="27">
        <v>2.0</v>
      </c>
      <c r="AB623" s="9" t="s">
        <v>8649</v>
      </c>
      <c r="AC623" s="28">
        <f t="array" ref="AC623">XLOOKUP(V623,products_master_corrected!$A$2:$A$151,products_master_corrected!$E$2:$E$151)</f>
        <v>49.58</v>
      </c>
      <c r="AD623" s="28">
        <f t="shared" si="71"/>
        <v>99.16</v>
      </c>
      <c r="AE623" s="28">
        <f t="array" ref="AE623">XLOOKUP(V623,products_master_corrected!$A$2:$A$151,products_master_corrected!$L$2:$L$151)</f>
        <v>53.62</v>
      </c>
      <c r="AF623" s="29">
        <f t="shared" si="72"/>
        <v>107.24</v>
      </c>
      <c r="AG623" s="32" t="s">
        <v>8665</v>
      </c>
      <c r="AH623" s="2" t="s">
        <v>505</v>
      </c>
      <c r="AI623" s="10" t="s">
        <v>181</v>
      </c>
      <c r="AJ623" s="2" t="s">
        <v>2525</v>
      </c>
      <c r="AK623" s="10" t="s">
        <v>261</v>
      </c>
      <c r="AL623" s="2" t="s">
        <v>67</v>
      </c>
    </row>
    <row r="624" ht="15.75" customHeight="1">
      <c r="A624" s="2" t="s">
        <v>5778</v>
      </c>
      <c r="B624" s="12">
        <v>45668.87430555555</v>
      </c>
      <c r="C624" s="2" t="str">
        <f>IFERROR(__xludf.DUMMYFUNCTION("IF(ISNUMBER(B624),TEXT(B624,""yyyy-MM-dd""),REGEXREPLACE(REGEXREPLACE(TO_TEXT(B624),""[^0-9a-zA-Z]+"",""-""),""[^0-9]*$"",""""))"),"2025-01-11")</f>
        <v>2025-01-11</v>
      </c>
      <c r="D624" s="2" t="s">
        <v>4008</v>
      </c>
      <c r="H624" s="10" t="s">
        <v>4008</v>
      </c>
      <c r="I624" s="2" t="s">
        <v>37</v>
      </c>
      <c r="J624" s="26" t="str">
        <f t="array" ref="J624">IF(ISNA(XLOOKUP(I624,customers_clean!$A$2:$A$701,customers_clean!$A$2:$A$701, NA()) ),
   "❌ MISSING CUSTOMER", "✅")</f>
        <v>✅</v>
      </c>
      <c r="K624" s="2" t="str">
        <f t="array" ref="K624">XLOOKUP(I624,customers_clean!$A$2:$A$701,customers_clean!$C$2:$C$701)</f>
        <v>IGOR TAYLOR</v>
      </c>
      <c r="L624" s="10" t="str">
        <f t="array" ref="L624">XLOOKUP(I624,customers_clean!$A$2:$A$701,customers_clean!$D$2:$D$701)</f>
        <v>Igor Taylor</v>
      </c>
      <c r="M624" s="2" t="str">
        <f t="array" ref="M624">XLOOKUP(I624,customers_clean!$A$2:$A$701,customers_clean!$I$2:$I$701)</f>
        <v>Igor.Taylor@Example.Com</v>
      </c>
      <c r="N624" s="10" t="str">
        <f t="array" ref="N624">XLOOKUP(I624,customers_clean!$A$2:$A$701,customers_clean!$H$2:$H$701)</f>
        <v>igor.taylor@example.com</v>
      </c>
      <c r="O624" s="9" t="str">
        <f>IFERROR(__xludf.DUMMYFUNCTION("IF(REGEXMATCH(TRIM(N624),""^[A-Za-z0-9._%+-]+@[A-Za-z0-9.-]+\.[A-Za-z]{2,}$""),""✅ Valid"",""❌ Invalid"")"),"✅ Valid")</f>
        <v>✅ Valid</v>
      </c>
      <c r="P624" s="2" t="str">
        <f t="array" ref="P624">XLOOKUP(I624,customers_clean!$A$2:$A$701,customers_clean!$K$2:$K$701)</f>
        <v>+353206382548</v>
      </c>
      <c r="Q624" s="10" t="str">
        <f t="array" ref="Q624">XLOOKUP(I624,customers_clean!$A$2:$A$701,customers_clean!$N$2:$N$701)</f>
        <v>206382548</v>
      </c>
      <c r="R624" s="9" t="str">
        <f t="array" ref="R624">XLOOKUP(I624,customers_clean!$A$2:$A$701,customers_clean!$Q$2:$Q$701)</f>
        <v>❌ INVALID</v>
      </c>
      <c r="S624" s="10" t="s">
        <v>139</v>
      </c>
      <c r="T624" s="2" t="s">
        <v>115</v>
      </c>
      <c r="U624" s="2" t="s">
        <v>480</v>
      </c>
      <c r="V624" s="2" t="s">
        <v>76</v>
      </c>
      <c r="W624" s="9" t="str">
        <f t="array" ref="W624">IF(ISNA(XLOOKUP(V624,products_master_corrected!$A$2:$A$151,products_master_corrected!$A$2:$A$151, NA())),
    "❌ MISSING SKU", "✅")</f>
        <v>✅</v>
      </c>
      <c r="X624" s="2" t="s">
        <v>77</v>
      </c>
      <c r="Y624" s="2" t="s">
        <v>78</v>
      </c>
      <c r="Z624" s="10" t="s">
        <v>355</v>
      </c>
      <c r="AA624" s="27">
        <v>2.0</v>
      </c>
      <c r="AB624" s="9" t="s">
        <v>8649</v>
      </c>
      <c r="AC624" s="28">
        <f t="array" ref="AC624">XLOOKUP(V624,products_master_corrected!$A$2:$A$151,products_master_corrected!$E$2:$E$151)</f>
        <v>153.16</v>
      </c>
      <c r="AD624" s="28">
        <f t="shared" si="71"/>
        <v>306.32</v>
      </c>
      <c r="AE624" s="28">
        <f t="array" ref="AE624">XLOOKUP(V624,products_master_corrected!$A$2:$A$151,products_master_corrected!$L$2:$L$151)</f>
        <v>165.64</v>
      </c>
      <c r="AF624" s="29">
        <f t="shared" si="72"/>
        <v>331.28</v>
      </c>
      <c r="AG624" s="32" t="s">
        <v>8665</v>
      </c>
      <c r="AH624" s="2" t="s">
        <v>414</v>
      </c>
      <c r="AI624" s="10" t="s">
        <v>49</v>
      </c>
      <c r="AJ624" s="2" t="s">
        <v>432</v>
      </c>
      <c r="AK624" s="10" t="s">
        <v>80</v>
      </c>
      <c r="AL624" s="2" t="s">
        <v>67</v>
      </c>
    </row>
    <row r="625" ht="15.75" customHeight="1">
      <c r="A625" s="2" t="s">
        <v>4673</v>
      </c>
      <c r="B625" s="12">
        <v>45235.0</v>
      </c>
      <c r="C625" s="2" t="str">
        <f>IFERROR(__xludf.DUMMYFUNCTION("IF(ISNUMBER(B625),TEXT(B625,""yyyy-MM-dd""),REGEXREPLACE(REGEXREPLACE(TO_TEXT(B625),""[^0-9a-zA-Z]+"",""-""),""[^0-9]*$"",""""))"),"2023-11-05")</f>
        <v>2023-11-05</v>
      </c>
      <c r="D625" s="2" t="s">
        <v>7797</v>
      </c>
      <c r="H625" s="10" t="s">
        <v>7797</v>
      </c>
      <c r="I625" s="2" t="s">
        <v>4675</v>
      </c>
      <c r="J625" s="26" t="str">
        <f t="array" ref="J625">IF(ISNA(XLOOKUP(I625,customers_clean!$A$2:$A$701,customers_clean!$A$2:$A$701, NA()) ),
   "❌ MISSING CUSTOMER", "✅")</f>
        <v>✅</v>
      </c>
      <c r="K625" s="2" t="str">
        <f t="array" ref="K625">XLOOKUP(I625,customers_clean!$A$2:$A$701,customers_clean!$C$2:$C$701)</f>
        <v>Hanna Kowalczyk</v>
      </c>
      <c r="L625" s="10" t="str">
        <f t="array" ref="L625">XLOOKUP(I625,customers_clean!$A$2:$A$701,customers_clean!$D$2:$D$701)</f>
        <v>Hanna Kowalczyk</v>
      </c>
      <c r="M625" s="2" t="str">
        <f t="array" ref="M625">XLOOKUP(I625,customers_clean!$A$2:$A$701,customers_clean!$I$2:$I$701)</f>
        <v>hanna.kowalczyk@example.com </v>
      </c>
      <c r="N625" s="10" t="str">
        <f t="array" ref="N625">XLOOKUP(I625,customers_clean!$A$2:$A$701,customers_clean!$H$2:$H$701)</f>
        <v>hanna.kowalczyk@example.com</v>
      </c>
      <c r="O625" s="9" t="str">
        <f>IFERROR(__xludf.DUMMYFUNCTION("IF(REGEXMATCH(TRIM(N625),""^[A-Za-z0-9._%+-]+@[A-Za-z0-9.-]+\.[A-Za-z]{2,}$""),""✅ Valid"",""❌ Invalid"")"),"✅ Valid")</f>
        <v>✅ Valid</v>
      </c>
      <c r="P625" s="2" t="str">
        <f t="array" ref="P625">XLOOKUP(I625,customers_clean!$A$2:$A$701,customers_clean!$K$2:$K$701)</f>
        <v>+353+2050948772</v>
      </c>
      <c r="Q625" s="10" t="str">
        <f t="array" ref="Q625">XLOOKUP(I625,customers_clean!$A$2:$A$701,customers_clean!$N$2:$N$701)</f>
        <v>2050948772</v>
      </c>
      <c r="R625" s="9" t="str">
        <f t="array" ref="R625">XLOOKUP(I625,customers_clean!$A$2:$A$701,customers_clean!$Q$2:$Q$701)</f>
        <v>❌ INVALID</v>
      </c>
      <c r="S625" s="31" t="s">
        <v>671</v>
      </c>
      <c r="T625" s="2" t="s">
        <v>223</v>
      </c>
      <c r="U625" s="2" t="s">
        <v>176</v>
      </c>
      <c r="V625" s="2" t="s">
        <v>4497</v>
      </c>
      <c r="W625" s="9" t="str">
        <f t="array" ref="W625">IF(ISNA(XLOOKUP(V625,products_master_corrected!$A$2:$A$151,products_master_corrected!$A$2:$A$151, NA())),
    "❌ MISSING SKU", "✅")</f>
        <v>✅</v>
      </c>
      <c r="X625" s="2" t="s">
        <v>403</v>
      </c>
      <c r="Y625" s="2" t="s">
        <v>995</v>
      </c>
      <c r="Z625" s="10" t="s">
        <v>355</v>
      </c>
      <c r="AA625" s="27">
        <v>2.0</v>
      </c>
      <c r="AB625" s="9" t="s">
        <v>8649</v>
      </c>
      <c r="AC625" s="28">
        <f t="array" ref="AC625">XLOOKUP(V625,products_master_corrected!$A$2:$A$151,products_master_corrected!$E$2:$E$151)</f>
        <v>23.53</v>
      </c>
      <c r="AD625" s="28">
        <f t="shared" si="71"/>
        <v>47.06</v>
      </c>
      <c r="AE625" s="28">
        <f t="array" ref="AE625">XLOOKUP(V625,products_master_corrected!$A$2:$A$151,products_master_corrected!$J$2:$J$151)</f>
        <v>27.44</v>
      </c>
      <c r="AF625" s="29">
        <f t="shared" si="72"/>
        <v>54.88</v>
      </c>
      <c r="AG625" s="32" t="s">
        <v>8656</v>
      </c>
      <c r="AH625" s="2" t="s">
        <v>505</v>
      </c>
      <c r="AI625" s="10" t="s">
        <v>181</v>
      </c>
      <c r="AJ625" s="2" t="s">
        <v>192</v>
      </c>
      <c r="AK625" s="10" t="s">
        <v>192</v>
      </c>
    </row>
    <row r="626" ht="15.75" customHeight="1">
      <c r="A626" s="2" t="s">
        <v>6029</v>
      </c>
      <c r="B626" s="12">
        <v>45841.0</v>
      </c>
      <c r="C626" s="2" t="str">
        <f>IFERROR(__xludf.DUMMYFUNCTION("IF(ISNUMBER(B626),TEXT(B626,""yyyy-MM-dd""),REGEXREPLACE(REGEXREPLACE(TO_TEXT(B626),""[^0-9a-zA-Z]+"",""-""),""[^0-9]*$"",""""))"),"2025-07-03")</f>
        <v>2025-07-03</v>
      </c>
      <c r="D626" s="2" t="s">
        <v>8893</v>
      </c>
      <c r="H626" s="10" t="s">
        <v>8893</v>
      </c>
      <c r="I626" s="2" t="s">
        <v>972</v>
      </c>
      <c r="J626" s="26" t="str">
        <f t="array" ref="J626">IF(ISNA(XLOOKUP(I626,customers_clean!$A$2:$A$701,customers_clean!$A$2:$A$701, NA()) ),
   "❌ MISSING CUSTOMER", "✅")</f>
        <v>✅</v>
      </c>
      <c r="K626" s="2" t="str">
        <f t="array" ref="K626">XLOOKUP(I626,customers_clean!$A$2:$A$701,customers_clean!$C$2:$C$701)</f>
        <v>Hanna Martinez</v>
      </c>
      <c r="L626" s="10" t="str">
        <f t="array" ref="L626">XLOOKUP(I626,customers_clean!$A$2:$A$701,customers_clean!$D$2:$D$701)</f>
        <v>Hanna Martinez</v>
      </c>
      <c r="M626" s="2" t="str">
        <f t="array" ref="M626">XLOOKUP(I626,customers_clean!$A$2:$A$701,customers_clean!$I$2:$I$701)</f>
        <v>hanna.martinez@example.com</v>
      </c>
      <c r="N626" s="10" t="str">
        <f t="array" ref="N626">XLOOKUP(I626,customers_clean!$A$2:$A$701,customers_clean!$H$2:$H$701)</f>
        <v>hanna.martinez@example.com</v>
      </c>
      <c r="O626" s="9" t="str">
        <f>IFERROR(__xludf.DUMMYFUNCTION("IF(REGEXMATCH(TRIM(N626),""^[A-Za-z0-9._%+-]+@[A-Za-z0-9.-]+\.[A-Za-z]{2,}$""),""✅ Valid"",""❌ Invalid"")"),"✅ Valid")</f>
        <v>✅ Valid</v>
      </c>
      <c r="P626" s="2" t="str">
        <f t="array" ref="P626">XLOOKUP(I626,customers_clean!$A$2:$A$701,customers_clean!$K$2:$K$701)</f>
        <v>0586x13060</v>
      </c>
      <c r="Q626" s="10" t="str">
        <f t="array" ref="Q626">XLOOKUP(I626,customers_clean!$A$2:$A$701,customers_clean!$N$2:$N$701)</f>
        <v>058613060</v>
      </c>
      <c r="R626" s="9" t="str">
        <f t="array" ref="R626">XLOOKUP(I626,customers_clean!$A$2:$A$701,customers_clean!$Q$2:$Q$701)</f>
        <v>❌ INVALID</v>
      </c>
      <c r="S626" s="10" t="s">
        <v>608</v>
      </c>
      <c r="T626" s="2" t="s">
        <v>74</v>
      </c>
      <c r="U626" s="2" t="s">
        <v>103</v>
      </c>
      <c r="V626" s="2" t="s">
        <v>1327</v>
      </c>
      <c r="W626" s="9" t="str">
        <f t="array" ref="W626">IF(ISNA(XLOOKUP(V626,products_master_corrected!$A$2:$A$151,products_master_corrected!$A$2:$A$151, NA())),
    "❌ MISSING SKU", "✅")</f>
        <v>✅</v>
      </c>
      <c r="X626" s="2" t="s">
        <v>291</v>
      </c>
      <c r="Y626" s="2" t="s">
        <v>1328</v>
      </c>
      <c r="Z626" s="10" t="s">
        <v>179</v>
      </c>
      <c r="AA626" s="27">
        <v>3.0</v>
      </c>
      <c r="AB626" s="9" t="s">
        <v>8649</v>
      </c>
      <c r="AC626" s="28">
        <f t="array" ref="AC626">XLOOKUP(V626,products_master_corrected!$A$2:$A$151,products_master_corrected!$E$2:$E$151)</f>
        <v>124.96</v>
      </c>
      <c r="AD626" s="28">
        <f t="shared" si="71"/>
        <v>374.88</v>
      </c>
      <c r="AE626" s="28">
        <f t="array" ref="AE626">XLOOKUP(V626,products_master_corrected!$A$2:$A$151,products_master_corrected!$H$2:$H$151)</f>
        <v>140.39</v>
      </c>
      <c r="AF626" s="29">
        <f t="shared" si="72"/>
        <v>421.17</v>
      </c>
      <c r="AG626" s="32" t="s">
        <v>8658</v>
      </c>
      <c r="AH626" s="2" t="s">
        <v>143</v>
      </c>
      <c r="AI626" s="10" t="s">
        <v>143</v>
      </c>
      <c r="AJ626" s="2" t="s">
        <v>3136</v>
      </c>
      <c r="AK626" s="10" t="s">
        <v>261</v>
      </c>
      <c r="AL626" s="2" t="s">
        <v>81</v>
      </c>
    </row>
    <row r="627" ht="15.75" customHeight="1">
      <c r="A627" s="2" t="s">
        <v>970</v>
      </c>
      <c r="B627" s="12">
        <v>45181.0</v>
      </c>
      <c r="C627" s="2" t="str">
        <f>IFERROR(__xludf.DUMMYFUNCTION("IF(ISNUMBER(B627),TEXT(B627,""yyyy-MM-dd""),REGEXREPLACE(REGEXREPLACE(TO_TEXT(B627),""[^0-9a-zA-Z]+"",""-""),""[^0-9]*$"",""""))"),"2023-09-12")</f>
        <v>2023-09-12</v>
      </c>
      <c r="D627" s="2" t="s">
        <v>7753</v>
      </c>
      <c r="H627" s="10" t="s">
        <v>7753</v>
      </c>
      <c r="I627" s="2" t="s">
        <v>972</v>
      </c>
      <c r="J627" s="26" t="str">
        <f t="array" ref="J627">IF(ISNA(XLOOKUP(I627,customers_clean!$A$2:$A$701,customers_clean!$A$2:$A$701, NA()) ),
   "❌ MISSING CUSTOMER", "✅")</f>
        <v>✅</v>
      </c>
      <c r="K627" s="2" t="str">
        <f t="array" ref="K627">XLOOKUP(I627,customers_clean!$A$2:$A$701,customers_clean!$C$2:$C$701)</f>
        <v>Hanna Martinez</v>
      </c>
      <c r="L627" s="10" t="str">
        <f t="array" ref="L627">XLOOKUP(I627,customers_clean!$A$2:$A$701,customers_clean!$D$2:$D$701)</f>
        <v>Hanna Martinez</v>
      </c>
      <c r="M627" s="2" t="str">
        <f t="array" ref="M627">XLOOKUP(I627,customers_clean!$A$2:$A$701,customers_clean!$I$2:$I$701)</f>
        <v>hanna.martinez@example.com</v>
      </c>
      <c r="N627" s="10" t="str">
        <f t="array" ref="N627">XLOOKUP(I627,customers_clean!$A$2:$A$701,customers_clean!$H$2:$H$701)</f>
        <v>hanna.martinez@example.com</v>
      </c>
      <c r="O627" s="9" t="str">
        <f>IFERROR(__xludf.DUMMYFUNCTION("IF(REGEXMATCH(TRIM(N627),""^[A-Za-z0-9._%+-]+@[A-Za-z0-9.-]+\.[A-Za-z]{2,}$""),""✅ Valid"",""❌ Invalid"")"),"✅ Valid")</f>
        <v>✅ Valid</v>
      </c>
      <c r="P627" s="2" t="str">
        <f t="array" ref="P627">XLOOKUP(I627,customers_clean!$A$2:$A$701,customers_clean!$K$2:$K$701)</f>
        <v>0586x13060</v>
      </c>
      <c r="Q627" s="10" t="str">
        <f t="array" ref="Q627">XLOOKUP(I627,customers_clean!$A$2:$A$701,customers_clean!$N$2:$N$701)</f>
        <v>058613060</v>
      </c>
      <c r="R627" s="9" t="str">
        <f t="array" ref="R627">XLOOKUP(I627,customers_clean!$A$2:$A$701,customers_clean!$Q$2:$Q$701)</f>
        <v>❌ INVALID</v>
      </c>
      <c r="S627" s="10" t="s">
        <v>608</v>
      </c>
      <c r="T627" s="2" t="s">
        <v>210</v>
      </c>
      <c r="U627" s="2" t="s">
        <v>480</v>
      </c>
      <c r="V627" s="2" t="s">
        <v>976</v>
      </c>
      <c r="W627" s="9" t="str">
        <f t="array" ref="W627">IF(ISNA(XLOOKUP(V627,products_master_corrected!$A$2:$A$151,products_master_corrected!$A$2:$A$151, NA())),
    "❌ MISSING SKU", "✅")</f>
        <v>✅</v>
      </c>
      <c r="X627" s="2" t="s">
        <v>29</v>
      </c>
      <c r="Y627" s="2" t="s">
        <v>214</v>
      </c>
      <c r="Z627" s="10" t="s">
        <v>368</v>
      </c>
      <c r="AA627" s="27">
        <v>1.0</v>
      </c>
      <c r="AB627" s="9" t="s">
        <v>8649</v>
      </c>
      <c r="AC627" s="28">
        <f t="array" ref="AC627">XLOOKUP(V627,products_master_corrected!$A$2:$A$151,products_master_corrected!$E$2:$E$151)</f>
        <v>107.91</v>
      </c>
      <c r="AD627" s="28">
        <f t="shared" si="71"/>
        <v>107.91</v>
      </c>
      <c r="AE627" s="28">
        <f t="array" ref="AE627">XLOOKUP(V627,products_master_corrected!$A$2:$A$151,products_master_corrected!$H$2:$H$151)</f>
        <v>121.24</v>
      </c>
      <c r="AF627" s="29">
        <f t="shared" si="72"/>
        <v>121.24</v>
      </c>
      <c r="AG627" s="32" t="s">
        <v>8658</v>
      </c>
      <c r="AH627" s="2" t="s">
        <v>143</v>
      </c>
      <c r="AI627" s="10" t="s">
        <v>143</v>
      </c>
      <c r="AJ627" s="2" t="s">
        <v>977</v>
      </c>
      <c r="AK627" s="10" t="s">
        <v>192</v>
      </c>
    </row>
    <row r="628" ht="15.75" customHeight="1">
      <c r="A628" s="2" t="s">
        <v>3220</v>
      </c>
      <c r="B628" s="12">
        <v>45333.0</v>
      </c>
      <c r="C628" s="2" t="str">
        <f>IFERROR(__xludf.DUMMYFUNCTION("IF(ISNUMBER(B628),TEXT(B628,""yyyy-MM-dd""),REGEXREPLACE(REGEXREPLACE(TO_TEXT(B628),""[^0-9a-zA-Z]+"",""-""),""[^0-9]*$"",""""))"),"2024-02-11")</f>
        <v>2024-02-11</v>
      </c>
      <c r="D628" s="2" t="s">
        <v>7846</v>
      </c>
      <c r="H628" s="10" t="s">
        <v>7846</v>
      </c>
      <c r="I628" s="2" t="s">
        <v>972</v>
      </c>
      <c r="J628" s="26" t="str">
        <f t="array" ref="J628">IF(ISNA(XLOOKUP(I628,customers_clean!$A$2:$A$701,customers_clean!$A$2:$A$701, NA()) ),
   "❌ MISSING CUSTOMER", "✅")</f>
        <v>✅</v>
      </c>
      <c r="K628" s="2" t="str">
        <f t="array" ref="K628">XLOOKUP(I628,customers_clean!$A$2:$A$701,customers_clean!$C$2:$C$701)</f>
        <v>Hanna Martinez</v>
      </c>
      <c r="L628" s="10" t="str">
        <f t="array" ref="L628">XLOOKUP(I628,customers_clean!$A$2:$A$701,customers_clean!$D$2:$D$701)</f>
        <v>Hanna Martinez</v>
      </c>
      <c r="M628" s="2" t="str">
        <f t="array" ref="M628">XLOOKUP(I628,customers_clean!$A$2:$A$701,customers_clean!$I$2:$I$701)</f>
        <v>hanna.martinez@example.com</v>
      </c>
      <c r="N628" s="10" t="str">
        <f t="array" ref="N628">XLOOKUP(I628,customers_clean!$A$2:$A$701,customers_clean!$H$2:$H$701)</f>
        <v>hanna.martinez@example.com</v>
      </c>
      <c r="O628" s="9" t="str">
        <f>IFERROR(__xludf.DUMMYFUNCTION("IF(REGEXMATCH(TRIM(N628),""^[A-Za-z0-9._%+-]+@[A-Za-z0-9.-]+\.[A-Za-z]{2,}$""),""✅ Valid"",""❌ Invalid"")"),"✅ Valid")</f>
        <v>✅ Valid</v>
      </c>
      <c r="P628" s="2" t="str">
        <f t="array" ref="P628">XLOOKUP(I628,customers_clean!$A$2:$A$701,customers_clean!$K$2:$K$701)</f>
        <v>0586x13060</v>
      </c>
      <c r="Q628" s="10" t="str">
        <f t="array" ref="Q628">XLOOKUP(I628,customers_clean!$A$2:$A$701,customers_clean!$N$2:$N$701)</f>
        <v>058613060</v>
      </c>
      <c r="R628" s="9" t="str">
        <f t="array" ref="R628">XLOOKUP(I628,customers_clean!$A$2:$A$701,customers_clean!$Q$2:$Q$701)</f>
        <v>❌ INVALID</v>
      </c>
      <c r="S628" s="10" t="s">
        <v>608</v>
      </c>
      <c r="T628" s="2" t="s">
        <v>59</v>
      </c>
      <c r="U628" s="2" t="s">
        <v>60</v>
      </c>
      <c r="V628" s="2" t="s">
        <v>746</v>
      </c>
      <c r="W628" s="9" t="str">
        <f t="array" ref="W628">IF(ISNA(XLOOKUP(V628,products_master_corrected!$A$2:$A$151,products_master_corrected!$A$2:$A$151, NA())),
    "❌ MISSING SKU", "✅")</f>
        <v>✅</v>
      </c>
      <c r="X628" s="2" t="s">
        <v>747</v>
      </c>
      <c r="Y628" s="2" t="s">
        <v>748</v>
      </c>
      <c r="Z628" s="10" t="s">
        <v>355</v>
      </c>
      <c r="AA628" s="27">
        <v>1.0</v>
      </c>
      <c r="AB628" s="9" t="s">
        <v>8649</v>
      </c>
      <c r="AC628" s="28">
        <f t="array" ref="AC628">XLOOKUP(V628,products_master_corrected!$A$2:$A$151,products_master_corrected!$E$2:$E$151)</f>
        <v>346</v>
      </c>
      <c r="AD628" s="28">
        <f t="shared" si="71"/>
        <v>346</v>
      </c>
      <c r="AE628" s="28">
        <f t="array" ref="AE628">XLOOKUP(V628,products_master_corrected!$A$2:$A$151,products_master_corrected!$H$2:$H$151)</f>
        <v>388.73</v>
      </c>
      <c r="AF628" s="29">
        <f t="shared" si="72"/>
        <v>388.73</v>
      </c>
      <c r="AG628" s="32" t="s">
        <v>8658</v>
      </c>
      <c r="AH628" s="2" t="s">
        <v>204</v>
      </c>
      <c r="AI628" s="10" t="s">
        <v>143</v>
      </c>
      <c r="AJ628" s="2" t="s">
        <v>3223</v>
      </c>
      <c r="AK628" s="10" t="s">
        <v>261</v>
      </c>
    </row>
    <row r="629" ht="15.75" customHeight="1">
      <c r="A629" s="2" t="s">
        <v>3456</v>
      </c>
      <c r="B629" s="12">
        <v>45238.0</v>
      </c>
      <c r="C629" s="2" t="str">
        <f>IFERROR(__xludf.DUMMYFUNCTION("IF(ISNUMBER(B629),TEXT(B629,""yyyy-MM-dd""),REGEXREPLACE(REGEXREPLACE(TO_TEXT(B629),""[^0-9a-zA-Z]+"",""-""),""[^0-9]*$"",""""))"),"2023-11-08")</f>
        <v>2023-11-08</v>
      </c>
      <c r="D629" s="2" t="s">
        <v>1514</v>
      </c>
      <c r="H629" s="10" t="s">
        <v>1514</v>
      </c>
      <c r="I629" s="2" t="s">
        <v>972</v>
      </c>
      <c r="J629" s="26" t="str">
        <f t="array" ref="J629">IF(ISNA(XLOOKUP(I629,customers_clean!$A$2:$A$701,customers_clean!$A$2:$A$701, NA()) ),
   "❌ MISSING CUSTOMER", "✅")</f>
        <v>✅</v>
      </c>
      <c r="K629" s="2" t="str">
        <f t="array" ref="K629">XLOOKUP(I629,customers_clean!$A$2:$A$701,customers_clean!$C$2:$C$701)</f>
        <v>Hanna Martinez</v>
      </c>
      <c r="L629" s="10" t="str">
        <f t="array" ref="L629">XLOOKUP(I629,customers_clean!$A$2:$A$701,customers_clean!$D$2:$D$701)</f>
        <v>Hanna Martinez</v>
      </c>
      <c r="M629" s="2" t="str">
        <f t="array" ref="M629">XLOOKUP(I629,customers_clean!$A$2:$A$701,customers_clean!$I$2:$I$701)</f>
        <v>hanna.martinez@example.com</v>
      </c>
      <c r="N629" s="10" t="str">
        <f t="array" ref="N629">XLOOKUP(I629,customers_clean!$A$2:$A$701,customers_clean!$H$2:$H$701)</f>
        <v>hanna.martinez@example.com</v>
      </c>
      <c r="O629" s="9" t="str">
        <f>IFERROR(__xludf.DUMMYFUNCTION("IF(REGEXMATCH(TRIM(N629),""^[A-Za-z0-9._%+-]+@[A-Za-z0-9.-]+\.[A-Za-z]{2,}$""),""✅ Valid"",""❌ Invalid"")"),"✅ Valid")</f>
        <v>✅ Valid</v>
      </c>
      <c r="P629" s="2" t="str">
        <f t="array" ref="P629">XLOOKUP(I629,customers_clean!$A$2:$A$701,customers_clean!$K$2:$K$701)</f>
        <v>0586x13060</v>
      </c>
      <c r="Q629" s="10" t="str">
        <f t="array" ref="Q629">XLOOKUP(I629,customers_clean!$A$2:$A$701,customers_clean!$N$2:$N$701)</f>
        <v>058613060</v>
      </c>
      <c r="R629" s="9" t="str">
        <f t="array" ref="R629">XLOOKUP(I629,customers_clean!$A$2:$A$701,customers_clean!$Q$2:$Q$701)</f>
        <v>❌ INVALID</v>
      </c>
      <c r="S629" s="10" t="s">
        <v>608</v>
      </c>
      <c r="T629" s="2" t="s">
        <v>323</v>
      </c>
      <c r="U629" s="2" t="s">
        <v>43</v>
      </c>
      <c r="V629" s="2" t="s">
        <v>792</v>
      </c>
      <c r="W629" s="9" t="str">
        <f t="array" ref="W629">IF(ISNA(XLOOKUP(V629,products_master_corrected!$A$2:$A$151,products_master_corrected!$A$2:$A$151, NA())),
    "❌ MISSING SKU", "✅")</f>
        <v>✅</v>
      </c>
      <c r="X629" s="2" t="s">
        <v>768</v>
      </c>
      <c r="Y629" s="2" t="s">
        <v>742</v>
      </c>
      <c r="Z629" s="10" t="s">
        <v>355</v>
      </c>
      <c r="AA629" s="27">
        <v>2.0</v>
      </c>
      <c r="AB629" s="9" t="s">
        <v>8649</v>
      </c>
      <c r="AC629" s="28">
        <f t="array" ref="AC629">XLOOKUP(V629,products_master_corrected!$A$2:$A$151,products_master_corrected!$E$2:$E$151)</f>
        <v>20.12</v>
      </c>
      <c r="AD629" s="28">
        <f t="shared" si="71"/>
        <v>40.24</v>
      </c>
      <c r="AE629" s="28">
        <f t="array" ref="AE629">XLOOKUP(V629,products_master_corrected!$A$2:$A$151,products_master_corrected!$H$2:$H$151)</f>
        <v>22.6</v>
      </c>
      <c r="AF629" s="29">
        <f t="shared" si="72"/>
        <v>45.2</v>
      </c>
      <c r="AG629" s="32" t="s">
        <v>8658</v>
      </c>
      <c r="AH629" s="2" t="s">
        <v>3460</v>
      </c>
      <c r="AI629" s="10" t="s">
        <v>49</v>
      </c>
      <c r="AJ629" s="2" t="s">
        <v>1312</v>
      </c>
      <c r="AK629" s="10" t="s">
        <v>818</v>
      </c>
    </row>
    <row r="630" ht="15.75" customHeight="1">
      <c r="A630" s="2" t="s">
        <v>2749</v>
      </c>
      <c r="B630" s="12">
        <v>44956.0</v>
      </c>
      <c r="C630" s="2" t="str">
        <f>IFERROR(__xludf.DUMMYFUNCTION("IF(ISNUMBER(B630),TEXT(B630,""yyyy-MM-dd""),REGEXREPLACE(REGEXREPLACE(TO_TEXT(B630),""[^0-9a-zA-Z]+"",""-""),""[^0-9]*$"",""""))"),"2023-01-30")</f>
        <v>2023-01-30</v>
      </c>
      <c r="D630" s="2" t="s">
        <v>8486</v>
      </c>
      <c r="H630" s="10" t="s">
        <v>8486</v>
      </c>
      <c r="I630" s="2" t="s">
        <v>972</v>
      </c>
      <c r="J630" s="26" t="str">
        <f t="array" ref="J630">IF(ISNA(XLOOKUP(I630,customers_clean!$A$2:$A$701,customers_clean!$A$2:$A$701, NA()) ),
   "❌ MISSING CUSTOMER", "✅")</f>
        <v>✅</v>
      </c>
      <c r="K630" s="2" t="str">
        <f t="array" ref="K630">XLOOKUP(I630,customers_clean!$A$2:$A$701,customers_clean!$C$2:$C$701)</f>
        <v>Hanna Martinez</v>
      </c>
      <c r="L630" s="10" t="str">
        <f t="array" ref="L630">XLOOKUP(I630,customers_clean!$A$2:$A$701,customers_clean!$D$2:$D$701)</f>
        <v>Hanna Martinez</v>
      </c>
      <c r="M630" s="2" t="str">
        <f t="array" ref="M630">XLOOKUP(I630,customers_clean!$A$2:$A$701,customers_clean!$I$2:$I$701)</f>
        <v>hanna.martinez@example.com</v>
      </c>
      <c r="N630" s="10" t="str">
        <f t="array" ref="N630">XLOOKUP(I630,customers_clean!$A$2:$A$701,customers_clean!$H$2:$H$701)</f>
        <v>hanna.martinez@example.com</v>
      </c>
      <c r="O630" s="9" t="str">
        <f>IFERROR(__xludf.DUMMYFUNCTION("IF(REGEXMATCH(TRIM(N630),""^[A-Za-z0-9._%+-]+@[A-Za-z0-9.-]+\.[A-Za-z]{2,}$""),""✅ Valid"",""❌ Invalid"")"),"✅ Valid")</f>
        <v>✅ Valid</v>
      </c>
      <c r="P630" s="2" t="str">
        <f t="array" ref="P630">XLOOKUP(I630,customers_clean!$A$2:$A$701,customers_clean!$K$2:$K$701)</f>
        <v>0586x13060</v>
      </c>
      <c r="Q630" s="10" t="str">
        <f t="array" ref="Q630">XLOOKUP(I630,customers_clean!$A$2:$A$701,customers_clean!$N$2:$N$701)</f>
        <v>058613060</v>
      </c>
      <c r="R630" s="9" t="str">
        <f t="array" ref="R630">XLOOKUP(I630,customers_clean!$A$2:$A$701,customers_clean!$Q$2:$Q$701)</f>
        <v>❌ INVALID</v>
      </c>
      <c r="S630" s="10" t="s">
        <v>608</v>
      </c>
      <c r="T630" s="2" t="s">
        <v>42</v>
      </c>
      <c r="U630" s="2" t="s">
        <v>103</v>
      </c>
      <c r="V630" s="2" t="s">
        <v>756</v>
      </c>
      <c r="W630" s="9" t="str">
        <f t="array" ref="W630">IF(ISNA(XLOOKUP(V630,products_master_corrected!$A$2:$A$151,products_master_corrected!$A$2:$A$151, NA())),
    "❌ MISSING SKU", "✅")</f>
        <v>✅</v>
      </c>
      <c r="X630" s="2" t="s">
        <v>8737</v>
      </c>
      <c r="Y630" s="2" t="s">
        <v>30</v>
      </c>
      <c r="Z630" s="10" t="s">
        <v>179</v>
      </c>
      <c r="AA630" s="27">
        <v>1.0</v>
      </c>
      <c r="AB630" s="9" t="s">
        <v>8649</v>
      </c>
      <c r="AC630" s="28">
        <f t="array" ref="AC630">XLOOKUP(V630,products_master_corrected!$A$2:$A$151,products_master_corrected!$E$2:$E$151)</f>
        <v>61.04</v>
      </c>
      <c r="AD630" s="28">
        <f t="shared" si="71"/>
        <v>61.04</v>
      </c>
      <c r="AE630" s="28">
        <f t="array" ref="AE630">XLOOKUP(V630,products_master_corrected!$A$2:$A$151,products_master_corrected!$H$2:$H$151)</f>
        <v>68.58</v>
      </c>
      <c r="AF630" s="29">
        <f t="shared" si="72"/>
        <v>68.58</v>
      </c>
      <c r="AG630" s="32" t="s">
        <v>8658</v>
      </c>
      <c r="AH630" s="2" t="s">
        <v>181</v>
      </c>
      <c r="AI630" s="10" t="s">
        <v>181</v>
      </c>
      <c r="AJ630" s="2" t="s">
        <v>380</v>
      </c>
      <c r="AK630" s="10" t="s">
        <v>80</v>
      </c>
    </row>
    <row r="631" ht="15.75" customHeight="1">
      <c r="A631" s="2" t="s">
        <v>5677</v>
      </c>
      <c r="B631" s="12">
        <v>45335.0</v>
      </c>
      <c r="C631" s="2" t="str">
        <f>IFERROR(__xludf.DUMMYFUNCTION("IF(ISNUMBER(B631),TEXT(B631,""yyyy-MM-dd""),REGEXREPLACE(REGEXREPLACE(TO_TEXT(B631),""[^0-9a-zA-Z]+"",""-""),""[^0-9]*$"",""""))"),"2024-02-13")</f>
        <v>2024-02-13</v>
      </c>
      <c r="D631" s="2" t="s">
        <v>8774</v>
      </c>
      <c r="H631" s="10" t="s">
        <v>8774</v>
      </c>
      <c r="I631" s="2" t="s">
        <v>2310</v>
      </c>
      <c r="J631" s="26" t="str">
        <f t="array" ref="J631">IF(ISNA(XLOOKUP(I631,customers_clean!$A$2:$A$701,customers_clean!$A$2:$A$701, NA()) ),
   "❌ MISSING CUSTOMER", "✅")</f>
        <v>✅</v>
      </c>
      <c r="K631" s="2" t="str">
        <f t="array" ref="K631">XLOOKUP(I631,customers_clean!$A$2:$A$701,customers_clean!$C$2:$C$701)</f>
        <v>Ethan Martinez</v>
      </c>
      <c r="L631" s="10" t="str">
        <f t="array" ref="L631">XLOOKUP(I631,customers_clean!$A$2:$A$701,customers_clean!$D$2:$D$701)</f>
        <v>Ethan Martinez</v>
      </c>
      <c r="M631" s="2" t="str">
        <f t="array" ref="M631">XLOOKUP(I631,customers_clean!$A$2:$A$701,customers_clean!$I$2:$I$701)</f>
        <v>Ethan.Martinez@Gmail.Com</v>
      </c>
      <c r="N631" s="10" t="str">
        <f t="array" ref="N631">XLOOKUP(I631,customers_clean!$A$2:$A$701,customers_clean!$H$2:$H$701)</f>
        <v>ethan.martinez@gmail.com</v>
      </c>
      <c r="O631" s="9" t="str">
        <f>IFERROR(__xludf.DUMMYFUNCTION("IF(REGEXMATCH(TRIM(N631),""^[A-Za-z0-9._%+-]+@[A-Za-z0-9.-]+\.[A-Za-z]{2,}$""),""✅ Valid"",""❌ Invalid"")"),"✅ Valid")</f>
        <v>✅ Valid</v>
      </c>
      <c r="P631" s="2">
        <f t="array" ref="P631">XLOOKUP(I631,customers_clean!$A$2:$A$701,customers_clean!$K$2:$K$701)</f>
        <v>3995688159</v>
      </c>
      <c r="Q631" s="10" t="str">
        <f t="array" ref="Q631">XLOOKUP(I631,customers_clean!$A$2:$A$701,customers_clean!$N$2:$N$701)</f>
        <v>95688159</v>
      </c>
      <c r="R631" s="9" t="str">
        <f t="array" ref="R631">XLOOKUP(I631,customers_clean!$A$2:$A$701,customers_clean!$Q$2:$Q$701)</f>
        <v>❌ INVALID</v>
      </c>
      <c r="S631" s="10" t="s">
        <v>58</v>
      </c>
      <c r="T631" s="2" t="s">
        <v>5614</v>
      </c>
      <c r="U631" s="2" t="s">
        <v>103</v>
      </c>
      <c r="V631" s="2" t="s">
        <v>599</v>
      </c>
      <c r="W631" s="9" t="str">
        <f t="array" ref="W631">IF(ISNA(XLOOKUP(V631,products_master_corrected!$A$2:$A$151,products_master_corrected!$A$2:$A$151, NA())),
    "❌ MISSING SKU", "✅")</f>
        <v>✅</v>
      </c>
      <c r="X631" s="2" t="s">
        <v>524</v>
      </c>
      <c r="Y631" s="2" t="s">
        <v>167</v>
      </c>
      <c r="Z631" s="10" t="str">
        <f>PROPER(TRIM(Y631))</f>
        <v>Monitors</v>
      </c>
      <c r="AA631" s="27">
        <v>1.0</v>
      </c>
      <c r="AB631" s="9" t="s">
        <v>8649</v>
      </c>
      <c r="AC631" s="28">
        <f t="array" ref="AC631">XLOOKUP(V631,products_master_corrected!$A$2:$A$151,products_master_corrected!$E$2:$E$151)</f>
        <v>212.85</v>
      </c>
      <c r="AD631" s="28">
        <f t="shared" si="71"/>
        <v>212.85</v>
      </c>
      <c r="AE631" s="28">
        <f t="array" ref="AE631">XLOOKUP(V631,products_master_corrected!$A$2:$A$151,products_master_corrected!$G$2:$G$151)</f>
        <v>243.67</v>
      </c>
      <c r="AF631" s="29">
        <f t="shared" si="72"/>
        <v>243.67</v>
      </c>
      <c r="AG631" s="32" t="s">
        <v>8663</v>
      </c>
      <c r="AH631" s="2" t="s">
        <v>49</v>
      </c>
      <c r="AI631" s="10" t="s">
        <v>49</v>
      </c>
      <c r="AJ631" s="2" t="s">
        <v>144</v>
      </c>
      <c r="AK631" s="10" t="s">
        <v>818</v>
      </c>
    </row>
    <row r="632" ht="15.75" customHeight="1">
      <c r="A632" s="2" t="s">
        <v>2308</v>
      </c>
      <c r="B632" s="12">
        <v>45327.0</v>
      </c>
      <c r="C632" s="2" t="str">
        <f>IFERROR(__xludf.DUMMYFUNCTION("IF(ISNUMBER(B632),TEXT(B632,""yyyy-MM-dd""),REGEXREPLACE(REGEXREPLACE(TO_TEXT(B632),""[^0-9a-zA-Z]+"",""-""),""[^0-9]*$"",""""))"),"2024-02-05")</f>
        <v>2024-02-05</v>
      </c>
      <c r="D632" s="2" t="s">
        <v>8541</v>
      </c>
      <c r="H632" s="10" t="s">
        <v>8541</v>
      </c>
      <c r="I632" s="2" t="s">
        <v>2310</v>
      </c>
      <c r="J632" s="26" t="str">
        <f t="array" ref="J632">IF(ISNA(XLOOKUP(I632,customers_clean!$A$2:$A$701,customers_clean!$A$2:$A$701, NA()) ),
   "❌ MISSING CUSTOMER", "✅")</f>
        <v>✅</v>
      </c>
      <c r="K632" s="2" t="str">
        <f t="array" ref="K632">XLOOKUP(I632,customers_clean!$A$2:$A$701,customers_clean!$C$2:$C$701)</f>
        <v>Ethan Martinez</v>
      </c>
      <c r="L632" s="10" t="str">
        <f t="array" ref="L632">XLOOKUP(I632,customers_clean!$A$2:$A$701,customers_clean!$D$2:$D$701)</f>
        <v>Ethan Martinez</v>
      </c>
      <c r="M632" s="2" t="str">
        <f t="array" ref="M632">XLOOKUP(I632,customers_clean!$A$2:$A$701,customers_clean!$I$2:$I$701)</f>
        <v>Ethan.Martinez@Gmail.Com</v>
      </c>
      <c r="N632" s="10" t="str">
        <f t="array" ref="N632">XLOOKUP(I632,customers_clean!$A$2:$A$701,customers_clean!$H$2:$H$701)</f>
        <v>ethan.martinez@gmail.com</v>
      </c>
      <c r="O632" s="9" t="str">
        <f>IFERROR(__xludf.DUMMYFUNCTION("IF(REGEXMATCH(TRIM(N632),""^[A-Za-z0-9._%+-]+@[A-Za-z0-9.-]+\.[A-Za-z]{2,}$""),""✅ Valid"",""❌ Invalid"")"),"✅ Valid")</f>
        <v>✅ Valid</v>
      </c>
      <c r="P632" s="2">
        <f t="array" ref="P632">XLOOKUP(I632,customers_clean!$A$2:$A$701,customers_clean!$K$2:$K$701)</f>
        <v>3995688159</v>
      </c>
      <c r="Q632" s="10" t="str">
        <f t="array" ref="Q632">XLOOKUP(I632,customers_clean!$A$2:$A$701,customers_clean!$N$2:$N$701)</f>
        <v>95688159</v>
      </c>
      <c r="R632" s="9" t="str">
        <f t="array" ref="R632">XLOOKUP(I632,customers_clean!$A$2:$A$701,customers_clean!$Q$2:$Q$701)</f>
        <v>❌ INVALID</v>
      </c>
      <c r="S632" s="10" t="s">
        <v>58</v>
      </c>
      <c r="T632" s="2" t="s">
        <v>400</v>
      </c>
      <c r="U632" s="2" t="s">
        <v>312</v>
      </c>
      <c r="V632" s="2" t="s">
        <v>490</v>
      </c>
      <c r="W632" s="9" t="str">
        <f t="array" ref="W632">IF(ISNA(XLOOKUP(V632,products_master_corrected!$A$2:$A$151,products_master_corrected!$A$2:$A$151, NA())),
    "❌ MISSING SKU", "✅")</f>
        <v>✅</v>
      </c>
      <c r="X632" s="2" t="s">
        <v>29</v>
      </c>
      <c r="Y632" s="2" t="s">
        <v>492</v>
      </c>
      <c r="Z632" s="10" t="s">
        <v>514</v>
      </c>
      <c r="AA632" s="27">
        <v>2.0</v>
      </c>
      <c r="AB632" s="9" t="s">
        <v>8649</v>
      </c>
      <c r="AC632" s="28">
        <f t="array" ref="AC632">XLOOKUP(V632,products_master_corrected!$A$2:$A$151,products_master_corrected!$E$2:$E$151)</f>
        <v>116.45</v>
      </c>
      <c r="AD632" s="28">
        <f t="shared" si="71"/>
        <v>232.9</v>
      </c>
      <c r="AE632" s="28">
        <f t="array" ref="AE632">XLOOKUP(V632,products_master_corrected!$A$2:$A$151,products_master_corrected!$G$2:$G$151)</f>
        <v>133.31</v>
      </c>
      <c r="AF632" s="29">
        <f t="shared" si="72"/>
        <v>266.62</v>
      </c>
      <c r="AG632" s="32" t="s">
        <v>8663</v>
      </c>
      <c r="AH632" s="2" t="s">
        <v>66</v>
      </c>
      <c r="AI632" s="10" t="s">
        <v>66</v>
      </c>
      <c r="AJ632" s="2" t="s">
        <v>192</v>
      </c>
      <c r="AK632" s="10" t="s">
        <v>192</v>
      </c>
      <c r="AL632" s="2" t="s">
        <v>81</v>
      </c>
    </row>
    <row r="633" ht="15.75" customHeight="1">
      <c r="A633" s="2" t="s">
        <v>4702</v>
      </c>
      <c r="B633" s="12">
        <v>44958.08472222222</v>
      </c>
      <c r="C633" s="2" t="str">
        <f>IFERROR(__xludf.DUMMYFUNCTION("IF(ISNUMBER(B633),TEXT(B633,""yyyy-MM-dd""),REGEXREPLACE(REGEXREPLACE(TO_TEXT(B633),""[^0-9a-zA-Z]+"",""-""),""[^0-9]*$"",""""))"),"2023-02-01")</f>
        <v>2023-02-01</v>
      </c>
      <c r="D633" s="2" t="s">
        <v>8879</v>
      </c>
      <c r="H633" s="10" t="s">
        <v>8879</v>
      </c>
      <c r="I633" s="2" t="s">
        <v>2310</v>
      </c>
      <c r="J633" s="26" t="str">
        <f t="array" ref="J633">IF(ISNA(XLOOKUP(I633,customers_clean!$A$2:$A$701,customers_clean!$A$2:$A$701, NA()) ),
   "❌ MISSING CUSTOMER", "✅")</f>
        <v>✅</v>
      </c>
      <c r="K633" s="2" t="str">
        <f t="array" ref="K633">XLOOKUP(I633,customers_clean!$A$2:$A$701,customers_clean!$C$2:$C$701)</f>
        <v>Ethan Martinez</v>
      </c>
      <c r="L633" s="10" t="str">
        <f t="array" ref="L633">XLOOKUP(I633,customers_clean!$A$2:$A$701,customers_clean!$D$2:$D$701)</f>
        <v>Ethan Martinez</v>
      </c>
      <c r="M633" s="2" t="str">
        <f t="array" ref="M633">XLOOKUP(I633,customers_clean!$A$2:$A$701,customers_clean!$I$2:$I$701)</f>
        <v>Ethan.Martinez@Gmail.Com</v>
      </c>
      <c r="N633" s="10" t="str">
        <f t="array" ref="N633">XLOOKUP(I633,customers_clean!$A$2:$A$701,customers_clean!$H$2:$H$701)</f>
        <v>ethan.martinez@gmail.com</v>
      </c>
      <c r="O633" s="9" t="str">
        <f>IFERROR(__xludf.DUMMYFUNCTION("IF(REGEXMATCH(TRIM(N633),""^[A-Za-z0-9._%+-]+@[A-Za-z0-9.-]+\.[A-Za-z]{2,}$""),""✅ Valid"",""❌ Invalid"")"),"✅ Valid")</f>
        <v>✅ Valid</v>
      </c>
      <c r="P633" s="2">
        <f t="array" ref="P633">XLOOKUP(I633,customers_clean!$A$2:$A$701,customers_clean!$K$2:$K$701)</f>
        <v>3995688159</v>
      </c>
      <c r="Q633" s="10" t="str">
        <f t="array" ref="Q633">XLOOKUP(I633,customers_clean!$A$2:$A$701,customers_clean!$N$2:$N$701)</f>
        <v>95688159</v>
      </c>
      <c r="R633" s="9" t="str">
        <f t="array" ref="R633">XLOOKUP(I633,customers_clean!$A$2:$A$701,customers_clean!$Q$2:$Q$701)</f>
        <v>❌ INVALID</v>
      </c>
      <c r="S633" s="10" t="s">
        <v>58</v>
      </c>
      <c r="T633" s="2" t="s">
        <v>223</v>
      </c>
      <c r="U633" s="2" t="s">
        <v>27</v>
      </c>
      <c r="V633" s="2" t="s">
        <v>889</v>
      </c>
      <c r="W633" s="9" t="str">
        <f t="array" ref="W633">IF(ISNA(XLOOKUP(V633,products_master_corrected!$A$2:$A$151,products_master_corrected!$A$2:$A$151, NA())),
    "❌ MISSING SKU", "✅")</f>
        <v>✅</v>
      </c>
      <c r="X633" s="2" t="s">
        <v>804</v>
      </c>
      <c r="Y633" s="2" t="s">
        <v>179</v>
      </c>
      <c r="Z633" s="10" t="s">
        <v>179</v>
      </c>
      <c r="AA633" s="27">
        <v>2.0</v>
      </c>
      <c r="AB633" s="9" t="s">
        <v>8649</v>
      </c>
      <c r="AC633" s="28">
        <f t="array" ref="AC633">XLOOKUP(V633,products_master_corrected!$A$2:$A$151,products_master_corrected!$E$2:$E$151)</f>
        <v>16.72</v>
      </c>
      <c r="AD633" s="28">
        <f t="shared" si="71"/>
        <v>33.44</v>
      </c>
      <c r="AE633" s="28">
        <f t="array" ref="AE633">XLOOKUP(V633,products_master_corrected!$A$2:$A$151,products_master_corrected!$G$2:$G$151)</f>
        <v>19.14</v>
      </c>
      <c r="AF633" s="29">
        <f t="shared" si="72"/>
        <v>38.28</v>
      </c>
      <c r="AG633" s="32" t="s">
        <v>8663</v>
      </c>
      <c r="AH633" s="2" t="s">
        <v>66</v>
      </c>
      <c r="AI633" s="10" t="s">
        <v>66</v>
      </c>
      <c r="AJ633" s="2" t="s">
        <v>192</v>
      </c>
      <c r="AK633" s="10" t="s">
        <v>192</v>
      </c>
    </row>
    <row r="634" ht="15.75" customHeight="1">
      <c r="A634" s="2" t="s">
        <v>5792</v>
      </c>
      <c r="B634" s="12">
        <v>45663.0</v>
      </c>
      <c r="C634" s="2" t="str">
        <f>IFERROR(__xludf.DUMMYFUNCTION("IF(ISNUMBER(B634),TEXT(B634,""yyyy-MM-dd""),REGEXREPLACE(REGEXREPLACE(TO_TEXT(B634),""[^0-9a-zA-Z]+"",""-""),""[^0-9]*$"",""""))"),"2025-01-06")</f>
        <v>2025-01-06</v>
      </c>
      <c r="D634" s="2" t="s">
        <v>8281</v>
      </c>
      <c r="H634" s="10" t="s">
        <v>8281</v>
      </c>
      <c r="I634" s="2" t="s">
        <v>3299</v>
      </c>
      <c r="J634" s="26" t="str">
        <f t="array" ref="J634">IF(ISNA(XLOOKUP(I634,customers_clean!$A$2:$A$701,customers_clean!$A$2:$A$701, NA()) ),
   "❌ MISSING CUSTOMER", "✅")</f>
        <v>✅</v>
      </c>
      <c r="K634" s="2" t="str">
        <f t="array" ref="K634">XLOOKUP(I634,customers_clean!$A$2:$A$701,customers_clean!$C$2:$C$701)</f>
        <v>ETHAN LEE</v>
      </c>
      <c r="L634" s="10" t="str">
        <f t="array" ref="L634">XLOOKUP(I634,customers_clean!$A$2:$A$701,customers_clean!$D$2:$D$701)</f>
        <v>Ethan Lee</v>
      </c>
      <c r="M634" s="2" t="str">
        <f t="array" ref="M634">XLOOKUP(I634,customers_clean!$A$2:$A$701,customers_clean!$I$2:$I$701)</f>
        <v>ethan.lee@exampel.com</v>
      </c>
      <c r="N634" s="10" t="str">
        <f t="array" ref="N634">XLOOKUP(I634,customers_clean!$A$2:$A$701,customers_clean!$H$2:$H$701)</f>
        <v>ethan.lee@exampel.com</v>
      </c>
      <c r="O634" s="9" t="str">
        <f>IFERROR(__xludf.DUMMYFUNCTION("IF(REGEXMATCH(TRIM(N634),""^[A-Za-z0-9._%+-]+@[A-Za-z0-9.-]+\.[A-Za-z]{2,}$""),""✅ Valid"",""❌ Invalid"")"),"✅ Valid")</f>
        <v>✅ Valid</v>
      </c>
      <c r="P634" s="2" t="str">
        <f t="array" ref="P634">XLOOKUP(I634,customers_clean!$A$2:$A$701,customers_clean!$K$2:$K$701)</f>
        <v>+33 163 7312285</v>
      </c>
      <c r="Q634" s="10" t="str">
        <f t="array" ref="Q634">XLOOKUP(I634,customers_clean!$A$2:$A$701,customers_clean!$N$2:$N$701)</f>
        <v>1637312285</v>
      </c>
      <c r="R634" s="9" t="str">
        <f t="array" ref="R634">XLOOKUP(I634,customers_clean!$A$2:$A$701,customers_clean!$Q$2:$Q$701)</f>
        <v>❌ INVALID</v>
      </c>
      <c r="S634" s="10" t="s">
        <v>608</v>
      </c>
      <c r="T634" s="2" t="s">
        <v>234</v>
      </c>
      <c r="U634" s="2" t="s">
        <v>480</v>
      </c>
      <c r="V634" s="2" t="s">
        <v>1211</v>
      </c>
      <c r="W634" s="9" t="str">
        <f t="array" ref="W634">IF(ISNA(XLOOKUP(V634,products_master_corrected!$A$2:$A$151,products_master_corrected!$A$2:$A$151, NA())),
    "❌ MISSING SKU", "✅")</f>
        <v>✅</v>
      </c>
      <c r="X634" s="2" t="s">
        <v>804</v>
      </c>
      <c r="Y634" s="2" t="s">
        <v>63</v>
      </c>
      <c r="Z634" s="10" t="s">
        <v>63</v>
      </c>
      <c r="AA634" s="27">
        <v>2.0</v>
      </c>
      <c r="AB634" s="9" t="s">
        <v>8649</v>
      </c>
      <c r="AC634" s="28">
        <f t="array" ref="AC634">XLOOKUP(V634,products_master_corrected!$A$2:$A$151,products_master_corrected!$E$2:$E$151)</f>
        <v>19.27</v>
      </c>
      <c r="AD634" s="28">
        <f t="shared" si="71"/>
        <v>38.54</v>
      </c>
      <c r="AE634" s="28">
        <f t="array" ref="AE634">XLOOKUP(V634,products_master_corrected!$A$2:$A$151,products_master_corrected!$H$2:$H$151)</f>
        <v>21.65</v>
      </c>
      <c r="AF634" s="29">
        <f t="shared" si="72"/>
        <v>43.3</v>
      </c>
      <c r="AG634" s="32" t="s">
        <v>8658</v>
      </c>
      <c r="AH634" s="2" t="s">
        <v>143</v>
      </c>
      <c r="AI634" s="10" t="s">
        <v>143</v>
      </c>
      <c r="AJ634" s="2" t="s">
        <v>442</v>
      </c>
      <c r="AK634" s="10" t="s">
        <v>80</v>
      </c>
      <c r="AL634" s="2" t="s">
        <v>81</v>
      </c>
    </row>
    <row r="635" ht="15.75" customHeight="1">
      <c r="A635" s="2" t="s">
        <v>3297</v>
      </c>
      <c r="B635" s="12">
        <v>45026.0</v>
      </c>
      <c r="C635" s="2" t="str">
        <f>IFERROR(__xludf.DUMMYFUNCTION("IF(ISNUMBER(B635),TEXT(B635,""yyyy-MM-dd""),REGEXREPLACE(REGEXREPLACE(TO_TEXT(B635),""[^0-9a-zA-Z]+"",""-""),""[^0-9]*$"",""""))"),"2023-04-10")</f>
        <v>2023-04-10</v>
      </c>
      <c r="D635" s="2" t="s">
        <v>8744</v>
      </c>
      <c r="H635" s="10" t="s">
        <v>8744</v>
      </c>
      <c r="I635" s="2" t="s">
        <v>3299</v>
      </c>
      <c r="J635" s="26" t="str">
        <f t="array" ref="J635">IF(ISNA(XLOOKUP(I635,customers_clean!$A$2:$A$701,customers_clean!$A$2:$A$701, NA()) ),
   "❌ MISSING CUSTOMER", "✅")</f>
        <v>✅</v>
      </c>
      <c r="K635" s="2" t="str">
        <f t="array" ref="K635">XLOOKUP(I635,customers_clean!$A$2:$A$701,customers_clean!$C$2:$C$701)</f>
        <v>ETHAN LEE</v>
      </c>
      <c r="L635" s="10" t="str">
        <f t="array" ref="L635">XLOOKUP(I635,customers_clean!$A$2:$A$701,customers_clean!$D$2:$D$701)</f>
        <v>Ethan Lee</v>
      </c>
      <c r="M635" s="2" t="str">
        <f t="array" ref="M635">XLOOKUP(I635,customers_clean!$A$2:$A$701,customers_clean!$I$2:$I$701)</f>
        <v>ethan.lee@exampel.com</v>
      </c>
      <c r="N635" s="10" t="str">
        <f t="array" ref="N635">XLOOKUP(I635,customers_clean!$A$2:$A$701,customers_clean!$H$2:$H$701)</f>
        <v>ethan.lee@exampel.com</v>
      </c>
      <c r="O635" s="9" t="str">
        <f>IFERROR(__xludf.DUMMYFUNCTION("IF(REGEXMATCH(TRIM(N635),""^[A-Za-z0-9._%+-]+@[A-Za-z0-9.-]+\.[A-Za-z]{2,}$""),""✅ Valid"",""❌ Invalid"")"),"✅ Valid")</f>
        <v>✅ Valid</v>
      </c>
      <c r="P635" s="2" t="str">
        <f t="array" ref="P635">XLOOKUP(I635,customers_clean!$A$2:$A$701,customers_clean!$K$2:$K$701)</f>
        <v>+33 163 7312285</v>
      </c>
      <c r="Q635" s="10" t="str">
        <f t="array" ref="Q635">XLOOKUP(I635,customers_clean!$A$2:$A$701,customers_clean!$N$2:$N$701)</f>
        <v>1637312285</v>
      </c>
      <c r="R635" s="9" t="str">
        <f t="array" ref="R635">XLOOKUP(I635,customers_clean!$A$2:$A$701,customers_clean!$Q$2:$Q$701)</f>
        <v>❌ INVALID</v>
      </c>
      <c r="S635" s="10" t="s">
        <v>608</v>
      </c>
      <c r="T635" s="2" t="s">
        <v>301</v>
      </c>
      <c r="U635" s="2" t="s">
        <v>43</v>
      </c>
      <c r="V635" s="2" t="s">
        <v>1772</v>
      </c>
      <c r="W635" s="9" t="str">
        <f t="array" ref="W635">IF(ISNA(XLOOKUP(V635,products_master_corrected!$A$2:$A$151,products_master_corrected!$A$2:$A$151, NA())),
    "❌ MISSING SKU", "✅")</f>
        <v>✅</v>
      </c>
      <c r="X635" s="2" t="s">
        <v>403</v>
      </c>
      <c r="Y635" s="2" t="s">
        <v>995</v>
      </c>
      <c r="Z635" s="10" t="s">
        <v>355</v>
      </c>
      <c r="AA635" s="27">
        <v>2.0</v>
      </c>
      <c r="AB635" s="9" t="s">
        <v>8649</v>
      </c>
      <c r="AC635" s="28">
        <f t="array" ref="AC635">XLOOKUP(V635,products_master_corrected!$A$2:$A$151,products_master_corrected!$E$2:$E$151)</f>
        <v>39.48</v>
      </c>
      <c r="AD635" s="28">
        <f t="shared" si="71"/>
        <v>78.96</v>
      </c>
      <c r="AE635" s="28">
        <f t="array" ref="AE635">XLOOKUP(V635,products_master_corrected!$A$2:$A$151,products_master_corrected!$H$2:$H$151)</f>
        <v>44.36</v>
      </c>
      <c r="AF635" s="29">
        <f t="shared" si="72"/>
        <v>88.72</v>
      </c>
      <c r="AG635" s="32" t="s">
        <v>8658</v>
      </c>
      <c r="AH635" s="2" t="s">
        <v>573</v>
      </c>
      <c r="AI635" s="10" t="s">
        <v>66</v>
      </c>
      <c r="AJ635" s="2" t="s">
        <v>1171</v>
      </c>
      <c r="AK635" s="10" t="s">
        <v>80</v>
      </c>
      <c r="AL635" s="2" t="s">
        <v>133</v>
      </c>
    </row>
    <row r="636" ht="15.75" customHeight="1">
      <c r="A636" s="2" t="s">
        <v>5267</v>
      </c>
      <c r="B636" s="12">
        <v>45190.0</v>
      </c>
      <c r="C636" s="2" t="str">
        <f>IFERROR(__xludf.DUMMYFUNCTION("IF(ISNUMBER(B636),TEXT(B636,""yyyy-MM-dd""),REGEXREPLACE(REGEXREPLACE(TO_TEXT(B636),""[^0-9a-zA-Z]+"",""-""),""[^0-9]*$"",""""))"),"2023-09-21")</f>
        <v>2023-09-21</v>
      </c>
      <c r="D636" s="2" t="s">
        <v>8885</v>
      </c>
      <c r="H636" s="10" t="s">
        <v>8885</v>
      </c>
      <c r="I636" s="2" t="s">
        <v>5269</v>
      </c>
      <c r="J636" s="26" t="str">
        <f t="array" ref="J636">IF(ISNA(XLOOKUP(I636,customers_clean!$A$2:$A$701,customers_clean!$A$2:$A$701, NA()) ),
   "❌ MISSING CUSTOMER", "✅")</f>
        <v>✅</v>
      </c>
      <c r="K636" s="2" t="str">
        <f t="array" ref="K636">XLOOKUP(I636,customers_clean!$A$2:$A$701,customers_clean!$C$2:$C$701)</f>
        <v>Lia  Nvoak</v>
      </c>
      <c r="L636" s="10" t="str">
        <f t="array" ref="L636">XLOOKUP(I636,customers_clean!$A$2:$A$701,customers_clean!$D$2:$D$701)</f>
        <v>Lia Novak</v>
      </c>
      <c r="M636" s="2" t="str">
        <f t="array" ref="M636">XLOOKUP(I636,customers_clean!$A$2:$A$701,customers_clean!$I$2:$I$701)</f>
        <v> lia.novak@shop.io</v>
      </c>
      <c r="N636" s="10" t="str">
        <f t="array" ref="N636">XLOOKUP(I636,customers_clean!$A$2:$A$701,customers_clean!$H$2:$H$701)</f>
        <v>lia.novak@shop.io</v>
      </c>
      <c r="O636" s="9" t="str">
        <f>IFERROR(__xludf.DUMMYFUNCTION("IF(REGEXMATCH(TRIM(N636),""^[A-Za-z0-9._%+-]+@[A-Za-z0-9.-]+\.[A-Za-z]{2,}$""),""✅ Valid"",""❌ Invalid"")"),"✅ Valid")</f>
        <v>✅ Valid</v>
      </c>
      <c r="P636" s="2" t="str">
        <f t="array" ref="P636">XLOOKUP(I636,customers_clean!$A$2:$A$701,customers_clean!$K$2:$K$701)</f>
        <v>(018) 907229</v>
      </c>
      <c r="Q636" s="10" t="str">
        <f t="array" ref="Q636">XLOOKUP(I636,customers_clean!$A$2:$A$701,customers_clean!$N$2:$N$701)</f>
        <v>018907229</v>
      </c>
      <c r="R636" s="9" t="str">
        <f t="array" ref="R636">XLOOKUP(I636,customers_clean!$A$2:$A$701,customers_clean!$Q$2:$Q$701)</f>
        <v>❌ INVALID</v>
      </c>
      <c r="S636" s="10" t="s">
        <v>88</v>
      </c>
      <c r="T636" s="2" t="s">
        <v>42</v>
      </c>
      <c r="U636" s="2" t="s">
        <v>480</v>
      </c>
      <c r="V636" s="2" t="s">
        <v>740</v>
      </c>
      <c r="W636" s="9" t="str">
        <f t="array" ref="W636">IF(ISNA(XLOOKUP(V636,products_master_corrected!$A$2:$A$151,products_master_corrected!$A$2:$A$151, NA())),
    "❌ MISSING SKU", "✅")</f>
        <v>✅</v>
      </c>
      <c r="X636" s="2" t="s">
        <v>741</v>
      </c>
      <c r="Y636" s="2" t="s">
        <v>742</v>
      </c>
      <c r="Z636" s="10" t="s">
        <v>355</v>
      </c>
      <c r="AA636" s="27">
        <v>2.0</v>
      </c>
      <c r="AB636" s="9" t="s">
        <v>8649</v>
      </c>
      <c r="AC636" s="28">
        <f t="array" ref="AC636">XLOOKUP(V636,products_master_corrected!$A$2:$A$151,products_master_corrected!$E$2:$E$151)</f>
        <v>35.77</v>
      </c>
      <c r="AD636" s="28">
        <f t="shared" si="71"/>
        <v>71.54</v>
      </c>
      <c r="AE636" s="28">
        <f t="array" ref="AE636">XLOOKUP(V636,products_master_corrected!$A$2:$A$151,products_master_corrected!$I$2:$I$151)</f>
        <v>39.43</v>
      </c>
      <c r="AF636" s="29">
        <f t="shared" si="72"/>
        <v>78.86</v>
      </c>
      <c r="AG636" s="32" t="s">
        <v>8660</v>
      </c>
      <c r="AH636" s="2" t="s">
        <v>573</v>
      </c>
      <c r="AI636" s="10" t="s">
        <v>66</v>
      </c>
      <c r="AJ636" s="2" t="s">
        <v>1670</v>
      </c>
      <c r="AK636" s="10" t="s">
        <v>80</v>
      </c>
    </row>
    <row r="637" ht="15.75" customHeight="1">
      <c r="A637" s="2" t="s">
        <v>3307</v>
      </c>
      <c r="B637" s="12">
        <v>45855.02638888889</v>
      </c>
      <c r="C637" s="2" t="str">
        <f>IFERROR(__xludf.DUMMYFUNCTION("IF(ISNUMBER(B637),TEXT(B637,""yyyy-MM-dd""),REGEXREPLACE(REGEXREPLACE(TO_TEXT(B637),""[^0-9a-zA-Z]+"",""-""),""[^0-9]*$"",""""))"),"2025-07-17")</f>
        <v>2025-07-17</v>
      </c>
      <c r="D637" s="2" t="s">
        <v>8894</v>
      </c>
      <c r="H637" s="10" t="s">
        <v>8894</v>
      </c>
      <c r="I637" s="2" t="s">
        <v>3309</v>
      </c>
      <c r="J637" s="26" t="str">
        <f t="array" ref="J637">IF(ISNA(XLOOKUP(I637,customers_clean!$A$2:$A$701,customers_clean!$A$2:$A$701, NA()) ),
   "❌ MISSING CUSTOMER", "✅")</f>
        <v>✅</v>
      </c>
      <c r="K637" s="2" t="str">
        <f t="array" ref="K637">XLOOKUP(I637,customers_clean!$A$2:$A$701,customers_clean!$C$2:$C$701)</f>
        <v>Paula  King</v>
      </c>
      <c r="L637" s="10" t="str">
        <f t="array" ref="L637">XLOOKUP(I637,customers_clean!$A$2:$A$701,customers_clean!$D$2:$D$701)</f>
        <v>Paula King</v>
      </c>
      <c r="M637" s="2" t="str">
        <f t="array" ref="M637">XLOOKUP(I637,customers_clean!$A$2:$A$701,customers_clean!$I$2:$I$701)</f>
        <v>Paula.King@Shop.Io</v>
      </c>
      <c r="N637" s="10" t="str">
        <f t="array" ref="N637">XLOOKUP(I637,customers_clean!$A$2:$A$701,customers_clean!$H$2:$H$701)</f>
        <v>paula.king@shop.io</v>
      </c>
      <c r="O637" s="9" t="str">
        <f>IFERROR(__xludf.DUMMYFUNCTION("IF(REGEXMATCH(TRIM(N637),""^[A-Za-z0-9._%+-]+@[A-Za-z0-9.-]+\.[A-Za-z]{2,}$""),""✅ Valid"",""❌ Invalid"")"),"✅ Valid")</f>
        <v>✅ Valid</v>
      </c>
      <c r="P637" s="33" t="str">
        <f t="array" ref="P637">XLOOKUP(I637,customers_clean!$A$2:$A$701,customers_clean!$K$2:$K$701)</f>
        <v>+48854892578 ext 521</v>
      </c>
      <c r="Q637" s="10" t="str">
        <f t="array" ref="Q637">XLOOKUP(I637,customers_clean!$A$2:$A$701,customers_clean!$N$2:$N$701)</f>
        <v>854892578</v>
      </c>
      <c r="R637" s="9" t="str">
        <f t="array" ref="R637">XLOOKUP(I637,customers_clean!$A$2:$A$701,customers_clean!$Q$2:$Q$701)</f>
        <v>❌ INVALID</v>
      </c>
      <c r="S637" s="10" t="s">
        <v>139</v>
      </c>
      <c r="T637" s="2" t="s">
        <v>42</v>
      </c>
      <c r="U637" s="2" t="s">
        <v>176</v>
      </c>
      <c r="V637" s="2" t="s">
        <v>1114</v>
      </c>
      <c r="W637" s="9" t="str">
        <f t="array" ref="W637">IF(ISNA(XLOOKUP(V637,products_master_corrected!$A$2:$A$151,products_master_corrected!$A$2:$A$151, NA())),
    "❌ MISSING SKU", "✅")</f>
        <v>✅</v>
      </c>
      <c r="X637" s="2" t="s">
        <v>1147</v>
      </c>
      <c r="Y637" s="2" t="s">
        <v>248</v>
      </c>
      <c r="Z637" s="10" t="s">
        <v>248</v>
      </c>
      <c r="AA637" s="27">
        <v>2.0</v>
      </c>
      <c r="AB637" s="9" t="s">
        <v>8649</v>
      </c>
      <c r="AC637" s="28">
        <f t="array" ref="AC637">XLOOKUP(V637,products_master_corrected!$A$2:$A$151,products_master_corrected!$E$2:$E$151)</f>
        <v>116.16</v>
      </c>
      <c r="AD637" s="28">
        <f t="shared" si="71"/>
        <v>232.32</v>
      </c>
      <c r="AE637" s="28">
        <f t="array" ref="AE637">XLOOKUP(V637,products_master_corrected!$A$2:$A$151,products_master_corrected!$L$2:$L$151)</f>
        <v>125.63</v>
      </c>
      <c r="AF637" s="29">
        <f t="shared" si="72"/>
        <v>251.26</v>
      </c>
      <c r="AG637" s="32" t="s">
        <v>8665</v>
      </c>
      <c r="AH637" s="2" t="s">
        <v>33</v>
      </c>
      <c r="AI637" s="10" t="s">
        <v>181</v>
      </c>
      <c r="AJ637" s="2" t="s">
        <v>261</v>
      </c>
      <c r="AK637" s="10" t="s">
        <v>261</v>
      </c>
      <c r="AL637" s="2" t="s">
        <v>51</v>
      </c>
    </row>
    <row r="638" ht="15.75" customHeight="1">
      <c r="A638" s="2" t="s">
        <v>3802</v>
      </c>
      <c r="B638" s="12">
        <v>45662.0</v>
      </c>
      <c r="C638" s="2" t="str">
        <f>IFERROR(__xludf.DUMMYFUNCTION("IF(ISNUMBER(B638),TEXT(B638,""yyyy-MM-dd""),REGEXREPLACE(REGEXREPLACE(TO_TEXT(B638),""[^0-9a-zA-Z]+"",""-""),""[^0-9]*$"",""""))"),"2025-01-05")</f>
        <v>2025-01-05</v>
      </c>
      <c r="D638" s="2" t="s">
        <v>3149</v>
      </c>
      <c r="H638" s="10" t="s">
        <v>3149</v>
      </c>
      <c r="I638" s="2" t="s">
        <v>3804</v>
      </c>
      <c r="J638" s="26" t="str">
        <f t="array" ref="J638">IF(ISNA(XLOOKUP(I638,customers_clean!$A$2:$A$701,customers_clean!$A$2:$A$701, NA()) ),
   "❌ MISSING CUSTOMER", "✅")</f>
        <v>✅</v>
      </c>
      <c r="K638" s="2" t="str">
        <f t="array" ref="K638">XLOOKUP(I638,customers_clean!$A$2:$A$701,customers_clean!$C$2:$C$701)</f>
        <v>Sam Dubois </v>
      </c>
      <c r="L638" s="10" t="str">
        <f t="array" ref="L638">XLOOKUP(I638,customers_clean!$A$2:$A$701,customers_clean!$D$2:$D$701)</f>
        <v>Sam Dubois</v>
      </c>
      <c r="M638" s="2" t="str">
        <f t="array" ref="M638">XLOOKUP(I638,customers_clean!$A$2:$A$701,customers_clean!$I$2:$I$701)</f>
        <v>sam.dubois@shop.io</v>
      </c>
      <c r="N638" s="10" t="str">
        <f t="array" ref="N638">XLOOKUP(I638,customers_clean!$A$2:$A$701,customers_clean!$H$2:$H$701)</f>
        <v>sam.dubois@shop.io</v>
      </c>
      <c r="O638" s="9" t="str">
        <f>IFERROR(__xludf.DUMMYFUNCTION("IF(REGEXMATCH(TRIM(N638),""^[A-Za-z0-9._%+-]+@[A-Za-z0-9.-]+\.[A-Za-z]{2,}$""),""✅ Valid"",""❌ Invalid"")"),"✅ Valid")</f>
        <v>✅ Valid</v>
      </c>
      <c r="P638" s="2" t="str">
        <f t="array" ref="P638">XLOOKUP(I638,customers_clean!$A$2:$A$701,customers_clean!$K$2:$K$701)</f>
        <v>+49 806 18964619</v>
      </c>
      <c r="Q638" s="10" t="str">
        <f t="array" ref="Q638">XLOOKUP(I638,customers_clean!$A$2:$A$701,customers_clean!$N$2:$N$701)</f>
        <v>80618964619</v>
      </c>
      <c r="R638" s="9" t="str">
        <f t="array" ref="R638">XLOOKUP(I638,customers_clean!$A$2:$A$701,customers_clean!$Q$2:$Q$701)</f>
        <v>❌ INVALID</v>
      </c>
      <c r="S638" s="10" t="s">
        <v>58</v>
      </c>
      <c r="T638" s="2" t="s">
        <v>152</v>
      </c>
      <c r="U638" s="2" t="s">
        <v>176</v>
      </c>
      <c r="V638" s="2" t="s">
        <v>1575</v>
      </c>
      <c r="W638" s="9" t="str">
        <f t="array" ref="W638">IF(ISNA(XLOOKUP(V638,products_master_corrected!$A$2:$A$151,products_master_corrected!$A$2:$A$151, NA())),
    "❌ MISSING SKU", "✅")</f>
        <v>✅</v>
      </c>
      <c r="X638" s="2" t="s">
        <v>291</v>
      </c>
      <c r="Y638" s="2" t="s">
        <v>1577</v>
      </c>
      <c r="Z638" s="10" t="s">
        <v>63</v>
      </c>
      <c r="AA638" s="27">
        <v>3.0</v>
      </c>
      <c r="AB638" s="9" t="s">
        <v>8649</v>
      </c>
      <c r="AC638" s="28">
        <f t="array" ref="AC638">XLOOKUP(V638,products_master_corrected!$A$2:$A$151,products_master_corrected!$E$2:$E$151)</f>
        <v>195.63</v>
      </c>
      <c r="AD638" s="28">
        <f t="shared" si="71"/>
        <v>586.89</v>
      </c>
      <c r="AE638" s="28">
        <f t="array" ref="AE638">XLOOKUP(V638,products_master_corrected!$A$2:$A$151,products_master_corrected!$G$2:$G$151)</f>
        <v>223.96</v>
      </c>
      <c r="AF638" s="29">
        <f t="shared" si="72"/>
        <v>671.88</v>
      </c>
      <c r="AG638" s="32" t="s">
        <v>8663</v>
      </c>
      <c r="AH638" s="2" t="s">
        <v>66</v>
      </c>
      <c r="AI638" s="10" t="s">
        <v>66</v>
      </c>
      <c r="AJ638" s="2" t="s">
        <v>294</v>
      </c>
      <c r="AK638" s="10" t="s">
        <v>80</v>
      </c>
      <c r="AL638" s="2" t="s">
        <v>51</v>
      </c>
    </row>
    <row r="639" ht="15.75" customHeight="1">
      <c r="A639" s="2" t="s">
        <v>108</v>
      </c>
      <c r="B639" s="12">
        <v>44986.37430555555</v>
      </c>
      <c r="C639" s="2" t="str">
        <f>IFERROR(__xludf.DUMMYFUNCTION("IF(ISNUMBER(B639),TEXT(B639,""yyyy-MM-dd""),REGEXREPLACE(REGEXREPLACE(TO_TEXT(B639),""[^0-9a-zA-Z]+"",""-""),""[^0-9]*$"",""""))"),"2023-03-01")</f>
        <v>2023-03-01</v>
      </c>
      <c r="D639" s="2" t="s">
        <v>8668</v>
      </c>
      <c r="H639" s="10" t="s">
        <v>8668</v>
      </c>
      <c r="I639" s="2" t="s">
        <v>110</v>
      </c>
      <c r="J639" s="26" t="str">
        <f t="array" ref="J639">IF(ISNA(XLOOKUP(I639,customers_clean!$A$2:$A$701,customers_clean!$A$2:$A$701, NA()) ),
   "❌ MISSING CUSTOMER", "✅")</f>
        <v>✅</v>
      </c>
      <c r="K639" s="2" t="str">
        <f t="array" ref="K639">XLOOKUP(I639,customers_clean!$A$2:$A$701,customers_clean!$C$2:$C$701)</f>
        <v>NINA SMITH</v>
      </c>
      <c r="L639" s="10" t="str">
        <f t="array" ref="L639">XLOOKUP(I639,customers_clean!$A$2:$A$701,customers_clean!$D$2:$D$701)</f>
        <v>Nina Smith</v>
      </c>
      <c r="M639" s="2" t="str">
        <f t="array" ref="M639">XLOOKUP(I639,customers_clean!$A$2:$A$701,customers_clean!$I$2:$I$701)</f>
        <v>Nina.Smith@Gmail.Com</v>
      </c>
      <c r="N639" s="10" t="str">
        <f t="array" ref="N639">XLOOKUP(I639,customers_clean!$A$2:$A$701,customers_clean!$H$2:$H$701)</f>
        <v>nina.smith@gmail.com</v>
      </c>
      <c r="O639" s="9" t="str">
        <f>IFERROR(__xludf.DUMMYFUNCTION("IF(REGEXMATCH(TRIM(N639),""^[A-Za-z0-9._%+-]+@[A-Za-z0-9.-]+\.[A-Za-z]{2,}$""),""✅ Valid"",""❌ Invalid"")"),"✅ Valid")</f>
        <v>✅ Valid</v>
      </c>
      <c r="P639" s="2" t="str">
        <f t="array" ref="P639">XLOOKUP(I639,customers_clean!$A$2:$A$701,customers_clean!$K$2:$K$701)</f>
        <v>+49+90131345691</v>
      </c>
      <c r="Q639" s="10" t="str">
        <f t="array" ref="Q639">XLOOKUP(I639,customers_clean!$A$2:$A$701,customers_clean!$N$2:$N$701)</f>
        <v>90131345691</v>
      </c>
      <c r="R639" s="9" t="str">
        <f t="array" ref="R639">XLOOKUP(I639,customers_clean!$A$2:$A$701,customers_clean!$Q$2:$Q$701)</f>
        <v>❌ INVALID</v>
      </c>
      <c r="S639" s="10" t="s">
        <v>114</v>
      </c>
      <c r="T639" s="2" t="s">
        <v>115</v>
      </c>
      <c r="U639" s="2" t="s">
        <v>116</v>
      </c>
      <c r="V639" s="2" t="s">
        <v>117</v>
      </c>
      <c r="W639" s="9" t="str">
        <f t="array" ref="W639">IF(ISNA(XLOOKUP(V639,products_master_corrected!$A$2:$A$151,products_master_corrected!$A$2:$A$151, NA())),
    "❌ MISSING SKU", "✅")</f>
        <v>✅</v>
      </c>
      <c r="X639" s="2" t="s">
        <v>259</v>
      </c>
      <c r="Y639" s="2" t="s">
        <v>63</v>
      </c>
      <c r="Z639" s="10" t="s">
        <v>63</v>
      </c>
      <c r="AA639" s="27">
        <v>5.0</v>
      </c>
      <c r="AB639" s="9" t="s">
        <v>8649</v>
      </c>
      <c r="AC639" s="28">
        <f t="array" ref="AC639">XLOOKUP(V639,products_master_corrected!$A$2:$A$151,products_master_corrected!$E$2:$E$151)</f>
        <v>13.26</v>
      </c>
      <c r="AD639" s="28">
        <f t="shared" si="71"/>
        <v>66.3</v>
      </c>
      <c r="AE639" s="28">
        <f t="array" ref="AE639">XLOOKUP(V639,products_master_corrected!$A$2:$A$151,products_master_corrected!$F$2:$F$151)</f>
        <v>13.26</v>
      </c>
      <c r="AF639" s="29">
        <f t="shared" si="72"/>
        <v>66.3</v>
      </c>
      <c r="AG639" s="30" t="s">
        <v>65</v>
      </c>
      <c r="AH639" s="2" t="s">
        <v>49</v>
      </c>
      <c r="AI639" s="10" t="s">
        <v>49</v>
      </c>
      <c r="AJ639" s="2" t="s">
        <v>120</v>
      </c>
      <c r="AK639" s="10" t="s">
        <v>818</v>
      </c>
      <c r="AL639" s="2" t="s">
        <v>67</v>
      </c>
    </row>
    <row r="640" ht="15.75" customHeight="1">
      <c r="A640" s="2" t="s">
        <v>2909</v>
      </c>
      <c r="B640" s="12">
        <v>45633.0</v>
      </c>
      <c r="C640" s="2" t="str">
        <f>IFERROR(__xludf.DUMMYFUNCTION("IF(ISNUMBER(B640),TEXT(B640,""yyyy-MM-dd""),REGEXREPLACE(REGEXREPLACE(TO_TEXT(B640),""[^0-9a-zA-Z]+"",""-""),""[^0-9]*$"",""""))"),"2024-12-07")</f>
        <v>2024-12-07</v>
      </c>
      <c r="D640" s="2" t="s">
        <v>2910</v>
      </c>
      <c r="H640" s="10" t="s">
        <v>2910</v>
      </c>
      <c r="I640" s="2" t="s">
        <v>2911</v>
      </c>
      <c r="J640" s="26" t="str">
        <f t="array" ref="J640">IF(ISNA(XLOOKUP(I640,customers_clean!$A$2:$A$701,customers_clean!$A$2:$A$701, NA()) ),
   "❌ MISSING CUSTOMER", "✅")</f>
        <v>✅</v>
      </c>
      <c r="K640" s="2" t="str">
        <f t="array" ref="K640">XLOOKUP(I640,customers_clean!$A$2:$A$701,customers_clean!$C$2:$C$701)</f>
        <v>Gabe  Novak</v>
      </c>
      <c r="L640" s="10" t="str">
        <f t="array" ref="L640">XLOOKUP(I640,customers_clean!$A$2:$A$701,customers_clean!$D$2:$D$701)</f>
        <v>Gabe Novak</v>
      </c>
      <c r="M640" s="2" t="str">
        <f t="array" ref="M640">XLOOKUP(I640,customers_clean!$A$2:$A$701,customers_clean!$I$2:$I$701)</f>
        <v>Gabe.Novak@Yahoo.Com</v>
      </c>
      <c r="N640" s="10" t="str">
        <f t="array" ref="N640">XLOOKUP(I640,customers_clean!$A$2:$A$701,customers_clean!$H$2:$H$701)</f>
        <v>gabe.novak@yahoo.com</v>
      </c>
      <c r="O640" s="9" t="str">
        <f>IFERROR(__xludf.DUMMYFUNCTION("IF(REGEXMATCH(TRIM(N640),""^[A-Za-z0-9._%+-]+@[A-Za-z0-9.-]+\.[A-Za-z]{2,}$""),""✅ Valid"",""❌ Invalid"")"),"✅ Valid")</f>
        <v>✅ Valid</v>
      </c>
      <c r="P640" s="2" t="str">
        <f t="array" ref="P640">XLOOKUP(I640,customers_clean!$A$2:$A$701,customers_clean!$K$2:$K$701)</f>
        <v>+39175689698</v>
      </c>
      <c r="Q640" s="10" t="str">
        <f t="array" ref="Q640">XLOOKUP(I640,customers_clean!$A$2:$A$701,customers_clean!$N$2:$N$701)</f>
        <v>175689698</v>
      </c>
      <c r="R640" s="9" t="str">
        <f t="array" ref="R640">XLOOKUP(I640,customers_clean!$A$2:$A$701,customers_clean!$Q$2:$Q$701)</f>
        <v>❌ INVALID</v>
      </c>
      <c r="S640" s="10" t="s">
        <v>114</v>
      </c>
      <c r="T640" s="2" t="s">
        <v>223</v>
      </c>
      <c r="U640" s="2" t="s">
        <v>2915</v>
      </c>
      <c r="V640" s="2" t="s">
        <v>279</v>
      </c>
      <c r="W640" s="9" t="str">
        <f t="array" ref="W640">IF(ISNA(XLOOKUP(V640,products_master_corrected!$A$2:$A$151,products_master_corrected!$A$2:$A$151, NA())),
    "❌ MISSING SKU", "✅")</f>
        <v>✅</v>
      </c>
      <c r="X640" s="2" t="s">
        <v>280</v>
      </c>
      <c r="Y640" s="2" t="s">
        <v>281</v>
      </c>
      <c r="Z640" s="10" t="s">
        <v>248</v>
      </c>
      <c r="AA640" s="27">
        <v>1.0</v>
      </c>
      <c r="AB640" s="9" t="s">
        <v>8649</v>
      </c>
      <c r="AC640" s="28">
        <f t="array" ref="AC640">XLOOKUP(V640,products_master_corrected!$A$2:$A$151,products_master_corrected!$E$2:$E$151)</f>
        <v>95.88</v>
      </c>
      <c r="AD640" s="28">
        <f t="shared" si="71"/>
        <v>95.88</v>
      </c>
      <c r="AE640" s="28">
        <f t="array" ref="AE640">XLOOKUP(V640,products_master_corrected!$A$2:$A$151,products_master_corrected!$F$2:$F$151)</f>
        <v>95.88</v>
      </c>
      <c r="AF640" s="29">
        <f t="shared" si="72"/>
        <v>95.88</v>
      </c>
      <c r="AG640" s="30" t="s">
        <v>65</v>
      </c>
      <c r="AH640" s="2" t="s">
        <v>181</v>
      </c>
      <c r="AI640" s="10" t="s">
        <v>181</v>
      </c>
      <c r="AJ640" s="2" t="s">
        <v>169</v>
      </c>
      <c r="AK640" s="10" t="s">
        <v>261</v>
      </c>
      <c r="AL640" s="2" t="s">
        <v>51</v>
      </c>
    </row>
    <row r="641" ht="15.75" customHeight="1">
      <c r="A641" s="2" t="s">
        <v>4941</v>
      </c>
      <c r="B641" s="12">
        <v>45969.51111111111</v>
      </c>
      <c r="C641" s="2" t="str">
        <f>IFERROR(__xludf.DUMMYFUNCTION("IF(ISNUMBER(B641),TEXT(B641,""yyyy-MM-dd""),REGEXREPLACE(REGEXREPLACE(TO_TEXT(B641),""[^0-9a-zA-Z]+"",""-""),""[^0-9]*$"",""""))"),"2025-11-08")</f>
        <v>2025-11-08</v>
      </c>
      <c r="D641" s="2" t="s">
        <v>8895</v>
      </c>
      <c r="H641" s="10" t="s">
        <v>8895</v>
      </c>
      <c r="I641" s="2" t="s">
        <v>2911</v>
      </c>
      <c r="J641" s="26" t="str">
        <f t="array" ref="J641">IF(ISNA(XLOOKUP(I641,customers_clean!$A$2:$A$701,customers_clean!$A$2:$A$701, NA()) ),
   "❌ MISSING CUSTOMER", "✅")</f>
        <v>✅</v>
      </c>
      <c r="K641" s="2" t="str">
        <f t="array" ref="K641">XLOOKUP(I641,customers_clean!$A$2:$A$701,customers_clean!$C$2:$C$701)</f>
        <v>Gabe  Novak</v>
      </c>
      <c r="L641" s="10" t="str">
        <f t="array" ref="L641">XLOOKUP(I641,customers_clean!$A$2:$A$701,customers_clean!$D$2:$D$701)</f>
        <v>Gabe Novak</v>
      </c>
      <c r="M641" s="2" t="str">
        <f t="array" ref="M641">XLOOKUP(I641,customers_clean!$A$2:$A$701,customers_clean!$I$2:$I$701)</f>
        <v>Gabe.Novak@Yahoo.Com</v>
      </c>
      <c r="N641" s="10" t="str">
        <f t="array" ref="N641">XLOOKUP(I641,customers_clean!$A$2:$A$701,customers_clean!$H$2:$H$701)</f>
        <v>gabe.novak@yahoo.com</v>
      </c>
      <c r="O641" s="9" t="str">
        <f>IFERROR(__xludf.DUMMYFUNCTION("IF(REGEXMATCH(TRIM(N641),""^[A-Za-z0-9._%+-]+@[A-Za-z0-9.-]+\.[A-Za-z]{2,}$""),""✅ Valid"",""❌ Invalid"")"),"✅ Valid")</f>
        <v>✅ Valid</v>
      </c>
      <c r="P641" s="2" t="str">
        <f t="array" ref="P641">XLOOKUP(I641,customers_clean!$A$2:$A$701,customers_clean!$K$2:$K$701)</f>
        <v>+39175689698</v>
      </c>
      <c r="Q641" s="10" t="str">
        <f t="array" ref="Q641">XLOOKUP(I641,customers_clean!$A$2:$A$701,customers_clean!$N$2:$N$701)</f>
        <v>175689698</v>
      </c>
      <c r="R641" s="9" t="str">
        <f t="array" ref="R641">XLOOKUP(I641,customers_clean!$A$2:$A$701,customers_clean!$Q$2:$Q$701)</f>
        <v>❌ INVALID</v>
      </c>
      <c r="S641" s="10" t="s">
        <v>114</v>
      </c>
      <c r="T641" s="2" t="s">
        <v>223</v>
      </c>
      <c r="U641" s="2" t="s">
        <v>4943</v>
      </c>
      <c r="V641" s="2" t="s">
        <v>2012</v>
      </c>
      <c r="W641" s="9" t="str">
        <f t="array" ref="W641">IF(ISNA(XLOOKUP(V641,products_master_corrected!$A$2:$A$151,products_master_corrected!$A$2:$A$151, NA())),
    "❌ MISSING SKU", "✅")</f>
        <v>✅</v>
      </c>
      <c r="X641" s="2" t="s">
        <v>741</v>
      </c>
      <c r="Y641" s="2" t="s">
        <v>514</v>
      </c>
      <c r="Z641" s="10" t="s">
        <v>514</v>
      </c>
      <c r="AA641" s="27"/>
      <c r="AB641" s="9" t="s">
        <v>8677</v>
      </c>
      <c r="AC641" s="34"/>
      <c r="AD641" s="34"/>
      <c r="AE641" s="34"/>
      <c r="AF641" s="35"/>
      <c r="AG641" s="36" t="s">
        <v>65</v>
      </c>
      <c r="AH641" s="2" t="s">
        <v>66</v>
      </c>
      <c r="AI641" s="10" t="s">
        <v>66</v>
      </c>
      <c r="AJ641" s="2" t="s">
        <v>80</v>
      </c>
      <c r="AK641" s="10" t="s">
        <v>80</v>
      </c>
      <c r="AL641" s="2" t="s">
        <v>51</v>
      </c>
    </row>
    <row r="642" ht="15.75" customHeight="1">
      <c r="A642" s="2" t="s">
        <v>1681</v>
      </c>
      <c r="B642" s="12">
        <v>45185.01458333333</v>
      </c>
      <c r="C642" s="2" t="str">
        <f>IFERROR(__xludf.DUMMYFUNCTION("IF(ISNUMBER(B642),TEXT(B642,""yyyy-MM-dd""),REGEXREPLACE(REGEXREPLACE(TO_TEXT(B642),""[^0-9a-zA-Z]+"",""-""),""[^0-9]*$"",""""))"),"2023-09-16")</f>
        <v>2023-09-16</v>
      </c>
      <c r="D642" s="2" t="s">
        <v>8800</v>
      </c>
      <c r="H642" s="10" t="s">
        <v>8800</v>
      </c>
      <c r="I642" s="2" t="s">
        <v>1683</v>
      </c>
      <c r="J642" s="26" t="str">
        <f t="array" ref="J642">IF(ISNA(XLOOKUP(I642,customers_clean!$A$2:$A$701,customers_clean!$A$2:$A$701, NA()) ),
   "❌ MISSING CUSTOMER", "✅")</f>
        <v>✅</v>
      </c>
      <c r="K642" s="2" t="str">
        <f t="array" ref="K642">XLOOKUP(I642,customers_clean!$A$2:$A$701,customers_clean!$C$2:$C$701)</f>
        <v>Hanna Williams </v>
      </c>
      <c r="L642" s="10" t="str">
        <f t="array" ref="L642">XLOOKUP(I642,customers_clean!$A$2:$A$701,customers_clean!$D$2:$D$701)</f>
        <v>Hanna Williams</v>
      </c>
      <c r="M642" s="2" t="str">
        <f t="array" ref="M642">XLOOKUP(I642,customers_clean!$A$2:$A$701,customers_clean!$I$2:$I$701)</f>
        <v>hanna.williams@yahoo.com</v>
      </c>
      <c r="N642" s="10" t="str">
        <f t="array" ref="N642">XLOOKUP(I642,customers_clean!$A$2:$A$701,customers_clean!$H$2:$H$701)</f>
        <v>hanna.williams@yahoo.com</v>
      </c>
      <c r="O642" s="9" t="str">
        <f>IFERROR(__xludf.DUMMYFUNCTION("IF(REGEXMATCH(TRIM(N642),""^[A-Za-z0-9._%+-]+@[A-Za-z0-9.-]+\.[A-Za-z]{2,}$""),""✅ Valid"",""❌ Invalid"")"),"✅ Valid")</f>
        <v>✅ Valid</v>
      </c>
      <c r="P642" s="2" t="str">
        <f t="array" ref="P642">XLOOKUP(I642,customers_clean!$A$2:$A$701,customers_clean!$K$2:$K$701)</f>
        <v>(273) 79287</v>
      </c>
      <c r="Q642" s="10" t="str">
        <f t="array" ref="Q642">XLOOKUP(I642,customers_clean!$A$2:$A$701,customers_clean!$N$2:$N$701)</f>
        <v>27379287</v>
      </c>
      <c r="R642" s="9" t="str">
        <f t="array" ref="R642">XLOOKUP(I642,customers_clean!$A$2:$A$701,customers_clean!$Q$2:$Q$701)</f>
        <v>❌ INVALID</v>
      </c>
      <c r="S642" s="10" t="s">
        <v>25</v>
      </c>
      <c r="T642" s="2" t="s">
        <v>152</v>
      </c>
      <c r="U642" s="2" t="s">
        <v>312</v>
      </c>
      <c r="V642" s="2" t="s">
        <v>501</v>
      </c>
      <c r="W642" s="9" t="str">
        <f t="array" ref="W642">IF(ISNA(XLOOKUP(V642,products_master_corrected!$A$2:$A$151,products_master_corrected!$A$2:$A$151, NA())),
    "❌ MISSING SKU", "✅")</f>
        <v>✅</v>
      </c>
      <c r="X642" s="2" t="s">
        <v>502</v>
      </c>
      <c r="Y642" s="2" t="s">
        <v>503</v>
      </c>
      <c r="Z642" s="10" t="str">
        <f t="shared" ref="Z642:Z643" si="73">PROPER(TRIM(Y642))</f>
        <v>Monitors</v>
      </c>
      <c r="AA642" s="27">
        <v>3.0</v>
      </c>
      <c r="AB642" s="9" t="s">
        <v>8649</v>
      </c>
      <c r="AC642" s="28">
        <f t="array" ref="AC642">XLOOKUP(V642,products_master_corrected!$A$2:$A$151,products_master_corrected!$E$2:$E$151)</f>
        <v>1071.94</v>
      </c>
      <c r="AD642" s="28">
        <f t="shared" ref="AD642:AD648" si="74">AA642*AC642</f>
        <v>3215.82</v>
      </c>
      <c r="AE642" s="28">
        <f t="array" ref="AE642">XLOOKUP(V642,products_master_corrected!$A$2:$A$151,products_master_corrected!$K$2:$K$151)</f>
        <v>5515.13</v>
      </c>
      <c r="AF642" s="29">
        <f t="shared" ref="AF642:AF648" si="75">AA642*AE642</f>
        <v>16545.39</v>
      </c>
      <c r="AG642" s="30" t="s">
        <v>95</v>
      </c>
      <c r="AH642" s="2" t="s">
        <v>526</v>
      </c>
      <c r="AI642" s="10" t="s">
        <v>49</v>
      </c>
      <c r="AJ642" s="2" t="s">
        <v>818</v>
      </c>
      <c r="AK642" s="10" t="s">
        <v>818</v>
      </c>
    </row>
    <row r="643" ht="15.75" customHeight="1">
      <c r="A643" s="2" t="s">
        <v>5249</v>
      </c>
      <c r="B643" s="12">
        <v>45281.0</v>
      </c>
      <c r="C643" s="2" t="str">
        <f>IFERROR(__xludf.DUMMYFUNCTION("IF(ISNUMBER(B643),TEXT(B643,""yyyy-MM-dd""),REGEXREPLACE(REGEXREPLACE(TO_TEXT(B643),""[^0-9a-zA-Z]+"",""-""),""[^0-9]*$"",""""))"),"2023-12-21")</f>
        <v>2023-12-21</v>
      </c>
      <c r="D643" s="2" t="s">
        <v>7855</v>
      </c>
      <c r="H643" s="10" t="s">
        <v>7855</v>
      </c>
      <c r="I643" s="2" t="s">
        <v>5251</v>
      </c>
      <c r="J643" s="26" t="str">
        <f t="array" ref="J643">IF(ISNA(XLOOKUP(I643,customers_clean!$A$2:$A$701,customers_clean!$A$2:$A$701, NA()) ),
   "❌ MISSING CUSTOMER", "✅")</f>
        <v>✅</v>
      </c>
      <c r="K643" s="2" t="str">
        <f t="array" ref="K643">XLOOKUP(I643,customers_clean!$A$2:$A$701,customers_clean!$C$2:$C$701)</f>
        <v>GABE KING</v>
      </c>
      <c r="L643" s="10" t="str">
        <f t="array" ref="L643">XLOOKUP(I643,customers_clean!$A$2:$A$701,customers_clean!$D$2:$D$701)</f>
        <v>Gabe King</v>
      </c>
      <c r="M643" s="2" t="str">
        <f t="array" ref="M643">XLOOKUP(I643,customers_clean!$A$2:$A$701,customers_clean!$I$2:$I$701)</f>
        <v>gabe.king@shop.io</v>
      </c>
      <c r="N643" s="10" t="str">
        <f t="array" ref="N643">XLOOKUP(I643,customers_clean!$A$2:$A$701,customers_clean!$H$2:$H$701)</f>
        <v>gabe.king@shop.io</v>
      </c>
      <c r="O643" s="9" t="str">
        <f>IFERROR(__xludf.DUMMYFUNCTION("IF(REGEXMATCH(TRIM(N643),""^[A-Za-z0-9._%+-]+@[A-Za-z0-9.-]+\.[A-Za-z]{2,}$""),""✅ Valid"",""❌ Invalid"")"),"✅ Valid")</f>
        <v>✅ Valid</v>
      </c>
      <c r="P643" s="2" t="str">
        <f t="array" ref="P643">XLOOKUP(I643,customers_clean!$A$2:$A$701,customers_clean!$K$2:$K$701)</f>
        <v>+39 47 33 25 82 9</v>
      </c>
      <c r="Q643" s="10" t="str">
        <f t="array" ref="Q643">XLOOKUP(I643,customers_clean!$A$2:$A$701,customers_clean!$N$2:$N$701)</f>
        <v>473325829</v>
      </c>
      <c r="R643" s="9" t="str">
        <f t="array" ref="R643">XLOOKUP(I643,customers_clean!$A$2:$A$701,customers_clean!$Q$2:$Q$701)</f>
        <v>❌ INVALID</v>
      </c>
      <c r="S643" s="10" t="s">
        <v>608</v>
      </c>
      <c r="T643" s="2" t="s">
        <v>42</v>
      </c>
      <c r="U643" s="2" t="s">
        <v>1032</v>
      </c>
      <c r="V643" s="2" t="s">
        <v>599</v>
      </c>
      <c r="W643" s="9" t="str">
        <f t="array" ref="W643">IF(ISNA(XLOOKUP(V643,products_master_corrected!$A$2:$A$151,products_master_corrected!$A$2:$A$151, NA())),
    "❌ MISSING SKU", "✅")</f>
        <v>✅</v>
      </c>
      <c r="X643" s="2" t="s">
        <v>524</v>
      </c>
      <c r="Y643" s="2" t="s">
        <v>167</v>
      </c>
      <c r="Z643" s="10" t="str">
        <f t="shared" si="73"/>
        <v>Monitors</v>
      </c>
      <c r="AA643" s="27">
        <v>2.0</v>
      </c>
      <c r="AB643" s="9" t="s">
        <v>8649</v>
      </c>
      <c r="AC643" s="28">
        <f t="array" ref="AC643">XLOOKUP(V643,products_master_corrected!$A$2:$A$151,products_master_corrected!$E$2:$E$151)</f>
        <v>212.85</v>
      </c>
      <c r="AD643" s="28">
        <f t="shared" si="74"/>
        <v>425.7</v>
      </c>
      <c r="AE643" s="28">
        <f t="array" ref="AE643">XLOOKUP(V643,products_master_corrected!$A$2:$A$151,products_master_corrected!$H$2:$H$151)</f>
        <v>239.14</v>
      </c>
      <c r="AF643" s="29">
        <f t="shared" si="75"/>
        <v>478.28</v>
      </c>
      <c r="AG643" s="32" t="s">
        <v>8658</v>
      </c>
      <c r="AH643" s="2" t="s">
        <v>49</v>
      </c>
      <c r="AI643" s="10" t="s">
        <v>49</v>
      </c>
      <c r="AJ643" s="2" t="s">
        <v>169</v>
      </c>
      <c r="AK643" s="10" t="s">
        <v>261</v>
      </c>
      <c r="AL643" s="2" t="s">
        <v>81</v>
      </c>
    </row>
    <row r="644" ht="15.75" customHeight="1">
      <c r="A644" s="2" t="s">
        <v>5949</v>
      </c>
      <c r="B644" s="12">
        <v>45401.0</v>
      </c>
      <c r="C644" s="2" t="str">
        <f>IFERROR(__xludf.DUMMYFUNCTION("IF(ISNUMBER(B644),TEXT(B644,""yyyy-MM-dd""),REGEXREPLACE(REGEXREPLACE(TO_TEXT(B644),""[^0-9a-zA-Z]+"",""-""),""[^0-9]*$"",""""))"),"2024-04-19")</f>
        <v>2024-04-19</v>
      </c>
      <c r="D644" s="2" t="s">
        <v>8432</v>
      </c>
      <c r="H644" s="10" t="s">
        <v>8432</v>
      </c>
      <c r="I644" s="2" t="s">
        <v>3910</v>
      </c>
      <c r="J644" s="26" t="str">
        <f t="array" ref="J644">IF(ISNA(XLOOKUP(I644,customers_clean!$A$2:$A$701,customers_clean!$A$2:$A$701, NA()) ),
   "❌ MISSING CUSTOMER", "✅")</f>
        <v>✅</v>
      </c>
      <c r="K644" s="2" t="str">
        <f t="array" ref="K644">XLOOKUP(I644,customers_clean!$A$2:$A$701,customers_clean!$C$2:$C$701)</f>
        <v>GABE KING </v>
      </c>
      <c r="L644" s="10" t="str">
        <f t="array" ref="L644">XLOOKUP(I644,customers_clean!$A$2:$A$701,customers_clean!$D$2:$D$701)</f>
        <v>Gabe King</v>
      </c>
      <c r="M644" s="2" t="str">
        <f t="array" ref="M644">XLOOKUP(I644,customers_clean!$A$2:$A$701,customers_clean!$I$2:$I$701)</f>
        <v>gabe.king@shop.io </v>
      </c>
      <c r="N644" s="10" t="str">
        <f t="array" ref="N644">XLOOKUP(I644,customers_clean!$A$2:$A$701,customers_clean!$H$2:$H$701)</f>
        <v>gabe.king@shop.io</v>
      </c>
      <c r="O644" s="9" t="str">
        <f>IFERROR(__xludf.DUMMYFUNCTION("IF(REGEXMATCH(TRIM(N644),""^[A-Za-z0-9._%+-]+@[A-Za-z0-9.-]+\.[A-Za-z]{2,}$""),""✅ Valid"",""❌ Invalid"")"),"✅ Valid")</f>
        <v>✅ Valid</v>
      </c>
      <c r="P644" s="2" t="str">
        <f t="array" ref="P644">XLOOKUP(I644,customers_clean!$A$2:$A$701,customers_clean!$K$2:$K$701)</f>
        <v>tel:+35326132814</v>
      </c>
      <c r="Q644" s="10" t="str">
        <f t="array" ref="Q644">XLOOKUP(I644,customers_clean!$A$2:$A$701,customers_clean!$N$2:$N$701)</f>
        <v>26132814</v>
      </c>
      <c r="R644" s="9" t="str">
        <f t="array" ref="R644">XLOOKUP(I644,customers_clean!$A$2:$A$701,customers_clean!$Q$2:$Q$701)</f>
        <v>❌ INVALID</v>
      </c>
      <c r="S644" s="10" t="s">
        <v>448</v>
      </c>
      <c r="T644" s="2" t="s">
        <v>26</v>
      </c>
      <c r="U644" s="2" t="s">
        <v>5361</v>
      </c>
      <c r="V644" s="2" t="s">
        <v>1606</v>
      </c>
      <c r="W644" s="9" t="str">
        <f t="array" ref="W644">IF(ISNA(XLOOKUP(V644,products_master_corrected!$A$2:$A$151,products_master_corrected!$A$2:$A$151, NA())),
    "❌ MISSING SKU", "✅")</f>
        <v>✅</v>
      </c>
      <c r="X644" s="2" t="s">
        <v>213</v>
      </c>
      <c r="Y644" s="2" t="s">
        <v>106</v>
      </c>
      <c r="Z644" s="10" t="s">
        <v>368</v>
      </c>
      <c r="AA644" s="27">
        <v>2.0</v>
      </c>
      <c r="AB644" s="9" t="s">
        <v>8649</v>
      </c>
      <c r="AC644" s="28">
        <f t="array" ref="AC644">XLOOKUP(V644,products_master_corrected!$A$2:$A$151,products_master_corrected!$E$2:$E$151)</f>
        <v>1460.15</v>
      </c>
      <c r="AD644" s="28">
        <f t="shared" si="74"/>
        <v>2920.3</v>
      </c>
      <c r="AE644" s="28">
        <f t="array" ref="AE644">XLOOKUP(V644,products_master_corrected!$A$2:$A$151,products_master_corrected!$M$2:$M$151)</f>
        <v>1766.2</v>
      </c>
      <c r="AF644" s="29">
        <f t="shared" si="75"/>
        <v>3532.4</v>
      </c>
      <c r="AG644" s="30" t="s">
        <v>48</v>
      </c>
      <c r="AH644" s="2" t="s">
        <v>49</v>
      </c>
      <c r="AI644" s="10" t="s">
        <v>49</v>
      </c>
      <c r="AJ644" s="2" t="s">
        <v>345</v>
      </c>
      <c r="AK644" s="10" t="s">
        <v>261</v>
      </c>
      <c r="AL644" s="2" t="s">
        <v>67</v>
      </c>
    </row>
    <row r="645" ht="15.75" customHeight="1">
      <c r="A645" s="2" t="s">
        <v>3908</v>
      </c>
      <c r="B645" s="12" t="s">
        <v>3909</v>
      </c>
      <c r="C645" s="2" t="str">
        <f>IFERROR(__xludf.DUMMYFUNCTION("IF(ISNUMBER(B645),TEXT(B645,""yyyy-MM-dd""),REGEXREPLACE(REGEXREPLACE(TO_TEXT(B645),""[^0-9a-zA-Z]+"",""-""),""[^0-9]*$"",""""))"),"23-09-2025")</f>
        <v>23-09-2025</v>
      </c>
      <c r="D645" s="2" t="s">
        <v>8896</v>
      </c>
      <c r="H645" s="10" t="s">
        <v>8896</v>
      </c>
      <c r="I645" s="2" t="s">
        <v>3910</v>
      </c>
      <c r="J645" s="26" t="str">
        <f t="array" ref="J645">IF(ISNA(XLOOKUP(I645,customers_clean!$A$2:$A$701,customers_clean!$A$2:$A$701, NA()) ),
   "❌ MISSING CUSTOMER", "✅")</f>
        <v>✅</v>
      </c>
      <c r="K645" s="2" t="str">
        <f t="array" ref="K645">XLOOKUP(I645,customers_clean!$A$2:$A$701,customers_clean!$C$2:$C$701)</f>
        <v>GABE KING </v>
      </c>
      <c r="L645" s="10" t="str">
        <f t="array" ref="L645">XLOOKUP(I645,customers_clean!$A$2:$A$701,customers_clean!$D$2:$D$701)</f>
        <v>Gabe King</v>
      </c>
      <c r="M645" s="2" t="str">
        <f t="array" ref="M645">XLOOKUP(I645,customers_clean!$A$2:$A$701,customers_clean!$I$2:$I$701)</f>
        <v>gabe.king@shop.io </v>
      </c>
      <c r="N645" s="10" t="str">
        <f t="array" ref="N645">XLOOKUP(I645,customers_clean!$A$2:$A$701,customers_clean!$H$2:$H$701)</f>
        <v>gabe.king@shop.io</v>
      </c>
      <c r="O645" s="9" t="str">
        <f>IFERROR(__xludf.DUMMYFUNCTION("IF(REGEXMATCH(TRIM(N645),""^[A-Za-z0-9._%+-]+@[A-Za-z0-9.-]+\.[A-Za-z]{2,}$""),""✅ Valid"",""❌ Invalid"")"),"✅ Valid")</f>
        <v>✅ Valid</v>
      </c>
      <c r="P645" s="2" t="str">
        <f t="array" ref="P645">XLOOKUP(I645,customers_clean!$A$2:$A$701,customers_clean!$K$2:$K$701)</f>
        <v>tel:+35326132814</v>
      </c>
      <c r="Q645" s="10" t="str">
        <f t="array" ref="Q645">XLOOKUP(I645,customers_clean!$A$2:$A$701,customers_clean!$N$2:$N$701)</f>
        <v>26132814</v>
      </c>
      <c r="R645" s="9" t="str">
        <f t="array" ref="R645">XLOOKUP(I645,customers_clean!$A$2:$A$701,customers_clean!$Q$2:$Q$701)</f>
        <v>❌ INVALID</v>
      </c>
      <c r="S645" s="10" t="s">
        <v>448</v>
      </c>
      <c r="T645" s="2" t="s">
        <v>301</v>
      </c>
      <c r="U645" s="2" t="s">
        <v>1219</v>
      </c>
      <c r="V645" s="2" t="s">
        <v>556</v>
      </c>
      <c r="W645" s="9" t="str">
        <f t="array" ref="W645">IF(ISNA(XLOOKUP(V645,products_master_corrected!$A$2:$A$151,products_master_corrected!$A$2:$A$151, NA())),
    "❌ MISSING SKU", "✅")</f>
        <v>✅</v>
      </c>
      <c r="X645" s="2" t="s">
        <v>502</v>
      </c>
      <c r="Y645" s="2" t="s">
        <v>355</v>
      </c>
      <c r="Z645" s="10" t="s">
        <v>355</v>
      </c>
      <c r="AA645" s="27">
        <v>1.0</v>
      </c>
      <c r="AB645" s="9" t="s">
        <v>8649</v>
      </c>
      <c r="AC645" s="28">
        <f t="array" ref="AC645">XLOOKUP(V645,products_master_corrected!$A$2:$A$151,products_master_corrected!$E$2:$E$151)</f>
        <v>879.27</v>
      </c>
      <c r="AD645" s="28">
        <f t="shared" si="74"/>
        <v>879.27</v>
      </c>
      <c r="AE645" s="28">
        <f t="array" ref="AE645">XLOOKUP(V645,products_master_corrected!$A$2:$A$151,products_master_corrected!$M$2:$M$151)</f>
        <v>1063.56</v>
      </c>
      <c r="AF645" s="29">
        <f t="shared" si="75"/>
        <v>1063.56</v>
      </c>
      <c r="AG645" s="30" t="s">
        <v>48</v>
      </c>
      <c r="AH645" s="2" t="s">
        <v>66</v>
      </c>
      <c r="AI645" s="10" t="s">
        <v>66</v>
      </c>
      <c r="AJ645" s="2" t="s">
        <v>676</v>
      </c>
      <c r="AK645" s="10" t="s">
        <v>80</v>
      </c>
      <c r="AL645" s="2" t="s">
        <v>67</v>
      </c>
    </row>
    <row r="646" ht="15.75" customHeight="1">
      <c r="A646" s="2" t="s">
        <v>4314</v>
      </c>
      <c r="B646" s="12" t="s">
        <v>4315</v>
      </c>
      <c r="C646" s="2" t="str">
        <f>IFERROR(__xludf.DUMMYFUNCTION("IF(ISNUMBER(B646),TEXT(B646,""yyyy-MM-dd""),REGEXREPLACE(REGEXREPLACE(TO_TEXT(B646),""[^0-9a-zA-Z]+"",""-""),""[^0-9]*$"",""""))"),"45464-22-47")</f>
        <v>45464-22-47</v>
      </c>
      <c r="D646" s="2" t="str">
        <f>TEXT(C646,"yyyy-MM-dd")</f>
        <v>45464-22-47</v>
      </c>
      <c r="E646" s="25" t="str">
        <f>CONCATENATE(LEFT(D646,5))</f>
        <v>45464</v>
      </c>
      <c r="F646" s="12">
        <f>DATE(1900,1,1) + E646 - 1</f>
        <v>45465</v>
      </c>
      <c r="G646" s="2" t="s">
        <v>8897</v>
      </c>
      <c r="H646" s="10" t="s">
        <v>8897</v>
      </c>
      <c r="I646" s="2" t="s">
        <v>3910</v>
      </c>
      <c r="J646" s="26" t="str">
        <f t="array" ref="J646">IF(ISNA(XLOOKUP(I646,customers_clean!$A$2:$A$701,customers_clean!$A$2:$A$701, NA()) ),
   "❌ MISSING CUSTOMER", "✅")</f>
        <v>✅</v>
      </c>
      <c r="K646" s="2" t="str">
        <f t="array" ref="K646">XLOOKUP(I646,customers_clean!$A$2:$A$701,customers_clean!$C$2:$C$701)</f>
        <v>GABE KING </v>
      </c>
      <c r="L646" s="10" t="str">
        <f t="array" ref="L646">XLOOKUP(I646,customers_clean!$A$2:$A$701,customers_clean!$D$2:$D$701)</f>
        <v>Gabe King</v>
      </c>
      <c r="M646" s="2" t="str">
        <f t="array" ref="M646">XLOOKUP(I646,customers_clean!$A$2:$A$701,customers_clean!$I$2:$I$701)</f>
        <v>gabe.king@shop.io </v>
      </c>
      <c r="N646" s="10" t="str">
        <f t="array" ref="N646">XLOOKUP(I646,customers_clean!$A$2:$A$701,customers_clean!$H$2:$H$701)</f>
        <v>gabe.king@shop.io</v>
      </c>
      <c r="O646" s="9" t="str">
        <f>IFERROR(__xludf.DUMMYFUNCTION("IF(REGEXMATCH(TRIM(N646),""^[A-Za-z0-9._%+-]+@[A-Za-z0-9.-]+\.[A-Za-z]{2,}$""),""✅ Valid"",""❌ Invalid"")"),"✅ Valid")</f>
        <v>✅ Valid</v>
      </c>
      <c r="P646" s="2" t="str">
        <f t="array" ref="P646">XLOOKUP(I646,customers_clean!$A$2:$A$701,customers_clean!$K$2:$K$701)</f>
        <v>tel:+35326132814</v>
      </c>
      <c r="Q646" s="10" t="str">
        <f t="array" ref="Q646">XLOOKUP(I646,customers_clean!$A$2:$A$701,customers_clean!$N$2:$N$701)</f>
        <v>26132814</v>
      </c>
      <c r="R646" s="9" t="str">
        <f t="array" ref="R646">XLOOKUP(I646,customers_clean!$A$2:$A$701,customers_clean!$Q$2:$Q$701)</f>
        <v>❌ INVALID</v>
      </c>
      <c r="S646" s="10" t="s">
        <v>448</v>
      </c>
      <c r="T646" s="2" t="s">
        <v>234</v>
      </c>
      <c r="U646" s="2" t="s">
        <v>333</v>
      </c>
      <c r="V646" s="2" t="s">
        <v>422</v>
      </c>
      <c r="W646" s="9" t="str">
        <f t="array" ref="W646">IF(ISNA(XLOOKUP(V646,products_master_corrected!$A$2:$A$151,products_master_corrected!$A$2:$A$151, NA())),
    "❌ MISSING SKU", "✅")</f>
        <v>✅</v>
      </c>
      <c r="X646" s="2" t="s">
        <v>423</v>
      </c>
      <c r="Y646" s="2" t="s">
        <v>292</v>
      </c>
      <c r="Z646" s="10" t="s">
        <v>63</v>
      </c>
      <c r="AA646" s="27">
        <v>1.0</v>
      </c>
      <c r="AB646" s="9" t="s">
        <v>8649</v>
      </c>
      <c r="AC646" s="28">
        <f t="array" ref="AC646">XLOOKUP(V646,products_master_corrected!$A$2:$A$151,products_master_corrected!$E$2:$E$151)</f>
        <v>74.3</v>
      </c>
      <c r="AD646" s="28">
        <f t="shared" si="74"/>
        <v>74.3</v>
      </c>
      <c r="AE646" s="28">
        <f t="array" ref="AE646">XLOOKUP(V646,products_master_corrected!$A$2:$A$151,products_master_corrected!$M$2:$M$151)</f>
        <v>89.87</v>
      </c>
      <c r="AF646" s="29">
        <f t="shared" si="75"/>
        <v>89.87</v>
      </c>
      <c r="AG646" s="30" t="s">
        <v>48</v>
      </c>
      <c r="AH646" s="2" t="s">
        <v>33</v>
      </c>
      <c r="AI646" s="10" t="s">
        <v>181</v>
      </c>
      <c r="AJ646" s="2" t="s">
        <v>1171</v>
      </c>
      <c r="AK646" s="10" t="s">
        <v>80</v>
      </c>
    </row>
    <row r="647" ht="15.75" customHeight="1">
      <c r="A647" s="2" t="s">
        <v>1435</v>
      </c>
      <c r="B647" s="12">
        <v>45899.0</v>
      </c>
      <c r="C647" s="2" t="str">
        <f>IFERROR(__xludf.DUMMYFUNCTION("IF(ISNUMBER(B647),TEXT(B647,""yyyy-MM-dd""),REGEXREPLACE(REGEXREPLACE(TO_TEXT(B647),""[^0-9a-zA-Z]+"",""-""),""[^0-9]*$"",""""))"),"2025-08-30")</f>
        <v>2025-08-30</v>
      </c>
      <c r="D647" s="2" t="s">
        <v>8822</v>
      </c>
      <c r="H647" s="10" t="s">
        <v>8822</v>
      </c>
      <c r="I647" s="2" t="s">
        <v>1437</v>
      </c>
      <c r="J647" s="26" t="str">
        <f t="array" ref="J647">IF(ISNA(XLOOKUP(I647,customers_clean!$A$2:$A$701,customers_clean!$A$2:$A$701, NA()) ),
   "❌ MISSING CUSTOMER", "✅")</f>
        <v>✅</v>
      </c>
      <c r="K647" s="2" t="str">
        <f t="array" ref="K647">XLOOKUP(I647,customers_clean!$A$2:$A$701,customers_clean!$C$2:$C$701)</f>
        <v>Sam Williams</v>
      </c>
      <c r="L647" s="10" t="str">
        <f t="array" ref="L647">XLOOKUP(I647,customers_clean!$A$2:$A$701,customers_clean!$D$2:$D$701)</f>
        <v>Sam Williams</v>
      </c>
      <c r="M647" s="2" t="str">
        <f t="array" ref="M647">XLOOKUP(I647,customers_clean!$A$2:$A$701,customers_clean!$I$2:$I$701)</f>
        <v>sma.williams@yahoo.com</v>
      </c>
      <c r="N647" s="10" t="str">
        <f t="array" ref="N647">XLOOKUP(I647,customers_clean!$A$2:$A$701,customers_clean!$H$2:$H$701)</f>
        <v>sma.williams@yahoo.com</v>
      </c>
      <c r="O647" s="9" t="str">
        <f>IFERROR(__xludf.DUMMYFUNCTION("IF(REGEXMATCH(TRIM(N647),""^[A-Za-z0-9._%+-]+@[A-Za-z0-9.-]+\.[A-Za-z]{2,}$""),""✅ Valid"",""❌ Invalid"")"),"✅ Valid")</f>
        <v>✅ Valid</v>
      </c>
      <c r="P647" s="2" t="str">
        <f t="array" ref="P647">XLOOKUP(I647,customers_clean!$A$2:$A$701,customers_clean!$K$2:$K$701)</f>
        <v>+49 0494 2415 48</v>
      </c>
      <c r="Q647" s="10" t="str">
        <f t="array" ref="Q647">XLOOKUP(I647,customers_clean!$A$2:$A$701,customers_clean!$N$2:$N$701)</f>
        <v>0494241548</v>
      </c>
      <c r="R647" s="9" t="str">
        <f t="array" ref="R647">XLOOKUP(I647,customers_clean!$A$2:$A$701,customers_clean!$Q$2:$Q$701)</f>
        <v>❌ INVALID</v>
      </c>
      <c r="S647" s="10" t="s">
        <v>88</v>
      </c>
      <c r="T647" s="2" t="s">
        <v>42</v>
      </c>
      <c r="U647" s="2" t="s">
        <v>500</v>
      </c>
      <c r="V647" s="2" t="s">
        <v>815</v>
      </c>
      <c r="W647" s="9" t="str">
        <f t="array" ref="W647">IF(ISNA(XLOOKUP(V647,products_master_corrected!$A$2:$A$151,products_master_corrected!$A$2:$A$151, NA())),
    "❌ MISSING SKU", "✅")</f>
        <v>✅</v>
      </c>
      <c r="X647" s="2" t="s">
        <v>816</v>
      </c>
      <c r="Y647" s="2" t="s">
        <v>179</v>
      </c>
      <c r="Z647" s="10" t="s">
        <v>179</v>
      </c>
      <c r="AA647" s="27">
        <v>1.0</v>
      </c>
      <c r="AB647" s="9" t="s">
        <v>8649</v>
      </c>
      <c r="AC647" s="28">
        <f t="array" ref="AC647">XLOOKUP(V647,products_master_corrected!$A$2:$A$151,products_master_corrected!$E$2:$E$151)</f>
        <v>328.22</v>
      </c>
      <c r="AD647" s="28">
        <f t="shared" si="74"/>
        <v>328.22</v>
      </c>
      <c r="AE647" s="28">
        <f t="array" ref="AE647">XLOOKUP(V647,products_master_corrected!$A$2:$A$151,products_master_corrected!$I$2:$I$151)</f>
        <v>361.83</v>
      </c>
      <c r="AF647" s="29">
        <f t="shared" si="75"/>
        <v>361.83</v>
      </c>
      <c r="AG647" s="32" t="s">
        <v>8660</v>
      </c>
      <c r="AH647" s="2" t="s">
        <v>573</v>
      </c>
      <c r="AI647" s="10" t="s">
        <v>66</v>
      </c>
      <c r="AJ647" s="2" t="s">
        <v>158</v>
      </c>
      <c r="AK647" s="10" t="s">
        <v>818</v>
      </c>
    </row>
    <row r="648" ht="15.75" customHeight="1">
      <c r="A648" s="2" t="s">
        <v>6188</v>
      </c>
      <c r="B648" s="12">
        <v>45358.51597222222</v>
      </c>
      <c r="C648" s="2" t="str">
        <f>IFERROR(__xludf.DUMMYFUNCTION("IF(ISNUMBER(B648),TEXT(B648,""yyyy-MM-dd""),REGEXREPLACE(REGEXREPLACE(TO_TEXT(B648),""[^0-9a-zA-Z]+"",""-""),""[^0-9]*$"",""""))"),"2024-03-07")</f>
        <v>2024-03-07</v>
      </c>
      <c r="D648" s="2" t="s">
        <v>8898</v>
      </c>
      <c r="H648" s="10" t="s">
        <v>8898</v>
      </c>
      <c r="I648" s="2" t="s">
        <v>1437</v>
      </c>
      <c r="J648" s="26" t="str">
        <f t="array" ref="J648">IF(ISNA(XLOOKUP(I648,customers_clean!$A$2:$A$701,customers_clean!$A$2:$A$701, NA()) ),
   "❌ MISSING CUSTOMER", "✅")</f>
        <v>✅</v>
      </c>
      <c r="K648" s="2" t="str">
        <f t="array" ref="K648">XLOOKUP(I648,customers_clean!$A$2:$A$701,customers_clean!$C$2:$C$701)</f>
        <v>Sam Williams</v>
      </c>
      <c r="L648" s="10" t="str">
        <f t="array" ref="L648">XLOOKUP(I648,customers_clean!$A$2:$A$701,customers_clean!$D$2:$D$701)</f>
        <v>Sam Williams</v>
      </c>
      <c r="M648" s="2" t="str">
        <f t="array" ref="M648">XLOOKUP(I648,customers_clean!$A$2:$A$701,customers_clean!$I$2:$I$701)</f>
        <v>sma.williams@yahoo.com</v>
      </c>
      <c r="N648" s="10" t="str">
        <f t="array" ref="N648">XLOOKUP(I648,customers_clean!$A$2:$A$701,customers_clean!$H$2:$H$701)</f>
        <v>sma.williams@yahoo.com</v>
      </c>
      <c r="O648" s="9" t="str">
        <f>IFERROR(__xludf.DUMMYFUNCTION("IF(REGEXMATCH(TRIM(N648),""^[A-Za-z0-9._%+-]+@[A-Za-z0-9.-]+\.[A-Za-z]{2,}$""),""✅ Valid"",""❌ Invalid"")"),"✅ Valid")</f>
        <v>✅ Valid</v>
      </c>
      <c r="P648" s="2" t="str">
        <f t="array" ref="P648">XLOOKUP(I648,customers_clean!$A$2:$A$701,customers_clean!$K$2:$K$701)</f>
        <v>+49 0494 2415 48</v>
      </c>
      <c r="Q648" s="10" t="str">
        <f t="array" ref="Q648">XLOOKUP(I648,customers_clean!$A$2:$A$701,customers_clean!$N$2:$N$701)</f>
        <v>0494241548</v>
      </c>
      <c r="R648" s="9" t="str">
        <f t="array" ref="R648">XLOOKUP(I648,customers_clean!$A$2:$A$701,customers_clean!$Q$2:$Q$701)</f>
        <v>❌ INVALID</v>
      </c>
      <c r="S648" s="10" t="s">
        <v>88</v>
      </c>
      <c r="T648" s="2" t="s">
        <v>223</v>
      </c>
      <c r="U648" s="2" t="s">
        <v>176</v>
      </c>
      <c r="V648" s="2" t="s">
        <v>740</v>
      </c>
      <c r="W648" s="9" t="str">
        <f t="array" ref="W648">IF(ISNA(XLOOKUP(V648,products_master_corrected!$A$2:$A$151,products_master_corrected!$A$2:$A$151, NA())),
    "❌ MISSING SKU", "✅")</f>
        <v>✅</v>
      </c>
      <c r="X648" s="2" t="s">
        <v>741</v>
      </c>
      <c r="Y648" s="2" t="s">
        <v>742</v>
      </c>
      <c r="Z648" s="10" t="s">
        <v>355</v>
      </c>
      <c r="AA648" s="27">
        <v>1.0</v>
      </c>
      <c r="AB648" s="9" t="s">
        <v>8649</v>
      </c>
      <c r="AC648" s="28">
        <f t="array" ref="AC648">XLOOKUP(V648,products_master_corrected!$A$2:$A$151,products_master_corrected!$E$2:$E$151)</f>
        <v>35.77</v>
      </c>
      <c r="AD648" s="28">
        <f t="shared" si="74"/>
        <v>35.77</v>
      </c>
      <c r="AE648" s="28">
        <f t="array" ref="AE648">XLOOKUP(V648,products_master_corrected!$A$2:$A$151,products_master_corrected!$I$2:$I$151)</f>
        <v>39.43</v>
      </c>
      <c r="AF648" s="29">
        <f t="shared" si="75"/>
        <v>39.43</v>
      </c>
      <c r="AG648" s="32" t="s">
        <v>8660</v>
      </c>
      <c r="AH648" s="2" t="s">
        <v>66</v>
      </c>
      <c r="AI648" s="10" t="s">
        <v>66</v>
      </c>
      <c r="AJ648" s="2" t="s">
        <v>80</v>
      </c>
      <c r="AK648" s="10" t="s">
        <v>80</v>
      </c>
      <c r="AL648" s="2" t="s">
        <v>133</v>
      </c>
    </row>
    <row r="649" ht="15.75" customHeight="1">
      <c r="A649" s="2" t="s">
        <v>3699</v>
      </c>
      <c r="B649" s="12">
        <v>45465.0</v>
      </c>
      <c r="C649" s="2" t="str">
        <f>IFERROR(__xludf.DUMMYFUNCTION("IF(ISNUMBER(B649),TEXT(B649,""yyyy-MM-dd""),REGEXREPLACE(REGEXREPLACE(TO_TEXT(B649),""[^0-9a-zA-Z]+"",""-""),""[^0-9]*$"",""""))"),"2024-06-22")</f>
        <v>2024-06-22</v>
      </c>
      <c r="D649" s="2" t="s">
        <v>8897</v>
      </c>
      <c r="H649" s="10" t="s">
        <v>8897</v>
      </c>
      <c r="I649" s="2" t="s">
        <v>1437</v>
      </c>
      <c r="J649" s="26" t="str">
        <f t="array" ref="J649">IF(ISNA(XLOOKUP(I649,customers_clean!$A$2:$A$701,customers_clean!$A$2:$A$701, NA()) ),
   "❌ MISSING CUSTOMER", "✅")</f>
        <v>✅</v>
      </c>
      <c r="K649" s="2" t="str">
        <f t="array" ref="K649">XLOOKUP(I649,customers_clean!$A$2:$A$701,customers_clean!$C$2:$C$701)</f>
        <v>Sam Williams</v>
      </c>
      <c r="L649" s="10" t="str">
        <f t="array" ref="L649">XLOOKUP(I649,customers_clean!$A$2:$A$701,customers_clean!$D$2:$D$701)</f>
        <v>Sam Williams</v>
      </c>
      <c r="M649" s="2" t="str">
        <f t="array" ref="M649">XLOOKUP(I649,customers_clean!$A$2:$A$701,customers_clean!$I$2:$I$701)</f>
        <v>sma.williams@yahoo.com</v>
      </c>
      <c r="N649" s="10" t="str">
        <f t="array" ref="N649">XLOOKUP(I649,customers_clean!$A$2:$A$701,customers_clean!$H$2:$H$701)</f>
        <v>sma.williams@yahoo.com</v>
      </c>
      <c r="O649" s="9" t="str">
        <f>IFERROR(__xludf.DUMMYFUNCTION("IF(REGEXMATCH(TRIM(N649),""^[A-Za-z0-9._%+-]+@[A-Za-z0-9.-]+\.[A-Za-z]{2,}$""),""✅ Valid"",""❌ Invalid"")"),"✅ Valid")</f>
        <v>✅ Valid</v>
      </c>
      <c r="P649" s="2" t="str">
        <f t="array" ref="P649">XLOOKUP(I649,customers_clean!$A$2:$A$701,customers_clean!$K$2:$K$701)</f>
        <v>+49 0494 2415 48</v>
      </c>
      <c r="Q649" s="10" t="str">
        <f t="array" ref="Q649">XLOOKUP(I649,customers_clean!$A$2:$A$701,customers_clean!$N$2:$N$701)</f>
        <v>0494241548</v>
      </c>
      <c r="R649" s="9" t="str">
        <f t="array" ref="R649">XLOOKUP(I649,customers_clean!$A$2:$A$701,customers_clean!$Q$2:$Q$701)</f>
        <v>❌ INVALID</v>
      </c>
      <c r="S649" s="10" t="s">
        <v>88</v>
      </c>
      <c r="T649" s="2" t="s">
        <v>210</v>
      </c>
      <c r="U649" s="2" t="s">
        <v>43</v>
      </c>
      <c r="V649" s="2" t="s">
        <v>44</v>
      </c>
      <c r="W649" s="9" t="str">
        <f t="array" ref="W649">IF(ISNA(XLOOKUP(V649,products_master_corrected!$A$2:$A$151,products_master_corrected!$A$2:$A$151, NA())),
    "❌ MISSING SKU", "✅")</f>
        <v>✅</v>
      </c>
      <c r="X649" s="2" t="s">
        <v>502</v>
      </c>
      <c r="Y649" s="2" t="s">
        <v>46</v>
      </c>
      <c r="Z649" s="10" t="s">
        <v>248</v>
      </c>
      <c r="AA649" s="27"/>
      <c r="AB649" s="9" t="s">
        <v>8677</v>
      </c>
      <c r="AC649" s="34"/>
      <c r="AD649" s="34"/>
      <c r="AE649" s="34"/>
      <c r="AF649" s="35"/>
      <c r="AG649" s="36" t="s">
        <v>95</v>
      </c>
      <c r="AH649" s="2" t="s">
        <v>2937</v>
      </c>
      <c r="AI649" s="10" t="s">
        <v>143</v>
      </c>
      <c r="AJ649" s="2" t="s">
        <v>294</v>
      </c>
      <c r="AK649" s="10" t="s">
        <v>80</v>
      </c>
      <c r="AL649" s="2" t="s">
        <v>81</v>
      </c>
    </row>
    <row r="650" ht="15.75" customHeight="1">
      <c r="A650" s="2" t="s">
        <v>4133</v>
      </c>
      <c r="B650" s="12">
        <v>45902.0</v>
      </c>
      <c r="C650" s="2" t="str">
        <f>IFERROR(__xludf.DUMMYFUNCTION("IF(ISNUMBER(B650),TEXT(B650,""yyyy-MM-dd""),REGEXREPLACE(REGEXREPLACE(TO_TEXT(B650),""[^0-9a-zA-Z]+"",""-""),""[^0-9]*$"",""""))"),"2025-09-02")</f>
        <v>2025-09-02</v>
      </c>
      <c r="D650" s="2" t="s">
        <v>8899</v>
      </c>
      <c r="H650" s="10" t="s">
        <v>8899</v>
      </c>
      <c r="I650" s="2" t="s">
        <v>1437</v>
      </c>
      <c r="J650" s="26" t="str">
        <f t="array" ref="J650">IF(ISNA(XLOOKUP(I650,customers_clean!$A$2:$A$701,customers_clean!$A$2:$A$701, NA()) ),
   "❌ MISSING CUSTOMER", "✅")</f>
        <v>✅</v>
      </c>
      <c r="K650" s="2" t="str">
        <f t="array" ref="K650">XLOOKUP(I650,customers_clean!$A$2:$A$701,customers_clean!$C$2:$C$701)</f>
        <v>Sam Williams</v>
      </c>
      <c r="L650" s="10" t="str">
        <f t="array" ref="L650">XLOOKUP(I650,customers_clean!$A$2:$A$701,customers_clean!$D$2:$D$701)</f>
        <v>Sam Williams</v>
      </c>
      <c r="M650" s="2" t="str">
        <f t="array" ref="M650">XLOOKUP(I650,customers_clean!$A$2:$A$701,customers_clean!$I$2:$I$701)</f>
        <v>sma.williams@yahoo.com</v>
      </c>
      <c r="N650" s="10" t="str">
        <f t="array" ref="N650">XLOOKUP(I650,customers_clean!$A$2:$A$701,customers_clean!$H$2:$H$701)</f>
        <v>sma.williams@yahoo.com</v>
      </c>
      <c r="O650" s="9" t="str">
        <f>IFERROR(__xludf.DUMMYFUNCTION("IF(REGEXMATCH(TRIM(N650),""^[A-Za-z0-9._%+-]+@[A-Za-z0-9.-]+\.[A-Za-z]{2,}$""),""✅ Valid"",""❌ Invalid"")"),"✅ Valid")</f>
        <v>✅ Valid</v>
      </c>
      <c r="P650" s="2" t="str">
        <f t="array" ref="P650">XLOOKUP(I650,customers_clean!$A$2:$A$701,customers_clean!$K$2:$K$701)</f>
        <v>+49 0494 2415 48</v>
      </c>
      <c r="Q650" s="10" t="str">
        <f t="array" ref="Q650">XLOOKUP(I650,customers_clean!$A$2:$A$701,customers_clean!$N$2:$N$701)</f>
        <v>0494241548</v>
      </c>
      <c r="R650" s="9" t="str">
        <f t="array" ref="R650">XLOOKUP(I650,customers_clean!$A$2:$A$701,customers_clean!$Q$2:$Q$701)</f>
        <v>❌ INVALID</v>
      </c>
      <c r="S650" s="10" t="s">
        <v>88</v>
      </c>
      <c r="T650" s="2" t="s">
        <v>223</v>
      </c>
      <c r="U650" s="2" t="s">
        <v>211</v>
      </c>
      <c r="V650" s="2" t="s">
        <v>439</v>
      </c>
      <c r="W650" s="9" t="str">
        <f t="array" ref="W650">IF(ISNA(XLOOKUP(V650,products_master_corrected!$A$2:$A$151,products_master_corrected!$A$2:$A$151, NA())),
    "❌ MISSING SKU", "✅")</f>
        <v>✅</v>
      </c>
      <c r="X650" s="2" t="s">
        <v>440</v>
      </c>
      <c r="Y650" s="2" t="s">
        <v>63</v>
      </c>
      <c r="Z650" s="10" t="s">
        <v>63</v>
      </c>
      <c r="AA650" s="27">
        <v>5.0</v>
      </c>
      <c r="AB650" s="9" t="s">
        <v>8649</v>
      </c>
      <c r="AC650" s="28">
        <f t="array" ref="AC650">XLOOKUP(V650,products_master_corrected!$A$2:$A$151,products_master_corrected!$E$2:$E$151)</f>
        <v>70.84</v>
      </c>
      <c r="AD650" s="28">
        <f t="shared" ref="AD650:AD668" si="76">AA650*AC650</f>
        <v>354.2</v>
      </c>
      <c r="AE650" s="28">
        <f t="array" ref="AE650">XLOOKUP(V650,products_master_corrected!$A$2:$A$151,products_master_corrected!$I$2:$I$151)</f>
        <v>78.09</v>
      </c>
      <c r="AF650" s="29">
        <f t="shared" ref="AF650:AF668" si="77">AA650*AE650</f>
        <v>390.45</v>
      </c>
      <c r="AG650" s="32" t="s">
        <v>8660</v>
      </c>
      <c r="AH650" s="2" t="s">
        <v>33</v>
      </c>
      <c r="AI650" s="10" t="s">
        <v>181</v>
      </c>
      <c r="AJ650" s="2" t="s">
        <v>169</v>
      </c>
      <c r="AK650" s="10" t="s">
        <v>261</v>
      </c>
      <c r="AL650" s="2" t="s">
        <v>81</v>
      </c>
    </row>
    <row r="651" ht="15.75" customHeight="1">
      <c r="A651" s="2" t="s">
        <v>2286</v>
      </c>
      <c r="B651" s="12">
        <v>45815.35902777778</v>
      </c>
      <c r="C651" s="2" t="str">
        <f>IFERROR(__xludf.DUMMYFUNCTION("IF(ISNUMBER(B651),TEXT(B651,""yyyy-MM-dd""),REGEXREPLACE(REGEXREPLACE(TO_TEXT(B651),""[^0-9a-zA-Z]+"",""-""),""[^0-9]*$"",""""))"),"2025-06-07")</f>
        <v>2025-06-07</v>
      </c>
      <c r="D651" s="2" t="s">
        <v>8224</v>
      </c>
      <c r="H651" s="10" t="s">
        <v>8224</v>
      </c>
      <c r="I651" s="2" t="s">
        <v>1802</v>
      </c>
      <c r="J651" s="26" t="str">
        <f t="array" ref="J651">IF(ISNA(XLOOKUP(I651,customers_clean!$A$2:$A$701,customers_clean!$A$2:$A$701, NA()) ),
   "❌ MISSING CUSTOMER", "✅")</f>
        <v>✅</v>
      </c>
      <c r="K651" s="2" t="str">
        <f t="array" ref="K651">XLOOKUP(I651,customers_clean!$A$2:$A$701,customers_clean!$C$2:$C$701)</f>
        <v>Marek Martinez</v>
      </c>
      <c r="L651" s="10" t="str">
        <f t="array" ref="L651">XLOOKUP(I651,customers_clean!$A$2:$A$701,customers_clean!$D$2:$D$701)</f>
        <v>Marek Martinez</v>
      </c>
      <c r="M651" s="2" t="str">
        <f t="array" ref="M651">XLOOKUP(I651,customers_clean!$A$2:$A$701,customers_clean!$I$2:$I$701)</f>
        <v>MAREK.MARTINEZ@OTULOOK.COM</v>
      </c>
      <c r="N651" s="10" t="str">
        <f t="array" ref="N651">XLOOKUP(I651,customers_clean!$A$2:$A$701,customers_clean!$H$2:$H$701)</f>
        <v>marek.martinez@otulook.com</v>
      </c>
      <c r="O651" s="9" t="str">
        <f>IFERROR(__xludf.DUMMYFUNCTION("IF(REGEXMATCH(TRIM(N651),""^[A-Za-z0-9._%+-]+@[A-Za-z0-9.-]+\.[A-Za-z]{2,}$""),""✅ Valid"",""❌ Invalid"")"),"✅ Valid")</f>
        <v>✅ Valid</v>
      </c>
      <c r="P651" s="33" t="str">
        <f t="array" ref="P651">XLOOKUP(I651,customers_clean!$A$2:$A$701,customers_clean!$K$2:$K$701)</f>
        <v>48637204126</v>
      </c>
      <c r="Q651" s="10" t="str">
        <f t="array" ref="Q651">XLOOKUP(I651,customers_clean!$A$2:$A$701,customers_clean!$N$2:$N$701)</f>
        <v>637204126</v>
      </c>
      <c r="R651" s="9" t="str">
        <f t="array" ref="R651">XLOOKUP(I651,customers_clean!$A$2:$A$701,customers_clean!$Q$2:$Q$701)</f>
        <v>❌ INVALID</v>
      </c>
      <c r="S651" s="10" t="s">
        <v>114</v>
      </c>
      <c r="T651" s="2" t="s">
        <v>42</v>
      </c>
      <c r="U651" s="2" t="s">
        <v>116</v>
      </c>
      <c r="V651" s="2" t="s">
        <v>957</v>
      </c>
      <c r="W651" s="9" t="str">
        <f t="array" ref="W651">IF(ISNA(XLOOKUP(V651,products_master_corrected!$A$2:$A$151,products_master_corrected!$A$2:$A$151, NA())),
    "❌ MISSING SKU", "✅")</f>
        <v>✅</v>
      </c>
      <c r="X651" s="2" t="s">
        <v>403</v>
      </c>
      <c r="Y651" s="2" t="s">
        <v>167</v>
      </c>
      <c r="Z651" s="10" t="str">
        <f>PROPER(TRIM(Y651))</f>
        <v>Monitors</v>
      </c>
      <c r="AA651" s="27">
        <v>2.0</v>
      </c>
      <c r="AB651" s="9" t="s">
        <v>8649</v>
      </c>
      <c r="AC651" s="28">
        <f t="array" ref="AC651">XLOOKUP(V651,products_master_corrected!$A$2:$A$151,products_master_corrected!$E$2:$E$151)</f>
        <v>55.87</v>
      </c>
      <c r="AD651" s="28">
        <f t="shared" si="76"/>
        <v>111.74</v>
      </c>
      <c r="AE651" s="28">
        <f t="array" ref="AE651">XLOOKUP(V651,products_master_corrected!$A$2:$A$151,products_master_corrected!$F$2:$F$151)</f>
        <v>55.87</v>
      </c>
      <c r="AF651" s="29">
        <f t="shared" si="77"/>
        <v>111.74</v>
      </c>
      <c r="AG651" s="30" t="s">
        <v>65</v>
      </c>
      <c r="AH651" s="2" t="s">
        <v>49</v>
      </c>
      <c r="AI651" s="10" t="s">
        <v>49</v>
      </c>
      <c r="AJ651" s="2" t="s">
        <v>80</v>
      </c>
      <c r="AK651" s="10" t="s">
        <v>80</v>
      </c>
      <c r="AL651" s="2" t="s">
        <v>51</v>
      </c>
    </row>
    <row r="652" ht="15.75" customHeight="1">
      <c r="A652" s="2" t="s">
        <v>2022</v>
      </c>
      <c r="B652" s="12">
        <v>45198.0</v>
      </c>
      <c r="C652" s="2" t="str">
        <f>IFERROR(__xludf.DUMMYFUNCTION("IF(ISNUMBER(B652),TEXT(B652,""yyyy-MM-dd""),REGEXREPLACE(REGEXREPLACE(TO_TEXT(B652),""[^0-9a-zA-Z]+"",""-""),""[^0-9]*$"",""""))"),"2023-09-29")</f>
        <v>2023-09-29</v>
      </c>
      <c r="D652" s="2" t="s">
        <v>2023</v>
      </c>
      <c r="H652" s="10" t="s">
        <v>2023</v>
      </c>
      <c r="I652" s="2" t="s">
        <v>1802</v>
      </c>
      <c r="J652" s="26" t="str">
        <f t="array" ref="J652">IF(ISNA(XLOOKUP(I652,customers_clean!$A$2:$A$701,customers_clean!$A$2:$A$701, NA()) ),
   "❌ MISSING CUSTOMER", "✅")</f>
        <v>✅</v>
      </c>
      <c r="K652" s="2" t="str">
        <f t="array" ref="K652">XLOOKUP(I652,customers_clean!$A$2:$A$701,customers_clean!$C$2:$C$701)</f>
        <v>Marek Martinez</v>
      </c>
      <c r="L652" s="10" t="str">
        <f t="array" ref="L652">XLOOKUP(I652,customers_clean!$A$2:$A$701,customers_clean!$D$2:$D$701)</f>
        <v>Marek Martinez</v>
      </c>
      <c r="M652" s="2" t="str">
        <f t="array" ref="M652">XLOOKUP(I652,customers_clean!$A$2:$A$701,customers_clean!$I$2:$I$701)</f>
        <v>MAREK.MARTINEZ@OTULOOK.COM</v>
      </c>
      <c r="N652" s="10" t="str">
        <f t="array" ref="N652">XLOOKUP(I652,customers_clean!$A$2:$A$701,customers_clean!$H$2:$H$701)</f>
        <v>marek.martinez@otulook.com</v>
      </c>
      <c r="O652" s="9" t="str">
        <f>IFERROR(__xludf.DUMMYFUNCTION("IF(REGEXMATCH(TRIM(N652),""^[A-Za-z0-9._%+-]+@[A-Za-z0-9.-]+\.[A-Za-z]{2,}$""),""✅ Valid"",""❌ Invalid"")"),"✅ Valid")</f>
        <v>✅ Valid</v>
      </c>
      <c r="P652" s="33" t="str">
        <f t="array" ref="P652">XLOOKUP(I652,customers_clean!$A$2:$A$701,customers_clean!$K$2:$K$701)</f>
        <v>48637204126</v>
      </c>
      <c r="Q652" s="10" t="str">
        <f t="array" ref="Q652">XLOOKUP(I652,customers_clean!$A$2:$A$701,customers_clean!$N$2:$N$701)</f>
        <v>637204126</v>
      </c>
      <c r="R652" s="9" t="str">
        <f t="array" ref="R652">XLOOKUP(I652,customers_clean!$A$2:$A$701,customers_clean!$Q$2:$Q$701)</f>
        <v>❌ INVALID</v>
      </c>
      <c r="S652" s="10" t="s">
        <v>114</v>
      </c>
      <c r="T652" s="2" t="s">
        <v>26</v>
      </c>
      <c r="U652" s="2" t="s">
        <v>401</v>
      </c>
      <c r="V652" s="2" t="s">
        <v>2024</v>
      </c>
      <c r="W652" s="9" t="str">
        <f t="array" ref="W652">IF(ISNA(XLOOKUP(V652,products_master_corrected!$A$2:$A$151,products_master_corrected!$A$2:$A$151, NA())),
    "❌ MISSING SKU", "✅")</f>
        <v>✅</v>
      </c>
      <c r="X652" s="2" t="s">
        <v>2025</v>
      </c>
      <c r="Y652" s="2" t="s">
        <v>63</v>
      </c>
      <c r="Z652" s="10" t="s">
        <v>63</v>
      </c>
      <c r="AA652" s="27">
        <v>5.0</v>
      </c>
      <c r="AB652" s="9" t="s">
        <v>8649</v>
      </c>
      <c r="AC652" s="28">
        <f t="array" ref="AC652">XLOOKUP(V652,products_master_corrected!$A$2:$A$151,products_master_corrected!$E$2:$E$151)</f>
        <v>1358.96</v>
      </c>
      <c r="AD652" s="28">
        <f t="shared" si="76"/>
        <v>6794.8</v>
      </c>
      <c r="AE652" s="28">
        <f t="array" ref="AE652">XLOOKUP(V652,products_master_corrected!$A$2:$A$151,products_master_corrected!$F$2:$F$151)</f>
        <v>1358.96</v>
      </c>
      <c r="AF652" s="29">
        <f t="shared" si="77"/>
        <v>6794.8</v>
      </c>
      <c r="AG652" s="30" t="s">
        <v>65</v>
      </c>
      <c r="AH652" s="2" t="s">
        <v>66</v>
      </c>
      <c r="AI652" s="10" t="s">
        <v>66</v>
      </c>
      <c r="AJ652" s="2" t="s">
        <v>227</v>
      </c>
      <c r="AK652" s="10" t="s">
        <v>80</v>
      </c>
      <c r="AL652" s="2" t="s">
        <v>51</v>
      </c>
    </row>
    <row r="653" ht="15.75" customHeight="1">
      <c r="A653" s="2" t="s">
        <v>1800</v>
      </c>
      <c r="B653" s="12">
        <v>45046.0</v>
      </c>
      <c r="C653" s="2" t="str">
        <f>IFERROR(__xludf.DUMMYFUNCTION("IF(ISNUMBER(B653),TEXT(B653,""yyyy-MM-dd""),REGEXREPLACE(REGEXREPLACE(TO_TEXT(B653),""[^0-9a-zA-Z]+"",""-""),""[^0-9]*$"",""""))"),"2023-04-30")</f>
        <v>2023-04-30</v>
      </c>
      <c r="D653" s="2" t="s">
        <v>8900</v>
      </c>
      <c r="H653" s="10" t="s">
        <v>8900</v>
      </c>
      <c r="I653" s="2" t="s">
        <v>1802</v>
      </c>
      <c r="J653" s="26" t="str">
        <f t="array" ref="J653">IF(ISNA(XLOOKUP(I653,customers_clean!$A$2:$A$701,customers_clean!$A$2:$A$701, NA()) ),
   "❌ MISSING CUSTOMER", "✅")</f>
        <v>✅</v>
      </c>
      <c r="K653" s="2" t="str">
        <f t="array" ref="K653">XLOOKUP(I653,customers_clean!$A$2:$A$701,customers_clean!$C$2:$C$701)</f>
        <v>Marek Martinez</v>
      </c>
      <c r="L653" s="10" t="str">
        <f t="array" ref="L653">XLOOKUP(I653,customers_clean!$A$2:$A$701,customers_clean!$D$2:$D$701)</f>
        <v>Marek Martinez</v>
      </c>
      <c r="M653" s="2" t="str">
        <f t="array" ref="M653">XLOOKUP(I653,customers_clean!$A$2:$A$701,customers_clean!$I$2:$I$701)</f>
        <v>MAREK.MARTINEZ@OTULOOK.COM</v>
      </c>
      <c r="N653" s="10" t="str">
        <f t="array" ref="N653">XLOOKUP(I653,customers_clean!$A$2:$A$701,customers_clean!$H$2:$H$701)</f>
        <v>marek.martinez@otulook.com</v>
      </c>
      <c r="O653" s="9" t="str">
        <f>IFERROR(__xludf.DUMMYFUNCTION("IF(REGEXMATCH(TRIM(N653),""^[A-Za-z0-9._%+-]+@[A-Za-z0-9.-]+\.[A-Za-z]{2,}$""),""✅ Valid"",""❌ Invalid"")"),"✅ Valid")</f>
        <v>✅ Valid</v>
      </c>
      <c r="P653" s="33" t="str">
        <f t="array" ref="P653">XLOOKUP(I653,customers_clean!$A$2:$A$701,customers_clean!$K$2:$K$701)</f>
        <v>48637204126</v>
      </c>
      <c r="Q653" s="10" t="str">
        <f t="array" ref="Q653">XLOOKUP(I653,customers_clean!$A$2:$A$701,customers_clean!$N$2:$N$701)</f>
        <v>637204126</v>
      </c>
      <c r="R653" s="9" t="str">
        <f t="array" ref="R653">XLOOKUP(I653,customers_clean!$A$2:$A$701,customers_clean!$Q$2:$Q$701)</f>
        <v>❌ INVALID</v>
      </c>
      <c r="S653" s="10" t="s">
        <v>114</v>
      </c>
      <c r="T653" s="2" t="s">
        <v>42</v>
      </c>
      <c r="U653" s="2" t="s">
        <v>43</v>
      </c>
      <c r="V653" s="2" t="s">
        <v>1271</v>
      </c>
      <c r="W653" s="9" t="str">
        <f t="array" ref="W653">IF(ISNA(XLOOKUP(V653,products_master_corrected!$A$2:$A$151,products_master_corrected!$A$2:$A$151, NA())),
    "❌ MISSING SKU", "✅")</f>
        <v>✅</v>
      </c>
      <c r="X653" s="2" t="s">
        <v>1272</v>
      </c>
      <c r="Y653" s="2" t="s">
        <v>167</v>
      </c>
      <c r="Z653" s="10" t="str">
        <f>PROPER(TRIM(Y653))</f>
        <v>Monitors</v>
      </c>
      <c r="AA653" s="27">
        <v>1.0</v>
      </c>
      <c r="AB653" s="9" t="s">
        <v>8649</v>
      </c>
      <c r="AC653" s="28">
        <f t="array" ref="AC653">XLOOKUP(V653,products_master_corrected!$A$2:$A$151,products_master_corrected!$E$2:$E$151)</f>
        <v>78.18</v>
      </c>
      <c r="AD653" s="28">
        <f t="shared" si="76"/>
        <v>78.18</v>
      </c>
      <c r="AE653" s="28">
        <f t="array" ref="AE653">XLOOKUP(V653,products_master_corrected!$A$2:$A$151,products_master_corrected!$F$2:$F$151)</f>
        <v>78.18</v>
      </c>
      <c r="AF653" s="29">
        <f t="shared" si="77"/>
        <v>78.18</v>
      </c>
      <c r="AG653" s="30" t="s">
        <v>65</v>
      </c>
      <c r="AH653" s="2" t="s">
        <v>485</v>
      </c>
      <c r="AI653" s="10" t="s">
        <v>181</v>
      </c>
      <c r="AJ653" s="2" t="s">
        <v>1807</v>
      </c>
      <c r="AK653" s="10" t="s">
        <v>261</v>
      </c>
      <c r="AL653" s="2" t="s">
        <v>51</v>
      </c>
    </row>
    <row r="654" ht="15.75" customHeight="1">
      <c r="A654" s="2" t="s">
        <v>443</v>
      </c>
      <c r="B654" s="12">
        <v>45255.0</v>
      </c>
      <c r="C654" s="2" t="str">
        <f>IFERROR(__xludf.DUMMYFUNCTION("IF(ISNUMBER(B654),TEXT(B654,""yyyy-MM-dd""),REGEXREPLACE(REGEXREPLACE(TO_TEXT(B654),""[^0-9a-zA-Z]+"",""-""),""[^0-9]*$"",""""))"),"2023-11-25")</f>
        <v>2023-11-25</v>
      </c>
      <c r="D654" s="2" t="s">
        <v>8046</v>
      </c>
      <c r="H654" s="10" t="s">
        <v>8046</v>
      </c>
      <c r="I654" s="2" t="s">
        <v>445</v>
      </c>
      <c r="J654" s="26" t="str">
        <f t="array" ref="J654">IF(ISNA(XLOOKUP(I654,customers_clean!$A$2:$A$701,customers_clean!$A$2:$A$701, NA()) ),
   "❌ MISSING CUSTOMER", "✅")</f>
        <v>✅</v>
      </c>
      <c r="K654" s="2" t="str">
        <f t="array" ref="K654">XLOOKUP(I654,customers_clean!$A$2:$A$701,customers_clean!$C$2:$C$701)</f>
        <v>Sam King</v>
      </c>
      <c r="L654" s="10" t="str">
        <f t="array" ref="L654">XLOOKUP(I654,customers_clean!$A$2:$A$701,customers_clean!$D$2:$D$701)</f>
        <v>Sam King</v>
      </c>
      <c r="M654" s="2" t="str">
        <f t="array" ref="M654">XLOOKUP(I654,customers_clean!$A$2:$A$701,customers_clean!$I$2:$I$701)</f>
        <v> sam.king@company.co.uk</v>
      </c>
      <c r="N654" s="10" t="str">
        <f t="array" ref="N654">XLOOKUP(I654,customers_clean!$A$2:$A$701,customers_clean!$H$2:$H$701)</f>
        <v>sam.king@company.co.uk</v>
      </c>
      <c r="O654" s="9" t="str">
        <f>IFERROR(__xludf.DUMMYFUNCTION("IF(REGEXMATCH(TRIM(N654),""^[A-Za-z0-9._%+-]+@[A-Za-z0-9.-]+\.[A-Za-z]{2,}$""),""✅ Valid"",""❌ Invalid"")"),"✅ Valid")</f>
        <v>✅ Valid</v>
      </c>
      <c r="P654" s="2" t="str">
        <f t="array" ref="P654">XLOOKUP(I654,customers_clean!$A$2:$A$701,customers_clean!$K$2:$K$701)</f>
        <v>+33044750880</v>
      </c>
      <c r="Q654" s="10" t="str">
        <f t="array" ref="Q654">XLOOKUP(I654,customers_clean!$A$2:$A$701,customers_clean!$N$2:$N$701)</f>
        <v>044750880</v>
      </c>
      <c r="R654" s="9" t="str">
        <f t="array" ref="R654">XLOOKUP(I654,customers_clean!$A$2:$A$701,customers_clean!$Q$2:$Q$701)</f>
        <v>❌ INVALID</v>
      </c>
      <c r="S654" s="10" t="s">
        <v>448</v>
      </c>
      <c r="T654" s="2" t="s">
        <v>400</v>
      </c>
      <c r="U654" s="2" t="s">
        <v>103</v>
      </c>
      <c r="V654" s="2" t="s">
        <v>449</v>
      </c>
      <c r="W654" s="9" t="str">
        <f t="array" ref="W654">IF(ISNA(XLOOKUP(V654,products_master_corrected!$A$2:$A$151,products_master_corrected!$A$2:$A$151, NA())),
    "❌ MISSING SKU", "✅")</f>
        <v>✅</v>
      </c>
      <c r="X654" s="2" t="s">
        <v>213</v>
      </c>
      <c r="Y654" s="2" t="s">
        <v>315</v>
      </c>
      <c r="Z654" s="10" t="s">
        <v>179</v>
      </c>
      <c r="AA654" s="27">
        <v>5.0</v>
      </c>
      <c r="AB654" s="9" t="s">
        <v>8649</v>
      </c>
      <c r="AC654" s="28">
        <f t="array" ref="AC654">XLOOKUP(V654,products_master_corrected!$A$2:$A$151,products_master_corrected!$E$2:$E$151)</f>
        <v>1404.25</v>
      </c>
      <c r="AD654" s="28">
        <f t="shared" si="76"/>
        <v>7021.25</v>
      </c>
      <c r="AE654" s="28">
        <f t="array" ref="AE654">XLOOKUP(V654,products_master_corrected!$A$2:$A$151,products_master_corrected!$M$2:$M$151)</f>
        <v>1698.58</v>
      </c>
      <c r="AF654" s="29">
        <f t="shared" si="77"/>
        <v>8492.9</v>
      </c>
      <c r="AG654" s="30" t="s">
        <v>48</v>
      </c>
      <c r="AH654" s="2" t="s">
        <v>143</v>
      </c>
      <c r="AI654" s="10" t="s">
        <v>143</v>
      </c>
      <c r="AJ654" s="2" t="s">
        <v>452</v>
      </c>
      <c r="AK654" s="10" t="s">
        <v>261</v>
      </c>
      <c r="AL654" s="2" t="s">
        <v>133</v>
      </c>
    </row>
    <row r="655" ht="15.75" customHeight="1">
      <c r="A655" s="2" t="s">
        <v>3508</v>
      </c>
      <c r="B655" s="12">
        <v>45059.0</v>
      </c>
      <c r="C655" s="2" t="str">
        <f>IFERROR(__xludf.DUMMYFUNCTION("IF(ISNUMBER(B655),TEXT(B655,""yyyy-MM-dd""),REGEXREPLACE(REGEXREPLACE(TO_TEXT(B655),""[^0-9a-zA-Z]+"",""-""),""[^0-9]*$"",""""))"),"2023-05-13")</f>
        <v>2023-05-13</v>
      </c>
      <c r="D655" s="2" t="s">
        <v>6771</v>
      </c>
      <c r="H655" s="10" t="s">
        <v>6771</v>
      </c>
      <c r="I655" s="2" t="s">
        <v>445</v>
      </c>
      <c r="J655" s="26" t="str">
        <f t="array" ref="J655">IF(ISNA(XLOOKUP(I655,customers_clean!$A$2:$A$701,customers_clean!$A$2:$A$701, NA()) ),
   "❌ MISSING CUSTOMER", "✅")</f>
        <v>✅</v>
      </c>
      <c r="K655" s="2" t="str">
        <f t="array" ref="K655">XLOOKUP(I655,customers_clean!$A$2:$A$701,customers_clean!$C$2:$C$701)</f>
        <v>Sam King</v>
      </c>
      <c r="L655" s="10" t="str">
        <f t="array" ref="L655">XLOOKUP(I655,customers_clean!$A$2:$A$701,customers_clean!$D$2:$D$701)</f>
        <v>Sam King</v>
      </c>
      <c r="M655" s="2" t="str">
        <f t="array" ref="M655">XLOOKUP(I655,customers_clean!$A$2:$A$701,customers_clean!$I$2:$I$701)</f>
        <v> sam.king@company.co.uk</v>
      </c>
      <c r="N655" s="10" t="str">
        <f t="array" ref="N655">XLOOKUP(I655,customers_clean!$A$2:$A$701,customers_clean!$H$2:$H$701)</f>
        <v>sam.king@company.co.uk</v>
      </c>
      <c r="O655" s="9" t="str">
        <f>IFERROR(__xludf.DUMMYFUNCTION("IF(REGEXMATCH(TRIM(N655),""^[A-Za-z0-9._%+-]+@[A-Za-z0-9.-]+\.[A-Za-z]{2,}$""),""✅ Valid"",""❌ Invalid"")"),"✅ Valid")</f>
        <v>✅ Valid</v>
      </c>
      <c r="P655" s="2" t="str">
        <f t="array" ref="P655">XLOOKUP(I655,customers_clean!$A$2:$A$701,customers_clean!$K$2:$K$701)</f>
        <v>+33044750880</v>
      </c>
      <c r="Q655" s="10" t="str">
        <f t="array" ref="Q655">XLOOKUP(I655,customers_clean!$A$2:$A$701,customers_clean!$N$2:$N$701)</f>
        <v>044750880</v>
      </c>
      <c r="R655" s="9" t="str">
        <f t="array" ref="R655">XLOOKUP(I655,customers_clean!$A$2:$A$701,customers_clean!$Q$2:$Q$701)</f>
        <v>❌ INVALID</v>
      </c>
      <c r="S655" s="10" t="s">
        <v>448</v>
      </c>
      <c r="T655" s="2" t="s">
        <v>26</v>
      </c>
      <c r="U655" s="2" t="s">
        <v>176</v>
      </c>
      <c r="V655" s="2" t="s">
        <v>3053</v>
      </c>
      <c r="W655" s="9" t="str">
        <f t="array" ref="W655">IF(ISNA(XLOOKUP(V655,products_master_corrected!$A$2:$A$151,products_master_corrected!$A$2:$A$151, NA())),
    "❌ MISSING SKU", "✅")</f>
        <v>✅</v>
      </c>
      <c r="X655" s="2" t="s">
        <v>741</v>
      </c>
      <c r="Y655" s="2" t="s">
        <v>63</v>
      </c>
      <c r="Z655" s="10" t="s">
        <v>63</v>
      </c>
      <c r="AA655" s="27">
        <v>3.0</v>
      </c>
      <c r="AB655" s="9" t="s">
        <v>8649</v>
      </c>
      <c r="AC655" s="28">
        <f t="array" ref="AC655">XLOOKUP(V655,products_master_corrected!$A$2:$A$151,products_master_corrected!$E$2:$E$151)</f>
        <v>15.82</v>
      </c>
      <c r="AD655" s="28">
        <f t="shared" si="76"/>
        <v>47.46</v>
      </c>
      <c r="AE655" s="28">
        <f t="array" ref="AE655">XLOOKUP(V655,products_master_corrected!$A$2:$A$151,products_master_corrected!$M$2:$M$151)</f>
        <v>19.14</v>
      </c>
      <c r="AF655" s="29">
        <f t="shared" si="77"/>
        <v>57.42</v>
      </c>
      <c r="AG655" s="30" t="s">
        <v>48</v>
      </c>
      <c r="AH655" s="2" t="s">
        <v>143</v>
      </c>
      <c r="AI655" s="10" t="s">
        <v>143</v>
      </c>
      <c r="AJ655" s="2" t="s">
        <v>818</v>
      </c>
      <c r="AK655" s="10" t="s">
        <v>818</v>
      </c>
    </row>
    <row r="656" ht="15.75" customHeight="1">
      <c r="A656" s="2" t="s">
        <v>5313</v>
      </c>
      <c r="B656" s="12">
        <v>45504.0</v>
      </c>
      <c r="C656" s="2" t="str">
        <f>IFERROR(__xludf.DUMMYFUNCTION("IF(ISNUMBER(B656),TEXT(B656,""yyyy-MM-dd""),REGEXREPLACE(REGEXREPLACE(TO_TEXT(B656),""[^0-9a-zA-Z]+"",""-""),""[^0-9]*$"",""""))"),"2024-07-31")</f>
        <v>2024-07-31</v>
      </c>
      <c r="D656" s="2" t="s">
        <v>7851</v>
      </c>
      <c r="H656" s="10" t="s">
        <v>7851</v>
      </c>
      <c r="I656" s="2" t="s">
        <v>3771</v>
      </c>
      <c r="J656" s="26" t="str">
        <f t="array" ref="J656">IF(ISNA(XLOOKUP(I656,customers_clean!$A$2:$A$701,customers_clean!$A$2:$A$701, NA()) ),
   "❌ MISSING CUSTOMER", "✅")</f>
        <v>✅</v>
      </c>
      <c r="K656" s="2" t="str">
        <f t="array" ref="K656">XLOOKUP(I656,customers_clean!$A$2:$A$701,customers_clean!$C$2:$C$701)</f>
        <v>Ethan Walker</v>
      </c>
      <c r="L656" s="10" t="str">
        <f t="array" ref="L656">XLOOKUP(I656,customers_clean!$A$2:$A$701,customers_clean!$D$2:$D$701)</f>
        <v>Ethan Walker</v>
      </c>
      <c r="M656" s="2" t="str">
        <f t="array" ref="M656">XLOOKUP(I656,customers_clean!$A$2:$A$701,customers_clean!$I$2:$I$701)</f>
        <v>ethan.walker@gmail.ocm </v>
      </c>
      <c r="N656" s="10" t="str">
        <f t="array" ref="N656">XLOOKUP(I656,customers_clean!$A$2:$A$701,customers_clean!$H$2:$H$701)</f>
        <v>ethan.walker@gmail.ocm</v>
      </c>
      <c r="O656" s="9" t="str">
        <f>IFERROR(__xludf.DUMMYFUNCTION("IF(REGEXMATCH(TRIM(N656),""^[A-Za-z0-9._%+-]+@[A-Za-z0-9.-]+\.[A-Za-z]{2,}$""),""✅ Valid"",""❌ Invalid"")"),"✅ Valid")</f>
        <v>✅ Valid</v>
      </c>
      <c r="P656" s="2" t="str">
        <f t="array" ref="P656">XLOOKUP(I656,customers_clean!$A$2:$A$701,customers_clean!$K$2:$K$701)</f>
        <v>+49931722935 x</v>
      </c>
      <c r="Q656" s="10" t="str">
        <f t="array" ref="Q656">XLOOKUP(I656,customers_clean!$A$2:$A$701,customers_clean!$N$2:$N$701)</f>
        <v>931722935</v>
      </c>
      <c r="R656" s="9" t="str">
        <f t="array" ref="R656">XLOOKUP(I656,customers_clean!$A$2:$A$701,customers_clean!$Q$2:$Q$701)</f>
        <v>❌ INVALID</v>
      </c>
      <c r="S656" s="10" t="s">
        <v>608</v>
      </c>
      <c r="T656" s="2" t="s">
        <v>59</v>
      </c>
      <c r="U656" s="2" t="s">
        <v>522</v>
      </c>
      <c r="V656" s="2" t="s">
        <v>1327</v>
      </c>
      <c r="W656" s="9" t="str">
        <f t="array" ref="W656">IF(ISNA(XLOOKUP(V656,products_master_corrected!$A$2:$A$151,products_master_corrected!$A$2:$A$151, NA())),
    "❌ MISSING SKU", "✅")</f>
        <v>✅</v>
      </c>
      <c r="X656" s="2" t="s">
        <v>291</v>
      </c>
      <c r="Y656" s="2" t="s">
        <v>1328</v>
      </c>
      <c r="Z656" s="10" t="s">
        <v>179</v>
      </c>
      <c r="AA656" s="27">
        <v>2.0</v>
      </c>
      <c r="AB656" s="9" t="s">
        <v>8649</v>
      </c>
      <c r="AC656" s="28">
        <f t="array" ref="AC656">XLOOKUP(V656,products_master_corrected!$A$2:$A$151,products_master_corrected!$E$2:$E$151)</f>
        <v>124.96</v>
      </c>
      <c r="AD656" s="28">
        <f t="shared" si="76"/>
        <v>249.92</v>
      </c>
      <c r="AE656" s="28">
        <f t="array" ref="AE656">XLOOKUP(V656,products_master_corrected!$A$2:$A$151,products_master_corrected!$H$2:$H$151)</f>
        <v>140.39</v>
      </c>
      <c r="AF656" s="29">
        <f t="shared" si="77"/>
        <v>280.78</v>
      </c>
      <c r="AG656" s="32" t="s">
        <v>8658</v>
      </c>
      <c r="AH656" s="2" t="s">
        <v>33</v>
      </c>
      <c r="AI656" s="10" t="s">
        <v>181</v>
      </c>
      <c r="AJ656" s="2" t="s">
        <v>818</v>
      </c>
      <c r="AK656" s="10" t="s">
        <v>818</v>
      </c>
    </row>
    <row r="657" ht="15.75" customHeight="1">
      <c r="A657" s="2" t="s">
        <v>3769</v>
      </c>
      <c r="B657" s="12">
        <v>45835.0</v>
      </c>
      <c r="C657" s="2" t="str">
        <f>IFERROR(__xludf.DUMMYFUNCTION("IF(ISNUMBER(B657),TEXT(B657,""yyyy-MM-dd""),REGEXREPLACE(REGEXREPLACE(TO_TEXT(B657),""[^0-9a-zA-Z]+"",""-""),""[^0-9]*$"",""""))"),"2025-06-27")</f>
        <v>2025-06-27</v>
      </c>
      <c r="D657" s="2" t="s">
        <v>8038</v>
      </c>
      <c r="H657" s="10" t="s">
        <v>8038</v>
      </c>
      <c r="I657" s="2" t="s">
        <v>3771</v>
      </c>
      <c r="J657" s="26" t="str">
        <f t="array" ref="J657">IF(ISNA(XLOOKUP(I657,customers_clean!$A$2:$A$701,customers_clean!$A$2:$A$701, NA()) ),
   "❌ MISSING CUSTOMER", "✅")</f>
        <v>✅</v>
      </c>
      <c r="K657" s="2" t="str">
        <f t="array" ref="K657">XLOOKUP(I657,customers_clean!$A$2:$A$701,customers_clean!$C$2:$C$701)</f>
        <v>Ethan Walker</v>
      </c>
      <c r="L657" s="10" t="str">
        <f t="array" ref="L657">XLOOKUP(I657,customers_clean!$A$2:$A$701,customers_clean!$D$2:$D$701)</f>
        <v>Ethan Walker</v>
      </c>
      <c r="M657" s="2" t="str">
        <f t="array" ref="M657">XLOOKUP(I657,customers_clean!$A$2:$A$701,customers_clean!$I$2:$I$701)</f>
        <v>ethan.walker@gmail.ocm </v>
      </c>
      <c r="N657" s="10" t="str">
        <f t="array" ref="N657">XLOOKUP(I657,customers_clean!$A$2:$A$701,customers_clean!$H$2:$H$701)</f>
        <v>ethan.walker@gmail.ocm</v>
      </c>
      <c r="O657" s="9" t="str">
        <f>IFERROR(__xludf.DUMMYFUNCTION("IF(REGEXMATCH(TRIM(N657),""^[A-Za-z0-9._%+-]+@[A-Za-z0-9.-]+\.[A-Za-z]{2,}$""),""✅ Valid"",""❌ Invalid"")"),"✅ Valid")</f>
        <v>✅ Valid</v>
      </c>
      <c r="P657" s="2" t="str">
        <f t="array" ref="P657">XLOOKUP(I657,customers_clean!$A$2:$A$701,customers_clean!$K$2:$K$701)</f>
        <v>+49931722935 x</v>
      </c>
      <c r="Q657" s="10" t="str">
        <f t="array" ref="Q657">XLOOKUP(I657,customers_clean!$A$2:$A$701,customers_clean!$N$2:$N$701)</f>
        <v>931722935</v>
      </c>
      <c r="R657" s="9" t="str">
        <f t="array" ref="R657">XLOOKUP(I657,customers_clean!$A$2:$A$701,customers_clean!$Q$2:$Q$701)</f>
        <v>❌ INVALID</v>
      </c>
      <c r="S657" s="10" t="s">
        <v>608</v>
      </c>
      <c r="T657" s="2" t="s">
        <v>460</v>
      </c>
      <c r="U657" s="2" t="s">
        <v>324</v>
      </c>
      <c r="V657" s="2" t="s">
        <v>117</v>
      </c>
      <c r="W657" s="9" t="str">
        <f t="array" ref="W657">IF(ISNA(XLOOKUP(V657,products_master_corrected!$A$2:$A$151,products_master_corrected!$A$2:$A$151, NA())),
    "❌ MISSING SKU", "✅")</f>
        <v>✅</v>
      </c>
      <c r="X657" s="2" t="s">
        <v>259</v>
      </c>
      <c r="Y657" s="2" t="s">
        <v>63</v>
      </c>
      <c r="Z657" s="10" t="s">
        <v>63</v>
      </c>
      <c r="AA657" s="27">
        <v>1.0</v>
      </c>
      <c r="AB657" s="9" t="s">
        <v>8649</v>
      </c>
      <c r="AC657" s="28">
        <f t="array" ref="AC657">XLOOKUP(V657,products_master_corrected!$A$2:$A$151,products_master_corrected!$E$2:$E$151)</f>
        <v>13.26</v>
      </c>
      <c r="AD657" s="28">
        <f t="shared" si="76"/>
        <v>13.26</v>
      </c>
      <c r="AE657" s="28">
        <f t="array" ref="AE657">XLOOKUP(V657,products_master_corrected!$A$2:$A$151,products_master_corrected!$H$2:$H$151)</f>
        <v>14.9</v>
      </c>
      <c r="AF657" s="29">
        <f t="shared" si="77"/>
        <v>14.9</v>
      </c>
      <c r="AG657" s="32" t="s">
        <v>8658</v>
      </c>
      <c r="AH657" s="2" t="s">
        <v>370</v>
      </c>
      <c r="AI657" s="10" t="s">
        <v>143</v>
      </c>
      <c r="AJ657" s="2" t="s">
        <v>169</v>
      </c>
      <c r="AK657" s="10" t="s">
        <v>261</v>
      </c>
      <c r="AL657" s="2" t="s">
        <v>81</v>
      </c>
    </row>
    <row r="658" ht="15.75" customHeight="1">
      <c r="A658" s="2" t="s">
        <v>6011</v>
      </c>
      <c r="B658" s="12" t="s">
        <v>6012</v>
      </c>
      <c r="C658" s="2" t="str">
        <f>IFERROR(__xludf.DUMMYFUNCTION("IF(ISNUMBER(B658),TEXT(B658,""yyyy-MM-dd""),REGEXREPLACE(REGEXREPLACE(TO_TEXT(B658),""[^0-9a-zA-Z]+"",""-""),""[^0-9]*$"",""""))"),"45234-08-53")</f>
        <v>45234-08-53</v>
      </c>
      <c r="D658" s="2" t="str">
        <f>TEXT(C658,"yyyy-MM-dd")</f>
        <v>45234-08-53</v>
      </c>
      <c r="E658" s="25" t="str">
        <f>CONCATENATE(LEFT(D658,5))</f>
        <v>45234</v>
      </c>
      <c r="F658" s="12">
        <f>DATE(1900,1,1) + E658 - 1</f>
        <v>45235</v>
      </c>
      <c r="G658" s="2" t="s">
        <v>7797</v>
      </c>
      <c r="H658" s="10" t="s">
        <v>7797</v>
      </c>
      <c r="I658" s="2" t="s">
        <v>6013</v>
      </c>
      <c r="J658" s="26" t="str">
        <f t="array" ref="J658">IF(ISNA(XLOOKUP(I658,customers_clean!$A$2:$A$701,customers_clean!$A$2:$A$701, NA()) ),
   "❌ MISSING CUSTOMER", "✅")</f>
        <v>✅</v>
      </c>
      <c r="K658" s="2" t="str">
        <f t="array" ref="K658">XLOOKUP(I658,customers_clean!$A$2:$A$701,customers_clean!$C$2:$C$701)</f>
        <v>Gabe Garcia</v>
      </c>
      <c r="L658" s="10" t="str">
        <f t="array" ref="L658">XLOOKUP(I658,customers_clean!$A$2:$A$701,customers_clean!$D$2:$D$701)</f>
        <v>Gabe Garcia</v>
      </c>
      <c r="M658" s="2" t="str">
        <f t="array" ref="M658">XLOOKUP(I658,customers_clean!$A$2:$A$701,customers_clean!$I$2:$I$701)</f>
        <v>gabe.garcia@example.com</v>
      </c>
      <c r="N658" s="10" t="str">
        <f t="array" ref="N658">XLOOKUP(I658,customers_clean!$A$2:$A$701,customers_clean!$H$2:$H$701)</f>
        <v>gabe.garcia@example.com</v>
      </c>
      <c r="O658" s="9" t="str">
        <f>IFERROR(__xludf.DUMMYFUNCTION("IF(REGEXMATCH(TRIM(N658),""^[A-Za-z0-9._%+-]+@[A-Za-z0-9.-]+\.[A-Za-z]{2,}$""),""✅ Valid"",""❌ Invalid"")"),"✅ Valid")</f>
        <v>✅ Valid</v>
      </c>
      <c r="P658" s="2" t="str">
        <f t="array" ref="P658">XLOOKUP(I658,customers_clean!$A$2:$A$701,customers_clean!$K$2:$K$701)</f>
        <v>+34 6168 1068</v>
      </c>
      <c r="Q658" s="10" t="str">
        <f t="array" ref="Q658">XLOOKUP(I658,customers_clean!$A$2:$A$701,customers_clean!$N$2:$N$701)</f>
        <v>61681068</v>
      </c>
      <c r="R658" s="9" t="str">
        <f t="array" ref="R658">XLOOKUP(I658,customers_clean!$A$2:$A$701,customers_clean!$Q$2:$Q$701)</f>
        <v>❌ INVALID</v>
      </c>
      <c r="S658" s="10" t="s">
        <v>608</v>
      </c>
      <c r="T658" s="2" t="s">
        <v>323</v>
      </c>
      <c r="U658" s="2" t="s">
        <v>176</v>
      </c>
      <c r="V658" s="2" t="s">
        <v>2680</v>
      </c>
      <c r="W658" s="9" t="str">
        <f t="array" ref="W658">IF(ISNA(XLOOKUP(V658,products_master_corrected!$A$2:$A$151,products_master_corrected!$A$2:$A$151, NA())),
    "❌ MISSING SKU", "✅")</f>
        <v>✅</v>
      </c>
      <c r="X658" s="2" t="s">
        <v>303</v>
      </c>
      <c r="Y658" s="2" t="s">
        <v>2421</v>
      </c>
      <c r="Z658" s="10" t="s">
        <v>248</v>
      </c>
      <c r="AA658" s="27">
        <v>1.0</v>
      </c>
      <c r="AB658" s="9" t="s">
        <v>8649</v>
      </c>
      <c r="AC658" s="28">
        <f t="array" ref="AC658">XLOOKUP(V658,products_master_corrected!$A$2:$A$151,products_master_corrected!$E$2:$E$151)</f>
        <v>121.47</v>
      </c>
      <c r="AD658" s="28">
        <f t="shared" si="76"/>
        <v>121.47</v>
      </c>
      <c r="AE658" s="28">
        <f t="array" ref="AE658">XLOOKUP(V658,products_master_corrected!$A$2:$A$151,products_master_corrected!$H$2:$H$151)</f>
        <v>136.47</v>
      </c>
      <c r="AF658" s="29">
        <f t="shared" si="77"/>
        <v>136.47</v>
      </c>
      <c r="AG658" s="32" t="s">
        <v>8658</v>
      </c>
      <c r="AH658" s="2" t="s">
        <v>49</v>
      </c>
      <c r="AI658" s="10" t="s">
        <v>49</v>
      </c>
      <c r="AJ658" s="2" t="s">
        <v>80</v>
      </c>
      <c r="AK658" s="10" t="s">
        <v>80</v>
      </c>
      <c r="AL658" s="2" t="s">
        <v>133</v>
      </c>
    </row>
    <row r="659" ht="15.75" customHeight="1">
      <c r="A659" s="2" t="s">
        <v>3942</v>
      </c>
      <c r="B659" s="12" t="s">
        <v>3943</v>
      </c>
      <c r="C659" s="2" t="str">
        <f>IFERROR(__xludf.DUMMYFUNCTION("IF(ISNUMBER(B659),TEXT(B659,""yyyy-MM-dd""),REGEXREPLACE(REGEXREPLACE(TO_TEXT(B659),""[^0-9a-zA-Z]+"",""-""),""[^0-9]*$"",""""))"),"27-05-2023")</f>
        <v>27-05-2023</v>
      </c>
      <c r="D659" s="2" t="s">
        <v>6739</v>
      </c>
      <c r="H659" s="10" t="s">
        <v>6739</v>
      </c>
      <c r="I659" s="2" t="s">
        <v>3944</v>
      </c>
      <c r="J659" s="26" t="str">
        <f t="array" ref="J659">IF(ISNA(XLOOKUP(I659,customers_clean!$A$2:$A$701,customers_clean!$A$2:$A$701, NA()) ),
   "❌ MISSING CUSTOMER", "✅")</f>
        <v>✅</v>
      </c>
      <c r="K659" s="2" t="str">
        <f t="array" ref="K659">XLOOKUP(I659,customers_clean!$A$2:$A$701,customers_clean!$C$2:$C$701)</f>
        <v>Uma Novak</v>
      </c>
      <c r="L659" s="10" t="str">
        <f t="array" ref="L659">XLOOKUP(I659,customers_clean!$A$2:$A$701,customers_clean!$D$2:$D$701)</f>
        <v>Uma Novak</v>
      </c>
      <c r="M659" s="2" t="str">
        <f t="array" ref="M659">XLOOKUP(I659,customers_clean!$A$2:$A$701,customers_clean!$I$2:$I$701)</f>
        <v>uma.novak@example.com</v>
      </c>
      <c r="N659" s="10" t="str">
        <f t="array" ref="N659">XLOOKUP(I659,customers_clean!$A$2:$A$701,customers_clean!$H$2:$H$701)</f>
        <v>uma.novak@example.com</v>
      </c>
      <c r="O659" s="9" t="str">
        <f>IFERROR(__xludf.DUMMYFUNCTION("IF(REGEXMATCH(TRIM(N659),""^[A-Za-z0-9._%+-]+@[A-Za-z0-9.-]+\.[A-Za-z]{2,}$""),""✅ Valid"",""❌ Invalid"")"),"✅ Valid")</f>
        <v>✅ Valid</v>
      </c>
      <c r="P659" s="2" t="str">
        <f t="array" ref="P659">XLOOKUP(I659,customers_clean!$A$2:$A$701,customers_clean!$K$2:$K$701)</f>
        <v/>
      </c>
      <c r="Q659" s="10" t="str">
        <f t="array" ref="Q659">XLOOKUP(I659,customers_clean!$A$2:$A$701,customers_clean!$N$2:$N$701)</f>
        <v/>
      </c>
      <c r="R659" s="9" t="str">
        <f t="array" ref="R659">XLOOKUP(I659,customers_clean!$A$2:$A$701,customers_clean!$Q$2:$Q$701)</f>
        <v>❌ INVALID</v>
      </c>
      <c r="S659" s="10" t="s">
        <v>114</v>
      </c>
      <c r="T659" s="2" t="s">
        <v>152</v>
      </c>
      <c r="U659" s="2" t="s">
        <v>1423</v>
      </c>
      <c r="V659" s="2" t="s">
        <v>235</v>
      </c>
      <c r="W659" s="9" t="str">
        <f t="array" ref="W659">IF(ISNA(XLOOKUP(V659,products_master_corrected!$A$2:$A$151,products_master_corrected!$A$2:$A$151, NA())),
    "❌ MISSING SKU", "✅")</f>
        <v>✅</v>
      </c>
      <c r="X659" s="2" t="s">
        <v>768</v>
      </c>
      <c r="Y659" s="2" t="s">
        <v>30</v>
      </c>
      <c r="Z659" s="10" t="s">
        <v>179</v>
      </c>
      <c r="AA659" s="27">
        <v>5.0</v>
      </c>
      <c r="AB659" s="9" t="s">
        <v>8649</v>
      </c>
      <c r="AC659" s="28">
        <f t="array" ref="AC659">XLOOKUP(V659,products_master_corrected!$A$2:$A$151,products_master_corrected!$E$2:$E$151)</f>
        <v>10.17</v>
      </c>
      <c r="AD659" s="28">
        <f t="shared" si="76"/>
        <v>50.85</v>
      </c>
      <c r="AE659" s="28">
        <f t="array" ref="AE659">XLOOKUP(V659,products_master_corrected!$A$2:$A$151,products_master_corrected!$F$2:$F$151)</f>
        <v>10.17</v>
      </c>
      <c r="AF659" s="29">
        <f t="shared" si="77"/>
        <v>50.85</v>
      </c>
      <c r="AG659" s="30" t="s">
        <v>65</v>
      </c>
      <c r="AH659" s="2" t="s">
        <v>505</v>
      </c>
      <c r="AI659" s="10" t="s">
        <v>181</v>
      </c>
      <c r="AJ659" s="2" t="s">
        <v>380</v>
      </c>
      <c r="AK659" s="10" t="s">
        <v>80</v>
      </c>
      <c r="AL659" s="2" t="s">
        <v>67</v>
      </c>
    </row>
    <row r="660" ht="15.75" customHeight="1">
      <c r="A660" s="2" t="s">
        <v>1026</v>
      </c>
      <c r="B660" s="12">
        <v>45639.0</v>
      </c>
      <c r="C660" s="2" t="str">
        <f>IFERROR(__xludf.DUMMYFUNCTION("IF(ISNUMBER(B660),TEXT(B660,""yyyy-MM-dd""),REGEXREPLACE(REGEXREPLACE(TO_TEXT(B660),""[^0-9a-zA-Z]+"",""-""),""[^0-9]*$"",""""))"),"2024-12-13")</f>
        <v>2024-12-13</v>
      </c>
      <c r="D660" s="2" t="s">
        <v>7658</v>
      </c>
      <c r="H660" s="10" t="s">
        <v>7658</v>
      </c>
      <c r="I660" s="2" t="s">
        <v>1028</v>
      </c>
      <c r="J660" s="26" t="str">
        <f t="array" ref="J660">IF(ISNA(XLOOKUP(I660,customers_clean!$A$2:$A$701,customers_clean!$A$2:$A$701, NA()) ),
   "❌ MISSING CUSTOMER", "✅")</f>
        <v>✅</v>
      </c>
      <c r="K660" s="2" t="str">
        <f t="array" ref="K660">XLOOKUP(I660,customers_clean!$A$2:$A$701,customers_clean!$C$2:$C$701)</f>
        <v> Ethan Khan</v>
      </c>
      <c r="L660" s="10" t="str">
        <f t="array" ref="L660">XLOOKUP(I660,customers_clean!$A$2:$A$701,customers_clean!$D$2:$D$701)</f>
        <v>Ethan Khan</v>
      </c>
      <c r="M660" s="2" t="str">
        <f t="array" ref="M660">XLOOKUP(I660,customers_clean!$A$2:$A$701,customers_clean!$I$2:$I$701)</f>
        <v>ethan.khan@example.com</v>
      </c>
      <c r="N660" s="10" t="str">
        <f t="array" ref="N660">XLOOKUP(I660,customers_clean!$A$2:$A$701,customers_clean!$H$2:$H$701)</f>
        <v>ethan.khan@example.com</v>
      </c>
      <c r="O660" s="9" t="str">
        <f>IFERROR(__xludf.DUMMYFUNCTION("IF(REGEXMATCH(TRIM(N660),""^[A-Za-z0-9._%+-]+@[A-Za-z0-9.-]+\.[A-Za-z]{2,}$""),""✅ Valid"",""❌ Invalid"")"),"✅ Valid")</f>
        <v>✅ Valid</v>
      </c>
      <c r="P660" s="2" t="str">
        <f t="array" ref="P660">XLOOKUP(I660,customers_clean!$A$2:$A$701,customers_clean!$K$2:$K$701)</f>
        <v>+44 329-955-501-11</v>
      </c>
      <c r="Q660" s="10" t="str">
        <f t="array" ref="Q660">XLOOKUP(I660,customers_clean!$A$2:$A$701,customers_clean!$N$2:$N$701)</f>
        <v>32995550111</v>
      </c>
      <c r="R660" s="9" t="str">
        <f t="array" ref="R660">XLOOKUP(I660,customers_clean!$A$2:$A$701,customers_clean!$Q$2:$Q$701)</f>
        <v>❌ INVALID</v>
      </c>
      <c r="S660" s="10" t="s">
        <v>25</v>
      </c>
      <c r="T660" s="2" t="s">
        <v>778</v>
      </c>
      <c r="U660" s="2" t="s">
        <v>1032</v>
      </c>
      <c r="V660" s="2" t="s">
        <v>957</v>
      </c>
      <c r="W660" s="9" t="str">
        <f t="array" ref="W660">IF(ISNA(XLOOKUP(V660,products_master_corrected!$A$2:$A$151,products_master_corrected!$A$2:$A$151, NA())),
    "❌ MISSING SKU", "✅")</f>
        <v>✅</v>
      </c>
      <c r="X660" s="2" t="s">
        <v>403</v>
      </c>
      <c r="Y660" s="2" t="s">
        <v>167</v>
      </c>
      <c r="Z660" s="10" t="str">
        <f>PROPER(TRIM(Y660))</f>
        <v>Monitors</v>
      </c>
      <c r="AA660" s="27">
        <v>2.0</v>
      </c>
      <c r="AB660" s="9" t="s">
        <v>8649</v>
      </c>
      <c r="AC660" s="28">
        <f t="array" ref="AC660">XLOOKUP(V660,products_master_corrected!$A$2:$A$151,products_master_corrected!$E$2:$E$151)</f>
        <v>55.87</v>
      </c>
      <c r="AD660" s="28">
        <f t="shared" si="76"/>
        <v>111.74</v>
      </c>
      <c r="AE660" s="28">
        <f t="array" ref="AE660">XLOOKUP(V660,products_master_corrected!$A$2:$A$151,products_master_corrected!$K$2:$K$151)</f>
        <v>287.45</v>
      </c>
      <c r="AF660" s="29">
        <f t="shared" si="77"/>
        <v>574.9</v>
      </c>
      <c r="AG660" s="30" t="s">
        <v>95</v>
      </c>
      <c r="AH660" s="2" t="s">
        <v>370</v>
      </c>
      <c r="AI660" s="10" t="s">
        <v>143</v>
      </c>
      <c r="AJ660" s="2" t="s">
        <v>818</v>
      </c>
      <c r="AK660" s="10" t="s">
        <v>818</v>
      </c>
    </row>
    <row r="661" ht="15.75" customHeight="1">
      <c r="A661" s="2" t="s">
        <v>4476</v>
      </c>
      <c r="B661" s="12" t="s">
        <v>4477</v>
      </c>
      <c r="C661" s="2" t="str">
        <f>IFERROR(__xludf.DUMMYFUNCTION("IF(ISNUMBER(B661),TEXT(B661,""yyyy-MM-dd""),REGEXREPLACE(REGEXREPLACE(TO_TEXT(B661),""[^0-9a-zA-Z]+"",""-""),""[^0-9]*$"",""""))"),"03-23-2023")</f>
        <v>03-23-2023</v>
      </c>
      <c r="D661" s="2" t="str">
        <f>TEXT(C661,"yyyy-MM-dd")</f>
        <v>03-23-2023</v>
      </c>
      <c r="E661" s="2" t="s">
        <v>8901</v>
      </c>
      <c r="H661" s="10" t="s">
        <v>8901</v>
      </c>
      <c r="I661" s="2" t="s">
        <v>1028</v>
      </c>
      <c r="J661" s="26" t="str">
        <f t="array" ref="J661">IF(ISNA(XLOOKUP(I661,customers_clean!$A$2:$A$701,customers_clean!$A$2:$A$701, NA()) ),
   "❌ MISSING CUSTOMER", "✅")</f>
        <v>✅</v>
      </c>
      <c r="K661" s="2" t="str">
        <f t="array" ref="K661">XLOOKUP(I661,customers_clean!$A$2:$A$701,customers_clean!$C$2:$C$701)</f>
        <v> Ethan Khan</v>
      </c>
      <c r="L661" s="10" t="str">
        <f t="array" ref="L661">XLOOKUP(I661,customers_clean!$A$2:$A$701,customers_clean!$D$2:$D$701)</f>
        <v>Ethan Khan</v>
      </c>
      <c r="M661" s="2" t="str">
        <f t="array" ref="M661">XLOOKUP(I661,customers_clean!$A$2:$A$701,customers_clean!$I$2:$I$701)</f>
        <v>ethan.khan@example.com</v>
      </c>
      <c r="N661" s="10" t="str">
        <f t="array" ref="N661">XLOOKUP(I661,customers_clean!$A$2:$A$701,customers_clean!$H$2:$H$701)</f>
        <v>ethan.khan@example.com</v>
      </c>
      <c r="O661" s="9" t="str">
        <f>IFERROR(__xludf.DUMMYFUNCTION("IF(REGEXMATCH(TRIM(N661),""^[A-Za-z0-9._%+-]+@[A-Za-z0-9.-]+\.[A-Za-z]{2,}$""),""✅ Valid"",""❌ Invalid"")"),"✅ Valid")</f>
        <v>✅ Valid</v>
      </c>
      <c r="P661" s="2" t="str">
        <f t="array" ref="P661">XLOOKUP(I661,customers_clean!$A$2:$A$701,customers_clean!$K$2:$K$701)</f>
        <v>+44 329-955-501-11</v>
      </c>
      <c r="Q661" s="10" t="str">
        <f t="array" ref="Q661">XLOOKUP(I661,customers_clean!$A$2:$A$701,customers_clean!$N$2:$N$701)</f>
        <v>32995550111</v>
      </c>
      <c r="R661" s="9" t="str">
        <f t="array" ref="R661">XLOOKUP(I661,customers_clean!$A$2:$A$701,customers_clean!$Q$2:$Q$701)</f>
        <v>❌ INVALID</v>
      </c>
      <c r="S661" s="10" t="s">
        <v>25</v>
      </c>
      <c r="T661" s="2" t="s">
        <v>115</v>
      </c>
      <c r="U661" s="2" t="s">
        <v>401</v>
      </c>
      <c r="V661" s="2" t="s">
        <v>481</v>
      </c>
      <c r="W661" s="9" t="str">
        <f t="array" ref="W661">IF(ISNA(XLOOKUP(V661,products_master_corrected!$A$2:$A$151,products_master_corrected!$A$2:$A$151, NA())),
    "❌ MISSING SKU", "✅")</f>
        <v>✅</v>
      </c>
      <c r="X661" s="2" t="s">
        <v>291</v>
      </c>
      <c r="Y661" s="2" t="s">
        <v>482</v>
      </c>
      <c r="Z661" s="10" t="s">
        <v>63</v>
      </c>
      <c r="AA661" s="27">
        <v>1.0</v>
      </c>
      <c r="AB661" s="9" t="s">
        <v>8649</v>
      </c>
      <c r="AC661" s="28">
        <f t="array" ref="AC661">XLOOKUP(V661,products_master_corrected!$A$2:$A$151,products_master_corrected!$E$2:$E$151)</f>
        <v>190.18</v>
      </c>
      <c r="AD661" s="28">
        <f t="shared" si="76"/>
        <v>190.18</v>
      </c>
      <c r="AE661" s="28">
        <f t="array" ref="AE661">XLOOKUP(V661,products_master_corrected!$A$2:$A$151,products_master_corrected!$K$2:$K$151)</f>
        <v>978.48</v>
      </c>
      <c r="AF661" s="29">
        <f t="shared" si="77"/>
        <v>978.48</v>
      </c>
      <c r="AG661" s="30" t="s">
        <v>95</v>
      </c>
      <c r="AH661" s="2" t="s">
        <v>181</v>
      </c>
      <c r="AI661" s="10" t="s">
        <v>181</v>
      </c>
      <c r="AJ661" s="2" t="s">
        <v>169</v>
      </c>
      <c r="AK661" s="10" t="s">
        <v>261</v>
      </c>
      <c r="AL661" s="2" t="s">
        <v>67</v>
      </c>
    </row>
    <row r="662" ht="15.75" customHeight="1">
      <c r="A662" s="2" t="s">
        <v>3893</v>
      </c>
      <c r="B662" s="12">
        <v>45556.0</v>
      </c>
      <c r="C662" s="2" t="str">
        <f>IFERROR(__xludf.DUMMYFUNCTION("IF(ISNUMBER(B662),TEXT(B662,""yyyy-MM-dd""),REGEXREPLACE(REGEXREPLACE(TO_TEXT(B662),""[^0-9a-zA-Z]+"",""-""),""[^0-9]*$"",""""))"),"2024-09-21")</f>
        <v>2024-09-21</v>
      </c>
      <c r="D662" s="2" t="s">
        <v>1570</v>
      </c>
      <c r="H662" s="10" t="s">
        <v>1570</v>
      </c>
      <c r="I662" s="2" t="s">
        <v>3895</v>
      </c>
      <c r="J662" s="26" t="str">
        <f t="array" ref="J662">IF(ISNA(XLOOKUP(I662,customers_clean!$A$2:$A$701,customers_clean!$A$2:$A$701, NA()) ),
   "❌ MISSING CUSTOMER", "✅")</f>
        <v>✅</v>
      </c>
      <c r="K662" s="2" t="str">
        <f t="array" ref="K662">XLOOKUP(I662,customers_clean!$A$2:$A$701,customers_clean!$C$2:$C$701)</f>
        <v>Gabe Martinez</v>
      </c>
      <c r="L662" s="10" t="str">
        <f t="array" ref="L662">XLOOKUP(I662,customers_clean!$A$2:$A$701,customers_clean!$D$2:$D$701)</f>
        <v>Gabe Martinez</v>
      </c>
      <c r="M662" s="2" t="str">
        <f t="array" ref="M662">XLOOKUP(I662,customers_clean!$A$2:$A$701,customers_clean!$I$2:$I$701)</f>
        <v>gabe.martinez@yahoo.com</v>
      </c>
      <c r="N662" s="10" t="str">
        <f t="array" ref="N662">XLOOKUP(I662,customers_clean!$A$2:$A$701,customers_clean!$H$2:$H$701)</f>
        <v>gabe.martinez@yahoo.com</v>
      </c>
      <c r="O662" s="9" t="str">
        <f>IFERROR(__xludf.DUMMYFUNCTION("IF(REGEXMATCH(TRIM(N662),""^[A-Za-z0-9._%+-]+@[A-Za-z0-9.-]+\.[A-Za-z]{2,}$""),""✅ Valid"",""❌ Invalid"")"),"✅ Valid")</f>
        <v>✅ Valid</v>
      </c>
      <c r="P662" s="2">
        <f t="array" ref="P662">XLOOKUP(I662,customers_clean!$A$2:$A$701,customers_clean!$K$2:$K$701)</f>
        <v>14866113649</v>
      </c>
      <c r="Q662" s="10" t="str">
        <f t="array" ref="Q662">XLOOKUP(I662,customers_clean!$A$2:$A$701,customers_clean!$N$2:$N$701)</f>
        <v>14866113649</v>
      </c>
      <c r="R662" s="9" t="str">
        <f t="array" ref="R662">XLOOKUP(I662,customers_clean!$A$2:$A$701,customers_clean!$Q$2:$Q$701)</f>
        <v>❌ INVALID</v>
      </c>
      <c r="S662" s="10" t="s">
        <v>25</v>
      </c>
      <c r="T662" s="2" t="s">
        <v>3899</v>
      </c>
      <c r="U662" s="2" t="s">
        <v>870</v>
      </c>
      <c r="V662" s="2" t="s">
        <v>965</v>
      </c>
      <c r="W662" s="9" t="str">
        <f t="array" ref="W662">IF(ISNA(XLOOKUP(V662,products_master_corrected!$A$2:$A$151,products_master_corrected!$A$2:$A$151, NA())),
    "❌ MISSING SKU", "✅")</f>
        <v>✅</v>
      </c>
      <c r="X662" s="2" t="s">
        <v>966</v>
      </c>
      <c r="Y662" s="2" t="s">
        <v>967</v>
      </c>
      <c r="Z662" s="10" t="s">
        <v>248</v>
      </c>
      <c r="AA662" s="27">
        <v>1.0</v>
      </c>
      <c r="AB662" s="9" t="s">
        <v>8649</v>
      </c>
      <c r="AC662" s="28">
        <f t="array" ref="AC662">XLOOKUP(V662,products_master_corrected!$A$2:$A$151,products_master_corrected!$E$2:$E$151)</f>
        <v>74.59</v>
      </c>
      <c r="AD662" s="28">
        <f t="shared" si="76"/>
        <v>74.59</v>
      </c>
      <c r="AE662" s="28">
        <f t="array" ref="AE662">XLOOKUP(V662,products_master_corrected!$A$2:$A$151,products_master_corrected!$K$2:$K$151)</f>
        <v>383.77</v>
      </c>
      <c r="AF662" s="29">
        <f t="shared" si="77"/>
        <v>383.77</v>
      </c>
      <c r="AG662" s="30" t="s">
        <v>95</v>
      </c>
      <c r="AH662" s="2" t="s">
        <v>526</v>
      </c>
      <c r="AI662" s="10" t="s">
        <v>49</v>
      </c>
      <c r="AJ662" s="2" t="s">
        <v>294</v>
      </c>
      <c r="AK662" s="10" t="s">
        <v>80</v>
      </c>
    </row>
    <row r="663" ht="15.75" customHeight="1">
      <c r="A663" s="2" t="s">
        <v>4427</v>
      </c>
      <c r="B663" s="12">
        <v>44961.0</v>
      </c>
      <c r="C663" s="2" t="str">
        <f>IFERROR(__xludf.DUMMYFUNCTION("IF(ISNUMBER(B663),TEXT(B663,""yyyy-MM-dd""),REGEXREPLACE(REGEXREPLACE(TO_TEXT(B663),""[^0-9a-zA-Z]+"",""-""),""[^0-9]*$"",""""))"),"2023-02-04")</f>
        <v>2023-02-04</v>
      </c>
      <c r="D663" s="2" t="s">
        <v>8657</v>
      </c>
      <c r="H663" s="10" t="s">
        <v>8657</v>
      </c>
      <c r="I663" s="2" t="s">
        <v>3895</v>
      </c>
      <c r="J663" s="26" t="str">
        <f t="array" ref="J663">IF(ISNA(XLOOKUP(I663,customers_clean!$A$2:$A$701,customers_clean!$A$2:$A$701, NA()) ),
   "❌ MISSING CUSTOMER", "✅")</f>
        <v>✅</v>
      </c>
      <c r="K663" s="2" t="str">
        <f t="array" ref="K663">XLOOKUP(I663,customers_clean!$A$2:$A$701,customers_clean!$C$2:$C$701)</f>
        <v>Gabe Martinez</v>
      </c>
      <c r="L663" s="10" t="str">
        <f t="array" ref="L663">XLOOKUP(I663,customers_clean!$A$2:$A$701,customers_clean!$D$2:$D$701)</f>
        <v>Gabe Martinez</v>
      </c>
      <c r="M663" s="2" t="str">
        <f t="array" ref="M663">XLOOKUP(I663,customers_clean!$A$2:$A$701,customers_clean!$I$2:$I$701)</f>
        <v>gabe.martinez@yahoo.com</v>
      </c>
      <c r="N663" s="10" t="str">
        <f t="array" ref="N663">XLOOKUP(I663,customers_clean!$A$2:$A$701,customers_clean!$H$2:$H$701)</f>
        <v>gabe.martinez@yahoo.com</v>
      </c>
      <c r="O663" s="9" t="str">
        <f>IFERROR(__xludf.DUMMYFUNCTION("IF(REGEXMATCH(TRIM(N663),""^[A-Za-z0-9._%+-]+@[A-Za-z0-9.-]+\.[A-Za-z]{2,}$""),""✅ Valid"",""❌ Invalid"")"),"✅ Valid")</f>
        <v>✅ Valid</v>
      </c>
      <c r="P663" s="2">
        <f t="array" ref="P663">XLOOKUP(I663,customers_clean!$A$2:$A$701,customers_clean!$K$2:$K$701)</f>
        <v>14866113649</v>
      </c>
      <c r="Q663" s="10" t="str">
        <f t="array" ref="Q663">XLOOKUP(I663,customers_clean!$A$2:$A$701,customers_clean!$N$2:$N$701)</f>
        <v>14866113649</v>
      </c>
      <c r="R663" s="9" t="str">
        <f t="array" ref="R663">XLOOKUP(I663,customers_clean!$A$2:$A$701,customers_clean!$Q$2:$Q$701)</f>
        <v>❌ INVALID</v>
      </c>
      <c r="S663" s="10" t="s">
        <v>25</v>
      </c>
      <c r="T663" s="2" t="s">
        <v>42</v>
      </c>
      <c r="U663" s="2" t="s">
        <v>312</v>
      </c>
      <c r="V663" s="2" t="s">
        <v>2425</v>
      </c>
      <c r="W663" s="9" t="str">
        <f t="array" ref="W663">IF(ISNA(XLOOKUP(V663,products_master_corrected!$A$2:$A$151,products_master_corrected!$A$2:$A$151, NA())),
    "❌ MISSING SKU", "✅")</f>
        <v>✅</v>
      </c>
      <c r="X663" s="2" t="s">
        <v>2426</v>
      </c>
      <c r="Y663" s="2" t="s">
        <v>2427</v>
      </c>
      <c r="Z663" s="10" t="s">
        <v>248</v>
      </c>
      <c r="AA663" s="27">
        <v>1.0</v>
      </c>
      <c r="AB663" s="9" t="s">
        <v>8649</v>
      </c>
      <c r="AC663" s="28">
        <f t="array" ref="AC663">XLOOKUP(V663,products_master_corrected!$A$2:$A$151,products_master_corrected!$E$2:$E$151)</f>
        <v>1071.06</v>
      </c>
      <c r="AD663" s="28">
        <f t="shared" si="76"/>
        <v>1071.06</v>
      </c>
      <c r="AE663" s="28">
        <f t="array" ref="AE663">XLOOKUP(V663,products_master_corrected!$A$2:$A$151,products_master_corrected!$K$2:$K$151)</f>
        <v>5510.6</v>
      </c>
      <c r="AF663" s="29">
        <f t="shared" si="77"/>
        <v>5510.6</v>
      </c>
      <c r="AG663" s="30" t="s">
        <v>95</v>
      </c>
      <c r="AH663" s="2" t="s">
        <v>664</v>
      </c>
      <c r="AI663" s="10" t="s">
        <v>66</v>
      </c>
      <c r="AJ663" s="2" t="s">
        <v>3991</v>
      </c>
      <c r="AK663" s="10" t="s">
        <v>192</v>
      </c>
    </row>
    <row r="664" ht="15.75" customHeight="1">
      <c r="A664" s="2" t="s">
        <v>4258</v>
      </c>
      <c r="B664" s="12">
        <v>45385.0</v>
      </c>
      <c r="C664" s="2" t="str">
        <f>IFERROR(__xludf.DUMMYFUNCTION("IF(ISNUMBER(B664),TEXT(B664,""yyyy-MM-dd""),REGEXREPLACE(REGEXREPLACE(TO_TEXT(B664),""[^0-9a-zA-Z]+"",""-""),""[^0-9]*$"",""""))"),"2024-04-03")</f>
        <v>2024-04-03</v>
      </c>
      <c r="D664" s="2" t="s">
        <v>8821</v>
      </c>
      <c r="H664" s="10" t="s">
        <v>8821</v>
      </c>
      <c r="I664" s="2" t="s">
        <v>4260</v>
      </c>
      <c r="J664" s="26" t="str">
        <f t="array" ref="J664">IF(ISNA(XLOOKUP(I664,customers_clean!$A$2:$A$701,customers_clean!$A$2:$A$701, NA()) ),
   "❌ MISSING CUSTOMER", "✅")</f>
        <v>✅</v>
      </c>
      <c r="K664" s="2" t="str">
        <f t="array" ref="K664">XLOOKUP(I664,customers_clean!$A$2:$A$701,customers_clean!$C$2:$C$701)</f>
        <v>Qi Smith</v>
      </c>
      <c r="L664" s="10" t="str">
        <f t="array" ref="L664">XLOOKUP(I664,customers_clean!$A$2:$A$701,customers_clean!$D$2:$D$701)</f>
        <v>Qi Smith</v>
      </c>
      <c r="M664" s="2" t="str">
        <f t="array" ref="M664">XLOOKUP(I664,customers_clean!$A$2:$A$701,customers_clean!$I$2:$I$701)</f>
        <v>qi.smith@yahoo.com</v>
      </c>
      <c r="N664" s="10" t="str">
        <f t="array" ref="N664">XLOOKUP(I664,customers_clean!$A$2:$A$701,customers_clean!$H$2:$H$701)</f>
        <v>qi.smith@yahoo.com</v>
      </c>
      <c r="O664" s="9" t="str">
        <f>IFERROR(__xludf.DUMMYFUNCTION("IF(REGEXMATCH(TRIM(N664),""^[A-Za-z0-9._%+-]+@[A-Za-z0-9.-]+\.[A-Za-z]{2,}$""),""✅ Valid"",""❌ Invalid"")"),"✅ Valid")</f>
        <v>✅ Valid</v>
      </c>
      <c r="P664" s="33" t="str">
        <f t="array" ref="P664">XLOOKUP(I664,customers_clean!$A$2:$A$701,customers_clean!$K$2:$K$701)</f>
        <v>501-852-915</v>
      </c>
      <c r="Q664" s="10" t="str">
        <f t="array" ref="Q664">XLOOKUP(I664,customers_clean!$A$2:$A$701,customers_clean!$N$2:$N$701)</f>
        <v>501852915</v>
      </c>
      <c r="R664" s="9" t="str">
        <f t="array" ref="R664">XLOOKUP(I664,customers_clean!$A$2:$A$701,customers_clean!$Q$2:$Q$701)</f>
        <v>✅ VALID</v>
      </c>
      <c r="S664" s="10" t="s">
        <v>448</v>
      </c>
      <c r="T664" s="2" t="s">
        <v>479</v>
      </c>
      <c r="U664" s="2" t="s">
        <v>365</v>
      </c>
      <c r="V664" s="2" t="s">
        <v>1597</v>
      </c>
      <c r="W664" s="9" t="str">
        <f t="array" ref="W664">IF(ISNA(XLOOKUP(V664,products_master_corrected!$A$2:$A$151,products_master_corrected!$A$2:$A$151, NA())),
    "❌ MISSING SKU", "✅")</f>
        <v>✅</v>
      </c>
      <c r="X664" s="2" t="s">
        <v>502</v>
      </c>
      <c r="Y664" s="2" t="s">
        <v>355</v>
      </c>
      <c r="Z664" s="10" t="s">
        <v>355</v>
      </c>
      <c r="AA664" s="27">
        <v>5.0</v>
      </c>
      <c r="AB664" s="9" t="s">
        <v>8649</v>
      </c>
      <c r="AC664" s="28">
        <f t="array" ref="AC664">XLOOKUP(V664,products_master_corrected!$A$2:$A$151,products_master_corrected!$E$2:$E$151)</f>
        <v>1002.55</v>
      </c>
      <c r="AD664" s="28">
        <f t="shared" si="76"/>
        <v>5012.75</v>
      </c>
      <c r="AE664" s="28">
        <f t="array" ref="AE664">XLOOKUP(V664,products_master_corrected!$A$2:$A$151,products_master_corrected!$M$2:$M$151)</f>
        <v>1212.68</v>
      </c>
      <c r="AF664" s="29">
        <f t="shared" si="77"/>
        <v>6063.4</v>
      </c>
      <c r="AG664" s="30" t="s">
        <v>48</v>
      </c>
      <c r="AH664" s="2" t="s">
        <v>66</v>
      </c>
      <c r="AI664" s="10" t="s">
        <v>66</v>
      </c>
      <c r="AJ664" s="2" t="s">
        <v>1171</v>
      </c>
      <c r="AK664" s="10" t="s">
        <v>80</v>
      </c>
    </row>
    <row r="665" ht="15.75" customHeight="1">
      <c r="A665" s="2" t="s">
        <v>4773</v>
      </c>
      <c r="B665" s="12">
        <v>45102.72638888889</v>
      </c>
      <c r="C665" s="2" t="str">
        <f>IFERROR(__xludf.DUMMYFUNCTION("IF(ISNUMBER(B665),TEXT(B665,""yyyy-MM-dd""),REGEXREPLACE(REGEXREPLACE(TO_TEXT(B665),""[^0-9a-zA-Z]+"",""-""),""[^0-9]*$"",""""))"),"2023-06-25")</f>
        <v>2023-06-25</v>
      </c>
      <c r="D665" s="2" t="s">
        <v>8902</v>
      </c>
      <c r="H665" s="10" t="s">
        <v>8902</v>
      </c>
      <c r="I665" s="2" t="s">
        <v>4775</v>
      </c>
      <c r="J665" s="26" t="str">
        <f t="array" ref="J665">IF(ISNA(XLOOKUP(I665,customers_clean!$A$2:$A$701,customers_clean!$A$2:$A$701, NA()) ),
   "❌ MISSING CUSTOMER", "✅")</f>
        <v>✅</v>
      </c>
      <c r="K665" s="2" t="str">
        <f t="array" ref="K665">XLOOKUP(I665,customers_clean!$A$2:$A$701,customers_clean!$C$2:$C$701)</f>
        <v>Omar Johnson</v>
      </c>
      <c r="L665" s="10" t="str">
        <f t="array" ref="L665">XLOOKUP(I665,customers_clean!$A$2:$A$701,customers_clean!$D$2:$D$701)</f>
        <v>Omar Johnson</v>
      </c>
      <c r="M665" s="2" t="str">
        <f t="array" ref="M665">XLOOKUP(I665,customers_clean!$A$2:$A$701,customers_clean!$I$2:$I$701)</f>
        <v>omar.johnson@examlpe.com</v>
      </c>
      <c r="N665" s="10" t="str">
        <f t="array" ref="N665">XLOOKUP(I665,customers_clean!$A$2:$A$701,customers_clean!$H$2:$H$701)</f>
        <v>omar.johnson@examlpe.com</v>
      </c>
      <c r="O665" s="9" t="str">
        <f>IFERROR(__xludf.DUMMYFUNCTION("IF(REGEXMATCH(TRIM(N665),""^[A-Za-z0-9._%+-]+@[A-Za-z0-9.-]+\.[A-Za-z]{2,}$""),""✅ Valid"",""❌ Invalid"")"),"✅ Valid")</f>
        <v>✅ Valid</v>
      </c>
      <c r="P665" s="2">
        <f t="array" ref="P665">XLOOKUP(I665,customers_clean!$A$2:$A$701,customers_clean!$K$2:$K$701)</f>
        <v>4996993080831</v>
      </c>
      <c r="Q665" s="10" t="str">
        <f t="array" ref="Q665">XLOOKUP(I665,customers_clean!$A$2:$A$701,customers_clean!$N$2:$N$701)</f>
        <v>96993080831</v>
      </c>
      <c r="R665" s="9" t="str">
        <f t="array" ref="R665">XLOOKUP(I665,customers_clean!$A$2:$A$701,customers_clean!$Q$2:$Q$701)</f>
        <v>❌ INVALID</v>
      </c>
      <c r="S665" s="10" t="s">
        <v>448</v>
      </c>
      <c r="T665" s="2" t="s">
        <v>26</v>
      </c>
      <c r="U665" s="2" t="s">
        <v>352</v>
      </c>
      <c r="V665" s="2" t="s">
        <v>803</v>
      </c>
      <c r="W665" s="9" t="str">
        <f t="array" ref="W665">IF(ISNA(XLOOKUP(V665,products_master_corrected!$A$2:$A$151,products_master_corrected!$A$2:$A$151, NA())),
    "❌ MISSING SKU", "✅")</f>
        <v>✅</v>
      </c>
      <c r="X665" s="2" t="s">
        <v>804</v>
      </c>
      <c r="Y665" s="2" t="s">
        <v>805</v>
      </c>
      <c r="Z665" s="10" t="s">
        <v>355</v>
      </c>
      <c r="AA665" s="27">
        <v>1.0</v>
      </c>
      <c r="AB665" s="9" t="s">
        <v>8649</v>
      </c>
      <c r="AC665" s="28">
        <f t="array" ref="AC665">XLOOKUP(V665,products_master_corrected!$A$2:$A$151,products_master_corrected!$E$2:$E$151)</f>
        <v>20.39</v>
      </c>
      <c r="AD665" s="28">
        <f t="shared" si="76"/>
        <v>20.39</v>
      </c>
      <c r="AE665" s="28">
        <f t="array" ref="AE665">XLOOKUP(V665,products_master_corrected!$A$2:$A$151,products_master_corrected!$M$2:$M$151)</f>
        <v>24.66</v>
      </c>
      <c r="AF665" s="29">
        <f t="shared" si="77"/>
        <v>24.66</v>
      </c>
      <c r="AG665" s="30" t="s">
        <v>48</v>
      </c>
      <c r="AH665" s="2" t="s">
        <v>370</v>
      </c>
      <c r="AI665" s="10" t="s">
        <v>143</v>
      </c>
      <c r="AJ665" s="2" t="s">
        <v>158</v>
      </c>
      <c r="AK665" s="10" t="s">
        <v>818</v>
      </c>
      <c r="AL665" s="2" t="s">
        <v>81</v>
      </c>
    </row>
    <row r="666" ht="15.75" customHeight="1">
      <c r="A666" s="2" t="s">
        <v>2546</v>
      </c>
      <c r="B666" s="12">
        <v>45175.0</v>
      </c>
      <c r="C666" s="2" t="str">
        <f>IFERROR(__xludf.DUMMYFUNCTION("IF(ISNUMBER(B666),TEXT(B666,""yyyy-MM-dd""),REGEXREPLACE(REGEXREPLACE(TO_TEXT(B666),""[^0-9a-zA-Z]+"",""-""),""[^0-9]*$"",""""))"),"2023-09-06")</f>
        <v>2023-09-06</v>
      </c>
      <c r="D666" s="2" t="s">
        <v>8720</v>
      </c>
      <c r="H666" s="10" t="s">
        <v>8720</v>
      </c>
      <c r="I666" s="2" t="s">
        <v>2548</v>
      </c>
      <c r="J666" s="26" t="str">
        <f t="array" ref="J666">IF(ISNA(XLOOKUP(I666,customers_clean!$A$2:$A$701,customers_clean!$A$2:$A$701, NA()) ),
   "❌ MISSING CUSTOMER", "✅")</f>
        <v>✅</v>
      </c>
      <c r="K666" s="2" t="str">
        <f t="array" ref="K666">XLOOKUP(I666,customers_clean!$A$2:$A$701,customers_clean!$C$2:$C$701)</f>
        <v>Uma  Garcia</v>
      </c>
      <c r="L666" s="10" t="str">
        <f t="array" ref="L666">XLOOKUP(I666,customers_clean!$A$2:$A$701,customers_clean!$D$2:$D$701)</f>
        <v>Uma Garcia</v>
      </c>
      <c r="M666" s="2" t="str">
        <f t="array" ref="M666">XLOOKUP(I666,customers_clean!$A$2:$A$701,customers_clean!$I$2:$I$701)</f>
        <v>um.agarcia@gmail.com</v>
      </c>
      <c r="N666" s="10" t="str">
        <f t="array" ref="N666">XLOOKUP(I666,customers_clean!$A$2:$A$701,customers_clean!$H$2:$H$701)</f>
        <v>um.agarcia@gmail.com</v>
      </c>
      <c r="O666" s="9" t="str">
        <f>IFERROR(__xludf.DUMMYFUNCTION("IF(REGEXMATCH(TRIM(N666),""^[A-Za-z0-9._%+-]+@[A-Za-z0-9.-]+\.[A-Za-z]{2,}$""),""✅ Valid"",""❌ Invalid"")"),"✅ Valid")</f>
        <v>✅ Valid</v>
      </c>
      <c r="P666" s="2" t="str">
        <f t="array" ref="P666">XLOOKUP(I666,customers_clean!$A$2:$A$701,customers_clean!$K$2:$K$701)</f>
        <v>101-515-19600</v>
      </c>
      <c r="Q666" s="10" t="str">
        <f t="array" ref="Q666">XLOOKUP(I666,customers_clean!$A$2:$A$701,customers_clean!$N$2:$N$701)</f>
        <v>0151519600</v>
      </c>
      <c r="R666" s="9" t="str">
        <f t="array" ref="R666">XLOOKUP(I666,customers_clean!$A$2:$A$701,customers_clean!$Q$2:$Q$701)</f>
        <v>❌ INVALID</v>
      </c>
      <c r="S666" s="10" t="s">
        <v>88</v>
      </c>
      <c r="T666" s="2" t="s">
        <v>59</v>
      </c>
      <c r="U666" s="2" t="s">
        <v>103</v>
      </c>
      <c r="V666" s="2" t="s">
        <v>481</v>
      </c>
      <c r="W666" s="9" t="str">
        <f t="array" ref="W666">IF(ISNA(XLOOKUP(V666,products_master_corrected!$A$2:$A$151,products_master_corrected!$A$2:$A$151, NA())),
    "❌ MISSING SKU", "✅")</f>
        <v>✅</v>
      </c>
      <c r="X666" s="2" t="s">
        <v>291</v>
      </c>
      <c r="Y666" s="2" t="s">
        <v>482</v>
      </c>
      <c r="Z666" s="10" t="s">
        <v>63</v>
      </c>
      <c r="AA666" s="27">
        <v>1.0</v>
      </c>
      <c r="AB666" s="9" t="s">
        <v>8649</v>
      </c>
      <c r="AC666" s="28">
        <f t="array" ref="AC666">XLOOKUP(V666,products_master_corrected!$A$2:$A$151,products_master_corrected!$E$2:$E$151)</f>
        <v>190.18</v>
      </c>
      <c r="AD666" s="28">
        <f t="shared" si="76"/>
        <v>190.18</v>
      </c>
      <c r="AE666" s="28">
        <f t="array" ref="AE666">XLOOKUP(V666,products_master_corrected!$A$2:$A$151,products_master_corrected!$I$2:$I$151)</f>
        <v>209.65</v>
      </c>
      <c r="AF666" s="29">
        <f t="shared" si="77"/>
        <v>209.65</v>
      </c>
      <c r="AG666" s="32" t="s">
        <v>8660</v>
      </c>
      <c r="AH666" s="2" t="s">
        <v>66</v>
      </c>
      <c r="AI666" s="10" t="s">
        <v>66</v>
      </c>
      <c r="AJ666" s="2" t="s">
        <v>192</v>
      </c>
      <c r="AK666" s="10" t="s">
        <v>192</v>
      </c>
      <c r="AL666" s="2" t="s">
        <v>67</v>
      </c>
    </row>
    <row r="667" ht="15.75" customHeight="1">
      <c r="A667" s="2" t="s">
        <v>6144</v>
      </c>
      <c r="B667" s="12">
        <v>45035.0</v>
      </c>
      <c r="C667" s="2" t="str">
        <f>IFERROR(__xludf.DUMMYFUNCTION("IF(ISNUMBER(B667),TEXT(B667,""yyyy-MM-dd""),REGEXREPLACE(REGEXREPLACE(TO_TEXT(B667),""[^0-9a-zA-Z]+"",""-""),""[^0-9]*$"",""""))"),"2023-04-19")</f>
        <v>2023-04-19</v>
      </c>
      <c r="D667" s="2" t="s">
        <v>7820</v>
      </c>
      <c r="H667" s="10" t="s">
        <v>7820</v>
      </c>
      <c r="I667" s="2" t="s">
        <v>6146</v>
      </c>
      <c r="J667" s="26" t="str">
        <f t="array" ref="J667">IF(ISNA(XLOOKUP(I667,customers_clean!$A$2:$A$701,customers_clean!$A$2:$A$701, NA()) ),
   "❌ MISSING CUSTOMER", "✅")</f>
        <v>✅</v>
      </c>
      <c r="K667" s="2" t="str">
        <f t="array" ref="K667">XLOOKUP(I667,customers_clean!$A$2:$A$701,customers_clean!$C$2:$C$701)</f>
        <v>Daria Rossi </v>
      </c>
      <c r="L667" s="10" t="str">
        <f t="array" ref="L667">XLOOKUP(I667,customers_clean!$A$2:$A$701,customers_clean!$D$2:$D$701)</f>
        <v>Daria Rossi</v>
      </c>
      <c r="M667" s="2" t="str">
        <f t="array" ref="M667">XLOOKUP(I667,customers_clean!$A$2:$A$701,customers_clean!$I$2:$I$701)</f>
        <v> daria.rossi@shop.io</v>
      </c>
      <c r="N667" s="10" t="str">
        <f t="array" ref="N667">XLOOKUP(I667,customers_clean!$A$2:$A$701,customers_clean!$H$2:$H$701)</f>
        <v>daria.rossi@shop.io</v>
      </c>
      <c r="O667" s="9" t="str">
        <f>IFERROR(__xludf.DUMMYFUNCTION("IF(REGEXMATCH(TRIM(N667),""^[A-Za-z0-9._%+-]+@[A-Za-z0-9.-]+\.[A-Za-z]{2,}$""),""✅ Valid"",""❌ Invalid"")"),"✅ Valid")</f>
        <v>✅ Valid</v>
      </c>
      <c r="P667" s="2" t="str">
        <f t="array" ref="P667">XLOOKUP(I667,customers_clean!$A$2:$A$701,customers_clean!$K$2:$K$701)</f>
        <v>+44-038-2082463</v>
      </c>
      <c r="Q667" s="10" t="str">
        <f t="array" ref="Q667">XLOOKUP(I667,customers_clean!$A$2:$A$701,customers_clean!$N$2:$N$701)</f>
        <v>0382082463</v>
      </c>
      <c r="R667" s="9" t="str">
        <f t="array" ref="R667">XLOOKUP(I667,customers_clean!$A$2:$A$701,customers_clean!$Q$2:$Q$701)</f>
        <v>❌ INVALID</v>
      </c>
      <c r="S667" s="10" t="s">
        <v>139</v>
      </c>
      <c r="T667" s="2" t="s">
        <v>74</v>
      </c>
      <c r="U667" s="2" t="s">
        <v>401</v>
      </c>
      <c r="V667" s="2" t="s">
        <v>919</v>
      </c>
      <c r="W667" s="9" t="str">
        <f t="array" ref="W667">IF(ISNA(XLOOKUP(V667,products_master_corrected!$A$2:$A$151,products_master_corrected!$A$2:$A$151, NA())),
    "❌ MISSING SKU", "✅")</f>
        <v>✅</v>
      </c>
      <c r="X667" s="2" t="s">
        <v>423</v>
      </c>
      <c r="Y667" s="2" t="s">
        <v>179</v>
      </c>
      <c r="Z667" s="10" t="s">
        <v>179</v>
      </c>
      <c r="AA667" s="27">
        <v>1.0</v>
      </c>
      <c r="AB667" s="9" t="s">
        <v>8649</v>
      </c>
      <c r="AC667" s="28">
        <f t="array" ref="AC667">XLOOKUP(V667,products_master_corrected!$A$2:$A$151,products_master_corrected!$E$2:$E$151)</f>
        <v>52.04</v>
      </c>
      <c r="AD667" s="28">
        <f t="shared" si="76"/>
        <v>52.04</v>
      </c>
      <c r="AE667" s="28">
        <f t="array" ref="AE667">XLOOKUP(V667,products_master_corrected!$A$2:$A$151,products_master_corrected!$L$2:$L$151)</f>
        <v>56.28</v>
      </c>
      <c r="AF667" s="29">
        <f t="shared" si="77"/>
        <v>56.28</v>
      </c>
      <c r="AG667" s="32" t="s">
        <v>8665</v>
      </c>
      <c r="AH667" s="2" t="s">
        <v>505</v>
      </c>
      <c r="AI667" s="10" t="s">
        <v>181</v>
      </c>
      <c r="AJ667" s="2" t="s">
        <v>6150</v>
      </c>
      <c r="AK667" s="10" t="s">
        <v>818</v>
      </c>
    </row>
    <row r="668" ht="15.75" customHeight="1">
      <c r="A668" s="2" t="s">
        <v>951</v>
      </c>
      <c r="B668" s="12">
        <v>45443.0</v>
      </c>
      <c r="C668" s="2" t="str">
        <f>IFERROR(__xludf.DUMMYFUNCTION("IF(ISNUMBER(B668),TEXT(B668,""yyyy-MM-dd""),REGEXREPLACE(REGEXREPLACE(TO_TEXT(B668),""[^0-9a-zA-Z]+"",""-""),""[^0-9]*$"",""""))"),"2024-05-31")</f>
        <v>2024-05-31</v>
      </c>
      <c r="D668" s="2" t="s">
        <v>952</v>
      </c>
      <c r="H668" s="10" t="s">
        <v>952</v>
      </c>
      <c r="I668" s="2" t="s">
        <v>953</v>
      </c>
      <c r="J668" s="26" t="str">
        <f t="array" ref="J668">IF(ISNA(XLOOKUP(I668,customers_clean!$A$2:$A$701,customers_clean!$A$2:$A$701, NA()) ),
   "❌ MISSING CUSTOMER", "✅")</f>
        <v>✅</v>
      </c>
      <c r="K668" s="2" t="str">
        <f t="array" ref="K668">XLOOKUP(I668,customers_clean!$A$2:$A$701,customers_clean!$C$2:$C$701)</f>
        <v> Sam Rodriguez</v>
      </c>
      <c r="L668" s="10" t="str">
        <f t="array" ref="L668">XLOOKUP(I668,customers_clean!$A$2:$A$701,customers_clean!$D$2:$D$701)</f>
        <v>Sam Rodriguez</v>
      </c>
      <c r="M668" s="2" t="str">
        <f t="array" ref="M668">XLOOKUP(I668,customers_clean!$A$2:$A$701,customers_clean!$I$2:$I$701)</f>
        <v>SAM.RODRIGUEZ@SHOP.IO</v>
      </c>
      <c r="N668" s="10" t="str">
        <f t="array" ref="N668">XLOOKUP(I668,customers_clean!$A$2:$A$701,customers_clean!$H$2:$H$701)</f>
        <v>sam.rodriguez@shop.io</v>
      </c>
      <c r="O668" s="9" t="str">
        <f>IFERROR(__xludf.DUMMYFUNCTION("IF(REGEXMATCH(TRIM(N668),""^[A-Za-z0-9._%+-]+@[A-Za-z0-9.-]+\.[A-Za-z]{2,}$""),""✅ Valid"",""❌ Invalid"")"),"✅ Valid")</f>
        <v>✅ Valid</v>
      </c>
      <c r="P668" s="2">
        <f t="array" ref="P668">XLOOKUP(I668,customers_clean!$A$2:$A$701,customers_clean!$K$2:$K$701)</f>
        <v>9210602</v>
      </c>
      <c r="Q668" s="10" t="str">
        <f t="array" ref="Q668">XLOOKUP(I668,customers_clean!$A$2:$A$701,customers_clean!$N$2:$N$701)</f>
        <v>9210602</v>
      </c>
      <c r="R668" s="9" t="str">
        <f t="array" ref="R668">XLOOKUP(I668,customers_clean!$A$2:$A$701,customers_clean!$Q$2:$Q$701)</f>
        <v>❌ INVALID</v>
      </c>
      <c r="S668" s="10" t="s">
        <v>114</v>
      </c>
      <c r="T668" s="2" t="s">
        <v>59</v>
      </c>
      <c r="U668" s="2" t="s">
        <v>211</v>
      </c>
      <c r="V668" s="2" t="s">
        <v>957</v>
      </c>
      <c r="W668" s="9" t="str">
        <f t="array" ref="W668">IF(ISNA(XLOOKUP(V668,products_master_corrected!$A$2:$A$151,products_master_corrected!$A$2:$A$151, NA())),
    "❌ MISSING SKU", "✅")</f>
        <v>✅</v>
      </c>
      <c r="X668" s="2" t="s">
        <v>403</v>
      </c>
      <c r="Y668" s="2" t="s">
        <v>167</v>
      </c>
      <c r="Z668" s="10" t="str">
        <f>PROPER(TRIM(Y668))</f>
        <v>Monitors</v>
      </c>
      <c r="AA668" s="27">
        <v>1.0</v>
      </c>
      <c r="AB668" s="9" t="s">
        <v>8649</v>
      </c>
      <c r="AC668" s="28">
        <f t="array" ref="AC668">XLOOKUP(V668,products_master_corrected!$A$2:$A$151,products_master_corrected!$E$2:$E$151)</f>
        <v>55.87</v>
      </c>
      <c r="AD668" s="28">
        <f t="shared" si="76"/>
        <v>55.87</v>
      </c>
      <c r="AE668" s="28">
        <f t="array" ref="AE668">XLOOKUP(V668,products_master_corrected!$A$2:$A$151,products_master_corrected!$F$2:$F$151)</f>
        <v>55.87</v>
      </c>
      <c r="AF668" s="29">
        <f t="shared" si="77"/>
        <v>55.87</v>
      </c>
      <c r="AG668" s="30" t="s">
        <v>65</v>
      </c>
      <c r="AH668" s="2" t="s">
        <v>414</v>
      </c>
      <c r="AI668" s="10" t="s">
        <v>49</v>
      </c>
      <c r="AJ668" s="2" t="s">
        <v>261</v>
      </c>
      <c r="AK668" s="10" t="s">
        <v>261</v>
      </c>
      <c r="AL668" s="2" t="s">
        <v>51</v>
      </c>
    </row>
    <row r="669" ht="15.75" customHeight="1">
      <c r="A669" s="2" t="s">
        <v>1527</v>
      </c>
      <c r="B669" s="12">
        <v>45517.825694444444</v>
      </c>
      <c r="C669" s="2" t="str">
        <f>IFERROR(__xludf.DUMMYFUNCTION("IF(ISNUMBER(B669),TEXT(B669,""yyyy-MM-dd""),REGEXREPLACE(REGEXREPLACE(TO_TEXT(B669),""[^0-9a-zA-Z]+"",""-""),""[^0-9]*$"",""""))"),"2024-08-13")</f>
        <v>2024-08-13</v>
      </c>
      <c r="D669" s="2" t="s">
        <v>8518</v>
      </c>
      <c r="H669" s="10" t="s">
        <v>8518</v>
      </c>
      <c r="I669" s="2" t="s">
        <v>953</v>
      </c>
      <c r="J669" s="26" t="str">
        <f t="array" ref="J669">IF(ISNA(XLOOKUP(I669,customers_clean!$A$2:$A$701,customers_clean!$A$2:$A$701, NA()) ),
   "❌ MISSING CUSTOMER", "✅")</f>
        <v>✅</v>
      </c>
      <c r="K669" s="2" t="str">
        <f t="array" ref="K669">XLOOKUP(I669,customers_clean!$A$2:$A$701,customers_clean!$C$2:$C$701)</f>
        <v> Sam Rodriguez</v>
      </c>
      <c r="L669" s="10" t="str">
        <f t="array" ref="L669">XLOOKUP(I669,customers_clean!$A$2:$A$701,customers_clean!$D$2:$D$701)</f>
        <v>Sam Rodriguez</v>
      </c>
      <c r="M669" s="2" t="str">
        <f t="array" ref="M669">XLOOKUP(I669,customers_clean!$A$2:$A$701,customers_clean!$I$2:$I$701)</f>
        <v>SAM.RODRIGUEZ@SHOP.IO</v>
      </c>
      <c r="N669" s="10" t="str">
        <f t="array" ref="N669">XLOOKUP(I669,customers_clean!$A$2:$A$701,customers_clean!$H$2:$H$701)</f>
        <v>sam.rodriguez@shop.io</v>
      </c>
      <c r="O669" s="9" t="str">
        <f>IFERROR(__xludf.DUMMYFUNCTION("IF(REGEXMATCH(TRIM(N669),""^[A-Za-z0-9._%+-]+@[A-Za-z0-9.-]+\.[A-Za-z]{2,}$""),""✅ Valid"",""❌ Invalid"")"),"✅ Valid")</f>
        <v>✅ Valid</v>
      </c>
      <c r="P669" s="2">
        <f t="array" ref="P669">XLOOKUP(I669,customers_clean!$A$2:$A$701,customers_clean!$K$2:$K$701)</f>
        <v>9210602</v>
      </c>
      <c r="Q669" s="10" t="str">
        <f t="array" ref="Q669">XLOOKUP(I669,customers_clean!$A$2:$A$701,customers_clean!$N$2:$N$701)</f>
        <v>9210602</v>
      </c>
      <c r="R669" s="9" t="str">
        <f t="array" ref="R669">XLOOKUP(I669,customers_clean!$A$2:$A$701,customers_clean!$Q$2:$Q$701)</f>
        <v>❌ INVALID</v>
      </c>
      <c r="S669" s="10" t="s">
        <v>114</v>
      </c>
      <c r="T669" s="2" t="s">
        <v>26</v>
      </c>
      <c r="U669" s="2" t="s">
        <v>352</v>
      </c>
      <c r="V669" s="2" t="s">
        <v>1529</v>
      </c>
      <c r="W669" s="9" t="str">
        <f t="array" ref="W669">IF(ISNA(XLOOKUP(V669,products_master_corrected!$A$2:$A$151,products_master_corrected!$A$2:$A$151, NA())),
    "❌ MISSING SKU", "✅")</f>
        <v>✅</v>
      </c>
      <c r="X669" s="2" t="s">
        <v>280</v>
      </c>
      <c r="Y669" s="2" t="s">
        <v>368</v>
      </c>
      <c r="Z669" s="10" t="s">
        <v>368</v>
      </c>
      <c r="AA669" s="27"/>
      <c r="AB669" s="9" t="s">
        <v>8677</v>
      </c>
      <c r="AC669" s="34"/>
      <c r="AD669" s="34"/>
      <c r="AE669" s="34"/>
      <c r="AF669" s="35"/>
      <c r="AG669" s="36" t="s">
        <v>65</v>
      </c>
      <c r="AH669" s="2" t="s">
        <v>181</v>
      </c>
      <c r="AI669" s="10" t="s">
        <v>181</v>
      </c>
      <c r="AJ669" s="2" t="s">
        <v>132</v>
      </c>
      <c r="AK669" s="10" t="s">
        <v>192</v>
      </c>
    </row>
    <row r="670" ht="15.75" customHeight="1">
      <c r="A670" s="2" t="s">
        <v>3085</v>
      </c>
      <c r="B670" s="12">
        <v>45122.0</v>
      </c>
      <c r="C670" s="2" t="str">
        <f>IFERROR(__xludf.DUMMYFUNCTION("IF(ISNUMBER(B670),TEXT(B670,""yyyy-MM-dd""),REGEXREPLACE(REGEXREPLACE(TO_TEXT(B670),""[^0-9a-zA-Z]+"",""-""),""[^0-9]*$"",""""))"),"2023-07-15")</f>
        <v>2023-07-15</v>
      </c>
      <c r="D670" s="2" t="s">
        <v>8903</v>
      </c>
      <c r="H670" s="10" t="s">
        <v>8903</v>
      </c>
      <c r="I670" s="2" t="s">
        <v>3087</v>
      </c>
      <c r="J670" s="26" t="str">
        <f t="array" ref="J670">IF(ISNA(XLOOKUP(I670,customers_clean!$A$2:$A$701,customers_clean!$A$2:$A$701, NA()) ),
   "❌ MISSING CUSTOMER", "✅")</f>
        <v>✅</v>
      </c>
      <c r="K670" s="2" t="str">
        <f t="array" ref="K670">XLOOKUP(I670,customers_clean!$A$2:$A$701,customers_clean!$C$2:$C$701)</f>
        <v>Bell aKing</v>
      </c>
      <c r="L670" s="10" t="str">
        <f t="array" ref="L670">XLOOKUP(I670,customers_clean!$A$2:$A$701,customers_clean!$D$2:$D$701)</f>
        <v>Bella King</v>
      </c>
      <c r="M670" s="2" t="str">
        <f t="array" ref="M670">XLOOKUP(I670,customers_clean!$A$2:$A$701,customers_clean!$I$2:$I$701)</f>
        <v>bella.king@example.com </v>
      </c>
      <c r="N670" s="10" t="str">
        <f t="array" ref="N670">XLOOKUP(I670,customers_clean!$A$2:$A$701,customers_clean!$H$2:$H$701)</f>
        <v>bella.king@example.com</v>
      </c>
      <c r="O670" s="9" t="str">
        <f>IFERROR(__xludf.DUMMYFUNCTION("IF(REGEXMATCH(TRIM(N670),""^[A-Za-z0-9._%+-]+@[A-Za-z0-9.-]+\.[A-Za-z]{2,}$""),""✅ Valid"",""❌ Invalid"")"),"✅ Valid")</f>
        <v>✅ Valid</v>
      </c>
      <c r="P670" s="2" t="str">
        <f t="array" ref="P670">XLOOKUP(I670,customers_clean!$A$2:$A$701,customers_clean!$K$2:$K$701)</f>
        <v>none</v>
      </c>
      <c r="Q670" s="10" t="str">
        <f t="array" ref="Q670">XLOOKUP(I670,customers_clean!$A$2:$A$701,customers_clean!$N$2:$N$701)</f>
        <v/>
      </c>
      <c r="R670" s="9" t="str">
        <f t="array" ref="R670">XLOOKUP(I670,customers_clean!$A$2:$A$701,customers_clean!$Q$2:$Q$701)</f>
        <v>❌ INVALID</v>
      </c>
      <c r="S670" s="10" t="s">
        <v>114</v>
      </c>
      <c r="T670" s="2" t="s">
        <v>802</v>
      </c>
      <c r="U670" s="2" t="s">
        <v>43</v>
      </c>
      <c r="V670" s="2" t="s">
        <v>1926</v>
      </c>
      <c r="W670" s="9" t="str">
        <f t="array" ref="W670">IF(ISNA(XLOOKUP(V670,products_master_corrected!$A$2:$A$151,products_master_corrected!$A$2:$A$151, NA())),
    "❌ MISSING SKU", "✅")</f>
        <v>✅</v>
      </c>
      <c r="X670" s="2" t="s">
        <v>1927</v>
      </c>
      <c r="Y670" s="2" t="s">
        <v>63</v>
      </c>
      <c r="Z670" s="10" t="s">
        <v>63</v>
      </c>
      <c r="AA670" s="27">
        <v>1.0</v>
      </c>
      <c r="AB670" s="9" t="s">
        <v>8649</v>
      </c>
      <c r="AC670" s="28">
        <f t="array" ref="AC670">XLOOKUP(V670,products_master_corrected!$A$2:$A$151,products_master_corrected!$E$2:$E$151)</f>
        <v>452.71</v>
      </c>
      <c r="AD670" s="28">
        <f t="shared" ref="AD670:AD704" si="78">AA670*AC670</f>
        <v>452.71</v>
      </c>
      <c r="AE670" s="28">
        <f t="array" ref="AE670">XLOOKUP(V670,products_master_corrected!$A$2:$A$151,products_master_corrected!$F$2:$F$151)</f>
        <v>452.71</v>
      </c>
      <c r="AF670" s="29">
        <f t="shared" ref="AF670:AF704" si="79">AA670*AE670</f>
        <v>452.71</v>
      </c>
      <c r="AG670" s="30" t="s">
        <v>65</v>
      </c>
      <c r="AH670" s="2" t="s">
        <v>49</v>
      </c>
      <c r="AI670" s="10" t="s">
        <v>49</v>
      </c>
      <c r="AJ670" s="2" t="s">
        <v>120</v>
      </c>
      <c r="AK670" s="10" t="s">
        <v>818</v>
      </c>
      <c r="AL670" s="2" t="s">
        <v>133</v>
      </c>
    </row>
    <row r="671" ht="15.75" customHeight="1">
      <c r="A671" s="2" t="s">
        <v>3599</v>
      </c>
      <c r="B671" s="12" t="s">
        <v>3600</v>
      </c>
      <c r="C671" s="2" t="str">
        <f>IFERROR(__xludf.DUMMYFUNCTION("IF(ISNUMBER(B671),TEXT(B671,""yyyy-MM-dd""),REGEXREPLACE(REGEXREPLACE(TO_TEXT(B671),""[^0-9a-zA-Z]+"",""-""),""[^0-9]*$"",""""))"),"22-01-2025")</f>
        <v>22-01-2025</v>
      </c>
      <c r="D671" s="2" t="s">
        <v>8904</v>
      </c>
      <c r="H671" s="10" t="s">
        <v>8904</v>
      </c>
      <c r="I671" s="2" t="s">
        <v>3087</v>
      </c>
      <c r="J671" s="26" t="str">
        <f t="array" ref="J671">IF(ISNA(XLOOKUP(I671,customers_clean!$A$2:$A$701,customers_clean!$A$2:$A$701, NA()) ),
   "❌ MISSING CUSTOMER", "✅")</f>
        <v>✅</v>
      </c>
      <c r="K671" s="2" t="str">
        <f t="array" ref="K671">XLOOKUP(I671,customers_clean!$A$2:$A$701,customers_clean!$C$2:$C$701)</f>
        <v>Bell aKing</v>
      </c>
      <c r="L671" s="10" t="str">
        <f t="array" ref="L671">XLOOKUP(I671,customers_clean!$A$2:$A$701,customers_clean!$D$2:$D$701)</f>
        <v>Bella King</v>
      </c>
      <c r="M671" s="2" t="str">
        <f t="array" ref="M671">XLOOKUP(I671,customers_clean!$A$2:$A$701,customers_clean!$I$2:$I$701)</f>
        <v>bella.king@example.com </v>
      </c>
      <c r="N671" s="10" t="str">
        <f t="array" ref="N671">XLOOKUP(I671,customers_clean!$A$2:$A$701,customers_clean!$H$2:$H$701)</f>
        <v>bella.king@example.com</v>
      </c>
      <c r="O671" s="9" t="str">
        <f>IFERROR(__xludf.DUMMYFUNCTION("IF(REGEXMATCH(TRIM(N671),""^[A-Za-z0-9._%+-]+@[A-Za-z0-9.-]+\.[A-Za-z]{2,}$""),""✅ Valid"",""❌ Invalid"")"),"✅ Valid")</f>
        <v>✅ Valid</v>
      </c>
      <c r="P671" s="2" t="str">
        <f t="array" ref="P671">XLOOKUP(I671,customers_clean!$A$2:$A$701,customers_clean!$K$2:$K$701)</f>
        <v>none</v>
      </c>
      <c r="Q671" s="10" t="str">
        <f t="array" ref="Q671">XLOOKUP(I671,customers_clean!$A$2:$A$701,customers_clean!$N$2:$N$701)</f>
        <v/>
      </c>
      <c r="R671" s="9" t="str">
        <f t="array" ref="R671">XLOOKUP(I671,customers_clean!$A$2:$A$701,customers_clean!$Q$2:$Q$701)</f>
        <v>❌ INVALID</v>
      </c>
      <c r="S671" s="10" t="s">
        <v>114</v>
      </c>
      <c r="T671" s="2" t="s">
        <v>234</v>
      </c>
      <c r="U671" s="2" t="s">
        <v>522</v>
      </c>
      <c r="V671" s="2" t="s">
        <v>2483</v>
      </c>
      <c r="W671" s="9" t="str">
        <f t="array" ref="W671">IF(ISNA(XLOOKUP(V671,products_master_corrected!$A$2:$A$151,products_master_corrected!$A$2:$A$151, NA())),
    "❌ MISSING SKU", "✅")</f>
        <v>✅</v>
      </c>
      <c r="X671" s="2" t="s">
        <v>280</v>
      </c>
      <c r="Y671" s="2" t="s">
        <v>503</v>
      </c>
      <c r="Z671" s="10" t="str">
        <f>PROPER(TRIM(Y671))</f>
        <v>Monitors</v>
      </c>
      <c r="AA671" s="27">
        <v>2.0</v>
      </c>
      <c r="AB671" s="9" t="s">
        <v>8649</v>
      </c>
      <c r="AC671" s="28">
        <f t="array" ref="AC671">XLOOKUP(V671,products_master_corrected!$A$2:$A$151,products_master_corrected!$E$2:$E$151)</f>
        <v>76.81</v>
      </c>
      <c r="AD671" s="28">
        <f t="shared" si="78"/>
        <v>153.62</v>
      </c>
      <c r="AE671" s="28">
        <f t="array" ref="AE671">XLOOKUP(V671,products_master_corrected!$A$2:$A$151,products_master_corrected!$F$2:$F$151)</f>
        <v>76.81</v>
      </c>
      <c r="AF671" s="29">
        <f t="shared" si="79"/>
        <v>153.62</v>
      </c>
      <c r="AG671" s="30" t="s">
        <v>65</v>
      </c>
      <c r="AH671" s="2" t="s">
        <v>33</v>
      </c>
      <c r="AI671" s="10" t="s">
        <v>181</v>
      </c>
      <c r="AJ671" s="2" t="s">
        <v>294</v>
      </c>
      <c r="AK671" s="10" t="s">
        <v>80</v>
      </c>
    </row>
    <row r="672" ht="15.75" customHeight="1">
      <c r="A672" s="2" t="s">
        <v>2220</v>
      </c>
      <c r="B672" s="12">
        <v>45574.0</v>
      </c>
      <c r="C672" s="2" t="str">
        <f>IFERROR(__xludf.DUMMYFUNCTION("IF(ISNUMBER(B672),TEXT(B672,""yyyy-MM-dd""),REGEXREPLACE(REGEXREPLACE(TO_TEXT(B672),""[^0-9a-zA-Z]+"",""-""),""[^0-9]*$"",""""))"),"2024-10-09")</f>
        <v>2024-10-09</v>
      </c>
      <c r="D672" s="2" t="s">
        <v>8798</v>
      </c>
      <c r="H672" s="10" t="s">
        <v>8798</v>
      </c>
      <c r="I672" s="2" t="s">
        <v>2222</v>
      </c>
      <c r="J672" s="26" t="str">
        <f t="array" ref="J672">IF(ISNA(XLOOKUP(I672,customers_clean!$A$2:$A$701,customers_clean!$A$2:$A$701, NA()) ),
   "❌ MISSING CUSTOMER", "✅")</f>
        <v>✅</v>
      </c>
      <c r="K672" s="2" t="str">
        <f t="array" ref="K672">XLOOKUP(I672,customers_clean!$A$2:$A$701,customers_clean!$C$2:$C$701)</f>
        <v>Qi Young</v>
      </c>
      <c r="L672" s="10" t="str">
        <f t="array" ref="L672">XLOOKUP(I672,customers_clean!$A$2:$A$701,customers_clean!$D$2:$D$701)</f>
        <v>Qi Young</v>
      </c>
      <c r="M672" s="2" t="str">
        <f t="array" ref="M672">XLOOKUP(I672,customers_clean!$A$2:$A$701,customers_clean!$I$2:$I$701)</f>
        <v/>
      </c>
      <c r="N672" s="10" t="str">
        <f t="array" ref="N672">XLOOKUP(I672,customers_clean!$A$2:$A$701,customers_clean!$H$2:$H$701)</f>
        <v/>
      </c>
      <c r="O672" s="9" t="str">
        <f>IFERROR(__xludf.DUMMYFUNCTION("IF(REGEXMATCH(TRIM(N672),""^[A-Za-z0-9._%+-]+@[A-Za-z0-9.-]+\.[A-Za-z]{2,}$""),""✅ Valid"",""❌ Invalid"")"),"❌ Invalid")</f>
        <v>❌ Invalid</v>
      </c>
      <c r="P672" s="2" t="str">
        <f t="array" ref="P672">XLOOKUP(I672,customers_clean!$A$2:$A$701,customers_clean!$K$2:$K$701)</f>
        <v>04523 550 365 </v>
      </c>
      <c r="Q672" s="10" t="str">
        <f t="array" ref="Q672">XLOOKUP(I672,customers_clean!$A$2:$A$701,customers_clean!$N$2:$N$701)</f>
        <v/>
      </c>
      <c r="R672" s="9" t="str">
        <f t="array" ref="R672">XLOOKUP(I672,customers_clean!$A$2:$A$701,customers_clean!$Q$2:$Q$701)</f>
        <v/>
      </c>
      <c r="S672" s="10" t="s">
        <v>608</v>
      </c>
      <c r="T672" s="2" t="s">
        <v>234</v>
      </c>
      <c r="U672" s="2" t="s">
        <v>2226</v>
      </c>
      <c r="V672" s="2" t="s">
        <v>1722</v>
      </c>
      <c r="W672" s="9" t="str">
        <f t="array" ref="W672">IF(ISNA(XLOOKUP(V672,products_master_corrected!$A$2:$A$151,products_master_corrected!$A$2:$A$151, NA())),
    "❌ MISSING SKU", "✅")</f>
        <v>✅</v>
      </c>
      <c r="X672" s="2" t="s">
        <v>804</v>
      </c>
      <c r="Y672" s="2" t="s">
        <v>368</v>
      </c>
      <c r="Z672" s="10" t="s">
        <v>368</v>
      </c>
      <c r="AA672" s="27">
        <v>3.0</v>
      </c>
      <c r="AB672" s="9" t="s">
        <v>8649</v>
      </c>
      <c r="AC672" s="28">
        <f t="array" ref="AC672">XLOOKUP(V672,products_master_corrected!$A$2:$A$151,products_master_corrected!$E$2:$E$151)</f>
        <v>13.05</v>
      </c>
      <c r="AD672" s="28">
        <f t="shared" si="78"/>
        <v>39.15</v>
      </c>
      <c r="AE672" s="28">
        <f t="array" ref="AE672">XLOOKUP(V672,products_master_corrected!$A$2:$A$151,products_master_corrected!$H$2:$H$151)</f>
        <v>14.66</v>
      </c>
      <c r="AF672" s="29">
        <f t="shared" si="79"/>
        <v>43.98</v>
      </c>
      <c r="AG672" s="32" t="s">
        <v>8658</v>
      </c>
      <c r="AH672" s="2" t="s">
        <v>33</v>
      </c>
      <c r="AI672" s="10" t="s">
        <v>181</v>
      </c>
      <c r="AJ672" s="2" t="s">
        <v>432</v>
      </c>
      <c r="AK672" s="10" t="s">
        <v>80</v>
      </c>
      <c r="AL672" s="2" t="s">
        <v>51</v>
      </c>
    </row>
    <row r="673" ht="15.75" customHeight="1">
      <c r="A673" s="2" t="s">
        <v>4197</v>
      </c>
      <c r="B673" s="12" t="s">
        <v>4198</v>
      </c>
      <c r="C673" s="2" t="str">
        <f>IFERROR(__xludf.DUMMYFUNCTION("IF(ISNUMBER(B673),TEXT(B673,""yyyy-MM-dd""),REGEXREPLACE(REGEXREPLACE(TO_TEXT(B673),""[^0-9a-zA-Z]+"",""-""),""[^0-9]*$"",""""))"),"45713-08-40")</f>
        <v>45713-08-40</v>
      </c>
      <c r="D673" s="2" t="str">
        <f>TEXT(C673,"yyyy-MM-dd")</f>
        <v>45713-08-40</v>
      </c>
      <c r="E673" s="25" t="str">
        <f>CONCATENATE(LEFT(D673,5))</f>
        <v>45713</v>
      </c>
      <c r="F673" s="12">
        <f>DATE(1900,1,1) + E673 - 1</f>
        <v>45714</v>
      </c>
      <c r="G673" s="2" t="s">
        <v>8905</v>
      </c>
      <c r="H673" s="10" t="s">
        <v>8905</v>
      </c>
      <c r="I673" s="2" t="s">
        <v>2029</v>
      </c>
      <c r="J673" s="26" t="str">
        <f t="array" ref="J673">IF(ISNA(XLOOKUP(I673,customers_clean!$A$2:$A$701,customers_clean!$A$2:$A$701, NA()) ),
   "❌ MISSING CUSTOMER", "✅")</f>
        <v>✅</v>
      </c>
      <c r="K673" s="2" t="str">
        <f t="array" ref="K673">XLOOKUP(I673,customers_clean!$A$2:$A$701,customers_clean!$C$2:$C$701)</f>
        <v> Paula Garcia</v>
      </c>
      <c r="L673" s="10" t="str">
        <f t="array" ref="L673">XLOOKUP(I673,customers_clean!$A$2:$A$701,customers_clean!$D$2:$D$701)</f>
        <v>Paula Garcia</v>
      </c>
      <c r="M673" s="2" t="str">
        <f t="array" ref="M673">XLOOKUP(I673,customers_clean!$A$2:$A$701,customers_clean!$I$2:$I$701)</f>
        <v>paula.garcia@yahoo.com </v>
      </c>
      <c r="N673" s="10" t="str">
        <f t="array" ref="N673">XLOOKUP(I673,customers_clean!$A$2:$A$701,customers_clean!$H$2:$H$701)</f>
        <v>paula.garcia@yahoo.com</v>
      </c>
      <c r="O673" s="9" t="str">
        <f>IFERROR(__xludf.DUMMYFUNCTION("IF(REGEXMATCH(TRIM(N673),""^[A-Za-z0-9._%+-]+@[A-Za-z0-9.-]+\.[A-Za-z]{2,}$""),""✅ Valid"",""❌ Invalid"")"),"✅ Valid")</f>
        <v>✅ Valid</v>
      </c>
      <c r="P673" s="2" t="str">
        <f t="array" ref="P673">XLOOKUP(I673,customers_clean!$A$2:$A$701,customers_clean!$K$2:$K$701)</f>
        <v>+1-414-591598</v>
      </c>
      <c r="Q673" s="10" t="str">
        <f t="array" ref="Q673">XLOOKUP(I673,customers_clean!$A$2:$A$701,customers_clean!$N$2:$N$701)</f>
        <v>414591598</v>
      </c>
      <c r="R673" s="9" t="str">
        <f t="array" ref="R673">XLOOKUP(I673,customers_clean!$A$2:$A$701,customers_clean!$Q$2:$Q$701)</f>
        <v>❌ INVALID</v>
      </c>
      <c r="S673" s="10" t="s">
        <v>25</v>
      </c>
      <c r="T673" s="2" t="s">
        <v>152</v>
      </c>
      <c r="U673" s="2" t="s">
        <v>4199</v>
      </c>
      <c r="V673" s="2" t="s">
        <v>513</v>
      </c>
      <c r="W673" s="9" t="str">
        <f t="array" ref="W673">IF(ISNA(XLOOKUP(V673,products_master_corrected!$A$2:$A$151,products_master_corrected!$A$2:$A$151, NA())),
    "❌ MISSING SKU", "✅")</f>
        <v>✅</v>
      </c>
      <c r="X673" s="2" t="s">
        <v>8673</v>
      </c>
      <c r="Y673" s="2" t="s">
        <v>514</v>
      </c>
      <c r="Z673" s="10" t="s">
        <v>514</v>
      </c>
      <c r="AA673" s="27">
        <v>2.0</v>
      </c>
      <c r="AB673" s="9" t="s">
        <v>8649</v>
      </c>
      <c r="AC673" s="28">
        <f t="array" ref="AC673">XLOOKUP(V673,products_master_corrected!$A$2:$A$151,products_master_corrected!$E$2:$E$151)</f>
        <v>275.56</v>
      </c>
      <c r="AD673" s="28">
        <f t="shared" si="78"/>
        <v>551.12</v>
      </c>
      <c r="AE673" s="28">
        <f t="array" ref="AE673">XLOOKUP(V673,products_master_corrected!$A$2:$A$151,products_master_corrected!$K$2:$K$151)</f>
        <v>1417.76</v>
      </c>
      <c r="AF673" s="29">
        <f t="shared" si="79"/>
        <v>2835.52</v>
      </c>
      <c r="AG673" s="30" t="s">
        <v>95</v>
      </c>
      <c r="AH673" s="2" t="s">
        <v>66</v>
      </c>
      <c r="AI673" s="10" t="s">
        <v>66</v>
      </c>
      <c r="AJ673" s="2" t="s">
        <v>432</v>
      </c>
      <c r="AK673" s="10" t="s">
        <v>80</v>
      </c>
    </row>
    <row r="674" ht="15.75" customHeight="1">
      <c r="A674" s="2" t="s">
        <v>5036</v>
      </c>
      <c r="B674" s="12" t="s">
        <v>5037</v>
      </c>
      <c r="C674" s="2" t="str">
        <f>IFERROR(__xludf.DUMMYFUNCTION("IF(ISNUMBER(B674),TEXT(B674,""yyyy-MM-dd""),REGEXREPLACE(REGEXREPLACE(TO_TEXT(B674),""[^0-9a-zA-Z]+"",""-""),""[^0-9]*$"",""""))"),"19-01-2025")</f>
        <v>19-01-2025</v>
      </c>
      <c r="D674" s="2" t="s">
        <v>8906</v>
      </c>
      <c r="H674" s="10" t="s">
        <v>8906</v>
      </c>
      <c r="I674" s="2" t="s">
        <v>2029</v>
      </c>
      <c r="J674" s="26" t="str">
        <f t="array" ref="J674">IF(ISNA(XLOOKUP(I674,customers_clean!$A$2:$A$701,customers_clean!$A$2:$A$701, NA()) ),
   "❌ MISSING CUSTOMER", "✅")</f>
        <v>✅</v>
      </c>
      <c r="K674" s="2" t="str">
        <f t="array" ref="K674">XLOOKUP(I674,customers_clean!$A$2:$A$701,customers_clean!$C$2:$C$701)</f>
        <v> Paula Garcia</v>
      </c>
      <c r="L674" s="10" t="str">
        <f t="array" ref="L674">XLOOKUP(I674,customers_clean!$A$2:$A$701,customers_clean!$D$2:$D$701)</f>
        <v>Paula Garcia</v>
      </c>
      <c r="M674" s="2" t="str">
        <f t="array" ref="M674">XLOOKUP(I674,customers_clean!$A$2:$A$701,customers_clean!$I$2:$I$701)</f>
        <v>paula.garcia@yahoo.com </v>
      </c>
      <c r="N674" s="10" t="str">
        <f t="array" ref="N674">XLOOKUP(I674,customers_clean!$A$2:$A$701,customers_clean!$H$2:$H$701)</f>
        <v>paula.garcia@yahoo.com</v>
      </c>
      <c r="O674" s="9" t="str">
        <f>IFERROR(__xludf.DUMMYFUNCTION("IF(REGEXMATCH(TRIM(N674),""^[A-Za-z0-9._%+-]+@[A-Za-z0-9.-]+\.[A-Za-z]{2,}$""),""✅ Valid"",""❌ Invalid"")"),"✅ Valid")</f>
        <v>✅ Valid</v>
      </c>
      <c r="P674" s="2" t="str">
        <f t="array" ref="P674">XLOOKUP(I674,customers_clean!$A$2:$A$701,customers_clean!$K$2:$K$701)</f>
        <v>+1-414-591598</v>
      </c>
      <c r="Q674" s="10" t="str">
        <f t="array" ref="Q674">XLOOKUP(I674,customers_clean!$A$2:$A$701,customers_clean!$N$2:$N$701)</f>
        <v>414591598</v>
      </c>
      <c r="R674" s="9" t="str">
        <f t="array" ref="R674">XLOOKUP(I674,customers_clean!$A$2:$A$701,customers_clean!$Q$2:$Q$701)</f>
        <v>❌ INVALID</v>
      </c>
      <c r="S674" s="10" t="s">
        <v>25</v>
      </c>
      <c r="T674" s="2" t="s">
        <v>1167</v>
      </c>
      <c r="U674" s="2" t="s">
        <v>5038</v>
      </c>
      <c r="V674" s="2" t="s">
        <v>471</v>
      </c>
      <c r="W674" s="9" t="str">
        <f t="array" ref="W674">IF(ISNA(XLOOKUP(V674,products_master_corrected!$A$2:$A$151,products_master_corrected!$A$2:$A$151, NA())),
    "❌ MISSING SKU", "✅")</f>
        <v>✅</v>
      </c>
      <c r="X674" s="2" t="s">
        <v>29</v>
      </c>
      <c r="Y674" s="2" t="s">
        <v>179</v>
      </c>
      <c r="Z674" s="10" t="s">
        <v>179</v>
      </c>
      <c r="AA674" s="27">
        <v>2.0</v>
      </c>
      <c r="AB674" s="9" t="s">
        <v>8649</v>
      </c>
      <c r="AC674" s="28">
        <f t="array" ref="AC674">XLOOKUP(V674,products_master_corrected!$A$2:$A$151,products_master_corrected!$E$2:$E$151)</f>
        <v>71.8</v>
      </c>
      <c r="AD674" s="28">
        <f t="shared" si="78"/>
        <v>143.6</v>
      </c>
      <c r="AE674" s="28">
        <f t="array" ref="AE674">XLOOKUP(V674,products_master_corrected!$A$2:$A$151,products_master_corrected!$K$2:$K$151)</f>
        <v>369.41</v>
      </c>
      <c r="AF674" s="29">
        <f t="shared" si="79"/>
        <v>738.82</v>
      </c>
      <c r="AG674" s="30" t="s">
        <v>95</v>
      </c>
      <c r="AH674" s="2" t="s">
        <v>181</v>
      </c>
      <c r="AI674" s="10" t="s">
        <v>181</v>
      </c>
      <c r="AJ674" s="2" t="s">
        <v>5040</v>
      </c>
      <c r="AK674" s="10" t="s">
        <v>261</v>
      </c>
    </row>
    <row r="675" ht="15.75" customHeight="1">
      <c r="A675" s="2" t="s">
        <v>2027</v>
      </c>
      <c r="B675" s="12">
        <v>45176.0</v>
      </c>
      <c r="C675" s="2" t="str">
        <f>IFERROR(__xludf.DUMMYFUNCTION("IF(ISNUMBER(B675),TEXT(B675,""yyyy-MM-dd""),REGEXREPLACE(REGEXREPLACE(TO_TEXT(B675),""[^0-9a-zA-Z]+"",""-""),""[^0-9]*$"",""""))"),"2023-09-07")</f>
        <v>2023-09-07</v>
      </c>
      <c r="D675" s="2" t="s">
        <v>8907</v>
      </c>
      <c r="H675" s="10" t="s">
        <v>8907</v>
      </c>
      <c r="I675" s="2" t="s">
        <v>2029</v>
      </c>
      <c r="J675" s="26" t="str">
        <f t="array" ref="J675">IF(ISNA(XLOOKUP(I675,customers_clean!$A$2:$A$701,customers_clean!$A$2:$A$701, NA()) ),
   "❌ MISSING CUSTOMER", "✅")</f>
        <v>✅</v>
      </c>
      <c r="K675" s="2" t="str">
        <f t="array" ref="K675">XLOOKUP(I675,customers_clean!$A$2:$A$701,customers_clean!$C$2:$C$701)</f>
        <v> Paula Garcia</v>
      </c>
      <c r="L675" s="10" t="str">
        <f t="array" ref="L675">XLOOKUP(I675,customers_clean!$A$2:$A$701,customers_clean!$D$2:$D$701)</f>
        <v>Paula Garcia</v>
      </c>
      <c r="M675" s="2" t="str">
        <f t="array" ref="M675">XLOOKUP(I675,customers_clean!$A$2:$A$701,customers_clean!$I$2:$I$701)</f>
        <v>paula.garcia@yahoo.com </v>
      </c>
      <c r="N675" s="10" t="str">
        <f t="array" ref="N675">XLOOKUP(I675,customers_clean!$A$2:$A$701,customers_clean!$H$2:$H$701)</f>
        <v>paula.garcia@yahoo.com</v>
      </c>
      <c r="O675" s="9" t="str">
        <f>IFERROR(__xludf.DUMMYFUNCTION("IF(REGEXMATCH(TRIM(N675),""^[A-Za-z0-9._%+-]+@[A-Za-z0-9.-]+\.[A-Za-z]{2,}$""),""✅ Valid"",""❌ Invalid"")"),"✅ Valid")</f>
        <v>✅ Valid</v>
      </c>
      <c r="P675" s="2" t="str">
        <f t="array" ref="P675">XLOOKUP(I675,customers_clean!$A$2:$A$701,customers_clean!$K$2:$K$701)</f>
        <v>+1-414-591598</v>
      </c>
      <c r="Q675" s="10" t="str">
        <f t="array" ref="Q675">XLOOKUP(I675,customers_clean!$A$2:$A$701,customers_clean!$N$2:$N$701)</f>
        <v>414591598</v>
      </c>
      <c r="R675" s="9" t="str">
        <f t="array" ref="R675">XLOOKUP(I675,customers_clean!$A$2:$A$701,customers_clean!$Q$2:$Q$701)</f>
        <v>❌ INVALID</v>
      </c>
      <c r="S675" s="10" t="s">
        <v>25</v>
      </c>
      <c r="T675" s="2" t="s">
        <v>400</v>
      </c>
      <c r="U675" s="2" t="s">
        <v>401</v>
      </c>
      <c r="V675" s="2" t="s">
        <v>2033</v>
      </c>
      <c r="W675" s="9" t="str">
        <f t="array" ref="W675">IF(ISNA(XLOOKUP(V675,products_master_corrected!$A$2:$A$151,products_master_corrected!$A$2:$A$151, NA())),
    "❌ MISSING SKU", "✅")</f>
        <v>✅</v>
      </c>
      <c r="X675" s="2" t="s">
        <v>2034</v>
      </c>
      <c r="Y675" s="2" t="s">
        <v>1016</v>
      </c>
      <c r="Z675" s="10" t="s">
        <v>355</v>
      </c>
      <c r="AA675" s="27">
        <v>2.0</v>
      </c>
      <c r="AB675" s="9" t="s">
        <v>8649</v>
      </c>
      <c r="AC675" s="28">
        <f t="array" ref="AC675">XLOOKUP(V675,products_master_corrected!$A$2:$A$151,products_master_corrected!$E$2:$E$151)</f>
        <v>938.62</v>
      </c>
      <c r="AD675" s="28">
        <f t="shared" si="78"/>
        <v>1877.24</v>
      </c>
      <c r="AE675" s="28">
        <f t="array" ref="AE675">XLOOKUP(V675,products_master_corrected!$A$2:$A$151,products_master_corrected!$K$2:$K$151)</f>
        <v>4829.2</v>
      </c>
      <c r="AF675" s="29">
        <f t="shared" si="79"/>
        <v>9658.4</v>
      </c>
      <c r="AG675" s="30" t="s">
        <v>95</v>
      </c>
      <c r="AH675" s="2" t="s">
        <v>2037</v>
      </c>
      <c r="AI675" s="10" t="s">
        <v>66</v>
      </c>
      <c r="AJ675" s="2" t="s">
        <v>294</v>
      </c>
      <c r="AK675" s="10" t="s">
        <v>80</v>
      </c>
      <c r="AL675" s="2" t="s">
        <v>67</v>
      </c>
    </row>
    <row r="676" ht="15.75" customHeight="1">
      <c r="A676" s="2" t="s">
        <v>5219</v>
      </c>
      <c r="B676" s="12">
        <v>45423.0</v>
      </c>
      <c r="C676" s="2" t="str">
        <f>IFERROR(__xludf.DUMMYFUNCTION("IF(ISNUMBER(B676),TEXT(B676,""yyyy-MM-dd""),REGEXREPLACE(REGEXREPLACE(TO_TEXT(B676),""[^0-9a-zA-Z]+"",""-""),""[^0-9]*$"",""""))"),"2024-05-11")</f>
        <v>2024-05-11</v>
      </c>
      <c r="D676" s="2" t="s">
        <v>8722</v>
      </c>
      <c r="H676" s="10" t="s">
        <v>8722</v>
      </c>
      <c r="I676" s="2" t="s">
        <v>5221</v>
      </c>
      <c r="J676" s="26" t="str">
        <f t="array" ref="J676">IF(ISNA(XLOOKUP(I676,customers_clean!$A$2:$A$701,customers_clean!$A$2:$A$701, NA()) ),
   "❌ MISSING CUSTOMER", "✅")</f>
        <v>✅</v>
      </c>
      <c r="K676" s="2" t="str">
        <f t="array" ref="K676">XLOOKUP(I676,customers_clean!$A$2:$A$701,customers_clean!$C$2:$C$701)</f>
        <v>Ken Williams</v>
      </c>
      <c r="L676" s="10" t="str">
        <f t="array" ref="L676">XLOOKUP(I676,customers_clean!$A$2:$A$701,customers_clean!$D$2:$D$701)</f>
        <v>Ken Williams</v>
      </c>
      <c r="M676" s="2" t="str">
        <f t="array" ref="M676">XLOOKUP(I676,customers_clean!$A$2:$A$701,customers_clean!$I$2:$I$701)</f>
        <v>ken.williams@outlook.com</v>
      </c>
      <c r="N676" s="10" t="str">
        <f t="array" ref="N676">XLOOKUP(I676,customers_clean!$A$2:$A$701,customers_clean!$H$2:$H$701)</f>
        <v>ken.williams@outlook.com</v>
      </c>
      <c r="O676" s="9" t="str">
        <f>IFERROR(__xludf.DUMMYFUNCTION("IF(REGEXMATCH(TRIM(N676),""^[A-Za-z0-9._%+-]+@[A-Za-z0-9.-]+\.[A-Za-z]{2,}$""),""✅ Valid"",""❌ Invalid"")"),"✅ Valid")</f>
        <v>✅ Valid</v>
      </c>
      <c r="P676" s="2" t="str">
        <f t="array" ref="P676">XLOOKUP(I676,customers_clean!$A$2:$A$701,customers_clean!$K$2:$K$701)</f>
        <v>+39 9362-9079-7</v>
      </c>
      <c r="Q676" s="10" t="str">
        <f t="array" ref="Q676">XLOOKUP(I676,customers_clean!$A$2:$A$701,customers_clean!$N$2:$N$701)</f>
        <v>936290797</v>
      </c>
      <c r="R676" s="9" t="str">
        <f t="array" ref="R676">XLOOKUP(I676,customers_clean!$A$2:$A$701,customers_clean!$Q$2:$Q$701)</f>
        <v>❌ INVALID</v>
      </c>
      <c r="S676" s="10" t="s">
        <v>88</v>
      </c>
      <c r="T676" s="2" t="s">
        <v>152</v>
      </c>
      <c r="U676" s="2" t="s">
        <v>401</v>
      </c>
      <c r="V676" s="2" t="s">
        <v>212</v>
      </c>
      <c r="W676" s="9" t="str">
        <f t="array" ref="W676">IF(ISNA(XLOOKUP(V676,products_master_corrected!$A$2:$A$151,products_master_corrected!$A$2:$A$151, NA())),
    "❌ MISSING SKU", "✅")</f>
        <v>✅</v>
      </c>
      <c r="X676" s="2" t="s">
        <v>213</v>
      </c>
      <c r="Y676" s="2" t="s">
        <v>214</v>
      </c>
      <c r="Z676" s="10" t="s">
        <v>368</v>
      </c>
      <c r="AA676" s="27">
        <v>2.0</v>
      </c>
      <c r="AB676" s="9" t="s">
        <v>8649</v>
      </c>
      <c r="AC676" s="28">
        <f t="array" ref="AC676">XLOOKUP(V676,products_master_corrected!$A$2:$A$151,products_master_corrected!$E$2:$E$151)</f>
        <v>1464.12</v>
      </c>
      <c r="AD676" s="28">
        <f t="shared" si="78"/>
        <v>2928.24</v>
      </c>
      <c r="AE676" s="28">
        <f t="array" ref="AE676">XLOOKUP(V676,products_master_corrected!$A$2:$A$151,products_master_corrected!$I$2:$I$151)</f>
        <v>1614.05</v>
      </c>
      <c r="AF676" s="29">
        <f t="shared" si="79"/>
        <v>3228.1</v>
      </c>
      <c r="AG676" s="32" t="s">
        <v>8660</v>
      </c>
      <c r="AH676" s="2" t="s">
        <v>66</v>
      </c>
      <c r="AI676" s="10" t="s">
        <v>66</v>
      </c>
      <c r="AJ676" s="2" t="s">
        <v>80</v>
      </c>
      <c r="AK676" s="10" t="s">
        <v>80</v>
      </c>
    </row>
    <row r="677" ht="15.75" customHeight="1">
      <c r="A677" s="2" t="s">
        <v>5432</v>
      </c>
      <c r="B677" s="12">
        <v>45608.0</v>
      </c>
      <c r="C677" s="2" t="str">
        <f>IFERROR(__xludf.DUMMYFUNCTION("IF(ISNUMBER(B677),TEXT(B677,""yyyy-MM-dd""),REGEXREPLACE(REGEXREPLACE(TO_TEXT(B677),""[^0-9a-zA-Z]+"",""-""),""[^0-9]*$"",""""))"),"2024-11-12")</f>
        <v>2024-11-12</v>
      </c>
      <c r="D677" s="2" t="s">
        <v>8768</v>
      </c>
      <c r="H677" s="10" t="s">
        <v>8768</v>
      </c>
      <c r="I677" s="2" t="s">
        <v>5434</v>
      </c>
      <c r="J677" s="26" t="str">
        <f t="array" ref="J677">IF(ISNA(XLOOKUP(I677,customers_clean!$A$2:$A$701,customers_clean!$A$2:$A$701, NA()) ),
   "❌ MISSING CUSTOMER", "✅")</f>
        <v>✅</v>
      </c>
      <c r="K677" s="2" t="str">
        <f t="array" ref="K677">XLOOKUP(I677,customers_clean!$A$2:$A$701,customers_clean!$C$2:$C$701)</f>
        <v> Bella Dubois</v>
      </c>
      <c r="L677" s="10" t="str">
        <f t="array" ref="L677">XLOOKUP(I677,customers_clean!$A$2:$A$701,customers_clean!$D$2:$D$701)</f>
        <v>Bella Dubois</v>
      </c>
      <c r="M677" s="2" t="str">
        <f t="array" ref="M677">XLOOKUP(I677,customers_clean!$A$2:$A$701,customers_clean!$I$2:$I$701)</f>
        <v>bella.dubois@yahoo.com</v>
      </c>
      <c r="N677" s="10" t="str">
        <f t="array" ref="N677">XLOOKUP(I677,customers_clean!$A$2:$A$701,customers_clean!$H$2:$H$701)</f>
        <v>bella.dubois@yahoo.com</v>
      </c>
      <c r="O677" s="9" t="str">
        <f>IFERROR(__xludf.DUMMYFUNCTION("IF(REGEXMATCH(TRIM(N677),""^[A-Za-z0-9._%+-]+@[A-Za-z0-9.-]+\.[A-Za-z]{2,}$""),""✅ Valid"",""❌ Invalid"")"),"✅ Valid")</f>
        <v>✅ Valid</v>
      </c>
      <c r="P677" s="2" t="str">
        <f t="array" ref="P677">XLOOKUP(I677,customers_clean!$A$2:$A$701,customers_clean!$K$2:$K$701)</f>
        <v>+44 70-92-70-11-4</v>
      </c>
      <c r="Q677" s="10" t="str">
        <f t="array" ref="Q677">XLOOKUP(I677,customers_clean!$A$2:$A$701,customers_clean!$N$2:$N$701)</f>
        <v>709270114</v>
      </c>
      <c r="R677" s="9" t="str">
        <f t="array" ref="R677">XLOOKUP(I677,customers_clean!$A$2:$A$701,customers_clean!$Q$2:$Q$701)</f>
        <v>❌ INVALID</v>
      </c>
      <c r="S677" s="10" t="s">
        <v>114</v>
      </c>
      <c r="T677" s="2" t="s">
        <v>400</v>
      </c>
      <c r="U677" s="2" t="s">
        <v>500</v>
      </c>
      <c r="V677" s="2" t="s">
        <v>1733</v>
      </c>
      <c r="W677" s="9" t="str">
        <f t="array" ref="W677">IF(ISNA(XLOOKUP(V677,products_master_corrected!$A$2:$A$151,products_master_corrected!$A$2:$A$151, NA())),
    "❌ MISSING SKU", "✅")</f>
        <v>✅</v>
      </c>
      <c r="X677" s="2" t="s">
        <v>440</v>
      </c>
      <c r="Y677" s="2" t="s">
        <v>315</v>
      </c>
      <c r="Z677" s="10" t="s">
        <v>179</v>
      </c>
      <c r="AA677" s="27">
        <v>1.0</v>
      </c>
      <c r="AB677" s="9" t="s">
        <v>8649</v>
      </c>
      <c r="AC677" s="28">
        <f t="array" ref="AC677">XLOOKUP(V677,products_master_corrected!$A$2:$A$151,products_master_corrected!$E$2:$E$151)</f>
        <v>35.69</v>
      </c>
      <c r="AD677" s="28">
        <f t="shared" si="78"/>
        <v>35.69</v>
      </c>
      <c r="AE677" s="28">
        <f t="array" ref="AE677">XLOOKUP(V677,products_master_corrected!$A$2:$A$151,products_master_corrected!$F$2:$F$151)</f>
        <v>35.69</v>
      </c>
      <c r="AF677" s="29">
        <f t="shared" si="79"/>
        <v>35.69</v>
      </c>
      <c r="AG677" s="30" t="s">
        <v>65</v>
      </c>
      <c r="AH677" s="2" t="s">
        <v>305</v>
      </c>
      <c r="AI677" s="10" t="s">
        <v>49</v>
      </c>
      <c r="AJ677" s="2" t="s">
        <v>169</v>
      </c>
      <c r="AK677" s="10" t="s">
        <v>261</v>
      </c>
      <c r="AL677" s="2" t="s">
        <v>81</v>
      </c>
    </row>
    <row r="678" ht="15.75" customHeight="1">
      <c r="A678" s="2" t="s">
        <v>4705</v>
      </c>
      <c r="B678" s="12">
        <v>45719.0</v>
      </c>
      <c r="C678" s="2" t="str">
        <f>IFERROR(__xludf.DUMMYFUNCTION("IF(ISNUMBER(B678),TEXT(B678,""yyyy-MM-dd""),REGEXREPLACE(REGEXREPLACE(TO_TEXT(B678),""[^0-9a-zA-Z]+"",""-""),""[^0-9]*$"",""""))"),"2025-03-03")</f>
        <v>2025-03-03</v>
      </c>
      <c r="D678" s="2" t="s">
        <v>4706</v>
      </c>
      <c r="H678" s="10" t="s">
        <v>4706</v>
      </c>
      <c r="I678" s="2" t="s">
        <v>4707</v>
      </c>
      <c r="J678" s="26" t="str">
        <f t="array" ref="J678">IF(ISNA(XLOOKUP(I678,customers_clean!$A$2:$A$701,customers_clean!$A$2:$A$701, NA()) ),
   "❌ MISSING CUSTOMER", "✅")</f>
        <v>✅</v>
      </c>
      <c r="K678" s="2" t="str">
        <f t="array" ref="K678">XLOOKUP(I678,customers_clean!$A$2:$A$701,customers_clean!$C$2:$C$701)</f>
        <v>Gabe Davis </v>
      </c>
      <c r="L678" s="10" t="str">
        <f t="array" ref="L678">XLOOKUP(I678,customers_clean!$A$2:$A$701,customers_clean!$D$2:$D$701)</f>
        <v>Gabe Davis</v>
      </c>
      <c r="M678" s="2" t="str">
        <f t="array" ref="M678">XLOOKUP(I678,customers_clean!$A$2:$A$701,customers_clean!$I$2:$I$701)</f>
        <v>gabe.davis@example.com </v>
      </c>
      <c r="N678" s="10" t="str">
        <f t="array" ref="N678">XLOOKUP(I678,customers_clean!$A$2:$A$701,customers_clean!$H$2:$H$701)</f>
        <v>gabe.davis@example.com</v>
      </c>
      <c r="O678" s="9" t="str">
        <f>IFERROR(__xludf.DUMMYFUNCTION("IF(REGEXMATCH(TRIM(N678),""^[A-Za-z0-9._%+-]+@[A-Za-z0-9.-]+\.[A-Za-z]{2,}$""),""✅ Valid"",""❌ Invalid"")"),"✅ Valid")</f>
        <v>✅ Valid</v>
      </c>
      <c r="P678" s="33" t="str">
        <f t="array" ref="P678">XLOOKUP(I678,customers_clean!$A$2:$A$701,customers_clean!$K$2:$K$701)</f>
        <v>855-676-8995</v>
      </c>
      <c r="Q678" s="10" t="str">
        <f t="array" ref="Q678">XLOOKUP(I678,customers_clean!$A$2:$A$701,customers_clean!$N$2:$N$701)</f>
        <v>8556768995</v>
      </c>
      <c r="R678" s="9" t="str">
        <f t="array" ref="R678">XLOOKUP(I678,customers_clean!$A$2:$A$701,customers_clean!$Q$2:$Q$701)</f>
        <v>❌ INVALID</v>
      </c>
      <c r="S678" s="10" t="s">
        <v>25</v>
      </c>
      <c r="T678" s="2" t="s">
        <v>42</v>
      </c>
      <c r="U678" s="2" t="s">
        <v>333</v>
      </c>
      <c r="V678" s="2" t="s">
        <v>1783</v>
      </c>
      <c r="W678" s="9" t="str">
        <f t="array" ref="W678">IF(ISNA(XLOOKUP(V678,products_master_corrected!$A$2:$A$151,products_master_corrected!$A$2:$A$151, NA())),
    "❌ MISSING SKU", "✅")</f>
        <v>✅</v>
      </c>
      <c r="X678" s="2" t="s">
        <v>966</v>
      </c>
      <c r="Y678" s="2" t="s">
        <v>514</v>
      </c>
      <c r="Z678" s="10" t="s">
        <v>514</v>
      </c>
      <c r="AA678" s="27">
        <v>2.0</v>
      </c>
      <c r="AB678" s="9" t="s">
        <v>8649</v>
      </c>
      <c r="AC678" s="28">
        <f t="array" ref="AC678">XLOOKUP(V678,products_master_corrected!$A$2:$A$151,products_master_corrected!$E$2:$E$151)</f>
        <v>23.25</v>
      </c>
      <c r="AD678" s="28">
        <f t="shared" si="78"/>
        <v>46.5</v>
      </c>
      <c r="AE678" s="28">
        <f t="array" ref="AE678">XLOOKUP(V678,products_master_corrected!$A$2:$A$151,products_master_corrected!$K$2:$K$151)</f>
        <v>119.62</v>
      </c>
      <c r="AF678" s="29">
        <f t="shared" si="79"/>
        <v>239.24</v>
      </c>
      <c r="AG678" s="30" t="s">
        <v>95</v>
      </c>
      <c r="AH678" s="2" t="s">
        <v>66</v>
      </c>
      <c r="AI678" s="10" t="s">
        <v>66</v>
      </c>
      <c r="AJ678" s="2" t="s">
        <v>432</v>
      </c>
      <c r="AK678" s="10" t="s">
        <v>80</v>
      </c>
    </row>
    <row r="679" ht="15.75" customHeight="1">
      <c r="A679" s="2" t="s">
        <v>1123</v>
      </c>
      <c r="B679" s="12">
        <v>45061.0</v>
      </c>
      <c r="C679" s="2" t="str">
        <f>IFERROR(__xludf.DUMMYFUNCTION("IF(ISNUMBER(B679),TEXT(B679,""yyyy-MM-dd""),REGEXREPLACE(REGEXREPLACE(TO_TEXT(B679),""[^0-9a-zA-Z]+"",""-""),""[^0-9]*$"",""""))"),"2023-05-15")</f>
        <v>2023-05-15</v>
      </c>
      <c r="D679" s="2" t="s">
        <v>8908</v>
      </c>
      <c r="H679" s="10" t="s">
        <v>8908</v>
      </c>
      <c r="I679" s="2" t="s">
        <v>1125</v>
      </c>
      <c r="J679" s="26" t="str">
        <f t="array" ref="J679">IF(ISNA(XLOOKUP(I679,customers_clean!$A$2:$A$701,customers_clean!$A$2:$A$701, NA()) ),
   "❌ MISSING CUSTOMER", "✅")</f>
        <v>✅</v>
      </c>
      <c r="K679" s="2" t="str">
        <f t="array" ref="K679">XLOOKUP(I679,customers_clean!$A$2:$A$701,customers_clean!$C$2:$C$701)</f>
        <v>Sam Maritnez</v>
      </c>
      <c r="L679" s="10" t="str">
        <f t="array" ref="L679">XLOOKUP(I679,customers_clean!$A$2:$A$701,customers_clean!$D$2:$D$701)</f>
        <v>Sam Martinez</v>
      </c>
      <c r="M679" s="2" t="str">
        <f t="array" ref="M679">XLOOKUP(I679,customers_clean!$A$2:$A$701,customers_clean!$I$2:$I$701)</f>
        <v>sam.martinez@example.com</v>
      </c>
      <c r="N679" s="10" t="str">
        <f t="array" ref="N679">XLOOKUP(I679,customers_clean!$A$2:$A$701,customers_clean!$H$2:$H$701)</f>
        <v>sam.martinez@example.com</v>
      </c>
      <c r="O679" s="9" t="str">
        <f>IFERROR(__xludf.DUMMYFUNCTION("IF(REGEXMATCH(TRIM(N679),""^[A-Za-z0-9._%+-]+@[A-Za-z0-9.-]+\.[A-Za-z]{2,}$""),""✅ Valid"",""❌ Invalid"")"),"✅ Valid")</f>
        <v>✅ Valid</v>
      </c>
      <c r="P679" s="33" t="str">
        <f t="array" ref="P679">XLOOKUP(I679,customers_clean!$A$2:$A$701,customers_clean!$K$2:$K$701)</f>
        <v>+48+97569711</v>
      </c>
      <c r="Q679" s="10" t="str">
        <f t="array" ref="Q679">XLOOKUP(I679,customers_clean!$A$2:$A$701,customers_clean!$N$2:$N$701)</f>
        <v>97569711</v>
      </c>
      <c r="R679" s="9" t="str">
        <f t="array" ref="R679">XLOOKUP(I679,customers_clean!$A$2:$A$701,customers_clean!$Q$2:$Q$701)</f>
        <v>❌ INVALID</v>
      </c>
      <c r="S679" s="10" t="s">
        <v>25</v>
      </c>
      <c r="T679" s="2" t="s">
        <v>42</v>
      </c>
      <c r="U679" s="2" t="s">
        <v>103</v>
      </c>
      <c r="V679" s="2" t="s">
        <v>661</v>
      </c>
      <c r="W679" s="9" t="str">
        <f t="array" ref="W679">IF(ISNA(XLOOKUP(V679,products_master_corrected!$A$2:$A$151,products_master_corrected!$A$2:$A$151, NA())),
    "❌ MISSING SKU", "✅")</f>
        <v>✅</v>
      </c>
      <c r="X679" s="2" t="s">
        <v>423</v>
      </c>
      <c r="Y679" s="2" t="s">
        <v>368</v>
      </c>
      <c r="Z679" s="10" t="s">
        <v>368</v>
      </c>
      <c r="AA679" s="27">
        <v>2.0</v>
      </c>
      <c r="AB679" s="9" t="s">
        <v>8649</v>
      </c>
      <c r="AC679" s="28">
        <f t="array" ref="AC679">XLOOKUP(V679,products_master_corrected!$A$2:$A$151,products_master_corrected!$E$2:$E$151)</f>
        <v>76.62</v>
      </c>
      <c r="AD679" s="28">
        <f t="shared" si="78"/>
        <v>153.24</v>
      </c>
      <c r="AE679" s="28">
        <f t="array" ref="AE679">XLOOKUP(V679,products_master_corrected!$A$2:$A$151,products_master_corrected!$K$2:$K$151)</f>
        <v>394.21</v>
      </c>
      <c r="AF679" s="29">
        <f t="shared" si="79"/>
        <v>788.42</v>
      </c>
      <c r="AG679" s="30" t="s">
        <v>95</v>
      </c>
      <c r="AH679" s="2" t="s">
        <v>49</v>
      </c>
      <c r="AI679" s="10" t="s">
        <v>49</v>
      </c>
      <c r="AJ679" s="2" t="s">
        <v>1130</v>
      </c>
      <c r="AK679" s="10" t="s">
        <v>818</v>
      </c>
    </row>
    <row r="680" ht="15.75" customHeight="1">
      <c r="A680" s="2" t="s">
        <v>4898</v>
      </c>
      <c r="B680" s="12">
        <v>45074.0</v>
      </c>
      <c r="C680" s="2" t="str">
        <f>IFERROR(__xludf.DUMMYFUNCTION("IF(ISNUMBER(B680),TEXT(B680,""yyyy-MM-dd""),REGEXREPLACE(REGEXREPLACE(TO_TEXT(B680),""[^0-9a-zA-Z]+"",""-""),""[^0-9]*$"",""""))"),"2023-05-28")</f>
        <v>2023-05-28</v>
      </c>
      <c r="D680" s="2" t="s">
        <v>8256</v>
      </c>
      <c r="H680" s="10" t="s">
        <v>8256</v>
      </c>
      <c r="I680" s="2" t="s">
        <v>752</v>
      </c>
      <c r="J680" s="26" t="str">
        <f t="array" ref="J680">IF(ISNA(XLOOKUP(I680,customers_clean!$A$2:$A$701,customers_clean!$A$2:$A$701, NA()) ),
   "❌ MISSING CUSTOMER", "✅")</f>
        <v>✅</v>
      </c>
      <c r="K680" s="2" t="str">
        <f t="array" ref="K680">XLOOKUP(I680,customers_clean!$A$2:$A$701,customers_clean!$C$2:$C$701)</f>
        <v>Sam Young</v>
      </c>
      <c r="L680" s="10" t="str">
        <f t="array" ref="L680">XLOOKUP(I680,customers_clean!$A$2:$A$701,customers_clean!$D$2:$D$701)</f>
        <v>Sam Young</v>
      </c>
      <c r="M680" s="2" t="str">
        <f t="array" ref="M680">XLOOKUP(I680,customers_clean!$A$2:$A$701,customers_clean!$I$2:$I$701)</f>
        <v>Sam.Young@Outlook.Com</v>
      </c>
      <c r="N680" s="10" t="str">
        <f t="array" ref="N680">XLOOKUP(I680,customers_clean!$A$2:$A$701,customers_clean!$H$2:$H$701)</f>
        <v>sam.young@outlook.com</v>
      </c>
      <c r="O680" s="9" t="str">
        <f>IFERROR(__xludf.DUMMYFUNCTION("IF(REGEXMATCH(TRIM(N680),""^[A-Za-z0-9._%+-]+@[A-Za-z0-9.-]+\.[A-Za-z]{2,}$""),""✅ Valid"",""❌ Invalid"")"),"✅ Valid")</f>
        <v>✅ Valid</v>
      </c>
      <c r="P680" s="2" t="str">
        <f t="array" ref="P680">XLOOKUP(I680,customers_clean!$A$2:$A$701,customers_clean!$K$2:$K$701)</f>
        <v>44077012x1 ext 55</v>
      </c>
      <c r="Q680" s="10" t="str">
        <f t="array" ref="Q680">XLOOKUP(I680,customers_clean!$A$2:$A$701,customers_clean!$N$2:$N$701)</f>
        <v>440770121</v>
      </c>
      <c r="R680" s="9" t="str">
        <f t="array" ref="R680">XLOOKUP(I680,customers_clean!$A$2:$A$701,customers_clean!$Q$2:$Q$701)</f>
        <v>❌ INVALID</v>
      </c>
      <c r="S680" s="10" t="s">
        <v>58</v>
      </c>
      <c r="T680" s="2" t="s">
        <v>234</v>
      </c>
      <c r="U680" s="2" t="s">
        <v>103</v>
      </c>
      <c r="V680" s="2" t="s">
        <v>852</v>
      </c>
      <c r="W680" s="9" t="str">
        <f t="array" ref="W680">IF(ISNA(XLOOKUP(V680,products_master_corrected!$A$2:$A$151,products_master_corrected!$A$2:$A$151, NA())),
    "❌ MISSING SKU", "✅")</f>
        <v>✅</v>
      </c>
      <c r="X680" s="2" t="s">
        <v>213</v>
      </c>
      <c r="Y680" s="2" t="s">
        <v>167</v>
      </c>
      <c r="Z680" s="10" t="str">
        <f>PROPER(TRIM(Y680))</f>
        <v>Monitors</v>
      </c>
      <c r="AA680" s="27">
        <v>1.0</v>
      </c>
      <c r="AB680" s="9" t="s">
        <v>8649</v>
      </c>
      <c r="AC680" s="28">
        <f t="array" ref="AC680">XLOOKUP(V680,products_master_corrected!$A$2:$A$151,products_master_corrected!$E$2:$E$151)</f>
        <v>1114.6</v>
      </c>
      <c r="AD680" s="28">
        <f t="shared" si="78"/>
        <v>1114.6</v>
      </c>
      <c r="AE680" s="28">
        <f t="array" ref="AE680">XLOOKUP(V680,products_master_corrected!$A$2:$A$151,products_master_corrected!$G$2:$G$151)</f>
        <v>1275.99</v>
      </c>
      <c r="AF680" s="29">
        <f t="shared" si="79"/>
        <v>1275.99</v>
      </c>
      <c r="AG680" s="32" t="s">
        <v>8663</v>
      </c>
      <c r="AH680" s="2" t="s">
        <v>414</v>
      </c>
      <c r="AI680" s="10" t="s">
        <v>49</v>
      </c>
      <c r="AJ680" s="2" t="s">
        <v>120</v>
      </c>
      <c r="AK680" s="10" t="s">
        <v>818</v>
      </c>
      <c r="AL680" s="2" t="s">
        <v>51</v>
      </c>
    </row>
    <row r="681" ht="15.75" customHeight="1">
      <c r="A681" s="2" t="s">
        <v>750</v>
      </c>
      <c r="B681" s="12">
        <v>45420.0</v>
      </c>
      <c r="C681" s="2" t="str">
        <f>IFERROR(__xludf.DUMMYFUNCTION("IF(ISNUMBER(B681),TEXT(B681,""yyyy-MM-dd""),REGEXREPLACE(REGEXREPLACE(TO_TEXT(B681),""[^0-9a-zA-Z]+"",""-""),""[^0-9]*$"",""""))"),"2024-05-08")</f>
        <v>2024-05-08</v>
      </c>
      <c r="D681" s="2" t="s">
        <v>751</v>
      </c>
      <c r="H681" s="10" t="s">
        <v>751</v>
      </c>
      <c r="I681" s="2" t="s">
        <v>752</v>
      </c>
      <c r="J681" s="26" t="str">
        <f t="array" ref="J681">IF(ISNA(XLOOKUP(I681,customers_clean!$A$2:$A$701,customers_clean!$A$2:$A$701, NA()) ),
   "❌ MISSING CUSTOMER", "✅")</f>
        <v>✅</v>
      </c>
      <c r="K681" s="2" t="str">
        <f t="array" ref="K681">XLOOKUP(I681,customers_clean!$A$2:$A$701,customers_clean!$C$2:$C$701)</f>
        <v>Sam Young</v>
      </c>
      <c r="L681" s="10" t="str">
        <f t="array" ref="L681">XLOOKUP(I681,customers_clean!$A$2:$A$701,customers_clean!$D$2:$D$701)</f>
        <v>Sam Young</v>
      </c>
      <c r="M681" s="2" t="str">
        <f t="array" ref="M681">XLOOKUP(I681,customers_clean!$A$2:$A$701,customers_clean!$I$2:$I$701)</f>
        <v>Sam.Young@Outlook.Com</v>
      </c>
      <c r="N681" s="10" t="str">
        <f t="array" ref="N681">XLOOKUP(I681,customers_clean!$A$2:$A$701,customers_clean!$H$2:$H$701)</f>
        <v>sam.young@outlook.com</v>
      </c>
      <c r="O681" s="9" t="str">
        <f>IFERROR(__xludf.DUMMYFUNCTION("IF(REGEXMATCH(TRIM(N681),""^[A-Za-z0-9._%+-]+@[A-Za-z0-9.-]+\.[A-Za-z]{2,}$""),""✅ Valid"",""❌ Invalid"")"),"✅ Valid")</f>
        <v>✅ Valid</v>
      </c>
      <c r="P681" s="2" t="str">
        <f t="array" ref="P681">XLOOKUP(I681,customers_clean!$A$2:$A$701,customers_clean!$K$2:$K$701)</f>
        <v>44077012x1 ext 55</v>
      </c>
      <c r="Q681" s="10" t="str">
        <f t="array" ref="Q681">XLOOKUP(I681,customers_clean!$A$2:$A$701,customers_clean!$N$2:$N$701)</f>
        <v>440770121</v>
      </c>
      <c r="R681" s="9" t="str">
        <f t="array" ref="R681">XLOOKUP(I681,customers_clean!$A$2:$A$701,customers_clean!$Q$2:$Q$701)</f>
        <v>❌ INVALID</v>
      </c>
      <c r="S681" s="10" t="s">
        <v>58</v>
      </c>
      <c r="T681" s="2" t="s">
        <v>152</v>
      </c>
      <c r="U681" s="2" t="s">
        <v>60</v>
      </c>
      <c r="V681" s="2" t="s">
        <v>756</v>
      </c>
      <c r="W681" s="9" t="str">
        <f t="array" ref="W681">IF(ISNA(XLOOKUP(V681,products_master_corrected!$A$2:$A$151,products_master_corrected!$A$2:$A$151, NA())),
    "❌ MISSING SKU", "✅")</f>
        <v>✅</v>
      </c>
      <c r="X681" s="2" t="s">
        <v>8737</v>
      </c>
      <c r="Y681" s="2" t="s">
        <v>30</v>
      </c>
      <c r="Z681" s="10" t="s">
        <v>179</v>
      </c>
      <c r="AA681" s="27">
        <v>3.0</v>
      </c>
      <c r="AB681" s="9" t="s">
        <v>8649</v>
      </c>
      <c r="AC681" s="28">
        <f t="array" ref="AC681">XLOOKUP(V681,products_master_corrected!$A$2:$A$151,products_master_corrected!$E$2:$E$151)</f>
        <v>61.04</v>
      </c>
      <c r="AD681" s="28">
        <f t="shared" si="78"/>
        <v>183.12</v>
      </c>
      <c r="AE681" s="28">
        <f t="array" ref="AE681">XLOOKUP(V681,products_master_corrected!$A$2:$A$151,products_master_corrected!$G$2:$G$151)</f>
        <v>69.88</v>
      </c>
      <c r="AF681" s="29">
        <f t="shared" si="79"/>
        <v>209.64</v>
      </c>
      <c r="AG681" s="32" t="s">
        <v>8663</v>
      </c>
      <c r="AH681" s="2" t="s">
        <v>414</v>
      </c>
      <c r="AI681" s="10" t="s">
        <v>49</v>
      </c>
      <c r="AJ681" s="2" t="s">
        <v>192</v>
      </c>
      <c r="AK681" s="10" t="s">
        <v>192</v>
      </c>
      <c r="AL681" s="2" t="s">
        <v>133</v>
      </c>
    </row>
    <row r="682" ht="15.75" customHeight="1">
      <c r="A682" s="2" t="s">
        <v>2283</v>
      </c>
      <c r="B682" s="12" t="s">
        <v>2284</v>
      </c>
      <c r="C682" s="2" t="str">
        <f>IFERROR(__xludf.DUMMYFUNCTION("IF(ISNUMBER(B682),TEXT(B682,""yyyy-MM-dd""),REGEXREPLACE(REGEXREPLACE(TO_TEXT(B682),""[^0-9a-zA-Z]+"",""-""),""[^0-9]*$"",""""))"),"05-16-2023")</f>
        <v>05-16-2023</v>
      </c>
      <c r="D682" s="2" t="str">
        <f>TEXT(C682,"yyyy-MM-dd")</f>
        <v>05-16-2023</v>
      </c>
      <c r="E682" s="2" t="s">
        <v>7911</v>
      </c>
      <c r="H682" s="10" t="s">
        <v>7911</v>
      </c>
      <c r="I682" s="2" t="s">
        <v>752</v>
      </c>
      <c r="J682" s="26" t="str">
        <f t="array" ref="J682">IF(ISNA(XLOOKUP(I682,customers_clean!$A$2:$A$701,customers_clean!$A$2:$A$701, NA()) ),
   "❌ MISSING CUSTOMER", "✅")</f>
        <v>✅</v>
      </c>
      <c r="K682" s="2" t="str">
        <f t="array" ref="K682">XLOOKUP(I682,customers_clean!$A$2:$A$701,customers_clean!$C$2:$C$701)</f>
        <v>Sam Young</v>
      </c>
      <c r="L682" s="10" t="str">
        <f t="array" ref="L682">XLOOKUP(I682,customers_clean!$A$2:$A$701,customers_clean!$D$2:$D$701)</f>
        <v>Sam Young</v>
      </c>
      <c r="M682" s="2" t="str">
        <f t="array" ref="M682">XLOOKUP(I682,customers_clean!$A$2:$A$701,customers_clean!$I$2:$I$701)</f>
        <v>Sam.Young@Outlook.Com</v>
      </c>
      <c r="N682" s="10" t="str">
        <f t="array" ref="N682">XLOOKUP(I682,customers_clean!$A$2:$A$701,customers_clean!$H$2:$H$701)</f>
        <v>sam.young@outlook.com</v>
      </c>
      <c r="O682" s="9" t="str">
        <f>IFERROR(__xludf.DUMMYFUNCTION("IF(REGEXMATCH(TRIM(N682),""^[A-Za-z0-9._%+-]+@[A-Za-z0-9.-]+\.[A-Za-z]{2,}$""),""✅ Valid"",""❌ Invalid"")"),"✅ Valid")</f>
        <v>✅ Valid</v>
      </c>
      <c r="P682" s="2" t="str">
        <f t="array" ref="P682">XLOOKUP(I682,customers_clean!$A$2:$A$701,customers_clean!$K$2:$K$701)</f>
        <v>44077012x1 ext 55</v>
      </c>
      <c r="Q682" s="10" t="str">
        <f t="array" ref="Q682">XLOOKUP(I682,customers_clean!$A$2:$A$701,customers_clean!$N$2:$N$701)</f>
        <v>440770121</v>
      </c>
      <c r="R682" s="9" t="str">
        <f t="array" ref="R682">XLOOKUP(I682,customers_clean!$A$2:$A$701,customers_clean!$Q$2:$Q$701)</f>
        <v>❌ INVALID</v>
      </c>
      <c r="S682" s="10" t="s">
        <v>58</v>
      </c>
      <c r="T682" s="2" t="s">
        <v>26</v>
      </c>
      <c r="U682" s="2" t="s">
        <v>480</v>
      </c>
      <c r="V682" s="2" t="s">
        <v>661</v>
      </c>
      <c r="W682" s="9" t="str">
        <f t="array" ref="W682">IF(ISNA(XLOOKUP(V682,products_master_corrected!$A$2:$A$151,products_master_corrected!$A$2:$A$151, NA())),
    "❌ MISSING SKU", "✅")</f>
        <v>✅</v>
      </c>
      <c r="X682" s="2" t="s">
        <v>423</v>
      </c>
      <c r="Y682" s="2" t="s">
        <v>368</v>
      </c>
      <c r="Z682" s="10" t="s">
        <v>368</v>
      </c>
      <c r="AA682" s="27">
        <v>2.0</v>
      </c>
      <c r="AB682" s="9" t="s">
        <v>8649</v>
      </c>
      <c r="AC682" s="28">
        <f t="array" ref="AC682">XLOOKUP(V682,products_master_corrected!$A$2:$A$151,products_master_corrected!$E$2:$E$151)</f>
        <v>76.62</v>
      </c>
      <c r="AD682" s="28">
        <f t="shared" si="78"/>
        <v>153.24</v>
      </c>
      <c r="AE682" s="28">
        <f t="array" ref="AE682">XLOOKUP(V682,products_master_corrected!$A$2:$A$151,products_master_corrected!$G$2:$G$151)</f>
        <v>87.71</v>
      </c>
      <c r="AF682" s="29">
        <f t="shared" si="79"/>
        <v>175.42</v>
      </c>
      <c r="AG682" s="32" t="s">
        <v>8663</v>
      </c>
      <c r="AH682" s="2" t="s">
        <v>526</v>
      </c>
      <c r="AI682" s="10" t="s">
        <v>49</v>
      </c>
      <c r="AJ682" s="2" t="s">
        <v>345</v>
      </c>
      <c r="AK682" s="10" t="s">
        <v>261</v>
      </c>
    </row>
    <row r="683" ht="15.75" customHeight="1">
      <c r="A683" s="2" t="s">
        <v>5699</v>
      </c>
      <c r="B683" s="12">
        <v>45118.0</v>
      </c>
      <c r="C683" s="2" t="str">
        <f>IFERROR(__xludf.DUMMYFUNCTION("IF(ISNUMBER(B683),TEXT(B683,""yyyy-MM-dd""),REGEXREPLACE(REGEXREPLACE(TO_TEXT(B683),""[^0-9a-zA-Z]+"",""-""),""[^0-9]*$"",""""))"),"2023-07-11")</f>
        <v>2023-07-11</v>
      </c>
      <c r="D683" s="2" t="s">
        <v>4455</v>
      </c>
      <c r="H683" s="10" t="s">
        <v>4455</v>
      </c>
      <c r="I683" s="2" t="s">
        <v>752</v>
      </c>
      <c r="J683" s="26" t="str">
        <f t="array" ref="J683">IF(ISNA(XLOOKUP(I683,customers_clean!$A$2:$A$701,customers_clean!$A$2:$A$701, NA()) ),
   "❌ MISSING CUSTOMER", "✅")</f>
        <v>✅</v>
      </c>
      <c r="K683" s="2" t="str">
        <f t="array" ref="K683">XLOOKUP(I683,customers_clean!$A$2:$A$701,customers_clean!$C$2:$C$701)</f>
        <v>Sam Young</v>
      </c>
      <c r="L683" s="10" t="str">
        <f t="array" ref="L683">XLOOKUP(I683,customers_clean!$A$2:$A$701,customers_clean!$D$2:$D$701)</f>
        <v>Sam Young</v>
      </c>
      <c r="M683" s="2" t="str">
        <f t="array" ref="M683">XLOOKUP(I683,customers_clean!$A$2:$A$701,customers_clean!$I$2:$I$701)</f>
        <v>Sam.Young@Outlook.Com</v>
      </c>
      <c r="N683" s="10" t="str">
        <f t="array" ref="N683">XLOOKUP(I683,customers_clean!$A$2:$A$701,customers_clean!$H$2:$H$701)</f>
        <v>sam.young@outlook.com</v>
      </c>
      <c r="O683" s="9" t="str">
        <f>IFERROR(__xludf.DUMMYFUNCTION("IF(REGEXMATCH(TRIM(N683),""^[A-Za-z0-9._%+-]+@[A-Za-z0-9.-]+\.[A-Za-z]{2,}$""),""✅ Valid"",""❌ Invalid"")"),"✅ Valid")</f>
        <v>✅ Valid</v>
      </c>
      <c r="P683" s="2" t="str">
        <f t="array" ref="P683">XLOOKUP(I683,customers_clean!$A$2:$A$701,customers_clean!$K$2:$K$701)</f>
        <v>44077012x1 ext 55</v>
      </c>
      <c r="Q683" s="10" t="str">
        <f t="array" ref="Q683">XLOOKUP(I683,customers_clean!$A$2:$A$701,customers_clean!$N$2:$N$701)</f>
        <v>440770121</v>
      </c>
      <c r="R683" s="9" t="str">
        <f t="array" ref="R683">XLOOKUP(I683,customers_clean!$A$2:$A$701,customers_clean!$Q$2:$Q$701)</f>
        <v>❌ INVALID</v>
      </c>
      <c r="S683" s="10" t="s">
        <v>58</v>
      </c>
      <c r="T683" s="2" t="s">
        <v>152</v>
      </c>
      <c r="U683" s="2" t="s">
        <v>43</v>
      </c>
      <c r="V683" s="2" t="s">
        <v>2181</v>
      </c>
      <c r="W683" s="9" t="str">
        <f t="array" ref="W683">IF(ISNA(XLOOKUP(V683,products_master_corrected!$A$2:$A$151,products_master_corrected!$A$2:$A$151, NA())),
    "❌ MISSING SKU", "✅")</f>
        <v>✅</v>
      </c>
      <c r="X683" s="2" t="s">
        <v>2182</v>
      </c>
      <c r="Y683" s="2" t="s">
        <v>179</v>
      </c>
      <c r="Z683" s="10" t="s">
        <v>179</v>
      </c>
      <c r="AA683" s="27">
        <v>2.0</v>
      </c>
      <c r="AB683" s="9" t="s">
        <v>8649</v>
      </c>
      <c r="AC683" s="28">
        <f t="array" ref="AC683">XLOOKUP(V683,products_master_corrected!$A$2:$A$151,products_master_corrected!$E$2:$E$151)</f>
        <v>133.51</v>
      </c>
      <c r="AD683" s="28">
        <f t="shared" si="78"/>
        <v>267.02</v>
      </c>
      <c r="AE683" s="28">
        <f t="array" ref="AE683">XLOOKUP(V683,products_master_corrected!$A$2:$A$151,products_master_corrected!$G$2:$G$151)</f>
        <v>152.84</v>
      </c>
      <c r="AF683" s="29">
        <f t="shared" si="79"/>
        <v>305.68</v>
      </c>
      <c r="AG683" s="32" t="s">
        <v>8663</v>
      </c>
      <c r="AH683" s="2" t="s">
        <v>66</v>
      </c>
      <c r="AI683" s="10" t="s">
        <v>66</v>
      </c>
      <c r="AJ683" s="2" t="s">
        <v>818</v>
      </c>
      <c r="AK683" s="10" t="s">
        <v>818</v>
      </c>
      <c r="AL683" s="2" t="s">
        <v>133</v>
      </c>
    </row>
    <row r="684" ht="15.75" customHeight="1">
      <c r="A684" s="2" t="s">
        <v>921</v>
      </c>
      <c r="B684" s="12">
        <v>45519.0</v>
      </c>
      <c r="C684" s="2" t="str">
        <f>IFERROR(__xludf.DUMMYFUNCTION("IF(ISNUMBER(B684),TEXT(B684,""yyyy-MM-dd""),REGEXREPLACE(REGEXREPLACE(TO_TEXT(B684),""[^0-9a-zA-Z]+"",""-""),""[^0-9]*$"",""""))"),"2024-08-15")</f>
        <v>2024-08-15</v>
      </c>
      <c r="D684" s="2" t="s">
        <v>4275</v>
      </c>
      <c r="H684" s="10" t="s">
        <v>4275</v>
      </c>
      <c r="I684" s="2" t="s">
        <v>319</v>
      </c>
      <c r="J684" s="26" t="str">
        <f t="array" ref="J684">IF(ISNA(XLOOKUP(I684,customers_clean!$A$2:$A$701,customers_clean!$A$2:$A$701, NA()) ),
   "❌ MISSING CUSTOMER", "✅")</f>
        <v>✅</v>
      </c>
      <c r="K684" s="2" t="str">
        <f t="array" ref="K684">XLOOKUP(I684,customers_clean!$A$2:$A$701,customers_clean!$C$2:$C$701)</f>
        <v>Bella Dubois</v>
      </c>
      <c r="L684" s="10" t="str">
        <f t="array" ref="L684">XLOOKUP(I684,customers_clean!$A$2:$A$701,customers_clean!$D$2:$D$701)</f>
        <v>Bella Dubois</v>
      </c>
      <c r="M684" s="2" t="str">
        <f t="array" ref="M684">XLOOKUP(I684,customers_clean!$A$2:$A$701,customers_clean!$I$2:$I$701)</f>
        <v>BELLA.DUBOIS@EXAMPLE.COM</v>
      </c>
      <c r="N684" s="10" t="str">
        <f t="array" ref="N684">XLOOKUP(I684,customers_clean!$A$2:$A$701,customers_clean!$H$2:$H$701)</f>
        <v>bella.dubois@example.com</v>
      </c>
      <c r="O684" s="9" t="str">
        <f>IFERROR(__xludf.DUMMYFUNCTION("IF(REGEXMATCH(TRIM(N684),""^[A-Za-z0-9._%+-]+@[A-Za-z0-9.-]+\.[A-Za-z]{2,}$""),""✅ Valid"",""❌ Invalid"")"),"✅ Valid")</f>
        <v>✅ Valid</v>
      </c>
      <c r="P684" s="2">
        <f t="array" ref="P684">XLOOKUP(I684,customers_clean!$A$2:$A$701,customers_clean!$K$2:$K$701)</f>
        <v>20427763746</v>
      </c>
      <c r="Q684" s="10" t="str">
        <f t="array" ref="Q684">XLOOKUP(I684,customers_clean!$A$2:$A$701,customers_clean!$N$2:$N$701)</f>
        <v>20427763746</v>
      </c>
      <c r="R684" s="9" t="str">
        <f t="array" ref="R684">XLOOKUP(I684,customers_clean!$A$2:$A$701,customers_clean!$Q$2:$Q$701)</f>
        <v>❌ INVALID</v>
      </c>
      <c r="S684" s="10" t="s">
        <v>58</v>
      </c>
      <c r="T684" s="2" t="s">
        <v>641</v>
      </c>
      <c r="U684" s="2" t="s">
        <v>43</v>
      </c>
      <c r="V684" s="2" t="s">
        <v>212</v>
      </c>
      <c r="W684" s="9" t="str">
        <f t="array" ref="W684">IF(ISNA(XLOOKUP(V684,products_master_corrected!$A$2:$A$151,products_master_corrected!$A$2:$A$151, NA())),
    "❌ MISSING SKU", "✅")</f>
        <v>✅</v>
      </c>
      <c r="X684" s="2" t="s">
        <v>213</v>
      </c>
      <c r="Y684" s="2" t="s">
        <v>214</v>
      </c>
      <c r="Z684" s="10" t="s">
        <v>368</v>
      </c>
      <c r="AA684" s="27">
        <v>1.0</v>
      </c>
      <c r="AB684" s="9" t="s">
        <v>8649</v>
      </c>
      <c r="AC684" s="28">
        <f t="array" ref="AC684">XLOOKUP(V684,products_master_corrected!$A$2:$A$151,products_master_corrected!$E$2:$E$151)</f>
        <v>1464.12</v>
      </c>
      <c r="AD684" s="28">
        <f t="shared" si="78"/>
        <v>1464.12</v>
      </c>
      <c r="AE684" s="28">
        <f t="array" ref="AE684">XLOOKUP(V684,products_master_corrected!$A$2:$A$151,products_master_corrected!$G$2:$G$151)</f>
        <v>1676.12</v>
      </c>
      <c r="AF684" s="29">
        <f t="shared" si="79"/>
        <v>1676.12</v>
      </c>
      <c r="AG684" s="32" t="s">
        <v>8663</v>
      </c>
      <c r="AH684" s="2" t="s">
        <v>924</v>
      </c>
      <c r="AI684" s="10" t="s">
        <v>66</v>
      </c>
      <c r="AJ684" s="2" t="s">
        <v>818</v>
      </c>
      <c r="AK684" s="10" t="s">
        <v>818</v>
      </c>
      <c r="AL684" s="2" t="s">
        <v>81</v>
      </c>
    </row>
    <row r="685" ht="15.75" customHeight="1">
      <c r="A685" s="2" t="s">
        <v>317</v>
      </c>
      <c r="B685" s="12">
        <v>45385.74375</v>
      </c>
      <c r="C685" s="2" t="str">
        <f>IFERROR(__xludf.DUMMYFUNCTION("IF(ISNUMBER(B685),TEXT(B685,""yyyy-MM-dd""),REGEXREPLACE(REGEXREPLACE(TO_TEXT(B685),""[^0-9a-zA-Z]+"",""-""),""[^0-9]*$"",""""))"),"2024-04-03")</f>
        <v>2024-04-03</v>
      </c>
      <c r="D685" s="2" t="s">
        <v>8821</v>
      </c>
      <c r="H685" s="10" t="s">
        <v>8821</v>
      </c>
      <c r="I685" s="2" t="s">
        <v>319</v>
      </c>
      <c r="J685" s="26" t="str">
        <f t="array" ref="J685">IF(ISNA(XLOOKUP(I685,customers_clean!$A$2:$A$701,customers_clean!$A$2:$A$701, NA()) ),
   "❌ MISSING CUSTOMER", "✅")</f>
        <v>✅</v>
      </c>
      <c r="K685" s="2" t="str">
        <f t="array" ref="K685">XLOOKUP(I685,customers_clean!$A$2:$A$701,customers_clean!$C$2:$C$701)</f>
        <v>Bella Dubois</v>
      </c>
      <c r="L685" s="10" t="str">
        <f t="array" ref="L685">XLOOKUP(I685,customers_clean!$A$2:$A$701,customers_clean!$D$2:$D$701)</f>
        <v>Bella Dubois</v>
      </c>
      <c r="M685" s="2" t="str">
        <f t="array" ref="M685">XLOOKUP(I685,customers_clean!$A$2:$A$701,customers_clean!$I$2:$I$701)</f>
        <v>BELLA.DUBOIS@EXAMPLE.COM</v>
      </c>
      <c r="N685" s="10" t="str">
        <f t="array" ref="N685">XLOOKUP(I685,customers_clean!$A$2:$A$701,customers_clean!$H$2:$H$701)</f>
        <v>bella.dubois@example.com</v>
      </c>
      <c r="O685" s="9" t="str">
        <f>IFERROR(__xludf.DUMMYFUNCTION("IF(REGEXMATCH(TRIM(N685),""^[A-Za-z0-9._%+-]+@[A-Za-z0-9.-]+\.[A-Za-z]{2,}$""),""✅ Valid"",""❌ Invalid"")"),"✅ Valid")</f>
        <v>✅ Valid</v>
      </c>
      <c r="P685" s="2">
        <f t="array" ref="P685">XLOOKUP(I685,customers_clean!$A$2:$A$701,customers_clean!$K$2:$K$701)</f>
        <v>20427763746</v>
      </c>
      <c r="Q685" s="10" t="str">
        <f t="array" ref="Q685">XLOOKUP(I685,customers_clean!$A$2:$A$701,customers_clean!$N$2:$N$701)</f>
        <v>20427763746</v>
      </c>
      <c r="R685" s="9" t="str">
        <f t="array" ref="R685">XLOOKUP(I685,customers_clean!$A$2:$A$701,customers_clean!$Q$2:$Q$701)</f>
        <v>❌ INVALID</v>
      </c>
      <c r="S685" s="10" t="s">
        <v>58</v>
      </c>
      <c r="T685" s="2" t="s">
        <v>323</v>
      </c>
      <c r="U685" s="2" t="s">
        <v>324</v>
      </c>
      <c r="V685" s="2" t="s">
        <v>325</v>
      </c>
      <c r="W685" s="9" t="str">
        <f t="array" ref="W685">IF(ISNA(XLOOKUP(V685,products_master_corrected!$A$2:$A$151,products_master_corrected!$A$2:$A$151, NA())),
    "❌ MISSING SKU", "✅")</f>
        <v>✅</v>
      </c>
      <c r="X685" s="2" t="s">
        <v>280</v>
      </c>
      <c r="Y685" s="2" t="s">
        <v>315</v>
      </c>
      <c r="Z685" s="10" t="s">
        <v>179</v>
      </c>
      <c r="AA685" s="27">
        <v>1.0</v>
      </c>
      <c r="AB685" s="9" t="s">
        <v>8649</v>
      </c>
      <c r="AC685" s="28">
        <f t="array" ref="AC685">XLOOKUP(V685,products_master_corrected!$A$2:$A$151,products_master_corrected!$E$2:$E$151)</f>
        <v>145.23</v>
      </c>
      <c r="AD685" s="28">
        <f t="shared" si="78"/>
        <v>145.23</v>
      </c>
      <c r="AE685" s="28">
        <f t="array" ref="AE685">XLOOKUP(V685,products_master_corrected!$A$2:$A$151,products_master_corrected!$G$2:$G$151)</f>
        <v>166.26</v>
      </c>
      <c r="AF685" s="29">
        <f t="shared" si="79"/>
        <v>166.26</v>
      </c>
      <c r="AG685" s="32" t="s">
        <v>8663</v>
      </c>
      <c r="AH685" s="2" t="s">
        <v>49</v>
      </c>
      <c r="AI685" s="10" t="s">
        <v>49</v>
      </c>
      <c r="AJ685" s="2" t="s">
        <v>251</v>
      </c>
      <c r="AK685" s="10" t="s">
        <v>192</v>
      </c>
    </row>
    <row r="686" ht="15.75" customHeight="1">
      <c r="A686" s="2" t="s">
        <v>3439</v>
      </c>
      <c r="B686" s="12">
        <v>45103.0</v>
      </c>
      <c r="C686" s="2" t="str">
        <f>IFERROR(__xludf.DUMMYFUNCTION("IF(ISNUMBER(B686),TEXT(B686,""yyyy-MM-dd""),REGEXREPLACE(REGEXREPLACE(TO_TEXT(B686),""[^0-9a-zA-Z]+"",""-""),""[^0-9]*$"",""""))"),"2023-06-26")</f>
        <v>2023-06-26</v>
      </c>
      <c r="D686" s="2" t="s">
        <v>8909</v>
      </c>
      <c r="H686" s="10" t="s">
        <v>8909</v>
      </c>
      <c r="I686" s="2" t="s">
        <v>319</v>
      </c>
      <c r="J686" s="26" t="str">
        <f t="array" ref="J686">IF(ISNA(XLOOKUP(I686,customers_clean!$A$2:$A$701,customers_clean!$A$2:$A$701, NA()) ),
   "❌ MISSING CUSTOMER", "✅")</f>
        <v>✅</v>
      </c>
      <c r="K686" s="2" t="str">
        <f t="array" ref="K686">XLOOKUP(I686,customers_clean!$A$2:$A$701,customers_clean!$C$2:$C$701)</f>
        <v>Bella Dubois</v>
      </c>
      <c r="L686" s="10" t="str">
        <f t="array" ref="L686">XLOOKUP(I686,customers_clean!$A$2:$A$701,customers_clean!$D$2:$D$701)</f>
        <v>Bella Dubois</v>
      </c>
      <c r="M686" s="2" t="str">
        <f t="array" ref="M686">XLOOKUP(I686,customers_clean!$A$2:$A$701,customers_clean!$I$2:$I$701)</f>
        <v>BELLA.DUBOIS@EXAMPLE.COM</v>
      </c>
      <c r="N686" s="10" t="str">
        <f t="array" ref="N686">XLOOKUP(I686,customers_clean!$A$2:$A$701,customers_clean!$H$2:$H$701)</f>
        <v>bella.dubois@example.com</v>
      </c>
      <c r="O686" s="9" t="str">
        <f>IFERROR(__xludf.DUMMYFUNCTION("IF(REGEXMATCH(TRIM(N686),""^[A-Za-z0-9._%+-]+@[A-Za-z0-9.-]+\.[A-Za-z]{2,}$""),""✅ Valid"",""❌ Invalid"")"),"✅ Valid")</f>
        <v>✅ Valid</v>
      </c>
      <c r="P686" s="2">
        <f t="array" ref="P686">XLOOKUP(I686,customers_clean!$A$2:$A$701,customers_clean!$K$2:$K$701)</f>
        <v>20427763746</v>
      </c>
      <c r="Q686" s="10" t="str">
        <f t="array" ref="Q686">XLOOKUP(I686,customers_clean!$A$2:$A$701,customers_clean!$N$2:$N$701)</f>
        <v>20427763746</v>
      </c>
      <c r="R686" s="9" t="str">
        <f t="array" ref="R686">XLOOKUP(I686,customers_clean!$A$2:$A$701,customers_clean!$Q$2:$Q$701)</f>
        <v>❌ INVALID</v>
      </c>
      <c r="S686" s="10" t="s">
        <v>58</v>
      </c>
      <c r="T686" s="2" t="s">
        <v>42</v>
      </c>
      <c r="U686" s="2" t="s">
        <v>75</v>
      </c>
      <c r="V686" s="2" t="s">
        <v>1137</v>
      </c>
      <c r="W686" s="9" t="str">
        <f t="array" ref="W686">IF(ISNA(XLOOKUP(V686,products_master_corrected!$A$2:$A$151,products_master_corrected!$A$2:$A$151, NA())),
    "❌ MISSING SKU", "✅")</f>
        <v>✅</v>
      </c>
      <c r="X686" s="2" t="s">
        <v>1138</v>
      </c>
      <c r="Y686" s="2" t="s">
        <v>30</v>
      </c>
      <c r="Z686" s="10" t="s">
        <v>179</v>
      </c>
      <c r="AA686" s="27">
        <v>3.0</v>
      </c>
      <c r="AB686" s="9" t="s">
        <v>8649</v>
      </c>
      <c r="AC686" s="28">
        <f t="array" ref="AC686">XLOOKUP(V686,products_master_corrected!$A$2:$A$151,products_master_corrected!$E$2:$E$151)</f>
        <v>305.43</v>
      </c>
      <c r="AD686" s="28">
        <f t="shared" si="78"/>
        <v>916.29</v>
      </c>
      <c r="AE686" s="28">
        <f t="array" ref="AE686">XLOOKUP(V686,products_master_corrected!$A$2:$A$151,products_master_corrected!$G$2:$G$151)</f>
        <v>349.66</v>
      </c>
      <c r="AF686" s="29">
        <f t="shared" si="79"/>
        <v>1048.98</v>
      </c>
      <c r="AG686" s="32" t="s">
        <v>8663</v>
      </c>
      <c r="AH686" s="2" t="s">
        <v>181</v>
      </c>
      <c r="AI686" s="10" t="s">
        <v>181</v>
      </c>
      <c r="AJ686" s="2" t="s">
        <v>818</v>
      </c>
      <c r="AK686" s="10" t="s">
        <v>818</v>
      </c>
      <c r="AL686" s="2" t="s">
        <v>51</v>
      </c>
    </row>
    <row r="687" ht="15.75" customHeight="1">
      <c r="A687" s="2" t="s">
        <v>3799</v>
      </c>
      <c r="B687" s="12">
        <v>45899.0</v>
      </c>
      <c r="C687" s="2" t="str">
        <f>IFERROR(__xludf.DUMMYFUNCTION("IF(ISNUMBER(B687),TEXT(B687,""yyyy-MM-dd""),REGEXREPLACE(REGEXREPLACE(TO_TEXT(B687),""[^0-9a-zA-Z]+"",""-""),""[^0-9]*$"",""""))"),"2025-08-30")</f>
        <v>2025-08-30</v>
      </c>
      <c r="D687" s="2" t="s">
        <v>8822</v>
      </c>
      <c r="H687" s="10" t="s">
        <v>8822</v>
      </c>
      <c r="I687" s="2" t="s">
        <v>1751</v>
      </c>
      <c r="J687" s="26" t="str">
        <f t="array" ref="J687">IF(ISNA(XLOOKUP(I687,customers_clean!$A$2:$A$701,customers_clean!$A$2:$A$701, NA()) ),
   "❌ MISSING CUSTOMER", "✅")</f>
        <v>✅</v>
      </c>
      <c r="K687" s="2" t="str">
        <f t="array" ref="K687">XLOOKUP(I687,customers_clean!$A$2:$A$701,customers_clean!$C$2:$C$701)</f>
        <v>Omar  Khan</v>
      </c>
      <c r="L687" s="10" t="str">
        <f t="array" ref="L687">XLOOKUP(I687,customers_clean!$A$2:$A$701,customers_clean!$D$2:$D$701)</f>
        <v>Omar Khan</v>
      </c>
      <c r="M687" s="2" t="str">
        <f t="array" ref="M687">XLOOKUP(I687,customers_clean!$A$2:$A$701,customers_clean!$I$2:$I$701)</f>
        <v> omar.khan@company.co.uk</v>
      </c>
      <c r="N687" s="10" t="str">
        <f t="array" ref="N687">XLOOKUP(I687,customers_clean!$A$2:$A$701,customers_clean!$H$2:$H$701)</f>
        <v>omar.khan@company.co.uk</v>
      </c>
      <c r="O687" s="9" t="str">
        <f>IFERROR(__xludf.DUMMYFUNCTION("IF(REGEXMATCH(TRIM(N687),""^[A-Za-z0-9._%+-]+@[A-Za-z0-9.-]+\.[A-Za-z]{2,}$""),""✅ Valid"",""❌ Invalid"")"),"✅ Valid")</f>
        <v>✅ Valid</v>
      </c>
      <c r="P687" s="2" t="str">
        <f t="array" ref="P687">XLOOKUP(I687,customers_clean!$A$2:$A$701,customers_clean!$K$2:$K$701)</f>
        <v>78311806x1</v>
      </c>
      <c r="Q687" s="10" t="str">
        <f t="array" ref="Q687">XLOOKUP(I687,customers_clean!$A$2:$A$701,customers_clean!$N$2:$N$701)</f>
        <v>783118061</v>
      </c>
      <c r="R687" s="9" t="str">
        <f t="array" ref="R687">XLOOKUP(I687,customers_clean!$A$2:$A$701,customers_clean!$Q$2:$Q$701)</f>
        <v>❌ INVALID</v>
      </c>
      <c r="S687" s="10" t="s">
        <v>139</v>
      </c>
      <c r="T687" s="2" t="s">
        <v>26</v>
      </c>
      <c r="U687" s="2" t="s">
        <v>103</v>
      </c>
      <c r="V687" s="2" t="s">
        <v>993</v>
      </c>
      <c r="W687" s="9" t="str">
        <f t="array" ref="W687">IF(ISNA(XLOOKUP(V687,products_master_corrected!$A$2:$A$151,products_master_corrected!$A$2:$A$151, NA())),
    "❌ MISSING SKU", "✅")</f>
        <v>✅</v>
      </c>
      <c r="X687" s="2" t="s">
        <v>994</v>
      </c>
      <c r="Y687" s="2" t="s">
        <v>995</v>
      </c>
      <c r="Z687" s="10" t="s">
        <v>355</v>
      </c>
      <c r="AA687" s="27">
        <v>1.0</v>
      </c>
      <c r="AB687" s="9" t="s">
        <v>8649</v>
      </c>
      <c r="AC687" s="28">
        <f t="array" ref="AC687">XLOOKUP(V687,products_master_corrected!$A$2:$A$151,products_master_corrected!$E$2:$E$151)</f>
        <v>566.38</v>
      </c>
      <c r="AD687" s="28">
        <f t="shared" si="78"/>
        <v>566.38</v>
      </c>
      <c r="AE687" s="28">
        <f t="array" ref="AE687">XLOOKUP(V687,products_master_corrected!$A$2:$A$151,products_master_corrected!$L$2:$L$151)</f>
        <v>612.54</v>
      </c>
      <c r="AF687" s="29">
        <f t="shared" si="79"/>
        <v>612.54</v>
      </c>
      <c r="AG687" s="32" t="s">
        <v>8665</v>
      </c>
      <c r="AH687" s="2" t="s">
        <v>49</v>
      </c>
      <c r="AI687" s="10" t="s">
        <v>49</v>
      </c>
      <c r="AJ687" s="2" t="s">
        <v>50</v>
      </c>
      <c r="AK687" s="10" t="s">
        <v>261</v>
      </c>
    </row>
    <row r="688" ht="15.75" customHeight="1">
      <c r="A688" s="2" t="s">
        <v>1750</v>
      </c>
      <c r="B688" s="12">
        <v>45490.0</v>
      </c>
      <c r="C688" s="2" t="str">
        <f>IFERROR(__xludf.DUMMYFUNCTION("IF(ISNUMBER(B688),TEXT(B688,""yyyy-MM-dd""),REGEXREPLACE(REGEXREPLACE(TO_TEXT(B688),""[^0-9a-zA-Z]+"",""-""),""[^0-9]*$"",""""))"),"2024-07-17")</f>
        <v>2024-07-17</v>
      </c>
      <c r="D688" s="2" t="s">
        <v>8910</v>
      </c>
      <c r="H688" s="10" t="s">
        <v>8910</v>
      </c>
      <c r="I688" s="2" t="s">
        <v>1751</v>
      </c>
      <c r="J688" s="26" t="str">
        <f t="array" ref="J688">IF(ISNA(XLOOKUP(I688,customers_clean!$A$2:$A$701,customers_clean!$A$2:$A$701, NA()) ),
   "❌ MISSING CUSTOMER", "✅")</f>
        <v>✅</v>
      </c>
      <c r="K688" s="2" t="str">
        <f t="array" ref="K688">XLOOKUP(I688,customers_clean!$A$2:$A$701,customers_clean!$C$2:$C$701)</f>
        <v>Omar  Khan</v>
      </c>
      <c r="L688" s="10" t="str">
        <f t="array" ref="L688">XLOOKUP(I688,customers_clean!$A$2:$A$701,customers_clean!$D$2:$D$701)</f>
        <v>Omar Khan</v>
      </c>
      <c r="M688" s="2" t="str">
        <f t="array" ref="M688">XLOOKUP(I688,customers_clean!$A$2:$A$701,customers_clean!$I$2:$I$701)</f>
        <v> omar.khan@company.co.uk</v>
      </c>
      <c r="N688" s="10" t="str">
        <f t="array" ref="N688">XLOOKUP(I688,customers_clean!$A$2:$A$701,customers_clean!$H$2:$H$701)</f>
        <v>omar.khan@company.co.uk</v>
      </c>
      <c r="O688" s="9" t="str">
        <f>IFERROR(__xludf.DUMMYFUNCTION("IF(REGEXMATCH(TRIM(N688),""^[A-Za-z0-9._%+-]+@[A-Za-z0-9.-]+\.[A-Za-z]{2,}$""),""✅ Valid"",""❌ Invalid"")"),"✅ Valid")</f>
        <v>✅ Valid</v>
      </c>
      <c r="P688" s="2" t="str">
        <f t="array" ref="P688">XLOOKUP(I688,customers_clean!$A$2:$A$701,customers_clean!$K$2:$K$701)</f>
        <v>78311806x1</v>
      </c>
      <c r="Q688" s="10" t="str">
        <f t="array" ref="Q688">XLOOKUP(I688,customers_clean!$A$2:$A$701,customers_clean!$N$2:$N$701)</f>
        <v>783118061</v>
      </c>
      <c r="R688" s="9" t="str">
        <f t="array" ref="R688">XLOOKUP(I688,customers_clean!$A$2:$A$701,customers_clean!$Q$2:$Q$701)</f>
        <v>❌ INVALID</v>
      </c>
      <c r="S688" s="10" t="s">
        <v>139</v>
      </c>
      <c r="T688" s="2" t="s">
        <v>152</v>
      </c>
      <c r="U688" s="2" t="s">
        <v>870</v>
      </c>
      <c r="V688" s="2" t="s">
        <v>140</v>
      </c>
      <c r="W688" s="9" t="str">
        <f t="array" ref="W688">IF(ISNA(XLOOKUP(V688,products_master_corrected!$A$2:$A$151,products_master_corrected!$A$2:$A$151, NA())),
    "❌ MISSING SKU", "✅")</f>
        <v>✅</v>
      </c>
      <c r="X688" s="2" t="s">
        <v>741</v>
      </c>
      <c r="Y688" s="2" t="s">
        <v>63</v>
      </c>
      <c r="Z688" s="10" t="s">
        <v>63</v>
      </c>
      <c r="AA688" s="27">
        <v>2.0</v>
      </c>
      <c r="AB688" s="9" t="s">
        <v>8649</v>
      </c>
      <c r="AC688" s="28">
        <f t="array" ref="AC688">XLOOKUP(V688,products_master_corrected!$A$2:$A$151,products_master_corrected!$E$2:$E$151)</f>
        <v>30.67</v>
      </c>
      <c r="AD688" s="28">
        <f t="shared" si="78"/>
        <v>61.34</v>
      </c>
      <c r="AE688" s="28">
        <f t="array" ref="AE688">XLOOKUP(V688,products_master_corrected!$A$2:$A$151,products_master_corrected!$L$2:$L$151)</f>
        <v>33.17</v>
      </c>
      <c r="AF688" s="29">
        <f t="shared" si="79"/>
        <v>66.34</v>
      </c>
      <c r="AG688" s="32" t="s">
        <v>8665</v>
      </c>
      <c r="AH688" s="2" t="s">
        <v>414</v>
      </c>
      <c r="AI688" s="10" t="s">
        <v>49</v>
      </c>
      <c r="AJ688" s="2" t="s">
        <v>1562</v>
      </c>
      <c r="AK688" s="10" t="s">
        <v>80</v>
      </c>
    </row>
    <row r="689" ht="15.75" customHeight="1">
      <c r="A689" s="2" t="s">
        <v>5291</v>
      </c>
      <c r="B689" s="12">
        <v>45348.0</v>
      </c>
      <c r="C689" s="2" t="str">
        <f>IFERROR(__xludf.DUMMYFUNCTION("IF(ISNUMBER(B689),TEXT(B689,""yyyy-MM-dd""),REGEXREPLACE(REGEXREPLACE(TO_TEXT(B689),""[^0-9a-zA-Z]+"",""-""),""[^0-9]*$"",""""))"),"2024-02-26")</f>
        <v>2024-02-26</v>
      </c>
      <c r="D689" s="2" t="s">
        <v>8911</v>
      </c>
      <c r="H689" s="10" t="s">
        <v>8911</v>
      </c>
      <c r="I689" s="2" t="s">
        <v>5293</v>
      </c>
      <c r="J689" s="26" t="str">
        <f t="array" ref="J689">IF(ISNA(XLOOKUP(I689,customers_clean!$A$2:$A$701,customers_clean!$A$2:$A$701, NA()) ),
   "❌ MISSING CUSTOMER", "✅")</f>
        <v>✅</v>
      </c>
      <c r="K689" s="2" t="str">
        <f t="array" ref="K689">XLOOKUP(I689,customers_clean!$A$2:$A$701,customers_clean!$C$2:$C$701)</f>
        <v>PAULA DAIVS</v>
      </c>
      <c r="L689" s="10" t="str">
        <f t="array" ref="L689">XLOOKUP(I689,customers_clean!$A$2:$A$701,customers_clean!$D$2:$D$701)</f>
        <v>Paula Davis</v>
      </c>
      <c r="M689" s="2" t="str">
        <f t="array" ref="M689">XLOOKUP(I689,customers_clean!$A$2:$A$701,customers_clean!$I$2:$I$701)</f>
        <v>paula.davis@yahoo.com</v>
      </c>
      <c r="N689" s="10" t="str">
        <f t="array" ref="N689">XLOOKUP(I689,customers_clean!$A$2:$A$701,customers_clean!$H$2:$H$701)</f>
        <v>paula.davis@yahoo.com</v>
      </c>
      <c r="O689" s="9" t="str">
        <f>IFERROR(__xludf.DUMMYFUNCTION("IF(REGEXMATCH(TRIM(N689),""^[A-Za-z0-9._%+-]+@[A-Za-z0-9.-]+\.[A-Za-z]{2,}$""),""✅ Valid"",""❌ Invalid"")"),"✅ Valid")</f>
        <v>✅ Valid</v>
      </c>
      <c r="P689" s="2" t="str">
        <f t="array" ref="P689">XLOOKUP(I689,customers_clean!$A$2:$A$701,customers_clean!$K$2:$K$701)</f>
        <v>+3401092380 ext 790</v>
      </c>
      <c r="Q689" s="10" t="str">
        <f t="array" ref="Q689">XLOOKUP(I689,customers_clean!$A$2:$A$701,customers_clean!$N$2:$N$701)</f>
        <v>01092380</v>
      </c>
      <c r="R689" s="9" t="str">
        <f t="array" ref="R689">XLOOKUP(I689,customers_clean!$A$2:$A$701,customers_clean!$Q$2:$Q$701)</f>
        <v>❌ INVALID</v>
      </c>
      <c r="S689" s="10" t="s">
        <v>88</v>
      </c>
      <c r="T689" s="2" t="s">
        <v>5296</v>
      </c>
      <c r="U689" s="2" t="s">
        <v>522</v>
      </c>
      <c r="V689" s="2" t="s">
        <v>581</v>
      </c>
      <c r="W689" s="9" t="str">
        <f t="array" ref="W689">IF(ISNA(XLOOKUP(V689,products_master_corrected!$A$2:$A$151,products_master_corrected!$A$2:$A$151, NA())),
    "❌ MISSING SKU", "✅")</f>
        <v>✅</v>
      </c>
      <c r="X689" s="2" t="s">
        <v>280</v>
      </c>
      <c r="Y689" s="2" t="s">
        <v>582</v>
      </c>
      <c r="Z689" s="10" t="s">
        <v>63</v>
      </c>
      <c r="AA689" s="27">
        <v>1.0</v>
      </c>
      <c r="AB689" s="9" t="s">
        <v>8649</v>
      </c>
      <c r="AC689" s="28">
        <f t="array" ref="AC689">XLOOKUP(V689,products_master_corrected!$A$2:$A$151,products_master_corrected!$E$2:$E$151)</f>
        <v>120.1</v>
      </c>
      <c r="AD689" s="28">
        <f t="shared" si="78"/>
        <v>120.1</v>
      </c>
      <c r="AE689" s="28">
        <f t="array" ref="AE689">XLOOKUP(V689,products_master_corrected!$A$2:$A$151,products_master_corrected!$I$2:$I$151)</f>
        <v>132.4</v>
      </c>
      <c r="AF689" s="29">
        <f t="shared" si="79"/>
        <v>132.4</v>
      </c>
      <c r="AG689" s="32" t="s">
        <v>8660</v>
      </c>
      <c r="AH689" s="2" t="s">
        <v>238</v>
      </c>
      <c r="AI689" s="10" t="s">
        <v>66</v>
      </c>
      <c r="AJ689" s="2" t="s">
        <v>169</v>
      </c>
      <c r="AK689" s="10" t="s">
        <v>261</v>
      </c>
      <c r="AL689" s="2" t="s">
        <v>81</v>
      </c>
    </row>
    <row r="690" ht="15.75" customHeight="1">
      <c r="A690" s="2" t="s">
        <v>5795</v>
      </c>
      <c r="B690" s="12">
        <v>45325.0</v>
      </c>
      <c r="C690" s="2" t="str">
        <f>IFERROR(__xludf.DUMMYFUNCTION("IF(ISNUMBER(B690),TEXT(B690,""yyyy-MM-dd""),REGEXREPLACE(REGEXREPLACE(TO_TEXT(B690),""[^0-9a-zA-Z]+"",""-""),""[^0-9]*$"",""""))"),"2024-02-03")</f>
        <v>2024-02-03</v>
      </c>
      <c r="D690" s="2" t="s">
        <v>5796</v>
      </c>
      <c r="H690" s="10" t="s">
        <v>5796</v>
      </c>
      <c r="I690" s="2" t="s">
        <v>5797</v>
      </c>
      <c r="J690" s="26" t="str">
        <f t="array" ref="J690">IF(ISNA(XLOOKUP(I690,customers_clean!$A$2:$A$701,customers_clean!$A$2:$A$701, NA()) ),
   "❌ MISSING CUSTOMER", "✅")</f>
        <v>✅</v>
      </c>
      <c r="K690" s="2" t="str">
        <f t="array" ref="K690">XLOOKUP(I690,customers_clean!$A$2:$A$701,customers_clean!$C$2:$C$701)</f>
        <v> Igor Kowalczyk</v>
      </c>
      <c r="L690" s="10" t="str">
        <f t="array" ref="L690">XLOOKUP(I690,customers_clean!$A$2:$A$701,customers_clean!$D$2:$D$701)</f>
        <v>Igor Kowalczyk</v>
      </c>
      <c r="M690" s="2" t="str">
        <f t="array" ref="M690">XLOOKUP(I690,customers_clean!$A$2:$A$701,customers_clean!$I$2:$I$701)</f>
        <v>igor.kowalczyk@example.com</v>
      </c>
      <c r="N690" s="10" t="str">
        <f t="array" ref="N690">XLOOKUP(I690,customers_clean!$A$2:$A$701,customers_clean!$H$2:$H$701)</f>
        <v>igor.kowalczyk@example.com</v>
      </c>
      <c r="O690" s="9" t="str">
        <f>IFERROR(__xludf.DUMMYFUNCTION("IF(REGEXMATCH(TRIM(N690),""^[A-Za-z0-9._%+-]+@[A-Za-z0-9.-]+\.[A-Za-z]{2,}$""),""✅ Valid"",""❌ Invalid"")"),"✅ Valid")</f>
        <v>✅ Valid</v>
      </c>
      <c r="P690" s="2" t="str">
        <f t="array" ref="P690">XLOOKUP(I690,customers_clean!$A$2:$A$701,customers_clean!$K$2:$K$701)</f>
        <v>91462x12641 x</v>
      </c>
      <c r="Q690" s="10" t="str">
        <f t="array" ref="Q690">XLOOKUP(I690,customers_clean!$A$2:$A$701,customers_clean!$N$2:$N$701)</f>
        <v>9146212641</v>
      </c>
      <c r="R690" s="9" t="str">
        <f t="array" ref="R690">XLOOKUP(I690,customers_clean!$A$2:$A$701,customers_clean!$Q$2:$Q$701)</f>
        <v>❌ INVALID</v>
      </c>
      <c r="S690" s="10" t="s">
        <v>88</v>
      </c>
      <c r="T690" s="2" t="s">
        <v>26</v>
      </c>
      <c r="U690" s="2" t="s">
        <v>4199</v>
      </c>
      <c r="V690" s="2" t="s">
        <v>127</v>
      </c>
      <c r="W690" s="9" t="str">
        <f t="array" ref="W690">IF(ISNA(XLOOKUP(V690,products_master_corrected!$A$2:$A$151,products_master_corrected!$A$2:$A$151, NA())),
    "❌ MISSING SKU", "✅")</f>
        <v>✅</v>
      </c>
      <c r="X690" s="2" t="s">
        <v>8717</v>
      </c>
      <c r="Y690" s="2" t="s">
        <v>129</v>
      </c>
      <c r="Z690" s="10" t="s">
        <v>514</v>
      </c>
      <c r="AA690" s="27">
        <v>3.0</v>
      </c>
      <c r="AB690" s="9" t="s">
        <v>8649</v>
      </c>
      <c r="AC690" s="28">
        <f t="array" ref="AC690">XLOOKUP(V690,products_master_corrected!$A$2:$A$151,products_master_corrected!$E$2:$E$151)</f>
        <v>79.06</v>
      </c>
      <c r="AD690" s="28">
        <f t="shared" si="78"/>
        <v>237.18</v>
      </c>
      <c r="AE690" s="28">
        <f t="array" ref="AE690">XLOOKUP(V690,products_master_corrected!$A$2:$A$151,products_master_corrected!$I$2:$I$151)</f>
        <v>87.16</v>
      </c>
      <c r="AF690" s="29">
        <f t="shared" si="79"/>
        <v>261.48</v>
      </c>
      <c r="AG690" s="32" t="s">
        <v>8660</v>
      </c>
      <c r="AH690" s="2" t="s">
        <v>526</v>
      </c>
      <c r="AI690" s="10" t="s">
        <v>49</v>
      </c>
      <c r="AJ690" s="2" t="s">
        <v>132</v>
      </c>
      <c r="AK690" s="10" t="s">
        <v>192</v>
      </c>
      <c r="AL690" s="2" t="s">
        <v>51</v>
      </c>
    </row>
    <row r="691" ht="15.75" customHeight="1">
      <c r="A691" s="2" t="s">
        <v>5664</v>
      </c>
      <c r="B691" s="12" t="s">
        <v>5665</v>
      </c>
      <c r="C691" s="2" t="str">
        <f>IFERROR(__xludf.DUMMYFUNCTION("IF(ISNUMBER(B691),TEXT(B691,""yyyy-MM-dd""),REGEXREPLACE(REGEXREPLACE(TO_TEXT(B691),""[^0-9a-zA-Z]+"",""-""),""[^0-9]*$"",""""))"),"10-03-2025")</f>
        <v>10-03-2025</v>
      </c>
      <c r="D691" s="2" t="s">
        <v>8819</v>
      </c>
      <c r="H691" s="10" t="s">
        <v>8819</v>
      </c>
      <c r="I691" s="2" t="s">
        <v>1557</v>
      </c>
      <c r="J691" s="26" t="str">
        <f t="array" ref="J691">IF(ISNA(XLOOKUP(I691,customers_clean!$A$2:$A$701,customers_clean!$A$2:$A$701, NA()) ),
   "❌ MISSING CUSTOMER", "✅")</f>
        <v>✅</v>
      </c>
      <c r="K691" s="2" t="str">
        <f t="array" ref="K691">XLOOKUP(I691,customers_clean!$A$2:$A$701,customers_clean!$C$2:$C$701)</f>
        <v>Vlad Davis</v>
      </c>
      <c r="L691" s="10" t="str">
        <f t="array" ref="L691">XLOOKUP(I691,customers_clean!$A$2:$A$701,customers_clean!$D$2:$D$701)</f>
        <v>Vlad Davis</v>
      </c>
      <c r="M691" s="2" t="str">
        <f t="array" ref="M691">XLOOKUP(I691,customers_clean!$A$2:$A$701,customers_clean!$I$2:$I$701)</f>
        <v>vlad.davis@gmail.com</v>
      </c>
      <c r="N691" s="10" t="str">
        <f t="array" ref="N691">XLOOKUP(I691,customers_clean!$A$2:$A$701,customers_clean!$H$2:$H$701)</f>
        <v>vlad.davis@gmail.com</v>
      </c>
      <c r="O691" s="9" t="str">
        <f>IFERROR(__xludf.DUMMYFUNCTION("IF(REGEXMATCH(TRIM(N691),""^[A-Za-z0-9._%+-]+@[A-Za-z0-9.-]+\.[A-Za-z]{2,}$""),""✅ Valid"",""❌ Invalid"")"),"✅ Valid")</f>
        <v>✅ Valid</v>
      </c>
      <c r="P691" s="2">
        <f t="array" ref="P691">XLOOKUP(I691,customers_clean!$A$2:$A$701,customers_clean!$K$2:$K$701)</f>
        <v>4491059136177</v>
      </c>
      <c r="Q691" s="10" t="str">
        <f t="array" ref="Q691">XLOOKUP(I691,customers_clean!$A$2:$A$701,customers_clean!$N$2:$N$701)</f>
        <v>91059136177</v>
      </c>
      <c r="R691" s="9" t="str">
        <f t="array" ref="R691">XLOOKUP(I691,customers_clean!$A$2:$A$701,customers_clean!$Q$2:$Q$701)</f>
        <v>❌ INVALID</v>
      </c>
      <c r="S691" s="10" t="s">
        <v>114</v>
      </c>
      <c r="T691" s="2" t="s">
        <v>59</v>
      </c>
      <c r="U691" s="2" t="s">
        <v>500</v>
      </c>
      <c r="V691" s="2" t="s">
        <v>740</v>
      </c>
      <c r="W691" s="9" t="str">
        <f t="array" ref="W691">IF(ISNA(XLOOKUP(V691,products_master_corrected!$A$2:$A$151,products_master_corrected!$A$2:$A$151, NA())),
    "❌ MISSING SKU", "✅")</f>
        <v>✅</v>
      </c>
      <c r="X691" s="2" t="s">
        <v>741</v>
      </c>
      <c r="Y691" s="2" t="s">
        <v>742</v>
      </c>
      <c r="Z691" s="10" t="s">
        <v>355</v>
      </c>
      <c r="AA691" s="27">
        <v>1.0</v>
      </c>
      <c r="AB691" s="9" t="s">
        <v>8649</v>
      </c>
      <c r="AC691" s="28">
        <f t="array" ref="AC691">XLOOKUP(V691,products_master_corrected!$A$2:$A$151,products_master_corrected!$E$2:$E$151)</f>
        <v>35.77</v>
      </c>
      <c r="AD691" s="28">
        <f t="shared" si="78"/>
        <v>35.77</v>
      </c>
      <c r="AE691" s="28">
        <f t="array" ref="AE691">XLOOKUP(V691,products_master_corrected!$A$2:$A$151,products_master_corrected!$F$2:$F$151)</f>
        <v>35.77</v>
      </c>
      <c r="AF691" s="29">
        <f t="shared" si="79"/>
        <v>35.77</v>
      </c>
      <c r="AG691" s="30" t="s">
        <v>65</v>
      </c>
      <c r="AH691" s="2" t="s">
        <v>414</v>
      </c>
      <c r="AI691" s="10" t="s">
        <v>49</v>
      </c>
      <c r="AJ691" s="2" t="s">
        <v>80</v>
      </c>
      <c r="AK691" s="10" t="s">
        <v>80</v>
      </c>
      <c r="AL691" s="2" t="s">
        <v>67</v>
      </c>
    </row>
    <row r="692" ht="15.75" customHeight="1">
      <c r="A692" s="2" t="s">
        <v>6055</v>
      </c>
      <c r="B692" s="12" t="s">
        <v>6056</v>
      </c>
      <c r="C692" s="2" t="str">
        <f>IFERROR(__xludf.DUMMYFUNCTION("IF(ISNUMBER(B692),TEXT(B692,""yyyy-MM-dd""),REGEXREPLACE(REGEXREPLACE(TO_TEXT(B692),""[^0-9a-zA-Z]+"",""-""),""[^0-9]*$"",""""))"),"09-06-2024")</f>
        <v>09-06-2024</v>
      </c>
      <c r="D692" s="2" t="s">
        <v>8912</v>
      </c>
      <c r="H692" s="10" t="s">
        <v>8912</v>
      </c>
      <c r="I692" s="2" t="s">
        <v>1557</v>
      </c>
      <c r="J692" s="26" t="str">
        <f t="array" ref="J692">IF(ISNA(XLOOKUP(I692,customers_clean!$A$2:$A$701,customers_clean!$A$2:$A$701, NA()) ),
   "❌ MISSING CUSTOMER", "✅")</f>
        <v>✅</v>
      </c>
      <c r="K692" s="2" t="str">
        <f t="array" ref="K692">XLOOKUP(I692,customers_clean!$A$2:$A$701,customers_clean!$C$2:$C$701)</f>
        <v>Vlad Davis</v>
      </c>
      <c r="L692" s="10" t="str">
        <f t="array" ref="L692">XLOOKUP(I692,customers_clean!$A$2:$A$701,customers_clean!$D$2:$D$701)</f>
        <v>Vlad Davis</v>
      </c>
      <c r="M692" s="2" t="str">
        <f t="array" ref="M692">XLOOKUP(I692,customers_clean!$A$2:$A$701,customers_clean!$I$2:$I$701)</f>
        <v>vlad.davis@gmail.com</v>
      </c>
      <c r="N692" s="10" t="str">
        <f t="array" ref="N692">XLOOKUP(I692,customers_clean!$A$2:$A$701,customers_clean!$H$2:$H$701)</f>
        <v>vlad.davis@gmail.com</v>
      </c>
      <c r="O692" s="9" t="str">
        <f>IFERROR(__xludf.DUMMYFUNCTION("IF(REGEXMATCH(TRIM(N692),""^[A-Za-z0-9._%+-]+@[A-Za-z0-9.-]+\.[A-Za-z]{2,}$""),""✅ Valid"",""❌ Invalid"")"),"✅ Valid")</f>
        <v>✅ Valid</v>
      </c>
      <c r="P692" s="2">
        <f t="array" ref="P692">XLOOKUP(I692,customers_clean!$A$2:$A$701,customers_clean!$K$2:$K$701)</f>
        <v>4491059136177</v>
      </c>
      <c r="Q692" s="10" t="str">
        <f t="array" ref="Q692">XLOOKUP(I692,customers_clean!$A$2:$A$701,customers_clean!$N$2:$N$701)</f>
        <v>91059136177</v>
      </c>
      <c r="R692" s="9" t="str">
        <f t="array" ref="R692">XLOOKUP(I692,customers_clean!$A$2:$A$701,customers_clean!$Q$2:$Q$701)</f>
        <v>❌ INVALID</v>
      </c>
      <c r="S692" s="10" t="s">
        <v>114</v>
      </c>
      <c r="T692" s="2" t="s">
        <v>210</v>
      </c>
      <c r="U692" s="2" t="s">
        <v>103</v>
      </c>
      <c r="V692" s="2" t="s">
        <v>740</v>
      </c>
      <c r="W692" s="9" t="str">
        <f t="array" ref="W692">IF(ISNA(XLOOKUP(V692,products_master_corrected!$A$2:$A$151,products_master_corrected!$A$2:$A$151, NA())),
    "❌ MISSING SKU", "✅")</f>
        <v>✅</v>
      </c>
      <c r="X692" s="2" t="s">
        <v>741</v>
      </c>
      <c r="Y692" s="2" t="s">
        <v>742</v>
      </c>
      <c r="Z692" s="10" t="s">
        <v>355</v>
      </c>
      <c r="AA692" s="27">
        <v>5.0</v>
      </c>
      <c r="AB692" s="9" t="s">
        <v>8649</v>
      </c>
      <c r="AC692" s="28">
        <f t="array" ref="AC692">XLOOKUP(V692,products_master_corrected!$A$2:$A$151,products_master_corrected!$E$2:$E$151)</f>
        <v>35.77</v>
      </c>
      <c r="AD692" s="28">
        <f t="shared" si="78"/>
        <v>178.85</v>
      </c>
      <c r="AE692" s="28">
        <f t="array" ref="AE692">XLOOKUP(V692,products_master_corrected!$A$2:$A$151,products_master_corrected!$F$2:$F$151)</f>
        <v>35.77</v>
      </c>
      <c r="AF692" s="29">
        <f t="shared" si="79"/>
        <v>178.85</v>
      </c>
      <c r="AG692" s="30" t="s">
        <v>65</v>
      </c>
      <c r="AH692" s="2" t="s">
        <v>143</v>
      </c>
      <c r="AI692" s="10" t="s">
        <v>143</v>
      </c>
      <c r="AJ692" s="2" t="s">
        <v>132</v>
      </c>
      <c r="AK692" s="10" t="s">
        <v>192</v>
      </c>
      <c r="AL692" s="2" t="s">
        <v>51</v>
      </c>
    </row>
    <row r="693" ht="15.75" customHeight="1">
      <c r="A693" s="2" t="s">
        <v>1555</v>
      </c>
      <c r="B693" s="12">
        <v>45704.0</v>
      </c>
      <c r="C693" s="2" t="str">
        <f>IFERROR(__xludf.DUMMYFUNCTION("IF(ISNUMBER(B693),TEXT(B693,""yyyy-MM-dd""),REGEXREPLACE(REGEXREPLACE(TO_TEXT(B693),""[^0-9a-zA-Z]+"",""-""),""[^0-9]*$"",""""))"),"2025-02-16")</f>
        <v>2025-02-16</v>
      </c>
      <c r="D693" s="2" t="s">
        <v>8872</v>
      </c>
      <c r="H693" s="10" t="s">
        <v>8872</v>
      </c>
      <c r="I693" s="2" t="s">
        <v>1557</v>
      </c>
      <c r="J693" s="26" t="str">
        <f t="array" ref="J693">IF(ISNA(XLOOKUP(I693,customers_clean!$A$2:$A$701,customers_clean!$A$2:$A$701, NA()) ),
   "❌ MISSING CUSTOMER", "✅")</f>
        <v>✅</v>
      </c>
      <c r="K693" s="2" t="str">
        <f t="array" ref="K693">XLOOKUP(I693,customers_clean!$A$2:$A$701,customers_clean!$C$2:$C$701)</f>
        <v>Vlad Davis</v>
      </c>
      <c r="L693" s="10" t="str">
        <f t="array" ref="L693">XLOOKUP(I693,customers_clean!$A$2:$A$701,customers_clean!$D$2:$D$701)</f>
        <v>Vlad Davis</v>
      </c>
      <c r="M693" s="2" t="str">
        <f t="array" ref="M693">XLOOKUP(I693,customers_clean!$A$2:$A$701,customers_clean!$I$2:$I$701)</f>
        <v>vlad.davis@gmail.com</v>
      </c>
      <c r="N693" s="10" t="str">
        <f t="array" ref="N693">XLOOKUP(I693,customers_clean!$A$2:$A$701,customers_clean!$H$2:$H$701)</f>
        <v>vlad.davis@gmail.com</v>
      </c>
      <c r="O693" s="9" t="str">
        <f>IFERROR(__xludf.DUMMYFUNCTION("IF(REGEXMATCH(TRIM(N693),""^[A-Za-z0-9._%+-]+@[A-Za-z0-9.-]+\.[A-Za-z]{2,}$""),""✅ Valid"",""❌ Invalid"")"),"✅ Valid")</f>
        <v>✅ Valid</v>
      </c>
      <c r="P693" s="2">
        <f t="array" ref="P693">XLOOKUP(I693,customers_clean!$A$2:$A$701,customers_clean!$K$2:$K$701)</f>
        <v>4491059136177</v>
      </c>
      <c r="Q693" s="10" t="str">
        <f t="array" ref="Q693">XLOOKUP(I693,customers_clean!$A$2:$A$701,customers_clean!$N$2:$N$701)</f>
        <v>91059136177</v>
      </c>
      <c r="R693" s="9" t="str">
        <f t="array" ref="R693">XLOOKUP(I693,customers_clean!$A$2:$A$701,customers_clean!$Q$2:$Q$701)</f>
        <v>❌ INVALID</v>
      </c>
      <c r="S693" s="10" t="s">
        <v>114</v>
      </c>
      <c r="T693" s="2" t="s">
        <v>42</v>
      </c>
      <c r="U693" s="2" t="s">
        <v>870</v>
      </c>
      <c r="V693" s="2" t="s">
        <v>904</v>
      </c>
      <c r="W693" s="9" t="str">
        <f t="array" ref="W693">IF(ISNA(XLOOKUP(V693,products_master_corrected!$A$2:$A$151,products_master_corrected!$A$2:$A$151, NA())),
    "❌ MISSING SKU", "✅")</f>
        <v>✅</v>
      </c>
      <c r="X693" s="2" t="s">
        <v>905</v>
      </c>
      <c r="Y693" s="2" t="s">
        <v>167</v>
      </c>
      <c r="Z693" s="10" t="str">
        <f>PROPER(TRIM(Y693))</f>
        <v>Monitors</v>
      </c>
      <c r="AA693" s="27">
        <v>5.0</v>
      </c>
      <c r="AB693" s="9" t="s">
        <v>8649</v>
      </c>
      <c r="AC693" s="28">
        <f t="array" ref="AC693">XLOOKUP(V693,products_master_corrected!$A$2:$A$151,products_master_corrected!$E$2:$E$151)</f>
        <v>132.42</v>
      </c>
      <c r="AD693" s="28">
        <f t="shared" si="78"/>
        <v>662.1</v>
      </c>
      <c r="AE693" s="28">
        <f t="array" ref="AE693">XLOOKUP(V693,products_master_corrected!$A$2:$A$151,products_master_corrected!$F$2:$F$151)</f>
        <v>132.42</v>
      </c>
      <c r="AF693" s="29">
        <f t="shared" si="79"/>
        <v>662.1</v>
      </c>
      <c r="AG693" s="30" t="s">
        <v>65</v>
      </c>
      <c r="AH693" s="2" t="s">
        <v>505</v>
      </c>
      <c r="AI693" s="10" t="s">
        <v>181</v>
      </c>
      <c r="AJ693" s="2" t="s">
        <v>1562</v>
      </c>
      <c r="AK693" s="10" t="s">
        <v>80</v>
      </c>
      <c r="AL693" s="2" t="s">
        <v>67</v>
      </c>
    </row>
    <row r="694" ht="15.75" customHeight="1">
      <c r="A694" s="2" t="s">
        <v>5982</v>
      </c>
      <c r="B694" s="12">
        <v>45765.0</v>
      </c>
      <c r="C694" s="2" t="str">
        <f>IFERROR(__xludf.DUMMYFUNCTION("IF(ISNUMBER(B694),TEXT(B694,""yyyy-MM-dd""),REGEXREPLACE(REGEXREPLACE(TO_TEXT(B694),""[^0-9a-zA-Z]+"",""-""),""[^0-9]*$"",""""))"),"2025-04-18")</f>
        <v>2025-04-18</v>
      </c>
      <c r="D694" s="2" t="s">
        <v>8913</v>
      </c>
      <c r="H694" s="10" t="s">
        <v>8913</v>
      </c>
      <c r="I694" s="2" t="s">
        <v>1557</v>
      </c>
      <c r="J694" s="26" t="str">
        <f t="array" ref="J694">IF(ISNA(XLOOKUP(I694,customers_clean!$A$2:$A$701,customers_clean!$A$2:$A$701, NA()) ),
   "❌ MISSING CUSTOMER", "✅")</f>
        <v>✅</v>
      </c>
      <c r="K694" s="2" t="str">
        <f t="array" ref="K694">XLOOKUP(I694,customers_clean!$A$2:$A$701,customers_clean!$C$2:$C$701)</f>
        <v>Vlad Davis</v>
      </c>
      <c r="L694" s="10" t="str">
        <f t="array" ref="L694">XLOOKUP(I694,customers_clean!$A$2:$A$701,customers_clean!$D$2:$D$701)</f>
        <v>Vlad Davis</v>
      </c>
      <c r="M694" s="2" t="str">
        <f t="array" ref="M694">XLOOKUP(I694,customers_clean!$A$2:$A$701,customers_clean!$I$2:$I$701)</f>
        <v>vlad.davis@gmail.com</v>
      </c>
      <c r="N694" s="10" t="str">
        <f t="array" ref="N694">XLOOKUP(I694,customers_clean!$A$2:$A$701,customers_clean!$H$2:$H$701)</f>
        <v>vlad.davis@gmail.com</v>
      </c>
      <c r="O694" s="9" t="str">
        <f>IFERROR(__xludf.DUMMYFUNCTION("IF(REGEXMATCH(TRIM(N694),""^[A-Za-z0-9._%+-]+@[A-Za-z0-9.-]+\.[A-Za-z]{2,}$""),""✅ Valid"",""❌ Invalid"")"),"✅ Valid")</f>
        <v>✅ Valid</v>
      </c>
      <c r="P694" s="2">
        <f t="array" ref="P694">XLOOKUP(I694,customers_clean!$A$2:$A$701,customers_clean!$K$2:$K$701)</f>
        <v>4491059136177</v>
      </c>
      <c r="Q694" s="10" t="str">
        <f t="array" ref="Q694">XLOOKUP(I694,customers_clean!$A$2:$A$701,customers_clean!$N$2:$N$701)</f>
        <v>91059136177</v>
      </c>
      <c r="R694" s="9" t="str">
        <f t="array" ref="R694">XLOOKUP(I694,customers_clean!$A$2:$A$701,customers_clean!$Q$2:$Q$701)</f>
        <v>❌ INVALID</v>
      </c>
      <c r="S694" s="10" t="s">
        <v>114</v>
      </c>
      <c r="T694" s="2" t="s">
        <v>42</v>
      </c>
      <c r="U694" s="2" t="s">
        <v>401</v>
      </c>
      <c r="V694" s="2" t="s">
        <v>212</v>
      </c>
      <c r="W694" s="9" t="str">
        <f t="array" ref="W694">IF(ISNA(XLOOKUP(V694,products_master_corrected!$A$2:$A$151,products_master_corrected!$A$2:$A$151, NA())),
    "❌ MISSING SKU", "✅")</f>
        <v>✅</v>
      </c>
      <c r="X694" s="2" t="s">
        <v>213</v>
      </c>
      <c r="Y694" s="2" t="s">
        <v>214</v>
      </c>
      <c r="Z694" s="10" t="s">
        <v>368</v>
      </c>
      <c r="AA694" s="27">
        <v>2.0</v>
      </c>
      <c r="AB694" s="9" t="s">
        <v>8649</v>
      </c>
      <c r="AC694" s="28">
        <f t="array" ref="AC694">XLOOKUP(V694,products_master_corrected!$A$2:$A$151,products_master_corrected!$E$2:$E$151)</f>
        <v>1464.12</v>
      </c>
      <c r="AD694" s="28">
        <f t="shared" si="78"/>
        <v>2928.24</v>
      </c>
      <c r="AE694" s="28">
        <f t="array" ref="AE694">XLOOKUP(V694,products_master_corrected!$A$2:$A$151,products_master_corrected!$F$2:$F$151)</f>
        <v>1464.12</v>
      </c>
      <c r="AF694" s="29">
        <f t="shared" si="79"/>
        <v>2928.24</v>
      </c>
      <c r="AG694" s="30" t="s">
        <v>65</v>
      </c>
      <c r="AH694" s="2" t="s">
        <v>33</v>
      </c>
      <c r="AI694" s="10" t="s">
        <v>181</v>
      </c>
      <c r="AJ694" s="2" t="s">
        <v>818</v>
      </c>
      <c r="AK694" s="10" t="s">
        <v>818</v>
      </c>
    </row>
    <row r="695" ht="15.75" customHeight="1">
      <c r="A695" s="2" t="s">
        <v>5064</v>
      </c>
      <c r="B695" s="12" t="s">
        <v>5065</v>
      </c>
      <c r="C695" s="2" t="str">
        <f>IFERROR(__xludf.DUMMYFUNCTION("IF(ISNUMBER(B695),TEXT(B695,""yyyy-MM-dd""),REGEXREPLACE(REGEXREPLACE(TO_TEXT(B695),""[^0-9a-zA-Z]+"",""-""),""[^0-9]*$"",""""))"),"45839-21-52")</f>
        <v>45839-21-52</v>
      </c>
      <c r="D695" s="2" t="str">
        <f>TEXT(C695,"yyyy-MM-dd")</f>
        <v>45839-21-52</v>
      </c>
      <c r="E695" s="25" t="str">
        <f>CONCATENATE(LEFT(D695,5))</f>
        <v>45839</v>
      </c>
      <c r="F695" s="12">
        <f>DATE(1900,1,1) + E695 - 1</f>
        <v>45840</v>
      </c>
      <c r="G695" s="2" t="s">
        <v>2793</v>
      </c>
      <c r="H695" s="10" t="s">
        <v>2793</v>
      </c>
      <c r="I695" s="2" t="s">
        <v>1557</v>
      </c>
      <c r="J695" s="26" t="str">
        <f t="array" ref="J695">IF(ISNA(XLOOKUP(I695,customers_clean!$A$2:$A$701,customers_clean!$A$2:$A$701, NA()) ),
   "❌ MISSING CUSTOMER", "✅")</f>
        <v>✅</v>
      </c>
      <c r="K695" s="2" t="str">
        <f t="array" ref="K695">XLOOKUP(I695,customers_clean!$A$2:$A$701,customers_clean!$C$2:$C$701)</f>
        <v>Vlad Davis</v>
      </c>
      <c r="L695" s="10" t="str">
        <f t="array" ref="L695">XLOOKUP(I695,customers_clean!$A$2:$A$701,customers_clean!$D$2:$D$701)</f>
        <v>Vlad Davis</v>
      </c>
      <c r="M695" s="2" t="str">
        <f t="array" ref="M695">XLOOKUP(I695,customers_clean!$A$2:$A$701,customers_clean!$I$2:$I$701)</f>
        <v>vlad.davis@gmail.com</v>
      </c>
      <c r="N695" s="10" t="str">
        <f t="array" ref="N695">XLOOKUP(I695,customers_clean!$A$2:$A$701,customers_clean!$H$2:$H$701)</f>
        <v>vlad.davis@gmail.com</v>
      </c>
      <c r="O695" s="9" t="str">
        <f>IFERROR(__xludf.DUMMYFUNCTION("IF(REGEXMATCH(TRIM(N695),""^[A-Za-z0-9._%+-]+@[A-Za-z0-9.-]+\.[A-Za-z]{2,}$""),""✅ Valid"",""❌ Invalid"")"),"✅ Valid")</f>
        <v>✅ Valid</v>
      </c>
      <c r="P695" s="2">
        <f t="array" ref="P695">XLOOKUP(I695,customers_clean!$A$2:$A$701,customers_clean!$K$2:$K$701)</f>
        <v>4491059136177</v>
      </c>
      <c r="Q695" s="10" t="str">
        <f t="array" ref="Q695">XLOOKUP(I695,customers_clean!$A$2:$A$701,customers_clean!$N$2:$N$701)</f>
        <v>91059136177</v>
      </c>
      <c r="R695" s="9" t="str">
        <f t="array" ref="R695">XLOOKUP(I695,customers_clean!$A$2:$A$701,customers_clean!$Q$2:$Q$701)</f>
        <v>❌ INVALID</v>
      </c>
      <c r="S695" s="10" t="s">
        <v>114</v>
      </c>
      <c r="T695" s="2" t="s">
        <v>26</v>
      </c>
      <c r="U695" s="2" t="s">
        <v>103</v>
      </c>
      <c r="V695" s="2" t="s">
        <v>189</v>
      </c>
      <c r="W695" s="9" t="str">
        <f t="array" ref="W695">IF(ISNA(XLOOKUP(V695,products_master_corrected!$A$2:$A$151,products_master_corrected!$A$2:$A$151, NA())),
    "❌ MISSING SKU", "✅")</f>
        <v>✅</v>
      </c>
      <c r="X695" s="2" t="s">
        <v>190</v>
      </c>
      <c r="Y695" s="2" t="s">
        <v>167</v>
      </c>
      <c r="Z695" s="10" t="str">
        <f>PROPER(TRIM(Y695))</f>
        <v>Monitors</v>
      </c>
      <c r="AA695" s="27">
        <v>2.0</v>
      </c>
      <c r="AB695" s="9" t="s">
        <v>8649</v>
      </c>
      <c r="AC695" s="28">
        <f t="array" ref="AC695">XLOOKUP(V695,products_master_corrected!$A$2:$A$151,products_master_corrected!$E$2:$E$151)</f>
        <v>57.69</v>
      </c>
      <c r="AD695" s="28">
        <f t="shared" si="78"/>
        <v>115.38</v>
      </c>
      <c r="AE695" s="28">
        <f t="array" ref="AE695">XLOOKUP(V695,products_master_corrected!$A$2:$A$151,products_master_corrected!$F$2:$F$151)</f>
        <v>57.69</v>
      </c>
      <c r="AF695" s="29">
        <f t="shared" si="79"/>
        <v>115.38</v>
      </c>
      <c r="AG695" s="30" t="s">
        <v>65</v>
      </c>
      <c r="AH695" s="2" t="s">
        <v>143</v>
      </c>
      <c r="AI695" s="10" t="s">
        <v>143</v>
      </c>
      <c r="AJ695" s="2" t="s">
        <v>294</v>
      </c>
      <c r="AK695" s="10" t="s">
        <v>80</v>
      </c>
    </row>
    <row r="696" ht="15.75" customHeight="1">
      <c r="A696" s="2" t="s">
        <v>4956</v>
      </c>
      <c r="B696" s="12">
        <v>44992.0</v>
      </c>
      <c r="C696" s="2" t="str">
        <f>IFERROR(__xludf.DUMMYFUNCTION("IF(ISNUMBER(B696),TEXT(B696,""yyyy-MM-dd""),REGEXREPLACE(REGEXREPLACE(TO_TEXT(B696),""[^0-9a-zA-Z]+"",""-""),""[^0-9]*$"",""""))"),"2023-03-07")</f>
        <v>2023-03-07</v>
      </c>
      <c r="D696" s="2" t="s">
        <v>8705</v>
      </c>
      <c r="H696" s="10" t="s">
        <v>8705</v>
      </c>
      <c r="I696" s="2" t="s">
        <v>1557</v>
      </c>
      <c r="J696" s="26" t="str">
        <f t="array" ref="J696">IF(ISNA(XLOOKUP(I696,customers_clean!$A$2:$A$701,customers_clean!$A$2:$A$701, NA()) ),
   "❌ MISSING CUSTOMER", "✅")</f>
        <v>✅</v>
      </c>
      <c r="K696" s="2" t="str">
        <f t="array" ref="K696">XLOOKUP(I696,customers_clean!$A$2:$A$701,customers_clean!$C$2:$C$701)</f>
        <v>Vlad Davis</v>
      </c>
      <c r="L696" s="10" t="str">
        <f t="array" ref="L696">XLOOKUP(I696,customers_clean!$A$2:$A$701,customers_clean!$D$2:$D$701)</f>
        <v>Vlad Davis</v>
      </c>
      <c r="M696" s="2" t="str">
        <f t="array" ref="M696">XLOOKUP(I696,customers_clean!$A$2:$A$701,customers_clean!$I$2:$I$701)</f>
        <v>vlad.davis@gmail.com</v>
      </c>
      <c r="N696" s="10" t="str">
        <f t="array" ref="N696">XLOOKUP(I696,customers_clean!$A$2:$A$701,customers_clean!$H$2:$H$701)</f>
        <v>vlad.davis@gmail.com</v>
      </c>
      <c r="O696" s="9" t="str">
        <f>IFERROR(__xludf.DUMMYFUNCTION("IF(REGEXMATCH(TRIM(N696),""^[A-Za-z0-9._%+-]+@[A-Za-z0-9.-]+\.[A-Za-z]{2,}$""),""✅ Valid"",""❌ Invalid"")"),"✅ Valid")</f>
        <v>✅ Valid</v>
      </c>
      <c r="P696" s="2">
        <f t="array" ref="P696">XLOOKUP(I696,customers_clean!$A$2:$A$701,customers_clean!$K$2:$K$701)</f>
        <v>4491059136177</v>
      </c>
      <c r="Q696" s="10" t="str">
        <f t="array" ref="Q696">XLOOKUP(I696,customers_clean!$A$2:$A$701,customers_clean!$N$2:$N$701)</f>
        <v>91059136177</v>
      </c>
      <c r="R696" s="9" t="str">
        <f t="array" ref="R696">XLOOKUP(I696,customers_clean!$A$2:$A$701,customers_clean!$Q$2:$Q$701)</f>
        <v>❌ INVALID</v>
      </c>
      <c r="S696" s="10" t="s">
        <v>114</v>
      </c>
      <c r="T696" s="2" t="s">
        <v>4958</v>
      </c>
      <c r="U696" s="2" t="s">
        <v>480</v>
      </c>
      <c r="V696" s="2" t="s">
        <v>534</v>
      </c>
      <c r="W696" s="9" t="str">
        <f t="array" ref="W696">IF(ISNA(XLOOKUP(V696,products_master_corrected!$A$2:$A$151,products_master_corrected!$A$2:$A$151, NA())),
    "❌ MISSING SKU", "✅")</f>
        <v>✅</v>
      </c>
      <c r="X696" s="2" t="s">
        <v>535</v>
      </c>
      <c r="Y696" s="2" t="s">
        <v>30</v>
      </c>
      <c r="Z696" s="10" t="s">
        <v>179</v>
      </c>
      <c r="AA696" s="27">
        <v>2.0</v>
      </c>
      <c r="AB696" s="9" t="s">
        <v>8649</v>
      </c>
      <c r="AC696" s="28">
        <f t="array" ref="AC696">XLOOKUP(V696,products_master_corrected!$A$2:$A$151,products_master_corrected!$E$2:$E$151)</f>
        <v>113.92</v>
      </c>
      <c r="AD696" s="28">
        <f t="shared" si="78"/>
        <v>227.84</v>
      </c>
      <c r="AE696" s="28">
        <f t="array" ref="AE696">XLOOKUP(V696,products_master_corrected!$A$2:$A$151,products_master_corrected!$F$2:$F$151)</f>
        <v>113.92</v>
      </c>
      <c r="AF696" s="29">
        <f t="shared" si="79"/>
        <v>227.84</v>
      </c>
      <c r="AG696" s="30" t="s">
        <v>65</v>
      </c>
      <c r="AH696" s="2" t="s">
        <v>305</v>
      </c>
      <c r="AI696" s="10" t="s">
        <v>49</v>
      </c>
      <c r="AJ696" s="2" t="s">
        <v>34</v>
      </c>
      <c r="AK696" s="10" t="s">
        <v>80</v>
      </c>
    </row>
    <row r="697" ht="15.75" customHeight="1">
      <c r="A697" s="2" t="s">
        <v>2481</v>
      </c>
      <c r="B697" s="12" t="s">
        <v>2482</v>
      </c>
      <c r="C697" s="2" t="str">
        <f>IFERROR(__xludf.DUMMYFUNCTION("IF(ISNUMBER(B697),TEXT(B697,""yyyy-MM-dd""),REGEXREPLACE(REGEXREPLACE(TO_TEXT(B697),""[^0-9a-zA-Z]+"",""-""),""[^0-9]*$"",""""))"),"08-28-2023")</f>
        <v>08-28-2023</v>
      </c>
      <c r="D697" s="2" t="str">
        <f>TEXT(C697,"yyyy-MM-dd")</f>
        <v>08-28-2023</v>
      </c>
      <c r="E697" s="2" t="s">
        <v>8914</v>
      </c>
      <c r="H697" s="10" t="s">
        <v>8914</v>
      </c>
      <c r="I697" s="2" t="s">
        <v>242</v>
      </c>
      <c r="J697" s="26" t="str">
        <f t="array" ref="J697">IF(ISNA(XLOOKUP(I697,customers_clean!$A$2:$A$701,customers_clean!$A$2:$A$701, NA()) ),
   "❌ MISSING CUSTOMER", "✅")</f>
        <v>✅</v>
      </c>
      <c r="K697" s="2" t="str">
        <f t="array" ref="K697">XLOOKUP(I697,customers_clean!$A$2:$A$701,customers_clean!$C$2:$C$701)</f>
        <v>Vlad Rodriguez </v>
      </c>
      <c r="L697" s="10" t="str">
        <f t="array" ref="L697">XLOOKUP(I697,customers_clean!$A$2:$A$701,customers_clean!$D$2:$D$701)</f>
        <v>Vlad Rodriguez</v>
      </c>
      <c r="M697" s="2" t="str">
        <f t="array" ref="M697">XLOOKUP(I697,customers_clean!$A$2:$A$701,customers_clean!$I$2:$I$701)</f>
        <v>vla.drodriguez@company.co.uk</v>
      </c>
      <c r="N697" s="10" t="str">
        <f t="array" ref="N697">XLOOKUP(I697,customers_clean!$A$2:$A$701,customers_clean!$H$2:$H$701)</f>
        <v>vla.drodriguez@company.co.uk</v>
      </c>
      <c r="O697" s="9" t="str">
        <f>IFERROR(__xludf.DUMMYFUNCTION("IF(REGEXMATCH(TRIM(N697),""^[A-Za-z0-9._%+-]+@[A-Za-z0-9.-]+\.[A-Za-z]{2,}$""),""✅ Valid"",""❌ Invalid"")"),"✅ Valid")</f>
        <v>✅ Valid</v>
      </c>
      <c r="P697" s="2" t="str">
        <f t="array" ref="P697">XLOOKUP(I697,customers_clean!$A$2:$A$701,customers_clean!$K$2:$K$701)</f>
        <v>+49 5055-9100-24</v>
      </c>
      <c r="Q697" s="10" t="str">
        <f t="array" ref="Q697">XLOOKUP(I697,customers_clean!$A$2:$A$701,customers_clean!$N$2:$N$701)</f>
        <v>5055910024</v>
      </c>
      <c r="R697" s="9" t="str">
        <f t="array" ref="R697">XLOOKUP(I697,customers_clean!$A$2:$A$701,customers_clean!$Q$2:$Q$701)</f>
        <v>❌ INVALID</v>
      </c>
      <c r="S697" s="10" t="s">
        <v>58</v>
      </c>
      <c r="T697" s="2" t="s">
        <v>323</v>
      </c>
      <c r="U697" s="2" t="s">
        <v>103</v>
      </c>
      <c r="V697" s="2" t="s">
        <v>2483</v>
      </c>
      <c r="W697" s="9" t="str">
        <f t="array" ref="W697">IF(ISNA(XLOOKUP(V697,products_master_corrected!$A$2:$A$151,products_master_corrected!$A$2:$A$151, NA())),
    "❌ MISSING SKU", "✅")</f>
        <v>✅</v>
      </c>
      <c r="X697" s="2" t="s">
        <v>280</v>
      </c>
      <c r="Y697" s="2" t="s">
        <v>503</v>
      </c>
      <c r="Z697" s="10" t="str">
        <f>PROPER(TRIM(Y697))</f>
        <v>Monitors</v>
      </c>
      <c r="AA697" s="27">
        <v>2.0</v>
      </c>
      <c r="AB697" s="9" t="s">
        <v>8649</v>
      </c>
      <c r="AC697" s="28">
        <f t="array" ref="AC697">XLOOKUP(V697,products_master_corrected!$A$2:$A$151,products_master_corrected!$E$2:$E$151)</f>
        <v>76.81</v>
      </c>
      <c r="AD697" s="28">
        <f t="shared" si="78"/>
        <v>153.62</v>
      </c>
      <c r="AE697" s="28">
        <f t="array" ref="AE697">XLOOKUP(V697,products_master_corrected!$A$2:$A$151,products_master_corrected!$G$2:$G$151)</f>
        <v>87.93</v>
      </c>
      <c r="AF697" s="29">
        <f t="shared" si="79"/>
        <v>175.86</v>
      </c>
      <c r="AG697" s="32" t="s">
        <v>8663</v>
      </c>
      <c r="AH697" s="2" t="s">
        <v>181</v>
      </c>
      <c r="AI697" s="10" t="s">
        <v>181</v>
      </c>
      <c r="AJ697" s="2" t="s">
        <v>158</v>
      </c>
      <c r="AK697" s="10" t="s">
        <v>818</v>
      </c>
      <c r="AL697" s="2" t="s">
        <v>51</v>
      </c>
    </row>
    <row r="698" ht="15.75" customHeight="1">
      <c r="A698" s="2" t="s">
        <v>240</v>
      </c>
      <c r="B698" s="12" t="s">
        <v>241</v>
      </c>
      <c r="C698" s="2" t="str">
        <f>IFERROR(__xludf.DUMMYFUNCTION("IF(ISNUMBER(B698),TEXT(B698,""yyyy-MM-dd""),REGEXREPLACE(REGEXREPLACE(TO_TEXT(B698),""[^0-9a-zA-Z]+"",""-""),""[^0-9]*$"",""""))"),"08-10-2023")</f>
        <v>08-10-2023</v>
      </c>
      <c r="D698" s="2" t="s">
        <v>8409</v>
      </c>
      <c r="H698" s="10" t="s">
        <v>8409</v>
      </c>
      <c r="I698" s="2" t="s">
        <v>242</v>
      </c>
      <c r="J698" s="26" t="str">
        <f t="array" ref="J698">IF(ISNA(XLOOKUP(I698,customers_clean!$A$2:$A$701,customers_clean!$A$2:$A$701, NA()) ),
   "❌ MISSING CUSTOMER", "✅")</f>
        <v>✅</v>
      </c>
      <c r="K698" s="2" t="str">
        <f t="array" ref="K698">XLOOKUP(I698,customers_clean!$A$2:$A$701,customers_clean!$C$2:$C$701)</f>
        <v>Vlad Rodriguez </v>
      </c>
      <c r="L698" s="10" t="str">
        <f t="array" ref="L698">XLOOKUP(I698,customers_clean!$A$2:$A$701,customers_clean!$D$2:$D$701)</f>
        <v>Vlad Rodriguez</v>
      </c>
      <c r="M698" s="2" t="str">
        <f t="array" ref="M698">XLOOKUP(I698,customers_clean!$A$2:$A$701,customers_clean!$I$2:$I$701)</f>
        <v>vla.drodriguez@company.co.uk</v>
      </c>
      <c r="N698" s="10" t="str">
        <f t="array" ref="N698">XLOOKUP(I698,customers_clean!$A$2:$A$701,customers_clean!$H$2:$H$701)</f>
        <v>vla.drodriguez@company.co.uk</v>
      </c>
      <c r="O698" s="9" t="str">
        <f>IFERROR(__xludf.DUMMYFUNCTION("IF(REGEXMATCH(TRIM(N698),""^[A-Za-z0-9._%+-]+@[A-Za-z0-9.-]+\.[A-Za-z]{2,}$""),""✅ Valid"",""❌ Invalid"")"),"✅ Valid")</f>
        <v>✅ Valid</v>
      </c>
      <c r="P698" s="2" t="str">
        <f t="array" ref="P698">XLOOKUP(I698,customers_clean!$A$2:$A$701,customers_clean!$K$2:$K$701)</f>
        <v>+49 5055-9100-24</v>
      </c>
      <c r="Q698" s="10" t="str">
        <f t="array" ref="Q698">XLOOKUP(I698,customers_clean!$A$2:$A$701,customers_clean!$N$2:$N$701)</f>
        <v>5055910024</v>
      </c>
      <c r="R698" s="9" t="str">
        <f t="array" ref="R698">XLOOKUP(I698,customers_clean!$A$2:$A$701,customers_clean!$Q$2:$Q$701)</f>
        <v>❌ INVALID</v>
      </c>
      <c r="S698" s="10" t="s">
        <v>58</v>
      </c>
      <c r="T698" s="2" t="s">
        <v>42</v>
      </c>
      <c r="U698" s="2" t="s">
        <v>176</v>
      </c>
      <c r="V698" s="2" t="s">
        <v>246</v>
      </c>
      <c r="W698" s="9" t="str">
        <f t="array" ref="W698">IF(ISNA(XLOOKUP(V698,products_master_corrected!$A$2:$A$151,products_master_corrected!$A$2:$A$151, NA())),
    "❌ MISSING SKU", "✅")</f>
        <v>✅</v>
      </c>
      <c r="X698" s="2" t="s">
        <v>1138</v>
      </c>
      <c r="Y698" s="2" t="s">
        <v>248</v>
      </c>
      <c r="Z698" s="10" t="s">
        <v>248</v>
      </c>
      <c r="AA698" s="27">
        <v>3.0</v>
      </c>
      <c r="AB698" s="9" t="s">
        <v>8649</v>
      </c>
      <c r="AC698" s="28">
        <f t="array" ref="AC698">XLOOKUP(V698,products_master_corrected!$A$2:$A$151,products_master_corrected!$E$2:$E$151)</f>
        <v>259.62</v>
      </c>
      <c r="AD698" s="28">
        <f t="shared" si="78"/>
        <v>778.86</v>
      </c>
      <c r="AE698" s="28">
        <f t="array" ref="AE698">XLOOKUP(V698,products_master_corrected!$A$2:$A$151,products_master_corrected!$G$2:$G$151)</f>
        <v>297.21</v>
      </c>
      <c r="AF698" s="29">
        <f t="shared" si="79"/>
        <v>891.63</v>
      </c>
      <c r="AG698" s="32" t="s">
        <v>8663</v>
      </c>
      <c r="AH698" s="2" t="s">
        <v>250</v>
      </c>
      <c r="AI698" s="10" t="s">
        <v>143</v>
      </c>
      <c r="AJ698" s="2" t="s">
        <v>251</v>
      </c>
      <c r="AK698" s="10" t="s">
        <v>192</v>
      </c>
    </row>
    <row r="699" ht="15.75" customHeight="1">
      <c r="A699" s="2" t="s">
        <v>807</v>
      </c>
      <c r="B699" s="12">
        <v>45275.0</v>
      </c>
      <c r="C699" s="2" t="str">
        <f>IFERROR(__xludf.DUMMYFUNCTION("IF(ISNUMBER(B699),TEXT(B699,""yyyy-MM-dd""),REGEXREPLACE(REGEXREPLACE(TO_TEXT(B699),""[^0-9a-zA-Z]+"",""-""),""[^0-9]*$"",""""))"),"2023-12-15")</f>
        <v>2023-12-15</v>
      </c>
      <c r="D699" s="2" t="s">
        <v>7902</v>
      </c>
      <c r="H699" s="10" t="s">
        <v>7902</v>
      </c>
      <c r="I699" s="2" t="s">
        <v>242</v>
      </c>
      <c r="J699" s="26" t="str">
        <f t="array" ref="J699">IF(ISNA(XLOOKUP(I699,customers_clean!$A$2:$A$701,customers_clean!$A$2:$A$701, NA()) ),
   "❌ MISSING CUSTOMER", "✅")</f>
        <v>✅</v>
      </c>
      <c r="K699" s="2" t="str">
        <f t="array" ref="K699">XLOOKUP(I699,customers_clean!$A$2:$A$701,customers_clean!$C$2:$C$701)</f>
        <v>Vlad Rodriguez </v>
      </c>
      <c r="L699" s="10" t="str">
        <f t="array" ref="L699">XLOOKUP(I699,customers_clean!$A$2:$A$701,customers_clean!$D$2:$D$701)</f>
        <v>Vlad Rodriguez</v>
      </c>
      <c r="M699" s="2" t="str">
        <f t="array" ref="M699">XLOOKUP(I699,customers_clean!$A$2:$A$701,customers_clean!$I$2:$I$701)</f>
        <v>vla.drodriguez@company.co.uk</v>
      </c>
      <c r="N699" s="10" t="str">
        <f t="array" ref="N699">XLOOKUP(I699,customers_clean!$A$2:$A$701,customers_clean!$H$2:$H$701)</f>
        <v>vla.drodriguez@company.co.uk</v>
      </c>
      <c r="O699" s="9" t="str">
        <f>IFERROR(__xludf.DUMMYFUNCTION("IF(REGEXMATCH(TRIM(N699),""^[A-Za-z0-9._%+-]+@[A-Za-z0-9.-]+\.[A-Za-z]{2,}$""),""✅ Valid"",""❌ Invalid"")"),"✅ Valid")</f>
        <v>✅ Valid</v>
      </c>
      <c r="P699" s="2" t="str">
        <f t="array" ref="P699">XLOOKUP(I699,customers_clean!$A$2:$A$701,customers_clean!$K$2:$K$701)</f>
        <v>+49 5055-9100-24</v>
      </c>
      <c r="Q699" s="10" t="str">
        <f t="array" ref="Q699">XLOOKUP(I699,customers_clean!$A$2:$A$701,customers_clean!$N$2:$N$701)</f>
        <v>5055910024</v>
      </c>
      <c r="R699" s="9" t="str">
        <f t="array" ref="R699">XLOOKUP(I699,customers_clean!$A$2:$A$701,customers_clean!$Q$2:$Q$701)</f>
        <v>❌ INVALID</v>
      </c>
      <c r="S699" s="10" t="s">
        <v>58</v>
      </c>
      <c r="T699" s="2" t="s">
        <v>210</v>
      </c>
      <c r="U699" s="2" t="s">
        <v>480</v>
      </c>
      <c r="V699" s="2" t="s">
        <v>246</v>
      </c>
      <c r="W699" s="9" t="str">
        <f t="array" ref="W699">IF(ISNA(XLOOKUP(V699,products_master_corrected!$A$2:$A$151,products_master_corrected!$A$2:$A$151, NA())),
    "❌ MISSING SKU", "✅")</f>
        <v>✅</v>
      </c>
      <c r="X699" s="2" t="s">
        <v>1138</v>
      </c>
      <c r="Y699" s="2" t="s">
        <v>248</v>
      </c>
      <c r="Z699" s="10" t="s">
        <v>248</v>
      </c>
      <c r="AA699" s="27">
        <v>1.0</v>
      </c>
      <c r="AB699" s="9" t="s">
        <v>8649</v>
      </c>
      <c r="AC699" s="28">
        <f t="array" ref="AC699">XLOOKUP(V699,products_master_corrected!$A$2:$A$151,products_master_corrected!$E$2:$E$151)</f>
        <v>259.62</v>
      </c>
      <c r="AD699" s="28">
        <f t="shared" si="78"/>
        <v>259.62</v>
      </c>
      <c r="AE699" s="28">
        <f t="array" ref="AE699">XLOOKUP(V699,products_master_corrected!$A$2:$A$151,products_master_corrected!$G$2:$G$151)</f>
        <v>297.21</v>
      </c>
      <c r="AF699" s="29">
        <f t="shared" si="79"/>
        <v>297.21</v>
      </c>
      <c r="AG699" s="32" t="s">
        <v>8663</v>
      </c>
      <c r="AH699" s="2" t="s">
        <v>143</v>
      </c>
      <c r="AI699" s="10" t="s">
        <v>143</v>
      </c>
      <c r="AJ699" s="2" t="s">
        <v>80</v>
      </c>
      <c r="AK699" s="10" t="s">
        <v>80</v>
      </c>
      <c r="AL699" s="2" t="s">
        <v>51</v>
      </c>
    </row>
    <row r="700" ht="15.75" customHeight="1">
      <c r="A700" s="2" t="s">
        <v>4060</v>
      </c>
      <c r="B700" s="12">
        <v>45398.0</v>
      </c>
      <c r="C700" s="2" t="str">
        <f>IFERROR(__xludf.DUMMYFUNCTION("IF(ISNUMBER(B700),TEXT(B700,""yyyy-MM-dd""),REGEXREPLACE(REGEXREPLACE(TO_TEXT(B700),""[^0-9a-zA-Z]+"",""-""),""[^0-9]*$"",""""))"),"2024-04-16")</f>
        <v>2024-04-16</v>
      </c>
      <c r="D700" s="2" t="s">
        <v>8730</v>
      </c>
      <c r="H700" s="10" t="s">
        <v>8730</v>
      </c>
      <c r="I700" s="2" t="s">
        <v>242</v>
      </c>
      <c r="J700" s="26" t="str">
        <f t="array" ref="J700">IF(ISNA(XLOOKUP(I700,customers_clean!$A$2:$A$701,customers_clean!$A$2:$A$701, NA()) ),
   "❌ MISSING CUSTOMER", "✅")</f>
        <v>✅</v>
      </c>
      <c r="K700" s="2" t="str">
        <f t="array" ref="K700">XLOOKUP(I700,customers_clean!$A$2:$A$701,customers_clean!$C$2:$C$701)</f>
        <v>Vlad Rodriguez </v>
      </c>
      <c r="L700" s="10" t="str">
        <f t="array" ref="L700">XLOOKUP(I700,customers_clean!$A$2:$A$701,customers_clean!$D$2:$D$701)</f>
        <v>Vlad Rodriguez</v>
      </c>
      <c r="M700" s="2" t="str">
        <f t="array" ref="M700">XLOOKUP(I700,customers_clean!$A$2:$A$701,customers_clean!$I$2:$I$701)</f>
        <v>vla.drodriguez@company.co.uk</v>
      </c>
      <c r="N700" s="10" t="str">
        <f t="array" ref="N700">XLOOKUP(I700,customers_clean!$A$2:$A$701,customers_clean!$H$2:$H$701)</f>
        <v>vla.drodriguez@company.co.uk</v>
      </c>
      <c r="O700" s="9" t="str">
        <f>IFERROR(__xludf.DUMMYFUNCTION("IF(REGEXMATCH(TRIM(N700),""^[A-Za-z0-9._%+-]+@[A-Za-z0-9.-]+\.[A-Za-z]{2,}$""),""✅ Valid"",""❌ Invalid"")"),"✅ Valid")</f>
        <v>✅ Valid</v>
      </c>
      <c r="P700" s="2" t="str">
        <f t="array" ref="P700">XLOOKUP(I700,customers_clean!$A$2:$A$701,customers_clean!$K$2:$K$701)</f>
        <v>+49 5055-9100-24</v>
      </c>
      <c r="Q700" s="10" t="str">
        <f t="array" ref="Q700">XLOOKUP(I700,customers_clean!$A$2:$A$701,customers_clean!$N$2:$N$701)</f>
        <v>5055910024</v>
      </c>
      <c r="R700" s="9" t="str">
        <f t="array" ref="R700">XLOOKUP(I700,customers_clean!$A$2:$A$701,customers_clean!$Q$2:$Q$701)</f>
        <v>❌ INVALID</v>
      </c>
      <c r="S700" s="10" t="s">
        <v>58</v>
      </c>
      <c r="T700" s="2" t="s">
        <v>26</v>
      </c>
      <c r="U700" s="2" t="s">
        <v>312</v>
      </c>
      <c r="V700" s="2" t="s">
        <v>1772</v>
      </c>
      <c r="W700" s="9" t="str">
        <f t="array" ref="W700">IF(ISNA(XLOOKUP(V700,products_master_corrected!$A$2:$A$151,products_master_corrected!$A$2:$A$151, NA())),
    "❌ MISSING SKU", "✅")</f>
        <v>✅</v>
      </c>
      <c r="X700" s="2" t="s">
        <v>403</v>
      </c>
      <c r="Y700" s="2" t="s">
        <v>995</v>
      </c>
      <c r="Z700" s="10" t="s">
        <v>355</v>
      </c>
      <c r="AA700" s="27">
        <v>5.0</v>
      </c>
      <c r="AB700" s="9" t="s">
        <v>8649</v>
      </c>
      <c r="AC700" s="28">
        <f t="array" ref="AC700">XLOOKUP(V700,products_master_corrected!$A$2:$A$151,products_master_corrected!$E$2:$E$151)</f>
        <v>39.48</v>
      </c>
      <c r="AD700" s="28">
        <f t="shared" si="78"/>
        <v>197.4</v>
      </c>
      <c r="AE700" s="28">
        <f t="array" ref="AE700">XLOOKUP(V700,products_master_corrected!$A$2:$A$151,products_master_corrected!$G$2:$G$151)</f>
        <v>45.2</v>
      </c>
      <c r="AF700" s="29">
        <f t="shared" si="79"/>
        <v>226</v>
      </c>
      <c r="AG700" s="32" t="s">
        <v>8663</v>
      </c>
      <c r="AH700" s="2" t="s">
        <v>49</v>
      </c>
      <c r="AI700" s="10" t="s">
        <v>49</v>
      </c>
      <c r="AJ700" s="2" t="s">
        <v>192</v>
      </c>
      <c r="AK700" s="10" t="s">
        <v>192</v>
      </c>
      <c r="AL700" s="2" t="s">
        <v>51</v>
      </c>
    </row>
    <row r="701" ht="15.75" customHeight="1">
      <c r="A701" s="2" t="s">
        <v>2623</v>
      </c>
      <c r="B701" s="12">
        <v>45625.0</v>
      </c>
      <c r="C701" s="2" t="str">
        <f>IFERROR(__xludf.DUMMYFUNCTION("IF(ISNUMBER(B701),TEXT(B701,""yyyy-MM-dd""),REGEXREPLACE(REGEXREPLACE(TO_TEXT(B701),""[^0-9a-zA-Z]+"",""-""),""[^0-9]*$"",""""))"),"2024-11-29")</f>
        <v>2024-11-29</v>
      </c>
      <c r="D701" s="2" t="s">
        <v>8915</v>
      </c>
      <c r="H701" s="10" t="s">
        <v>8915</v>
      </c>
      <c r="I701" s="2" t="s">
        <v>2625</v>
      </c>
      <c r="J701" s="26" t="str">
        <f t="array" ref="J701">IF(ISNA(XLOOKUP(I701,customers_clean!$A$2:$A$701,customers_clean!$A$2:$A$701, NA()) ),
   "❌ MISSING CUSTOMER", "✅")</f>
        <v>✅</v>
      </c>
      <c r="K701" s="2" t="str">
        <f t="array" ref="K701">XLOOKUP(I701,customers_clean!$A$2:$A$701,customers_clean!$C$2:$C$701)</f>
        <v>Marek Kowalczyk</v>
      </c>
      <c r="L701" s="10" t="str">
        <f t="array" ref="L701">XLOOKUP(I701,customers_clean!$A$2:$A$701,customers_clean!$D$2:$D$701)</f>
        <v>Marek Kowalczyk</v>
      </c>
      <c r="M701" s="2" t="str">
        <f t="array" ref="M701">XLOOKUP(I701,customers_clean!$A$2:$A$701,customers_clean!$I$2:$I$701)</f>
        <v> marek.kowalczyk@outlook.com</v>
      </c>
      <c r="N701" s="10" t="str">
        <f t="array" ref="N701">XLOOKUP(I701,customers_clean!$A$2:$A$701,customers_clean!$H$2:$H$701)</f>
        <v>marek.kowalczyk@outlook.com</v>
      </c>
      <c r="O701" s="9" t="str">
        <f>IFERROR(__xludf.DUMMYFUNCTION("IF(REGEXMATCH(TRIM(N701),""^[A-Za-z0-9._%+-]+@[A-Za-z0-9.-]+\.[A-Za-z]{2,}$""),""✅ Valid"",""❌ Invalid"")"),"✅ Valid")</f>
        <v>✅ Valid</v>
      </c>
      <c r="P701" s="33" t="str">
        <f t="array" ref="P701">XLOOKUP(I701,customers_clean!$A$2:$A$701,customers_clean!$K$2:$K$701)</f>
        <v>+48-628-79126</v>
      </c>
      <c r="Q701" s="10" t="str">
        <f t="array" ref="Q701">XLOOKUP(I701,customers_clean!$A$2:$A$701,customers_clean!$N$2:$N$701)</f>
        <v>62879126</v>
      </c>
      <c r="R701" s="9" t="str">
        <f t="array" ref="R701">XLOOKUP(I701,customers_clean!$A$2:$A$701,customers_clean!$Q$2:$Q$701)</f>
        <v>❌ INVALID</v>
      </c>
      <c r="S701" s="10" t="s">
        <v>58</v>
      </c>
      <c r="T701" s="2" t="s">
        <v>26</v>
      </c>
      <c r="U701" s="2" t="s">
        <v>176</v>
      </c>
      <c r="V701" s="2" t="s">
        <v>767</v>
      </c>
      <c r="W701" s="9" t="str">
        <f t="array" ref="W701">IF(ISNA(XLOOKUP(V701,products_master_corrected!$A$2:$A$151,products_master_corrected!$A$2:$A$151, NA())),
    "❌ MISSING SKU", "✅")</f>
        <v>✅</v>
      </c>
      <c r="X701" s="2" t="s">
        <v>768</v>
      </c>
      <c r="Y701" s="2" t="s">
        <v>769</v>
      </c>
      <c r="Z701" s="10" t="str">
        <f t="shared" ref="Z701:Z702" si="80">PROPER(TRIM(Y701))</f>
        <v>Monitors</v>
      </c>
      <c r="AA701" s="27">
        <v>3.0</v>
      </c>
      <c r="AB701" s="9" t="s">
        <v>8649</v>
      </c>
      <c r="AC701" s="28">
        <f t="array" ref="AC701">XLOOKUP(V701,products_master_corrected!$A$2:$A$151,products_master_corrected!$E$2:$E$151)</f>
        <v>15.17</v>
      </c>
      <c r="AD701" s="28">
        <f t="shared" si="78"/>
        <v>45.51</v>
      </c>
      <c r="AE701" s="28">
        <f t="array" ref="AE701">XLOOKUP(V701,products_master_corrected!$A$2:$A$151,products_master_corrected!$G$2:$G$151)</f>
        <v>17.37</v>
      </c>
      <c r="AF701" s="29">
        <f t="shared" si="79"/>
        <v>52.11</v>
      </c>
      <c r="AG701" s="32" t="s">
        <v>8663</v>
      </c>
      <c r="AH701" s="2" t="s">
        <v>573</v>
      </c>
      <c r="AI701" s="10" t="s">
        <v>66</v>
      </c>
      <c r="AJ701" s="2" t="s">
        <v>818</v>
      </c>
      <c r="AK701" s="10" t="s">
        <v>818</v>
      </c>
      <c r="AL701" s="2" t="s">
        <v>133</v>
      </c>
    </row>
    <row r="702" ht="15.75" customHeight="1">
      <c r="A702" s="2" t="s">
        <v>4090</v>
      </c>
      <c r="B702" s="12">
        <v>45576.0</v>
      </c>
      <c r="C702" s="2" t="str">
        <f>IFERROR(__xludf.DUMMYFUNCTION("IF(ISNUMBER(B702),TEXT(B702,""yyyy-MM-dd""),REGEXREPLACE(REGEXREPLACE(TO_TEXT(B702),""[^0-9a-zA-Z]+"",""-""),""[^0-9]*$"",""""))"),"2024-10-11")</f>
        <v>2024-10-11</v>
      </c>
      <c r="D702" s="2" t="s">
        <v>8855</v>
      </c>
      <c r="H702" s="10" t="s">
        <v>8855</v>
      </c>
      <c r="I702" s="2" t="s">
        <v>3226</v>
      </c>
      <c r="J702" s="26" t="str">
        <f t="array" ref="J702">IF(ISNA(XLOOKUP(I702,customers_clean!$A$2:$A$701,customers_clean!$A$2:$A$701, NA()) ),
   "❌ MISSING CUSTOMER", "✅")</f>
        <v>✅</v>
      </c>
      <c r="K702" s="2" t="str">
        <f t="array" ref="K702">XLOOKUP(I702,customers_clean!$A$2:$A$701,customers_clean!$C$2:$C$701)</f>
        <v>Fiona Muller </v>
      </c>
      <c r="L702" s="10" t="str">
        <f t="array" ref="L702">XLOOKUP(I702,customers_clean!$A$2:$A$701,customers_clean!$D$2:$D$701)</f>
        <v>Fiona Muller</v>
      </c>
      <c r="M702" s="2" t="str">
        <f t="array" ref="M702">XLOOKUP(I702,customers_clean!$A$2:$A$701,customers_clean!$I$2:$I$701)</f>
        <v>fiona.muller@outlook.com </v>
      </c>
      <c r="N702" s="10" t="str">
        <f t="array" ref="N702">XLOOKUP(I702,customers_clean!$A$2:$A$701,customers_clean!$H$2:$H$701)</f>
        <v>fiona.muller@outlook.com</v>
      </c>
      <c r="O702" s="9" t="str">
        <f>IFERROR(__xludf.DUMMYFUNCTION("IF(REGEXMATCH(TRIM(N702),""^[A-Za-z0-9._%+-]+@[A-Za-z0-9.-]+\.[A-Za-z]{2,}$""),""✅ Valid"",""❌ Invalid"")"),"✅ Valid")</f>
        <v>✅ Valid</v>
      </c>
      <c r="P702" s="2" t="str">
        <f t="array" ref="P702">XLOOKUP(I702,customers_clean!$A$2:$A$701,customers_clean!$K$2:$K$701)</f>
        <v>+34398793852 ext 722</v>
      </c>
      <c r="Q702" s="10" t="str">
        <f t="array" ref="Q702">XLOOKUP(I702,customers_clean!$A$2:$A$701,customers_clean!$N$2:$N$701)</f>
        <v>398793852</v>
      </c>
      <c r="R702" s="9" t="str">
        <f t="array" ref="R702">XLOOKUP(I702,customers_clean!$A$2:$A$701,customers_clean!$Q$2:$Q$701)</f>
        <v>❌ INVALID</v>
      </c>
      <c r="S702" s="31" t="s">
        <v>671</v>
      </c>
      <c r="T702" s="2" t="s">
        <v>323</v>
      </c>
      <c r="U702" s="2" t="s">
        <v>60</v>
      </c>
      <c r="V702" s="2" t="s">
        <v>767</v>
      </c>
      <c r="W702" s="9" t="str">
        <f t="array" ref="W702">IF(ISNA(XLOOKUP(V702,products_master_corrected!$A$2:$A$151,products_master_corrected!$A$2:$A$151, NA())),
    "❌ MISSING SKU", "✅")</f>
        <v>✅</v>
      </c>
      <c r="X702" s="2" t="s">
        <v>768</v>
      </c>
      <c r="Y702" s="2" t="s">
        <v>769</v>
      </c>
      <c r="Z702" s="10" t="str">
        <f t="shared" si="80"/>
        <v>Monitors</v>
      </c>
      <c r="AA702" s="27">
        <v>2.0</v>
      </c>
      <c r="AB702" s="9" t="s">
        <v>8649</v>
      </c>
      <c r="AC702" s="28">
        <f t="array" ref="AC702">XLOOKUP(V702,products_master_corrected!$A$2:$A$151,products_master_corrected!$E$2:$E$151)</f>
        <v>15.17</v>
      </c>
      <c r="AD702" s="28">
        <f t="shared" si="78"/>
        <v>30.34</v>
      </c>
      <c r="AE702" s="28">
        <f t="array" ref="AE702">XLOOKUP(V702,products_master_corrected!$A$2:$A$151,products_master_corrected!$J$2:$J$151)</f>
        <v>17.69</v>
      </c>
      <c r="AF702" s="29">
        <f t="shared" si="79"/>
        <v>35.38</v>
      </c>
      <c r="AG702" s="32" t="s">
        <v>8656</v>
      </c>
      <c r="AH702" s="2" t="s">
        <v>33</v>
      </c>
      <c r="AI702" s="10" t="s">
        <v>181</v>
      </c>
      <c r="AJ702" s="2" t="s">
        <v>294</v>
      </c>
      <c r="AK702" s="10" t="s">
        <v>80</v>
      </c>
    </row>
    <row r="703" ht="15.75" customHeight="1">
      <c r="A703" s="2" t="s">
        <v>3224</v>
      </c>
      <c r="B703" s="12" t="s">
        <v>3225</v>
      </c>
      <c r="C703" s="2" t="str">
        <f>IFERROR(__xludf.DUMMYFUNCTION("IF(ISNUMBER(B703),TEXT(B703,""yyyy-MM-dd""),REGEXREPLACE(REGEXREPLACE(TO_TEXT(B703),""[^0-9a-zA-Z]+"",""-""),""[^0-9]*$"",""""))"),"04-02-2025")</f>
        <v>04-02-2025</v>
      </c>
      <c r="D703" s="2" t="s">
        <v>7825</v>
      </c>
      <c r="H703" s="10" t="s">
        <v>7825</v>
      </c>
      <c r="I703" s="2" t="s">
        <v>3226</v>
      </c>
      <c r="J703" s="26" t="str">
        <f t="array" ref="J703">IF(ISNA(XLOOKUP(I703,customers_clean!$A$2:$A$701,customers_clean!$A$2:$A$701, NA()) ),
   "❌ MISSING CUSTOMER", "✅")</f>
        <v>✅</v>
      </c>
      <c r="K703" s="2" t="str">
        <f t="array" ref="K703">XLOOKUP(I703,customers_clean!$A$2:$A$701,customers_clean!$C$2:$C$701)</f>
        <v>Fiona Muller </v>
      </c>
      <c r="L703" s="10" t="str">
        <f t="array" ref="L703">XLOOKUP(I703,customers_clean!$A$2:$A$701,customers_clean!$D$2:$D$701)</f>
        <v>Fiona Muller</v>
      </c>
      <c r="M703" s="2" t="str">
        <f t="array" ref="M703">XLOOKUP(I703,customers_clean!$A$2:$A$701,customers_clean!$I$2:$I$701)</f>
        <v>fiona.muller@outlook.com </v>
      </c>
      <c r="N703" s="10" t="str">
        <f t="array" ref="N703">XLOOKUP(I703,customers_clean!$A$2:$A$701,customers_clean!$H$2:$H$701)</f>
        <v>fiona.muller@outlook.com</v>
      </c>
      <c r="O703" s="9" t="str">
        <f>IFERROR(__xludf.DUMMYFUNCTION("IF(REGEXMATCH(TRIM(N703),""^[A-Za-z0-9._%+-]+@[A-Za-z0-9.-]+\.[A-Za-z]{2,}$""),""✅ Valid"",""❌ Invalid"")"),"✅ Valid")</f>
        <v>✅ Valid</v>
      </c>
      <c r="P703" s="2" t="str">
        <f t="array" ref="P703">XLOOKUP(I703,customers_clean!$A$2:$A$701,customers_clean!$K$2:$K$701)</f>
        <v>+34398793852 ext 722</v>
      </c>
      <c r="Q703" s="10" t="str">
        <f t="array" ref="Q703">XLOOKUP(I703,customers_clean!$A$2:$A$701,customers_clean!$N$2:$N$701)</f>
        <v>398793852</v>
      </c>
      <c r="R703" s="9" t="str">
        <f t="array" ref="R703">XLOOKUP(I703,customers_clean!$A$2:$A$701,customers_clean!$Q$2:$Q$701)</f>
        <v>❌ INVALID</v>
      </c>
      <c r="S703" s="31" t="s">
        <v>671</v>
      </c>
      <c r="T703" s="2" t="s">
        <v>400</v>
      </c>
      <c r="U703" s="2" t="s">
        <v>401</v>
      </c>
      <c r="V703" s="2" t="s">
        <v>28</v>
      </c>
      <c r="W703" s="9" t="str">
        <f t="array" ref="W703">IF(ISNA(XLOOKUP(V703,products_master_corrected!$A$2:$A$151,products_master_corrected!$A$2:$A$151, NA())),
    "❌ MISSING SKU", "✅")</f>
        <v>✅</v>
      </c>
      <c r="X703" s="2" t="s">
        <v>29</v>
      </c>
      <c r="Y703" s="2" t="s">
        <v>30</v>
      </c>
      <c r="Z703" s="10" t="s">
        <v>179</v>
      </c>
      <c r="AA703" s="27">
        <v>3.0</v>
      </c>
      <c r="AB703" s="9" t="s">
        <v>8649</v>
      </c>
      <c r="AC703" s="28">
        <f t="array" ref="AC703">XLOOKUP(V703,products_master_corrected!$A$2:$A$151,products_master_corrected!$E$2:$E$151)</f>
        <v>145.2</v>
      </c>
      <c r="AD703" s="28">
        <f t="shared" si="78"/>
        <v>435.6</v>
      </c>
      <c r="AE703" s="28">
        <f t="array" ref="AE703">XLOOKUP(V703,products_master_corrected!$A$2:$A$151,products_master_corrected!$J$2:$J$151)</f>
        <v>169.35</v>
      </c>
      <c r="AF703" s="29">
        <f t="shared" si="79"/>
        <v>508.05</v>
      </c>
      <c r="AG703" s="32" t="s">
        <v>8656</v>
      </c>
      <c r="AH703" s="2" t="s">
        <v>143</v>
      </c>
      <c r="AI703" s="10" t="s">
        <v>143</v>
      </c>
      <c r="AJ703" s="2" t="s">
        <v>676</v>
      </c>
      <c r="AK703" s="10" t="s">
        <v>80</v>
      </c>
    </row>
    <row r="704" ht="15.75" customHeight="1">
      <c r="A704" s="2" t="s">
        <v>3386</v>
      </c>
      <c r="B704" s="12">
        <v>45881.0</v>
      </c>
      <c r="C704" s="2" t="str">
        <f>IFERROR(__xludf.DUMMYFUNCTION("IF(ISNUMBER(B704),TEXT(B704,""yyyy-MM-dd""),REGEXREPLACE(REGEXREPLACE(TO_TEXT(B704),""[^0-9a-zA-Z]+"",""-""),""[^0-9]*$"",""""))"),"2025-08-12")</f>
        <v>2025-08-12</v>
      </c>
      <c r="D704" s="2" t="s">
        <v>8113</v>
      </c>
      <c r="H704" s="10" t="s">
        <v>8113</v>
      </c>
      <c r="I704" s="2" t="s">
        <v>3226</v>
      </c>
      <c r="J704" s="26" t="str">
        <f t="array" ref="J704">IF(ISNA(XLOOKUP(I704,customers_clean!$A$2:$A$701,customers_clean!$A$2:$A$701, NA()) ),
   "❌ MISSING CUSTOMER", "✅")</f>
        <v>✅</v>
      </c>
      <c r="K704" s="2" t="str">
        <f t="array" ref="K704">XLOOKUP(I704,customers_clean!$A$2:$A$701,customers_clean!$C$2:$C$701)</f>
        <v>Fiona Muller </v>
      </c>
      <c r="L704" s="10" t="str">
        <f t="array" ref="L704">XLOOKUP(I704,customers_clean!$A$2:$A$701,customers_clean!$D$2:$D$701)</f>
        <v>Fiona Muller</v>
      </c>
      <c r="M704" s="2" t="str">
        <f t="array" ref="M704">XLOOKUP(I704,customers_clean!$A$2:$A$701,customers_clean!$I$2:$I$701)</f>
        <v>fiona.muller@outlook.com </v>
      </c>
      <c r="N704" s="10" t="str">
        <f t="array" ref="N704">XLOOKUP(I704,customers_clean!$A$2:$A$701,customers_clean!$H$2:$H$701)</f>
        <v>fiona.muller@outlook.com</v>
      </c>
      <c r="O704" s="9" t="str">
        <f>IFERROR(__xludf.DUMMYFUNCTION("IF(REGEXMATCH(TRIM(N704),""^[A-Za-z0-9._%+-]+@[A-Za-z0-9.-]+\.[A-Za-z]{2,}$""),""✅ Valid"",""❌ Invalid"")"),"✅ Valid")</f>
        <v>✅ Valid</v>
      </c>
      <c r="P704" s="2" t="str">
        <f t="array" ref="P704">XLOOKUP(I704,customers_clean!$A$2:$A$701,customers_clean!$K$2:$K$701)</f>
        <v>+34398793852 ext 722</v>
      </c>
      <c r="Q704" s="10" t="str">
        <f t="array" ref="Q704">XLOOKUP(I704,customers_clean!$A$2:$A$701,customers_clean!$N$2:$N$701)</f>
        <v>398793852</v>
      </c>
      <c r="R704" s="9" t="str">
        <f t="array" ref="R704">XLOOKUP(I704,customers_clean!$A$2:$A$701,customers_clean!$Q$2:$Q$701)</f>
        <v>❌ INVALID</v>
      </c>
      <c r="S704" s="31" t="s">
        <v>671</v>
      </c>
      <c r="T704" s="2" t="s">
        <v>59</v>
      </c>
      <c r="U704" s="2" t="s">
        <v>480</v>
      </c>
      <c r="V704" s="2" t="s">
        <v>200</v>
      </c>
      <c r="W704" s="9" t="str">
        <f t="array" ref="W704">IF(ISNA(XLOOKUP(V704,products_master_corrected!$A$2:$A$151,products_master_corrected!$A$2:$A$151, NA())),
    "❌ MISSING SKU", "✅")</f>
        <v>✅</v>
      </c>
      <c r="X704" s="2" t="s">
        <v>190</v>
      </c>
      <c r="Y704" s="2" t="s">
        <v>202</v>
      </c>
      <c r="Z704" s="10" t="s">
        <v>63</v>
      </c>
      <c r="AA704" s="27">
        <v>1.0</v>
      </c>
      <c r="AB704" s="9" t="s">
        <v>8649</v>
      </c>
      <c r="AC704" s="28">
        <f t="array" ref="AC704">XLOOKUP(V704,products_master_corrected!$A$2:$A$151,products_master_corrected!$E$2:$E$151)</f>
        <v>61.21</v>
      </c>
      <c r="AD704" s="28">
        <f t="shared" si="78"/>
        <v>61.21</v>
      </c>
      <c r="AE704" s="28">
        <f t="array" ref="AE704">XLOOKUP(V704,products_master_corrected!$A$2:$A$151,products_master_corrected!$J$2:$J$151)</f>
        <v>71.39</v>
      </c>
      <c r="AF704" s="29">
        <f t="shared" si="79"/>
        <v>71.39</v>
      </c>
      <c r="AG704" s="32" t="s">
        <v>8656</v>
      </c>
      <c r="AH704" s="2" t="s">
        <v>96</v>
      </c>
      <c r="AI704" s="10" t="s">
        <v>143</v>
      </c>
      <c r="AJ704" s="2" t="s">
        <v>818</v>
      </c>
      <c r="AK704" s="10" t="s">
        <v>818</v>
      </c>
      <c r="AL704" s="2" t="s">
        <v>133</v>
      </c>
    </row>
    <row r="705" ht="15.75" customHeight="1">
      <c r="A705" s="2" t="s">
        <v>2906</v>
      </c>
      <c r="B705" s="12">
        <v>45662.0</v>
      </c>
      <c r="C705" s="2" t="str">
        <f>IFERROR(__xludf.DUMMYFUNCTION("IF(ISNUMBER(B705),TEXT(B705,""yyyy-MM-dd""),REGEXREPLACE(REGEXREPLACE(TO_TEXT(B705),""[^0-9a-zA-Z]+"",""-""),""[^0-9]*$"",""""))"),"2025-01-05")</f>
        <v>2025-01-05</v>
      </c>
      <c r="D705" s="2" t="s">
        <v>3149</v>
      </c>
      <c r="H705" s="10" t="s">
        <v>3149</v>
      </c>
      <c r="I705" s="2" t="s">
        <v>2366</v>
      </c>
      <c r="J705" s="26" t="str">
        <f t="array" ref="J705">IF(ISNA(XLOOKUP(I705,customers_clean!$A$2:$A$701,customers_clean!$A$2:$A$701, NA()) ),
   "❌ MISSING CUSTOMER", "✅")</f>
        <v>✅</v>
      </c>
      <c r="K705" s="2" t="str">
        <f t="array" ref="K705">XLOOKUP(I705,customers_clean!$A$2:$A$701,customers_clean!$C$2:$C$701)</f>
        <v>Marek Davis</v>
      </c>
      <c r="L705" s="10" t="str">
        <f t="array" ref="L705">XLOOKUP(I705,customers_clean!$A$2:$A$701,customers_clean!$D$2:$D$701)</f>
        <v>Marek Davis</v>
      </c>
      <c r="M705" s="2" t="str">
        <f t="array" ref="M705">XLOOKUP(I705,customers_clean!$A$2:$A$701,customers_clean!$I$2:$I$701)</f>
        <v>marek.davis@yahoo.com</v>
      </c>
      <c r="N705" s="10" t="str">
        <f t="array" ref="N705">XLOOKUP(I705,customers_clean!$A$2:$A$701,customers_clean!$H$2:$H$701)</f>
        <v>marek.davis@yahoo.com</v>
      </c>
      <c r="O705" s="9" t="str">
        <f>IFERROR(__xludf.DUMMYFUNCTION("IF(REGEXMATCH(TRIM(N705),""^[A-Za-z0-9._%+-]+@[A-Za-z0-9.-]+\.[A-Za-z]{2,}$""),""✅ Valid"",""❌ Invalid"")"),"✅ Valid")</f>
        <v>✅ Valid</v>
      </c>
      <c r="P705" s="2" t="str">
        <f t="array" ref="P705">XLOOKUP(I705,customers_clean!$A$2:$A$701,customers_clean!$K$2:$K$701)</f>
        <v>tel:+4999401539791</v>
      </c>
      <c r="Q705" s="10" t="str">
        <f t="array" ref="Q705">XLOOKUP(I705,customers_clean!$A$2:$A$701,customers_clean!$N$2:$N$701)</f>
        <v>99401539791</v>
      </c>
      <c r="R705" s="9" t="str">
        <f t="array" ref="R705">XLOOKUP(I705,customers_clean!$A$2:$A$701,customers_clean!$Q$2:$Q$701)</f>
        <v>❌ INVALID</v>
      </c>
      <c r="S705" s="10" t="s">
        <v>58</v>
      </c>
      <c r="T705" s="2" t="s">
        <v>26</v>
      </c>
      <c r="U705" s="2" t="s">
        <v>176</v>
      </c>
      <c r="V705" s="2" t="s">
        <v>366</v>
      </c>
      <c r="W705" s="9" t="str">
        <f t="array" ref="W705">IF(ISNA(XLOOKUP(V705,products_master_corrected!$A$2:$A$151,products_master_corrected!$A$2:$A$151, NA())),
    "❌ MISSING SKU", "✅")</f>
        <v>✅</v>
      </c>
      <c r="X705" s="2" t="s">
        <v>367</v>
      </c>
      <c r="Y705" s="2" t="s">
        <v>368</v>
      </c>
      <c r="Z705" s="10" t="s">
        <v>368</v>
      </c>
      <c r="AA705" s="27"/>
      <c r="AB705" s="9" t="s">
        <v>8677</v>
      </c>
      <c r="AC705" s="34"/>
      <c r="AD705" s="34"/>
      <c r="AE705" s="34"/>
      <c r="AF705" s="35"/>
      <c r="AG705" s="36" t="s">
        <v>95</v>
      </c>
      <c r="AH705" s="2" t="s">
        <v>305</v>
      </c>
      <c r="AI705" s="10" t="s">
        <v>49</v>
      </c>
      <c r="AJ705" s="2" t="s">
        <v>80</v>
      </c>
      <c r="AK705" s="10" t="s">
        <v>80</v>
      </c>
      <c r="AL705" s="2" t="s">
        <v>67</v>
      </c>
    </row>
    <row r="706" ht="15.75" customHeight="1">
      <c r="A706" s="2" t="s">
        <v>2364</v>
      </c>
      <c r="B706" s="12" t="s">
        <v>2365</v>
      </c>
      <c r="C706" s="2" t="str">
        <f>IFERROR(__xludf.DUMMYFUNCTION("IF(ISNUMBER(B706),TEXT(B706,""yyyy-MM-dd""),REGEXREPLACE(REGEXREPLACE(TO_TEXT(B706),""[^0-9a-zA-Z]+"",""-""),""[^0-9]*$"",""""))"),"09-12-2023")</f>
        <v>09-12-2023</v>
      </c>
      <c r="D706" s="2" t="s">
        <v>8916</v>
      </c>
      <c r="H706" s="10" t="s">
        <v>8916</v>
      </c>
      <c r="I706" s="2" t="s">
        <v>2366</v>
      </c>
      <c r="J706" s="26" t="str">
        <f t="array" ref="J706">IF(ISNA(XLOOKUP(I706,customers_clean!$A$2:$A$701,customers_clean!$A$2:$A$701, NA()) ),
   "❌ MISSING CUSTOMER", "✅")</f>
        <v>✅</v>
      </c>
      <c r="K706" s="2" t="str">
        <f t="array" ref="K706">XLOOKUP(I706,customers_clean!$A$2:$A$701,customers_clean!$C$2:$C$701)</f>
        <v>Marek Davis</v>
      </c>
      <c r="L706" s="10" t="str">
        <f t="array" ref="L706">XLOOKUP(I706,customers_clean!$A$2:$A$701,customers_clean!$D$2:$D$701)</f>
        <v>Marek Davis</v>
      </c>
      <c r="M706" s="2" t="str">
        <f t="array" ref="M706">XLOOKUP(I706,customers_clean!$A$2:$A$701,customers_clean!$I$2:$I$701)</f>
        <v>marek.davis@yahoo.com</v>
      </c>
      <c r="N706" s="10" t="str">
        <f t="array" ref="N706">XLOOKUP(I706,customers_clean!$A$2:$A$701,customers_clean!$H$2:$H$701)</f>
        <v>marek.davis@yahoo.com</v>
      </c>
      <c r="O706" s="9" t="str">
        <f>IFERROR(__xludf.DUMMYFUNCTION("IF(REGEXMATCH(TRIM(N706),""^[A-Za-z0-9._%+-]+@[A-Za-z0-9.-]+\.[A-Za-z]{2,}$""),""✅ Valid"",""❌ Invalid"")"),"✅ Valid")</f>
        <v>✅ Valid</v>
      </c>
      <c r="P706" s="2" t="str">
        <f t="array" ref="P706">XLOOKUP(I706,customers_clean!$A$2:$A$701,customers_clean!$K$2:$K$701)</f>
        <v>tel:+4999401539791</v>
      </c>
      <c r="Q706" s="10" t="str">
        <f t="array" ref="Q706">XLOOKUP(I706,customers_clean!$A$2:$A$701,customers_clean!$N$2:$N$701)</f>
        <v>99401539791</v>
      </c>
      <c r="R706" s="9" t="str">
        <f t="array" ref="R706">XLOOKUP(I706,customers_clean!$A$2:$A$701,customers_clean!$Q$2:$Q$701)</f>
        <v>❌ INVALID</v>
      </c>
      <c r="S706" s="10" t="s">
        <v>58</v>
      </c>
      <c r="T706" s="2" t="s">
        <v>223</v>
      </c>
      <c r="U706" s="2" t="s">
        <v>90</v>
      </c>
      <c r="V706" s="2" t="s">
        <v>189</v>
      </c>
      <c r="W706" s="9" t="str">
        <f t="array" ref="W706">IF(ISNA(XLOOKUP(V706,products_master_corrected!$A$2:$A$151,products_master_corrected!$A$2:$A$151, NA())),
    "❌ MISSING SKU", "✅")</f>
        <v>✅</v>
      </c>
      <c r="X706" s="2" t="s">
        <v>190</v>
      </c>
      <c r="Y706" s="2" t="s">
        <v>167</v>
      </c>
      <c r="Z706" s="10" t="str">
        <f>PROPER(TRIM(Y706))</f>
        <v>Monitors</v>
      </c>
      <c r="AA706" s="27">
        <v>1.0</v>
      </c>
      <c r="AB706" s="9" t="s">
        <v>8649</v>
      </c>
      <c r="AC706" s="28">
        <f t="array" ref="AC706">XLOOKUP(V706,products_master_corrected!$A$2:$A$151,products_master_corrected!$E$2:$E$151)</f>
        <v>57.69</v>
      </c>
      <c r="AD706" s="28">
        <f t="shared" ref="AD706:AD712" si="81">AA706*AC706</f>
        <v>57.69</v>
      </c>
      <c r="AE706" s="28">
        <f t="array" ref="AE706">XLOOKUP(V706,products_master_corrected!$A$2:$A$151,products_master_corrected!$G$2:$G$151)</f>
        <v>66.04</v>
      </c>
      <c r="AF706" s="29">
        <f t="shared" ref="AF706:AF712" si="82">AA706*AE706</f>
        <v>66.04</v>
      </c>
      <c r="AG706" s="32" t="s">
        <v>8663</v>
      </c>
      <c r="AH706" s="2" t="s">
        <v>505</v>
      </c>
      <c r="AI706" s="10" t="s">
        <v>181</v>
      </c>
      <c r="AJ706" s="2" t="s">
        <v>192</v>
      </c>
      <c r="AK706" s="10" t="s">
        <v>192</v>
      </c>
      <c r="AL706" s="2" t="s">
        <v>67</v>
      </c>
    </row>
    <row r="707" ht="15.75" customHeight="1">
      <c r="A707" s="2" t="s">
        <v>2164</v>
      </c>
      <c r="B707" s="12">
        <v>45359.0</v>
      </c>
      <c r="C707" s="2" t="str">
        <f>IFERROR(__xludf.DUMMYFUNCTION("IF(ISNUMBER(B707),TEXT(B707,""yyyy-MM-dd""),REGEXREPLACE(REGEXREPLACE(TO_TEXT(B707),""[^0-9a-zA-Z]+"",""-""),""[^0-9]*$"",""""))"),"2024-03-08")</f>
        <v>2024-03-08</v>
      </c>
      <c r="D707" s="2" t="s">
        <v>8652</v>
      </c>
      <c r="H707" s="10" t="s">
        <v>8652</v>
      </c>
      <c r="I707" s="2" t="s">
        <v>1768</v>
      </c>
      <c r="J707" s="26" t="str">
        <f t="array" ref="J707">IF(ISNA(XLOOKUP(I707,customers_clean!$A$2:$A$701,customers_clean!$A$2:$A$701, NA()) ),
   "❌ MISSING CUSTOMER", "✅")</f>
        <v>✅</v>
      </c>
      <c r="K707" s="2" t="str">
        <f t="array" ref="K707">XLOOKUP(I707,customers_clean!$A$2:$A$701,customers_clean!$C$2:$C$701)</f>
        <v>MAREK KOWALCZYK</v>
      </c>
      <c r="L707" s="10" t="str">
        <f t="array" ref="L707">XLOOKUP(I707,customers_clean!$A$2:$A$701,customers_clean!$D$2:$D$701)</f>
        <v>Marek Kowalczyk</v>
      </c>
      <c r="M707" s="2" t="str">
        <f t="array" ref="M707">XLOOKUP(I707,customers_clean!$A$2:$A$701,customers_clean!$I$2:$I$701)</f>
        <v>Marek.Koawlczyk@Outlook.Com</v>
      </c>
      <c r="N707" s="10" t="str">
        <f t="array" ref="N707">XLOOKUP(I707,customers_clean!$A$2:$A$701,customers_clean!$H$2:$H$701)</f>
        <v>marek.koawlczyk@outlook.com</v>
      </c>
      <c r="O707" s="9" t="str">
        <f>IFERROR(__xludf.DUMMYFUNCTION("IF(REGEXMATCH(TRIM(N707),""^[A-Za-z0-9._%+-]+@[A-Za-z0-9.-]+\.[A-Za-z]{2,}$""),""✅ Valid"",""❌ Invalid"")"),"✅ Valid")</f>
        <v>✅ Valid</v>
      </c>
      <c r="P707" s="2" t="str">
        <f t="array" ref="P707">XLOOKUP(I707,customers_clean!$A$2:$A$701,customers_clean!$K$2:$K$701)</f>
        <v>missing</v>
      </c>
      <c r="Q707" s="10" t="str">
        <f t="array" ref="Q707">XLOOKUP(I707,customers_clean!$A$2:$A$701,customers_clean!$N$2:$N$701)</f>
        <v/>
      </c>
      <c r="R707" s="9" t="str">
        <f t="array" ref="R707">XLOOKUP(I707,customers_clean!$A$2:$A$701,customers_clean!$Q$2:$Q$701)</f>
        <v>❌ INVALID</v>
      </c>
      <c r="S707" s="10" t="s">
        <v>58</v>
      </c>
      <c r="T707" s="2" t="s">
        <v>802</v>
      </c>
      <c r="U707" s="2" t="s">
        <v>43</v>
      </c>
      <c r="V707" s="2" t="s">
        <v>702</v>
      </c>
      <c r="W707" s="9" t="str">
        <f t="array" ref="W707">IF(ISNA(XLOOKUP(V707,products_master_corrected!$A$2:$A$151,products_master_corrected!$A$2:$A$151, NA())),
    "❌ MISSING SKU", "✅")</f>
        <v>✅</v>
      </c>
      <c r="X707" s="2" t="s">
        <v>524</v>
      </c>
      <c r="Y707" s="2" t="s">
        <v>703</v>
      </c>
      <c r="Z707" s="10" t="s">
        <v>248</v>
      </c>
      <c r="AA707" s="27">
        <v>1.0</v>
      </c>
      <c r="AB707" s="9" t="s">
        <v>8649</v>
      </c>
      <c r="AC707" s="28">
        <f t="array" ref="AC707">XLOOKUP(V707,products_master_corrected!$A$2:$A$151,products_master_corrected!$E$2:$E$151)</f>
        <v>176.25</v>
      </c>
      <c r="AD707" s="28">
        <f t="shared" si="81"/>
        <v>176.25</v>
      </c>
      <c r="AE707" s="28">
        <f t="array" ref="AE707">XLOOKUP(V707,products_master_corrected!$A$2:$A$151,products_master_corrected!$G$2:$G$151)</f>
        <v>201.77</v>
      </c>
      <c r="AF707" s="29">
        <f t="shared" si="82"/>
        <v>201.77</v>
      </c>
      <c r="AG707" s="32" t="s">
        <v>8663</v>
      </c>
      <c r="AH707" s="2" t="s">
        <v>2166</v>
      </c>
      <c r="AI707" s="10" t="s">
        <v>143</v>
      </c>
      <c r="AJ707" s="2" t="s">
        <v>818</v>
      </c>
      <c r="AK707" s="10" t="s">
        <v>818</v>
      </c>
      <c r="AL707" s="2" t="s">
        <v>67</v>
      </c>
    </row>
    <row r="708" ht="15.75" customHeight="1">
      <c r="A708" s="2" t="s">
        <v>1766</v>
      </c>
      <c r="B708" s="12">
        <v>45105.0</v>
      </c>
      <c r="C708" s="2" t="str">
        <f>IFERROR(__xludf.DUMMYFUNCTION("IF(ISNUMBER(B708),TEXT(B708,""yyyy-MM-dd""),REGEXREPLACE(REGEXREPLACE(TO_TEXT(B708),""[^0-9a-zA-Z]+"",""-""),""[^0-9]*$"",""""))"),"2023-06-28")</f>
        <v>2023-06-28</v>
      </c>
      <c r="D708" s="2" t="s">
        <v>8917</v>
      </c>
      <c r="H708" s="10" t="s">
        <v>8917</v>
      </c>
      <c r="I708" s="2" t="s">
        <v>1768</v>
      </c>
      <c r="J708" s="26" t="str">
        <f t="array" ref="J708">IF(ISNA(XLOOKUP(I708,customers_clean!$A$2:$A$701,customers_clean!$A$2:$A$701, NA()) ),
   "❌ MISSING CUSTOMER", "✅")</f>
        <v>✅</v>
      </c>
      <c r="K708" s="2" t="str">
        <f t="array" ref="K708">XLOOKUP(I708,customers_clean!$A$2:$A$701,customers_clean!$C$2:$C$701)</f>
        <v>MAREK KOWALCZYK</v>
      </c>
      <c r="L708" s="10" t="str">
        <f t="array" ref="L708">XLOOKUP(I708,customers_clean!$A$2:$A$701,customers_clean!$D$2:$D$701)</f>
        <v>Marek Kowalczyk</v>
      </c>
      <c r="M708" s="2" t="str">
        <f t="array" ref="M708">XLOOKUP(I708,customers_clean!$A$2:$A$701,customers_clean!$I$2:$I$701)</f>
        <v>Marek.Koawlczyk@Outlook.Com</v>
      </c>
      <c r="N708" s="10" t="str">
        <f t="array" ref="N708">XLOOKUP(I708,customers_clean!$A$2:$A$701,customers_clean!$H$2:$H$701)</f>
        <v>marek.koawlczyk@outlook.com</v>
      </c>
      <c r="O708" s="9" t="str">
        <f>IFERROR(__xludf.DUMMYFUNCTION("IF(REGEXMATCH(TRIM(N708),""^[A-Za-z0-9._%+-]+@[A-Za-z0-9.-]+\.[A-Za-z]{2,}$""),""✅ Valid"",""❌ Invalid"")"),"✅ Valid")</f>
        <v>✅ Valid</v>
      </c>
      <c r="P708" s="2" t="str">
        <f t="array" ref="P708">XLOOKUP(I708,customers_clean!$A$2:$A$701,customers_clean!$K$2:$K$701)</f>
        <v>missing</v>
      </c>
      <c r="Q708" s="10" t="str">
        <f t="array" ref="Q708">XLOOKUP(I708,customers_clean!$A$2:$A$701,customers_clean!$N$2:$N$701)</f>
        <v/>
      </c>
      <c r="R708" s="9" t="str">
        <f t="array" ref="R708">XLOOKUP(I708,customers_clean!$A$2:$A$701,customers_clean!$Q$2:$Q$701)</f>
        <v>❌ INVALID</v>
      </c>
      <c r="S708" s="10" t="s">
        <v>58</v>
      </c>
      <c r="T708" s="2" t="s">
        <v>59</v>
      </c>
      <c r="U708" s="2" t="s">
        <v>176</v>
      </c>
      <c r="V708" s="2" t="s">
        <v>1772</v>
      </c>
      <c r="W708" s="9" t="str">
        <f t="array" ref="W708">IF(ISNA(XLOOKUP(V708,products_master_corrected!$A$2:$A$151,products_master_corrected!$A$2:$A$151, NA())),
    "❌ MISSING SKU", "✅")</f>
        <v>✅</v>
      </c>
      <c r="X708" s="2" t="s">
        <v>403</v>
      </c>
      <c r="Y708" s="2" t="s">
        <v>995</v>
      </c>
      <c r="Z708" s="10" t="s">
        <v>355</v>
      </c>
      <c r="AA708" s="27">
        <v>2.0</v>
      </c>
      <c r="AB708" s="9" t="s">
        <v>8649</v>
      </c>
      <c r="AC708" s="28">
        <f t="array" ref="AC708">XLOOKUP(V708,products_master_corrected!$A$2:$A$151,products_master_corrected!$E$2:$E$151)</f>
        <v>39.48</v>
      </c>
      <c r="AD708" s="28">
        <f t="shared" si="81"/>
        <v>78.96</v>
      </c>
      <c r="AE708" s="28">
        <f t="array" ref="AE708">XLOOKUP(V708,products_master_corrected!$A$2:$A$151,products_master_corrected!$G$2:$G$151)</f>
        <v>45.2</v>
      </c>
      <c r="AF708" s="29">
        <f t="shared" si="82"/>
        <v>90.4</v>
      </c>
      <c r="AG708" s="32" t="s">
        <v>8663</v>
      </c>
      <c r="AH708" s="2" t="s">
        <v>1774</v>
      </c>
      <c r="AI708" s="10" t="s">
        <v>181</v>
      </c>
      <c r="AJ708" s="2" t="s">
        <v>169</v>
      </c>
      <c r="AK708" s="10" t="s">
        <v>261</v>
      </c>
      <c r="AL708" s="2" t="s">
        <v>67</v>
      </c>
    </row>
    <row r="709" ht="15.75" customHeight="1">
      <c r="A709" s="2" t="s">
        <v>4628</v>
      </c>
      <c r="B709" s="12" t="s">
        <v>4629</v>
      </c>
      <c r="C709" s="2" t="str">
        <f>IFERROR(__xludf.DUMMYFUNCTION("IF(ISNUMBER(B709),TEXT(B709,""yyyy-MM-dd""),REGEXREPLACE(REGEXREPLACE(TO_TEXT(B709),""[^0-9a-zA-Z]+"",""-""),""[^0-9]*$"",""""))"),"11-15-2024-13-08")</f>
        <v>11-15-2024-13-08</v>
      </c>
      <c r="D709" s="2" t="str">
        <f>TEXT(C709,"yyyy-MM-dd")</f>
        <v>11-15-2024-13-08</v>
      </c>
      <c r="E709" s="12" t="str">
        <f>IFERROR(__xludf.DUMMYFUNCTION("REGEXEXTRACT(D709,""^\d{2}-\d{2}-\d{4}"")"),"11-15-2024")</f>
        <v>11-15-2024</v>
      </c>
      <c r="F709" s="2" t="str">
        <f>TEXT(E709,"yyyy-MM-dd")</f>
        <v>11-15-2024</v>
      </c>
      <c r="G709" s="2" t="s">
        <v>8918</v>
      </c>
      <c r="H709" s="10" t="s">
        <v>8918</v>
      </c>
      <c r="I709" s="2" t="s">
        <v>4630</v>
      </c>
      <c r="J709" s="26" t="str">
        <f t="array" ref="J709">IF(ISNA(XLOOKUP(I709,customers_clean!$A$2:$A$701,customers_clean!$A$2:$A$701, NA()) ),
   "❌ MISSING CUSTOMER", "✅")</f>
        <v>✅</v>
      </c>
      <c r="K709" s="2" t="str">
        <f t="array" ref="K709">XLOOKUP(I709,customers_clean!$A$2:$A$701,customers_clean!$C$2:$C$701)</f>
        <v>Omar Taylor</v>
      </c>
      <c r="L709" s="10" t="str">
        <f t="array" ref="L709">XLOOKUP(I709,customers_clean!$A$2:$A$701,customers_clean!$D$2:$D$701)</f>
        <v>Omar Taylor</v>
      </c>
      <c r="M709" s="2" t="str">
        <f t="array" ref="M709">XLOOKUP(I709,customers_clean!$A$2:$A$701,customers_clean!$I$2:$I$701)</f>
        <v>omar.taylor@company.co.uk </v>
      </c>
      <c r="N709" s="10" t="str">
        <f t="array" ref="N709">XLOOKUP(I709,customers_clean!$A$2:$A$701,customers_clean!$H$2:$H$701)</f>
        <v>omar.taylor@company.co.uk</v>
      </c>
      <c r="O709" s="9" t="str">
        <f>IFERROR(__xludf.DUMMYFUNCTION("IF(REGEXMATCH(TRIM(N709),""^[A-Za-z0-9._%+-]+@[A-Za-z0-9.-]+\.[A-Za-z]{2,}$""),""✅ Valid"",""❌ Invalid"")"),"✅ Valid")</f>
        <v>✅ Valid</v>
      </c>
      <c r="P709" s="33" t="str">
        <f t="array" ref="P709">XLOOKUP(I709,customers_clean!$A$2:$A$701,customers_clean!$K$2:$K$701)</f>
        <v>345004183</v>
      </c>
      <c r="Q709" s="10" t="str">
        <f t="array" ref="Q709">XLOOKUP(I709,customers_clean!$A$2:$A$701,customers_clean!$N$2:$N$701)</f>
        <v>345004183</v>
      </c>
      <c r="R709" s="9" t="str">
        <f t="array" ref="R709">XLOOKUP(I709,customers_clean!$A$2:$A$701,customers_clean!$Q$2:$Q$701)</f>
        <v>❌ INVALID</v>
      </c>
      <c r="S709" s="10" t="s">
        <v>608</v>
      </c>
      <c r="T709" s="2" t="s">
        <v>26</v>
      </c>
      <c r="U709" s="2" t="s">
        <v>103</v>
      </c>
      <c r="V709" s="2" t="s">
        <v>235</v>
      </c>
      <c r="W709" s="9" t="str">
        <f t="array" ref="W709">IF(ISNA(XLOOKUP(V709,products_master_corrected!$A$2:$A$151,products_master_corrected!$A$2:$A$151, NA())),
    "❌ MISSING SKU", "✅")</f>
        <v>✅</v>
      </c>
      <c r="X709" s="2" t="s">
        <v>768</v>
      </c>
      <c r="Y709" s="2" t="s">
        <v>30</v>
      </c>
      <c r="Z709" s="10" t="s">
        <v>179</v>
      </c>
      <c r="AA709" s="27">
        <v>2.0</v>
      </c>
      <c r="AB709" s="9" t="s">
        <v>8649</v>
      </c>
      <c r="AC709" s="28">
        <f t="array" ref="AC709">XLOOKUP(V709,products_master_corrected!$A$2:$A$151,products_master_corrected!$E$2:$E$151)</f>
        <v>10.17</v>
      </c>
      <c r="AD709" s="28">
        <f t="shared" si="81"/>
        <v>20.34</v>
      </c>
      <c r="AE709" s="28">
        <f t="array" ref="AE709">XLOOKUP(V709,products_master_corrected!$A$2:$A$151,products_master_corrected!$H$2:$H$151)</f>
        <v>11.43</v>
      </c>
      <c r="AF709" s="29">
        <f t="shared" si="82"/>
        <v>22.86</v>
      </c>
      <c r="AG709" s="32" t="s">
        <v>8658</v>
      </c>
      <c r="AH709" s="2" t="s">
        <v>664</v>
      </c>
      <c r="AI709" s="10" t="s">
        <v>66</v>
      </c>
      <c r="AJ709" s="2" t="s">
        <v>294</v>
      </c>
      <c r="AK709" s="10" t="s">
        <v>80</v>
      </c>
      <c r="AL709" s="2" t="s">
        <v>51</v>
      </c>
    </row>
    <row r="710" ht="15.75" customHeight="1">
      <c r="A710" s="2" t="s">
        <v>6074</v>
      </c>
      <c r="B710" s="12">
        <v>45833.0</v>
      </c>
      <c r="C710" s="2" t="str">
        <f>IFERROR(__xludf.DUMMYFUNCTION("IF(ISNUMBER(B710),TEXT(B710,""yyyy-MM-dd""),REGEXREPLACE(REGEXREPLACE(TO_TEXT(B710),""[^0-9a-zA-Z]+"",""-""),""[^0-9]*$"",""""))"),"2025-06-25")</f>
        <v>2025-06-25</v>
      </c>
      <c r="D710" s="2" t="s">
        <v>8675</v>
      </c>
      <c r="H710" s="10" t="s">
        <v>8675</v>
      </c>
      <c r="I710" s="2" t="s">
        <v>4630</v>
      </c>
      <c r="J710" s="26" t="str">
        <f t="array" ref="J710">IF(ISNA(XLOOKUP(I710,customers_clean!$A$2:$A$701,customers_clean!$A$2:$A$701, NA()) ),
   "❌ MISSING CUSTOMER", "✅")</f>
        <v>✅</v>
      </c>
      <c r="K710" s="2" t="str">
        <f t="array" ref="K710">XLOOKUP(I710,customers_clean!$A$2:$A$701,customers_clean!$C$2:$C$701)</f>
        <v>Omar Taylor</v>
      </c>
      <c r="L710" s="10" t="str">
        <f t="array" ref="L710">XLOOKUP(I710,customers_clean!$A$2:$A$701,customers_clean!$D$2:$D$701)</f>
        <v>Omar Taylor</v>
      </c>
      <c r="M710" s="2" t="str">
        <f t="array" ref="M710">XLOOKUP(I710,customers_clean!$A$2:$A$701,customers_clean!$I$2:$I$701)</f>
        <v>omar.taylor@company.co.uk </v>
      </c>
      <c r="N710" s="10" t="str">
        <f t="array" ref="N710">XLOOKUP(I710,customers_clean!$A$2:$A$701,customers_clean!$H$2:$H$701)</f>
        <v>omar.taylor@company.co.uk</v>
      </c>
      <c r="O710" s="9" t="str">
        <f>IFERROR(__xludf.DUMMYFUNCTION("IF(REGEXMATCH(TRIM(N710),""^[A-Za-z0-9._%+-]+@[A-Za-z0-9.-]+\.[A-Za-z]{2,}$""),""✅ Valid"",""❌ Invalid"")"),"✅ Valid")</f>
        <v>✅ Valid</v>
      </c>
      <c r="P710" s="33" t="str">
        <f t="array" ref="P710">XLOOKUP(I710,customers_clean!$A$2:$A$701,customers_clean!$K$2:$K$701)</f>
        <v>345004183</v>
      </c>
      <c r="Q710" s="10" t="str">
        <f t="array" ref="Q710">XLOOKUP(I710,customers_clean!$A$2:$A$701,customers_clean!$N$2:$N$701)</f>
        <v>345004183</v>
      </c>
      <c r="R710" s="9" t="str">
        <f t="array" ref="R710">XLOOKUP(I710,customers_clean!$A$2:$A$701,customers_clean!$Q$2:$Q$701)</f>
        <v>❌ INVALID</v>
      </c>
      <c r="S710" s="10" t="s">
        <v>608</v>
      </c>
      <c r="T710" s="2" t="s">
        <v>6076</v>
      </c>
      <c r="U710" s="2" t="s">
        <v>365</v>
      </c>
      <c r="V710" s="2" t="s">
        <v>2033</v>
      </c>
      <c r="W710" s="9" t="str">
        <f t="array" ref="W710">IF(ISNA(XLOOKUP(V710,products_master_corrected!$A$2:$A$151,products_master_corrected!$A$2:$A$151, NA())),
    "❌ MISSING SKU", "✅")</f>
        <v>✅</v>
      </c>
      <c r="X710" s="2" t="s">
        <v>2034</v>
      </c>
      <c r="Y710" s="2" t="s">
        <v>1016</v>
      </c>
      <c r="Z710" s="10" t="s">
        <v>355</v>
      </c>
      <c r="AA710" s="27">
        <v>2.0</v>
      </c>
      <c r="AB710" s="9" t="s">
        <v>8649</v>
      </c>
      <c r="AC710" s="28">
        <f t="array" ref="AC710">XLOOKUP(V710,products_master_corrected!$A$2:$A$151,products_master_corrected!$E$2:$E$151)</f>
        <v>938.62</v>
      </c>
      <c r="AD710" s="28">
        <f t="shared" si="81"/>
        <v>1877.24</v>
      </c>
      <c r="AE710" s="28">
        <f t="array" ref="AE710">XLOOKUP(V710,products_master_corrected!$A$2:$A$151,products_master_corrected!$H$2:$H$151)</f>
        <v>1054.54</v>
      </c>
      <c r="AF710" s="29">
        <f t="shared" si="82"/>
        <v>2109.08</v>
      </c>
      <c r="AG710" s="32" t="s">
        <v>8658</v>
      </c>
      <c r="AH710" s="2" t="s">
        <v>143</v>
      </c>
      <c r="AI710" s="10" t="s">
        <v>143</v>
      </c>
      <c r="AJ710" s="2" t="s">
        <v>251</v>
      </c>
      <c r="AK710" s="10" t="s">
        <v>192</v>
      </c>
    </row>
    <row r="711" ht="15.75" customHeight="1">
      <c r="A711" s="2" t="s">
        <v>6105</v>
      </c>
      <c r="B711" s="12" t="s">
        <v>6106</v>
      </c>
      <c r="C711" s="2" t="str">
        <f>IFERROR(__xludf.DUMMYFUNCTION("IF(ISNUMBER(B711),TEXT(B711,""yyyy-MM-dd""),REGEXREPLACE(REGEXREPLACE(TO_TEXT(B711),""[^0-9a-zA-Z]+"",""-""),""[^0-9]*$"",""""))"),"27-11-2023")</f>
        <v>27-11-2023</v>
      </c>
      <c r="D711" s="2" t="s">
        <v>8919</v>
      </c>
      <c r="H711" s="10" t="s">
        <v>8919</v>
      </c>
      <c r="I711" s="2" t="s">
        <v>3376</v>
      </c>
      <c r="J711" s="26" t="str">
        <f t="array" ref="J711">IF(ISNA(XLOOKUP(I711,customers_clean!$A$2:$A$701,customers_clean!$A$2:$A$701, NA()) ),
   "❌ MISSING CUSTOMER", "✅")</f>
        <v>✅</v>
      </c>
      <c r="K711" s="2" t="str">
        <f t="array" ref="K711">XLOOKUP(I711,customers_clean!$A$2:$A$701,customers_clean!$C$2:$C$701)</f>
        <v> Adam Williams</v>
      </c>
      <c r="L711" s="10" t="str">
        <f t="array" ref="L711">XLOOKUP(I711,customers_clean!$A$2:$A$701,customers_clean!$D$2:$D$701)</f>
        <v>Adam Williams</v>
      </c>
      <c r="M711" s="2" t="str">
        <f t="array" ref="M711">XLOOKUP(I711,customers_clean!$A$2:$A$701,customers_clean!$I$2:$I$701)</f>
        <v/>
      </c>
      <c r="N711" s="10" t="str">
        <f t="array" ref="N711">XLOOKUP(I711,customers_clean!$A$2:$A$701,customers_clean!$H$2:$H$701)</f>
        <v/>
      </c>
      <c r="O711" s="9" t="str">
        <f>IFERROR(__xludf.DUMMYFUNCTION("IF(REGEXMATCH(TRIM(N711),""^[A-Za-z0-9._%+-]+@[A-Za-z0-9.-]+\.[A-Za-z]{2,}$""),""✅ Valid"",""❌ Invalid"")"),"❌ Invalid")</f>
        <v>❌ Invalid</v>
      </c>
      <c r="P711" s="2" t="str">
        <f t="array" ref="P711">XLOOKUP(I711,customers_clean!$A$2:$A$701,customers_clean!$K$2:$K$701)</f>
        <v>+446 77 131 6962</v>
      </c>
      <c r="Q711" s="10" t="str">
        <f t="array" ref="Q711">XLOOKUP(I711,customers_clean!$A$2:$A$701,customers_clean!$N$2:$N$701)</f>
        <v/>
      </c>
      <c r="R711" s="9" t="str">
        <f t="array" ref="R711">XLOOKUP(I711,customers_clean!$A$2:$A$701,customers_clean!$Q$2:$Q$701)</f>
        <v/>
      </c>
      <c r="S711" s="10" t="s">
        <v>114</v>
      </c>
      <c r="T711" s="2" t="s">
        <v>42</v>
      </c>
      <c r="U711" s="2" t="s">
        <v>103</v>
      </c>
      <c r="V711" s="2" t="s">
        <v>154</v>
      </c>
      <c r="W711" s="9" t="str">
        <f t="array" ref="W711">IF(ISNA(XLOOKUP(V711,products_master_corrected!$A$2:$A$151,products_master_corrected!$A$2:$A$151, NA())),
    "❌ MISSING SKU", "✅")</f>
        <v>✅</v>
      </c>
      <c r="X711" s="2" t="s">
        <v>62</v>
      </c>
      <c r="Y711" s="2" t="s">
        <v>155</v>
      </c>
      <c r="Z711" s="10" t="s">
        <v>368</v>
      </c>
      <c r="AA711" s="27">
        <v>5.0</v>
      </c>
      <c r="AB711" s="9" t="s">
        <v>8649</v>
      </c>
      <c r="AC711" s="28">
        <f t="array" ref="AC711">XLOOKUP(V711,products_master_corrected!$A$2:$A$151,products_master_corrected!$E$2:$E$151)</f>
        <v>74.1</v>
      </c>
      <c r="AD711" s="28">
        <f t="shared" si="81"/>
        <v>370.5</v>
      </c>
      <c r="AE711" s="28">
        <f t="array" ref="AE711">XLOOKUP(V711,products_master_corrected!$A$2:$A$151,products_master_corrected!$F$2:$F$151)</f>
        <v>74.1</v>
      </c>
      <c r="AF711" s="29">
        <f t="shared" si="82"/>
        <v>370.5</v>
      </c>
      <c r="AG711" s="30" t="s">
        <v>65</v>
      </c>
      <c r="AH711" s="2" t="s">
        <v>664</v>
      </c>
      <c r="AI711" s="10" t="s">
        <v>66</v>
      </c>
      <c r="AJ711" s="2" t="s">
        <v>294</v>
      </c>
      <c r="AK711" s="10" t="s">
        <v>80</v>
      </c>
    </row>
    <row r="712" ht="15.75" customHeight="1">
      <c r="A712" s="2" t="s">
        <v>3374</v>
      </c>
      <c r="B712" s="12">
        <v>45748.0</v>
      </c>
      <c r="C712" s="2" t="str">
        <f>IFERROR(__xludf.DUMMYFUNCTION("IF(ISNUMBER(B712),TEXT(B712,""yyyy-MM-dd""),REGEXREPLACE(REGEXREPLACE(TO_TEXT(B712),""[^0-9a-zA-Z]+"",""-""),""[^0-9]*$"",""""))"),"2025-04-01")</f>
        <v>2025-04-01</v>
      </c>
      <c r="D712" s="2" t="s">
        <v>7874</v>
      </c>
      <c r="H712" s="10" t="s">
        <v>7874</v>
      </c>
      <c r="I712" s="2" t="s">
        <v>3376</v>
      </c>
      <c r="J712" s="26" t="str">
        <f t="array" ref="J712">IF(ISNA(XLOOKUP(I712,customers_clean!$A$2:$A$701,customers_clean!$A$2:$A$701, NA()) ),
   "❌ MISSING CUSTOMER", "✅")</f>
        <v>✅</v>
      </c>
      <c r="K712" s="2" t="str">
        <f t="array" ref="K712">XLOOKUP(I712,customers_clean!$A$2:$A$701,customers_clean!$C$2:$C$701)</f>
        <v> Adam Williams</v>
      </c>
      <c r="L712" s="10" t="str">
        <f t="array" ref="L712">XLOOKUP(I712,customers_clean!$A$2:$A$701,customers_clean!$D$2:$D$701)</f>
        <v>Adam Williams</v>
      </c>
      <c r="M712" s="2" t="str">
        <f t="array" ref="M712">XLOOKUP(I712,customers_clean!$A$2:$A$701,customers_clean!$I$2:$I$701)</f>
        <v/>
      </c>
      <c r="N712" s="10" t="str">
        <f t="array" ref="N712">XLOOKUP(I712,customers_clean!$A$2:$A$701,customers_clean!$H$2:$H$701)</f>
        <v/>
      </c>
      <c r="O712" s="9" t="str">
        <f>IFERROR(__xludf.DUMMYFUNCTION("IF(REGEXMATCH(TRIM(N712),""^[A-Za-z0-9._%+-]+@[A-Za-z0-9.-]+\.[A-Za-z]{2,}$""),""✅ Valid"",""❌ Invalid"")"),"❌ Invalid")</f>
        <v>❌ Invalid</v>
      </c>
      <c r="P712" s="2" t="str">
        <f t="array" ref="P712">XLOOKUP(I712,customers_clean!$A$2:$A$701,customers_clean!$K$2:$K$701)</f>
        <v>+446 77 131 6962</v>
      </c>
      <c r="Q712" s="10" t="str">
        <f t="array" ref="Q712">XLOOKUP(I712,customers_clean!$A$2:$A$701,customers_clean!$N$2:$N$701)</f>
        <v/>
      </c>
      <c r="R712" s="9" t="str">
        <f t="array" ref="R712">XLOOKUP(I712,customers_clean!$A$2:$A$701,customers_clean!$Q$2:$Q$701)</f>
        <v/>
      </c>
      <c r="S712" s="10" t="s">
        <v>114</v>
      </c>
      <c r="T712" s="2" t="s">
        <v>323</v>
      </c>
      <c r="U712" s="2" t="s">
        <v>176</v>
      </c>
      <c r="V712" s="2" t="s">
        <v>481</v>
      </c>
      <c r="W712" s="9" t="str">
        <f t="array" ref="W712">IF(ISNA(XLOOKUP(V712,products_master_corrected!$A$2:$A$151,products_master_corrected!$A$2:$A$151, NA())),
    "❌ MISSING SKU", "✅")</f>
        <v>✅</v>
      </c>
      <c r="X712" s="2" t="s">
        <v>291</v>
      </c>
      <c r="Y712" s="2" t="s">
        <v>482</v>
      </c>
      <c r="Z712" s="10" t="s">
        <v>63</v>
      </c>
      <c r="AA712" s="27">
        <v>1.0</v>
      </c>
      <c r="AB712" s="9" t="s">
        <v>8649</v>
      </c>
      <c r="AC712" s="28">
        <f t="array" ref="AC712">XLOOKUP(V712,products_master_corrected!$A$2:$A$151,products_master_corrected!$E$2:$E$151)</f>
        <v>190.18</v>
      </c>
      <c r="AD712" s="28">
        <f t="shared" si="81"/>
        <v>190.18</v>
      </c>
      <c r="AE712" s="28">
        <f t="array" ref="AE712">XLOOKUP(V712,products_master_corrected!$A$2:$A$151,products_master_corrected!$F$2:$F$151)</f>
        <v>190.18</v>
      </c>
      <c r="AF712" s="29">
        <f t="shared" si="82"/>
        <v>190.18</v>
      </c>
      <c r="AG712" s="30" t="s">
        <v>65</v>
      </c>
      <c r="AH712" s="2" t="s">
        <v>143</v>
      </c>
      <c r="AI712" s="10" t="s">
        <v>143</v>
      </c>
      <c r="AJ712" s="2" t="s">
        <v>442</v>
      </c>
      <c r="AK712" s="10" t="s">
        <v>80</v>
      </c>
      <c r="AL712" s="2" t="s">
        <v>51</v>
      </c>
    </row>
    <row r="713" ht="15.75" customHeight="1">
      <c r="A713" s="2" t="s">
        <v>5521</v>
      </c>
      <c r="B713" s="12">
        <v>45491.0</v>
      </c>
      <c r="C713" s="2" t="str">
        <f>IFERROR(__xludf.DUMMYFUNCTION("IF(ISNUMBER(B713),TEXT(B713,""yyyy-MM-dd""),REGEXREPLACE(REGEXREPLACE(TO_TEXT(B713),""[^0-9a-zA-Z]+"",""-""),""[^0-9]*$"",""""))"),"2024-07-18")</f>
        <v>2024-07-18</v>
      </c>
      <c r="D713" s="2" t="s">
        <v>8272</v>
      </c>
      <c r="H713" s="10" t="s">
        <v>8272</v>
      </c>
      <c r="I713" s="2" t="s">
        <v>2787</v>
      </c>
      <c r="J713" s="26" t="str">
        <f t="array" ref="J713">IF(ISNA(XLOOKUP(I713,customers_clean!$A$2:$A$701,customers_clean!$A$2:$A$701, NA()) ),
   "❌ MISSING CUSTOMER", "✅")</f>
        <v>✅</v>
      </c>
      <c r="K713" s="2" t="str">
        <f t="array" ref="K713">XLOOKUP(I713,customers_clean!$A$2:$A$701,customers_clean!$C$2:$C$701)</f>
        <v>Ken Garcia</v>
      </c>
      <c r="L713" s="10" t="str">
        <f t="array" ref="L713">XLOOKUP(I713,customers_clean!$A$2:$A$701,customers_clean!$D$2:$D$701)</f>
        <v>Ken Garcia</v>
      </c>
      <c r="M713" s="2" t="str">
        <f t="array" ref="M713">XLOOKUP(I713,customers_clean!$A$2:$A$701,customers_clean!$I$2:$I$701)</f>
        <v> ken.garcia@shop.io</v>
      </c>
      <c r="N713" s="10" t="str">
        <f t="array" ref="N713">XLOOKUP(I713,customers_clean!$A$2:$A$701,customers_clean!$H$2:$H$701)</f>
        <v>ken.garcia@shop.io</v>
      </c>
      <c r="O713" s="9" t="str">
        <f>IFERROR(__xludf.DUMMYFUNCTION("IF(REGEXMATCH(TRIM(N713),""^[A-Za-z0-9._%+-]+@[A-Za-z0-9.-]+\.[A-Za-z]{2,}$""),""✅ Valid"",""❌ Invalid"")"),"✅ Valid")</f>
        <v>✅ Valid</v>
      </c>
      <c r="P713" s="2" t="str">
        <f t="array" ref="P713">XLOOKUP(I713,customers_clean!$A$2:$A$701,customers_clean!$K$2:$K$701)</f>
        <v>942269x375</v>
      </c>
      <c r="Q713" s="10" t="str">
        <f t="array" ref="Q713">XLOOKUP(I713,customers_clean!$A$2:$A$701,customers_clean!$N$2:$N$701)</f>
        <v>942269375</v>
      </c>
      <c r="R713" s="9" t="str">
        <f t="array" ref="R713">XLOOKUP(I713,customers_clean!$A$2:$A$701,customers_clean!$Q$2:$Q$701)</f>
        <v>❌ INVALID</v>
      </c>
      <c r="S713" s="31" t="s">
        <v>671</v>
      </c>
      <c r="T713" s="2" t="s">
        <v>3034</v>
      </c>
      <c r="U713" s="2" t="s">
        <v>43</v>
      </c>
      <c r="V713" s="2" t="s">
        <v>1192</v>
      </c>
      <c r="W713" s="9" t="str">
        <f t="array" ref="W713">IF(ISNA(XLOOKUP(V713,products_master_corrected!$A$2:$A$151,products_master_corrected!$A$2:$A$151, NA())),
    "❌ MISSING SKU", "✅")</f>
        <v>✅</v>
      </c>
      <c r="X713" s="2" t="s">
        <v>1193</v>
      </c>
      <c r="Y713" s="2" t="s">
        <v>179</v>
      </c>
      <c r="Z713" s="10" t="s">
        <v>179</v>
      </c>
      <c r="AA713" s="27"/>
      <c r="AB713" s="9" t="s">
        <v>8677</v>
      </c>
      <c r="AC713" s="34"/>
      <c r="AD713" s="34"/>
      <c r="AE713" s="34"/>
      <c r="AF713" s="35"/>
      <c r="AG713" s="36" t="s">
        <v>32</v>
      </c>
      <c r="AH713" s="2" t="s">
        <v>66</v>
      </c>
      <c r="AI713" s="10" t="s">
        <v>66</v>
      </c>
      <c r="AJ713" s="2" t="s">
        <v>5524</v>
      </c>
      <c r="AK713" s="10" t="s">
        <v>818</v>
      </c>
      <c r="AL713" s="2" t="s">
        <v>133</v>
      </c>
    </row>
    <row r="714" ht="15.75" customHeight="1">
      <c r="A714" s="2" t="s">
        <v>2785</v>
      </c>
      <c r="B714" s="12" t="s">
        <v>2786</v>
      </c>
      <c r="C714" s="2" t="str">
        <f>IFERROR(__xludf.DUMMYFUNCTION("IF(ISNUMBER(B714),TEXT(B714,""yyyy-MM-dd""),REGEXREPLACE(REGEXREPLACE(TO_TEXT(B714),""[^0-9a-zA-Z]+"",""-""),""[^0-9]*$"",""""))"),"21-03-2024")</f>
        <v>21-03-2024</v>
      </c>
      <c r="D714" s="2" t="s">
        <v>8920</v>
      </c>
      <c r="H714" s="10" t="s">
        <v>8920</v>
      </c>
      <c r="I714" s="2" t="s">
        <v>2787</v>
      </c>
      <c r="J714" s="26" t="str">
        <f t="array" ref="J714">IF(ISNA(XLOOKUP(I714,customers_clean!$A$2:$A$701,customers_clean!$A$2:$A$701, NA()) ),
   "❌ MISSING CUSTOMER", "✅")</f>
        <v>✅</v>
      </c>
      <c r="K714" s="2" t="str">
        <f t="array" ref="K714">XLOOKUP(I714,customers_clean!$A$2:$A$701,customers_clean!$C$2:$C$701)</f>
        <v>Ken Garcia</v>
      </c>
      <c r="L714" s="10" t="str">
        <f t="array" ref="L714">XLOOKUP(I714,customers_clean!$A$2:$A$701,customers_clean!$D$2:$D$701)</f>
        <v>Ken Garcia</v>
      </c>
      <c r="M714" s="2" t="str">
        <f t="array" ref="M714">XLOOKUP(I714,customers_clean!$A$2:$A$701,customers_clean!$I$2:$I$701)</f>
        <v> ken.garcia@shop.io</v>
      </c>
      <c r="N714" s="10" t="str">
        <f t="array" ref="N714">XLOOKUP(I714,customers_clean!$A$2:$A$701,customers_clean!$H$2:$H$701)</f>
        <v>ken.garcia@shop.io</v>
      </c>
      <c r="O714" s="9" t="str">
        <f>IFERROR(__xludf.DUMMYFUNCTION("IF(REGEXMATCH(TRIM(N714),""^[A-Za-z0-9._%+-]+@[A-Za-z0-9.-]+\.[A-Za-z]{2,}$""),""✅ Valid"",""❌ Invalid"")"),"✅ Valid")</f>
        <v>✅ Valid</v>
      </c>
      <c r="P714" s="2" t="str">
        <f t="array" ref="P714">XLOOKUP(I714,customers_clean!$A$2:$A$701,customers_clean!$K$2:$K$701)</f>
        <v>942269x375</v>
      </c>
      <c r="Q714" s="10" t="str">
        <f t="array" ref="Q714">XLOOKUP(I714,customers_clean!$A$2:$A$701,customers_clean!$N$2:$N$701)</f>
        <v>942269375</v>
      </c>
      <c r="R714" s="9" t="str">
        <f t="array" ref="R714">XLOOKUP(I714,customers_clean!$A$2:$A$701,customers_clean!$Q$2:$Q$701)</f>
        <v>❌ INVALID</v>
      </c>
      <c r="S714" s="31" t="s">
        <v>671</v>
      </c>
      <c r="T714" s="2" t="s">
        <v>42</v>
      </c>
      <c r="U714" s="2" t="s">
        <v>512</v>
      </c>
      <c r="V714" s="2" t="s">
        <v>2398</v>
      </c>
      <c r="W714" s="9" t="str">
        <f t="array" ref="W714">IF(ISNA(XLOOKUP(V714,products_master_corrected!$A$2:$A$151,products_master_corrected!$A$2:$A$151, NA())),
    "❌ MISSING SKU", "✅")</f>
        <v>✅</v>
      </c>
      <c r="X714" s="2" t="s">
        <v>225</v>
      </c>
      <c r="Y714" s="2" t="s">
        <v>179</v>
      </c>
      <c r="Z714" s="10" t="s">
        <v>179</v>
      </c>
      <c r="AA714" s="27">
        <v>2.0</v>
      </c>
      <c r="AB714" s="9" t="s">
        <v>8649</v>
      </c>
      <c r="AC714" s="28">
        <f t="array" ref="AC714">XLOOKUP(V714,products_master_corrected!$A$2:$A$151,products_master_corrected!$E$2:$E$151)</f>
        <v>40.55</v>
      </c>
      <c r="AD714" s="28">
        <f t="shared" ref="AD714:AD723" si="83">AA714*AC714</f>
        <v>81.1</v>
      </c>
      <c r="AE714" s="28">
        <f t="array" ref="AE714">XLOOKUP(V714,products_master_corrected!$A$2:$A$151,products_master_corrected!$J$2:$J$151)</f>
        <v>47.29</v>
      </c>
      <c r="AF714" s="29">
        <f t="shared" ref="AF714:AF723" si="84">AA714*AE714</f>
        <v>94.58</v>
      </c>
      <c r="AG714" s="32" t="s">
        <v>8656</v>
      </c>
      <c r="AH714" s="2" t="s">
        <v>181</v>
      </c>
      <c r="AI714" s="10" t="s">
        <v>181</v>
      </c>
      <c r="AJ714" s="2" t="s">
        <v>80</v>
      </c>
      <c r="AK714" s="10" t="s">
        <v>80</v>
      </c>
    </row>
    <row r="715" ht="15.75" customHeight="1">
      <c r="A715" s="2" t="s">
        <v>2941</v>
      </c>
      <c r="B715" s="12" t="s">
        <v>2942</v>
      </c>
      <c r="C715" s="2" t="str">
        <f>IFERROR(__xludf.DUMMYFUNCTION("IF(ISNUMBER(B715),TEXT(B715,""yyyy-MM-dd""),REGEXREPLACE(REGEXREPLACE(TO_TEXT(B715),""[^0-9a-zA-Z]+"",""-""),""[^0-9]*$"",""""))"),"06-20-2023")</f>
        <v>06-20-2023</v>
      </c>
      <c r="D715" s="2" t="str">
        <f>TEXT(C715,"yyyy-MM-dd")</f>
        <v>06-20-2023</v>
      </c>
      <c r="E715" s="2" t="s">
        <v>8048</v>
      </c>
      <c r="H715" s="10" t="s">
        <v>8048</v>
      </c>
      <c r="I715" s="2" t="s">
        <v>2787</v>
      </c>
      <c r="J715" s="26" t="str">
        <f t="array" ref="J715">IF(ISNA(XLOOKUP(I715,customers_clean!$A$2:$A$701,customers_clean!$A$2:$A$701, NA()) ),
   "❌ MISSING CUSTOMER", "✅")</f>
        <v>✅</v>
      </c>
      <c r="K715" s="2" t="str">
        <f t="array" ref="K715">XLOOKUP(I715,customers_clean!$A$2:$A$701,customers_clean!$C$2:$C$701)</f>
        <v>Ken Garcia</v>
      </c>
      <c r="L715" s="10" t="str">
        <f t="array" ref="L715">XLOOKUP(I715,customers_clean!$A$2:$A$701,customers_clean!$D$2:$D$701)</f>
        <v>Ken Garcia</v>
      </c>
      <c r="M715" s="2" t="str">
        <f t="array" ref="M715">XLOOKUP(I715,customers_clean!$A$2:$A$701,customers_clean!$I$2:$I$701)</f>
        <v> ken.garcia@shop.io</v>
      </c>
      <c r="N715" s="10" t="str">
        <f t="array" ref="N715">XLOOKUP(I715,customers_clean!$A$2:$A$701,customers_clean!$H$2:$H$701)</f>
        <v>ken.garcia@shop.io</v>
      </c>
      <c r="O715" s="9" t="str">
        <f>IFERROR(__xludf.DUMMYFUNCTION("IF(REGEXMATCH(TRIM(N715),""^[A-Za-z0-9._%+-]+@[A-Za-z0-9.-]+\.[A-Za-z]{2,}$""),""✅ Valid"",""❌ Invalid"")"),"✅ Valid")</f>
        <v>✅ Valid</v>
      </c>
      <c r="P715" s="2" t="str">
        <f t="array" ref="P715">XLOOKUP(I715,customers_clean!$A$2:$A$701,customers_clean!$K$2:$K$701)</f>
        <v>942269x375</v>
      </c>
      <c r="Q715" s="10" t="str">
        <f t="array" ref="Q715">XLOOKUP(I715,customers_clean!$A$2:$A$701,customers_clean!$N$2:$N$701)</f>
        <v>942269375</v>
      </c>
      <c r="R715" s="9" t="str">
        <f t="array" ref="R715">XLOOKUP(I715,customers_clean!$A$2:$A$701,customers_clean!$Q$2:$Q$701)</f>
        <v>❌ INVALID</v>
      </c>
      <c r="S715" s="31" t="s">
        <v>671</v>
      </c>
      <c r="T715" s="2" t="s">
        <v>802</v>
      </c>
      <c r="U715" s="2" t="s">
        <v>480</v>
      </c>
      <c r="V715" s="2" t="s">
        <v>501</v>
      </c>
      <c r="W715" s="9" t="str">
        <f t="array" ref="W715">IF(ISNA(XLOOKUP(V715,products_master_corrected!$A$2:$A$151,products_master_corrected!$A$2:$A$151, NA())),
    "❌ MISSING SKU", "✅")</f>
        <v>✅</v>
      </c>
      <c r="X715" s="2" t="s">
        <v>502</v>
      </c>
      <c r="Y715" s="2" t="s">
        <v>503</v>
      </c>
      <c r="Z715" s="10" t="str">
        <f>PROPER(TRIM(Y715))</f>
        <v>Monitors</v>
      </c>
      <c r="AA715" s="27">
        <v>3.0</v>
      </c>
      <c r="AB715" s="9" t="s">
        <v>8649</v>
      </c>
      <c r="AC715" s="28">
        <f t="array" ref="AC715">XLOOKUP(V715,products_master_corrected!$A$2:$A$151,products_master_corrected!$E$2:$E$151)</f>
        <v>1071.94</v>
      </c>
      <c r="AD715" s="28">
        <f t="shared" si="83"/>
        <v>3215.82</v>
      </c>
      <c r="AE715" s="28">
        <f t="array" ref="AE715">XLOOKUP(V715,products_master_corrected!$A$2:$A$151,products_master_corrected!$J$2:$J$151)</f>
        <v>1250.2</v>
      </c>
      <c r="AF715" s="29">
        <f t="shared" si="84"/>
        <v>3750.6</v>
      </c>
      <c r="AG715" s="32" t="s">
        <v>8656</v>
      </c>
      <c r="AH715" s="2" t="s">
        <v>66</v>
      </c>
      <c r="AI715" s="10" t="s">
        <v>66</v>
      </c>
      <c r="AJ715" s="2" t="s">
        <v>169</v>
      </c>
      <c r="AK715" s="10" t="s">
        <v>261</v>
      </c>
    </row>
    <row r="716" ht="15.75" customHeight="1">
      <c r="A716" s="2" t="s">
        <v>1920</v>
      </c>
      <c r="B716" s="12">
        <v>45516.02361111111</v>
      </c>
      <c r="C716" s="2" t="str">
        <f>IFERROR(__xludf.DUMMYFUNCTION("IF(ISNUMBER(B716),TEXT(B716,""yyyy-MM-dd""),REGEXREPLACE(REGEXREPLACE(TO_TEXT(B716),""[^0-9a-zA-Z]+"",""-""),""[^0-9]*$"",""""))"),"2024-08-12")</f>
        <v>2024-08-12</v>
      </c>
      <c r="D716" s="2" t="s">
        <v>8921</v>
      </c>
      <c r="H716" s="10" t="s">
        <v>8921</v>
      </c>
      <c r="I716" s="2" t="s">
        <v>1922</v>
      </c>
      <c r="J716" s="26" t="str">
        <f t="array" ref="J716">IF(ISNA(XLOOKUP(I716,customers_clean!$A$2:$A$701,customers_clean!$A$2:$A$701, NA()) ),
   "❌ MISSING CUSTOMER", "✅")</f>
        <v>✅</v>
      </c>
      <c r="K716" s="2" t="str">
        <f t="array" ref="K716">XLOOKUP(I716,customers_clean!$A$2:$A$701,customers_clean!$C$2:$C$701)</f>
        <v>Ken Khan</v>
      </c>
      <c r="L716" s="10" t="str">
        <f t="array" ref="L716">XLOOKUP(I716,customers_clean!$A$2:$A$701,customers_clean!$D$2:$D$701)</f>
        <v>Ken Khan</v>
      </c>
      <c r="M716" s="2" t="str">
        <f t="array" ref="M716">XLOOKUP(I716,customers_clean!$A$2:$A$701,customers_clean!$I$2:$I$701)</f>
        <v> ken.khan@shop.io</v>
      </c>
      <c r="N716" s="10" t="str">
        <f t="array" ref="N716">XLOOKUP(I716,customers_clean!$A$2:$A$701,customers_clean!$H$2:$H$701)</f>
        <v>ken.khan@shop.io</v>
      </c>
      <c r="O716" s="9" t="str">
        <f>IFERROR(__xludf.DUMMYFUNCTION("IF(REGEXMATCH(TRIM(N716),""^[A-Za-z0-9._%+-]+@[A-Za-z0-9.-]+\.[A-Za-z]{2,}$""),""✅ Valid"",""❌ Invalid"")"),"✅ Valid")</f>
        <v>✅ Valid</v>
      </c>
      <c r="P716" s="2" t="str">
        <f t="array" ref="P716">XLOOKUP(I716,customers_clean!$A$2:$A$701,customers_clean!$K$2:$K$701)</f>
        <v>+34191531267 ext 15</v>
      </c>
      <c r="Q716" s="10" t="str">
        <f t="array" ref="Q716">XLOOKUP(I716,customers_clean!$A$2:$A$701,customers_clean!$N$2:$N$701)</f>
        <v>191531267</v>
      </c>
      <c r="R716" s="9" t="str">
        <f t="array" ref="R716">XLOOKUP(I716,customers_clean!$A$2:$A$701,customers_clean!$Q$2:$Q$701)</f>
        <v>❌ INVALID</v>
      </c>
      <c r="S716" s="10" t="s">
        <v>88</v>
      </c>
      <c r="T716" s="2" t="s">
        <v>210</v>
      </c>
      <c r="U716" s="2" t="s">
        <v>176</v>
      </c>
      <c r="V716" s="2" t="s">
        <v>1926</v>
      </c>
      <c r="W716" s="9" t="str">
        <f t="array" ref="W716">IF(ISNA(XLOOKUP(V716,products_master_corrected!$A$2:$A$151,products_master_corrected!$A$2:$A$151, NA())),
    "❌ MISSING SKU", "✅")</f>
        <v>✅</v>
      </c>
      <c r="X716" s="2" t="s">
        <v>1927</v>
      </c>
      <c r="Y716" s="2" t="s">
        <v>63</v>
      </c>
      <c r="Z716" s="10" t="s">
        <v>63</v>
      </c>
      <c r="AA716" s="27">
        <v>5.0</v>
      </c>
      <c r="AB716" s="9" t="s">
        <v>8649</v>
      </c>
      <c r="AC716" s="28">
        <f t="array" ref="AC716">XLOOKUP(V716,products_master_corrected!$A$2:$A$151,products_master_corrected!$E$2:$E$151)</f>
        <v>452.71</v>
      </c>
      <c r="AD716" s="28">
        <f t="shared" si="83"/>
        <v>2263.55</v>
      </c>
      <c r="AE716" s="28">
        <f t="array" ref="AE716">XLOOKUP(V716,products_master_corrected!$A$2:$A$151,products_master_corrected!$I$2:$I$151)</f>
        <v>499.07</v>
      </c>
      <c r="AF716" s="29">
        <f t="shared" si="84"/>
        <v>2495.35</v>
      </c>
      <c r="AG716" s="32" t="s">
        <v>8660</v>
      </c>
      <c r="AH716" s="2" t="s">
        <v>96</v>
      </c>
      <c r="AI716" s="10" t="s">
        <v>143</v>
      </c>
      <c r="AJ716" s="2" t="s">
        <v>818</v>
      </c>
      <c r="AK716" s="10" t="s">
        <v>818</v>
      </c>
    </row>
    <row r="717" ht="15.75" customHeight="1">
      <c r="A717" s="2" t="s">
        <v>3199</v>
      </c>
      <c r="B717" s="12">
        <v>45572.0</v>
      </c>
      <c r="C717" s="2" t="str">
        <f>IFERROR(__xludf.DUMMYFUNCTION("IF(ISNUMBER(B717),TEXT(B717,""yyyy-MM-dd""),REGEXREPLACE(REGEXREPLACE(TO_TEXT(B717),""[^0-9a-zA-Z]+"",""-""),""[^0-9]*$"",""""))"),"2024-10-07")</f>
        <v>2024-10-07</v>
      </c>
      <c r="D717" s="2" t="s">
        <v>8781</v>
      </c>
      <c r="H717" s="10" t="s">
        <v>8781</v>
      </c>
      <c r="I717" s="2" t="s">
        <v>1922</v>
      </c>
      <c r="J717" s="26" t="str">
        <f t="array" ref="J717">IF(ISNA(XLOOKUP(I717,customers_clean!$A$2:$A$701,customers_clean!$A$2:$A$701, NA()) ),
   "❌ MISSING CUSTOMER", "✅")</f>
        <v>✅</v>
      </c>
      <c r="K717" s="2" t="str">
        <f t="array" ref="K717">XLOOKUP(I717,customers_clean!$A$2:$A$701,customers_clean!$C$2:$C$701)</f>
        <v>Ken Khan</v>
      </c>
      <c r="L717" s="10" t="str">
        <f t="array" ref="L717">XLOOKUP(I717,customers_clean!$A$2:$A$701,customers_clean!$D$2:$D$701)</f>
        <v>Ken Khan</v>
      </c>
      <c r="M717" s="2" t="str">
        <f t="array" ref="M717">XLOOKUP(I717,customers_clean!$A$2:$A$701,customers_clean!$I$2:$I$701)</f>
        <v> ken.khan@shop.io</v>
      </c>
      <c r="N717" s="10" t="str">
        <f t="array" ref="N717">XLOOKUP(I717,customers_clean!$A$2:$A$701,customers_clean!$H$2:$H$701)</f>
        <v>ken.khan@shop.io</v>
      </c>
      <c r="O717" s="9" t="str">
        <f>IFERROR(__xludf.DUMMYFUNCTION("IF(REGEXMATCH(TRIM(N717),""^[A-Za-z0-9._%+-]+@[A-Za-z0-9.-]+\.[A-Za-z]{2,}$""),""✅ Valid"",""❌ Invalid"")"),"✅ Valid")</f>
        <v>✅ Valid</v>
      </c>
      <c r="P717" s="2" t="str">
        <f t="array" ref="P717">XLOOKUP(I717,customers_clean!$A$2:$A$701,customers_clean!$K$2:$K$701)</f>
        <v>+34191531267 ext 15</v>
      </c>
      <c r="Q717" s="10" t="str">
        <f t="array" ref="Q717">XLOOKUP(I717,customers_clean!$A$2:$A$701,customers_clean!$N$2:$N$701)</f>
        <v>191531267</v>
      </c>
      <c r="R717" s="9" t="str">
        <f t="array" ref="R717">XLOOKUP(I717,customers_clean!$A$2:$A$701,customers_clean!$Q$2:$Q$701)</f>
        <v>❌ INVALID</v>
      </c>
      <c r="S717" s="10" t="s">
        <v>88</v>
      </c>
      <c r="T717" s="2" t="s">
        <v>683</v>
      </c>
      <c r="U717" s="2" t="s">
        <v>512</v>
      </c>
      <c r="V717" s="2" t="s">
        <v>61</v>
      </c>
      <c r="W717" s="9" t="str">
        <f t="array" ref="W717">IF(ISNA(XLOOKUP(V717,products_master_corrected!$A$2:$A$151,products_master_corrected!$A$2:$A$151, NA())),
    "❌ MISSING SKU", "✅")</f>
        <v>✅</v>
      </c>
      <c r="X717" s="2" t="s">
        <v>62</v>
      </c>
      <c r="Y717" s="2" t="s">
        <v>63</v>
      </c>
      <c r="Z717" s="10" t="s">
        <v>63</v>
      </c>
      <c r="AA717" s="27">
        <v>1.0</v>
      </c>
      <c r="AB717" s="9" t="s">
        <v>8649</v>
      </c>
      <c r="AC717" s="28">
        <f t="array" ref="AC717">XLOOKUP(V717,products_master_corrected!$A$2:$A$151,products_master_corrected!$E$2:$E$151)</f>
        <v>62.81</v>
      </c>
      <c r="AD717" s="28">
        <f t="shared" si="83"/>
        <v>62.81</v>
      </c>
      <c r="AE717" s="28">
        <f t="array" ref="AE717">XLOOKUP(V717,products_master_corrected!$A$2:$A$151,products_master_corrected!$I$2:$I$151)</f>
        <v>69.24</v>
      </c>
      <c r="AF717" s="29">
        <f t="shared" si="84"/>
        <v>69.24</v>
      </c>
      <c r="AG717" s="32" t="s">
        <v>8660</v>
      </c>
      <c r="AH717" s="2" t="s">
        <v>181</v>
      </c>
      <c r="AI717" s="10" t="s">
        <v>181</v>
      </c>
      <c r="AJ717" s="2" t="s">
        <v>50</v>
      </c>
      <c r="AK717" s="10" t="s">
        <v>261</v>
      </c>
      <c r="AL717" s="2" t="s">
        <v>51</v>
      </c>
    </row>
    <row r="718" ht="15.75" customHeight="1">
      <c r="A718" s="2" t="s">
        <v>1498</v>
      </c>
      <c r="B718" s="12" t="s">
        <v>1499</v>
      </c>
      <c r="C718" s="2" t="str">
        <f>IFERROR(__xludf.DUMMYFUNCTION("IF(ISNUMBER(B718),TEXT(B718,""yyyy-MM-dd""),REGEXREPLACE(REGEXREPLACE(TO_TEXT(B718),""[^0-9a-zA-Z]+"",""-""),""[^0-9]*$"",""""))"),"07-14-2024")</f>
        <v>07-14-2024</v>
      </c>
      <c r="D718" s="2" t="str">
        <f>TEXT(C718,"yyyy-MM-dd")</f>
        <v>07-14-2024</v>
      </c>
      <c r="E718" s="2" t="s">
        <v>7958</v>
      </c>
      <c r="H718" s="10" t="s">
        <v>7958</v>
      </c>
      <c r="I718" s="2" t="s">
        <v>1347</v>
      </c>
      <c r="J718" s="26" t="str">
        <f t="array" ref="J718">IF(ISNA(XLOOKUP(I718,customers_clean!$A$2:$A$701,customers_clean!$A$2:$A$701, NA()) ),
   "❌ MISSING CUSTOMER", "✅")</f>
        <v>✅</v>
      </c>
      <c r="K718" s="2" t="str">
        <f t="array" ref="K718">XLOOKUP(I718,customers_clean!$A$2:$A$701,customers_clean!$C$2:$C$701)</f>
        <v>Zack Novak</v>
      </c>
      <c r="L718" s="10" t="str">
        <f t="array" ref="L718">XLOOKUP(I718,customers_clean!$A$2:$A$701,customers_clean!$D$2:$D$701)</f>
        <v>Zack Novak</v>
      </c>
      <c r="M718" s="2" t="str">
        <f t="array" ref="M718">XLOOKUP(I718,customers_clean!$A$2:$A$701,customers_clean!$I$2:$I$701)</f>
        <v>ZACK.NOVAK@OUTLOOK.COM</v>
      </c>
      <c r="N718" s="10" t="str">
        <f t="array" ref="N718">XLOOKUP(I718,customers_clean!$A$2:$A$701,customers_clean!$H$2:$H$701)</f>
        <v>zack.novak@outlook.com</v>
      </c>
      <c r="O718" s="9" t="str">
        <f>IFERROR(__xludf.DUMMYFUNCTION("IF(REGEXMATCH(TRIM(N718),""^[A-Za-z0-9._%+-]+@[A-Za-z0-9.-]+\.[A-Za-z]{2,}$""),""✅ Valid"",""❌ Invalid"")"),"✅ Valid")</f>
        <v>✅ Valid</v>
      </c>
      <c r="P718" s="2" t="str">
        <f t="array" ref="P718">XLOOKUP(I718,customers_clean!$A$2:$A$701,customers_clean!$K$2:$K$701)</f>
        <v>tel:+353815797988</v>
      </c>
      <c r="Q718" s="10" t="str">
        <f t="array" ref="Q718">XLOOKUP(I718,customers_clean!$A$2:$A$701,customers_clean!$N$2:$N$701)</f>
        <v>815797988</v>
      </c>
      <c r="R718" s="9" t="str">
        <f t="array" ref="R718">XLOOKUP(I718,customers_clean!$A$2:$A$701,customers_clean!$Q$2:$Q$701)</f>
        <v>❌ INVALID</v>
      </c>
      <c r="S718" s="31" t="s">
        <v>671</v>
      </c>
      <c r="T718" s="2" t="s">
        <v>301</v>
      </c>
      <c r="U718" s="2" t="s">
        <v>401</v>
      </c>
      <c r="V718" s="2" t="s">
        <v>302</v>
      </c>
      <c r="W718" s="9" t="str">
        <f t="array" ref="W718">IF(ISNA(XLOOKUP(V718,products_master_corrected!$A$2:$A$151,products_master_corrected!$A$2:$A$151, NA())),
    "❌ MISSING SKU", "✅")</f>
        <v>✅</v>
      </c>
      <c r="X718" s="2" t="s">
        <v>303</v>
      </c>
      <c r="Y718" s="2" t="s">
        <v>248</v>
      </c>
      <c r="Z718" s="10" t="s">
        <v>248</v>
      </c>
      <c r="AA718" s="27">
        <v>2.0</v>
      </c>
      <c r="AB718" s="9" t="s">
        <v>8649</v>
      </c>
      <c r="AC718" s="28">
        <f t="array" ref="AC718">XLOOKUP(V718,products_master_corrected!$A$2:$A$151,products_master_corrected!$E$2:$E$151)</f>
        <v>172.22</v>
      </c>
      <c r="AD718" s="28">
        <f t="shared" si="83"/>
        <v>344.44</v>
      </c>
      <c r="AE718" s="28">
        <f t="array" ref="AE718">XLOOKUP(V718,products_master_corrected!$A$2:$A$151,products_master_corrected!$J$2:$J$151)</f>
        <v>200.86</v>
      </c>
      <c r="AF718" s="29">
        <f t="shared" si="84"/>
        <v>401.72</v>
      </c>
      <c r="AG718" s="32" t="s">
        <v>8656</v>
      </c>
      <c r="AH718" s="2" t="s">
        <v>66</v>
      </c>
      <c r="AI718" s="10" t="s">
        <v>66</v>
      </c>
      <c r="AJ718" s="2" t="s">
        <v>169</v>
      </c>
      <c r="AK718" s="10" t="s">
        <v>261</v>
      </c>
    </row>
    <row r="719" ht="15.75" customHeight="1">
      <c r="A719" s="2" t="s">
        <v>4100</v>
      </c>
      <c r="B719" s="12">
        <v>45326.0</v>
      </c>
      <c r="C719" s="2" t="str">
        <f>IFERROR(__xludf.DUMMYFUNCTION("IF(ISNUMBER(B719),TEXT(B719,""yyyy-MM-dd""),REGEXREPLACE(REGEXREPLACE(TO_TEXT(B719),""[^0-9a-zA-Z]+"",""-""),""[^0-9]*$"",""""))"),"2024-02-04")</f>
        <v>2024-02-04</v>
      </c>
      <c r="D719" s="2" t="s">
        <v>8228</v>
      </c>
      <c r="H719" s="10" t="s">
        <v>8228</v>
      </c>
      <c r="I719" s="2" t="s">
        <v>1347</v>
      </c>
      <c r="J719" s="26" t="str">
        <f t="array" ref="J719">IF(ISNA(XLOOKUP(I719,customers_clean!$A$2:$A$701,customers_clean!$A$2:$A$701, NA()) ),
   "❌ MISSING CUSTOMER", "✅")</f>
        <v>✅</v>
      </c>
      <c r="K719" s="2" t="str">
        <f t="array" ref="K719">XLOOKUP(I719,customers_clean!$A$2:$A$701,customers_clean!$C$2:$C$701)</f>
        <v>Zack Novak</v>
      </c>
      <c r="L719" s="10" t="str">
        <f t="array" ref="L719">XLOOKUP(I719,customers_clean!$A$2:$A$701,customers_clean!$D$2:$D$701)</f>
        <v>Zack Novak</v>
      </c>
      <c r="M719" s="2" t="str">
        <f t="array" ref="M719">XLOOKUP(I719,customers_clean!$A$2:$A$701,customers_clean!$I$2:$I$701)</f>
        <v>ZACK.NOVAK@OUTLOOK.COM</v>
      </c>
      <c r="N719" s="10" t="str">
        <f t="array" ref="N719">XLOOKUP(I719,customers_clean!$A$2:$A$701,customers_clean!$H$2:$H$701)</f>
        <v>zack.novak@outlook.com</v>
      </c>
      <c r="O719" s="9" t="str">
        <f>IFERROR(__xludf.DUMMYFUNCTION("IF(REGEXMATCH(TRIM(N719),""^[A-Za-z0-9._%+-]+@[A-Za-z0-9.-]+\.[A-Za-z]{2,}$""),""✅ Valid"",""❌ Invalid"")"),"✅ Valid")</f>
        <v>✅ Valid</v>
      </c>
      <c r="P719" s="2" t="str">
        <f t="array" ref="P719">XLOOKUP(I719,customers_clean!$A$2:$A$701,customers_clean!$K$2:$K$701)</f>
        <v>tel:+353815797988</v>
      </c>
      <c r="Q719" s="10" t="str">
        <f t="array" ref="Q719">XLOOKUP(I719,customers_clean!$A$2:$A$701,customers_clean!$N$2:$N$701)</f>
        <v>815797988</v>
      </c>
      <c r="R719" s="9" t="str">
        <f t="array" ref="R719">XLOOKUP(I719,customers_clean!$A$2:$A$701,customers_clean!$Q$2:$Q$701)</f>
        <v>❌ INVALID</v>
      </c>
      <c r="S719" s="31" t="s">
        <v>671</v>
      </c>
      <c r="T719" s="2" t="s">
        <v>42</v>
      </c>
      <c r="U719" s="2" t="s">
        <v>352</v>
      </c>
      <c r="V719" s="2" t="s">
        <v>1641</v>
      </c>
      <c r="W719" s="9" t="str">
        <f t="array" ref="W719">IF(ISNA(XLOOKUP(V719,products_master_corrected!$A$2:$A$151,products_master_corrected!$A$2:$A$151, NA())),
    "❌ MISSING SKU", "✅")</f>
        <v>✅</v>
      </c>
      <c r="X719" s="2" t="s">
        <v>825</v>
      </c>
      <c r="Y719" s="2" t="s">
        <v>179</v>
      </c>
      <c r="Z719" s="10" t="s">
        <v>179</v>
      </c>
      <c r="AA719" s="27">
        <v>5.0</v>
      </c>
      <c r="AB719" s="9" t="s">
        <v>8649</v>
      </c>
      <c r="AC719" s="28">
        <f t="array" ref="AC719">XLOOKUP(V719,products_master_corrected!$A$2:$A$151,products_master_corrected!$E$2:$E$151)</f>
        <v>23.84</v>
      </c>
      <c r="AD719" s="28">
        <f t="shared" si="83"/>
        <v>119.2</v>
      </c>
      <c r="AE719" s="28">
        <f t="array" ref="AE719">XLOOKUP(V719,products_master_corrected!$A$2:$A$151,products_master_corrected!$J$2:$J$151)</f>
        <v>27.8</v>
      </c>
      <c r="AF719" s="29">
        <f t="shared" si="84"/>
        <v>139</v>
      </c>
      <c r="AG719" s="32" t="s">
        <v>8656</v>
      </c>
      <c r="AH719" s="2" t="s">
        <v>573</v>
      </c>
      <c r="AI719" s="10" t="s">
        <v>66</v>
      </c>
      <c r="AJ719" s="2" t="s">
        <v>393</v>
      </c>
      <c r="AK719" s="10" t="s">
        <v>80</v>
      </c>
    </row>
    <row r="720" ht="15.75" customHeight="1">
      <c r="A720" s="2" t="s">
        <v>5598</v>
      </c>
      <c r="B720" s="12" t="s">
        <v>5599</v>
      </c>
      <c r="C720" s="2" t="str">
        <f>IFERROR(__xludf.DUMMYFUNCTION("IF(ISNUMBER(B720),TEXT(B720,""yyyy-MM-dd""),REGEXREPLACE(REGEXREPLACE(TO_TEXT(B720),""[^0-9a-zA-Z]+"",""-""),""[^0-9]*$"",""""))"),"06-17-2023")</f>
        <v>06-17-2023</v>
      </c>
      <c r="D720" s="2" t="str">
        <f>TEXT(C720,"yyyy-MM-dd")</f>
        <v>06-17-2023</v>
      </c>
      <c r="E720" s="2" t="s">
        <v>8806</v>
      </c>
      <c r="H720" s="10" t="s">
        <v>8806</v>
      </c>
      <c r="I720" s="2" t="s">
        <v>1347</v>
      </c>
      <c r="J720" s="26" t="str">
        <f t="array" ref="J720">IF(ISNA(XLOOKUP(I720,customers_clean!$A$2:$A$701,customers_clean!$A$2:$A$701, NA()) ),
   "❌ MISSING CUSTOMER", "✅")</f>
        <v>✅</v>
      </c>
      <c r="K720" s="2" t="str">
        <f t="array" ref="K720">XLOOKUP(I720,customers_clean!$A$2:$A$701,customers_clean!$C$2:$C$701)</f>
        <v>Zack Novak</v>
      </c>
      <c r="L720" s="10" t="str">
        <f t="array" ref="L720">XLOOKUP(I720,customers_clean!$A$2:$A$701,customers_clean!$D$2:$D$701)</f>
        <v>Zack Novak</v>
      </c>
      <c r="M720" s="2" t="str">
        <f t="array" ref="M720">XLOOKUP(I720,customers_clean!$A$2:$A$701,customers_clean!$I$2:$I$701)</f>
        <v>ZACK.NOVAK@OUTLOOK.COM</v>
      </c>
      <c r="N720" s="10" t="str">
        <f t="array" ref="N720">XLOOKUP(I720,customers_clean!$A$2:$A$701,customers_clean!$H$2:$H$701)</f>
        <v>zack.novak@outlook.com</v>
      </c>
      <c r="O720" s="9" t="str">
        <f>IFERROR(__xludf.DUMMYFUNCTION("IF(REGEXMATCH(TRIM(N720),""^[A-Za-z0-9._%+-]+@[A-Za-z0-9.-]+\.[A-Za-z]{2,}$""),""✅ Valid"",""❌ Invalid"")"),"✅ Valid")</f>
        <v>✅ Valid</v>
      </c>
      <c r="P720" s="2" t="str">
        <f t="array" ref="P720">XLOOKUP(I720,customers_clean!$A$2:$A$701,customers_clean!$K$2:$K$701)</f>
        <v>tel:+353815797988</v>
      </c>
      <c r="Q720" s="10" t="str">
        <f t="array" ref="Q720">XLOOKUP(I720,customers_clean!$A$2:$A$701,customers_clean!$N$2:$N$701)</f>
        <v>815797988</v>
      </c>
      <c r="R720" s="9" t="str">
        <f t="array" ref="R720">XLOOKUP(I720,customers_clean!$A$2:$A$701,customers_clean!$Q$2:$Q$701)</f>
        <v>❌ INVALID</v>
      </c>
      <c r="S720" s="31" t="s">
        <v>671</v>
      </c>
      <c r="T720" s="2" t="s">
        <v>323</v>
      </c>
      <c r="U720" s="2" t="s">
        <v>211</v>
      </c>
      <c r="V720" s="2" t="s">
        <v>948</v>
      </c>
      <c r="W720" s="9" t="str">
        <f t="array" ref="W720">IF(ISNA(XLOOKUP(V720,products_master_corrected!$A$2:$A$151,products_master_corrected!$A$2:$A$151, NA())),
    "❌ MISSING SKU", "✅")</f>
        <v>✅</v>
      </c>
      <c r="X720" s="2" t="s">
        <v>213</v>
      </c>
      <c r="Y720" s="2" t="s">
        <v>129</v>
      </c>
      <c r="Z720" s="10" t="s">
        <v>514</v>
      </c>
      <c r="AA720" s="27">
        <v>1.0</v>
      </c>
      <c r="AB720" s="9" t="s">
        <v>8649</v>
      </c>
      <c r="AC720" s="28">
        <f t="array" ref="AC720">XLOOKUP(V720,products_master_corrected!$A$2:$A$151,products_master_corrected!$E$2:$E$151)</f>
        <v>1470.18</v>
      </c>
      <c r="AD720" s="28">
        <f t="shared" si="83"/>
        <v>1470.18</v>
      </c>
      <c r="AE720" s="28">
        <f t="array" ref="AE720">XLOOKUP(V720,products_master_corrected!$A$2:$A$151,products_master_corrected!$J$2:$J$151)</f>
        <v>1714.67</v>
      </c>
      <c r="AF720" s="29">
        <f t="shared" si="84"/>
        <v>1714.67</v>
      </c>
      <c r="AG720" s="32" t="s">
        <v>8656</v>
      </c>
      <c r="AH720" s="2" t="s">
        <v>526</v>
      </c>
      <c r="AI720" s="10" t="s">
        <v>49</v>
      </c>
      <c r="AJ720" s="2" t="s">
        <v>5601</v>
      </c>
      <c r="AK720" s="10" t="s">
        <v>80</v>
      </c>
      <c r="AL720" s="2" t="s">
        <v>51</v>
      </c>
    </row>
    <row r="721" ht="15.75" customHeight="1">
      <c r="A721" s="2" t="s">
        <v>1345</v>
      </c>
      <c r="B721" s="12">
        <v>45757.0</v>
      </c>
      <c r="C721" s="2" t="str">
        <f>IFERROR(__xludf.DUMMYFUNCTION("IF(ISNUMBER(B721),TEXT(B721,""yyyy-MM-dd""),REGEXREPLACE(REGEXREPLACE(TO_TEXT(B721),""[^0-9a-zA-Z]+"",""-""),""[^0-9]*$"",""""))"),"2025-04-10")</f>
        <v>2025-04-10</v>
      </c>
      <c r="D721" s="2" t="s">
        <v>5915</v>
      </c>
      <c r="H721" s="10" t="s">
        <v>5915</v>
      </c>
      <c r="I721" s="2" t="s">
        <v>1347</v>
      </c>
      <c r="J721" s="26" t="str">
        <f t="array" ref="J721">IF(ISNA(XLOOKUP(I721,customers_clean!$A$2:$A$701,customers_clean!$A$2:$A$701, NA()) ),
   "❌ MISSING CUSTOMER", "✅")</f>
        <v>✅</v>
      </c>
      <c r="K721" s="2" t="str">
        <f t="array" ref="K721">XLOOKUP(I721,customers_clean!$A$2:$A$701,customers_clean!$C$2:$C$701)</f>
        <v>Zack Novak</v>
      </c>
      <c r="L721" s="10" t="str">
        <f t="array" ref="L721">XLOOKUP(I721,customers_clean!$A$2:$A$701,customers_clean!$D$2:$D$701)</f>
        <v>Zack Novak</v>
      </c>
      <c r="M721" s="2" t="str">
        <f t="array" ref="M721">XLOOKUP(I721,customers_clean!$A$2:$A$701,customers_clean!$I$2:$I$701)</f>
        <v>ZACK.NOVAK@OUTLOOK.COM</v>
      </c>
      <c r="N721" s="10" t="str">
        <f t="array" ref="N721">XLOOKUP(I721,customers_clean!$A$2:$A$701,customers_clean!$H$2:$H$701)</f>
        <v>zack.novak@outlook.com</v>
      </c>
      <c r="O721" s="9" t="str">
        <f>IFERROR(__xludf.DUMMYFUNCTION("IF(REGEXMATCH(TRIM(N721),""^[A-Za-z0-9._%+-]+@[A-Za-z0-9.-]+\.[A-Za-z]{2,}$""),""✅ Valid"",""❌ Invalid"")"),"✅ Valid")</f>
        <v>✅ Valid</v>
      </c>
      <c r="P721" s="2" t="str">
        <f t="array" ref="P721">XLOOKUP(I721,customers_clean!$A$2:$A$701,customers_clean!$K$2:$K$701)</f>
        <v>tel:+353815797988</v>
      </c>
      <c r="Q721" s="10" t="str">
        <f t="array" ref="Q721">XLOOKUP(I721,customers_clean!$A$2:$A$701,customers_clean!$N$2:$N$701)</f>
        <v>815797988</v>
      </c>
      <c r="R721" s="9" t="str">
        <f t="array" ref="R721">XLOOKUP(I721,customers_clean!$A$2:$A$701,customers_clean!$Q$2:$Q$701)</f>
        <v>❌ INVALID</v>
      </c>
      <c r="S721" s="31" t="s">
        <v>671</v>
      </c>
      <c r="T721" s="2" t="s">
        <v>1167</v>
      </c>
      <c r="U721" s="2" t="s">
        <v>401</v>
      </c>
      <c r="V721" s="2" t="s">
        <v>643</v>
      </c>
      <c r="W721" s="9" t="str">
        <f t="array" ref="W721">IF(ISNA(XLOOKUP(V721,products_master_corrected!$A$2:$A$151,products_master_corrected!$A$2:$A$151, NA())),
    "❌ MISSING SKU", "✅")</f>
        <v>✅</v>
      </c>
      <c r="X721" s="2" t="s">
        <v>1147</v>
      </c>
      <c r="Y721" s="2" t="s">
        <v>368</v>
      </c>
      <c r="Z721" s="10" t="s">
        <v>368</v>
      </c>
      <c r="AA721" s="27">
        <v>1.0</v>
      </c>
      <c r="AB721" s="9" t="s">
        <v>8649</v>
      </c>
      <c r="AC721" s="28">
        <f t="array" ref="AC721">XLOOKUP(V721,products_master_corrected!$A$2:$A$151,products_master_corrected!$E$2:$E$151)</f>
        <v>62.12</v>
      </c>
      <c r="AD721" s="28">
        <f t="shared" si="83"/>
        <v>62.12</v>
      </c>
      <c r="AE721" s="28">
        <f t="array" ref="AE721">XLOOKUP(V721,products_master_corrected!$A$2:$A$151,products_master_corrected!$J$2:$J$151)</f>
        <v>72.45</v>
      </c>
      <c r="AF721" s="29">
        <f t="shared" si="84"/>
        <v>72.45</v>
      </c>
      <c r="AG721" s="32" t="s">
        <v>8656</v>
      </c>
      <c r="AH721" s="2" t="s">
        <v>664</v>
      </c>
      <c r="AI721" s="10" t="s">
        <v>66</v>
      </c>
      <c r="AJ721" s="2" t="s">
        <v>432</v>
      </c>
      <c r="AK721" s="10" t="s">
        <v>80</v>
      </c>
      <c r="AL721" s="2" t="s">
        <v>67</v>
      </c>
    </row>
    <row r="722" ht="15.75" customHeight="1">
      <c r="A722" s="2" t="s">
        <v>4690</v>
      </c>
      <c r="B722" s="12">
        <v>44992.0</v>
      </c>
      <c r="C722" s="2" t="str">
        <f>IFERROR(__xludf.DUMMYFUNCTION("IF(ISNUMBER(B722),TEXT(B722,""yyyy-MM-dd""),REGEXREPLACE(REGEXREPLACE(TO_TEXT(B722),""[^0-9a-zA-Z]+"",""-""),""[^0-9]*$"",""""))"),"2023-03-07")</f>
        <v>2023-03-07</v>
      </c>
      <c r="D722" s="2" t="s">
        <v>8705</v>
      </c>
      <c r="H722" s="10" t="s">
        <v>8705</v>
      </c>
      <c r="I722" s="2" t="s">
        <v>4691</v>
      </c>
      <c r="J722" s="26" t="str">
        <f t="array" ref="J722">IF(ISNA(XLOOKUP(I722,customers_clean!$A$2:$A$701,customers_clean!$A$2:$A$701, NA()) ),
   "❌ MISSING CUSTOMER", "✅")</f>
        <v>✅</v>
      </c>
      <c r="K722" s="2" t="str">
        <f t="array" ref="K722">XLOOKUP(I722,customers_clean!$A$2:$A$701,customers_clean!$C$2:$C$701)</f>
        <v> Qi Muller</v>
      </c>
      <c r="L722" s="10" t="str">
        <f t="array" ref="L722">XLOOKUP(I722,customers_clean!$A$2:$A$701,customers_clean!$D$2:$D$701)</f>
        <v>Qi Muller</v>
      </c>
      <c r="M722" s="2" t="str">
        <f t="array" ref="M722">XLOOKUP(I722,customers_clean!$A$2:$A$701,customers_clean!$I$2:$I$701)</f>
        <v>qi.muller@outlook.com</v>
      </c>
      <c r="N722" s="10" t="str">
        <f t="array" ref="N722">XLOOKUP(I722,customers_clean!$A$2:$A$701,customers_clean!$H$2:$H$701)</f>
        <v>qi.muller@outlook.com</v>
      </c>
      <c r="O722" s="9" t="str">
        <f>IFERROR(__xludf.DUMMYFUNCTION("IF(REGEXMATCH(TRIM(N722),""^[A-Za-z0-9._%+-]+@[A-Za-z0-9.-]+\.[A-Za-z]{2,}$""),""✅ Valid"",""❌ Invalid"")"),"✅ Valid")</f>
        <v>✅ Valid</v>
      </c>
      <c r="P722" s="2" t="str">
        <f t="array" ref="P722">XLOOKUP(I722,customers_clean!$A$2:$A$701,customers_clean!$K$2:$K$701)</f>
        <v>687-510-44252</v>
      </c>
      <c r="Q722" s="10" t="str">
        <f t="array" ref="Q722">XLOOKUP(I722,customers_clean!$A$2:$A$701,customers_clean!$N$2:$N$701)</f>
        <v>68751044252</v>
      </c>
      <c r="R722" s="9" t="str">
        <f t="array" ref="R722">XLOOKUP(I722,customers_clean!$A$2:$A$701,customers_clean!$Q$2:$Q$701)</f>
        <v>❌ INVALID</v>
      </c>
      <c r="S722" s="10" t="s">
        <v>25</v>
      </c>
      <c r="T722" s="2" t="s">
        <v>42</v>
      </c>
      <c r="U722" s="2" t="s">
        <v>75</v>
      </c>
      <c r="V722" s="2" t="s">
        <v>269</v>
      </c>
      <c r="W722" s="9" t="str">
        <f t="array" ref="W722">IF(ISNA(XLOOKUP(V722,products_master_corrected!$A$2:$A$151,products_master_corrected!$A$2:$A$151, NA())),
    "❌ MISSING SKU", "✅")</f>
        <v>✅</v>
      </c>
      <c r="X722" s="2" t="s">
        <v>524</v>
      </c>
      <c r="Y722" s="2" t="s">
        <v>271</v>
      </c>
      <c r="Z722" s="10" t="s">
        <v>368</v>
      </c>
      <c r="AA722" s="27">
        <v>1.0</v>
      </c>
      <c r="AB722" s="9" t="s">
        <v>8649</v>
      </c>
      <c r="AC722" s="28">
        <f t="array" ref="AC722">XLOOKUP(V722,products_master_corrected!$A$2:$A$151,products_master_corrected!$E$2:$E$151)</f>
        <v>219.29</v>
      </c>
      <c r="AD722" s="28">
        <f t="shared" si="83"/>
        <v>219.29</v>
      </c>
      <c r="AE722" s="28">
        <f t="array" ref="AE722">XLOOKUP(V722,products_master_corrected!$A$2:$A$151,products_master_corrected!$K$2:$K$151)</f>
        <v>1128.25</v>
      </c>
      <c r="AF722" s="29">
        <f t="shared" si="84"/>
        <v>1128.25</v>
      </c>
      <c r="AG722" s="30" t="s">
        <v>95</v>
      </c>
      <c r="AH722" s="2" t="s">
        <v>3460</v>
      </c>
      <c r="AI722" s="10" t="s">
        <v>49</v>
      </c>
      <c r="AJ722" s="2" t="s">
        <v>192</v>
      </c>
      <c r="AK722" s="10" t="s">
        <v>192</v>
      </c>
    </row>
    <row r="723" ht="15.75" customHeight="1">
      <c r="A723" s="2" t="s">
        <v>3859</v>
      </c>
      <c r="B723" s="12" t="s">
        <v>3860</v>
      </c>
      <c r="C723" s="2" t="str">
        <f>IFERROR(__xludf.DUMMYFUNCTION("IF(ISNUMBER(B723),TEXT(B723,""yyyy-MM-dd""),REGEXREPLACE(REGEXREPLACE(TO_TEXT(B723),""[^0-9a-zA-Z]+"",""-""),""[^0-9]*$"",""""))"),"11-22-2024")</f>
        <v>11-22-2024</v>
      </c>
      <c r="D723" s="2" t="str">
        <f>TEXT(C723,"yyyy-MM-dd")</f>
        <v>11-22-2024</v>
      </c>
      <c r="E723" s="2" t="s">
        <v>2863</v>
      </c>
      <c r="H723" s="10" t="s">
        <v>2863</v>
      </c>
      <c r="I723" s="2" t="s">
        <v>3861</v>
      </c>
      <c r="J723" s="26" t="str">
        <f t="array" ref="J723">IF(ISNA(XLOOKUP(I723,customers_clean!$A$2:$A$701,customers_clean!$A$2:$A$701, NA()) ),
   "❌ MISSING CUSTOMER", "✅")</f>
        <v>✅</v>
      </c>
      <c r="K723" s="2" t="str">
        <f t="array" ref="K723">XLOOKUP(I723,customers_clean!$A$2:$A$701,customers_clean!$C$2:$C$701)</f>
        <v>Uma Novak </v>
      </c>
      <c r="L723" s="10" t="str">
        <f t="array" ref="L723">XLOOKUP(I723,customers_clean!$A$2:$A$701,customers_clean!$D$2:$D$701)</f>
        <v>Uma Novak</v>
      </c>
      <c r="M723" s="2" t="str">
        <f t="array" ref="M723">XLOOKUP(I723,customers_clean!$A$2:$A$701,customers_clean!$I$2:$I$701)</f>
        <v>uma.novak@company.co.uk</v>
      </c>
      <c r="N723" s="10" t="str">
        <f t="array" ref="N723">XLOOKUP(I723,customers_clean!$A$2:$A$701,customers_clean!$H$2:$H$701)</f>
        <v>uma.novak@company.co.uk</v>
      </c>
      <c r="O723" s="9" t="str">
        <f>IFERROR(__xludf.DUMMYFUNCTION("IF(REGEXMATCH(TRIM(N723),""^[A-Za-z0-9._%+-]+@[A-Za-z0-9.-]+\.[A-Za-z]{2,}$""),""✅ Valid"",""❌ Invalid"")"),"✅ Valid")</f>
        <v>✅ Valid</v>
      </c>
      <c r="P723" s="2" t="str">
        <f t="array" ref="P723">XLOOKUP(I723,customers_clean!$A$2:$A$701,customers_clean!$K$2:$K$701)</f>
        <v>none</v>
      </c>
      <c r="Q723" s="10" t="str">
        <f t="array" ref="Q723">XLOOKUP(I723,customers_clean!$A$2:$A$701,customers_clean!$N$2:$N$701)</f>
        <v/>
      </c>
      <c r="R723" s="9" t="str">
        <f t="array" ref="R723">XLOOKUP(I723,customers_clean!$A$2:$A$701,customers_clean!$Q$2:$Q$701)</f>
        <v>❌ INVALID</v>
      </c>
      <c r="S723" s="10" t="s">
        <v>25</v>
      </c>
      <c r="T723" s="2" t="s">
        <v>400</v>
      </c>
      <c r="U723" s="2" t="s">
        <v>352</v>
      </c>
      <c r="V723" s="2" t="s">
        <v>767</v>
      </c>
      <c r="W723" s="9" t="str">
        <f t="array" ref="W723">IF(ISNA(XLOOKUP(V723,products_master_corrected!$A$2:$A$151,products_master_corrected!$A$2:$A$151, NA())),
    "❌ MISSING SKU", "✅")</f>
        <v>✅</v>
      </c>
      <c r="X723" s="2" t="s">
        <v>768</v>
      </c>
      <c r="Y723" s="2" t="s">
        <v>769</v>
      </c>
      <c r="Z723" s="10" t="str">
        <f>PROPER(TRIM(Y723))</f>
        <v>Monitors</v>
      </c>
      <c r="AA723" s="27">
        <v>1.0</v>
      </c>
      <c r="AB723" s="9" t="s">
        <v>8649</v>
      </c>
      <c r="AC723" s="28">
        <f t="array" ref="AC723">XLOOKUP(V723,products_master_corrected!$A$2:$A$151,products_master_corrected!$E$2:$E$151)</f>
        <v>15.17</v>
      </c>
      <c r="AD723" s="28">
        <f t="shared" si="83"/>
        <v>15.17</v>
      </c>
      <c r="AE723" s="28">
        <f t="array" ref="AE723">XLOOKUP(V723,products_master_corrected!$A$2:$A$151,products_master_corrected!$K$2:$K$151)</f>
        <v>78.05</v>
      </c>
      <c r="AF723" s="29">
        <f t="shared" si="84"/>
        <v>78.05</v>
      </c>
      <c r="AG723" s="30" t="s">
        <v>95</v>
      </c>
      <c r="AH723" s="2" t="s">
        <v>181</v>
      </c>
      <c r="AI723" s="10" t="s">
        <v>181</v>
      </c>
      <c r="AJ723" s="2" t="s">
        <v>1171</v>
      </c>
      <c r="AK723" s="10" t="s">
        <v>80</v>
      </c>
    </row>
    <row r="724" ht="15.75" customHeight="1">
      <c r="A724" s="2" t="s">
        <v>2542</v>
      </c>
      <c r="B724" s="12">
        <v>45113.0</v>
      </c>
      <c r="C724" s="2" t="str">
        <f>IFERROR(__xludf.DUMMYFUNCTION("IF(ISNUMBER(B724),TEXT(B724,""yyyy-MM-dd""),REGEXREPLACE(REGEXREPLACE(TO_TEXT(B724),""[^0-9a-zA-Z]+"",""-""),""[^0-9]*$"",""""))"),"2023-07-06")</f>
        <v>2023-07-06</v>
      </c>
      <c r="D724" s="2" t="s">
        <v>8922</v>
      </c>
      <c r="H724" s="10" t="s">
        <v>8922</v>
      </c>
      <c r="I724" s="2" t="s">
        <v>1250</v>
      </c>
      <c r="J724" s="26" t="str">
        <f t="array" ref="J724">IF(ISNA(XLOOKUP(I724,customers_clean!$A$2:$A$701,customers_clean!$A$2:$A$701, NA()) ),
   "❌ MISSING CUSTOMER", "✅")</f>
        <v>✅</v>
      </c>
      <c r="K724" s="2" t="str">
        <f t="array" ref="K724">XLOOKUP(I724,customers_clean!$A$2:$A$701,customers_clean!$C$2:$C$701)</f>
        <v> Ethan Lopez</v>
      </c>
      <c r="L724" s="10" t="str">
        <f t="array" ref="L724">XLOOKUP(I724,customers_clean!$A$2:$A$701,customers_clean!$D$2:$D$701)</f>
        <v>Ethan Lopez</v>
      </c>
      <c r="M724" s="2" t="str">
        <f t="array" ref="M724">XLOOKUP(I724,customers_clean!$A$2:$A$701,customers_clean!$I$2:$I$701)</f>
        <v>ethan.lopez@example.com</v>
      </c>
      <c r="N724" s="10" t="str">
        <f t="array" ref="N724">XLOOKUP(I724,customers_clean!$A$2:$A$701,customers_clean!$H$2:$H$701)</f>
        <v>ethan.lopez@example.com</v>
      </c>
      <c r="O724" s="9" t="str">
        <f>IFERROR(__xludf.DUMMYFUNCTION("IF(REGEXMATCH(TRIM(N724),""^[A-Za-z0-9._%+-]+@[A-Za-z0-9.-]+\.[A-Za-z]{2,}$""),""✅ Valid"",""❌ Invalid"")"),"✅ Valid")</f>
        <v>✅ Valid</v>
      </c>
      <c r="P724" s="2" t="str">
        <f t="array" ref="P724">XLOOKUP(I724,customers_clean!$A$2:$A$701,customers_clean!$K$2:$K$701)</f>
        <v>145-380-0522</v>
      </c>
      <c r="Q724" s="10" t="str">
        <f t="array" ref="Q724">XLOOKUP(I724,customers_clean!$A$2:$A$701,customers_clean!$N$2:$N$701)</f>
        <v>1453800522</v>
      </c>
      <c r="R724" s="9" t="str">
        <f t="array" ref="R724">XLOOKUP(I724,customers_clean!$A$2:$A$701,customers_clean!$Q$2:$Q$701)</f>
        <v>❌ INVALID</v>
      </c>
      <c r="S724" s="10" t="s">
        <v>88</v>
      </c>
      <c r="T724" s="2" t="s">
        <v>234</v>
      </c>
      <c r="U724" s="2" t="s">
        <v>60</v>
      </c>
      <c r="V724" s="2" t="s">
        <v>313</v>
      </c>
      <c r="W724" s="9" t="str">
        <f t="array" ref="W724">IF(ISNA(XLOOKUP(V724,products_master_corrected!$A$2:$A$151,products_master_corrected!$A$2:$A$151, NA())),
    "❌ MISSING SKU", "✅")</f>
        <v>✅</v>
      </c>
      <c r="X724" s="2" t="s">
        <v>768</v>
      </c>
      <c r="Y724" s="2" t="s">
        <v>315</v>
      </c>
      <c r="Z724" s="10" t="s">
        <v>179</v>
      </c>
      <c r="AA724" s="27"/>
      <c r="AB724" s="9" t="s">
        <v>8677</v>
      </c>
      <c r="AC724" s="34"/>
      <c r="AD724" s="34"/>
      <c r="AE724" s="34"/>
      <c r="AF724" s="35"/>
      <c r="AG724" s="36" t="s">
        <v>65</v>
      </c>
      <c r="AH724" s="2" t="s">
        <v>143</v>
      </c>
      <c r="AI724" s="10" t="s">
        <v>143</v>
      </c>
      <c r="AJ724" s="2" t="s">
        <v>2545</v>
      </c>
      <c r="AK724" s="10" t="s">
        <v>192</v>
      </c>
      <c r="AL724" s="2" t="s">
        <v>67</v>
      </c>
    </row>
    <row r="725" ht="15.75" customHeight="1">
      <c r="A725" s="2" t="s">
        <v>1248</v>
      </c>
      <c r="B725" s="12">
        <v>44940.0</v>
      </c>
      <c r="C725" s="2" t="str">
        <f>IFERROR(__xludf.DUMMYFUNCTION("IF(ISNUMBER(B725),TEXT(B725,""yyyy-MM-dd""),REGEXREPLACE(REGEXREPLACE(TO_TEXT(B725),""[^0-9a-zA-Z]+"",""-""),""[^0-9]*$"",""""))"),"2023-01-14")</f>
        <v>2023-01-14</v>
      </c>
      <c r="D725" s="2" t="s">
        <v>8923</v>
      </c>
      <c r="H725" s="10" t="s">
        <v>8923</v>
      </c>
      <c r="I725" s="2" t="s">
        <v>1250</v>
      </c>
      <c r="J725" s="26" t="str">
        <f t="array" ref="J725">IF(ISNA(XLOOKUP(I725,customers_clean!$A$2:$A$701,customers_clean!$A$2:$A$701, NA()) ),
   "❌ MISSING CUSTOMER", "✅")</f>
        <v>✅</v>
      </c>
      <c r="K725" s="2" t="str">
        <f t="array" ref="K725">XLOOKUP(I725,customers_clean!$A$2:$A$701,customers_clean!$C$2:$C$701)</f>
        <v> Ethan Lopez</v>
      </c>
      <c r="L725" s="10" t="str">
        <f t="array" ref="L725">XLOOKUP(I725,customers_clean!$A$2:$A$701,customers_clean!$D$2:$D$701)</f>
        <v>Ethan Lopez</v>
      </c>
      <c r="M725" s="2" t="str">
        <f t="array" ref="M725">XLOOKUP(I725,customers_clean!$A$2:$A$701,customers_clean!$I$2:$I$701)</f>
        <v>ethan.lopez@example.com</v>
      </c>
      <c r="N725" s="10" t="str">
        <f t="array" ref="N725">XLOOKUP(I725,customers_clean!$A$2:$A$701,customers_clean!$H$2:$H$701)</f>
        <v>ethan.lopez@example.com</v>
      </c>
      <c r="O725" s="9" t="str">
        <f>IFERROR(__xludf.DUMMYFUNCTION("IF(REGEXMATCH(TRIM(N725),""^[A-Za-z0-9._%+-]+@[A-Za-z0-9.-]+\.[A-Za-z]{2,}$""),""✅ Valid"",""❌ Invalid"")"),"✅ Valid")</f>
        <v>✅ Valid</v>
      </c>
      <c r="P725" s="2" t="str">
        <f t="array" ref="P725">XLOOKUP(I725,customers_clean!$A$2:$A$701,customers_clean!$K$2:$K$701)</f>
        <v>145-380-0522</v>
      </c>
      <c r="Q725" s="10" t="str">
        <f t="array" ref="Q725">XLOOKUP(I725,customers_clean!$A$2:$A$701,customers_clean!$N$2:$N$701)</f>
        <v>1453800522</v>
      </c>
      <c r="R725" s="9" t="str">
        <f t="array" ref="R725">XLOOKUP(I725,customers_clean!$A$2:$A$701,customers_clean!$Q$2:$Q$701)</f>
        <v>❌ INVALID</v>
      </c>
      <c r="S725" s="10" t="s">
        <v>88</v>
      </c>
      <c r="T725" s="2" t="s">
        <v>400</v>
      </c>
      <c r="U725" s="2" t="s">
        <v>1254</v>
      </c>
      <c r="V725" s="2" t="s">
        <v>1255</v>
      </c>
      <c r="W725" s="9" t="str">
        <f t="array" ref="W725">IF(ISNA(XLOOKUP(V725,products_master_corrected!$A$2:$A$151,products_master_corrected!$A$2:$A$151, NA())),
    "❌ MISSING SKU", "✅")</f>
        <v>✅</v>
      </c>
      <c r="X725" s="2" t="s">
        <v>29</v>
      </c>
      <c r="Y725" s="2" t="s">
        <v>271</v>
      </c>
      <c r="Z725" s="10" t="s">
        <v>368</v>
      </c>
      <c r="AA725" s="27">
        <v>2.0</v>
      </c>
      <c r="AB725" s="9" t="s">
        <v>8649</v>
      </c>
      <c r="AC725" s="28">
        <f t="array" ref="AC725">XLOOKUP(V725,products_master_corrected!$A$2:$A$151,products_master_corrected!$E$2:$E$151)</f>
        <v>161.4</v>
      </c>
      <c r="AD725" s="28">
        <f t="shared" ref="AD725:AD734" si="85">AA725*AC725</f>
        <v>322.8</v>
      </c>
      <c r="AE725" s="28">
        <f t="array" ref="AE725">XLOOKUP(V725,products_master_corrected!$A$2:$A$151,products_master_corrected!$I$2:$I$151)</f>
        <v>177.93</v>
      </c>
      <c r="AF725" s="29">
        <f t="shared" ref="AF725:AF734" si="86">AA725*AE725</f>
        <v>355.86</v>
      </c>
      <c r="AG725" s="32" t="s">
        <v>8660</v>
      </c>
      <c r="AH725" s="2" t="s">
        <v>181</v>
      </c>
      <c r="AI725" s="10" t="s">
        <v>181</v>
      </c>
      <c r="AJ725" s="2" t="s">
        <v>169</v>
      </c>
      <c r="AK725" s="10" t="s">
        <v>261</v>
      </c>
      <c r="AL725" s="2" t="s">
        <v>67</v>
      </c>
    </row>
    <row r="726" ht="15.75" customHeight="1">
      <c r="A726" s="2" t="s">
        <v>1524</v>
      </c>
      <c r="B726" s="12" t="s">
        <v>1525</v>
      </c>
      <c r="C726" s="2" t="str">
        <f>IFERROR(__xludf.DUMMYFUNCTION("IF(ISNUMBER(B726),TEXT(B726,""yyyy-MM-dd""),REGEXREPLACE(REGEXREPLACE(TO_TEXT(B726),""[^0-9a-zA-Z]+"",""-""),""[^0-9]*$"",""""))"),"23-07-2024")</f>
        <v>23-07-2024</v>
      </c>
      <c r="D726" s="2" t="s">
        <v>6828</v>
      </c>
      <c r="H726" s="10" t="s">
        <v>6828</v>
      </c>
      <c r="I726" s="2" t="s">
        <v>1250</v>
      </c>
      <c r="J726" s="26" t="str">
        <f t="array" ref="J726">IF(ISNA(XLOOKUP(I726,customers_clean!$A$2:$A$701,customers_clean!$A$2:$A$701, NA()) ),
   "❌ MISSING CUSTOMER", "✅")</f>
        <v>✅</v>
      </c>
      <c r="K726" s="2" t="str">
        <f t="array" ref="K726">XLOOKUP(I726,customers_clean!$A$2:$A$701,customers_clean!$C$2:$C$701)</f>
        <v> Ethan Lopez</v>
      </c>
      <c r="L726" s="10" t="str">
        <f t="array" ref="L726">XLOOKUP(I726,customers_clean!$A$2:$A$701,customers_clean!$D$2:$D$701)</f>
        <v>Ethan Lopez</v>
      </c>
      <c r="M726" s="2" t="str">
        <f t="array" ref="M726">XLOOKUP(I726,customers_clean!$A$2:$A$701,customers_clean!$I$2:$I$701)</f>
        <v>ethan.lopez@example.com</v>
      </c>
      <c r="N726" s="10" t="str">
        <f t="array" ref="N726">XLOOKUP(I726,customers_clean!$A$2:$A$701,customers_clean!$H$2:$H$701)</f>
        <v>ethan.lopez@example.com</v>
      </c>
      <c r="O726" s="9" t="str">
        <f>IFERROR(__xludf.DUMMYFUNCTION("IF(REGEXMATCH(TRIM(N726),""^[A-Za-z0-9._%+-]+@[A-Za-z0-9.-]+\.[A-Za-z]{2,}$""),""✅ Valid"",""❌ Invalid"")"),"✅ Valid")</f>
        <v>✅ Valid</v>
      </c>
      <c r="P726" s="2" t="str">
        <f t="array" ref="P726">XLOOKUP(I726,customers_clean!$A$2:$A$701,customers_clean!$K$2:$K$701)</f>
        <v>145-380-0522</v>
      </c>
      <c r="Q726" s="10" t="str">
        <f t="array" ref="Q726">XLOOKUP(I726,customers_clean!$A$2:$A$701,customers_clean!$N$2:$N$701)</f>
        <v>1453800522</v>
      </c>
      <c r="R726" s="9" t="str">
        <f t="array" ref="R726">XLOOKUP(I726,customers_clean!$A$2:$A$701,customers_clean!$Q$2:$Q$701)</f>
        <v>❌ INVALID</v>
      </c>
      <c r="S726" s="10" t="s">
        <v>88</v>
      </c>
      <c r="T726" s="2" t="s">
        <v>59</v>
      </c>
      <c r="U726" s="2" t="s">
        <v>333</v>
      </c>
      <c r="V726" s="2" t="s">
        <v>756</v>
      </c>
      <c r="W726" s="9" t="str">
        <f t="array" ref="W726">IF(ISNA(XLOOKUP(V726,products_master_corrected!$A$2:$A$151,products_master_corrected!$A$2:$A$151, NA())),
    "❌ MISSING SKU", "✅")</f>
        <v>✅</v>
      </c>
      <c r="X726" s="2" t="s">
        <v>8737</v>
      </c>
      <c r="Y726" s="2" t="s">
        <v>30</v>
      </c>
      <c r="Z726" s="10" t="s">
        <v>179</v>
      </c>
      <c r="AA726" s="27">
        <v>1.0</v>
      </c>
      <c r="AB726" s="9" t="s">
        <v>8649</v>
      </c>
      <c r="AC726" s="28">
        <f t="array" ref="AC726">XLOOKUP(V726,products_master_corrected!$A$2:$A$151,products_master_corrected!$E$2:$E$151)</f>
        <v>61.04</v>
      </c>
      <c r="AD726" s="28">
        <f t="shared" si="85"/>
        <v>61.04</v>
      </c>
      <c r="AE726" s="28">
        <f t="array" ref="AE726">XLOOKUP(V726,products_master_corrected!$A$2:$A$151,products_master_corrected!$I$2:$I$151)</f>
        <v>67.29</v>
      </c>
      <c r="AF726" s="29">
        <f t="shared" si="86"/>
        <v>67.29</v>
      </c>
      <c r="AG726" s="32" t="s">
        <v>8660</v>
      </c>
      <c r="AH726" s="2" t="s">
        <v>143</v>
      </c>
      <c r="AI726" s="10" t="s">
        <v>143</v>
      </c>
      <c r="AJ726" s="2" t="s">
        <v>144</v>
      </c>
      <c r="AK726" s="10" t="s">
        <v>818</v>
      </c>
    </row>
    <row r="727" ht="15.75" customHeight="1">
      <c r="A727" s="2" t="s">
        <v>3474</v>
      </c>
      <c r="B727" s="12" t="s">
        <v>3475</v>
      </c>
      <c r="C727" s="2" t="str">
        <f>IFERROR(__xludf.DUMMYFUNCTION("IF(ISNUMBER(B727),TEXT(B727,""yyyy-MM-dd""),REGEXREPLACE(REGEXREPLACE(TO_TEXT(B727),""[^0-9a-zA-Z]+"",""-""),""[^0-9]*$"",""""))"),"06-13-2023-16-49")</f>
        <v>06-13-2023-16-49</v>
      </c>
      <c r="D727" s="2" t="str">
        <f>TEXT(C727,"yyyy-MM-dd")</f>
        <v>06-13-2023-16-49</v>
      </c>
      <c r="E727" s="12" t="str">
        <f>IFERROR(__xludf.DUMMYFUNCTION("REGEXEXTRACT(D727,""^\d{2}-\d{2}-\d{4}"")"),"06-13-2023")</f>
        <v>06-13-2023</v>
      </c>
      <c r="F727" s="2" t="str">
        <f>TEXT(E727,"yyyy-MM-dd")</f>
        <v>06-13-2023</v>
      </c>
      <c r="G727" s="2" t="s">
        <v>8924</v>
      </c>
      <c r="H727" s="10" t="s">
        <v>8924</v>
      </c>
      <c r="I727" s="2" t="s">
        <v>1250</v>
      </c>
      <c r="J727" s="26" t="str">
        <f t="array" ref="J727">IF(ISNA(XLOOKUP(I727,customers_clean!$A$2:$A$701,customers_clean!$A$2:$A$701, NA()) ),
   "❌ MISSING CUSTOMER", "✅")</f>
        <v>✅</v>
      </c>
      <c r="K727" s="2" t="str">
        <f t="array" ref="K727">XLOOKUP(I727,customers_clean!$A$2:$A$701,customers_clean!$C$2:$C$701)</f>
        <v> Ethan Lopez</v>
      </c>
      <c r="L727" s="10" t="str">
        <f t="array" ref="L727">XLOOKUP(I727,customers_clean!$A$2:$A$701,customers_clean!$D$2:$D$701)</f>
        <v>Ethan Lopez</v>
      </c>
      <c r="M727" s="2" t="str">
        <f t="array" ref="M727">XLOOKUP(I727,customers_clean!$A$2:$A$701,customers_clean!$I$2:$I$701)</f>
        <v>ethan.lopez@example.com</v>
      </c>
      <c r="N727" s="10" t="str">
        <f t="array" ref="N727">XLOOKUP(I727,customers_clean!$A$2:$A$701,customers_clean!$H$2:$H$701)</f>
        <v>ethan.lopez@example.com</v>
      </c>
      <c r="O727" s="9" t="str">
        <f>IFERROR(__xludf.DUMMYFUNCTION("IF(REGEXMATCH(TRIM(N727),""^[A-Za-z0-9._%+-]+@[A-Za-z0-9.-]+\.[A-Za-z]{2,}$""),""✅ Valid"",""❌ Invalid"")"),"✅ Valid")</f>
        <v>✅ Valid</v>
      </c>
      <c r="P727" s="2" t="str">
        <f t="array" ref="P727">XLOOKUP(I727,customers_clean!$A$2:$A$701,customers_clean!$K$2:$K$701)</f>
        <v>145-380-0522</v>
      </c>
      <c r="Q727" s="10" t="str">
        <f t="array" ref="Q727">XLOOKUP(I727,customers_clean!$A$2:$A$701,customers_clean!$N$2:$N$701)</f>
        <v>1453800522</v>
      </c>
      <c r="R727" s="9" t="str">
        <f t="array" ref="R727">XLOOKUP(I727,customers_clean!$A$2:$A$701,customers_clean!$Q$2:$Q$701)</f>
        <v>❌ INVALID</v>
      </c>
      <c r="S727" s="10" t="s">
        <v>88</v>
      </c>
      <c r="T727" s="2" t="s">
        <v>42</v>
      </c>
      <c r="U727" s="2" t="s">
        <v>43</v>
      </c>
      <c r="V727" s="2" t="s">
        <v>2680</v>
      </c>
      <c r="W727" s="9" t="str">
        <f t="array" ref="W727">IF(ISNA(XLOOKUP(V727,products_master_corrected!$A$2:$A$151,products_master_corrected!$A$2:$A$151, NA())),
    "❌ MISSING SKU", "✅")</f>
        <v>✅</v>
      </c>
      <c r="X727" s="2" t="s">
        <v>303</v>
      </c>
      <c r="Y727" s="2" t="s">
        <v>2421</v>
      </c>
      <c r="Z727" s="10" t="s">
        <v>248</v>
      </c>
      <c r="AA727" s="27">
        <v>1.0</v>
      </c>
      <c r="AB727" s="9" t="s">
        <v>8649</v>
      </c>
      <c r="AC727" s="28">
        <f t="array" ref="AC727">XLOOKUP(V727,products_master_corrected!$A$2:$A$151,products_master_corrected!$E$2:$E$151)</f>
        <v>121.47</v>
      </c>
      <c r="AD727" s="28">
        <f t="shared" si="85"/>
        <v>121.47</v>
      </c>
      <c r="AE727" s="28">
        <f t="array" ref="AE727">XLOOKUP(V727,products_master_corrected!$A$2:$A$151,products_master_corrected!$I$2:$I$151)</f>
        <v>133.91</v>
      </c>
      <c r="AF727" s="29">
        <f t="shared" si="86"/>
        <v>133.91</v>
      </c>
      <c r="AG727" s="32" t="s">
        <v>8660</v>
      </c>
      <c r="AH727" s="2" t="s">
        <v>131</v>
      </c>
      <c r="AI727" s="10" t="s">
        <v>181</v>
      </c>
      <c r="AJ727" s="2" t="s">
        <v>527</v>
      </c>
      <c r="AK727" s="10" t="s">
        <v>192</v>
      </c>
    </row>
    <row r="728" ht="15.75" customHeight="1">
      <c r="A728" s="2" t="s">
        <v>2292</v>
      </c>
      <c r="B728" s="12" t="s">
        <v>2293</v>
      </c>
      <c r="C728" s="2" t="str">
        <f>IFERROR(__xludf.DUMMYFUNCTION("IF(ISNUMBER(B728),TEXT(B728,""yyyy-MM-dd""),REGEXREPLACE(REGEXREPLACE(TO_TEXT(B728),""[^0-9a-zA-Z]+"",""-""),""[^0-9]*$"",""""))"),"04-12-2023")</f>
        <v>04-12-2023</v>
      </c>
      <c r="D728" s="2" t="s">
        <v>8770</v>
      </c>
      <c r="H728" s="10" t="s">
        <v>8770</v>
      </c>
      <c r="I728" s="2" t="s">
        <v>2294</v>
      </c>
      <c r="J728" s="26" t="str">
        <f t="array" ref="J728">IF(ISNA(XLOOKUP(I728,customers_clean!$A$2:$A$701,customers_clean!$A$2:$A$701, NA()) ),
   "❌ MISSING CUSTOMER", "✅")</f>
        <v>✅</v>
      </c>
      <c r="K728" s="2" t="str">
        <f t="array" ref="K728">XLOOKUP(I728,customers_clean!$A$2:$A$701,customers_clean!$C$2:$C$701)</f>
        <v> Igor Muller</v>
      </c>
      <c r="L728" s="10" t="str">
        <f t="array" ref="L728">XLOOKUP(I728,customers_clean!$A$2:$A$701,customers_clean!$D$2:$D$701)</f>
        <v>Igor Muller</v>
      </c>
      <c r="M728" s="2" t="str">
        <f t="array" ref="M728">XLOOKUP(I728,customers_clean!$A$2:$A$701,customers_clean!$I$2:$I$701)</f>
        <v>igor.muller@yahoo.com </v>
      </c>
      <c r="N728" s="10" t="str">
        <f t="array" ref="N728">XLOOKUP(I728,customers_clean!$A$2:$A$701,customers_clean!$H$2:$H$701)</f>
        <v>igor.muller@yahoo.com</v>
      </c>
      <c r="O728" s="9" t="str">
        <f>IFERROR(__xludf.DUMMYFUNCTION("IF(REGEXMATCH(TRIM(N728),""^[A-Za-z0-9._%+-]+@[A-Za-z0-9.-]+\.[A-Za-z]{2,}$""),""✅ Valid"",""❌ Invalid"")"),"✅ Valid")</f>
        <v>✅ Valid</v>
      </c>
      <c r="P728" s="2" t="str">
        <f t="array" ref="P728">XLOOKUP(I728,customers_clean!$A$2:$A$701,customers_clean!$K$2:$K$701)</f>
        <v>5x340585089 ext 55</v>
      </c>
      <c r="Q728" s="10" t="str">
        <f t="array" ref="Q728">XLOOKUP(I728,customers_clean!$A$2:$A$701,customers_clean!$N$2:$N$701)</f>
        <v>5340585089</v>
      </c>
      <c r="R728" s="9" t="str">
        <f t="array" ref="R728">XLOOKUP(I728,customers_clean!$A$2:$A$701,customers_clean!$Q$2:$Q$701)</f>
        <v>❌ INVALID</v>
      </c>
      <c r="S728" s="10" t="s">
        <v>58</v>
      </c>
      <c r="T728" s="2" t="s">
        <v>42</v>
      </c>
      <c r="U728" s="2" t="s">
        <v>116</v>
      </c>
      <c r="V728" s="2" t="s">
        <v>792</v>
      </c>
      <c r="W728" s="9" t="str">
        <f t="array" ref="W728">IF(ISNA(XLOOKUP(V728,products_master_corrected!$A$2:$A$151,products_master_corrected!$A$2:$A$151, NA())),
    "❌ MISSING SKU", "✅")</f>
        <v>✅</v>
      </c>
      <c r="X728" s="2" t="s">
        <v>768</v>
      </c>
      <c r="Y728" s="2" t="s">
        <v>742</v>
      </c>
      <c r="Z728" s="10" t="s">
        <v>355</v>
      </c>
      <c r="AA728" s="27">
        <v>1.0</v>
      </c>
      <c r="AB728" s="9" t="s">
        <v>8649</v>
      </c>
      <c r="AC728" s="28">
        <f t="array" ref="AC728">XLOOKUP(V728,products_master_corrected!$A$2:$A$151,products_master_corrected!$E$2:$E$151)</f>
        <v>20.12</v>
      </c>
      <c r="AD728" s="28">
        <f t="shared" si="85"/>
        <v>20.12</v>
      </c>
      <c r="AE728" s="28">
        <f t="array" ref="AE728">XLOOKUP(V728,products_master_corrected!$A$2:$A$151,products_master_corrected!$G$2:$G$151)</f>
        <v>23.03</v>
      </c>
      <c r="AF728" s="29">
        <f t="shared" si="86"/>
        <v>23.03</v>
      </c>
      <c r="AG728" s="32" t="s">
        <v>8663</v>
      </c>
      <c r="AH728" s="2" t="s">
        <v>181</v>
      </c>
      <c r="AI728" s="10" t="s">
        <v>181</v>
      </c>
      <c r="AJ728" s="2" t="s">
        <v>294</v>
      </c>
      <c r="AK728" s="10" t="s">
        <v>80</v>
      </c>
      <c r="AL728" s="2" t="s">
        <v>51</v>
      </c>
    </row>
    <row r="729" ht="15.75" customHeight="1">
      <c r="A729" s="2" t="s">
        <v>4808</v>
      </c>
      <c r="B729" s="12" t="s">
        <v>4809</v>
      </c>
      <c r="C729" s="2" t="str">
        <f>IFERROR(__xludf.DUMMYFUNCTION("IF(ISNUMBER(B729),TEXT(B729,""yyyy-MM-dd""),REGEXREPLACE(REGEXREPLACE(TO_TEXT(B729),""[^0-9a-zA-Z]+"",""-""),""[^0-9]*$"",""""))"),"24-02-2025")</f>
        <v>24-02-2025</v>
      </c>
      <c r="D729" s="2" t="s">
        <v>8605</v>
      </c>
      <c r="H729" s="10" t="s">
        <v>8605</v>
      </c>
      <c r="I729" s="2" t="s">
        <v>4810</v>
      </c>
      <c r="J729" s="26" t="str">
        <f t="array" ref="J729">IF(ISNA(XLOOKUP(I729,customers_clean!$A$2:$A$701,customers_clean!$A$2:$A$701, NA()) ),
   "❌ MISSING CUSTOMER", "✅")</f>
        <v>✅</v>
      </c>
      <c r="K729" s="2" t="str">
        <f t="array" ref="K729">XLOOKUP(I729,customers_clean!$A$2:$A$701,customers_clean!$C$2:$C$701)</f>
        <v>Lia Novak </v>
      </c>
      <c r="L729" s="10" t="str">
        <f t="array" ref="L729">XLOOKUP(I729,customers_clean!$A$2:$A$701,customers_clean!$D$2:$D$701)</f>
        <v>Lia Novak</v>
      </c>
      <c r="M729" s="2" t="str">
        <f t="array" ref="M729">XLOOKUP(I729,customers_clean!$A$2:$A$701,customers_clean!$I$2:$I$701)</f>
        <v>lia.novak@outlook.com</v>
      </c>
      <c r="N729" s="10" t="str">
        <f t="array" ref="N729">XLOOKUP(I729,customers_clean!$A$2:$A$701,customers_clean!$H$2:$H$701)</f>
        <v>lia.novak@outlook.com</v>
      </c>
      <c r="O729" s="9" t="str">
        <f>IFERROR(__xludf.DUMMYFUNCTION("IF(REGEXMATCH(TRIM(N729),""^[A-Za-z0-9._%+-]+@[A-Za-z0-9.-]+\.[A-Za-z]{2,}$""),""✅ Valid"",""❌ Invalid"")"),"✅ Valid")</f>
        <v>✅ Valid</v>
      </c>
      <c r="P729" s="2">
        <f t="array" ref="P729">XLOOKUP(I729,customers_clean!$A$2:$A$701,customers_clean!$K$2:$K$701)</f>
        <v>3539845315896</v>
      </c>
      <c r="Q729" s="10" t="str">
        <f t="array" ref="Q729">XLOOKUP(I729,customers_clean!$A$2:$A$701,customers_clean!$N$2:$N$701)</f>
        <v>9845315896</v>
      </c>
      <c r="R729" s="9" t="str">
        <f t="array" ref="R729">XLOOKUP(I729,customers_clean!$A$2:$A$701,customers_clean!$Q$2:$Q$701)</f>
        <v>❌ INVALID</v>
      </c>
      <c r="S729" s="10" t="s">
        <v>25</v>
      </c>
      <c r="T729" s="2" t="s">
        <v>223</v>
      </c>
      <c r="U729" s="2" t="s">
        <v>480</v>
      </c>
      <c r="V729" s="2" t="s">
        <v>1137</v>
      </c>
      <c r="W729" s="9" t="str">
        <f t="array" ref="W729">IF(ISNA(XLOOKUP(V729,products_master_corrected!$A$2:$A$151,products_master_corrected!$A$2:$A$151, NA())),
    "❌ MISSING SKU", "✅")</f>
        <v>✅</v>
      </c>
      <c r="X729" s="2" t="s">
        <v>1138</v>
      </c>
      <c r="Y729" s="2" t="s">
        <v>30</v>
      </c>
      <c r="Z729" s="10" t="s">
        <v>179</v>
      </c>
      <c r="AA729" s="27">
        <v>2.0</v>
      </c>
      <c r="AB729" s="9" t="s">
        <v>8649</v>
      </c>
      <c r="AC729" s="28">
        <f t="array" ref="AC729">XLOOKUP(V729,products_master_corrected!$A$2:$A$151,products_master_corrected!$E$2:$E$151)</f>
        <v>305.43</v>
      </c>
      <c r="AD729" s="28">
        <f t="shared" si="85"/>
        <v>610.86</v>
      </c>
      <c r="AE729" s="28">
        <f t="array" ref="AE729">XLOOKUP(V729,products_master_corrected!$A$2:$A$151,products_master_corrected!$K$2:$K$151)</f>
        <v>1571.44</v>
      </c>
      <c r="AF729" s="29">
        <f t="shared" si="86"/>
        <v>3142.88</v>
      </c>
      <c r="AG729" s="30" t="s">
        <v>95</v>
      </c>
      <c r="AH729" s="2" t="s">
        <v>4815</v>
      </c>
      <c r="AI729" s="10" t="s">
        <v>181</v>
      </c>
      <c r="AJ729" s="2" t="s">
        <v>80</v>
      </c>
      <c r="AK729" s="10" t="s">
        <v>80</v>
      </c>
      <c r="AL729" s="2" t="s">
        <v>67</v>
      </c>
    </row>
    <row r="730" ht="15.75" customHeight="1">
      <c r="A730" s="2" t="s">
        <v>4209</v>
      </c>
      <c r="B730" s="12">
        <v>45868.0</v>
      </c>
      <c r="C730" s="2" t="str">
        <f>IFERROR(__xludf.DUMMYFUNCTION("IF(ISNUMBER(B730),TEXT(B730,""yyyy-MM-dd""),REGEXREPLACE(REGEXREPLACE(TO_TEXT(B730),""[^0-9a-zA-Z]+"",""-""),""[^0-9]*$"",""""))"),"2025-07-30")</f>
        <v>2025-07-30</v>
      </c>
      <c r="D730" s="2" t="s">
        <v>7999</v>
      </c>
      <c r="H730" s="10" t="s">
        <v>7999</v>
      </c>
      <c r="I730" s="2" t="s">
        <v>1082</v>
      </c>
      <c r="J730" s="26" t="str">
        <f t="array" ref="J730">IF(ISNA(XLOOKUP(I730,customers_clean!$A$2:$A$701,customers_clean!$A$2:$A$701, NA()) ),
   "❌ MISSING CUSTOMER", "✅")</f>
        <v>✅</v>
      </c>
      <c r="K730" s="2" t="str">
        <f t="array" ref="K730">XLOOKUP(I730,customers_clean!$A$2:$A$701,customers_clean!$C$2:$C$701)</f>
        <v>Uma Khan</v>
      </c>
      <c r="L730" s="10" t="str">
        <f t="array" ref="L730">XLOOKUP(I730,customers_clean!$A$2:$A$701,customers_clean!$D$2:$D$701)</f>
        <v>Uma Khan</v>
      </c>
      <c r="M730" s="2" t="str">
        <f t="array" ref="M730">XLOOKUP(I730,customers_clean!$A$2:$A$701,customers_clean!$I$2:$I$701)</f>
        <v>Uma.Khan@Yahoo.Com</v>
      </c>
      <c r="N730" s="10" t="str">
        <f t="array" ref="N730">XLOOKUP(I730,customers_clean!$A$2:$A$701,customers_clean!$H$2:$H$701)</f>
        <v>uma.khan@yahoo.com</v>
      </c>
      <c r="O730" s="9" t="str">
        <f>IFERROR(__xludf.DUMMYFUNCTION("IF(REGEXMATCH(TRIM(N730),""^[A-Za-z0-9._%+-]+@[A-Za-z0-9.-]+\.[A-Za-z]{2,}$""),""✅ Valid"",""❌ Invalid"")"),"✅ Valid")</f>
        <v>✅ Valid</v>
      </c>
      <c r="P730" s="2" t="str">
        <f t="array" ref="P730">XLOOKUP(I730,customers_clean!$A$2:$A$701,customers_clean!$K$2:$K$701)</f>
        <v>+33-561-9911</v>
      </c>
      <c r="Q730" s="10" t="str">
        <f t="array" ref="Q730">XLOOKUP(I730,customers_clean!$A$2:$A$701,customers_clean!$N$2:$N$701)</f>
        <v>5619911</v>
      </c>
      <c r="R730" s="9" t="str">
        <f t="array" ref="R730">XLOOKUP(I730,customers_clean!$A$2:$A$701,customers_clean!$Q$2:$Q$701)</f>
        <v>❌ INVALID</v>
      </c>
      <c r="S730" s="31" t="s">
        <v>671</v>
      </c>
      <c r="T730" s="2" t="s">
        <v>115</v>
      </c>
      <c r="U730" s="2" t="s">
        <v>176</v>
      </c>
      <c r="V730" s="2" t="s">
        <v>740</v>
      </c>
      <c r="W730" s="9" t="str">
        <f t="array" ref="W730">IF(ISNA(XLOOKUP(V730,products_master_corrected!$A$2:$A$151,products_master_corrected!$A$2:$A$151, NA())),
    "❌ MISSING SKU", "✅")</f>
        <v>✅</v>
      </c>
      <c r="X730" s="2" t="s">
        <v>741</v>
      </c>
      <c r="Y730" s="2" t="s">
        <v>742</v>
      </c>
      <c r="Z730" s="10" t="s">
        <v>355</v>
      </c>
      <c r="AA730" s="27">
        <v>5.0</v>
      </c>
      <c r="AB730" s="9" t="s">
        <v>8649</v>
      </c>
      <c r="AC730" s="28">
        <f t="array" ref="AC730">XLOOKUP(V730,products_master_corrected!$A$2:$A$151,products_master_corrected!$E$2:$E$151)</f>
        <v>35.77</v>
      </c>
      <c r="AD730" s="28">
        <f t="shared" si="85"/>
        <v>178.85</v>
      </c>
      <c r="AE730" s="28">
        <f t="array" ref="AE730">XLOOKUP(V730,products_master_corrected!$A$2:$A$151,products_master_corrected!$J$2:$J$151)</f>
        <v>41.72</v>
      </c>
      <c r="AF730" s="29">
        <f t="shared" si="86"/>
        <v>208.6</v>
      </c>
      <c r="AG730" s="32" t="s">
        <v>8656</v>
      </c>
      <c r="AH730" s="2" t="s">
        <v>204</v>
      </c>
      <c r="AI730" s="10" t="s">
        <v>143</v>
      </c>
      <c r="AJ730" s="2" t="s">
        <v>4212</v>
      </c>
      <c r="AK730" s="10" t="s">
        <v>192</v>
      </c>
      <c r="AL730" s="2" t="s">
        <v>81</v>
      </c>
    </row>
    <row r="731" ht="15.75" customHeight="1">
      <c r="A731" s="2" t="s">
        <v>1080</v>
      </c>
      <c r="B731" s="12" t="s">
        <v>1081</v>
      </c>
      <c r="C731" s="2" t="str">
        <f>IFERROR(__xludf.DUMMYFUNCTION("IF(ISNUMBER(B731),TEXT(B731,""yyyy-MM-dd""),REGEXREPLACE(REGEXREPLACE(TO_TEXT(B731),""[^0-9a-zA-Z]+"",""-""),""[^0-9]*$"",""""))"),"28-05-2025")</f>
        <v>28-05-2025</v>
      </c>
      <c r="D731" s="2" t="s">
        <v>8783</v>
      </c>
      <c r="H731" s="10" t="s">
        <v>8783</v>
      </c>
      <c r="I731" s="2" t="s">
        <v>1082</v>
      </c>
      <c r="J731" s="26" t="str">
        <f t="array" ref="J731">IF(ISNA(XLOOKUP(I731,customers_clean!$A$2:$A$701,customers_clean!$A$2:$A$701, NA()) ),
   "❌ MISSING CUSTOMER", "✅")</f>
        <v>✅</v>
      </c>
      <c r="K731" s="2" t="str">
        <f t="array" ref="K731">XLOOKUP(I731,customers_clean!$A$2:$A$701,customers_clean!$C$2:$C$701)</f>
        <v>Uma Khan</v>
      </c>
      <c r="L731" s="10" t="str">
        <f t="array" ref="L731">XLOOKUP(I731,customers_clean!$A$2:$A$701,customers_clean!$D$2:$D$701)</f>
        <v>Uma Khan</v>
      </c>
      <c r="M731" s="2" t="str">
        <f t="array" ref="M731">XLOOKUP(I731,customers_clean!$A$2:$A$701,customers_clean!$I$2:$I$701)</f>
        <v>Uma.Khan@Yahoo.Com</v>
      </c>
      <c r="N731" s="10" t="str">
        <f t="array" ref="N731">XLOOKUP(I731,customers_clean!$A$2:$A$701,customers_clean!$H$2:$H$701)</f>
        <v>uma.khan@yahoo.com</v>
      </c>
      <c r="O731" s="9" t="str">
        <f>IFERROR(__xludf.DUMMYFUNCTION("IF(REGEXMATCH(TRIM(N731),""^[A-Za-z0-9._%+-]+@[A-Za-z0-9.-]+\.[A-Za-z]{2,}$""),""✅ Valid"",""❌ Invalid"")"),"✅ Valid")</f>
        <v>✅ Valid</v>
      </c>
      <c r="P731" s="2" t="str">
        <f t="array" ref="P731">XLOOKUP(I731,customers_clean!$A$2:$A$701,customers_clean!$K$2:$K$701)</f>
        <v>+33-561-9911</v>
      </c>
      <c r="Q731" s="10" t="str">
        <f t="array" ref="Q731">XLOOKUP(I731,customers_clean!$A$2:$A$701,customers_clean!$N$2:$N$701)</f>
        <v>5619911</v>
      </c>
      <c r="R731" s="9" t="str">
        <f t="array" ref="R731">XLOOKUP(I731,customers_clean!$A$2:$A$701,customers_clean!$Q$2:$Q$701)</f>
        <v>❌ INVALID</v>
      </c>
      <c r="S731" s="31" t="s">
        <v>671</v>
      </c>
      <c r="T731" s="2" t="s">
        <v>152</v>
      </c>
      <c r="U731" s="2" t="s">
        <v>289</v>
      </c>
      <c r="V731" s="2" t="s">
        <v>1085</v>
      </c>
      <c r="W731" s="9" t="str">
        <f t="array" ref="W731">IF(ISNA(XLOOKUP(V731,products_master_corrected!$A$2:$A$151,products_master_corrected!$A$2:$A$151, NA())),
    "❌ MISSING SKU", "✅")</f>
        <v>✅</v>
      </c>
      <c r="X731" s="2" t="s">
        <v>29</v>
      </c>
      <c r="Y731" s="2" t="s">
        <v>368</v>
      </c>
      <c r="Z731" s="10" t="s">
        <v>368</v>
      </c>
      <c r="AA731" s="27">
        <v>1.0</v>
      </c>
      <c r="AB731" s="9" t="s">
        <v>8649</v>
      </c>
      <c r="AC731" s="28">
        <f t="array" ref="AC731">XLOOKUP(V731,products_master_corrected!$A$2:$A$151,products_master_corrected!$E$2:$E$151)</f>
        <v>171.42</v>
      </c>
      <c r="AD731" s="28">
        <f t="shared" si="85"/>
        <v>171.42</v>
      </c>
      <c r="AE731" s="28">
        <f t="array" ref="AE731">XLOOKUP(V731,products_master_corrected!$A$2:$A$151,products_master_corrected!$J$2:$J$151)</f>
        <v>199.93</v>
      </c>
      <c r="AF731" s="29">
        <f t="shared" si="86"/>
        <v>199.93</v>
      </c>
      <c r="AG731" s="32" t="s">
        <v>8656</v>
      </c>
      <c r="AH731" s="2" t="s">
        <v>49</v>
      </c>
      <c r="AI731" s="10" t="s">
        <v>49</v>
      </c>
      <c r="AJ731" s="2" t="s">
        <v>80</v>
      </c>
      <c r="AK731" s="10" t="s">
        <v>80</v>
      </c>
    </row>
    <row r="732" ht="15.75" customHeight="1">
      <c r="A732" s="2" t="s">
        <v>1154</v>
      </c>
      <c r="B732" s="12" t="s">
        <v>1155</v>
      </c>
      <c r="C732" s="2" t="str">
        <f>IFERROR(__xludf.DUMMYFUNCTION("IF(ISNUMBER(B732),TEXT(B732,""yyyy-MM-dd""),REGEXREPLACE(REGEXREPLACE(TO_TEXT(B732),""[^0-9a-zA-Z]+"",""-""),""[^0-9]*$"",""""))"),"45862-07-23")</f>
        <v>45862-07-23</v>
      </c>
      <c r="D732" s="2" t="str">
        <f t="shared" ref="D732:D733" si="87">TEXT(C732,"yyyy-MM-dd")</f>
        <v>45862-07-23</v>
      </c>
      <c r="E732" s="25" t="str">
        <f>CONCATENATE(LEFT(D732,5))</f>
        <v>45862</v>
      </c>
      <c r="F732" s="12">
        <f>DATE(1900,1,1) + E732 - 1</f>
        <v>45863</v>
      </c>
      <c r="G732" s="2" t="s">
        <v>8925</v>
      </c>
      <c r="H732" s="10" t="s">
        <v>8925</v>
      </c>
      <c r="I732" s="2" t="s">
        <v>1082</v>
      </c>
      <c r="J732" s="26" t="str">
        <f t="array" ref="J732">IF(ISNA(XLOOKUP(I732,customers_clean!$A$2:$A$701,customers_clean!$A$2:$A$701, NA()) ),
   "❌ MISSING CUSTOMER", "✅")</f>
        <v>✅</v>
      </c>
      <c r="K732" s="2" t="str">
        <f t="array" ref="K732">XLOOKUP(I732,customers_clean!$A$2:$A$701,customers_clean!$C$2:$C$701)</f>
        <v>Uma Khan</v>
      </c>
      <c r="L732" s="10" t="str">
        <f t="array" ref="L732">XLOOKUP(I732,customers_clean!$A$2:$A$701,customers_clean!$D$2:$D$701)</f>
        <v>Uma Khan</v>
      </c>
      <c r="M732" s="2" t="str">
        <f t="array" ref="M732">XLOOKUP(I732,customers_clean!$A$2:$A$701,customers_clean!$I$2:$I$701)</f>
        <v>Uma.Khan@Yahoo.Com</v>
      </c>
      <c r="N732" s="10" t="str">
        <f t="array" ref="N732">XLOOKUP(I732,customers_clean!$A$2:$A$701,customers_clean!$H$2:$H$701)</f>
        <v>uma.khan@yahoo.com</v>
      </c>
      <c r="O732" s="9" t="str">
        <f>IFERROR(__xludf.DUMMYFUNCTION("IF(REGEXMATCH(TRIM(N732),""^[A-Za-z0-9._%+-]+@[A-Za-z0-9.-]+\.[A-Za-z]{2,}$""),""✅ Valid"",""❌ Invalid"")"),"✅ Valid")</f>
        <v>✅ Valid</v>
      </c>
      <c r="P732" s="2" t="str">
        <f t="array" ref="P732">XLOOKUP(I732,customers_clean!$A$2:$A$701,customers_clean!$K$2:$K$701)</f>
        <v>+33-561-9911</v>
      </c>
      <c r="Q732" s="10" t="str">
        <f t="array" ref="Q732">XLOOKUP(I732,customers_clean!$A$2:$A$701,customers_clean!$N$2:$N$701)</f>
        <v>5619911</v>
      </c>
      <c r="R732" s="9" t="str">
        <f t="array" ref="R732">XLOOKUP(I732,customers_clean!$A$2:$A$701,customers_clean!$Q$2:$Q$701)</f>
        <v>❌ INVALID</v>
      </c>
      <c r="S732" s="31" t="s">
        <v>671</v>
      </c>
      <c r="T732" s="2" t="s">
        <v>460</v>
      </c>
      <c r="U732" s="2" t="s">
        <v>500</v>
      </c>
      <c r="V732" s="2" t="s">
        <v>279</v>
      </c>
      <c r="W732" s="9" t="str">
        <f t="array" ref="W732">IF(ISNA(XLOOKUP(V732,products_master_corrected!$A$2:$A$151,products_master_corrected!$A$2:$A$151, NA())),
    "❌ MISSING SKU", "✅")</f>
        <v>✅</v>
      </c>
      <c r="X732" s="2" t="s">
        <v>280</v>
      </c>
      <c r="Y732" s="2" t="s">
        <v>281</v>
      </c>
      <c r="Z732" s="10" t="s">
        <v>248</v>
      </c>
      <c r="AA732" s="27">
        <v>2.0</v>
      </c>
      <c r="AB732" s="9" t="s">
        <v>8649</v>
      </c>
      <c r="AC732" s="28">
        <f t="array" ref="AC732">XLOOKUP(V732,products_master_corrected!$A$2:$A$151,products_master_corrected!$E$2:$E$151)</f>
        <v>95.88</v>
      </c>
      <c r="AD732" s="28">
        <f t="shared" si="85"/>
        <v>191.76</v>
      </c>
      <c r="AE732" s="28">
        <f t="array" ref="AE732">XLOOKUP(V732,products_master_corrected!$A$2:$A$151,products_master_corrected!$J$2:$J$151)</f>
        <v>111.82</v>
      </c>
      <c r="AF732" s="29">
        <f t="shared" si="86"/>
        <v>223.64</v>
      </c>
      <c r="AG732" s="32" t="s">
        <v>8656</v>
      </c>
      <c r="AH732" s="2" t="s">
        <v>66</v>
      </c>
      <c r="AI732" s="10" t="s">
        <v>66</v>
      </c>
      <c r="AJ732" s="2" t="s">
        <v>294</v>
      </c>
      <c r="AK732" s="10" t="s">
        <v>80</v>
      </c>
    </row>
    <row r="733" ht="15.75" customHeight="1">
      <c r="A733" s="2" t="s">
        <v>5340</v>
      </c>
      <c r="B733" s="12" t="s">
        <v>5341</v>
      </c>
      <c r="C733" s="2" t="str">
        <f>IFERROR(__xludf.DUMMYFUNCTION("IF(ISNUMBER(B733),TEXT(B733,""yyyy-MM-dd""),REGEXREPLACE(REGEXREPLACE(TO_TEXT(B733),""[^0-9a-zA-Z]+"",""-""),""[^0-9]*$"",""""))"),"16-01-2024-15-19")</f>
        <v>16-01-2024-15-19</v>
      </c>
      <c r="D733" s="2" t="str">
        <f t="shared" si="87"/>
        <v>16-01-2024-15-19</v>
      </c>
      <c r="E733" s="12" t="str">
        <f>IFERROR(__xludf.DUMMYFUNCTION("REGEXEXTRACT(D733,""^\d{2}-\d{2}-\d{4}"")"),"16-01-2024")</f>
        <v>16-01-2024</v>
      </c>
      <c r="F733" s="2" t="s">
        <v>8833</v>
      </c>
      <c r="H733" s="10" t="s">
        <v>8833</v>
      </c>
      <c r="I733" s="2" t="s">
        <v>5342</v>
      </c>
      <c r="J733" s="26" t="str">
        <f t="array" ref="J733">IF(ISNA(XLOOKUP(I733,customers_clean!$A$2:$A$701,customers_clean!$A$2:$A$701, NA()) ),
   "❌ MISSING CUSTOMER", "✅")</f>
        <v>✅</v>
      </c>
      <c r="K733" s="2" t="str">
        <f t="array" ref="K733">XLOOKUP(I733,customers_clean!$A$2:$A$701,customers_clean!$C$2:$C$701)</f>
        <v>Bella Williams</v>
      </c>
      <c r="L733" s="10" t="str">
        <f t="array" ref="L733">XLOOKUP(I733,customers_clean!$A$2:$A$701,customers_clean!$D$2:$D$701)</f>
        <v>Bella Williams</v>
      </c>
      <c r="M733" s="2" t="str">
        <f t="array" ref="M733">XLOOKUP(I733,customers_clean!$A$2:$A$701,customers_clean!$I$2:$I$701)</f>
        <v>bella.williams@example.com</v>
      </c>
      <c r="N733" s="10" t="str">
        <f t="array" ref="N733">XLOOKUP(I733,customers_clean!$A$2:$A$701,customers_clean!$H$2:$H$701)</f>
        <v>bella.williams@example.com</v>
      </c>
      <c r="O733" s="9" t="str">
        <f>IFERROR(__xludf.DUMMYFUNCTION("IF(REGEXMATCH(TRIM(N733),""^[A-Za-z0-9._%+-]+@[A-Za-z0-9.-]+\.[A-Za-z]{2,}$""),""✅ Valid"",""❌ Invalid"")"),"✅ Valid")</f>
        <v>✅ Valid</v>
      </c>
      <c r="P733" s="2" t="str">
        <f t="array" ref="P733">XLOOKUP(I733,customers_clean!$A$2:$A$701,customers_clean!$K$2:$K$701)</f>
        <v>+33916256410</v>
      </c>
      <c r="Q733" s="10" t="str">
        <f t="array" ref="Q733">XLOOKUP(I733,customers_clean!$A$2:$A$701,customers_clean!$N$2:$N$701)</f>
        <v>916256410</v>
      </c>
      <c r="R733" s="9" t="str">
        <f t="array" ref="R733">XLOOKUP(I733,customers_clean!$A$2:$A$701,customers_clean!$Q$2:$Q$701)</f>
        <v>❌ INVALID</v>
      </c>
      <c r="S733" s="31" t="s">
        <v>671</v>
      </c>
      <c r="T733" s="2" t="s">
        <v>210</v>
      </c>
      <c r="U733" s="2" t="s">
        <v>176</v>
      </c>
      <c r="V733" s="2" t="s">
        <v>3596</v>
      </c>
      <c r="W733" s="9" t="str">
        <f t="array" ref="W733">IF(ISNA(XLOOKUP(V733,products_master_corrected!$A$2:$A$151,products_master_corrected!$A$2:$A$151, NA())),
    "❌ MISSING SKU", "✅")</f>
        <v>✅</v>
      </c>
      <c r="X733" s="2" t="s">
        <v>3597</v>
      </c>
      <c r="Y733" s="2" t="s">
        <v>63</v>
      </c>
      <c r="Z733" s="10" t="s">
        <v>63</v>
      </c>
      <c r="AA733" s="27">
        <v>1.0</v>
      </c>
      <c r="AB733" s="9" t="s">
        <v>8649</v>
      </c>
      <c r="AC733" s="28">
        <f t="array" ref="AC733">XLOOKUP(V733,products_master_corrected!$A$2:$A$151,products_master_corrected!$E$2:$E$151)</f>
        <v>160.36</v>
      </c>
      <c r="AD733" s="28">
        <f t="shared" si="85"/>
        <v>160.36</v>
      </c>
      <c r="AE733" s="28">
        <f t="array" ref="AE733">XLOOKUP(V733,products_master_corrected!$A$2:$A$151,products_master_corrected!$J$2:$J$151)</f>
        <v>187.03</v>
      </c>
      <c r="AF733" s="29">
        <f t="shared" si="86"/>
        <v>187.03</v>
      </c>
      <c r="AG733" s="32" t="s">
        <v>8656</v>
      </c>
      <c r="AH733" s="2" t="s">
        <v>49</v>
      </c>
      <c r="AI733" s="10" t="s">
        <v>49</v>
      </c>
      <c r="AJ733" s="2" t="s">
        <v>120</v>
      </c>
      <c r="AK733" s="10" t="s">
        <v>818</v>
      </c>
      <c r="AL733" s="2" t="s">
        <v>81</v>
      </c>
    </row>
    <row r="734" ht="15.75" customHeight="1">
      <c r="A734" s="2" t="s">
        <v>5443</v>
      </c>
      <c r="B734" s="12">
        <v>45795.0</v>
      </c>
      <c r="C734" s="2" t="str">
        <f>IFERROR(__xludf.DUMMYFUNCTION("IF(ISNUMBER(B734),TEXT(B734,""yyyy-MM-dd""),REGEXREPLACE(REGEXREPLACE(TO_TEXT(B734),""[^0-9a-zA-Z]+"",""-""),""[^0-9]*$"",""""))"),"2025-05-18")</f>
        <v>2025-05-18</v>
      </c>
      <c r="D734" s="2" t="s">
        <v>7887</v>
      </c>
      <c r="H734" s="10" t="s">
        <v>7887</v>
      </c>
      <c r="I734" s="2" t="s">
        <v>667</v>
      </c>
      <c r="J734" s="26" t="str">
        <f t="array" ref="J734">IF(ISNA(XLOOKUP(I734,customers_clean!$A$2:$A$701,customers_clean!$A$2:$A$701, NA()) ),
   "❌ MISSING CUSTOMER", "✅")</f>
        <v>✅</v>
      </c>
      <c r="K734" s="2" t="str">
        <f t="array" ref="K734">XLOOKUP(I734,customers_clean!$A$2:$A$701,customers_clean!$C$2:$C$701)</f>
        <v>Xenia Gacria </v>
      </c>
      <c r="L734" s="10" t="str">
        <f t="array" ref="L734">XLOOKUP(I734,customers_clean!$A$2:$A$701,customers_clean!$D$2:$D$701)</f>
        <v>Xenia Garcia</v>
      </c>
      <c r="M734" s="2" t="str">
        <f t="array" ref="M734">XLOOKUP(I734,customers_clean!$A$2:$A$701,customers_clean!$I$2:$I$701)</f>
        <v>xenia.garcia@hsop.io</v>
      </c>
      <c r="N734" s="10" t="str">
        <f t="array" ref="N734">XLOOKUP(I734,customers_clean!$A$2:$A$701,customers_clean!$H$2:$H$701)</f>
        <v>xenia.garcia@hsop.io</v>
      </c>
      <c r="O734" s="9" t="str">
        <f>IFERROR(__xludf.DUMMYFUNCTION("IF(REGEXMATCH(TRIM(N734),""^[A-Za-z0-9._%+-]+@[A-Za-z0-9.-]+\.[A-Za-z]{2,}$""),""✅ Valid"",""❌ Invalid"")"),"✅ Valid")</f>
        <v>✅ Valid</v>
      </c>
      <c r="P734" s="2" t="str">
        <f t="array" ref="P734">XLOOKUP(I734,customers_clean!$A$2:$A$701,customers_clean!$K$2:$K$701)</f>
        <v>(554) 9089277</v>
      </c>
      <c r="Q734" s="10" t="str">
        <f t="array" ref="Q734">XLOOKUP(I734,customers_clean!$A$2:$A$701,customers_clean!$N$2:$N$701)</f>
        <v>5549089277</v>
      </c>
      <c r="R734" s="9" t="str">
        <f t="array" ref="R734">XLOOKUP(I734,customers_clean!$A$2:$A$701,customers_clean!$Q$2:$Q$701)</f>
        <v>❌ INVALID</v>
      </c>
      <c r="S734" s="31" t="s">
        <v>671</v>
      </c>
      <c r="T734" s="2" t="s">
        <v>115</v>
      </c>
      <c r="U734" s="2" t="s">
        <v>43</v>
      </c>
      <c r="V734" s="2" t="s">
        <v>2273</v>
      </c>
      <c r="W734" s="9" t="str">
        <f t="array" ref="W734">IF(ISNA(XLOOKUP(V734,products_master_corrected!$A$2:$A$151,products_master_corrected!$A$2:$A$151, NA())),
    "❌ MISSING SKU", "✅")</f>
        <v>✅</v>
      </c>
      <c r="X734" s="2" t="s">
        <v>2274</v>
      </c>
      <c r="Y734" s="2" t="s">
        <v>1328</v>
      </c>
      <c r="Z734" s="10" t="s">
        <v>179</v>
      </c>
      <c r="AA734" s="27">
        <v>1.0</v>
      </c>
      <c r="AB734" s="9" t="s">
        <v>8649</v>
      </c>
      <c r="AC734" s="28">
        <f t="array" ref="AC734">XLOOKUP(V734,products_master_corrected!$A$2:$A$151,products_master_corrected!$E$2:$E$151)</f>
        <v>142.55</v>
      </c>
      <c r="AD734" s="28">
        <f t="shared" si="85"/>
        <v>142.55</v>
      </c>
      <c r="AE734" s="28">
        <f t="array" ref="AE734">XLOOKUP(V734,products_master_corrected!$A$2:$A$151,products_master_corrected!$J$2:$J$151)</f>
        <v>166.26</v>
      </c>
      <c r="AF734" s="29">
        <f t="shared" si="86"/>
        <v>166.26</v>
      </c>
      <c r="AG734" s="32" t="s">
        <v>8656</v>
      </c>
      <c r="AH734" s="2" t="s">
        <v>181</v>
      </c>
      <c r="AI734" s="10" t="s">
        <v>181</v>
      </c>
      <c r="AJ734" s="2" t="s">
        <v>818</v>
      </c>
      <c r="AK734" s="10" t="s">
        <v>818</v>
      </c>
      <c r="AL734" s="2" t="s">
        <v>133</v>
      </c>
    </row>
    <row r="735" ht="15.75" customHeight="1">
      <c r="A735" s="2" t="s">
        <v>665</v>
      </c>
      <c r="B735" s="12" t="s">
        <v>666</v>
      </c>
      <c r="C735" s="2" t="str">
        <f>IFERROR(__xludf.DUMMYFUNCTION("IF(ISNUMBER(B735),TEXT(B735,""yyyy-MM-dd""),REGEXREPLACE(REGEXREPLACE(TO_TEXT(B735),""[^0-9a-zA-Z]+"",""-""),""[^0-9]*$"",""""))"),"45334-17-06")</f>
        <v>45334-17-06</v>
      </c>
      <c r="D735" s="2" t="str">
        <f>TEXT(C735,"yyyy-MM-dd")</f>
        <v>45334-17-06</v>
      </c>
      <c r="E735" s="25" t="str">
        <f>CONCATENATE(LEFT(D735,5))</f>
        <v>45334</v>
      </c>
      <c r="F735" s="12">
        <f>DATE(1900,1,1) + E735 - 1</f>
        <v>45335</v>
      </c>
      <c r="G735" s="2" t="s">
        <v>8774</v>
      </c>
      <c r="H735" s="10" t="s">
        <v>8774</v>
      </c>
      <c r="I735" s="2" t="s">
        <v>667</v>
      </c>
      <c r="J735" s="26" t="str">
        <f t="array" ref="J735">IF(ISNA(XLOOKUP(I735,customers_clean!$A$2:$A$701,customers_clean!$A$2:$A$701, NA()) ),
   "❌ MISSING CUSTOMER", "✅")</f>
        <v>✅</v>
      </c>
      <c r="K735" s="2" t="str">
        <f t="array" ref="K735">XLOOKUP(I735,customers_clean!$A$2:$A$701,customers_clean!$C$2:$C$701)</f>
        <v>Xenia Gacria </v>
      </c>
      <c r="L735" s="10" t="str">
        <f t="array" ref="L735">XLOOKUP(I735,customers_clean!$A$2:$A$701,customers_clean!$D$2:$D$701)</f>
        <v>Xenia Garcia</v>
      </c>
      <c r="M735" s="2" t="str">
        <f t="array" ref="M735">XLOOKUP(I735,customers_clean!$A$2:$A$701,customers_clean!$I$2:$I$701)</f>
        <v>xenia.garcia@hsop.io</v>
      </c>
      <c r="N735" s="10" t="str">
        <f t="array" ref="N735">XLOOKUP(I735,customers_clean!$A$2:$A$701,customers_clean!$H$2:$H$701)</f>
        <v>xenia.garcia@hsop.io</v>
      </c>
      <c r="O735" s="9" t="str">
        <f>IFERROR(__xludf.DUMMYFUNCTION("IF(REGEXMATCH(TRIM(N735),""^[A-Za-z0-9._%+-]+@[A-Za-z0-9.-]+\.[A-Za-z]{2,}$""),""✅ Valid"",""❌ Invalid"")"),"✅ Valid")</f>
        <v>✅ Valid</v>
      </c>
      <c r="P735" s="2" t="str">
        <f t="array" ref="P735">XLOOKUP(I735,customers_clean!$A$2:$A$701,customers_clean!$K$2:$K$701)</f>
        <v>(554) 9089277</v>
      </c>
      <c r="Q735" s="10" t="str">
        <f t="array" ref="Q735">XLOOKUP(I735,customers_clean!$A$2:$A$701,customers_clean!$N$2:$N$701)</f>
        <v>5549089277</v>
      </c>
      <c r="R735" s="9" t="str">
        <f t="array" ref="R735">XLOOKUP(I735,customers_clean!$A$2:$A$701,customers_clean!$Q$2:$Q$701)</f>
        <v>❌ INVALID</v>
      </c>
      <c r="S735" s="31" t="s">
        <v>671</v>
      </c>
      <c r="T735" s="2" t="s">
        <v>672</v>
      </c>
      <c r="U735" s="2" t="s">
        <v>211</v>
      </c>
      <c r="V735" s="2" t="s">
        <v>673</v>
      </c>
      <c r="W735" s="9" t="str">
        <f t="array" ref="W735">IF(ISNA(XLOOKUP(V735,products_master_corrected!$A$2:$A$151,products_master_corrected!$A$2:$A$151, NA())),
    "❌ MISSING SKU", "✅")</f>
        <v>✅</v>
      </c>
      <c r="X735" s="2" t="s">
        <v>259</v>
      </c>
      <c r="Y735" s="2" t="s">
        <v>674</v>
      </c>
      <c r="Z735" s="10" t="s">
        <v>514</v>
      </c>
      <c r="AA735" s="27"/>
      <c r="AB735" s="9" t="s">
        <v>8677</v>
      </c>
      <c r="AC735" s="34"/>
      <c r="AD735" s="34"/>
      <c r="AE735" s="34"/>
      <c r="AF735" s="35"/>
      <c r="AG735" s="36" t="s">
        <v>32</v>
      </c>
      <c r="AH735" s="2" t="s">
        <v>131</v>
      </c>
      <c r="AI735" s="10" t="s">
        <v>181</v>
      </c>
      <c r="AJ735" s="2" t="s">
        <v>676</v>
      </c>
      <c r="AK735" s="10" t="s">
        <v>80</v>
      </c>
      <c r="AL735" s="2" t="s">
        <v>81</v>
      </c>
    </row>
    <row r="736" ht="15.75" customHeight="1">
      <c r="A736" s="2" t="s">
        <v>1157</v>
      </c>
      <c r="B736" s="12">
        <v>45734.0</v>
      </c>
      <c r="C736" s="2" t="str">
        <f>IFERROR(__xludf.DUMMYFUNCTION("IF(ISNUMBER(B736),TEXT(B736,""yyyy-MM-dd""),REGEXREPLACE(REGEXREPLACE(TO_TEXT(B736),""[^0-9a-zA-Z]+"",""-""),""[^0-9]*$"",""""))"),"2025-03-18")</f>
        <v>2025-03-18</v>
      </c>
      <c r="D736" s="2" t="s">
        <v>8293</v>
      </c>
      <c r="H736" s="10" t="s">
        <v>8293</v>
      </c>
      <c r="I736" s="2" t="s">
        <v>1159</v>
      </c>
      <c r="J736" s="26" t="str">
        <f t="array" ref="J736">IF(ISNA(XLOOKUP(I736,customers_clean!$A$2:$A$701,customers_clean!$A$2:$A$701, NA()) ),
   "❌ MISSING CUSTOMER", "✅")</f>
        <v>✅</v>
      </c>
      <c r="K736" s="2" t="str">
        <f t="array" ref="K736">XLOOKUP(I736,customers_clean!$A$2:$A$701,customers_clean!$C$2:$C$701)</f>
        <v>FIONA RODRIGUEZ </v>
      </c>
      <c r="L736" s="10" t="str">
        <f t="array" ref="L736">XLOOKUP(I736,customers_clean!$A$2:$A$701,customers_clean!$D$2:$D$701)</f>
        <v>Fiona Rodriguez</v>
      </c>
      <c r="M736" s="2" t="str">
        <f t="array" ref="M736">XLOOKUP(I736,customers_clean!$A$2:$A$701,customers_clean!$I$2:$I$701)</f>
        <v>fioan.rodriguez@yahoo.com</v>
      </c>
      <c r="N736" s="10" t="str">
        <f t="array" ref="N736">XLOOKUP(I736,customers_clean!$A$2:$A$701,customers_clean!$H$2:$H$701)</f>
        <v>fioan.rodriguez@yahoo.com</v>
      </c>
      <c r="O736" s="9" t="str">
        <f>IFERROR(__xludf.DUMMYFUNCTION("IF(REGEXMATCH(TRIM(N736),""^[A-Za-z0-9._%+-]+@[A-Za-z0-9.-]+\.[A-Za-z]{2,}$""),""✅ Valid"",""❌ Invalid"")"),"✅ Valid")</f>
        <v>✅ Valid</v>
      </c>
      <c r="P736" s="2" t="str">
        <f t="array" ref="P736">XLOOKUP(I736,customers_clean!$A$2:$A$701,customers_clean!$K$2:$K$701)</f>
        <v>+39-683-519263</v>
      </c>
      <c r="Q736" s="10" t="str">
        <f t="array" ref="Q736">XLOOKUP(I736,customers_clean!$A$2:$A$701,customers_clean!$N$2:$N$701)</f>
        <v>683519263</v>
      </c>
      <c r="R736" s="9" t="str">
        <f t="array" ref="R736">XLOOKUP(I736,customers_clean!$A$2:$A$701,customers_clean!$Q$2:$Q$701)</f>
        <v>❌ INVALID</v>
      </c>
      <c r="S736" s="10" t="s">
        <v>88</v>
      </c>
      <c r="T736" s="2" t="s">
        <v>1163</v>
      </c>
      <c r="U736" s="2" t="s">
        <v>176</v>
      </c>
      <c r="V736" s="2" t="s">
        <v>258</v>
      </c>
      <c r="W736" s="9" t="str">
        <f t="array" ref="W736">IF(ISNA(XLOOKUP(V736,products_master_corrected!$A$2:$A$151,products_master_corrected!$A$2:$A$151, NA())),
    "❌ MISSING SKU", "✅")</f>
        <v>✅</v>
      </c>
      <c r="X736" s="2" t="s">
        <v>259</v>
      </c>
      <c r="Y736" s="2" t="s">
        <v>214</v>
      </c>
      <c r="Z736" s="10" t="s">
        <v>368</v>
      </c>
      <c r="AA736" s="27"/>
      <c r="AB736" s="9" t="s">
        <v>8677</v>
      </c>
      <c r="AC736" s="34"/>
      <c r="AD736" s="34"/>
      <c r="AE736" s="34"/>
      <c r="AF736" s="35"/>
      <c r="AG736" s="36" t="s">
        <v>32</v>
      </c>
      <c r="AH736" s="2" t="s">
        <v>49</v>
      </c>
      <c r="AI736" s="10" t="s">
        <v>49</v>
      </c>
      <c r="AJ736" s="2" t="s">
        <v>251</v>
      </c>
      <c r="AK736" s="10" t="s">
        <v>192</v>
      </c>
      <c r="AL736" s="2" t="s">
        <v>81</v>
      </c>
    </row>
    <row r="737" ht="15.75" customHeight="1">
      <c r="A737" s="2" t="s">
        <v>5966</v>
      </c>
      <c r="B737" s="12" t="s">
        <v>5967</v>
      </c>
      <c r="C737" s="2" t="str">
        <f>IFERROR(__xludf.DUMMYFUNCTION("IF(ISNUMBER(B737),TEXT(B737,""yyyy-MM-dd""),REGEXREPLACE(REGEXREPLACE(TO_TEXT(B737),""[^0-9a-zA-Z]+"",""-""),""[^0-9]*$"",""""))"),"22-12-2023")</f>
        <v>22-12-2023</v>
      </c>
      <c r="D737" s="2" t="s">
        <v>8698</v>
      </c>
      <c r="H737" s="10" t="s">
        <v>8698</v>
      </c>
      <c r="I737" s="2" t="s">
        <v>2159</v>
      </c>
      <c r="J737" s="26" t="str">
        <f t="array" ref="J737">IF(ISNA(XLOOKUP(I737,customers_clean!$A$2:$A$701,customers_clean!$A$2:$A$701, NA()) ),
   "❌ MISSING CUSTOMER", "✅")</f>
        <v>✅</v>
      </c>
      <c r="K737" s="2" t="str">
        <f t="array" ref="K737">XLOOKUP(I737,customers_clean!$A$2:$A$701,customers_clean!$C$2:$C$701)</f>
        <v>FIONA RODRIGUEZ</v>
      </c>
      <c r="L737" s="10" t="str">
        <f t="array" ref="L737">XLOOKUP(I737,customers_clean!$A$2:$A$701,customers_clean!$D$2:$D$701)</f>
        <v>Fiona Rodriguez</v>
      </c>
      <c r="M737" s="2" t="str">
        <f t="array" ref="M737">XLOOKUP(I737,customers_clean!$A$2:$A$701,customers_clean!$I$2:$I$701)</f>
        <v>fioan.rodriguez@yahoo.com</v>
      </c>
      <c r="N737" s="10" t="str">
        <f t="array" ref="N737">XLOOKUP(I737,customers_clean!$A$2:$A$701,customers_clean!$H$2:$H$701)</f>
        <v>fioan.rodriguez@yahoo.com</v>
      </c>
      <c r="O737" s="9" t="str">
        <f>IFERROR(__xludf.DUMMYFUNCTION("IF(REGEXMATCH(TRIM(N737),""^[A-Za-z0-9._%+-]+@[A-Za-z0-9.-]+\.[A-Za-z]{2,}$""),""✅ Valid"",""❌ Invalid"")"),"✅ Valid")</f>
        <v>✅ Valid</v>
      </c>
      <c r="P737" s="2">
        <f t="array" ref="P737">XLOOKUP(I737,customers_clean!$A$2:$A$701,customers_clean!$K$2:$K$701)</f>
        <v>25614435</v>
      </c>
      <c r="Q737" s="10" t="str">
        <f t="array" ref="Q737">XLOOKUP(I737,customers_clean!$A$2:$A$701,customers_clean!$N$2:$N$701)</f>
        <v>25614435</v>
      </c>
      <c r="R737" s="9" t="str">
        <f t="array" ref="R737">XLOOKUP(I737,customers_clean!$A$2:$A$701,customers_clean!$Q$2:$Q$701)</f>
        <v>❌ INVALID</v>
      </c>
      <c r="S737" s="31" t="s">
        <v>671</v>
      </c>
      <c r="T737" s="2" t="s">
        <v>400</v>
      </c>
      <c r="U737" s="2" t="s">
        <v>480</v>
      </c>
      <c r="V737" s="2" t="s">
        <v>1085</v>
      </c>
      <c r="W737" s="9" t="str">
        <f t="array" ref="W737">IF(ISNA(XLOOKUP(V737,products_master_corrected!$A$2:$A$151,products_master_corrected!$A$2:$A$151, NA())),
    "❌ MISSING SKU", "✅")</f>
        <v>✅</v>
      </c>
      <c r="X737" s="2" t="s">
        <v>29</v>
      </c>
      <c r="Y737" s="2" t="s">
        <v>368</v>
      </c>
      <c r="Z737" s="10" t="s">
        <v>368</v>
      </c>
      <c r="AA737" s="27">
        <v>1.0</v>
      </c>
      <c r="AB737" s="9" t="s">
        <v>8649</v>
      </c>
      <c r="AC737" s="28">
        <f t="array" ref="AC737">XLOOKUP(V737,products_master_corrected!$A$2:$A$151,products_master_corrected!$E$2:$E$151)</f>
        <v>171.42</v>
      </c>
      <c r="AD737" s="28">
        <f t="shared" ref="AD737:AD816" si="88">AA737*AC737</f>
        <v>171.42</v>
      </c>
      <c r="AE737" s="28">
        <f t="array" ref="AE737">XLOOKUP(V737,products_master_corrected!$A$2:$A$151,products_master_corrected!$J$2:$J$151)</f>
        <v>199.93</v>
      </c>
      <c r="AF737" s="29">
        <f t="shared" ref="AF737:AF816" si="89">AA737*AE737</f>
        <v>199.93</v>
      </c>
      <c r="AG737" s="32" t="s">
        <v>8656</v>
      </c>
      <c r="AH737" s="2" t="s">
        <v>143</v>
      </c>
      <c r="AI737" s="10" t="s">
        <v>143</v>
      </c>
      <c r="AJ737" s="2" t="s">
        <v>80</v>
      </c>
      <c r="AK737" s="10" t="s">
        <v>80</v>
      </c>
      <c r="AL737" s="2" t="s">
        <v>51</v>
      </c>
    </row>
    <row r="738" ht="15.75" customHeight="1">
      <c r="A738" s="2" t="s">
        <v>2157</v>
      </c>
      <c r="B738" s="12">
        <v>45435.100694444445</v>
      </c>
      <c r="C738" s="2" t="str">
        <f>IFERROR(__xludf.DUMMYFUNCTION("IF(ISNUMBER(B738),TEXT(B738,""yyyy-MM-dd""),REGEXREPLACE(REGEXREPLACE(TO_TEXT(B738),""[^0-9a-zA-Z]+"",""-""),""[^0-9]*$"",""""))"),"2024-05-23")</f>
        <v>2024-05-23</v>
      </c>
      <c r="D738" s="2" t="s">
        <v>8926</v>
      </c>
      <c r="H738" s="10" t="s">
        <v>8926</v>
      </c>
      <c r="I738" s="2" t="s">
        <v>2159</v>
      </c>
      <c r="J738" s="26" t="str">
        <f t="array" ref="J738">IF(ISNA(XLOOKUP(I738,customers_clean!$A$2:$A$701,customers_clean!$A$2:$A$701, NA()) ),
   "❌ MISSING CUSTOMER", "✅")</f>
        <v>✅</v>
      </c>
      <c r="K738" s="2" t="str">
        <f t="array" ref="K738">XLOOKUP(I738,customers_clean!$A$2:$A$701,customers_clean!$C$2:$C$701)</f>
        <v>FIONA RODRIGUEZ</v>
      </c>
      <c r="L738" s="10" t="str">
        <f t="array" ref="L738">XLOOKUP(I738,customers_clean!$A$2:$A$701,customers_clean!$D$2:$D$701)</f>
        <v>Fiona Rodriguez</v>
      </c>
      <c r="M738" s="2" t="str">
        <f t="array" ref="M738">XLOOKUP(I738,customers_clean!$A$2:$A$701,customers_clean!$I$2:$I$701)</f>
        <v>fioan.rodriguez@yahoo.com</v>
      </c>
      <c r="N738" s="10" t="str">
        <f t="array" ref="N738">XLOOKUP(I738,customers_clean!$A$2:$A$701,customers_clean!$H$2:$H$701)</f>
        <v>fioan.rodriguez@yahoo.com</v>
      </c>
      <c r="O738" s="9" t="str">
        <f>IFERROR(__xludf.DUMMYFUNCTION("IF(REGEXMATCH(TRIM(N738),""^[A-Za-z0-9._%+-]+@[A-Za-z0-9.-]+\.[A-Za-z]{2,}$""),""✅ Valid"",""❌ Invalid"")"),"✅ Valid")</f>
        <v>✅ Valid</v>
      </c>
      <c r="P738" s="2">
        <f t="array" ref="P738">XLOOKUP(I738,customers_clean!$A$2:$A$701,customers_clean!$K$2:$K$701)</f>
        <v>25614435</v>
      </c>
      <c r="Q738" s="10" t="str">
        <f t="array" ref="Q738">XLOOKUP(I738,customers_clean!$A$2:$A$701,customers_clean!$N$2:$N$701)</f>
        <v>25614435</v>
      </c>
      <c r="R738" s="9" t="str">
        <f t="array" ref="R738">XLOOKUP(I738,customers_clean!$A$2:$A$701,customers_clean!$Q$2:$Q$701)</f>
        <v>❌ INVALID</v>
      </c>
      <c r="S738" s="31" t="s">
        <v>671</v>
      </c>
      <c r="T738" s="2" t="s">
        <v>42</v>
      </c>
      <c r="U738" s="2" t="s">
        <v>522</v>
      </c>
      <c r="V738" s="2" t="s">
        <v>673</v>
      </c>
      <c r="W738" s="9" t="str">
        <f t="array" ref="W738">IF(ISNA(XLOOKUP(V738,products_master_corrected!$A$2:$A$151,products_master_corrected!$A$2:$A$151, NA())),
    "❌ MISSING SKU", "✅")</f>
        <v>✅</v>
      </c>
      <c r="X738" s="2" t="s">
        <v>259</v>
      </c>
      <c r="Y738" s="2" t="s">
        <v>674</v>
      </c>
      <c r="Z738" s="10" t="s">
        <v>514</v>
      </c>
      <c r="AA738" s="27">
        <v>1.0</v>
      </c>
      <c r="AB738" s="9" t="s">
        <v>8649</v>
      </c>
      <c r="AC738" s="28">
        <f t="array" ref="AC738">XLOOKUP(V738,products_master_corrected!$A$2:$A$151,products_master_corrected!$E$2:$E$151)</f>
        <v>38.5</v>
      </c>
      <c r="AD738" s="28">
        <f t="shared" si="88"/>
        <v>38.5</v>
      </c>
      <c r="AE738" s="28">
        <f t="array" ref="AE738">XLOOKUP(V738,products_master_corrected!$A$2:$A$151,products_master_corrected!$J$2:$J$151)</f>
        <v>44.9</v>
      </c>
      <c r="AF738" s="29">
        <f t="shared" si="89"/>
        <v>44.9</v>
      </c>
      <c r="AG738" s="32" t="s">
        <v>8656</v>
      </c>
      <c r="AH738" s="2" t="s">
        <v>66</v>
      </c>
      <c r="AI738" s="10" t="s">
        <v>66</v>
      </c>
      <c r="AJ738" s="2" t="s">
        <v>294</v>
      </c>
      <c r="AK738" s="10" t="s">
        <v>80</v>
      </c>
      <c r="AL738" s="2" t="s">
        <v>133</v>
      </c>
    </row>
    <row r="739" ht="15.75" customHeight="1">
      <c r="A739" s="2" t="s">
        <v>2803</v>
      </c>
      <c r="B739" s="12">
        <v>45213.0</v>
      </c>
      <c r="C739" s="2" t="str">
        <f>IFERROR(__xludf.DUMMYFUNCTION("IF(ISNUMBER(B739),TEXT(B739,""yyyy-MM-dd""),REGEXREPLACE(REGEXREPLACE(TO_TEXT(B739),""[^0-9a-zA-Z]+"",""-""),""[^0-9]*$"",""""))"),"2023-10-14")</f>
        <v>2023-10-14</v>
      </c>
      <c r="D739" s="2" t="s">
        <v>8087</v>
      </c>
      <c r="H739" s="10" t="s">
        <v>8087</v>
      </c>
      <c r="I739" s="2" t="s">
        <v>2159</v>
      </c>
      <c r="J739" s="26" t="str">
        <f t="array" ref="J739">IF(ISNA(XLOOKUP(I739,customers_clean!$A$2:$A$701,customers_clean!$A$2:$A$701, NA()) ),
   "❌ MISSING CUSTOMER", "✅")</f>
        <v>✅</v>
      </c>
      <c r="K739" s="2" t="str">
        <f t="array" ref="K739">XLOOKUP(I739,customers_clean!$A$2:$A$701,customers_clean!$C$2:$C$701)</f>
        <v>FIONA RODRIGUEZ</v>
      </c>
      <c r="L739" s="10" t="str">
        <f t="array" ref="L739">XLOOKUP(I739,customers_clean!$A$2:$A$701,customers_clean!$D$2:$D$701)</f>
        <v>Fiona Rodriguez</v>
      </c>
      <c r="M739" s="2" t="str">
        <f t="array" ref="M739">XLOOKUP(I739,customers_clean!$A$2:$A$701,customers_clean!$I$2:$I$701)</f>
        <v>fioan.rodriguez@yahoo.com</v>
      </c>
      <c r="N739" s="10" t="str">
        <f t="array" ref="N739">XLOOKUP(I739,customers_clean!$A$2:$A$701,customers_clean!$H$2:$H$701)</f>
        <v>fioan.rodriguez@yahoo.com</v>
      </c>
      <c r="O739" s="9" t="str">
        <f>IFERROR(__xludf.DUMMYFUNCTION("IF(REGEXMATCH(TRIM(N739),""^[A-Za-z0-9._%+-]+@[A-Za-z0-9.-]+\.[A-Za-z]{2,}$""),""✅ Valid"",""❌ Invalid"")"),"✅ Valid")</f>
        <v>✅ Valid</v>
      </c>
      <c r="P739" s="2">
        <f t="array" ref="P739">XLOOKUP(I739,customers_clean!$A$2:$A$701,customers_clean!$K$2:$K$701)</f>
        <v>25614435</v>
      </c>
      <c r="Q739" s="10" t="str">
        <f t="array" ref="Q739">XLOOKUP(I739,customers_clean!$A$2:$A$701,customers_clean!$N$2:$N$701)</f>
        <v>25614435</v>
      </c>
      <c r="R739" s="9" t="str">
        <f t="array" ref="R739">XLOOKUP(I739,customers_clean!$A$2:$A$701,customers_clean!$Q$2:$Q$701)</f>
        <v>❌ INVALID</v>
      </c>
      <c r="S739" s="31" t="s">
        <v>671</v>
      </c>
      <c r="T739" s="2" t="s">
        <v>26</v>
      </c>
      <c r="U739" s="2" t="s">
        <v>211</v>
      </c>
      <c r="V739" s="2" t="s">
        <v>889</v>
      </c>
      <c r="W739" s="9" t="str">
        <f t="array" ref="W739">IF(ISNA(XLOOKUP(V739,products_master_corrected!$A$2:$A$151,products_master_corrected!$A$2:$A$151, NA())),
    "❌ MISSING SKU", "✅")</f>
        <v>✅</v>
      </c>
      <c r="X739" s="2" t="s">
        <v>804</v>
      </c>
      <c r="Y739" s="2" t="s">
        <v>179</v>
      </c>
      <c r="Z739" s="10" t="s">
        <v>179</v>
      </c>
      <c r="AA739" s="27">
        <v>1.0</v>
      </c>
      <c r="AB739" s="9" t="s">
        <v>8649</v>
      </c>
      <c r="AC739" s="28">
        <f t="array" ref="AC739">XLOOKUP(V739,products_master_corrected!$A$2:$A$151,products_master_corrected!$E$2:$E$151)</f>
        <v>16.72</v>
      </c>
      <c r="AD739" s="28">
        <f t="shared" si="88"/>
        <v>16.72</v>
      </c>
      <c r="AE739" s="28">
        <f t="array" ref="AE739">XLOOKUP(V739,products_master_corrected!$A$2:$A$151,products_master_corrected!$J$2:$J$151)</f>
        <v>19.5</v>
      </c>
      <c r="AF739" s="29">
        <f t="shared" si="89"/>
        <v>19.5</v>
      </c>
      <c r="AG739" s="32" t="s">
        <v>8656</v>
      </c>
      <c r="AH739" s="2" t="s">
        <v>143</v>
      </c>
      <c r="AI739" s="10" t="s">
        <v>143</v>
      </c>
      <c r="AJ739" s="2" t="s">
        <v>345</v>
      </c>
      <c r="AK739" s="10" t="s">
        <v>261</v>
      </c>
      <c r="AL739" s="2" t="s">
        <v>133</v>
      </c>
    </row>
    <row r="740" ht="15.75" customHeight="1">
      <c r="A740" s="2" t="s">
        <v>4460</v>
      </c>
      <c r="B740" s="12" t="s">
        <v>4461</v>
      </c>
      <c r="C740" s="2" t="str">
        <f>IFERROR(__xludf.DUMMYFUNCTION("IF(ISNUMBER(B740),TEXT(B740,""yyyy-MM-dd""),REGEXREPLACE(REGEXREPLACE(TO_TEXT(B740),""[^0-9a-zA-Z]+"",""-""),""[^0-9]*$"",""""))"),"06-15-2023")</f>
        <v>06-15-2023</v>
      </c>
      <c r="D740" s="2" t="str">
        <f>TEXT(C740,"yyyy-MM-dd")</f>
        <v>06-15-2023</v>
      </c>
      <c r="E740" s="2" t="s">
        <v>8927</v>
      </c>
      <c r="H740" s="10" t="s">
        <v>8927</v>
      </c>
      <c r="I740" s="2" t="s">
        <v>4462</v>
      </c>
      <c r="J740" s="26" t="str">
        <f t="array" ref="J740">IF(ISNA(XLOOKUP(I740,customers_clean!$A$2:$A$701,customers_clean!$A$2:$A$701, NA()) ),
   "❌ MISSING CUSTOMER", "✅")</f>
        <v>✅</v>
      </c>
      <c r="K740" s="2" t="str">
        <f t="array" ref="K740">XLOOKUP(I740,customers_clean!$A$2:$A$701,customers_clean!$C$2:$C$701)</f>
        <v>tEhan Young </v>
      </c>
      <c r="L740" s="10" t="str">
        <f t="array" ref="L740">XLOOKUP(I740,customers_clean!$A$2:$A$701,customers_clean!$D$2:$D$701)</f>
        <v>Ethan Young</v>
      </c>
      <c r="M740" s="2" t="str">
        <f t="array" ref="M740">XLOOKUP(I740,customers_clean!$A$2:$A$701,customers_clean!$I$2:$I$701)</f>
        <v>Ethan.Young@Yahoo.Com</v>
      </c>
      <c r="N740" s="10" t="str">
        <f t="array" ref="N740">XLOOKUP(I740,customers_clean!$A$2:$A$701,customers_clean!$H$2:$H$701)</f>
        <v>ethan.young@yahoo.com</v>
      </c>
      <c r="O740" s="9" t="str">
        <f>IFERROR(__xludf.DUMMYFUNCTION("IF(REGEXMATCH(TRIM(N740),""^[A-Za-z0-9._%+-]+@[A-Za-z0-9.-]+\.[A-Za-z]{2,}$""),""✅ Valid"",""❌ Invalid"")"),"✅ Valid")</f>
        <v>✅ Valid</v>
      </c>
      <c r="P740" s="2" t="str">
        <f t="array" ref="P740">XLOOKUP(I740,customers_clean!$A$2:$A$701,customers_clean!$K$2:$K$701)</f>
        <v>+39 2911 0674</v>
      </c>
      <c r="Q740" s="10" t="str">
        <f t="array" ref="Q740">XLOOKUP(I740,customers_clean!$A$2:$A$701,customers_clean!$N$2:$N$701)</f>
        <v>29110674</v>
      </c>
      <c r="R740" s="9" t="str">
        <f t="array" ref="R740">XLOOKUP(I740,customers_clean!$A$2:$A$701,customers_clean!$Q$2:$Q$701)</f>
        <v>❌ INVALID</v>
      </c>
      <c r="S740" s="31" t="s">
        <v>671</v>
      </c>
      <c r="T740" s="2" t="s">
        <v>2519</v>
      </c>
      <c r="U740" s="2" t="s">
        <v>480</v>
      </c>
      <c r="V740" s="2" t="s">
        <v>402</v>
      </c>
      <c r="W740" s="9" t="str">
        <f t="array" ref="W740">IF(ISNA(XLOOKUP(V740,products_master_corrected!$A$2:$A$151,products_master_corrected!$A$2:$A$151, NA())),
    "❌ MISSING SKU", "✅")</f>
        <v>✅</v>
      </c>
      <c r="X740" s="2" t="s">
        <v>403</v>
      </c>
      <c r="Y740" s="2" t="s">
        <v>404</v>
      </c>
      <c r="Z740" s="10" t="s">
        <v>248</v>
      </c>
      <c r="AA740" s="27">
        <v>1.0</v>
      </c>
      <c r="AB740" s="9" t="s">
        <v>8649</v>
      </c>
      <c r="AC740" s="28">
        <f t="array" ref="AC740">XLOOKUP(V740,products_master_corrected!$A$2:$A$151,products_master_corrected!$E$2:$E$151)</f>
        <v>20.48</v>
      </c>
      <c r="AD740" s="28">
        <f t="shared" si="88"/>
        <v>20.48</v>
      </c>
      <c r="AE740" s="28">
        <f t="array" ref="AE740">XLOOKUP(V740,products_master_corrected!$A$2:$A$151,products_master_corrected!$J$2:$J$151)</f>
        <v>23.89</v>
      </c>
      <c r="AF740" s="29">
        <f t="shared" si="89"/>
        <v>23.89</v>
      </c>
      <c r="AG740" s="32" t="s">
        <v>8656</v>
      </c>
      <c r="AH740" s="2" t="s">
        <v>96</v>
      </c>
      <c r="AI740" s="10" t="s">
        <v>143</v>
      </c>
      <c r="AJ740" s="2" t="s">
        <v>144</v>
      </c>
      <c r="AK740" s="10" t="s">
        <v>818</v>
      </c>
      <c r="AL740" s="2" t="s">
        <v>81</v>
      </c>
    </row>
    <row r="741" ht="15.75" customHeight="1">
      <c r="A741" s="2" t="s">
        <v>2820</v>
      </c>
      <c r="B741" s="12">
        <v>45595.0</v>
      </c>
      <c r="C741" s="2" t="str">
        <f>IFERROR(__xludf.DUMMYFUNCTION("IF(ISNUMBER(B741),TEXT(B741,""yyyy-MM-dd""),REGEXREPLACE(REGEXREPLACE(TO_TEXT(B741),""[^0-9a-zA-Z]+"",""-""),""[^0-9]*$"",""""))"),"2024-10-30")</f>
        <v>2024-10-30</v>
      </c>
      <c r="D741" s="2" t="s">
        <v>8674</v>
      </c>
      <c r="H741" s="10" t="s">
        <v>8674</v>
      </c>
      <c r="I741" s="2" t="s">
        <v>2822</v>
      </c>
      <c r="J741" s="26" t="str">
        <f t="array" ref="J741">IF(ISNA(XLOOKUP(I741,customers_clean!$A$2:$A$701,customers_clean!$A$2:$A$701, NA()) ),
   "❌ MISSING CUSTOMER", "✅")</f>
        <v>✅</v>
      </c>
      <c r="K741" s="2" t="str">
        <f t="array" ref="K741">XLOOKUP(I741,customers_clean!$A$2:$A$701,customers_clean!$C$2:$C$701)</f>
        <v>Wiktor  Nowak</v>
      </c>
      <c r="L741" s="10" t="str">
        <f t="array" ref="L741">XLOOKUP(I741,customers_clean!$A$2:$A$701,customers_clean!$D$2:$D$701)</f>
        <v>Wiktor Nowak</v>
      </c>
      <c r="M741" s="2" t="str">
        <f t="array" ref="M741">XLOOKUP(I741,customers_clean!$A$2:$A$701,customers_clean!$I$2:$I$701)</f>
        <v>WIKTOR.NOWAK@SHOP.IO</v>
      </c>
      <c r="N741" s="10" t="str">
        <f t="array" ref="N741">XLOOKUP(I741,customers_clean!$A$2:$A$701,customers_clean!$H$2:$H$701)</f>
        <v>wiktor.nowak@shop.io</v>
      </c>
      <c r="O741" s="9" t="str">
        <f>IFERROR(__xludf.DUMMYFUNCTION("IF(REGEXMATCH(TRIM(N741),""^[A-Za-z0-9._%+-]+@[A-Za-z0-9.-]+\.[A-Za-z]{2,}$""),""✅ Valid"",""❌ Invalid"")"),"✅ Valid")</f>
        <v>✅ Valid</v>
      </c>
      <c r="P741" s="2" t="str">
        <f t="array" ref="P741">XLOOKUP(I741,customers_clean!$A$2:$A$701,customers_clean!$K$2:$K$701)</f>
        <v>846x823076</v>
      </c>
      <c r="Q741" s="10" t="str">
        <f t="array" ref="Q741">XLOOKUP(I741,customers_clean!$A$2:$A$701,customers_clean!$N$2:$N$701)</f>
        <v>846823076</v>
      </c>
      <c r="R741" s="9" t="str">
        <f t="array" ref="R741">XLOOKUP(I741,customers_clean!$A$2:$A$701,customers_clean!$Q$2:$Q$701)</f>
        <v>❌ INVALID</v>
      </c>
      <c r="S741" s="10" t="s">
        <v>608</v>
      </c>
      <c r="T741" s="2" t="s">
        <v>1167</v>
      </c>
      <c r="U741" s="2" t="s">
        <v>103</v>
      </c>
      <c r="V741" s="2" t="s">
        <v>2420</v>
      </c>
      <c r="W741" s="9" t="str">
        <f t="array" ref="W741">IF(ISNA(XLOOKUP(V741,products_master_corrected!$A$2:$A$151,products_master_corrected!$A$2:$A$151, NA())),
    "❌ MISSING SKU", "✅")</f>
        <v>✅</v>
      </c>
      <c r="X741" s="2" t="s">
        <v>804</v>
      </c>
      <c r="Y741" s="2" t="s">
        <v>2421</v>
      </c>
      <c r="Z741" s="10" t="s">
        <v>248</v>
      </c>
      <c r="AA741" s="27">
        <v>1.0</v>
      </c>
      <c r="AB741" s="9" t="s">
        <v>8649</v>
      </c>
      <c r="AC741" s="28">
        <f t="array" ref="AC741">XLOOKUP(V741,products_master_corrected!$A$2:$A$151,products_master_corrected!$E$2:$E$151)</f>
        <v>21.44</v>
      </c>
      <c r="AD741" s="28">
        <f t="shared" si="88"/>
        <v>21.44</v>
      </c>
      <c r="AE741" s="28">
        <f t="array" ref="AE741">XLOOKUP(V741,products_master_corrected!$A$2:$A$151,products_master_corrected!$H$2:$H$151)</f>
        <v>24.09</v>
      </c>
      <c r="AF741" s="29">
        <f t="shared" si="89"/>
        <v>24.09</v>
      </c>
      <c r="AG741" s="32" t="s">
        <v>8658</v>
      </c>
      <c r="AH741" s="2" t="s">
        <v>96</v>
      </c>
      <c r="AI741" s="10" t="s">
        <v>143</v>
      </c>
      <c r="AJ741" s="2" t="s">
        <v>144</v>
      </c>
      <c r="AK741" s="10" t="s">
        <v>818</v>
      </c>
      <c r="AL741" s="2" t="s">
        <v>81</v>
      </c>
    </row>
    <row r="742" ht="15.75" customHeight="1">
      <c r="A742" s="2" t="s">
        <v>4227</v>
      </c>
      <c r="B742" s="12">
        <v>45920.29305555556</v>
      </c>
      <c r="C742" s="2" t="str">
        <f>IFERROR(__xludf.DUMMYFUNCTION("IF(ISNUMBER(B742),TEXT(B742,""yyyy-MM-dd""),REGEXREPLACE(REGEXREPLACE(TO_TEXT(B742),""[^0-9a-zA-Z]+"",""-""),""[^0-9]*$"",""""))"),"2025-09-20")</f>
        <v>2025-09-20</v>
      </c>
      <c r="D742" s="2" t="s">
        <v>7975</v>
      </c>
      <c r="H742" s="10" t="s">
        <v>7975</v>
      </c>
      <c r="I742" s="2" t="s">
        <v>3788</v>
      </c>
      <c r="J742" s="26" t="str">
        <f t="array" ref="J742">IF(ISNA(XLOOKUP(I742,customers_clean!$A$2:$A$701,customers_clean!$A$2:$A$701, NA()) ),
   "❌ MISSING CUSTOMER", "✅")</f>
        <v>✅</v>
      </c>
      <c r="K742" s="2" t="str">
        <f t="array" ref="K742">XLOOKUP(I742,customers_clean!$A$2:$A$701,customers_clean!$C$2:$C$701)</f>
        <v>Jade  Kowalczyk</v>
      </c>
      <c r="L742" s="10" t="str">
        <f t="array" ref="L742">XLOOKUP(I742,customers_clean!$A$2:$A$701,customers_clean!$D$2:$D$701)</f>
        <v>Jade Kowalczyk</v>
      </c>
      <c r="M742" s="2" t="str">
        <f t="array" ref="M742">XLOOKUP(I742,customers_clean!$A$2:$A$701,customers_clean!$I$2:$I$701)</f>
        <v> jade.kowalczyk@example.com</v>
      </c>
      <c r="N742" s="10" t="str">
        <f t="array" ref="N742">XLOOKUP(I742,customers_clean!$A$2:$A$701,customers_clean!$H$2:$H$701)</f>
        <v>jade.kowalczyk@example.com</v>
      </c>
      <c r="O742" s="9" t="str">
        <f>IFERROR(__xludf.DUMMYFUNCTION("IF(REGEXMATCH(TRIM(N742),""^[A-Za-z0-9._%+-]+@[A-Za-z0-9.-]+\.[A-Za-z]{2,}$""),""✅ Valid"",""❌ Invalid"")"),"✅ Valid")</f>
        <v>✅ Valid</v>
      </c>
      <c r="P742" s="33" t="str">
        <f t="array" ref="P742">XLOOKUP(I742,customers_clean!$A$2:$A$701,customers_clean!$K$2:$K$701)</f>
        <v>+48-359-158094</v>
      </c>
      <c r="Q742" s="10" t="str">
        <f t="array" ref="Q742">XLOOKUP(I742,customers_clean!$A$2:$A$701,customers_clean!$N$2:$N$701)</f>
        <v>359158094</v>
      </c>
      <c r="R742" s="9" t="str">
        <f t="array" ref="R742">XLOOKUP(I742,customers_clean!$A$2:$A$701,customers_clean!$Q$2:$Q$701)</f>
        <v>❌ INVALID</v>
      </c>
      <c r="S742" s="10" t="s">
        <v>139</v>
      </c>
      <c r="T742" s="2" t="s">
        <v>42</v>
      </c>
      <c r="U742" s="2" t="s">
        <v>289</v>
      </c>
      <c r="V742" s="2" t="s">
        <v>189</v>
      </c>
      <c r="W742" s="9" t="str">
        <f t="array" ref="W742">IF(ISNA(XLOOKUP(V742,products_master_corrected!$A$2:$A$151,products_master_corrected!$A$2:$A$151, NA())),
    "❌ MISSING SKU", "✅")</f>
        <v>✅</v>
      </c>
      <c r="X742" s="2" t="s">
        <v>190</v>
      </c>
      <c r="Y742" s="2" t="s">
        <v>167</v>
      </c>
      <c r="Z742" s="10" t="str">
        <f>PROPER(TRIM(Y742))</f>
        <v>Monitors</v>
      </c>
      <c r="AA742" s="27">
        <v>2.0</v>
      </c>
      <c r="AB742" s="9" t="s">
        <v>8649</v>
      </c>
      <c r="AC742" s="28">
        <f t="array" ref="AC742">XLOOKUP(V742,products_master_corrected!$A$2:$A$151,products_master_corrected!$E$2:$E$151)</f>
        <v>57.69</v>
      </c>
      <c r="AD742" s="28">
        <f t="shared" si="88"/>
        <v>115.38</v>
      </c>
      <c r="AE742" s="28">
        <f t="array" ref="AE742">XLOOKUP(V742,products_master_corrected!$A$2:$A$151,products_master_corrected!$L$2:$L$151)</f>
        <v>62.39</v>
      </c>
      <c r="AF742" s="29">
        <f t="shared" si="89"/>
        <v>124.78</v>
      </c>
      <c r="AG742" s="32" t="s">
        <v>8665</v>
      </c>
      <c r="AH742" s="2" t="s">
        <v>305</v>
      </c>
      <c r="AI742" s="10" t="s">
        <v>49</v>
      </c>
      <c r="AJ742" s="2" t="s">
        <v>261</v>
      </c>
      <c r="AK742" s="10" t="s">
        <v>261</v>
      </c>
      <c r="AL742" s="2" t="s">
        <v>51</v>
      </c>
    </row>
    <row r="743" ht="15.75" customHeight="1">
      <c r="A743" s="2" t="s">
        <v>3786</v>
      </c>
      <c r="B743" s="12">
        <v>45296.0</v>
      </c>
      <c r="C743" s="2" t="str">
        <f>IFERROR(__xludf.DUMMYFUNCTION("IF(ISNUMBER(B743),TEXT(B743,""yyyy-MM-dd""),REGEXREPLACE(REGEXREPLACE(TO_TEXT(B743),""[^0-9a-zA-Z]+"",""-""),""[^0-9]*$"",""""))"),"2024-01-05")</f>
        <v>2024-01-05</v>
      </c>
      <c r="D743" s="2" t="s">
        <v>8928</v>
      </c>
      <c r="H743" s="10" t="s">
        <v>8928</v>
      </c>
      <c r="I743" s="2" t="s">
        <v>3788</v>
      </c>
      <c r="J743" s="26" t="str">
        <f t="array" ref="J743">IF(ISNA(XLOOKUP(I743,customers_clean!$A$2:$A$701,customers_clean!$A$2:$A$701, NA()) ),
   "❌ MISSING CUSTOMER", "✅")</f>
        <v>✅</v>
      </c>
      <c r="K743" s="2" t="str">
        <f t="array" ref="K743">XLOOKUP(I743,customers_clean!$A$2:$A$701,customers_clean!$C$2:$C$701)</f>
        <v>Jade  Kowalczyk</v>
      </c>
      <c r="L743" s="10" t="str">
        <f t="array" ref="L743">XLOOKUP(I743,customers_clean!$A$2:$A$701,customers_clean!$D$2:$D$701)</f>
        <v>Jade Kowalczyk</v>
      </c>
      <c r="M743" s="2" t="str">
        <f t="array" ref="M743">XLOOKUP(I743,customers_clean!$A$2:$A$701,customers_clean!$I$2:$I$701)</f>
        <v> jade.kowalczyk@example.com</v>
      </c>
      <c r="N743" s="10" t="str">
        <f t="array" ref="N743">XLOOKUP(I743,customers_clean!$A$2:$A$701,customers_clean!$H$2:$H$701)</f>
        <v>jade.kowalczyk@example.com</v>
      </c>
      <c r="O743" s="9" t="str">
        <f>IFERROR(__xludf.DUMMYFUNCTION("IF(REGEXMATCH(TRIM(N743),""^[A-Za-z0-9._%+-]+@[A-Za-z0-9.-]+\.[A-Za-z]{2,}$""),""✅ Valid"",""❌ Invalid"")"),"✅ Valid")</f>
        <v>✅ Valid</v>
      </c>
      <c r="P743" s="33" t="str">
        <f t="array" ref="P743">XLOOKUP(I743,customers_clean!$A$2:$A$701,customers_clean!$K$2:$K$701)</f>
        <v>+48-359-158094</v>
      </c>
      <c r="Q743" s="10" t="str">
        <f t="array" ref="Q743">XLOOKUP(I743,customers_clean!$A$2:$A$701,customers_clean!$N$2:$N$701)</f>
        <v>359158094</v>
      </c>
      <c r="R743" s="9" t="str">
        <f t="array" ref="R743">XLOOKUP(I743,customers_clean!$A$2:$A$701,customers_clean!$Q$2:$Q$701)</f>
        <v>❌ INVALID</v>
      </c>
      <c r="S743" s="10" t="s">
        <v>139</v>
      </c>
      <c r="T743" s="2" t="s">
        <v>2699</v>
      </c>
      <c r="U743" s="2" t="s">
        <v>43</v>
      </c>
      <c r="V743" s="2" t="s">
        <v>1597</v>
      </c>
      <c r="W743" s="9" t="str">
        <f t="array" ref="W743">IF(ISNA(XLOOKUP(V743,products_master_corrected!$A$2:$A$151,products_master_corrected!$A$2:$A$151, NA())),
    "❌ MISSING SKU", "✅")</f>
        <v>✅</v>
      </c>
      <c r="X743" s="2" t="s">
        <v>502</v>
      </c>
      <c r="Y743" s="2" t="s">
        <v>355</v>
      </c>
      <c r="Z743" s="10" t="s">
        <v>355</v>
      </c>
      <c r="AA743" s="27">
        <v>1.0</v>
      </c>
      <c r="AB743" s="9" t="s">
        <v>8649</v>
      </c>
      <c r="AC743" s="28">
        <f t="array" ref="AC743">XLOOKUP(V743,products_master_corrected!$A$2:$A$151,products_master_corrected!$E$2:$E$151)</f>
        <v>1002.55</v>
      </c>
      <c r="AD743" s="28">
        <f t="shared" si="88"/>
        <v>1002.55</v>
      </c>
      <c r="AE743" s="28">
        <f t="array" ref="AE743">XLOOKUP(V743,products_master_corrected!$A$2:$A$151,products_master_corrected!$L$2:$L$151)</f>
        <v>1084.26</v>
      </c>
      <c r="AF743" s="29">
        <f t="shared" si="89"/>
        <v>1084.26</v>
      </c>
      <c r="AG743" s="32" t="s">
        <v>8665</v>
      </c>
      <c r="AH743" s="2" t="s">
        <v>526</v>
      </c>
      <c r="AI743" s="10" t="s">
        <v>49</v>
      </c>
      <c r="AJ743" s="2" t="s">
        <v>442</v>
      </c>
      <c r="AK743" s="10" t="s">
        <v>80</v>
      </c>
      <c r="AL743" s="2" t="s">
        <v>51</v>
      </c>
    </row>
    <row r="744" ht="15.75" customHeight="1">
      <c r="A744" s="2" t="s">
        <v>5726</v>
      </c>
      <c r="B744" s="12" t="s">
        <v>5727</v>
      </c>
      <c r="C744" s="2" t="str">
        <f>IFERROR(__xludf.DUMMYFUNCTION("IF(ISNUMBER(B744),TEXT(B744,""yyyy-MM-dd""),REGEXREPLACE(REGEXREPLACE(TO_TEXT(B744),""[^0-9a-zA-Z]+"",""-""),""[^0-9]*$"",""""))"),"11-03-2025-08-34")</f>
        <v>11-03-2025-08-34</v>
      </c>
      <c r="D744" s="2" t="str">
        <f>TEXT(C744,"yyyy-MM-dd")</f>
        <v>11-03-2025-08-34</v>
      </c>
      <c r="E744" s="12" t="str">
        <f>IFERROR(__xludf.DUMMYFUNCTION("REGEXEXTRACT(D744,""^\d{2}-\d{2}-\d{4}"")"),"11-03-2025")</f>
        <v>11-03-2025</v>
      </c>
      <c r="F744" s="2" t="s">
        <v>8836</v>
      </c>
      <c r="H744" s="10" t="s">
        <v>8836</v>
      </c>
      <c r="I744" s="2" t="s">
        <v>4501</v>
      </c>
      <c r="J744" s="26" t="str">
        <f t="array" ref="J744">IF(ISNA(XLOOKUP(I744,customers_clean!$A$2:$A$701,customers_clean!$A$2:$A$701, NA()) ),
   "❌ MISSING CUSTOMER", "✅")</f>
        <v>✅</v>
      </c>
      <c r="K744" s="2" t="str">
        <f t="array" ref="K744">XLOOKUP(I744,customers_clean!$A$2:$A$701,customers_clean!$C$2:$C$701)</f>
        <v>Nina King</v>
      </c>
      <c r="L744" s="10" t="str">
        <f t="array" ref="L744">XLOOKUP(I744,customers_clean!$A$2:$A$701,customers_clean!$D$2:$D$701)</f>
        <v>Nina King</v>
      </c>
      <c r="M744" s="2" t="str">
        <f t="array" ref="M744">XLOOKUP(I744,customers_clean!$A$2:$A$701,customers_clean!$I$2:$I$701)</f>
        <v>Nina.King@Shop.Io</v>
      </c>
      <c r="N744" s="10" t="str">
        <f t="array" ref="N744">XLOOKUP(I744,customers_clean!$A$2:$A$701,customers_clean!$H$2:$H$701)</f>
        <v>nina.king@shop.io</v>
      </c>
      <c r="O744" s="9" t="str">
        <f>IFERROR(__xludf.DUMMYFUNCTION("IF(REGEXMATCH(TRIM(N744),""^[A-Za-z0-9._%+-]+@[A-Za-z0-9.-]+\.[A-Za-z]{2,}$""),""✅ Valid"",""❌ Invalid"")"),"✅ Valid")</f>
        <v>✅ Valid</v>
      </c>
      <c r="P744" s="33" t="str">
        <f t="array" ref="P744">XLOOKUP(I744,customers_clean!$A$2:$A$701,customers_clean!$K$2:$K$701)</f>
        <v>+48 803 094309</v>
      </c>
      <c r="Q744" s="10" t="str">
        <f t="array" ref="Q744">XLOOKUP(I744,customers_clean!$A$2:$A$701,customers_clean!$N$2:$N$701)</f>
        <v>803094309</v>
      </c>
      <c r="R744" s="9" t="str">
        <f t="array" ref="R744">XLOOKUP(I744,customers_clean!$A$2:$A$701,customers_clean!$Q$2:$Q$701)</f>
        <v>❌ INVALID</v>
      </c>
      <c r="S744" s="10" t="s">
        <v>114</v>
      </c>
      <c r="T744" s="2" t="s">
        <v>26</v>
      </c>
      <c r="U744" s="2" t="s">
        <v>176</v>
      </c>
      <c r="V744" s="2" t="s">
        <v>1856</v>
      </c>
      <c r="W744" s="9" t="str">
        <f t="array" ref="W744">IF(ISNA(XLOOKUP(V744,products_master_corrected!$A$2:$A$151,products_master_corrected!$A$2:$A$151, NA())),
    "❌ MISSING SKU", "✅")</f>
        <v>✅</v>
      </c>
      <c r="X744" s="2" t="s">
        <v>259</v>
      </c>
      <c r="Y744" s="2" t="s">
        <v>167</v>
      </c>
      <c r="Z744" s="10" t="str">
        <f>PROPER(TRIM(Y744))</f>
        <v>Monitors</v>
      </c>
      <c r="AA744" s="27">
        <v>5.0</v>
      </c>
      <c r="AB744" s="9" t="s">
        <v>8649</v>
      </c>
      <c r="AC744" s="28">
        <f t="array" ref="AC744">XLOOKUP(V744,products_master_corrected!$A$2:$A$151,products_master_corrected!$E$2:$E$151)</f>
        <v>13.34</v>
      </c>
      <c r="AD744" s="28">
        <f t="shared" si="88"/>
        <v>66.7</v>
      </c>
      <c r="AE744" s="28">
        <f t="array" ref="AE744">XLOOKUP(V744,products_master_corrected!$A$2:$A$151,products_master_corrected!$F$2:$F$151)</f>
        <v>13.34</v>
      </c>
      <c r="AF744" s="29">
        <f t="shared" si="89"/>
        <v>66.7</v>
      </c>
      <c r="AG744" s="30" t="s">
        <v>65</v>
      </c>
      <c r="AH744" s="2" t="s">
        <v>143</v>
      </c>
      <c r="AI744" s="10" t="s">
        <v>143</v>
      </c>
      <c r="AJ744" s="2" t="s">
        <v>818</v>
      </c>
      <c r="AK744" s="10" t="s">
        <v>818</v>
      </c>
      <c r="AL744" s="2" t="s">
        <v>81</v>
      </c>
    </row>
    <row r="745" ht="15.75" customHeight="1">
      <c r="A745" s="2" t="s">
        <v>4499</v>
      </c>
      <c r="B745" s="12">
        <v>44983.0</v>
      </c>
      <c r="C745" s="2" t="str">
        <f>IFERROR(__xludf.DUMMYFUNCTION("IF(ISNUMBER(B745),TEXT(B745,""yyyy-MM-dd""),REGEXREPLACE(REGEXREPLACE(TO_TEXT(B745),""[^0-9a-zA-Z]+"",""-""),""[^0-9]*$"",""""))"),"2023-02-26")</f>
        <v>2023-02-26</v>
      </c>
      <c r="D745" s="2" t="s">
        <v>8929</v>
      </c>
      <c r="H745" s="10" t="s">
        <v>8929</v>
      </c>
      <c r="I745" s="2" t="s">
        <v>4501</v>
      </c>
      <c r="J745" s="26" t="str">
        <f t="array" ref="J745">IF(ISNA(XLOOKUP(I745,customers_clean!$A$2:$A$701,customers_clean!$A$2:$A$701, NA()) ),
   "❌ MISSING CUSTOMER", "✅")</f>
        <v>✅</v>
      </c>
      <c r="K745" s="2" t="str">
        <f t="array" ref="K745">XLOOKUP(I745,customers_clean!$A$2:$A$701,customers_clean!$C$2:$C$701)</f>
        <v>Nina King</v>
      </c>
      <c r="L745" s="10" t="str">
        <f t="array" ref="L745">XLOOKUP(I745,customers_clean!$A$2:$A$701,customers_clean!$D$2:$D$701)</f>
        <v>Nina King</v>
      </c>
      <c r="M745" s="2" t="str">
        <f t="array" ref="M745">XLOOKUP(I745,customers_clean!$A$2:$A$701,customers_clean!$I$2:$I$701)</f>
        <v>Nina.King@Shop.Io</v>
      </c>
      <c r="N745" s="10" t="str">
        <f t="array" ref="N745">XLOOKUP(I745,customers_clean!$A$2:$A$701,customers_clean!$H$2:$H$701)</f>
        <v>nina.king@shop.io</v>
      </c>
      <c r="O745" s="9" t="str">
        <f>IFERROR(__xludf.DUMMYFUNCTION("IF(REGEXMATCH(TRIM(N745),""^[A-Za-z0-9._%+-]+@[A-Za-z0-9.-]+\.[A-Za-z]{2,}$""),""✅ Valid"",""❌ Invalid"")"),"✅ Valid")</f>
        <v>✅ Valid</v>
      </c>
      <c r="P745" s="33" t="str">
        <f t="array" ref="P745">XLOOKUP(I745,customers_clean!$A$2:$A$701,customers_clean!$K$2:$K$701)</f>
        <v>+48 803 094309</v>
      </c>
      <c r="Q745" s="10" t="str">
        <f t="array" ref="Q745">XLOOKUP(I745,customers_clean!$A$2:$A$701,customers_clean!$N$2:$N$701)</f>
        <v>803094309</v>
      </c>
      <c r="R745" s="9" t="str">
        <f t="array" ref="R745">XLOOKUP(I745,customers_clean!$A$2:$A$701,customers_clean!$Q$2:$Q$701)</f>
        <v>❌ INVALID</v>
      </c>
      <c r="S745" s="10" t="s">
        <v>114</v>
      </c>
      <c r="T745" s="2" t="s">
        <v>460</v>
      </c>
      <c r="U745" s="2" t="s">
        <v>500</v>
      </c>
      <c r="V745" s="2" t="s">
        <v>2425</v>
      </c>
      <c r="W745" s="9" t="str">
        <f t="array" ref="W745">IF(ISNA(XLOOKUP(V745,products_master_corrected!$A$2:$A$151,products_master_corrected!$A$2:$A$151, NA())),
    "❌ MISSING SKU", "✅")</f>
        <v>✅</v>
      </c>
      <c r="X745" s="2" t="s">
        <v>2426</v>
      </c>
      <c r="Y745" s="2" t="s">
        <v>2427</v>
      </c>
      <c r="Z745" s="10" t="s">
        <v>248</v>
      </c>
      <c r="AA745" s="27">
        <v>1.0</v>
      </c>
      <c r="AB745" s="9" t="s">
        <v>8649</v>
      </c>
      <c r="AC745" s="28">
        <f t="array" ref="AC745">XLOOKUP(V745,products_master_corrected!$A$2:$A$151,products_master_corrected!$E$2:$E$151)</f>
        <v>1071.06</v>
      </c>
      <c r="AD745" s="28">
        <f t="shared" si="88"/>
        <v>1071.06</v>
      </c>
      <c r="AE745" s="28">
        <f t="array" ref="AE745">XLOOKUP(V745,products_master_corrected!$A$2:$A$151,products_master_corrected!$F$2:$F$151)</f>
        <v>1071.06</v>
      </c>
      <c r="AF745" s="29">
        <f t="shared" si="89"/>
        <v>1071.06</v>
      </c>
      <c r="AG745" s="30" t="s">
        <v>65</v>
      </c>
      <c r="AH745" s="2" t="s">
        <v>664</v>
      </c>
      <c r="AI745" s="10" t="s">
        <v>66</v>
      </c>
      <c r="AJ745" s="2" t="s">
        <v>132</v>
      </c>
      <c r="AK745" s="10" t="s">
        <v>192</v>
      </c>
      <c r="AL745" s="2" t="s">
        <v>81</v>
      </c>
    </row>
    <row r="746" ht="15.75" customHeight="1">
      <c r="A746" s="2" t="s">
        <v>1548</v>
      </c>
      <c r="B746" s="12">
        <v>45874.0</v>
      </c>
      <c r="C746" s="2" t="str">
        <f>IFERROR(__xludf.DUMMYFUNCTION("IF(ISNUMBER(B746),TEXT(B746,""yyyy-MM-dd""),REGEXREPLACE(REGEXREPLACE(TO_TEXT(B746),""[^0-9a-zA-Z]+"",""-""),""[^0-9]*$"",""""))"),"2025-08-05")</f>
        <v>2025-08-05</v>
      </c>
      <c r="D746" s="2" t="s">
        <v>8930</v>
      </c>
      <c r="H746" s="10" t="s">
        <v>8930</v>
      </c>
      <c r="I746" s="2" t="s">
        <v>1550</v>
      </c>
      <c r="J746" s="26" t="str">
        <f t="array" ref="J746">IF(ISNA(XLOOKUP(I746,customers_clean!$A$2:$A$701,customers_clean!$A$2:$A$701, NA()) ),
   "❌ MISSING CUSTOMER", "✅")</f>
        <v>✅</v>
      </c>
      <c r="K746" s="2" t="str">
        <f t="array" ref="K746">XLOOKUP(I746,customers_clean!$A$2:$A$701,customers_clean!$C$2:$C$701)</f>
        <v> Wiktor Lee</v>
      </c>
      <c r="L746" s="10" t="str">
        <f t="array" ref="L746">XLOOKUP(I746,customers_clean!$A$2:$A$701,customers_clean!$D$2:$D$701)</f>
        <v>Wiktor Lee</v>
      </c>
      <c r="M746" s="2" t="str">
        <f t="array" ref="M746">XLOOKUP(I746,customers_clean!$A$2:$A$701,customers_clean!$I$2:$I$701)</f>
        <v>WIKTOR.LEE@SHOP.IO</v>
      </c>
      <c r="N746" s="10" t="str">
        <f t="array" ref="N746">XLOOKUP(I746,customers_clean!$A$2:$A$701,customers_clean!$H$2:$H$701)</f>
        <v>wiktor.lee@shop.io</v>
      </c>
      <c r="O746" s="9" t="str">
        <f>IFERROR(__xludf.DUMMYFUNCTION("IF(REGEXMATCH(TRIM(N746),""^[A-Za-z0-9._%+-]+@[A-Za-z0-9.-]+\.[A-Za-z]{2,}$""),""✅ Valid"",""❌ Invalid"")"),"✅ Valid")</f>
        <v>✅ Valid</v>
      </c>
      <c r="P746" s="2">
        <f t="array" ref="P746">XLOOKUP(I746,customers_clean!$A$2:$A$701,customers_clean!$K$2:$K$701)</f>
        <v>5560380820</v>
      </c>
      <c r="Q746" s="10" t="str">
        <f t="array" ref="Q746">XLOOKUP(I746,customers_clean!$A$2:$A$701,customers_clean!$N$2:$N$701)</f>
        <v>5560380820</v>
      </c>
      <c r="R746" s="9" t="str">
        <f t="array" ref="R746">XLOOKUP(I746,customers_clean!$A$2:$A$701,customers_clean!$Q$2:$Q$701)</f>
        <v>❌ INVALID</v>
      </c>
      <c r="S746" s="10" t="s">
        <v>608</v>
      </c>
      <c r="T746" s="2" t="s">
        <v>323</v>
      </c>
      <c r="U746" s="2" t="s">
        <v>352</v>
      </c>
      <c r="V746" s="2" t="s">
        <v>258</v>
      </c>
      <c r="W746" s="9" t="str">
        <f t="array" ref="W746">IF(ISNA(XLOOKUP(V746,products_master_corrected!$A$2:$A$151,products_master_corrected!$A$2:$A$151, NA())),
    "❌ MISSING SKU", "✅")</f>
        <v>✅</v>
      </c>
      <c r="X746" s="2" t="s">
        <v>259</v>
      </c>
      <c r="Y746" s="2" t="s">
        <v>214</v>
      </c>
      <c r="Z746" s="10" t="s">
        <v>368</v>
      </c>
      <c r="AA746" s="27">
        <v>1.0</v>
      </c>
      <c r="AB746" s="9" t="s">
        <v>8649</v>
      </c>
      <c r="AC746" s="28">
        <f t="array" ref="AC746">XLOOKUP(V746,products_master_corrected!$A$2:$A$151,products_master_corrected!$E$2:$E$151)</f>
        <v>15.73</v>
      </c>
      <c r="AD746" s="28">
        <f t="shared" si="88"/>
        <v>15.73</v>
      </c>
      <c r="AE746" s="28">
        <f t="array" ref="AE746">XLOOKUP(V746,products_master_corrected!$A$2:$A$151,products_master_corrected!$H$2:$H$151)</f>
        <v>17.67</v>
      </c>
      <c r="AF746" s="29">
        <f t="shared" si="89"/>
        <v>17.67</v>
      </c>
      <c r="AG746" s="32" t="s">
        <v>8658</v>
      </c>
      <c r="AH746" s="2" t="s">
        <v>66</v>
      </c>
      <c r="AI746" s="10" t="s">
        <v>66</v>
      </c>
      <c r="AJ746" s="2" t="s">
        <v>306</v>
      </c>
      <c r="AK746" s="10" t="s">
        <v>192</v>
      </c>
      <c r="AL746" s="2" t="s">
        <v>67</v>
      </c>
    </row>
    <row r="747" ht="15.75" customHeight="1">
      <c r="A747" s="2" t="s">
        <v>2210</v>
      </c>
      <c r="B747" s="12">
        <v>45216.0</v>
      </c>
      <c r="C747" s="2" t="str">
        <f>IFERROR(__xludf.DUMMYFUNCTION("IF(ISNUMBER(B747),TEXT(B747,""yyyy-MM-dd""),REGEXREPLACE(REGEXREPLACE(TO_TEXT(B747),""[^0-9a-zA-Z]+"",""-""),""[^0-9]*$"",""""))"),"2023-10-17")</f>
        <v>2023-10-17</v>
      </c>
      <c r="D747" s="2" t="s">
        <v>7633</v>
      </c>
      <c r="H747" s="10" t="s">
        <v>7633</v>
      </c>
      <c r="I747" s="2" t="s">
        <v>1550</v>
      </c>
      <c r="J747" s="26" t="str">
        <f t="array" ref="J747">IF(ISNA(XLOOKUP(I747,customers_clean!$A$2:$A$701,customers_clean!$A$2:$A$701, NA()) ),
   "❌ MISSING CUSTOMER", "✅")</f>
        <v>✅</v>
      </c>
      <c r="K747" s="2" t="str">
        <f t="array" ref="K747">XLOOKUP(I747,customers_clean!$A$2:$A$701,customers_clean!$C$2:$C$701)</f>
        <v> Wiktor Lee</v>
      </c>
      <c r="L747" s="10" t="str">
        <f t="array" ref="L747">XLOOKUP(I747,customers_clean!$A$2:$A$701,customers_clean!$D$2:$D$701)</f>
        <v>Wiktor Lee</v>
      </c>
      <c r="M747" s="2" t="str">
        <f t="array" ref="M747">XLOOKUP(I747,customers_clean!$A$2:$A$701,customers_clean!$I$2:$I$701)</f>
        <v>WIKTOR.LEE@SHOP.IO</v>
      </c>
      <c r="N747" s="10" t="str">
        <f t="array" ref="N747">XLOOKUP(I747,customers_clean!$A$2:$A$701,customers_clean!$H$2:$H$701)</f>
        <v>wiktor.lee@shop.io</v>
      </c>
      <c r="O747" s="9" t="str">
        <f>IFERROR(__xludf.DUMMYFUNCTION("IF(REGEXMATCH(TRIM(N747),""^[A-Za-z0-9._%+-]+@[A-Za-z0-9.-]+\.[A-Za-z]{2,}$""),""✅ Valid"",""❌ Invalid"")"),"✅ Valid")</f>
        <v>✅ Valid</v>
      </c>
      <c r="P747" s="2">
        <f t="array" ref="P747">XLOOKUP(I747,customers_clean!$A$2:$A$701,customers_clean!$K$2:$K$701)</f>
        <v>5560380820</v>
      </c>
      <c r="Q747" s="10" t="str">
        <f t="array" ref="Q747">XLOOKUP(I747,customers_clean!$A$2:$A$701,customers_clean!$N$2:$N$701)</f>
        <v>5560380820</v>
      </c>
      <c r="R747" s="9" t="str">
        <f t="array" ref="R747">XLOOKUP(I747,customers_clean!$A$2:$A$701,customers_clean!$Q$2:$Q$701)</f>
        <v>❌ INVALID</v>
      </c>
      <c r="S747" s="10" t="s">
        <v>608</v>
      </c>
      <c r="T747" s="2" t="s">
        <v>323</v>
      </c>
      <c r="U747" s="2" t="s">
        <v>176</v>
      </c>
      <c r="V747" s="2" t="s">
        <v>721</v>
      </c>
      <c r="W747" s="9" t="str">
        <f t="array" ref="W747">IF(ISNA(XLOOKUP(V747,products_master_corrected!$A$2:$A$151,products_master_corrected!$A$2:$A$151, NA())),
    "❌ MISSING SKU", "✅")</f>
        <v>✅</v>
      </c>
      <c r="X747" s="2" t="s">
        <v>259</v>
      </c>
      <c r="Y747" s="2" t="s">
        <v>179</v>
      </c>
      <c r="Z747" s="10" t="s">
        <v>179</v>
      </c>
      <c r="AA747" s="27">
        <v>1.0</v>
      </c>
      <c r="AB747" s="9" t="s">
        <v>8649</v>
      </c>
      <c r="AC747" s="28">
        <f t="array" ref="AC747">XLOOKUP(V747,products_master_corrected!$A$2:$A$151,products_master_corrected!$E$2:$E$151)</f>
        <v>20.42</v>
      </c>
      <c r="AD747" s="28">
        <f t="shared" si="88"/>
        <v>20.42</v>
      </c>
      <c r="AE747" s="28">
        <f t="array" ref="AE747">XLOOKUP(V747,products_master_corrected!$A$2:$A$151,products_master_corrected!$H$2:$H$151)</f>
        <v>22.94</v>
      </c>
      <c r="AF747" s="29">
        <f t="shared" si="89"/>
        <v>22.94</v>
      </c>
      <c r="AG747" s="32" t="s">
        <v>8658</v>
      </c>
      <c r="AH747" s="2" t="s">
        <v>143</v>
      </c>
      <c r="AI747" s="10" t="s">
        <v>143</v>
      </c>
      <c r="AJ747" s="2" t="s">
        <v>251</v>
      </c>
      <c r="AK747" s="10" t="s">
        <v>192</v>
      </c>
    </row>
    <row r="748" ht="15.75" customHeight="1">
      <c r="A748" s="2" t="s">
        <v>3808</v>
      </c>
      <c r="B748" s="12" t="s">
        <v>3809</v>
      </c>
      <c r="C748" s="2" t="str">
        <f>IFERROR(__xludf.DUMMYFUNCTION("IF(ISNUMBER(B748),TEXT(B748,""yyyy-MM-dd""),REGEXREPLACE(REGEXREPLACE(TO_TEXT(B748),""[^0-9a-zA-Z]+"",""-""),""[^0-9]*$"",""""))"),"44982-09-41")</f>
        <v>44982-09-41</v>
      </c>
      <c r="D748" s="2" t="str">
        <f>TEXT(C748,"yyyy-MM-dd")</f>
        <v>44982-09-41</v>
      </c>
      <c r="E748" s="25" t="str">
        <f>CONCATENATE(LEFT(D748,5))</f>
        <v>44982</v>
      </c>
      <c r="F748" s="12">
        <f>DATE(1900,1,1) + E748 - 1</f>
        <v>44983</v>
      </c>
      <c r="G748" s="2" t="s">
        <v>8929</v>
      </c>
      <c r="H748" s="10" t="s">
        <v>8929</v>
      </c>
      <c r="I748" s="2" t="s">
        <v>707</v>
      </c>
      <c r="J748" s="26" t="str">
        <f t="array" ref="J748">IF(ISNA(XLOOKUP(I748,customers_clean!$A$2:$A$701,customers_clean!$A$2:$A$701, NA()) ),
   "❌ MISSING CUSTOMER", "✅")</f>
        <v>✅</v>
      </c>
      <c r="K748" s="2" t="str">
        <f t="array" ref="K748">XLOOKUP(I748,customers_clean!$A$2:$A$701,customers_clean!$C$2:$C$701)</f>
        <v>Ethan Johnson</v>
      </c>
      <c r="L748" s="10" t="str">
        <f t="array" ref="L748">XLOOKUP(I748,customers_clean!$A$2:$A$701,customers_clean!$D$2:$D$701)</f>
        <v>Ethan Johnson</v>
      </c>
      <c r="M748" s="2" t="str">
        <f t="array" ref="M748">XLOOKUP(I748,customers_clean!$A$2:$A$701,customers_clean!$I$2:$I$701)</f>
        <v>ethan.johnson@shop.io </v>
      </c>
      <c r="N748" s="10" t="str">
        <f t="array" ref="N748">XLOOKUP(I748,customers_clean!$A$2:$A$701,customers_clean!$H$2:$H$701)</f>
        <v>ethan.johnson@shop.io</v>
      </c>
      <c r="O748" s="9" t="str">
        <f>IFERROR(__xludf.DUMMYFUNCTION("IF(REGEXMATCH(TRIM(N748),""^[A-Za-z0-9._%+-]+@[A-Za-z0-9.-]+\.[A-Za-z]{2,}$""),""✅ Valid"",""❌ Invalid"")"),"✅ Valid")</f>
        <v>✅ Valid</v>
      </c>
      <c r="P748" s="2" t="str">
        <f t="array" ref="P748">XLOOKUP(I748,customers_clean!$A$2:$A$701,customers_clean!$K$2:$K$701)</f>
        <v>+33-507-687081</v>
      </c>
      <c r="Q748" s="10" t="str">
        <f t="array" ref="Q748">XLOOKUP(I748,customers_clean!$A$2:$A$701,customers_clean!$N$2:$N$701)</f>
        <v>507687081</v>
      </c>
      <c r="R748" s="9" t="str">
        <f t="array" ref="R748">XLOOKUP(I748,customers_clean!$A$2:$A$701,customers_clean!$Q$2:$Q$701)</f>
        <v>❌ INVALID</v>
      </c>
      <c r="S748" s="10" t="s">
        <v>608</v>
      </c>
      <c r="T748" s="2" t="s">
        <v>1167</v>
      </c>
      <c r="U748" s="2" t="s">
        <v>289</v>
      </c>
      <c r="V748" s="2" t="s">
        <v>3810</v>
      </c>
      <c r="W748" s="9" t="str">
        <f t="array" ref="W748">IF(ISNA(XLOOKUP(V748,products_master_corrected!$A$2:$A$151,products_master_corrected!$A$2:$A$151, NA())),
    "❌ MISSING SKU", "✅")</f>
        <v>✅</v>
      </c>
      <c r="X748" s="2" t="s">
        <v>994</v>
      </c>
      <c r="Y748" s="2" t="s">
        <v>995</v>
      </c>
      <c r="Z748" s="10" t="s">
        <v>355</v>
      </c>
      <c r="AA748" s="27">
        <v>1.0</v>
      </c>
      <c r="AB748" s="9" t="s">
        <v>8649</v>
      </c>
      <c r="AC748" s="28">
        <f t="array" ref="AC748">XLOOKUP(V748,products_master_corrected!$A$2:$A$151,products_master_corrected!$E$2:$E$151)</f>
        <v>476.64</v>
      </c>
      <c r="AD748" s="28">
        <f t="shared" si="88"/>
        <v>476.64</v>
      </c>
      <c r="AE748" s="28">
        <f t="array" ref="AE748">XLOOKUP(V748,products_master_corrected!$A$2:$A$151,products_master_corrected!$H$2:$H$151)</f>
        <v>535.51</v>
      </c>
      <c r="AF748" s="29">
        <f t="shared" si="89"/>
        <v>535.51</v>
      </c>
      <c r="AG748" s="32" t="s">
        <v>8658</v>
      </c>
      <c r="AH748" s="2" t="s">
        <v>143</v>
      </c>
      <c r="AI748" s="10" t="s">
        <v>143</v>
      </c>
      <c r="AJ748" s="2" t="s">
        <v>80</v>
      </c>
      <c r="AK748" s="10" t="s">
        <v>80</v>
      </c>
      <c r="AL748" s="2" t="s">
        <v>81</v>
      </c>
    </row>
    <row r="749" ht="15.75" customHeight="1">
      <c r="A749" s="2" t="s">
        <v>705</v>
      </c>
      <c r="B749" s="12">
        <v>45562.45</v>
      </c>
      <c r="C749" s="2" t="str">
        <f>IFERROR(__xludf.DUMMYFUNCTION("IF(ISNUMBER(B749),TEXT(B749,""yyyy-MM-dd""),REGEXREPLACE(REGEXREPLACE(TO_TEXT(B749),""[^0-9a-zA-Z]+"",""-""),""[^0-9]*$"",""""))"),"2024-09-27")</f>
        <v>2024-09-27</v>
      </c>
      <c r="D749" s="2" t="s">
        <v>8851</v>
      </c>
      <c r="H749" s="10" t="s">
        <v>8851</v>
      </c>
      <c r="I749" s="2" t="s">
        <v>707</v>
      </c>
      <c r="J749" s="26" t="str">
        <f t="array" ref="J749">IF(ISNA(XLOOKUP(I749,customers_clean!$A$2:$A$701,customers_clean!$A$2:$A$701, NA()) ),
   "❌ MISSING CUSTOMER", "✅")</f>
        <v>✅</v>
      </c>
      <c r="K749" s="2" t="str">
        <f t="array" ref="K749">XLOOKUP(I749,customers_clean!$A$2:$A$701,customers_clean!$C$2:$C$701)</f>
        <v>Ethan Johnson</v>
      </c>
      <c r="L749" s="10" t="str">
        <f t="array" ref="L749">XLOOKUP(I749,customers_clean!$A$2:$A$701,customers_clean!$D$2:$D$701)</f>
        <v>Ethan Johnson</v>
      </c>
      <c r="M749" s="2" t="str">
        <f t="array" ref="M749">XLOOKUP(I749,customers_clean!$A$2:$A$701,customers_clean!$I$2:$I$701)</f>
        <v>ethan.johnson@shop.io </v>
      </c>
      <c r="N749" s="10" t="str">
        <f t="array" ref="N749">XLOOKUP(I749,customers_clean!$A$2:$A$701,customers_clean!$H$2:$H$701)</f>
        <v>ethan.johnson@shop.io</v>
      </c>
      <c r="O749" s="9" t="str">
        <f>IFERROR(__xludf.DUMMYFUNCTION("IF(REGEXMATCH(TRIM(N749),""^[A-Za-z0-9._%+-]+@[A-Za-z0-9.-]+\.[A-Za-z]{2,}$""),""✅ Valid"",""❌ Invalid"")"),"✅ Valid")</f>
        <v>✅ Valid</v>
      </c>
      <c r="P749" s="2" t="str">
        <f t="array" ref="P749">XLOOKUP(I749,customers_clean!$A$2:$A$701,customers_clean!$K$2:$K$701)</f>
        <v>+33-507-687081</v>
      </c>
      <c r="Q749" s="10" t="str">
        <f t="array" ref="Q749">XLOOKUP(I749,customers_clean!$A$2:$A$701,customers_clean!$N$2:$N$701)</f>
        <v>507687081</v>
      </c>
      <c r="R749" s="9" t="str">
        <f t="array" ref="R749">XLOOKUP(I749,customers_clean!$A$2:$A$701,customers_clean!$Q$2:$Q$701)</f>
        <v>❌ INVALID</v>
      </c>
      <c r="S749" s="10" t="s">
        <v>608</v>
      </c>
      <c r="T749" s="2" t="s">
        <v>683</v>
      </c>
      <c r="U749" s="2" t="s">
        <v>43</v>
      </c>
      <c r="V749" s="2" t="s">
        <v>711</v>
      </c>
      <c r="W749" s="9" t="str">
        <f t="array" ref="W749">IF(ISNA(XLOOKUP(V749,products_master_corrected!$A$2:$A$151,products_master_corrected!$A$2:$A$151, NA())),
    "❌ MISSING SKU", "✅")</f>
        <v>✅</v>
      </c>
      <c r="X749" s="2" t="s">
        <v>403</v>
      </c>
      <c r="Y749" s="2" t="s">
        <v>637</v>
      </c>
      <c r="Z749" s="10" t="s">
        <v>514</v>
      </c>
      <c r="AA749" s="27">
        <v>1.0</v>
      </c>
      <c r="AB749" s="9" t="s">
        <v>8649</v>
      </c>
      <c r="AC749" s="28">
        <f t="array" ref="AC749">XLOOKUP(V749,products_master_corrected!$A$2:$A$151,products_master_corrected!$E$2:$E$151)</f>
        <v>43.64</v>
      </c>
      <c r="AD749" s="28">
        <f t="shared" si="88"/>
        <v>43.64</v>
      </c>
      <c r="AE749" s="28">
        <f t="array" ref="AE749">XLOOKUP(V749,products_master_corrected!$A$2:$A$151,products_master_corrected!$H$2:$H$151)</f>
        <v>49.03</v>
      </c>
      <c r="AF749" s="29">
        <f t="shared" si="89"/>
        <v>49.03</v>
      </c>
      <c r="AG749" s="32" t="s">
        <v>8658</v>
      </c>
      <c r="AH749" s="2" t="s">
        <v>49</v>
      </c>
      <c r="AI749" s="10" t="s">
        <v>49</v>
      </c>
      <c r="AJ749" s="2" t="s">
        <v>527</v>
      </c>
      <c r="AK749" s="10" t="s">
        <v>192</v>
      </c>
      <c r="AL749" s="2" t="s">
        <v>133</v>
      </c>
    </row>
    <row r="750" ht="15.75" customHeight="1">
      <c r="A750" s="2" t="s">
        <v>4529</v>
      </c>
      <c r="B750" s="12">
        <v>45116.0</v>
      </c>
      <c r="C750" s="2" t="str">
        <f>IFERROR(__xludf.DUMMYFUNCTION("IF(ISNUMBER(B750),TEXT(B750,""yyyy-MM-dd""),REGEXREPLACE(REGEXREPLACE(TO_TEXT(B750),""[^0-9a-zA-Z]+"",""-""),""[^0-9]*$"",""""))"),"2023-07-09")</f>
        <v>2023-07-09</v>
      </c>
      <c r="D750" s="2" t="s">
        <v>8728</v>
      </c>
      <c r="H750" s="10" t="s">
        <v>8728</v>
      </c>
      <c r="I750" s="2" t="s">
        <v>707</v>
      </c>
      <c r="J750" s="26" t="str">
        <f t="array" ref="J750">IF(ISNA(XLOOKUP(I750,customers_clean!$A$2:$A$701,customers_clean!$A$2:$A$701, NA()) ),
   "❌ MISSING CUSTOMER", "✅")</f>
        <v>✅</v>
      </c>
      <c r="K750" s="2" t="str">
        <f t="array" ref="K750">XLOOKUP(I750,customers_clean!$A$2:$A$701,customers_clean!$C$2:$C$701)</f>
        <v>Ethan Johnson</v>
      </c>
      <c r="L750" s="10" t="str">
        <f t="array" ref="L750">XLOOKUP(I750,customers_clean!$A$2:$A$701,customers_clean!$D$2:$D$701)</f>
        <v>Ethan Johnson</v>
      </c>
      <c r="M750" s="2" t="str">
        <f t="array" ref="M750">XLOOKUP(I750,customers_clean!$A$2:$A$701,customers_clean!$I$2:$I$701)</f>
        <v>ethan.johnson@shop.io </v>
      </c>
      <c r="N750" s="10" t="str">
        <f t="array" ref="N750">XLOOKUP(I750,customers_clean!$A$2:$A$701,customers_clean!$H$2:$H$701)</f>
        <v>ethan.johnson@shop.io</v>
      </c>
      <c r="O750" s="9" t="str">
        <f>IFERROR(__xludf.DUMMYFUNCTION("IF(REGEXMATCH(TRIM(N750),""^[A-Za-z0-9._%+-]+@[A-Za-z0-9.-]+\.[A-Za-z]{2,}$""),""✅ Valid"",""❌ Invalid"")"),"✅ Valid")</f>
        <v>✅ Valid</v>
      </c>
      <c r="P750" s="2" t="str">
        <f t="array" ref="P750">XLOOKUP(I750,customers_clean!$A$2:$A$701,customers_clean!$K$2:$K$701)</f>
        <v>+33-507-687081</v>
      </c>
      <c r="Q750" s="10" t="str">
        <f t="array" ref="Q750">XLOOKUP(I750,customers_clean!$A$2:$A$701,customers_clean!$N$2:$N$701)</f>
        <v>507687081</v>
      </c>
      <c r="R750" s="9" t="str">
        <f t="array" ref="R750">XLOOKUP(I750,customers_clean!$A$2:$A$701,customers_clean!$Q$2:$Q$701)</f>
        <v>❌ INVALID</v>
      </c>
      <c r="S750" s="10" t="s">
        <v>608</v>
      </c>
      <c r="T750" s="2" t="s">
        <v>26</v>
      </c>
      <c r="U750" s="2" t="s">
        <v>312</v>
      </c>
      <c r="V750" s="2" t="s">
        <v>61</v>
      </c>
      <c r="W750" s="9" t="str">
        <f t="array" ref="W750">IF(ISNA(XLOOKUP(V750,products_master_corrected!$A$2:$A$151,products_master_corrected!$A$2:$A$151, NA())),
    "❌ MISSING SKU", "✅")</f>
        <v>✅</v>
      </c>
      <c r="X750" s="2" t="s">
        <v>62</v>
      </c>
      <c r="Y750" s="2" t="s">
        <v>63</v>
      </c>
      <c r="Z750" s="10" t="s">
        <v>63</v>
      </c>
      <c r="AA750" s="27">
        <v>2.0</v>
      </c>
      <c r="AB750" s="9" t="s">
        <v>8649</v>
      </c>
      <c r="AC750" s="28">
        <f t="array" ref="AC750">XLOOKUP(V750,products_master_corrected!$A$2:$A$151,products_master_corrected!$E$2:$E$151)</f>
        <v>62.81</v>
      </c>
      <c r="AD750" s="28">
        <f t="shared" si="88"/>
        <v>125.62</v>
      </c>
      <c r="AE750" s="28">
        <f t="array" ref="AE750">XLOOKUP(V750,products_master_corrected!$A$2:$A$151,products_master_corrected!$H$2:$H$151)</f>
        <v>70.57</v>
      </c>
      <c r="AF750" s="29">
        <f t="shared" si="89"/>
        <v>141.14</v>
      </c>
      <c r="AG750" s="32" t="s">
        <v>8658</v>
      </c>
      <c r="AH750" s="2" t="s">
        <v>3460</v>
      </c>
      <c r="AI750" s="10" t="s">
        <v>49</v>
      </c>
      <c r="AJ750" s="2" t="s">
        <v>818</v>
      </c>
      <c r="AK750" s="10" t="s">
        <v>818</v>
      </c>
      <c r="AL750" s="2" t="s">
        <v>81</v>
      </c>
    </row>
    <row r="751" ht="15.75" customHeight="1">
      <c r="A751" s="2" t="s">
        <v>5092</v>
      </c>
      <c r="B751" s="12">
        <v>45108.0</v>
      </c>
      <c r="C751" s="2" t="str">
        <f>IFERROR(__xludf.DUMMYFUNCTION("IF(ISNUMBER(B751),TEXT(B751,""yyyy-MM-dd""),REGEXREPLACE(REGEXREPLACE(TO_TEXT(B751),""[^0-9a-zA-Z]+"",""-""),""[^0-9]*$"",""""))"),"2023-07-01")</f>
        <v>2023-07-01</v>
      </c>
      <c r="D751" s="2" t="s">
        <v>7859</v>
      </c>
      <c r="H751" s="10" t="s">
        <v>7859</v>
      </c>
      <c r="I751" s="2" t="s">
        <v>4418</v>
      </c>
      <c r="J751" s="26" t="str">
        <f t="array" ref="J751">IF(ISNA(XLOOKUP(I751,customers_clean!$A$2:$A$701,customers_clean!$A$2:$A$701, NA()) ),
   "❌ MISSING CUSTOMER", "✅")</f>
        <v>✅</v>
      </c>
      <c r="K751" s="2" t="str">
        <f t="array" ref="K751">XLOOKUP(I751,customers_clean!$A$2:$A$701,customers_clean!$C$2:$C$701)</f>
        <v>Jade Garcia</v>
      </c>
      <c r="L751" s="10" t="str">
        <f t="array" ref="L751">XLOOKUP(I751,customers_clean!$A$2:$A$701,customers_clean!$D$2:$D$701)</f>
        <v>Jade Garcia</v>
      </c>
      <c r="M751" s="2" t="str">
        <f t="array" ref="M751">XLOOKUP(I751,customers_clean!$A$2:$A$701,customers_clean!$I$2:$I$701)</f>
        <v> jade.garcia@shop.io</v>
      </c>
      <c r="N751" s="10" t="str">
        <f t="array" ref="N751">XLOOKUP(I751,customers_clean!$A$2:$A$701,customers_clean!$H$2:$H$701)</f>
        <v>jade.garcia@shop.io</v>
      </c>
      <c r="O751" s="9" t="str">
        <f>IFERROR(__xludf.DUMMYFUNCTION("IF(REGEXMATCH(TRIM(N751),""^[A-Za-z0-9._%+-]+@[A-Za-z0-9.-]+\.[A-Za-z]{2,}$""),""✅ Valid"",""❌ Invalid"")"),"✅ Valid")</f>
        <v>✅ Valid</v>
      </c>
      <c r="P751" s="33" t="str">
        <f t="array" ref="P751">XLOOKUP(I751,customers_clean!$A$2:$A$701,customers_clean!$K$2:$K$701)</f>
        <v>+48284756231</v>
      </c>
      <c r="Q751" s="10" t="str">
        <f t="array" ref="Q751">XLOOKUP(I751,customers_clean!$A$2:$A$701,customers_clean!$N$2:$N$701)</f>
        <v>284756231</v>
      </c>
      <c r="R751" s="9" t="str">
        <f t="array" ref="R751">XLOOKUP(I751,customers_clean!$A$2:$A$701,customers_clean!$Q$2:$Q$701)</f>
        <v>❌ INVALID</v>
      </c>
      <c r="S751" s="10" t="s">
        <v>608</v>
      </c>
      <c r="T751" s="2" t="s">
        <v>4745</v>
      </c>
      <c r="U751" s="2" t="s">
        <v>103</v>
      </c>
      <c r="V751" s="2" t="s">
        <v>939</v>
      </c>
      <c r="W751" s="9" t="str">
        <f t="array" ref="W751">IF(ISNA(XLOOKUP(V751,products_master_corrected!$A$2:$A$151,products_master_corrected!$A$2:$A$151, NA())),
    "❌ MISSING SKU", "✅")</f>
        <v>✅</v>
      </c>
      <c r="X751" s="2" t="s">
        <v>940</v>
      </c>
      <c r="Y751" s="2" t="s">
        <v>941</v>
      </c>
      <c r="Z751" s="10" t="str">
        <f>PROPER(TRIM(Y751))</f>
        <v>Monitors</v>
      </c>
      <c r="AA751" s="27">
        <v>3.0</v>
      </c>
      <c r="AB751" s="9" t="s">
        <v>8649</v>
      </c>
      <c r="AC751" s="28">
        <f t="array" ref="AC751">XLOOKUP(V751,products_master_corrected!$A$2:$A$151,products_master_corrected!$E$2:$E$151)</f>
        <v>215.15</v>
      </c>
      <c r="AD751" s="28">
        <f t="shared" si="88"/>
        <v>645.45</v>
      </c>
      <c r="AE751" s="28">
        <f t="array" ref="AE751">XLOOKUP(V751,products_master_corrected!$A$2:$A$151,products_master_corrected!$H$2:$H$151)</f>
        <v>241.72</v>
      </c>
      <c r="AF751" s="29">
        <f t="shared" si="89"/>
        <v>725.16</v>
      </c>
      <c r="AG751" s="32" t="s">
        <v>8658</v>
      </c>
      <c r="AH751" s="2" t="s">
        <v>5095</v>
      </c>
      <c r="AI751" s="10" t="s">
        <v>66</v>
      </c>
      <c r="AJ751" s="2" t="s">
        <v>452</v>
      </c>
      <c r="AK751" s="10" t="s">
        <v>261</v>
      </c>
    </row>
    <row r="752" ht="15.75" customHeight="1">
      <c r="A752" s="2" t="s">
        <v>4416</v>
      </c>
      <c r="B752" s="12" t="s">
        <v>4417</v>
      </c>
      <c r="C752" s="2" t="str">
        <f>IFERROR(__xludf.DUMMYFUNCTION("IF(ISNUMBER(B752),TEXT(B752,""yyyy-MM-dd""),REGEXREPLACE(REGEXREPLACE(TO_TEXT(B752),""[^0-9a-zA-Z]+"",""-""),""[^0-9]*$"",""""))"),"11-16-2024")</f>
        <v>11-16-2024</v>
      </c>
      <c r="D752" s="2" t="str">
        <f>TEXT(C752,"yyyy-MM-dd")</f>
        <v>11-16-2024</v>
      </c>
      <c r="E752" s="2" t="s">
        <v>8853</v>
      </c>
      <c r="H752" s="10" t="s">
        <v>8853</v>
      </c>
      <c r="I752" s="2" t="s">
        <v>4418</v>
      </c>
      <c r="J752" s="26" t="str">
        <f t="array" ref="J752">IF(ISNA(XLOOKUP(I752,customers_clean!$A$2:$A$701,customers_clean!$A$2:$A$701, NA()) ),
   "❌ MISSING CUSTOMER", "✅")</f>
        <v>✅</v>
      </c>
      <c r="K752" s="2" t="str">
        <f t="array" ref="K752">XLOOKUP(I752,customers_clean!$A$2:$A$701,customers_clean!$C$2:$C$701)</f>
        <v>Jade Garcia</v>
      </c>
      <c r="L752" s="10" t="str">
        <f t="array" ref="L752">XLOOKUP(I752,customers_clean!$A$2:$A$701,customers_clean!$D$2:$D$701)</f>
        <v>Jade Garcia</v>
      </c>
      <c r="M752" s="2" t="str">
        <f t="array" ref="M752">XLOOKUP(I752,customers_clean!$A$2:$A$701,customers_clean!$I$2:$I$701)</f>
        <v> jade.garcia@shop.io</v>
      </c>
      <c r="N752" s="10" t="str">
        <f t="array" ref="N752">XLOOKUP(I752,customers_clean!$A$2:$A$701,customers_clean!$H$2:$H$701)</f>
        <v>jade.garcia@shop.io</v>
      </c>
      <c r="O752" s="9" t="str">
        <f>IFERROR(__xludf.DUMMYFUNCTION("IF(REGEXMATCH(TRIM(N752),""^[A-Za-z0-9._%+-]+@[A-Za-z0-9.-]+\.[A-Za-z]{2,}$""),""✅ Valid"",""❌ Invalid"")"),"✅ Valid")</f>
        <v>✅ Valid</v>
      </c>
      <c r="P752" s="33" t="str">
        <f t="array" ref="P752">XLOOKUP(I752,customers_clean!$A$2:$A$701,customers_clean!$K$2:$K$701)</f>
        <v>+48284756231</v>
      </c>
      <c r="Q752" s="10" t="str">
        <f t="array" ref="Q752">XLOOKUP(I752,customers_clean!$A$2:$A$701,customers_clean!$N$2:$N$701)</f>
        <v>284756231</v>
      </c>
      <c r="R752" s="9" t="str">
        <f t="array" ref="R752">XLOOKUP(I752,customers_clean!$A$2:$A$701,customers_clean!$Q$2:$Q$701)</f>
        <v>❌ INVALID</v>
      </c>
      <c r="S752" s="10" t="s">
        <v>608</v>
      </c>
      <c r="T752" s="2" t="s">
        <v>26</v>
      </c>
      <c r="U752" s="2" t="s">
        <v>60</v>
      </c>
      <c r="V752" s="2" t="s">
        <v>2273</v>
      </c>
      <c r="W752" s="9" t="str">
        <f t="array" ref="W752">IF(ISNA(XLOOKUP(V752,products_master_corrected!$A$2:$A$151,products_master_corrected!$A$2:$A$151, NA())),
    "❌ MISSING SKU", "✅")</f>
        <v>✅</v>
      </c>
      <c r="X752" s="2" t="s">
        <v>2274</v>
      </c>
      <c r="Y752" s="2" t="s">
        <v>1328</v>
      </c>
      <c r="Z752" s="10" t="s">
        <v>179</v>
      </c>
      <c r="AA752" s="27">
        <v>1.0</v>
      </c>
      <c r="AB752" s="9" t="s">
        <v>8649</v>
      </c>
      <c r="AC752" s="28">
        <f t="array" ref="AC752">XLOOKUP(V752,products_master_corrected!$A$2:$A$151,products_master_corrected!$E$2:$E$151)</f>
        <v>142.55</v>
      </c>
      <c r="AD752" s="28">
        <f t="shared" si="88"/>
        <v>142.55</v>
      </c>
      <c r="AE752" s="28">
        <f t="array" ref="AE752">XLOOKUP(V752,products_master_corrected!$A$2:$A$151,products_master_corrected!$H$2:$H$151)</f>
        <v>160.15</v>
      </c>
      <c r="AF752" s="29">
        <f t="shared" si="89"/>
        <v>160.15</v>
      </c>
      <c r="AG752" s="32" t="s">
        <v>8658</v>
      </c>
      <c r="AH752" s="2" t="s">
        <v>143</v>
      </c>
      <c r="AI752" s="10" t="s">
        <v>143</v>
      </c>
      <c r="AJ752" s="2" t="s">
        <v>818</v>
      </c>
      <c r="AK752" s="10" t="s">
        <v>818</v>
      </c>
      <c r="AL752" s="2" t="s">
        <v>133</v>
      </c>
    </row>
    <row r="753" ht="15.75" customHeight="1">
      <c r="A753" s="2" t="s">
        <v>5067</v>
      </c>
      <c r="B753" s="12">
        <v>45715.0</v>
      </c>
      <c r="C753" s="2" t="str">
        <f>IFERROR(__xludf.DUMMYFUNCTION("IF(ISNUMBER(B753),TEXT(B753,""yyyy-MM-dd""),REGEXREPLACE(REGEXREPLACE(TO_TEXT(B753),""[^0-9a-zA-Z]+"",""-""),""[^0-9]*$"",""""))"),"2025-02-27")</f>
        <v>2025-02-27</v>
      </c>
      <c r="D753" s="2" t="s">
        <v>8931</v>
      </c>
      <c r="H753" s="10" t="s">
        <v>8931</v>
      </c>
      <c r="I753" s="2" t="s">
        <v>4418</v>
      </c>
      <c r="J753" s="26" t="str">
        <f t="array" ref="J753">IF(ISNA(XLOOKUP(I753,customers_clean!$A$2:$A$701,customers_clean!$A$2:$A$701, NA()) ),
   "❌ MISSING CUSTOMER", "✅")</f>
        <v>✅</v>
      </c>
      <c r="K753" s="2" t="str">
        <f t="array" ref="K753">XLOOKUP(I753,customers_clean!$A$2:$A$701,customers_clean!$C$2:$C$701)</f>
        <v>Jade Garcia</v>
      </c>
      <c r="L753" s="10" t="str">
        <f t="array" ref="L753">XLOOKUP(I753,customers_clean!$A$2:$A$701,customers_clean!$D$2:$D$701)</f>
        <v>Jade Garcia</v>
      </c>
      <c r="M753" s="2" t="str">
        <f t="array" ref="M753">XLOOKUP(I753,customers_clean!$A$2:$A$701,customers_clean!$I$2:$I$701)</f>
        <v> jade.garcia@shop.io</v>
      </c>
      <c r="N753" s="10" t="str">
        <f t="array" ref="N753">XLOOKUP(I753,customers_clean!$A$2:$A$701,customers_clean!$H$2:$H$701)</f>
        <v>jade.garcia@shop.io</v>
      </c>
      <c r="O753" s="9" t="str">
        <f>IFERROR(__xludf.DUMMYFUNCTION("IF(REGEXMATCH(TRIM(N753),""^[A-Za-z0-9._%+-]+@[A-Za-z0-9.-]+\.[A-Za-z]{2,}$""),""✅ Valid"",""❌ Invalid"")"),"✅ Valid")</f>
        <v>✅ Valid</v>
      </c>
      <c r="P753" s="33" t="str">
        <f t="array" ref="P753">XLOOKUP(I753,customers_clean!$A$2:$A$701,customers_clean!$K$2:$K$701)</f>
        <v>+48284756231</v>
      </c>
      <c r="Q753" s="10" t="str">
        <f t="array" ref="Q753">XLOOKUP(I753,customers_clean!$A$2:$A$701,customers_clean!$N$2:$N$701)</f>
        <v>284756231</v>
      </c>
      <c r="R753" s="9" t="str">
        <f t="array" ref="R753">XLOOKUP(I753,customers_clean!$A$2:$A$701,customers_clean!$Q$2:$Q$701)</f>
        <v>❌ INVALID</v>
      </c>
      <c r="S753" s="10" t="s">
        <v>608</v>
      </c>
      <c r="T753" s="2" t="s">
        <v>42</v>
      </c>
      <c r="U753" s="2" t="s">
        <v>4299</v>
      </c>
      <c r="V753" s="2" t="s">
        <v>643</v>
      </c>
      <c r="W753" s="9" t="str">
        <f t="array" ref="W753">IF(ISNA(XLOOKUP(V753,products_master_corrected!$A$2:$A$151,products_master_corrected!$A$2:$A$151, NA())),
    "❌ MISSING SKU", "✅")</f>
        <v>✅</v>
      </c>
      <c r="X753" s="2" t="s">
        <v>1147</v>
      </c>
      <c r="Y753" s="2" t="s">
        <v>368</v>
      </c>
      <c r="Z753" s="10" t="s">
        <v>368</v>
      </c>
      <c r="AA753" s="27">
        <v>2.0</v>
      </c>
      <c r="AB753" s="9" t="s">
        <v>8649</v>
      </c>
      <c r="AC753" s="28">
        <f t="array" ref="AC753">XLOOKUP(V753,products_master_corrected!$A$2:$A$151,products_master_corrected!$E$2:$E$151)</f>
        <v>62.12</v>
      </c>
      <c r="AD753" s="28">
        <f t="shared" si="88"/>
        <v>124.24</v>
      </c>
      <c r="AE753" s="28">
        <f t="array" ref="AE753">XLOOKUP(V753,products_master_corrected!$A$2:$A$151,products_master_corrected!$H$2:$H$151)</f>
        <v>69.79</v>
      </c>
      <c r="AF753" s="29">
        <f t="shared" si="89"/>
        <v>139.58</v>
      </c>
      <c r="AG753" s="32" t="s">
        <v>8658</v>
      </c>
      <c r="AH753" s="2" t="s">
        <v>305</v>
      </c>
      <c r="AI753" s="10" t="s">
        <v>49</v>
      </c>
      <c r="AJ753" s="2" t="s">
        <v>380</v>
      </c>
      <c r="AK753" s="10" t="s">
        <v>80</v>
      </c>
      <c r="AL753" s="2" t="s">
        <v>67</v>
      </c>
    </row>
    <row r="754" ht="15.75" customHeight="1">
      <c r="A754" s="2" t="s">
        <v>1664</v>
      </c>
      <c r="B754" s="12">
        <v>44957.0</v>
      </c>
      <c r="C754" s="2" t="str">
        <f>IFERROR(__xludf.DUMMYFUNCTION("IF(ISNUMBER(B754),TEXT(B754,""yyyy-MM-dd""),REGEXREPLACE(REGEXREPLACE(TO_TEXT(B754),""[^0-9a-zA-Z]+"",""-""),""[^0-9]*$"",""""))"),"2023-01-31")</f>
        <v>2023-01-31</v>
      </c>
      <c r="D754" s="2" t="s">
        <v>7010</v>
      </c>
      <c r="H754" s="10" t="s">
        <v>7010</v>
      </c>
      <c r="I754" s="2" t="s">
        <v>1666</v>
      </c>
      <c r="J754" s="26" t="str">
        <f t="array" ref="J754">IF(ISNA(XLOOKUP(I754,customers_clean!$A$2:$A$701,customers_clean!$A$2:$A$701, NA()) ),
   "❌ MISSING CUSTOMER", "✅")</f>
        <v>✅</v>
      </c>
      <c r="K754" s="2" t="str">
        <f t="array" ref="K754">XLOOKUP(I754,customers_clean!$A$2:$A$701,customers_clean!$C$2:$C$701)</f>
        <v>Rita Martinez</v>
      </c>
      <c r="L754" s="10" t="str">
        <f t="array" ref="L754">XLOOKUP(I754,customers_clean!$A$2:$A$701,customers_clean!$D$2:$D$701)</f>
        <v>Rita Martinez</v>
      </c>
      <c r="M754" s="2" t="str">
        <f t="array" ref="M754">XLOOKUP(I754,customers_clean!$A$2:$A$701,customers_clean!$I$2:$I$701)</f>
        <v>rita.martinez@gmail.com</v>
      </c>
      <c r="N754" s="10" t="str">
        <f t="array" ref="N754">XLOOKUP(I754,customers_clean!$A$2:$A$701,customers_clean!$H$2:$H$701)</f>
        <v>rita.martinez@gmail.com</v>
      </c>
      <c r="O754" s="9" t="str">
        <f>IFERROR(__xludf.DUMMYFUNCTION("IF(REGEXMATCH(TRIM(N754),""^[A-Za-z0-9._%+-]+@[A-Za-z0-9.-]+\.[A-Za-z]{2,}$""),""✅ Valid"",""❌ Invalid"")"),"✅ Valid")</f>
        <v>✅ Valid</v>
      </c>
      <c r="P754" s="2">
        <f t="array" ref="P754">XLOOKUP(I754,customers_clean!$A$2:$A$701,customers_clean!$K$2:$K$701)</f>
        <v>398245511516</v>
      </c>
      <c r="Q754" s="10" t="str">
        <f t="array" ref="Q754">XLOOKUP(I754,customers_clean!$A$2:$A$701,customers_clean!$N$2:$N$701)</f>
        <v>8245511516</v>
      </c>
      <c r="R754" s="9" t="str">
        <f t="array" ref="R754">XLOOKUP(I754,customers_clean!$A$2:$A$701,customers_clean!$Q$2:$Q$701)</f>
        <v>❌ INVALID</v>
      </c>
      <c r="S754" s="10" t="s">
        <v>114</v>
      </c>
      <c r="T754" s="2" t="s">
        <v>26</v>
      </c>
      <c r="U754" s="2" t="s">
        <v>43</v>
      </c>
      <c r="V754" s="2" t="s">
        <v>1168</v>
      </c>
      <c r="W754" s="9" t="str">
        <f t="array" ref="W754">IF(ISNA(XLOOKUP(V754,products_master_corrected!$A$2:$A$151,products_master_corrected!$A$2:$A$151, NA())),
    "❌ MISSING SKU", "✅")</f>
        <v>✅</v>
      </c>
      <c r="X754" s="2" t="s">
        <v>423</v>
      </c>
      <c r="Y754" s="2" t="s">
        <v>63</v>
      </c>
      <c r="Z754" s="10" t="s">
        <v>63</v>
      </c>
      <c r="AA754" s="27">
        <v>2.0</v>
      </c>
      <c r="AB754" s="9" t="s">
        <v>8649</v>
      </c>
      <c r="AC754" s="28">
        <f t="array" ref="AC754">XLOOKUP(V754,products_master_corrected!$A$2:$A$151,products_master_corrected!$E$2:$E$151)</f>
        <v>106.64</v>
      </c>
      <c r="AD754" s="28">
        <f t="shared" si="88"/>
        <v>213.28</v>
      </c>
      <c r="AE754" s="28">
        <f t="array" ref="AE754">XLOOKUP(V754,products_master_corrected!$A$2:$A$151,products_master_corrected!$F$2:$F$151)</f>
        <v>106.64</v>
      </c>
      <c r="AF754" s="29">
        <f t="shared" si="89"/>
        <v>213.28</v>
      </c>
      <c r="AG754" s="30" t="s">
        <v>65</v>
      </c>
      <c r="AH754" s="2" t="s">
        <v>370</v>
      </c>
      <c r="AI754" s="10" t="s">
        <v>143</v>
      </c>
      <c r="AJ754" s="2" t="s">
        <v>1670</v>
      </c>
      <c r="AK754" s="10" t="s">
        <v>80</v>
      </c>
      <c r="AL754" s="2" t="s">
        <v>133</v>
      </c>
    </row>
    <row r="755" ht="15.75" customHeight="1">
      <c r="A755" s="2" t="s">
        <v>1731</v>
      </c>
      <c r="B755" s="12">
        <v>45612.0</v>
      </c>
      <c r="C755" s="2" t="str">
        <f>IFERROR(__xludf.DUMMYFUNCTION("IF(ISNUMBER(B755),TEXT(B755,""yyyy-MM-dd""),REGEXREPLACE(REGEXREPLACE(TO_TEXT(B755),""[^0-9a-zA-Z]+"",""-""),""[^0-9]*$"",""""))"),"2024-11-16")</f>
        <v>2024-11-16</v>
      </c>
      <c r="D755" s="2" t="s">
        <v>8853</v>
      </c>
      <c r="H755" s="10" t="s">
        <v>8853</v>
      </c>
      <c r="I755" s="2" t="s">
        <v>1666</v>
      </c>
      <c r="J755" s="26" t="str">
        <f t="array" ref="J755">IF(ISNA(XLOOKUP(I755,customers_clean!$A$2:$A$701,customers_clean!$A$2:$A$701, NA()) ),
   "❌ MISSING CUSTOMER", "✅")</f>
        <v>✅</v>
      </c>
      <c r="K755" s="2" t="str">
        <f t="array" ref="K755">XLOOKUP(I755,customers_clean!$A$2:$A$701,customers_clean!$C$2:$C$701)</f>
        <v>Rita Martinez</v>
      </c>
      <c r="L755" s="10" t="str">
        <f t="array" ref="L755">XLOOKUP(I755,customers_clean!$A$2:$A$701,customers_clean!$D$2:$D$701)</f>
        <v>Rita Martinez</v>
      </c>
      <c r="M755" s="2" t="str">
        <f t="array" ref="M755">XLOOKUP(I755,customers_clean!$A$2:$A$701,customers_clean!$I$2:$I$701)</f>
        <v>rita.martinez@gmail.com</v>
      </c>
      <c r="N755" s="10" t="str">
        <f t="array" ref="N755">XLOOKUP(I755,customers_clean!$A$2:$A$701,customers_clean!$H$2:$H$701)</f>
        <v>rita.martinez@gmail.com</v>
      </c>
      <c r="O755" s="9" t="str">
        <f>IFERROR(__xludf.DUMMYFUNCTION("IF(REGEXMATCH(TRIM(N755),""^[A-Za-z0-9._%+-]+@[A-Za-z0-9.-]+\.[A-Za-z]{2,}$""),""✅ Valid"",""❌ Invalid"")"),"✅ Valid")</f>
        <v>✅ Valid</v>
      </c>
      <c r="P755" s="2">
        <f t="array" ref="P755">XLOOKUP(I755,customers_clean!$A$2:$A$701,customers_clean!$K$2:$K$701)</f>
        <v>398245511516</v>
      </c>
      <c r="Q755" s="10" t="str">
        <f t="array" ref="Q755">XLOOKUP(I755,customers_clean!$A$2:$A$701,customers_clean!$N$2:$N$701)</f>
        <v>8245511516</v>
      </c>
      <c r="R755" s="9" t="str">
        <f t="array" ref="R755">XLOOKUP(I755,customers_clean!$A$2:$A$701,customers_clean!$Q$2:$Q$701)</f>
        <v>❌ INVALID</v>
      </c>
      <c r="S755" s="10" t="s">
        <v>114</v>
      </c>
      <c r="T755" s="2" t="s">
        <v>223</v>
      </c>
      <c r="U755" s="2" t="s">
        <v>522</v>
      </c>
      <c r="V755" s="2" t="s">
        <v>1733</v>
      </c>
      <c r="W755" s="9" t="str">
        <f t="array" ref="W755">IF(ISNA(XLOOKUP(V755,products_master_corrected!$A$2:$A$151,products_master_corrected!$A$2:$A$151, NA())),
    "❌ MISSING SKU", "✅")</f>
        <v>✅</v>
      </c>
      <c r="X755" s="2" t="s">
        <v>440</v>
      </c>
      <c r="Y755" s="2" t="s">
        <v>315</v>
      </c>
      <c r="Z755" s="10" t="s">
        <v>179</v>
      </c>
      <c r="AA755" s="27">
        <v>5.0</v>
      </c>
      <c r="AB755" s="9" t="s">
        <v>8649</v>
      </c>
      <c r="AC755" s="28">
        <f t="array" ref="AC755">XLOOKUP(V755,products_master_corrected!$A$2:$A$151,products_master_corrected!$E$2:$E$151)</f>
        <v>35.69</v>
      </c>
      <c r="AD755" s="28">
        <f t="shared" si="88"/>
        <v>178.45</v>
      </c>
      <c r="AE755" s="28">
        <f t="array" ref="AE755">XLOOKUP(V755,products_master_corrected!$A$2:$A$151,products_master_corrected!$F$2:$F$151)</f>
        <v>35.69</v>
      </c>
      <c r="AF755" s="29">
        <f t="shared" si="89"/>
        <v>178.45</v>
      </c>
      <c r="AG755" s="30" t="s">
        <v>65</v>
      </c>
      <c r="AH755" s="2" t="s">
        <v>204</v>
      </c>
      <c r="AI755" s="10" t="s">
        <v>143</v>
      </c>
      <c r="AJ755" s="2" t="s">
        <v>1735</v>
      </c>
      <c r="AK755" s="10" t="s">
        <v>192</v>
      </c>
      <c r="AL755" s="2" t="s">
        <v>51</v>
      </c>
    </row>
    <row r="756" ht="15.75" customHeight="1">
      <c r="A756" s="2" t="s">
        <v>1830</v>
      </c>
      <c r="B756" s="12">
        <v>45421.0</v>
      </c>
      <c r="C756" s="2" t="str">
        <f>IFERROR(__xludf.DUMMYFUNCTION("IF(ISNUMBER(B756),TEXT(B756,""yyyy-MM-dd""),REGEXREPLACE(REGEXREPLACE(TO_TEXT(B756),""[^0-9a-zA-Z]+"",""-""),""[^0-9]*$"",""""))"),"2024-05-09")</f>
        <v>2024-05-09</v>
      </c>
      <c r="D756" s="2" t="s">
        <v>1831</v>
      </c>
      <c r="H756" s="10" t="s">
        <v>1831</v>
      </c>
      <c r="I756" s="2" t="s">
        <v>1666</v>
      </c>
      <c r="J756" s="26" t="str">
        <f t="array" ref="J756">IF(ISNA(XLOOKUP(I756,customers_clean!$A$2:$A$701,customers_clean!$A$2:$A$701, NA()) ),
   "❌ MISSING CUSTOMER", "✅")</f>
        <v>✅</v>
      </c>
      <c r="K756" s="2" t="str">
        <f t="array" ref="K756">XLOOKUP(I756,customers_clean!$A$2:$A$701,customers_clean!$C$2:$C$701)</f>
        <v>Rita Martinez</v>
      </c>
      <c r="L756" s="10" t="str">
        <f t="array" ref="L756">XLOOKUP(I756,customers_clean!$A$2:$A$701,customers_clean!$D$2:$D$701)</f>
        <v>Rita Martinez</v>
      </c>
      <c r="M756" s="2" t="str">
        <f t="array" ref="M756">XLOOKUP(I756,customers_clean!$A$2:$A$701,customers_clean!$I$2:$I$701)</f>
        <v>rita.martinez@gmail.com</v>
      </c>
      <c r="N756" s="10" t="str">
        <f t="array" ref="N756">XLOOKUP(I756,customers_clean!$A$2:$A$701,customers_clean!$H$2:$H$701)</f>
        <v>rita.martinez@gmail.com</v>
      </c>
      <c r="O756" s="9" t="str">
        <f>IFERROR(__xludf.DUMMYFUNCTION("IF(REGEXMATCH(TRIM(N756),""^[A-Za-z0-9._%+-]+@[A-Za-z0-9.-]+\.[A-Za-z]{2,}$""),""✅ Valid"",""❌ Invalid"")"),"✅ Valid")</f>
        <v>✅ Valid</v>
      </c>
      <c r="P756" s="2">
        <f t="array" ref="P756">XLOOKUP(I756,customers_clean!$A$2:$A$701,customers_clean!$K$2:$K$701)</f>
        <v>398245511516</v>
      </c>
      <c r="Q756" s="10" t="str">
        <f t="array" ref="Q756">XLOOKUP(I756,customers_clean!$A$2:$A$701,customers_clean!$N$2:$N$701)</f>
        <v>8245511516</v>
      </c>
      <c r="R756" s="9" t="str">
        <f t="array" ref="R756">XLOOKUP(I756,customers_clean!$A$2:$A$701,customers_clean!$Q$2:$Q$701)</f>
        <v>❌ INVALID</v>
      </c>
      <c r="S756" s="10" t="s">
        <v>114</v>
      </c>
      <c r="T756" s="2" t="s">
        <v>115</v>
      </c>
      <c r="U756" s="2" t="s">
        <v>352</v>
      </c>
      <c r="V756" s="2" t="s">
        <v>1815</v>
      </c>
      <c r="W756" s="9" t="str">
        <f t="array" ref="W756">IF(ISNA(XLOOKUP(V756,products_master_corrected!$A$2:$A$151,products_master_corrected!$A$2:$A$151, NA())),
    "❌ MISSING SKU", "✅")</f>
        <v>✅</v>
      </c>
      <c r="X756" s="2" t="s">
        <v>768</v>
      </c>
      <c r="Y756" s="2" t="s">
        <v>368</v>
      </c>
      <c r="Z756" s="10" t="s">
        <v>368</v>
      </c>
      <c r="AA756" s="27">
        <v>1.0</v>
      </c>
      <c r="AB756" s="9" t="s">
        <v>8649</v>
      </c>
      <c r="AC756" s="28">
        <f t="array" ref="AC756">XLOOKUP(V756,products_master_corrected!$A$2:$A$151,products_master_corrected!$E$2:$E$151)</f>
        <v>42.65</v>
      </c>
      <c r="AD756" s="28">
        <f t="shared" si="88"/>
        <v>42.65</v>
      </c>
      <c r="AE756" s="28">
        <f t="array" ref="AE756">XLOOKUP(V756,products_master_corrected!$A$2:$A$151,products_master_corrected!$F$2:$F$151)</f>
        <v>42.65</v>
      </c>
      <c r="AF756" s="29">
        <f t="shared" si="89"/>
        <v>42.65</v>
      </c>
      <c r="AG756" s="30" t="s">
        <v>65</v>
      </c>
      <c r="AH756" s="2" t="s">
        <v>49</v>
      </c>
      <c r="AI756" s="10" t="s">
        <v>49</v>
      </c>
      <c r="AJ756" s="2" t="s">
        <v>818</v>
      </c>
      <c r="AK756" s="10" t="s">
        <v>818</v>
      </c>
      <c r="AL756" s="2" t="s">
        <v>133</v>
      </c>
    </row>
    <row r="757" ht="15.75" customHeight="1">
      <c r="A757" s="2" t="s">
        <v>5363</v>
      </c>
      <c r="B757" s="12">
        <v>44953.0</v>
      </c>
      <c r="C757" s="2" t="str">
        <f>IFERROR(__xludf.DUMMYFUNCTION("IF(ISNUMBER(B757),TEXT(B757,""yyyy-MM-dd""),REGEXREPLACE(REGEXREPLACE(TO_TEXT(B757),""[^0-9a-zA-Z]+"",""-""),""[^0-9]*$"",""""))"),"2023-01-27")</f>
        <v>2023-01-27</v>
      </c>
      <c r="D757" s="2" t="s">
        <v>8932</v>
      </c>
      <c r="H757" s="10" t="s">
        <v>8932</v>
      </c>
      <c r="I757" s="2" t="s">
        <v>3618</v>
      </c>
      <c r="J757" s="26" t="str">
        <f t="array" ref="J757">IF(ISNA(XLOOKUP(I757,customers_clean!$A$2:$A$701,customers_clean!$A$2:$A$701, NA()) ),
   "❌ MISSING CUSTOMER", "✅")</f>
        <v>✅</v>
      </c>
      <c r="K757" s="2" t="str">
        <f t="array" ref="K757">XLOOKUP(I757,customers_clean!$A$2:$A$701,customers_clean!$C$2:$C$701)</f>
        <v>Fiona Davis</v>
      </c>
      <c r="L757" s="10" t="str">
        <f t="array" ref="L757">XLOOKUP(I757,customers_clean!$A$2:$A$701,customers_clean!$D$2:$D$701)</f>
        <v>Fiona Davis</v>
      </c>
      <c r="M757" s="2" t="str">
        <f t="array" ref="M757">XLOOKUP(I757,customers_clean!$A$2:$A$701,customers_clean!$I$2:$I$701)</f>
        <v>fiona.davis@company.co.uk </v>
      </c>
      <c r="N757" s="10" t="str">
        <f t="array" ref="N757">XLOOKUP(I757,customers_clean!$A$2:$A$701,customers_clean!$H$2:$H$701)</f>
        <v>fiona.davis@company.co.uk</v>
      </c>
      <c r="O757" s="9" t="str">
        <f>IFERROR(__xludf.DUMMYFUNCTION("IF(REGEXMATCH(TRIM(N757),""^[A-Za-z0-9._%+-]+@[A-Za-z0-9.-]+\.[A-Za-z]{2,}$""),""✅ Valid"",""❌ Invalid"")"),"✅ Valid")</f>
        <v>✅ Valid</v>
      </c>
      <c r="P757" s="2" t="str">
        <f t="array" ref="P757">XLOOKUP(I757,customers_clean!$A$2:$A$701,customers_clean!$K$2:$K$701)</f>
        <v>+39418250455</v>
      </c>
      <c r="Q757" s="10" t="str">
        <f t="array" ref="Q757">XLOOKUP(I757,customers_clean!$A$2:$A$701,customers_clean!$N$2:$N$701)</f>
        <v>418250455</v>
      </c>
      <c r="R757" s="9" t="str">
        <f t="array" ref="R757">XLOOKUP(I757,customers_clean!$A$2:$A$701,customers_clean!$Q$2:$Q$701)</f>
        <v>❌ INVALID</v>
      </c>
      <c r="S757" s="10" t="s">
        <v>139</v>
      </c>
      <c r="T757" s="2" t="s">
        <v>323</v>
      </c>
      <c r="U757" s="2" t="s">
        <v>480</v>
      </c>
      <c r="V757" s="2" t="s">
        <v>702</v>
      </c>
      <c r="W757" s="9" t="str">
        <f t="array" ref="W757">IF(ISNA(XLOOKUP(V757,products_master_corrected!$A$2:$A$151,products_master_corrected!$A$2:$A$151, NA())),
    "❌ MISSING SKU", "✅")</f>
        <v>✅</v>
      </c>
      <c r="X757" s="2" t="s">
        <v>524</v>
      </c>
      <c r="Y757" s="2" t="s">
        <v>703</v>
      </c>
      <c r="Z757" s="10" t="s">
        <v>248</v>
      </c>
      <c r="AA757" s="27">
        <v>2.0</v>
      </c>
      <c r="AB757" s="9" t="s">
        <v>8649</v>
      </c>
      <c r="AC757" s="28">
        <f t="array" ref="AC757">XLOOKUP(V757,products_master_corrected!$A$2:$A$151,products_master_corrected!$E$2:$E$151)</f>
        <v>176.25</v>
      </c>
      <c r="AD757" s="28">
        <f t="shared" si="88"/>
        <v>352.5</v>
      </c>
      <c r="AE757" s="28">
        <f t="array" ref="AE757">XLOOKUP(V757,products_master_corrected!$A$2:$A$151,products_master_corrected!$L$2:$L$151)</f>
        <v>190.61</v>
      </c>
      <c r="AF757" s="29">
        <f t="shared" si="89"/>
        <v>381.22</v>
      </c>
      <c r="AG757" s="32" t="s">
        <v>8665</v>
      </c>
      <c r="AH757" s="2" t="s">
        <v>143</v>
      </c>
      <c r="AI757" s="10" t="s">
        <v>143</v>
      </c>
      <c r="AJ757" s="2" t="s">
        <v>169</v>
      </c>
      <c r="AK757" s="10" t="s">
        <v>261</v>
      </c>
      <c r="AL757" s="2" t="s">
        <v>81</v>
      </c>
    </row>
    <row r="758" ht="15.75" customHeight="1">
      <c r="A758" s="2" t="s">
        <v>3616</v>
      </c>
      <c r="B758" s="12" t="s">
        <v>3617</v>
      </c>
      <c r="C758" s="2" t="str">
        <f>IFERROR(__xludf.DUMMYFUNCTION("IF(ISNUMBER(B758),TEXT(B758,""yyyy-MM-dd""),REGEXREPLACE(REGEXREPLACE(TO_TEXT(B758),""[^0-9a-zA-Z]+"",""-""),""[^0-9]*$"",""""))"),"45159-04-32")</f>
        <v>45159-04-32</v>
      </c>
      <c r="D758" s="2" t="str">
        <f t="shared" ref="D758:D759" si="90">TEXT(C758,"yyyy-MM-dd")</f>
        <v>45159-04-32</v>
      </c>
      <c r="E758" s="25" t="str">
        <f>CONCATENATE(LEFT(D758,5))</f>
        <v>45159</v>
      </c>
      <c r="F758" s="12">
        <f>DATE(1900,1,1) + E758 - 1</f>
        <v>45160</v>
      </c>
      <c r="G758" s="2" t="s">
        <v>8892</v>
      </c>
      <c r="H758" s="10" t="s">
        <v>8892</v>
      </c>
      <c r="I758" s="2" t="s">
        <v>3618</v>
      </c>
      <c r="J758" s="26" t="str">
        <f t="array" ref="J758">IF(ISNA(XLOOKUP(I758,customers_clean!$A$2:$A$701,customers_clean!$A$2:$A$701, NA()) ),
   "❌ MISSING CUSTOMER", "✅")</f>
        <v>✅</v>
      </c>
      <c r="K758" s="2" t="str">
        <f t="array" ref="K758">XLOOKUP(I758,customers_clean!$A$2:$A$701,customers_clean!$C$2:$C$701)</f>
        <v>Fiona Davis</v>
      </c>
      <c r="L758" s="10" t="str">
        <f t="array" ref="L758">XLOOKUP(I758,customers_clean!$A$2:$A$701,customers_clean!$D$2:$D$701)</f>
        <v>Fiona Davis</v>
      </c>
      <c r="M758" s="2" t="str">
        <f t="array" ref="M758">XLOOKUP(I758,customers_clean!$A$2:$A$701,customers_clean!$I$2:$I$701)</f>
        <v>fiona.davis@company.co.uk </v>
      </c>
      <c r="N758" s="10" t="str">
        <f t="array" ref="N758">XLOOKUP(I758,customers_clean!$A$2:$A$701,customers_clean!$H$2:$H$701)</f>
        <v>fiona.davis@company.co.uk</v>
      </c>
      <c r="O758" s="9" t="str">
        <f>IFERROR(__xludf.DUMMYFUNCTION("IF(REGEXMATCH(TRIM(N758),""^[A-Za-z0-9._%+-]+@[A-Za-z0-9.-]+\.[A-Za-z]{2,}$""),""✅ Valid"",""❌ Invalid"")"),"✅ Valid")</f>
        <v>✅ Valid</v>
      </c>
      <c r="P758" s="2" t="str">
        <f t="array" ref="P758">XLOOKUP(I758,customers_clean!$A$2:$A$701,customers_clean!$K$2:$K$701)</f>
        <v>+39418250455</v>
      </c>
      <c r="Q758" s="10" t="str">
        <f t="array" ref="Q758">XLOOKUP(I758,customers_clean!$A$2:$A$701,customers_clean!$N$2:$N$701)</f>
        <v>418250455</v>
      </c>
      <c r="R758" s="9" t="str">
        <f t="array" ref="R758">XLOOKUP(I758,customers_clean!$A$2:$A$701,customers_clean!$Q$2:$Q$701)</f>
        <v>❌ INVALID</v>
      </c>
      <c r="S758" s="10" t="s">
        <v>139</v>
      </c>
      <c r="T758" s="2" t="s">
        <v>683</v>
      </c>
      <c r="U758" s="2" t="s">
        <v>60</v>
      </c>
      <c r="V758" s="2" t="s">
        <v>3210</v>
      </c>
      <c r="W758" s="9" t="str">
        <f t="array" ref="W758">IF(ISNA(XLOOKUP(V758,products_master_corrected!$A$2:$A$151,products_master_corrected!$A$2:$A$151, NA())),
    "❌ MISSING SKU", "✅")</f>
        <v>✅</v>
      </c>
      <c r="X758" s="2" t="s">
        <v>3597</v>
      </c>
      <c r="Y758" s="2" t="s">
        <v>167</v>
      </c>
      <c r="Z758" s="10" t="str">
        <f>PROPER(TRIM(Y758))</f>
        <v>Monitors</v>
      </c>
      <c r="AA758" s="27">
        <v>1.0</v>
      </c>
      <c r="AB758" s="9" t="s">
        <v>8649</v>
      </c>
      <c r="AC758" s="28">
        <f t="array" ref="AC758">XLOOKUP(V758,products_master_corrected!$A$2:$A$151,products_master_corrected!$E$2:$E$151)</f>
        <v>253.27</v>
      </c>
      <c r="AD758" s="28">
        <f t="shared" si="88"/>
        <v>253.27</v>
      </c>
      <c r="AE758" s="28">
        <f t="array" ref="AE758">XLOOKUP(V758,products_master_corrected!$A$2:$A$151,products_master_corrected!$L$2:$L$151)</f>
        <v>273.91</v>
      </c>
      <c r="AF758" s="29">
        <f t="shared" si="89"/>
        <v>273.91</v>
      </c>
      <c r="AG758" s="32" t="s">
        <v>8665</v>
      </c>
      <c r="AH758" s="2" t="s">
        <v>204</v>
      </c>
      <c r="AI758" s="10" t="s">
        <v>143</v>
      </c>
      <c r="AJ758" s="2" t="s">
        <v>294</v>
      </c>
      <c r="AK758" s="10" t="s">
        <v>80</v>
      </c>
    </row>
    <row r="759" ht="15.75" customHeight="1">
      <c r="A759" s="2" t="s">
        <v>2567</v>
      </c>
      <c r="B759" s="12" t="s">
        <v>2568</v>
      </c>
      <c r="C759" s="2" t="str">
        <f>IFERROR(__xludf.DUMMYFUNCTION("IF(ISNUMBER(B759),TEXT(B759,""yyyy-MM-dd""),REGEXREPLACE(REGEXREPLACE(TO_TEXT(B759),""[^0-9a-zA-Z]+"",""-""),""[^0-9]*$"",""""))"),"12-07-2025-14-30")</f>
        <v>12-07-2025-14-30</v>
      </c>
      <c r="D759" s="2" t="str">
        <f t="shared" si="90"/>
        <v>12-07-2025-14-30</v>
      </c>
      <c r="E759" s="12" t="str">
        <f>IFERROR(__xludf.DUMMYFUNCTION("REGEXEXTRACT(D759,""^\d{2}-\d{2}-\d{4}"")"),"12-07-2025")</f>
        <v>12-07-2025</v>
      </c>
      <c r="F759" s="2" t="s">
        <v>8933</v>
      </c>
      <c r="H759" s="10" t="s">
        <v>8933</v>
      </c>
      <c r="I759" s="2" t="s">
        <v>2569</v>
      </c>
      <c r="J759" s="26" t="str">
        <f t="array" ref="J759">IF(ISNA(XLOOKUP(I759,customers_clean!$A$2:$A$701,customers_clean!$A$2:$A$701, NA()) ),
   "❌ MISSING CUSTOMER", "✅")</f>
        <v>✅</v>
      </c>
      <c r="K759" s="2" t="str">
        <f t="array" ref="K759">XLOOKUP(I759,customers_clean!$A$2:$A$701,customers_clean!$C$2:$C$701)</f>
        <v>TARA LPOEZ</v>
      </c>
      <c r="L759" s="10" t="str">
        <f t="array" ref="L759">XLOOKUP(I759,customers_clean!$A$2:$A$701,customers_clean!$D$2:$D$701)</f>
        <v>Tara Lopez</v>
      </c>
      <c r="M759" s="2" t="str">
        <f t="array" ref="M759">XLOOKUP(I759,customers_clean!$A$2:$A$701,customers_clean!$I$2:$I$701)</f>
        <v> tara.lopez@yahoo.com</v>
      </c>
      <c r="N759" s="10" t="str">
        <f t="array" ref="N759">XLOOKUP(I759,customers_clean!$A$2:$A$701,customers_clean!$H$2:$H$701)</f>
        <v>tara.lopez@yahoo.com</v>
      </c>
      <c r="O759" s="9" t="str">
        <f>IFERROR(__xludf.DUMMYFUNCTION("IF(REGEXMATCH(TRIM(N759),""^[A-Za-z0-9._%+-]+@[A-Za-z0-9.-]+\.[A-Za-z]{2,}$""),""✅ Valid"",""❌ Invalid"")"),"✅ Valid")</f>
        <v>✅ Valid</v>
      </c>
      <c r="P759" s="33" t="str">
        <f t="array" ref="P759">XLOOKUP(I759,customers_clean!$A$2:$A$701,customers_clean!$K$2:$K$701)</f>
        <v>+48+496499229</v>
      </c>
      <c r="Q759" s="10" t="str">
        <f t="array" ref="Q759">XLOOKUP(I759,customers_clean!$A$2:$A$701,customers_clean!$N$2:$N$701)</f>
        <v>496499229</v>
      </c>
      <c r="R759" s="9" t="str">
        <f t="array" ref="R759">XLOOKUP(I759,customers_clean!$A$2:$A$701,customers_clean!$Q$2:$Q$701)</f>
        <v>❌ INVALID</v>
      </c>
      <c r="S759" s="10" t="s">
        <v>25</v>
      </c>
      <c r="T759" s="2" t="s">
        <v>152</v>
      </c>
      <c r="U759" s="2" t="s">
        <v>401</v>
      </c>
      <c r="V759" s="2" t="s">
        <v>2273</v>
      </c>
      <c r="W759" s="9" t="str">
        <f t="array" ref="W759">IF(ISNA(XLOOKUP(V759,products_master_corrected!$A$2:$A$151,products_master_corrected!$A$2:$A$151, NA())),
    "❌ MISSING SKU", "✅")</f>
        <v>✅</v>
      </c>
      <c r="X759" s="2" t="s">
        <v>2274</v>
      </c>
      <c r="Y759" s="2" t="s">
        <v>1328</v>
      </c>
      <c r="Z759" s="10" t="s">
        <v>179</v>
      </c>
      <c r="AA759" s="27">
        <v>1.0</v>
      </c>
      <c r="AB759" s="9" t="s">
        <v>8649</v>
      </c>
      <c r="AC759" s="28">
        <f t="array" ref="AC759">XLOOKUP(V759,products_master_corrected!$A$2:$A$151,products_master_corrected!$E$2:$E$151)</f>
        <v>142.55</v>
      </c>
      <c r="AD759" s="28">
        <f t="shared" si="88"/>
        <v>142.55</v>
      </c>
      <c r="AE759" s="28">
        <f t="array" ref="AE759">XLOOKUP(V759,products_master_corrected!$A$2:$A$151,products_master_corrected!$K$2:$K$151)</f>
        <v>733.42</v>
      </c>
      <c r="AF759" s="29">
        <f t="shared" si="89"/>
        <v>733.42</v>
      </c>
      <c r="AG759" s="30" t="s">
        <v>95</v>
      </c>
      <c r="AH759" s="2" t="s">
        <v>143</v>
      </c>
      <c r="AI759" s="10" t="s">
        <v>143</v>
      </c>
      <c r="AJ759" s="2" t="s">
        <v>393</v>
      </c>
      <c r="AK759" s="10" t="s">
        <v>80</v>
      </c>
    </row>
    <row r="760" ht="15.75" customHeight="1">
      <c r="A760" s="2" t="s">
        <v>4448</v>
      </c>
      <c r="B760" s="12">
        <v>45565.0</v>
      </c>
      <c r="C760" s="2" t="str">
        <f>IFERROR(__xludf.DUMMYFUNCTION("IF(ISNUMBER(B760),TEXT(B760,""yyyy-MM-dd""),REGEXREPLACE(REGEXREPLACE(TO_TEXT(B760),""[^0-9a-zA-Z]+"",""-""),""[^0-9]*$"",""""))"),"2024-09-30")</f>
        <v>2024-09-30</v>
      </c>
      <c r="D760" s="2" t="s">
        <v>8934</v>
      </c>
      <c r="H760" s="10" t="s">
        <v>8934</v>
      </c>
      <c r="I760" s="2" t="s">
        <v>2569</v>
      </c>
      <c r="J760" s="26" t="str">
        <f t="array" ref="J760">IF(ISNA(XLOOKUP(I760,customers_clean!$A$2:$A$701,customers_clean!$A$2:$A$701, NA()) ),
   "❌ MISSING CUSTOMER", "✅")</f>
        <v>✅</v>
      </c>
      <c r="K760" s="2" t="str">
        <f t="array" ref="K760">XLOOKUP(I760,customers_clean!$A$2:$A$701,customers_clean!$C$2:$C$701)</f>
        <v>TARA LPOEZ</v>
      </c>
      <c r="L760" s="10" t="str">
        <f t="array" ref="L760">XLOOKUP(I760,customers_clean!$A$2:$A$701,customers_clean!$D$2:$D$701)</f>
        <v>Tara Lopez</v>
      </c>
      <c r="M760" s="2" t="str">
        <f t="array" ref="M760">XLOOKUP(I760,customers_clean!$A$2:$A$701,customers_clean!$I$2:$I$701)</f>
        <v> tara.lopez@yahoo.com</v>
      </c>
      <c r="N760" s="10" t="str">
        <f t="array" ref="N760">XLOOKUP(I760,customers_clean!$A$2:$A$701,customers_clean!$H$2:$H$701)</f>
        <v>tara.lopez@yahoo.com</v>
      </c>
      <c r="O760" s="9" t="str">
        <f>IFERROR(__xludf.DUMMYFUNCTION("IF(REGEXMATCH(TRIM(N760),""^[A-Za-z0-9._%+-]+@[A-Za-z0-9.-]+\.[A-Za-z]{2,}$""),""✅ Valid"",""❌ Invalid"")"),"✅ Valid")</f>
        <v>✅ Valid</v>
      </c>
      <c r="P760" s="33" t="str">
        <f t="array" ref="P760">XLOOKUP(I760,customers_clean!$A$2:$A$701,customers_clean!$K$2:$K$701)</f>
        <v>+48+496499229</v>
      </c>
      <c r="Q760" s="10" t="str">
        <f t="array" ref="Q760">XLOOKUP(I760,customers_clean!$A$2:$A$701,customers_clean!$N$2:$N$701)</f>
        <v>496499229</v>
      </c>
      <c r="R760" s="9" t="str">
        <f t="array" ref="R760">XLOOKUP(I760,customers_clean!$A$2:$A$701,customers_clean!$Q$2:$Q$701)</f>
        <v>❌ INVALID</v>
      </c>
      <c r="S760" s="10" t="s">
        <v>25</v>
      </c>
      <c r="T760" s="2" t="s">
        <v>115</v>
      </c>
      <c r="U760" s="2" t="s">
        <v>870</v>
      </c>
      <c r="V760" s="2" t="s">
        <v>746</v>
      </c>
      <c r="W760" s="9" t="str">
        <f t="array" ref="W760">IF(ISNA(XLOOKUP(V760,products_master_corrected!$A$2:$A$151,products_master_corrected!$A$2:$A$151, NA())),
    "❌ MISSING SKU", "✅")</f>
        <v>✅</v>
      </c>
      <c r="X760" s="2" t="s">
        <v>747</v>
      </c>
      <c r="Y760" s="2" t="s">
        <v>748</v>
      </c>
      <c r="Z760" s="10" t="s">
        <v>355</v>
      </c>
      <c r="AA760" s="27">
        <v>1.0</v>
      </c>
      <c r="AB760" s="9" t="s">
        <v>8649</v>
      </c>
      <c r="AC760" s="28">
        <f t="array" ref="AC760">XLOOKUP(V760,products_master_corrected!$A$2:$A$151,products_master_corrected!$E$2:$E$151)</f>
        <v>346</v>
      </c>
      <c r="AD760" s="28">
        <f t="shared" si="88"/>
        <v>346</v>
      </c>
      <c r="AE760" s="28">
        <f t="array" ref="AE760">XLOOKUP(V760,products_master_corrected!$A$2:$A$151,products_master_corrected!$K$2:$K$151)</f>
        <v>1780.17</v>
      </c>
      <c r="AF760" s="29">
        <f t="shared" si="89"/>
        <v>1780.17</v>
      </c>
      <c r="AG760" s="30" t="s">
        <v>95</v>
      </c>
      <c r="AH760" s="2" t="s">
        <v>505</v>
      </c>
      <c r="AI760" s="10" t="s">
        <v>181</v>
      </c>
      <c r="AJ760" s="2" t="s">
        <v>34</v>
      </c>
      <c r="AK760" s="10" t="s">
        <v>80</v>
      </c>
    </row>
    <row r="761" ht="15.75" customHeight="1">
      <c r="A761" s="2" t="s">
        <v>5330</v>
      </c>
      <c r="B761" s="12">
        <v>44943.0</v>
      </c>
      <c r="C761" s="2" t="str">
        <f>IFERROR(__xludf.DUMMYFUNCTION("IF(ISNUMBER(B761),TEXT(B761,""yyyy-MM-dd""),REGEXREPLACE(REGEXREPLACE(TO_TEXT(B761),""[^0-9a-zA-Z]+"",""-""),""[^0-9]*$"",""""))"),"2023-01-17")</f>
        <v>2023-01-17</v>
      </c>
      <c r="D761" s="2" t="s">
        <v>6621</v>
      </c>
      <c r="H761" s="10" t="s">
        <v>6621</v>
      </c>
      <c r="I761" s="2" t="s">
        <v>5332</v>
      </c>
      <c r="J761" s="26" t="str">
        <f t="array" ref="J761">IF(ISNA(XLOOKUP(I761,customers_clean!$A$2:$A$701,customers_clean!$A$2:$A$701, NA()) ),
   "❌ MISSING CUSTOMER", "✅")</f>
        <v>✅</v>
      </c>
      <c r="K761" s="2" t="str">
        <f t="array" ref="K761">XLOOKUP(I761,customers_clean!$A$2:$A$701,customers_clean!$C$2:$C$701)</f>
        <v>Sam  Kowalczyk</v>
      </c>
      <c r="L761" s="10" t="str">
        <f t="array" ref="L761">XLOOKUP(I761,customers_clean!$A$2:$A$701,customers_clean!$D$2:$D$701)</f>
        <v>Sam Kowalczyk</v>
      </c>
      <c r="M761" s="2" t="str">
        <f t="array" ref="M761">XLOOKUP(I761,customers_clean!$A$2:$A$701,customers_clean!$I$2:$I$701)</f>
        <v>sam.kowalczyk@outlook.com </v>
      </c>
      <c r="N761" s="10" t="str">
        <f t="array" ref="N761">XLOOKUP(I761,customers_clean!$A$2:$A$701,customers_clean!$H$2:$H$701)</f>
        <v>sam.kowalczyk@outlook.com</v>
      </c>
      <c r="O761" s="9" t="str">
        <f>IFERROR(__xludf.DUMMYFUNCTION("IF(REGEXMATCH(TRIM(N761),""^[A-Za-z0-9._%+-]+@[A-Za-z0-9.-]+\.[A-Za-z]{2,}$""),""✅ Valid"",""❌ Invalid"")"),"✅ Valid")</f>
        <v>✅ Valid</v>
      </c>
      <c r="P761" s="2" t="str">
        <f t="array" ref="P761">XLOOKUP(I761,customers_clean!$A$2:$A$701,customers_clean!$K$2:$K$701)</f>
        <v>tel:+353200589809</v>
      </c>
      <c r="Q761" s="10" t="str">
        <f t="array" ref="Q761">XLOOKUP(I761,customers_clean!$A$2:$A$701,customers_clean!$N$2:$N$701)</f>
        <v>200589809</v>
      </c>
      <c r="R761" s="9" t="str">
        <f t="array" ref="R761">XLOOKUP(I761,customers_clean!$A$2:$A$701,customers_clean!$Q$2:$Q$701)</f>
        <v>❌ INVALID</v>
      </c>
      <c r="S761" s="10" t="s">
        <v>58</v>
      </c>
      <c r="T761" s="2" t="s">
        <v>42</v>
      </c>
      <c r="U761" s="2" t="s">
        <v>5335</v>
      </c>
      <c r="V761" s="2" t="s">
        <v>302</v>
      </c>
      <c r="W761" s="9" t="str">
        <f t="array" ref="W761">IF(ISNA(XLOOKUP(V761,products_master_corrected!$A$2:$A$151,products_master_corrected!$A$2:$A$151, NA())),
    "❌ MISSING SKU", "✅")</f>
        <v>✅</v>
      </c>
      <c r="X761" s="2" t="s">
        <v>303</v>
      </c>
      <c r="Y761" s="2" t="s">
        <v>248</v>
      </c>
      <c r="Z761" s="10" t="s">
        <v>248</v>
      </c>
      <c r="AA761" s="27">
        <v>1.0</v>
      </c>
      <c r="AB761" s="9" t="s">
        <v>8649</v>
      </c>
      <c r="AC761" s="28">
        <f t="array" ref="AC761">XLOOKUP(V761,products_master_corrected!$A$2:$A$151,products_master_corrected!$E$2:$E$151)</f>
        <v>172.22</v>
      </c>
      <c r="AD761" s="28">
        <f t="shared" si="88"/>
        <v>172.22</v>
      </c>
      <c r="AE761" s="28">
        <f t="array" ref="AE761">XLOOKUP(V761,products_master_corrected!$A$2:$A$151,products_master_corrected!$G$2:$G$151)</f>
        <v>197.16</v>
      </c>
      <c r="AF761" s="29">
        <f t="shared" si="89"/>
        <v>197.16</v>
      </c>
      <c r="AG761" s="32" t="s">
        <v>8663</v>
      </c>
      <c r="AH761" s="2" t="s">
        <v>664</v>
      </c>
      <c r="AI761" s="10" t="s">
        <v>66</v>
      </c>
      <c r="AJ761" s="2" t="s">
        <v>80</v>
      </c>
      <c r="AK761" s="10" t="s">
        <v>80</v>
      </c>
      <c r="AL761" s="2" t="s">
        <v>133</v>
      </c>
    </row>
    <row r="762" ht="15.75" customHeight="1">
      <c r="A762" s="2" t="s">
        <v>4150</v>
      </c>
      <c r="B762" s="12">
        <v>44964.0</v>
      </c>
      <c r="C762" s="2" t="str">
        <f>IFERROR(__xludf.DUMMYFUNCTION("IF(ISNUMBER(B762),TEXT(B762,""yyyy-MM-dd""),REGEXREPLACE(REGEXREPLACE(TO_TEXT(B762),""[^0-9a-zA-Z]+"",""-""),""[^0-9]*$"",""""))"),"2023-02-07")</f>
        <v>2023-02-07</v>
      </c>
      <c r="D762" s="2" t="s">
        <v>8935</v>
      </c>
      <c r="H762" s="10" t="s">
        <v>8935</v>
      </c>
      <c r="I762" s="2" t="s">
        <v>3371</v>
      </c>
      <c r="J762" s="26" t="str">
        <f t="array" ref="J762">IF(ISNA(XLOOKUP(I762,customers_clean!$A$2:$A$701,customers_clean!$A$2:$A$701, NA()) ),
   "❌ MISSING CUSTOMER", "✅")</f>
        <v>✅</v>
      </c>
      <c r="K762" s="2" t="str">
        <f t="array" ref="K762">XLOOKUP(I762,customers_clean!$A$2:$A$701,customers_clean!$C$2:$C$701)</f>
        <v>Fiona Martinez</v>
      </c>
      <c r="L762" s="10" t="str">
        <f t="array" ref="L762">XLOOKUP(I762,customers_clean!$A$2:$A$701,customers_clean!$D$2:$D$701)</f>
        <v>Fiona Martinez</v>
      </c>
      <c r="M762" s="2" t="str">
        <f t="array" ref="M762">XLOOKUP(I762,customers_clean!$A$2:$A$701,customers_clean!$I$2:$I$701)</f>
        <v> fiona.martinez@shopi.o</v>
      </c>
      <c r="N762" s="10" t="str">
        <f t="array" ref="N762">XLOOKUP(I762,customers_clean!$A$2:$A$701,customers_clean!$H$2:$H$701)</f>
        <v>fiona.martinez@shopi.o</v>
      </c>
      <c r="O762" s="9" t="str">
        <f>IFERROR(__xludf.DUMMYFUNCTION("IF(REGEXMATCH(TRIM(N762),""^[A-Za-z0-9._%+-]+@[A-Za-z0-9.-]+\.[A-Za-z]{2,}$""),""✅ Valid"",""❌ Invalid"")"),"❌ Invalid")</f>
        <v>❌ Invalid</v>
      </c>
      <c r="P762" s="2" t="str">
        <f t="array" ref="P762">XLOOKUP(I762,customers_clean!$A$2:$A$701,customers_clean!$K$2:$K$701)</f>
        <v>862-637-251</v>
      </c>
      <c r="Q762" s="10" t="str">
        <f t="array" ref="Q762">XLOOKUP(I762,customers_clean!$A$2:$A$701,customers_clean!$N$2:$N$701)</f>
        <v>862637251</v>
      </c>
      <c r="R762" s="9" t="str">
        <f t="array" ref="R762">XLOOKUP(I762,customers_clean!$A$2:$A$701,customers_clean!$Q$2:$Q$701)</f>
        <v>❌ INVALID</v>
      </c>
      <c r="S762" s="10" t="s">
        <v>88</v>
      </c>
      <c r="T762" s="2" t="s">
        <v>42</v>
      </c>
      <c r="U762" s="2" t="s">
        <v>43</v>
      </c>
      <c r="V762" s="2" t="s">
        <v>4068</v>
      </c>
      <c r="W762" s="9" t="str">
        <f t="array" ref="W762">IF(ISNA(XLOOKUP(V762,products_master_corrected!$A$2:$A$151,products_master_corrected!$A$2:$A$151, NA())),
    "❌ MISSING SKU", "✅")</f>
        <v>✅</v>
      </c>
      <c r="X762" s="2" t="s">
        <v>403</v>
      </c>
      <c r="Y762" s="2" t="s">
        <v>1016</v>
      </c>
      <c r="Z762" s="10" t="s">
        <v>355</v>
      </c>
      <c r="AA762" s="27">
        <v>1.0</v>
      </c>
      <c r="AB762" s="9" t="s">
        <v>8649</v>
      </c>
      <c r="AC762" s="28">
        <f t="array" ref="AC762">XLOOKUP(V762,products_master_corrected!$A$2:$A$151,products_master_corrected!$E$2:$E$151)</f>
        <v>49.62</v>
      </c>
      <c r="AD762" s="28">
        <f t="shared" si="88"/>
        <v>49.62</v>
      </c>
      <c r="AE762" s="28">
        <f t="array" ref="AE762">XLOOKUP(V762,products_master_corrected!$A$2:$A$151,products_master_corrected!$I$2:$I$151)</f>
        <v>54.7</v>
      </c>
      <c r="AF762" s="29">
        <f t="shared" si="89"/>
        <v>54.7</v>
      </c>
      <c r="AG762" s="32" t="s">
        <v>8660</v>
      </c>
      <c r="AH762" s="2" t="s">
        <v>485</v>
      </c>
      <c r="AI762" s="10" t="s">
        <v>181</v>
      </c>
      <c r="AJ762" s="2" t="s">
        <v>380</v>
      </c>
      <c r="AK762" s="10" t="s">
        <v>80</v>
      </c>
      <c r="AL762" s="2" t="s">
        <v>67</v>
      </c>
    </row>
    <row r="763" ht="15.75" customHeight="1">
      <c r="A763" s="2" t="s">
        <v>3369</v>
      </c>
      <c r="B763" s="12">
        <v>45268.06041666667</v>
      </c>
      <c r="C763" s="2" t="str">
        <f>IFERROR(__xludf.DUMMYFUNCTION("IF(ISNUMBER(B763),TEXT(B763,""yyyy-MM-dd""),REGEXREPLACE(REGEXREPLACE(TO_TEXT(B763),""[^0-9a-zA-Z]+"",""-""),""[^0-9]*$"",""""))"),"2023-12-08")</f>
        <v>2023-12-08</v>
      </c>
      <c r="D763" s="2" t="s">
        <v>8797</v>
      </c>
      <c r="H763" s="10" t="s">
        <v>8797</v>
      </c>
      <c r="I763" s="2" t="s">
        <v>3371</v>
      </c>
      <c r="J763" s="26" t="str">
        <f t="array" ref="J763">IF(ISNA(XLOOKUP(I763,customers_clean!$A$2:$A$701,customers_clean!$A$2:$A$701, NA()) ),
   "❌ MISSING CUSTOMER", "✅")</f>
        <v>✅</v>
      </c>
      <c r="K763" s="2" t="str">
        <f t="array" ref="K763">XLOOKUP(I763,customers_clean!$A$2:$A$701,customers_clean!$C$2:$C$701)</f>
        <v>Fiona Martinez</v>
      </c>
      <c r="L763" s="10" t="str">
        <f t="array" ref="L763">XLOOKUP(I763,customers_clean!$A$2:$A$701,customers_clean!$D$2:$D$701)</f>
        <v>Fiona Martinez</v>
      </c>
      <c r="M763" s="2" t="str">
        <f t="array" ref="M763">XLOOKUP(I763,customers_clean!$A$2:$A$701,customers_clean!$I$2:$I$701)</f>
        <v> fiona.martinez@shopi.o</v>
      </c>
      <c r="N763" s="10" t="str">
        <f t="array" ref="N763">XLOOKUP(I763,customers_clean!$A$2:$A$701,customers_clean!$H$2:$H$701)</f>
        <v>fiona.martinez@shopi.o</v>
      </c>
      <c r="O763" s="9" t="str">
        <f>IFERROR(__xludf.DUMMYFUNCTION("IF(REGEXMATCH(TRIM(N763),""^[A-Za-z0-9._%+-]+@[A-Za-z0-9.-]+\.[A-Za-z]{2,}$""),""✅ Valid"",""❌ Invalid"")"),"❌ Invalid")</f>
        <v>❌ Invalid</v>
      </c>
      <c r="P763" s="2" t="str">
        <f t="array" ref="P763">XLOOKUP(I763,customers_clean!$A$2:$A$701,customers_clean!$K$2:$K$701)</f>
        <v>862-637-251</v>
      </c>
      <c r="Q763" s="10" t="str">
        <f t="array" ref="Q763">XLOOKUP(I763,customers_clean!$A$2:$A$701,customers_clean!$N$2:$N$701)</f>
        <v>862637251</v>
      </c>
      <c r="R763" s="9" t="str">
        <f t="array" ref="R763">XLOOKUP(I763,customers_clean!$A$2:$A$701,customers_clean!$Q$2:$Q$701)</f>
        <v>❌ INVALID</v>
      </c>
      <c r="S763" s="10" t="s">
        <v>88</v>
      </c>
      <c r="T763" s="2" t="s">
        <v>152</v>
      </c>
      <c r="U763" s="2" t="s">
        <v>401</v>
      </c>
      <c r="V763" s="2" t="s">
        <v>729</v>
      </c>
      <c r="W763" s="9" t="str">
        <f t="array" ref="W763">IF(ISNA(XLOOKUP(V763,products_master_corrected!$A$2:$A$151,products_master_corrected!$A$2:$A$151, NA())),
    "❌ MISSING SKU", "✅")</f>
        <v>✅</v>
      </c>
      <c r="X763" s="2" t="s">
        <v>62</v>
      </c>
      <c r="Y763" s="2" t="s">
        <v>730</v>
      </c>
      <c r="Z763" s="10" t="s">
        <v>63</v>
      </c>
      <c r="AA763" s="27">
        <v>1.0</v>
      </c>
      <c r="AB763" s="9" t="s">
        <v>8649</v>
      </c>
      <c r="AC763" s="28">
        <f t="array" ref="AC763">XLOOKUP(V763,products_master_corrected!$A$2:$A$151,products_master_corrected!$E$2:$E$151)</f>
        <v>59.89</v>
      </c>
      <c r="AD763" s="28">
        <f t="shared" si="88"/>
        <v>59.89</v>
      </c>
      <c r="AE763" s="28">
        <f t="array" ref="AE763">XLOOKUP(V763,products_master_corrected!$A$2:$A$151,products_master_corrected!$I$2:$I$151)</f>
        <v>66.02</v>
      </c>
      <c r="AF763" s="29">
        <f t="shared" si="89"/>
        <v>66.02</v>
      </c>
      <c r="AG763" s="32" t="s">
        <v>8660</v>
      </c>
      <c r="AH763" s="2" t="s">
        <v>33</v>
      </c>
      <c r="AI763" s="10" t="s">
        <v>181</v>
      </c>
      <c r="AJ763" s="2" t="s">
        <v>169</v>
      </c>
      <c r="AK763" s="10" t="s">
        <v>261</v>
      </c>
      <c r="AL763" s="2" t="s">
        <v>81</v>
      </c>
    </row>
    <row r="764" ht="15.75" customHeight="1">
      <c r="A764" s="2" t="s">
        <v>3546</v>
      </c>
      <c r="B764" s="12">
        <v>45501.495833333334</v>
      </c>
      <c r="C764" s="2" t="str">
        <f>IFERROR(__xludf.DUMMYFUNCTION("IF(ISNUMBER(B764),TEXT(B764,""yyyy-MM-dd""),REGEXREPLACE(REGEXREPLACE(TO_TEXT(B764),""[^0-9a-zA-Z]+"",""-""),""[^0-9]*$"",""""))"),"2024-07-28")</f>
        <v>2024-07-28</v>
      </c>
      <c r="D764" s="2" t="s">
        <v>7682</v>
      </c>
      <c r="H764" s="10" t="s">
        <v>7682</v>
      </c>
      <c r="I764" s="2" t="s">
        <v>3548</v>
      </c>
      <c r="J764" s="26" t="str">
        <f t="array" ref="J764">IF(ISNA(XLOOKUP(I764,customers_clean!$A$2:$A$701,customers_clean!$A$2:$A$701, NA()) ),
   "❌ MISSING CUSTOMER", "✅")</f>
        <v>✅</v>
      </c>
      <c r="K764" s="2" t="str">
        <f t="array" ref="K764">XLOOKUP(I764,customers_clean!$A$2:$A$701,customers_clean!$C$2:$C$701)</f>
        <v>Hanna Muller </v>
      </c>
      <c r="L764" s="10" t="str">
        <f t="array" ref="L764">XLOOKUP(I764,customers_clean!$A$2:$A$701,customers_clean!$D$2:$D$701)</f>
        <v>Hanna Muller</v>
      </c>
      <c r="M764" s="2" t="str">
        <f t="array" ref="M764">XLOOKUP(I764,customers_clean!$A$2:$A$701,customers_clean!$I$2:$I$701)</f>
        <v>Hanna.Muller@Shop.Io</v>
      </c>
      <c r="N764" s="10" t="str">
        <f t="array" ref="N764">XLOOKUP(I764,customers_clean!$A$2:$A$701,customers_clean!$H$2:$H$701)</f>
        <v>hanna.muller@shop.io</v>
      </c>
      <c r="O764" s="9" t="str">
        <f>IFERROR(__xludf.DUMMYFUNCTION("IF(REGEXMATCH(TRIM(N764),""^[A-Za-z0-9._%+-]+@[A-Za-z0-9.-]+\.[A-Za-z]{2,}$""),""✅ Valid"",""❌ Invalid"")"),"✅ Valid")</f>
        <v>✅ Valid</v>
      </c>
      <c r="P764" s="2" t="str">
        <f t="array" ref="P764">XLOOKUP(I764,customers_clean!$A$2:$A$701,customers_clean!$K$2:$K$701)</f>
        <v>missing</v>
      </c>
      <c r="Q764" s="10" t="str">
        <f t="array" ref="Q764">XLOOKUP(I764,customers_clean!$A$2:$A$701,customers_clean!$N$2:$N$701)</f>
        <v/>
      </c>
      <c r="R764" s="9" t="str">
        <f t="array" ref="R764">XLOOKUP(I764,customers_clean!$A$2:$A$701,customers_clean!$Q$2:$Q$701)</f>
        <v>❌ INVALID</v>
      </c>
      <c r="S764" s="10" t="s">
        <v>448</v>
      </c>
      <c r="T764" s="2" t="s">
        <v>210</v>
      </c>
      <c r="U764" s="2" t="s">
        <v>60</v>
      </c>
      <c r="V764" s="2" t="s">
        <v>439</v>
      </c>
      <c r="W764" s="9" t="str">
        <f t="array" ref="W764">IF(ISNA(XLOOKUP(V764,products_master_corrected!$A$2:$A$151,products_master_corrected!$A$2:$A$151, NA())),
    "❌ MISSING SKU", "✅")</f>
        <v>✅</v>
      </c>
      <c r="X764" s="2" t="s">
        <v>440</v>
      </c>
      <c r="Y764" s="2" t="s">
        <v>63</v>
      </c>
      <c r="Z764" s="10" t="s">
        <v>63</v>
      </c>
      <c r="AA764" s="27">
        <v>2.0</v>
      </c>
      <c r="AB764" s="9" t="s">
        <v>8649</v>
      </c>
      <c r="AC764" s="28">
        <f t="array" ref="AC764">XLOOKUP(V764,products_master_corrected!$A$2:$A$151,products_master_corrected!$E$2:$E$151)</f>
        <v>70.84</v>
      </c>
      <c r="AD764" s="28">
        <f t="shared" si="88"/>
        <v>141.68</v>
      </c>
      <c r="AE764" s="28">
        <f t="array" ref="AE764">XLOOKUP(V764,products_master_corrected!$A$2:$A$151,products_master_corrected!$M$2:$M$151)</f>
        <v>85.69</v>
      </c>
      <c r="AF764" s="29">
        <f t="shared" si="89"/>
        <v>171.38</v>
      </c>
      <c r="AG764" s="30" t="s">
        <v>48</v>
      </c>
      <c r="AH764" s="2" t="s">
        <v>66</v>
      </c>
      <c r="AI764" s="10" t="s">
        <v>66</v>
      </c>
      <c r="AJ764" s="2" t="s">
        <v>345</v>
      </c>
      <c r="AK764" s="10" t="s">
        <v>261</v>
      </c>
      <c r="AL764" s="2" t="s">
        <v>51</v>
      </c>
    </row>
    <row r="765" ht="15.75" customHeight="1">
      <c r="A765" s="2" t="s">
        <v>6003</v>
      </c>
      <c r="B765" s="12" t="s">
        <v>6004</v>
      </c>
      <c r="C765" s="2" t="str">
        <f>IFERROR(__xludf.DUMMYFUNCTION("IF(ISNUMBER(B765),TEXT(B765,""yyyy-MM-dd""),REGEXREPLACE(REGEXREPLACE(TO_TEXT(B765),""[^0-9a-zA-Z]+"",""-""),""[^0-9]*$"",""""))"),"07-31-2024")</f>
        <v>07-31-2024</v>
      </c>
      <c r="D765" s="2" t="str">
        <f>TEXT(C765,"yyyy-MM-dd")</f>
        <v>07-31-2024</v>
      </c>
      <c r="E765" s="2" t="s">
        <v>7851</v>
      </c>
      <c r="H765" s="10" t="s">
        <v>7851</v>
      </c>
      <c r="I765" s="2" t="s">
        <v>6005</v>
      </c>
      <c r="J765" s="26" t="str">
        <f t="array" ref="J765">IF(ISNA(XLOOKUP(I765,customers_clean!$A$2:$A$701,customers_clean!$A$2:$A$701, NA()) ),
   "❌ MISSING CUSTOMER", "✅")</f>
        <v>✅</v>
      </c>
      <c r="K765" s="2" t="str">
        <f t="array" ref="K765">XLOOKUP(I765,customers_clean!$A$2:$A$701,customers_clean!$C$2:$C$701)</f>
        <v>Yara Khan</v>
      </c>
      <c r="L765" s="10" t="str">
        <f t="array" ref="L765">XLOOKUP(I765,customers_clean!$A$2:$A$701,customers_clean!$D$2:$D$701)</f>
        <v>Yara Khan</v>
      </c>
      <c r="M765" s="2" t="str">
        <f t="array" ref="M765">XLOOKUP(I765,customers_clean!$A$2:$A$701,customers_clean!$I$2:$I$701)</f>
        <v> yara.khan@yahoo.com</v>
      </c>
      <c r="N765" s="10" t="str">
        <f t="array" ref="N765">XLOOKUP(I765,customers_clean!$A$2:$A$701,customers_clean!$H$2:$H$701)</f>
        <v>yara.khan@yahoo.com</v>
      </c>
      <c r="O765" s="9" t="str">
        <f>IFERROR(__xludf.DUMMYFUNCTION("IF(REGEXMATCH(TRIM(N765),""^[A-Za-z0-9._%+-]+@[A-Za-z0-9.-]+\.[A-Za-z]{2,}$""),""✅ Valid"",""❌ Invalid"")"),"✅ Valid")</f>
        <v>✅ Valid</v>
      </c>
      <c r="P765" s="2" t="str">
        <f t="array" ref="P765">XLOOKUP(I765,customers_clean!$A$2:$A$701,customers_clean!$K$2:$K$701)</f>
        <v>+3950554637</v>
      </c>
      <c r="Q765" s="10" t="str">
        <f t="array" ref="Q765">XLOOKUP(I765,customers_clean!$A$2:$A$701,customers_clean!$N$2:$N$701)</f>
        <v>50554637</v>
      </c>
      <c r="R765" s="9" t="str">
        <f t="array" ref="R765">XLOOKUP(I765,customers_clean!$A$2:$A$701,customers_clean!$Q$2:$Q$701)</f>
        <v>❌ INVALID</v>
      </c>
      <c r="S765" s="10" t="s">
        <v>25</v>
      </c>
      <c r="T765" s="2" t="s">
        <v>42</v>
      </c>
      <c r="U765" s="2" t="s">
        <v>289</v>
      </c>
      <c r="V765" s="2" t="s">
        <v>904</v>
      </c>
      <c r="W765" s="9" t="str">
        <f t="array" ref="W765">IF(ISNA(XLOOKUP(V765,products_master_corrected!$A$2:$A$151,products_master_corrected!$A$2:$A$151, NA())),
    "❌ MISSING SKU", "✅")</f>
        <v>✅</v>
      </c>
      <c r="X765" s="2" t="s">
        <v>905</v>
      </c>
      <c r="Y765" s="2" t="s">
        <v>167</v>
      </c>
      <c r="Z765" s="10" t="str">
        <f>PROPER(TRIM(Y765))</f>
        <v>Monitors</v>
      </c>
      <c r="AA765" s="27">
        <v>2.0</v>
      </c>
      <c r="AB765" s="9" t="s">
        <v>8649</v>
      </c>
      <c r="AC765" s="28">
        <f t="array" ref="AC765">XLOOKUP(V765,products_master_corrected!$A$2:$A$151,products_master_corrected!$E$2:$E$151)</f>
        <v>132.42</v>
      </c>
      <c r="AD765" s="28">
        <f t="shared" si="88"/>
        <v>264.84</v>
      </c>
      <c r="AE765" s="28">
        <f t="array" ref="AE765">XLOOKUP(V765,products_master_corrected!$A$2:$A$151,products_master_corrected!$K$2:$K$151)</f>
        <v>681.3</v>
      </c>
      <c r="AF765" s="29">
        <f t="shared" si="89"/>
        <v>1362.6</v>
      </c>
      <c r="AG765" s="30" t="s">
        <v>95</v>
      </c>
      <c r="AH765" s="2" t="s">
        <v>49</v>
      </c>
      <c r="AI765" s="10" t="s">
        <v>49</v>
      </c>
      <c r="AJ765" s="2" t="s">
        <v>169</v>
      </c>
      <c r="AK765" s="10" t="s">
        <v>261</v>
      </c>
    </row>
    <row r="766" ht="15.75" customHeight="1">
      <c r="A766" s="2" t="s">
        <v>4873</v>
      </c>
      <c r="B766" s="12">
        <v>45376.0</v>
      </c>
      <c r="C766" s="2" t="str">
        <f>IFERROR(__xludf.DUMMYFUNCTION("IF(ISNUMBER(B766),TEXT(B766,""yyyy-MM-dd""),REGEXREPLACE(REGEXREPLACE(TO_TEXT(B766),""[^0-9a-zA-Z]+"",""-""),""[^0-9]*$"",""""))"),"2024-03-25")</f>
        <v>2024-03-25</v>
      </c>
      <c r="D766" s="2" t="s">
        <v>8695</v>
      </c>
      <c r="H766" s="10" t="s">
        <v>8695</v>
      </c>
      <c r="I766" s="2" t="s">
        <v>3755</v>
      </c>
      <c r="J766" s="26" t="str">
        <f t="array" ref="J766">IF(ISNA(XLOOKUP(I766,customers_clean!$A$2:$A$701,customers_clean!$A$2:$A$701, NA()) ),
   "❌ MISSING CUSTOMER", "✅")</f>
        <v>✅</v>
      </c>
      <c r="K766" s="2" t="str">
        <f t="array" ref="K766">XLOOKUP(I766,customers_clean!$A$2:$A$701,customers_clean!$C$2:$C$701)</f>
        <v> Daria Walker</v>
      </c>
      <c r="L766" s="10" t="str">
        <f t="array" ref="L766">XLOOKUP(I766,customers_clean!$A$2:$A$701,customers_clean!$D$2:$D$701)</f>
        <v>Daria Walker</v>
      </c>
      <c r="M766" s="2" t="str">
        <f t="array" ref="M766">XLOOKUP(I766,customers_clean!$A$2:$A$701,customers_clean!$I$2:$I$701)</f>
        <v> daria.walker@compayn.co.uk</v>
      </c>
      <c r="N766" s="10" t="str">
        <f t="array" ref="N766">XLOOKUP(I766,customers_clean!$A$2:$A$701,customers_clean!$H$2:$H$701)</f>
        <v>daria.walker@compayn.co.uk</v>
      </c>
      <c r="O766" s="9" t="str">
        <f>IFERROR(__xludf.DUMMYFUNCTION("IF(REGEXMATCH(TRIM(N766),""^[A-Za-z0-9._%+-]+@[A-Za-z0-9.-]+\.[A-Za-z]{2,}$""),""✅ Valid"",""❌ Invalid"")"),"✅ Valid")</f>
        <v>✅ Valid</v>
      </c>
      <c r="P766" s="2" t="str">
        <f t="array" ref="P766">XLOOKUP(I766,customers_clean!$A$2:$A$701,customers_clean!$K$2:$K$701)</f>
        <v>+39-265-53188</v>
      </c>
      <c r="Q766" s="10" t="str">
        <f t="array" ref="Q766">XLOOKUP(I766,customers_clean!$A$2:$A$701,customers_clean!$N$2:$N$701)</f>
        <v>26553188</v>
      </c>
      <c r="R766" s="9" t="str">
        <f t="array" ref="R766">XLOOKUP(I766,customers_clean!$A$2:$A$701,customers_clean!$Q$2:$Q$701)</f>
        <v>❌ INVALID</v>
      </c>
      <c r="S766" s="10" t="s">
        <v>114</v>
      </c>
      <c r="T766" s="2" t="s">
        <v>115</v>
      </c>
      <c r="U766" s="2" t="s">
        <v>176</v>
      </c>
      <c r="V766" s="2" t="s">
        <v>1211</v>
      </c>
      <c r="W766" s="9" t="str">
        <f t="array" ref="W766">IF(ISNA(XLOOKUP(V766,products_master_corrected!$A$2:$A$151,products_master_corrected!$A$2:$A$151, NA())),
    "❌ MISSING SKU", "✅")</f>
        <v>✅</v>
      </c>
      <c r="X766" s="2" t="s">
        <v>804</v>
      </c>
      <c r="Y766" s="2" t="s">
        <v>63</v>
      </c>
      <c r="Z766" s="10" t="s">
        <v>63</v>
      </c>
      <c r="AA766" s="27">
        <v>1.0</v>
      </c>
      <c r="AB766" s="9" t="s">
        <v>8649</v>
      </c>
      <c r="AC766" s="28">
        <f t="array" ref="AC766">XLOOKUP(V766,products_master_corrected!$A$2:$A$151,products_master_corrected!$E$2:$E$151)</f>
        <v>19.27</v>
      </c>
      <c r="AD766" s="28">
        <f t="shared" si="88"/>
        <v>19.27</v>
      </c>
      <c r="AE766" s="28">
        <f t="array" ref="AE766">XLOOKUP(V766,products_master_corrected!$A$2:$A$151,products_master_corrected!$F$2:$F$151)</f>
        <v>19.27</v>
      </c>
      <c r="AF766" s="29">
        <f t="shared" si="89"/>
        <v>19.27</v>
      </c>
      <c r="AG766" s="30" t="s">
        <v>65</v>
      </c>
      <c r="AH766" s="2" t="s">
        <v>204</v>
      </c>
      <c r="AI766" s="10" t="s">
        <v>143</v>
      </c>
      <c r="AJ766" s="2" t="s">
        <v>251</v>
      </c>
      <c r="AK766" s="10" t="s">
        <v>192</v>
      </c>
      <c r="AL766" s="2" t="s">
        <v>51</v>
      </c>
    </row>
    <row r="767" ht="15.75" customHeight="1">
      <c r="A767" s="2" t="s">
        <v>5073</v>
      </c>
      <c r="B767" s="12">
        <v>45022.0</v>
      </c>
      <c r="C767" s="2" t="str">
        <f>IFERROR(__xludf.DUMMYFUNCTION("IF(ISNUMBER(B767),TEXT(B767,""yyyy-MM-dd""),REGEXREPLACE(REGEXREPLACE(TO_TEXT(B767),""[^0-9a-zA-Z]+"",""-""),""[^0-9]*$"",""""))"),"2023-04-06")</f>
        <v>2023-04-06</v>
      </c>
      <c r="D767" s="2" t="s">
        <v>8232</v>
      </c>
      <c r="H767" s="10" t="s">
        <v>8232</v>
      </c>
      <c r="I767" s="2" t="s">
        <v>3755</v>
      </c>
      <c r="J767" s="26" t="str">
        <f t="array" ref="J767">IF(ISNA(XLOOKUP(I767,customers_clean!$A$2:$A$701,customers_clean!$A$2:$A$701, NA()) ),
   "❌ MISSING CUSTOMER", "✅")</f>
        <v>✅</v>
      </c>
      <c r="K767" s="2" t="str">
        <f t="array" ref="K767">XLOOKUP(I767,customers_clean!$A$2:$A$701,customers_clean!$C$2:$C$701)</f>
        <v> Daria Walker</v>
      </c>
      <c r="L767" s="10" t="str">
        <f t="array" ref="L767">XLOOKUP(I767,customers_clean!$A$2:$A$701,customers_clean!$D$2:$D$701)</f>
        <v>Daria Walker</v>
      </c>
      <c r="M767" s="2" t="str">
        <f t="array" ref="M767">XLOOKUP(I767,customers_clean!$A$2:$A$701,customers_clean!$I$2:$I$701)</f>
        <v> daria.walker@compayn.co.uk</v>
      </c>
      <c r="N767" s="10" t="str">
        <f t="array" ref="N767">XLOOKUP(I767,customers_clean!$A$2:$A$701,customers_clean!$H$2:$H$701)</f>
        <v>daria.walker@compayn.co.uk</v>
      </c>
      <c r="O767" s="9" t="str">
        <f>IFERROR(__xludf.DUMMYFUNCTION("IF(REGEXMATCH(TRIM(N767),""^[A-Za-z0-9._%+-]+@[A-Za-z0-9.-]+\.[A-Za-z]{2,}$""),""✅ Valid"",""❌ Invalid"")"),"✅ Valid")</f>
        <v>✅ Valid</v>
      </c>
      <c r="P767" s="2" t="str">
        <f t="array" ref="P767">XLOOKUP(I767,customers_clean!$A$2:$A$701,customers_clean!$K$2:$K$701)</f>
        <v>+39-265-53188</v>
      </c>
      <c r="Q767" s="10" t="str">
        <f t="array" ref="Q767">XLOOKUP(I767,customers_clean!$A$2:$A$701,customers_clean!$N$2:$N$701)</f>
        <v>26553188</v>
      </c>
      <c r="R767" s="9" t="str">
        <f t="array" ref="R767">XLOOKUP(I767,customers_clean!$A$2:$A$701,customers_clean!$Q$2:$Q$701)</f>
        <v>❌ INVALID</v>
      </c>
      <c r="S767" s="10" t="s">
        <v>114</v>
      </c>
      <c r="T767" s="2" t="s">
        <v>778</v>
      </c>
      <c r="U767" s="2" t="s">
        <v>90</v>
      </c>
      <c r="V767" s="2" t="s">
        <v>1302</v>
      </c>
      <c r="W767" s="9" t="str">
        <f t="array" ref="W767">IF(ISNA(XLOOKUP(V767,products_master_corrected!$A$2:$A$151,products_master_corrected!$A$2:$A$151, NA())),
    "❌ MISSING SKU", "✅")</f>
        <v>✅</v>
      </c>
      <c r="X767" s="2" t="s">
        <v>440</v>
      </c>
      <c r="Y767" s="2" t="s">
        <v>179</v>
      </c>
      <c r="Z767" s="10" t="s">
        <v>179</v>
      </c>
      <c r="AA767" s="27">
        <v>1.0</v>
      </c>
      <c r="AB767" s="9" t="s">
        <v>8649</v>
      </c>
      <c r="AC767" s="28">
        <f t="array" ref="AC767">XLOOKUP(V767,products_master_corrected!$A$2:$A$151,products_master_corrected!$E$2:$E$151)</f>
        <v>28.97</v>
      </c>
      <c r="AD767" s="28">
        <f t="shared" si="88"/>
        <v>28.97</v>
      </c>
      <c r="AE767" s="28">
        <f t="array" ref="AE767">XLOOKUP(V767,products_master_corrected!$A$2:$A$151,products_master_corrected!$F$2:$F$151)</f>
        <v>28.97</v>
      </c>
      <c r="AF767" s="29">
        <f t="shared" si="89"/>
        <v>28.97</v>
      </c>
      <c r="AG767" s="30" t="s">
        <v>65</v>
      </c>
      <c r="AH767" s="2" t="s">
        <v>305</v>
      </c>
      <c r="AI767" s="10" t="s">
        <v>49</v>
      </c>
      <c r="AJ767" s="2" t="s">
        <v>442</v>
      </c>
      <c r="AK767" s="10" t="s">
        <v>80</v>
      </c>
      <c r="AL767" s="2" t="s">
        <v>51</v>
      </c>
    </row>
    <row r="768" ht="15.75" customHeight="1">
      <c r="A768" s="2" t="s">
        <v>5258</v>
      </c>
      <c r="B768" s="12">
        <v>45624.35486111111</v>
      </c>
      <c r="C768" s="2" t="str">
        <f>IFERROR(__xludf.DUMMYFUNCTION("IF(ISNUMBER(B768),TEXT(B768,""yyyy-MM-dd""),REGEXREPLACE(REGEXREPLACE(TO_TEXT(B768),""[^0-9a-zA-Z]+"",""-""),""[^0-9]*$"",""""))"),"2024-11-28")</f>
        <v>2024-11-28</v>
      </c>
      <c r="D768" s="2" t="s">
        <v>8936</v>
      </c>
      <c r="H768" s="10" t="s">
        <v>8936</v>
      </c>
      <c r="I768" s="2" t="s">
        <v>3755</v>
      </c>
      <c r="J768" s="26" t="str">
        <f t="array" ref="J768">IF(ISNA(XLOOKUP(I768,customers_clean!$A$2:$A$701,customers_clean!$A$2:$A$701, NA()) ),
   "❌ MISSING CUSTOMER", "✅")</f>
        <v>✅</v>
      </c>
      <c r="K768" s="2" t="str">
        <f t="array" ref="K768">XLOOKUP(I768,customers_clean!$A$2:$A$701,customers_clean!$C$2:$C$701)</f>
        <v> Daria Walker</v>
      </c>
      <c r="L768" s="10" t="str">
        <f t="array" ref="L768">XLOOKUP(I768,customers_clean!$A$2:$A$701,customers_clean!$D$2:$D$701)</f>
        <v>Daria Walker</v>
      </c>
      <c r="M768" s="2" t="str">
        <f t="array" ref="M768">XLOOKUP(I768,customers_clean!$A$2:$A$701,customers_clean!$I$2:$I$701)</f>
        <v> daria.walker@compayn.co.uk</v>
      </c>
      <c r="N768" s="10" t="str">
        <f t="array" ref="N768">XLOOKUP(I768,customers_clean!$A$2:$A$701,customers_clean!$H$2:$H$701)</f>
        <v>daria.walker@compayn.co.uk</v>
      </c>
      <c r="O768" s="9" t="str">
        <f>IFERROR(__xludf.DUMMYFUNCTION("IF(REGEXMATCH(TRIM(N768),""^[A-Za-z0-9._%+-]+@[A-Za-z0-9.-]+\.[A-Za-z]{2,}$""),""✅ Valid"",""❌ Invalid"")"),"✅ Valid")</f>
        <v>✅ Valid</v>
      </c>
      <c r="P768" s="2" t="str">
        <f t="array" ref="P768">XLOOKUP(I768,customers_clean!$A$2:$A$701,customers_clean!$K$2:$K$701)</f>
        <v>+39-265-53188</v>
      </c>
      <c r="Q768" s="10" t="str">
        <f t="array" ref="Q768">XLOOKUP(I768,customers_clean!$A$2:$A$701,customers_clean!$N$2:$N$701)</f>
        <v>26553188</v>
      </c>
      <c r="R768" s="9" t="str">
        <f t="array" ref="R768">XLOOKUP(I768,customers_clean!$A$2:$A$701,customers_clean!$Q$2:$Q$701)</f>
        <v>❌ INVALID</v>
      </c>
      <c r="S768" s="10" t="s">
        <v>114</v>
      </c>
      <c r="T768" s="2" t="s">
        <v>683</v>
      </c>
      <c r="U768" s="2" t="s">
        <v>60</v>
      </c>
      <c r="V768" s="2" t="s">
        <v>2680</v>
      </c>
      <c r="W768" s="9" t="str">
        <f t="array" ref="W768">IF(ISNA(XLOOKUP(V768,products_master_corrected!$A$2:$A$151,products_master_corrected!$A$2:$A$151, NA())),
    "❌ MISSING SKU", "✅")</f>
        <v>✅</v>
      </c>
      <c r="X768" s="2" t="s">
        <v>303</v>
      </c>
      <c r="Y768" s="2" t="s">
        <v>2421</v>
      </c>
      <c r="Z768" s="10" t="s">
        <v>248</v>
      </c>
      <c r="AA768" s="27">
        <v>1.0</v>
      </c>
      <c r="AB768" s="9" t="s">
        <v>8649</v>
      </c>
      <c r="AC768" s="28">
        <f t="array" ref="AC768">XLOOKUP(V768,products_master_corrected!$A$2:$A$151,products_master_corrected!$E$2:$E$151)</f>
        <v>121.47</v>
      </c>
      <c r="AD768" s="28">
        <f t="shared" si="88"/>
        <v>121.47</v>
      </c>
      <c r="AE768" s="28">
        <f t="array" ref="AE768">XLOOKUP(V768,products_master_corrected!$A$2:$A$151,products_master_corrected!$F$2:$F$151)</f>
        <v>121.47</v>
      </c>
      <c r="AF768" s="29">
        <f t="shared" si="89"/>
        <v>121.47</v>
      </c>
      <c r="AG768" s="30" t="s">
        <v>65</v>
      </c>
      <c r="AH768" s="2" t="s">
        <v>66</v>
      </c>
      <c r="AI768" s="10" t="s">
        <v>66</v>
      </c>
      <c r="AJ768" s="2" t="s">
        <v>80</v>
      </c>
      <c r="AK768" s="10" t="s">
        <v>80</v>
      </c>
    </row>
    <row r="769" ht="15.75" customHeight="1">
      <c r="A769" s="2" t="s">
        <v>3753</v>
      </c>
      <c r="B769" s="12">
        <v>45057.0</v>
      </c>
      <c r="C769" s="2" t="str">
        <f>IFERROR(__xludf.DUMMYFUNCTION("IF(ISNUMBER(B769),TEXT(B769,""yyyy-MM-dd""),REGEXREPLACE(REGEXREPLACE(TO_TEXT(B769),""[^0-9a-zA-Z]+"",""-""),""[^0-9]*$"",""""))"),"2023-05-11")</f>
        <v>2023-05-11</v>
      </c>
      <c r="D769" s="2" t="s">
        <v>8123</v>
      </c>
      <c r="H769" s="10" t="s">
        <v>8123</v>
      </c>
      <c r="I769" s="2" t="s">
        <v>3755</v>
      </c>
      <c r="J769" s="26" t="str">
        <f t="array" ref="J769">IF(ISNA(XLOOKUP(I769,customers_clean!$A$2:$A$701,customers_clean!$A$2:$A$701, NA()) ),
   "❌ MISSING CUSTOMER", "✅")</f>
        <v>✅</v>
      </c>
      <c r="K769" s="2" t="str">
        <f t="array" ref="K769">XLOOKUP(I769,customers_clean!$A$2:$A$701,customers_clean!$C$2:$C$701)</f>
        <v> Daria Walker</v>
      </c>
      <c r="L769" s="10" t="str">
        <f t="array" ref="L769">XLOOKUP(I769,customers_clean!$A$2:$A$701,customers_clean!$D$2:$D$701)</f>
        <v>Daria Walker</v>
      </c>
      <c r="M769" s="2" t="str">
        <f t="array" ref="M769">XLOOKUP(I769,customers_clean!$A$2:$A$701,customers_clean!$I$2:$I$701)</f>
        <v> daria.walker@compayn.co.uk</v>
      </c>
      <c r="N769" s="10" t="str">
        <f t="array" ref="N769">XLOOKUP(I769,customers_clean!$A$2:$A$701,customers_clean!$H$2:$H$701)</f>
        <v>daria.walker@compayn.co.uk</v>
      </c>
      <c r="O769" s="9" t="str">
        <f>IFERROR(__xludf.DUMMYFUNCTION("IF(REGEXMATCH(TRIM(N769),""^[A-Za-z0-9._%+-]+@[A-Za-z0-9.-]+\.[A-Za-z]{2,}$""),""✅ Valid"",""❌ Invalid"")"),"✅ Valid")</f>
        <v>✅ Valid</v>
      </c>
      <c r="P769" s="2" t="str">
        <f t="array" ref="P769">XLOOKUP(I769,customers_clean!$A$2:$A$701,customers_clean!$K$2:$K$701)</f>
        <v>+39-265-53188</v>
      </c>
      <c r="Q769" s="10" t="str">
        <f t="array" ref="Q769">XLOOKUP(I769,customers_clean!$A$2:$A$701,customers_clean!$N$2:$N$701)</f>
        <v>26553188</v>
      </c>
      <c r="R769" s="9" t="str">
        <f t="array" ref="R769">XLOOKUP(I769,customers_clean!$A$2:$A$701,customers_clean!$Q$2:$Q$701)</f>
        <v>❌ INVALID</v>
      </c>
      <c r="S769" s="10" t="s">
        <v>114</v>
      </c>
      <c r="T769" s="2" t="s">
        <v>42</v>
      </c>
      <c r="U769" s="2" t="s">
        <v>480</v>
      </c>
      <c r="V769" s="2" t="s">
        <v>1400</v>
      </c>
      <c r="W769" s="9" t="str">
        <f t="array" ref="W769">IF(ISNA(XLOOKUP(V769,products_master_corrected!$A$2:$A$151,products_master_corrected!$A$2:$A$151, NA())),
    "❌ MISSING SKU", "✅")</f>
        <v>✅</v>
      </c>
      <c r="X769" s="2" t="s">
        <v>524</v>
      </c>
      <c r="Y769" s="2" t="s">
        <v>1401</v>
      </c>
      <c r="Z769" s="10" t="s">
        <v>63</v>
      </c>
      <c r="AA769" s="27">
        <v>1.0</v>
      </c>
      <c r="AB769" s="9" t="s">
        <v>8649</v>
      </c>
      <c r="AC769" s="28">
        <f t="array" ref="AC769">XLOOKUP(V769,products_master_corrected!$A$2:$A$151,products_master_corrected!$E$2:$E$151)</f>
        <v>145.12</v>
      </c>
      <c r="AD769" s="28">
        <f t="shared" si="88"/>
        <v>145.12</v>
      </c>
      <c r="AE769" s="28">
        <f t="array" ref="AE769">XLOOKUP(V769,products_master_corrected!$A$2:$A$151,products_master_corrected!$F$2:$F$151)</f>
        <v>145.12</v>
      </c>
      <c r="AF769" s="29">
        <f t="shared" si="89"/>
        <v>145.12</v>
      </c>
      <c r="AG769" s="30" t="s">
        <v>65</v>
      </c>
      <c r="AH769" s="2" t="s">
        <v>181</v>
      </c>
      <c r="AI769" s="10" t="s">
        <v>181</v>
      </c>
      <c r="AJ769" s="2" t="s">
        <v>80</v>
      </c>
      <c r="AK769" s="10" t="s">
        <v>80</v>
      </c>
      <c r="AL769" s="2" t="s">
        <v>133</v>
      </c>
    </row>
    <row r="770" ht="15.75" customHeight="1">
      <c r="A770" s="2" t="s">
        <v>4087</v>
      </c>
      <c r="B770" s="12" t="s">
        <v>4088</v>
      </c>
      <c r="C770" s="2" t="str">
        <f>IFERROR(__xludf.DUMMYFUNCTION("IF(ISNUMBER(B770),TEXT(B770,""yyyy-MM-dd""),REGEXREPLACE(REGEXREPLACE(TO_TEXT(B770),""[^0-9a-zA-Z]+"",""-""),""[^0-9]*$"",""""))"),"11-23-2023")</f>
        <v>11-23-2023</v>
      </c>
      <c r="D770" s="2" t="str">
        <f>TEXT(C770,"yyyy-MM-dd")</f>
        <v>11-23-2023</v>
      </c>
      <c r="E770" s="2" t="s">
        <v>8937</v>
      </c>
      <c r="H770" s="10" t="s">
        <v>8937</v>
      </c>
      <c r="I770" s="2" t="s">
        <v>4043</v>
      </c>
      <c r="J770" s="26" t="str">
        <f t="array" ref="J770">IF(ISNA(XLOOKUP(I770,customers_clean!$A$2:$A$701,customers_clean!$A$2:$A$701, NA()) ),
   "❌ MISSING CUSTOMER", "✅")</f>
        <v>✅</v>
      </c>
      <c r="K770" s="2" t="str">
        <f t="array" ref="K770">XLOOKUP(I770,customers_clean!$A$2:$A$701,customers_clean!$C$2:$C$701)</f>
        <v>Bella Lee</v>
      </c>
      <c r="L770" s="10" t="str">
        <f t="array" ref="L770">XLOOKUP(I770,customers_clean!$A$2:$A$701,customers_clean!$D$2:$D$701)</f>
        <v>Bella Lee</v>
      </c>
      <c r="M770" s="2" t="str">
        <f t="array" ref="M770">XLOOKUP(I770,customers_clean!$A$2:$A$701,customers_clean!$I$2:$I$701)</f>
        <v>bella.lee@outlook.com</v>
      </c>
      <c r="N770" s="10" t="str">
        <f t="array" ref="N770">XLOOKUP(I770,customers_clean!$A$2:$A$701,customers_clean!$H$2:$H$701)</f>
        <v>bella.lee@outlook.com</v>
      </c>
      <c r="O770" s="9" t="str">
        <f>IFERROR(__xludf.DUMMYFUNCTION("IF(REGEXMATCH(TRIM(N770),""^[A-Za-z0-9._%+-]+@[A-Za-z0-9.-]+\.[A-Za-z]{2,}$""),""✅ Valid"",""❌ Invalid"")"),"✅ Valid")</f>
        <v>✅ Valid</v>
      </c>
      <c r="P770" s="2" t="str">
        <f t="array" ref="P770">XLOOKUP(I770,customers_clean!$A$2:$A$701,customers_clean!$K$2:$K$701)</f>
        <v>2682871012 ext 55</v>
      </c>
      <c r="Q770" s="10" t="str">
        <f t="array" ref="Q770">XLOOKUP(I770,customers_clean!$A$2:$A$701,customers_clean!$N$2:$N$701)</f>
        <v>2682871012</v>
      </c>
      <c r="R770" s="9" t="str">
        <f t="array" ref="R770">XLOOKUP(I770,customers_clean!$A$2:$A$701,customers_clean!$Q$2:$Q$701)</f>
        <v>❌ INVALID</v>
      </c>
      <c r="S770" s="10" t="s">
        <v>608</v>
      </c>
      <c r="T770" s="2" t="s">
        <v>26</v>
      </c>
      <c r="U770" s="2" t="s">
        <v>116</v>
      </c>
      <c r="V770" s="2" t="s">
        <v>1192</v>
      </c>
      <c r="W770" s="9" t="str">
        <f t="array" ref="W770">IF(ISNA(XLOOKUP(V770,products_master_corrected!$A$2:$A$151,products_master_corrected!$A$2:$A$151, NA())),
    "❌ MISSING SKU", "✅")</f>
        <v>✅</v>
      </c>
      <c r="X770" s="2" t="s">
        <v>1193</v>
      </c>
      <c r="Y770" s="2" t="s">
        <v>179</v>
      </c>
      <c r="Z770" s="10" t="s">
        <v>179</v>
      </c>
      <c r="AA770" s="27">
        <v>2.0</v>
      </c>
      <c r="AB770" s="9" t="s">
        <v>8649</v>
      </c>
      <c r="AC770" s="28">
        <f t="array" ref="AC770">XLOOKUP(V770,products_master_corrected!$A$2:$A$151,products_master_corrected!$E$2:$E$151)</f>
        <v>26.73</v>
      </c>
      <c r="AD770" s="28">
        <f t="shared" si="88"/>
        <v>53.46</v>
      </c>
      <c r="AE770" s="28">
        <f t="array" ref="AE770">XLOOKUP(V770,products_master_corrected!$A$2:$A$151,products_master_corrected!$H$2:$H$151)</f>
        <v>30.03</v>
      </c>
      <c r="AF770" s="29">
        <f t="shared" si="89"/>
        <v>60.06</v>
      </c>
      <c r="AG770" s="32" t="s">
        <v>8658</v>
      </c>
      <c r="AH770" s="2" t="s">
        <v>181</v>
      </c>
      <c r="AI770" s="10" t="s">
        <v>181</v>
      </c>
      <c r="AJ770" s="2" t="s">
        <v>294</v>
      </c>
      <c r="AK770" s="10" t="s">
        <v>80</v>
      </c>
      <c r="AL770" s="2" t="s">
        <v>133</v>
      </c>
    </row>
    <row r="771" ht="15.75" customHeight="1">
      <c r="A771" s="2" t="s">
        <v>4041</v>
      </c>
      <c r="B771" s="12">
        <v>45174.0</v>
      </c>
      <c r="C771" s="2" t="str">
        <f>IFERROR(__xludf.DUMMYFUNCTION("IF(ISNUMBER(B771),TEXT(B771,""yyyy-MM-dd""),REGEXREPLACE(REGEXREPLACE(TO_TEXT(B771),""[^0-9a-zA-Z]+"",""-""),""[^0-9]*$"",""""))"),"2023-09-05")</f>
        <v>2023-09-05</v>
      </c>
      <c r="D771" s="2" t="s">
        <v>6312</v>
      </c>
      <c r="H771" s="10" t="s">
        <v>6312</v>
      </c>
      <c r="I771" s="2" t="s">
        <v>4043</v>
      </c>
      <c r="J771" s="26" t="str">
        <f t="array" ref="J771">IF(ISNA(XLOOKUP(I771,customers_clean!$A$2:$A$701,customers_clean!$A$2:$A$701, NA()) ),
   "❌ MISSING CUSTOMER", "✅")</f>
        <v>✅</v>
      </c>
      <c r="K771" s="2" t="str">
        <f t="array" ref="K771">XLOOKUP(I771,customers_clean!$A$2:$A$701,customers_clean!$C$2:$C$701)</f>
        <v>Bella Lee</v>
      </c>
      <c r="L771" s="10" t="str">
        <f t="array" ref="L771">XLOOKUP(I771,customers_clean!$A$2:$A$701,customers_clean!$D$2:$D$701)</f>
        <v>Bella Lee</v>
      </c>
      <c r="M771" s="2" t="str">
        <f t="array" ref="M771">XLOOKUP(I771,customers_clean!$A$2:$A$701,customers_clean!$I$2:$I$701)</f>
        <v>bella.lee@outlook.com</v>
      </c>
      <c r="N771" s="10" t="str">
        <f t="array" ref="N771">XLOOKUP(I771,customers_clean!$A$2:$A$701,customers_clean!$H$2:$H$701)</f>
        <v>bella.lee@outlook.com</v>
      </c>
      <c r="O771" s="9" t="str">
        <f>IFERROR(__xludf.DUMMYFUNCTION("IF(REGEXMATCH(TRIM(N771),""^[A-Za-z0-9._%+-]+@[A-Za-z0-9.-]+\.[A-Za-z]{2,}$""),""✅ Valid"",""❌ Invalid"")"),"✅ Valid")</f>
        <v>✅ Valid</v>
      </c>
      <c r="P771" s="2" t="str">
        <f t="array" ref="P771">XLOOKUP(I771,customers_clean!$A$2:$A$701,customers_clean!$K$2:$K$701)</f>
        <v>2682871012 ext 55</v>
      </c>
      <c r="Q771" s="10" t="str">
        <f t="array" ref="Q771">XLOOKUP(I771,customers_clean!$A$2:$A$701,customers_clean!$N$2:$N$701)</f>
        <v>2682871012</v>
      </c>
      <c r="R771" s="9" t="str">
        <f t="array" ref="R771">XLOOKUP(I771,customers_clean!$A$2:$A$701,customers_clean!$Q$2:$Q$701)</f>
        <v>❌ INVALID</v>
      </c>
      <c r="S771" s="10" t="s">
        <v>608</v>
      </c>
      <c r="T771" s="2" t="s">
        <v>4047</v>
      </c>
      <c r="U771" s="2" t="s">
        <v>1178</v>
      </c>
      <c r="V771" s="2" t="s">
        <v>4048</v>
      </c>
      <c r="W771" s="9" t="str">
        <f t="array" ref="W771">IF(ISNA(XLOOKUP(V771,products_master_corrected!$A$2:$A$151,products_master_corrected!$A$2:$A$151, NA())),
    "❌ MISSING SKU", "✅")</f>
        <v>✅</v>
      </c>
      <c r="X771" s="2" t="s">
        <v>190</v>
      </c>
      <c r="Y771" s="2" t="s">
        <v>214</v>
      </c>
      <c r="Z771" s="10" t="s">
        <v>368</v>
      </c>
      <c r="AA771" s="27">
        <v>3.0</v>
      </c>
      <c r="AB771" s="9" t="s">
        <v>8649</v>
      </c>
      <c r="AC771" s="28">
        <f t="array" ref="AC771">XLOOKUP(V771,products_master_corrected!$A$2:$A$151,products_master_corrected!$E$2:$E$151)</f>
        <v>147.02</v>
      </c>
      <c r="AD771" s="28">
        <f t="shared" si="88"/>
        <v>441.06</v>
      </c>
      <c r="AE771" s="28">
        <f t="array" ref="AE771">XLOOKUP(V771,products_master_corrected!$A$2:$A$151,products_master_corrected!$H$2:$H$151)</f>
        <v>165.18</v>
      </c>
      <c r="AF771" s="29">
        <f t="shared" si="89"/>
        <v>495.54</v>
      </c>
      <c r="AG771" s="32" t="s">
        <v>8658</v>
      </c>
      <c r="AH771" s="2" t="s">
        <v>143</v>
      </c>
      <c r="AI771" s="10" t="s">
        <v>143</v>
      </c>
      <c r="AJ771" s="2" t="s">
        <v>144</v>
      </c>
      <c r="AK771" s="10" t="s">
        <v>818</v>
      </c>
      <c r="AL771" s="2" t="s">
        <v>133</v>
      </c>
    </row>
    <row r="772" ht="15.75" customHeight="1">
      <c r="A772" s="2" t="s">
        <v>3240</v>
      </c>
      <c r="B772" s="12">
        <v>45177.0</v>
      </c>
      <c r="C772" s="2" t="str">
        <f>IFERROR(__xludf.DUMMYFUNCTION("IF(ISNUMBER(B772),TEXT(B772,""yyyy-MM-dd""),REGEXREPLACE(REGEXREPLACE(TO_TEXT(B772),""[^0-9a-zA-Z]+"",""-""),""[^0-9]*$"",""""))"),"2023-09-08")</f>
        <v>2023-09-08</v>
      </c>
      <c r="D772" s="2" t="s">
        <v>7645</v>
      </c>
      <c r="H772" s="10" t="s">
        <v>7645</v>
      </c>
      <c r="I772" s="2" t="s">
        <v>1276</v>
      </c>
      <c r="J772" s="26" t="str">
        <f t="array" ref="J772">IF(ISNA(XLOOKUP(I772,customers_clean!$A$2:$A$701,customers_clean!$A$2:$A$701, NA()) ),
   "❌ MISSING CUSTOMER", "✅")</f>
        <v>✅</v>
      </c>
      <c r="K772" s="2" t="str">
        <f t="array" ref="K772">XLOOKUP(I772,customers_clean!$A$2:$A$701,customers_clean!$C$2:$C$701)</f>
        <v>Vlad Young</v>
      </c>
      <c r="L772" s="10" t="str">
        <f t="array" ref="L772">XLOOKUP(I772,customers_clean!$A$2:$A$701,customers_clean!$D$2:$D$701)</f>
        <v>Vlad Young</v>
      </c>
      <c r="M772" s="2" t="str">
        <f t="array" ref="M772">XLOOKUP(I772,customers_clean!$A$2:$A$701,customers_clean!$I$2:$I$701)</f>
        <v>vlad.young@example.com</v>
      </c>
      <c r="N772" s="10" t="str">
        <f t="array" ref="N772">XLOOKUP(I772,customers_clean!$A$2:$A$701,customers_clean!$H$2:$H$701)</f>
        <v>vlad.young@example.com</v>
      </c>
      <c r="O772" s="9" t="str">
        <f>IFERROR(__xludf.DUMMYFUNCTION("IF(REGEXMATCH(TRIM(N772),""^[A-Za-z0-9._%+-]+@[A-Za-z0-9.-]+\.[A-Za-z]{2,}$""),""✅ Valid"",""❌ Invalid"")"),"✅ Valid")</f>
        <v>✅ Valid</v>
      </c>
      <c r="P772" s="2" t="str">
        <f t="array" ref="P772">XLOOKUP(I772,customers_clean!$A$2:$A$701,customers_clean!$K$2:$K$701)</f>
        <v>+44+860688521</v>
      </c>
      <c r="Q772" s="10" t="str">
        <f t="array" ref="Q772">XLOOKUP(I772,customers_clean!$A$2:$A$701,customers_clean!$N$2:$N$701)</f>
        <v>860688521</v>
      </c>
      <c r="R772" s="9" t="str">
        <f t="array" ref="R772">XLOOKUP(I772,customers_clean!$A$2:$A$701,customers_clean!$Q$2:$Q$701)</f>
        <v>❌ INVALID</v>
      </c>
      <c r="S772" s="10" t="s">
        <v>448</v>
      </c>
      <c r="T772" s="2" t="s">
        <v>400</v>
      </c>
      <c r="U772" s="2" t="s">
        <v>176</v>
      </c>
      <c r="V772" s="2" t="s">
        <v>439</v>
      </c>
      <c r="W772" s="9" t="str">
        <f t="array" ref="W772">IF(ISNA(XLOOKUP(V772,products_master_corrected!$A$2:$A$151,products_master_corrected!$A$2:$A$151, NA())),
    "❌ MISSING SKU", "✅")</f>
        <v>✅</v>
      </c>
      <c r="X772" s="2" t="s">
        <v>440</v>
      </c>
      <c r="Y772" s="2" t="s">
        <v>63</v>
      </c>
      <c r="Z772" s="10" t="s">
        <v>63</v>
      </c>
      <c r="AA772" s="27">
        <v>1.0</v>
      </c>
      <c r="AB772" s="9" t="s">
        <v>8649</v>
      </c>
      <c r="AC772" s="28">
        <f t="array" ref="AC772">XLOOKUP(V772,products_master_corrected!$A$2:$A$151,products_master_corrected!$E$2:$E$151)</f>
        <v>70.84</v>
      </c>
      <c r="AD772" s="28">
        <f t="shared" si="88"/>
        <v>70.84</v>
      </c>
      <c r="AE772" s="28">
        <f t="array" ref="AE772">XLOOKUP(V772,products_master_corrected!$A$2:$A$151,products_master_corrected!$M$2:$M$151)</f>
        <v>85.69</v>
      </c>
      <c r="AF772" s="29">
        <f t="shared" si="89"/>
        <v>85.69</v>
      </c>
      <c r="AG772" s="30" t="s">
        <v>48</v>
      </c>
      <c r="AH772" s="2" t="s">
        <v>573</v>
      </c>
      <c r="AI772" s="10" t="s">
        <v>66</v>
      </c>
      <c r="AJ772" s="2" t="s">
        <v>527</v>
      </c>
      <c r="AK772" s="10" t="s">
        <v>192</v>
      </c>
      <c r="AL772" s="2" t="s">
        <v>67</v>
      </c>
    </row>
    <row r="773" ht="15.75" customHeight="1">
      <c r="A773" s="2" t="s">
        <v>1274</v>
      </c>
      <c r="B773" s="12">
        <v>45795.0</v>
      </c>
      <c r="C773" s="2" t="str">
        <f>IFERROR(__xludf.DUMMYFUNCTION("IF(ISNUMBER(B773),TEXT(B773,""yyyy-MM-dd""),REGEXREPLACE(REGEXREPLACE(TO_TEXT(B773),""[^0-9a-zA-Z]+"",""-""),""[^0-9]*$"",""""))"),"2025-05-18")</f>
        <v>2025-05-18</v>
      </c>
      <c r="D773" s="2" t="s">
        <v>7887</v>
      </c>
      <c r="H773" s="10" t="s">
        <v>7887</v>
      </c>
      <c r="I773" s="2" t="s">
        <v>1276</v>
      </c>
      <c r="J773" s="26" t="str">
        <f t="array" ref="J773">IF(ISNA(XLOOKUP(I773,customers_clean!$A$2:$A$701,customers_clean!$A$2:$A$701, NA()) ),
   "❌ MISSING CUSTOMER", "✅")</f>
        <v>✅</v>
      </c>
      <c r="K773" s="2" t="str">
        <f t="array" ref="K773">XLOOKUP(I773,customers_clean!$A$2:$A$701,customers_clean!$C$2:$C$701)</f>
        <v>Vlad Young</v>
      </c>
      <c r="L773" s="10" t="str">
        <f t="array" ref="L773">XLOOKUP(I773,customers_clean!$A$2:$A$701,customers_clean!$D$2:$D$701)</f>
        <v>Vlad Young</v>
      </c>
      <c r="M773" s="2" t="str">
        <f t="array" ref="M773">XLOOKUP(I773,customers_clean!$A$2:$A$701,customers_clean!$I$2:$I$701)</f>
        <v>vlad.young@example.com</v>
      </c>
      <c r="N773" s="10" t="str">
        <f t="array" ref="N773">XLOOKUP(I773,customers_clean!$A$2:$A$701,customers_clean!$H$2:$H$701)</f>
        <v>vlad.young@example.com</v>
      </c>
      <c r="O773" s="9" t="str">
        <f>IFERROR(__xludf.DUMMYFUNCTION("IF(REGEXMATCH(TRIM(N773),""^[A-Za-z0-9._%+-]+@[A-Za-z0-9.-]+\.[A-Za-z]{2,}$""),""✅ Valid"",""❌ Invalid"")"),"✅ Valid")</f>
        <v>✅ Valid</v>
      </c>
      <c r="P773" s="2" t="str">
        <f t="array" ref="P773">XLOOKUP(I773,customers_clean!$A$2:$A$701,customers_clean!$K$2:$K$701)</f>
        <v>+44+860688521</v>
      </c>
      <c r="Q773" s="10" t="str">
        <f t="array" ref="Q773">XLOOKUP(I773,customers_clean!$A$2:$A$701,customers_clean!$N$2:$N$701)</f>
        <v>860688521</v>
      </c>
      <c r="R773" s="9" t="str">
        <f t="array" ref="R773">XLOOKUP(I773,customers_clean!$A$2:$A$701,customers_clean!$Q$2:$Q$701)</f>
        <v>❌ INVALID</v>
      </c>
      <c r="S773" s="10" t="s">
        <v>448</v>
      </c>
      <c r="T773" s="2" t="s">
        <v>74</v>
      </c>
      <c r="U773" s="2" t="s">
        <v>1032</v>
      </c>
      <c r="V773" s="2" t="s">
        <v>422</v>
      </c>
      <c r="W773" s="9" t="str">
        <f t="array" ref="W773">IF(ISNA(XLOOKUP(V773,products_master_corrected!$A$2:$A$151,products_master_corrected!$A$2:$A$151, NA())),
    "❌ MISSING SKU", "✅")</f>
        <v>✅</v>
      </c>
      <c r="X773" s="2" t="s">
        <v>423</v>
      </c>
      <c r="Y773" s="2" t="s">
        <v>292</v>
      </c>
      <c r="Z773" s="10" t="s">
        <v>63</v>
      </c>
      <c r="AA773" s="27">
        <v>2.0</v>
      </c>
      <c r="AB773" s="9" t="s">
        <v>8649</v>
      </c>
      <c r="AC773" s="28">
        <f t="array" ref="AC773">XLOOKUP(V773,products_master_corrected!$A$2:$A$151,products_master_corrected!$E$2:$E$151)</f>
        <v>74.3</v>
      </c>
      <c r="AD773" s="28">
        <f t="shared" si="88"/>
        <v>148.6</v>
      </c>
      <c r="AE773" s="28">
        <f t="array" ref="AE773">XLOOKUP(V773,products_master_corrected!$A$2:$A$151,products_master_corrected!$M$2:$M$151)</f>
        <v>89.87</v>
      </c>
      <c r="AF773" s="29">
        <f t="shared" si="89"/>
        <v>179.74</v>
      </c>
      <c r="AG773" s="30" t="s">
        <v>48</v>
      </c>
      <c r="AH773" s="2" t="s">
        <v>370</v>
      </c>
      <c r="AI773" s="10" t="s">
        <v>143</v>
      </c>
      <c r="AJ773" s="2" t="s">
        <v>1221</v>
      </c>
      <c r="AK773" s="10" t="s">
        <v>80</v>
      </c>
      <c r="AL773" s="2" t="s">
        <v>67</v>
      </c>
    </row>
    <row r="774" ht="15.75" customHeight="1">
      <c r="A774" s="2" t="s">
        <v>4725</v>
      </c>
      <c r="B774" s="12">
        <v>45477.0</v>
      </c>
      <c r="C774" s="2" t="str">
        <f>IFERROR(__xludf.DUMMYFUNCTION("IF(ISNUMBER(B774),TEXT(B774,""yyyy-MM-dd""),REGEXREPLACE(REGEXREPLACE(TO_TEXT(B774),""[^0-9a-zA-Z]+"",""-""),""[^0-9]*$"",""""))"),"2024-07-04")</f>
        <v>2024-07-04</v>
      </c>
      <c r="D774" s="2" t="s">
        <v>7660</v>
      </c>
      <c r="H774" s="10" t="s">
        <v>7660</v>
      </c>
      <c r="I774" s="2" t="s">
        <v>4727</v>
      </c>
      <c r="J774" s="26" t="str">
        <f t="array" ref="J774">IF(ISNA(XLOOKUP(I774,customers_clean!$A$2:$A$701,customers_clean!$A$2:$A$701, NA()) ),
   "❌ MISSING CUSTOMER", "✅")</f>
        <v>✅</v>
      </c>
      <c r="K774" s="2" t="str">
        <f t="array" ref="K774">XLOOKUP(I774,customers_clean!$A$2:$A$701,customers_clean!$C$2:$C$701)</f>
        <v> Lia Nowak</v>
      </c>
      <c r="L774" s="10" t="str">
        <f t="array" ref="L774">XLOOKUP(I774,customers_clean!$A$2:$A$701,customers_clean!$D$2:$D$701)</f>
        <v>Lia Nowak</v>
      </c>
      <c r="M774" s="2" t="str">
        <f t="array" ref="M774">XLOOKUP(I774,customers_clean!$A$2:$A$701,customers_clean!$I$2:$I$701)</f>
        <v> lia.nowak@company.co.uk</v>
      </c>
      <c r="N774" s="10" t="str">
        <f t="array" ref="N774">XLOOKUP(I774,customers_clean!$A$2:$A$701,customers_clean!$H$2:$H$701)</f>
        <v>lia.nowak@company.co.uk</v>
      </c>
      <c r="O774" s="9" t="str">
        <f>IFERROR(__xludf.DUMMYFUNCTION("IF(REGEXMATCH(TRIM(N774),""^[A-Za-z0-9._%+-]+@[A-Za-z0-9.-]+\.[A-Za-z]{2,}$""),""✅ Valid"",""❌ Invalid"")"),"✅ Valid")</f>
        <v>✅ Valid</v>
      </c>
      <c r="P774" s="2" t="str">
        <f t="array" ref="P774">XLOOKUP(I774,customers_clean!$A$2:$A$701,customers_clean!$K$2:$K$701)</f>
        <v>+499098384188</v>
      </c>
      <c r="Q774" s="10" t="str">
        <f t="array" ref="Q774">XLOOKUP(I774,customers_clean!$A$2:$A$701,customers_clean!$N$2:$N$701)</f>
        <v>9098384188</v>
      </c>
      <c r="R774" s="9" t="str">
        <f t="array" ref="R774">XLOOKUP(I774,customers_clean!$A$2:$A$701,customers_clean!$Q$2:$Q$701)</f>
        <v>❌ INVALID</v>
      </c>
      <c r="S774" s="31" t="s">
        <v>671</v>
      </c>
      <c r="T774" s="2" t="s">
        <v>234</v>
      </c>
      <c r="U774" s="2" t="s">
        <v>352</v>
      </c>
      <c r="V774" s="2" t="s">
        <v>1597</v>
      </c>
      <c r="W774" s="9" t="str">
        <f t="array" ref="W774">IF(ISNA(XLOOKUP(V774,products_master_corrected!$A$2:$A$151,products_master_corrected!$A$2:$A$151, NA())),
    "❌ MISSING SKU", "✅")</f>
        <v>✅</v>
      </c>
      <c r="X774" s="2" t="s">
        <v>502</v>
      </c>
      <c r="Y774" s="2" t="s">
        <v>355</v>
      </c>
      <c r="Z774" s="10" t="s">
        <v>355</v>
      </c>
      <c r="AA774" s="27">
        <v>1.0</v>
      </c>
      <c r="AB774" s="9" t="s">
        <v>8649</v>
      </c>
      <c r="AC774" s="28">
        <f t="array" ref="AC774">XLOOKUP(V774,products_master_corrected!$A$2:$A$151,products_master_corrected!$E$2:$E$151)</f>
        <v>1002.55</v>
      </c>
      <c r="AD774" s="28">
        <f t="shared" si="88"/>
        <v>1002.55</v>
      </c>
      <c r="AE774" s="28">
        <f t="array" ref="AE774">XLOOKUP(V774,products_master_corrected!$A$2:$A$151,products_master_corrected!$J$2:$J$151)</f>
        <v>1169.27</v>
      </c>
      <c r="AF774" s="29">
        <f t="shared" si="89"/>
        <v>1169.27</v>
      </c>
      <c r="AG774" s="32" t="s">
        <v>8656</v>
      </c>
      <c r="AH774" s="2" t="s">
        <v>66</v>
      </c>
      <c r="AI774" s="10" t="s">
        <v>66</v>
      </c>
      <c r="AJ774" s="2" t="s">
        <v>306</v>
      </c>
      <c r="AK774" s="10" t="s">
        <v>192</v>
      </c>
      <c r="AL774" s="2" t="s">
        <v>67</v>
      </c>
    </row>
    <row r="775" ht="15.75" customHeight="1">
      <c r="A775" s="2" t="s">
        <v>1626</v>
      </c>
      <c r="B775" s="12">
        <v>45751.0</v>
      </c>
      <c r="C775" s="2" t="str">
        <f>IFERROR(__xludf.DUMMYFUNCTION("IF(ISNUMBER(B775),TEXT(B775,""yyyy-MM-dd""),REGEXREPLACE(REGEXREPLACE(TO_TEXT(B775),""[^0-9a-zA-Z]+"",""-""),""[^0-9]*$"",""""))"),"2025-04-04")</f>
        <v>2025-04-04</v>
      </c>
      <c r="D775" s="2" t="s">
        <v>8250</v>
      </c>
      <c r="H775" s="10" t="s">
        <v>8250</v>
      </c>
      <c r="I775" s="2" t="s">
        <v>847</v>
      </c>
      <c r="J775" s="26" t="str">
        <f t="array" ref="J775">IF(ISNA(XLOOKUP(I775,customers_clean!$A$2:$A$701,customers_clean!$A$2:$A$701, NA()) ),
   "❌ MISSING CUSTOMER", "✅")</f>
        <v>✅</v>
      </c>
      <c r="K775" s="2" t="str">
        <f t="array" ref="K775">XLOOKUP(I775,customers_clean!$A$2:$A$701,customers_clean!$C$2:$C$701)</f>
        <v> Rita Williams</v>
      </c>
      <c r="L775" s="10" t="str">
        <f t="array" ref="L775">XLOOKUP(I775,customers_clean!$A$2:$A$701,customers_clean!$D$2:$D$701)</f>
        <v>Rita Williams</v>
      </c>
      <c r="M775" s="2" t="str">
        <f t="array" ref="M775">XLOOKUP(I775,customers_clean!$A$2:$A$701,customers_clean!$I$2:$I$701)</f>
        <v>rita.williams@yahoo.com</v>
      </c>
      <c r="N775" s="10" t="str">
        <f t="array" ref="N775">XLOOKUP(I775,customers_clean!$A$2:$A$701,customers_clean!$H$2:$H$701)</f>
        <v>rita.williams@yahoo.com</v>
      </c>
      <c r="O775" s="9" t="str">
        <f>IFERROR(__xludf.DUMMYFUNCTION("IF(REGEXMATCH(TRIM(N775),""^[A-Za-z0-9._%+-]+@[A-Za-z0-9.-]+\.[A-Za-z]{2,}$""),""✅ Valid"",""❌ Invalid"")"),"✅ Valid")</f>
        <v>✅ Valid</v>
      </c>
      <c r="P775" s="2" t="str">
        <f t="array" ref="P775">XLOOKUP(I775,customers_clean!$A$2:$A$701,customers_clean!$K$2:$K$701)</f>
        <v>+49 39 25 64 84 07</v>
      </c>
      <c r="Q775" s="10" t="str">
        <f t="array" ref="Q775">XLOOKUP(I775,customers_clean!$A$2:$A$701,customers_clean!$N$2:$N$701)</f>
        <v>3925648407</v>
      </c>
      <c r="R775" s="9" t="str">
        <f t="array" ref="R775">XLOOKUP(I775,customers_clean!$A$2:$A$701,customers_clean!$Q$2:$Q$701)</f>
        <v>❌ INVALID</v>
      </c>
      <c r="S775" s="10" t="s">
        <v>608</v>
      </c>
      <c r="T775" s="2" t="s">
        <v>42</v>
      </c>
      <c r="U775" s="2" t="s">
        <v>103</v>
      </c>
      <c r="V775" s="2" t="s">
        <v>599</v>
      </c>
      <c r="W775" s="9" t="str">
        <f t="array" ref="W775">IF(ISNA(XLOOKUP(V775,products_master_corrected!$A$2:$A$151,products_master_corrected!$A$2:$A$151, NA())),
    "❌ MISSING SKU", "✅")</f>
        <v>✅</v>
      </c>
      <c r="X775" s="2" t="s">
        <v>524</v>
      </c>
      <c r="Y775" s="2" t="s">
        <v>167</v>
      </c>
      <c r="Z775" s="10" t="str">
        <f t="shared" ref="Z775:Z776" si="91">PROPER(TRIM(Y775))</f>
        <v>Monitors</v>
      </c>
      <c r="AA775" s="27">
        <v>3.0</v>
      </c>
      <c r="AB775" s="9" t="s">
        <v>8649</v>
      </c>
      <c r="AC775" s="28">
        <f t="array" ref="AC775">XLOOKUP(V775,products_master_corrected!$A$2:$A$151,products_master_corrected!$E$2:$E$151)</f>
        <v>212.85</v>
      </c>
      <c r="AD775" s="28">
        <f t="shared" si="88"/>
        <v>638.55</v>
      </c>
      <c r="AE775" s="28">
        <f t="array" ref="AE775">XLOOKUP(V775,products_master_corrected!$A$2:$A$151,products_master_corrected!$H$2:$H$151)</f>
        <v>239.14</v>
      </c>
      <c r="AF775" s="29">
        <f t="shared" si="89"/>
        <v>717.42</v>
      </c>
      <c r="AG775" s="32" t="s">
        <v>8658</v>
      </c>
      <c r="AH775" s="2" t="s">
        <v>143</v>
      </c>
      <c r="AI775" s="10" t="s">
        <v>143</v>
      </c>
      <c r="AJ775" s="2" t="s">
        <v>527</v>
      </c>
      <c r="AK775" s="10" t="s">
        <v>192</v>
      </c>
      <c r="AL775" s="2" t="s">
        <v>133</v>
      </c>
    </row>
    <row r="776" ht="15.75" customHeight="1">
      <c r="A776" s="2" t="s">
        <v>845</v>
      </c>
      <c r="B776" s="12">
        <v>45874.0</v>
      </c>
      <c r="C776" s="2" t="str">
        <f>IFERROR(__xludf.DUMMYFUNCTION("IF(ISNUMBER(B776),TEXT(B776,""yyyy-MM-dd""),REGEXREPLACE(REGEXREPLACE(TO_TEXT(B776),""[^0-9a-zA-Z]+"",""-""),""[^0-9]*$"",""""))"),"2025-08-05")</f>
        <v>2025-08-05</v>
      </c>
      <c r="D776" s="2" t="s">
        <v>8930</v>
      </c>
      <c r="H776" s="10" t="s">
        <v>8930</v>
      </c>
      <c r="I776" s="2" t="s">
        <v>847</v>
      </c>
      <c r="J776" s="26" t="str">
        <f t="array" ref="J776">IF(ISNA(XLOOKUP(I776,customers_clean!$A$2:$A$701,customers_clean!$A$2:$A$701, NA()) ),
   "❌ MISSING CUSTOMER", "✅")</f>
        <v>✅</v>
      </c>
      <c r="K776" s="2" t="str">
        <f t="array" ref="K776">XLOOKUP(I776,customers_clean!$A$2:$A$701,customers_clean!$C$2:$C$701)</f>
        <v> Rita Williams</v>
      </c>
      <c r="L776" s="10" t="str">
        <f t="array" ref="L776">XLOOKUP(I776,customers_clean!$A$2:$A$701,customers_clean!$D$2:$D$701)</f>
        <v>Rita Williams</v>
      </c>
      <c r="M776" s="2" t="str">
        <f t="array" ref="M776">XLOOKUP(I776,customers_clean!$A$2:$A$701,customers_clean!$I$2:$I$701)</f>
        <v>rita.williams@yahoo.com</v>
      </c>
      <c r="N776" s="10" t="str">
        <f t="array" ref="N776">XLOOKUP(I776,customers_clean!$A$2:$A$701,customers_clean!$H$2:$H$701)</f>
        <v>rita.williams@yahoo.com</v>
      </c>
      <c r="O776" s="9" t="str">
        <f>IFERROR(__xludf.DUMMYFUNCTION("IF(REGEXMATCH(TRIM(N776),""^[A-Za-z0-9._%+-]+@[A-Za-z0-9.-]+\.[A-Za-z]{2,}$""),""✅ Valid"",""❌ Invalid"")"),"✅ Valid")</f>
        <v>✅ Valid</v>
      </c>
      <c r="P776" s="2" t="str">
        <f t="array" ref="P776">XLOOKUP(I776,customers_clean!$A$2:$A$701,customers_clean!$K$2:$K$701)</f>
        <v>+49 39 25 64 84 07</v>
      </c>
      <c r="Q776" s="10" t="str">
        <f t="array" ref="Q776">XLOOKUP(I776,customers_clean!$A$2:$A$701,customers_clean!$N$2:$N$701)</f>
        <v>3925648407</v>
      </c>
      <c r="R776" s="9" t="str">
        <f t="array" ref="R776">XLOOKUP(I776,customers_clean!$A$2:$A$701,customers_clean!$Q$2:$Q$701)</f>
        <v>❌ INVALID</v>
      </c>
      <c r="S776" s="10" t="s">
        <v>608</v>
      </c>
      <c r="T776" s="2" t="s">
        <v>851</v>
      </c>
      <c r="U776" s="2" t="s">
        <v>103</v>
      </c>
      <c r="V776" s="2" t="s">
        <v>852</v>
      </c>
      <c r="W776" s="9" t="str">
        <f t="array" ref="W776">IF(ISNA(XLOOKUP(V776,products_master_corrected!$A$2:$A$151,products_master_corrected!$A$2:$A$151, NA())),
    "❌ MISSING SKU", "✅")</f>
        <v>✅</v>
      </c>
      <c r="X776" s="2" t="s">
        <v>213</v>
      </c>
      <c r="Y776" s="2" t="s">
        <v>167</v>
      </c>
      <c r="Z776" s="10" t="str">
        <f t="shared" si="91"/>
        <v>Monitors</v>
      </c>
      <c r="AA776" s="27">
        <v>2.0</v>
      </c>
      <c r="AB776" s="9" t="s">
        <v>8649</v>
      </c>
      <c r="AC776" s="28">
        <f t="array" ref="AC776">XLOOKUP(V776,products_master_corrected!$A$2:$A$151,products_master_corrected!$E$2:$E$151)</f>
        <v>1114.6</v>
      </c>
      <c r="AD776" s="28">
        <f t="shared" si="88"/>
        <v>2229.2</v>
      </c>
      <c r="AE776" s="28">
        <f t="array" ref="AE776">XLOOKUP(V776,products_master_corrected!$A$2:$A$151,products_master_corrected!$H$2:$H$151)</f>
        <v>1252.25</v>
      </c>
      <c r="AF776" s="29">
        <f t="shared" si="89"/>
        <v>2504.5</v>
      </c>
      <c r="AG776" s="32" t="s">
        <v>8658</v>
      </c>
      <c r="AH776" s="2" t="s">
        <v>49</v>
      </c>
      <c r="AI776" s="10" t="s">
        <v>49</v>
      </c>
      <c r="AJ776" s="2" t="s">
        <v>132</v>
      </c>
      <c r="AK776" s="10" t="s">
        <v>192</v>
      </c>
      <c r="AL776" s="2" t="s">
        <v>133</v>
      </c>
    </row>
    <row r="777" ht="15.75" customHeight="1">
      <c r="A777" s="2" t="s">
        <v>5124</v>
      </c>
      <c r="B777" s="12">
        <v>45345.0</v>
      </c>
      <c r="C777" s="2" t="str">
        <f>IFERROR(__xludf.DUMMYFUNCTION("IF(ISNUMBER(B777),TEXT(B777,""yyyy-MM-dd""),REGEXREPLACE(REGEXREPLACE(TO_TEXT(B777),""[^0-9a-zA-Z]+"",""-""),""[^0-9]*$"",""""))"),"2024-02-23")</f>
        <v>2024-02-23</v>
      </c>
      <c r="D777" s="2" t="s">
        <v>8710</v>
      </c>
      <c r="H777" s="10" t="s">
        <v>8710</v>
      </c>
      <c r="I777" s="2" t="s">
        <v>488</v>
      </c>
      <c r="J777" s="26" t="str">
        <f t="array" ref="J777">IF(ISNA(XLOOKUP(I777,customers_clean!$A$2:$A$701,customers_clean!$A$2:$A$701, NA()) ),
   "❌ MISSING CUSTOMER", "✅")</f>
        <v>✅</v>
      </c>
      <c r="K777" s="2" t="str">
        <f t="array" ref="K777">XLOOKUP(I777,customers_clean!$A$2:$A$701,customers_clean!$C$2:$C$701)</f>
        <v>Rita Garcia</v>
      </c>
      <c r="L777" s="10" t="str">
        <f t="array" ref="L777">XLOOKUP(I777,customers_clean!$A$2:$A$701,customers_clean!$D$2:$D$701)</f>
        <v>Rita Garcia</v>
      </c>
      <c r="M777" s="2" t="str">
        <f t="array" ref="M777">XLOOKUP(I777,customers_clean!$A$2:$A$701,customers_clean!$I$2:$I$701)</f>
        <v>RITA.GARCIA@GMAIL.COM</v>
      </c>
      <c r="N777" s="10" t="str">
        <f t="array" ref="N777">XLOOKUP(I777,customers_clean!$A$2:$A$701,customers_clean!$H$2:$H$701)</f>
        <v>rita.garcia@gmail.com</v>
      </c>
      <c r="O777" s="9" t="str">
        <f>IFERROR(__xludf.DUMMYFUNCTION("IF(REGEXMATCH(TRIM(N777),""^[A-Za-z0-9._%+-]+@[A-Za-z0-9.-]+\.[A-Za-z]{2,}$""),""✅ Valid"",""❌ Invalid"")"),"✅ Valid")</f>
        <v>✅ Valid</v>
      </c>
      <c r="P777" s="2" t="str">
        <f t="array" ref="P777">XLOOKUP(I777,customers_clean!$A$2:$A$701,customers_clean!$K$2:$K$701)</f>
        <v>none</v>
      </c>
      <c r="Q777" s="10" t="str">
        <f t="array" ref="Q777">XLOOKUP(I777,customers_clean!$A$2:$A$701,customers_clean!$N$2:$N$701)</f>
        <v/>
      </c>
      <c r="R777" s="9" t="str">
        <f t="array" ref="R777">XLOOKUP(I777,customers_clean!$A$2:$A$701,customers_clean!$Q$2:$Q$701)</f>
        <v>❌ INVALID</v>
      </c>
      <c r="S777" s="10" t="s">
        <v>448</v>
      </c>
      <c r="T777" s="2" t="s">
        <v>683</v>
      </c>
      <c r="U777" s="2" t="s">
        <v>289</v>
      </c>
      <c r="V777" s="2" t="s">
        <v>1255</v>
      </c>
      <c r="W777" s="9" t="str">
        <f t="array" ref="W777">IF(ISNA(XLOOKUP(V777,products_master_corrected!$A$2:$A$151,products_master_corrected!$A$2:$A$151, NA())),
    "❌ MISSING SKU", "✅")</f>
        <v>✅</v>
      </c>
      <c r="X777" s="2" t="s">
        <v>29</v>
      </c>
      <c r="Y777" s="2" t="s">
        <v>271</v>
      </c>
      <c r="Z777" s="10" t="s">
        <v>368</v>
      </c>
      <c r="AA777" s="27">
        <v>5.0</v>
      </c>
      <c r="AB777" s="9" t="s">
        <v>8649</v>
      </c>
      <c r="AC777" s="28">
        <f t="array" ref="AC777">XLOOKUP(V777,products_master_corrected!$A$2:$A$151,products_master_corrected!$E$2:$E$151)</f>
        <v>161.4</v>
      </c>
      <c r="AD777" s="28">
        <f t="shared" si="88"/>
        <v>807</v>
      </c>
      <c r="AE777" s="28">
        <f t="array" ref="AE777">XLOOKUP(V777,products_master_corrected!$A$2:$A$151,products_master_corrected!$M$2:$M$151)</f>
        <v>195.23</v>
      </c>
      <c r="AF777" s="29">
        <f t="shared" si="89"/>
        <v>976.15</v>
      </c>
      <c r="AG777" s="30" t="s">
        <v>48</v>
      </c>
      <c r="AH777" s="2" t="s">
        <v>664</v>
      </c>
      <c r="AI777" s="10" t="s">
        <v>66</v>
      </c>
      <c r="AJ777" s="2" t="s">
        <v>132</v>
      </c>
      <c r="AK777" s="10" t="s">
        <v>192</v>
      </c>
    </row>
    <row r="778" ht="15.75" customHeight="1">
      <c r="A778" s="2" t="s">
        <v>486</v>
      </c>
      <c r="B778" s="12">
        <v>45154.0</v>
      </c>
      <c r="C778" s="2" t="str">
        <f>IFERROR(__xludf.DUMMYFUNCTION("IF(ISNUMBER(B778),TEXT(B778,""yyyy-MM-dd""),REGEXREPLACE(REGEXREPLACE(TO_TEXT(B778),""[^0-9a-zA-Z]+"",""-""),""[^0-9]*$"",""""))"),"2023-08-16")</f>
        <v>2023-08-16</v>
      </c>
      <c r="D778" s="2" t="s">
        <v>8938</v>
      </c>
      <c r="H778" s="10" t="s">
        <v>8938</v>
      </c>
      <c r="I778" s="2" t="s">
        <v>488</v>
      </c>
      <c r="J778" s="26" t="str">
        <f t="array" ref="J778">IF(ISNA(XLOOKUP(I778,customers_clean!$A$2:$A$701,customers_clean!$A$2:$A$701, NA()) ),
   "❌ MISSING CUSTOMER", "✅")</f>
        <v>✅</v>
      </c>
      <c r="K778" s="2" t="str">
        <f t="array" ref="K778">XLOOKUP(I778,customers_clean!$A$2:$A$701,customers_clean!$C$2:$C$701)</f>
        <v>Rita Garcia</v>
      </c>
      <c r="L778" s="10" t="str">
        <f t="array" ref="L778">XLOOKUP(I778,customers_clean!$A$2:$A$701,customers_clean!$D$2:$D$701)</f>
        <v>Rita Garcia</v>
      </c>
      <c r="M778" s="2" t="str">
        <f t="array" ref="M778">XLOOKUP(I778,customers_clean!$A$2:$A$701,customers_clean!$I$2:$I$701)</f>
        <v>RITA.GARCIA@GMAIL.COM</v>
      </c>
      <c r="N778" s="10" t="str">
        <f t="array" ref="N778">XLOOKUP(I778,customers_clean!$A$2:$A$701,customers_clean!$H$2:$H$701)</f>
        <v>rita.garcia@gmail.com</v>
      </c>
      <c r="O778" s="9" t="str">
        <f>IFERROR(__xludf.DUMMYFUNCTION("IF(REGEXMATCH(TRIM(N778),""^[A-Za-z0-9._%+-]+@[A-Za-z0-9.-]+\.[A-Za-z]{2,}$""),""✅ Valid"",""❌ Invalid"")"),"✅ Valid")</f>
        <v>✅ Valid</v>
      </c>
      <c r="P778" s="2" t="str">
        <f t="array" ref="P778">XLOOKUP(I778,customers_clean!$A$2:$A$701,customers_clean!$K$2:$K$701)</f>
        <v>none</v>
      </c>
      <c r="Q778" s="10" t="str">
        <f t="array" ref="Q778">XLOOKUP(I778,customers_clean!$A$2:$A$701,customers_clean!$N$2:$N$701)</f>
        <v/>
      </c>
      <c r="R778" s="9" t="str">
        <f t="array" ref="R778">XLOOKUP(I778,customers_clean!$A$2:$A$701,customers_clean!$Q$2:$Q$701)</f>
        <v>❌ INVALID</v>
      </c>
      <c r="S778" s="10" t="s">
        <v>448</v>
      </c>
      <c r="T778" s="2" t="s">
        <v>234</v>
      </c>
      <c r="U778" s="2" t="s">
        <v>333</v>
      </c>
      <c r="V778" s="2" t="s">
        <v>490</v>
      </c>
      <c r="W778" s="9" t="str">
        <f t="array" ref="W778">IF(ISNA(XLOOKUP(V778,products_master_corrected!$A$2:$A$151,products_master_corrected!$A$2:$A$151, NA())),
    "❌ MISSING SKU", "✅")</f>
        <v>✅</v>
      </c>
      <c r="X778" s="2" t="s">
        <v>29</v>
      </c>
      <c r="Y778" s="2" t="s">
        <v>492</v>
      </c>
      <c r="Z778" s="10" t="s">
        <v>514</v>
      </c>
      <c r="AA778" s="27">
        <v>2.0</v>
      </c>
      <c r="AB778" s="9" t="s">
        <v>8649</v>
      </c>
      <c r="AC778" s="28">
        <f t="array" ref="AC778">XLOOKUP(V778,products_master_corrected!$A$2:$A$151,products_master_corrected!$E$2:$E$151)</f>
        <v>116.45</v>
      </c>
      <c r="AD778" s="28">
        <f t="shared" si="88"/>
        <v>232.9</v>
      </c>
      <c r="AE778" s="28">
        <f t="array" ref="AE778">XLOOKUP(V778,products_master_corrected!$A$2:$A$151,products_master_corrected!$M$2:$M$151)</f>
        <v>140.86</v>
      </c>
      <c r="AF778" s="29">
        <f t="shared" si="89"/>
        <v>281.72</v>
      </c>
      <c r="AG778" s="30" t="s">
        <v>48</v>
      </c>
      <c r="AH778" s="2" t="s">
        <v>66</v>
      </c>
      <c r="AI778" s="10" t="s">
        <v>66</v>
      </c>
      <c r="AJ778" s="2" t="s">
        <v>132</v>
      </c>
      <c r="AK778" s="10" t="s">
        <v>192</v>
      </c>
      <c r="AL778" s="2" t="s">
        <v>51</v>
      </c>
    </row>
    <row r="779" ht="15.75" customHeight="1">
      <c r="A779" s="2" t="s">
        <v>1403</v>
      </c>
      <c r="B779" s="12">
        <v>45724.0</v>
      </c>
      <c r="C779" s="2" t="str">
        <f>IFERROR(__xludf.DUMMYFUNCTION("IF(ISNUMBER(B779),TEXT(B779,""yyyy-MM-dd""),REGEXREPLACE(REGEXREPLACE(TO_TEXT(B779),""[^0-9a-zA-Z]+"",""-""),""[^0-9]*$"",""""))"),"2025-03-08")</f>
        <v>2025-03-08</v>
      </c>
      <c r="D779" s="2" t="s">
        <v>7602</v>
      </c>
      <c r="H779" s="10" t="s">
        <v>7602</v>
      </c>
      <c r="I779" s="2" t="s">
        <v>1405</v>
      </c>
      <c r="J779" s="26" t="str">
        <f t="array" ref="J779">IF(ISNA(XLOOKUP(I779,customers_clean!$A$2:$A$701,customers_clean!$A$2:$A$701, NA()) ),
   "❌ MISSING CUSTOMER", "✅")</f>
        <v>✅</v>
      </c>
      <c r="K779" s="2" t="str">
        <f t="array" ref="K779">XLOOKUP(I779,customers_clean!$A$2:$A$701,customers_clean!$C$2:$C$701)</f>
        <v>MAREK SMITH</v>
      </c>
      <c r="L779" s="10" t="str">
        <f t="array" ref="L779">XLOOKUP(I779,customers_clean!$A$2:$A$701,customers_clean!$D$2:$D$701)</f>
        <v>Marek Smith</v>
      </c>
      <c r="M779" s="2" t="str">
        <f t="array" ref="M779">XLOOKUP(I779,customers_clean!$A$2:$A$701,customers_clean!$I$2:$I$701)</f>
        <v>marek.smith@gmail.com</v>
      </c>
      <c r="N779" s="10" t="str">
        <f t="array" ref="N779">XLOOKUP(I779,customers_clean!$A$2:$A$701,customers_clean!$H$2:$H$701)</f>
        <v>marek.smith@gmail.com</v>
      </c>
      <c r="O779" s="9" t="str">
        <f>IFERROR(__xludf.DUMMYFUNCTION("IF(REGEXMATCH(TRIM(N779),""^[A-Za-z0-9._%+-]+@[A-Za-z0-9.-]+\.[A-Za-z]{2,}$""),""✅ Valid"",""❌ Invalid"")"),"✅ Valid")</f>
        <v>✅ Valid</v>
      </c>
      <c r="P779" s="2">
        <f t="array" ref="P779">XLOOKUP(I779,customers_clean!$A$2:$A$701,customers_clean!$K$2:$K$701)</f>
        <v>4413419118655</v>
      </c>
      <c r="Q779" s="10" t="str">
        <f t="array" ref="Q779">XLOOKUP(I779,customers_clean!$A$2:$A$701,customers_clean!$N$2:$N$701)</f>
        <v>13419118655</v>
      </c>
      <c r="R779" s="9" t="str">
        <f t="array" ref="R779">XLOOKUP(I779,customers_clean!$A$2:$A$701,customers_clean!$Q$2:$Q$701)</f>
        <v>❌ INVALID</v>
      </c>
      <c r="S779" s="31" t="s">
        <v>671</v>
      </c>
      <c r="T779" s="2" t="s">
        <v>26</v>
      </c>
      <c r="U779" s="2" t="s">
        <v>365</v>
      </c>
      <c r="V779" s="2" t="s">
        <v>1271</v>
      </c>
      <c r="W779" s="9" t="str">
        <f t="array" ref="W779">IF(ISNA(XLOOKUP(V779,products_master_corrected!$A$2:$A$151,products_master_corrected!$A$2:$A$151, NA())),
    "❌ MISSING SKU", "✅")</f>
        <v>✅</v>
      </c>
      <c r="X779" s="2" t="s">
        <v>1272</v>
      </c>
      <c r="Y779" s="2" t="s">
        <v>167</v>
      </c>
      <c r="Z779" s="10" t="str">
        <f t="shared" ref="Z779:Z780" si="92">PROPER(TRIM(Y779))</f>
        <v>Monitors</v>
      </c>
      <c r="AA779" s="27">
        <v>1.0</v>
      </c>
      <c r="AB779" s="9" t="s">
        <v>8649</v>
      </c>
      <c r="AC779" s="28">
        <f t="array" ref="AC779">XLOOKUP(V779,products_master_corrected!$A$2:$A$151,products_master_corrected!$E$2:$E$151)</f>
        <v>78.18</v>
      </c>
      <c r="AD779" s="28">
        <f t="shared" si="88"/>
        <v>78.18</v>
      </c>
      <c r="AE779" s="28">
        <f t="array" ref="AE779">XLOOKUP(V779,products_master_corrected!$A$2:$A$151,products_master_corrected!$J$2:$J$151)</f>
        <v>91.18</v>
      </c>
      <c r="AF779" s="29">
        <f t="shared" si="89"/>
        <v>91.18</v>
      </c>
      <c r="AG779" s="32" t="s">
        <v>8656</v>
      </c>
      <c r="AH779" s="2" t="s">
        <v>305</v>
      </c>
      <c r="AI779" s="10" t="s">
        <v>49</v>
      </c>
      <c r="AJ779" s="2" t="s">
        <v>169</v>
      </c>
      <c r="AK779" s="10" t="s">
        <v>261</v>
      </c>
      <c r="AL779" s="2" t="s">
        <v>81</v>
      </c>
    </row>
    <row r="780" ht="15.75" customHeight="1">
      <c r="A780" s="2" t="s">
        <v>4077</v>
      </c>
      <c r="B780" s="12">
        <v>45039.0</v>
      </c>
      <c r="C780" s="2" t="str">
        <f>IFERROR(__xludf.DUMMYFUNCTION("IF(ISNUMBER(B780),TEXT(B780,""yyyy-MM-dd""),REGEXREPLACE(REGEXREPLACE(TO_TEXT(B780),""[^0-9a-zA-Z]+"",""-""),""[^0-9]*$"",""""))"),"2023-04-23")</f>
        <v>2023-04-23</v>
      </c>
      <c r="D780" s="2" t="s">
        <v>8939</v>
      </c>
      <c r="H780" s="10" t="s">
        <v>8939</v>
      </c>
      <c r="I780" s="2" t="s">
        <v>1743</v>
      </c>
      <c r="J780" s="26" t="str">
        <f t="array" ref="J780">IF(ISNA(XLOOKUP(I780,customers_clean!$A$2:$A$701,customers_clean!$A$2:$A$701, NA()) ),
   "❌ MISSING CUSTOMER", "✅")</f>
        <v>✅</v>
      </c>
      <c r="K780" s="2" t="str">
        <f t="array" ref="K780">XLOOKUP(I780,customers_clean!$A$2:$A$701,customers_clean!$C$2:$C$701)</f>
        <v>Xenia Smith</v>
      </c>
      <c r="L780" s="10" t="str">
        <f t="array" ref="L780">XLOOKUP(I780,customers_clean!$A$2:$A$701,customers_clean!$D$2:$D$701)</f>
        <v>Xenia Smith</v>
      </c>
      <c r="M780" s="2" t="str">
        <f t="array" ref="M780">XLOOKUP(I780,customers_clean!$A$2:$A$701,customers_clean!$I$2:$I$701)</f>
        <v> xenia.smith@yahoo.com</v>
      </c>
      <c r="N780" s="10" t="str">
        <f t="array" ref="N780">XLOOKUP(I780,customers_clean!$A$2:$A$701,customers_clean!$H$2:$H$701)</f>
        <v>xenia.smith@yahoo.com</v>
      </c>
      <c r="O780" s="9" t="str">
        <f>IFERROR(__xludf.DUMMYFUNCTION("IF(REGEXMATCH(TRIM(N780),""^[A-Za-z0-9._%+-]+@[A-Za-z0-9.-]+\.[A-Za-z]{2,}$""),""✅ Valid"",""❌ Invalid"")"),"✅ Valid")</f>
        <v>✅ Valid</v>
      </c>
      <c r="P780" s="2">
        <f t="array" ref="P780">XLOOKUP(I780,customers_clean!$A$2:$A$701,customers_clean!$K$2:$K$701)</f>
        <v>829775013</v>
      </c>
      <c r="Q780" s="10" t="str">
        <f t="array" ref="Q780">XLOOKUP(I780,customers_clean!$A$2:$A$701,customers_clean!$N$2:$N$701)</f>
        <v>829775013</v>
      </c>
      <c r="R780" s="9" t="str">
        <f t="array" ref="R780">XLOOKUP(I780,customers_clean!$A$2:$A$701,customers_clean!$Q$2:$Q$701)</f>
        <v>❌ INVALID</v>
      </c>
      <c r="S780" s="10" t="s">
        <v>25</v>
      </c>
      <c r="T780" s="2" t="s">
        <v>223</v>
      </c>
      <c r="U780" s="2" t="s">
        <v>333</v>
      </c>
      <c r="V780" s="2" t="s">
        <v>189</v>
      </c>
      <c r="W780" s="9" t="str">
        <f t="array" ref="W780">IF(ISNA(XLOOKUP(V780,products_master_corrected!$A$2:$A$151,products_master_corrected!$A$2:$A$151, NA())),
    "❌ MISSING SKU", "✅")</f>
        <v>✅</v>
      </c>
      <c r="X780" s="2" t="s">
        <v>190</v>
      </c>
      <c r="Y780" s="2" t="s">
        <v>167</v>
      </c>
      <c r="Z780" s="10" t="str">
        <f t="shared" si="92"/>
        <v>Monitors</v>
      </c>
      <c r="AA780" s="27">
        <v>1.0</v>
      </c>
      <c r="AB780" s="9" t="s">
        <v>8649</v>
      </c>
      <c r="AC780" s="28">
        <f t="array" ref="AC780">XLOOKUP(V780,products_master_corrected!$A$2:$A$151,products_master_corrected!$E$2:$E$151)</f>
        <v>57.69</v>
      </c>
      <c r="AD780" s="28">
        <f t="shared" si="88"/>
        <v>57.69</v>
      </c>
      <c r="AE780" s="28">
        <f t="array" ref="AE780">XLOOKUP(V780,products_master_corrected!$A$2:$A$151,products_master_corrected!$K$2:$K$151)</f>
        <v>296.82</v>
      </c>
      <c r="AF780" s="29">
        <f t="shared" si="89"/>
        <v>296.82</v>
      </c>
      <c r="AG780" s="30" t="s">
        <v>95</v>
      </c>
      <c r="AH780" s="2" t="s">
        <v>204</v>
      </c>
      <c r="AI780" s="10" t="s">
        <v>143</v>
      </c>
      <c r="AJ780" s="2" t="s">
        <v>169</v>
      </c>
      <c r="AK780" s="10" t="s">
        <v>261</v>
      </c>
    </row>
    <row r="781" ht="15.75" customHeight="1">
      <c r="A781" s="2" t="s">
        <v>1741</v>
      </c>
      <c r="B781" s="12" t="s">
        <v>1742</v>
      </c>
      <c r="C781" s="2" t="str">
        <f>IFERROR(__xludf.DUMMYFUNCTION("IF(ISNUMBER(B781),TEXT(B781,""yyyy-MM-dd""),REGEXREPLACE(REGEXREPLACE(TO_TEXT(B781),""[^0-9a-zA-Z]+"",""-""),""[^0-9]*$"",""""))"),"01-04-2024")</f>
        <v>01-04-2024</v>
      </c>
      <c r="D781" s="2" t="s">
        <v>8311</v>
      </c>
      <c r="H781" s="10" t="s">
        <v>8311</v>
      </c>
      <c r="I781" s="2" t="s">
        <v>1743</v>
      </c>
      <c r="J781" s="26" t="str">
        <f t="array" ref="J781">IF(ISNA(XLOOKUP(I781,customers_clean!$A$2:$A$701,customers_clean!$A$2:$A$701, NA()) ),
   "❌ MISSING CUSTOMER", "✅")</f>
        <v>✅</v>
      </c>
      <c r="K781" s="2" t="str">
        <f t="array" ref="K781">XLOOKUP(I781,customers_clean!$A$2:$A$701,customers_clean!$C$2:$C$701)</f>
        <v>Xenia Smith</v>
      </c>
      <c r="L781" s="10" t="str">
        <f t="array" ref="L781">XLOOKUP(I781,customers_clean!$A$2:$A$701,customers_clean!$D$2:$D$701)</f>
        <v>Xenia Smith</v>
      </c>
      <c r="M781" s="2" t="str">
        <f t="array" ref="M781">XLOOKUP(I781,customers_clean!$A$2:$A$701,customers_clean!$I$2:$I$701)</f>
        <v> xenia.smith@yahoo.com</v>
      </c>
      <c r="N781" s="10" t="str">
        <f t="array" ref="N781">XLOOKUP(I781,customers_clean!$A$2:$A$701,customers_clean!$H$2:$H$701)</f>
        <v>xenia.smith@yahoo.com</v>
      </c>
      <c r="O781" s="9" t="str">
        <f>IFERROR(__xludf.DUMMYFUNCTION("IF(REGEXMATCH(TRIM(N781),""^[A-Za-z0-9._%+-]+@[A-Za-z0-9.-]+\.[A-Za-z]{2,}$""),""✅ Valid"",""❌ Invalid"")"),"✅ Valid")</f>
        <v>✅ Valid</v>
      </c>
      <c r="P781" s="2">
        <f t="array" ref="P781">XLOOKUP(I781,customers_clean!$A$2:$A$701,customers_clean!$K$2:$K$701)</f>
        <v>829775013</v>
      </c>
      <c r="Q781" s="10" t="str">
        <f t="array" ref="Q781">XLOOKUP(I781,customers_clean!$A$2:$A$701,customers_clean!$N$2:$N$701)</f>
        <v>829775013</v>
      </c>
      <c r="R781" s="9" t="str">
        <f t="array" ref="R781">XLOOKUP(I781,customers_clean!$A$2:$A$701,customers_clean!$Q$2:$Q$701)</f>
        <v>❌ INVALID</v>
      </c>
      <c r="S781" s="10" t="s">
        <v>25</v>
      </c>
      <c r="T781" s="2" t="s">
        <v>1747</v>
      </c>
      <c r="U781" s="2" t="s">
        <v>176</v>
      </c>
      <c r="V781" s="2" t="s">
        <v>1748</v>
      </c>
      <c r="W781" s="9" t="str">
        <f t="array" ref="W781">IF(ISNA(XLOOKUP(V781,products_master_corrected!$A$2:$A$151,products_master_corrected!$A$2:$A$151, NA())),
    "❌ MISSING SKU", "✅")</f>
        <v>✅</v>
      </c>
      <c r="X781" s="2" t="s">
        <v>62</v>
      </c>
      <c r="Y781" s="2" t="s">
        <v>315</v>
      </c>
      <c r="Z781" s="10" t="s">
        <v>179</v>
      </c>
      <c r="AA781" s="27">
        <v>1.0</v>
      </c>
      <c r="AB781" s="9" t="s">
        <v>8649</v>
      </c>
      <c r="AC781" s="28">
        <f t="array" ref="AC781">XLOOKUP(V781,products_master_corrected!$A$2:$A$151,products_master_corrected!$E$2:$E$151)</f>
        <v>94.26</v>
      </c>
      <c r="AD781" s="28">
        <f t="shared" si="88"/>
        <v>94.26</v>
      </c>
      <c r="AE781" s="28">
        <f t="array" ref="AE781">XLOOKUP(V781,products_master_corrected!$A$2:$A$151,products_master_corrected!$K$2:$K$151)</f>
        <v>484.97</v>
      </c>
      <c r="AF781" s="29">
        <f t="shared" si="89"/>
        <v>484.97</v>
      </c>
      <c r="AG781" s="30" t="s">
        <v>95</v>
      </c>
      <c r="AH781" s="2" t="s">
        <v>66</v>
      </c>
      <c r="AI781" s="10" t="s">
        <v>66</v>
      </c>
      <c r="AJ781" s="2" t="s">
        <v>80</v>
      </c>
      <c r="AK781" s="10" t="s">
        <v>80</v>
      </c>
      <c r="AL781" s="2" t="s">
        <v>133</v>
      </c>
    </row>
    <row r="782" ht="15.75" customHeight="1">
      <c r="A782" s="2" t="s">
        <v>3605</v>
      </c>
      <c r="B782" s="12">
        <v>45282.07152777778</v>
      </c>
      <c r="C782" s="2" t="str">
        <f>IFERROR(__xludf.DUMMYFUNCTION("IF(ISNUMBER(B782),TEXT(B782,""yyyy-MM-dd""),REGEXREPLACE(REGEXREPLACE(TO_TEXT(B782),""[^0-9a-zA-Z]+"",""-""),""[^0-9]*$"",""""))"),"2023-12-22")</f>
        <v>2023-12-22</v>
      </c>
      <c r="D782" s="2" t="s">
        <v>8698</v>
      </c>
      <c r="H782" s="10" t="s">
        <v>8698</v>
      </c>
      <c r="I782" s="2" t="s">
        <v>1743</v>
      </c>
      <c r="J782" s="26" t="str">
        <f t="array" ref="J782">IF(ISNA(XLOOKUP(I782,customers_clean!$A$2:$A$701,customers_clean!$A$2:$A$701, NA()) ),
   "❌ MISSING CUSTOMER", "✅")</f>
        <v>✅</v>
      </c>
      <c r="K782" s="2" t="str">
        <f t="array" ref="K782">XLOOKUP(I782,customers_clean!$A$2:$A$701,customers_clean!$C$2:$C$701)</f>
        <v>Xenia Smith</v>
      </c>
      <c r="L782" s="10" t="str">
        <f t="array" ref="L782">XLOOKUP(I782,customers_clean!$A$2:$A$701,customers_clean!$D$2:$D$701)</f>
        <v>Xenia Smith</v>
      </c>
      <c r="M782" s="2" t="str">
        <f t="array" ref="M782">XLOOKUP(I782,customers_clean!$A$2:$A$701,customers_clean!$I$2:$I$701)</f>
        <v> xenia.smith@yahoo.com</v>
      </c>
      <c r="N782" s="10" t="str">
        <f t="array" ref="N782">XLOOKUP(I782,customers_clean!$A$2:$A$701,customers_clean!$H$2:$H$701)</f>
        <v>xenia.smith@yahoo.com</v>
      </c>
      <c r="O782" s="9" t="str">
        <f>IFERROR(__xludf.DUMMYFUNCTION("IF(REGEXMATCH(TRIM(N782),""^[A-Za-z0-9._%+-]+@[A-Za-z0-9.-]+\.[A-Za-z]{2,}$""),""✅ Valid"",""❌ Invalid"")"),"✅ Valid")</f>
        <v>✅ Valid</v>
      </c>
      <c r="P782" s="2">
        <f t="array" ref="P782">XLOOKUP(I782,customers_clean!$A$2:$A$701,customers_clean!$K$2:$K$701)</f>
        <v>829775013</v>
      </c>
      <c r="Q782" s="10" t="str">
        <f t="array" ref="Q782">XLOOKUP(I782,customers_clean!$A$2:$A$701,customers_clean!$N$2:$N$701)</f>
        <v>829775013</v>
      </c>
      <c r="R782" s="9" t="str">
        <f t="array" ref="R782">XLOOKUP(I782,customers_clean!$A$2:$A$701,customers_clean!$Q$2:$Q$701)</f>
        <v>❌ INVALID</v>
      </c>
      <c r="S782" s="10" t="s">
        <v>25</v>
      </c>
      <c r="T782" s="2" t="s">
        <v>3607</v>
      </c>
      <c r="U782" s="2" t="s">
        <v>401</v>
      </c>
      <c r="V782" s="2" t="s">
        <v>1748</v>
      </c>
      <c r="W782" s="9" t="str">
        <f t="array" ref="W782">IF(ISNA(XLOOKUP(V782,products_master_corrected!$A$2:$A$151,products_master_corrected!$A$2:$A$151, NA())),
    "❌ MISSING SKU", "✅")</f>
        <v>✅</v>
      </c>
      <c r="X782" s="2" t="s">
        <v>62</v>
      </c>
      <c r="Y782" s="2" t="s">
        <v>315</v>
      </c>
      <c r="Z782" s="10" t="s">
        <v>179</v>
      </c>
      <c r="AA782" s="27">
        <v>1.0</v>
      </c>
      <c r="AB782" s="9" t="s">
        <v>8649</v>
      </c>
      <c r="AC782" s="28">
        <f t="array" ref="AC782">XLOOKUP(V782,products_master_corrected!$A$2:$A$151,products_master_corrected!$E$2:$E$151)</f>
        <v>94.26</v>
      </c>
      <c r="AD782" s="28">
        <f t="shared" si="88"/>
        <v>94.26</v>
      </c>
      <c r="AE782" s="28">
        <f t="array" ref="AE782">XLOOKUP(V782,products_master_corrected!$A$2:$A$151,products_master_corrected!$K$2:$K$151)</f>
        <v>484.97</v>
      </c>
      <c r="AF782" s="29">
        <f t="shared" si="89"/>
        <v>484.97</v>
      </c>
      <c r="AG782" s="30" t="s">
        <v>95</v>
      </c>
      <c r="AH782" s="2" t="s">
        <v>143</v>
      </c>
      <c r="AI782" s="10" t="s">
        <v>143</v>
      </c>
      <c r="AJ782" s="2" t="s">
        <v>158</v>
      </c>
      <c r="AK782" s="10" t="s">
        <v>818</v>
      </c>
      <c r="AL782" s="2" t="s">
        <v>51</v>
      </c>
    </row>
    <row r="783" ht="15.75" customHeight="1">
      <c r="A783" s="2" t="s">
        <v>4656</v>
      </c>
      <c r="B783" s="12">
        <v>45377.0</v>
      </c>
      <c r="C783" s="2" t="str">
        <f>IFERROR(__xludf.DUMMYFUNCTION("IF(ISNUMBER(B783),TEXT(B783,""yyyy-MM-dd""),REGEXREPLACE(REGEXREPLACE(TO_TEXT(B783),""[^0-9a-zA-Z]+"",""-""),""[^0-9]*$"",""""))"),"2024-03-26")</f>
        <v>2024-03-26</v>
      </c>
      <c r="D783" s="2" t="s">
        <v>8940</v>
      </c>
      <c r="H783" s="10" t="s">
        <v>8940</v>
      </c>
      <c r="I783" s="2" t="s">
        <v>4658</v>
      </c>
      <c r="J783" s="26" t="str">
        <f t="array" ref="J783">IF(ISNA(XLOOKUP(I783,customers_clean!$A$2:$A$701,customers_clean!$A$2:$A$701, NA()) ),
   "❌ MISSING CUSTOMER", "✅")</f>
        <v>✅</v>
      </c>
      <c r="K783" s="2" t="str">
        <f t="array" ref="K783">XLOOKUP(I783,customers_clean!$A$2:$A$701,customers_clean!$C$2:$C$701)</f>
        <v>Omar Muller</v>
      </c>
      <c r="L783" s="10" t="str">
        <f t="array" ref="L783">XLOOKUP(I783,customers_clean!$A$2:$A$701,customers_clean!$D$2:$D$701)</f>
        <v>Omar Muller</v>
      </c>
      <c r="M783" s="2" t="str">
        <f t="array" ref="M783">XLOOKUP(I783,customers_clean!$A$2:$A$701,customers_clean!$I$2:$I$701)</f>
        <v/>
      </c>
      <c r="N783" s="10" t="str">
        <f t="array" ref="N783">XLOOKUP(I783,customers_clean!$A$2:$A$701,customers_clean!$H$2:$H$701)</f>
        <v/>
      </c>
      <c r="O783" s="9" t="str">
        <f>IFERROR(__xludf.DUMMYFUNCTION("IF(REGEXMATCH(TRIM(N783),""^[A-Za-z0-9._%+-]+@[A-Za-z0-9.-]+\.[A-Za-z]{2,}$""),""✅ Valid"",""❌ Invalid"")"),"❌ Invalid")</f>
        <v>❌ Invalid</v>
      </c>
      <c r="P783" s="2" t="str">
        <f t="array" ref="P783">XLOOKUP(I783,customers_clean!$A$2:$A$701,customers_clean!$K$2:$K$701)</f>
        <v>+1-254-538-2188</v>
      </c>
      <c r="Q783" s="10" t="str">
        <f t="array" ref="Q783">XLOOKUP(I783,customers_clean!$A$2:$A$701,customers_clean!$N$2:$N$701)</f>
        <v/>
      </c>
      <c r="R783" s="9" t="str">
        <f t="array" ref="R783">XLOOKUP(I783,customers_clean!$A$2:$A$701,customers_clean!$Q$2:$Q$701)</f>
        <v/>
      </c>
      <c r="S783" s="31" t="s">
        <v>671</v>
      </c>
      <c r="T783" s="2" t="s">
        <v>301</v>
      </c>
      <c r="U783" s="2" t="s">
        <v>401</v>
      </c>
      <c r="V783" s="2" t="s">
        <v>815</v>
      </c>
      <c r="W783" s="9" t="str">
        <f t="array" ref="W783">IF(ISNA(XLOOKUP(V783,products_master_corrected!$A$2:$A$151,products_master_corrected!$A$2:$A$151, NA())),
    "❌ MISSING SKU", "✅")</f>
        <v>✅</v>
      </c>
      <c r="X783" s="2" t="s">
        <v>816</v>
      </c>
      <c r="Y783" s="2" t="s">
        <v>179</v>
      </c>
      <c r="Z783" s="10" t="s">
        <v>179</v>
      </c>
      <c r="AA783" s="27">
        <v>5.0</v>
      </c>
      <c r="AB783" s="9" t="s">
        <v>8649</v>
      </c>
      <c r="AC783" s="28">
        <f t="array" ref="AC783">XLOOKUP(V783,products_master_corrected!$A$2:$A$151,products_master_corrected!$E$2:$E$151)</f>
        <v>328.22</v>
      </c>
      <c r="AD783" s="28">
        <f t="shared" si="88"/>
        <v>1641.1</v>
      </c>
      <c r="AE783" s="28">
        <f t="array" ref="AE783">XLOOKUP(V783,products_master_corrected!$A$2:$A$151,products_master_corrected!$J$2:$J$151)</f>
        <v>382.8</v>
      </c>
      <c r="AF783" s="29">
        <f t="shared" si="89"/>
        <v>1914</v>
      </c>
      <c r="AG783" s="32" t="s">
        <v>8656</v>
      </c>
      <c r="AH783" s="2" t="s">
        <v>526</v>
      </c>
      <c r="AI783" s="10" t="s">
        <v>49</v>
      </c>
      <c r="AJ783" s="2" t="s">
        <v>192</v>
      </c>
      <c r="AK783" s="10" t="s">
        <v>192</v>
      </c>
    </row>
    <row r="784" ht="15.75" customHeight="1">
      <c r="A784" s="2" t="s">
        <v>686</v>
      </c>
      <c r="B784" s="12" t="s">
        <v>687</v>
      </c>
      <c r="C784" s="2" t="str">
        <f>IFERROR(__xludf.DUMMYFUNCTION("IF(ISNUMBER(B784),TEXT(B784,""yyyy-MM-dd""),REGEXREPLACE(REGEXREPLACE(TO_TEXT(B784),""[^0-9a-zA-Z]+"",""-""),""[^0-9]*$"",""""))"),"25-05-2025-07-15")</f>
        <v>25-05-2025-07-15</v>
      </c>
      <c r="D784" s="2" t="str">
        <f>TEXT(C784,"yyyy-MM-dd")</f>
        <v>25-05-2025-07-15</v>
      </c>
      <c r="E784" s="12" t="str">
        <f>IFERROR(__xludf.DUMMYFUNCTION("REGEXEXTRACT(D784,""^\d{2}-\d{2}-\d{4}"")"),"25-05-2025")</f>
        <v>25-05-2025</v>
      </c>
      <c r="F784" s="2" t="s">
        <v>8941</v>
      </c>
      <c r="H784" s="10" t="s">
        <v>8941</v>
      </c>
      <c r="I784" s="2" t="s">
        <v>688</v>
      </c>
      <c r="J784" s="26" t="str">
        <f t="array" ref="J784">IF(ISNA(XLOOKUP(I784,customers_clean!$A$2:$A$701,customers_clean!$A$2:$A$701, NA()) ),
   "❌ MISSING CUSTOMER", "✅")</f>
        <v>✅</v>
      </c>
      <c r="K784" s="2" t="str">
        <f t="array" ref="K784">XLOOKUP(I784,customers_clean!$A$2:$A$701,customers_clean!$C$2:$C$701)</f>
        <v>ADAM KOWALSKI</v>
      </c>
      <c r="L784" s="10" t="str">
        <f t="array" ref="L784">XLOOKUP(I784,customers_clean!$A$2:$A$701,customers_clean!$D$2:$D$701)</f>
        <v>Adam Kowalski</v>
      </c>
      <c r="M784" s="2" t="str">
        <f t="array" ref="M784">XLOOKUP(I784,customers_clean!$A$2:$A$701,customers_clean!$I$2:$I$701)</f>
        <v>adam.kowalski@outlook.com</v>
      </c>
      <c r="N784" s="10" t="str">
        <f t="array" ref="N784">XLOOKUP(I784,customers_clean!$A$2:$A$701,customers_clean!$H$2:$H$701)</f>
        <v>adam.kowalski@outlook.com</v>
      </c>
      <c r="O784" s="9" t="str">
        <f>IFERROR(__xludf.DUMMYFUNCTION("IF(REGEXMATCH(TRIM(N784),""^[A-Za-z0-9._%+-]+@[A-Za-z0-9.-]+\.[A-Za-z]{2,}$""),""✅ Valid"",""❌ Invalid"")"),"✅ Valid")</f>
        <v>✅ Valid</v>
      </c>
      <c r="P784" s="33" t="str">
        <f t="array" ref="P784">XLOOKUP(I784,customers_clean!$A$2:$A$701,customers_clean!$K$2:$K$701)</f>
        <v>5309 0762 18</v>
      </c>
      <c r="Q784" s="10" t="str">
        <f t="array" ref="Q784">XLOOKUP(I784,customers_clean!$A$2:$A$701,customers_clean!$N$2:$N$701)</f>
        <v>5309076218</v>
      </c>
      <c r="R784" s="9" t="str">
        <f t="array" ref="R784">XLOOKUP(I784,customers_clean!$A$2:$A$701,customers_clean!$Q$2:$Q$701)</f>
        <v>❌ INVALID</v>
      </c>
      <c r="S784" s="10" t="s">
        <v>58</v>
      </c>
      <c r="T784" s="2" t="s">
        <v>641</v>
      </c>
      <c r="U784" s="2" t="s">
        <v>401</v>
      </c>
      <c r="V784" s="2" t="s">
        <v>692</v>
      </c>
      <c r="W784" s="9" t="str">
        <f t="array" ref="W784">IF(ISNA(XLOOKUP(V784,products_master_corrected!$A$2:$A$151,products_master_corrected!$A$2:$A$151, NA())),
    "❌ MISSING SKU", "✅")</f>
        <v>✅</v>
      </c>
      <c r="X784" s="2" t="s">
        <v>8661</v>
      </c>
      <c r="Y784" s="2" t="s">
        <v>368</v>
      </c>
      <c r="Z784" s="10" t="s">
        <v>368</v>
      </c>
      <c r="AA784" s="27">
        <v>1.0</v>
      </c>
      <c r="AB784" s="9" t="s">
        <v>8649</v>
      </c>
      <c r="AC784" s="28">
        <f t="array" ref="AC784">XLOOKUP(V784,products_master_corrected!$A$2:$A$151,products_master_corrected!$E$2:$E$151)</f>
        <v>65.53</v>
      </c>
      <c r="AD784" s="28">
        <f t="shared" si="88"/>
        <v>65.53</v>
      </c>
      <c r="AE784" s="28">
        <f t="array" ref="AE784">XLOOKUP(V784,products_master_corrected!$A$2:$A$151,products_master_corrected!$G$2:$G$151)</f>
        <v>75.02</v>
      </c>
      <c r="AF784" s="29">
        <f t="shared" si="89"/>
        <v>75.02</v>
      </c>
      <c r="AG784" s="32" t="s">
        <v>8663</v>
      </c>
      <c r="AH784" s="2" t="s">
        <v>143</v>
      </c>
      <c r="AI784" s="10" t="s">
        <v>143</v>
      </c>
      <c r="AJ784" s="2" t="s">
        <v>380</v>
      </c>
      <c r="AK784" s="10" t="s">
        <v>80</v>
      </c>
    </row>
    <row r="785" ht="15.75" customHeight="1">
      <c r="A785" s="2" t="s">
        <v>2586</v>
      </c>
      <c r="B785" s="12">
        <v>44937.0</v>
      </c>
      <c r="C785" s="2" t="str">
        <f>IFERROR(__xludf.DUMMYFUNCTION("IF(ISNUMBER(B785),TEXT(B785,""yyyy-MM-dd""),REGEXREPLACE(REGEXREPLACE(TO_TEXT(B785),""[^0-9a-zA-Z]+"",""-""),""[^0-9]*$"",""""))"),"2023-01-11")</f>
        <v>2023-01-11</v>
      </c>
      <c r="D785" s="2" t="s">
        <v>7647</v>
      </c>
      <c r="H785" s="10" t="s">
        <v>7647</v>
      </c>
      <c r="I785" s="2" t="s">
        <v>2588</v>
      </c>
      <c r="J785" s="26" t="str">
        <f t="array" ref="J785">IF(ISNA(XLOOKUP(I785,customers_clean!$A$2:$A$701,customers_clean!$A$2:$A$701, NA()) ),
   "❌ MISSING CUSTOMER", "✅")</f>
        <v>✅</v>
      </c>
      <c r="K785" s="2" t="str">
        <f t="array" ref="K785">XLOOKUP(I785,customers_clean!$A$2:$A$701,customers_clean!$C$2:$C$701)</f>
        <v>Jade Kowalczyk</v>
      </c>
      <c r="L785" s="10" t="str">
        <f t="array" ref="L785">XLOOKUP(I785,customers_clean!$A$2:$A$701,customers_clean!$D$2:$D$701)</f>
        <v>Jade Kowalczyk</v>
      </c>
      <c r="M785" s="2" t="str">
        <f t="array" ref="M785">XLOOKUP(I785,customers_clean!$A$2:$A$701,customers_clean!$I$2:$I$701)</f>
        <v>JADE.KOWALCZYK@YAHOO.COM</v>
      </c>
      <c r="N785" s="10" t="str">
        <f t="array" ref="N785">XLOOKUP(I785,customers_clean!$A$2:$A$701,customers_clean!$H$2:$H$701)</f>
        <v>jade.kowalczyk@yahoo.com</v>
      </c>
      <c r="O785" s="9" t="str">
        <f>IFERROR(__xludf.DUMMYFUNCTION("IF(REGEXMATCH(TRIM(N785),""^[A-Za-z0-9._%+-]+@[A-Za-z0-9.-]+\.[A-Za-z]{2,}$""),""✅ Valid"",""❌ Invalid"")"),"✅ Valid")</f>
        <v>✅ Valid</v>
      </c>
      <c r="P785" s="2" t="str">
        <f t="array" ref="P785">XLOOKUP(I785,customers_clean!$A$2:$A$701,customers_clean!$K$2:$K$701)</f>
        <v>195-615-8098</v>
      </c>
      <c r="Q785" s="10" t="str">
        <f t="array" ref="Q785">XLOOKUP(I785,customers_clean!$A$2:$A$701,customers_clean!$N$2:$N$701)</f>
        <v>1956158098</v>
      </c>
      <c r="R785" s="9" t="str">
        <f t="array" ref="R785">XLOOKUP(I785,customers_clean!$A$2:$A$701,customers_clean!$Q$2:$Q$701)</f>
        <v>❌ INVALID</v>
      </c>
      <c r="S785" s="10" t="s">
        <v>608</v>
      </c>
      <c r="T785" s="2" t="s">
        <v>26</v>
      </c>
      <c r="U785" s="2" t="s">
        <v>401</v>
      </c>
      <c r="V785" s="2" t="s">
        <v>166</v>
      </c>
      <c r="W785" s="9" t="str">
        <f t="array" ref="W785">IF(ISNA(XLOOKUP(V785,products_master_corrected!$A$2:$A$151,products_master_corrected!$A$2:$A$151, NA())),
    "❌ MISSING SKU", "✅")</f>
        <v>✅</v>
      </c>
      <c r="X785" s="2" t="s">
        <v>259</v>
      </c>
      <c r="Y785" s="2" t="s">
        <v>167</v>
      </c>
      <c r="Z785" s="10" t="str">
        <f>PROPER(TRIM(Y785))</f>
        <v>Monitors</v>
      </c>
      <c r="AA785" s="27">
        <v>1.0</v>
      </c>
      <c r="AB785" s="9" t="s">
        <v>8649</v>
      </c>
      <c r="AC785" s="28">
        <f t="array" ref="AC785">XLOOKUP(V785,products_master_corrected!$A$2:$A$151,products_master_corrected!$E$2:$E$151)</f>
        <v>16.9</v>
      </c>
      <c r="AD785" s="28">
        <f t="shared" si="88"/>
        <v>16.9</v>
      </c>
      <c r="AE785" s="28">
        <f t="array" ref="AE785">XLOOKUP(V785,products_master_corrected!$A$2:$A$151,products_master_corrected!$H$2:$H$151)</f>
        <v>18.99</v>
      </c>
      <c r="AF785" s="29">
        <f t="shared" si="89"/>
        <v>18.99</v>
      </c>
      <c r="AG785" s="32" t="s">
        <v>8658</v>
      </c>
      <c r="AH785" s="2" t="s">
        <v>66</v>
      </c>
      <c r="AI785" s="10" t="s">
        <v>66</v>
      </c>
      <c r="AJ785" s="2" t="s">
        <v>80</v>
      </c>
      <c r="AK785" s="10" t="s">
        <v>80</v>
      </c>
      <c r="AL785" s="2" t="s">
        <v>51</v>
      </c>
    </row>
    <row r="786" ht="15.75" customHeight="1">
      <c r="A786" s="2" t="s">
        <v>2441</v>
      </c>
      <c r="B786" s="12">
        <v>45240.0</v>
      </c>
      <c r="C786" s="2" t="str">
        <f>IFERROR(__xludf.DUMMYFUNCTION("IF(ISNUMBER(B786),TEXT(B786,""yyyy-MM-dd""),REGEXREPLACE(REGEXREPLACE(TO_TEXT(B786),""[^0-9a-zA-Z]+"",""-""),""[^0-9]*$"",""""))"),"2023-11-10")</f>
        <v>2023-11-10</v>
      </c>
      <c r="D786" s="2" t="s">
        <v>2442</v>
      </c>
      <c r="H786" s="10" t="s">
        <v>2442</v>
      </c>
      <c r="I786" s="2" t="s">
        <v>2443</v>
      </c>
      <c r="J786" s="26" t="str">
        <f t="array" ref="J786">IF(ISNA(XLOOKUP(I786,customers_clean!$A$2:$A$701,customers_clean!$A$2:$A$701, NA()) ),
   "❌ MISSING CUSTOMER", "✅")</f>
        <v>✅</v>
      </c>
      <c r="K786" s="2" t="str">
        <f t="array" ref="K786">XLOOKUP(I786,customers_clean!$A$2:$A$701,customers_clean!$C$2:$C$701)</f>
        <v>Daria Taylor</v>
      </c>
      <c r="L786" s="10" t="str">
        <f t="array" ref="L786">XLOOKUP(I786,customers_clean!$A$2:$A$701,customers_clean!$D$2:$D$701)</f>
        <v>Daria Taylor</v>
      </c>
      <c r="M786" s="2" t="str">
        <f t="array" ref="M786">XLOOKUP(I786,customers_clean!$A$2:$A$701,customers_clean!$I$2:$I$701)</f>
        <v>daria.taylor@yahoo.com</v>
      </c>
      <c r="N786" s="10" t="str">
        <f t="array" ref="N786">XLOOKUP(I786,customers_clean!$A$2:$A$701,customers_clean!$H$2:$H$701)</f>
        <v>daria.taylor@yahoo.com</v>
      </c>
      <c r="O786" s="9" t="str">
        <f>IFERROR(__xludf.DUMMYFUNCTION("IF(REGEXMATCH(TRIM(N786),""^[A-Za-z0-9._%+-]+@[A-Za-z0-9.-]+\.[A-Za-z]{2,}$""),""✅ Valid"",""❌ Invalid"")"),"✅ Valid")</f>
        <v>✅ Valid</v>
      </c>
      <c r="P786" s="2" t="str">
        <f t="array" ref="P786">XLOOKUP(I786,customers_clean!$A$2:$A$701,customers_clean!$K$2:$K$701)</f>
        <v>+353-979-555858</v>
      </c>
      <c r="Q786" s="10" t="str">
        <f t="array" ref="Q786">XLOOKUP(I786,customers_clean!$A$2:$A$701,customers_clean!$N$2:$N$701)</f>
        <v>979555858</v>
      </c>
      <c r="R786" s="9" t="str">
        <f t="array" ref="R786">XLOOKUP(I786,customers_clean!$A$2:$A$701,customers_clean!$Q$2:$Q$701)</f>
        <v>❌ INVALID</v>
      </c>
      <c r="S786" s="31" t="s">
        <v>671</v>
      </c>
      <c r="T786" s="2" t="s">
        <v>301</v>
      </c>
      <c r="U786" s="2" t="s">
        <v>176</v>
      </c>
      <c r="V786" s="2" t="s">
        <v>2219</v>
      </c>
      <c r="W786" s="9" t="str">
        <f t="array" ref="W786">IF(ISNA(XLOOKUP(V786,products_master_corrected!$A$2:$A$151,products_master_corrected!$A$2:$A$151, NA())),
    "❌ MISSING SKU", "✅")</f>
        <v>✅</v>
      </c>
      <c r="X786" s="2" t="s">
        <v>768</v>
      </c>
      <c r="Y786" s="2" t="s">
        <v>805</v>
      </c>
      <c r="Z786" s="10" t="s">
        <v>355</v>
      </c>
      <c r="AA786" s="27">
        <v>2.0</v>
      </c>
      <c r="AB786" s="9" t="s">
        <v>8649</v>
      </c>
      <c r="AC786" s="28">
        <f t="array" ref="AC786">XLOOKUP(V786,products_master_corrected!$A$2:$A$151,products_master_corrected!$E$2:$E$151)</f>
        <v>44.94</v>
      </c>
      <c r="AD786" s="28">
        <f t="shared" si="88"/>
        <v>89.88</v>
      </c>
      <c r="AE786" s="28">
        <f t="array" ref="AE786">XLOOKUP(V786,products_master_corrected!$A$2:$A$151,products_master_corrected!$J$2:$J$151)</f>
        <v>52.41</v>
      </c>
      <c r="AF786" s="29">
        <f t="shared" si="89"/>
        <v>104.82</v>
      </c>
      <c r="AG786" s="32" t="s">
        <v>8656</v>
      </c>
      <c r="AH786" s="2" t="s">
        <v>2448</v>
      </c>
      <c r="AI786" s="10" t="s">
        <v>181</v>
      </c>
      <c r="AJ786" s="2" t="s">
        <v>132</v>
      </c>
      <c r="AK786" s="10" t="s">
        <v>192</v>
      </c>
    </row>
    <row r="787" ht="15.75" customHeight="1">
      <c r="A787" s="2" t="s">
        <v>3497</v>
      </c>
      <c r="B787" s="12">
        <v>45747.0</v>
      </c>
      <c r="C787" s="2" t="str">
        <f>IFERROR(__xludf.DUMMYFUNCTION("IF(ISNUMBER(B787),TEXT(B787,""yyyy-MM-dd""),REGEXREPLACE(REGEXREPLACE(TO_TEXT(B787),""[^0-9a-zA-Z]+"",""-""),""[^0-9]*$"",""""))"),"2025-03-31")</f>
        <v>2025-03-31</v>
      </c>
      <c r="D787" s="2" t="s">
        <v>2647</v>
      </c>
      <c r="H787" s="10" t="s">
        <v>2647</v>
      </c>
      <c r="I787" s="2" t="s">
        <v>3499</v>
      </c>
      <c r="J787" s="26" t="str">
        <f t="array" ref="J787">IF(ISNA(XLOOKUP(I787,customers_clean!$A$2:$A$701,customers_clean!$A$2:$A$701, NA()) ),
   "❌ MISSING CUSTOMER", "✅")</f>
        <v>✅</v>
      </c>
      <c r="K787" s="2" t="str">
        <f t="array" ref="K787">XLOOKUP(I787,customers_clean!$A$2:$A$701,customers_clean!$C$2:$C$701)</f>
        <v>Omar Lopez</v>
      </c>
      <c r="L787" s="10" t="str">
        <f t="array" ref="L787">XLOOKUP(I787,customers_clean!$A$2:$A$701,customers_clean!$D$2:$D$701)</f>
        <v>Omar Lopez</v>
      </c>
      <c r="M787" s="2" t="str">
        <f t="array" ref="M787">XLOOKUP(I787,customers_clean!$A$2:$A$701,customers_clean!$I$2:$I$701)</f>
        <v>omar.lopez@shop.io</v>
      </c>
      <c r="N787" s="10" t="str">
        <f t="array" ref="N787">XLOOKUP(I787,customers_clean!$A$2:$A$701,customers_clean!$H$2:$H$701)</f>
        <v>omar.lopez@shop.io</v>
      </c>
      <c r="O787" s="9" t="str">
        <f>IFERROR(__xludf.DUMMYFUNCTION("IF(REGEXMATCH(TRIM(N787),""^[A-Za-z0-9._%+-]+@[A-Za-z0-9.-]+\.[A-Za-z]{2,}$""),""✅ Valid"",""❌ Invalid"")"),"✅ Valid")</f>
        <v>✅ Valid</v>
      </c>
      <c r="P787" s="2">
        <f t="array" ref="P787">XLOOKUP(I787,customers_clean!$A$2:$A$701,customers_clean!$K$2:$K$701)</f>
        <v>8375286126</v>
      </c>
      <c r="Q787" s="10" t="str">
        <f t="array" ref="Q787">XLOOKUP(I787,customers_clean!$A$2:$A$701,customers_clean!$N$2:$N$701)</f>
        <v>8375286126</v>
      </c>
      <c r="R787" s="9" t="str">
        <f t="array" ref="R787">XLOOKUP(I787,customers_clean!$A$2:$A$701,customers_clean!$Q$2:$Q$701)</f>
        <v>✅ VALID</v>
      </c>
      <c r="S787" s="31" t="s">
        <v>671</v>
      </c>
      <c r="T787" s="2" t="s">
        <v>152</v>
      </c>
      <c r="U787" s="2" t="s">
        <v>43</v>
      </c>
      <c r="V787" s="2" t="s">
        <v>523</v>
      </c>
      <c r="W787" s="9" t="str">
        <f t="array" ref="W787">IF(ISNA(XLOOKUP(V787,products_master_corrected!$A$2:$A$151,products_master_corrected!$A$2:$A$151, NA())),
    "❌ MISSING SKU", "✅")</f>
        <v>✅</v>
      </c>
      <c r="X787" s="2" t="s">
        <v>524</v>
      </c>
      <c r="Y787" s="2" t="s">
        <v>368</v>
      </c>
      <c r="Z787" s="10" t="s">
        <v>368</v>
      </c>
      <c r="AA787" s="27">
        <v>5.0</v>
      </c>
      <c r="AB787" s="9" t="s">
        <v>8649</v>
      </c>
      <c r="AC787" s="28">
        <f t="array" ref="AC787">XLOOKUP(V787,products_master_corrected!$A$2:$A$151,products_master_corrected!$E$2:$E$151)</f>
        <v>199.49</v>
      </c>
      <c r="AD787" s="28">
        <f t="shared" si="88"/>
        <v>997.45</v>
      </c>
      <c r="AE787" s="28">
        <f t="array" ref="AE787">XLOOKUP(V787,products_master_corrected!$A$2:$A$151,products_master_corrected!$J$2:$J$151)</f>
        <v>232.67</v>
      </c>
      <c r="AF787" s="29">
        <f t="shared" si="89"/>
        <v>1163.35</v>
      </c>
      <c r="AG787" s="32" t="s">
        <v>8656</v>
      </c>
      <c r="AH787" s="2" t="s">
        <v>3504</v>
      </c>
      <c r="AI787" s="10" t="s">
        <v>181</v>
      </c>
      <c r="AJ787" s="2" t="s">
        <v>452</v>
      </c>
      <c r="AK787" s="10" t="s">
        <v>261</v>
      </c>
    </row>
    <row r="788" ht="15.75" customHeight="1">
      <c r="A788" s="2" t="s">
        <v>5857</v>
      </c>
      <c r="B788" s="12">
        <v>45358.0</v>
      </c>
      <c r="C788" s="2" t="str">
        <f>IFERROR(__xludf.DUMMYFUNCTION("IF(ISNUMBER(B788),TEXT(B788,""yyyy-MM-dd""),REGEXREPLACE(REGEXREPLACE(TO_TEXT(B788),""[^0-9a-zA-Z]+"",""-""),""[^0-9]*$"",""""))"),"2024-03-07")</f>
        <v>2024-03-07</v>
      </c>
      <c r="D788" s="2" t="s">
        <v>8898</v>
      </c>
      <c r="H788" s="10" t="s">
        <v>8898</v>
      </c>
      <c r="I788" s="2" t="s">
        <v>5859</v>
      </c>
      <c r="J788" s="26" t="str">
        <f t="array" ref="J788">IF(ISNA(XLOOKUP(I788,customers_clean!$A$2:$A$701,customers_clean!$A$2:$A$701, NA()) ),
   "❌ MISSING CUSTOMER", "✅")</f>
        <v>✅</v>
      </c>
      <c r="K788" s="2" t="str">
        <f t="array" ref="K788">XLOOKUP(I788,customers_clean!$A$2:$A$701,customers_clean!$C$2:$C$701)</f>
        <v> Omar King</v>
      </c>
      <c r="L788" s="10" t="str">
        <f t="array" ref="L788">XLOOKUP(I788,customers_clean!$A$2:$A$701,customers_clean!$D$2:$D$701)</f>
        <v>Omar King</v>
      </c>
      <c r="M788" s="2" t="str">
        <f t="array" ref="M788">XLOOKUP(I788,customers_clean!$A$2:$A$701,customers_clean!$I$2:$I$701)</f>
        <v> omar.king@gmail.com</v>
      </c>
      <c r="N788" s="10" t="str">
        <f t="array" ref="N788">XLOOKUP(I788,customers_clean!$A$2:$A$701,customers_clean!$H$2:$H$701)</f>
        <v>omar.king@gmail.com</v>
      </c>
      <c r="O788" s="9" t="str">
        <f>IFERROR(__xludf.DUMMYFUNCTION("IF(REGEXMATCH(TRIM(N788),""^[A-Za-z0-9._%+-]+@[A-Za-z0-9.-]+\.[A-Za-z]{2,}$""),""✅ Valid"",""❌ Invalid"")"),"✅ Valid")</f>
        <v>✅ Valid</v>
      </c>
      <c r="P788" s="33" t="str">
        <f t="array" ref="P788">XLOOKUP(I788,customers_clean!$A$2:$A$701,customers_clean!$K$2:$K$701)</f>
        <v>+48 4526-6892-1</v>
      </c>
      <c r="Q788" s="10" t="str">
        <f t="array" ref="Q788">XLOOKUP(I788,customers_clean!$A$2:$A$701,customers_clean!$N$2:$N$701)</f>
        <v>452668921</v>
      </c>
      <c r="R788" s="9" t="str">
        <f t="array" ref="R788">XLOOKUP(I788,customers_clean!$A$2:$A$701,customers_clean!$Q$2:$Q$701)</f>
        <v>❌ INVALID</v>
      </c>
      <c r="S788" s="10" t="s">
        <v>25</v>
      </c>
      <c r="T788" s="2" t="s">
        <v>5863</v>
      </c>
      <c r="U788" s="2" t="s">
        <v>176</v>
      </c>
      <c r="V788" s="2" t="s">
        <v>3172</v>
      </c>
      <c r="W788" s="9" t="str">
        <f t="array" ref="W788">IF(ISNA(XLOOKUP(V788,products_master_corrected!$A$2:$A$151,products_master_corrected!$A$2:$A$151, NA())),
    "❌ MISSING SKU", "✅")</f>
        <v>✅</v>
      </c>
      <c r="X788" s="2" t="s">
        <v>8765</v>
      </c>
      <c r="Y788" s="2" t="s">
        <v>355</v>
      </c>
      <c r="Z788" s="10" t="s">
        <v>355</v>
      </c>
      <c r="AA788" s="27">
        <v>5.0</v>
      </c>
      <c r="AB788" s="9" t="s">
        <v>8649</v>
      </c>
      <c r="AC788" s="28">
        <f t="array" ref="AC788">XLOOKUP(V788,products_master_corrected!$A$2:$A$151,products_master_corrected!$E$2:$E$151)</f>
        <v>107.38</v>
      </c>
      <c r="AD788" s="28">
        <f t="shared" si="88"/>
        <v>536.9</v>
      </c>
      <c r="AE788" s="28">
        <f t="array" ref="AE788">XLOOKUP(V788,products_master_corrected!$A$2:$A$151,products_master_corrected!$K$2:$K$151)</f>
        <v>552.47</v>
      </c>
      <c r="AF788" s="29">
        <f t="shared" si="89"/>
        <v>2762.35</v>
      </c>
      <c r="AG788" s="30" t="s">
        <v>95</v>
      </c>
      <c r="AH788" s="2" t="s">
        <v>49</v>
      </c>
      <c r="AI788" s="10" t="s">
        <v>49</v>
      </c>
      <c r="AJ788" s="2" t="s">
        <v>158</v>
      </c>
      <c r="AK788" s="10" t="s">
        <v>818</v>
      </c>
    </row>
    <row r="789" ht="15.75" customHeight="1">
      <c r="A789" s="2" t="s">
        <v>629</v>
      </c>
      <c r="B789" s="12" t="s">
        <v>630</v>
      </c>
      <c r="C789" s="2" t="str">
        <f>IFERROR(__xludf.DUMMYFUNCTION("IF(ISNUMBER(B789),TEXT(B789,""yyyy-MM-dd""),REGEXREPLACE(REGEXREPLACE(TO_TEXT(B789),""[^0-9a-zA-Z]+"",""-""),""[^0-9]*$"",""""))"),"15-05-2024")</f>
        <v>15-05-2024</v>
      </c>
      <c r="D789" s="2" t="s">
        <v>8825</v>
      </c>
      <c r="H789" s="10" t="s">
        <v>8825</v>
      </c>
      <c r="I789" s="2" t="s">
        <v>631</v>
      </c>
      <c r="J789" s="26" t="str">
        <f t="array" ref="J789">IF(ISNA(XLOOKUP(I789,customers_clean!$A$2:$A$701,customers_clean!$A$2:$A$701, NA()) ),
   "❌ MISSING CUSTOMER", "✅")</f>
        <v>✅</v>
      </c>
      <c r="K789" s="2" t="str">
        <f t="array" ref="K789">XLOOKUP(I789,customers_clean!$A$2:$A$701,customers_clean!$C$2:$C$701)</f>
        <v>SAM MULLER</v>
      </c>
      <c r="L789" s="10" t="str">
        <f t="array" ref="L789">XLOOKUP(I789,customers_clean!$A$2:$A$701,customers_clean!$D$2:$D$701)</f>
        <v>Sam Muller</v>
      </c>
      <c r="M789" s="2" t="str">
        <f t="array" ref="M789">XLOOKUP(I789,customers_clean!$A$2:$A$701,customers_clean!$I$2:$I$701)</f>
        <v> sam.muller@shop.io</v>
      </c>
      <c r="N789" s="10" t="str">
        <f t="array" ref="N789">XLOOKUP(I789,customers_clean!$A$2:$A$701,customers_clean!$H$2:$H$701)</f>
        <v>sam.muller@shop.io</v>
      </c>
      <c r="O789" s="9" t="str">
        <f>IFERROR(__xludf.DUMMYFUNCTION("IF(REGEXMATCH(TRIM(N789),""^[A-Za-z0-9._%+-]+@[A-Za-z0-9.-]+\.[A-Za-z]{2,}$""),""✅ Valid"",""❌ Invalid"")"),"✅ Valid")</f>
        <v>✅ Valid</v>
      </c>
      <c r="P789" s="2">
        <f t="array" ref="P789">XLOOKUP(I789,customers_clean!$A$2:$A$701,customers_clean!$K$2:$K$701)</f>
        <v>53763803119</v>
      </c>
      <c r="Q789" s="10" t="str">
        <f t="array" ref="Q789">XLOOKUP(I789,customers_clean!$A$2:$A$701,customers_clean!$N$2:$N$701)</f>
        <v>53763803119</v>
      </c>
      <c r="R789" s="9" t="str">
        <f t="array" ref="R789">XLOOKUP(I789,customers_clean!$A$2:$A$701,customers_clean!$Q$2:$Q$701)</f>
        <v>❌ INVALID</v>
      </c>
      <c r="S789" s="10" t="s">
        <v>608</v>
      </c>
      <c r="T789" s="2" t="s">
        <v>400</v>
      </c>
      <c r="U789" s="2" t="s">
        <v>500</v>
      </c>
      <c r="V789" s="2" t="s">
        <v>635</v>
      </c>
      <c r="W789" s="9" t="str">
        <f t="array" ref="W789">IF(ISNA(XLOOKUP(V789,products_master_corrected!$A$2:$A$151,products_master_corrected!$A$2:$A$151, NA())),
    "❌ MISSING SKU", "✅")</f>
        <v>✅</v>
      </c>
      <c r="X789" s="2" t="s">
        <v>636</v>
      </c>
      <c r="Y789" s="2" t="s">
        <v>637</v>
      </c>
      <c r="Z789" s="10" t="s">
        <v>514</v>
      </c>
      <c r="AA789" s="27">
        <v>1.0</v>
      </c>
      <c r="AB789" s="9" t="s">
        <v>8649</v>
      </c>
      <c r="AC789" s="28">
        <f t="array" ref="AC789">XLOOKUP(V789,products_master_corrected!$A$2:$A$151,products_master_corrected!$E$2:$E$151)</f>
        <v>30.93</v>
      </c>
      <c r="AD789" s="28">
        <f t="shared" si="88"/>
        <v>30.93</v>
      </c>
      <c r="AE789" s="28">
        <f t="array" ref="AE789">XLOOKUP(V789,products_master_corrected!$A$2:$A$151,products_master_corrected!$H$2:$H$151)</f>
        <v>34.75</v>
      </c>
      <c r="AF789" s="29">
        <f t="shared" si="89"/>
        <v>34.75</v>
      </c>
      <c r="AG789" s="32" t="s">
        <v>8658</v>
      </c>
      <c r="AH789" s="2" t="s">
        <v>181</v>
      </c>
      <c r="AI789" s="10" t="s">
        <v>181</v>
      </c>
      <c r="AJ789" s="2" t="s">
        <v>50</v>
      </c>
      <c r="AK789" s="10" t="s">
        <v>261</v>
      </c>
      <c r="AL789" s="2" t="s">
        <v>133</v>
      </c>
    </row>
    <row r="790" ht="15.75" customHeight="1">
      <c r="A790" s="2" t="s">
        <v>6023</v>
      </c>
      <c r="B790" s="12">
        <v>45384.0</v>
      </c>
      <c r="C790" s="2" t="str">
        <f>IFERROR(__xludf.DUMMYFUNCTION("IF(ISNUMBER(B790),TEXT(B790,""yyyy-MM-dd""),REGEXREPLACE(REGEXREPLACE(TO_TEXT(B790),""[^0-9a-zA-Z]+"",""-""),""[^0-9]*$"",""""))"),"2024-04-02")</f>
        <v>2024-04-02</v>
      </c>
      <c r="D790" s="2" t="s">
        <v>7837</v>
      </c>
      <c r="H790" s="10" t="s">
        <v>7837</v>
      </c>
      <c r="I790" s="2" t="s">
        <v>631</v>
      </c>
      <c r="J790" s="26" t="str">
        <f t="array" ref="J790">IF(ISNA(XLOOKUP(I790,customers_clean!$A$2:$A$701,customers_clean!$A$2:$A$701, NA()) ),
   "❌ MISSING CUSTOMER", "✅")</f>
        <v>✅</v>
      </c>
      <c r="K790" s="2" t="str">
        <f t="array" ref="K790">XLOOKUP(I790,customers_clean!$A$2:$A$701,customers_clean!$C$2:$C$701)</f>
        <v>SAM MULLER</v>
      </c>
      <c r="L790" s="10" t="str">
        <f t="array" ref="L790">XLOOKUP(I790,customers_clean!$A$2:$A$701,customers_clean!$D$2:$D$701)</f>
        <v>Sam Muller</v>
      </c>
      <c r="M790" s="2" t="str">
        <f t="array" ref="M790">XLOOKUP(I790,customers_clean!$A$2:$A$701,customers_clean!$I$2:$I$701)</f>
        <v> sam.muller@shop.io</v>
      </c>
      <c r="N790" s="10" t="str">
        <f t="array" ref="N790">XLOOKUP(I790,customers_clean!$A$2:$A$701,customers_clean!$H$2:$H$701)</f>
        <v>sam.muller@shop.io</v>
      </c>
      <c r="O790" s="9" t="str">
        <f>IFERROR(__xludf.DUMMYFUNCTION("IF(REGEXMATCH(TRIM(N790),""^[A-Za-z0-9._%+-]+@[A-Za-z0-9.-]+\.[A-Za-z]{2,}$""),""✅ Valid"",""❌ Invalid"")"),"✅ Valid")</f>
        <v>✅ Valid</v>
      </c>
      <c r="P790" s="2">
        <f t="array" ref="P790">XLOOKUP(I790,customers_clean!$A$2:$A$701,customers_clean!$K$2:$K$701)</f>
        <v>53763803119</v>
      </c>
      <c r="Q790" s="10" t="str">
        <f t="array" ref="Q790">XLOOKUP(I790,customers_clean!$A$2:$A$701,customers_clean!$N$2:$N$701)</f>
        <v>53763803119</v>
      </c>
      <c r="R790" s="9" t="str">
        <f t="array" ref="R790">XLOOKUP(I790,customers_clean!$A$2:$A$701,customers_clean!$Q$2:$Q$701)</f>
        <v>❌ INVALID</v>
      </c>
      <c r="S790" s="10" t="s">
        <v>608</v>
      </c>
      <c r="T790" s="2" t="s">
        <v>42</v>
      </c>
      <c r="U790" s="2" t="s">
        <v>60</v>
      </c>
      <c r="V790" s="2" t="s">
        <v>2688</v>
      </c>
      <c r="W790" s="9" t="str">
        <f t="array" ref="W790">IF(ISNA(XLOOKUP(V790,products_master_corrected!$A$2:$A$151,products_master_corrected!$A$2:$A$151, NA())),
    "❌ MISSING SKU", "✅")</f>
        <v>✅</v>
      </c>
      <c r="X790" s="2" t="s">
        <v>502</v>
      </c>
      <c r="Y790" s="2" t="s">
        <v>179</v>
      </c>
      <c r="Z790" s="10" t="s">
        <v>179</v>
      </c>
      <c r="AA790" s="27">
        <v>1.0</v>
      </c>
      <c r="AB790" s="9" t="s">
        <v>8649</v>
      </c>
      <c r="AC790" s="28">
        <f t="array" ref="AC790">XLOOKUP(V790,products_master_corrected!$A$2:$A$151,products_master_corrected!$E$2:$E$151)</f>
        <v>985.77</v>
      </c>
      <c r="AD790" s="28">
        <f t="shared" si="88"/>
        <v>985.77</v>
      </c>
      <c r="AE790" s="28">
        <f t="array" ref="AE790">XLOOKUP(V790,products_master_corrected!$A$2:$A$151,products_master_corrected!$H$2:$H$151)</f>
        <v>1107.51</v>
      </c>
      <c r="AF790" s="29">
        <f t="shared" si="89"/>
        <v>1107.51</v>
      </c>
      <c r="AG790" s="32" t="s">
        <v>8658</v>
      </c>
      <c r="AH790" s="2" t="s">
        <v>66</v>
      </c>
      <c r="AI790" s="10" t="s">
        <v>66</v>
      </c>
      <c r="AJ790" s="2" t="s">
        <v>818</v>
      </c>
      <c r="AK790" s="10" t="s">
        <v>818</v>
      </c>
      <c r="AL790" s="2" t="s">
        <v>133</v>
      </c>
    </row>
    <row r="791" ht="15.75" customHeight="1">
      <c r="A791" s="2" t="s">
        <v>4473</v>
      </c>
      <c r="B791" s="12">
        <v>45380.0</v>
      </c>
      <c r="C791" s="2" t="str">
        <f>IFERROR(__xludf.DUMMYFUNCTION("IF(ISNUMBER(B791),TEXT(B791,""yyyy-MM-dd""),REGEXREPLACE(REGEXREPLACE(TO_TEXT(B791),""[^0-9a-zA-Z]+"",""-""),""[^0-9]*$"",""""))"),"2024-03-29")</f>
        <v>2024-03-29</v>
      </c>
      <c r="D791" s="2" t="s">
        <v>8942</v>
      </c>
      <c r="H791" s="10" t="s">
        <v>8942</v>
      </c>
      <c r="I791" s="2" t="s">
        <v>631</v>
      </c>
      <c r="J791" s="26" t="str">
        <f t="array" ref="J791">IF(ISNA(XLOOKUP(I791,customers_clean!$A$2:$A$701,customers_clean!$A$2:$A$701, NA()) ),
   "❌ MISSING CUSTOMER", "✅")</f>
        <v>✅</v>
      </c>
      <c r="K791" s="2" t="str">
        <f t="array" ref="K791">XLOOKUP(I791,customers_clean!$A$2:$A$701,customers_clean!$C$2:$C$701)</f>
        <v>SAM MULLER</v>
      </c>
      <c r="L791" s="10" t="str">
        <f t="array" ref="L791">XLOOKUP(I791,customers_clean!$A$2:$A$701,customers_clean!$D$2:$D$701)</f>
        <v>Sam Muller</v>
      </c>
      <c r="M791" s="2" t="str">
        <f t="array" ref="M791">XLOOKUP(I791,customers_clean!$A$2:$A$701,customers_clean!$I$2:$I$701)</f>
        <v> sam.muller@shop.io</v>
      </c>
      <c r="N791" s="10" t="str">
        <f t="array" ref="N791">XLOOKUP(I791,customers_clean!$A$2:$A$701,customers_clean!$H$2:$H$701)</f>
        <v>sam.muller@shop.io</v>
      </c>
      <c r="O791" s="9" t="str">
        <f>IFERROR(__xludf.DUMMYFUNCTION("IF(REGEXMATCH(TRIM(N791),""^[A-Za-z0-9._%+-]+@[A-Za-z0-9.-]+\.[A-Za-z]{2,}$""),""✅ Valid"",""❌ Invalid"")"),"✅ Valid")</f>
        <v>✅ Valid</v>
      </c>
      <c r="P791" s="2">
        <f t="array" ref="P791">XLOOKUP(I791,customers_clean!$A$2:$A$701,customers_clean!$K$2:$K$701)</f>
        <v>53763803119</v>
      </c>
      <c r="Q791" s="10" t="str">
        <f t="array" ref="Q791">XLOOKUP(I791,customers_clean!$A$2:$A$701,customers_clean!$N$2:$N$701)</f>
        <v>53763803119</v>
      </c>
      <c r="R791" s="9" t="str">
        <f t="array" ref="R791">XLOOKUP(I791,customers_clean!$A$2:$A$701,customers_clean!$Q$2:$Q$701)</f>
        <v>❌ INVALID</v>
      </c>
      <c r="S791" s="10" t="s">
        <v>608</v>
      </c>
      <c r="T791" s="2" t="s">
        <v>323</v>
      </c>
      <c r="U791" s="2" t="s">
        <v>480</v>
      </c>
      <c r="V791" s="2" t="s">
        <v>76</v>
      </c>
      <c r="W791" s="9" t="str">
        <f t="array" ref="W791">IF(ISNA(XLOOKUP(V791,products_master_corrected!$A$2:$A$151,products_master_corrected!$A$2:$A$151, NA())),
    "❌ MISSING SKU", "✅")</f>
        <v>✅</v>
      </c>
      <c r="X791" s="2" t="s">
        <v>77</v>
      </c>
      <c r="Y791" s="2" t="s">
        <v>78</v>
      </c>
      <c r="Z791" s="10" t="s">
        <v>355</v>
      </c>
      <c r="AA791" s="27">
        <v>2.0</v>
      </c>
      <c r="AB791" s="9" t="s">
        <v>8649</v>
      </c>
      <c r="AC791" s="28">
        <f t="array" ref="AC791">XLOOKUP(V791,products_master_corrected!$A$2:$A$151,products_master_corrected!$E$2:$E$151)</f>
        <v>153.16</v>
      </c>
      <c r="AD791" s="28">
        <f t="shared" si="88"/>
        <v>306.32</v>
      </c>
      <c r="AE791" s="28">
        <f t="array" ref="AE791">XLOOKUP(V791,products_master_corrected!$A$2:$A$151,products_master_corrected!$H$2:$H$151)</f>
        <v>172.08</v>
      </c>
      <c r="AF791" s="29">
        <f t="shared" si="89"/>
        <v>344.16</v>
      </c>
      <c r="AG791" s="32" t="s">
        <v>8658</v>
      </c>
      <c r="AH791" s="2" t="s">
        <v>238</v>
      </c>
      <c r="AI791" s="10" t="s">
        <v>66</v>
      </c>
      <c r="AJ791" s="2" t="s">
        <v>132</v>
      </c>
      <c r="AK791" s="10" t="s">
        <v>192</v>
      </c>
      <c r="AL791" s="2" t="s">
        <v>81</v>
      </c>
    </row>
    <row r="792" ht="15.75" customHeight="1">
      <c r="A792" s="2" t="s">
        <v>1072</v>
      </c>
      <c r="B792" s="12">
        <v>45304.0</v>
      </c>
      <c r="C792" s="2" t="str">
        <f>IFERROR(__xludf.DUMMYFUNCTION("IF(ISNUMBER(B792),TEXT(B792,""yyyy-MM-dd""),REGEXREPLACE(REGEXREPLACE(TO_TEXT(B792),""[^0-9a-zA-Z]+"",""-""),""[^0-9]*$"",""""))"),"2024-01-13")</f>
        <v>2024-01-13</v>
      </c>
      <c r="D792" s="2" t="s">
        <v>8458</v>
      </c>
      <c r="H792" s="10" t="s">
        <v>8458</v>
      </c>
      <c r="I792" s="2" t="s">
        <v>1074</v>
      </c>
      <c r="J792" s="26" t="str">
        <f t="array" ref="J792">IF(ISNA(XLOOKUP(I792,customers_clean!$A$2:$A$701,customers_clean!$A$2:$A$701, NA()) ),
   "❌ MISSING CUSTOMER", "✅")</f>
        <v>✅</v>
      </c>
      <c r="K792" s="2" t="str">
        <f t="array" ref="K792">XLOOKUP(I792,customers_clean!$A$2:$A$701,customers_clean!$C$2:$C$701)</f>
        <v> Paula King</v>
      </c>
      <c r="L792" s="10" t="str">
        <f t="array" ref="L792">XLOOKUP(I792,customers_clean!$A$2:$A$701,customers_clean!$D$2:$D$701)</f>
        <v>Paula King</v>
      </c>
      <c r="M792" s="2" t="str">
        <f t="array" ref="M792">XLOOKUP(I792,customers_clean!$A$2:$A$701,customers_clean!$I$2:$I$701)</f>
        <v>palua.king@outlook.com </v>
      </c>
      <c r="N792" s="10" t="str">
        <f t="array" ref="N792">XLOOKUP(I792,customers_clean!$A$2:$A$701,customers_clean!$H$2:$H$701)</f>
        <v>palua.king@outlook.com</v>
      </c>
      <c r="O792" s="9" t="str">
        <f>IFERROR(__xludf.DUMMYFUNCTION("IF(REGEXMATCH(TRIM(N792),""^[A-Za-z0-9._%+-]+@[A-Za-z0-9.-]+\.[A-Za-z]{2,}$""),""✅ Valid"",""❌ Invalid"")"),"✅ Valid")</f>
        <v>✅ Valid</v>
      </c>
      <c r="P792" s="2" t="str">
        <f t="array" ref="P792">XLOOKUP(I792,customers_clean!$A$2:$A$701,customers_clean!$K$2:$K$701)</f>
        <v>none</v>
      </c>
      <c r="Q792" s="10" t="str">
        <f t="array" ref="Q792">XLOOKUP(I792,customers_clean!$A$2:$A$701,customers_clean!$N$2:$N$701)</f>
        <v/>
      </c>
      <c r="R792" s="9" t="str">
        <f t="array" ref="R792">XLOOKUP(I792,customers_clean!$A$2:$A$701,customers_clean!$Q$2:$Q$701)</f>
        <v>❌ INVALID</v>
      </c>
      <c r="S792" s="10" t="s">
        <v>608</v>
      </c>
      <c r="T792" s="2" t="s">
        <v>683</v>
      </c>
      <c r="U792" s="2" t="s">
        <v>401</v>
      </c>
      <c r="V792" s="2" t="s">
        <v>449</v>
      </c>
      <c r="W792" s="9" t="str">
        <f t="array" ref="W792">IF(ISNA(XLOOKUP(V792,products_master_corrected!$A$2:$A$151,products_master_corrected!$A$2:$A$151, NA())),
    "❌ MISSING SKU", "✅")</f>
        <v>✅</v>
      </c>
      <c r="X792" s="2" t="s">
        <v>213</v>
      </c>
      <c r="Y792" s="2" t="s">
        <v>315</v>
      </c>
      <c r="Z792" s="10" t="s">
        <v>179</v>
      </c>
      <c r="AA792" s="27">
        <v>5.0</v>
      </c>
      <c r="AB792" s="9" t="s">
        <v>8649</v>
      </c>
      <c r="AC792" s="28">
        <f t="array" ref="AC792">XLOOKUP(V792,products_master_corrected!$A$2:$A$151,products_master_corrected!$E$2:$E$151)</f>
        <v>1404.25</v>
      </c>
      <c r="AD792" s="28">
        <f t="shared" si="88"/>
        <v>7021.25</v>
      </c>
      <c r="AE792" s="28">
        <f t="array" ref="AE792">XLOOKUP(V792,products_master_corrected!$A$2:$A$151,products_master_corrected!$H$2:$H$151)</f>
        <v>1577.67</v>
      </c>
      <c r="AF792" s="29">
        <f t="shared" si="89"/>
        <v>7888.35</v>
      </c>
      <c r="AG792" s="32" t="s">
        <v>8658</v>
      </c>
      <c r="AH792" s="2" t="s">
        <v>49</v>
      </c>
      <c r="AI792" s="10" t="s">
        <v>49</v>
      </c>
      <c r="AJ792" s="2" t="s">
        <v>120</v>
      </c>
      <c r="AK792" s="10" t="s">
        <v>818</v>
      </c>
    </row>
    <row r="793" ht="15.75" customHeight="1">
      <c r="A793" s="2" t="s">
        <v>5411</v>
      </c>
      <c r="B793" s="12">
        <v>45785.32638888889</v>
      </c>
      <c r="C793" s="2" t="str">
        <f>IFERROR(__xludf.DUMMYFUNCTION("IF(ISNUMBER(B793),TEXT(B793,""yyyy-MM-dd""),REGEXREPLACE(REGEXREPLACE(TO_TEXT(B793),""[^0-9a-zA-Z]+"",""-""),""[^0-9]*$"",""""))"),"2025-05-08")</f>
        <v>2025-05-08</v>
      </c>
      <c r="D793" s="2" t="s">
        <v>7919</v>
      </c>
      <c r="H793" s="10" t="s">
        <v>7919</v>
      </c>
      <c r="I793" s="2" t="s">
        <v>1074</v>
      </c>
      <c r="J793" s="26" t="str">
        <f t="array" ref="J793">IF(ISNA(XLOOKUP(I793,customers_clean!$A$2:$A$701,customers_clean!$A$2:$A$701, NA()) ),
   "❌ MISSING CUSTOMER", "✅")</f>
        <v>✅</v>
      </c>
      <c r="K793" s="2" t="str">
        <f t="array" ref="K793">XLOOKUP(I793,customers_clean!$A$2:$A$701,customers_clean!$C$2:$C$701)</f>
        <v> Paula King</v>
      </c>
      <c r="L793" s="10" t="str">
        <f t="array" ref="L793">XLOOKUP(I793,customers_clean!$A$2:$A$701,customers_clean!$D$2:$D$701)</f>
        <v>Paula King</v>
      </c>
      <c r="M793" s="2" t="str">
        <f t="array" ref="M793">XLOOKUP(I793,customers_clean!$A$2:$A$701,customers_clean!$I$2:$I$701)</f>
        <v>palua.king@outlook.com </v>
      </c>
      <c r="N793" s="10" t="str">
        <f t="array" ref="N793">XLOOKUP(I793,customers_clean!$A$2:$A$701,customers_clean!$H$2:$H$701)</f>
        <v>palua.king@outlook.com</v>
      </c>
      <c r="O793" s="9" t="str">
        <f>IFERROR(__xludf.DUMMYFUNCTION("IF(REGEXMATCH(TRIM(N793),""^[A-Za-z0-9._%+-]+@[A-Za-z0-9.-]+\.[A-Za-z]{2,}$""),""✅ Valid"",""❌ Invalid"")"),"✅ Valid")</f>
        <v>✅ Valid</v>
      </c>
      <c r="P793" s="2" t="str">
        <f t="array" ref="P793">XLOOKUP(I793,customers_clean!$A$2:$A$701,customers_clean!$K$2:$K$701)</f>
        <v>none</v>
      </c>
      <c r="Q793" s="10" t="str">
        <f t="array" ref="Q793">XLOOKUP(I793,customers_clean!$A$2:$A$701,customers_clean!$N$2:$N$701)</f>
        <v/>
      </c>
      <c r="R793" s="9" t="str">
        <f t="array" ref="R793">XLOOKUP(I793,customers_clean!$A$2:$A$701,customers_clean!$Q$2:$Q$701)</f>
        <v>❌ INVALID</v>
      </c>
      <c r="S793" s="10" t="s">
        <v>608</v>
      </c>
      <c r="T793" s="2" t="s">
        <v>1585</v>
      </c>
      <c r="U793" s="2" t="s">
        <v>43</v>
      </c>
      <c r="V793" s="2" t="s">
        <v>1495</v>
      </c>
      <c r="W793" s="9" t="str">
        <f t="array" ref="W793">IF(ISNA(XLOOKUP(V793,products_master_corrected!$A$2:$A$151,products_master_corrected!$A$2:$A$151, NA())),
    "❌ MISSING SKU", "✅")</f>
        <v>✅</v>
      </c>
      <c r="X793" s="2" t="s">
        <v>1138</v>
      </c>
      <c r="Y793" s="2" t="s">
        <v>248</v>
      </c>
      <c r="Z793" s="10" t="s">
        <v>248</v>
      </c>
      <c r="AA793" s="27">
        <v>3.0</v>
      </c>
      <c r="AB793" s="9" t="s">
        <v>8649</v>
      </c>
      <c r="AC793" s="28">
        <f t="array" ref="AC793">XLOOKUP(V793,products_master_corrected!$A$2:$A$151,products_master_corrected!$E$2:$E$151)</f>
        <v>248.14</v>
      </c>
      <c r="AD793" s="28">
        <f t="shared" si="88"/>
        <v>744.42</v>
      </c>
      <c r="AE793" s="28">
        <f t="array" ref="AE793">XLOOKUP(V793,products_master_corrected!$A$2:$A$151,products_master_corrected!$H$2:$H$151)</f>
        <v>278.79</v>
      </c>
      <c r="AF793" s="29">
        <f t="shared" si="89"/>
        <v>836.37</v>
      </c>
      <c r="AG793" s="32" t="s">
        <v>8658</v>
      </c>
      <c r="AH793" s="2" t="s">
        <v>573</v>
      </c>
      <c r="AI793" s="10" t="s">
        <v>66</v>
      </c>
      <c r="AJ793" s="2" t="s">
        <v>34</v>
      </c>
      <c r="AK793" s="10" t="s">
        <v>80</v>
      </c>
      <c r="AL793" s="2" t="s">
        <v>133</v>
      </c>
    </row>
    <row r="794" ht="15.75" customHeight="1">
      <c r="A794" s="2" t="s">
        <v>3019</v>
      </c>
      <c r="B794" s="12" t="s">
        <v>3020</v>
      </c>
      <c r="C794" s="2" t="str">
        <f>IFERROR(__xludf.DUMMYFUNCTION("IF(ISNUMBER(B794),TEXT(B794,""yyyy-MM-dd""),REGEXREPLACE(REGEXREPLACE(TO_TEXT(B794),""[^0-9a-zA-Z]+"",""-""),""[^0-9]*$"",""""))"),"27-06-2025")</f>
        <v>27-06-2025</v>
      </c>
      <c r="D794" s="2" t="s">
        <v>8038</v>
      </c>
      <c r="H794" s="10" t="s">
        <v>8038</v>
      </c>
      <c r="I794" s="2" t="s">
        <v>1726</v>
      </c>
      <c r="J794" s="26" t="str">
        <f t="array" ref="J794">IF(ISNA(XLOOKUP(I794,customers_clean!$A$2:$A$701,customers_clean!$A$2:$A$701, NA()) ),
   "❌ MISSING CUSTOMER", "✅")</f>
        <v>✅</v>
      </c>
      <c r="K794" s="2" t="str">
        <f t="array" ref="K794">XLOOKUP(I794,customers_clean!$A$2:$A$701,customers_clean!$C$2:$C$701)</f>
        <v>Rita Davis</v>
      </c>
      <c r="L794" s="10" t="str">
        <f t="array" ref="L794">XLOOKUP(I794,customers_clean!$A$2:$A$701,customers_clean!$D$2:$D$701)</f>
        <v>Rita Davis</v>
      </c>
      <c r="M794" s="2" t="str">
        <f t="array" ref="M794">XLOOKUP(I794,customers_clean!$A$2:$A$701,customers_clean!$I$2:$I$701)</f>
        <v>rita.davis@yahoo.com</v>
      </c>
      <c r="N794" s="10" t="str">
        <f t="array" ref="N794">XLOOKUP(I794,customers_clean!$A$2:$A$701,customers_clean!$H$2:$H$701)</f>
        <v>rita.davis@yahoo.com</v>
      </c>
      <c r="O794" s="9" t="str">
        <f>IFERROR(__xludf.DUMMYFUNCTION("IF(REGEXMATCH(TRIM(N794),""^[A-Za-z0-9._%+-]+@[A-Za-z0-9.-]+\.[A-Za-z]{2,}$""),""✅ Valid"",""❌ Invalid"")"),"✅ Valid")</f>
        <v>✅ Valid</v>
      </c>
      <c r="P794" s="2" t="str">
        <f t="array" ref="P794">XLOOKUP(I794,customers_clean!$A$2:$A$701,customers_clean!$K$2:$K$701)</f>
        <v>tel:+448666641555</v>
      </c>
      <c r="Q794" s="10" t="str">
        <f t="array" ref="Q794">XLOOKUP(I794,customers_clean!$A$2:$A$701,customers_clean!$N$2:$N$701)</f>
        <v>8666641555</v>
      </c>
      <c r="R794" s="9" t="str">
        <f t="array" ref="R794">XLOOKUP(I794,customers_clean!$A$2:$A$701,customers_clean!$Q$2:$Q$701)</f>
        <v>❌ INVALID</v>
      </c>
      <c r="S794" s="10" t="s">
        <v>88</v>
      </c>
      <c r="T794" s="2" t="s">
        <v>115</v>
      </c>
      <c r="U794" s="2" t="s">
        <v>522</v>
      </c>
      <c r="V794" s="2" t="s">
        <v>402</v>
      </c>
      <c r="W794" s="9" t="str">
        <f t="array" ref="W794">IF(ISNA(XLOOKUP(V794,products_master_corrected!$A$2:$A$151,products_master_corrected!$A$2:$A$151, NA())),
    "❌ MISSING SKU", "✅")</f>
        <v>✅</v>
      </c>
      <c r="X794" s="2" t="s">
        <v>403</v>
      </c>
      <c r="Y794" s="2" t="s">
        <v>404</v>
      </c>
      <c r="Z794" s="10" t="s">
        <v>248</v>
      </c>
      <c r="AA794" s="27">
        <v>1.0</v>
      </c>
      <c r="AB794" s="9" t="s">
        <v>8649</v>
      </c>
      <c r="AC794" s="28">
        <f t="array" ref="AC794">XLOOKUP(V794,products_master_corrected!$A$2:$A$151,products_master_corrected!$E$2:$E$151)</f>
        <v>20.48</v>
      </c>
      <c r="AD794" s="28">
        <f t="shared" si="88"/>
        <v>20.48</v>
      </c>
      <c r="AE794" s="28">
        <f t="array" ref="AE794">XLOOKUP(V794,products_master_corrected!$A$2:$A$151,products_master_corrected!$I$2:$I$151)</f>
        <v>22.58</v>
      </c>
      <c r="AF794" s="29">
        <f t="shared" si="89"/>
        <v>22.58</v>
      </c>
      <c r="AG794" s="32" t="s">
        <v>8660</v>
      </c>
      <c r="AH794" s="2" t="s">
        <v>33</v>
      </c>
      <c r="AI794" s="10" t="s">
        <v>181</v>
      </c>
      <c r="AJ794" s="2" t="s">
        <v>345</v>
      </c>
      <c r="AK794" s="10" t="s">
        <v>261</v>
      </c>
    </row>
    <row r="795" ht="15.75" customHeight="1">
      <c r="A795" s="2" t="s">
        <v>1724</v>
      </c>
      <c r="B795" s="12">
        <v>45615.0</v>
      </c>
      <c r="C795" s="2" t="str">
        <f>IFERROR(__xludf.DUMMYFUNCTION("IF(ISNUMBER(B795),TEXT(B795,""yyyy-MM-dd""),REGEXREPLACE(REGEXREPLACE(TO_TEXT(B795),""[^0-9a-zA-Z]+"",""-""),""[^0-9]*$"",""""))"),"2024-11-19")</f>
        <v>2024-11-19</v>
      </c>
      <c r="D795" s="2" t="s">
        <v>8376</v>
      </c>
      <c r="H795" s="10" t="s">
        <v>8376</v>
      </c>
      <c r="I795" s="2" t="s">
        <v>1726</v>
      </c>
      <c r="J795" s="26" t="str">
        <f t="array" ref="J795">IF(ISNA(XLOOKUP(I795,customers_clean!$A$2:$A$701,customers_clean!$A$2:$A$701, NA()) ),
   "❌ MISSING CUSTOMER", "✅")</f>
        <v>✅</v>
      </c>
      <c r="K795" s="2" t="str">
        <f t="array" ref="K795">XLOOKUP(I795,customers_clean!$A$2:$A$701,customers_clean!$C$2:$C$701)</f>
        <v>Rita Davis</v>
      </c>
      <c r="L795" s="10" t="str">
        <f t="array" ref="L795">XLOOKUP(I795,customers_clean!$A$2:$A$701,customers_clean!$D$2:$D$701)</f>
        <v>Rita Davis</v>
      </c>
      <c r="M795" s="2" t="str">
        <f t="array" ref="M795">XLOOKUP(I795,customers_clean!$A$2:$A$701,customers_clean!$I$2:$I$701)</f>
        <v>rita.davis@yahoo.com</v>
      </c>
      <c r="N795" s="10" t="str">
        <f t="array" ref="N795">XLOOKUP(I795,customers_clean!$A$2:$A$701,customers_clean!$H$2:$H$701)</f>
        <v>rita.davis@yahoo.com</v>
      </c>
      <c r="O795" s="9" t="str">
        <f>IFERROR(__xludf.DUMMYFUNCTION("IF(REGEXMATCH(TRIM(N795),""^[A-Za-z0-9._%+-]+@[A-Za-z0-9.-]+\.[A-Za-z]{2,}$""),""✅ Valid"",""❌ Invalid"")"),"✅ Valid")</f>
        <v>✅ Valid</v>
      </c>
      <c r="P795" s="2" t="str">
        <f t="array" ref="P795">XLOOKUP(I795,customers_clean!$A$2:$A$701,customers_clean!$K$2:$K$701)</f>
        <v>tel:+448666641555</v>
      </c>
      <c r="Q795" s="10" t="str">
        <f t="array" ref="Q795">XLOOKUP(I795,customers_clean!$A$2:$A$701,customers_clean!$N$2:$N$701)</f>
        <v>8666641555</v>
      </c>
      <c r="R795" s="9" t="str">
        <f t="array" ref="R795">XLOOKUP(I795,customers_clean!$A$2:$A$701,customers_clean!$Q$2:$Q$701)</f>
        <v>❌ INVALID</v>
      </c>
      <c r="S795" s="10" t="s">
        <v>88</v>
      </c>
      <c r="T795" s="2" t="s">
        <v>301</v>
      </c>
      <c r="U795" s="2" t="s">
        <v>116</v>
      </c>
      <c r="V795" s="2" t="s">
        <v>965</v>
      </c>
      <c r="W795" s="9" t="str">
        <f t="array" ref="W795">IF(ISNA(XLOOKUP(V795,products_master_corrected!$A$2:$A$151,products_master_corrected!$A$2:$A$151, NA())),
    "❌ MISSING SKU", "✅")</f>
        <v>✅</v>
      </c>
      <c r="X795" s="2" t="s">
        <v>966</v>
      </c>
      <c r="Y795" s="2" t="s">
        <v>967</v>
      </c>
      <c r="Z795" s="10" t="s">
        <v>248</v>
      </c>
      <c r="AA795" s="27">
        <v>3.0</v>
      </c>
      <c r="AB795" s="9" t="s">
        <v>8649</v>
      </c>
      <c r="AC795" s="28">
        <f t="array" ref="AC795">XLOOKUP(V795,products_master_corrected!$A$2:$A$151,products_master_corrected!$E$2:$E$151)</f>
        <v>74.59</v>
      </c>
      <c r="AD795" s="28">
        <f t="shared" si="88"/>
        <v>223.77</v>
      </c>
      <c r="AE795" s="28">
        <f t="array" ref="AE795">XLOOKUP(V795,products_master_corrected!$A$2:$A$151,products_master_corrected!$I$2:$I$151)</f>
        <v>82.23</v>
      </c>
      <c r="AF795" s="29">
        <f t="shared" si="89"/>
        <v>246.69</v>
      </c>
      <c r="AG795" s="32" t="s">
        <v>8660</v>
      </c>
      <c r="AH795" s="2" t="s">
        <v>131</v>
      </c>
      <c r="AI795" s="10" t="s">
        <v>181</v>
      </c>
      <c r="AJ795" s="2" t="s">
        <v>169</v>
      </c>
      <c r="AK795" s="10" t="s">
        <v>261</v>
      </c>
    </row>
    <row r="796" ht="15.75" customHeight="1">
      <c r="A796" s="2" t="s">
        <v>4971</v>
      </c>
      <c r="B796" s="12">
        <v>45464.0</v>
      </c>
      <c r="C796" s="2" t="str">
        <f>IFERROR(__xludf.DUMMYFUNCTION("IF(ISNUMBER(B796),TEXT(B796,""yyyy-MM-dd""),REGEXREPLACE(REGEXREPLACE(TO_TEXT(B796),""[^0-9a-zA-Z]+"",""-""),""[^0-9]*$"",""""))"),"2024-06-21")</f>
        <v>2024-06-21</v>
      </c>
      <c r="D796" s="2" t="s">
        <v>8943</v>
      </c>
      <c r="H796" s="10" t="s">
        <v>8943</v>
      </c>
      <c r="I796" s="2" t="s">
        <v>1726</v>
      </c>
      <c r="J796" s="26" t="str">
        <f t="array" ref="J796">IF(ISNA(XLOOKUP(I796,customers_clean!$A$2:$A$701,customers_clean!$A$2:$A$701, NA()) ),
   "❌ MISSING CUSTOMER", "✅")</f>
        <v>✅</v>
      </c>
      <c r="K796" s="2" t="str">
        <f t="array" ref="K796">XLOOKUP(I796,customers_clean!$A$2:$A$701,customers_clean!$C$2:$C$701)</f>
        <v>Rita Davis</v>
      </c>
      <c r="L796" s="10" t="str">
        <f t="array" ref="L796">XLOOKUP(I796,customers_clean!$A$2:$A$701,customers_clean!$D$2:$D$701)</f>
        <v>Rita Davis</v>
      </c>
      <c r="M796" s="2" t="str">
        <f t="array" ref="M796">XLOOKUP(I796,customers_clean!$A$2:$A$701,customers_clean!$I$2:$I$701)</f>
        <v>rita.davis@yahoo.com</v>
      </c>
      <c r="N796" s="10" t="str">
        <f t="array" ref="N796">XLOOKUP(I796,customers_clean!$A$2:$A$701,customers_clean!$H$2:$H$701)</f>
        <v>rita.davis@yahoo.com</v>
      </c>
      <c r="O796" s="9" t="str">
        <f>IFERROR(__xludf.DUMMYFUNCTION("IF(REGEXMATCH(TRIM(N796),""^[A-Za-z0-9._%+-]+@[A-Za-z0-9.-]+\.[A-Za-z]{2,}$""),""✅ Valid"",""❌ Invalid"")"),"✅ Valid")</f>
        <v>✅ Valid</v>
      </c>
      <c r="P796" s="2" t="str">
        <f t="array" ref="P796">XLOOKUP(I796,customers_clean!$A$2:$A$701,customers_clean!$K$2:$K$701)</f>
        <v>tel:+448666641555</v>
      </c>
      <c r="Q796" s="10" t="str">
        <f t="array" ref="Q796">XLOOKUP(I796,customers_clean!$A$2:$A$701,customers_clean!$N$2:$N$701)</f>
        <v>8666641555</v>
      </c>
      <c r="R796" s="9" t="str">
        <f t="array" ref="R796">XLOOKUP(I796,customers_clean!$A$2:$A$701,customers_clean!$Q$2:$Q$701)</f>
        <v>❌ INVALID</v>
      </c>
      <c r="S796" s="10" t="s">
        <v>88</v>
      </c>
      <c r="T796" s="2" t="s">
        <v>223</v>
      </c>
      <c r="U796" s="2" t="s">
        <v>176</v>
      </c>
      <c r="V796" s="2" t="s">
        <v>2033</v>
      </c>
      <c r="W796" s="9" t="str">
        <f t="array" ref="W796">IF(ISNA(XLOOKUP(V796,products_master_corrected!$A$2:$A$151,products_master_corrected!$A$2:$A$151, NA())),
    "❌ MISSING SKU", "✅")</f>
        <v>✅</v>
      </c>
      <c r="X796" s="2" t="s">
        <v>2034</v>
      </c>
      <c r="Y796" s="2" t="s">
        <v>1016</v>
      </c>
      <c r="Z796" s="10" t="s">
        <v>355</v>
      </c>
      <c r="AA796" s="27">
        <v>1.0</v>
      </c>
      <c r="AB796" s="9" t="s">
        <v>8649</v>
      </c>
      <c r="AC796" s="28">
        <f t="array" ref="AC796">XLOOKUP(V796,products_master_corrected!$A$2:$A$151,products_master_corrected!$E$2:$E$151)</f>
        <v>938.62</v>
      </c>
      <c r="AD796" s="28">
        <f t="shared" si="88"/>
        <v>938.62</v>
      </c>
      <c r="AE796" s="28">
        <f t="array" ref="AE796">XLOOKUP(V796,products_master_corrected!$A$2:$A$151,products_master_corrected!$I$2:$I$151)</f>
        <v>1034.73</v>
      </c>
      <c r="AF796" s="29">
        <f t="shared" si="89"/>
        <v>1034.73</v>
      </c>
      <c r="AG796" s="32" t="s">
        <v>8660</v>
      </c>
      <c r="AH796" s="2" t="s">
        <v>66</v>
      </c>
      <c r="AI796" s="10" t="s">
        <v>66</v>
      </c>
      <c r="AJ796" s="2" t="s">
        <v>34</v>
      </c>
      <c r="AK796" s="10" t="s">
        <v>80</v>
      </c>
    </row>
    <row r="797" ht="15.75" customHeight="1">
      <c r="A797" s="2" t="s">
        <v>1102</v>
      </c>
      <c r="B797" s="12">
        <v>45838.0</v>
      </c>
      <c r="C797" s="2" t="str">
        <f>IFERROR(__xludf.DUMMYFUNCTION("IF(ISNUMBER(B797),TEXT(B797,""yyyy-MM-dd""),REGEXREPLACE(REGEXREPLACE(TO_TEXT(B797),""[^0-9a-zA-Z]+"",""-""),""[^0-9]*$"",""""))"),"2025-06-30")</f>
        <v>2025-06-30</v>
      </c>
      <c r="D797" s="2" t="s">
        <v>1103</v>
      </c>
      <c r="H797" s="10" t="s">
        <v>1103</v>
      </c>
      <c r="I797" s="2" t="s">
        <v>1104</v>
      </c>
      <c r="J797" s="26" t="str">
        <f t="array" ref="J797">IF(ISNA(XLOOKUP(I797,customers_clean!$A$2:$A$701,customers_clean!$A$2:$A$701, NA()) ),
   "❌ MISSING CUSTOMER", "✅")</f>
        <v>✅</v>
      </c>
      <c r="K797" s="2" t="str">
        <f t="array" ref="K797">XLOOKUP(I797,customers_clean!$A$2:$A$701,customers_clean!$C$2:$C$701)</f>
        <v>Daria Dubois</v>
      </c>
      <c r="L797" s="10" t="str">
        <f t="array" ref="L797">XLOOKUP(I797,customers_clean!$A$2:$A$701,customers_clean!$D$2:$D$701)</f>
        <v>Daria Dubois</v>
      </c>
      <c r="M797" s="2" t="str">
        <f t="array" ref="M797">XLOOKUP(I797,customers_clean!$A$2:$A$701,customers_clean!$I$2:$I$701)</f>
        <v/>
      </c>
      <c r="N797" s="10" t="str">
        <f t="array" ref="N797">XLOOKUP(I797,customers_clean!$A$2:$A$701,customers_clean!$H$2:$H$701)</f>
        <v/>
      </c>
      <c r="O797" s="9" t="str">
        <f>IFERROR(__xludf.DUMMYFUNCTION("IF(REGEXMATCH(TRIM(N797),""^[A-Za-z0-9._%+-]+@[A-Za-z0-9.-]+\.[A-Za-z]{2,}$""),""✅ Valid"",""❌ Invalid"")"),"❌ Invalid")</f>
        <v>❌ Invalid</v>
      </c>
      <c r="P797" s="2" t="str">
        <f t="array" ref="P797">XLOOKUP(I797,customers_clean!$A$2:$A$701,customers_clean!$K$2:$K$701)</f>
        <v/>
      </c>
      <c r="Q797" s="10" t="str">
        <f t="array" ref="Q797">XLOOKUP(I797,customers_clean!$A$2:$A$701,customers_clean!$N$2:$N$701)</f>
        <v/>
      </c>
      <c r="R797" s="9" t="str">
        <f t="array" ref="R797">XLOOKUP(I797,customers_clean!$A$2:$A$701,customers_clean!$Q$2:$Q$701)</f>
        <v/>
      </c>
      <c r="S797" s="10" t="s">
        <v>608</v>
      </c>
      <c r="T797" s="2" t="s">
        <v>115</v>
      </c>
      <c r="U797" s="2" t="s">
        <v>1108</v>
      </c>
      <c r="V797" s="2" t="s">
        <v>1109</v>
      </c>
      <c r="W797" s="9" t="str">
        <f t="array" ref="W797">IF(ISNA(XLOOKUP(V797,products_master_corrected!$A$2:$A$151,products_master_corrected!$A$2:$A$151, NA())),
    "❌ MISSING SKU", "✅")</f>
        <v>✅</v>
      </c>
      <c r="X797" s="2" t="s">
        <v>62</v>
      </c>
      <c r="Y797" s="2" t="s">
        <v>826</v>
      </c>
      <c r="Z797" s="10" t="s">
        <v>63</v>
      </c>
      <c r="AA797" s="27">
        <v>2.0</v>
      </c>
      <c r="AB797" s="9" t="s">
        <v>8649</v>
      </c>
      <c r="AC797" s="28">
        <f t="array" ref="AC797">XLOOKUP(V797,products_master_corrected!$A$2:$A$151,products_master_corrected!$E$2:$E$151)</f>
        <v>115.14</v>
      </c>
      <c r="AD797" s="28">
        <f t="shared" si="88"/>
        <v>230.28</v>
      </c>
      <c r="AE797" s="28">
        <f t="array" ref="AE797">XLOOKUP(V797,products_master_corrected!$A$2:$A$151,products_master_corrected!$H$2:$H$151)</f>
        <v>129.36</v>
      </c>
      <c r="AF797" s="29">
        <f t="shared" si="89"/>
        <v>258.72</v>
      </c>
      <c r="AG797" s="32" t="s">
        <v>8658</v>
      </c>
      <c r="AH797" s="2" t="s">
        <v>33</v>
      </c>
      <c r="AI797" s="10" t="s">
        <v>181</v>
      </c>
      <c r="AJ797" s="2" t="s">
        <v>144</v>
      </c>
      <c r="AK797" s="10" t="s">
        <v>818</v>
      </c>
      <c r="AL797" s="2" t="s">
        <v>67</v>
      </c>
    </row>
    <row r="798" ht="15.75" customHeight="1">
      <c r="A798" s="2" t="s">
        <v>5750</v>
      </c>
      <c r="B798" s="12">
        <v>45613.0</v>
      </c>
      <c r="C798" s="2" t="str">
        <f>IFERROR(__xludf.DUMMYFUNCTION("IF(ISNUMBER(B798),TEXT(B798,""yyyy-MM-dd""),REGEXREPLACE(REGEXREPLACE(TO_TEXT(B798),""[^0-9a-zA-Z]+"",""-""),""[^0-9]*$"",""""))"),"2024-11-17")</f>
        <v>2024-11-17</v>
      </c>
      <c r="D798" s="2" t="s">
        <v>6416</v>
      </c>
      <c r="H798" s="10" t="s">
        <v>6416</v>
      </c>
      <c r="I798" s="2" t="s">
        <v>1104</v>
      </c>
      <c r="J798" s="26" t="str">
        <f t="array" ref="J798">IF(ISNA(XLOOKUP(I798,customers_clean!$A$2:$A$701,customers_clean!$A$2:$A$701, NA()) ),
   "❌ MISSING CUSTOMER", "✅")</f>
        <v>✅</v>
      </c>
      <c r="K798" s="2" t="str">
        <f t="array" ref="K798">XLOOKUP(I798,customers_clean!$A$2:$A$701,customers_clean!$C$2:$C$701)</f>
        <v>Daria Dubois</v>
      </c>
      <c r="L798" s="10" t="str">
        <f t="array" ref="L798">XLOOKUP(I798,customers_clean!$A$2:$A$701,customers_clean!$D$2:$D$701)</f>
        <v>Daria Dubois</v>
      </c>
      <c r="M798" s="2" t="str">
        <f t="array" ref="M798">XLOOKUP(I798,customers_clean!$A$2:$A$701,customers_clean!$I$2:$I$701)</f>
        <v/>
      </c>
      <c r="N798" s="10" t="str">
        <f t="array" ref="N798">XLOOKUP(I798,customers_clean!$A$2:$A$701,customers_clean!$H$2:$H$701)</f>
        <v/>
      </c>
      <c r="O798" s="9" t="str">
        <f>IFERROR(__xludf.DUMMYFUNCTION("IF(REGEXMATCH(TRIM(N798),""^[A-Za-z0-9._%+-]+@[A-Za-z0-9.-]+\.[A-Za-z]{2,}$""),""✅ Valid"",""❌ Invalid"")"),"❌ Invalid")</f>
        <v>❌ Invalid</v>
      </c>
      <c r="P798" s="2" t="str">
        <f t="array" ref="P798">XLOOKUP(I798,customers_clean!$A$2:$A$701,customers_clean!$K$2:$K$701)</f>
        <v/>
      </c>
      <c r="Q798" s="10" t="str">
        <f t="array" ref="Q798">XLOOKUP(I798,customers_clean!$A$2:$A$701,customers_clean!$N$2:$N$701)</f>
        <v/>
      </c>
      <c r="R798" s="9" t="str">
        <f t="array" ref="R798">XLOOKUP(I798,customers_clean!$A$2:$A$701,customers_clean!$Q$2:$Q$701)</f>
        <v/>
      </c>
      <c r="S798" s="10" t="s">
        <v>608</v>
      </c>
      <c r="T798" s="2" t="s">
        <v>152</v>
      </c>
      <c r="U798" s="2" t="s">
        <v>176</v>
      </c>
      <c r="V798" s="2" t="s">
        <v>1476</v>
      </c>
      <c r="W798" s="9" t="str">
        <f t="array" ref="W798">IF(ISNA(XLOOKUP(V798,products_master_corrected!$A$2:$A$151,products_master_corrected!$A$2:$A$151, NA())),
    "❌ MISSING SKU", "✅")</f>
        <v>✅</v>
      </c>
      <c r="X798" s="2" t="s">
        <v>1147</v>
      </c>
      <c r="Y798" s="2" t="s">
        <v>1477</v>
      </c>
      <c r="Z798" s="10" t="s">
        <v>248</v>
      </c>
      <c r="AA798" s="27">
        <v>5.0</v>
      </c>
      <c r="AB798" s="9" t="s">
        <v>8649</v>
      </c>
      <c r="AC798" s="28">
        <f t="array" ref="AC798">XLOOKUP(V798,products_master_corrected!$A$2:$A$151,products_master_corrected!$E$2:$E$151)</f>
        <v>147.92</v>
      </c>
      <c r="AD798" s="28">
        <f t="shared" si="88"/>
        <v>739.6</v>
      </c>
      <c r="AE798" s="28">
        <f t="array" ref="AE798">XLOOKUP(V798,products_master_corrected!$A$2:$A$151,products_master_corrected!$H$2:$H$151)</f>
        <v>166.19</v>
      </c>
      <c r="AF798" s="29">
        <f t="shared" si="89"/>
        <v>830.95</v>
      </c>
      <c r="AG798" s="32" t="s">
        <v>8658</v>
      </c>
      <c r="AH798" s="2" t="s">
        <v>238</v>
      </c>
      <c r="AI798" s="10" t="s">
        <v>66</v>
      </c>
      <c r="AJ798" s="2" t="s">
        <v>432</v>
      </c>
      <c r="AK798" s="10" t="s">
        <v>80</v>
      </c>
      <c r="AL798" s="2" t="s">
        <v>51</v>
      </c>
    </row>
    <row r="799" ht="15.75" customHeight="1">
      <c r="A799" s="2" t="s">
        <v>5589</v>
      </c>
      <c r="B799" s="12">
        <v>45686.0</v>
      </c>
      <c r="C799" s="2" t="str">
        <f>IFERROR(__xludf.DUMMYFUNCTION("IF(ISNUMBER(B799),TEXT(B799,""yyyy-MM-dd""),REGEXREPLACE(REGEXREPLACE(TO_TEXT(B799),""[^0-9a-zA-Z]+"",""-""),""[^0-9]*$"",""""))"),"2025-01-29")</f>
        <v>2025-01-29</v>
      </c>
      <c r="D799" s="2" t="s">
        <v>8727</v>
      </c>
      <c r="H799" s="10" t="s">
        <v>8727</v>
      </c>
      <c r="I799" s="2" t="s">
        <v>761</v>
      </c>
      <c r="J799" s="26" t="str">
        <f t="array" ref="J799">IF(ISNA(XLOOKUP(I799,customers_clean!$A$2:$A$701,customers_clean!$A$2:$A$701, NA()) ),
   "❌ MISSING CUSTOMER", "✅")</f>
        <v>✅</v>
      </c>
      <c r="K799" s="2" t="str">
        <f t="array" ref="K799">XLOOKUP(I799,customers_clean!$A$2:$A$701,customers_clean!$C$2:$C$701)</f>
        <v>Omar Muller</v>
      </c>
      <c r="L799" s="10" t="str">
        <f t="array" ref="L799">XLOOKUP(I799,customers_clean!$A$2:$A$701,customers_clean!$D$2:$D$701)</f>
        <v>Omar Muller</v>
      </c>
      <c r="M799" s="2" t="str">
        <f t="array" ref="M799">XLOOKUP(I799,customers_clean!$A$2:$A$701,customers_clean!$I$2:$I$701)</f>
        <v>OMAR.MULLER@GMAIL.COM</v>
      </c>
      <c r="N799" s="10" t="str">
        <f t="array" ref="N799">XLOOKUP(I799,customers_clean!$A$2:$A$701,customers_clean!$H$2:$H$701)</f>
        <v>omar.muller@gmail.com</v>
      </c>
      <c r="O799" s="9" t="str">
        <f>IFERROR(__xludf.DUMMYFUNCTION("IF(REGEXMATCH(TRIM(N799),""^[A-Za-z0-9._%+-]+@[A-Za-z0-9.-]+\.[A-Za-z]{2,}$""),""✅ Valid"",""❌ Invalid"")"),"✅ Valid")</f>
        <v>✅ Valid</v>
      </c>
      <c r="P799" s="2" t="str">
        <f t="array" ref="P799">XLOOKUP(I799,customers_clean!$A$2:$A$701,customers_clean!$K$2:$K$701)</f>
        <v>891077x949</v>
      </c>
      <c r="Q799" s="10" t="str">
        <f t="array" ref="Q799">XLOOKUP(I799,customers_clean!$A$2:$A$701,customers_clean!$N$2:$N$701)</f>
        <v>891077949</v>
      </c>
      <c r="R799" s="9" t="str">
        <f t="array" ref="R799">XLOOKUP(I799,customers_clean!$A$2:$A$701,customers_clean!$Q$2:$Q$701)</f>
        <v>❌ INVALID</v>
      </c>
      <c r="S799" s="31" t="s">
        <v>671</v>
      </c>
      <c r="T799" s="2" t="s">
        <v>42</v>
      </c>
      <c r="U799" s="2" t="s">
        <v>75</v>
      </c>
      <c r="V799" s="2" t="s">
        <v>2024</v>
      </c>
      <c r="W799" s="9" t="str">
        <f t="array" ref="W799">IF(ISNA(XLOOKUP(V799,products_master_corrected!$A$2:$A$151,products_master_corrected!$A$2:$A$151, NA())),
    "❌ MISSING SKU", "✅")</f>
        <v>✅</v>
      </c>
      <c r="X799" s="2" t="s">
        <v>2025</v>
      </c>
      <c r="Y799" s="2" t="s">
        <v>63</v>
      </c>
      <c r="Z799" s="10" t="s">
        <v>63</v>
      </c>
      <c r="AA799" s="27">
        <v>1.0</v>
      </c>
      <c r="AB799" s="9" t="s">
        <v>8649</v>
      </c>
      <c r="AC799" s="28">
        <f t="array" ref="AC799">XLOOKUP(V799,products_master_corrected!$A$2:$A$151,products_master_corrected!$E$2:$E$151)</f>
        <v>1358.96</v>
      </c>
      <c r="AD799" s="28">
        <f t="shared" si="88"/>
        <v>1358.96</v>
      </c>
      <c r="AE799" s="28">
        <f t="array" ref="AE799">XLOOKUP(V799,products_master_corrected!$A$2:$A$151,products_master_corrected!$J$2:$J$151)</f>
        <v>1584.96</v>
      </c>
      <c r="AF799" s="29">
        <f t="shared" si="89"/>
        <v>1584.96</v>
      </c>
      <c r="AG799" s="32" t="s">
        <v>8656</v>
      </c>
      <c r="AH799" s="2" t="s">
        <v>526</v>
      </c>
      <c r="AI799" s="10" t="s">
        <v>49</v>
      </c>
      <c r="AJ799" s="2" t="s">
        <v>144</v>
      </c>
      <c r="AK799" s="10" t="s">
        <v>818</v>
      </c>
      <c r="AL799" s="2" t="s">
        <v>67</v>
      </c>
    </row>
    <row r="800" ht="15.75" customHeight="1">
      <c r="A800" s="2" t="s">
        <v>759</v>
      </c>
      <c r="B800" s="12">
        <v>45487.0</v>
      </c>
      <c r="C800" s="2" t="str">
        <f>IFERROR(__xludf.DUMMYFUNCTION("IF(ISNUMBER(B800),TEXT(B800,""yyyy-MM-dd""),REGEXREPLACE(REGEXREPLACE(TO_TEXT(B800),""[^0-9a-zA-Z]+"",""-""),""[^0-9]*$"",""""))"),"2024-07-14")</f>
        <v>2024-07-14</v>
      </c>
      <c r="D800" s="2" t="s">
        <v>7958</v>
      </c>
      <c r="H800" s="10" t="s">
        <v>7958</v>
      </c>
      <c r="I800" s="2" t="s">
        <v>761</v>
      </c>
      <c r="J800" s="26" t="str">
        <f t="array" ref="J800">IF(ISNA(XLOOKUP(I800,customers_clean!$A$2:$A$701,customers_clean!$A$2:$A$701, NA()) ),
   "❌ MISSING CUSTOMER", "✅")</f>
        <v>✅</v>
      </c>
      <c r="K800" s="2" t="str">
        <f t="array" ref="K800">XLOOKUP(I800,customers_clean!$A$2:$A$701,customers_clean!$C$2:$C$701)</f>
        <v>Omar Muller</v>
      </c>
      <c r="L800" s="10" t="str">
        <f t="array" ref="L800">XLOOKUP(I800,customers_clean!$A$2:$A$701,customers_clean!$D$2:$D$701)</f>
        <v>Omar Muller</v>
      </c>
      <c r="M800" s="2" t="str">
        <f t="array" ref="M800">XLOOKUP(I800,customers_clean!$A$2:$A$701,customers_clean!$I$2:$I$701)</f>
        <v>OMAR.MULLER@GMAIL.COM</v>
      </c>
      <c r="N800" s="10" t="str">
        <f t="array" ref="N800">XLOOKUP(I800,customers_clean!$A$2:$A$701,customers_clean!$H$2:$H$701)</f>
        <v>omar.muller@gmail.com</v>
      </c>
      <c r="O800" s="9" t="str">
        <f>IFERROR(__xludf.DUMMYFUNCTION("IF(REGEXMATCH(TRIM(N800),""^[A-Za-z0-9._%+-]+@[A-Za-z0-9.-]+\.[A-Za-z]{2,}$""),""✅ Valid"",""❌ Invalid"")"),"✅ Valid")</f>
        <v>✅ Valid</v>
      </c>
      <c r="P800" s="2" t="str">
        <f t="array" ref="P800">XLOOKUP(I800,customers_clean!$A$2:$A$701,customers_clean!$K$2:$K$701)</f>
        <v>891077x949</v>
      </c>
      <c r="Q800" s="10" t="str">
        <f t="array" ref="Q800">XLOOKUP(I800,customers_clean!$A$2:$A$701,customers_clean!$N$2:$N$701)</f>
        <v>891077949</v>
      </c>
      <c r="R800" s="9" t="str">
        <f t="array" ref="R800">XLOOKUP(I800,customers_clean!$A$2:$A$701,customers_clean!$Q$2:$Q$701)</f>
        <v>❌ INVALID</v>
      </c>
      <c r="S800" s="31" t="s">
        <v>671</v>
      </c>
      <c r="T800" s="2" t="s">
        <v>210</v>
      </c>
      <c r="U800" s="2" t="s">
        <v>766</v>
      </c>
      <c r="V800" s="2" t="s">
        <v>767</v>
      </c>
      <c r="W800" s="9" t="str">
        <f t="array" ref="W800">IF(ISNA(XLOOKUP(V800,products_master_corrected!$A$2:$A$151,products_master_corrected!$A$2:$A$151, NA())),
    "❌ MISSING SKU", "✅")</f>
        <v>✅</v>
      </c>
      <c r="X800" s="2" t="s">
        <v>768</v>
      </c>
      <c r="Y800" s="2" t="s">
        <v>769</v>
      </c>
      <c r="Z800" s="10" t="str">
        <f>PROPER(TRIM(Y800))</f>
        <v>Monitors</v>
      </c>
      <c r="AA800" s="27">
        <v>1.0</v>
      </c>
      <c r="AB800" s="9" t="s">
        <v>8649</v>
      </c>
      <c r="AC800" s="28">
        <f t="array" ref="AC800">XLOOKUP(V800,products_master_corrected!$A$2:$A$151,products_master_corrected!$E$2:$E$151)</f>
        <v>15.17</v>
      </c>
      <c r="AD800" s="28">
        <f t="shared" si="88"/>
        <v>15.17</v>
      </c>
      <c r="AE800" s="28">
        <f t="array" ref="AE800">XLOOKUP(V800,products_master_corrected!$A$2:$A$151,products_master_corrected!$J$2:$J$151)</f>
        <v>17.69</v>
      </c>
      <c r="AF800" s="29">
        <f t="shared" si="89"/>
        <v>17.69</v>
      </c>
      <c r="AG800" s="32" t="s">
        <v>8656</v>
      </c>
      <c r="AH800" s="2" t="s">
        <v>66</v>
      </c>
      <c r="AI800" s="10" t="s">
        <v>66</v>
      </c>
      <c r="AJ800" s="2" t="s">
        <v>261</v>
      </c>
      <c r="AK800" s="10" t="s">
        <v>261</v>
      </c>
      <c r="AL800" s="2" t="s">
        <v>51</v>
      </c>
    </row>
    <row r="801" ht="15.75" customHeight="1">
      <c r="A801" s="2" t="s">
        <v>3731</v>
      </c>
      <c r="B801" s="12">
        <v>44998.0</v>
      </c>
      <c r="C801" s="2" t="str">
        <f>IFERROR(__xludf.DUMMYFUNCTION("IF(ISNUMBER(B801),TEXT(B801,""yyyy-MM-dd""),REGEXREPLACE(REGEXREPLACE(TO_TEXT(B801),""[^0-9a-zA-Z]+"",""-""),""[^0-9]*$"",""""))"),"2023-03-13")</f>
        <v>2023-03-13</v>
      </c>
      <c r="D801" s="2" t="s">
        <v>8944</v>
      </c>
      <c r="H801" s="10" t="s">
        <v>8944</v>
      </c>
      <c r="I801" s="2" t="s">
        <v>3030</v>
      </c>
      <c r="J801" s="26" t="str">
        <f t="array" ref="J801">IF(ISNA(XLOOKUP(I801,customers_clean!$A$2:$A$701,customers_clean!$A$2:$A$701, NA()) ),
   "❌ MISSING CUSTOMER", "✅")</f>
        <v>✅</v>
      </c>
      <c r="K801" s="2" t="str">
        <f t="array" ref="K801">XLOOKUP(I801,customers_clean!$A$2:$A$701,customers_clean!$C$2:$C$701)</f>
        <v>Igor oJhnson </v>
      </c>
      <c r="L801" s="10" t="str">
        <f t="array" ref="L801">XLOOKUP(I801,customers_clean!$A$2:$A$701,customers_clean!$D$2:$D$701)</f>
        <v>Igor Ojhnson</v>
      </c>
      <c r="M801" s="2" t="str">
        <f t="array" ref="M801">XLOOKUP(I801,customers_clean!$A$2:$A$701,customers_clean!$I$2:$I$701)</f>
        <v/>
      </c>
      <c r="N801" s="10" t="str">
        <f t="array" ref="N801">XLOOKUP(I801,customers_clean!$A$2:$A$701,customers_clean!$H$2:$H$701)</f>
        <v/>
      </c>
      <c r="O801" s="9" t="str">
        <f>IFERROR(__xludf.DUMMYFUNCTION("IF(REGEXMATCH(TRIM(N801),""^[A-Za-z0-9._%+-]+@[A-Za-z0-9.-]+\.[A-Za-z]{2,}$""),""✅ Valid"",""❌ Invalid"")"),"❌ Invalid")</f>
        <v>❌ Invalid</v>
      </c>
      <c r="P801" s="2" t="str">
        <f t="array" ref="P801">XLOOKUP(I801,customers_clean!$A$2:$A$701,customers_clean!$K$2:$K$701)</f>
        <v>+44 243 842 9670</v>
      </c>
      <c r="Q801" s="10" t="str">
        <f t="array" ref="Q801">XLOOKUP(I801,customers_clean!$A$2:$A$701,customers_clean!$N$2:$N$701)</f>
        <v/>
      </c>
      <c r="R801" s="9" t="str">
        <f t="array" ref="R801">XLOOKUP(I801,customers_clean!$A$2:$A$701,customers_clean!$Q$2:$Q$701)</f>
        <v/>
      </c>
      <c r="S801" s="10" t="s">
        <v>114</v>
      </c>
      <c r="T801" s="2" t="s">
        <v>115</v>
      </c>
      <c r="U801" s="2" t="s">
        <v>75</v>
      </c>
      <c r="V801" s="2" t="s">
        <v>1476</v>
      </c>
      <c r="W801" s="9" t="str">
        <f t="array" ref="W801">IF(ISNA(XLOOKUP(V801,products_master_corrected!$A$2:$A$151,products_master_corrected!$A$2:$A$151, NA())),
    "❌ MISSING SKU", "✅")</f>
        <v>✅</v>
      </c>
      <c r="X801" s="2" t="s">
        <v>1147</v>
      </c>
      <c r="Y801" s="2" t="s">
        <v>1477</v>
      </c>
      <c r="Z801" s="10" t="s">
        <v>248</v>
      </c>
      <c r="AA801" s="27">
        <v>2.0</v>
      </c>
      <c r="AB801" s="9" t="s">
        <v>8649</v>
      </c>
      <c r="AC801" s="28">
        <f t="array" ref="AC801">XLOOKUP(V801,products_master_corrected!$A$2:$A$151,products_master_corrected!$E$2:$E$151)</f>
        <v>147.92</v>
      </c>
      <c r="AD801" s="28">
        <f t="shared" si="88"/>
        <v>295.84</v>
      </c>
      <c r="AE801" s="28">
        <f t="array" ref="AE801">XLOOKUP(V801,products_master_corrected!$A$2:$A$151,products_master_corrected!$F$2:$F$151)</f>
        <v>147.92</v>
      </c>
      <c r="AF801" s="29">
        <f t="shared" si="89"/>
        <v>295.84</v>
      </c>
      <c r="AG801" s="30" t="s">
        <v>65</v>
      </c>
      <c r="AH801" s="2" t="s">
        <v>66</v>
      </c>
      <c r="AI801" s="10" t="s">
        <v>66</v>
      </c>
      <c r="AJ801" s="2" t="s">
        <v>294</v>
      </c>
      <c r="AK801" s="10" t="s">
        <v>80</v>
      </c>
    </row>
    <row r="802" ht="15.75" customHeight="1">
      <c r="A802" s="2" t="s">
        <v>3028</v>
      </c>
      <c r="B802" s="12">
        <v>45200.0</v>
      </c>
      <c r="C802" s="2" t="str">
        <f>IFERROR(__xludf.DUMMYFUNCTION("IF(ISNUMBER(B802),TEXT(B802,""yyyy-MM-dd""),REGEXREPLACE(REGEXREPLACE(TO_TEXT(B802),""[^0-9a-zA-Z]+"",""-""),""[^0-9]*$"",""""))"),"2023-10-01")</f>
        <v>2023-10-01</v>
      </c>
      <c r="D802" s="2" t="s">
        <v>8945</v>
      </c>
      <c r="H802" s="10" t="s">
        <v>8945</v>
      </c>
      <c r="I802" s="2" t="s">
        <v>3030</v>
      </c>
      <c r="J802" s="26" t="str">
        <f t="array" ref="J802">IF(ISNA(XLOOKUP(I802,customers_clean!$A$2:$A$701,customers_clean!$A$2:$A$701, NA()) ),
   "❌ MISSING CUSTOMER", "✅")</f>
        <v>✅</v>
      </c>
      <c r="K802" s="2" t="str">
        <f t="array" ref="K802">XLOOKUP(I802,customers_clean!$A$2:$A$701,customers_clean!$C$2:$C$701)</f>
        <v>Igor oJhnson </v>
      </c>
      <c r="L802" s="10" t="str">
        <f t="array" ref="L802">XLOOKUP(I802,customers_clean!$A$2:$A$701,customers_clean!$D$2:$D$701)</f>
        <v>Igor Ojhnson</v>
      </c>
      <c r="M802" s="2" t="str">
        <f t="array" ref="M802">XLOOKUP(I802,customers_clean!$A$2:$A$701,customers_clean!$I$2:$I$701)</f>
        <v/>
      </c>
      <c r="N802" s="10" t="str">
        <f t="array" ref="N802">XLOOKUP(I802,customers_clean!$A$2:$A$701,customers_clean!$H$2:$H$701)</f>
        <v/>
      </c>
      <c r="O802" s="9" t="str">
        <f>IFERROR(__xludf.DUMMYFUNCTION("IF(REGEXMATCH(TRIM(N802),""^[A-Za-z0-9._%+-]+@[A-Za-z0-9.-]+\.[A-Za-z]{2,}$""),""✅ Valid"",""❌ Invalid"")"),"❌ Invalid")</f>
        <v>❌ Invalid</v>
      </c>
      <c r="P802" s="2" t="str">
        <f t="array" ref="P802">XLOOKUP(I802,customers_clean!$A$2:$A$701,customers_clean!$K$2:$K$701)</f>
        <v>+44 243 842 9670</v>
      </c>
      <c r="Q802" s="10" t="str">
        <f t="array" ref="Q802">XLOOKUP(I802,customers_clean!$A$2:$A$701,customers_clean!$N$2:$N$701)</f>
        <v/>
      </c>
      <c r="R802" s="9" t="str">
        <f t="array" ref="R802">XLOOKUP(I802,customers_clean!$A$2:$A$701,customers_clean!$Q$2:$Q$701)</f>
        <v/>
      </c>
      <c r="S802" s="10" t="s">
        <v>114</v>
      </c>
      <c r="T802" s="2" t="s">
        <v>3034</v>
      </c>
      <c r="U802" s="2" t="s">
        <v>365</v>
      </c>
      <c r="V802" s="2" t="s">
        <v>756</v>
      </c>
      <c r="W802" s="9" t="str">
        <f t="array" ref="W802">IF(ISNA(XLOOKUP(V802,products_master_corrected!$A$2:$A$151,products_master_corrected!$A$2:$A$151, NA())),
    "❌ MISSING SKU", "✅")</f>
        <v>✅</v>
      </c>
      <c r="X802" s="2" t="s">
        <v>8737</v>
      </c>
      <c r="Y802" s="2" t="s">
        <v>30</v>
      </c>
      <c r="Z802" s="10" t="s">
        <v>179</v>
      </c>
      <c r="AA802" s="27">
        <v>2.0</v>
      </c>
      <c r="AB802" s="9" t="s">
        <v>8649</v>
      </c>
      <c r="AC802" s="28">
        <f t="array" ref="AC802">XLOOKUP(V802,products_master_corrected!$A$2:$A$151,products_master_corrected!$E$2:$E$151)</f>
        <v>61.04</v>
      </c>
      <c r="AD802" s="28">
        <f t="shared" si="88"/>
        <v>122.08</v>
      </c>
      <c r="AE802" s="28">
        <f t="array" ref="AE802">XLOOKUP(V802,products_master_corrected!$A$2:$A$151,products_master_corrected!$F$2:$F$151)</f>
        <v>61.04</v>
      </c>
      <c r="AF802" s="29">
        <f t="shared" si="89"/>
        <v>122.08</v>
      </c>
      <c r="AG802" s="30" t="s">
        <v>65</v>
      </c>
      <c r="AH802" s="2" t="s">
        <v>143</v>
      </c>
      <c r="AI802" s="10" t="s">
        <v>143</v>
      </c>
      <c r="AJ802" s="2" t="s">
        <v>1312</v>
      </c>
      <c r="AK802" s="10" t="s">
        <v>818</v>
      </c>
      <c r="AL802" s="2" t="s">
        <v>133</v>
      </c>
    </row>
    <row r="803" ht="15.75" customHeight="1">
      <c r="A803" s="2" t="s">
        <v>4323</v>
      </c>
      <c r="B803" s="12">
        <v>45393.0</v>
      </c>
      <c r="C803" s="2" t="str">
        <f>IFERROR(__xludf.DUMMYFUNCTION("IF(ISNUMBER(B803),TEXT(B803,""yyyy-MM-dd""),REGEXREPLACE(REGEXREPLACE(TO_TEXT(B803),""[^0-9a-zA-Z]+"",""-""),""[^0-9]*$"",""""))"),"2024-04-11")</f>
        <v>2024-04-11</v>
      </c>
      <c r="D803" s="2" t="s">
        <v>8035</v>
      </c>
      <c r="H803" s="10" t="s">
        <v>8035</v>
      </c>
      <c r="I803" s="2" t="s">
        <v>1444</v>
      </c>
      <c r="J803" s="26" t="str">
        <f t="array" ref="J803">IF(ISNA(XLOOKUP(I803,customers_clean!$A$2:$A$701,customers_clean!$A$2:$A$701, NA()) ),
   "❌ MISSING CUSTOMER", "✅")</f>
        <v>✅</v>
      </c>
      <c r="K803" s="2" t="str">
        <f t="array" ref="K803">XLOOKUP(I803,customers_clean!$A$2:$A$701,customers_clean!$C$2:$C$701)</f>
        <v>Daria Young </v>
      </c>
      <c r="L803" s="10" t="str">
        <f t="array" ref="L803">XLOOKUP(I803,customers_clean!$A$2:$A$701,customers_clean!$D$2:$D$701)</f>
        <v>Daria Young</v>
      </c>
      <c r="M803" s="2" t="str">
        <f t="array" ref="M803">XLOOKUP(I803,customers_clean!$A$2:$A$701,customers_clean!$I$2:$I$701)</f>
        <v>daria.youn@gyahoo.com</v>
      </c>
      <c r="N803" s="10" t="str">
        <f t="array" ref="N803">XLOOKUP(I803,customers_clean!$A$2:$A$701,customers_clean!$H$2:$H$701)</f>
        <v>daria.youn@gyahoo.com</v>
      </c>
      <c r="O803" s="9" t="str">
        <f>IFERROR(__xludf.DUMMYFUNCTION("IF(REGEXMATCH(TRIM(N803),""^[A-Za-z0-9._%+-]+@[A-Za-z0-9.-]+\.[A-Za-z]{2,}$""),""✅ Valid"",""❌ Invalid"")"),"✅ Valid")</f>
        <v>✅ Valid</v>
      </c>
      <c r="P803" s="2" t="str">
        <f t="array" ref="P803">XLOOKUP(I803,customers_clean!$A$2:$A$701,customers_clean!$K$2:$K$701)</f>
        <v>+39623237762</v>
      </c>
      <c r="Q803" s="10" t="str">
        <f t="array" ref="Q803">XLOOKUP(I803,customers_clean!$A$2:$A$701,customers_clean!$N$2:$N$701)</f>
        <v>623237762</v>
      </c>
      <c r="R803" s="9" t="str">
        <f t="array" ref="R803">XLOOKUP(I803,customers_clean!$A$2:$A$701,customers_clean!$Q$2:$Q$701)</f>
        <v>❌ INVALID</v>
      </c>
      <c r="S803" s="10" t="s">
        <v>58</v>
      </c>
      <c r="T803" s="2" t="s">
        <v>74</v>
      </c>
      <c r="U803" s="2" t="s">
        <v>90</v>
      </c>
      <c r="V803" s="2" t="s">
        <v>815</v>
      </c>
      <c r="W803" s="9" t="str">
        <f t="array" ref="W803">IF(ISNA(XLOOKUP(V803,products_master_corrected!$A$2:$A$151,products_master_corrected!$A$2:$A$151, NA())),
    "❌ MISSING SKU", "✅")</f>
        <v>✅</v>
      </c>
      <c r="X803" s="2" t="s">
        <v>816</v>
      </c>
      <c r="Y803" s="2" t="s">
        <v>179</v>
      </c>
      <c r="Z803" s="10" t="s">
        <v>179</v>
      </c>
      <c r="AA803" s="27">
        <v>2.0</v>
      </c>
      <c r="AB803" s="9" t="s">
        <v>8649</v>
      </c>
      <c r="AC803" s="28">
        <f t="array" ref="AC803">XLOOKUP(V803,products_master_corrected!$A$2:$A$151,products_master_corrected!$E$2:$E$151)</f>
        <v>328.22</v>
      </c>
      <c r="AD803" s="28">
        <f t="shared" si="88"/>
        <v>656.44</v>
      </c>
      <c r="AE803" s="28">
        <f t="array" ref="AE803">XLOOKUP(V803,products_master_corrected!$A$2:$A$151,products_master_corrected!$G$2:$G$151)</f>
        <v>375.75</v>
      </c>
      <c r="AF803" s="29">
        <f t="shared" si="89"/>
        <v>751.5</v>
      </c>
      <c r="AG803" s="32" t="s">
        <v>8663</v>
      </c>
      <c r="AH803" s="2" t="s">
        <v>66</v>
      </c>
      <c r="AI803" s="10" t="s">
        <v>66</v>
      </c>
      <c r="AJ803" s="2" t="s">
        <v>169</v>
      </c>
      <c r="AK803" s="10" t="s">
        <v>261</v>
      </c>
      <c r="AL803" s="2" t="s">
        <v>133</v>
      </c>
    </row>
    <row r="804" ht="15.75" customHeight="1">
      <c r="A804" s="2" t="s">
        <v>3048</v>
      </c>
      <c r="B804" s="12">
        <v>45514.0</v>
      </c>
      <c r="C804" s="2" t="str">
        <f>IFERROR(__xludf.DUMMYFUNCTION("IF(ISNUMBER(B804),TEXT(B804,""yyyy-MM-dd""),REGEXREPLACE(REGEXREPLACE(TO_TEXT(B804),""[^0-9a-zA-Z]+"",""-""),""[^0-9]*$"",""""))"),"2024-08-10")</f>
        <v>2024-08-10</v>
      </c>
      <c r="D804" s="2" t="s">
        <v>8946</v>
      </c>
      <c r="H804" s="10" t="s">
        <v>8946</v>
      </c>
      <c r="I804" s="2" t="s">
        <v>1444</v>
      </c>
      <c r="J804" s="26" t="str">
        <f t="array" ref="J804">IF(ISNA(XLOOKUP(I804,customers_clean!$A$2:$A$701,customers_clean!$A$2:$A$701, NA()) ),
   "❌ MISSING CUSTOMER", "✅")</f>
        <v>✅</v>
      </c>
      <c r="K804" s="2" t="str">
        <f t="array" ref="K804">XLOOKUP(I804,customers_clean!$A$2:$A$701,customers_clean!$C$2:$C$701)</f>
        <v>Daria Young </v>
      </c>
      <c r="L804" s="10" t="str">
        <f t="array" ref="L804">XLOOKUP(I804,customers_clean!$A$2:$A$701,customers_clean!$D$2:$D$701)</f>
        <v>Daria Young</v>
      </c>
      <c r="M804" s="2" t="str">
        <f t="array" ref="M804">XLOOKUP(I804,customers_clean!$A$2:$A$701,customers_clean!$I$2:$I$701)</f>
        <v>daria.youn@gyahoo.com</v>
      </c>
      <c r="N804" s="10" t="str">
        <f t="array" ref="N804">XLOOKUP(I804,customers_clean!$A$2:$A$701,customers_clean!$H$2:$H$701)</f>
        <v>daria.youn@gyahoo.com</v>
      </c>
      <c r="O804" s="9" t="str">
        <f>IFERROR(__xludf.DUMMYFUNCTION("IF(REGEXMATCH(TRIM(N804),""^[A-Za-z0-9._%+-]+@[A-Za-z0-9.-]+\.[A-Za-z]{2,}$""),""✅ Valid"",""❌ Invalid"")"),"✅ Valid")</f>
        <v>✅ Valid</v>
      </c>
      <c r="P804" s="2" t="str">
        <f t="array" ref="P804">XLOOKUP(I804,customers_clean!$A$2:$A$701,customers_clean!$K$2:$K$701)</f>
        <v>+39623237762</v>
      </c>
      <c r="Q804" s="10" t="str">
        <f t="array" ref="Q804">XLOOKUP(I804,customers_clean!$A$2:$A$701,customers_clean!$N$2:$N$701)</f>
        <v>623237762</v>
      </c>
      <c r="R804" s="9" t="str">
        <f t="array" ref="R804">XLOOKUP(I804,customers_clean!$A$2:$A$701,customers_clean!$Q$2:$Q$701)</f>
        <v>❌ INVALID</v>
      </c>
      <c r="S804" s="10" t="s">
        <v>58</v>
      </c>
      <c r="T804" s="2" t="s">
        <v>152</v>
      </c>
      <c r="U804" s="2" t="s">
        <v>43</v>
      </c>
      <c r="V804" s="2" t="s">
        <v>2033</v>
      </c>
      <c r="W804" s="9" t="str">
        <f t="array" ref="W804">IF(ISNA(XLOOKUP(V804,products_master_corrected!$A$2:$A$151,products_master_corrected!$A$2:$A$151, NA())),
    "❌ MISSING SKU", "✅")</f>
        <v>✅</v>
      </c>
      <c r="X804" s="2" t="s">
        <v>2034</v>
      </c>
      <c r="Y804" s="2" t="s">
        <v>1016</v>
      </c>
      <c r="Z804" s="10" t="s">
        <v>355</v>
      </c>
      <c r="AA804" s="27">
        <v>2.0</v>
      </c>
      <c r="AB804" s="9" t="s">
        <v>8649</v>
      </c>
      <c r="AC804" s="28">
        <f t="array" ref="AC804">XLOOKUP(V804,products_master_corrected!$A$2:$A$151,products_master_corrected!$E$2:$E$151)</f>
        <v>938.62</v>
      </c>
      <c r="AD804" s="28">
        <f t="shared" si="88"/>
        <v>1877.24</v>
      </c>
      <c r="AE804" s="28">
        <f t="array" ref="AE804">XLOOKUP(V804,products_master_corrected!$A$2:$A$151,products_master_corrected!$G$2:$G$151)</f>
        <v>1074.53</v>
      </c>
      <c r="AF804" s="29">
        <f t="shared" si="89"/>
        <v>2149.06</v>
      </c>
      <c r="AG804" s="32" t="s">
        <v>8663</v>
      </c>
      <c r="AH804" s="2" t="s">
        <v>96</v>
      </c>
      <c r="AI804" s="10" t="s">
        <v>143</v>
      </c>
      <c r="AJ804" s="2" t="s">
        <v>380</v>
      </c>
      <c r="AK804" s="10" t="s">
        <v>80</v>
      </c>
      <c r="AL804" s="2" t="s">
        <v>81</v>
      </c>
    </row>
    <row r="805" ht="15.75" customHeight="1">
      <c r="A805" s="2" t="s">
        <v>2139</v>
      </c>
      <c r="B805" s="12" t="s">
        <v>2140</v>
      </c>
      <c r="C805" s="2" t="str">
        <f>IFERROR(__xludf.DUMMYFUNCTION("IF(ISNUMBER(B805),TEXT(B805,""yyyy-MM-dd""),REGEXREPLACE(REGEXREPLACE(TO_TEXT(B805),""[^0-9a-zA-Z]+"",""-""),""[^0-9]*$"",""""))"),"17-03-2024")</f>
        <v>17-03-2024</v>
      </c>
      <c r="D805" s="2" t="s">
        <v>8947</v>
      </c>
      <c r="H805" s="10" t="s">
        <v>8947</v>
      </c>
      <c r="I805" s="2" t="s">
        <v>1444</v>
      </c>
      <c r="J805" s="26" t="str">
        <f t="array" ref="J805">IF(ISNA(XLOOKUP(I805,customers_clean!$A$2:$A$701,customers_clean!$A$2:$A$701, NA()) ),
   "❌ MISSING CUSTOMER", "✅")</f>
        <v>✅</v>
      </c>
      <c r="K805" s="2" t="str">
        <f t="array" ref="K805">XLOOKUP(I805,customers_clean!$A$2:$A$701,customers_clean!$C$2:$C$701)</f>
        <v>Daria Young </v>
      </c>
      <c r="L805" s="10" t="str">
        <f t="array" ref="L805">XLOOKUP(I805,customers_clean!$A$2:$A$701,customers_clean!$D$2:$D$701)</f>
        <v>Daria Young</v>
      </c>
      <c r="M805" s="2" t="str">
        <f t="array" ref="M805">XLOOKUP(I805,customers_clean!$A$2:$A$701,customers_clean!$I$2:$I$701)</f>
        <v>daria.youn@gyahoo.com</v>
      </c>
      <c r="N805" s="10" t="str">
        <f t="array" ref="N805">XLOOKUP(I805,customers_clean!$A$2:$A$701,customers_clean!$H$2:$H$701)</f>
        <v>daria.youn@gyahoo.com</v>
      </c>
      <c r="O805" s="9" t="str">
        <f>IFERROR(__xludf.DUMMYFUNCTION("IF(REGEXMATCH(TRIM(N805),""^[A-Za-z0-9._%+-]+@[A-Za-z0-9.-]+\.[A-Za-z]{2,}$""),""✅ Valid"",""❌ Invalid"")"),"✅ Valid")</f>
        <v>✅ Valid</v>
      </c>
      <c r="P805" s="2" t="str">
        <f t="array" ref="P805">XLOOKUP(I805,customers_clean!$A$2:$A$701,customers_clean!$K$2:$K$701)</f>
        <v>+39623237762</v>
      </c>
      <c r="Q805" s="10" t="str">
        <f t="array" ref="Q805">XLOOKUP(I805,customers_clean!$A$2:$A$701,customers_clean!$N$2:$N$701)</f>
        <v>623237762</v>
      </c>
      <c r="R805" s="9" t="str">
        <f t="array" ref="R805">XLOOKUP(I805,customers_clean!$A$2:$A$701,customers_clean!$Q$2:$Q$701)</f>
        <v>❌ INVALID</v>
      </c>
      <c r="S805" s="10" t="s">
        <v>58</v>
      </c>
      <c r="T805" s="2" t="s">
        <v>152</v>
      </c>
      <c r="U805" s="2" t="s">
        <v>289</v>
      </c>
      <c r="V805" s="2" t="s">
        <v>481</v>
      </c>
      <c r="W805" s="9" t="str">
        <f t="array" ref="W805">IF(ISNA(XLOOKUP(V805,products_master_corrected!$A$2:$A$151,products_master_corrected!$A$2:$A$151, NA())),
    "❌ MISSING SKU", "✅")</f>
        <v>✅</v>
      </c>
      <c r="X805" s="2" t="s">
        <v>291</v>
      </c>
      <c r="Y805" s="2" t="s">
        <v>482</v>
      </c>
      <c r="Z805" s="10" t="s">
        <v>63</v>
      </c>
      <c r="AA805" s="27">
        <v>2.0</v>
      </c>
      <c r="AB805" s="9" t="s">
        <v>8649</v>
      </c>
      <c r="AC805" s="28">
        <f t="array" ref="AC805">XLOOKUP(V805,products_master_corrected!$A$2:$A$151,products_master_corrected!$E$2:$E$151)</f>
        <v>190.18</v>
      </c>
      <c r="AD805" s="28">
        <f t="shared" si="88"/>
        <v>380.36</v>
      </c>
      <c r="AE805" s="28">
        <f t="array" ref="AE805">XLOOKUP(V805,products_master_corrected!$A$2:$A$151,products_master_corrected!$G$2:$G$151)</f>
        <v>217.72</v>
      </c>
      <c r="AF805" s="29">
        <f t="shared" si="89"/>
        <v>435.44</v>
      </c>
      <c r="AG805" s="32" t="s">
        <v>8663</v>
      </c>
      <c r="AH805" s="2" t="s">
        <v>181</v>
      </c>
      <c r="AI805" s="10" t="s">
        <v>181</v>
      </c>
      <c r="AJ805" s="2" t="s">
        <v>80</v>
      </c>
      <c r="AK805" s="10" t="s">
        <v>80</v>
      </c>
      <c r="AL805" s="2" t="s">
        <v>133</v>
      </c>
    </row>
    <row r="806" ht="15.75" customHeight="1">
      <c r="A806" s="2" t="s">
        <v>1442</v>
      </c>
      <c r="B806" s="12" t="s">
        <v>1443</v>
      </c>
      <c r="C806" s="2" t="str">
        <f>IFERROR(__xludf.DUMMYFUNCTION("IF(ISNUMBER(B806),TEXT(B806,""yyyy-MM-dd""),REGEXREPLACE(REGEXREPLACE(TO_TEXT(B806),""[^0-9a-zA-Z]+"",""-""),""[^0-9]*$"",""""))"),"30-07-2024")</f>
        <v>30-07-2024</v>
      </c>
      <c r="D806" s="2" t="s">
        <v>8312</v>
      </c>
      <c r="H806" s="10" t="s">
        <v>8312</v>
      </c>
      <c r="I806" s="2" t="s">
        <v>1444</v>
      </c>
      <c r="J806" s="26" t="str">
        <f t="array" ref="J806">IF(ISNA(XLOOKUP(I806,customers_clean!$A$2:$A$701,customers_clean!$A$2:$A$701, NA()) ),
   "❌ MISSING CUSTOMER", "✅")</f>
        <v>✅</v>
      </c>
      <c r="K806" s="2" t="str">
        <f t="array" ref="K806">XLOOKUP(I806,customers_clean!$A$2:$A$701,customers_clean!$C$2:$C$701)</f>
        <v>Daria Young </v>
      </c>
      <c r="L806" s="10" t="str">
        <f t="array" ref="L806">XLOOKUP(I806,customers_clean!$A$2:$A$701,customers_clean!$D$2:$D$701)</f>
        <v>Daria Young</v>
      </c>
      <c r="M806" s="2" t="str">
        <f t="array" ref="M806">XLOOKUP(I806,customers_clean!$A$2:$A$701,customers_clean!$I$2:$I$701)</f>
        <v>daria.youn@gyahoo.com</v>
      </c>
      <c r="N806" s="10" t="str">
        <f t="array" ref="N806">XLOOKUP(I806,customers_clean!$A$2:$A$701,customers_clean!$H$2:$H$701)</f>
        <v>daria.youn@gyahoo.com</v>
      </c>
      <c r="O806" s="9" t="str">
        <f>IFERROR(__xludf.DUMMYFUNCTION("IF(REGEXMATCH(TRIM(N806),""^[A-Za-z0-9._%+-]+@[A-Za-z0-9.-]+\.[A-Za-z]{2,}$""),""✅ Valid"",""❌ Invalid"")"),"✅ Valid")</f>
        <v>✅ Valid</v>
      </c>
      <c r="P806" s="2" t="str">
        <f t="array" ref="P806">XLOOKUP(I806,customers_clean!$A$2:$A$701,customers_clean!$K$2:$K$701)</f>
        <v>+39623237762</v>
      </c>
      <c r="Q806" s="10" t="str">
        <f t="array" ref="Q806">XLOOKUP(I806,customers_clean!$A$2:$A$701,customers_clean!$N$2:$N$701)</f>
        <v>623237762</v>
      </c>
      <c r="R806" s="9" t="str">
        <f t="array" ref="R806">XLOOKUP(I806,customers_clean!$A$2:$A$701,customers_clean!$Q$2:$Q$701)</f>
        <v>❌ INVALID</v>
      </c>
      <c r="S806" s="10" t="s">
        <v>58</v>
      </c>
      <c r="T806" s="2" t="s">
        <v>400</v>
      </c>
      <c r="U806" s="2" t="s">
        <v>75</v>
      </c>
      <c r="V806" s="2" t="s">
        <v>1197</v>
      </c>
      <c r="W806" s="9" t="str">
        <f t="array" ref="W806">IF(ISNA(XLOOKUP(V806,products_master_corrected!$A$2:$A$151,products_master_corrected!$A$2:$A$151, NA())),
    "❌ MISSING SKU", "✅")</f>
        <v>✅</v>
      </c>
      <c r="X806" s="2" t="s">
        <v>1138</v>
      </c>
      <c r="Y806" s="2" t="s">
        <v>1199</v>
      </c>
      <c r="Z806" s="10" t="s">
        <v>179</v>
      </c>
      <c r="AA806" s="27">
        <v>2.0</v>
      </c>
      <c r="AB806" s="9" t="s">
        <v>8649</v>
      </c>
      <c r="AC806" s="28">
        <f t="array" ref="AC806">XLOOKUP(V806,products_master_corrected!$A$2:$A$151,products_master_corrected!$E$2:$E$151)</f>
        <v>80.95</v>
      </c>
      <c r="AD806" s="28">
        <f t="shared" si="88"/>
        <v>161.9</v>
      </c>
      <c r="AE806" s="28">
        <f t="array" ref="AE806">XLOOKUP(V806,products_master_corrected!$A$2:$A$151,products_master_corrected!$G$2:$G$151)</f>
        <v>92.67</v>
      </c>
      <c r="AF806" s="29">
        <f t="shared" si="89"/>
        <v>185.34</v>
      </c>
      <c r="AG806" s="32" t="s">
        <v>8663</v>
      </c>
      <c r="AH806" s="2" t="s">
        <v>143</v>
      </c>
      <c r="AI806" s="10" t="s">
        <v>143</v>
      </c>
      <c r="AJ806" s="2" t="s">
        <v>1312</v>
      </c>
      <c r="AK806" s="10" t="s">
        <v>818</v>
      </c>
      <c r="AL806" s="2" t="s">
        <v>67</v>
      </c>
    </row>
    <row r="807" ht="15.75" customHeight="1">
      <c r="A807" s="2" t="s">
        <v>4470</v>
      </c>
      <c r="B807" s="12" t="s">
        <v>4471</v>
      </c>
      <c r="C807" s="2" t="str">
        <f>IFERROR(__xludf.DUMMYFUNCTION("IF(ISNUMBER(B807),TEXT(B807,""yyyy-MM-dd""),REGEXREPLACE(REGEXREPLACE(TO_TEXT(B807),""[^0-9a-zA-Z]+"",""-""),""[^0-9]*$"",""""))"),"02-28-2024")</f>
        <v>02-28-2024</v>
      </c>
      <c r="D807" s="2" t="str">
        <f>TEXT(C807,"yyyy-MM-dd")</f>
        <v>02-28-2024</v>
      </c>
      <c r="E807" s="2" t="s">
        <v>8330</v>
      </c>
      <c r="H807" s="10" t="s">
        <v>8330</v>
      </c>
      <c r="I807" s="2" t="s">
        <v>866</v>
      </c>
      <c r="J807" s="26" t="str">
        <f t="array" ref="J807">IF(ISNA(XLOOKUP(I807,customers_clean!$A$2:$A$701,customers_clean!$A$2:$A$701, NA()) ),
   "❌ MISSING CUSTOMER", "✅")</f>
        <v>✅</v>
      </c>
      <c r="K807" s="2" t="str">
        <f t="array" ref="K807">XLOOKUP(I807,customers_clean!$A$2:$A$701,customers_clean!$C$2:$C$701)</f>
        <v>Igor Lee</v>
      </c>
      <c r="L807" s="10" t="str">
        <f t="array" ref="L807">XLOOKUP(I807,customers_clean!$A$2:$A$701,customers_clean!$D$2:$D$701)</f>
        <v>Igor Lee</v>
      </c>
      <c r="M807" s="2" t="str">
        <f t="array" ref="M807">XLOOKUP(I807,customers_clean!$A$2:$A$701,customers_clean!$I$2:$I$701)</f>
        <v>igor.lee@shop.io</v>
      </c>
      <c r="N807" s="10" t="str">
        <f t="array" ref="N807">XLOOKUP(I807,customers_clean!$A$2:$A$701,customers_clean!$H$2:$H$701)</f>
        <v>igor.lee@shop.io</v>
      </c>
      <c r="O807" s="9" t="str">
        <f>IFERROR(__xludf.DUMMYFUNCTION("IF(REGEXMATCH(TRIM(N807),""^[A-Za-z0-9._%+-]+@[A-Za-z0-9.-]+\.[A-Za-z]{2,}$""),""✅ Valid"",""❌ Invalid"")"),"✅ Valid")</f>
        <v>✅ Valid</v>
      </c>
      <c r="P807" s="33" t="str">
        <f t="array" ref="P807">XLOOKUP(I807,customers_clean!$A$2:$A$701,customers_clean!$K$2:$K$701)</f>
        <v>N/A</v>
      </c>
      <c r="Q807" s="10" t="str">
        <f t="array" ref="Q807">XLOOKUP(I807,customers_clean!$A$2:$A$701,customers_clean!$N$2:$N$701)</f>
        <v/>
      </c>
      <c r="R807" s="9" t="str">
        <f t="array" ref="R807">XLOOKUP(I807,customers_clean!$A$2:$A$701,customers_clean!$Q$2:$Q$701)</f>
        <v>❌ INVALID</v>
      </c>
      <c r="S807" s="10" t="s">
        <v>25</v>
      </c>
      <c r="T807" s="2" t="s">
        <v>683</v>
      </c>
      <c r="U807" s="2" t="s">
        <v>103</v>
      </c>
      <c r="V807" s="2" t="s">
        <v>1192</v>
      </c>
      <c r="W807" s="9" t="str">
        <f t="array" ref="W807">IF(ISNA(XLOOKUP(V807,products_master_corrected!$A$2:$A$151,products_master_corrected!$A$2:$A$151, NA())),
    "❌ MISSING SKU", "✅")</f>
        <v>✅</v>
      </c>
      <c r="X807" s="2" t="s">
        <v>1193</v>
      </c>
      <c r="Y807" s="2" t="s">
        <v>179</v>
      </c>
      <c r="Z807" s="10" t="s">
        <v>179</v>
      </c>
      <c r="AA807" s="27">
        <v>1.0</v>
      </c>
      <c r="AB807" s="9" t="s">
        <v>8649</v>
      </c>
      <c r="AC807" s="28">
        <f t="array" ref="AC807">XLOOKUP(V807,products_master_corrected!$A$2:$A$151,products_master_corrected!$E$2:$E$151)</f>
        <v>26.73</v>
      </c>
      <c r="AD807" s="28">
        <f t="shared" si="88"/>
        <v>26.73</v>
      </c>
      <c r="AE807" s="28">
        <f t="array" ref="AE807">XLOOKUP(V807,products_master_corrected!$A$2:$A$151,products_master_corrected!$K$2:$K$151)</f>
        <v>137.53</v>
      </c>
      <c r="AF807" s="29">
        <f t="shared" si="89"/>
        <v>137.53</v>
      </c>
      <c r="AG807" s="30" t="s">
        <v>95</v>
      </c>
      <c r="AH807" s="2" t="s">
        <v>49</v>
      </c>
      <c r="AI807" s="10" t="s">
        <v>49</v>
      </c>
      <c r="AJ807" s="2" t="s">
        <v>442</v>
      </c>
      <c r="AK807" s="10" t="s">
        <v>80</v>
      </c>
      <c r="AL807" s="2" t="s">
        <v>81</v>
      </c>
    </row>
    <row r="808" ht="15.75" customHeight="1">
      <c r="A808" s="2" t="s">
        <v>864</v>
      </c>
      <c r="B808" s="12">
        <v>45527.0</v>
      </c>
      <c r="C808" s="2" t="str">
        <f>IFERROR(__xludf.DUMMYFUNCTION("IF(ISNUMBER(B808),TEXT(B808,""yyyy-MM-dd""),REGEXREPLACE(REGEXREPLACE(TO_TEXT(B808),""[^0-9a-zA-Z]+"",""-""),""[^0-9]*$"",""""))"),"2024-08-23")</f>
        <v>2024-08-23</v>
      </c>
      <c r="D808" s="2" t="s">
        <v>7892</v>
      </c>
      <c r="H808" s="10" t="s">
        <v>7892</v>
      </c>
      <c r="I808" s="2" t="s">
        <v>866</v>
      </c>
      <c r="J808" s="26" t="str">
        <f t="array" ref="J808">IF(ISNA(XLOOKUP(I808,customers_clean!$A$2:$A$701,customers_clean!$A$2:$A$701, NA()) ),
   "❌ MISSING CUSTOMER", "✅")</f>
        <v>✅</v>
      </c>
      <c r="K808" s="2" t="str">
        <f t="array" ref="K808">XLOOKUP(I808,customers_clean!$A$2:$A$701,customers_clean!$C$2:$C$701)</f>
        <v>Igor Lee</v>
      </c>
      <c r="L808" s="10" t="str">
        <f t="array" ref="L808">XLOOKUP(I808,customers_clean!$A$2:$A$701,customers_clean!$D$2:$D$701)</f>
        <v>Igor Lee</v>
      </c>
      <c r="M808" s="2" t="str">
        <f t="array" ref="M808">XLOOKUP(I808,customers_clean!$A$2:$A$701,customers_clean!$I$2:$I$701)</f>
        <v>igor.lee@shop.io</v>
      </c>
      <c r="N808" s="10" t="str">
        <f t="array" ref="N808">XLOOKUP(I808,customers_clean!$A$2:$A$701,customers_clean!$H$2:$H$701)</f>
        <v>igor.lee@shop.io</v>
      </c>
      <c r="O808" s="9" t="str">
        <f>IFERROR(__xludf.DUMMYFUNCTION("IF(REGEXMATCH(TRIM(N808),""^[A-Za-z0-9._%+-]+@[A-Za-z0-9.-]+\.[A-Za-z]{2,}$""),""✅ Valid"",""❌ Invalid"")"),"✅ Valid")</f>
        <v>✅ Valid</v>
      </c>
      <c r="P808" s="33" t="str">
        <f t="array" ref="P808">XLOOKUP(I808,customers_clean!$A$2:$A$701,customers_clean!$K$2:$K$701)</f>
        <v>N/A</v>
      </c>
      <c r="Q808" s="10" t="str">
        <f t="array" ref="Q808">XLOOKUP(I808,customers_clean!$A$2:$A$701,customers_clean!$N$2:$N$701)</f>
        <v/>
      </c>
      <c r="R808" s="9" t="str">
        <f t="array" ref="R808">XLOOKUP(I808,customers_clean!$A$2:$A$701,customers_clean!$Q$2:$Q$701)</f>
        <v>❌ INVALID</v>
      </c>
      <c r="S808" s="10" t="s">
        <v>25</v>
      </c>
      <c r="T808" s="2" t="s">
        <v>59</v>
      </c>
      <c r="U808" s="2" t="s">
        <v>870</v>
      </c>
      <c r="V808" s="2" t="s">
        <v>871</v>
      </c>
      <c r="W808" s="9" t="str">
        <f t="array" ref="W808">IF(ISNA(XLOOKUP(V808,products_master_corrected!$A$2:$A$151,products_master_corrected!$A$2:$A$151, NA())),
    "❌ MISSING SKU", "✅")</f>
        <v>✅</v>
      </c>
      <c r="X808" s="2" t="s">
        <v>29</v>
      </c>
      <c r="Y808" s="2" t="s">
        <v>292</v>
      </c>
      <c r="Z808" s="10" t="s">
        <v>63</v>
      </c>
      <c r="AA808" s="27">
        <v>5.0</v>
      </c>
      <c r="AB808" s="9" t="s">
        <v>8649</v>
      </c>
      <c r="AC808" s="28">
        <f t="array" ref="AC808">XLOOKUP(V808,products_master_corrected!$A$2:$A$151,products_master_corrected!$E$2:$E$151)</f>
        <v>178.58</v>
      </c>
      <c r="AD808" s="28">
        <f t="shared" si="88"/>
        <v>892.9</v>
      </c>
      <c r="AE808" s="28">
        <f t="array" ref="AE808">XLOOKUP(V808,products_master_corrected!$A$2:$A$151,products_master_corrected!$K$2:$K$151)</f>
        <v>918.79</v>
      </c>
      <c r="AF808" s="29">
        <f t="shared" si="89"/>
        <v>4593.95</v>
      </c>
      <c r="AG808" s="30" t="s">
        <v>95</v>
      </c>
      <c r="AH808" s="2" t="s">
        <v>33</v>
      </c>
      <c r="AI808" s="10" t="s">
        <v>181</v>
      </c>
      <c r="AJ808" s="2" t="s">
        <v>251</v>
      </c>
      <c r="AK808" s="10" t="s">
        <v>192</v>
      </c>
      <c r="AL808" s="2" t="s">
        <v>133</v>
      </c>
    </row>
    <row r="809" ht="15.75" customHeight="1">
      <c r="A809" s="2" t="s">
        <v>4071</v>
      </c>
      <c r="B809" s="12" t="s">
        <v>4072</v>
      </c>
      <c r="C809" s="2" t="str">
        <f>IFERROR(__xludf.DUMMYFUNCTION("IF(ISNUMBER(B809),TEXT(B809,""yyyy-MM-dd""),REGEXREPLACE(REGEXREPLACE(TO_TEXT(B809),""[^0-9a-zA-Z]+"",""-""),""[^0-9]*$"",""""))"),"03-29-2023-08-43")</f>
        <v>03-29-2023-08-43</v>
      </c>
      <c r="D809" s="2" t="str">
        <f>TEXT(C809,"yyyy-MM-dd")</f>
        <v>03-29-2023-08-43</v>
      </c>
      <c r="E809" s="12" t="str">
        <f>IFERROR(__xludf.DUMMYFUNCTION("REGEXEXTRACT(D809,""^\d{2}-\d{2}-\d{4}"")"),"03-29-2023")</f>
        <v>03-29-2023</v>
      </c>
      <c r="F809" s="2" t="str">
        <f>TEXT(E809,"yyyy-MM-dd")</f>
        <v>03-29-2023</v>
      </c>
      <c r="G809" s="2" t="s">
        <v>8801</v>
      </c>
      <c r="H809" s="10" t="s">
        <v>8801</v>
      </c>
      <c r="I809" s="2" t="s">
        <v>866</v>
      </c>
      <c r="J809" s="26" t="str">
        <f t="array" ref="J809">IF(ISNA(XLOOKUP(I809,customers_clean!$A$2:$A$701,customers_clean!$A$2:$A$701, NA()) ),
   "❌ MISSING CUSTOMER", "✅")</f>
        <v>✅</v>
      </c>
      <c r="K809" s="2" t="str">
        <f t="array" ref="K809">XLOOKUP(I809,customers_clean!$A$2:$A$701,customers_clean!$C$2:$C$701)</f>
        <v>Igor Lee</v>
      </c>
      <c r="L809" s="10" t="str">
        <f t="array" ref="L809">XLOOKUP(I809,customers_clean!$A$2:$A$701,customers_clean!$D$2:$D$701)</f>
        <v>Igor Lee</v>
      </c>
      <c r="M809" s="2" t="str">
        <f t="array" ref="M809">XLOOKUP(I809,customers_clean!$A$2:$A$701,customers_clean!$I$2:$I$701)</f>
        <v>igor.lee@shop.io</v>
      </c>
      <c r="N809" s="10" t="str">
        <f t="array" ref="N809">XLOOKUP(I809,customers_clean!$A$2:$A$701,customers_clean!$H$2:$H$701)</f>
        <v>igor.lee@shop.io</v>
      </c>
      <c r="O809" s="9" t="str">
        <f>IFERROR(__xludf.DUMMYFUNCTION("IF(REGEXMATCH(TRIM(N809),""^[A-Za-z0-9._%+-]+@[A-Za-z0-9.-]+\.[A-Za-z]{2,}$""),""✅ Valid"",""❌ Invalid"")"),"✅ Valid")</f>
        <v>✅ Valid</v>
      </c>
      <c r="P809" s="33" t="str">
        <f t="array" ref="P809">XLOOKUP(I809,customers_clean!$A$2:$A$701,customers_clean!$K$2:$K$701)</f>
        <v>N/A</v>
      </c>
      <c r="Q809" s="10" t="str">
        <f t="array" ref="Q809">XLOOKUP(I809,customers_clean!$A$2:$A$701,customers_clean!$N$2:$N$701)</f>
        <v/>
      </c>
      <c r="R809" s="9" t="str">
        <f t="array" ref="R809">XLOOKUP(I809,customers_clean!$A$2:$A$701,customers_clean!$Q$2:$Q$701)</f>
        <v>❌ INVALID</v>
      </c>
      <c r="S809" s="10" t="s">
        <v>25</v>
      </c>
      <c r="T809" s="2" t="s">
        <v>460</v>
      </c>
      <c r="U809" s="2" t="s">
        <v>352</v>
      </c>
      <c r="V809" s="2" t="s">
        <v>852</v>
      </c>
      <c r="W809" s="9" t="str">
        <f t="array" ref="W809">IF(ISNA(XLOOKUP(V809,products_master_corrected!$A$2:$A$151,products_master_corrected!$A$2:$A$151, NA())),
    "❌ MISSING SKU", "✅")</f>
        <v>✅</v>
      </c>
      <c r="X809" s="2" t="s">
        <v>213</v>
      </c>
      <c r="Y809" s="2" t="s">
        <v>167</v>
      </c>
      <c r="Z809" s="10" t="str">
        <f>PROPER(TRIM(Y809))</f>
        <v>Monitors</v>
      </c>
      <c r="AA809" s="27">
        <v>1.0</v>
      </c>
      <c r="AB809" s="9" t="s">
        <v>8649</v>
      </c>
      <c r="AC809" s="28">
        <f t="array" ref="AC809">XLOOKUP(V809,products_master_corrected!$A$2:$A$151,products_master_corrected!$E$2:$E$151)</f>
        <v>1114.6</v>
      </c>
      <c r="AD809" s="28">
        <f t="shared" si="88"/>
        <v>1114.6</v>
      </c>
      <c r="AE809" s="28">
        <f t="array" ref="AE809">XLOOKUP(V809,products_master_corrected!$A$2:$A$151,products_master_corrected!$K$2:$K$151)</f>
        <v>5734.62</v>
      </c>
      <c r="AF809" s="29">
        <f t="shared" si="89"/>
        <v>5734.62</v>
      </c>
      <c r="AG809" s="30" t="s">
        <v>95</v>
      </c>
      <c r="AH809" s="2" t="s">
        <v>370</v>
      </c>
      <c r="AI809" s="10" t="s">
        <v>143</v>
      </c>
      <c r="AJ809" s="2" t="s">
        <v>192</v>
      </c>
      <c r="AK809" s="10" t="s">
        <v>192</v>
      </c>
      <c r="AL809" s="2" t="s">
        <v>133</v>
      </c>
    </row>
    <row r="810" ht="15.75" customHeight="1">
      <c r="A810" s="2" t="s">
        <v>5994</v>
      </c>
      <c r="B810" s="12" t="s">
        <v>5995</v>
      </c>
      <c r="C810" s="2" t="str">
        <f>IFERROR(__xludf.DUMMYFUNCTION("IF(ISNUMBER(B810),TEXT(B810,""yyyy-MM-dd""),REGEXREPLACE(REGEXREPLACE(TO_TEXT(B810),""[^0-9a-zA-Z]+"",""-""),""[^0-9]*$"",""""))"),"04-09-2025")</f>
        <v>04-09-2025</v>
      </c>
      <c r="D810" s="2" t="s">
        <v>3341</v>
      </c>
      <c r="H810" s="10" t="s">
        <v>3341</v>
      </c>
      <c r="I810" s="2" t="s">
        <v>3292</v>
      </c>
      <c r="J810" s="26" t="str">
        <f t="array" ref="J810">IF(ISNA(XLOOKUP(I810,customers_clean!$A$2:$A$701,customers_clean!$A$2:$A$701, NA()) ),
   "❌ MISSING CUSTOMER", "✅")</f>
        <v>✅</v>
      </c>
      <c r="K810" s="2" t="str">
        <f t="array" ref="K810">XLOOKUP(I810,customers_clean!$A$2:$A$701,customers_clean!$C$2:$C$701)</f>
        <v>Bella Young</v>
      </c>
      <c r="L810" s="10" t="str">
        <f t="array" ref="L810">XLOOKUP(I810,customers_clean!$A$2:$A$701,customers_clean!$D$2:$D$701)</f>
        <v>Bella Young</v>
      </c>
      <c r="M810" s="2" t="str">
        <f t="array" ref="M810">XLOOKUP(I810,customers_clean!$A$2:$A$701,customers_clean!$I$2:$I$701)</f>
        <v>bella.young@example.com </v>
      </c>
      <c r="N810" s="10" t="str">
        <f t="array" ref="N810">XLOOKUP(I810,customers_clean!$A$2:$A$701,customers_clean!$H$2:$H$701)</f>
        <v>bella.young@example.com</v>
      </c>
      <c r="O810" s="9" t="str">
        <f>IFERROR(__xludf.DUMMYFUNCTION("IF(REGEXMATCH(TRIM(N810),""^[A-Za-z0-9._%+-]+@[A-Za-z0-9.-]+\.[A-Za-z]{2,}$""),""✅ Valid"",""❌ Invalid"")"),"✅ Valid")</f>
        <v>✅ Valid</v>
      </c>
      <c r="P810" s="2" t="str">
        <f t="array" ref="P810">XLOOKUP(I810,customers_clean!$A$2:$A$701,customers_clean!$K$2:$K$701)</f>
        <v>40x7206429</v>
      </c>
      <c r="Q810" s="10" t="str">
        <f t="array" ref="Q810">XLOOKUP(I810,customers_clean!$A$2:$A$701,customers_clean!$N$2:$N$701)</f>
        <v>407206429</v>
      </c>
      <c r="R810" s="9" t="str">
        <f t="array" ref="R810">XLOOKUP(I810,customers_clean!$A$2:$A$701,customers_clean!$Q$2:$Q$701)</f>
        <v>❌ INVALID</v>
      </c>
      <c r="S810" s="10" t="s">
        <v>25</v>
      </c>
      <c r="T810" s="2" t="s">
        <v>210</v>
      </c>
      <c r="U810" s="2" t="s">
        <v>480</v>
      </c>
      <c r="V810" s="2" t="s">
        <v>3172</v>
      </c>
      <c r="W810" s="9" t="str">
        <f t="array" ref="W810">IF(ISNA(XLOOKUP(V810,products_master_corrected!$A$2:$A$151,products_master_corrected!$A$2:$A$151, NA())),
    "❌ MISSING SKU", "✅")</f>
        <v>✅</v>
      </c>
      <c r="X810" s="2" t="s">
        <v>8765</v>
      </c>
      <c r="Y810" s="2" t="s">
        <v>355</v>
      </c>
      <c r="Z810" s="10" t="s">
        <v>355</v>
      </c>
      <c r="AA810" s="27">
        <v>3.0</v>
      </c>
      <c r="AB810" s="9" t="s">
        <v>8649</v>
      </c>
      <c r="AC810" s="28">
        <f t="array" ref="AC810">XLOOKUP(V810,products_master_corrected!$A$2:$A$151,products_master_corrected!$E$2:$E$151)</f>
        <v>107.38</v>
      </c>
      <c r="AD810" s="28">
        <f t="shared" si="88"/>
        <v>322.14</v>
      </c>
      <c r="AE810" s="28">
        <f t="array" ref="AE810">XLOOKUP(V810,products_master_corrected!$A$2:$A$151,products_master_corrected!$K$2:$K$151)</f>
        <v>552.47</v>
      </c>
      <c r="AF810" s="29">
        <f t="shared" si="89"/>
        <v>1657.41</v>
      </c>
      <c r="AG810" s="30" t="s">
        <v>95</v>
      </c>
      <c r="AH810" s="2" t="s">
        <v>66</v>
      </c>
      <c r="AI810" s="10" t="s">
        <v>66</v>
      </c>
      <c r="AJ810" s="2" t="s">
        <v>192</v>
      </c>
      <c r="AK810" s="10" t="s">
        <v>192</v>
      </c>
      <c r="AL810" s="2" t="s">
        <v>51</v>
      </c>
    </row>
    <row r="811" ht="15.75" customHeight="1">
      <c r="A811" s="2" t="s">
        <v>4341</v>
      </c>
      <c r="B811" s="12">
        <v>45548.43541666667</v>
      </c>
      <c r="C811" s="2" t="str">
        <f>IFERROR(__xludf.DUMMYFUNCTION("IF(ISNUMBER(B811),TEXT(B811,""yyyy-MM-dd""),REGEXREPLACE(REGEXREPLACE(TO_TEXT(B811),""[^0-9a-zA-Z]+"",""-""),""[^0-9]*$"",""""))"),"2024-09-13")</f>
        <v>2024-09-13</v>
      </c>
      <c r="D811" s="2" t="s">
        <v>7732</v>
      </c>
      <c r="H811" s="10" t="s">
        <v>7732</v>
      </c>
      <c r="I811" s="2" t="s">
        <v>3292</v>
      </c>
      <c r="J811" s="26" t="str">
        <f t="array" ref="J811">IF(ISNA(XLOOKUP(I811,customers_clean!$A$2:$A$701,customers_clean!$A$2:$A$701, NA()) ),
   "❌ MISSING CUSTOMER", "✅")</f>
        <v>✅</v>
      </c>
      <c r="K811" s="2" t="str">
        <f t="array" ref="K811">XLOOKUP(I811,customers_clean!$A$2:$A$701,customers_clean!$C$2:$C$701)</f>
        <v>Bella Young</v>
      </c>
      <c r="L811" s="10" t="str">
        <f t="array" ref="L811">XLOOKUP(I811,customers_clean!$A$2:$A$701,customers_clean!$D$2:$D$701)</f>
        <v>Bella Young</v>
      </c>
      <c r="M811" s="2" t="str">
        <f t="array" ref="M811">XLOOKUP(I811,customers_clean!$A$2:$A$701,customers_clean!$I$2:$I$701)</f>
        <v>bella.young@example.com </v>
      </c>
      <c r="N811" s="10" t="str">
        <f t="array" ref="N811">XLOOKUP(I811,customers_clean!$A$2:$A$701,customers_clean!$H$2:$H$701)</f>
        <v>bella.young@example.com</v>
      </c>
      <c r="O811" s="9" t="str">
        <f>IFERROR(__xludf.DUMMYFUNCTION("IF(REGEXMATCH(TRIM(N811),""^[A-Za-z0-9._%+-]+@[A-Za-z0-9.-]+\.[A-Za-z]{2,}$""),""✅ Valid"",""❌ Invalid"")"),"✅ Valid")</f>
        <v>✅ Valid</v>
      </c>
      <c r="P811" s="2" t="str">
        <f t="array" ref="P811">XLOOKUP(I811,customers_clean!$A$2:$A$701,customers_clean!$K$2:$K$701)</f>
        <v>40x7206429</v>
      </c>
      <c r="Q811" s="10" t="str">
        <f t="array" ref="Q811">XLOOKUP(I811,customers_clean!$A$2:$A$701,customers_clean!$N$2:$N$701)</f>
        <v>407206429</v>
      </c>
      <c r="R811" s="9" t="str">
        <f t="array" ref="R811">XLOOKUP(I811,customers_clean!$A$2:$A$701,customers_clean!$Q$2:$Q$701)</f>
        <v>❌ INVALID</v>
      </c>
      <c r="S811" s="10" t="s">
        <v>25</v>
      </c>
      <c r="T811" s="2" t="s">
        <v>223</v>
      </c>
      <c r="U811" s="2" t="s">
        <v>75</v>
      </c>
      <c r="V811" s="2" t="s">
        <v>439</v>
      </c>
      <c r="W811" s="9" t="str">
        <f t="array" ref="W811">IF(ISNA(XLOOKUP(V811,products_master_corrected!$A$2:$A$151,products_master_corrected!$A$2:$A$151, NA())),
    "❌ MISSING SKU", "✅")</f>
        <v>✅</v>
      </c>
      <c r="X811" s="2" t="s">
        <v>440</v>
      </c>
      <c r="Y811" s="2" t="s">
        <v>63</v>
      </c>
      <c r="Z811" s="10" t="s">
        <v>63</v>
      </c>
      <c r="AA811" s="27">
        <v>1.0</v>
      </c>
      <c r="AB811" s="9" t="s">
        <v>8649</v>
      </c>
      <c r="AC811" s="28">
        <f t="array" ref="AC811">XLOOKUP(V811,products_master_corrected!$A$2:$A$151,products_master_corrected!$E$2:$E$151)</f>
        <v>70.84</v>
      </c>
      <c r="AD811" s="28">
        <f t="shared" si="88"/>
        <v>70.84</v>
      </c>
      <c r="AE811" s="28">
        <f t="array" ref="AE811">XLOOKUP(V811,products_master_corrected!$A$2:$A$151,products_master_corrected!$K$2:$K$151)</f>
        <v>364.47</v>
      </c>
      <c r="AF811" s="29">
        <f t="shared" si="89"/>
        <v>364.47</v>
      </c>
      <c r="AG811" s="30" t="s">
        <v>95</v>
      </c>
      <c r="AH811" s="2" t="s">
        <v>4344</v>
      </c>
      <c r="AI811" s="10" t="s">
        <v>49</v>
      </c>
      <c r="AJ811" s="2" t="s">
        <v>345</v>
      </c>
      <c r="AK811" s="10" t="s">
        <v>261</v>
      </c>
      <c r="AL811" s="2" t="s">
        <v>133</v>
      </c>
    </row>
    <row r="812" ht="15.75" customHeight="1">
      <c r="A812" s="2" t="s">
        <v>3290</v>
      </c>
      <c r="B812" s="12">
        <v>45563.0</v>
      </c>
      <c r="C812" s="2" t="str">
        <f>IFERROR(__xludf.DUMMYFUNCTION("IF(ISNUMBER(B812),TEXT(B812,""yyyy-MM-dd""),REGEXREPLACE(REGEXREPLACE(TO_TEXT(B812),""[^0-9a-zA-Z]+"",""-""),""[^0-9]*$"",""""))"),"2024-09-28")</f>
        <v>2024-09-28</v>
      </c>
      <c r="D812" s="2" t="s">
        <v>8948</v>
      </c>
      <c r="H812" s="10" t="s">
        <v>8948</v>
      </c>
      <c r="I812" s="2" t="s">
        <v>3292</v>
      </c>
      <c r="J812" s="26" t="str">
        <f t="array" ref="J812">IF(ISNA(XLOOKUP(I812,customers_clean!$A$2:$A$701,customers_clean!$A$2:$A$701, NA()) ),
   "❌ MISSING CUSTOMER", "✅")</f>
        <v>✅</v>
      </c>
      <c r="K812" s="2" t="str">
        <f t="array" ref="K812">XLOOKUP(I812,customers_clean!$A$2:$A$701,customers_clean!$C$2:$C$701)</f>
        <v>Bella Young</v>
      </c>
      <c r="L812" s="10" t="str">
        <f t="array" ref="L812">XLOOKUP(I812,customers_clean!$A$2:$A$701,customers_clean!$D$2:$D$701)</f>
        <v>Bella Young</v>
      </c>
      <c r="M812" s="2" t="str">
        <f t="array" ref="M812">XLOOKUP(I812,customers_clean!$A$2:$A$701,customers_clean!$I$2:$I$701)</f>
        <v>bella.young@example.com </v>
      </c>
      <c r="N812" s="10" t="str">
        <f t="array" ref="N812">XLOOKUP(I812,customers_clean!$A$2:$A$701,customers_clean!$H$2:$H$701)</f>
        <v>bella.young@example.com</v>
      </c>
      <c r="O812" s="9" t="str">
        <f>IFERROR(__xludf.DUMMYFUNCTION("IF(REGEXMATCH(TRIM(N812),""^[A-Za-z0-9._%+-]+@[A-Za-z0-9.-]+\.[A-Za-z]{2,}$""),""✅ Valid"",""❌ Invalid"")"),"✅ Valid")</f>
        <v>✅ Valid</v>
      </c>
      <c r="P812" s="2" t="str">
        <f t="array" ref="P812">XLOOKUP(I812,customers_clean!$A$2:$A$701,customers_clean!$K$2:$K$701)</f>
        <v>40x7206429</v>
      </c>
      <c r="Q812" s="10" t="str">
        <f t="array" ref="Q812">XLOOKUP(I812,customers_clean!$A$2:$A$701,customers_clean!$N$2:$N$701)</f>
        <v>407206429</v>
      </c>
      <c r="R812" s="9" t="str">
        <f t="array" ref="R812">XLOOKUP(I812,customers_clean!$A$2:$A$701,customers_clean!$Q$2:$Q$701)</f>
        <v>❌ INVALID</v>
      </c>
      <c r="S812" s="10" t="s">
        <v>25</v>
      </c>
      <c r="T812" s="2" t="s">
        <v>1167</v>
      </c>
      <c r="U812" s="2" t="s">
        <v>480</v>
      </c>
      <c r="V812" s="2" t="s">
        <v>803</v>
      </c>
      <c r="W812" s="9" t="str">
        <f t="array" ref="W812">IF(ISNA(XLOOKUP(V812,products_master_corrected!$A$2:$A$151,products_master_corrected!$A$2:$A$151, NA())),
    "❌ MISSING SKU", "✅")</f>
        <v>✅</v>
      </c>
      <c r="X812" s="2" t="s">
        <v>804</v>
      </c>
      <c r="Y812" s="2" t="s">
        <v>805</v>
      </c>
      <c r="Z812" s="10" t="s">
        <v>355</v>
      </c>
      <c r="AA812" s="27">
        <v>1.0</v>
      </c>
      <c r="AB812" s="9" t="s">
        <v>8649</v>
      </c>
      <c r="AC812" s="28">
        <f t="array" ref="AC812">XLOOKUP(V812,products_master_corrected!$A$2:$A$151,products_master_corrected!$E$2:$E$151)</f>
        <v>20.39</v>
      </c>
      <c r="AD812" s="28">
        <f t="shared" si="88"/>
        <v>20.39</v>
      </c>
      <c r="AE812" s="28">
        <f t="array" ref="AE812">XLOOKUP(V812,products_master_corrected!$A$2:$A$151,products_master_corrected!$K$2:$K$151)</f>
        <v>104.91</v>
      </c>
      <c r="AF812" s="29">
        <f t="shared" si="89"/>
        <v>104.91</v>
      </c>
      <c r="AG812" s="30" t="s">
        <v>95</v>
      </c>
      <c r="AH812" s="2" t="s">
        <v>66</v>
      </c>
      <c r="AI812" s="10" t="s">
        <v>66</v>
      </c>
      <c r="AJ812" s="2" t="s">
        <v>192</v>
      </c>
      <c r="AK812" s="10" t="s">
        <v>192</v>
      </c>
      <c r="AL812" s="2" t="s">
        <v>51</v>
      </c>
    </row>
    <row r="813" ht="15.75" customHeight="1">
      <c r="A813" s="2" t="s">
        <v>4220</v>
      </c>
      <c r="B813" s="12">
        <v>45516.72361111111</v>
      </c>
      <c r="C813" s="2" t="str">
        <f>IFERROR(__xludf.DUMMYFUNCTION("IF(ISNUMBER(B813),TEXT(B813,""yyyy-MM-dd""),REGEXREPLACE(REGEXREPLACE(TO_TEXT(B813),""[^0-9a-zA-Z]+"",""-""),""[^0-9]*$"",""""))"),"2024-08-12")</f>
        <v>2024-08-12</v>
      </c>
      <c r="D813" s="2" t="s">
        <v>8921</v>
      </c>
      <c r="H813" s="10" t="s">
        <v>8921</v>
      </c>
      <c r="I813" s="2" t="s">
        <v>4222</v>
      </c>
      <c r="J813" s="26" t="str">
        <f t="array" ref="J813">IF(ISNA(XLOOKUP(I813,customers_clean!$A$2:$A$701,customers_clean!$A$2:$A$701, NA()) ),
   "❌ MISSING CUSTOMER", "✅")</f>
        <v>✅</v>
      </c>
      <c r="K813" s="2" t="str">
        <f t="array" ref="K813">XLOOKUP(I813,customers_clean!$A$2:$A$701,customers_clean!$C$2:$C$701)</f>
        <v>DARIA YOUNG</v>
      </c>
      <c r="L813" s="10" t="str">
        <f t="array" ref="L813">XLOOKUP(I813,customers_clean!$A$2:$A$701,customers_clean!$D$2:$D$701)</f>
        <v>Daria Young</v>
      </c>
      <c r="M813" s="2" t="str">
        <f t="array" ref="M813">XLOOKUP(I813,customers_clean!$A$2:$A$701,customers_clean!$I$2:$I$701)</f>
        <v>daria.young@yahoo.com </v>
      </c>
      <c r="N813" s="10" t="str">
        <f t="array" ref="N813">XLOOKUP(I813,customers_clean!$A$2:$A$701,customers_clean!$H$2:$H$701)</f>
        <v>daria.young@yahoo.com</v>
      </c>
      <c r="O813" s="9" t="str">
        <f>IFERROR(__xludf.DUMMYFUNCTION("IF(REGEXMATCH(TRIM(N813),""^[A-Za-z0-9._%+-]+@[A-Za-z0-9.-]+\.[A-Za-z]{2,}$""),""✅ Valid"",""❌ Invalid"")"),"✅ Valid")</f>
        <v>✅ Valid</v>
      </c>
      <c r="P813" s="2">
        <f t="array" ref="P813">XLOOKUP(I813,customers_clean!$A$2:$A$701,customers_clean!$K$2:$K$701)</f>
        <v>50481394855</v>
      </c>
      <c r="Q813" s="10" t="str">
        <f t="array" ref="Q813">XLOOKUP(I813,customers_clean!$A$2:$A$701,customers_clean!$N$2:$N$701)</f>
        <v>50481394855</v>
      </c>
      <c r="R813" s="9" t="str">
        <f t="array" ref="R813">XLOOKUP(I813,customers_clean!$A$2:$A$701,customers_clean!$Q$2:$Q$701)</f>
        <v>❌ INVALID</v>
      </c>
      <c r="S813" s="10" t="s">
        <v>58</v>
      </c>
      <c r="T813" s="2" t="s">
        <v>301</v>
      </c>
      <c r="U813" s="2" t="s">
        <v>176</v>
      </c>
      <c r="V813" s="2" t="s">
        <v>224</v>
      </c>
      <c r="W813" s="9" t="str">
        <f t="array" ref="W813">IF(ISNA(XLOOKUP(V813,products_master_corrected!$A$2:$A$151,products_master_corrected!$A$2:$A$151, NA())),
    "❌ MISSING SKU", "✅")</f>
        <v>✅</v>
      </c>
      <c r="X813" s="2" t="s">
        <v>225</v>
      </c>
      <c r="Y813" s="2" t="s">
        <v>214</v>
      </c>
      <c r="Z813" s="10" t="s">
        <v>368</v>
      </c>
      <c r="AA813" s="27">
        <v>2.0</v>
      </c>
      <c r="AB813" s="9" t="s">
        <v>8649</v>
      </c>
      <c r="AC813" s="28">
        <f t="array" ref="AC813">XLOOKUP(V813,products_master_corrected!$A$2:$A$151,products_master_corrected!$E$2:$E$151)</f>
        <v>19.28</v>
      </c>
      <c r="AD813" s="28">
        <f t="shared" si="88"/>
        <v>38.56</v>
      </c>
      <c r="AE813" s="28">
        <f t="array" ref="AE813">XLOOKUP(V813,products_master_corrected!$A$2:$A$151,products_master_corrected!$G$2:$G$151)</f>
        <v>22.07</v>
      </c>
      <c r="AF813" s="29">
        <f t="shared" si="89"/>
        <v>44.14</v>
      </c>
      <c r="AG813" s="32" t="s">
        <v>8663</v>
      </c>
      <c r="AH813" s="2" t="s">
        <v>4226</v>
      </c>
      <c r="AI813" s="10" t="s">
        <v>49</v>
      </c>
      <c r="AJ813" s="2" t="s">
        <v>432</v>
      </c>
      <c r="AK813" s="10" t="s">
        <v>80</v>
      </c>
    </row>
    <row r="814" ht="15.75" customHeight="1">
      <c r="A814" s="2" t="s">
        <v>5565</v>
      </c>
      <c r="B814" s="12">
        <v>45815.0</v>
      </c>
      <c r="C814" s="2" t="str">
        <f>IFERROR(__xludf.DUMMYFUNCTION("IF(ISNUMBER(B814),TEXT(B814,""yyyy-MM-dd""),REGEXREPLACE(REGEXREPLACE(TO_TEXT(B814),""[^0-9a-zA-Z]+"",""-""),""[^0-9]*$"",""""))"),"2025-06-07")</f>
        <v>2025-06-07</v>
      </c>
      <c r="D814" s="2" t="s">
        <v>8224</v>
      </c>
      <c r="H814" s="10" t="s">
        <v>8224</v>
      </c>
      <c r="I814" s="2" t="s">
        <v>4222</v>
      </c>
      <c r="J814" s="26" t="str">
        <f t="array" ref="J814">IF(ISNA(XLOOKUP(I814,customers_clean!$A$2:$A$701,customers_clean!$A$2:$A$701, NA()) ),
   "❌ MISSING CUSTOMER", "✅")</f>
        <v>✅</v>
      </c>
      <c r="K814" s="2" t="str">
        <f t="array" ref="K814">XLOOKUP(I814,customers_clean!$A$2:$A$701,customers_clean!$C$2:$C$701)</f>
        <v>DARIA YOUNG</v>
      </c>
      <c r="L814" s="10" t="str">
        <f t="array" ref="L814">XLOOKUP(I814,customers_clean!$A$2:$A$701,customers_clean!$D$2:$D$701)</f>
        <v>Daria Young</v>
      </c>
      <c r="M814" s="2" t="str">
        <f t="array" ref="M814">XLOOKUP(I814,customers_clean!$A$2:$A$701,customers_clean!$I$2:$I$701)</f>
        <v>daria.young@yahoo.com </v>
      </c>
      <c r="N814" s="10" t="str">
        <f t="array" ref="N814">XLOOKUP(I814,customers_clean!$A$2:$A$701,customers_clean!$H$2:$H$701)</f>
        <v>daria.young@yahoo.com</v>
      </c>
      <c r="O814" s="9" t="str">
        <f>IFERROR(__xludf.DUMMYFUNCTION("IF(REGEXMATCH(TRIM(N814),""^[A-Za-z0-9._%+-]+@[A-Za-z0-9.-]+\.[A-Za-z]{2,}$""),""✅ Valid"",""❌ Invalid"")"),"✅ Valid")</f>
        <v>✅ Valid</v>
      </c>
      <c r="P814" s="2">
        <f t="array" ref="P814">XLOOKUP(I814,customers_clean!$A$2:$A$701,customers_clean!$K$2:$K$701)</f>
        <v>50481394855</v>
      </c>
      <c r="Q814" s="10" t="str">
        <f t="array" ref="Q814">XLOOKUP(I814,customers_clean!$A$2:$A$701,customers_clean!$N$2:$N$701)</f>
        <v>50481394855</v>
      </c>
      <c r="R814" s="9" t="str">
        <f t="array" ref="R814">XLOOKUP(I814,customers_clean!$A$2:$A$701,customers_clean!$Q$2:$Q$701)</f>
        <v>❌ INVALID</v>
      </c>
      <c r="S814" s="10" t="s">
        <v>58</v>
      </c>
      <c r="T814" s="2" t="s">
        <v>42</v>
      </c>
      <c r="U814" s="2" t="s">
        <v>43</v>
      </c>
      <c r="V814" s="2" t="s">
        <v>609</v>
      </c>
      <c r="W814" s="9" t="str">
        <f t="array" ref="W814">IF(ISNA(XLOOKUP(V814,products_master_corrected!$A$2:$A$151,products_master_corrected!$A$2:$A$151, NA())),
    "❌ MISSING SKU", "✅")</f>
        <v>✅</v>
      </c>
      <c r="X814" s="2" t="s">
        <v>259</v>
      </c>
      <c r="Y814" s="2" t="s">
        <v>610</v>
      </c>
      <c r="Z814" s="10" t="s">
        <v>179</v>
      </c>
      <c r="AA814" s="27">
        <v>1.0</v>
      </c>
      <c r="AB814" s="9" t="s">
        <v>8649</v>
      </c>
      <c r="AC814" s="28">
        <f t="array" ref="AC814">XLOOKUP(V814,products_master_corrected!$A$2:$A$151,products_master_corrected!$E$2:$E$151)</f>
        <v>32.41</v>
      </c>
      <c r="AD814" s="28">
        <f t="shared" si="88"/>
        <v>32.41</v>
      </c>
      <c r="AE814" s="28">
        <f t="array" ref="AE814">XLOOKUP(V814,products_master_corrected!$A$2:$A$151,products_master_corrected!$G$2:$G$151)</f>
        <v>37.1</v>
      </c>
      <c r="AF814" s="29">
        <f t="shared" si="89"/>
        <v>37.1</v>
      </c>
      <c r="AG814" s="32" t="s">
        <v>8663</v>
      </c>
      <c r="AH814" s="2" t="s">
        <v>181</v>
      </c>
      <c r="AI814" s="10" t="s">
        <v>181</v>
      </c>
      <c r="AJ814" s="2" t="s">
        <v>818</v>
      </c>
      <c r="AK814" s="10" t="s">
        <v>818</v>
      </c>
      <c r="AL814" s="2" t="s">
        <v>81</v>
      </c>
    </row>
    <row r="815" ht="15.75" customHeight="1">
      <c r="A815" s="2" t="s">
        <v>4805</v>
      </c>
      <c r="B815" s="12">
        <v>45775.0</v>
      </c>
      <c r="C815" s="2" t="str">
        <f>IFERROR(__xludf.DUMMYFUNCTION("IF(ISNUMBER(B815),TEXT(B815,""yyyy-MM-dd""),REGEXREPLACE(REGEXREPLACE(TO_TEXT(B815),""[^0-9a-zA-Z]+"",""-""),""[^0-9]*$"",""""))"),"2025-04-28")</f>
        <v>2025-04-28</v>
      </c>
      <c r="D815" s="2" t="s">
        <v>8949</v>
      </c>
      <c r="H815" s="10" t="s">
        <v>8949</v>
      </c>
      <c r="I815" s="2" t="s">
        <v>4162</v>
      </c>
      <c r="J815" s="26" t="str">
        <f t="array" ref="J815">IF(ISNA(XLOOKUP(I815,customers_clean!$A$2:$A$701,customers_clean!$A$2:$A$701, NA()) ),
   "❌ MISSING CUSTOMER", "✅")</f>
        <v>✅</v>
      </c>
      <c r="K815" s="2" t="str">
        <f t="array" ref="K815">XLOOKUP(I815,customers_clean!$A$2:$A$701,customers_clean!$C$2:$C$701)</f>
        <v>Sam Tyalor</v>
      </c>
      <c r="L815" s="10" t="str">
        <f t="array" ref="L815">XLOOKUP(I815,customers_clean!$A$2:$A$701,customers_clean!$D$2:$D$701)</f>
        <v>Sam Taylor</v>
      </c>
      <c r="M815" s="2" t="str">
        <f t="array" ref="M815">XLOOKUP(I815,customers_clean!$A$2:$A$701,customers_clean!$I$2:$I$701)</f>
        <v> sam.taylor@example.com</v>
      </c>
      <c r="N815" s="10" t="str">
        <f t="array" ref="N815">XLOOKUP(I815,customers_clean!$A$2:$A$701,customers_clean!$H$2:$H$701)</f>
        <v>sam.taylor@example.com</v>
      </c>
      <c r="O815" s="9" t="str">
        <f>IFERROR(__xludf.DUMMYFUNCTION("IF(REGEXMATCH(TRIM(N815),""^[A-Za-z0-9._%+-]+@[A-Za-z0-9.-]+\.[A-Za-z]{2,}$""),""✅ Valid"",""❌ Invalid"")"),"✅ Valid")</f>
        <v>✅ Valid</v>
      </c>
      <c r="P815" s="2" t="str">
        <f t="array" ref="P815">XLOOKUP(I815,customers_clean!$A$2:$A$701,customers_clean!$K$2:$K$701)</f>
        <v>tel:+39538437807</v>
      </c>
      <c r="Q815" s="10" t="str">
        <f t="array" ref="Q815">XLOOKUP(I815,customers_clean!$A$2:$A$701,customers_clean!$N$2:$N$701)</f>
        <v>538437807</v>
      </c>
      <c r="R815" s="9" t="str">
        <f t="array" ref="R815">XLOOKUP(I815,customers_clean!$A$2:$A$701,customers_clean!$Q$2:$Q$701)</f>
        <v>❌ INVALID</v>
      </c>
      <c r="S815" s="10" t="s">
        <v>25</v>
      </c>
      <c r="T815" s="2" t="s">
        <v>59</v>
      </c>
      <c r="U815" s="2" t="s">
        <v>176</v>
      </c>
      <c r="V815" s="2" t="s">
        <v>746</v>
      </c>
      <c r="W815" s="9" t="str">
        <f t="array" ref="W815">IF(ISNA(XLOOKUP(V815,products_master_corrected!$A$2:$A$151,products_master_corrected!$A$2:$A$151, NA())),
    "❌ MISSING SKU", "✅")</f>
        <v>✅</v>
      </c>
      <c r="X815" s="2" t="s">
        <v>747</v>
      </c>
      <c r="Y815" s="2" t="s">
        <v>748</v>
      </c>
      <c r="Z815" s="10" t="s">
        <v>355</v>
      </c>
      <c r="AA815" s="27">
        <v>2.0</v>
      </c>
      <c r="AB815" s="9" t="s">
        <v>8649</v>
      </c>
      <c r="AC815" s="28">
        <f t="array" ref="AC815">XLOOKUP(V815,products_master_corrected!$A$2:$A$151,products_master_corrected!$E$2:$E$151)</f>
        <v>346</v>
      </c>
      <c r="AD815" s="28">
        <f t="shared" si="88"/>
        <v>692</v>
      </c>
      <c r="AE815" s="28">
        <f t="array" ref="AE815">XLOOKUP(V815,products_master_corrected!$A$2:$A$151,products_master_corrected!$K$2:$K$151)</f>
        <v>1780.17</v>
      </c>
      <c r="AF815" s="29">
        <f t="shared" si="89"/>
        <v>3560.34</v>
      </c>
      <c r="AG815" s="30" t="s">
        <v>95</v>
      </c>
      <c r="AH815" s="2" t="s">
        <v>505</v>
      </c>
      <c r="AI815" s="10" t="s">
        <v>181</v>
      </c>
      <c r="AJ815" s="2" t="s">
        <v>306</v>
      </c>
      <c r="AK815" s="10" t="s">
        <v>192</v>
      </c>
    </row>
    <row r="816" ht="15.75" customHeight="1">
      <c r="A816" s="2" t="s">
        <v>4160</v>
      </c>
      <c r="B816" s="12">
        <v>45624.0</v>
      </c>
      <c r="C816" s="2" t="str">
        <f>IFERROR(__xludf.DUMMYFUNCTION("IF(ISNUMBER(B816),TEXT(B816,""yyyy-MM-dd""),REGEXREPLACE(REGEXREPLACE(TO_TEXT(B816),""[^0-9a-zA-Z]+"",""-""),""[^0-9]*$"",""""))"),"2024-11-28")</f>
        <v>2024-11-28</v>
      </c>
      <c r="D816" s="2" t="s">
        <v>8936</v>
      </c>
      <c r="H816" s="10" t="s">
        <v>8936</v>
      </c>
      <c r="I816" s="2" t="s">
        <v>4162</v>
      </c>
      <c r="J816" s="26" t="str">
        <f t="array" ref="J816">IF(ISNA(XLOOKUP(I816,customers_clean!$A$2:$A$701,customers_clean!$A$2:$A$701, NA()) ),
   "❌ MISSING CUSTOMER", "✅")</f>
        <v>✅</v>
      </c>
      <c r="K816" s="2" t="str">
        <f t="array" ref="K816">XLOOKUP(I816,customers_clean!$A$2:$A$701,customers_clean!$C$2:$C$701)</f>
        <v>Sam Tyalor</v>
      </c>
      <c r="L816" s="10" t="str">
        <f t="array" ref="L816">XLOOKUP(I816,customers_clean!$A$2:$A$701,customers_clean!$D$2:$D$701)</f>
        <v>Sam Taylor</v>
      </c>
      <c r="M816" s="2" t="str">
        <f t="array" ref="M816">XLOOKUP(I816,customers_clean!$A$2:$A$701,customers_clean!$I$2:$I$701)</f>
        <v> sam.taylor@example.com</v>
      </c>
      <c r="N816" s="10" t="str">
        <f t="array" ref="N816">XLOOKUP(I816,customers_clean!$A$2:$A$701,customers_clean!$H$2:$H$701)</f>
        <v>sam.taylor@example.com</v>
      </c>
      <c r="O816" s="9" t="str">
        <f>IFERROR(__xludf.DUMMYFUNCTION("IF(REGEXMATCH(TRIM(N816),""^[A-Za-z0-9._%+-]+@[A-Za-z0-9.-]+\.[A-Za-z]{2,}$""),""✅ Valid"",""❌ Invalid"")"),"✅ Valid")</f>
        <v>✅ Valid</v>
      </c>
      <c r="P816" s="2" t="str">
        <f t="array" ref="P816">XLOOKUP(I816,customers_clean!$A$2:$A$701,customers_clean!$K$2:$K$701)</f>
        <v>tel:+39538437807</v>
      </c>
      <c r="Q816" s="10" t="str">
        <f t="array" ref="Q816">XLOOKUP(I816,customers_clean!$A$2:$A$701,customers_clean!$N$2:$N$701)</f>
        <v>538437807</v>
      </c>
      <c r="R816" s="9" t="str">
        <f t="array" ref="R816">XLOOKUP(I816,customers_clean!$A$2:$A$701,customers_clean!$Q$2:$Q$701)</f>
        <v>❌ INVALID</v>
      </c>
      <c r="S816" s="10" t="s">
        <v>25</v>
      </c>
      <c r="T816" s="2" t="s">
        <v>400</v>
      </c>
      <c r="U816" s="2" t="s">
        <v>176</v>
      </c>
      <c r="V816" s="2" t="s">
        <v>439</v>
      </c>
      <c r="W816" s="9" t="str">
        <f t="array" ref="W816">IF(ISNA(XLOOKUP(V816,products_master_corrected!$A$2:$A$151,products_master_corrected!$A$2:$A$151, NA())),
    "❌ MISSING SKU", "✅")</f>
        <v>✅</v>
      </c>
      <c r="X816" s="2" t="s">
        <v>440</v>
      </c>
      <c r="Y816" s="2" t="s">
        <v>63</v>
      </c>
      <c r="Z816" s="10" t="s">
        <v>63</v>
      </c>
      <c r="AA816" s="27">
        <v>2.0</v>
      </c>
      <c r="AB816" s="9" t="s">
        <v>8649</v>
      </c>
      <c r="AC816" s="28">
        <f t="array" ref="AC816">XLOOKUP(V816,products_master_corrected!$A$2:$A$151,products_master_corrected!$E$2:$E$151)</f>
        <v>70.84</v>
      </c>
      <c r="AD816" s="28">
        <f t="shared" si="88"/>
        <v>141.68</v>
      </c>
      <c r="AE816" s="28">
        <f t="array" ref="AE816">XLOOKUP(V816,products_master_corrected!$A$2:$A$151,products_master_corrected!$K$2:$K$151)</f>
        <v>364.47</v>
      </c>
      <c r="AF816" s="29">
        <f t="shared" si="89"/>
        <v>728.94</v>
      </c>
      <c r="AG816" s="30" t="s">
        <v>95</v>
      </c>
      <c r="AH816" s="2" t="s">
        <v>33</v>
      </c>
      <c r="AI816" s="10" t="s">
        <v>181</v>
      </c>
      <c r="AJ816" s="2" t="s">
        <v>294</v>
      </c>
      <c r="AK816" s="10" t="s">
        <v>80</v>
      </c>
    </row>
    <row r="817" ht="15.75" customHeight="1">
      <c r="A817" s="2" t="s">
        <v>1953</v>
      </c>
      <c r="B817" s="12">
        <v>45120.0</v>
      </c>
      <c r="C817" s="2" t="str">
        <f>IFERROR(__xludf.DUMMYFUNCTION("IF(ISNUMBER(B817),TEXT(B817,""yyyy-MM-dd""),REGEXREPLACE(REGEXREPLACE(TO_TEXT(B817),""[^0-9a-zA-Z]+"",""-""),""[^0-9]*$"",""""))"),"2023-07-13")</f>
        <v>2023-07-13</v>
      </c>
      <c r="D817" s="2" t="s">
        <v>8156</v>
      </c>
      <c r="H817" s="10" t="s">
        <v>8156</v>
      </c>
      <c r="I817" s="2" t="s">
        <v>648</v>
      </c>
      <c r="J817" s="26" t="str">
        <f t="array" ref="J817">IF(ISNA(XLOOKUP(I817,customers_clean!$A$2:$A$701,customers_clean!$A$2:$A$701, NA()) ),
   "❌ MISSING CUSTOMER", "✅")</f>
        <v>✅</v>
      </c>
      <c r="K817" s="2" t="str">
        <f t="array" ref="K817">XLOOKUP(I817,customers_clean!$A$2:$A$701,customers_clean!$C$2:$C$701)</f>
        <v>Sam Kowalzcyk</v>
      </c>
      <c r="L817" s="10" t="str">
        <f t="array" ref="L817">XLOOKUP(I817,customers_clean!$A$2:$A$701,customers_clean!$D$2:$D$701)</f>
        <v>Sam Kowalczyk</v>
      </c>
      <c r="M817" s="2" t="str">
        <f t="array" ref="M817">XLOOKUP(I817,customers_clean!$A$2:$A$701,customers_clean!$I$2:$I$701)</f>
        <v>sam.kowalczyk@gmail.com</v>
      </c>
      <c r="N817" s="10" t="str">
        <f t="array" ref="N817">XLOOKUP(I817,customers_clean!$A$2:$A$701,customers_clean!$H$2:$H$701)</f>
        <v>sam.kowalczyk@gmail.com</v>
      </c>
      <c r="O817" s="9" t="str">
        <f>IFERROR(__xludf.DUMMYFUNCTION("IF(REGEXMATCH(TRIM(N817),""^[A-Za-z0-9._%+-]+@[A-Za-z0-9.-]+\.[A-Za-z]{2,}$""),""✅ Valid"",""❌ Invalid"")"),"✅ Valid")</f>
        <v>✅ Valid</v>
      </c>
      <c r="P817" s="2" t="str">
        <f t="array" ref="P817">XLOOKUP(I817,customers_clean!$A$2:$A$701,customers_clean!$K$2:$K$701)</f>
        <v>646319x3643</v>
      </c>
      <c r="Q817" s="10" t="str">
        <f t="array" ref="Q817">XLOOKUP(I817,customers_clean!$A$2:$A$701,customers_clean!$N$2:$N$701)</f>
        <v>6463193643</v>
      </c>
      <c r="R817" s="9" t="str">
        <f t="array" ref="R817">XLOOKUP(I817,customers_clean!$A$2:$A$701,customers_clean!$Q$2:$Q$701)</f>
        <v>❌ INVALID</v>
      </c>
      <c r="S817" s="10" t="s">
        <v>448</v>
      </c>
      <c r="T817" s="2" t="s">
        <v>115</v>
      </c>
      <c r="U817" s="2" t="s">
        <v>116</v>
      </c>
      <c r="V817" s="2" t="s">
        <v>1495</v>
      </c>
      <c r="W817" s="9" t="str">
        <f t="array" ref="W817">IF(ISNA(XLOOKUP(V817,products_master_corrected!$A$2:$A$151,products_master_corrected!$A$2:$A$151, NA())),
    "❌ MISSING SKU", "✅")</f>
        <v>✅</v>
      </c>
      <c r="X817" s="2" t="s">
        <v>1138</v>
      </c>
      <c r="Y817" s="2" t="s">
        <v>248</v>
      </c>
      <c r="Z817" s="10" t="s">
        <v>248</v>
      </c>
      <c r="AA817" s="27"/>
      <c r="AB817" s="9" t="s">
        <v>8677</v>
      </c>
      <c r="AC817" s="34"/>
      <c r="AD817" s="34"/>
      <c r="AE817" s="34"/>
      <c r="AF817" s="35"/>
      <c r="AG817" s="36" t="s">
        <v>32</v>
      </c>
      <c r="AH817" s="2" t="s">
        <v>485</v>
      </c>
      <c r="AI817" s="10" t="s">
        <v>181</v>
      </c>
      <c r="AJ817" s="2" t="s">
        <v>34</v>
      </c>
      <c r="AK817" s="10" t="s">
        <v>80</v>
      </c>
      <c r="AL817" s="2" t="s">
        <v>133</v>
      </c>
    </row>
    <row r="818" ht="15.75" customHeight="1">
      <c r="A818" s="2" t="s">
        <v>646</v>
      </c>
      <c r="B818" s="12">
        <v>45329.018055555556</v>
      </c>
      <c r="C818" s="2" t="str">
        <f>IFERROR(__xludf.DUMMYFUNCTION("IF(ISNUMBER(B818),TEXT(B818,""yyyy-MM-dd""),REGEXREPLACE(REGEXREPLACE(TO_TEXT(B818),""[^0-9a-zA-Z]+"",""-""),""[^0-9]*$"",""""))"),"2024-02-07")</f>
        <v>2024-02-07</v>
      </c>
      <c r="D818" s="2" t="s">
        <v>8713</v>
      </c>
      <c r="H818" s="10" t="s">
        <v>8713</v>
      </c>
      <c r="I818" s="2" t="s">
        <v>648</v>
      </c>
      <c r="J818" s="26" t="str">
        <f t="array" ref="J818">IF(ISNA(XLOOKUP(I818,customers_clean!$A$2:$A$701,customers_clean!$A$2:$A$701, NA()) ),
   "❌ MISSING CUSTOMER", "✅")</f>
        <v>✅</v>
      </c>
      <c r="K818" s="2" t="str">
        <f t="array" ref="K818">XLOOKUP(I818,customers_clean!$A$2:$A$701,customers_clean!$C$2:$C$701)</f>
        <v>Sam Kowalzcyk</v>
      </c>
      <c r="L818" s="10" t="str">
        <f t="array" ref="L818">XLOOKUP(I818,customers_clean!$A$2:$A$701,customers_clean!$D$2:$D$701)</f>
        <v>Sam Kowalczyk</v>
      </c>
      <c r="M818" s="2" t="str">
        <f t="array" ref="M818">XLOOKUP(I818,customers_clean!$A$2:$A$701,customers_clean!$I$2:$I$701)</f>
        <v>sam.kowalczyk@gmail.com</v>
      </c>
      <c r="N818" s="10" t="str">
        <f t="array" ref="N818">XLOOKUP(I818,customers_clean!$A$2:$A$701,customers_clean!$H$2:$H$701)</f>
        <v>sam.kowalczyk@gmail.com</v>
      </c>
      <c r="O818" s="9" t="str">
        <f>IFERROR(__xludf.DUMMYFUNCTION("IF(REGEXMATCH(TRIM(N818),""^[A-Za-z0-9._%+-]+@[A-Za-z0-9.-]+\.[A-Za-z]{2,}$""),""✅ Valid"",""❌ Invalid"")"),"✅ Valid")</f>
        <v>✅ Valid</v>
      </c>
      <c r="P818" s="2" t="str">
        <f t="array" ref="P818">XLOOKUP(I818,customers_clean!$A$2:$A$701,customers_clean!$K$2:$K$701)</f>
        <v>646319x3643</v>
      </c>
      <c r="Q818" s="10" t="str">
        <f t="array" ref="Q818">XLOOKUP(I818,customers_clean!$A$2:$A$701,customers_clean!$N$2:$N$701)</f>
        <v>6463193643</v>
      </c>
      <c r="R818" s="9" t="str">
        <f t="array" ref="R818">XLOOKUP(I818,customers_clean!$A$2:$A$701,customers_clean!$Q$2:$Q$701)</f>
        <v>❌ INVALID</v>
      </c>
      <c r="S818" s="10" t="s">
        <v>448</v>
      </c>
      <c r="T818" s="2" t="s">
        <v>59</v>
      </c>
      <c r="U818" s="2" t="s">
        <v>90</v>
      </c>
      <c r="V818" s="2" t="s">
        <v>652</v>
      </c>
      <c r="W818" s="9" t="str">
        <f t="array" ref="W818">IF(ISNA(XLOOKUP(V818,products_master_corrected!$A$2:$A$151,products_master_corrected!$A$2:$A$151, NA())),
    "❌ MISSING SKU", "✅")</f>
        <v>✅</v>
      </c>
      <c r="X818" s="2" t="s">
        <v>8673</v>
      </c>
      <c r="Y818" s="2" t="s">
        <v>179</v>
      </c>
      <c r="Z818" s="10" t="s">
        <v>179</v>
      </c>
      <c r="AA818" s="27">
        <v>3.0</v>
      </c>
      <c r="AB818" s="9" t="s">
        <v>8649</v>
      </c>
      <c r="AC818" s="28">
        <f t="array" ref="AC818">XLOOKUP(V818,products_master_corrected!$A$2:$A$151,products_master_corrected!$E$2:$E$151)</f>
        <v>240.24</v>
      </c>
      <c r="AD818" s="28">
        <f t="shared" ref="AD818:AD892" si="93">AA818*AC818</f>
        <v>720.72</v>
      </c>
      <c r="AE818" s="28">
        <f t="array" ref="AE818">XLOOKUP(V818,products_master_corrected!$A$2:$A$151,products_master_corrected!$M$2:$M$151)</f>
        <v>290.59</v>
      </c>
      <c r="AF818" s="29">
        <f t="shared" ref="AF818:AF892" si="94">AA818*AE818</f>
        <v>871.77</v>
      </c>
      <c r="AG818" s="30" t="s">
        <v>48</v>
      </c>
      <c r="AH818" s="2" t="s">
        <v>66</v>
      </c>
      <c r="AI818" s="10" t="s">
        <v>66</v>
      </c>
      <c r="AJ818" s="2" t="s">
        <v>380</v>
      </c>
      <c r="AK818" s="10" t="s">
        <v>80</v>
      </c>
      <c r="AL818" s="2" t="s">
        <v>51</v>
      </c>
    </row>
    <row r="819" ht="15.75" customHeight="1">
      <c r="A819" s="2" t="s">
        <v>3304</v>
      </c>
      <c r="B819" s="12">
        <v>45264.0</v>
      </c>
      <c r="C819" s="2" t="str">
        <f>IFERROR(__xludf.DUMMYFUNCTION("IF(ISNUMBER(B819),TEXT(B819,""yyyy-MM-dd""),REGEXREPLACE(REGEXREPLACE(TO_TEXT(B819),""[^0-9a-zA-Z]+"",""-""),""[^0-9]*$"",""""))"),"2023-12-04")</f>
        <v>2023-12-04</v>
      </c>
      <c r="D819" s="2" t="s">
        <v>8770</v>
      </c>
      <c r="H819" s="10" t="s">
        <v>8770</v>
      </c>
      <c r="I819" s="2" t="s">
        <v>648</v>
      </c>
      <c r="J819" s="26" t="str">
        <f t="array" ref="J819">IF(ISNA(XLOOKUP(I819,customers_clean!$A$2:$A$701,customers_clean!$A$2:$A$701, NA()) ),
   "❌ MISSING CUSTOMER", "✅")</f>
        <v>✅</v>
      </c>
      <c r="K819" s="2" t="str">
        <f t="array" ref="K819">XLOOKUP(I819,customers_clean!$A$2:$A$701,customers_clean!$C$2:$C$701)</f>
        <v>Sam Kowalzcyk</v>
      </c>
      <c r="L819" s="10" t="str">
        <f t="array" ref="L819">XLOOKUP(I819,customers_clean!$A$2:$A$701,customers_clean!$D$2:$D$701)</f>
        <v>Sam Kowalczyk</v>
      </c>
      <c r="M819" s="2" t="str">
        <f t="array" ref="M819">XLOOKUP(I819,customers_clean!$A$2:$A$701,customers_clean!$I$2:$I$701)</f>
        <v>sam.kowalczyk@gmail.com</v>
      </c>
      <c r="N819" s="10" t="str">
        <f t="array" ref="N819">XLOOKUP(I819,customers_clean!$A$2:$A$701,customers_clean!$H$2:$H$701)</f>
        <v>sam.kowalczyk@gmail.com</v>
      </c>
      <c r="O819" s="9" t="str">
        <f>IFERROR(__xludf.DUMMYFUNCTION("IF(REGEXMATCH(TRIM(N819),""^[A-Za-z0-9._%+-]+@[A-Za-z0-9.-]+\.[A-Za-z]{2,}$""),""✅ Valid"",""❌ Invalid"")"),"✅ Valid")</f>
        <v>✅ Valid</v>
      </c>
      <c r="P819" s="2" t="str">
        <f t="array" ref="P819">XLOOKUP(I819,customers_clean!$A$2:$A$701,customers_clean!$K$2:$K$701)</f>
        <v>646319x3643</v>
      </c>
      <c r="Q819" s="10" t="str">
        <f t="array" ref="Q819">XLOOKUP(I819,customers_clean!$A$2:$A$701,customers_clean!$N$2:$N$701)</f>
        <v>6463193643</v>
      </c>
      <c r="R819" s="9" t="str">
        <f t="array" ref="R819">XLOOKUP(I819,customers_clean!$A$2:$A$701,customers_clean!$Q$2:$Q$701)</f>
        <v>❌ INVALID</v>
      </c>
      <c r="S819" s="10" t="s">
        <v>448</v>
      </c>
      <c r="T819" s="2" t="s">
        <v>323</v>
      </c>
      <c r="U819" s="2" t="s">
        <v>480</v>
      </c>
      <c r="V819" s="2" t="s">
        <v>824</v>
      </c>
      <c r="W819" s="9" t="str">
        <f t="array" ref="W819">IF(ISNA(XLOOKUP(V819,products_master_corrected!$A$2:$A$151,products_master_corrected!$A$2:$A$151, NA())),
    "❌ MISSING SKU", "✅")</f>
        <v>✅</v>
      </c>
      <c r="X819" s="2" t="s">
        <v>825</v>
      </c>
      <c r="Y819" s="2" t="s">
        <v>826</v>
      </c>
      <c r="Z819" s="10" t="s">
        <v>63</v>
      </c>
      <c r="AA819" s="27">
        <v>2.0</v>
      </c>
      <c r="AB819" s="9" t="s">
        <v>8649</v>
      </c>
      <c r="AC819" s="28">
        <f t="array" ref="AC819">XLOOKUP(V819,products_master_corrected!$A$2:$A$151,products_master_corrected!$E$2:$E$151)</f>
        <v>49.58</v>
      </c>
      <c r="AD819" s="28">
        <f t="shared" si="93"/>
        <v>99.16</v>
      </c>
      <c r="AE819" s="28">
        <f t="array" ref="AE819">XLOOKUP(V819,products_master_corrected!$A$2:$A$151,products_master_corrected!$M$2:$M$151)</f>
        <v>59.97</v>
      </c>
      <c r="AF819" s="29">
        <f t="shared" si="94"/>
        <v>119.94</v>
      </c>
      <c r="AG819" s="30" t="s">
        <v>48</v>
      </c>
      <c r="AH819" s="2" t="s">
        <v>505</v>
      </c>
      <c r="AI819" s="10" t="s">
        <v>181</v>
      </c>
      <c r="AJ819" s="2" t="s">
        <v>442</v>
      </c>
      <c r="AK819" s="10" t="s">
        <v>80</v>
      </c>
    </row>
    <row r="820" ht="15.75" customHeight="1">
      <c r="A820" s="2" t="s">
        <v>5531</v>
      </c>
      <c r="B820" s="12" t="s">
        <v>5532</v>
      </c>
      <c r="C820" s="2" t="str">
        <f>IFERROR(__xludf.DUMMYFUNCTION("IF(ISNUMBER(B820),TEXT(B820,""yyyy-MM-dd""),REGEXREPLACE(REGEXREPLACE(TO_TEXT(B820),""[^0-9a-zA-Z]+"",""-""),""[^0-9]*$"",""""))"),"05-17-2023-10-53")</f>
        <v>05-17-2023-10-53</v>
      </c>
      <c r="D820" s="2" t="str">
        <f>TEXT(C820,"yyyy-MM-dd")</f>
        <v>05-17-2023-10-53</v>
      </c>
      <c r="E820" s="12" t="str">
        <f>IFERROR(__xludf.DUMMYFUNCTION("REGEXEXTRACT(D820,""^\d{2}-\d{2}-\d{4}"")"),"05-17-2023")</f>
        <v>05-17-2023</v>
      </c>
      <c r="F820" s="2" t="str">
        <f>TEXT(E820,"yyyy-MM-dd")</f>
        <v>05-17-2023</v>
      </c>
      <c r="G820" s="2" t="s">
        <v>8950</v>
      </c>
      <c r="H820" s="10" t="s">
        <v>8950</v>
      </c>
      <c r="I820" s="2" t="s">
        <v>648</v>
      </c>
      <c r="J820" s="26" t="str">
        <f t="array" ref="J820">IF(ISNA(XLOOKUP(I820,customers_clean!$A$2:$A$701,customers_clean!$A$2:$A$701, NA()) ),
   "❌ MISSING CUSTOMER", "✅")</f>
        <v>✅</v>
      </c>
      <c r="K820" s="2" t="str">
        <f t="array" ref="K820">XLOOKUP(I820,customers_clean!$A$2:$A$701,customers_clean!$C$2:$C$701)</f>
        <v>Sam Kowalzcyk</v>
      </c>
      <c r="L820" s="10" t="str">
        <f t="array" ref="L820">XLOOKUP(I820,customers_clean!$A$2:$A$701,customers_clean!$D$2:$D$701)</f>
        <v>Sam Kowalczyk</v>
      </c>
      <c r="M820" s="2" t="str">
        <f t="array" ref="M820">XLOOKUP(I820,customers_clean!$A$2:$A$701,customers_clean!$I$2:$I$701)</f>
        <v>sam.kowalczyk@gmail.com</v>
      </c>
      <c r="N820" s="10" t="str">
        <f t="array" ref="N820">XLOOKUP(I820,customers_clean!$A$2:$A$701,customers_clean!$H$2:$H$701)</f>
        <v>sam.kowalczyk@gmail.com</v>
      </c>
      <c r="O820" s="9" t="str">
        <f>IFERROR(__xludf.DUMMYFUNCTION("IF(REGEXMATCH(TRIM(N820),""^[A-Za-z0-9._%+-]+@[A-Za-z0-9.-]+\.[A-Za-z]{2,}$""),""✅ Valid"",""❌ Invalid"")"),"✅ Valid")</f>
        <v>✅ Valid</v>
      </c>
      <c r="P820" s="2" t="str">
        <f t="array" ref="P820">XLOOKUP(I820,customers_clean!$A$2:$A$701,customers_clean!$K$2:$K$701)</f>
        <v>646319x3643</v>
      </c>
      <c r="Q820" s="10" t="str">
        <f t="array" ref="Q820">XLOOKUP(I820,customers_clean!$A$2:$A$701,customers_clean!$N$2:$N$701)</f>
        <v>6463193643</v>
      </c>
      <c r="R820" s="9" t="str">
        <f t="array" ref="R820">XLOOKUP(I820,customers_clean!$A$2:$A$701,customers_clean!$Q$2:$Q$701)</f>
        <v>❌ INVALID</v>
      </c>
      <c r="S820" s="10" t="s">
        <v>448</v>
      </c>
      <c r="T820" s="2" t="s">
        <v>223</v>
      </c>
      <c r="U820" s="2" t="s">
        <v>289</v>
      </c>
      <c r="V820" s="2" t="s">
        <v>3101</v>
      </c>
      <c r="W820" s="9" t="str">
        <f t="array" ref="W820">IF(ISNA(XLOOKUP(V820,products_master_corrected!$A$2:$A$151,products_master_corrected!$A$2:$A$151, NA())),
    "❌ MISSING SKU", "✅")</f>
        <v>✅</v>
      </c>
      <c r="X820" s="2" t="s">
        <v>804</v>
      </c>
      <c r="Y820" s="2" t="s">
        <v>248</v>
      </c>
      <c r="Z820" s="10" t="s">
        <v>248</v>
      </c>
      <c r="AA820" s="27">
        <v>1.0</v>
      </c>
      <c r="AB820" s="9" t="s">
        <v>8649</v>
      </c>
      <c r="AC820" s="28">
        <f t="array" ref="AC820">XLOOKUP(V820,products_master_corrected!$A$2:$A$151,products_master_corrected!$E$2:$E$151)</f>
        <v>23.37</v>
      </c>
      <c r="AD820" s="28">
        <f t="shared" si="93"/>
        <v>23.37</v>
      </c>
      <c r="AE820" s="28">
        <f t="array" ref="AE820">XLOOKUP(V820,products_master_corrected!$A$2:$A$151,products_master_corrected!$M$2:$M$151)</f>
        <v>28.27</v>
      </c>
      <c r="AF820" s="29">
        <f t="shared" si="94"/>
        <v>28.27</v>
      </c>
      <c r="AG820" s="30" t="s">
        <v>48</v>
      </c>
      <c r="AH820" s="2" t="s">
        <v>204</v>
      </c>
      <c r="AI820" s="10" t="s">
        <v>143</v>
      </c>
      <c r="AJ820" s="2" t="s">
        <v>132</v>
      </c>
      <c r="AK820" s="10" t="s">
        <v>192</v>
      </c>
      <c r="AL820" s="2" t="s">
        <v>67</v>
      </c>
    </row>
    <row r="821" ht="15.75" customHeight="1">
      <c r="A821" s="2" t="s">
        <v>1797</v>
      </c>
      <c r="B821" s="12" t="s">
        <v>1798</v>
      </c>
      <c r="C821" s="2" t="str">
        <f>IFERROR(__xludf.DUMMYFUNCTION("IF(ISNUMBER(B821),TEXT(B821,""yyyy-MM-dd""),REGEXREPLACE(REGEXREPLACE(TO_TEXT(B821),""[^0-9a-zA-Z]+"",""-""),""[^0-9]*$"",""""))"),"13-05-2025")</f>
        <v>13-05-2025</v>
      </c>
      <c r="D821" s="2" t="s">
        <v>8951</v>
      </c>
      <c r="H821" s="10" t="s">
        <v>8951</v>
      </c>
      <c r="I821" s="2" t="s">
        <v>812</v>
      </c>
      <c r="J821" s="26" t="str">
        <f t="array" ref="J821">IF(ISNA(XLOOKUP(I821,customers_clean!$A$2:$A$701,customers_clean!$A$2:$A$701, NA()) ),
   "❌ MISSING CUSTOMER", "✅")</f>
        <v>✅</v>
      </c>
      <c r="K821" s="2" t="str">
        <f t="array" ref="K821">XLOOKUP(I821,customers_clean!$A$2:$A$701,customers_clean!$C$2:$C$701)</f>
        <v>IGOR KHAN</v>
      </c>
      <c r="L821" s="10" t="str">
        <f t="array" ref="L821">XLOOKUP(I821,customers_clean!$A$2:$A$701,customers_clean!$D$2:$D$701)</f>
        <v>Igor Khan</v>
      </c>
      <c r="M821" s="2" t="str">
        <f t="array" ref="M821">XLOOKUP(I821,customers_clean!$A$2:$A$701,customers_clean!$I$2:$I$701)</f>
        <v>IGOR.KHAN@OUTLOOK.COM</v>
      </c>
      <c r="N821" s="10" t="str">
        <f t="array" ref="N821">XLOOKUP(I821,customers_clean!$A$2:$A$701,customers_clean!$H$2:$H$701)</f>
        <v>igor.khan@outlook.com</v>
      </c>
      <c r="O821" s="9" t="str">
        <f>IFERROR(__xludf.DUMMYFUNCTION("IF(REGEXMATCH(TRIM(N821),""^[A-Za-z0-9._%+-]+@[A-Za-z0-9.-]+\.[A-Za-z]{2,}$""),""✅ Valid"",""❌ Invalid"")"),"✅ Valid")</f>
        <v>✅ Valid</v>
      </c>
      <c r="P821" s="2" t="str">
        <f t="array" ref="P821">XLOOKUP(I821,customers_clean!$A$2:$A$701,customers_clean!$K$2:$K$701)</f>
        <v>+490700757482</v>
      </c>
      <c r="Q821" s="10" t="str">
        <f t="array" ref="Q821">XLOOKUP(I821,customers_clean!$A$2:$A$701,customers_clean!$N$2:$N$701)</f>
        <v>0700757482</v>
      </c>
      <c r="R821" s="9" t="str">
        <f t="array" ref="R821">XLOOKUP(I821,customers_clean!$A$2:$A$701,customers_clean!$Q$2:$Q$701)</f>
        <v>❌ INVALID</v>
      </c>
      <c r="S821" s="10" t="s">
        <v>114</v>
      </c>
      <c r="T821" s="2" t="s">
        <v>210</v>
      </c>
      <c r="U821" s="2" t="s">
        <v>289</v>
      </c>
      <c r="V821" s="2" t="s">
        <v>957</v>
      </c>
      <c r="W821" s="9" t="str">
        <f t="array" ref="W821">IF(ISNA(XLOOKUP(V821,products_master_corrected!$A$2:$A$151,products_master_corrected!$A$2:$A$151, NA())),
    "❌ MISSING SKU", "✅")</f>
        <v>✅</v>
      </c>
      <c r="X821" s="2" t="s">
        <v>403</v>
      </c>
      <c r="Y821" s="2" t="s">
        <v>167</v>
      </c>
      <c r="Z821" s="10" t="str">
        <f>PROPER(TRIM(Y821))</f>
        <v>Monitors</v>
      </c>
      <c r="AA821" s="27">
        <v>1.0</v>
      </c>
      <c r="AB821" s="9" t="s">
        <v>8649</v>
      </c>
      <c r="AC821" s="28">
        <f t="array" ref="AC821">XLOOKUP(V821,products_master_corrected!$A$2:$A$151,products_master_corrected!$E$2:$E$151)</f>
        <v>55.87</v>
      </c>
      <c r="AD821" s="28">
        <f t="shared" si="93"/>
        <v>55.87</v>
      </c>
      <c r="AE821" s="28">
        <f t="array" ref="AE821">XLOOKUP(V821,products_master_corrected!$A$2:$A$151,products_master_corrected!$F$2:$F$151)</f>
        <v>55.87</v>
      </c>
      <c r="AF821" s="29">
        <f t="shared" si="94"/>
        <v>55.87</v>
      </c>
      <c r="AG821" s="30" t="s">
        <v>65</v>
      </c>
      <c r="AH821" s="2" t="s">
        <v>66</v>
      </c>
      <c r="AI821" s="10" t="s">
        <v>66</v>
      </c>
      <c r="AJ821" s="2" t="s">
        <v>192</v>
      </c>
      <c r="AK821" s="10" t="s">
        <v>192</v>
      </c>
      <c r="AL821" s="2" t="s">
        <v>67</v>
      </c>
    </row>
    <row r="822" ht="15.75" customHeight="1">
      <c r="A822" s="2" t="s">
        <v>810</v>
      </c>
      <c r="B822" s="12">
        <v>45568.0</v>
      </c>
      <c r="C822" s="2" t="str">
        <f>IFERROR(__xludf.DUMMYFUNCTION("IF(ISNUMBER(B822),TEXT(B822,""yyyy-MM-dd""),REGEXREPLACE(REGEXREPLACE(TO_TEXT(B822),""[^0-9a-zA-Z]+"",""-""),""[^0-9]*$"",""""))"),"2024-10-03")</f>
        <v>2024-10-03</v>
      </c>
      <c r="D822" s="2" t="s">
        <v>8952</v>
      </c>
      <c r="H822" s="10" t="s">
        <v>8952</v>
      </c>
      <c r="I822" s="2" t="s">
        <v>812</v>
      </c>
      <c r="J822" s="26" t="str">
        <f t="array" ref="J822">IF(ISNA(XLOOKUP(I822,customers_clean!$A$2:$A$701,customers_clean!$A$2:$A$701, NA()) ),
   "❌ MISSING CUSTOMER", "✅")</f>
        <v>✅</v>
      </c>
      <c r="K822" s="2" t="str">
        <f t="array" ref="K822">XLOOKUP(I822,customers_clean!$A$2:$A$701,customers_clean!$C$2:$C$701)</f>
        <v>IGOR KHAN</v>
      </c>
      <c r="L822" s="10" t="str">
        <f t="array" ref="L822">XLOOKUP(I822,customers_clean!$A$2:$A$701,customers_clean!$D$2:$D$701)</f>
        <v>Igor Khan</v>
      </c>
      <c r="M822" s="2" t="str">
        <f t="array" ref="M822">XLOOKUP(I822,customers_clean!$A$2:$A$701,customers_clean!$I$2:$I$701)</f>
        <v>IGOR.KHAN@OUTLOOK.COM</v>
      </c>
      <c r="N822" s="10" t="str">
        <f t="array" ref="N822">XLOOKUP(I822,customers_clean!$A$2:$A$701,customers_clean!$H$2:$H$701)</f>
        <v>igor.khan@outlook.com</v>
      </c>
      <c r="O822" s="9" t="str">
        <f>IFERROR(__xludf.DUMMYFUNCTION("IF(REGEXMATCH(TRIM(N822),""^[A-Za-z0-9._%+-]+@[A-Za-z0-9.-]+\.[A-Za-z]{2,}$""),""✅ Valid"",""❌ Invalid"")"),"✅ Valid")</f>
        <v>✅ Valid</v>
      </c>
      <c r="P822" s="2" t="str">
        <f t="array" ref="P822">XLOOKUP(I822,customers_clean!$A$2:$A$701,customers_clean!$K$2:$K$701)</f>
        <v>+490700757482</v>
      </c>
      <c r="Q822" s="10" t="str">
        <f t="array" ref="Q822">XLOOKUP(I822,customers_clean!$A$2:$A$701,customers_clean!$N$2:$N$701)</f>
        <v>0700757482</v>
      </c>
      <c r="R822" s="9" t="str">
        <f t="array" ref="R822">XLOOKUP(I822,customers_clean!$A$2:$A$701,customers_clean!$Q$2:$Q$701)</f>
        <v>❌ INVALID</v>
      </c>
      <c r="S822" s="10" t="s">
        <v>114</v>
      </c>
      <c r="T822" s="2" t="s">
        <v>42</v>
      </c>
      <c r="U822" s="2" t="s">
        <v>401</v>
      </c>
      <c r="V822" s="2" t="s">
        <v>815</v>
      </c>
      <c r="W822" s="9" t="str">
        <f t="array" ref="W822">IF(ISNA(XLOOKUP(V822,products_master_corrected!$A$2:$A$151,products_master_corrected!$A$2:$A$151, NA())),
    "❌ MISSING SKU", "✅")</f>
        <v>✅</v>
      </c>
      <c r="X822" s="2" t="s">
        <v>816</v>
      </c>
      <c r="Y822" s="2" t="s">
        <v>179</v>
      </c>
      <c r="Z822" s="10" t="s">
        <v>179</v>
      </c>
      <c r="AA822" s="27">
        <v>5.0</v>
      </c>
      <c r="AB822" s="9" t="s">
        <v>8649</v>
      </c>
      <c r="AC822" s="28">
        <f t="array" ref="AC822">XLOOKUP(V822,products_master_corrected!$A$2:$A$151,products_master_corrected!$E$2:$E$151)</f>
        <v>328.22</v>
      </c>
      <c r="AD822" s="28">
        <f t="shared" si="93"/>
        <v>1641.1</v>
      </c>
      <c r="AE822" s="28">
        <f t="array" ref="AE822">XLOOKUP(V822,products_master_corrected!$A$2:$A$151,products_master_corrected!$F$2:$F$151)</f>
        <v>328.22</v>
      </c>
      <c r="AF822" s="29">
        <f t="shared" si="94"/>
        <v>1641.1</v>
      </c>
      <c r="AG822" s="30" t="s">
        <v>65</v>
      </c>
      <c r="AH822" s="2" t="s">
        <v>66</v>
      </c>
      <c r="AI822" s="10" t="s">
        <v>66</v>
      </c>
      <c r="AJ822" s="2" t="s">
        <v>818</v>
      </c>
      <c r="AK822" s="10" t="s">
        <v>818</v>
      </c>
    </row>
    <row r="823" ht="15.75" customHeight="1">
      <c r="A823" s="2" t="s">
        <v>3488</v>
      </c>
      <c r="B823" s="12" t="s">
        <v>3489</v>
      </c>
      <c r="C823" s="2" t="str">
        <f>IFERROR(__xludf.DUMMYFUNCTION("IF(ISNUMBER(B823),TEXT(B823,""yyyy-MM-dd""),REGEXREPLACE(REGEXREPLACE(TO_TEXT(B823),""[^0-9a-zA-Z]+"",""-""),""[^0-9]*$"",""""))"),"03-06-2025-20-58")</f>
        <v>03-06-2025-20-58</v>
      </c>
      <c r="D823" s="2" t="str">
        <f>TEXT(C823,"yyyy-MM-dd")</f>
        <v>03-06-2025-20-58</v>
      </c>
      <c r="E823" s="12" t="str">
        <f>IFERROR(__xludf.DUMMYFUNCTION("REGEXEXTRACT(D823,""^\d{2}-\d{2}-\d{4}"")"),"03-06-2025")</f>
        <v>03-06-2025</v>
      </c>
      <c r="F823" s="2" t="s">
        <v>8953</v>
      </c>
      <c r="H823" s="10" t="s">
        <v>8953</v>
      </c>
      <c r="I823" s="2" t="s">
        <v>812</v>
      </c>
      <c r="J823" s="26" t="str">
        <f t="array" ref="J823">IF(ISNA(XLOOKUP(I823,customers_clean!$A$2:$A$701,customers_clean!$A$2:$A$701, NA()) ),
   "❌ MISSING CUSTOMER", "✅")</f>
        <v>✅</v>
      </c>
      <c r="K823" s="2" t="str">
        <f t="array" ref="K823">XLOOKUP(I823,customers_clean!$A$2:$A$701,customers_clean!$C$2:$C$701)</f>
        <v>IGOR KHAN</v>
      </c>
      <c r="L823" s="10" t="str">
        <f t="array" ref="L823">XLOOKUP(I823,customers_clean!$A$2:$A$701,customers_clean!$D$2:$D$701)</f>
        <v>Igor Khan</v>
      </c>
      <c r="M823" s="2" t="str">
        <f t="array" ref="M823">XLOOKUP(I823,customers_clean!$A$2:$A$701,customers_clean!$I$2:$I$701)</f>
        <v>IGOR.KHAN@OUTLOOK.COM</v>
      </c>
      <c r="N823" s="10" t="str">
        <f t="array" ref="N823">XLOOKUP(I823,customers_clean!$A$2:$A$701,customers_clean!$H$2:$H$701)</f>
        <v>igor.khan@outlook.com</v>
      </c>
      <c r="O823" s="9" t="str">
        <f>IFERROR(__xludf.DUMMYFUNCTION("IF(REGEXMATCH(TRIM(N823),""^[A-Za-z0-9._%+-]+@[A-Za-z0-9.-]+\.[A-Za-z]{2,}$""),""✅ Valid"",""❌ Invalid"")"),"✅ Valid")</f>
        <v>✅ Valid</v>
      </c>
      <c r="P823" s="2" t="str">
        <f t="array" ref="P823">XLOOKUP(I823,customers_clean!$A$2:$A$701,customers_clean!$K$2:$K$701)</f>
        <v>+490700757482</v>
      </c>
      <c r="Q823" s="10" t="str">
        <f t="array" ref="Q823">XLOOKUP(I823,customers_clean!$A$2:$A$701,customers_clean!$N$2:$N$701)</f>
        <v>0700757482</v>
      </c>
      <c r="R823" s="9" t="str">
        <f t="array" ref="R823">XLOOKUP(I823,customers_clean!$A$2:$A$701,customers_clean!$Q$2:$Q$701)</f>
        <v>❌ INVALID</v>
      </c>
      <c r="S823" s="10" t="s">
        <v>114</v>
      </c>
      <c r="T823" s="2" t="s">
        <v>42</v>
      </c>
      <c r="U823" s="2" t="s">
        <v>480</v>
      </c>
      <c r="V823" s="2" t="s">
        <v>490</v>
      </c>
      <c r="W823" s="9" t="str">
        <f t="array" ref="W823">IF(ISNA(XLOOKUP(V823,products_master_corrected!$A$2:$A$151,products_master_corrected!$A$2:$A$151, NA())),
    "❌ MISSING SKU", "✅")</f>
        <v>✅</v>
      </c>
      <c r="X823" s="2" t="s">
        <v>29</v>
      </c>
      <c r="Y823" s="2" t="s">
        <v>492</v>
      </c>
      <c r="Z823" s="10" t="s">
        <v>514</v>
      </c>
      <c r="AA823" s="27">
        <v>3.0</v>
      </c>
      <c r="AB823" s="9" t="s">
        <v>8649</v>
      </c>
      <c r="AC823" s="28">
        <f t="array" ref="AC823">XLOOKUP(V823,products_master_corrected!$A$2:$A$151,products_master_corrected!$E$2:$E$151)</f>
        <v>116.45</v>
      </c>
      <c r="AD823" s="28">
        <f t="shared" si="93"/>
        <v>349.35</v>
      </c>
      <c r="AE823" s="28">
        <f t="array" ref="AE823">XLOOKUP(V823,products_master_corrected!$A$2:$A$151,products_master_corrected!$F$2:$F$151)</f>
        <v>116.45</v>
      </c>
      <c r="AF823" s="29">
        <f t="shared" si="94"/>
        <v>349.35</v>
      </c>
      <c r="AG823" s="30" t="s">
        <v>65</v>
      </c>
      <c r="AH823" s="2" t="s">
        <v>49</v>
      </c>
      <c r="AI823" s="10" t="s">
        <v>49</v>
      </c>
      <c r="AJ823" s="2" t="s">
        <v>1312</v>
      </c>
      <c r="AK823" s="10" t="s">
        <v>818</v>
      </c>
      <c r="AL823" s="2" t="s">
        <v>81</v>
      </c>
    </row>
    <row r="824" ht="15.75" customHeight="1">
      <c r="A824" s="2" t="s">
        <v>4136</v>
      </c>
      <c r="B824" s="12">
        <v>44985.0</v>
      </c>
      <c r="C824" s="2" t="str">
        <f>IFERROR(__xludf.DUMMYFUNCTION("IF(ISNUMBER(B824),TEXT(B824,""yyyy-MM-dd""),REGEXREPLACE(REGEXREPLACE(TO_TEXT(B824),""[^0-9a-zA-Z]+"",""-""),""[^0-9]*$"",""""))"),"2023-02-28")</f>
        <v>2023-02-28</v>
      </c>
      <c r="D824" s="2" t="s">
        <v>7977</v>
      </c>
      <c r="H824" s="10" t="s">
        <v>7977</v>
      </c>
      <c r="I824" s="2" t="s">
        <v>4138</v>
      </c>
      <c r="J824" s="26" t="str">
        <f t="array" ref="J824">IF(ISNA(XLOOKUP(I824,customers_clean!$A$2:$A$701,customers_clean!$A$2:$A$701, NA()) ),
   "❌ MISSING CUSTOMER", "✅")</f>
        <v>✅</v>
      </c>
      <c r="K824" s="2" t="str">
        <f t="array" ref="K824">XLOOKUP(I824,customers_clean!$A$2:$A$701,customers_clean!$C$2:$C$701)</f>
        <v>ETHAN KING</v>
      </c>
      <c r="L824" s="10" t="str">
        <f t="array" ref="L824">XLOOKUP(I824,customers_clean!$A$2:$A$701,customers_clean!$D$2:$D$701)</f>
        <v>Ethan King</v>
      </c>
      <c r="M824" s="2" t="str">
        <f t="array" ref="M824">XLOOKUP(I824,customers_clean!$A$2:$A$701,customers_clean!$I$2:$I$701)</f>
        <v>ethan.king@company.co.uk</v>
      </c>
      <c r="N824" s="10" t="str">
        <f t="array" ref="N824">XLOOKUP(I824,customers_clean!$A$2:$A$701,customers_clean!$H$2:$H$701)</f>
        <v>ethan.king@company.co.uk</v>
      </c>
      <c r="O824" s="9" t="str">
        <f>IFERROR(__xludf.DUMMYFUNCTION("IF(REGEXMATCH(TRIM(N824),""^[A-Za-z0-9._%+-]+@[A-Za-z0-9.-]+\.[A-Za-z]{2,}$""),""✅ Valid"",""❌ Invalid"")"),"✅ Valid")</f>
        <v>✅ Valid</v>
      </c>
      <c r="P824" s="2" t="str">
        <f t="array" ref="P824">XLOOKUP(I824,customers_clean!$A$2:$A$701,customers_clean!$K$2:$K$701)</f>
        <v>+49 094 683 539 6</v>
      </c>
      <c r="Q824" s="10" t="str">
        <f t="array" ref="Q824">XLOOKUP(I824,customers_clean!$A$2:$A$701,customers_clean!$N$2:$N$701)</f>
        <v>0946835396</v>
      </c>
      <c r="R824" s="9" t="str">
        <f t="array" ref="R824">XLOOKUP(I824,customers_clean!$A$2:$A$701,customers_clean!$Q$2:$Q$701)</f>
        <v>❌ INVALID</v>
      </c>
      <c r="S824" s="10" t="s">
        <v>448</v>
      </c>
      <c r="T824" s="2" t="s">
        <v>210</v>
      </c>
      <c r="U824" s="2" t="s">
        <v>103</v>
      </c>
      <c r="V824" s="2" t="s">
        <v>904</v>
      </c>
      <c r="W824" s="9" t="str">
        <f t="array" ref="W824">IF(ISNA(XLOOKUP(V824,products_master_corrected!$A$2:$A$151,products_master_corrected!$A$2:$A$151, NA())),
    "❌ MISSING SKU", "✅")</f>
        <v>✅</v>
      </c>
      <c r="X824" s="2" t="s">
        <v>905</v>
      </c>
      <c r="Y824" s="2" t="s">
        <v>167</v>
      </c>
      <c r="Z824" s="10" t="str">
        <f>PROPER(TRIM(Y824))</f>
        <v>Monitors</v>
      </c>
      <c r="AA824" s="27">
        <v>5.0</v>
      </c>
      <c r="AB824" s="9" t="s">
        <v>8649</v>
      </c>
      <c r="AC824" s="28">
        <f t="array" ref="AC824">XLOOKUP(V824,products_master_corrected!$A$2:$A$151,products_master_corrected!$E$2:$E$151)</f>
        <v>132.42</v>
      </c>
      <c r="AD824" s="28">
        <f t="shared" si="93"/>
        <v>662.1</v>
      </c>
      <c r="AE824" s="28">
        <f t="array" ref="AE824">XLOOKUP(V824,products_master_corrected!$A$2:$A$151,products_master_corrected!$M$2:$M$151)</f>
        <v>160.18</v>
      </c>
      <c r="AF824" s="29">
        <f t="shared" si="94"/>
        <v>800.9</v>
      </c>
      <c r="AG824" s="30" t="s">
        <v>48</v>
      </c>
      <c r="AH824" s="2" t="s">
        <v>66</v>
      </c>
      <c r="AI824" s="10" t="s">
        <v>66</v>
      </c>
      <c r="AJ824" s="2" t="s">
        <v>192</v>
      </c>
      <c r="AK824" s="10" t="s">
        <v>192</v>
      </c>
      <c r="AL824" s="2" t="s">
        <v>81</v>
      </c>
    </row>
    <row r="825" ht="15.75" customHeight="1">
      <c r="A825" s="2" t="s">
        <v>2582</v>
      </c>
      <c r="B825" s="12" t="s">
        <v>2583</v>
      </c>
      <c r="C825" s="2" t="str">
        <f>IFERROR(__xludf.DUMMYFUNCTION("IF(ISNUMBER(B825),TEXT(B825,""yyyy-MM-dd""),REGEXREPLACE(REGEXREPLACE(TO_TEXT(B825),""[^0-9a-zA-Z]+"",""-""),""[^0-9]*$"",""""))"),"45012-22-34")</f>
        <v>45012-22-34</v>
      </c>
      <c r="D825" s="2" t="str">
        <f>TEXT(C825,"yyyy-MM-dd")</f>
        <v>45012-22-34</v>
      </c>
      <c r="E825" s="25" t="str">
        <f>CONCATENATE(LEFT(D825,5))</f>
        <v>45012</v>
      </c>
      <c r="F825" s="12">
        <f>DATE(1900,1,1) + E825 - 1</f>
        <v>45013</v>
      </c>
      <c r="G825" s="2" t="s">
        <v>7987</v>
      </c>
      <c r="H825" s="10" t="s">
        <v>7987</v>
      </c>
      <c r="I825" s="2" t="s">
        <v>2465</v>
      </c>
      <c r="J825" s="26" t="str">
        <f t="array" ref="J825">IF(ISNA(XLOOKUP(I825,customers_clean!$A$2:$A$701,customers_clean!$A$2:$A$701, NA()) ),
   "❌ MISSING CUSTOMER", "✅")</f>
        <v>✅</v>
      </c>
      <c r="K825" s="2" t="str">
        <f t="array" ref="K825">XLOOKUP(I825,customers_clean!$A$2:$A$701,customers_clean!$C$2:$C$701)</f>
        <v>Carlos  Young</v>
      </c>
      <c r="L825" s="10" t="str">
        <f t="array" ref="L825">XLOOKUP(I825,customers_clean!$A$2:$A$701,customers_clean!$D$2:$D$701)</f>
        <v>Carlos Young</v>
      </c>
      <c r="M825" s="2" t="str">
        <f t="array" ref="M825">XLOOKUP(I825,customers_clean!$A$2:$A$701,customers_clean!$I$2:$I$701)</f>
        <v>carlos.young@yahoo.com </v>
      </c>
      <c r="N825" s="10" t="str">
        <f t="array" ref="N825">XLOOKUP(I825,customers_clean!$A$2:$A$701,customers_clean!$H$2:$H$701)</f>
        <v>carlos.young@yahoo.com</v>
      </c>
      <c r="O825" s="9" t="str">
        <f>IFERROR(__xludf.DUMMYFUNCTION("IF(REGEXMATCH(TRIM(N825),""^[A-Za-z0-9._%+-]+@[A-Za-z0-9.-]+\.[A-Za-z]{2,}$""),""✅ Valid"",""❌ Invalid"")"),"✅ Valid")</f>
        <v>✅ Valid</v>
      </c>
      <c r="P825" s="2">
        <f t="array" ref="P825">XLOOKUP(I825,customers_clean!$A$2:$A$701,customers_clean!$K$2:$K$701)</f>
        <v>494869862431</v>
      </c>
      <c r="Q825" s="10" t="str">
        <f t="array" ref="Q825">XLOOKUP(I825,customers_clean!$A$2:$A$701,customers_clean!$N$2:$N$701)</f>
        <v>4869862431</v>
      </c>
      <c r="R825" s="9" t="str">
        <f t="array" ref="R825">XLOOKUP(I825,customers_clean!$A$2:$A$701,customers_clean!$Q$2:$Q$701)</f>
        <v>❌ INVALID</v>
      </c>
      <c r="S825" s="10" t="s">
        <v>25</v>
      </c>
      <c r="T825" s="2" t="s">
        <v>59</v>
      </c>
      <c r="U825" s="2" t="s">
        <v>312</v>
      </c>
      <c r="V825" s="2" t="s">
        <v>1641</v>
      </c>
      <c r="W825" s="9" t="str">
        <f t="array" ref="W825">IF(ISNA(XLOOKUP(V825,products_master_corrected!$A$2:$A$151,products_master_corrected!$A$2:$A$151, NA())),
    "❌ MISSING SKU", "✅")</f>
        <v>✅</v>
      </c>
      <c r="X825" s="2" t="s">
        <v>825</v>
      </c>
      <c r="Y825" s="2" t="s">
        <v>179</v>
      </c>
      <c r="Z825" s="10" t="s">
        <v>179</v>
      </c>
      <c r="AA825" s="27">
        <v>1.0</v>
      </c>
      <c r="AB825" s="9" t="s">
        <v>8649</v>
      </c>
      <c r="AC825" s="28">
        <f t="array" ref="AC825">XLOOKUP(V825,products_master_corrected!$A$2:$A$151,products_master_corrected!$E$2:$E$151)</f>
        <v>23.84</v>
      </c>
      <c r="AD825" s="28">
        <f t="shared" si="93"/>
        <v>23.84</v>
      </c>
      <c r="AE825" s="28">
        <f t="array" ref="AE825">XLOOKUP(V825,products_master_corrected!$A$2:$A$151,products_master_corrected!$K$2:$K$151)</f>
        <v>122.66</v>
      </c>
      <c r="AF825" s="29">
        <f t="shared" si="94"/>
        <v>122.66</v>
      </c>
      <c r="AG825" s="30" t="s">
        <v>95</v>
      </c>
      <c r="AH825" s="2" t="s">
        <v>33</v>
      </c>
      <c r="AI825" s="10" t="s">
        <v>181</v>
      </c>
      <c r="AJ825" s="2" t="s">
        <v>2585</v>
      </c>
      <c r="AK825" s="10" t="s">
        <v>818</v>
      </c>
      <c r="AL825" s="2" t="s">
        <v>133</v>
      </c>
    </row>
    <row r="826" ht="15.75" customHeight="1">
      <c r="A826" s="2" t="s">
        <v>2463</v>
      </c>
      <c r="B826" s="12">
        <v>45234.0</v>
      </c>
      <c r="C826" s="2" t="str">
        <f>IFERROR(__xludf.DUMMYFUNCTION("IF(ISNUMBER(B826),TEXT(B826,""yyyy-MM-dd""),REGEXREPLACE(REGEXREPLACE(TO_TEXT(B826),""[^0-9a-zA-Z]+"",""-""),""[^0-9]*$"",""""))"),"2023-11-04")</f>
        <v>2023-11-04</v>
      </c>
      <c r="D826" s="2" t="s">
        <v>8954</v>
      </c>
      <c r="H826" s="10" t="s">
        <v>8954</v>
      </c>
      <c r="I826" s="2" t="s">
        <v>2465</v>
      </c>
      <c r="J826" s="26" t="str">
        <f t="array" ref="J826">IF(ISNA(XLOOKUP(I826,customers_clean!$A$2:$A$701,customers_clean!$A$2:$A$701, NA()) ),
   "❌ MISSING CUSTOMER", "✅")</f>
        <v>✅</v>
      </c>
      <c r="K826" s="2" t="str">
        <f t="array" ref="K826">XLOOKUP(I826,customers_clean!$A$2:$A$701,customers_clean!$C$2:$C$701)</f>
        <v>Carlos  Young</v>
      </c>
      <c r="L826" s="10" t="str">
        <f t="array" ref="L826">XLOOKUP(I826,customers_clean!$A$2:$A$701,customers_clean!$D$2:$D$701)</f>
        <v>Carlos Young</v>
      </c>
      <c r="M826" s="2" t="str">
        <f t="array" ref="M826">XLOOKUP(I826,customers_clean!$A$2:$A$701,customers_clean!$I$2:$I$701)</f>
        <v>carlos.young@yahoo.com </v>
      </c>
      <c r="N826" s="10" t="str">
        <f t="array" ref="N826">XLOOKUP(I826,customers_clean!$A$2:$A$701,customers_clean!$H$2:$H$701)</f>
        <v>carlos.young@yahoo.com</v>
      </c>
      <c r="O826" s="9" t="str">
        <f>IFERROR(__xludf.DUMMYFUNCTION("IF(REGEXMATCH(TRIM(N826),""^[A-Za-z0-9._%+-]+@[A-Za-z0-9.-]+\.[A-Za-z]{2,}$""),""✅ Valid"",""❌ Invalid"")"),"✅ Valid")</f>
        <v>✅ Valid</v>
      </c>
      <c r="P826" s="2">
        <f t="array" ref="P826">XLOOKUP(I826,customers_clean!$A$2:$A$701,customers_clean!$K$2:$K$701)</f>
        <v>494869862431</v>
      </c>
      <c r="Q826" s="10" t="str">
        <f t="array" ref="Q826">XLOOKUP(I826,customers_clean!$A$2:$A$701,customers_clean!$N$2:$N$701)</f>
        <v>4869862431</v>
      </c>
      <c r="R826" s="9" t="str">
        <f t="array" ref="R826">XLOOKUP(I826,customers_clean!$A$2:$A$701,customers_clean!$Q$2:$Q$701)</f>
        <v>❌ INVALID</v>
      </c>
      <c r="S826" s="10" t="s">
        <v>25</v>
      </c>
      <c r="T826" s="2" t="s">
        <v>683</v>
      </c>
      <c r="U826" s="2" t="s">
        <v>522</v>
      </c>
      <c r="V826" s="2" t="s">
        <v>390</v>
      </c>
      <c r="W826" s="9" t="str">
        <f t="array" ref="W826">IF(ISNA(XLOOKUP(V826,products_master_corrected!$A$2:$A$151,products_master_corrected!$A$2:$A$151, NA())),
    "❌ MISSING SKU", "✅")</f>
        <v>✅</v>
      </c>
      <c r="X826" s="2" t="s">
        <v>8673</v>
      </c>
      <c r="Y826" s="2" t="s">
        <v>248</v>
      </c>
      <c r="Z826" s="10" t="s">
        <v>248</v>
      </c>
      <c r="AA826" s="27">
        <v>2.0</v>
      </c>
      <c r="AB826" s="9" t="s">
        <v>8649</v>
      </c>
      <c r="AC826" s="28">
        <f t="array" ref="AC826">XLOOKUP(V826,products_master_corrected!$A$2:$A$151,products_master_corrected!$E$2:$E$151)</f>
        <v>310.34</v>
      </c>
      <c r="AD826" s="28">
        <f t="shared" si="93"/>
        <v>620.68</v>
      </c>
      <c r="AE826" s="28">
        <f t="array" ref="AE826">XLOOKUP(V826,products_master_corrected!$A$2:$A$151,products_master_corrected!$K$2:$K$151)</f>
        <v>1596.7</v>
      </c>
      <c r="AF826" s="29">
        <f t="shared" si="94"/>
        <v>3193.4</v>
      </c>
      <c r="AG826" s="30" t="s">
        <v>95</v>
      </c>
      <c r="AH826" s="2" t="s">
        <v>526</v>
      </c>
      <c r="AI826" s="10" t="s">
        <v>49</v>
      </c>
      <c r="AJ826" s="2" t="s">
        <v>527</v>
      </c>
      <c r="AK826" s="10" t="s">
        <v>192</v>
      </c>
    </row>
    <row r="827" ht="15.75" customHeight="1">
      <c r="A827" s="2" t="s">
        <v>2251</v>
      </c>
      <c r="B827" s="12">
        <v>45569.0</v>
      </c>
      <c r="C827" s="2" t="str">
        <f>IFERROR(__xludf.DUMMYFUNCTION("IF(ISNUMBER(B827),TEXT(B827,""yyyy-MM-dd""),REGEXREPLACE(REGEXREPLACE(TO_TEXT(B827),""[^0-9a-zA-Z]+"",""-""),""[^0-9]*$"",""""))"),"2024-10-04")</f>
        <v>2024-10-04</v>
      </c>
      <c r="D827" s="2" t="s">
        <v>7697</v>
      </c>
      <c r="H827" s="10" t="s">
        <v>7697</v>
      </c>
      <c r="I827" s="2" t="s">
        <v>2252</v>
      </c>
      <c r="J827" s="26" t="str">
        <f t="array" ref="J827">IF(ISNA(XLOOKUP(I827,customers_clean!$A$2:$A$701,customers_clean!$A$2:$A$701, NA()) ),
   "❌ MISSING CUSTOMER", "✅")</f>
        <v>✅</v>
      </c>
      <c r="K827" s="2" t="str">
        <f t="array" ref="K827">XLOOKUP(I827,customers_clean!$A$2:$A$701,customers_clean!$C$2:$C$701)</f>
        <v>Ethan Lee</v>
      </c>
      <c r="L827" s="10" t="str">
        <f t="array" ref="L827">XLOOKUP(I827,customers_clean!$A$2:$A$701,customers_clean!$D$2:$D$701)</f>
        <v>Ethan Lee</v>
      </c>
      <c r="M827" s="2" t="str">
        <f t="array" ref="M827">XLOOKUP(I827,customers_clean!$A$2:$A$701,customers_clean!$I$2:$I$701)</f>
        <v>ethan.lee@outlook.com</v>
      </c>
      <c r="N827" s="10" t="str">
        <f t="array" ref="N827">XLOOKUP(I827,customers_clean!$A$2:$A$701,customers_clean!$H$2:$H$701)</f>
        <v>ethan.lee@outlook.com</v>
      </c>
      <c r="O827" s="9" t="str">
        <f>IFERROR(__xludf.DUMMYFUNCTION("IF(REGEXMATCH(TRIM(N827),""^[A-Za-z0-9._%+-]+@[A-Za-z0-9.-]+\.[A-Za-z]{2,}$""),""✅ Valid"",""❌ Invalid"")"),"✅ Valid")</f>
        <v>✅ Valid</v>
      </c>
      <c r="P827" s="2" t="str">
        <f t="array" ref="P827">XLOOKUP(I827,customers_clean!$A$2:$A$701,customers_clean!$K$2:$K$701)</f>
        <v>+311654337 ext 147</v>
      </c>
      <c r="Q827" s="10" t="str">
        <f t="array" ref="Q827">XLOOKUP(I827,customers_clean!$A$2:$A$701,customers_clean!$N$2:$N$701)</f>
        <v>311654337</v>
      </c>
      <c r="R827" s="9" t="str">
        <f t="array" ref="R827">XLOOKUP(I827,customers_clean!$A$2:$A$701,customers_clean!$Q$2:$Q$701)</f>
        <v>✅ VALID</v>
      </c>
      <c r="S827" s="10" t="s">
        <v>88</v>
      </c>
      <c r="T827" s="2" t="s">
        <v>223</v>
      </c>
      <c r="U827" s="2" t="s">
        <v>2255</v>
      </c>
      <c r="V827" s="2" t="s">
        <v>756</v>
      </c>
      <c r="W827" s="9" t="str">
        <f t="array" ref="W827">IF(ISNA(XLOOKUP(V827,products_master_corrected!$A$2:$A$151,products_master_corrected!$A$2:$A$151, NA())),
    "❌ MISSING SKU", "✅")</f>
        <v>✅</v>
      </c>
      <c r="X827" s="2" t="s">
        <v>8737</v>
      </c>
      <c r="Y827" s="2" t="s">
        <v>30</v>
      </c>
      <c r="Z827" s="10" t="s">
        <v>179</v>
      </c>
      <c r="AA827" s="27">
        <v>2.0</v>
      </c>
      <c r="AB827" s="9" t="s">
        <v>8649</v>
      </c>
      <c r="AC827" s="28">
        <f t="array" ref="AC827">XLOOKUP(V827,products_master_corrected!$A$2:$A$151,products_master_corrected!$E$2:$E$151)</f>
        <v>61.04</v>
      </c>
      <c r="AD827" s="28">
        <f t="shared" si="93"/>
        <v>122.08</v>
      </c>
      <c r="AE827" s="28">
        <f t="array" ref="AE827">XLOOKUP(V827,products_master_corrected!$A$2:$A$151,products_master_corrected!$I$2:$I$151)</f>
        <v>67.29</v>
      </c>
      <c r="AF827" s="29">
        <f t="shared" si="94"/>
        <v>134.58</v>
      </c>
      <c r="AG827" s="32" t="s">
        <v>8660</v>
      </c>
      <c r="AH827" s="2" t="s">
        <v>33</v>
      </c>
      <c r="AI827" s="10" t="s">
        <v>181</v>
      </c>
      <c r="AJ827" s="2" t="s">
        <v>192</v>
      </c>
      <c r="AK827" s="10" t="s">
        <v>192</v>
      </c>
    </row>
    <row r="828" ht="15.75" customHeight="1">
      <c r="A828" s="2" t="s">
        <v>6226</v>
      </c>
      <c r="B828" s="12">
        <v>45028.0</v>
      </c>
      <c r="C828" s="2" t="str">
        <f>IFERROR(__xludf.DUMMYFUNCTION("IF(ISNUMBER(B828),TEXT(B828,""yyyy-MM-dd""),REGEXREPLACE(REGEXREPLACE(TO_TEXT(B828),""[^0-9a-zA-Z]+"",""-""),""[^0-9]*$"",""""))"),"2023-04-12")</f>
        <v>2023-04-12</v>
      </c>
      <c r="D828" s="2" t="s">
        <v>7772</v>
      </c>
      <c r="H828" s="10" t="s">
        <v>7772</v>
      </c>
      <c r="I828" s="2" t="s">
        <v>6228</v>
      </c>
      <c r="J828" s="26" t="str">
        <f t="array" ref="J828">IF(ISNA(XLOOKUP(I828,customers_clean!$A$2:$A$701,customers_clean!$A$2:$A$701, NA()) ),
   "❌ MISSING CUSTOMER", "✅")</f>
        <v>✅</v>
      </c>
      <c r="K828" s="2" t="str">
        <f t="array" ref="K828">XLOOKUP(I828,customers_clean!$A$2:$A$701,customers_clean!$C$2:$C$701)</f>
        <v> Wiktor Lee</v>
      </c>
      <c r="L828" s="10" t="str">
        <f t="array" ref="L828">XLOOKUP(I828,customers_clean!$A$2:$A$701,customers_clean!$D$2:$D$701)</f>
        <v>Wiktor Lee</v>
      </c>
      <c r="M828" s="2" t="str">
        <f t="array" ref="M828">XLOOKUP(I828,customers_clean!$A$2:$A$701,customers_clean!$I$2:$I$701)</f>
        <v>wiktor.lee@outlook.com</v>
      </c>
      <c r="N828" s="10" t="str">
        <f t="array" ref="N828">XLOOKUP(I828,customers_clean!$A$2:$A$701,customers_clean!$H$2:$H$701)</f>
        <v>wiktor.lee@outlook.com</v>
      </c>
      <c r="O828" s="9" t="str">
        <f>IFERROR(__xludf.DUMMYFUNCTION("IF(REGEXMATCH(TRIM(N828),""^[A-Za-z0-9._%+-]+@[A-Za-z0-9.-]+\.[A-Za-z]{2,}$""),""✅ Valid"",""❌ Invalid"")"),"✅ Valid")</f>
        <v>✅ Valid</v>
      </c>
      <c r="P828" s="2" t="str">
        <f t="array" ref="P828">XLOOKUP(I828,customers_clean!$A$2:$A$701,customers_clean!$K$2:$K$701)</f>
        <v>tel:+353470749715</v>
      </c>
      <c r="Q828" s="10" t="str">
        <f t="array" ref="Q828">XLOOKUP(I828,customers_clean!$A$2:$A$701,customers_clean!$N$2:$N$701)</f>
        <v>470749715</v>
      </c>
      <c r="R828" s="9" t="str">
        <f t="array" ref="R828">XLOOKUP(I828,customers_clean!$A$2:$A$701,customers_clean!$Q$2:$Q$701)</f>
        <v>❌ INVALID</v>
      </c>
      <c r="S828" s="10" t="s">
        <v>58</v>
      </c>
      <c r="T828" s="2" t="s">
        <v>2004</v>
      </c>
      <c r="U828" s="2" t="s">
        <v>365</v>
      </c>
      <c r="V828" s="2" t="s">
        <v>402</v>
      </c>
      <c r="W828" s="9" t="str">
        <f t="array" ref="W828">IF(ISNA(XLOOKUP(V828,products_master_corrected!$A$2:$A$151,products_master_corrected!$A$2:$A$151, NA())),
    "❌ MISSING SKU", "✅")</f>
        <v>✅</v>
      </c>
      <c r="X828" s="2" t="s">
        <v>403</v>
      </c>
      <c r="Y828" s="2" t="s">
        <v>404</v>
      </c>
      <c r="Z828" s="10" t="s">
        <v>248</v>
      </c>
      <c r="AA828" s="27">
        <v>1.0</v>
      </c>
      <c r="AB828" s="9" t="s">
        <v>8649</v>
      </c>
      <c r="AC828" s="28">
        <f t="array" ref="AC828">XLOOKUP(V828,products_master_corrected!$A$2:$A$151,products_master_corrected!$E$2:$E$151)</f>
        <v>20.48</v>
      </c>
      <c r="AD828" s="28">
        <f t="shared" si="93"/>
        <v>20.48</v>
      </c>
      <c r="AE828" s="28">
        <f t="array" ref="AE828">XLOOKUP(V828,products_master_corrected!$A$2:$A$151,products_master_corrected!$G$2:$G$151)</f>
        <v>23.45</v>
      </c>
      <c r="AF828" s="29">
        <f t="shared" si="94"/>
        <v>23.45</v>
      </c>
      <c r="AG828" s="32" t="s">
        <v>8663</v>
      </c>
      <c r="AH828" s="2" t="s">
        <v>96</v>
      </c>
      <c r="AI828" s="10" t="s">
        <v>143</v>
      </c>
      <c r="AJ828" s="2" t="s">
        <v>345</v>
      </c>
      <c r="AK828" s="10" t="s">
        <v>261</v>
      </c>
      <c r="AL828" s="2" t="s">
        <v>51</v>
      </c>
    </row>
    <row r="829" ht="15.75" customHeight="1">
      <c r="A829" s="2" t="s">
        <v>2752</v>
      </c>
      <c r="B829" s="12">
        <v>45712.0</v>
      </c>
      <c r="C829" s="2" t="str">
        <f>IFERROR(__xludf.DUMMYFUNCTION("IF(ISNUMBER(B829),TEXT(B829,""yyyy-MM-dd""),REGEXREPLACE(REGEXREPLACE(TO_TEXT(B829),""[^0-9a-zA-Z]+"",""-""),""[^0-9]*$"",""""))"),"2025-02-24")</f>
        <v>2025-02-24</v>
      </c>
      <c r="D829" s="2" t="s">
        <v>8605</v>
      </c>
      <c r="H829" s="10" t="s">
        <v>8605</v>
      </c>
      <c r="I829" s="2" t="s">
        <v>2754</v>
      </c>
      <c r="J829" s="26" t="str">
        <f t="array" ref="J829">IF(ISNA(XLOOKUP(I829,customers_clean!$A$2:$A$701,customers_clean!$A$2:$A$701, NA()) ),
   "❌ MISSING CUSTOMER", "✅")</f>
        <v>✅</v>
      </c>
      <c r="K829" s="2" t="str">
        <f t="array" ref="K829">XLOOKUP(I829,customers_clean!$A$2:$A$701,customers_clean!$C$2:$C$701)</f>
        <v>Xenia Johnson</v>
      </c>
      <c r="L829" s="10" t="str">
        <f t="array" ref="L829">XLOOKUP(I829,customers_clean!$A$2:$A$701,customers_clean!$D$2:$D$701)</f>
        <v>Xenia Johnson</v>
      </c>
      <c r="M829" s="2" t="str">
        <f t="array" ref="M829">XLOOKUP(I829,customers_clean!$A$2:$A$701,customers_clean!$I$2:$I$701)</f>
        <v/>
      </c>
      <c r="N829" s="10" t="str">
        <f t="array" ref="N829">XLOOKUP(I829,customers_clean!$A$2:$A$701,customers_clean!$H$2:$H$701)</f>
        <v/>
      </c>
      <c r="O829" s="9" t="str">
        <f>IFERROR(__xludf.DUMMYFUNCTION("IF(REGEXMATCH(TRIM(N829),""^[A-Za-z0-9._%+-]+@[A-Za-z0-9.-]+\.[A-Za-z]{2,}$""),""✅ Valid"",""❌ Invalid"")"),"❌ Invalid")</f>
        <v>❌ Invalid</v>
      </c>
      <c r="P829" s="2" t="str">
        <f t="array" ref="P829">XLOOKUP(I829,customers_clean!$A$2:$A$701,customers_clean!$K$2:$K$701)</f>
        <v>00635 358 767</v>
      </c>
      <c r="Q829" s="10" t="str">
        <f t="array" ref="Q829">XLOOKUP(I829,customers_clean!$A$2:$A$701,customers_clean!$N$2:$N$701)</f>
        <v/>
      </c>
      <c r="R829" s="9" t="str">
        <f t="array" ref="R829">XLOOKUP(I829,customers_clean!$A$2:$A$701,customers_clean!$Q$2:$Q$701)</f>
        <v/>
      </c>
      <c r="S829" s="10" t="s">
        <v>25</v>
      </c>
      <c r="T829" s="2" t="s">
        <v>115</v>
      </c>
      <c r="U829" s="2" t="s">
        <v>401</v>
      </c>
      <c r="V829" s="2" t="s">
        <v>104</v>
      </c>
      <c r="W829" s="9" t="str">
        <f t="array" ref="W829">IF(ISNA(XLOOKUP(V829,products_master_corrected!$A$2:$A$151,products_master_corrected!$A$2:$A$151, NA())),
    "❌ MISSING SKU", "✅")</f>
        <v>✅</v>
      </c>
      <c r="X829" s="2" t="s">
        <v>8703</v>
      </c>
      <c r="Y829" s="2" t="s">
        <v>106</v>
      </c>
      <c r="Z829" s="10" t="s">
        <v>368</v>
      </c>
      <c r="AA829" s="27">
        <v>5.0</v>
      </c>
      <c r="AB829" s="9" t="s">
        <v>8649</v>
      </c>
      <c r="AC829" s="28">
        <f t="array" ref="AC829">XLOOKUP(V829,products_master_corrected!$A$2:$A$151,products_master_corrected!$E$2:$E$151)</f>
        <v>135.16</v>
      </c>
      <c r="AD829" s="28">
        <f t="shared" si="93"/>
        <v>675.8</v>
      </c>
      <c r="AE829" s="28">
        <f t="array" ref="AE829">XLOOKUP(V829,products_master_corrected!$A$2:$A$151,products_master_corrected!$K$2:$K$151)</f>
        <v>695.4</v>
      </c>
      <c r="AF829" s="29">
        <f t="shared" si="94"/>
        <v>3477</v>
      </c>
      <c r="AG829" s="30" t="s">
        <v>95</v>
      </c>
      <c r="AH829" s="2" t="s">
        <v>664</v>
      </c>
      <c r="AI829" s="10" t="s">
        <v>66</v>
      </c>
      <c r="AJ829" s="2" t="s">
        <v>2759</v>
      </c>
      <c r="AK829" s="10" t="s">
        <v>818</v>
      </c>
    </row>
    <row r="830" ht="15.75" customHeight="1">
      <c r="A830" s="2" t="s">
        <v>1257</v>
      </c>
      <c r="B830" s="12">
        <v>45645.0</v>
      </c>
      <c r="C830" s="2" t="str">
        <f>IFERROR(__xludf.DUMMYFUNCTION("IF(ISNUMBER(B830),TEXT(B830,""yyyy-MM-dd""),REGEXREPLACE(REGEXREPLACE(TO_TEXT(B830),""[^0-9a-zA-Z]+"",""-""),""[^0-9]*$"",""""))"),"2024-12-19")</f>
        <v>2024-12-19</v>
      </c>
      <c r="D830" s="2" t="s">
        <v>2168</v>
      </c>
      <c r="H830" s="10" t="s">
        <v>2168</v>
      </c>
      <c r="I830" s="2" t="s">
        <v>1259</v>
      </c>
      <c r="J830" s="26" t="str">
        <f t="array" ref="J830">IF(ISNA(XLOOKUP(I830,customers_clean!$A$2:$A$701,customers_clean!$A$2:$A$701, NA()) ),
   "❌ MISSING CUSTOMER", "✅")</f>
        <v>✅</v>
      </c>
      <c r="K830" s="2" t="str">
        <f t="array" ref="K830">XLOOKUP(I830,customers_clean!$A$2:$A$701,customers_clean!$C$2:$C$701)</f>
        <v>DARIA WALKER</v>
      </c>
      <c r="L830" s="10" t="str">
        <f t="array" ref="L830">XLOOKUP(I830,customers_clean!$A$2:$A$701,customers_clean!$D$2:$D$701)</f>
        <v>Daria Walker</v>
      </c>
      <c r="M830" s="2" t="str">
        <f t="array" ref="M830">XLOOKUP(I830,customers_clean!$A$2:$A$701,customers_clean!$I$2:$I$701)</f>
        <v>Daria.Walker@Outlook.Com</v>
      </c>
      <c r="N830" s="10" t="str">
        <f t="array" ref="N830">XLOOKUP(I830,customers_clean!$A$2:$A$701,customers_clean!$H$2:$H$701)</f>
        <v>daria.walker@outlook.com</v>
      </c>
      <c r="O830" s="9" t="str">
        <f>IFERROR(__xludf.DUMMYFUNCTION("IF(REGEXMATCH(TRIM(N830),""^[A-Za-z0-9._%+-]+@[A-Za-z0-9.-]+\.[A-Za-z]{2,}$""),""✅ Valid"",""❌ Invalid"")"),"✅ Valid")</f>
        <v>✅ Valid</v>
      </c>
      <c r="P830" s="2" t="str">
        <f t="array" ref="P830">XLOOKUP(I830,customers_clean!$A$2:$A$701,customers_clean!$K$2:$K$701)</f>
        <v>+330686410111</v>
      </c>
      <c r="Q830" s="10" t="str">
        <f t="array" ref="Q830">XLOOKUP(I830,customers_clean!$A$2:$A$701,customers_clean!$N$2:$N$701)</f>
        <v>0686410111</v>
      </c>
      <c r="R830" s="9" t="str">
        <f t="array" ref="R830">XLOOKUP(I830,customers_clean!$A$2:$A$701,customers_clean!$Q$2:$Q$701)</f>
        <v>❌ INVALID</v>
      </c>
      <c r="S830" s="10" t="s">
        <v>58</v>
      </c>
      <c r="T830" s="2" t="s">
        <v>460</v>
      </c>
      <c r="U830" s="2" t="s">
        <v>365</v>
      </c>
      <c r="V830" s="2" t="s">
        <v>1263</v>
      </c>
      <c r="W830" s="9" t="str">
        <f t="array" ref="W830">IF(ISNA(XLOOKUP(V830,products_master_corrected!$A$2:$A$151,products_master_corrected!$A$2:$A$151, NA())),
    "❌ MISSING SKU", "✅")</f>
        <v>✅</v>
      </c>
      <c r="X830" s="2" t="s">
        <v>741</v>
      </c>
      <c r="Y830" s="2" t="s">
        <v>368</v>
      </c>
      <c r="Z830" s="10" t="s">
        <v>368</v>
      </c>
      <c r="AA830" s="27">
        <v>1.0</v>
      </c>
      <c r="AB830" s="9" t="s">
        <v>8649</v>
      </c>
      <c r="AC830" s="28">
        <f t="array" ref="AC830">XLOOKUP(V830,products_master_corrected!$A$2:$A$151,products_master_corrected!$E$2:$E$151)</f>
        <v>36.2</v>
      </c>
      <c r="AD830" s="28">
        <f t="shared" si="93"/>
        <v>36.2</v>
      </c>
      <c r="AE830" s="28">
        <f t="array" ref="AE830">XLOOKUP(V830,products_master_corrected!$A$2:$A$151,products_master_corrected!$G$2:$G$151)</f>
        <v>41.44</v>
      </c>
      <c r="AF830" s="29">
        <f t="shared" si="94"/>
        <v>41.44</v>
      </c>
      <c r="AG830" s="32" t="s">
        <v>8663</v>
      </c>
      <c r="AH830" s="2" t="s">
        <v>143</v>
      </c>
      <c r="AI830" s="10" t="s">
        <v>143</v>
      </c>
      <c r="AJ830" s="2" t="s">
        <v>50</v>
      </c>
      <c r="AK830" s="10" t="s">
        <v>261</v>
      </c>
    </row>
    <row r="831" ht="15.75" customHeight="1">
      <c r="A831" s="2" t="s">
        <v>5346</v>
      </c>
      <c r="B831" s="12">
        <v>45219.8375</v>
      </c>
      <c r="C831" s="2" t="str">
        <f>IFERROR(__xludf.DUMMYFUNCTION("IF(ISNUMBER(B831),TEXT(B831,""yyyy-MM-dd""),REGEXREPLACE(REGEXREPLACE(TO_TEXT(B831),""[^0-9a-zA-Z]+"",""-""),""[^0-9]*$"",""""))"),"2023-10-20")</f>
        <v>2023-10-20</v>
      </c>
      <c r="D831" s="2" t="s">
        <v>8955</v>
      </c>
      <c r="H831" s="10" t="s">
        <v>8955</v>
      </c>
      <c r="I831" s="2" t="s">
        <v>5348</v>
      </c>
      <c r="J831" s="26" t="str">
        <f t="array" ref="J831">IF(ISNA(XLOOKUP(I831,customers_clean!$A$2:$A$701,customers_clean!$A$2:$A$701, NA()) ),
   "❌ MISSING CUSTOMER", "✅")</f>
        <v>✅</v>
      </c>
      <c r="K831" s="2" t="str">
        <f t="array" ref="K831">XLOOKUP(I831,customers_clean!$A$2:$A$701,customers_clean!$C$2:$C$701)</f>
        <v>BELLA DUBOIS</v>
      </c>
      <c r="L831" s="10" t="str">
        <f t="array" ref="L831">XLOOKUP(I831,customers_clean!$A$2:$A$701,customers_clean!$D$2:$D$701)</f>
        <v>Bella Dubois</v>
      </c>
      <c r="M831" s="2" t="str">
        <f t="array" ref="M831">XLOOKUP(I831,customers_clean!$A$2:$A$701,customers_clean!$I$2:$I$701)</f>
        <v> bella.dubois@yahoo.com</v>
      </c>
      <c r="N831" s="10" t="str">
        <f t="array" ref="N831">XLOOKUP(I831,customers_clean!$A$2:$A$701,customers_clean!$H$2:$H$701)</f>
        <v>bella.dubois@yahoo.com</v>
      </c>
      <c r="O831" s="9" t="str">
        <f>IFERROR(__xludf.DUMMYFUNCTION("IF(REGEXMATCH(TRIM(N831),""^[A-Za-z0-9._%+-]+@[A-Za-z0-9.-]+\.[A-Za-z]{2,}$""),""✅ Valid"",""❌ Invalid"")"),"✅ Valid")</f>
        <v>✅ Valid</v>
      </c>
      <c r="P831" s="2" t="str">
        <f t="array" ref="P831">XLOOKUP(I831,customers_clean!$A$2:$A$701,customers_clean!$K$2:$K$701)</f>
        <v>tel:0493694610</v>
      </c>
      <c r="Q831" s="10" t="str">
        <f t="array" ref="Q831">XLOOKUP(I831,customers_clean!$A$2:$A$701,customers_clean!$N$2:$N$701)</f>
        <v>0493694610</v>
      </c>
      <c r="R831" s="9" t="str">
        <f t="array" ref="R831">XLOOKUP(I831,customers_clean!$A$2:$A$701,customers_clean!$Q$2:$Q$701)</f>
        <v>❌ INVALID</v>
      </c>
      <c r="S831" s="10" t="s">
        <v>114</v>
      </c>
      <c r="T831" s="2" t="s">
        <v>223</v>
      </c>
      <c r="U831" s="2" t="s">
        <v>103</v>
      </c>
      <c r="V831" s="2" t="s">
        <v>1495</v>
      </c>
      <c r="W831" s="9" t="str">
        <f t="array" ref="W831">IF(ISNA(XLOOKUP(V831,products_master_corrected!$A$2:$A$151,products_master_corrected!$A$2:$A$151, NA())),
    "❌ MISSING SKU", "✅")</f>
        <v>✅</v>
      </c>
      <c r="X831" s="2" t="s">
        <v>1138</v>
      </c>
      <c r="Y831" s="2" t="s">
        <v>248</v>
      </c>
      <c r="Z831" s="10" t="s">
        <v>248</v>
      </c>
      <c r="AA831" s="27">
        <v>2.0</v>
      </c>
      <c r="AB831" s="9" t="s">
        <v>8649</v>
      </c>
      <c r="AC831" s="28">
        <f t="array" ref="AC831">XLOOKUP(V831,products_master_corrected!$A$2:$A$151,products_master_corrected!$E$2:$E$151)</f>
        <v>248.14</v>
      </c>
      <c r="AD831" s="28">
        <f t="shared" si="93"/>
        <v>496.28</v>
      </c>
      <c r="AE831" s="28">
        <f t="array" ref="AE831">XLOOKUP(V831,products_master_corrected!$A$2:$A$151,products_master_corrected!$F$2:$F$151)</f>
        <v>248.14</v>
      </c>
      <c r="AF831" s="29">
        <f t="shared" si="94"/>
        <v>496.28</v>
      </c>
      <c r="AG831" s="30" t="s">
        <v>65</v>
      </c>
      <c r="AH831" s="2" t="s">
        <v>131</v>
      </c>
      <c r="AI831" s="10" t="s">
        <v>181</v>
      </c>
      <c r="AJ831" s="2" t="s">
        <v>34</v>
      </c>
      <c r="AK831" s="10" t="s">
        <v>80</v>
      </c>
      <c r="AL831" s="2" t="s">
        <v>133</v>
      </c>
    </row>
    <row r="832" ht="15.75" customHeight="1">
      <c r="A832" s="2" t="s">
        <v>1981</v>
      </c>
      <c r="B832" s="12" t="s">
        <v>1982</v>
      </c>
      <c r="C832" s="2" t="str">
        <f>IFERROR(__xludf.DUMMYFUNCTION("IF(ISNUMBER(B832),TEXT(B832,""yyyy-MM-dd""),REGEXREPLACE(REGEXREPLACE(TO_TEXT(B832),""[^0-9a-zA-Z]+"",""-""),""[^0-9]*$"",""""))"),"01-23-2025")</f>
        <v>01-23-2025</v>
      </c>
      <c r="D832" s="2" t="str">
        <f>TEXT(C832,"yyyy-MM-dd")</f>
        <v>01-23-2025</v>
      </c>
      <c r="E832" s="2" t="s">
        <v>8882</v>
      </c>
      <c r="H832" s="10" t="s">
        <v>8882</v>
      </c>
      <c r="I832" s="2" t="s">
        <v>1362</v>
      </c>
      <c r="J832" s="26" t="str">
        <f t="array" ref="J832">IF(ISNA(XLOOKUP(I832,customers_clean!$A$2:$A$701,customers_clean!$A$2:$A$701, NA()) ),
   "❌ MISSING CUSTOMER", "✅")</f>
        <v>✅</v>
      </c>
      <c r="K832" s="2" t="str">
        <f t="array" ref="K832">XLOOKUP(I832,customers_clean!$A$2:$A$701,customers_clean!$C$2:$C$701)</f>
        <v>Gabe Kowalski</v>
      </c>
      <c r="L832" s="10" t="str">
        <f t="array" ref="L832">XLOOKUP(I832,customers_clean!$A$2:$A$701,customers_clean!$D$2:$D$701)</f>
        <v>Gabe Kowalski</v>
      </c>
      <c r="M832" s="2" t="str">
        <f t="array" ref="M832">XLOOKUP(I832,customers_clean!$A$2:$A$701,customers_clean!$I$2:$I$701)</f>
        <v>gabe.kowalski@shop.io</v>
      </c>
      <c r="N832" s="10" t="str">
        <f t="array" ref="N832">XLOOKUP(I832,customers_clean!$A$2:$A$701,customers_clean!$H$2:$H$701)</f>
        <v>gabe.kowalski@shop.io</v>
      </c>
      <c r="O832" s="9" t="str">
        <f>IFERROR(__xludf.DUMMYFUNCTION("IF(REGEXMATCH(TRIM(N832),""^[A-Za-z0-9._%+-]+@[A-Za-z0-9.-]+\.[A-Za-z]{2,}$""),""✅ Valid"",""❌ Invalid"")"),"✅ Valid")</f>
        <v>✅ Valid</v>
      </c>
      <c r="P832" s="33" t="str">
        <f t="array" ref="P832">XLOOKUP(I832,customers_clean!$A$2:$A$701,customers_clean!$K$2:$K$701)</f>
        <v>+48612665487 ext 548 x</v>
      </c>
      <c r="Q832" s="10" t="str">
        <f t="array" ref="Q832">XLOOKUP(I832,customers_clean!$A$2:$A$701,customers_clean!$N$2:$N$701)</f>
        <v>612665487</v>
      </c>
      <c r="R832" s="9" t="str">
        <f t="array" ref="R832">XLOOKUP(I832,customers_clean!$A$2:$A$701,customers_clean!$Q$2:$Q$701)</f>
        <v>❌ INVALID</v>
      </c>
      <c r="S832" s="10" t="s">
        <v>608</v>
      </c>
      <c r="T832" s="2" t="s">
        <v>26</v>
      </c>
      <c r="U832" s="2" t="s">
        <v>480</v>
      </c>
      <c r="V832" s="2" t="s">
        <v>1014</v>
      </c>
      <c r="W832" s="9" t="str">
        <f t="array" ref="W832">IF(ISNA(XLOOKUP(V832,products_master_corrected!$A$2:$A$151,products_master_corrected!$A$2:$A$151, NA())),
    "❌ MISSING SKU", "✅")</f>
        <v>✅</v>
      </c>
      <c r="X832" s="2" t="s">
        <v>1015</v>
      </c>
      <c r="Y832" s="2" t="s">
        <v>1016</v>
      </c>
      <c r="Z832" s="10" t="s">
        <v>355</v>
      </c>
      <c r="AA832" s="27">
        <v>3.0</v>
      </c>
      <c r="AB832" s="9" t="s">
        <v>8649</v>
      </c>
      <c r="AC832" s="28">
        <f t="array" ref="AC832">XLOOKUP(V832,products_master_corrected!$A$2:$A$151,products_master_corrected!$E$2:$E$151)</f>
        <v>162.1</v>
      </c>
      <c r="AD832" s="28">
        <f t="shared" si="93"/>
        <v>486.3</v>
      </c>
      <c r="AE832" s="28">
        <f t="array" ref="AE832">XLOOKUP(V832,products_master_corrected!$A$2:$A$151,products_master_corrected!$H$2:$H$151)</f>
        <v>182.12</v>
      </c>
      <c r="AF832" s="29">
        <f t="shared" si="94"/>
        <v>546.36</v>
      </c>
      <c r="AG832" s="32" t="s">
        <v>8658</v>
      </c>
      <c r="AH832" s="2" t="s">
        <v>370</v>
      </c>
      <c r="AI832" s="10" t="s">
        <v>143</v>
      </c>
      <c r="AJ832" s="2" t="s">
        <v>527</v>
      </c>
      <c r="AK832" s="10" t="s">
        <v>192</v>
      </c>
      <c r="AL832" s="2" t="s">
        <v>67</v>
      </c>
    </row>
    <row r="833" ht="15.75" customHeight="1">
      <c r="A833" s="2" t="s">
        <v>1360</v>
      </c>
      <c r="B833" s="12">
        <v>45129.40138888889</v>
      </c>
      <c r="C833" s="2" t="str">
        <f>IFERROR(__xludf.DUMMYFUNCTION("IF(ISNUMBER(B833),TEXT(B833,""yyyy-MM-dd""),REGEXREPLACE(REGEXREPLACE(TO_TEXT(B833),""[^0-9a-zA-Z]+"",""-""),""[^0-9]*$"",""""))"),"2023-07-22")</f>
        <v>2023-07-22</v>
      </c>
      <c r="D833" s="2" t="s">
        <v>1418</v>
      </c>
      <c r="H833" s="10" t="s">
        <v>1418</v>
      </c>
      <c r="I833" s="2" t="s">
        <v>1362</v>
      </c>
      <c r="J833" s="26" t="str">
        <f t="array" ref="J833">IF(ISNA(XLOOKUP(I833,customers_clean!$A$2:$A$701,customers_clean!$A$2:$A$701, NA()) ),
   "❌ MISSING CUSTOMER", "✅")</f>
        <v>✅</v>
      </c>
      <c r="K833" s="2" t="str">
        <f t="array" ref="K833">XLOOKUP(I833,customers_clean!$A$2:$A$701,customers_clean!$C$2:$C$701)</f>
        <v>Gabe Kowalski</v>
      </c>
      <c r="L833" s="10" t="str">
        <f t="array" ref="L833">XLOOKUP(I833,customers_clean!$A$2:$A$701,customers_clean!$D$2:$D$701)</f>
        <v>Gabe Kowalski</v>
      </c>
      <c r="M833" s="2" t="str">
        <f t="array" ref="M833">XLOOKUP(I833,customers_clean!$A$2:$A$701,customers_clean!$I$2:$I$701)</f>
        <v>gabe.kowalski@shop.io</v>
      </c>
      <c r="N833" s="10" t="str">
        <f t="array" ref="N833">XLOOKUP(I833,customers_clean!$A$2:$A$701,customers_clean!$H$2:$H$701)</f>
        <v>gabe.kowalski@shop.io</v>
      </c>
      <c r="O833" s="9" t="str">
        <f>IFERROR(__xludf.DUMMYFUNCTION("IF(REGEXMATCH(TRIM(N833),""^[A-Za-z0-9._%+-]+@[A-Za-z0-9.-]+\.[A-Za-z]{2,}$""),""✅ Valid"",""❌ Invalid"")"),"✅ Valid")</f>
        <v>✅ Valid</v>
      </c>
      <c r="P833" s="33" t="str">
        <f t="array" ref="P833">XLOOKUP(I833,customers_clean!$A$2:$A$701,customers_clean!$K$2:$K$701)</f>
        <v>+48612665487 ext 548 x</v>
      </c>
      <c r="Q833" s="10" t="str">
        <f t="array" ref="Q833">XLOOKUP(I833,customers_clean!$A$2:$A$701,customers_clean!$N$2:$N$701)</f>
        <v>612665487</v>
      </c>
      <c r="R833" s="9" t="str">
        <f t="array" ref="R833">XLOOKUP(I833,customers_clean!$A$2:$A$701,customers_clean!$Q$2:$Q$701)</f>
        <v>❌ INVALID</v>
      </c>
      <c r="S833" s="10" t="s">
        <v>608</v>
      </c>
      <c r="T833" s="2" t="s">
        <v>1365</v>
      </c>
      <c r="U833" s="2" t="s">
        <v>289</v>
      </c>
      <c r="V833" s="2" t="s">
        <v>1197</v>
      </c>
      <c r="W833" s="9" t="str">
        <f t="array" ref="W833">IF(ISNA(XLOOKUP(V833,products_master_corrected!$A$2:$A$151,products_master_corrected!$A$2:$A$151, NA())),
    "❌ MISSING SKU", "✅")</f>
        <v>✅</v>
      </c>
      <c r="X833" s="2" t="s">
        <v>1138</v>
      </c>
      <c r="Y833" s="2" t="s">
        <v>1199</v>
      </c>
      <c r="Z833" s="10" t="s">
        <v>179</v>
      </c>
      <c r="AA833" s="27">
        <v>2.0</v>
      </c>
      <c r="AB833" s="9" t="s">
        <v>8649</v>
      </c>
      <c r="AC833" s="28">
        <f t="array" ref="AC833">XLOOKUP(V833,products_master_corrected!$A$2:$A$151,products_master_corrected!$E$2:$E$151)</f>
        <v>80.95</v>
      </c>
      <c r="AD833" s="28">
        <f t="shared" si="93"/>
        <v>161.9</v>
      </c>
      <c r="AE833" s="28">
        <f t="array" ref="AE833">XLOOKUP(V833,products_master_corrected!$A$2:$A$151,products_master_corrected!$H$2:$H$151)</f>
        <v>90.95</v>
      </c>
      <c r="AF833" s="29">
        <f t="shared" si="94"/>
        <v>181.9</v>
      </c>
      <c r="AG833" s="32" t="s">
        <v>8658</v>
      </c>
      <c r="AH833" s="2" t="s">
        <v>1367</v>
      </c>
      <c r="AI833" s="10" t="s">
        <v>181</v>
      </c>
      <c r="AJ833" s="2" t="s">
        <v>1368</v>
      </c>
      <c r="AK833" s="10" t="s">
        <v>818</v>
      </c>
    </row>
    <row r="834" ht="15.75" customHeight="1">
      <c r="A834" s="2" t="s">
        <v>5285</v>
      </c>
      <c r="B834" s="12">
        <v>45708.0</v>
      </c>
      <c r="C834" s="2" t="str">
        <f>IFERROR(__xludf.DUMMYFUNCTION("IF(ISNUMBER(B834),TEXT(B834,""yyyy-MM-dd""),REGEXREPLACE(REGEXREPLACE(TO_TEXT(B834),""[^0-9a-zA-Z]+"",""-""),""[^0-9]*$"",""""))"),"2025-02-20")</f>
        <v>2025-02-20</v>
      </c>
      <c r="D834" s="2" t="s">
        <v>8956</v>
      </c>
      <c r="H834" s="10" t="s">
        <v>8956</v>
      </c>
      <c r="I834" s="2" t="s">
        <v>5287</v>
      </c>
      <c r="J834" s="26" t="str">
        <f t="array" ref="J834">IF(ISNA(XLOOKUP(I834,customers_clean!$A$2:$A$701,customers_clean!$A$2:$A$701, NA()) ),
   "❌ MISSING CUSTOMER", "✅")</f>
        <v>✅</v>
      </c>
      <c r="K834" s="2" t="str">
        <f t="array" ref="K834">XLOOKUP(I834,customers_clean!$A$2:$A$701,customers_clean!$C$2:$C$701)</f>
        <v>Zack Rodriguez </v>
      </c>
      <c r="L834" s="10" t="str">
        <f t="array" ref="L834">XLOOKUP(I834,customers_clean!$A$2:$A$701,customers_clean!$D$2:$D$701)</f>
        <v>Zack Rodriguez</v>
      </c>
      <c r="M834" s="2" t="str">
        <f t="array" ref="M834">XLOOKUP(I834,customers_clean!$A$2:$A$701,customers_clean!$I$2:$I$701)</f>
        <v/>
      </c>
      <c r="N834" s="10" t="str">
        <f t="array" ref="N834">XLOOKUP(I834,customers_clean!$A$2:$A$701,customers_clean!$H$2:$H$701)</f>
        <v/>
      </c>
      <c r="O834" s="9" t="str">
        <f>IFERROR(__xludf.DUMMYFUNCTION("IF(REGEXMATCH(TRIM(N834),""^[A-Za-z0-9._%+-]+@[A-Za-z0-9.-]+\.[A-Za-z]{2,}$""),""✅ Valid"",""❌ Invalid"")"),"❌ Invalid")</f>
        <v>❌ Invalid</v>
      </c>
      <c r="P834" s="2" t="str">
        <f t="array" ref="P834">XLOOKUP(I834,customers_clean!$A$2:$A$701,customers_clean!$K$2:$K$701)</f>
        <v>+44 315 732 9340</v>
      </c>
      <c r="Q834" s="10" t="str">
        <f t="array" ref="Q834">XLOOKUP(I834,customers_clean!$A$2:$A$701,customers_clean!$N$2:$N$701)</f>
        <v/>
      </c>
      <c r="R834" s="9" t="str">
        <f t="array" ref="R834">XLOOKUP(I834,customers_clean!$A$2:$A$701,customers_clean!$Q$2:$Q$701)</f>
        <v/>
      </c>
      <c r="S834" s="10" t="s">
        <v>114</v>
      </c>
      <c r="T834" s="2" t="s">
        <v>223</v>
      </c>
      <c r="U834" s="2" t="s">
        <v>75</v>
      </c>
      <c r="V834" s="2" t="s">
        <v>1722</v>
      </c>
      <c r="W834" s="9" t="str">
        <f t="array" ref="W834">IF(ISNA(XLOOKUP(V834,products_master_corrected!$A$2:$A$151,products_master_corrected!$A$2:$A$151, NA())),
    "❌ MISSING SKU", "✅")</f>
        <v>✅</v>
      </c>
      <c r="X834" s="2" t="s">
        <v>804</v>
      </c>
      <c r="Y834" s="2" t="s">
        <v>368</v>
      </c>
      <c r="Z834" s="10" t="s">
        <v>368</v>
      </c>
      <c r="AA834" s="27">
        <v>2.0</v>
      </c>
      <c r="AB834" s="9" t="s">
        <v>8649</v>
      </c>
      <c r="AC834" s="28">
        <f t="array" ref="AC834">XLOOKUP(V834,products_master_corrected!$A$2:$A$151,products_master_corrected!$E$2:$E$151)</f>
        <v>13.05</v>
      </c>
      <c r="AD834" s="28">
        <f t="shared" si="93"/>
        <v>26.1</v>
      </c>
      <c r="AE834" s="28">
        <f t="array" ref="AE834">XLOOKUP(V834,products_master_corrected!$A$2:$A$151,products_master_corrected!$F$2:$F$151)</f>
        <v>13.05</v>
      </c>
      <c r="AF834" s="29">
        <f t="shared" si="94"/>
        <v>26.1</v>
      </c>
      <c r="AG834" s="30" t="s">
        <v>65</v>
      </c>
      <c r="AH834" s="2" t="s">
        <v>485</v>
      </c>
      <c r="AI834" s="10" t="s">
        <v>181</v>
      </c>
      <c r="AJ834" s="2" t="s">
        <v>192</v>
      </c>
      <c r="AK834" s="10" t="s">
        <v>192</v>
      </c>
      <c r="AL834" s="2" t="s">
        <v>133</v>
      </c>
    </row>
    <row r="835" ht="15.75" customHeight="1">
      <c r="A835" s="2" t="s">
        <v>1417</v>
      </c>
      <c r="B835" s="12">
        <v>45129.0</v>
      </c>
      <c r="C835" s="2" t="str">
        <f>IFERROR(__xludf.DUMMYFUNCTION("IF(ISNUMBER(B835),TEXT(B835,""yyyy-MM-dd""),REGEXREPLACE(REGEXREPLACE(TO_TEXT(B835),""[^0-9a-zA-Z]+"",""-""),""[^0-9]*$"",""""))"),"2023-07-22")</f>
        <v>2023-07-22</v>
      </c>
      <c r="D835" s="2" t="s">
        <v>1418</v>
      </c>
      <c r="H835" s="10" t="s">
        <v>1418</v>
      </c>
      <c r="I835" s="2" t="s">
        <v>1419</v>
      </c>
      <c r="J835" s="26" t="str">
        <f t="array" ref="J835">IF(ISNA(XLOOKUP(I835,customers_clean!$A$2:$A$701,customers_clean!$A$2:$A$701, NA()) ),
   "❌ MISSING CUSTOMER", "✅")</f>
        <v>✅</v>
      </c>
      <c r="K835" s="2" t="str">
        <f t="array" ref="K835">XLOOKUP(I835,customers_clean!$A$2:$A$701,customers_clean!$C$2:$C$701)</f>
        <v> Rita Kowalczyk</v>
      </c>
      <c r="L835" s="10" t="str">
        <f t="array" ref="L835">XLOOKUP(I835,customers_clean!$A$2:$A$701,customers_clean!$D$2:$D$701)</f>
        <v>Rita Kowalczyk</v>
      </c>
      <c r="M835" s="2" t="str">
        <f t="array" ref="M835">XLOOKUP(I835,customers_clean!$A$2:$A$701,customers_clean!$I$2:$I$701)</f>
        <v>rita.kowalczyk@outlook.com </v>
      </c>
      <c r="N835" s="10" t="str">
        <f t="array" ref="N835">XLOOKUP(I835,customers_clean!$A$2:$A$701,customers_clean!$H$2:$H$701)</f>
        <v>rita.kowalczyk@outlook.com</v>
      </c>
      <c r="O835" s="9" t="str">
        <f>IFERROR(__xludf.DUMMYFUNCTION("IF(REGEXMATCH(TRIM(N835),""^[A-Za-z0-9._%+-]+@[A-Za-z0-9.-]+\.[A-Za-z]{2,}$""),""✅ Valid"",""❌ Invalid"")"),"✅ Valid")</f>
        <v>✅ Valid</v>
      </c>
      <c r="P835" s="2" t="str">
        <f t="array" ref="P835">XLOOKUP(I835,customers_clean!$A$2:$A$701,customers_clean!$K$2:$K$701)</f>
        <v>39997x241</v>
      </c>
      <c r="Q835" s="10" t="str">
        <f t="array" ref="Q835">XLOOKUP(I835,customers_clean!$A$2:$A$701,customers_clean!$N$2:$N$701)</f>
        <v>997241</v>
      </c>
      <c r="R835" s="9" t="str">
        <f t="array" ref="R835">XLOOKUP(I835,customers_clean!$A$2:$A$701,customers_clean!$Q$2:$Q$701)</f>
        <v>❌ INVALID</v>
      </c>
      <c r="S835" s="31" t="s">
        <v>671</v>
      </c>
      <c r="T835" s="2" t="s">
        <v>802</v>
      </c>
      <c r="U835" s="2" t="s">
        <v>1423</v>
      </c>
      <c r="V835" s="2" t="s">
        <v>652</v>
      </c>
      <c r="W835" s="9" t="str">
        <f t="array" ref="W835">IF(ISNA(XLOOKUP(V835,products_master_corrected!$A$2:$A$151,products_master_corrected!$A$2:$A$151, NA())),
    "❌ MISSING SKU", "✅")</f>
        <v>✅</v>
      </c>
      <c r="X835" s="2" t="s">
        <v>8673</v>
      </c>
      <c r="Y835" s="2" t="s">
        <v>179</v>
      </c>
      <c r="Z835" s="10" t="s">
        <v>179</v>
      </c>
      <c r="AA835" s="27">
        <v>2.0</v>
      </c>
      <c r="AB835" s="9" t="s">
        <v>8649</v>
      </c>
      <c r="AC835" s="28">
        <f t="array" ref="AC835">XLOOKUP(V835,products_master_corrected!$A$2:$A$151,products_master_corrected!$E$2:$E$151)</f>
        <v>240.24</v>
      </c>
      <c r="AD835" s="28">
        <f t="shared" si="93"/>
        <v>480.48</v>
      </c>
      <c r="AE835" s="28">
        <f t="array" ref="AE835">XLOOKUP(V835,products_master_corrected!$A$2:$A$151,products_master_corrected!$J$2:$J$151)</f>
        <v>280.19</v>
      </c>
      <c r="AF835" s="29">
        <f t="shared" si="94"/>
        <v>560.38</v>
      </c>
      <c r="AG835" s="32" t="s">
        <v>8656</v>
      </c>
      <c r="AH835" s="2" t="s">
        <v>66</v>
      </c>
      <c r="AI835" s="10" t="s">
        <v>66</v>
      </c>
      <c r="AJ835" s="2" t="s">
        <v>393</v>
      </c>
      <c r="AK835" s="10" t="s">
        <v>80</v>
      </c>
      <c r="AL835" s="2" t="s">
        <v>67</v>
      </c>
    </row>
    <row r="836" ht="15.75" customHeight="1">
      <c r="A836" s="2" t="s">
        <v>4183</v>
      </c>
      <c r="B836" s="12">
        <v>45095.0</v>
      </c>
      <c r="C836" s="2" t="str">
        <f>IFERROR(__xludf.DUMMYFUNCTION("IF(ISNUMBER(B836),TEXT(B836,""yyyy-MM-dd""),REGEXREPLACE(REGEXREPLACE(TO_TEXT(B836),""[^0-9a-zA-Z]+"",""-""),""[^0-9]*$"",""""))"),"2023-06-18")</f>
        <v>2023-06-18</v>
      </c>
      <c r="D836" s="2" t="s">
        <v>7618</v>
      </c>
      <c r="H836" s="10" t="s">
        <v>7618</v>
      </c>
      <c r="I836" s="2" t="s">
        <v>4185</v>
      </c>
      <c r="J836" s="26" t="str">
        <f t="array" ref="J836">IF(ISNA(XLOOKUP(I836,customers_clean!$A$2:$A$701,customers_clean!$A$2:$A$701, NA()) ),
   "❌ MISSING CUSTOMER", "✅")</f>
        <v>✅</v>
      </c>
      <c r="K836" s="2" t="str">
        <f t="array" ref="K836">XLOOKUP(I836,customers_clean!$A$2:$A$701,customers_clean!$C$2:$C$701)</f>
        <v>Igor Novak</v>
      </c>
      <c r="L836" s="10" t="str">
        <f t="array" ref="L836">XLOOKUP(I836,customers_clean!$A$2:$A$701,customers_clean!$D$2:$D$701)</f>
        <v>Igor Novak</v>
      </c>
      <c r="M836" s="2" t="str">
        <f t="array" ref="M836">XLOOKUP(I836,customers_clean!$A$2:$A$701,customers_clean!$I$2:$I$701)</f>
        <v/>
      </c>
      <c r="N836" s="10" t="str">
        <f t="array" ref="N836">XLOOKUP(I836,customers_clean!$A$2:$A$701,customers_clean!$H$2:$H$701)</f>
        <v/>
      </c>
      <c r="O836" s="9" t="str">
        <f>IFERROR(__xludf.DUMMYFUNCTION("IF(REGEXMATCH(TRIM(N836),""^[A-Za-z0-9._%+-]+@[A-Za-z0-9.-]+\.[A-Za-z]{2,}$""),""✅ Valid"",""❌ Invalid"")"),"❌ Invalid")</f>
        <v>❌ Invalid</v>
      </c>
      <c r="P836" s="2" t="str">
        <f t="array" ref="P836">XLOOKUP(I836,customers_clean!$A$2:$A$701,customers_clean!$K$2:$K$701)</f>
        <v>08844 823 181 </v>
      </c>
      <c r="Q836" s="10" t="str">
        <f t="array" ref="Q836">XLOOKUP(I836,customers_clean!$A$2:$A$701,customers_clean!$N$2:$N$701)</f>
        <v/>
      </c>
      <c r="R836" s="9" t="str">
        <f t="array" ref="R836">XLOOKUP(I836,customers_clean!$A$2:$A$701,customers_clean!$Q$2:$Q$701)</f>
        <v/>
      </c>
      <c r="S836" s="10" t="s">
        <v>114</v>
      </c>
      <c r="T836" s="2" t="s">
        <v>74</v>
      </c>
      <c r="U836" s="2" t="s">
        <v>312</v>
      </c>
      <c r="V836" s="2" t="s">
        <v>290</v>
      </c>
      <c r="W836" s="9" t="str">
        <f t="array" ref="W836">IF(ISNA(XLOOKUP(V836,products_master_corrected!$A$2:$A$151,products_master_corrected!$A$2:$A$151, NA())),
    "❌ MISSING SKU", "✅")</f>
        <v>✅</v>
      </c>
      <c r="X836" s="2" t="s">
        <v>291</v>
      </c>
      <c r="Y836" s="2" t="s">
        <v>292</v>
      </c>
      <c r="Z836" s="10" t="s">
        <v>63</v>
      </c>
      <c r="AA836" s="27">
        <v>2.0</v>
      </c>
      <c r="AB836" s="9" t="s">
        <v>8649</v>
      </c>
      <c r="AC836" s="28">
        <f t="array" ref="AC836">XLOOKUP(V836,products_master_corrected!$A$2:$A$151,products_master_corrected!$E$2:$E$151)</f>
        <v>118.56</v>
      </c>
      <c r="AD836" s="28">
        <f t="shared" si="93"/>
        <v>237.12</v>
      </c>
      <c r="AE836" s="28">
        <f t="array" ref="AE836">XLOOKUP(V836,products_master_corrected!$A$2:$A$151,products_master_corrected!$F$2:$F$151)</f>
        <v>118.56</v>
      </c>
      <c r="AF836" s="29">
        <f t="shared" si="94"/>
        <v>237.12</v>
      </c>
      <c r="AG836" s="30" t="s">
        <v>65</v>
      </c>
      <c r="AH836" s="2" t="s">
        <v>2937</v>
      </c>
      <c r="AI836" s="10" t="s">
        <v>143</v>
      </c>
      <c r="AJ836" s="2" t="s">
        <v>158</v>
      </c>
      <c r="AK836" s="10" t="s">
        <v>818</v>
      </c>
      <c r="AL836" s="2" t="s">
        <v>67</v>
      </c>
    </row>
    <row r="837" ht="15.75" customHeight="1">
      <c r="A837" s="2" t="s">
        <v>6000</v>
      </c>
      <c r="B837" s="12">
        <v>45232.0</v>
      </c>
      <c r="C837" s="2" t="str">
        <f>IFERROR(__xludf.DUMMYFUNCTION("IF(ISNUMBER(B837),TEXT(B837,""yyyy-MM-dd""),REGEXREPLACE(REGEXREPLACE(TO_TEXT(B837),""[^0-9a-zA-Z]+"",""-""),""[^0-9]*$"",""""))"),"2023-11-02")</f>
        <v>2023-11-02</v>
      </c>
      <c r="D837" s="2" t="s">
        <v>8623</v>
      </c>
      <c r="H837" s="10" t="s">
        <v>8623</v>
      </c>
      <c r="I837" s="2" t="s">
        <v>4185</v>
      </c>
      <c r="J837" s="26" t="str">
        <f t="array" ref="J837">IF(ISNA(XLOOKUP(I837,customers_clean!$A$2:$A$701,customers_clean!$A$2:$A$701, NA()) ),
   "❌ MISSING CUSTOMER", "✅")</f>
        <v>✅</v>
      </c>
      <c r="K837" s="2" t="str">
        <f t="array" ref="K837">XLOOKUP(I837,customers_clean!$A$2:$A$701,customers_clean!$C$2:$C$701)</f>
        <v>Igor Novak</v>
      </c>
      <c r="L837" s="10" t="str">
        <f t="array" ref="L837">XLOOKUP(I837,customers_clean!$A$2:$A$701,customers_clean!$D$2:$D$701)</f>
        <v>Igor Novak</v>
      </c>
      <c r="M837" s="2" t="str">
        <f t="array" ref="M837">XLOOKUP(I837,customers_clean!$A$2:$A$701,customers_clean!$I$2:$I$701)</f>
        <v/>
      </c>
      <c r="N837" s="10" t="str">
        <f t="array" ref="N837">XLOOKUP(I837,customers_clean!$A$2:$A$701,customers_clean!$H$2:$H$701)</f>
        <v/>
      </c>
      <c r="O837" s="9" t="str">
        <f>IFERROR(__xludf.DUMMYFUNCTION("IF(REGEXMATCH(TRIM(N837),""^[A-Za-z0-9._%+-]+@[A-Za-z0-9.-]+\.[A-Za-z]{2,}$""),""✅ Valid"",""❌ Invalid"")"),"❌ Invalid")</f>
        <v>❌ Invalid</v>
      </c>
      <c r="P837" s="2" t="str">
        <f t="array" ref="P837">XLOOKUP(I837,customers_clean!$A$2:$A$701,customers_clean!$K$2:$K$701)</f>
        <v>08844 823 181 </v>
      </c>
      <c r="Q837" s="10" t="str">
        <f t="array" ref="Q837">XLOOKUP(I837,customers_clean!$A$2:$A$701,customers_clean!$N$2:$N$701)</f>
        <v/>
      </c>
      <c r="R837" s="9" t="str">
        <f t="array" ref="R837">XLOOKUP(I837,customers_clean!$A$2:$A$701,customers_clean!$Q$2:$Q$701)</f>
        <v/>
      </c>
      <c r="S837" s="10" t="s">
        <v>114</v>
      </c>
      <c r="T837" s="2" t="s">
        <v>115</v>
      </c>
      <c r="U837" s="2" t="s">
        <v>512</v>
      </c>
      <c r="V837" s="2" t="s">
        <v>4048</v>
      </c>
      <c r="W837" s="9" t="str">
        <f t="array" ref="W837">IF(ISNA(XLOOKUP(V837,products_master_corrected!$A$2:$A$151,products_master_corrected!$A$2:$A$151, NA())),
    "❌ MISSING SKU", "✅")</f>
        <v>✅</v>
      </c>
      <c r="X837" s="2" t="s">
        <v>190</v>
      </c>
      <c r="Y837" s="2" t="s">
        <v>214</v>
      </c>
      <c r="Z837" s="10" t="s">
        <v>368</v>
      </c>
      <c r="AA837" s="27">
        <v>1.0</v>
      </c>
      <c r="AB837" s="9" t="s">
        <v>8649</v>
      </c>
      <c r="AC837" s="28">
        <f t="array" ref="AC837">XLOOKUP(V837,products_master_corrected!$A$2:$A$151,products_master_corrected!$E$2:$E$151)</f>
        <v>147.02</v>
      </c>
      <c r="AD837" s="28">
        <f t="shared" si="93"/>
        <v>147.02</v>
      </c>
      <c r="AE837" s="28">
        <f t="array" ref="AE837">XLOOKUP(V837,products_master_corrected!$A$2:$A$151,products_master_corrected!$F$2:$F$151)</f>
        <v>147.02</v>
      </c>
      <c r="AF837" s="29">
        <f t="shared" si="94"/>
        <v>147.02</v>
      </c>
      <c r="AG837" s="30" t="s">
        <v>65</v>
      </c>
      <c r="AH837" s="2" t="s">
        <v>143</v>
      </c>
      <c r="AI837" s="10" t="s">
        <v>143</v>
      </c>
      <c r="AJ837" s="2" t="s">
        <v>452</v>
      </c>
      <c r="AK837" s="10" t="s">
        <v>261</v>
      </c>
      <c r="AL837" s="2" t="s">
        <v>51</v>
      </c>
    </row>
    <row r="838" ht="15.75" customHeight="1">
      <c r="A838" s="2" t="s">
        <v>5243</v>
      </c>
      <c r="B838" s="12" t="s">
        <v>5244</v>
      </c>
      <c r="C838" s="2" t="str">
        <f>IFERROR(__xludf.DUMMYFUNCTION("IF(ISNUMBER(B838),TEXT(B838,""yyyy-MM-dd""),REGEXREPLACE(REGEXREPLACE(TO_TEXT(B838),""[^0-9a-zA-Z]+"",""-""),""[^0-9]*$"",""""))"),"29-12-2023")</f>
        <v>29-12-2023</v>
      </c>
      <c r="D838" s="2" t="s">
        <v>8957</v>
      </c>
      <c r="H838" s="10" t="s">
        <v>8957</v>
      </c>
      <c r="I838" s="2" t="s">
        <v>4185</v>
      </c>
      <c r="J838" s="26" t="str">
        <f t="array" ref="J838">IF(ISNA(XLOOKUP(I838,customers_clean!$A$2:$A$701,customers_clean!$A$2:$A$701, NA()) ),
   "❌ MISSING CUSTOMER", "✅")</f>
        <v>✅</v>
      </c>
      <c r="K838" s="2" t="str">
        <f t="array" ref="K838">XLOOKUP(I838,customers_clean!$A$2:$A$701,customers_clean!$C$2:$C$701)</f>
        <v>Igor Novak</v>
      </c>
      <c r="L838" s="10" t="str">
        <f t="array" ref="L838">XLOOKUP(I838,customers_clean!$A$2:$A$701,customers_clean!$D$2:$D$701)</f>
        <v>Igor Novak</v>
      </c>
      <c r="M838" s="2" t="str">
        <f t="array" ref="M838">XLOOKUP(I838,customers_clean!$A$2:$A$701,customers_clean!$I$2:$I$701)</f>
        <v/>
      </c>
      <c r="N838" s="10" t="str">
        <f t="array" ref="N838">XLOOKUP(I838,customers_clean!$A$2:$A$701,customers_clean!$H$2:$H$701)</f>
        <v/>
      </c>
      <c r="O838" s="9" t="str">
        <f>IFERROR(__xludf.DUMMYFUNCTION("IF(REGEXMATCH(TRIM(N838),""^[A-Za-z0-9._%+-]+@[A-Za-z0-9.-]+\.[A-Za-z]{2,}$""),""✅ Valid"",""❌ Invalid"")"),"❌ Invalid")</f>
        <v>❌ Invalid</v>
      </c>
      <c r="P838" s="2" t="str">
        <f t="array" ref="P838">XLOOKUP(I838,customers_clean!$A$2:$A$701,customers_clean!$K$2:$K$701)</f>
        <v>08844 823 181 </v>
      </c>
      <c r="Q838" s="10" t="str">
        <f t="array" ref="Q838">XLOOKUP(I838,customers_clean!$A$2:$A$701,customers_clean!$N$2:$N$701)</f>
        <v/>
      </c>
      <c r="R838" s="9" t="str">
        <f t="array" ref="R838">XLOOKUP(I838,customers_clean!$A$2:$A$701,customers_clean!$Q$2:$Q$701)</f>
        <v/>
      </c>
      <c r="S838" s="10" t="s">
        <v>114</v>
      </c>
      <c r="T838" s="2" t="s">
        <v>26</v>
      </c>
      <c r="U838" s="2" t="s">
        <v>268</v>
      </c>
      <c r="V838" s="2" t="s">
        <v>889</v>
      </c>
      <c r="W838" s="9" t="str">
        <f t="array" ref="W838">IF(ISNA(XLOOKUP(V838,products_master_corrected!$A$2:$A$151,products_master_corrected!$A$2:$A$151, NA())),
    "❌ MISSING SKU", "✅")</f>
        <v>✅</v>
      </c>
      <c r="X838" s="2" t="s">
        <v>804</v>
      </c>
      <c r="Y838" s="2" t="s">
        <v>179</v>
      </c>
      <c r="Z838" s="10" t="s">
        <v>179</v>
      </c>
      <c r="AA838" s="27">
        <v>2.0</v>
      </c>
      <c r="AB838" s="9" t="s">
        <v>8649</v>
      </c>
      <c r="AC838" s="28">
        <f t="array" ref="AC838">XLOOKUP(V838,products_master_corrected!$A$2:$A$151,products_master_corrected!$E$2:$E$151)</f>
        <v>16.72</v>
      </c>
      <c r="AD838" s="28">
        <f t="shared" si="93"/>
        <v>33.44</v>
      </c>
      <c r="AE838" s="28">
        <f t="array" ref="AE838">XLOOKUP(V838,products_master_corrected!$A$2:$A$151,products_master_corrected!$F$2:$F$151)</f>
        <v>16.72</v>
      </c>
      <c r="AF838" s="29">
        <f t="shared" si="94"/>
        <v>33.44</v>
      </c>
      <c r="AG838" s="30" t="s">
        <v>65</v>
      </c>
      <c r="AH838" s="2" t="s">
        <v>526</v>
      </c>
      <c r="AI838" s="10" t="s">
        <v>49</v>
      </c>
      <c r="AJ838" s="2" t="s">
        <v>1171</v>
      </c>
      <c r="AK838" s="10" t="s">
        <v>80</v>
      </c>
    </row>
    <row r="839" ht="15.75" customHeight="1">
      <c r="A839" s="2" t="s">
        <v>4024</v>
      </c>
      <c r="B839" s="12">
        <v>45575.311111111114</v>
      </c>
      <c r="C839" s="2" t="str">
        <f>IFERROR(__xludf.DUMMYFUNCTION("IF(ISNUMBER(B839),TEXT(B839,""yyyy-MM-dd""),REGEXREPLACE(REGEXREPLACE(TO_TEXT(B839),""[^0-9a-zA-Z]+"",""-""),""[^0-9]*$"",""""))"),"2024-10-10")</f>
        <v>2024-10-10</v>
      </c>
      <c r="D839" s="2" t="s">
        <v>8551</v>
      </c>
      <c r="H839" s="10" t="s">
        <v>8551</v>
      </c>
      <c r="I839" s="2" t="s">
        <v>4026</v>
      </c>
      <c r="J839" s="26" t="str">
        <f t="array" ref="J839">IF(ISNA(XLOOKUP(I839,customers_clean!$A$2:$A$701,customers_clean!$A$2:$A$701, NA()) ),
   "❌ MISSING CUSTOMER", "✅")</f>
        <v>✅</v>
      </c>
      <c r="K839" s="2" t="str">
        <f t="array" ref="K839">XLOOKUP(I839,customers_clean!$A$2:$A$701,customers_clean!$C$2:$C$701)</f>
        <v>Rita aDvis</v>
      </c>
      <c r="L839" s="10" t="str">
        <f t="array" ref="L839">XLOOKUP(I839,customers_clean!$A$2:$A$701,customers_clean!$D$2:$D$701)</f>
        <v>Rita Davis</v>
      </c>
      <c r="M839" s="2" t="str">
        <f t="array" ref="M839">XLOOKUP(I839,customers_clean!$A$2:$A$701,customers_clean!$I$2:$I$701)</f>
        <v>Rita.Davis@Outlook.Com</v>
      </c>
      <c r="N839" s="10" t="str">
        <f t="array" ref="N839">XLOOKUP(I839,customers_clean!$A$2:$A$701,customers_clean!$H$2:$H$701)</f>
        <v>rita.davis@outlook.com</v>
      </c>
      <c r="O839" s="9" t="str">
        <f>IFERROR(__xludf.DUMMYFUNCTION("IF(REGEXMATCH(TRIM(N839),""^[A-Za-z0-9._%+-]+@[A-Za-z0-9.-]+\.[A-Za-z]{2,}$""),""✅ Valid"",""❌ Invalid"")"),"✅ Valid")</f>
        <v>✅ Valid</v>
      </c>
      <c r="P839" s="2" t="str">
        <f t="array" ref="P839">XLOOKUP(I839,customers_clean!$A$2:$A$701,customers_clean!$K$2:$K$701)</f>
        <v>+44 54-00-88-78-56-2</v>
      </c>
      <c r="Q839" s="10" t="str">
        <f t="array" ref="Q839">XLOOKUP(I839,customers_clean!$A$2:$A$701,customers_clean!$N$2:$N$701)</f>
        <v>54008878562</v>
      </c>
      <c r="R839" s="9" t="str">
        <f t="array" ref="R839">XLOOKUP(I839,customers_clean!$A$2:$A$701,customers_clean!$Q$2:$Q$701)</f>
        <v>❌ INVALID</v>
      </c>
      <c r="S839" s="10" t="s">
        <v>88</v>
      </c>
      <c r="T839" s="2" t="s">
        <v>59</v>
      </c>
      <c r="U839" s="2" t="s">
        <v>312</v>
      </c>
      <c r="V839" s="2" t="s">
        <v>3172</v>
      </c>
      <c r="W839" s="9" t="str">
        <f t="array" ref="W839">IF(ISNA(XLOOKUP(V839,products_master_corrected!$A$2:$A$151,products_master_corrected!$A$2:$A$151, NA())),
    "❌ MISSING SKU", "✅")</f>
        <v>✅</v>
      </c>
      <c r="X839" s="2" t="s">
        <v>8765</v>
      </c>
      <c r="Y839" s="2" t="s">
        <v>355</v>
      </c>
      <c r="Z839" s="10" t="s">
        <v>355</v>
      </c>
      <c r="AA839" s="27">
        <v>1.0</v>
      </c>
      <c r="AB839" s="9" t="s">
        <v>8649</v>
      </c>
      <c r="AC839" s="28">
        <f t="array" ref="AC839">XLOOKUP(V839,products_master_corrected!$A$2:$A$151,products_master_corrected!$E$2:$E$151)</f>
        <v>107.38</v>
      </c>
      <c r="AD839" s="28">
        <f t="shared" si="93"/>
        <v>107.38</v>
      </c>
      <c r="AE839" s="28">
        <f t="array" ref="AE839">XLOOKUP(V839,products_master_corrected!$A$2:$A$151,products_master_corrected!$I$2:$I$151)</f>
        <v>118.38</v>
      </c>
      <c r="AF839" s="29">
        <f t="shared" si="94"/>
        <v>118.38</v>
      </c>
      <c r="AG839" s="32" t="s">
        <v>8660</v>
      </c>
      <c r="AH839" s="2" t="s">
        <v>66</v>
      </c>
      <c r="AI839" s="10" t="s">
        <v>66</v>
      </c>
      <c r="AJ839" s="2" t="s">
        <v>294</v>
      </c>
      <c r="AK839" s="10" t="s">
        <v>80</v>
      </c>
    </row>
    <row r="840" ht="15.75" customHeight="1">
      <c r="A840" s="2" t="s">
        <v>5187</v>
      </c>
      <c r="B840" s="12">
        <v>45888.0</v>
      </c>
      <c r="C840" s="2" t="str">
        <f>IFERROR(__xludf.DUMMYFUNCTION("IF(ISNUMBER(B840),TEXT(B840,""yyyy-MM-dd""),REGEXREPLACE(REGEXREPLACE(TO_TEXT(B840),""[^0-9a-zA-Z]+"",""-""),""[^0-9]*$"",""""))"),"2025-08-19")</f>
        <v>2025-08-19</v>
      </c>
      <c r="D840" s="2" t="s">
        <v>2644</v>
      </c>
      <c r="H840" s="10" t="s">
        <v>2644</v>
      </c>
      <c r="I840" s="2" t="s">
        <v>4026</v>
      </c>
      <c r="J840" s="26" t="str">
        <f t="array" ref="J840">IF(ISNA(XLOOKUP(I840,customers_clean!$A$2:$A$701,customers_clean!$A$2:$A$701, NA()) ),
   "❌ MISSING CUSTOMER", "✅")</f>
        <v>✅</v>
      </c>
      <c r="K840" s="2" t="str">
        <f t="array" ref="K840">XLOOKUP(I840,customers_clean!$A$2:$A$701,customers_clean!$C$2:$C$701)</f>
        <v>Rita aDvis</v>
      </c>
      <c r="L840" s="10" t="str">
        <f t="array" ref="L840">XLOOKUP(I840,customers_clean!$A$2:$A$701,customers_clean!$D$2:$D$701)</f>
        <v>Rita Davis</v>
      </c>
      <c r="M840" s="2" t="str">
        <f t="array" ref="M840">XLOOKUP(I840,customers_clean!$A$2:$A$701,customers_clean!$I$2:$I$701)</f>
        <v>Rita.Davis@Outlook.Com</v>
      </c>
      <c r="N840" s="10" t="str">
        <f t="array" ref="N840">XLOOKUP(I840,customers_clean!$A$2:$A$701,customers_clean!$H$2:$H$701)</f>
        <v>rita.davis@outlook.com</v>
      </c>
      <c r="O840" s="9" t="str">
        <f>IFERROR(__xludf.DUMMYFUNCTION("IF(REGEXMATCH(TRIM(N840),""^[A-Za-z0-9._%+-]+@[A-Za-z0-9.-]+\.[A-Za-z]{2,}$""),""✅ Valid"",""❌ Invalid"")"),"✅ Valid")</f>
        <v>✅ Valid</v>
      </c>
      <c r="P840" s="2" t="str">
        <f t="array" ref="P840">XLOOKUP(I840,customers_clean!$A$2:$A$701,customers_clean!$K$2:$K$701)</f>
        <v>+44 54-00-88-78-56-2</v>
      </c>
      <c r="Q840" s="10" t="str">
        <f t="array" ref="Q840">XLOOKUP(I840,customers_clean!$A$2:$A$701,customers_clean!$N$2:$N$701)</f>
        <v>54008878562</v>
      </c>
      <c r="R840" s="9" t="str">
        <f t="array" ref="R840">XLOOKUP(I840,customers_clean!$A$2:$A$701,customers_clean!$Q$2:$Q$701)</f>
        <v>❌ INVALID</v>
      </c>
      <c r="S840" s="10" t="s">
        <v>88</v>
      </c>
      <c r="T840" s="2" t="s">
        <v>26</v>
      </c>
      <c r="U840" s="2" t="s">
        <v>43</v>
      </c>
      <c r="V840" s="2" t="s">
        <v>1772</v>
      </c>
      <c r="W840" s="9" t="str">
        <f t="array" ref="W840">IF(ISNA(XLOOKUP(V840,products_master_corrected!$A$2:$A$151,products_master_corrected!$A$2:$A$151, NA())),
    "❌ MISSING SKU", "✅")</f>
        <v>✅</v>
      </c>
      <c r="X840" s="2" t="s">
        <v>403</v>
      </c>
      <c r="Y840" s="2" t="s">
        <v>995</v>
      </c>
      <c r="Z840" s="10" t="s">
        <v>355</v>
      </c>
      <c r="AA840" s="27">
        <v>2.0</v>
      </c>
      <c r="AB840" s="9" t="s">
        <v>8649</v>
      </c>
      <c r="AC840" s="28">
        <f t="array" ref="AC840">XLOOKUP(V840,products_master_corrected!$A$2:$A$151,products_master_corrected!$E$2:$E$151)</f>
        <v>39.48</v>
      </c>
      <c r="AD840" s="28">
        <f t="shared" si="93"/>
        <v>78.96</v>
      </c>
      <c r="AE840" s="28">
        <f t="array" ref="AE840">XLOOKUP(V840,products_master_corrected!$A$2:$A$151,products_master_corrected!$I$2:$I$151)</f>
        <v>43.52</v>
      </c>
      <c r="AF840" s="29">
        <f t="shared" si="94"/>
        <v>87.04</v>
      </c>
      <c r="AG840" s="32" t="s">
        <v>8660</v>
      </c>
      <c r="AH840" s="2" t="s">
        <v>3072</v>
      </c>
      <c r="AI840" s="10" t="s">
        <v>49</v>
      </c>
      <c r="AJ840" s="2" t="s">
        <v>527</v>
      </c>
      <c r="AK840" s="10" t="s">
        <v>192</v>
      </c>
      <c r="AL840" s="2" t="s">
        <v>51</v>
      </c>
    </row>
    <row r="841" ht="15.75" customHeight="1">
      <c r="A841" s="2" t="s">
        <v>5568</v>
      </c>
      <c r="B841" s="12">
        <v>45234.0</v>
      </c>
      <c r="C841" s="2" t="str">
        <f>IFERROR(__xludf.DUMMYFUNCTION("IF(ISNUMBER(B841),TEXT(B841,""yyyy-MM-dd""),REGEXREPLACE(REGEXREPLACE(TO_TEXT(B841),""[^0-9a-zA-Z]+"",""-""),""[^0-9]*$"",""""))"),"2023-11-04")</f>
        <v>2023-11-04</v>
      </c>
      <c r="D841" s="2" t="s">
        <v>8954</v>
      </c>
      <c r="H841" s="10" t="s">
        <v>8954</v>
      </c>
      <c r="I841" s="2" t="s">
        <v>3781</v>
      </c>
      <c r="J841" s="26" t="str">
        <f t="array" ref="J841">IF(ISNA(XLOOKUP(I841,customers_clean!$A$2:$A$701,customers_clean!$A$2:$A$701, NA()) ),
   "❌ MISSING CUSTOMER", "✅")</f>
        <v>✅</v>
      </c>
      <c r="K841" s="2" t="str">
        <f t="array" ref="K841">XLOOKUP(I841,customers_clean!$A$2:$A$701,customers_clean!$C$2:$C$701)</f>
        <v> Igor Lee</v>
      </c>
      <c r="L841" s="10" t="str">
        <f t="array" ref="L841">XLOOKUP(I841,customers_clean!$A$2:$A$701,customers_clean!$D$2:$D$701)</f>
        <v>Igor Lee</v>
      </c>
      <c r="M841" s="2" t="str">
        <f t="array" ref="M841">XLOOKUP(I841,customers_clean!$A$2:$A$701,customers_clean!$I$2:$I$701)</f>
        <v>IGORL.EE@EXAMPLE.COM</v>
      </c>
      <c r="N841" s="10" t="str">
        <f t="array" ref="N841">XLOOKUP(I841,customers_clean!$A$2:$A$701,customers_clean!$H$2:$H$701)</f>
        <v>igorl.ee@example.com</v>
      </c>
      <c r="O841" s="9" t="str">
        <f>IFERROR(__xludf.DUMMYFUNCTION("IF(REGEXMATCH(TRIM(N841),""^[A-Za-z0-9._%+-]+@[A-Za-z0-9.-]+\.[A-Za-z]{2,}$""),""✅ Valid"",""❌ Invalid"")"),"✅ Valid")</f>
        <v>✅ Valid</v>
      </c>
      <c r="P841" s="2" t="str">
        <f t="array" ref="P841">XLOOKUP(I841,customers_clean!$A$2:$A$701,customers_clean!$K$2:$K$701)</f>
        <v>+33 794 736589</v>
      </c>
      <c r="Q841" s="10" t="str">
        <f t="array" ref="Q841">XLOOKUP(I841,customers_clean!$A$2:$A$701,customers_clean!$N$2:$N$701)</f>
        <v>794736589</v>
      </c>
      <c r="R841" s="9" t="str">
        <f t="array" ref="R841">XLOOKUP(I841,customers_clean!$A$2:$A$701,customers_clean!$Q$2:$Q$701)</f>
        <v>❌ INVALID</v>
      </c>
      <c r="S841" s="31" t="s">
        <v>671</v>
      </c>
      <c r="T841" s="2" t="s">
        <v>223</v>
      </c>
      <c r="U841" s="2" t="s">
        <v>870</v>
      </c>
      <c r="V841" s="2" t="s">
        <v>565</v>
      </c>
      <c r="W841" s="9" t="str">
        <f t="array" ref="W841">IF(ISNA(XLOOKUP(V841,products_master_corrected!$A$2:$A$151,products_master_corrected!$A$2:$A$151, NA())),
    "❌ MISSING SKU", "✅")</f>
        <v>✅</v>
      </c>
      <c r="X841" s="2" t="s">
        <v>566</v>
      </c>
      <c r="Y841" s="2" t="s">
        <v>167</v>
      </c>
      <c r="Z841" s="10" t="str">
        <f>PROPER(TRIM(Y841))</f>
        <v>Monitors</v>
      </c>
      <c r="AA841" s="27">
        <v>3.0</v>
      </c>
      <c r="AB841" s="9" t="s">
        <v>8649</v>
      </c>
      <c r="AC841" s="28">
        <f t="array" ref="AC841">XLOOKUP(V841,products_master_corrected!$A$2:$A$151,products_master_corrected!$E$2:$E$151)</f>
        <v>43.38</v>
      </c>
      <c r="AD841" s="28">
        <f t="shared" si="93"/>
        <v>130.14</v>
      </c>
      <c r="AE841" s="28">
        <f t="array" ref="AE841">XLOOKUP(V841,products_master_corrected!$A$2:$A$151,products_master_corrected!$J$2:$J$151)</f>
        <v>50.59</v>
      </c>
      <c r="AF841" s="29">
        <f t="shared" si="94"/>
        <v>151.77</v>
      </c>
      <c r="AG841" s="32" t="s">
        <v>8656</v>
      </c>
      <c r="AH841" s="2" t="s">
        <v>526</v>
      </c>
      <c r="AI841" s="10" t="s">
        <v>49</v>
      </c>
      <c r="AJ841" s="2" t="s">
        <v>306</v>
      </c>
      <c r="AK841" s="10" t="s">
        <v>192</v>
      </c>
    </row>
    <row r="842" ht="15.75" customHeight="1">
      <c r="A842" s="2" t="s">
        <v>3779</v>
      </c>
      <c r="B842" s="12">
        <v>45582.76944444444</v>
      </c>
      <c r="C842" s="2" t="str">
        <f>IFERROR(__xludf.DUMMYFUNCTION("IF(ISNUMBER(B842),TEXT(B842,""yyyy-MM-dd""),REGEXREPLACE(REGEXREPLACE(TO_TEXT(B842),""[^0-9a-zA-Z]+"",""-""),""[^0-9]*$"",""""))"),"2024-10-17")</f>
        <v>2024-10-17</v>
      </c>
      <c r="D842" s="2" t="s">
        <v>8958</v>
      </c>
      <c r="H842" s="10" t="s">
        <v>8958</v>
      </c>
      <c r="I842" s="2" t="s">
        <v>3781</v>
      </c>
      <c r="J842" s="26" t="str">
        <f t="array" ref="J842">IF(ISNA(XLOOKUP(I842,customers_clean!$A$2:$A$701,customers_clean!$A$2:$A$701, NA()) ),
   "❌ MISSING CUSTOMER", "✅")</f>
        <v>✅</v>
      </c>
      <c r="K842" s="2" t="str">
        <f t="array" ref="K842">XLOOKUP(I842,customers_clean!$A$2:$A$701,customers_clean!$C$2:$C$701)</f>
        <v> Igor Lee</v>
      </c>
      <c r="L842" s="10" t="str">
        <f t="array" ref="L842">XLOOKUP(I842,customers_clean!$A$2:$A$701,customers_clean!$D$2:$D$701)</f>
        <v>Igor Lee</v>
      </c>
      <c r="M842" s="2" t="str">
        <f t="array" ref="M842">XLOOKUP(I842,customers_clean!$A$2:$A$701,customers_clean!$I$2:$I$701)</f>
        <v>IGORL.EE@EXAMPLE.COM</v>
      </c>
      <c r="N842" s="10" t="str">
        <f t="array" ref="N842">XLOOKUP(I842,customers_clean!$A$2:$A$701,customers_clean!$H$2:$H$701)</f>
        <v>igorl.ee@example.com</v>
      </c>
      <c r="O842" s="9" t="str">
        <f>IFERROR(__xludf.DUMMYFUNCTION("IF(REGEXMATCH(TRIM(N842),""^[A-Za-z0-9._%+-]+@[A-Za-z0-9.-]+\.[A-Za-z]{2,}$""),""✅ Valid"",""❌ Invalid"")"),"✅ Valid")</f>
        <v>✅ Valid</v>
      </c>
      <c r="P842" s="2" t="str">
        <f t="array" ref="P842">XLOOKUP(I842,customers_clean!$A$2:$A$701,customers_clean!$K$2:$K$701)</f>
        <v>+33 794 736589</v>
      </c>
      <c r="Q842" s="10" t="str">
        <f t="array" ref="Q842">XLOOKUP(I842,customers_clean!$A$2:$A$701,customers_clean!$N$2:$N$701)</f>
        <v>794736589</v>
      </c>
      <c r="R842" s="9" t="str">
        <f t="array" ref="R842">XLOOKUP(I842,customers_clean!$A$2:$A$701,customers_clean!$Q$2:$Q$701)</f>
        <v>❌ INVALID</v>
      </c>
      <c r="S842" s="31" t="s">
        <v>671</v>
      </c>
      <c r="T842" s="2" t="s">
        <v>301</v>
      </c>
      <c r="U842" s="2" t="s">
        <v>176</v>
      </c>
      <c r="V842" s="2" t="s">
        <v>1085</v>
      </c>
      <c r="W842" s="9" t="str">
        <f t="array" ref="W842">IF(ISNA(XLOOKUP(V842,products_master_corrected!$A$2:$A$151,products_master_corrected!$A$2:$A$151, NA())),
    "❌ MISSING SKU", "✅")</f>
        <v>✅</v>
      </c>
      <c r="X842" s="2" t="s">
        <v>29</v>
      </c>
      <c r="Y842" s="2" t="s">
        <v>368</v>
      </c>
      <c r="Z842" s="10" t="s">
        <v>368</v>
      </c>
      <c r="AA842" s="27">
        <v>2.0</v>
      </c>
      <c r="AB842" s="9" t="s">
        <v>8649</v>
      </c>
      <c r="AC842" s="28">
        <f t="array" ref="AC842">XLOOKUP(V842,products_master_corrected!$A$2:$A$151,products_master_corrected!$E$2:$E$151)</f>
        <v>171.42</v>
      </c>
      <c r="AD842" s="28">
        <f t="shared" si="93"/>
        <v>342.84</v>
      </c>
      <c r="AE842" s="28">
        <f t="array" ref="AE842">XLOOKUP(V842,products_master_corrected!$A$2:$A$151,products_master_corrected!$J$2:$J$151)</f>
        <v>199.93</v>
      </c>
      <c r="AF842" s="29">
        <f t="shared" si="94"/>
        <v>399.86</v>
      </c>
      <c r="AG842" s="32" t="s">
        <v>8656</v>
      </c>
      <c r="AH842" s="2" t="s">
        <v>49</v>
      </c>
      <c r="AI842" s="10" t="s">
        <v>49</v>
      </c>
      <c r="AJ842" s="2" t="s">
        <v>192</v>
      </c>
      <c r="AK842" s="10" t="s">
        <v>192</v>
      </c>
    </row>
    <row r="843" ht="15.75" customHeight="1">
      <c r="A843" s="2" t="s">
        <v>433</v>
      </c>
      <c r="B843" s="12">
        <v>45092.0</v>
      </c>
      <c r="C843" s="2" t="str">
        <f>IFERROR(__xludf.DUMMYFUNCTION("IF(ISNUMBER(B843),TEXT(B843,""yyyy-MM-dd""),REGEXREPLACE(REGEXREPLACE(TO_TEXT(B843),""[^0-9a-zA-Z]+"",""-""),""[^0-9]*$"",""""))"),"2023-06-15")</f>
        <v>2023-06-15</v>
      </c>
      <c r="D843" s="2" t="s">
        <v>8927</v>
      </c>
      <c r="H843" s="10" t="s">
        <v>8927</v>
      </c>
      <c r="I843" s="2" t="s">
        <v>435</v>
      </c>
      <c r="J843" s="26" t="str">
        <f t="array" ref="J843">IF(ISNA(XLOOKUP(I843,customers_clean!$A$2:$A$701,customers_clean!$A$2:$A$701, NA()) ),
   "❌ MISSING CUSTOMER", "✅")</f>
        <v>✅</v>
      </c>
      <c r="K843" s="2" t="str">
        <f t="array" ref="K843">XLOOKUP(I843,customers_clean!$A$2:$A$701,customers_clean!$C$2:$C$701)</f>
        <v>Jade Kowalski</v>
      </c>
      <c r="L843" s="10" t="str">
        <f t="array" ref="L843">XLOOKUP(I843,customers_clean!$A$2:$A$701,customers_clean!$D$2:$D$701)</f>
        <v>Jade Kowalski</v>
      </c>
      <c r="M843" s="2" t="str">
        <f t="array" ref="M843">XLOOKUP(I843,customers_clean!$A$2:$A$701,customers_clean!$I$2:$I$701)</f>
        <v>JADE.KOWALSKI@GMAIL.COM</v>
      </c>
      <c r="N843" s="10" t="str">
        <f t="array" ref="N843">XLOOKUP(I843,customers_clean!$A$2:$A$701,customers_clean!$H$2:$H$701)</f>
        <v>jade.kowalski@gmail.com</v>
      </c>
      <c r="O843" s="9" t="str">
        <f>IFERROR(__xludf.DUMMYFUNCTION("IF(REGEXMATCH(TRIM(N843),""^[A-Za-z0-9._%+-]+@[A-Za-z0-9.-]+\.[A-Za-z]{2,}$""),""✅ Valid"",""❌ Invalid"")"),"✅ Valid")</f>
        <v>✅ Valid</v>
      </c>
      <c r="P843" s="33" t="str">
        <f t="array" ref="P843">XLOOKUP(I843,customers_clean!$A$2:$A$701,customers_clean!$K$2:$K$701)</f>
        <v>606-300-9341</v>
      </c>
      <c r="Q843" s="10" t="str">
        <f t="array" ref="Q843">XLOOKUP(I843,customers_clean!$A$2:$A$701,customers_clean!$N$2:$N$701)</f>
        <v>6063009341</v>
      </c>
      <c r="R843" s="9" t="str">
        <f t="array" ref="R843">XLOOKUP(I843,customers_clean!$A$2:$A$701,customers_clean!$Q$2:$Q$701)</f>
        <v>❌ INVALID</v>
      </c>
      <c r="S843" s="10" t="s">
        <v>139</v>
      </c>
      <c r="T843" s="2" t="s">
        <v>26</v>
      </c>
      <c r="U843" s="2" t="s">
        <v>401</v>
      </c>
      <c r="V843" s="2" t="s">
        <v>439</v>
      </c>
      <c r="W843" s="9" t="str">
        <f t="array" ref="W843">IF(ISNA(XLOOKUP(V843,products_master_corrected!$A$2:$A$151,products_master_corrected!$A$2:$A$151, NA())),
    "❌ MISSING SKU", "✅")</f>
        <v>✅</v>
      </c>
      <c r="X843" s="2" t="s">
        <v>440</v>
      </c>
      <c r="Y843" s="2" t="s">
        <v>63</v>
      </c>
      <c r="Z843" s="10" t="s">
        <v>63</v>
      </c>
      <c r="AA843" s="27">
        <v>5.0</v>
      </c>
      <c r="AB843" s="9" t="s">
        <v>8649</v>
      </c>
      <c r="AC843" s="28">
        <f t="array" ref="AC843">XLOOKUP(V843,products_master_corrected!$A$2:$A$151,products_master_corrected!$E$2:$E$151)</f>
        <v>70.84</v>
      </c>
      <c r="AD843" s="28">
        <f t="shared" si="93"/>
        <v>354.2</v>
      </c>
      <c r="AE843" s="28">
        <f t="array" ref="AE843">XLOOKUP(V843,products_master_corrected!$A$2:$A$151,products_master_corrected!$L$2:$L$151)</f>
        <v>76.61</v>
      </c>
      <c r="AF843" s="29">
        <f t="shared" si="94"/>
        <v>383.05</v>
      </c>
      <c r="AG843" s="32" t="s">
        <v>8665</v>
      </c>
      <c r="AH843" s="2" t="s">
        <v>66</v>
      </c>
      <c r="AI843" s="10" t="s">
        <v>66</v>
      </c>
      <c r="AJ843" s="2" t="s">
        <v>442</v>
      </c>
      <c r="AK843" s="10" t="s">
        <v>80</v>
      </c>
      <c r="AL843" s="2" t="s">
        <v>81</v>
      </c>
    </row>
    <row r="844" ht="15.75" customHeight="1">
      <c r="A844" s="2" t="s">
        <v>1877</v>
      </c>
      <c r="B844" s="12">
        <v>44930.0</v>
      </c>
      <c r="C844" s="2" t="str">
        <f>IFERROR(__xludf.DUMMYFUNCTION("IF(ISNUMBER(B844),TEXT(B844,""yyyy-MM-dd""),REGEXREPLACE(REGEXREPLACE(TO_TEXT(B844),""[^0-9a-zA-Z]+"",""-""),""[^0-9]*$"",""""))"),"2023-01-04")</f>
        <v>2023-01-04</v>
      </c>
      <c r="D844" s="2" t="s">
        <v>6425</v>
      </c>
      <c r="H844" s="10" t="s">
        <v>6425</v>
      </c>
      <c r="I844" s="2" t="s">
        <v>1879</v>
      </c>
      <c r="J844" s="26" t="str">
        <f t="array" ref="J844">IF(ISNA(XLOOKUP(I844,customers_clean!$A$2:$A$701,customers_clean!$A$2:$A$701, NA()) ),
   "❌ MISSING CUSTOMER", "✅")</f>
        <v>✅</v>
      </c>
      <c r="K844" s="2" t="str">
        <f t="array" ref="K844">XLOOKUP(I844,customers_clean!$A$2:$A$701,customers_clean!$C$2:$C$701)</f>
        <v>Sam Lopez</v>
      </c>
      <c r="L844" s="10" t="str">
        <f t="array" ref="L844">XLOOKUP(I844,customers_clean!$A$2:$A$701,customers_clean!$D$2:$D$701)</f>
        <v>Sam Lopez</v>
      </c>
      <c r="M844" s="2" t="str">
        <f t="array" ref="M844">XLOOKUP(I844,customers_clean!$A$2:$A$701,customers_clean!$I$2:$I$701)</f>
        <v>sam.lopez@outlook.com </v>
      </c>
      <c r="N844" s="10" t="str">
        <f t="array" ref="N844">XLOOKUP(I844,customers_clean!$A$2:$A$701,customers_clean!$H$2:$H$701)</f>
        <v>sam.lopez@outlook.com</v>
      </c>
      <c r="O844" s="9" t="str">
        <f>IFERROR(__xludf.DUMMYFUNCTION("IF(REGEXMATCH(TRIM(N844),""^[A-Za-z0-9._%+-]+@[A-Za-z0-9.-]+\.[A-Za-z]{2,}$""),""✅ Valid"",""❌ Invalid"")"),"✅ Valid")</f>
        <v>✅ Valid</v>
      </c>
      <c r="P844" s="2" t="str">
        <f t="array" ref="P844">XLOOKUP(I844,customers_clean!$A$2:$A$701,customers_clean!$K$2:$K$701)</f>
        <v>286-741-644</v>
      </c>
      <c r="Q844" s="10" t="str">
        <f t="array" ref="Q844">XLOOKUP(I844,customers_clean!$A$2:$A$701,customers_clean!$N$2:$N$701)</f>
        <v>286741644</v>
      </c>
      <c r="R844" s="9" t="str">
        <f t="array" ref="R844">XLOOKUP(I844,customers_clean!$A$2:$A$701,customers_clean!$Q$2:$Q$701)</f>
        <v>❌ INVALID</v>
      </c>
      <c r="S844" s="10" t="s">
        <v>139</v>
      </c>
      <c r="T844" s="2" t="s">
        <v>42</v>
      </c>
      <c r="U844" s="2" t="s">
        <v>870</v>
      </c>
      <c r="V844" s="2" t="s">
        <v>556</v>
      </c>
      <c r="W844" s="9" t="str">
        <f t="array" ref="W844">IF(ISNA(XLOOKUP(V844,products_master_corrected!$A$2:$A$151,products_master_corrected!$A$2:$A$151, NA())),
    "❌ MISSING SKU", "✅")</f>
        <v>✅</v>
      </c>
      <c r="X844" s="2" t="s">
        <v>502</v>
      </c>
      <c r="Y844" s="2" t="s">
        <v>355</v>
      </c>
      <c r="Z844" s="10" t="s">
        <v>355</v>
      </c>
      <c r="AA844" s="27">
        <v>3.0</v>
      </c>
      <c r="AB844" s="9" t="s">
        <v>8649</v>
      </c>
      <c r="AC844" s="28">
        <f t="array" ref="AC844">XLOOKUP(V844,products_master_corrected!$A$2:$A$151,products_master_corrected!$E$2:$E$151)</f>
        <v>879.27</v>
      </c>
      <c r="AD844" s="28">
        <f t="shared" si="93"/>
        <v>2637.81</v>
      </c>
      <c r="AE844" s="28">
        <f t="array" ref="AE844">XLOOKUP(V844,products_master_corrected!$A$2:$A$151,products_master_corrected!$L$2:$L$151)</f>
        <v>950.93</v>
      </c>
      <c r="AF844" s="29">
        <f t="shared" si="94"/>
        <v>2852.79</v>
      </c>
      <c r="AG844" s="32" t="s">
        <v>8665</v>
      </c>
      <c r="AH844" s="2" t="s">
        <v>485</v>
      </c>
      <c r="AI844" s="10" t="s">
        <v>181</v>
      </c>
      <c r="AJ844" s="2" t="s">
        <v>1884</v>
      </c>
      <c r="AK844" s="10" t="s">
        <v>80</v>
      </c>
    </row>
    <row r="845" ht="15.75" customHeight="1">
      <c r="A845" s="2" t="s">
        <v>3270</v>
      </c>
      <c r="B845" s="12">
        <v>45799.0</v>
      </c>
      <c r="C845" s="2" t="str">
        <f>IFERROR(__xludf.DUMMYFUNCTION("IF(ISNUMBER(B845),TEXT(B845,""yyyy-MM-dd""),REGEXREPLACE(REGEXREPLACE(TO_TEXT(B845),""[^0-9a-zA-Z]+"",""-""),""[^0-9]*$"",""""))"),"2025-05-22")</f>
        <v>2025-05-22</v>
      </c>
      <c r="D845" s="2" t="s">
        <v>3271</v>
      </c>
      <c r="H845" s="10" t="s">
        <v>3271</v>
      </c>
      <c r="I845" s="2" t="s">
        <v>1879</v>
      </c>
      <c r="J845" s="26" t="str">
        <f t="array" ref="J845">IF(ISNA(XLOOKUP(I845,customers_clean!$A$2:$A$701,customers_clean!$A$2:$A$701, NA()) ),
   "❌ MISSING CUSTOMER", "✅")</f>
        <v>✅</v>
      </c>
      <c r="K845" s="2" t="str">
        <f t="array" ref="K845">XLOOKUP(I845,customers_clean!$A$2:$A$701,customers_clean!$C$2:$C$701)</f>
        <v>Sam Lopez</v>
      </c>
      <c r="L845" s="10" t="str">
        <f t="array" ref="L845">XLOOKUP(I845,customers_clean!$A$2:$A$701,customers_clean!$D$2:$D$701)</f>
        <v>Sam Lopez</v>
      </c>
      <c r="M845" s="2" t="str">
        <f t="array" ref="M845">XLOOKUP(I845,customers_clean!$A$2:$A$701,customers_clean!$I$2:$I$701)</f>
        <v>sam.lopez@outlook.com </v>
      </c>
      <c r="N845" s="10" t="str">
        <f t="array" ref="N845">XLOOKUP(I845,customers_clean!$A$2:$A$701,customers_clean!$H$2:$H$701)</f>
        <v>sam.lopez@outlook.com</v>
      </c>
      <c r="O845" s="9" t="str">
        <f>IFERROR(__xludf.DUMMYFUNCTION("IF(REGEXMATCH(TRIM(N845),""^[A-Za-z0-9._%+-]+@[A-Za-z0-9.-]+\.[A-Za-z]{2,}$""),""✅ Valid"",""❌ Invalid"")"),"✅ Valid")</f>
        <v>✅ Valid</v>
      </c>
      <c r="P845" s="2" t="str">
        <f t="array" ref="P845">XLOOKUP(I845,customers_clean!$A$2:$A$701,customers_clean!$K$2:$K$701)</f>
        <v>286-741-644</v>
      </c>
      <c r="Q845" s="10" t="str">
        <f t="array" ref="Q845">XLOOKUP(I845,customers_clean!$A$2:$A$701,customers_clean!$N$2:$N$701)</f>
        <v>286741644</v>
      </c>
      <c r="R845" s="9" t="str">
        <f t="array" ref="R845">XLOOKUP(I845,customers_clean!$A$2:$A$701,customers_clean!$Q$2:$Q$701)</f>
        <v>❌ INVALID</v>
      </c>
      <c r="S845" s="10" t="s">
        <v>139</v>
      </c>
      <c r="T845" s="2" t="s">
        <v>802</v>
      </c>
      <c r="U845" s="2" t="s">
        <v>522</v>
      </c>
      <c r="V845" s="2" t="s">
        <v>1146</v>
      </c>
      <c r="W845" s="9" t="str">
        <f t="array" ref="W845">IF(ISNA(XLOOKUP(V845,products_master_corrected!$A$2:$A$151,products_master_corrected!$A$2:$A$151, NA())),
    "❌ MISSING SKU", "✅")</f>
        <v>✅</v>
      </c>
      <c r="X845" s="2" t="s">
        <v>1147</v>
      </c>
      <c r="Y845" s="2" t="s">
        <v>248</v>
      </c>
      <c r="Z845" s="10" t="s">
        <v>248</v>
      </c>
      <c r="AA845" s="27">
        <v>3.0</v>
      </c>
      <c r="AB845" s="9" t="s">
        <v>8649</v>
      </c>
      <c r="AC845" s="28">
        <f t="array" ref="AC845">XLOOKUP(V845,products_master_corrected!$A$2:$A$151,products_master_corrected!$E$2:$E$151)</f>
        <v>152.4</v>
      </c>
      <c r="AD845" s="28">
        <f t="shared" si="93"/>
        <v>457.2</v>
      </c>
      <c r="AE845" s="28">
        <f t="array" ref="AE845">XLOOKUP(V845,products_master_corrected!$A$2:$A$151,products_master_corrected!$L$2:$L$151)</f>
        <v>164.82</v>
      </c>
      <c r="AF845" s="29">
        <f t="shared" si="94"/>
        <v>494.46</v>
      </c>
      <c r="AG845" s="32" t="s">
        <v>8665</v>
      </c>
      <c r="AH845" s="2" t="s">
        <v>305</v>
      </c>
      <c r="AI845" s="10" t="s">
        <v>49</v>
      </c>
      <c r="AJ845" s="2" t="s">
        <v>294</v>
      </c>
      <c r="AK845" s="10" t="s">
        <v>80</v>
      </c>
      <c r="AL845" s="2" t="s">
        <v>67</v>
      </c>
    </row>
    <row r="846" ht="15.75" customHeight="1">
      <c r="A846" s="2" t="s">
        <v>537</v>
      </c>
      <c r="B846" s="12">
        <v>45664.87013888889</v>
      </c>
      <c r="C846" s="2" t="str">
        <f>IFERROR(__xludf.DUMMYFUNCTION("IF(ISNUMBER(B846),TEXT(B846,""yyyy-MM-dd""),REGEXREPLACE(REGEXREPLACE(TO_TEXT(B846),""[^0-9a-zA-Z]+"",""-""),""[^0-9]*$"",""""))"),"2025-01-07")</f>
        <v>2025-01-07</v>
      </c>
      <c r="D846" s="2" t="s">
        <v>8959</v>
      </c>
      <c r="H846" s="10" t="s">
        <v>8959</v>
      </c>
      <c r="I846" s="2" t="s">
        <v>539</v>
      </c>
      <c r="J846" s="26" t="str">
        <f t="array" ref="J846">IF(ISNA(XLOOKUP(I846,customers_clean!$A$2:$A$701,customers_clean!$A$2:$A$701, NA()) ),
   "❌ MISSING CUSTOMER", "✅")</f>
        <v>✅</v>
      </c>
      <c r="K846" s="2" t="str">
        <f t="array" ref="K846">XLOOKUP(I846,customers_clean!$A$2:$A$701,customers_clean!$C$2:$C$701)</f>
        <v>OMAR KING</v>
      </c>
      <c r="L846" s="10" t="str">
        <f t="array" ref="L846">XLOOKUP(I846,customers_clean!$A$2:$A$701,customers_clean!$D$2:$D$701)</f>
        <v>Omar King</v>
      </c>
      <c r="M846" s="2" t="str">
        <f t="array" ref="M846">XLOOKUP(I846,customers_clean!$A$2:$A$701,customers_clean!$I$2:$I$701)</f>
        <v> omar.king@gmail.com</v>
      </c>
      <c r="N846" s="10" t="str">
        <f t="array" ref="N846">XLOOKUP(I846,customers_clean!$A$2:$A$701,customers_clean!$H$2:$H$701)</f>
        <v>omar.king@gmail.com</v>
      </c>
      <c r="O846" s="9" t="str">
        <f>IFERROR(__xludf.DUMMYFUNCTION("IF(REGEXMATCH(TRIM(N846),""^[A-Za-z0-9._%+-]+@[A-Za-z0-9.-]+\.[A-Za-z]{2,}$""),""✅ Valid"",""❌ Invalid"")"),"✅ Valid")</f>
        <v>✅ Valid</v>
      </c>
      <c r="P846" s="33" t="str">
        <f t="array" ref="P846">XLOOKUP(I846,customers_clean!$A$2:$A$701,customers_clean!$K$2:$K$701)</f>
        <v>+48296739141</v>
      </c>
      <c r="Q846" s="10" t="str">
        <f t="array" ref="Q846">XLOOKUP(I846,customers_clean!$A$2:$A$701,customers_clean!$N$2:$N$701)</f>
        <v>296739141</v>
      </c>
      <c r="R846" s="9" t="str">
        <f t="array" ref="R846">XLOOKUP(I846,customers_clean!$A$2:$A$701,customers_clean!$Q$2:$Q$701)</f>
        <v>❌ INVALID</v>
      </c>
      <c r="S846" s="10" t="s">
        <v>139</v>
      </c>
      <c r="T846" s="2" t="s">
        <v>234</v>
      </c>
      <c r="U846" s="2" t="s">
        <v>60</v>
      </c>
      <c r="V846" s="2" t="s">
        <v>104</v>
      </c>
      <c r="W846" s="9" t="str">
        <f t="array" ref="W846">IF(ISNA(XLOOKUP(V846,products_master_corrected!$A$2:$A$151,products_master_corrected!$A$2:$A$151, NA())),
    "❌ MISSING SKU", "✅")</f>
        <v>✅</v>
      </c>
      <c r="X846" s="2" t="s">
        <v>8703</v>
      </c>
      <c r="Y846" s="2" t="s">
        <v>106</v>
      </c>
      <c r="Z846" s="10" t="s">
        <v>368</v>
      </c>
      <c r="AA846" s="27">
        <v>3.0</v>
      </c>
      <c r="AB846" s="9" t="s">
        <v>8649</v>
      </c>
      <c r="AC846" s="28">
        <f t="array" ref="AC846">XLOOKUP(V846,products_master_corrected!$A$2:$A$151,products_master_corrected!$E$2:$E$151)</f>
        <v>135.16</v>
      </c>
      <c r="AD846" s="28">
        <f t="shared" si="93"/>
        <v>405.48</v>
      </c>
      <c r="AE846" s="28">
        <f t="array" ref="AE846">XLOOKUP(V846,products_master_corrected!$A$2:$A$151,products_master_corrected!$L$2:$L$151)</f>
        <v>146.18</v>
      </c>
      <c r="AF846" s="29">
        <f t="shared" si="94"/>
        <v>438.54</v>
      </c>
      <c r="AG846" s="32" t="s">
        <v>8665</v>
      </c>
      <c r="AH846" s="2" t="s">
        <v>379</v>
      </c>
      <c r="AI846" s="10" t="s">
        <v>143</v>
      </c>
      <c r="AJ846" s="2" t="s">
        <v>452</v>
      </c>
      <c r="AK846" s="10" t="s">
        <v>261</v>
      </c>
      <c r="AL846" s="2" t="s">
        <v>51</v>
      </c>
    </row>
    <row r="847" ht="15.75" customHeight="1">
      <c r="A847" s="2" t="s">
        <v>2067</v>
      </c>
      <c r="B847" s="12" t="s">
        <v>2068</v>
      </c>
      <c r="C847" s="2" t="str">
        <f>IFERROR(__xludf.DUMMYFUNCTION("IF(ISNUMBER(B847),TEXT(B847,""yyyy-MM-dd""),REGEXREPLACE(REGEXREPLACE(TO_TEXT(B847),""[^0-9a-zA-Z]+"",""-""),""[^0-9]*$"",""""))"),"05-29-2025-03-19")</f>
        <v>05-29-2025-03-19</v>
      </c>
      <c r="D847" s="2" t="str">
        <f>TEXT(C847,"yyyy-MM-dd")</f>
        <v>05-29-2025-03-19</v>
      </c>
      <c r="E847" s="12" t="str">
        <f>IFERROR(__xludf.DUMMYFUNCTION("REGEXEXTRACT(D847,""^\d{2}-\d{2}-\d{4}"")"),"05-29-2025")</f>
        <v>05-29-2025</v>
      </c>
      <c r="F847" s="2" t="str">
        <f>TEXT(E847,"yyyy-MM-dd")</f>
        <v>05-29-2025</v>
      </c>
      <c r="G847" s="2" t="s">
        <v>1215</v>
      </c>
      <c r="H847" s="10" t="s">
        <v>1215</v>
      </c>
      <c r="I847" s="2" t="s">
        <v>539</v>
      </c>
      <c r="J847" s="26" t="str">
        <f t="array" ref="J847">IF(ISNA(XLOOKUP(I847,customers_clean!$A$2:$A$701,customers_clean!$A$2:$A$701, NA()) ),
   "❌ MISSING CUSTOMER", "✅")</f>
        <v>✅</v>
      </c>
      <c r="K847" s="2" t="str">
        <f t="array" ref="K847">XLOOKUP(I847,customers_clean!$A$2:$A$701,customers_clean!$C$2:$C$701)</f>
        <v>OMAR KING</v>
      </c>
      <c r="L847" s="10" t="str">
        <f t="array" ref="L847">XLOOKUP(I847,customers_clean!$A$2:$A$701,customers_clean!$D$2:$D$701)</f>
        <v>Omar King</v>
      </c>
      <c r="M847" s="2" t="str">
        <f t="array" ref="M847">XLOOKUP(I847,customers_clean!$A$2:$A$701,customers_clean!$I$2:$I$701)</f>
        <v> omar.king@gmail.com</v>
      </c>
      <c r="N847" s="10" t="str">
        <f t="array" ref="N847">XLOOKUP(I847,customers_clean!$A$2:$A$701,customers_clean!$H$2:$H$701)</f>
        <v>omar.king@gmail.com</v>
      </c>
      <c r="O847" s="9" t="str">
        <f>IFERROR(__xludf.DUMMYFUNCTION("IF(REGEXMATCH(TRIM(N847),""^[A-Za-z0-9._%+-]+@[A-Za-z0-9.-]+\.[A-Za-z]{2,}$""),""✅ Valid"",""❌ Invalid"")"),"✅ Valid")</f>
        <v>✅ Valid</v>
      </c>
      <c r="P847" s="33" t="str">
        <f t="array" ref="P847">XLOOKUP(I847,customers_clean!$A$2:$A$701,customers_clean!$K$2:$K$701)</f>
        <v>+48296739141</v>
      </c>
      <c r="Q847" s="10" t="str">
        <f t="array" ref="Q847">XLOOKUP(I847,customers_clean!$A$2:$A$701,customers_clean!$N$2:$N$701)</f>
        <v>296739141</v>
      </c>
      <c r="R847" s="9" t="str">
        <f t="array" ref="R847">XLOOKUP(I847,customers_clean!$A$2:$A$701,customers_clean!$Q$2:$Q$701)</f>
        <v>❌ INVALID</v>
      </c>
      <c r="S847" s="10" t="s">
        <v>139</v>
      </c>
      <c r="T847" s="2" t="s">
        <v>210</v>
      </c>
      <c r="U847" s="2" t="s">
        <v>401</v>
      </c>
      <c r="V847" s="2" t="s">
        <v>565</v>
      </c>
      <c r="W847" s="9" t="str">
        <f t="array" ref="W847">IF(ISNA(XLOOKUP(V847,products_master_corrected!$A$2:$A$151,products_master_corrected!$A$2:$A$151, NA())),
    "❌ MISSING SKU", "✅")</f>
        <v>✅</v>
      </c>
      <c r="X847" s="2" t="s">
        <v>566</v>
      </c>
      <c r="Y847" s="2" t="s">
        <v>167</v>
      </c>
      <c r="Z847" s="10" t="str">
        <f t="shared" ref="Z847:Z848" si="95">PROPER(TRIM(Y847))</f>
        <v>Monitors</v>
      </c>
      <c r="AA847" s="27">
        <v>2.0</v>
      </c>
      <c r="AB847" s="9" t="s">
        <v>8649</v>
      </c>
      <c r="AC847" s="28">
        <f t="array" ref="AC847">XLOOKUP(V847,products_master_corrected!$A$2:$A$151,products_master_corrected!$E$2:$E$151)</f>
        <v>43.38</v>
      </c>
      <c r="AD847" s="28">
        <f t="shared" si="93"/>
        <v>86.76</v>
      </c>
      <c r="AE847" s="28">
        <f t="array" ref="AE847">XLOOKUP(V847,products_master_corrected!$A$2:$A$151,products_master_corrected!$L$2:$L$151)</f>
        <v>46.92</v>
      </c>
      <c r="AF847" s="29">
        <f t="shared" si="94"/>
        <v>93.84</v>
      </c>
      <c r="AG847" s="32" t="s">
        <v>8665</v>
      </c>
      <c r="AH847" s="2" t="s">
        <v>664</v>
      </c>
      <c r="AI847" s="10" t="s">
        <v>66</v>
      </c>
      <c r="AJ847" s="2" t="s">
        <v>158</v>
      </c>
      <c r="AK847" s="10" t="s">
        <v>818</v>
      </c>
    </row>
    <row r="848" ht="15.75" customHeight="1">
      <c r="A848" s="2" t="s">
        <v>5622</v>
      </c>
      <c r="B848" s="12">
        <v>45845.6375</v>
      </c>
      <c r="C848" s="2" t="str">
        <f>IFERROR(__xludf.DUMMYFUNCTION("IF(ISNUMBER(B848),TEXT(B848,""yyyy-MM-dd""),REGEXREPLACE(REGEXREPLACE(TO_TEXT(B848),""[^0-9a-zA-Z]+"",""-""),""[^0-9]*$"",""""))"),"2025-07-07")</f>
        <v>2025-07-07</v>
      </c>
      <c r="D848" s="2" t="s">
        <v>8960</v>
      </c>
      <c r="H848" s="10" t="s">
        <v>8960</v>
      </c>
      <c r="I848" s="2" t="s">
        <v>539</v>
      </c>
      <c r="J848" s="26" t="str">
        <f t="array" ref="J848">IF(ISNA(XLOOKUP(I848,customers_clean!$A$2:$A$701,customers_clean!$A$2:$A$701, NA()) ),
   "❌ MISSING CUSTOMER", "✅")</f>
        <v>✅</v>
      </c>
      <c r="K848" s="2" t="str">
        <f t="array" ref="K848">XLOOKUP(I848,customers_clean!$A$2:$A$701,customers_clean!$C$2:$C$701)</f>
        <v>OMAR KING</v>
      </c>
      <c r="L848" s="10" t="str">
        <f t="array" ref="L848">XLOOKUP(I848,customers_clean!$A$2:$A$701,customers_clean!$D$2:$D$701)</f>
        <v>Omar King</v>
      </c>
      <c r="M848" s="2" t="str">
        <f t="array" ref="M848">XLOOKUP(I848,customers_clean!$A$2:$A$701,customers_clean!$I$2:$I$701)</f>
        <v> omar.king@gmail.com</v>
      </c>
      <c r="N848" s="10" t="str">
        <f t="array" ref="N848">XLOOKUP(I848,customers_clean!$A$2:$A$701,customers_clean!$H$2:$H$701)</f>
        <v>omar.king@gmail.com</v>
      </c>
      <c r="O848" s="9" t="str">
        <f>IFERROR(__xludf.DUMMYFUNCTION("IF(REGEXMATCH(TRIM(N848),""^[A-Za-z0-9._%+-]+@[A-Za-z0-9.-]+\.[A-Za-z]{2,}$""),""✅ Valid"",""❌ Invalid"")"),"✅ Valid")</f>
        <v>✅ Valid</v>
      </c>
      <c r="P848" s="33" t="str">
        <f t="array" ref="P848">XLOOKUP(I848,customers_clean!$A$2:$A$701,customers_clean!$K$2:$K$701)</f>
        <v>+48296739141</v>
      </c>
      <c r="Q848" s="10" t="str">
        <f t="array" ref="Q848">XLOOKUP(I848,customers_clean!$A$2:$A$701,customers_clean!$N$2:$N$701)</f>
        <v>296739141</v>
      </c>
      <c r="R848" s="9" t="str">
        <f t="array" ref="R848">XLOOKUP(I848,customers_clean!$A$2:$A$701,customers_clean!$Q$2:$Q$701)</f>
        <v>❌ INVALID</v>
      </c>
      <c r="S848" s="10" t="s">
        <v>139</v>
      </c>
      <c r="T848" s="2" t="s">
        <v>400</v>
      </c>
      <c r="U848" s="2" t="s">
        <v>103</v>
      </c>
      <c r="V848" s="2" t="s">
        <v>166</v>
      </c>
      <c r="W848" s="9" t="str">
        <f t="array" ref="W848">IF(ISNA(XLOOKUP(V848,products_master_corrected!$A$2:$A$151,products_master_corrected!$A$2:$A$151, NA())),
    "❌ MISSING SKU", "✅")</f>
        <v>✅</v>
      </c>
      <c r="X848" s="2" t="s">
        <v>259</v>
      </c>
      <c r="Y848" s="2" t="s">
        <v>167</v>
      </c>
      <c r="Z848" s="10" t="str">
        <f t="shared" si="95"/>
        <v>Monitors</v>
      </c>
      <c r="AA848" s="27">
        <v>3.0</v>
      </c>
      <c r="AB848" s="9" t="s">
        <v>8649</v>
      </c>
      <c r="AC848" s="28">
        <f t="array" ref="AC848">XLOOKUP(V848,products_master_corrected!$A$2:$A$151,products_master_corrected!$E$2:$E$151)</f>
        <v>16.9</v>
      </c>
      <c r="AD848" s="28">
        <f t="shared" si="93"/>
        <v>50.7</v>
      </c>
      <c r="AE848" s="28">
        <f t="array" ref="AE848">XLOOKUP(V848,products_master_corrected!$A$2:$A$151,products_master_corrected!$L$2:$L$151)</f>
        <v>18.28</v>
      </c>
      <c r="AF848" s="29">
        <f t="shared" si="94"/>
        <v>54.84</v>
      </c>
      <c r="AG848" s="32" t="s">
        <v>8665</v>
      </c>
      <c r="AH848" s="2" t="s">
        <v>181</v>
      </c>
      <c r="AI848" s="10" t="s">
        <v>181</v>
      </c>
      <c r="AJ848" s="2" t="s">
        <v>294</v>
      </c>
      <c r="AK848" s="10" t="s">
        <v>80</v>
      </c>
    </row>
    <row r="849" ht="15.75" customHeight="1">
      <c r="A849" s="2" t="s">
        <v>4650</v>
      </c>
      <c r="B849" s="12">
        <v>45772.0</v>
      </c>
      <c r="C849" s="2" t="str">
        <f>IFERROR(__xludf.DUMMYFUNCTION("IF(ISNUMBER(B849),TEXT(B849,""yyyy-MM-dd""),REGEXREPLACE(REGEXREPLACE(TO_TEXT(B849),""[^0-9a-zA-Z]+"",""-""),""[^0-9]*$"",""""))"),"2025-04-25")</f>
        <v>2025-04-25</v>
      </c>
      <c r="D849" s="2" t="s">
        <v>4651</v>
      </c>
      <c r="H849" s="10" t="s">
        <v>4651</v>
      </c>
      <c r="I849" s="2" t="s">
        <v>539</v>
      </c>
      <c r="J849" s="26" t="str">
        <f t="array" ref="J849">IF(ISNA(XLOOKUP(I849,customers_clean!$A$2:$A$701,customers_clean!$A$2:$A$701, NA()) ),
   "❌ MISSING CUSTOMER", "✅")</f>
        <v>✅</v>
      </c>
      <c r="K849" s="2" t="str">
        <f t="array" ref="K849">XLOOKUP(I849,customers_clean!$A$2:$A$701,customers_clean!$C$2:$C$701)</f>
        <v>OMAR KING</v>
      </c>
      <c r="L849" s="10" t="str">
        <f t="array" ref="L849">XLOOKUP(I849,customers_clean!$A$2:$A$701,customers_clean!$D$2:$D$701)</f>
        <v>Omar King</v>
      </c>
      <c r="M849" s="2" t="str">
        <f t="array" ref="M849">XLOOKUP(I849,customers_clean!$A$2:$A$701,customers_clean!$I$2:$I$701)</f>
        <v> omar.king@gmail.com</v>
      </c>
      <c r="N849" s="10" t="str">
        <f t="array" ref="N849">XLOOKUP(I849,customers_clean!$A$2:$A$701,customers_clean!$H$2:$H$701)</f>
        <v>omar.king@gmail.com</v>
      </c>
      <c r="O849" s="9" t="str">
        <f>IFERROR(__xludf.DUMMYFUNCTION("IF(REGEXMATCH(TRIM(N849),""^[A-Za-z0-9._%+-]+@[A-Za-z0-9.-]+\.[A-Za-z]{2,}$""),""✅ Valid"",""❌ Invalid"")"),"✅ Valid")</f>
        <v>✅ Valid</v>
      </c>
      <c r="P849" s="33" t="str">
        <f t="array" ref="P849">XLOOKUP(I849,customers_clean!$A$2:$A$701,customers_clean!$K$2:$K$701)</f>
        <v>+48296739141</v>
      </c>
      <c r="Q849" s="10" t="str">
        <f t="array" ref="Q849">XLOOKUP(I849,customers_clean!$A$2:$A$701,customers_clean!$N$2:$N$701)</f>
        <v>296739141</v>
      </c>
      <c r="R849" s="9" t="str">
        <f t="array" ref="R849">XLOOKUP(I849,customers_clean!$A$2:$A$701,customers_clean!$Q$2:$Q$701)</f>
        <v>❌ INVALID</v>
      </c>
      <c r="S849" s="10" t="s">
        <v>139</v>
      </c>
      <c r="T849" s="2" t="s">
        <v>42</v>
      </c>
      <c r="U849" s="2" t="s">
        <v>103</v>
      </c>
      <c r="V849" s="2" t="s">
        <v>471</v>
      </c>
      <c r="W849" s="9" t="str">
        <f t="array" ref="W849">IF(ISNA(XLOOKUP(V849,products_master_corrected!$A$2:$A$151,products_master_corrected!$A$2:$A$151, NA())),
    "❌ MISSING SKU", "✅")</f>
        <v>✅</v>
      </c>
      <c r="X849" s="2" t="s">
        <v>29</v>
      </c>
      <c r="Y849" s="2" t="s">
        <v>179</v>
      </c>
      <c r="Z849" s="10" t="s">
        <v>179</v>
      </c>
      <c r="AA849" s="27">
        <v>3.0</v>
      </c>
      <c r="AB849" s="9" t="s">
        <v>8649</v>
      </c>
      <c r="AC849" s="28">
        <f t="array" ref="AC849">XLOOKUP(V849,products_master_corrected!$A$2:$A$151,products_master_corrected!$E$2:$E$151)</f>
        <v>71.8</v>
      </c>
      <c r="AD849" s="28">
        <f t="shared" si="93"/>
        <v>215.4</v>
      </c>
      <c r="AE849" s="28">
        <f t="array" ref="AE849">XLOOKUP(V849,products_master_corrected!$A$2:$A$151,products_master_corrected!$L$2:$L$151)</f>
        <v>77.65</v>
      </c>
      <c r="AF849" s="29">
        <f t="shared" si="94"/>
        <v>232.95</v>
      </c>
      <c r="AG849" s="32" t="s">
        <v>8665</v>
      </c>
      <c r="AH849" s="2" t="s">
        <v>49</v>
      </c>
      <c r="AI849" s="10" t="s">
        <v>49</v>
      </c>
      <c r="AJ849" s="2" t="s">
        <v>294</v>
      </c>
      <c r="AK849" s="10" t="s">
        <v>80</v>
      </c>
      <c r="AL849" s="2" t="s">
        <v>81</v>
      </c>
    </row>
    <row r="850" ht="15.75" customHeight="1">
      <c r="A850" s="2" t="s">
        <v>3517</v>
      </c>
      <c r="B850" s="12" t="s">
        <v>3518</v>
      </c>
      <c r="C850" s="2" t="str">
        <f>IFERROR(__xludf.DUMMYFUNCTION("IF(ISNUMBER(B850),TEXT(B850,""yyyy-MM-dd""),REGEXREPLACE(REGEXREPLACE(TO_TEXT(B850),""[^0-9a-zA-Z]+"",""-""),""[^0-9]*$"",""""))"),"26-04-2023")</f>
        <v>26-04-2023</v>
      </c>
      <c r="D850" s="2" t="s">
        <v>8848</v>
      </c>
      <c r="H850" s="10" t="s">
        <v>8848</v>
      </c>
      <c r="I850" s="2" t="s">
        <v>219</v>
      </c>
      <c r="J850" s="26" t="str">
        <f t="array" ref="J850">IF(ISNA(XLOOKUP(I850,customers_clean!$A$2:$A$701,customers_clean!$A$2:$A$701, NA()) ),
   "❌ MISSING CUSTOMER", "✅")</f>
        <v>✅</v>
      </c>
      <c r="K850" s="2" t="str">
        <f t="array" ref="K850">XLOOKUP(I850,customers_clean!$A$2:$A$701,customers_clean!$C$2:$C$701)</f>
        <v>Tara Dubois</v>
      </c>
      <c r="L850" s="10" t="str">
        <f t="array" ref="L850">XLOOKUP(I850,customers_clean!$A$2:$A$701,customers_clean!$D$2:$D$701)</f>
        <v>Tara Dubois</v>
      </c>
      <c r="M850" s="2" t="str">
        <f t="array" ref="M850">XLOOKUP(I850,customers_clean!$A$2:$A$701,customers_clean!$I$2:$I$701)</f>
        <v>tara.dubois@gmail.com</v>
      </c>
      <c r="N850" s="10" t="str">
        <f t="array" ref="N850">XLOOKUP(I850,customers_clean!$A$2:$A$701,customers_clean!$H$2:$H$701)</f>
        <v>tara.dubois@gmail.com</v>
      </c>
      <c r="O850" s="9" t="str">
        <f>IFERROR(__xludf.DUMMYFUNCTION("IF(REGEXMATCH(TRIM(N850),""^[A-Za-z0-9._%+-]+@[A-Za-z0-9.-]+\.[A-Za-z]{2,}$""),""✅ Valid"",""❌ Invalid"")"),"✅ Valid")</f>
        <v>✅ Valid</v>
      </c>
      <c r="P850" s="2" t="str">
        <f t="array" ref="P850">XLOOKUP(I850,customers_clean!$A$2:$A$701,customers_clean!$K$2:$K$701)</f>
        <v>+4497865448437</v>
      </c>
      <c r="Q850" s="10" t="str">
        <f t="array" ref="Q850">XLOOKUP(I850,customers_clean!$A$2:$A$701,customers_clean!$N$2:$N$701)</f>
        <v>97865448437</v>
      </c>
      <c r="R850" s="9" t="str">
        <f t="array" ref="R850">XLOOKUP(I850,customers_clean!$A$2:$A$701,customers_clean!$Q$2:$Q$701)</f>
        <v>❌ INVALID</v>
      </c>
      <c r="S850" s="10" t="s">
        <v>114</v>
      </c>
      <c r="T850" s="2" t="s">
        <v>26</v>
      </c>
      <c r="U850" s="2" t="s">
        <v>75</v>
      </c>
      <c r="V850" s="2" t="s">
        <v>154</v>
      </c>
      <c r="W850" s="9" t="str">
        <f t="array" ref="W850">IF(ISNA(XLOOKUP(V850,products_master_corrected!$A$2:$A$151,products_master_corrected!$A$2:$A$151, NA())),
    "❌ MISSING SKU", "✅")</f>
        <v>✅</v>
      </c>
      <c r="X850" s="2" t="s">
        <v>62</v>
      </c>
      <c r="Y850" s="2" t="s">
        <v>155</v>
      </c>
      <c r="Z850" s="10" t="s">
        <v>368</v>
      </c>
      <c r="AA850" s="27">
        <v>1.0</v>
      </c>
      <c r="AB850" s="9" t="s">
        <v>8649</v>
      </c>
      <c r="AC850" s="28">
        <f t="array" ref="AC850">XLOOKUP(V850,products_master_corrected!$A$2:$A$151,products_master_corrected!$E$2:$E$151)</f>
        <v>74.1</v>
      </c>
      <c r="AD850" s="28">
        <f t="shared" si="93"/>
        <v>74.1</v>
      </c>
      <c r="AE850" s="28">
        <f t="array" ref="AE850">XLOOKUP(V850,products_master_corrected!$A$2:$A$151,products_master_corrected!$F$2:$F$151)</f>
        <v>74.1</v>
      </c>
      <c r="AF850" s="29">
        <f t="shared" si="94"/>
        <v>74.1</v>
      </c>
      <c r="AG850" s="30" t="s">
        <v>65</v>
      </c>
      <c r="AH850" s="2" t="s">
        <v>238</v>
      </c>
      <c r="AI850" s="10" t="s">
        <v>66</v>
      </c>
      <c r="AJ850" s="2" t="s">
        <v>1312</v>
      </c>
      <c r="AK850" s="10" t="s">
        <v>818</v>
      </c>
      <c r="AL850" s="2" t="s">
        <v>81</v>
      </c>
    </row>
    <row r="851" ht="15.75" customHeight="1">
      <c r="A851" s="2" t="s">
        <v>6052</v>
      </c>
      <c r="B851" s="12">
        <v>45891.0</v>
      </c>
      <c r="C851" s="2" t="str">
        <f>IFERROR(__xludf.DUMMYFUNCTION("IF(ISNUMBER(B851),TEXT(B851,""yyyy-MM-dd""),REGEXREPLACE(REGEXREPLACE(TO_TEXT(B851),""[^0-9a-zA-Z]+"",""-""),""[^0-9]*$"",""""))"),"2025-08-22")</f>
        <v>2025-08-22</v>
      </c>
      <c r="D851" s="2" t="s">
        <v>8961</v>
      </c>
      <c r="H851" s="10" t="s">
        <v>8961</v>
      </c>
      <c r="I851" s="2" t="s">
        <v>219</v>
      </c>
      <c r="J851" s="26" t="str">
        <f t="array" ref="J851">IF(ISNA(XLOOKUP(I851,customers_clean!$A$2:$A$701,customers_clean!$A$2:$A$701, NA()) ),
   "❌ MISSING CUSTOMER", "✅")</f>
        <v>✅</v>
      </c>
      <c r="K851" s="2" t="str">
        <f t="array" ref="K851">XLOOKUP(I851,customers_clean!$A$2:$A$701,customers_clean!$C$2:$C$701)</f>
        <v>Tara Dubois</v>
      </c>
      <c r="L851" s="10" t="str">
        <f t="array" ref="L851">XLOOKUP(I851,customers_clean!$A$2:$A$701,customers_clean!$D$2:$D$701)</f>
        <v>Tara Dubois</v>
      </c>
      <c r="M851" s="2" t="str">
        <f t="array" ref="M851">XLOOKUP(I851,customers_clean!$A$2:$A$701,customers_clean!$I$2:$I$701)</f>
        <v>tara.dubois@gmail.com</v>
      </c>
      <c r="N851" s="10" t="str">
        <f t="array" ref="N851">XLOOKUP(I851,customers_clean!$A$2:$A$701,customers_clean!$H$2:$H$701)</f>
        <v>tara.dubois@gmail.com</v>
      </c>
      <c r="O851" s="9" t="str">
        <f>IFERROR(__xludf.DUMMYFUNCTION("IF(REGEXMATCH(TRIM(N851),""^[A-Za-z0-9._%+-]+@[A-Za-z0-9.-]+\.[A-Za-z]{2,}$""),""✅ Valid"",""❌ Invalid"")"),"✅ Valid")</f>
        <v>✅ Valid</v>
      </c>
      <c r="P851" s="2" t="str">
        <f t="array" ref="P851">XLOOKUP(I851,customers_clean!$A$2:$A$701,customers_clean!$K$2:$K$701)</f>
        <v>+4497865448437</v>
      </c>
      <c r="Q851" s="10" t="str">
        <f t="array" ref="Q851">XLOOKUP(I851,customers_clean!$A$2:$A$701,customers_clean!$N$2:$N$701)</f>
        <v>97865448437</v>
      </c>
      <c r="R851" s="9" t="str">
        <f t="array" ref="R851">XLOOKUP(I851,customers_clean!$A$2:$A$701,customers_clean!$Q$2:$Q$701)</f>
        <v>❌ INVALID</v>
      </c>
      <c r="S851" s="10" t="s">
        <v>114</v>
      </c>
      <c r="T851" s="2" t="s">
        <v>1167</v>
      </c>
      <c r="U851" s="2" t="s">
        <v>512</v>
      </c>
      <c r="V851" s="2" t="s">
        <v>711</v>
      </c>
      <c r="W851" s="9" t="str">
        <f t="array" ref="W851">IF(ISNA(XLOOKUP(V851,products_master_corrected!$A$2:$A$151,products_master_corrected!$A$2:$A$151, NA())),
    "❌ MISSING SKU", "✅")</f>
        <v>✅</v>
      </c>
      <c r="X851" s="2" t="s">
        <v>403</v>
      </c>
      <c r="Y851" s="2" t="s">
        <v>637</v>
      </c>
      <c r="Z851" s="10" t="s">
        <v>514</v>
      </c>
      <c r="AA851" s="27">
        <v>2.0</v>
      </c>
      <c r="AB851" s="9" t="s">
        <v>8649</v>
      </c>
      <c r="AC851" s="28">
        <f t="array" ref="AC851">XLOOKUP(V851,products_master_corrected!$A$2:$A$151,products_master_corrected!$E$2:$E$151)</f>
        <v>43.64</v>
      </c>
      <c r="AD851" s="28">
        <f t="shared" si="93"/>
        <v>87.28</v>
      </c>
      <c r="AE851" s="28">
        <f t="array" ref="AE851">XLOOKUP(V851,products_master_corrected!$A$2:$A$151,products_master_corrected!$F$2:$F$151)</f>
        <v>43.64</v>
      </c>
      <c r="AF851" s="29">
        <f t="shared" si="94"/>
        <v>87.28</v>
      </c>
      <c r="AG851" s="30" t="s">
        <v>65</v>
      </c>
      <c r="AH851" s="2" t="s">
        <v>181</v>
      </c>
      <c r="AI851" s="10" t="s">
        <v>181</v>
      </c>
      <c r="AJ851" s="2" t="s">
        <v>80</v>
      </c>
      <c r="AK851" s="10" t="s">
        <v>80</v>
      </c>
    </row>
    <row r="852" ht="15.75" customHeight="1">
      <c r="A852" s="2" t="s">
        <v>217</v>
      </c>
      <c r="B852" s="12" t="s">
        <v>218</v>
      </c>
      <c r="C852" s="2" t="str">
        <f>IFERROR(__xludf.DUMMYFUNCTION("IF(ISNUMBER(B852),TEXT(B852,""yyyy-MM-dd""),REGEXREPLACE(REGEXREPLACE(TO_TEXT(B852),""[^0-9a-zA-Z]+"",""-""),""[^0-9]*$"",""""))"),"07-13-2025")</f>
        <v>07-13-2025</v>
      </c>
      <c r="D852" s="2" t="str">
        <f>TEXT(C852,"yyyy-MM-dd")</f>
        <v>07-13-2025</v>
      </c>
      <c r="E852" s="2" t="s">
        <v>8962</v>
      </c>
      <c r="H852" s="10" t="s">
        <v>8962</v>
      </c>
      <c r="I852" s="2" t="s">
        <v>219</v>
      </c>
      <c r="J852" s="26" t="str">
        <f t="array" ref="J852">IF(ISNA(XLOOKUP(I852,customers_clean!$A$2:$A$701,customers_clean!$A$2:$A$701, NA()) ),
   "❌ MISSING CUSTOMER", "✅")</f>
        <v>✅</v>
      </c>
      <c r="K852" s="2" t="str">
        <f t="array" ref="K852">XLOOKUP(I852,customers_clean!$A$2:$A$701,customers_clean!$C$2:$C$701)</f>
        <v>Tara Dubois</v>
      </c>
      <c r="L852" s="10" t="str">
        <f t="array" ref="L852">XLOOKUP(I852,customers_clean!$A$2:$A$701,customers_clean!$D$2:$D$701)</f>
        <v>Tara Dubois</v>
      </c>
      <c r="M852" s="2" t="str">
        <f t="array" ref="M852">XLOOKUP(I852,customers_clean!$A$2:$A$701,customers_clean!$I$2:$I$701)</f>
        <v>tara.dubois@gmail.com</v>
      </c>
      <c r="N852" s="10" t="str">
        <f t="array" ref="N852">XLOOKUP(I852,customers_clean!$A$2:$A$701,customers_clean!$H$2:$H$701)</f>
        <v>tara.dubois@gmail.com</v>
      </c>
      <c r="O852" s="9" t="str">
        <f>IFERROR(__xludf.DUMMYFUNCTION("IF(REGEXMATCH(TRIM(N852),""^[A-Za-z0-9._%+-]+@[A-Za-z0-9.-]+\.[A-Za-z]{2,}$""),""✅ Valid"",""❌ Invalid"")"),"✅ Valid")</f>
        <v>✅ Valid</v>
      </c>
      <c r="P852" s="2" t="str">
        <f t="array" ref="P852">XLOOKUP(I852,customers_clean!$A$2:$A$701,customers_clean!$K$2:$K$701)</f>
        <v>+4497865448437</v>
      </c>
      <c r="Q852" s="10" t="str">
        <f t="array" ref="Q852">XLOOKUP(I852,customers_clean!$A$2:$A$701,customers_clean!$N$2:$N$701)</f>
        <v>97865448437</v>
      </c>
      <c r="R852" s="9" t="str">
        <f t="array" ref="R852">XLOOKUP(I852,customers_clean!$A$2:$A$701,customers_clean!$Q$2:$Q$701)</f>
        <v>❌ INVALID</v>
      </c>
      <c r="S852" s="10" t="s">
        <v>114</v>
      </c>
      <c r="T852" s="2" t="s">
        <v>223</v>
      </c>
      <c r="U852" s="2" t="s">
        <v>176</v>
      </c>
      <c r="V852" s="2" t="s">
        <v>224</v>
      </c>
      <c r="W852" s="9" t="str">
        <f t="array" ref="W852">IF(ISNA(XLOOKUP(V852,products_master_corrected!$A$2:$A$151,products_master_corrected!$A$2:$A$151, NA())),
    "❌ MISSING SKU", "✅")</f>
        <v>✅</v>
      </c>
      <c r="X852" s="2" t="s">
        <v>225</v>
      </c>
      <c r="Y852" s="2" t="s">
        <v>214</v>
      </c>
      <c r="Z852" s="10" t="s">
        <v>368</v>
      </c>
      <c r="AA852" s="27">
        <v>2.0</v>
      </c>
      <c r="AB852" s="9" t="s">
        <v>8649</v>
      </c>
      <c r="AC852" s="28">
        <f t="array" ref="AC852">XLOOKUP(V852,products_master_corrected!$A$2:$A$151,products_master_corrected!$E$2:$E$151)</f>
        <v>19.28</v>
      </c>
      <c r="AD852" s="28">
        <f t="shared" si="93"/>
        <v>38.56</v>
      </c>
      <c r="AE852" s="28">
        <f t="array" ref="AE852">XLOOKUP(V852,products_master_corrected!$A$2:$A$151,products_master_corrected!$F$2:$F$151)</f>
        <v>19.28</v>
      </c>
      <c r="AF852" s="29">
        <f t="shared" si="94"/>
        <v>38.56</v>
      </c>
      <c r="AG852" s="30" t="s">
        <v>65</v>
      </c>
      <c r="AH852" s="2" t="s">
        <v>143</v>
      </c>
      <c r="AI852" s="10" t="s">
        <v>143</v>
      </c>
      <c r="AJ852" s="2" t="s">
        <v>227</v>
      </c>
      <c r="AK852" s="10" t="s">
        <v>80</v>
      </c>
    </row>
    <row r="853" ht="15.75" customHeight="1">
      <c r="A853" s="2" t="s">
        <v>5311</v>
      </c>
      <c r="B853" s="12">
        <v>45052.0</v>
      </c>
      <c r="C853" s="2" t="str">
        <f>IFERROR(__xludf.DUMMYFUNCTION("IF(ISNUMBER(B853),TEXT(B853,""yyyy-MM-dd""),REGEXREPLACE(REGEXREPLACE(TO_TEXT(B853),""[^0-9a-zA-Z]+"",""-""),""[^0-9]*$"",""""))"),"2023-05-06")</f>
        <v>2023-05-06</v>
      </c>
      <c r="D853" s="2" t="s">
        <v>8866</v>
      </c>
      <c r="H853" s="10" t="s">
        <v>8866</v>
      </c>
      <c r="I853" s="2" t="s">
        <v>219</v>
      </c>
      <c r="J853" s="26" t="str">
        <f t="array" ref="J853">IF(ISNA(XLOOKUP(I853,customers_clean!$A$2:$A$701,customers_clean!$A$2:$A$701, NA()) ),
   "❌ MISSING CUSTOMER", "✅")</f>
        <v>✅</v>
      </c>
      <c r="K853" s="2" t="str">
        <f t="array" ref="K853">XLOOKUP(I853,customers_clean!$A$2:$A$701,customers_clean!$C$2:$C$701)</f>
        <v>Tara Dubois</v>
      </c>
      <c r="L853" s="10" t="str">
        <f t="array" ref="L853">XLOOKUP(I853,customers_clean!$A$2:$A$701,customers_clean!$D$2:$D$701)</f>
        <v>Tara Dubois</v>
      </c>
      <c r="M853" s="2" t="str">
        <f t="array" ref="M853">XLOOKUP(I853,customers_clean!$A$2:$A$701,customers_clean!$I$2:$I$701)</f>
        <v>tara.dubois@gmail.com</v>
      </c>
      <c r="N853" s="10" t="str">
        <f t="array" ref="N853">XLOOKUP(I853,customers_clean!$A$2:$A$701,customers_clean!$H$2:$H$701)</f>
        <v>tara.dubois@gmail.com</v>
      </c>
      <c r="O853" s="9" t="str">
        <f>IFERROR(__xludf.DUMMYFUNCTION("IF(REGEXMATCH(TRIM(N853),""^[A-Za-z0-9._%+-]+@[A-Za-z0-9.-]+\.[A-Za-z]{2,}$""),""✅ Valid"",""❌ Invalid"")"),"✅ Valid")</f>
        <v>✅ Valid</v>
      </c>
      <c r="P853" s="2" t="str">
        <f t="array" ref="P853">XLOOKUP(I853,customers_clean!$A$2:$A$701,customers_clean!$K$2:$K$701)</f>
        <v>+4497865448437</v>
      </c>
      <c r="Q853" s="10" t="str">
        <f t="array" ref="Q853">XLOOKUP(I853,customers_clean!$A$2:$A$701,customers_clean!$N$2:$N$701)</f>
        <v>97865448437</v>
      </c>
      <c r="R853" s="9" t="str">
        <f t="array" ref="R853">XLOOKUP(I853,customers_clean!$A$2:$A$701,customers_clean!$Q$2:$Q$701)</f>
        <v>❌ INVALID</v>
      </c>
      <c r="S853" s="10" t="s">
        <v>114</v>
      </c>
      <c r="T853" s="2" t="s">
        <v>42</v>
      </c>
      <c r="U853" s="2" t="s">
        <v>401</v>
      </c>
      <c r="V853" s="2" t="s">
        <v>1146</v>
      </c>
      <c r="W853" s="9" t="str">
        <f t="array" ref="W853">IF(ISNA(XLOOKUP(V853,products_master_corrected!$A$2:$A$151,products_master_corrected!$A$2:$A$151, NA())),
    "❌ MISSING SKU", "✅")</f>
        <v>✅</v>
      </c>
      <c r="X853" s="2" t="s">
        <v>1147</v>
      </c>
      <c r="Y853" s="2" t="s">
        <v>248</v>
      </c>
      <c r="Z853" s="10" t="s">
        <v>248</v>
      </c>
      <c r="AA853" s="27">
        <v>1.0</v>
      </c>
      <c r="AB853" s="9" t="s">
        <v>8649</v>
      </c>
      <c r="AC853" s="28">
        <f t="array" ref="AC853">XLOOKUP(V853,products_master_corrected!$A$2:$A$151,products_master_corrected!$E$2:$E$151)</f>
        <v>152.4</v>
      </c>
      <c r="AD853" s="28">
        <f t="shared" si="93"/>
        <v>152.4</v>
      </c>
      <c r="AE853" s="28">
        <f t="array" ref="AE853">XLOOKUP(V853,products_master_corrected!$A$2:$A$151,products_master_corrected!$F$2:$F$151)</f>
        <v>152.4</v>
      </c>
      <c r="AF853" s="29">
        <f t="shared" si="94"/>
        <v>152.4</v>
      </c>
      <c r="AG853" s="30" t="s">
        <v>65</v>
      </c>
      <c r="AH853" s="2" t="s">
        <v>238</v>
      </c>
      <c r="AI853" s="10" t="s">
        <v>66</v>
      </c>
      <c r="AJ853" s="2" t="s">
        <v>306</v>
      </c>
      <c r="AK853" s="10" t="s">
        <v>192</v>
      </c>
      <c r="AL853" s="2" t="s">
        <v>133</v>
      </c>
    </row>
    <row r="854" ht="15.75" customHeight="1">
      <c r="A854" s="2" t="s">
        <v>5143</v>
      </c>
      <c r="B854" s="12">
        <v>45331.0</v>
      </c>
      <c r="C854" s="2" t="str">
        <f>IFERROR(__xludf.DUMMYFUNCTION("IF(ISNUMBER(B854),TEXT(B854,""yyyy-MM-dd""),REGEXREPLACE(REGEXREPLACE(TO_TEXT(B854),""[^0-9a-zA-Z]+"",""-""),""[^0-9]*$"",""""))"),"2024-02-09")</f>
        <v>2024-02-09</v>
      </c>
      <c r="D854" s="2" t="s">
        <v>8238</v>
      </c>
      <c r="H854" s="10" t="s">
        <v>8238</v>
      </c>
      <c r="I854" s="2" t="s">
        <v>3591</v>
      </c>
      <c r="J854" s="26" t="str">
        <f t="array" ref="J854">IF(ISNA(XLOOKUP(I854,customers_clean!$A$2:$A$701,customers_clean!$A$2:$A$701, NA()) ),
   "❌ MISSING CUSTOMER", "✅")</f>
        <v>✅</v>
      </c>
      <c r="K854" s="2" t="str">
        <f t="array" ref="K854">XLOOKUP(I854,customers_clean!$A$2:$A$701,customers_clean!$C$2:$C$701)</f>
        <v>Fiona Davis</v>
      </c>
      <c r="L854" s="10" t="str">
        <f t="array" ref="L854">XLOOKUP(I854,customers_clean!$A$2:$A$701,customers_clean!$D$2:$D$701)</f>
        <v>Fiona Davis</v>
      </c>
      <c r="M854" s="2" t="str">
        <f t="array" ref="M854">XLOOKUP(I854,customers_clean!$A$2:$A$701,customers_clean!$I$2:$I$701)</f>
        <v>Fiona.Davis@Gmail.Com</v>
      </c>
      <c r="N854" s="10" t="str">
        <f t="array" ref="N854">XLOOKUP(I854,customers_clean!$A$2:$A$701,customers_clean!$H$2:$H$701)</f>
        <v>fiona.davis@gmail.com</v>
      </c>
      <c r="O854" s="9" t="str">
        <f>IFERROR(__xludf.DUMMYFUNCTION("IF(REGEXMATCH(TRIM(N854),""^[A-Za-z0-9._%+-]+@[A-Za-z0-9.-]+\.[A-Za-z]{2,}$""),""✅ Valid"",""❌ Invalid"")"),"✅ Valid")</f>
        <v>✅ Valid</v>
      </c>
      <c r="P854" s="2" t="str">
        <f t="array" ref="P854">XLOOKUP(I854,customers_clean!$A$2:$A$701,customers_clean!$K$2:$K$701)</f>
        <v>+494274525719</v>
      </c>
      <c r="Q854" s="10" t="str">
        <f t="array" ref="Q854">XLOOKUP(I854,customers_clean!$A$2:$A$701,customers_clean!$N$2:$N$701)</f>
        <v>4274525719</v>
      </c>
      <c r="R854" s="9" t="str">
        <f t="array" ref="R854">XLOOKUP(I854,customers_clean!$A$2:$A$701,customers_clean!$Q$2:$Q$701)</f>
        <v>❌ INVALID</v>
      </c>
      <c r="S854" s="31" t="s">
        <v>671</v>
      </c>
      <c r="T854" s="2" t="s">
        <v>683</v>
      </c>
      <c r="U854" s="2" t="s">
        <v>333</v>
      </c>
      <c r="V854" s="2" t="s">
        <v>852</v>
      </c>
      <c r="W854" s="9" t="str">
        <f t="array" ref="W854">IF(ISNA(XLOOKUP(V854,products_master_corrected!$A$2:$A$151,products_master_corrected!$A$2:$A$151, NA())),
    "❌ MISSING SKU", "✅")</f>
        <v>✅</v>
      </c>
      <c r="X854" s="2" t="s">
        <v>213</v>
      </c>
      <c r="Y854" s="2" t="s">
        <v>167</v>
      </c>
      <c r="Z854" s="10" t="str">
        <f>PROPER(TRIM(Y854))</f>
        <v>Monitors</v>
      </c>
      <c r="AA854" s="27">
        <v>5.0</v>
      </c>
      <c r="AB854" s="9" t="s">
        <v>8649</v>
      </c>
      <c r="AC854" s="28">
        <f t="array" ref="AC854">XLOOKUP(V854,products_master_corrected!$A$2:$A$151,products_master_corrected!$E$2:$E$151)</f>
        <v>1114.6</v>
      </c>
      <c r="AD854" s="28">
        <f t="shared" si="93"/>
        <v>5573</v>
      </c>
      <c r="AE854" s="28">
        <f t="array" ref="AE854">XLOOKUP(V854,products_master_corrected!$A$2:$A$151,products_master_corrected!$J$2:$J$151)</f>
        <v>1299.96</v>
      </c>
      <c r="AF854" s="29">
        <f t="shared" si="94"/>
        <v>6499.8</v>
      </c>
      <c r="AG854" s="32" t="s">
        <v>8656</v>
      </c>
      <c r="AH854" s="2" t="s">
        <v>485</v>
      </c>
      <c r="AI854" s="10" t="s">
        <v>181</v>
      </c>
      <c r="AJ854" s="2" t="s">
        <v>34</v>
      </c>
      <c r="AK854" s="10" t="s">
        <v>80</v>
      </c>
      <c r="AL854" s="2" t="s">
        <v>51</v>
      </c>
    </row>
    <row r="855" ht="15.75" customHeight="1">
      <c r="A855" s="2" t="s">
        <v>3589</v>
      </c>
      <c r="B855" s="12" t="s">
        <v>3590</v>
      </c>
      <c r="C855" s="2" t="str">
        <f>IFERROR(__xludf.DUMMYFUNCTION("IF(ISNUMBER(B855),TEXT(B855,""yyyy-MM-dd""),REGEXREPLACE(REGEXREPLACE(TO_TEXT(B855),""[^0-9a-zA-Z]+"",""-""),""[^0-9]*$"",""""))"),"06-03-2023")</f>
        <v>06-03-2023</v>
      </c>
      <c r="D855" s="2" t="s">
        <v>7814</v>
      </c>
      <c r="H855" s="10" t="s">
        <v>7814</v>
      </c>
      <c r="I855" s="2" t="s">
        <v>3591</v>
      </c>
      <c r="J855" s="26" t="str">
        <f t="array" ref="J855">IF(ISNA(XLOOKUP(I855,customers_clean!$A$2:$A$701,customers_clean!$A$2:$A$701, NA()) ),
   "❌ MISSING CUSTOMER", "✅")</f>
        <v>✅</v>
      </c>
      <c r="K855" s="2" t="str">
        <f t="array" ref="K855">XLOOKUP(I855,customers_clean!$A$2:$A$701,customers_clean!$C$2:$C$701)</f>
        <v>Fiona Davis</v>
      </c>
      <c r="L855" s="10" t="str">
        <f t="array" ref="L855">XLOOKUP(I855,customers_clean!$A$2:$A$701,customers_clean!$D$2:$D$701)</f>
        <v>Fiona Davis</v>
      </c>
      <c r="M855" s="2" t="str">
        <f t="array" ref="M855">XLOOKUP(I855,customers_clean!$A$2:$A$701,customers_clean!$I$2:$I$701)</f>
        <v>Fiona.Davis@Gmail.Com</v>
      </c>
      <c r="N855" s="10" t="str">
        <f t="array" ref="N855">XLOOKUP(I855,customers_clean!$A$2:$A$701,customers_clean!$H$2:$H$701)</f>
        <v>fiona.davis@gmail.com</v>
      </c>
      <c r="O855" s="9" t="str">
        <f>IFERROR(__xludf.DUMMYFUNCTION("IF(REGEXMATCH(TRIM(N855),""^[A-Za-z0-9._%+-]+@[A-Za-z0-9.-]+\.[A-Za-z]{2,}$""),""✅ Valid"",""❌ Invalid"")"),"✅ Valid")</f>
        <v>✅ Valid</v>
      </c>
      <c r="P855" s="2" t="str">
        <f t="array" ref="P855">XLOOKUP(I855,customers_clean!$A$2:$A$701,customers_clean!$K$2:$K$701)</f>
        <v>+494274525719</v>
      </c>
      <c r="Q855" s="10" t="str">
        <f t="array" ref="Q855">XLOOKUP(I855,customers_clean!$A$2:$A$701,customers_clean!$N$2:$N$701)</f>
        <v>4274525719</v>
      </c>
      <c r="R855" s="9" t="str">
        <f t="array" ref="R855">XLOOKUP(I855,customers_clean!$A$2:$A$701,customers_clean!$Q$2:$Q$701)</f>
        <v>❌ INVALID</v>
      </c>
      <c r="S855" s="31" t="s">
        <v>671</v>
      </c>
      <c r="T855" s="2" t="s">
        <v>42</v>
      </c>
      <c r="U855" s="2" t="s">
        <v>3595</v>
      </c>
      <c r="V855" s="2" t="s">
        <v>3596</v>
      </c>
      <c r="W855" s="9" t="str">
        <f t="array" ref="W855">IF(ISNA(XLOOKUP(V855,products_master_corrected!$A$2:$A$151,products_master_corrected!$A$2:$A$151, NA())),
    "❌ MISSING SKU", "✅")</f>
        <v>✅</v>
      </c>
      <c r="X855" s="2" t="s">
        <v>3597</v>
      </c>
      <c r="Y855" s="2" t="s">
        <v>63</v>
      </c>
      <c r="Z855" s="10" t="s">
        <v>63</v>
      </c>
      <c r="AA855" s="27">
        <v>1.0</v>
      </c>
      <c r="AB855" s="9" t="s">
        <v>8649</v>
      </c>
      <c r="AC855" s="28">
        <f t="array" ref="AC855">XLOOKUP(V855,products_master_corrected!$A$2:$A$151,products_master_corrected!$E$2:$E$151)</f>
        <v>160.36</v>
      </c>
      <c r="AD855" s="28">
        <f t="shared" si="93"/>
        <v>160.36</v>
      </c>
      <c r="AE855" s="28">
        <f t="array" ref="AE855">XLOOKUP(V855,products_master_corrected!$A$2:$A$151,products_master_corrected!$J$2:$J$151)</f>
        <v>187.03</v>
      </c>
      <c r="AF855" s="29">
        <f t="shared" si="94"/>
        <v>187.03</v>
      </c>
      <c r="AG855" s="32" t="s">
        <v>8656</v>
      </c>
      <c r="AH855" s="2" t="s">
        <v>143</v>
      </c>
      <c r="AI855" s="10" t="s">
        <v>143</v>
      </c>
      <c r="AJ855" s="2" t="s">
        <v>442</v>
      </c>
      <c r="AK855" s="10" t="s">
        <v>80</v>
      </c>
    </row>
    <row r="856" ht="15.75" customHeight="1">
      <c r="A856" s="2" t="s">
        <v>4317</v>
      </c>
      <c r="B856" s="12">
        <v>44962.0</v>
      </c>
      <c r="C856" s="2" t="str">
        <f>IFERROR(__xludf.DUMMYFUNCTION("IF(ISNUMBER(B856),TEXT(B856,""yyyy-MM-dd""),REGEXREPLACE(REGEXREPLACE(TO_TEXT(B856),""[^0-9a-zA-Z]+"",""-""),""[^0-9]*$"",""""))"),"2023-02-05")</f>
        <v>2023-02-05</v>
      </c>
      <c r="D856" s="2" t="s">
        <v>8777</v>
      </c>
      <c r="H856" s="10" t="s">
        <v>8777</v>
      </c>
      <c r="I856" s="2" t="s">
        <v>2745</v>
      </c>
      <c r="J856" s="26" t="str">
        <f t="array" ref="J856">IF(ISNA(XLOOKUP(I856,customers_clean!$A$2:$A$701,customers_clean!$A$2:$A$701, NA()) ),
   "❌ MISSING CUSTOMER", "✅")</f>
        <v>✅</v>
      </c>
      <c r="K856" s="2" t="str">
        <f t="array" ref="K856">XLOOKUP(I856,customers_clean!$A$2:$A$701,customers_clean!$C$2:$C$701)</f>
        <v>Ken Taylor</v>
      </c>
      <c r="L856" s="10" t="str">
        <f t="array" ref="L856">XLOOKUP(I856,customers_clean!$A$2:$A$701,customers_clean!$D$2:$D$701)</f>
        <v>Ken Taylor</v>
      </c>
      <c r="M856" s="2" t="str">
        <f t="array" ref="M856">XLOOKUP(I856,customers_clean!$A$2:$A$701,customers_clean!$I$2:$I$701)</f>
        <v>ken.taylor@example.com</v>
      </c>
      <c r="N856" s="10" t="str">
        <f t="array" ref="N856">XLOOKUP(I856,customers_clean!$A$2:$A$701,customers_clean!$H$2:$H$701)</f>
        <v>ken.taylor@example.com</v>
      </c>
      <c r="O856" s="9" t="str">
        <f>IFERROR(__xludf.DUMMYFUNCTION("IF(REGEXMATCH(TRIM(N856),""^[A-Za-z0-9._%+-]+@[A-Za-z0-9.-]+\.[A-Za-z]{2,}$""),""✅ Valid"",""❌ Invalid"")"),"✅ Valid")</f>
        <v>✅ Valid</v>
      </c>
      <c r="P856" s="2" t="str">
        <f t="array" ref="P856">XLOOKUP(I856,customers_clean!$A$2:$A$701,customers_clean!$K$2:$K$701)</f>
        <v>missing</v>
      </c>
      <c r="Q856" s="10" t="str">
        <f t="array" ref="Q856">XLOOKUP(I856,customers_clean!$A$2:$A$701,customers_clean!$N$2:$N$701)</f>
        <v/>
      </c>
      <c r="R856" s="9" t="str">
        <f t="array" ref="R856">XLOOKUP(I856,customers_clean!$A$2:$A$701,customers_clean!$Q$2:$Q$701)</f>
        <v>❌ INVALID</v>
      </c>
      <c r="S856" s="10" t="s">
        <v>25</v>
      </c>
      <c r="T856" s="2" t="s">
        <v>26</v>
      </c>
      <c r="U856" s="2" t="s">
        <v>522</v>
      </c>
      <c r="V856" s="2" t="s">
        <v>1327</v>
      </c>
      <c r="W856" s="9" t="str">
        <f t="array" ref="W856">IF(ISNA(XLOOKUP(V856,products_master_corrected!$A$2:$A$151,products_master_corrected!$A$2:$A$151, NA())),
    "❌ MISSING SKU", "✅")</f>
        <v>✅</v>
      </c>
      <c r="X856" s="2" t="s">
        <v>291</v>
      </c>
      <c r="Y856" s="2" t="s">
        <v>1328</v>
      </c>
      <c r="Z856" s="10" t="s">
        <v>179</v>
      </c>
      <c r="AA856" s="27">
        <v>1.0</v>
      </c>
      <c r="AB856" s="9" t="s">
        <v>8649</v>
      </c>
      <c r="AC856" s="28">
        <f t="array" ref="AC856">XLOOKUP(V856,products_master_corrected!$A$2:$A$151,products_master_corrected!$E$2:$E$151)</f>
        <v>124.96</v>
      </c>
      <c r="AD856" s="28">
        <f t="shared" si="93"/>
        <v>124.96</v>
      </c>
      <c r="AE856" s="28">
        <f t="array" ref="AE856">XLOOKUP(V856,products_master_corrected!$A$2:$A$151,products_master_corrected!$K$2:$K$151)</f>
        <v>642.92</v>
      </c>
      <c r="AF856" s="29">
        <f t="shared" si="94"/>
        <v>642.92</v>
      </c>
      <c r="AG856" s="30" t="s">
        <v>95</v>
      </c>
      <c r="AH856" s="2" t="s">
        <v>238</v>
      </c>
      <c r="AI856" s="10" t="s">
        <v>66</v>
      </c>
      <c r="AJ856" s="2" t="s">
        <v>50</v>
      </c>
      <c r="AK856" s="10" t="s">
        <v>261</v>
      </c>
      <c r="AL856" s="2" t="s">
        <v>51</v>
      </c>
    </row>
    <row r="857" ht="15.75" customHeight="1">
      <c r="A857" s="2" t="s">
        <v>2743</v>
      </c>
      <c r="B857" s="12">
        <v>45264.57708333333</v>
      </c>
      <c r="C857" s="2" t="str">
        <f>IFERROR(__xludf.DUMMYFUNCTION("IF(ISNUMBER(B857),TEXT(B857,""yyyy-MM-dd""),REGEXREPLACE(REGEXREPLACE(TO_TEXT(B857),""[^0-9a-zA-Z]+"",""-""),""[^0-9]*$"",""""))"),"2023-12-04")</f>
        <v>2023-12-04</v>
      </c>
      <c r="D857" s="2" t="s">
        <v>8770</v>
      </c>
      <c r="H857" s="10" t="s">
        <v>8770</v>
      </c>
      <c r="I857" s="2" t="s">
        <v>2745</v>
      </c>
      <c r="J857" s="26" t="str">
        <f t="array" ref="J857">IF(ISNA(XLOOKUP(I857,customers_clean!$A$2:$A$701,customers_clean!$A$2:$A$701, NA()) ),
   "❌ MISSING CUSTOMER", "✅")</f>
        <v>✅</v>
      </c>
      <c r="K857" s="2" t="str">
        <f t="array" ref="K857">XLOOKUP(I857,customers_clean!$A$2:$A$701,customers_clean!$C$2:$C$701)</f>
        <v>Ken Taylor</v>
      </c>
      <c r="L857" s="10" t="str">
        <f t="array" ref="L857">XLOOKUP(I857,customers_clean!$A$2:$A$701,customers_clean!$D$2:$D$701)</f>
        <v>Ken Taylor</v>
      </c>
      <c r="M857" s="2" t="str">
        <f t="array" ref="M857">XLOOKUP(I857,customers_clean!$A$2:$A$701,customers_clean!$I$2:$I$701)</f>
        <v>ken.taylor@example.com</v>
      </c>
      <c r="N857" s="10" t="str">
        <f t="array" ref="N857">XLOOKUP(I857,customers_clean!$A$2:$A$701,customers_clean!$H$2:$H$701)</f>
        <v>ken.taylor@example.com</v>
      </c>
      <c r="O857" s="9" t="str">
        <f>IFERROR(__xludf.DUMMYFUNCTION("IF(REGEXMATCH(TRIM(N857),""^[A-Za-z0-9._%+-]+@[A-Za-z0-9.-]+\.[A-Za-z]{2,}$""),""✅ Valid"",""❌ Invalid"")"),"✅ Valid")</f>
        <v>✅ Valid</v>
      </c>
      <c r="P857" s="2" t="str">
        <f t="array" ref="P857">XLOOKUP(I857,customers_clean!$A$2:$A$701,customers_clean!$K$2:$K$701)</f>
        <v>missing</v>
      </c>
      <c r="Q857" s="10" t="str">
        <f t="array" ref="Q857">XLOOKUP(I857,customers_clean!$A$2:$A$701,customers_clean!$N$2:$N$701)</f>
        <v/>
      </c>
      <c r="R857" s="9" t="str">
        <f t="array" ref="R857">XLOOKUP(I857,customers_clean!$A$2:$A$701,customers_clean!$Q$2:$Q$701)</f>
        <v>❌ INVALID</v>
      </c>
      <c r="S857" s="10" t="s">
        <v>25</v>
      </c>
      <c r="T857" s="2" t="s">
        <v>223</v>
      </c>
      <c r="U857" s="2" t="s">
        <v>176</v>
      </c>
      <c r="V857" s="2" t="s">
        <v>1522</v>
      </c>
      <c r="W857" s="9" t="str">
        <f t="array" ref="W857">IF(ISNA(XLOOKUP(V857,products_master_corrected!$A$2:$A$151,products_master_corrected!$A$2:$A$151, NA())),
    "❌ MISSING SKU", "✅")</f>
        <v>✅</v>
      </c>
      <c r="X857" s="2" t="s">
        <v>1272</v>
      </c>
      <c r="Y857" s="2" t="s">
        <v>995</v>
      </c>
      <c r="Z857" s="10" t="s">
        <v>355</v>
      </c>
      <c r="AA857" s="27">
        <v>1.0</v>
      </c>
      <c r="AB857" s="9" t="s">
        <v>8649</v>
      </c>
      <c r="AC857" s="28">
        <f t="array" ref="AC857">XLOOKUP(V857,products_master_corrected!$A$2:$A$151,products_master_corrected!$E$2:$E$151)</f>
        <v>36</v>
      </c>
      <c r="AD857" s="28">
        <f t="shared" si="93"/>
        <v>36</v>
      </c>
      <c r="AE857" s="28">
        <f t="array" ref="AE857">XLOOKUP(V857,products_master_corrected!$A$2:$A$151,products_master_corrected!$K$2:$K$151)</f>
        <v>185.22</v>
      </c>
      <c r="AF857" s="29">
        <f t="shared" si="94"/>
        <v>185.22</v>
      </c>
      <c r="AG857" s="30" t="s">
        <v>95</v>
      </c>
      <c r="AH857" s="2" t="s">
        <v>526</v>
      </c>
      <c r="AI857" s="10" t="s">
        <v>49</v>
      </c>
      <c r="AJ857" s="2" t="s">
        <v>192</v>
      </c>
      <c r="AK857" s="10" t="s">
        <v>192</v>
      </c>
    </row>
    <row r="858" ht="15.75" customHeight="1">
      <c r="A858" s="2" t="s">
        <v>5229</v>
      </c>
      <c r="B858" s="12" t="s">
        <v>5230</v>
      </c>
      <c r="C858" s="2" t="str">
        <f>IFERROR(__xludf.DUMMYFUNCTION("IF(ISNUMBER(B858),TEXT(B858,""yyyy-MM-dd""),REGEXREPLACE(REGEXREPLACE(TO_TEXT(B858),""[^0-9a-zA-Z]+"",""-""),""[^0-9]*$"",""""))"),"45074-20-18")</f>
        <v>45074-20-18</v>
      </c>
      <c r="D858" s="2" t="str">
        <f t="shared" ref="D858:D862" si="96">TEXT(C858,"yyyy-MM-dd")</f>
        <v>45074-20-18</v>
      </c>
      <c r="E858" s="25" t="str">
        <f>CONCATENATE(LEFT(D858,5))</f>
        <v>45074</v>
      </c>
      <c r="F858" s="12">
        <f>DATE(1900,1,1) + E858 - 1</f>
        <v>45075</v>
      </c>
      <c r="G858" s="2" t="s">
        <v>8782</v>
      </c>
      <c r="H858" s="10" t="s">
        <v>8782</v>
      </c>
      <c r="I858" s="2" t="s">
        <v>2745</v>
      </c>
      <c r="J858" s="26" t="str">
        <f t="array" ref="J858">IF(ISNA(XLOOKUP(I858,customers_clean!$A$2:$A$701,customers_clean!$A$2:$A$701, NA()) ),
   "❌ MISSING CUSTOMER", "✅")</f>
        <v>✅</v>
      </c>
      <c r="K858" s="2" t="str">
        <f t="array" ref="K858">XLOOKUP(I858,customers_clean!$A$2:$A$701,customers_clean!$C$2:$C$701)</f>
        <v>Ken Taylor</v>
      </c>
      <c r="L858" s="10" t="str">
        <f t="array" ref="L858">XLOOKUP(I858,customers_clean!$A$2:$A$701,customers_clean!$D$2:$D$701)</f>
        <v>Ken Taylor</v>
      </c>
      <c r="M858" s="2" t="str">
        <f t="array" ref="M858">XLOOKUP(I858,customers_clean!$A$2:$A$701,customers_clean!$I$2:$I$701)</f>
        <v>ken.taylor@example.com</v>
      </c>
      <c r="N858" s="10" t="str">
        <f t="array" ref="N858">XLOOKUP(I858,customers_clean!$A$2:$A$701,customers_clean!$H$2:$H$701)</f>
        <v>ken.taylor@example.com</v>
      </c>
      <c r="O858" s="9" t="str">
        <f>IFERROR(__xludf.DUMMYFUNCTION("IF(REGEXMATCH(TRIM(N858),""^[A-Za-z0-9._%+-]+@[A-Za-z0-9.-]+\.[A-Za-z]{2,}$""),""✅ Valid"",""❌ Invalid"")"),"✅ Valid")</f>
        <v>✅ Valid</v>
      </c>
      <c r="P858" s="2" t="str">
        <f t="array" ref="P858">XLOOKUP(I858,customers_clean!$A$2:$A$701,customers_clean!$K$2:$K$701)</f>
        <v>missing</v>
      </c>
      <c r="Q858" s="10" t="str">
        <f t="array" ref="Q858">XLOOKUP(I858,customers_clean!$A$2:$A$701,customers_clean!$N$2:$N$701)</f>
        <v/>
      </c>
      <c r="R858" s="9" t="str">
        <f t="array" ref="R858">XLOOKUP(I858,customers_clean!$A$2:$A$701,customers_clean!$Q$2:$Q$701)</f>
        <v>❌ INVALID</v>
      </c>
      <c r="S858" s="10" t="s">
        <v>25</v>
      </c>
      <c r="T858" s="2" t="s">
        <v>400</v>
      </c>
      <c r="U858" s="2" t="s">
        <v>103</v>
      </c>
      <c r="V858" s="2" t="s">
        <v>2321</v>
      </c>
      <c r="W858" s="9" t="str">
        <f t="array" ref="W858">IF(ISNA(XLOOKUP(V858,products_master_corrected!$A$2:$A$151,products_master_corrected!$A$2:$A$151, NA())),
    "❌ MISSING SKU", "✅")</f>
        <v>✅</v>
      </c>
      <c r="X858" s="2" t="s">
        <v>2322</v>
      </c>
      <c r="Y858" s="2" t="s">
        <v>368</v>
      </c>
      <c r="Z858" s="10" t="s">
        <v>368</v>
      </c>
      <c r="AA858" s="27">
        <v>5.0</v>
      </c>
      <c r="AB858" s="9" t="s">
        <v>8649</v>
      </c>
      <c r="AC858" s="28">
        <f t="array" ref="AC858">XLOOKUP(V858,products_master_corrected!$A$2:$A$151,products_master_corrected!$E$2:$E$151)</f>
        <v>23.95</v>
      </c>
      <c r="AD858" s="28">
        <f t="shared" si="93"/>
        <v>119.75</v>
      </c>
      <c r="AE858" s="28">
        <f t="array" ref="AE858">XLOOKUP(V858,products_master_corrected!$A$2:$A$151,products_master_corrected!$K$2:$K$151)</f>
        <v>123.22</v>
      </c>
      <c r="AF858" s="29">
        <f t="shared" si="94"/>
        <v>616.1</v>
      </c>
      <c r="AG858" s="30" t="s">
        <v>95</v>
      </c>
      <c r="AH858" s="2" t="s">
        <v>96</v>
      </c>
      <c r="AI858" s="10" t="s">
        <v>143</v>
      </c>
      <c r="AJ858" s="2" t="s">
        <v>527</v>
      </c>
      <c r="AK858" s="10" t="s">
        <v>192</v>
      </c>
      <c r="AL858" s="2" t="s">
        <v>51</v>
      </c>
    </row>
    <row r="859" ht="15.75" customHeight="1">
      <c r="A859" s="2" t="s">
        <v>3842</v>
      </c>
      <c r="B859" s="12" t="s">
        <v>3843</v>
      </c>
      <c r="C859" s="2" t="str">
        <f>IFERROR(__xludf.DUMMYFUNCTION("IF(ISNUMBER(B859),TEXT(B859,""yyyy-MM-dd""),REGEXREPLACE(REGEXREPLACE(TO_TEXT(B859),""[^0-9a-zA-Z]+"",""-""),""[^0-9]*$"",""""))"),"07-04-2023-15-08")</f>
        <v>07-04-2023-15-08</v>
      </c>
      <c r="D859" s="2" t="str">
        <f t="shared" si="96"/>
        <v>07-04-2023-15-08</v>
      </c>
      <c r="E859" s="12" t="str">
        <f>IFERROR(__xludf.DUMMYFUNCTION("REGEXEXTRACT(D859,""^\d{2}-\d{2}-\d{4}"")"),"07-04-2023")</f>
        <v>07-04-2023</v>
      </c>
      <c r="F859" s="2" t="s">
        <v>8810</v>
      </c>
      <c r="H859" s="10" t="s">
        <v>8810</v>
      </c>
      <c r="I859" s="2" t="s">
        <v>2179</v>
      </c>
      <c r="J859" s="26" t="str">
        <f t="array" ref="J859">IF(ISNA(XLOOKUP(I859,customers_clean!$A$2:$A$701,customers_clean!$A$2:$A$701, NA()) ),
   "❌ MISSING CUSTOMER", "✅")</f>
        <v>✅</v>
      </c>
      <c r="K859" s="2" t="str">
        <f t="array" ref="K859">XLOOKUP(I859,customers_clean!$A$2:$A$701,customers_clean!$C$2:$C$701)</f>
        <v>Lia Rodriguez</v>
      </c>
      <c r="L859" s="10" t="str">
        <f t="array" ref="L859">XLOOKUP(I859,customers_clean!$A$2:$A$701,customers_clean!$D$2:$D$701)</f>
        <v>Lia Rodriguez</v>
      </c>
      <c r="M859" s="2" t="str">
        <f t="array" ref="M859">XLOOKUP(I859,customers_clean!$A$2:$A$701,customers_clean!$I$2:$I$701)</f>
        <v> lia.rodriguez@example.com</v>
      </c>
      <c r="N859" s="10" t="str">
        <f t="array" ref="N859">XLOOKUP(I859,customers_clean!$A$2:$A$701,customers_clean!$H$2:$H$701)</f>
        <v>lia.rodriguez@example.com</v>
      </c>
      <c r="O859" s="9" t="str">
        <f>IFERROR(__xludf.DUMMYFUNCTION("IF(REGEXMATCH(TRIM(N859),""^[A-Za-z0-9._%+-]+@[A-Za-z0-9.-]+\.[A-Za-z]{2,}$""),""✅ Valid"",""❌ Invalid"")"),"✅ Valid")</f>
        <v>✅ Valid</v>
      </c>
      <c r="P859" s="33" t="str">
        <f t="array" ref="P859">XLOOKUP(I859,customers_clean!$A$2:$A$701,customers_clean!$K$2:$K$701)</f>
        <v>+48+244234054</v>
      </c>
      <c r="Q859" s="10" t="str">
        <f t="array" ref="Q859">XLOOKUP(I859,customers_clean!$A$2:$A$701,customers_clean!$N$2:$N$701)</f>
        <v>244234054</v>
      </c>
      <c r="R859" s="9" t="str">
        <f t="array" ref="R859">XLOOKUP(I859,customers_clean!$A$2:$A$701,customers_clean!$Q$2:$Q$701)</f>
        <v>❌ INVALID</v>
      </c>
      <c r="S859" s="10" t="s">
        <v>88</v>
      </c>
      <c r="T859" s="2" t="s">
        <v>234</v>
      </c>
      <c r="U859" s="2" t="s">
        <v>870</v>
      </c>
      <c r="V859" s="2" t="s">
        <v>965</v>
      </c>
      <c r="W859" s="9" t="str">
        <f t="array" ref="W859">IF(ISNA(XLOOKUP(V859,products_master_corrected!$A$2:$A$151,products_master_corrected!$A$2:$A$151, NA())),
    "❌ MISSING SKU", "✅")</f>
        <v>✅</v>
      </c>
      <c r="X859" s="2" t="s">
        <v>966</v>
      </c>
      <c r="Y859" s="2" t="s">
        <v>967</v>
      </c>
      <c r="Z859" s="10" t="s">
        <v>248</v>
      </c>
      <c r="AA859" s="27">
        <v>2.0</v>
      </c>
      <c r="AB859" s="9" t="s">
        <v>8649</v>
      </c>
      <c r="AC859" s="28">
        <f t="array" ref="AC859">XLOOKUP(V859,products_master_corrected!$A$2:$A$151,products_master_corrected!$E$2:$E$151)</f>
        <v>74.59</v>
      </c>
      <c r="AD859" s="28">
        <f t="shared" si="93"/>
        <v>149.18</v>
      </c>
      <c r="AE859" s="28">
        <f t="array" ref="AE859">XLOOKUP(V859,products_master_corrected!$A$2:$A$151,products_master_corrected!$I$2:$I$151)</f>
        <v>82.23</v>
      </c>
      <c r="AF859" s="29">
        <f t="shared" si="94"/>
        <v>164.46</v>
      </c>
      <c r="AG859" s="32" t="s">
        <v>8660</v>
      </c>
      <c r="AH859" s="2" t="s">
        <v>505</v>
      </c>
      <c r="AI859" s="10" t="s">
        <v>181</v>
      </c>
      <c r="AJ859" s="2" t="s">
        <v>1312</v>
      </c>
      <c r="AK859" s="10" t="s">
        <v>818</v>
      </c>
    </row>
    <row r="860" ht="15.75" customHeight="1">
      <c r="A860" s="2" t="s">
        <v>5136</v>
      </c>
      <c r="B860" s="12" t="s">
        <v>5137</v>
      </c>
      <c r="C860" s="2" t="str">
        <f>IFERROR(__xludf.DUMMYFUNCTION("IF(ISNUMBER(B860),TEXT(B860,""yyyy-MM-dd""),REGEXREPLACE(REGEXREPLACE(TO_TEXT(B860),""[^0-9a-zA-Z]+"",""-""),""[^0-9]*$"",""""))"),"12-19-2024")</f>
        <v>12-19-2024</v>
      </c>
      <c r="D860" s="2" t="str">
        <f t="shared" si="96"/>
        <v>12-19-2024</v>
      </c>
      <c r="E860" s="2" t="s">
        <v>2168</v>
      </c>
      <c r="H860" s="10" t="s">
        <v>2168</v>
      </c>
      <c r="I860" s="2" t="s">
        <v>2179</v>
      </c>
      <c r="J860" s="26" t="str">
        <f t="array" ref="J860">IF(ISNA(XLOOKUP(I860,customers_clean!$A$2:$A$701,customers_clean!$A$2:$A$701, NA()) ),
   "❌ MISSING CUSTOMER", "✅")</f>
        <v>✅</v>
      </c>
      <c r="K860" s="2" t="str">
        <f t="array" ref="K860">XLOOKUP(I860,customers_clean!$A$2:$A$701,customers_clean!$C$2:$C$701)</f>
        <v>Lia Rodriguez</v>
      </c>
      <c r="L860" s="10" t="str">
        <f t="array" ref="L860">XLOOKUP(I860,customers_clean!$A$2:$A$701,customers_clean!$D$2:$D$701)</f>
        <v>Lia Rodriguez</v>
      </c>
      <c r="M860" s="2" t="str">
        <f t="array" ref="M860">XLOOKUP(I860,customers_clean!$A$2:$A$701,customers_clean!$I$2:$I$701)</f>
        <v> lia.rodriguez@example.com</v>
      </c>
      <c r="N860" s="10" t="str">
        <f t="array" ref="N860">XLOOKUP(I860,customers_clean!$A$2:$A$701,customers_clean!$H$2:$H$701)</f>
        <v>lia.rodriguez@example.com</v>
      </c>
      <c r="O860" s="9" t="str">
        <f>IFERROR(__xludf.DUMMYFUNCTION("IF(REGEXMATCH(TRIM(N860),""^[A-Za-z0-9._%+-]+@[A-Za-z0-9.-]+\.[A-Za-z]{2,}$""),""✅ Valid"",""❌ Invalid"")"),"✅ Valid")</f>
        <v>✅ Valid</v>
      </c>
      <c r="P860" s="33" t="str">
        <f t="array" ref="P860">XLOOKUP(I860,customers_clean!$A$2:$A$701,customers_clean!$K$2:$K$701)</f>
        <v>+48+244234054</v>
      </c>
      <c r="Q860" s="10" t="str">
        <f t="array" ref="Q860">XLOOKUP(I860,customers_clean!$A$2:$A$701,customers_clean!$N$2:$N$701)</f>
        <v>244234054</v>
      </c>
      <c r="R860" s="9" t="str">
        <f t="array" ref="R860">XLOOKUP(I860,customers_clean!$A$2:$A$701,customers_clean!$Q$2:$Q$701)</f>
        <v>❌ INVALID</v>
      </c>
      <c r="S860" s="10" t="s">
        <v>88</v>
      </c>
      <c r="T860" s="2" t="s">
        <v>323</v>
      </c>
      <c r="U860" s="2" t="s">
        <v>75</v>
      </c>
      <c r="V860" s="2" t="s">
        <v>919</v>
      </c>
      <c r="W860" s="9" t="str">
        <f t="array" ref="W860">IF(ISNA(XLOOKUP(V860,products_master_corrected!$A$2:$A$151,products_master_corrected!$A$2:$A$151, NA())),
    "❌ MISSING SKU", "✅")</f>
        <v>✅</v>
      </c>
      <c r="X860" s="2" t="s">
        <v>423</v>
      </c>
      <c r="Y860" s="2" t="s">
        <v>179</v>
      </c>
      <c r="Z860" s="10" t="s">
        <v>179</v>
      </c>
      <c r="AA860" s="27">
        <v>2.0</v>
      </c>
      <c r="AB860" s="9" t="s">
        <v>8649</v>
      </c>
      <c r="AC860" s="28">
        <f t="array" ref="AC860">XLOOKUP(V860,products_master_corrected!$A$2:$A$151,products_master_corrected!$E$2:$E$151)</f>
        <v>52.04</v>
      </c>
      <c r="AD860" s="28">
        <f t="shared" si="93"/>
        <v>104.08</v>
      </c>
      <c r="AE860" s="28">
        <f t="array" ref="AE860">XLOOKUP(V860,products_master_corrected!$A$2:$A$151,products_master_corrected!$I$2:$I$151)</f>
        <v>57.37</v>
      </c>
      <c r="AF860" s="29">
        <f t="shared" si="94"/>
        <v>114.74</v>
      </c>
      <c r="AG860" s="32" t="s">
        <v>8660</v>
      </c>
      <c r="AH860" s="2" t="s">
        <v>370</v>
      </c>
      <c r="AI860" s="10" t="s">
        <v>143</v>
      </c>
      <c r="AJ860" s="2" t="s">
        <v>192</v>
      </c>
      <c r="AK860" s="10" t="s">
        <v>192</v>
      </c>
    </row>
    <row r="861" ht="15.75" customHeight="1">
      <c r="A861" s="2" t="s">
        <v>4243</v>
      </c>
      <c r="B861" s="12" t="s">
        <v>4244</v>
      </c>
      <c r="C861" s="2" t="str">
        <f>IFERROR(__xludf.DUMMYFUNCTION("IF(ISNUMBER(B861),TEXT(B861,""yyyy-MM-dd""),REGEXREPLACE(REGEXREPLACE(TO_TEXT(B861),""[^0-9a-zA-Z]+"",""-""),""[^0-9]*$"",""""))"),"45665-11-38")</f>
        <v>45665-11-38</v>
      </c>
      <c r="D861" s="2" t="str">
        <f t="shared" si="96"/>
        <v>45665-11-38</v>
      </c>
      <c r="E861" s="25" t="str">
        <f t="shared" ref="E861:E862" si="97">CONCATENATE(LEFT(D861,5))</f>
        <v>45665</v>
      </c>
      <c r="F861" s="12">
        <f t="shared" ref="F861:F862" si="98">DATE(1900,1,1) + E861 - 1</f>
        <v>45666</v>
      </c>
      <c r="G861" s="2" t="s">
        <v>8963</v>
      </c>
      <c r="H861" s="10" t="s">
        <v>8963</v>
      </c>
      <c r="I861" s="2" t="s">
        <v>2179</v>
      </c>
      <c r="J861" s="26" t="str">
        <f t="array" ref="J861">IF(ISNA(XLOOKUP(I861,customers_clean!$A$2:$A$701,customers_clean!$A$2:$A$701, NA()) ),
   "❌ MISSING CUSTOMER", "✅")</f>
        <v>✅</v>
      </c>
      <c r="K861" s="2" t="str">
        <f t="array" ref="K861">XLOOKUP(I861,customers_clean!$A$2:$A$701,customers_clean!$C$2:$C$701)</f>
        <v>Lia Rodriguez</v>
      </c>
      <c r="L861" s="10" t="str">
        <f t="array" ref="L861">XLOOKUP(I861,customers_clean!$A$2:$A$701,customers_clean!$D$2:$D$701)</f>
        <v>Lia Rodriguez</v>
      </c>
      <c r="M861" s="2" t="str">
        <f t="array" ref="M861">XLOOKUP(I861,customers_clean!$A$2:$A$701,customers_clean!$I$2:$I$701)</f>
        <v> lia.rodriguez@example.com</v>
      </c>
      <c r="N861" s="10" t="str">
        <f t="array" ref="N861">XLOOKUP(I861,customers_clean!$A$2:$A$701,customers_clean!$H$2:$H$701)</f>
        <v>lia.rodriguez@example.com</v>
      </c>
      <c r="O861" s="9" t="str">
        <f>IFERROR(__xludf.DUMMYFUNCTION("IF(REGEXMATCH(TRIM(N861),""^[A-Za-z0-9._%+-]+@[A-Za-z0-9.-]+\.[A-Za-z]{2,}$""),""✅ Valid"",""❌ Invalid"")"),"✅ Valid")</f>
        <v>✅ Valid</v>
      </c>
      <c r="P861" s="33" t="str">
        <f t="array" ref="P861">XLOOKUP(I861,customers_clean!$A$2:$A$701,customers_clean!$K$2:$K$701)</f>
        <v>+48+244234054</v>
      </c>
      <c r="Q861" s="10" t="str">
        <f t="array" ref="Q861">XLOOKUP(I861,customers_clean!$A$2:$A$701,customers_clean!$N$2:$N$701)</f>
        <v>244234054</v>
      </c>
      <c r="R861" s="9" t="str">
        <f t="array" ref="R861">XLOOKUP(I861,customers_clean!$A$2:$A$701,customers_clean!$Q$2:$Q$701)</f>
        <v>❌ INVALID</v>
      </c>
      <c r="S861" s="10" t="s">
        <v>88</v>
      </c>
      <c r="T861" s="2" t="s">
        <v>42</v>
      </c>
      <c r="U861" s="2" t="s">
        <v>43</v>
      </c>
      <c r="V861" s="2" t="s">
        <v>2321</v>
      </c>
      <c r="W861" s="9" t="str">
        <f t="array" ref="W861">IF(ISNA(XLOOKUP(V861,products_master_corrected!$A$2:$A$151,products_master_corrected!$A$2:$A$151, NA())),
    "❌ MISSING SKU", "✅")</f>
        <v>✅</v>
      </c>
      <c r="X861" s="2" t="s">
        <v>2322</v>
      </c>
      <c r="Y861" s="2" t="s">
        <v>368</v>
      </c>
      <c r="Z861" s="10" t="s">
        <v>368</v>
      </c>
      <c r="AA861" s="27">
        <v>2.0</v>
      </c>
      <c r="AB861" s="9" t="s">
        <v>8649</v>
      </c>
      <c r="AC861" s="28">
        <f t="array" ref="AC861">XLOOKUP(V861,products_master_corrected!$A$2:$A$151,products_master_corrected!$E$2:$E$151)</f>
        <v>23.95</v>
      </c>
      <c r="AD861" s="28">
        <f t="shared" si="93"/>
        <v>47.9</v>
      </c>
      <c r="AE861" s="28">
        <f t="array" ref="AE861">XLOOKUP(V861,products_master_corrected!$A$2:$A$151,products_master_corrected!$I$2:$I$151)</f>
        <v>26.4</v>
      </c>
      <c r="AF861" s="29">
        <f t="shared" si="94"/>
        <v>52.8</v>
      </c>
      <c r="AG861" s="32" t="s">
        <v>8660</v>
      </c>
      <c r="AH861" s="2" t="s">
        <v>143</v>
      </c>
      <c r="AI861" s="10" t="s">
        <v>143</v>
      </c>
      <c r="AJ861" s="2" t="s">
        <v>158</v>
      </c>
      <c r="AK861" s="10" t="s">
        <v>818</v>
      </c>
    </row>
    <row r="862" ht="15.75" customHeight="1">
      <c r="A862" s="2" t="s">
        <v>2177</v>
      </c>
      <c r="B862" s="12" t="s">
        <v>2178</v>
      </c>
      <c r="C862" s="2" t="str">
        <f>IFERROR(__xludf.DUMMYFUNCTION("IF(ISNUMBER(B862),TEXT(B862,""yyyy-MM-dd""),REGEXREPLACE(REGEXREPLACE(TO_TEXT(B862),""[^0-9a-zA-Z]+"",""-""),""[^0-9]*$"",""""))"),"45155-16-16")</f>
        <v>45155-16-16</v>
      </c>
      <c r="D862" s="2" t="str">
        <f t="shared" si="96"/>
        <v>45155-16-16</v>
      </c>
      <c r="E862" s="25" t="str">
        <f t="shared" si="97"/>
        <v>45155</v>
      </c>
      <c r="F862" s="12">
        <f t="shared" si="98"/>
        <v>45156</v>
      </c>
      <c r="G862" s="2" t="s">
        <v>8964</v>
      </c>
      <c r="H862" s="10" t="s">
        <v>8964</v>
      </c>
      <c r="I862" s="2" t="s">
        <v>2179</v>
      </c>
      <c r="J862" s="26" t="str">
        <f t="array" ref="J862">IF(ISNA(XLOOKUP(I862,customers_clean!$A$2:$A$701,customers_clean!$A$2:$A$701, NA()) ),
   "❌ MISSING CUSTOMER", "✅")</f>
        <v>✅</v>
      </c>
      <c r="K862" s="2" t="str">
        <f t="array" ref="K862">XLOOKUP(I862,customers_clean!$A$2:$A$701,customers_clean!$C$2:$C$701)</f>
        <v>Lia Rodriguez</v>
      </c>
      <c r="L862" s="10" t="str">
        <f t="array" ref="L862">XLOOKUP(I862,customers_clean!$A$2:$A$701,customers_clean!$D$2:$D$701)</f>
        <v>Lia Rodriguez</v>
      </c>
      <c r="M862" s="2" t="str">
        <f t="array" ref="M862">XLOOKUP(I862,customers_clean!$A$2:$A$701,customers_clean!$I$2:$I$701)</f>
        <v> lia.rodriguez@example.com</v>
      </c>
      <c r="N862" s="10" t="str">
        <f t="array" ref="N862">XLOOKUP(I862,customers_clean!$A$2:$A$701,customers_clean!$H$2:$H$701)</f>
        <v>lia.rodriguez@example.com</v>
      </c>
      <c r="O862" s="9" t="str">
        <f>IFERROR(__xludf.DUMMYFUNCTION("IF(REGEXMATCH(TRIM(N862),""^[A-Za-z0-9._%+-]+@[A-Za-z0-9.-]+\.[A-Za-z]{2,}$""),""✅ Valid"",""❌ Invalid"")"),"✅ Valid")</f>
        <v>✅ Valid</v>
      </c>
      <c r="P862" s="33" t="str">
        <f t="array" ref="P862">XLOOKUP(I862,customers_clean!$A$2:$A$701,customers_clean!$K$2:$K$701)</f>
        <v>+48+244234054</v>
      </c>
      <c r="Q862" s="10" t="str">
        <f t="array" ref="Q862">XLOOKUP(I862,customers_clean!$A$2:$A$701,customers_clean!$N$2:$N$701)</f>
        <v>244234054</v>
      </c>
      <c r="R862" s="9" t="str">
        <f t="array" ref="R862">XLOOKUP(I862,customers_clean!$A$2:$A$701,customers_clean!$Q$2:$Q$701)</f>
        <v>❌ INVALID</v>
      </c>
      <c r="S862" s="10" t="s">
        <v>88</v>
      </c>
      <c r="T862" s="2" t="s">
        <v>42</v>
      </c>
      <c r="U862" s="2" t="s">
        <v>401</v>
      </c>
      <c r="V862" s="2" t="s">
        <v>2181</v>
      </c>
      <c r="W862" s="9" t="str">
        <f t="array" ref="W862">IF(ISNA(XLOOKUP(V862,products_master_corrected!$A$2:$A$151,products_master_corrected!$A$2:$A$151, NA())),
    "❌ MISSING SKU", "✅")</f>
        <v>✅</v>
      </c>
      <c r="X862" s="2" t="s">
        <v>2182</v>
      </c>
      <c r="Y862" s="2" t="s">
        <v>179</v>
      </c>
      <c r="Z862" s="10" t="s">
        <v>179</v>
      </c>
      <c r="AA862" s="27">
        <v>5.0</v>
      </c>
      <c r="AB862" s="9" t="s">
        <v>8649</v>
      </c>
      <c r="AC862" s="28">
        <f t="array" ref="AC862">XLOOKUP(V862,products_master_corrected!$A$2:$A$151,products_master_corrected!$E$2:$E$151)</f>
        <v>133.51</v>
      </c>
      <c r="AD862" s="28">
        <f t="shared" si="93"/>
        <v>667.55</v>
      </c>
      <c r="AE862" s="28">
        <f t="array" ref="AE862">XLOOKUP(V862,products_master_corrected!$A$2:$A$151,products_master_corrected!$I$2:$I$151)</f>
        <v>147.18</v>
      </c>
      <c r="AF862" s="29">
        <f t="shared" si="94"/>
        <v>735.9</v>
      </c>
      <c r="AG862" s="32" t="s">
        <v>8660</v>
      </c>
      <c r="AH862" s="2" t="s">
        <v>1910</v>
      </c>
      <c r="AI862" s="10" t="s">
        <v>143</v>
      </c>
      <c r="AJ862" s="2" t="s">
        <v>527</v>
      </c>
      <c r="AK862" s="10" t="s">
        <v>192</v>
      </c>
      <c r="AL862" s="2" t="s">
        <v>81</v>
      </c>
    </row>
    <row r="863" ht="15.75" customHeight="1">
      <c r="A863" s="2" t="s">
        <v>6178</v>
      </c>
      <c r="B863" s="12">
        <v>44937.0</v>
      </c>
      <c r="C863" s="2" t="str">
        <f>IFERROR(__xludf.DUMMYFUNCTION("IF(ISNUMBER(B863),TEXT(B863,""yyyy-MM-dd""),REGEXREPLACE(REGEXREPLACE(TO_TEXT(B863),""[^0-9a-zA-Z]+"",""-""),""[^0-9]*$"",""""))"),"2023-01-11")</f>
        <v>2023-01-11</v>
      </c>
      <c r="D863" s="2" t="s">
        <v>7647</v>
      </c>
      <c r="H863" s="10" t="s">
        <v>7647</v>
      </c>
      <c r="I863" s="2" t="s">
        <v>2692</v>
      </c>
      <c r="J863" s="26" t="str">
        <f t="array" ref="J863">IF(ISNA(XLOOKUP(I863,customers_clean!$A$2:$A$701,customers_clean!$A$2:$A$701, NA()) ),
   "❌ MISSING CUSTOMER", "✅")</f>
        <v>✅</v>
      </c>
      <c r="K863" s="2" t="str">
        <f t="array" ref="K863">XLOOKUP(I863,customers_clean!$A$2:$A$701,customers_clean!$C$2:$C$701)</f>
        <v>Carlos Smith </v>
      </c>
      <c r="L863" s="10" t="str">
        <f t="array" ref="L863">XLOOKUP(I863,customers_clean!$A$2:$A$701,customers_clean!$D$2:$D$701)</f>
        <v>Carlos Smith</v>
      </c>
      <c r="M863" s="2" t="str">
        <f t="array" ref="M863">XLOOKUP(I863,customers_clean!$A$2:$A$701,customers_clean!$I$2:$I$701)</f>
        <v>carlos.smith@shop.io</v>
      </c>
      <c r="N863" s="10" t="str">
        <f t="array" ref="N863">XLOOKUP(I863,customers_clean!$A$2:$A$701,customers_clean!$H$2:$H$701)</f>
        <v>carlos.smith@shop.io</v>
      </c>
      <c r="O863" s="9" t="str">
        <f>IFERROR(__xludf.DUMMYFUNCTION("IF(REGEXMATCH(TRIM(N863),""^[A-Za-z0-9._%+-]+@[A-Za-z0-9.-]+\.[A-Za-z]{2,}$""),""✅ Valid"",""❌ Invalid"")"),"✅ Valid")</f>
        <v>✅ Valid</v>
      </c>
      <c r="P863" s="2" t="str">
        <f t="array" ref="P863">XLOOKUP(I863,customers_clean!$A$2:$A$701,customers_clean!$K$2:$K$701)</f>
        <v>16341308x49</v>
      </c>
      <c r="Q863" s="10" t="str">
        <f t="array" ref="Q863">XLOOKUP(I863,customers_clean!$A$2:$A$701,customers_clean!$N$2:$N$701)</f>
        <v>1634130849</v>
      </c>
      <c r="R863" s="9" t="str">
        <f t="array" ref="R863">XLOOKUP(I863,customers_clean!$A$2:$A$701,customers_clean!$Q$2:$Q$701)</f>
        <v>❌ INVALID</v>
      </c>
      <c r="S863" s="10" t="s">
        <v>114</v>
      </c>
      <c r="T863" s="2" t="s">
        <v>234</v>
      </c>
      <c r="U863" s="2" t="s">
        <v>6180</v>
      </c>
      <c r="V863" s="2" t="s">
        <v>871</v>
      </c>
      <c r="W863" s="9" t="str">
        <f t="array" ref="W863">IF(ISNA(XLOOKUP(V863,products_master_corrected!$A$2:$A$151,products_master_corrected!$A$2:$A$151, NA())),
    "❌ MISSING SKU", "✅")</f>
        <v>✅</v>
      </c>
      <c r="X863" s="2" t="s">
        <v>29</v>
      </c>
      <c r="Y863" s="2" t="s">
        <v>292</v>
      </c>
      <c r="Z863" s="10" t="s">
        <v>63</v>
      </c>
      <c r="AA863" s="27">
        <v>5.0</v>
      </c>
      <c r="AB863" s="9" t="s">
        <v>8649</v>
      </c>
      <c r="AC863" s="28">
        <f t="array" ref="AC863">XLOOKUP(V863,products_master_corrected!$A$2:$A$151,products_master_corrected!$E$2:$E$151)</f>
        <v>178.58</v>
      </c>
      <c r="AD863" s="28">
        <f t="shared" si="93"/>
        <v>892.9</v>
      </c>
      <c r="AE863" s="28">
        <f t="array" ref="AE863">XLOOKUP(V863,products_master_corrected!$A$2:$A$151,products_master_corrected!$F$2:$F$151)</f>
        <v>178.58</v>
      </c>
      <c r="AF863" s="29">
        <f t="shared" si="94"/>
        <v>892.9</v>
      </c>
      <c r="AG863" s="30" t="s">
        <v>65</v>
      </c>
      <c r="AH863" s="2" t="s">
        <v>49</v>
      </c>
      <c r="AI863" s="10" t="s">
        <v>49</v>
      </c>
      <c r="AJ863" s="2" t="s">
        <v>294</v>
      </c>
      <c r="AK863" s="10" t="s">
        <v>80</v>
      </c>
    </row>
    <row r="864" ht="15.75" customHeight="1">
      <c r="A864" s="2" t="s">
        <v>2690</v>
      </c>
      <c r="B864" s="12">
        <v>45862.0</v>
      </c>
      <c r="C864" s="2" t="str">
        <f>IFERROR(__xludf.DUMMYFUNCTION("IF(ISNUMBER(B864),TEXT(B864,""yyyy-MM-dd""),REGEXREPLACE(REGEXREPLACE(TO_TEXT(B864),""[^0-9a-zA-Z]+"",""-""),""[^0-9]*$"",""""))"),"2025-07-24")</f>
        <v>2025-07-24</v>
      </c>
      <c r="D864" s="2" t="s">
        <v>8758</v>
      </c>
      <c r="H864" s="10" t="s">
        <v>8758</v>
      </c>
      <c r="I864" s="2" t="s">
        <v>2692</v>
      </c>
      <c r="J864" s="26" t="str">
        <f t="array" ref="J864">IF(ISNA(XLOOKUP(I864,customers_clean!$A$2:$A$701,customers_clean!$A$2:$A$701, NA()) ),
   "❌ MISSING CUSTOMER", "✅")</f>
        <v>✅</v>
      </c>
      <c r="K864" s="2" t="str">
        <f t="array" ref="K864">XLOOKUP(I864,customers_clean!$A$2:$A$701,customers_clean!$C$2:$C$701)</f>
        <v>Carlos Smith </v>
      </c>
      <c r="L864" s="10" t="str">
        <f t="array" ref="L864">XLOOKUP(I864,customers_clean!$A$2:$A$701,customers_clean!$D$2:$D$701)</f>
        <v>Carlos Smith</v>
      </c>
      <c r="M864" s="2" t="str">
        <f t="array" ref="M864">XLOOKUP(I864,customers_clean!$A$2:$A$701,customers_clean!$I$2:$I$701)</f>
        <v>carlos.smith@shop.io</v>
      </c>
      <c r="N864" s="10" t="str">
        <f t="array" ref="N864">XLOOKUP(I864,customers_clean!$A$2:$A$701,customers_clean!$H$2:$H$701)</f>
        <v>carlos.smith@shop.io</v>
      </c>
      <c r="O864" s="9" t="str">
        <f>IFERROR(__xludf.DUMMYFUNCTION("IF(REGEXMATCH(TRIM(N864),""^[A-Za-z0-9._%+-]+@[A-Za-z0-9.-]+\.[A-Za-z]{2,}$""),""✅ Valid"",""❌ Invalid"")"),"✅ Valid")</f>
        <v>✅ Valid</v>
      </c>
      <c r="P864" s="2" t="str">
        <f t="array" ref="P864">XLOOKUP(I864,customers_clean!$A$2:$A$701,customers_clean!$K$2:$K$701)</f>
        <v>16341308x49</v>
      </c>
      <c r="Q864" s="10" t="str">
        <f t="array" ref="Q864">XLOOKUP(I864,customers_clean!$A$2:$A$701,customers_clean!$N$2:$N$701)</f>
        <v>1634130849</v>
      </c>
      <c r="R864" s="9" t="str">
        <f t="array" ref="R864">XLOOKUP(I864,customers_clean!$A$2:$A$701,customers_clean!$Q$2:$Q$701)</f>
        <v>❌ INVALID</v>
      </c>
      <c r="S864" s="10" t="s">
        <v>114</v>
      </c>
      <c r="T864" s="2" t="s">
        <v>802</v>
      </c>
      <c r="U864" s="2" t="s">
        <v>43</v>
      </c>
      <c r="V864" s="2" t="s">
        <v>2321</v>
      </c>
      <c r="W864" s="9" t="str">
        <f t="array" ref="W864">IF(ISNA(XLOOKUP(V864,products_master_corrected!$A$2:$A$151,products_master_corrected!$A$2:$A$151, NA())),
    "❌ MISSING SKU", "✅")</f>
        <v>✅</v>
      </c>
      <c r="X864" s="2" t="s">
        <v>2322</v>
      </c>
      <c r="Y864" s="2" t="s">
        <v>368</v>
      </c>
      <c r="Z864" s="10" t="s">
        <v>368</v>
      </c>
      <c r="AA864" s="27">
        <v>3.0</v>
      </c>
      <c r="AB864" s="9" t="s">
        <v>8649</v>
      </c>
      <c r="AC864" s="28">
        <f t="array" ref="AC864">XLOOKUP(V864,products_master_corrected!$A$2:$A$151,products_master_corrected!$E$2:$E$151)</f>
        <v>23.95</v>
      </c>
      <c r="AD864" s="28">
        <f t="shared" si="93"/>
        <v>71.85</v>
      </c>
      <c r="AE864" s="28">
        <f t="array" ref="AE864">XLOOKUP(V864,products_master_corrected!$A$2:$A$151,products_master_corrected!$F$2:$F$151)</f>
        <v>23.95</v>
      </c>
      <c r="AF864" s="29">
        <f t="shared" si="94"/>
        <v>71.85</v>
      </c>
      <c r="AG864" s="30" t="s">
        <v>65</v>
      </c>
      <c r="AH864" s="2" t="s">
        <v>505</v>
      </c>
      <c r="AI864" s="10" t="s">
        <v>181</v>
      </c>
      <c r="AJ864" s="2" t="s">
        <v>380</v>
      </c>
      <c r="AK864" s="10" t="s">
        <v>80</v>
      </c>
    </row>
    <row r="865" ht="15.75" customHeight="1">
      <c r="A865" s="2" t="s">
        <v>5963</v>
      </c>
      <c r="B865" s="12">
        <v>45139.90347222222</v>
      </c>
      <c r="C865" s="2" t="str">
        <f>IFERROR(__xludf.DUMMYFUNCTION("IF(ISNUMBER(B865),TEXT(B865,""yyyy-MM-dd""),REGEXREPLACE(REGEXREPLACE(TO_TEXT(B865),""[^0-9a-zA-Z]+"",""-""),""[^0-9]*$"",""""))"),"2023-08-01")</f>
        <v>2023-08-01</v>
      </c>
      <c r="D865" s="2" t="s">
        <v>8141</v>
      </c>
      <c r="H865" s="10" t="s">
        <v>8141</v>
      </c>
      <c r="I865" s="2" t="s">
        <v>5821</v>
      </c>
      <c r="J865" s="26" t="str">
        <f t="array" ref="J865">IF(ISNA(XLOOKUP(I865,customers_clean!$A$2:$A$701,customers_clean!$A$2:$A$701, NA()) ),
   "❌ MISSING CUSTOMER", "✅")</f>
        <v>✅</v>
      </c>
      <c r="K865" s="2" t="str">
        <f t="array" ref="K865">XLOOKUP(I865,customers_clean!$A$2:$A$701,customers_clean!$C$2:$C$701)</f>
        <v>Daria  Muller</v>
      </c>
      <c r="L865" s="10" t="str">
        <f t="array" ref="L865">XLOOKUP(I865,customers_clean!$A$2:$A$701,customers_clean!$D$2:$D$701)</f>
        <v>Daria Muller</v>
      </c>
      <c r="M865" s="2" t="str">
        <f t="array" ref="M865">XLOOKUP(I865,customers_clean!$A$2:$A$701,customers_clean!$I$2:$I$701)</f>
        <v>Daria.Muller@Gmail.Com</v>
      </c>
      <c r="N865" s="10" t="str">
        <f t="array" ref="N865">XLOOKUP(I865,customers_clean!$A$2:$A$701,customers_clean!$H$2:$H$701)</f>
        <v>daria.muller@gmail.com</v>
      </c>
      <c r="O865" s="9" t="str">
        <f>IFERROR(__xludf.DUMMYFUNCTION("IF(REGEXMATCH(TRIM(N865),""^[A-Za-z0-9._%+-]+@[A-Za-z0-9.-]+\.[A-Za-z]{2,}$""),""✅ Valid"",""❌ Invalid"")"),"✅ Valid")</f>
        <v>✅ Valid</v>
      </c>
      <c r="P865" s="2" t="str">
        <f t="array" ref="P865">XLOOKUP(I865,customers_clean!$A$2:$A$701,customers_clean!$K$2:$K$701)</f>
        <v>+39314314433</v>
      </c>
      <c r="Q865" s="10" t="str">
        <f t="array" ref="Q865">XLOOKUP(I865,customers_clean!$A$2:$A$701,customers_clean!$N$2:$N$701)</f>
        <v>314314433</v>
      </c>
      <c r="R865" s="9" t="str">
        <f t="array" ref="R865">XLOOKUP(I865,customers_clean!$A$2:$A$701,customers_clean!$Q$2:$Q$701)</f>
        <v>✅ VALID</v>
      </c>
      <c r="S865" s="10" t="s">
        <v>608</v>
      </c>
      <c r="T865" s="2" t="s">
        <v>323</v>
      </c>
      <c r="U865" s="2" t="s">
        <v>289</v>
      </c>
      <c r="V865" s="2" t="s">
        <v>3053</v>
      </c>
      <c r="W865" s="9" t="str">
        <f t="array" ref="W865">IF(ISNA(XLOOKUP(V865,products_master_corrected!$A$2:$A$151,products_master_corrected!$A$2:$A$151, NA())),
    "❌ MISSING SKU", "✅")</f>
        <v>✅</v>
      </c>
      <c r="X865" s="2" t="s">
        <v>741</v>
      </c>
      <c r="Y865" s="2" t="s">
        <v>63</v>
      </c>
      <c r="Z865" s="10" t="s">
        <v>63</v>
      </c>
      <c r="AA865" s="27">
        <v>1.0</v>
      </c>
      <c r="AB865" s="9" t="s">
        <v>8649</v>
      </c>
      <c r="AC865" s="28">
        <f t="array" ref="AC865">XLOOKUP(V865,products_master_corrected!$A$2:$A$151,products_master_corrected!$E$2:$E$151)</f>
        <v>15.82</v>
      </c>
      <c r="AD865" s="28">
        <f t="shared" si="93"/>
        <v>15.82</v>
      </c>
      <c r="AE865" s="28">
        <f t="array" ref="AE865">XLOOKUP(V865,products_master_corrected!$A$2:$A$151,products_master_corrected!$H$2:$H$151)</f>
        <v>17.77</v>
      </c>
      <c r="AF865" s="29">
        <f t="shared" si="94"/>
        <v>17.77</v>
      </c>
      <c r="AG865" s="32" t="s">
        <v>8658</v>
      </c>
      <c r="AH865" s="2" t="s">
        <v>181</v>
      </c>
      <c r="AI865" s="10" t="s">
        <v>181</v>
      </c>
      <c r="AJ865" s="2" t="s">
        <v>527</v>
      </c>
      <c r="AK865" s="10" t="s">
        <v>192</v>
      </c>
    </row>
    <row r="866" ht="15.75" customHeight="1">
      <c r="A866" s="2" t="s">
        <v>5819</v>
      </c>
      <c r="B866" s="12">
        <v>45826.0</v>
      </c>
      <c r="C866" s="2" t="str">
        <f>IFERROR(__xludf.DUMMYFUNCTION("IF(ISNUMBER(B866),TEXT(B866,""yyyy-MM-dd""),REGEXREPLACE(REGEXREPLACE(TO_TEXT(B866),""[^0-9a-zA-Z]+"",""-""),""[^0-9]*$"",""""))"),"2025-06-18")</f>
        <v>2025-06-18</v>
      </c>
      <c r="D866" s="2" t="s">
        <v>5820</v>
      </c>
      <c r="H866" s="10" t="s">
        <v>5820</v>
      </c>
      <c r="I866" s="2" t="s">
        <v>5821</v>
      </c>
      <c r="J866" s="26" t="str">
        <f t="array" ref="J866">IF(ISNA(XLOOKUP(I866,customers_clean!$A$2:$A$701,customers_clean!$A$2:$A$701, NA()) ),
   "❌ MISSING CUSTOMER", "✅")</f>
        <v>✅</v>
      </c>
      <c r="K866" s="2" t="str">
        <f t="array" ref="K866">XLOOKUP(I866,customers_clean!$A$2:$A$701,customers_clean!$C$2:$C$701)</f>
        <v>Daria  Muller</v>
      </c>
      <c r="L866" s="10" t="str">
        <f t="array" ref="L866">XLOOKUP(I866,customers_clean!$A$2:$A$701,customers_clean!$D$2:$D$701)</f>
        <v>Daria Muller</v>
      </c>
      <c r="M866" s="2" t="str">
        <f t="array" ref="M866">XLOOKUP(I866,customers_clean!$A$2:$A$701,customers_clean!$I$2:$I$701)</f>
        <v>Daria.Muller@Gmail.Com</v>
      </c>
      <c r="N866" s="10" t="str">
        <f t="array" ref="N866">XLOOKUP(I866,customers_clean!$A$2:$A$701,customers_clean!$H$2:$H$701)</f>
        <v>daria.muller@gmail.com</v>
      </c>
      <c r="O866" s="9" t="str">
        <f>IFERROR(__xludf.DUMMYFUNCTION("IF(REGEXMATCH(TRIM(N866),""^[A-Za-z0-9._%+-]+@[A-Za-z0-9.-]+\.[A-Za-z]{2,}$""),""✅ Valid"",""❌ Invalid"")"),"✅ Valid")</f>
        <v>✅ Valid</v>
      </c>
      <c r="P866" s="2" t="str">
        <f t="array" ref="P866">XLOOKUP(I866,customers_clean!$A$2:$A$701,customers_clean!$K$2:$K$701)</f>
        <v>+39314314433</v>
      </c>
      <c r="Q866" s="10" t="str">
        <f t="array" ref="Q866">XLOOKUP(I866,customers_clean!$A$2:$A$701,customers_clean!$N$2:$N$701)</f>
        <v>314314433</v>
      </c>
      <c r="R866" s="9" t="str">
        <f t="array" ref="R866">XLOOKUP(I866,customers_clean!$A$2:$A$701,customers_clean!$Q$2:$Q$701)</f>
        <v>✅ VALID</v>
      </c>
      <c r="S866" s="10" t="s">
        <v>608</v>
      </c>
      <c r="T866" s="2" t="s">
        <v>223</v>
      </c>
      <c r="U866" s="2" t="s">
        <v>176</v>
      </c>
      <c r="V866" s="2" t="s">
        <v>1632</v>
      </c>
      <c r="W866" s="9" t="str">
        <f t="array" ref="W866">IF(ISNA(XLOOKUP(V866,products_master_corrected!$A$2:$A$151,products_master_corrected!$A$2:$A$151, NA())),
    "❌ MISSING SKU", "✅")</f>
        <v>✅</v>
      </c>
      <c r="X866" s="2" t="s">
        <v>994</v>
      </c>
      <c r="Y866" s="2" t="s">
        <v>742</v>
      </c>
      <c r="Z866" s="10" t="s">
        <v>355</v>
      </c>
      <c r="AA866" s="27">
        <v>3.0</v>
      </c>
      <c r="AB866" s="9" t="s">
        <v>8649</v>
      </c>
      <c r="AC866" s="28">
        <f t="array" ref="AC866">XLOOKUP(V866,products_master_corrected!$A$2:$A$151,products_master_corrected!$E$2:$E$151)</f>
        <v>362.35</v>
      </c>
      <c r="AD866" s="28">
        <f t="shared" si="93"/>
        <v>1087.05</v>
      </c>
      <c r="AE866" s="28">
        <f t="array" ref="AE866">XLOOKUP(V866,products_master_corrected!$A$2:$A$151,products_master_corrected!$H$2:$H$151)</f>
        <v>407.1</v>
      </c>
      <c r="AF866" s="29">
        <f t="shared" si="94"/>
        <v>1221.3</v>
      </c>
      <c r="AG866" s="32" t="s">
        <v>8658</v>
      </c>
      <c r="AH866" s="2" t="s">
        <v>143</v>
      </c>
      <c r="AI866" s="10" t="s">
        <v>143</v>
      </c>
      <c r="AJ866" s="2" t="s">
        <v>676</v>
      </c>
      <c r="AK866" s="10" t="s">
        <v>80</v>
      </c>
    </row>
    <row r="867" ht="15.75" customHeight="1">
      <c r="A867" s="2" t="s">
        <v>3637</v>
      </c>
      <c r="B867" s="12" t="s">
        <v>3638</v>
      </c>
      <c r="C867" s="2" t="str">
        <f>IFERROR(__xludf.DUMMYFUNCTION("IF(ISNUMBER(B867),TEXT(B867,""yyyy-MM-dd""),REGEXREPLACE(REGEXREPLACE(TO_TEXT(B867),""[^0-9a-zA-Z]+"",""-""),""[^0-9]*$"",""""))"),"04-28-2024-18-45")</f>
        <v>04-28-2024-18-45</v>
      </c>
      <c r="D867" s="2" t="str">
        <f>TEXT(C867,"yyyy-MM-dd")</f>
        <v>04-28-2024-18-45</v>
      </c>
      <c r="E867" s="12" t="str">
        <f>IFERROR(__xludf.DUMMYFUNCTION("REGEXEXTRACT(D867,""^\d{2}-\d{2}-\d{4}"")"),"04-28-2024")</f>
        <v>04-28-2024</v>
      </c>
      <c r="F867" s="2" t="str">
        <f>TEXT(E867,"yyyy-MM-dd")</f>
        <v>04-28-2024</v>
      </c>
      <c r="G867" s="2" t="s">
        <v>8154</v>
      </c>
      <c r="H867" s="10" t="s">
        <v>8154</v>
      </c>
      <c r="I867" s="2" t="s">
        <v>1565</v>
      </c>
      <c r="J867" s="26" t="str">
        <f t="array" ref="J867">IF(ISNA(XLOOKUP(I867,customers_clean!$A$2:$A$701,customers_clean!$A$2:$A$701, NA()) ),
   "❌ MISSING CUSTOMER", "✅")</f>
        <v>✅</v>
      </c>
      <c r="K867" s="2" t="str">
        <f t="array" ref="K867">XLOOKUP(I867,customers_clean!$A$2:$A$701,customers_clean!$C$2:$C$701)</f>
        <v>CARLOS KOWALSKI</v>
      </c>
      <c r="L867" s="10" t="str">
        <f t="array" ref="L867">XLOOKUP(I867,customers_clean!$A$2:$A$701,customers_clean!$D$2:$D$701)</f>
        <v>Carlos Kowalski</v>
      </c>
      <c r="M867" s="2" t="str">
        <f t="array" ref="M867">XLOOKUP(I867,customers_clean!$A$2:$A$701,customers_clean!$I$2:$I$701)</f>
        <v>CARLOS.KOWALSKI@GMALI.COM</v>
      </c>
      <c r="N867" s="10" t="str">
        <f t="array" ref="N867">XLOOKUP(I867,customers_clean!$A$2:$A$701,customers_clean!$H$2:$H$701)</f>
        <v>carlos.kowalski@gmali.com</v>
      </c>
      <c r="O867" s="9" t="str">
        <f>IFERROR(__xludf.DUMMYFUNCTION("IF(REGEXMATCH(TRIM(N867),""^[A-Za-z0-9._%+-]+@[A-Za-z0-9.-]+\.[A-Za-z]{2,}$""),""✅ Valid"",""❌ Invalid"")"),"✅ Valid")</f>
        <v>✅ Valid</v>
      </c>
      <c r="P867" s="2" t="str">
        <f t="array" ref="P867">XLOOKUP(I867,customers_clean!$A$2:$A$701,customers_clean!$K$2:$K$701)</f>
        <v>+39-382-454532</v>
      </c>
      <c r="Q867" s="10" t="str">
        <f t="array" ref="Q867">XLOOKUP(I867,customers_clean!$A$2:$A$701,customers_clean!$N$2:$N$701)</f>
        <v>382454532</v>
      </c>
      <c r="R867" s="9" t="str">
        <f t="array" ref="R867">XLOOKUP(I867,customers_clean!$A$2:$A$701,customers_clean!$Q$2:$Q$701)</f>
        <v>✅ VALID</v>
      </c>
      <c r="S867" s="10" t="s">
        <v>139</v>
      </c>
      <c r="T867" s="2" t="s">
        <v>42</v>
      </c>
      <c r="U867" s="2" t="s">
        <v>2248</v>
      </c>
      <c r="V867" s="2" t="s">
        <v>490</v>
      </c>
      <c r="W867" s="9" t="str">
        <f t="array" ref="W867">IF(ISNA(XLOOKUP(V867,products_master_corrected!$A$2:$A$151,products_master_corrected!$A$2:$A$151, NA())),
    "❌ MISSING SKU", "✅")</f>
        <v>✅</v>
      </c>
      <c r="X867" s="2" t="s">
        <v>29</v>
      </c>
      <c r="Y867" s="2" t="s">
        <v>492</v>
      </c>
      <c r="Z867" s="10" t="s">
        <v>514</v>
      </c>
      <c r="AA867" s="27">
        <v>1.0</v>
      </c>
      <c r="AB867" s="9" t="s">
        <v>8649</v>
      </c>
      <c r="AC867" s="28">
        <f t="array" ref="AC867">XLOOKUP(V867,products_master_corrected!$A$2:$A$151,products_master_corrected!$E$2:$E$151)</f>
        <v>116.45</v>
      </c>
      <c r="AD867" s="28">
        <f t="shared" si="93"/>
        <v>116.45</v>
      </c>
      <c r="AE867" s="28">
        <f t="array" ref="AE867">XLOOKUP(V867,products_master_corrected!$A$2:$A$151,products_master_corrected!$L$2:$L$151)</f>
        <v>125.94</v>
      </c>
      <c r="AF867" s="29">
        <f t="shared" si="94"/>
        <v>125.94</v>
      </c>
      <c r="AG867" s="32" t="s">
        <v>8665</v>
      </c>
      <c r="AH867" s="2" t="s">
        <v>49</v>
      </c>
      <c r="AI867" s="10" t="s">
        <v>49</v>
      </c>
      <c r="AJ867" s="2" t="s">
        <v>192</v>
      </c>
      <c r="AK867" s="10" t="s">
        <v>192</v>
      </c>
      <c r="AL867" s="2" t="s">
        <v>81</v>
      </c>
    </row>
    <row r="868" ht="15.75" customHeight="1">
      <c r="A868" s="2" t="s">
        <v>1563</v>
      </c>
      <c r="B868" s="12">
        <v>45010.69236111111</v>
      </c>
      <c r="C868" s="2" t="str">
        <f>IFERROR(__xludf.DUMMYFUNCTION("IF(ISNUMBER(B868),TEXT(B868,""yyyy-MM-dd""),REGEXREPLACE(REGEXREPLACE(TO_TEXT(B868),""[^0-9a-zA-Z]+"",""-""),""[^0-9]*$"",""""))"),"2023-03-25")</f>
        <v>2023-03-25</v>
      </c>
      <c r="D868" s="2" t="s">
        <v>8965</v>
      </c>
      <c r="H868" s="10" t="s">
        <v>8965</v>
      </c>
      <c r="I868" s="2" t="s">
        <v>1565</v>
      </c>
      <c r="J868" s="26" t="str">
        <f t="array" ref="J868">IF(ISNA(XLOOKUP(I868,customers_clean!$A$2:$A$701,customers_clean!$A$2:$A$701, NA()) ),
   "❌ MISSING CUSTOMER", "✅")</f>
        <v>✅</v>
      </c>
      <c r="K868" s="2" t="str">
        <f t="array" ref="K868">XLOOKUP(I868,customers_clean!$A$2:$A$701,customers_clean!$C$2:$C$701)</f>
        <v>CARLOS KOWALSKI</v>
      </c>
      <c r="L868" s="10" t="str">
        <f t="array" ref="L868">XLOOKUP(I868,customers_clean!$A$2:$A$701,customers_clean!$D$2:$D$701)</f>
        <v>Carlos Kowalski</v>
      </c>
      <c r="M868" s="2" t="str">
        <f t="array" ref="M868">XLOOKUP(I868,customers_clean!$A$2:$A$701,customers_clean!$I$2:$I$701)</f>
        <v>CARLOS.KOWALSKI@GMALI.COM</v>
      </c>
      <c r="N868" s="10" t="str">
        <f t="array" ref="N868">XLOOKUP(I868,customers_clean!$A$2:$A$701,customers_clean!$H$2:$H$701)</f>
        <v>carlos.kowalski@gmali.com</v>
      </c>
      <c r="O868" s="9" t="str">
        <f>IFERROR(__xludf.DUMMYFUNCTION("IF(REGEXMATCH(TRIM(N868),""^[A-Za-z0-9._%+-]+@[A-Za-z0-9.-]+\.[A-Za-z]{2,}$""),""✅ Valid"",""❌ Invalid"")"),"✅ Valid")</f>
        <v>✅ Valid</v>
      </c>
      <c r="P868" s="2" t="str">
        <f t="array" ref="P868">XLOOKUP(I868,customers_clean!$A$2:$A$701,customers_clean!$K$2:$K$701)</f>
        <v>+39-382-454532</v>
      </c>
      <c r="Q868" s="10" t="str">
        <f t="array" ref="Q868">XLOOKUP(I868,customers_clean!$A$2:$A$701,customers_clean!$N$2:$N$701)</f>
        <v>382454532</v>
      </c>
      <c r="R868" s="9" t="str">
        <f t="array" ref="R868">XLOOKUP(I868,customers_clean!$A$2:$A$701,customers_clean!$Q$2:$Q$701)</f>
        <v>✅ VALID</v>
      </c>
      <c r="S868" s="10" t="s">
        <v>139</v>
      </c>
      <c r="T868" s="2" t="s">
        <v>223</v>
      </c>
      <c r="U868" s="2" t="s">
        <v>176</v>
      </c>
      <c r="V868" s="2" t="s">
        <v>366</v>
      </c>
      <c r="W868" s="9" t="str">
        <f t="array" ref="W868">IF(ISNA(XLOOKUP(V868,products_master_corrected!$A$2:$A$151,products_master_corrected!$A$2:$A$151, NA())),
    "❌ MISSING SKU", "✅")</f>
        <v>✅</v>
      </c>
      <c r="X868" s="2" t="s">
        <v>367</v>
      </c>
      <c r="Y868" s="2" t="s">
        <v>368</v>
      </c>
      <c r="Z868" s="10" t="s">
        <v>368</v>
      </c>
      <c r="AA868" s="27">
        <v>2.0</v>
      </c>
      <c r="AB868" s="9" t="s">
        <v>8649</v>
      </c>
      <c r="AC868" s="28">
        <f t="array" ref="AC868">XLOOKUP(V868,products_master_corrected!$A$2:$A$151,products_master_corrected!$E$2:$E$151)</f>
        <v>1117.67</v>
      </c>
      <c r="AD868" s="28">
        <f t="shared" si="93"/>
        <v>2235.34</v>
      </c>
      <c r="AE868" s="28">
        <f t="array" ref="AE868">XLOOKUP(V868,products_master_corrected!$A$2:$A$151,products_master_corrected!$L$2:$L$151)</f>
        <v>1208.76</v>
      </c>
      <c r="AF868" s="29">
        <f t="shared" si="94"/>
        <v>2417.52</v>
      </c>
      <c r="AG868" s="32" t="s">
        <v>8665</v>
      </c>
      <c r="AH868" s="2" t="s">
        <v>49</v>
      </c>
      <c r="AI868" s="10" t="s">
        <v>49</v>
      </c>
      <c r="AJ868" s="2" t="s">
        <v>294</v>
      </c>
      <c r="AK868" s="10" t="s">
        <v>80</v>
      </c>
    </row>
    <row r="869" ht="15.75" customHeight="1">
      <c r="A869" s="2" t="s">
        <v>406</v>
      </c>
      <c r="B869" s="12">
        <v>45658.0</v>
      </c>
      <c r="C869" s="2" t="str">
        <f>IFERROR(__xludf.DUMMYFUNCTION("IF(ISNUMBER(B869),TEXT(B869,""yyyy-MM-dd""),REGEXREPLACE(REGEXREPLACE(TO_TEXT(B869),""[^0-9a-zA-Z]+"",""-""),""[^0-9]*$"",""""))"),"2025-01-01")</f>
        <v>2025-01-01</v>
      </c>
      <c r="D869" s="2" t="s">
        <v>8884</v>
      </c>
      <c r="H869" s="10" t="s">
        <v>8884</v>
      </c>
      <c r="I869" s="2" t="s">
        <v>408</v>
      </c>
      <c r="J869" s="26" t="str">
        <f t="array" ref="J869">IF(ISNA(XLOOKUP(I869,customers_clean!$A$2:$A$701,customers_clean!$A$2:$A$701, NA()) ),
   "❌ MISSING CUSTOMER", "✅")</f>
        <v>✅</v>
      </c>
      <c r="K869" s="2" t="str">
        <f t="array" ref="K869">XLOOKUP(I869,customers_clean!$A$2:$A$701,customers_clean!$C$2:$C$701)</f>
        <v>Nina  Martinez</v>
      </c>
      <c r="L869" s="10" t="str">
        <f t="array" ref="L869">XLOOKUP(I869,customers_clean!$A$2:$A$701,customers_clean!$D$2:$D$701)</f>
        <v>Nina Martinez</v>
      </c>
      <c r="M869" s="2" t="str">
        <f t="array" ref="M869">XLOOKUP(I869,customers_clean!$A$2:$A$701,customers_clean!$I$2:$I$701)</f>
        <v>Nina.Martinez@Outlook.Com</v>
      </c>
      <c r="N869" s="10" t="str">
        <f t="array" ref="N869">XLOOKUP(I869,customers_clean!$A$2:$A$701,customers_clean!$H$2:$H$701)</f>
        <v>nina.martinez@outlook.com</v>
      </c>
      <c r="O869" s="9" t="str">
        <f>IFERROR(__xludf.DUMMYFUNCTION("IF(REGEXMATCH(TRIM(N869),""^[A-Za-z0-9._%+-]+@[A-Za-z0-9.-]+\.[A-Za-z]{2,}$""),""✅ Valid"",""❌ Invalid"")"),"✅ Valid")</f>
        <v>✅ Valid</v>
      </c>
      <c r="P869" s="2" t="str">
        <f t="array" ref="P869">XLOOKUP(I869,customers_clean!$A$2:$A$701,customers_clean!$K$2:$K$701)</f>
        <v>+353 753 0323529</v>
      </c>
      <c r="Q869" s="10" t="str">
        <f t="array" ref="Q869">XLOOKUP(I869,customers_clean!$A$2:$A$701,customers_clean!$N$2:$N$701)</f>
        <v>7530323529</v>
      </c>
      <c r="R869" s="9" t="str">
        <f t="array" ref="R869">XLOOKUP(I869,customers_clean!$A$2:$A$701,customers_clean!$Q$2:$Q$701)</f>
        <v>❌ INVALID</v>
      </c>
      <c r="S869" s="10" t="s">
        <v>58</v>
      </c>
      <c r="T869" s="2" t="s">
        <v>115</v>
      </c>
      <c r="U869" s="2" t="s">
        <v>43</v>
      </c>
      <c r="V869" s="2" t="s">
        <v>411</v>
      </c>
      <c r="W869" s="9" t="str">
        <f t="array" ref="W869">IF(ISNA(XLOOKUP(V869,products_master_corrected!$A$2:$A$151,products_master_corrected!$A$2:$A$151, NA())),
    "❌ MISSING SKU", "✅")</f>
        <v>✅</v>
      </c>
      <c r="X869" s="2" t="s">
        <v>412</v>
      </c>
      <c r="Y869" s="2" t="s">
        <v>167</v>
      </c>
      <c r="Z869" s="10" t="str">
        <f>PROPER(TRIM(Y869))</f>
        <v>Monitors</v>
      </c>
      <c r="AA869" s="27">
        <v>3.0</v>
      </c>
      <c r="AB869" s="9" t="s">
        <v>8649</v>
      </c>
      <c r="AC869" s="28">
        <f t="array" ref="AC869">XLOOKUP(V869,products_master_corrected!$A$2:$A$151,products_master_corrected!$E$2:$E$151)</f>
        <v>363.33</v>
      </c>
      <c r="AD869" s="28">
        <f t="shared" si="93"/>
        <v>1089.99</v>
      </c>
      <c r="AE869" s="28">
        <f t="array" ref="AE869">XLOOKUP(V869,products_master_corrected!$A$2:$A$151,products_master_corrected!$G$2:$G$151)</f>
        <v>415.94</v>
      </c>
      <c r="AF869" s="29">
        <f t="shared" si="94"/>
        <v>1247.82</v>
      </c>
      <c r="AG869" s="32" t="s">
        <v>8663</v>
      </c>
      <c r="AH869" s="2" t="s">
        <v>414</v>
      </c>
      <c r="AI869" s="10" t="s">
        <v>49</v>
      </c>
      <c r="AJ869" s="2" t="s">
        <v>120</v>
      </c>
      <c r="AK869" s="10" t="s">
        <v>818</v>
      </c>
    </row>
    <row r="870" ht="15.75" customHeight="1">
      <c r="A870" s="2" t="s">
        <v>5457</v>
      </c>
      <c r="B870" s="12">
        <v>45118.0</v>
      </c>
      <c r="C870" s="2" t="str">
        <f>IFERROR(__xludf.DUMMYFUNCTION("IF(ISNUMBER(B870),TEXT(B870,""yyyy-MM-dd""),REGEXREPLACE(REGEXREPLACE(TO_TEXT(B870),""[^0-9a-zA-Z]+"",""-""),""[^0-9]*$"",""""))"),"2023-07-11")</f>
        <v>2023-07-11</v>
      </c>
      <c r="D870" s="2" t="s">
        <v>4455</v>
      </c>
      <c r="H870" s="10" t="s">
        <v>4455</v>
      </c>
      <c r="I870" s="2" t="s">
        <v>4487</v>
      </c>
      <c r="J870" s="26" t="str">
        <f t="array" ref="J870">IF(ISNA(XLOOKUP(I870,customers_clean!$A$2:$A$701,customers_clean!$A$2:$A$701, NA()) ),
   "❌ MISSING CUSTOMER", "✅")</f>
        <v>✅</v>
      </c>
      <c r="K870" s="2" t="str">
        <f t="array" ref="K870">XLOOKUP(I870,customers_clean!$A$2:$A$701,customers_clean!$C$2:$C$701)</f>
        <v>Wiktor Novak </v>
      </c>
      <c r="L870" s="10" t="str">
        <f t="array" ref="L870">XLOOKUP(I870,customers_clean!$A$2:$A$701,customers_clean!$D$2:$D$701)</f>
        <v>Wiktor Novak</v>
      </c>
      <c r="M870" s="2" t="str">
        <f t="array" ref="M870">XLOOKUP(I870,customers_clean!$A$2:$A$701,customers_clean!$I$2:$I$701)</f>
        <v>wiktor.novak@example.com</v>
      </c>
      <c r="N870" s="10" t="str">
        <f t="array" ref="N870">XLOOKUP(I870,customers_clean!$A$2:$A$701,customers_clean!$H$2:$H$701)</f>
        <v>wiktor.novak@example.com</v>
      </c>
      <c r="O870" s="9" t="str">
        <f>IFERROR(__xludf.DUMMYFUNCTION("IF(REGEXMATCH(TRIM(N870),""^[A-Za-z0-9._%+-]+@[A-Za-z0-9.-]+\.[A-Za-z]{2,}$""),""✅ Valid"",""❌ Invalid"")"),"✅ Valid")</f>
        <v>✅ Valid</v>
      </c>
      <c r="P870" s="2">
        <f t="array" ref="P870">XLOOKUP(I870,customers_clean!$A$2:$A$701,customers_clean!$K$2:$K$701)</f>
        <v>34683185562</v>
      </c>
      <c r="Q870" s="10" t="str">
        <f t="array" ref="Q870">XLOOKUP(I870,customers_clean!$A$2:$A$701,customers_clean!$N$2:$N$701)</f>
        <v>683185562</v>
      </c>
      <c r="R870" s="9" t="str">
        <f t="array" ref="R870">XLOOKUP(I870,customers_clean!$A$2:$A$701,customers_clean!$Q$2:$Q$701)</f>
        <v>✅ VALID</v>
      </c>
      <c r="S870" s="31" t="s">
        <v>671</v>
      </c>
      <c r="T870" s="2" t="s">
        <v>323</v>
      </c>
      <c r="U870" s="2" t="s">
        <v>289</v>
      </c>
      <c r="V870" s="2" t="s">
        <v>140</v>
      </c>
      <c r="W870" s="9" t="str">
        <f t="array" ref="W870">IF(ISNA(XLOOKUP(V870,products_master_corrected!$A$2:$A$151,products_master_corrected!$A$2:$A$151, NA())),
    "❌ MISSING SKU", "✅")</f>
        <v>✅</v>
      </c>
      <c r="X870" s="2" t="s">
        <v>741</v>
      </c>
      <c r="Y870" s="2" t="s">
        <v>63</v>
      </c>
      <c r="Z870" s="10" t="s">
        <v>63</v>
      </c>
      <c r="AA870" s="27">
        <v>1.0</v>
      </c>
      <c r="AB870" s="9" t="s">
        <v>8649</v>
      </c>
      <c r="AC870" s="28">
        <f t="array" ref="AC870">XLOOKUP(V870,products_master_corrected!$A$2:$A$151,products_master_corrected!$E$2:$E$151)</f>
        <v>30.67</v>
      </c>
      <c r="AD870" s="28">
        <f t="shared" si="93"/>
        <v>30.67</v>
      </c>
      <c r="AE870" s="28">
        <f t="array" ref="AE870">XLOOKUP(V870,products_master_corrected!$A$2:$A$151,products_master_corrected!$J$2:$J$151)</f>
        <v>35.77</v>
      </c>
      <c r="AF870" s="29">
        <f t="shared" si="94"/>
        <v>35.77</v>
      </c>
      <c r="AG870" s="32" t="s">
        <v>8656</v>
      </c>
      <c r="AH870" s="2" t="s">
        <v>204</v>
      </c>
      <c r="AI870" s="10" t="s">
        <v>143</v>
      </c>
      <c r="AJ870" s="2" t="s">
        <v>442</v>
      </c>
      <c r="AK870" s="10" t="s">
        <v>80</v>
      </c>
      <c r="AL870" s="2" t="s">
        <v>133</v>
      </c>
    </row>
    <row r="871" ht="15.75" customHeight="1">
      <c r="A871" s="2" t="s">
        <v>4485</v>
      </c>
      <c r="B871" s="12">
        <v>45827.0</v>
      </c>
      <c r="C871" s="2" t="str">
        <f>IFERROR(__xludf.DUMMYFUNCTION("IF(ISNUMBER(B871),TEXT(B871,""yyyy-MM-dd""),REGEXREPLACE(REGEXREPLACE(TO_TEXT(B871),""[^0-9a-zA-Z]+"",""-""),""[^0-9]*$"",""""))"),"2025-06-19")</f>
        <v>2025-06-19</v>
      </c>
      <c r="D871" s="2" t="s">
        <v>8966</v>
      </c>
      <c r="H871" s="10" t="s">
        <v>8966</v>
      </c>
      <c r="I871" s="2" t="s">
        <v>4487</v>
      </c>
      <c r="J871" s="26" t="str">
        <f t="array" ref="J871">IF(ISNA(XLOOKUP(I871,customers_clean!$A$2:$A$701,customers_clean!$A$2:$A$701, NA()) ),
   "❌ MISSING CUSTOMER", "✅")</f>
        <v>✅</v>
      </c>
      <c r="K871" s="2" t="str">
        <f t="array" ref="K871">XLOOKUP(I871,customers_clean!$A$2:$A$701,customers_clean!$C$2:$C$701)</f>
        <v>Wiktor Novak </v>
      </c>
      <c r="L871" s="10" t="str">
        <f t="array" ref="L871">XLOOKUP(I871,customers_clean!$A$2:$A$701,customers_clean!$D$2:$D$701)</f>
        <v>Wiktor Novak</v>
      </c>
      <c r="M871" s="2" t="str">
        <f t="array" ref="M871">XLOOKUP(I871,customers_clean!$A$2:$A$701,customers_clean!$I$2:$I$701)</f>
        <v>wiktor.novak@example.com</v>
      </c>
      <c r="N871" s="10" t="str">
        <f t="array" ref="N871">XLOOKUP(I871,customers_clean!$A$2:$A$701,customers_clean!$H$2:$H$701)</f>
        <v>wiktor.novak@example.com</v>
      </c>
      <c r="O871" s="9" t="str">
        <f>IFERROR(__xludf.DUMMYFUNCTION("IF(REGEXMATCH(TRIM(N871),""^[A-Za-z0-9._%+-]+@[A-Za-z0-9.-]+\.[A-Za-z]{2,}$""),""✅ Valid"",""❌ Invalid"")"),"✅ Valid")</f>
        <v>✅ Valid</v>
      </c>
      <c r="P871" s="2">
        <f t="array" ref="P871">XLOOKUP(I871,customers_clean!$A$2:$A$701,customers_clean!$K$2:$K$701)</f>
        <v>34683185562</v>
      </c>
      <c r="Q871" s="10" t="str">
        <f t="array" ref="Q871">XLOOKUP(I871,customers_clean!$A$2:$A$701,customers_clean!$N$2:$N$701)</f>
        <v>683185562</v>
      </c>
      <c r="R871" s="9" t="str">
        <f t="array" ref="R871">XLOOKUP(I871,customers_clean!$A$2:$A$701,customers_clean!$Q$2:$Q$701)</f>
        <v>✅ VALID</v>
      </c>
      <c r="S871" s="31" t="s">
        <v>671</v>
      </c>
      <c r="T871" s="2" t="s">
        <v>323</v>
      </c>
      <c r="U871" s="2" t="s">
        <v>176</v>
      </c>
      <c r="V871" s="2" t="s">
        <v>1197</v>
      </c>
      <c r="W871" s="9" t="str">
        <f t="array" ref="W871">IF(ISNA(XLOOKUP(V871,products_master_corrected!$A$2:$A$151,products_master_corrected!$A$2:$A$151, NA())),
    "❌ MISSING SKU", "✅")</f>
        <v>✅</v>
      </c>
      <c r="X871" s="2" t="s">
        <v>1138</v>
      </c>
      <c r="Y871" s="2" t="s">
        <v>1199</v>
      </c>
      <c r="Z871" s="10" t="s">
        <v>179</v>
      </c>
      <c r="AA871" s="27">
        <v>3.0</v>
      </c>
      <c r="AB871" s="9" t="s">
        <v>8649</v>
      </c>
      <c r="AC871" s="28">
        <f t="array" ref="AC871">XLOOKUP(V871,products_master_corrected!$A$2:$A$151,products_master_corrected!$E$2:$E$151)</f>
        <v>80.95</v>
      </c>
      <c r="AD871" s="28">
        <f t="shared" si="93"/>
        <v>242.85</v>
      </c>
      <c r="AE871" s="28">
        <f t="array" ref="AE871">XLOOKUP(V871,products_master_corrected!$A$2:$A$151,products_master_corrected!$J$2:$J$151)</f>
        <v>94.41</v>
      </c>
      <c r="AF871" s="29">
        <f t="shared" si="94"/>
        <v>283.23</v>
      </c>
      <c r="AG871" s="32" t="s">
        <v>8656</v>
      </c>
      <c r="AH871" s="2" t="s">
        <v>66</v>
      </c>
      <c r="AI871" s="10" t="s">
        <v>66</v>
      </c>
      <c r="AJ871" s="2" t="s">
        <v>452</v>
      </c>
      <c r="AK871" s="10" t="s">
        <v>261</v>
      </c>
      <c r="AL871" s="2" t="s">
        <v>81</v>
      </c>
    </row>
    <row r="872" ht="15.75" customHeight="1">
      <c r="A872" s="2" t="s">
        <v>2736</v>
      </c>
      <c r="B872" s="12">
        <v>45116.0</v>
      </c>
      <c r="C872" s="2" t="str">
        <f>IFERROR(__xludf.DUMMYFUNCTION("IF(ISNUMBER(B872),TEXT(B872,""yyyy-MM-dd""),REGEXREPLACE(REGEXREPLACE(TO_TEXT(B872),""[^0-9a-zA-Z]+"",""-""),""[^0-9]*$"",""""))"),"2023-07-09")</f>
        <v>2023-07-09</v>
      </c>
      <c r="D872" s="2" t="s">
        <v>8728</v>
      </c>
      <c r="H872" s="10" t="s">
        <v>8728</v>
      </c>
      <c r="I872" s="2" t="s">
        <v>2738</v>
      </c>
      <c r="J872" s="26" t="str">
        <f t="array" ref="J872">IF(ISNA(XLOOKUP(I872,customers_clean!$A$2:$A$701,customers_clean!$A$2:$A$701, NA()) ),
   "❌ MISSING CUSTOMER", "✅")</f>
        <v>✅</v>
      </c>
      <c r="K872" s="2" t="str">
        <f t="array" ref="K872">XLOOKUP(I872,customers_clean!$A$2:$A$701,customers_clean!$C$2:$C$701)</f>
        <v>Rita Kowalczyk</v>
      </c>
      <c r="L872" s="10" t="str">
        <f t="array" ref="L872">XLOOKUP(I872,customers_clean!$A$2:$A$701,customers_clean!$D$2:$D$701)</f>
        <v>Rita Kowalczyk</v>
      </c>
      <c r="M872" s="2" t="str">
        <f t="array" ref="M872">XLOOKUP(I872,customers_clean!$A$2:$A$701,customers_clean!$I$2:$I$701)</f>
        <v>Rita.Kowalczyk@Example.Com</v>
      </c>
      <c r="N872" s="10" t="str">
        <f t="array" ref="N872">XLOOKUP(I872,customers_clean!$A$2:$A$701,customers_clean!$H$2:$H$701)</f>
        <v>rita.kowalczyk@example.com</v>
      </c>
      <c r="O872" s="9" t="str">
        <f>IFERROR(__xludf.DUMMYFUNCTION("IF(REGEXMATCH(TRIM(N872),""^[A-Za-z0-9._%+-]+@[A-Za-z0-9.-]+\.[A-Za-z]{2,}$""),""✅ Valid"",""❌ Invalid"")"),"✅ Valid")</f>
        <v>✅ Valid</v>
      </c>
      <c r="P872" s="2" t="str">
        <f t="array" ref="P872">XLOOKUP(I872,customers_clean!$A$2:$A$701,customers_clean!$K$2:$K$701)</f>
        <v>+390635109900 ext 62</v>
      </c>
      <c r="Q872" s="10" t="str">
        <f t="array" ref="Q872">XLOOKUP(I872,customers_clean!$A$2:$A$701,customers_clean!$N$2:$N$701)</f>
        <v>0635109900</v>
      </c>
      <c r="R872" s="9" t="str">
        <f t="array" ref="R872">XLOOKUP(I872,customers_clean!$A$2:$A$701,customers_clean!$Q$2:$Q$701)</f>
        <v>❌ INVALID</v>
      </c>
      <c r="S872" s="10" t="s">
        <v>25</v>
      </c>
      <c r="T872" s="2" t="s">
        <v>301</v>
      </c>
      <c r="U872" s="2" t="s">
        <v>90</v>
      </c>
      <c r="V872" s="2" t="s">
        <v>177</v>
      </c>
      <c r="W872" s="9" t="str">
        <f t="array" ref="W872">IF(ISNA(XLOOKUP(V872,products_master_corrected!$A$2:$A$151,products_master_corrected!$A$2:$A$151, NA())),
    "❌ MISSING SKU", "✅")</f>
        <v>✅</v>
      </c>
      <c r="X872" s="2" t="s">
        <v>8680</v>
      </c>
      <c r="Y872" s="2" t="s">
        <v>179</v>
      </c>
      <c r="Z872" s="10" t="s">
        <v>179</v>
      </c>
      <c r="AA872" s="27">
        <v>1.0</v>
      </c>
      <c r="AB872" s="9" t="s">
        <v>8649</v>
      </c>
      <c r="AC872" s="28">
        <f t="array" ref="AC872">XLOOKUP(V872,products_master_corrected!$A$2:$A$151,products_master_corrected!$E$2:$E$151)</f>
        <v>272.72</v>
      </c>
      <c r="AD872" s="28">
        <f t="shared" si="93"/>
        <v>272.72</v>
      </c>
      <c r="AE872" s="28">
        <f t="array" ref="AE872">XLOOKUP(V872,products_master_corrected!$A$2:$A$151,products_master_corrected!$K$2:$K$151)</f>
        <v>1403.14</v>
      </c>
      <c r="AF872" s="29">
        <f t="shared" si="94"/>
        <v>1403.14</v>
      </c>
      <c r="AG872" s="30" t="s">
        <v>95</v>
      </c>
      <c r="AH872" s="2" t="s">
        <v>370</v>
      </c>
      <c r="AI872" s="10" t="s">
        <v>143</v>
      </c>
      <c r="AJ872" s="2" t="s">
        <v>294</v>
      </c>
      <c r="AK872" s="10" t="s">
        <v>80</v>
      </c>
    </row>
    <row r="873" ht="15.75" customHeight="1">
      <c r="A873" s="2" t="s">
        <v>4945</v>
      </c>
      <c r="B873" s="12" t="s">
        <v>4946</v>
      </c>
      <c r="C873" s="2" t="str">
        <f>IFERROR(__xludf.DUMMYFUNCTION("IF(ISNUMBER(B873),TEXT(B873,""yyyy-MM-dd""),REGEXREPLACE(REGEXREPLACE(TO_TEXT(B873),""[^0-9a-zA-Z]+"",""-""),""[^0-9]*$"",""""))"),"22-04-2025")</f>
        <v>22-04-2025</v>
      </c>
      <c r="D873" s="2" t="s">
        <v>7596</v>
      </c>
      <c r="H873" s="10" t="s">
        <v>7596</v>
      </c>
      <c r="I873" s="2" t="s">
        <v>2738</v>
      </c>
      <c r="J873" s="26" t="str">
        <f t="array" ref="J873">IF(ISNA(XLOOKUP(I873,customers_clean!$A$2:$A$701,customers_clean!$A$2:$A$701, NA()) ),
   "❌ MISSING CUSTOMER", "✅")</f>
        <v>✅</v>
      </c>
      <c r="K873" s="2" t="str">
        <f t="array" ref="K873">XLOOKUP(I873,customers_clean!$A$2:$A$701,customers_clean!$C$2:$C$701)</f>
        <v>Rita Kowalczyk</v>
      </c>
      <c r="L873" s="10" t="str">
        <f t="array" ref="L873">XLOOKUP(I873,customers_clean!$A$2:$A$701,customers_clean!$D$2:$D$701)</f>
        <v>Rita Kowalczyk</v>
      </c>
      <c r="M873" s="2" t="str">
        <f t="array" ref="M873">XLOOKUP(I873,customers_clean!$A$2:$A$701,customers_clean!$I$2:$I$701)</f>
        <v>Rita.Kowalczyk@Example.Com</v>
      </c>
      <c r="N873" s="10" t="str">
        <f t="array" ref="N873">XLOOKUP(I873,customers_clean!$A$2:$A$701,customers_clean!$H$2:$H$701)</f>
        <v>rita.kowalczyk@example.com</v>
      </c>
      <c r="O873" s="9" t="str">
        <f>IFERROR(__xludf.DUMMYFUNCTION("IF(REGEXMATCH(TRIM(N873),""^[A-Za-z0-9._%+-]+@[A-Za-z0-9.-]+\.[A-Za-z]{2,}$""),""✅ Valid"",""❌ Invalid"")"),"✅ Valid")</f>
        <v>✅ Valid</v>
      </c>
      <c r="P873" s="2" t="str">
        <f t="array" ref="P873">XLOOKUP(I873,customers_clean!$A$2:$A$701,customers_clean!$K$2:$K$701)</f>
        <v>+390635109900 ext 62</v>
      </c>
      <c r="Q873" s="10" t="str">
        <f t="array" ref="Q873">XLOOKUP(I873,customers_clean!$A$2:$A$701,customers_clean!$N$2:$N$701)</f>
        <v>0635109900</v>
      </c>
      <c r="R873" s="9" t="str">
        <f t="array" ref="R873">XLOOKUP(I873,customers_clean!$A$2:$A$701,customers_clean!$Q$2:$Q$701)</f>
        <v>❌ INVALID</v>
      </c>
      <c r="S873" s="10" t="s">
        <v>25</v>
      </c>
      <c r="T873" s="2" t="s">
        <v>152</v>
      </c>
      <c r="U873" s="2" t="s">
        <v>3833</v>
      </c>
      <c r="V873" s="2" t="s">
        <v>411</v>
      </c>
      <c r="W873" s="9" t="str">
        <f t="array" ref="W873">IF(ISNA(XLOOKUP(V873,products_master_corrected!$A$2:$A$151,products_master_corrected!$A$2:$A$151, NA())),
    "❌ MISSING SKU", "✅")</f>
        <v>✅</v>
      </c>
      <c r="X873" s="2" t="s">
        <v>412</v>
      </c>
      <c r="Y873" s="2" t="s">
        <v>167</v>
      </c>
      <c r="Z873" s="10" t="str">
        <f>PROPER(TRIM(Y873))</f>
        <v>Monitors</v>
      </c>
      <c r="AA873" s="27">
        <v>3.0</v>
      </c>
      <c r="AB873" s="9" t="s">
        <v>8649</v>
      </c>
      <c r="AC873" s="28">
        <f t="array" ref="AC873">XLOOKUP(V873,products_master_corrected!$A$2:$A$151,products_master_corrected!$E$2:$E$151)</f>
        <v>363.33</v>
      </c>
      <c r="AD873" s="28">
        <f t="shared" si="93"/>
        <v>1089.99</v>
      </c>
      <c r="AE873" s="28">
        <f t="array" ref="AE873">XLOOKUP(V873,products_master_corrected!$A$2:$A$151,products_master_corrected!$K$2:$K$151)</f>
        <v>1869.33</v>
      </c>
      <c r="AF873" s="29">
        <f t="shared" si="94"/>
        <v>5607.99</v>
      </c>
      <c r="AG873" s="30" t="s">
        <v>95</v>
      </c>
      <c r="AH873" s="2" t="s">
        <v>181</v>
      </c>
      <c r="AI873" s="10" t="s">
        <v>181</v>
      </c>
      <c r="AJ873" s="2" t="s">
        <v>80</v>
      </c>
      <c r="AK873" s="10" t="s">
        <v>80</v>
      </c>
      <c r="AL873" s="2" t="s">
        <v>81</v>
      </c>
    </row>
    <row r="874" ht="15.75" customHeight="1">
      <c r="A874" s="2" t="s">
        <v>2862</v>
      </c>
      <c r="B874" s="12">
        <v>45618.0</v>
      </c>
      <c r="C874" s="2" t="str">
        <f>IFERROR(__xludf.DUMMYFUNCTION("IF(ISNUMBER(B874),TEXT(B874,""yyyy-MM-dd""),REGEXREPLACE(REGEXREPLACE(TO_TEXT(B874),""[^0-9a-zA-Z]+"",""-""),""[^0-9]*$"",""""))"),"2024-11-22")</f>
        <v>2024-11-22</v>
      </c>
      <c r="D874" s="2" t="s">
        <v>2863</v>
      </c>
      <c r="H874" s="10" t="s">
        <v>2863</v>
      </c>
      <c r="I874" s="2" t="s">
        <v>2864</v>
      </c>
      <c r="J874" s="26" t="str">
        <f t="array" ref="J874">IF(ISNA(XLOOKUP(I874,customers_clean!$A$2:$A$701,customers_clean!$A$2:$A$701, NA()) ),
   "❌ MISSING CUSTOMER", "✅")</f>
        <v>✅</v>
      </c>
      <c r="K874" s="2" t="str">
        <f t="array" ref="K874">XLOOKUP(I874,customers_clean!$A$2:$A$701,customers_clean!$C$2:$C$701)</f>
        <v> Vlad Williams</v>
      </c>
      <c r="L874" s="10" t="str">
        <f t="array" ref="L874">XLOOKUP(I874,customers_clean!$A$2:$A$701,customers_clean!$D$2:$D$701)</f>
        <v>Vlad Williams</v>
      </c>
      <c r="M874" s="2" t="str">
        <f t="array" ref="M874">XLOOKUP(I874,customers_clean!$A$2:$A$701,customers_clean!$I$2:$I$701)</f>
        <v>vlad.williams@gmail.com </v>
      </c>
      <c r="N874" s="10" t="str">
        <f t="array" ref="N874">XLOOKUP(I874,customers_clean!$A$2:$A$701,customers_clean!$H$2:$H$701)</f>
        <v>vlad.williams@gmail.com</v>
      </c>
      <c r="O874" s="9" t="str">
        <f>IFERROR(__xludf.DUMMYFUNCTION("IF(REGEXMATCH(TRIM(N874),""^[A-Za-z0-9._%+-]+@[A-Za-z0-9.-]+\.[A-Za-z]{2,}$""),""✅ Valid"",""❌ Invalid"")"),"✅ Valid")</f>
        <v>✅ Valid</v>
      </c>
      <c r="P874" s="2">
        <f t="array" ref="P874">XLOOKUP(I874,customers_clean!$A$2:$A$701,customers_clean!$K$2:$K$701)</f>
        <v>3440706038</v>
      </c>
      <c r="Q874" s="10" t="str">
        <f t="array" ref="Q874">XLOOKUP(I874,customers_clean!$A$2:$A$701,customers_clean!$N$2:$N$701)</f>
        <v>40706038</v>
      </c>
      <c r="R874" s="9" t="str">
        <f t="array" ref="R874">XLOOKUP(I874,customers_clean!$A$2:$A$701,customers_clean!$Q$2:$Q$701)</f>
        <v>❌ INVALID</v>
      </c>
      <c r="S874" s="10" t="s">
        <v>25</v>
      </c>
      <c r="T874" s="2" t="s">
        <v>223</v>
      </c>
      <c r="U874" s="2" t="s">
        <v>480</v>
      </c>
      <c r="V874" s="2" t="s">
        <v>948</v>
      </c>
      <c r="W874" s="9" t="str">
        <f t="array" ref="W874">IF(ISNA(XLOOKUP(V874,products_master_corrected!$A$2:$A$151,products_master_corrected!$A$2:$A$151, NA())),
    "❌ MISSING SKU", "✅")</f>
        <v>✅</v>
      </c>
      <c r="X874" s="2" t="s">
        <v>213</v>
      </c>
      <c r="Y874" s="2" t="s">
        <v>129</v>
      </c>
      <c r="Z874" s="10" t="s">
        <v>514</v>
      </c>
      <c r="AA874" s="27">
        <v>1.0</v>
      </c>
      <c r="AB874" s="9" t="s">
        <v>8649</v>
      </c>
      <c r="AC874" s="28">
        <f t="array" ref="AC874">XLOOKUP(V874,products_master_corrected!$A$2:$A$151,products_master_corrected!$E$2:$E$151)</f>
        <v>1470.18</v>
      </c>
      <c r="AD874" s="28">
        <f t="shared" si="93"/>
        <v>1470.18</v>
      </c>
      <c r="AE874" s="28">
        <f t="array" ref="AE874">XLOOKUP(V874,products_master_corrected!$A$2:$A$151,products_master_corrected!$K$2:$K$151)</f>
        <v>7564.08</v>
      </c>
      <c r="AF874" s="29">
        <f t="shared" si="94"/>
        <v>7564.08</v>
      </c>
      <c r="AG874" s="30" t="s">
        <v>95</v>
      </c>
      <c r="AH874" s="2" t="s">
        <v>414</v>
      </c>
      <c r="AI874" s="10" t="s">
        <v>49</v>
      </c>
      <c r="AJ874" s="2" t="s">
        <v>818</v>
      </c>
      <c r="AK874" s="10" t="s">
        <v>818</v>
      </c>
    </row>
    <row r="875" ht="15.75" customHeight="1">
      <c r="A875" s="2" t="s">
        <v>6223</v>
      </c>
      <c r="B875" s="12">
        <v>45388.0</v>
      </c>
      <c r="C875" s="2" t="str">
        <f>IFERROR(__xludf.DUMMYFUNCTION("IF(ISNUMBER(B875),TEXT(B875,""yyyy-MM-dd""),REGEXREPLACE(REGEXREPLACE(TO_TEXT(B875),""[^0-9a-zA-Z]+"",""-""),""[^0-9]*$"",""""))"),"2024-04-06")</f>
        <v>2024-04-06</v>
      </c>
      <c r="D875" s="2" t="s">
        <v>8967</v>
      </c>
      <c r="H875" s="10" t="s">
        <v>8967</v>
      </c>
      <c r="I875" s="2" t="s">
        <v>2061</v>
      </c>
      <c r="J875" s="26" t="str">
        <f t="array" ref="J875">IF(ISNA(XLOOKUP(I875,customers_clean!$A$2:$A$701,customers_clean!$A$2:$A$701, NA()) ),
   "❌ MISSING CUSTOMER", "✅")</f>
        <v>✅</v>
      </c>
      <c r="K875" s="2" t="str">
        <f t="array" ref="K875">XLOOKUP(I875,customers_clean!$A$2:$A$701,customers_clean!$C$2:$C$701)</f>
        <v> Hanna Brown</v>
      </c>
      <c r="L875" s="10" t="str">
        <f t="array" ref="L875">XLOOKUP(I875,customers_clean!$A$2:$A$701,customers_clean!$D$2:$D$701)</f>
        <v>Hanna Brown</v>
      </c>
      <c r="M875" s="2" t="str">
        <f t="array" ref="M875">XLOOKUP(I875,customers_clean!$A$2:$A$701,customers_clean!$I$2:$I$701)</f>
        <v/>
      </c>
      <c r="N875" s="10" t="str">
        <f t="array" ref="N875">XLOOKUP(I875,customers_clean!$A$2:$A$701,customers_clean!$H$2:$H$701)</f>
        <v/>
      </c>
      <c r="O875" s="9" t="str">
        <f>IFERROR(__xludf.DUMMYFUNCTION("IF(REGEXMATCH(TRIM(N875),""^[A-Za-z0-9._%+-]+@[A-Za-z0-9.-]+\.[A-Za-z]{2,}$""),""✅ Valid"",""❌ Invalid"")"),"❌ Invalid")</f>
        <v>❌ Invalid</v>
      </c>
      <c r="P875" s="2" t="str">
        <f t="array" ref="P875">XLOOKUP(I875,customers_clean!$A$2:$A$701,customers_clean!$K$2:$K$701)</f>
        <v>+1-667-478-2689</v>
      </c>
      <c r="Q875" s="10" t="str">
        <f t="array" ref="Q875">XLOOKUP(I875,customers_clean!$A$2:$A$701,customers_clean!$N$2:$N$701)</f>
        <v/>
      </c>
      <c r="R875" s="9" t="str">
        <f t="array" ref="R875">XLOOKUP(I875,customers_clean!$A$2:$A$701,customers_clean!$Q$2:$Q$701)</f>
        <v/>
      </c>
      <c r="S875" s="10" t="s">
        <v>25</v>
      </c>
      <c r="T875" s="2" t="s">
        <v>400</v>
      </c>
      <c r="U875" s="2" t="s">
        <v>401</v>
      </c>
      <c r="V875" s="2" t="s">
        <v>1327</v>
      </c>
      <c r="W875" s="9" t="str">
        <f t="array" ref="W875">IF(ISNA(XLOOKUP(V875,products_master_corrected!$A$2:$A$151,products_master_corrected!$A$2:$A$151, NA())),
    "❌ MISSING SKU", "✅")</f>
        <v>✅</v>
      </c>
      <c r="X875" s="2" t="s">
        <v>291</v>
      </c>
      <c r="Y875" s="2" t="s">
        <v>1328</v>
      </c>
      <c r="Z875" s="10" t="s">
        <v>179</v>
      </c>
      <c r="AA875" s="27">
        <v>2.0</v>
      </c>
      <c r="AB875" s="9" t="s">
        <v>8649</v>
      </c>
      <c r="AC875" s="28">
        <f t="array" ref="AC875">XLOOKUP(V875,products_master_corrected!$A$2:$A$151,products_master_corrected!$E$2:$E$151)</f>
        <v>124.96</v>
      </c>
      <c r="AD875" s="28">
        <f t="shared" si="93"/>
        <v>249.92</v>
      </c>
      <c r="AE875" s="28">
        <f t="array" ref="AE875">XLOOKUP(V875,products_master_corrected!$A$2:$A$151,products_master_corrected!$K$2:$K$151)</f>
        <v>642.92</v>
      </c>
      <c r="AF875" s="29">
        <f t="shared" si="94"/>
        <v>1285.84</v>
      </c>
      <c r="AG875" s="30" t="s">
        <v>95</v>
      </c>
      <c r="AH875" s="2" t="s">
        <v>49</v>
      </c>
      <c r="AI875" s="10" t="s">
        <v>49</v>
      </c>
      <c r="AJ875" s="2" t="s">
        <v>80</v>
      </c>
      <c r="AK875" s="10" t="s">
        <v>80</v>
      </c>
    </row>
    <row r="876" ht="15.75" customHeight="1">
      <c r="A876" s="2" t="s">
        <v>4857</v>
      </c>
      <c r="B876" s="12" t="s">
        <v>4858</v>
      </c>
      <c r="C876" s="2" t="str">
        <f>IFERROR(__xludf.DUMMYFUNCTION("IF(ISNUMBER(B876),TEXT(B876,""yyyy-MM-dd""),REGEXREPLACE(REGEXREPLACE(TO_TEXT(B876),""[^0-9a-zA-Z]+"",""-""),""[^0-9]*$"",""""))"),"03-18-2024-01-40")</f>
        <v>03-18-2024-01-40</v>
      </c>
      <c r="D876" s="2" t="str">
        <f>TEXT(C876,"yyyy-MM-dd")</f>
        <v>03-18-2024-01-40</v>
      </c>
      <c r="E876" s="12" t="str">
        <f>IFERROR(__xludf.DUMMYFUNCTION("REGEXEXTRACT(D876,""^\d{2}-\d{2}-\d{4}"")"),"03-18-2024")</f>
        <v>03-18-2024</v>
      </c>
      <c r="F876" s="2" t="str">
        <f>TEXT(E876,"yyyy-MM-dd")</f>
        <v>03-18-2024</v>
      </c>
      <c r="G876" s="2" t="s">
        <v>8685</v>
      </c>
      <c r="H876" s="10" t="s">
        <v>8685</v>
      </c>
      <c r="I876" s="2" t="s">
        <v>2061</v>
      </c>
      <c r="J876" s="26" t="str">
        <f t="array" ref="J876">IF(ISNA(XLOOKUP(I876,customers_clean!$A$2:$A$701,customers_clean!$A$2:$A$701, NA()) ),
   "❌ MISSING CUSTOMER", "✅")</f>
        <v>✅</v>
      </c>
      <c r="K876" s="2" t="str">
        <f t="array" ref="K876">XLOOKUP(I876,customers_clean!$A$2:$A$701,customers_clean!$C$2:$C$701)</f>
        <v> Hanna Brown</v>
      </c>
      <c r="L876" s="10" t="str">
        <f t="array" ref="L876">XLOOKUP(I876,customers_clean!$A$2:$A$701,customers_clean!$D$2:$D$701)</f>
        <v>Hanna Brown</v>
      </c>
      <c r="M876" s="2" t="str">
        <f t="array" ref="M876">XLOOKUP(I876,customers_clean!$A$2:$A$701,customers_clean!$I$2:$I$701)</f>
        <v/>
      </c>
      <c r="N876" s="10" t="str">
        <f t="array" ref="N876">XLOOKUP(I876,customers_clean!$A$2:$A$701,customers_clean!$H$2:$H$701)</f>
        <v/>
      </c>
      <c r="O876" s="9" t="str">
        <f>IFERROR(__xludf.DUMMYFUNCTION("IF(REGEXMATCH(TRIM(N876),""^[A-Za-z0-9._%+-]+@[A-Za-z0-9.-]+\.[A-Za-z]{2,}$""),""✅ Valid"",""❌ Invalid"")"),"❌ Invalid")</f>
        <v>❌ Invalid</v>
      </c>
      <c r="P876" s="2" t="str">
        <f t="array" ref="P876">XLOOKUP(I876,customers_clean!$A$2:$A$701,customers_clean!$K$2:$K$701)</f>
        <v>+1-667-478-2689</v>
      </c>
      <c r="Q876" s="10" t="str">
        <f t="array" ref="Q876">XLOOKUP(I876,customers_clean!$A$2:$A$701,customers_clean!$N$2:$N$701)</f>
        <v/>
      </c>
      <c r="R876" s="9" t="str">
        <f t="array" ref="R876">XLOOKUP(I876,customers_clean!$A$2:$A$701,customers_clean!$Q$2:$Q$701)</f>
        <v/>
      </c>
      <c r="S876" s="10" t="s">
        <v>25</v>
      </c>
      <c r="T876" s="2" t="s">
        <v>1167</v>
      </c>
      <c r="U876" s="2" t="s">
        <v>401</v>
      </c>
      <c r="V876" s="2" t="s">
        <v>1146</v>
      </c>
      <c r="W876" s="9" t="str">
        <f t="array" ref="W876">IF(ISNA(XLOOKUP(V876,products_master_corrected!$A$2:$A$151,products_master_corrected!$A$2:$A$151, NA())),
    "❌ MISSING SKU", "✅")</f>
        <v>✅</v>
      </c>
      <c r="X876" s="2" t="s">
        <v>1147</v>
      </c>
      <c r="Y876" s="2" t="s">
        <v>248</v>
      </c>
      <c r="Z876" s="10" t="s">
        <v>248</v>
      </c>
      <c r="AA876" s="27">
        <v>1.0</v>
      </c>
      <c r="AB876" s="9" t="s">
        <v>8649</v>
      </c>
      <c r="AC876" s="28">
        <f t="array" ref="AC876">XLOOKUP(V876,products_master_corrected!$A$2:$A$151,products_master_corrected!$E$2:$E$151)</f>
        <v>152.4</v>
      </c>
      <c r="AD876" s="28">
        <f t="shared" si="93"/>
        <v>152.4</v>
      </c>
      <c r="AE876" s="28">
        <f t="array" ref="AE876">XLOOKUP(V876,products_master_corrected!$A$2:$A$151,products_master_corrected!$K$2:$K$151)</f>
        <v>784.1</v>
      </c>
      <c r="AF876" s="29">
        <f t="shared" si="94"/>
        <v>784.1</v>
      </c>
      <c r="AG876" s="30" t="s">
        <v>95</v>
      </c>
      <c r="AH876" s="2" t="s">
        <v>485</v>
      </c>
      <c r="AI876" s="10" t="s">
        <v>181</v>
      </c>
      <c r="AJ876" s="2" t="s">
        <v>294</v>
      </c>
      <c r="AK876" s="10" t="s">
        <v>80</v>
      </c>
      <c r="AL876" s="2" t="s">
        <v>81</v>
      </c>
    </row>
    <row r="877" ht="15.75" customHeight="1">
      <c r="A877" s="2" t="s">
        <v>2059</v>
      </c>
      <c r="B877" s="12">
        <v>45676.0</v>
      </c>
      <c r="C877" s="2" t="str">
        <f>IFERROR(__xludf.DUMMYFUNCTION("IF(ISNUMBER(B877),TEXT(B877,""yyyy-MM-dd""),REGEXREPLACE(REGEXREPLACE(TO_TEXT(B877),""[^0-9a-zA-Z]+"",""-""),""[^0-9]*$"",""""))"),"2025-01-19")</f>
        <v>2025-01-19</v>
      </c>
      <c r="D877" s="2" t="s">
        <v>8906</v>
      </c>
      <c r="H877" s="10" t="s">
        <v>8906</v>
      </c>
      <c r="I877" s="2" t="s">
        <v>2061</v>
      </c>
      <c r="J877" s="26" t="str">
        <f t="array" ref="J877">IF(ISNA(XLOOKUP(I877,customers_clean!$A$2:$A$701,customers_clean!$A$2:$A$701, NA()) ),
   "❌ MISSING CUSTOMER", "✅")</f>
        <v>✅</v>
      </c>
      <c r="K877" s="2" t="str">
        <f t="array" ref="K877">XLOOKUP(I877,customers_clean!$A$2:$A$701,customers_clean!$C$2:$C$701)</f>
        <v> Hanna Brown</v>
      </c>
      <c r="L877" s="10" t="str">
        <f t="array" ref="L877">XLOOKUP(I877,customers_clean!$A$2:$A$701,customers_clean!$D$2:$D$701)</f>
        <v>Hanna Brown</v>
      </c>
      <c r="M877" s="2" t="str">
        <f t="array" ref="M877">XLOOKUP(I877,customers_clean!$A$2:$A$701,customers_clean!$I$2:$I$701)</f>
        <v/>
      </c>
      <c r="N877" s="10" t="str">
        <f t="array" ref="N877">XLOOKUP(I877,customers_clean!$A$2:$A$701,customers_clean!$H$2:$H$701)</f>
        <v/>
      </c>
      <c r="O877" s="9" t="str">
        <f>IFERROR(__xludf.DUMMYFUNCTION("IF(REGEXMATCH(TRIM(N877),""^[A-Za-z0-9._%+-]+@[A-Za-z0-9.-]+\.[A-Za-z]{2,}$""),""✅ Valid"",""❌ Invalid"")"),"❌ Invalid")</f>
        <v>❌ Invalid</v>
      </c>
      <c r="P877" s="2" t="str">
        <f t="array" ref="P877">XLOOKUP(I877,customers_clean!$A$2:$A$701,customers_clean!$K$2:$K$701)</f>
        <v>+1-667-478-2689</v>
      </c>
      <c r="Q877" s="10" t="str">
        <f t="array" ref="Q877">XLOOKUP(I877,customers_clean!$A$2:$A$701,customers_clean!$N$2:$N$701)</f>
        <v/>
      </c>
      <c r="R877" s="9" t="str">
        <f t="array" ref="R877">XLOOKUP(I877,customers_clean!$A$2:$A$701,customers_clean!$Q$2:$Q$701)</f>
        <v/>
      </c>
      <c r="S877" s="10" t="s">
        <v>25</v>
      </c>
      <c r="T877" s="2" t="s">
        <v>26</v>
      </c>
      <c r="U877" s="2" t="s">
        <v>2065</v>
      </c>
      <c r="V877" s="2" t="s">
        <v>1679</v>
      </c>
      <c r="W877" s="9" t="str">
        <f t="array" ref="W877">IF(ISNA(XLOOKUP(V877,products_master_corrected!$A$2:$A$151,products_master_corrected!$A$2:$A$151, NA())),
    "❌ MISSING SKU", "✅")</f>
        <v>✅</v>
      </c>
      <c r="X877" s="2" t="s">
        <v>280</v>
      </c>
      <c r="Y877" s="2" t="s">
        <v>514</v>
      </c>
      <c r="Z877" s="10" t="s">
        <v>514</v>
      </c>
      <c r="AA877" s="27">
        <v>5.0</v>
      </c>
      <c r="AB877" s="9" t="s">
        <v>8649</v>
      </c>
      <c r="AC877" s="28">
        <f t="array" ref="AC877">XLOOKUP(V877,products_master_corrected!$A$2:$A$151,products_master_corrected!$E$2:$E$151)</f>
        <v>130.95</v>
      </c>
      <c r="AD877" s="28">
        <f t="shared" si="93"/>
        <v>654.75</v>
      </c>
      <c r="AE877" s="28">
        <f t="array" ref="AE877">XLOOKUP(V877,products_master_corrected!$A$2:$A$151,products_master_corrected!$K$2:$K$151)</f>
        <v>673.74</v>
      </c>
      <c r="AF877" s="29">
        <f t="shared" si="94"/>
        <v>3368.7</v>
      </c>
      <c r="AG877" s="30" t="s">
        <v>95</v>
      </c>
      <c r="AH877" s="2" t="s">
        <v>49</v>
      </c>
      <c r="AI877" s="10" t="s">
        <v>49</v>
      </c>
      <c r="AJ877" s="2" t="s">
        <v>158</v>
      </c>
      <c r="AK877" s="10" t="s">
        <v>818</v>
      </c>
      <c r="AL877" s="2" t="s">
        <v>51</v>
      </c>
    </row>
    <row r="878" ht="15.75" customHeight="1">
      <c r="A878" s="2" t="s">
        <v>5448</v>
      </c>
      <c r="B878" s="12">
        <v>45008.0</v>
      </c>
      <c r="C878" s="2" t="str">
        <f>IFERROR(__xludf.DUMMYFUNCTION("IF(ISNUMBER(B878),TEXT(B878,""yyyy-MM-dd""),REGEXREPLACE(REGEXREPLACE(TO_TEXT(B878),""[^0-9a-zA-Z]+"",""-""),""[^0-9]*$"",""""))"),"2023-03-23")</f>
        <v>2023-03-23</v>
      </c>
      <c r="D878" s="2" t="s">
        <v>8901</v>
      </c>
      <c r="H878" s="10" t="s">
        <v>8901</v>
      </c>
      <c r="I878" s="2" t="s">
        <v>5450</v>
      </c>
      <c r="J878" s="26" t="str">
        <f t="array" ref="J878">IF(ISNA(XLOOKUP(I878,customers_clean!$A$2:$A$701,customers_clean!$A$2:$A$701, NA()) ),
   "❌ MISSING CUSTOMER", "✅")</f>
        <v>✅</v>
      </c>
      <c r="K878" s="2" t="str">
        <f t="array" ref="K878">XLOOKUP(I878,customers_clean!$A$2:$A$701,customers_clean!$C$2:$C$701)</f>
        <v>Fiona Martinez </v>
      </c>
      <c r="L878" s="10" t="str">
        <f t="array" ref="L878">XLOOKUP(I878,customers_clean!$A$2:$A$701,customers_clean!$D$2:$D$701)</f>
        <v>Fiona Martinez</v>
      </c>
      <c r="M878" s="2" t="str">
        <f t="array" ref="M878">XLOOKUP(I878,customers_clean!$A$2:$A$701,customers_clean!$I$2:$I$701)</f>
        <v>fiona.martinez@example.com</v>
      </c>
      <c r="N878" s="10" t="str">
        <f t="array" ref="N878">XLOOKUP(I878,customers_clean!$A$2:$A$701,customers_clean!$H$2:$H$701)</f>
        <v>fiona.martinez@example.com</v>
      </c>
      <c r="O878" s="9" t="str">
        <f>IFERROR(__xludf.DUMMYFUNCTION("IF(REGEXMATCH(TRIM(N878),""^[A-Za-z0-9._%+-]+@[A-Za-z0-9.-]+\.[A-Za-z]{2,}$""),""✅ Valid"",""❌ Invalid"")"),"✅ Valid")</f>
        <v>✅ Valid</v>
      </c>
      <c r="P878" s="2" t="str">
        <f t="array" ref="P878">XLOOKUP(I878,customers_clean!$A$2:$A$701,customers_clean!$K$2:$K$701)</f>
        <v>tel:+3900443324</v>
      </c>
      <c r="Q878" s="10" t="str">
        <f t="array" ref="Q878">XLOOKUP(I878,customers_clean!$A$2:$A$701,customers_clean!$N$2:$N$701)</f>
        <v>00443324</v>
      </c>
      <c r="R878" s="9" t="str">
        <f t="array" ref="R878">XLOOKUP(I878,customers_clean!$A$2:$A$701,customers_clean!$Q$2:$Q$701)</f>
        <v>❌ INVALID</v>
      </c>
      <c r="S878" s="31" t="s">
        <v>671</v>
      </c>
      <c r="T878" s="2" t="s">
        <v>460</v>
      </c>
      <c r="U878" s="2" t="s">
        <v>43</v>
      </c>
      <c r="V878" s="2" t="s">
        <v>1400</v>
      </c>
      <c r="W878" s="9" t="str">
        <f t="array" ref="W878">IF(ISNA(XLOOKUP(V878,products_master_corrected!$A$2:$A$151,products_master_corrected!$A$2:$A$151, NA())),
    "❌ MISSING SKU", "✅")</f>
        <v>✅</v>
      </c>
      <c r="X878" s="2" t="s">
        <v>524</v>
      </c>
      <c r="Y878" s="2" t="s">
        <v>1401</v>
      </c>
      <c r="Z878" s="10" t="s">
        <v>63</v>
      </c>
      <c r="AA878" s="27">
        <v>2.0</v>
      </c>
      <c r="AB878" s="9" t="s">
        <v>8649</v>
      </c>
      <c r="AC878" s="28">
        <f t="array" ref="AC878">XLOOKUP(V878,products_master_corrected!$A$2:$A$151,products_master_corrected!$E$2:$E$151)</f>
        <v>145.12</v>
      </c>
      <c r="AD878" s="28">
        <f t="shared" si="93"/>
        <v>290.24</v>
      </c>
      <c r="AE878" s="28">
        <f t="array" ref="AE878">XLOOKUP(V878,products_master_corrected!$A$2:$A$151,products_master_corrected!$J$2:$J$151)</f>
        <v>169.25</v>
      </c>
      <c r="AF878" s="29">
        <f t="shared" si="94"/>
        <v>338.5</v>
      </c>
      <c r="AG878" s="32" t="s">
        <v>8656</v>
      </c>
      <c r="AH878" s="2" t="s">
        <v>573</v>
      </c>
      <c r="AI878" s="10" t="s">
        <v>66</v>
      </c>
      <c r="AJ878" s="2" t="s">
        <v>5456</v>
      </c>
      <c r="AK878" s="10" t="s">
        <v>80</v>
      </c>
      <c r="AL878" s="2" t="s">
        <v>67</v>
      </c>
    </row>
    <row r="879" ht="15.75" customHeight="1">
      <c r="A879" s="2" t="s">
        <v>1629</v>
      </c>
      <c r="B879" s="12">
        <v>44961.0</v>
      </c>
      <c r="C879" s="2" t="str">
        <f>IFERROR(__xludf.DUMMYFUNCTION("IF(ISNUMBER(B879),TEXT(B879,""yyyy-MM-dd""),REGEXREPLACE(REGEXREPLACE(TO_TEXT(B879),""[^0-9a-zA-Z]+"",""-""),""[^0-9]*$"",""""))"),"2023-02-04")</f>
        <v>2023-02-04</v>
      </c>
      <c r="D879" s="2" t="s">
        <v>8657</v>
      </c>
      <c r="H879" s="10" t="s">
        <v>8657</v>
      </c>
      <c r="I879" s="2" t="s">
        <v>21</v>
      </c>
      <c r="J879" s="26" t="str">
        <f t="array" ref="J879">IF(ISNA(XLOOKUP(I879,customers_clean!$A$2:$A$701,customers_clean!$A$2:$A$701, NA()) ),
   "❌ MISSING CUSTOMER", "✅")</f>
        <v>✅</v>
      </c>
      <c r="K879" s="2" t="str">
        <f t="array" ref="K879">XLOOKUP(I879,customers_clean!$A$2:$A$701,customers_clean!$C$2:$C$701)</f>
        <v>Lia Martinez</v>
      </c>
      <c r="L879" s="10" t="str">
        <f t="array" ref="L879">XLOOKUP(I879,customers_clean!$A$2:$A$701,customers_clean!$D$2:$D$701)</f>
        <v>Lia Martinez</v>
      </c>
      <c r="M879" s="2" t="str">
        <f t="array" ref="M879">XLOOKUP(I879,customers_clean!$A$2:$A$701,customers_clean!$I$2:$I$701)</f>
        <v> lia.martinez@shop.io</v>
      </c>
      <c r="N879" s="10" t="str">
        <f t="array" ref="N879">XLOOKUP(I879,customers_clean!$A$2:$A$701,customers_clean!$H$2:$H$701)</f>
        <v>lia.martinez@shop.io</v>
      </c>
      <c r="O879" s="9" t="str">
        <f>IFERROR(__xludf.DUMMYFUNCTION("IF(REGEXMATCH(TRIM(N879),""^[A-Za-z0-9._%+-]+@[A-Za-z0-9.-]+\.[A-Za-z]{2,}$""),""✅ Valid"",""❌ Invalid"")"),"✅ Valid")</f>
        <v>✅ Valid</v>
      </c>
      <c r="P879" s="33" t="str">
        <f t="array" ref="P879">XLOOKUP(I879,customers_clean!$A$2:$A$701,customers_clean!$K$2:$K$701)</f>
        <v>+4887043155</v>
      </c>
      <c r="Q879" s="10" t="str">
        <f t="array" ref="Q879">XLOOKUP(I879,customers_clean!$A$2:$A$701,customers_clean!$N$2:$N$701)</f>
        <v>87043155</v>
      </c>
      <c r="R879" s="9" t="str">
        <f t="array" ref="R879">XLOOKUP(I879,customers_clean!$A$2:$A$701,customers_clean!$Q$2:$Q$701)</f>
        <v>❌ INVALID</v>
      </c>
      <c r="S879" s="10" t="s">
        <v>25</v>
      </c>
      <c r="T879" s="2" t="s">
        <v>42</v>
      </c>
      <c r="U879" s="2" t="s">
        <v>1631</v>
      </c>
      <c r="V879" s="2" t="s">
        <v>1632</v>
      </c>
      <c r="W879" s="9" t="str">
        <f t="array" ref="W879">IF(ISNA(XLOOKUP(V879,products_master_corrected!$A$2:$A$151,products_master_corrected!$A$2:$A$151, NA())),
    "❌ MISSING SKU", "✅")</f>
        <v>✅</v>
      </c>
      <c r="X879" s="2" t="s">
        <v>994</v>
      </c>
      <c r="Y879" s="2" t="s">
        <v>742</v>
      </c>
      <c r="Z879" s="10" t="s">
        <v>355</v>
      </c>
      <c r="AA879" s="27">
        <v>2.0</v>
      </c>
      <c r="AB879" s="9" t="s">
        <v>8649</v>
      </c>
      <c r="AC879" s="28">
        <f t="array" ref="AC879">XLOOKUP(V879,products_master_corrected!$A$2:$A$151,products_master_corrected!$E$2:$E$151)</f>
        <v>362.35</v>
      </c>
      <c r="AD879" s="28">
        <f t="shared" si="93"/>
        <v>724.7</v>
      </c>
      <c r="AE879" s="28">
        <f t="array" ref="AE879">XLOOKUP(V879,products_master_corrected!$A$2:$A$151,products_master_corrected!$K$2:$K$151)</f>
        <v>1864.29</v>
      </c>
      <c r="AF879" s="29">
        <f t="shared" si="94"/>
        <v>3728.58</v>
      </c>
      <c r="AG879" s="30" t="s">
        <v>95</v>
      </c>
      <c r="AH879" s="2" t="s">
        <v>526</v>
      </c>
      <c r="AI879" s="10" t="s">
        <v>49</v>
      </c>
      <c r="AJ879" s="2" t="s">
        <v>251</v>
      </c>
      <c r="AK879" s="10" t="s">
        <v>192</v>
      </c>
    </row>
    <row r="880" ht="15.75" customHeight="1">
      <c r="A880" s="2" t="s">
        <v>19</v>
      </c>
      <c r="B880" s="12">
        <v>45380.0</v>
      </c>
      <c r="C880" s="2" t="str">
        <f>IFERROR(__xludf.DUMMYFUNCTION("IF(ISNUMBER(B880),TEXT(B880,""yyyy-MM-dd""),REGEXREPLACE(REGEXREPLACE(TO_TEXT(B880),""[^0-9a-zA-Z]+"",""-""),""[^0-9]*$"",""""))"),"2024-03-29")</f>
        <v>2024-03-29</v>
      </c>
      <c r="D880" s="2" t="s">
        <v>8942</v>
      </c>
      <c r="H880" s="10" t="s">
        <v>8942</v>
      </c>
      <c r="I880" s="2" t="s">
        <v>21</v>
      </c>
      <c r="J880" s="26" t="str">
        <f t="array" ref="J880">IF(ISNA(XLOOKUP(I880,customers_clean!$A$2:$A$701,customers_clean!$A$2:$A$701, NA()) ),
   "❌ MISSING CUSTOMER", "✅")</f>
        <v>✅</v>
      </c>
      <c r="K880" s="2" t="str">
        <f t="array" ref="K880">XLOOKUP(I880,customers_clean!$A$2:$A$701,customers_clean!$C$2:$C$701)</f>
        <v>Lia Martinez</v>
      </c>
      <c r="L880" s="10" t="str">
        <f t="array" ref="L880">XLOOKUP(I880,customers_clean!$A$2:$A$701,customers_clean!$D$2:$D$701)</f>
        <v>Lia Martinez</v>
      </c>
      <c r="M880" s="2" t="str">
        <f t="array" ref="M880">XLOOKUP(I880,customers_clean!$A$2:$A$701,customers_clean!$I$2:$I$701)</f>
        <v> lia.martinez@shop.io</v>
      </c>
      <c r="N880" s="10" t="str">
        <f t="array" ref="N880">XLOOKUP(I880,customers_clean!$A$2:$A$701,customers_clean!$H$2:$H$701)</f>
        <v>lia.martinez@shop.io</v>
      </c>
      <c r="O880" s="9" t="str">
        <f>IFERROR(__xludf.DUMMYFUNCTION("IF(REGEXMATCH(TRIM(N880),""^[A-Za-z0-9._%+-]+@[A-Za-z0-9.-]+\.[A-Za-z]{2,}$""),""✅ Valid"",""❌ Invalid"")"),"✅ Valid")</f>
        <v>✅ Valid</v>
      </c>
      <c r="P880" s="33" t="str">
        <f t="array" ref="P880">XLOOKUP(I880,customers_clean!$A$2:$A$701,customers_clean!$K$2:$K$701)</f>
        <v>+4887043155</v>
      </c>
      <c r="Q880" s="10" t="str">
        <f t="array" ref="Q880">XLOOKUP(I880,customers_clean!$A$2:$A$701,customers_clean!$N$2:$N$701)</f>
        <v>87043155</v>
      </c>
      <c r="R880" s="9" t="str">
        <f t="array" ref="R880">XLOOKUP(I880,customers_clean!$A$2:$A$701,customers_clean!$Q$2:$Q$701)</f>
        <v>❌ INVALID</v>
      </c>
      <c r="S880" s="10" t="s">
        <v>25</v>
      </c>
      <c r="T880" s="2" t="s">
        <v>26</v>
      </c>
      <c r="U880" s="2" t="s">
        <v>27</v>
      </c>
      <c r="V880" s="2" t="s">
        <v>28</v>
      </c>
      <c r="W880" s="9" t="str">
        <f t="array" ref="W880">IF(ISNA(XLOOKUP(V880,products_master_corrected!$A$2:$A$151,products_master_corrected!$A$2:$A$151, NA())),
    "❌ MISSING SKU", "✅")</f>
        <v>✅</v>
      </c>
      <c r="X880" s="2" t="s">
        <v>29</v>
      </c>
      <c r="Y880" s="2" t="s">
        <v>30</v>
      </c>
      <c r="Z880" s="10" t="s">
        <v>179</v>
      </c>
      <c r="AA880" s="27">
        <v>2.0</v>
      </c>
      <c r="AB880" s="9" t="s">
        <v>8649</v>
      </c>
      <c r="AC880" s="28">
        <f t="array" ref="AC880">XLOOKUP(V880,products_master_corrected!$A$2:$A$151,products_master_corrected!$E$2:$E$151)</f>
        <v>145.2</v>
      </c>
      <c r="AD880" s="28">
        <f t="shared" si="93"/>
        <v>290.4</v>
      </c>
      <c r="AE880" s="28">
        <f t="array" ref="AE880">XLOOKUP(V880,products_master_corrected!$A$2:$A$151,products_master_corrected!$K$2:$K$151)</f>
        <v>747.05</v>
      </c>
      <c r="AF880" s="29">
        <f t="shared" si="94"/>
        <v>1494.1</v>
      </c>
      <c r="AG880" s="30" t="s">
        <v>95</v>
      </c>
      <c r="AH880" s="2" t="s">
        <v>33</v>
      </c>
      <c r="AI880" s="10" t="s">
        <v>181</v>
      </c>
      <c r="AJ880" s="2" t="s">
        <v>34</v>
      </c>
      <c r="AK880" s="10" t="s">
        <v>80</v>
      </c>
    </row>
    <row r="881" ht="15.75" customHeight="1">
      <c r="A881" s="2" t="s">
        <v>4547</v>
      </c>
      <c r="B881" s="12">
        <v>45493.0</v>
      </c>
      <c r="C881" s="2" t="str">
        <f>IFERROR(__xludf.DUMMYFUNCTION("IF(ISNUMBER(B881),TEXT(B881,""yyyy-MM-dd""),REGEXREPLACE(REGEXREPLACE(TO_TEXT(B881),""[^0-9a-zA-Z]+"",""-""),""[^0-9]*$"",""""))"),"2024-07-20")</f>
        <v>2024-07-20</v>
      </c>
      <c r="D881" s="2" t="s">
        <v>8687</v>
      </c>
      <c r="H881" s="10" t="s">
        <v>8687</v>
      </c>
      <c r="I881" s="2" t="s">
        <v>4549</v>
      </c>
      <c r="J881" s="26" t="str">
        <f t="array" ref="J881">IF(ISNA(XLOOKUP(I881,customers_clean!$A$2:$A$701,customers_clean!$A$2:$A$701, NA()) ),
   "❌ MISSING CUSTOMER", "✅")</f>
        <v>✅</v>
      </c>
      <c r="K881" s="2" t="str">
        <f t="array" ref="K881">XLOOKUP(I881,customers_clean!$A$2:$A$701,customers_clean!$C$2:$C$701)</f>
        <v>Ken Williams</v>
      </c>
      <c r="L881" s="10" t="str">
        <f t="array" ref="L881">XLOOKUP(I881,customers_clean!$A$2:$A$701,customers_clean!$D$2:$D$701)</f>
        <v>Ken Williams</v>
      </c>
      <c r="M881" s="2" t="str">
        <f t="array" ref="M881">XLOOKUP(I881,customers_clean!$A$2:$A$701,customers_clean!$I$2:$I$701)</f>
        <v>ken.williams@company.co.uk</v>
      </c>
      <c r="N881" s="10" t="str">
        <f t="array" ref="N881">XLOOKUP(I881,customers_clean!$A$2:$A$701,customers_clean!$H$2:$H$701)</f>
        <v>ken.williams@company.co.uk</v>
      </c>
      <c r="O881" s="9" t="str">
        <f>IFERROR(__xludf.DUMMYFUNCTION("IF(REGEXMATCH(TRIM(N881),""^[A-Za-z0-9._%+-]+@[A-Za-z0-9.-]+\.[A-Za-z]{2,}$""),""✅ Valid"",""❌ Invalid"")"),"✅ Valid")</f>
        <v>✅ Valid</v>
      </c>
      <c r="P881" s="2" t="str">
        <f t="array" ref="P881">XLOOKUP(I881,customers_clean!$A$2:$A$701,customers_clean!$K$2:$K$701)</f>
        <v>+353+34973515</v>
      </c>
      <c r="Q881" s="10" t="str">
        <f t="array" ref="Q881">XLOOKUP(I881,customers_clean!$A$2:$A$701,customers_clean!$N$2:$N$701)</f>
        <v>34973515</v>
      </c>
      <c r="R881" s="9" t="str">
        <f t="array" ref="R881">XLOOKUP(I881,customers_clean!$A$2:$A$701,customers_clean!$Q$2:$Q$701)</f>
        <v>❌ INVALID</v>
      </c>
      <c r="S881" s="31" t="s">
        <v>671</v>
      </c>
      <c r="T881" s="2" t="s">
        <v>223</v>
      </c>
      <c r="U881" s="2" t="s">
        <v>43</v>
      </c>
      <c r="V881" s="2" t="s">
        <v>993</v>
      </c>
      <c r="W881" s="9" t="str">
        <f t="array" ref="W881">IF(ISNA(XLOOKUP(V881,products_master_corrected!$A$2:$A$151,products_master_corrected!$A$2:$A$151, NA())),
    "❌ MISSING SKU", "✅")</f>
        <v>✅</v>
      </c>
      <c r="X881" s="2" t="s">
        <v>994</v>
      </c>
      <c r="Y881" s="2" t="s">
        <v>995</v>
      </c>
      <c r="Z881" s="10" t="s">
        <v>355</v>
      </c>
      <c r="AA881" s="27">
        <v>1.0</v>
      </c>
      <c r="AB881" s="9" t="s">
        <v>8649</v>
      </c>
      <c r="AC881" s="28">
        <f t="array" ref="AC881">XLOOKUP(V881,products_master_corrected!$A$2:$A$151,products_master_corrected!$E$2:$E$151)</f>
        <v>566.38</v>
      </c>
      <c r="AD881" s="28">
        <f t="shared" si="93"/>
        <v>566.38</v>
      </c>
      <c r="AE881" s="28">
        <f t="array" ref="AE881">XLOOKUP(V881,products_master_corrected!$A$2:$A$151,products_master_corrected!$J$2:$J$151)</f>
        <v>660.57</v>
      </c>
      <c r="AF881" s="29">
        <f t="shared" si="94"/>
        <v>660.57</v>
      </c>
      <c r="AG881" s="32" t="s">
        <v>8656</v>
      </c>
      <c r="AH881" s="2" t="s">
        <v>181</v>
      </c>
      <c r="AI881" s="10" t="s">
        <v>181</v>
      </c>
      <c r="AJ881" s="2" t="s">
        <v>144</v>
      </c>
      <c r="AK881" s="10" t="s">
        <v>818</v>
      </c>
    </row>
    <row r="882" ht="15.75" customHeight="1">
      <c r="A882" s="2" t="s">
        <v>5841</v>
      </c>
      <c r="B882" s="12">
        <v>44936.0</v>
      </c>
      <c r="C882" s="2" t="str">
        <f>IFERROR(__xludf.DUMMYFUNCTION("IF(ISNUMBER(B882),TEXT(B882,""yyyy-MM-dd""),REGEXREPLACE(REGEXREPLACE(TO_TEXT(B882),""[^0-9a-zA-Z]+"",""-""),""[^0-9]*$"",""""))"),"2023-01-10")</f>
        <v>2023-01-10</v>
      </c>
      <c r="D882" s="2" t="s">
        <v>8789</v>
      </c>
      <c r="H882" s="10" t="s">
        <v>8789</v>
      </c>
      <c r="I882" s="2" t="s">
        <v>4549</v>
      </c>
      <c r="J882" s="26" t="str">
        <f t="array" ref="J882">IF(ISNA(XLOOKUP(I882,customers_clean!$A$2:$A$701,customers_clean!$A$2:$A$701, NA()) ),
   "❌ MISSING CUSTOMER", "✅")</f>
        <v>✅</v>
      </c>
      <c r="K882" s="2" t="str">
        <f t="array" ref="K882">XLOOKUP(I882,customers_clean!$A$2:$A$701,customers_clean!$C$2:$C$701)</f>
        <v>Ken Williams</v>
      </c>
      <c r="L882" s="10" t="str">
        <f t="array" ref="L882">XLOOKUP(I882,customers_clean!$A$2:$A$701,customers_clean!$D$2:$D$701)</f>
        <v>Ken Williams</v>
      </c>
      <c r="M882" s="2" t="str">
        <f t="array" ref="M882">XLOOKUP(I882,customers_clean!$A$2:$A$701,customers_clean!$I$2:$I$701)</f>
        <v>ken.williams@company.co.uk</v>
      </c>
      <c r="N882" s="10" t="str">
        <f t="array" ref="N882">XLOOKUP(I882,customers_clean!$A$2:$A$701,customers_clean!$H$2:$H$701)</f>
        <v>ken.williams@company.co.uk</v>
      </c>
      <c r="O882" s="9" t="str">
        <f>IFERROR(__xludf.DUMMYFUNCTION("IF(REGEXMATCH(TRIM(N882),""^[A-Za-z0-9._%+-]+@[A-Za-z0-9.-]+\.[A-Za-z]{2,}$""),""✅ Valid"",""❌ Invalid"")"),"✅ Valid")</f>
        <v>✅ Valid</v>
      </c>
      <c r="P882" s="2" t="str">
        <f t="array" ref="P882">XLOOKUP(I882,customers_clean!$A$2:$A$701,customers_clean!$K$2:$K$701)</f>
        <v>+353+34973515</v>
      </c>
      <c r="Q882" s="10" t="str">
        <f t="array" ref="Q882">XLOOKUP(I882,customers_clean!$A$2:$A$701,customers_clean!$N$2:$N$701)</f>
        <v>34973515</v>
      </c>
      <c r="R882" s="9" t="str">
        <f t="array" ref="R882">XLOOKUP(I882,customers_clean!$A$2:$A$701,customers_clean!$Q$2:$Q$701)</f>
        <v>❌ INVALID</v>
      </c>
      <c r="S882" s="31" t="s">
        <v>671</v>
      </c>
      <c r="T882" s="2" t="s">
        <v>42</v>
      </c>
      <c r="U882" s="2" t="s">
        <v>75</v>
      </c>
      <c r="V882" s="2" t="s">
        <v>1522</v>
      </c>
      <c r="W882" s="9" t="str">
        <f t="array" ref="W882">IF(ISNA(XLOOKUP(V882,products_master_corrected!$A$2:$A$151,products_master_corrected!$A$2:$A$151, NA())),
    "❌ MISSING SKU", "✅")</f>
        <v>✅</v>
      </c>
      <c r="X882" s="2" t="s">
        <v>1272</v>
      </c>
      <c r="Y882" s="2" t="s">
        <v>995</v>
      </c>
      <c r="Z882" s="10" t="s">
        <v>355</v>
      </c>
      <c r="AA882" s="27">
        <v>2.0</v>
      </c>
      <c r="AB882" s="9" t="s">
        <v>8649</v>
      </c>
      <c r="AC882" s="28">
        <f t="array" ref="AC882">XLOOKUP(V882,products_master_corrected!$A$2:$A$151,products_master_corrected!$E$2:$E$151)</f>
        <v>36</v>
      </c>
      <c r="AD882" s="28">
        <f t="shared" si="93"/>
        <v>72</v>
      </c>
      <c r="AE882" s="28">
        <f t="array" ref="AE882">XLOOKUP(V882,products_master_corrected!$A$2:$A$151,products_master_corrected!$J$2:$J$151)</f>
        <v>41.99</v>
      </c>
      <c r="AF882" s="29">
        <f t="shared" si="94"/>
        <v>83.98</v>
      </c>
      <c r="AG882" s="32" t="s">
        <v>8656</v>
      </c>
      <c r="AH882" s="2" t="s">
        <v>143</v>
      </c>
      <c r="AI882" s="10" t="s">
        <v>143</v>
      </c>
      <c r="AJ882" s="2" t="s">
        <v>818</v>
      </c>
      <c r="AK882" s="10" t="s">
        <v>818</v>
      </c>
      <c r="AL882" s="2" t="s">
        <v>133</v>
      </c>
    </row>
    <row r="883" ht="15.75" customHeight="1">
      <c r="A883" s="2" t="s">
        <v>4819</v>
      </c>
      <c r="B883" s="12">
        <v>45491.0</v>
      </c>
      <c r="C883" s="2" t="str">
        <f>IFERROR(__xludf.DUMMYFUNCTION("IF(ISNUMBER(B883),TEXT(B883,""yyyy-MM-dd""),REGEXREPLACE(REGEXREPLACE(TO_TEXT(B883),""[^0-9a-zA-Z]+"",""-""),""[^0-9]*$"",""""))"),"2024-07-18")</f>
        <v>2024-07-18</v>
      </c>
      <c r="D883" s="2" t="s">
        <v>8272</v>
      </c>
      <c r="H883" s="10" t="s">
        <v>8272</v>
      </c>
      <c r="I883" s="2" t="s">
        <v>4549</v>
      </c>
      <c r="J883" s="26" t="str">
        <f t="array" ref="J883">IF(ISNA(XLOOKUP(I883,customers_clean!$A$2:$A$701,customers_clean!$A$2:$A$701, NA()) ),
   "❌ MISSING CUSTOMER", "✅")</f>
        <v>✅</v>
      </c>
      <c r="K883" s="2" t="str">
        <f t="array" ref="K883">XLOOKUP(I883,customers_clean!$A$2:$A$701,customers_clean!$C$2:$C$701)</f>
        <v>Ken Williams</v>
      </c>
      <c r="L883" s="10" t="str">
        <f t="array" ref="L883">XLOOKUP(I883,customers_clean!$A$2:$A$701,customers_clean!$D$2:$D$701)</f>
        <v>Ken Williams</v>
      </c>
      <c r="M883" s="2" t="str">
        <f t="array" ref="M883">XLOOKUP(I883,customers_clean!$A$2:$A$701,customers_clean!$I$2:$I$701)</f>
        <v>ken.williams@company.co.uk</v>
      </c>
      <c r="N883" s="10" t="str">
        <f t="array" ref="N883">XLOOKUP(I883,customers_clean!$A$2:$A$701,customers_clean!$H$2:$H$701)</f>
        <v>ken.williams@company.co.uk</v>
      </c>
      <c r="O883" s="9" t="str">
        <f>IFERROR(__xludf.DUMMYFUNCTION("IF(REGEXMATCH(TRIM(N883),""^[A-Za-z0-9._%+-]+@[A-Za-z0-9.-]+\.[A-Za-z]{2,}$""),""✅ Valid"",""❌ Invalid"")"),"✅ Valid")</f>
        <v>✅ Valid</v>
      </c>
      <c r="P883" s="2" t="str">
        <f t="array" ref="P883">XLOOKUP(I883,customers_clean!$A$2:$A$701,customers_clean!$K$2:$K$701)</f>
        <v>+353+34973515</v>
      </c>
      <c r="Q883" s="10" t="str">
        <f t="array" ref="Q883">XLOOKUP(I883,customers_clean!$A$2:$A$701,customers_clean!$N$2:$N$701)</f>
        <v>34973515</v>
      </c>
      <c r="R883" s="9" t="str">
        <f t="array" ref="R883">XLOOKUP(I883,customers_clean!$A$2:$A$701,customers_clean!$Q$2:$Q$701)</f>
        <v>❌ INVALID</v>
      </c>
      <c r="S883" s="31" t="s">
        <v>671</v>
      </c>
      <c r="T883" s="2" t="s">
        <v>223</v>
      </c>
      <c r="U883" s="2" t="s">
        <v>90</v>
      </c>
      <c r="V883" s="2" t="s">
        <v>1263</v>
      </c>
      <c r="W883" s="9" t="str">
        <f t="array" ref="W883">IF(ISNA(XLOOKUP(V883,products_master_corrected!$A$2:$A$151,products_master_corrected!$A$2:$A$151, NA())),
    "❌ MISSING SKU", "✅")</f>
        <v>✅</v>
      </c>
      <c r="X883" s="2" t="s">
        <v>741</v>
      </c>
      <c r="Y883" s="2" t="s">
        <v>368</v>
      </c>
      <c r="Z883" s="10" t="s">
        <v>368</v>
      </c>
      <c r="AA883" s="27">
        <v>3.0</v>
      </c>
      <c r="AB883" s="9" t="s">
        <v>8649</v>
      </c>
      <c r="AC883" s="28">
        <f t="array" ref="AC883">XLOOKUP(V883,products_master_corrected!$A$2:$A$151,products_master_corrected!$E$2:$E$151)</f>
        <v>36.2</v>
      </c>
      <c r="AD883" s="28">
        <f t="shared" si="93"/>
        <v>108.6</v>
      </c>
      <c r="AE883" s="28">
        <f t="array" ref="AE883">XLOOKUP(V883,products_master_corrected!$A$2:$A$151,products_master_corrected!$J$2:$J$151)</f>
        <v>42.22</v>
      </c>
      <c r="AF883" s="29">
        <f t="shared" si="94"/>
        <v>126.66</v>
      </c>
      <c r="AG883" s="32" t="s">
        <v>8656</v>
      </c>
      <c r="AH883" s="2" t="s">
        <v>66</v>
      </c>
      <c r="AI883" s="10" t="s">
        <v>66</v>
      </c>
      <c r="AJ883" s="2" t="s">
        <v>452</v>
      </c>
      <c r="AK883" s="10" t="s">
        <v>261</v>
      </c>
    </row>
    <row r="884" ht="15.75" customHeight="1">
      <c r="A884" s="2" t="s">
        <v>5952</v>
      </c>
      <c r="B884" s="12">
        <v>45658.0</v>
      </c>
      <c r="C884" s="2" t="str">
        <f>IFERROR(__xludf.DUMMYFUNCTION("IF(ISNUMBER(B884),TEXT(B884,""yyyy-MM-dd""),REGEXREPLACE(REGEXREPLACE(TO_TEXT(B884),""[^0-9a-zA-Z]+"",""-""),""[^0-9]*$"",""""))"),"2025-01-01")</f>
        <v>2025-01-01</v>
      </c>
      <c r="D884" s="2" t="s">
        <v>8884</v>
      </c>
      <c r="H884" s="10" t="s">
        <v>8884</v>
      </c>
      <c r="I884" s="2" t="s">
        <v>4549</v>
      </c>
      <c r="J884" s="26" t="str">
        <f t="array" ref="J884">IF(ISNA(XLOOKUP(I884,customers_clean!$A$2:$A$701,customers_clean!$A$2:$A$701, NA()) ),
   "❌ MISSING CUSTOMER", "✅")</f>
        <v>✅</v>
      </c>
      <c r="K884" s="2" t="str">
        <f t="array" ref="K884">XLOOKUP(I884,customers_clean!$A$2:$A$701,customers_clean!$C$2:$C$701)</f>
        <v>Ken Williams</v>
      </c>
      <c r="L884" s="10" t="str">
        <f t="array" ref="L884">XLOOKUP(I884,customers_clean!$A$2:$A$701,customers_clean!$D$2:$D$701)</f>
        <v>Ken Williams</v>
      </c>
      <c r="M884" s="2" t="str">
        <f t="array" ref="M884">XLOOKUP(I884,customers_clean!$A$2:$A$701,customers_clean!$I$2:$I$701)</f>
        <v>ken.williams@company.co.uk</v>
      </c>
      <c r="N884" s="10" t="str">
        <f t="array" ref="N884">XLOOKUP(I884,customers_clean!$A$2:$A$701,customers_clean!$H$2:$H$701)</f>
        <v>ken.williams@company.co.uk</v>
      </c>
      <c r="O884" s="9" t="str">
        <f>IFERROR(__xludf.DUMMYFUNCTION("IF(REGEXMATCH(TRIM(N884),""^[A-Za-z0-9._%+-]+@[A-Za-z0-9.-]+\.[A-Za-z]{2,}$""),""✅ Valid"",""❌ Invalid"")"),"✅ Valid")</f>
        <v>✅ Valid</v>
      </c>
      <c r="P884" s="2" t="str">
        <f t="array" ref="P884">XLOOKUP(I884,customers_clean!$A$2:$A$701,customers_clean!$K$2:$K$701)</f>
        <v>+353+34973515</v>
      </c>
      <c r="Q884" s="10" t="str">
        <f t="array" ref="Q884">XLOOKUP(I884,customers_clean!$A$2:$A$701,customers_clean!$N$2:$N$701)</f>
        <v>34973515</v>
      </c>
      <c r="R884" s="9" t="str">
        <f t="array" ref="R884">XLOOKUP(I884,customers_clean!$A$2:$A$701,customers_clean!$Q$2:$Q$701)</f>
        <v>❌ INVALID</v>
      </c>
      <c r="S884" s="31" t="s">
        <v>671</v>
      </c>
      <c r="T884" s="2" t="s">
        <v>26</v>
      </c>
      <c r="U884" s="2" t="s">
        <v>43</v>
      </c>
      <c r="V884" s="2" t="s">
        <v>411</v>
      </c>
      <c r="W884" s="9" t="str">
        <f t="array" ref="W884">IF(ISNA(XLOOKUP(V884,products_master_corrected!$A$2:$A$151,products_master_corrected!$A$2:$A$151, NA())),
    "❌ MISSING SKU", "✅")</f>
        <v>✅</v>
      </c>
      <c r="X884" s="2" t="s">
        <v>412</v>
      </c>
      <c r="Y884" s="2" t="s">
        <v>167</v>
      </c>
      <c r="Z884" s="10" t="str">
        <f>PROPER(TRIM(Y884))</f>
        <v>Monitors</v>
      </c>
      <c r="AA884" s="27">
        <v>2.0</v>
      </c>
      <c r="AB884" s="9" t="s">
        <v>8649</v>
      </c>
      <c r="AC884" s="28">
        <f t="array" ref="AC884">XLOOKUP(V884,products_master_corrected!$A$2:$A$151,products_master_corrected!$E$2:$E$151)</f>
        <v>363.33</v>
      </c>
      <c r="AD884" s="28">
        <f t="shared" si="93"/>
        <v>726.66</v>
      </c>
      <c r="AE884" s="28">
        <f t="array" ref="AE884">XLOOKUP(V884,products_master_corrected!$A$2:$A$151,products_master_corrected!$J$2:$J$151)</f>
        <v>423.75</v>
      </c>
      <c r="AF884" s="29">
        <f t="shared" si="94"/>
        <v>847.5</v>
      </c>
      <c r="AG884" s="32" t="s">
        <v>8656</v>
      </c>
      <c r="AH884" s="2" t="s">
        <v>143</v>
      </c>
      <c r="AI884" s="10" t="s">
        <v>143</v>
      </c>
      <c r="AJ884" s="2" t="s">
        <v>452</v>
      </c>
      <c r="AK884" s="10" t="s">
        <v>261</v>
      </c>
      <c r="AL884" s="2" t="s">
        <v>81</v>
      </c>
    </row>
    <row r="885" ht="15.75" customHeight="1">
      <c r="A885" s="2" t="s">
        <v>2276</v>
      </c>
      <c r="B885" s="12">
        <v>45890.0</v>
      </c>
      <c r="C885" s="2" t="str">
        <f>IFERROR(__xludf.DUMMYFUNCTION("IF(ISNUMBER(B885),TEXT(B885,""yyyy-MM-dd""),REGEXREPLACE(REGEXREPLACE(TO_TEXT(B885),""[^0-9a-zA-Z]+"",""-""),""[^0-9]*$"",""""))"),"2025-08-21")</f>
        <v>2025-08-21</v>
      </c>
      <c r="D885" s="2" t="s">
        <v>8690</v>
      </c>
      <c r="H885" s="10" t="s">
        <v>8690</v>
      </c>
      <c r="I885" s="2" t="s">
        <v>2278</v>
      </c>
      <c r="J885" s="26" t="str">
        <f t="array" ref="J885">IF(ISNA(XLOOKUP(I885,customers_clean!$A$2:$A$701,customers_clean!$A$2:$A$701, NA()) ),
   "❌ MISSING CUSTOMER", "✅")</f>
        <v>✅</v>
      </c>
      <c r="K885" s="2" t="str">
        <f t="array" ref="K885">XLOOKUP(I885,customers_clean!$A$2:$A$701,customers_clean!$C$2:$C$701)</f>
        <v>Sam Young</v>
      </c>
      <c r="L885" s="10" t="str">
        <f t="array" ref="L885">XLOOKUP(I885,customers_clean!$A$2:$A$701,customers_clean!$D$2:$D$701)</f>
        <v>Sam Young</v>
      </c>
      <c r="M885" s="2" t="str">
        <f t="array" ref="M885">XLOOKUP(I885,customers_clean!$A$2:$A$701,customers_clean!$I$2:$I$701)</f>
        <v>sam.young@yahoo.com </v>
      </c>
      <c r="N885" s="10" t="str">
        <f t="array" ref="N885">XLOOKUP(I885,customers_clean!$A$2:$A$701,customers_clean!$H$2:$H$701)</f>
        <v>sam.young@yahoo.com</v>
      </c>
      <c r="O885" s="9" t="str">
        <f>IFERROR(__xludf.DUMMYFUNCTION("IF(REGEXMATCH(TRIM(N885),""^[A-Za-z0-9._%+-]+@[A-Za-z0-9.-]+\.[A-Za-z]{2,}$""),""✅ Valid"",""❌ Invalid"")"),"✅ Valid")</f>
        <v>✅ Valid</v>
      </c>
      <c r="P885" s="2">
        <f t="array" ref="P885">XLOOKUP(I885,customers_clean!$A$2:$A$701,customers_clean!$K$2:$K$701)</f>
        <v>681725035</v>
      </c>
      <c r="Q885" s="10" t="str">
        <f t="array" ref="Q885">XLOOKUP(I885,customers_clean!$A$2:$A$701,customers_clean!$N$2:$N$701)</f>
        <v>681725035</v>
      </c>
      <c r="R885" s="9" t="str">
        <f t="array" ref="R885">XLOOKUP(I885,customers_clean!$A$2:$A$701,customers_clean!$Q$2:$Q$701)</f>
        <v>❌ INVALID</v>
      </c>
      <c r="S885" s="10" t="s">
        <v>139</v>
      </c>
      <c r="T885" s="2" t="s">
        <v>74</v>
      </c>
      <c r="U885" s="2" t="s">
        <v>103</v>
      </c>
      <c r="V885" s="2" t="s">
        <v>1085</v>
      </c>
      <c r="W885" s="9" t="str">
        <f t="array" ref="W885">IF(ISNA(XLOOKUP(V885,products_master_corrected!$A$2:$A$151,products_master_corrected!$A$2:$A$151, NA())),
    "❌ MISSING SKU", "✅")</f>
        <v>✅</v>
      </c>
      <c r="X885" s="2" t="s">
        <v>29</v>
      </c>
      <c r="Y885" s="2" t="s">
        <v>368</v>
      </c>
      <c r="Z885" s="10" t="s">
        <v>368</v>
      </c>
      <c r="AA885" s="27">
        <v>1.0</v>
      </c>
      <c r="AB885" s="9" t="s">
        <v>8649</v>
      </c>
      <c r="AC885" s="28">
        <f t="array" ref="AC885">XLOOKUP(V885,products_master_corrected!$A$2:$A$151,products_master_corrected!$E$2:$E$151)</f>
        <v>171.42</v>
      </c>
      <c r="AD885" s="28">
        <f t="shared" si="93"/>
        <v>171.42</v>
      </c>
      <c r="AE885" s="28">
        <f t="array" ref="AE885">XLOOKUP(V885,products_master_corrected!$A$2:$A$151,products_master_corrected!$L$2:$L$151)</f>
        <v>185.39</v>
      </c>
      <c r="AF885" s="29">
        <f t="shared" si="94"/>
        <v>185.39</v>
      </c>
      <c r="AG885" s="32" t="s">
        <v>8665</v>
      </c>
      <c r="AH885" s="2" t="s">
        <v>181</v>
      </c>
      <c r="AI885" s="10" t="s">
        <v>181</v>
      </c>
      <c r="AJ885" s="2" t="s">
        <v>1171</v>
      </c>
      <c r="AK885" s="10" t="s">
        <v>80</v>
      </c>
    </row>
    <row r="886" ht="15.75" customHeight="1">
      <c r="A886" s="2" t="s">
        <v>4454</v>
      </c>
      <c r="B886" s="12">
        <v>45118.0</v>
      </c>
      <c r="C886" s="2" t="str">
        <f>IFERROR(__xludf.DUMMYFUNCTION("IF(ISNUMBER(B886),TEXT(B886,""yyyy-MM-dd""),REGEXREPLACE(REGEXREPLACE(TO_TEXT(B886),""[^0-9a-zA-Z]+"",""-""),""[^0-9]*$"",""""))"),"2023-07-11")</f>
        <v>2023-07-11</v>
      </c>
      <c r="D886" s="2" t="s">
        <v>4455</v>
      </c>
      <c r="H886" s="10" t="s">
        <v>4455</v>
      </c>
      <c r="I886" s="2" t="s">
        <v>1825</v>
      </c>
      <c r="J886" s="26" t="str">
        <f t="array" ref="J886">IF(ISNA(XLOOKUP(I886,customers_clean!$A$2:$A$701,customers_clean!$A$2:$A$701, NA()) ),
   "❌ MISSING CUSTOMER", "✅")</f>
        <v>✅</v>
      </c>
      <c r="K886" s="2" t="str">
        <f t="array" ref="K886">XLOOKUP(I886,customers_clean!$A$2:$A$701,customers_clean!$C$2:$C$701)</f>
        <v>Rita Taylor </v>
      </c>
      <c r="L886" s="10" t="str">
        <f t="array" ref="L886">XLOOKUP(I886,customers_clean!$A$2:$A$701,customers_clean!$D$2:$D$701)</f>
        <v>Rita Taylor</v>
      </c>
      <c r="M886" s="2" t="str">
        <f t="array" ref="M886">XLOOKUP(I886,customers_clean!$A$2:$A$701,customers_clean!$I$2:$I$701)</f>
        <v>rita.taylor@shop.io </v>
      </c>
      <c r="N886" s="10" t="str">
        <f t="array" ref="N886">XLOOKUP(I886,customers_clean!$A$2:$A$701,customers_clean!$H$2:$H$701)</f>
        <v>rita.taylor@shop.io</v>
      </c>
      <c r="O886" s="9" t="str">
        <f>IFERROR(__xludf.DUMMYFUNCTION("IF(REGEXMATCH(TRIM(N886),""^[A-Za-z0-9._%+-]+@[A-Za-z0-9.-]+\.[A-Za-z]{2,}$""),""✅ Valid"",""❌ Invalid"")"),"✅ Valid")</f>
        <v>✅ Valid</v>
      </c>
      <c r="P886" s="2" t="str">
        <f t="array" ref="P886">XLOOKUP(I886,customers_clean!$A$2:$A$701,customers_clean!$K$2:$K$701)</f>
        <v>+34233762006</v>
      </c>
      <c r="Q886" s="10" t="str">
        <f t="array" ref="Q886">XLOOKUP(I886,customers_clean!$A$2:$A$701,customers_clean!$N$2:$N$701)</f>
        <v>233762006</v>
      </c>
      <c r="R886" s="9" t="str">
        <f t="array" ref="R886">XLOOKUP(I886,customers_clean!$A$2:$A$701,customers_clean!$Q$2:$Q$701)</f>
        <v>❌ INVALID</v>
      </c>
      <c r="S886" s="10" t="s">
        <v>88</v>
      </c>
      <c r="T886" s="2" t="s">
        <v>301</v>
      </c>
      <c r="U886" s="2" t="s">
        <v>522</v>
      </c>
      <c r="V886" s="2" t="s">
        <v>1733</v>
      </c>
      <c r="W886" s="9" t="str">
        <f t="array" ref="W886">IF(ISNA(XLOOKUP(V886,products_master_corrected!$A$2:$A$151,products_master_corrected!$A$2:$A$151, NA())),
    "❌ MISSING SKU", "✅")</f>
        <v>✅</v>
      </c>
      <c r="X886" s="2" t="s">
        <v>440</v>
      </c>
      <c r="Y886" s="2" t="s">
        <v>315</v>
      </c>
      <c r="Z886" s="10" t="s">
        <v>179</v>
      </c>
      <c r="AA886" s="27">
        <v>2.0</v>
      </c>
      <c r="AB886" s="9" t="s">
        <v>8649</v>
      </c>
      <c r="AC886" s="28">
        <f t="array" ref="AC886">XLOOKUP(V886,products_master_corrected!$A$2:$A$151,products_master_corrected!$E$2:$E$151)</f>
        <v>35.69</v>
      </c>
      <c r="AD886" s="28">
        <f t="shared" si="93"/>
        <v>71.38</v>
      </c>
      <c r="AE886" s="28">
        <f t="array" ref="AE886">XLOOKUP(V886,products_master_corrected!$A$2:$A$151,products_master_corrected!$I$2:$I$151)</f>
        <v>39.34</v>
      </c>
      <c r="AF886" s="29">
        <f t="shared" si="94"/>
        <v>78.68</v>
      </c>
      <c r="AG886" s="32" t="s">
        <v>8660</v>
      </c>
      <c r="AH886" s="2" t="s">
        <v>131</v>
      </c>
      <c r="AI886" s="10" t="s">
        <v>181</v>
      </c>
      <c r="AJ886" s="2" t="s">
        <v>527</v>
      </c>
      <c r="AK886" s="10" t="s">
        <v>192</v>
      </c>
      <c r="AL886" s="2" t="s">
        <v>51</v>
      </c>
    </row>
    <row r="887" ht="15.75" customHeight="1">
      <c r="A887" s="2" t="s">
        <v>2727</v>
      </c>
      <c r="B887" s="12">
        <v>45702.0</v>
      </c>
      <c r="C887" s="2" t="str">
        <f>IFERROR(__xludf.DUMMYFUNCTION("IF(ISNUMBER(B887),TEXT(B887,""yyyy-MM-dd""),REGEXREPLACE(REGEXREPLACE(TO_TEXT(B887),""[^0-9a-zA-Z]+"",""-""),""[^0-9]*$"",""""))"),"2025-02-14")</f>
        <v>2025-02-14</v>
      </c>
      <c r="D887" s="2" t="s">
        <v>8968</v>
      </c>
      <c r="H887" s="10" t="s">
        <v>8968</v>
      </c>
      <c r="I887" s="2" t="s">
        <v>1825</v>
      </c>
      <c r="J887" s="26" t="str">
        <f t="array" ref="J887">IF(ISNA(XLOOKUP(I887,customers_clean!$A$2:$A$701,customers_clean!$A$2:$A$701, NA()) ),
   "❌ MISSING CUSTOMER", "✅")</f>
        <v>✅</v>
      </c>
      <c r="K887" s="2" t="str">
        <f t="array" ref="K887">XLOOKUP(I887,customers_clean!$A$2:$A$701,customers_clean!$C$2:$C$701)</f>
        <v>Rita Taylor </v>
      </c>
      <c r="L887" s="10" t="str">
        <f t="array" ref="L887">XLOOKUP(I887,customers_clean!$A$2:$A$701,customers_clean!$D$2:$D$701)</f>
        <v>Rita Taylor</v>
      </c>
      <c r="M887" s="2" t="str">
        <f t="array" ref="M887">XLOOKUP(I887,customers_clean!$A$2:$A$701,customers_clean!$I$2:$I$701)</f>
        <v>rita.taylor@shop.io </v>
      </c>
      <c r="N887" s="10" t="str">
        <f t="array" ref="N887">XLOOKUP(I887,customers_clean!$A$2:$A$701,customers_clean!$H$2:$H$701)</f>
        <v>rita.taylor@shop.io</v>
      </c>
      <c r="O887" s="9" t="str">
        <f>IFERROR(__xludf.DUMMYFUNCTION("IF(REGEXMATCH(TRIM(N887),""^[A-Za-z0-9._%+-]+@[A-Za-z0-9.-]+\.[A-Za-z]{2,}$""),""✅ Valid"",""❌ Invalid"")"),"✅ Valid")</f>
        <v>✅ Valid</v>
      </c>
      <c r="P887" s="2" t="str">
        <f t="array" ref="P887">XLOOKUP(I887,customers_clean!$A$2:$A$701,customers_clean!$K$2:$K$701)</f>
        <v>+34233762006</v>
      </c>
      <c r="Q887" s="10" t="str">
        <f t="array" ref="Q887">XLOOKUP(I887,customers_clean!$A$2:$A$701,customers_clean!$N$2:$N$701)</f>
        <v>233762006</v>
      </c>
      <c r="R887" s="9" t="str">
        <f t="array" ref="R887">XLOOKUP(I887,customers_clean!$A$2:$A$701,customers_clean!$Q$2:$Q$701)</f>
        <v>❌ INVALID</v>
      </c>
      <c r="S887" s="10" t="s">
        <v>88</v>
      </c>
      <c r="T887" s="2" t="s">
        <v>115</v>
      </c>
      <c r="U887" s="2" t="s">
        <v>324</v>
      </c>
      <c r="V887" s="2" t="s">
        <v>224</v>
      </c>
      <c r="W887" s="9" t="str">
        <f t="array" ref="W887">IF(ISNA(XLOOKUP(V887,products_master_corrected!$A$2:$A$151,products_master_corrected!$A$2:$A$151, NA())),
    "❌ MISSING SKU", "✅")</f>
        <v>✅</v>
      </c>
      <c r="X887" s="2" t="s">
        <v>225</v>
      </c>
      <c r="Y887" s="2" t="s">
        <v>214</v>
      </c>
      <c r="Z887" s="10" t="s">
        <v>368</v>
      </c>
      <c r="AA887" s="27">
        <v>2.0</v>
      </c>
      <c r="AB887" s="9" t="s">
        <v>8649</v>
      </c>
      <c r="AC887" s="28">
        <f t="array" ref="AC887">XLOOKUP(V887,products_master_corrected!$A$2:$A$151,products_master_corrected!$E$2:$E$151)</f>
        <v>19.28</v>
      </c>
      <c r="AD887" s="28">
        <f t="shared" si="93"/>
        <v>38.56</v>
      </c>
      <c r="AE887" s="28">
        <f t="array" ref="AE887">XLOOKUP(V887,products_master_corrected!$A$2:$A$151,products_master_corrected!$I$2:$I$151)</f>
        <v>21.25</v>
      </c>
      <c r="AF887" s="29">
        <f t="shared" si="94"/>
        <v>42.5</v>
      </c>
      <c r="AG887" s="32" t="s">
        <v>8660</v>
      </c>
      <c r="AH887" s="2" t="s">
        <v>66</v>
      </c>
      <c r="AI887" s="10" t="s">
        <v>66</v>
      </c>
      <c r="AJ887" s="2" t="s">
        <v>345</v>
      </c>
      <c r="AK887" s="10" t="s">
        <v>261</v>
      </c>
      <c r="AL887" s="2" t="s">
        <v>133</v>
      </c>
    </row>
    <row r="888" ht="15.75" customHeight="1">
      <c r="A888" s="2" t="s">
        <v>1823</v>
      </c>
      <c r="B888" s="12" t="s">
        <v>1824</v>
      </c>
      <c r="C888" s="2" t="str">
        <f>IFERROR(__xludf.DUMMYFUNCTION("IF(ISNUMBER(B888),TEXT(B888,""yyyy-MM-dd""),REGEXREPLACE(REGEXREPLACE(TO_TEXT(B888),""[^0-9a-zA-Z]+"",""-""),""[^0-9]*$"",""""))"),"08-08-2025")</f>
        <v>08-08-2025</v>
      </c>
      <c r="D888" s="2" t="s">
        <v>8788</v>
      </c>
      <c r="H888" s="10" t="s">
        <v>8788</v>
      </c>
      <c r="I888" s="2" t="s">
        <v>1825</v>
      </c>
      <c r="J888" s="26" t="str">
        <f t="array" ref="J888">IF(ISNA(XLOOKUP(I888,customers_clean!$A$2:$A$701,customers_clean!$A$2:$A$701, NA()) ),
   "❌ MISSING CUSTOMER", "✅")</f>
        <v>✅</v>
      </c>
      <c r="K888" s="2" t="str">
        <f t="array" ref="K888">XLOOKUP(I888,customers_clean!$A$2:$A$701,customers_clean!$C$2:$C$701)</f>
        <v>Rita Taylor </v>
      </c>
      <c r="L888" s="10" t="str">
        <f t="array" ref="L888">XLOOKUP(I888,customers_clean!$A$2:$A$701,customers_clean!$D$2:$D$701)</f>
        <v>Rita Taylor</v>
      </c>
      <c r="M888" s="2" t="str">
        <f t="array" ref="M888">XLOOKUP(I888,customers_clean!$A$2:$A$701,customers_clean!$I$2:$I$701)</f>
        <v>rita.taylor@shop.io </v>
      </c>
      <c r="N888" s="10" t="str">
        <f t="array" ref="N888">XLOOKUP(I888,customers_clean!$A$2:$A$701,customers_clean!$H$2:$H$701)</f>
        <v>rita.taylor@shop.io</v>
      </c>
      <c r="O888" s="9" t="str">
        <f>IFERROR(__xludf.DUMMYFUNCTION("IF(REGEXMATCH(TRIM(N888),""^[A-Za-z0-9._%+-]+@[A-Za-z0-9.-]+\.[A-Za-z]{2,}$""),""✅ Valid"",""❌ Invalid"")"),"✅ Valid")</f>
        <v>✅ Valid</v>
      </c>
      <c r="P888" s="2" t="str">
        <f t="array" ref="P888">XLOOKUP(I888,customers_clean!$A$2:$A$701,customers_clean!$K$2:$K$701)</f>
        <v>+34233762006</v>
      </c>
      <c r="Q888" s="10" t="str">
        <f t="array" ref="Q888">XLOOKUP(I888,customers_clean!$A$2:$A$701,customers_clean!$N$2:$N$701)</f>
        <v>233762006</v>
      </c>
      <c r="R888" s="9" t="str">
        <f t="array" ref="R888">XLOOKUP(I888,customers_clean!$A$2:$A$701,customers_clean!$Q$2:$Q$701)</f>
        <v>❌ INVALID</v>
      </c>
      <c r="S888" s="10" t="s">
        <v>88</v>
      </c>
      <c r="T888" s="2" t="s">
        <v>1167</v>
      </c>
      <c r="U888" s="2" t="s">
        <v>60</v>
      </c>
      <c r="V888" s="2" t="s">
        <v>91</v>
      </c>
      <c r="W888" s="9" t="str">
        <f t="array" ref="W888">IF(ISNA(XLOOKUP(V888,products_master_corrected!$A$2:$A$151,products_master_corrected!$A$2:$A$151, NA())),
    "❌ MISSING SKU", "✅")</f>
        <v>✅</v>
      </c>
      <c r="X888" s="2" t="s">
        <v>259</v>
      </c>
      <c r="Y888" s="2" t="s">
        <v>93</v>
      </c>
      <c r="Z888" s="10" t="s">
        <v>368</v>
      </c>
      <c r="AA888" s="27">
        <v>5.0</v>
      </c>
      <c r="AB888" s="9" t="s">
        <v>8649</v>
      </c>
      <c r="AC888" s="28">
        <f t="array" ref="AC888">XLOOKUP(V888,products_master_corrected!$A$2:$A$151,products_master_corrected!$E$2:$E$151)</f>
        <v>30.17</v>
      </c>
      <c r="AD888" s="28">
        <f t="shared" si="93"/>
        <v>150.85</v>
      </c>
      <c r="AE888" s="28">
        <f t="array" ref="AE888">XLOOKUP(V888,products_master_corrected!$A$2:$A$151,products_master_corrected!$I$2:$I$151)</f>
        <v>33.26</v>
      </c>
      <c r="AF888" s="29">
        <f t="shared" si="94"/>
        <v>166.3</v>
      </c>
      <c r="AG888" s="32" t="s">
        <v>8660</v>
      </c>
      <c r="AH888" s="2" t="s">
        <v>370</v>
      </c>
      <c r="AI888" s="10" t="s">
        <v>143</v>
      </c>
      <c r="AJ888" s="2" t="s">
        <v>294</v>
      </c>
      <c r="AK888" s="10" t="s">
        <v>80</v>
      </c>
      <c r="AL888" s="2" t="s">
        <v>67</v>
      </c>
    </row>
    <row r="889" ht="15.75" customHeight="1">
      <c r="A889" s="2" t="s">
        <v>4948</v>
      </c>
      <c r="B889" s="12">
        <v>45033.708333333336</v>
      </c>
      <c r="C889" s="2" t="str">
        <f>IFERROR(__xludf.DUMMYFUNCTION("IF(ISNUMBER(B889),TEXT(B889,""yyyy-MM-dd""),REGEXREPLACE(REGEXREPLACE(TO_TEXT(B889),""[^0-9a-zA-Z]+"",""-""),""[^0-9]*$"",""""))"),"2023-04-17")</f>
        <v>2023-04-17</v>
      </c>
      <c r="D889" s="2" t="s">
        <v>8969</v>
      </c>
      <c r="H889" s="10" t="s">
        <v>8969</v>
      </c>
      <c r="I889" s="2" t="s">
        <v>1825</v>
      </c>
      <c r="J889" s="26" t="str">
        <f t="array" ref="J889">IF(ISNA(XLOOKUP(I889,customers_clean!$A$2:$A$701,customers_clean!$A$2:$A$701, NA()) ),
   "❌ MISSING CUSTOMER", "✅")</f>
        <v>✅</v>
      </c>
      <c r="K889" s="2" t="str">
        <f t="array" ref="K889">XLOOKUP(I889,customers_clean!$A$2:$A$701,customers_clean!$C$2:$C$701)</f>
        <v>Rita Taylor </v>
      </c>
      <c r="L889" s="10" t="str">
        <f t="array" ref="L889">XLOOKUP(I889,customers_clean!$A$2:$A$701,customers_clean!$D$2:$D$701)</f>
        <v>Rita Taylor</v>
      </c>
      <c r="M889" s="2" t="str">
        <f t="array" ref="M889">XLOOKUP(I889,customers_clean!$A$2:$A$701,customers_clean!$I$2:$I$701)</f>
        <v>rita.taylor@shop.io </v>
      </c>
      <c r="N889" s="10" t="str">
        <f t="array" ref="N889">XLOOKUP(I889,customers_clean!$A$2:$A$701,customers_clean!$H$2:$H$701)</f>
        <v>rita.taylor@shop.io</v>
      </c>
      <c r="O889" s="9" t="str">
        <f>IFERROR(__xludf.DUMMYFUNCTION("IF(REGEXMATCH(TRIM(N889),""^[A-Za-z0-9._%+-]+@[A-Za-z0-9.-]+\.[A-Za-z]{2,}$""),""✅ Valid"",""❌ Invalid"")"),"✅ Valid")</f>
        <v>✅ Valid</v>
      </c>
      <c r="P889" s="2" t="str">
        <f t="array" ref="P889">XLOOKUP(I889,customers_clean!$A$2:$A$701,customers_clean!$K$2:$K$701)</f>
        <v>+34233762006</v>
      </c>
      <c r="Q889" s="10" t="str">
        <f t="array" ref="Q889">XLOOKUP(I889,customers_clean!$A$2:$A$701,customers_clean!$N$2:$N$701)</f>
        <v>233762006</v>
      </c>
      <c r="R889" s="9" t="str">
        <f t="array" ref="R889">XLOOKUP(I889,customers_clean!$A$2:$A$701,customers_clean!$Q$2:$Q$701)</f>
        <v>❌ INVALID</v>
      </c>
      <c r="S889" s="10" t="s">
        <v>88</v>
      </c>
      <c r="T889" s="2" t="s">
        <v>223</v>
      </c>
      <c r="U889" s="2" t="s">
        <v>176</v>
      </c>
      <c r="V889" s="2" t="s">
        <v>1679</v>
      </c>
      <c r="W889" s="9" t="str">
        <f t="array" ref="W889">IF(ISNA(XLOOKUP(V889,products_master_corrected!$A$2:$A$151,products_master_corrected!$A$2:$A$151, NA())),
    "❌ MISSING SKU", "✅")</f>
        <v>✅</v>
      </c>
      <c r="X889" s="2" t="s">
        <v>280</v>
      </c>
      <c r="Y889" s="2" t="s">
        <v>514</v>
      </c>
      <c r="Z889" s="10" t="s">
        <v>514</v>
      </c>
      <c r="AA889" s="27">
        <v>5.0</v>
      </c>
      <c r="AB889" s="9" t="s">
        <v>8649</v>
      </c>
      <c r="AC889" s="28">
        <f t="array" ref="AC889">XLOOKUP(V889,products_master_corrected!$A$2:$A$151,products_master_corrected!$E$2:$E$151)</f>
        <v>130.95</v>
      </c>
      <c r="AD889" s="28">
        <f t="shared" si="93"/>
        <v>654.75</v>
      </c>
      <c r="AE889" s="28">
        <f t="array" ref="AE889">XLOOKUP(V889,products_master_corrected!$A$2:$A$151,products_master_corrected!$I$2:$I$151)</f>
        <v>144.36</v>
      </c>
      <c r="AF889" s="29">
        <f t="shared" si="94"/>
        <v>721.8</v>
      </c>
      <c r="AG889" s="32" t="s">
        <v>8660</v>
      </c>
      <c r="AH889" s="2" t="s">
        <v>204</v>
      </c>
      <c r="AI889" s="10" t="s">
        <v>143</v>
      </c>
      <c r="AJ889" s="2" t="s">
        <v>132</v>
      </c>
      <c r="AK889" s="10" t="s">
        <v>192</v>
      </c>
    </row>
    <row r="890" ht="15.75" customHeight="1">
      <c r="A890" s="2" t="s">
        <v>5429</v>
      </c>
      <c r="B890" s="12">
        <v>45388.0</v>
      </c>
      <c r="C890" s="2" t="str">
        <f>IFERROR(__xludf.DUMMYFUNCTION("IF(ISNUMBER(B890),TEXT(B890,""yyyy-MM-dd""),REGEXREPLACE(REGEXREPLACE(TO_TEXT(B890),""[^0-9a-zA-Z]+"",""-""),""[^0-9]*$"",""""))"),"2024-04-06")</f>
        <v>2024-04-06</v>
      </c>
      <c r="D890" s="2" t="s">
        <v>8967</v>
      </c>
      <c r="H890" s="10" t="s">
        <v>8967</v>
      </c>
      <c r="I890" s="2" t="s">
        <v>4903</v>
      </c>
      <c r="J890" s="26" t="str">
        <f t="array" ref="J890">IF(ISNA(XLOOKUP(I890,customers_clean!$A$2:$A$701,customers_clean!$A$2:$A$701, NA()) ),
   "❌ MISSING CUSTOMER", "✅")</f>
        <v>✅</v>
      </c>
      <c r="K890" s="2" t="str">
        <f t="array" ref="K890">XLOOKUP(I890,customers_clean!$A$2:$A$701,customers_clean!$C$2:$C$701)</f>
        <v>Carlos Kowalski </v>
      </c>
      <c r="L890" s="10" t="str">
        <f t="array" ref="L890">XLOOKUP(I890,customers_clean!$A$2:$A$701,customers_clean!$D$2:$D$701)</f>
        <v>Carlos Kowalski</v>
      </c>
      <c r="M890" s="2" t="str">
        <f t="array" ref="M890">XLOOKUP(I890,customers_clean!$A$2:$A$701,customers_clean!$I$2:$I$701)</f>
        <v>carlos.kowalski@yahoo.com</v>
      </c>
      <c r="N890" s="10" t="str">
        <f t="array" ref="N890">XLOOKUP(I890,customers_clean!$A$2:$A$701,customers_clean!$H$2:$H$701)</f>
        <v>carlos.kowalski@yahoo.com</v>
      </c>
      <c r="O890" s="9" t="str">
        <f>IFERROR(__xludf.DUMMYFUNCTION("IF(REGEXMATCH(TRIM(N890),""^[A-Za-z0-9._%+-]+@[A-Za-z0-9.-]+\.[A-Za-z]{2,}$""),""✅ Valid"",""❌ Invalid"")"),"✅ Valid")</f>
        <v>✅ Valid</v>
      </c>
      <c r="P890" s="2" t="str">
        <f t="array" ref="P890">XLOOKUP(I890,customers_clean!$A$2:$A$701,customers_clean!$K$2:$K$701)</f>
        <v>709-093-7866</v>
      </c>
      <c r="Q890" s="10" t="str">
        <f t="array" ref="Q890">XLOOKUP(I890,customers_clean!$A$2:$A$701,customers_clean!$N$2:$N$701)</f>
        <v>7090937866</v>
      </c>
      <c r="R890" s="9" t="str">
        <f t="array" ref="R890">XLOOKUP(I890,customers_clean!$A$2:$A$701,customers_clean!$Q$2:$Q$701)</f>
        <v>❌ INVALID</v>
      </c>
      <c r="S890" s="10" t="s">
        <v>608</v>
      </c>
      <c r="T890" s="2" t="s">
        <v>26</v>
      </c>
      <c r="U890" s="2" t="s">
        <v>512</v>
      </c>
      <c r="V890" s="2" t="s">
        <v>1255</v>
      </c>
      <c r="W890" s="9" t="str">
        <f t="array" ref="W890">IF(ISNA(XLOOKUP(V890,products_master_corrected!$A$2:$A$151,products_master_corrected!$A$2:$A$151, NA())),
    "❌ MISSING SKU", "✅")</f>
        <v>✅</v>
      </c>
      <c r="X890" s="2" t="s">
        <v>29</v>
      </c>
      <c r="Y890" s="2" t="s">
        <v>271</v>
      </c>
      <c r="Z890" s="10" t="s">
        <v>368</v>
      </c>
      <c r="AA890" s="27">
        <v>1.0</v>
      </c>
      <c r="AB890" s="9" t="s">
        <v>8649</v>
      </c>
      <c r="AC890" s="28">
        <f t="array" ref="AC890">XLOOKUP(V890,products_master_corrected!$A$2:$A$151,products_master_corrected!$E$2:$E$151)</f>
        <v>161.4</v>
      </c>
      <c r="AD890" s="28">
        <f t="shared" si="93"/>
        <v>161.4</v>
      </c>
      <c r="AE890" s="28">
        <f t="array" ref="AE890">XLOOKUP(V890,products_master_corrected!$A$2:$A$151,products_master_corrected!$H$2:$H$151)</f>
        <v>181.33</v>
      </c>
      <c r="AF890" s="29">
        <f t="shared" si="94"/>
        <v>181.33</v>
      </c>
      <c r="AG890" s="32" t="s">
        <v>8658</v>
      </c>
      <c r="AH890" s="2" t="s">
        <v>4441</v>
      </c>
      <c r="AI890" s="10" t="s">
        <v>49</v>
      </c>
      <c r="AJ890" s="2" t="s">
        <v>432</v>
      </c>
      <c r="AK890" s="10" t="s">
        <v>80</v>
      </c>
      <c r="AL890" s="2" t="s">
        <v>133</v>
      </c>
    </row>
    <row r="891" ht="15.75" customHeight="1">
      <c r="A891" s="2" t="s">
        <v>5261</v>
      </c>
      <c r="B891" s="12">
        <v>45190.788194444445</v>
      </c>
      <c r="C891" s="2" t="str">
        <f>IFERROR(__xludf.DUMMYFUNCTION("IF(ISNUMBER(B891),TEXT(B891,""yyyy-MM-dd""),REGEXREPLACE(REGEXREPLACE(TO_TEXT(B891),""[^0-9a-zA-Z]+"",""-""),""[^0-9]*$"",""""))"),"2023-09-21")</f>
        <v>2023-09-21</v>
      </c>
      <c r="D891" s="2" t="s">
        <v>8885</v>
      </c>
      <c r="H891" s="10" t="s">
        <v>8885</v>
      </c>
      <c r="I891" s="2" t="s">
        <v>4903</v>
      </c>
      <c r="J891" s="26" t="str">
        <f t="array" ref="J891">IF(ISNA(XLOOKUP(I891,customers_clean!$A$2:$A$701,customers_clean!$A$2:$A$701, NA()) ),
   "❌ MISSING CUSTOMER", "✅")</f>
        <v>✅</v>
      </c>
      <c r="K891" s="2" t="str">
        <f t="array" ref="K891">XLOOKUP(I891,customers_clean!$A$2:$A$701,customers_clean!$C$2:$C$701)</f>
        <v>Carlos Kowalski </v>
      </c>
      <c r="L891" s="10" t="str">
        <f t="array" ref="L891">XLOOKUP(I891,customers_clean!$A$2:$A$701,customers_clean!$D$2:$D$701)</f>
        <v>Carlos Kowalski</v>
      </c>
      <c r="M891" s="2" t="str">
        <f t="array" ref="M891">XLOOKUP(I891,customers_clean!$A$2:$A$701,customers_clean!$I$2:$I$701)</f>
        <v>carlos.kowalski@yahoo.com</v>
      </c>
      <c r="N891" s="10" t="str">
        <f t="array" ref="N891">XLOOKUP(I891,customers_clean!$A$2:$A$701,customers_clean!$H$2:$H$701)</f>
        <v>carlos.kowalski@yahoo.com</v>
      </c>
      <c r="O891" s="9" t="str">
        <f>IFERROR(__xludf.DUMMYFUNCTION("IF(REGEXMATCH(TRIM(N891),""^[A-Za-z0-9._%+-]+@[A-Za-z0-9.-]+\.[A-Za-z]{2,}$""),""✅ Valid"",""❌ Invalid"")"),"✅ Valid")</f>
        <v>✅ Valid</v>
      </c>
      <c r="P891" s="2" t="str">
        <f t="array" ref="P891">XLOOKUP(I891,customers_clean!$A$2:$A$701,customers_clean!$K$2:$K$701)</f>
        <v>709-093-7866</v>
      </c>
      <c r="Q891" s="10" t="str">
        <f t="array" ref="Q891">XLOOKUP(I891,customers_clean!$A$2:$A$701,customers_clean!$N$2:$N$701)</f>
        <v>7090937866</v>
      </c>
      <c r="R891" s="9" t="str">
        <f t="array" ref="R891">XLOOKUP(I891,customers_clean!$A$2:$A$701,customers_clean!$Q$2:$Q$701)</f>
        <v>❌ INVALID</v>
      </c>
      <c r="S891" s="10" t="s">
        <v>608</v>
      </c>
      <c r="T891" s="2" t="s">
        <v>223</v>
      </c>
      <c r="U891" s="2" t="s">
        <v>480</v>
      </c>
      <c r="V891" s="2" t="s">
        <v>334</v>
      </c>
      <c r="W891" s="9" t="str">
        <f t="array" ref="W891">IF(ISNA(XLOOKUP(V891,products_master_corrected!$A$2:$A$151,products_master_corrected!$A$2:$A$151, NA())),
    "❌ MISSING SKU", "✅")</f>
        <v>✅</v>
      </c>
      <c r="X891" s="2" t="s">
        <v>29</v>
      </c>
      <c r="Y891" s="2" t="s">
        <v>248</v>
      </c>
      <c r="Z891" s="10" t="s">
        <v>248</v>
      </c>
      <c r="AA891" s="27">
        <v>2.0</v>
      </c>
      <c r="AB891" s="9" t="s">
        <v>8649</v>
      </c>
      <c r="AC891" s="28">
        <f t="array" ref="AC891">XLOOKUP(V891,products_master_corrected!$A$2:$A$151,products_master_corrected!$E$2:$E$151)</f>
        <v>75.62</v>
      </c>
      <c r="AD891" s="28">
        <f t="shared" si="93"/>
        <v>151.24</v>
      </c>
      <c r="AE891" s="28">
        <f t="array" ref="AE891">XLOOKUP(V891,products_master_corrected!$A$2:$A$151,products_master_corrected!$H$2:$H$151)</f>
        <v>84.96</v>
      </c>
      <c r="AF891" s="29">
        <f t="shared" si="94"/>
        <v>169.92</v>
      </c>
      <c r="AG891" s="32" t="s">
        <v>8658</v>
      </c>
      <c r="AH891" s="2" t="s">
        <v>181</v>
      </c>
      <c r="AI891" s="10" t="s">
        <v>181</v>
      </c>
      <c r="AJ891" s="2" t="s">
        <v>169</v>
      </c>
      <c r="AK891" s="10" t="s">
        <v>261</v>
      </c>
      <c r="AL891" s="2" t="s">
        <v>67</v>
      </c>
    </row>
    <row r="892" ht="15.75" customHeight="1">
      <c r="A892" s="2" t="s">
        <v>4901</v>
      </c>
      <c r="B892" s="12">
        <v>44942.16805555556</v>
      </c>
      <c r="C892" s="2" t="str">
        <f>IFERROR(__xludf.DUMMYFUNCTION("IF(ISNUMBER(B892),TEXT(B892,""yyyy-MM-dd""),REGEXREPLACE(REGEXREPLACE(TO_TEXT(B892),""[^0-9a-zA-Z]+"",""-""),""[^0-9]*$"",""""))"),"2023-01-16")</f>
        <v>2023-01-16</v>
      </c>
      <c r="D892" s="2" t="s">
        <v>8970</v>
      </c>
      <c r="H892" s="10" t="s">
        <v>8970</v>
      </c>
      <c r="I892" s="2" t="s">
        <v>4903</v>
      </c>
      <c r="J892" s="26" t="str">
        <f t="array" ref="J892">IF(ISNA(XLOOKUP(I892,customers_clean!$A$2:$A$701,customers_clean!$A$2:$A$701, NA()) ),
   "❌ MISSING CUSTOMER", "✅")</f>
        <v>✅</v>
      </c>
      <c r="K892" s="2" t="str">
        <f t="array" ref="K892">XLOOKUP(I892,customers_clean!$A$2:$A$701,customers_clean!$C$2:$C$701)</f>
        <v>Carlos Kowalski </v>
      </c>
      <c r="L892" s="10" t="str">
        <f t="array" ref="L892">XLOOKUP(I892,customers_clean!$A$2:$A$701,customers_clean!$D$2:$D$701)</f>
        <v>Carlos Kowalski</v>
      </c>
      <c r="M892" s="2" t="str">
        <f t="array" ref="M892">XLOOKUP(I892,customers_clean!$A$2:$A$701,customers_clean!$I$2:$I$701)</f>
        <v>carlos.kowalski@yahoo.com</v>
      </c>
      <c r="N892" s="10" t="str">
        <f t="array" ref="N892">XLOOKUP(I892,customers_clean!$A$2:$A$701,customers_clean!$H$2:$H$701)</f>
        <v>carlos.kowalski@yahoo.com</v>
      </c>
      <c r="O892" s="9" t="str">
        <f>IFERROR(__xludf.DUMMYFUNCTION("IF(REGEXMATCH(TRIM(N892),""^[A-Za-z0-9._%+-]+@[A-Za-z0-9.-]+\.[A-Za-z]{2,}$""),""✅ Valid"",""❌ Invalid"")"),"✅ Valid")</f>
        <v>✅ Valid</v>
      </c>
      <c r="P892" s="2" t="str">
        <f t="array" ref="P892">XLOOKUP(I892,customers_clean!$A$2:$A$701,customers_clean!$K$2:$K$701)</f>
        <v>709-093-7866</v>
      </c>
      <c r="Q892" s="10" t="str">
        <f t="array" ref="Q892">XLOOKUP(I892,customers_clean!$A$2:$A$701,customers_clean!$N$2:$N$701)</f>
        <v>7090937866</v>
      </c>
      <c r="R892" s="9" t="str">
        <f t="array" ref="R892">XLOOKUP(I892,customers_clean!$A$2:$A$701,customers_clean!$Q$2:$Q$701)</f>
        <v>❌ INVALID</v>
      </c>
      <c r="S892" s="10" t="s">
        <v>608</v>
      </c>
      <c r="T892" s="2" t="s">
        <v>400</v>
      </c>
      <c r="U892" s="2" t="s">
        <v>43</v>
      </c>
      <c r="V892" s="2" t="s">
        <v>1236</v>
      </c>
      <c r="W892" s="9" t="str">
        <f t="array" ref="W892">IF(ISNA(XLOOKUP(V892,products_master_corrected!$A$2:$A$151,products_master_corrected!$A$2:$A$151, NA())),
    "❌ MISSING SKU", "✅")</f>
        <v>✅</v>
      </c>
      <c r="X892" s="2" t="s">
        <v>524</v>
      </c>
      <c r="Y892" s="2" t="s">
        <v>637</v>
      </c>
      <c r="Z892" s="10" t="s">
        <v>514</v>
      </c>
      <c r="AA892" s="27">
        <v>1.0</v>
      </c>
      <c r="AB892" s="9" t="s">
        <v>8649</v>
      </c>
      <c r="AC892" s="28">
        <f t="array" ref="AC892">XLOOKUP(V892,products_master_corrected!$A$2:$A$151,products_master_corrected!$E$2:$E$151)</f>
        <v>140.44</v>
      </c>
      <c r="AD892" s="28">
        <f t="shared" si="93"/>
        <v>140.44</v>
      </c>
      <c r="AE892" s="28">
        <f t="array" ref="AE892">XLOOKUP(V892,products_master_corrected!$A$2:$A$151,products_master_corrected!$H$2:$H$151)</f>
        <v>157.78</v>
      </c>
      <c r="AF892" s="29">
        <f t="shared" si="94"/>
        <v>157.78</v>
      </c>
      <c r="AG892" s="32" t="s">
        <v>8658</v>
      </c>
      <c r="AH892" s="2" t="s">
        <v>131</v>
      </c>
      <c r="AI892" s="10" t="s">
        <v>181</v>
      </c>
      <c r="AJ892" s="2" t="s">
        <v>192</v>
      </c>
      <c r="AK892" s="10" t="s">
        <v>192</v>
      </c>
    </row>
    <row r="893" ht="15.75" customHeight="1">
      <c r="A893" s="2" t="s">
        <v>6092</v>
      </c>
      <c r="B893" s="12">
        <v>45706.0</v>
      </c>
      <c r="C893" s="2" t="str">
        <f>IFERROR(__xludf.DUMMYFUNCTION("IF(ISNUMBER(B893),TEXT(B893,""yyyy-MM-dd""),REGEXREPLACE(REGEXREPLACE(TO_TEXT(B893),""[^0-9a-zA-Z]+"",""-""),""[^0-9]*$"",""""))"),"2025-02-18")</f>
        <v>2025-02-18</v>
      </c>
      <c r="D893" s="2" t="s">
        <v>8818</v>
      </c>
      <c r="H893" s="10" t="s">
        <v>8818</v>
      </c>
      <c r="I893" s="2" t="s">
        <v>6094</v>
      </c>
      <c r="J893" s="26" t="str">
        <f t="array" ref="J893">IF(ISNA(XLOOKUP(I893,customers_clean!$A$2:$A$701,customers_clean!$A$2:$A$701, NA()) ),
   "❌ MISSING CUSTOMER", "✅")</f>
        <v>✅</v>
      </c>
      <c r="K893" s="2" t="str">
        <f t="array" ref="K893">XLOOKUP(I893,customers_clean!$A$2:$A$701,customers_clean!$C$2:$C$701)</f>
        <v>BELLA KING</v>
      </c>
      <c r="L893" s="10" t="str">
        <f t="array" ref="L893">XLOOKUP(I893,customers_clean!$A$2:$A$701,customers_clean!$D$2:$D$701)</f>
        <v>Bella King</v>
      </c>
      <c r="M893" s="2" t="str">
        <f t="array" ref="M893">XLOOKUP(I893,customers_clean!$A$2:$A$701,customers_clean!$I$2:$I$701)</f>
        <v>bella.king@shop.io</v>
      </c>
      <c r="N893" s="10" t="str">
        <f t="array" ref="N893">XLOOKUP(I893,customers_clean!$A$2:$A$701,customers_clean!$H$2:$H$701)</f>
        <v>bella.king@shop.io</v>
      </c>
      <c r="O893" s="9" t="str">
        <f>IFERROR(__xludf.DUMMYFUNCTION("IF(REGEXMATCH(TRIM(N893),""^[A-Za-z0-9._%+-]+@[A-Za-z0-9.-]+\.[A-Za-z]{2,}$""),""✅ Valid"",""❌ Invalid"")"),"✅ Valid")</f>
        <v>✅ Valid</v>
      </c>
      <c r="P893" s="2" t="str">
        <f t="array" ref="P893">XLOOKUP(I893,customers_clean!$A$2:$A$701,customers_clean!$K$2:$K$701)</f>
        <v>N/A</v>
      </c>
      <c r="Q893" s="10" t="str">
        <f t="array" ref="Q893">XLOOKUP(I893,customers_clean!$A$2:$A$701,customers_clean!$N$2:$N$701)</f>
        <v/>
      </c>
      <c r="R893" s="9" t="str">
        <f t="array" ref="R893">XLOOKUP(I893,customers_clean!$A$2:$A$701,customers_clean!$Q$2:$Q$701)</f>
        <v>❌ INVALID</v>
      </c>
      <c r="S893" s="10" t="s">
        <v>448</v>
      </c>
      <c r="T893" s="2" t="s">
        <v>26</v>
      </c>
      <c r="U893" s="2" t="s">
        <v>401</v>
      </c>
      <c r="V893" s="2" t="s">
        <v>1495</v>
      </c>
      <c r="W893" s="9" t="str">
        <f t="array" ref="W893">IF(ISNA(XLOOKUP(V893,products_master_corrected!$A$2:$A$151,products_master_corrected!$A$2:$A$151, NA())),
    "❌ MISSING SKU", "✅")</f>
        <v>✅</v>
      </c>
      <c r="X893" s="2" t="s">
        <v>1138</v>
      </c>
      <c r="Y893" s="2" t="s">
        <v>248</v>
      </c>
      <c r="Z893" s="10" t="s">
        <v>248</v>
      </c>
      <c r="AA893" s="27"/>
      <c r="AB893" s="9" t="s">
        <v>8677</v>
      </c>
      <c r="AC893" s="34"/>
      <c r="AD893" s="34"/>
      <c r="AE893" s="34"/>
      <c r="AF893" s="35"/>
      <c r="AG893" s="36" t="s">
        <v>32</v>
      </c>
      <c r="AH893" s="2" t="s">
        <v>49</v>
      </c>
      <c r="AI893" s="10" t="s">
        <v>49</v>
      </c>
      <c r="AJ893" s="2" t="s">
        <v>345</v>
      </c>
      <c r="AK893" s="10" t="s">
        <v>261</v>
      </c>
    </row>
    <row r="894" ht="15.75" customHeight="1">
      <c r="A894" s="2" t="s">
        <v>5874</v>
      </c>
      <c r="B894" s="12">
        <v>45714.0</v>
      </c>
      <c r="C894" s="2" t="str">
        <f>IFERROR(__xludf.DUMMYFUNCTION("IF(ISNUMBER(B894),TEXT(B894,""yyyy-MM-dd""),REGEXREPLACE(REGEXREPLACE(TO_TEXT(B894),""[^0-9a-zA-Z]+"",""-""),""[^0-9]*$"",""""))"),"2025-02-26")</f>
        <v>2025-02-26</v>
      </c>
      <c r="D894" s="2" t="s">
        <v>8905</v>
      </c>
      <c r="H894" s="10" t="s">
        <v>8905</v>
      </c>
      <c r="I894" s="2" t="s">
        <v>5876</v>
      </c>
      <c r="J894" s="26" t="str">
        <f t="array" ref="J894">IF(ISNA(XLOOKUP(I894,customers_clean!$A$2:$A$701,customers_clean!$A$2:$A$701, NA()) ),
   "❌ MISSING CUSTOMER", "✅")</f>
        <v>✅</v>
      </c>
      <c r="K894" s="2" t="str">
        <f t="array" ref="K894">XLOOKUP(I894,customers_clean!$A$2:$A$701,customers_clean!$C$2:$C$701)</f>
        <v>Fiona Walker</v>
      </c>
      <c r="L894" s="10" t="str">
        <f t="array" ref="L894">XLOOKUP(I894,customers_clean!$A$2:$A$701,customers_clean!$D$2:$D$701)</f>
        <v>Fiona Walker</v>
      </c>
      <c r="M894" s="2" t="str">
        <f t="array" ref="M894">XLOOKUP(I894,customers_clean!$A$2:$A$701,customers_clean!$I$2:$I$701)</f>
        <v>fiona.walker@company.co.uk</v>
      </c>
      <c r="N894" s="10" t="str">
        <f t="array" ref="N894">XLOOKUP(I894,customers_clean!$A$2:$A$701,customers_clean!$H$2:$H$701)</f>
        <v>fiona.walker@company.co.uk</v>
      </c>
      <c r="O894" s="9" t="str">
        <f>IFERROR(__xludf.DUMMYFUNCTION("IF(REGEXMATCH(TRIM(N894),""^[A-Za-z0-9._%+-]+@[A-Za-z0-9.-]+\.[A-Za-z]{2,}$""),""✅ Valid"",""❌ Invalid"")"),"✅ Valid")</f>
        <v>✅ Valid</v>
      </c>
      <c r="P894" s="2" t="str">
        <f t="array" ref="P894">XLOOKUP(I894,customers_clean!$A$2:$A$701,customers_clean!$K$2:$K$701)</f>
        <v>tel:+446522705489</v>
      </c>
      <c r="Q894" s="10" t="str">
        <f t="array" ref="Q894">XLOOKUP(I894,customers_clean!$A$2:$A$701,customers_clean!$N$2:$N$701)</f>
        <v>6522705489</v>
      </c>
      <c r="R894" s="9" t="str">
        <f t="array" ref="R894">XLOOKUP(I894,customers_clean!$A$2:$A$701,customers_clean!$Q$2:$Q$701)</f>
        <v>❌ INVALID</v>
      </c>
      <c r="S894" s="10" t="s">
        <v>114</v>
      </c>
      <c r="T894" s="2" t="s">
        <v>223</v>
      </c>
      <c r="U894" s="2" t="s">
        <v>176</v>
      </c>
      <c r="V894" s="2" t="s">
        <v>325</v>
      </c>
      <c r="W894" s="9" t="str">
        <f t="array" ref="W894">IF(ISNA(XLOOKUP(V894,products_master_corrected!$A$2:$A$151,products_master_corrected!$A$2:$A$151, NA())),
    "❌ MISSING SKU", "✅")</f>
        <v>✅</v>
      </c>
      <c r="X894" s="2" t="s">
        <v>280</v>
      </c>
      <c r="Y894" s="2" t="s">
        <v>315</v>
      </c>
      <c r="Z894" s="10" t="s">
        <v>179</v>
      </c>
      <c r="AA894" s="27">
        <v>2.0</v>
      </c>
      <c r="AB894" s="9" t="s">
        <v>8649</v>
      </c>
      <c r="AC894" s="28">
        <f t="array" ref="AC894">XLOOKUP(V894,products_master_corrected!$A$2:$A$151,products_master_corrected!$E$2:$E$151)</f>
        <v>145.23</v>
      </c>
      <c r="AD894" s="28">
        <f t="shared" ref="AD894:AD895" si="99">AA894*AC894</f>
        <v>290.46</v>
      </c>
      <c r="AE894" s="28">
        <f t="array" ref="AE894">XLOOKUP(V894,products_master_corrected!$A$2:$A$151,products_master_corrected!$F$2:$F$151)</f>
        <v>145.23</v>
      </c>
      <c r="AF894" s="29">
        <f t="shared" ref="AF894:AF895" si="100">AA894*AE894</f>
        <v>290.46</v>
      </c>
      <c r="AG894" s="30" t="s">
        <v>65</v>
      </c>
      <c r="AH894" s="2" t="s">
        <v>664</v>
      </c>
      <c r="AI894" s="10" t="s">
        <v>66</v>
      </c>
      <c r="AJ894" s="2" t="s">
        <v>80</v>
      </c>
      <c r="AK894" s="10" t="s">
        <v>80</v>
      </c>
      <c r="AL894" s="2" t="s">
        <v>51</v>
      </c>
    </row>
    <row r="895" ht="15.75" customHeight="1">
      <c r="A895" s="2" t="s">
        <v>3511</v>
      </c>
      <c r="B895" s="12">
        <v>45162.0</v>
      </c>
      <c r="C895" s="2" t="str">
        <f>IFERROR(__xludf.DUMMYFUNCTION("IF(ISNUMBER(B895),TEXT(B895,""yyyy-MM-dd""),REGEXREPLACE(REGEXREPLACE(TO_TEXT(B895),""[^0-9a-zA-Z]+"",""-""),""[^0-9]*$"",""""))"),"2023-08-24")</f>
        <v>2023-08-24</v>
      </c>
      <c r="D895" s="2" t="s">
        <v>987</v>
      </c>
      <c r="H895" s="10" t="s">
        <v>987</v>
      </c>
      <c r="I895" s="2" t="s">
        <v>3513</v>
      </c>
      <c r="J895" s="26" t="str">
        <f t="array" ref="J895">IF(ISNA(XLOOKUP(I895,customers_clean!$A$2:$A$701,customers_clean!$A$2:$A$701, NA()) ),
   "❌ MISSING CUSTOMER", "✅")</f>
        <v>✅</v>
      </c>
      <c r="K895" s="2" t="str">
        <f t="array" ref="K895">XLOOKUP(I895,customers_clean!$A$2:$A$701,customers_clean!$C$2:$C$701)</f>
        <v>Gabe Kowalsik</v>
      </c>
      <c r="L895" s="10" t="str">
        <f t="array" ref="L895">XLOOKUP(I895,customers_clean!$A$2:$A$701,customers_clean!$D$2:$D$701)</f>
        <v>Gabe Kowalski</v>
      </c>
      <c r="M895" s="2" t="str">
        <f t="array" ref="M895">XLOOKUP(I895,customers_clean!$A$2:$A$701,customers_clean!$I$2:$I$701)</f>
        <v>gabe.kowalski@outlook.com </v>
      </c>
      <c r="N895" s="10" t="str">
        <f t="array" ref="N895">XLOOKUP(I895,customers_clean!$A$2:$A$701,customers_clean!$H$2:$H$701)</f>
        <v>gabe.kowalski@outlook.com</v>
      </c>
      <c r="O895" s="9" t="str">
        <f>IFERROR(__xludf.DUMMYFUNCTION("IF(REGEXMATCH(TRIM(N895),""^[A-Za-z0-9._%+-]+@[A-Za-z0-9.-]+\.[A-Za-z]{2,}$""),""✅ Valid"",""❌ Invalid"")"),"✅ Valid")</f>
        <v>✅ Valid</v>
      </c>
      <c r="P895" s="2">
        <f t="array" ref="P895">XLOOKUP(I895,customers_clean!$A$2:$A$701,customers_clean!$K$2:$K$701)</f>
        <v>6615459044</v>
      </c>
      <c r="Q895" s="10" t="str">
        <f t="array" ref="Q895">XLOOKUP(I895,customers_clean!$A$2:$A$701,customers_clean!$N$2:$N$701)</f>
        <v>6615459044</v>
      </c>
      <c r="R895" s="9" t="str">
        <f t="array" ref="R895">XLOOKUP(I895,customers_clean!$A$2:$A$701,customers_clean!$Q$2:$Q$701)</f>
        <v>❌ INVALID</v>
      </c>
      <c r="S895" s="10" t="s">
        <v>25</v>
      </c>
      <c r="T895" s="2" t="s">
        <v>778</v>
      </c>
      <c r="U895" s="2" t="s">
        <v>480</v>
      </c>
      <c r="V895" s="2" t="s">
        <v>2012</v>
      </c>
      <c r="W895" s="9" t="str">
        <f t="array" ref="W895">IF(ISNA(XLOOKUP(V895,products_master_corrected!$A$2:$A$151,products_master_corrected!$A$2:$A$151, NA())),
    "❌ MISSING SKU", "✅")</f>
        <v>✅</v>
      </c>
      <c r="X895" s="2" t="s">
        <v>741</v>
      </c>
      <c r="Y895" s="2" t="s">
        <v>514</v>
      </c>
      <c r="Z895" s="10" t="s">
        <v>514</v>
      </c>
      <c r="AA895" s="27">
        <v>2.0</v>
      </c>
      <c r="AB895" s="9" t="s">
        <v>8649</v>
      </c>
      <c r="AC895" s="28">
        <f t="array" ref="AC895">XLOOKUP(V895,products_master_corrected!$A$2:$A$151,products_master_corrected!$E$2:$E$151)</f>
        <v>40.87</v>
      </c>
      <c r="AD895" s="28">
        <f t="shared" si="99"/>
        <v>81.74</v>
      </c>
      <c r="AE895" s="28">
        <f t="array" ref="AE895">XLOOKUP(V895,products_master_corrected!$A$2:$A$151,products_master_corrected!$K$2:$K$151)</f>
        <v>210.28</v>
      </c>
      <c r="AF895" s="29">
        <f t="shared" si="100"/>
        <v>420.56</v>
      </c>
      <c r="AG895" s="30" t="s">
        <v>95</v>
      </c>
      <c r="AH895" s="2" t="s">
        <v>505</v>
      </c>
      <c r="AI895" s="10" t="s">
        <v>181</v>
      </c>
      <c r="AJ895" s="2" t="s">
        <v>80</v>
      </c>
      <c r="AK895" s="10" t="s">
        <v>80</v>
      </c>
      <c r="AL895" s="2" t="s">
        <v>81</v>
      </c>
    </row>
    <row r="896" ht="15.75" customHeight="1">
      <c r="A896" s="2" t="s">
        <v>4264</v>
      </c>
      <c r="B896" s="12">
        <v>45134.0</v>
      </c>
      <c r="C896" s="2" t="str">
        <f>IFERROR(__xludf.DUMMYFUNCTION("IF(ISNUMBER(B896),TEXT(B896,""yyyy-MM-dd""),REGEXREPLACE(REGEXREPLACE(TO_TEXT(B896),""[^0-9a-zA-Z]+"",""-""),""[^0-9]*$"",""""))"),"2023-07-27")</f>
        <v>2023-07-27</v>
      </c>
      <c r="D896" s="2" t="s">
        <v>8971</v>
      </c>
      <c r="H896" s="10" t="s">
        <v>8971</v>
      </c>
      <c r="I896" s="2" t="s">
        <v>3513</v>
      </c>
      <c r="J896" s="26" t="str">
        <f t="array" ref="J896">IF(ISNA(XLOOKUP(I896,customers_clean!$A$2:$A$701,customers_clean!$A$2:$A$701, NA()) ),
   "❌ MISSING CUSTOMER", "✅")</f>
        <v>✅</v>
      </c>
      <c r="K896" s="2" t="str">
        <f t="array" ref="K896">XLOOKUP(I896,customers_clean!$A$2:$A$701,customers_clean!$C$2:$C$701)</f>
        <v>Gabe Kowalsik</v>
      </c>
      <c r="L896" s="10" t="str">
        <f t="array" ref="L896">XLOOKUP(I896,customers_clean!$A$2:$A$701,customers_clean!$D$2:$D$701)</f>
        <v>Gabe Kowalski</v>
      </c>
      <c r="M896" s="2" t="str">
        <f t="array" ref="M896">XLOOKUP(I896,customers_clean!$A$2:$A$701,customers_clean!$I$2:$I$701)</f>
        <v>gabe.kowalski@outlook.com </v>
      </c>
      <c r="N896" s="10" t="str">
        <f t="array" ref="N896">XLOOKUP(I896,customers_clean!$A$2:$A$701,customers_clean!$H$2:$H$701)</f>
        <v>gabe.kowalski@outlook.com</v>
      </c>
      <c r="O896" s="9" t="str">
        <f>IFERROR(__xludf.DUMMYFUNCTION("IF(REGEXMATCH(TRIM(N896),""^[A-Za-z0-9._%+-]+@[A-Za-z0-9.-]+\.[A-Za-z]{2,}$""),""✅ Valid"",""❌ Invalid"")"),"✅ Valid")</f>
        <v>✅ Valid</v>
      </c>
      <c r="P896" s="2">
        <f t="array" ref="P896">XLOOKUP(I896,customers_clean!$A$2:$A$701,customers_clean!$K$2:$K$701)</f>
        <v>6615459044</v>
      </c>
      <c r="Q896" s="10" t="str">
        <f t="array" ref="Q896">XLOOKUP(I896,customers_clean!$A$2:$A$701,customers_clean!$N$2:$N$701)</f>
        <v>6615459044</v>
      </c>
      <c r="R896" s="9" t="str">
        <f t="array" ref="R896">XLOOKUP(I896,customers_clean!$A$2:$A$701,customers_clean!$Q$2:$Q$701)</f>
        <v>❌ INVALID</v>
      </c>
      <c r="S896" s="10" t="s">
        <v>25</v>
      </c>
      <c r="T896" s="2" t="s">
        <v>74</v>
      </c>
      <c r="U896" s="2" t="s">
        <v>512</v>
      </c>
      <c r="V896" s="2" t="s">
        <v>2012</v>
      </c>
      <c r="W896" s="9" t="str">
        <f t="array" ref="W896">IF(ISNA(XLOOKUP(V896,products_master_corrected!$A$2:$A$151,products_master_corrected!$A$2:$A$151, NA())),
    "❌ MISSING SKU", "✅")</f>
        <v>✅</v>
      </c>
      <c r="X896" s="2" t="s">
        <v>741</v>
      </c>
      <c r="Y896" s="2" t="s">
        <v>514</v>
      </c>
      <c r="Z896" s="10" t="s">
        <v>514</v>
      </c>
      <c r="AA896" s="27"/>
      <c r="AB896" s="9" t="s">
        <v>8677</v>
      </c>
      <c r="AC896" s="34"/>
      <c r="AD896" s="34"/>
      <c r="AE896" s="34"/>
      <c r="AF896" s="35"/>
      <c r="AG896" s="36" t="s">
        <v>32</v>
      </c>
      <c r="AH896" s="2" t="s">
        <v>305</v>
      </c>
      <c r="AI896" s="10" t="s">
        <v>49</v>
      </c>
      <c r="AJ896" s="2" t="s">
        <v>442</v>
      </c>
      <c r="AK896" s="10" t="s">
        <v>80</v>
      </c>
      <c r="AL896" s="2" t="s">
        <v>51</v>
      </c>
    </row>
    <row r="897" ht="15.75" customHeight="1">
      <c r="A897" s="2" t="s">
        <v>3609</v>
      </c>
      <c r="B897" s="12" t="s">
        <v>3610</v>
      </c>
      <c r="C897" s="2" t="str">
        <f>IFERROR(__xludf.DUMMYFUNCTION("IF(ISNUMBER(B897),TEXT(B897,""yyyy-MM-dd""),REGEXREPLACE(REGEXREPLACE(TO_TEXT(B897),""[^0-9a-zA-Z]+"",""-""),""[^0-9]*$"",""""))"),"45328-17-24")</f>
        <v>45328-17-24</v>
      </c>
      <c r="D897" s="2" t="str">
        <f t="shared" ref="D897:D898" si="101">TEXT(C897,"yyyy-MM-dd")</f>
        <v>45328-17-24</v>
      </c>
      <c r="E897" s="25" t="str">
        <f t="shared" ref="E897:E898" si="102">CONCATENATE(LEFT(D897,5))</f>
        <v>45328</v>
      </c>
      <c r="F897" s="12">
        <f t="shared" ref="F897:F898" si="103">DATE(1900,1,1) + E897 - 1</f>
        <v>45329</v>
      </c>
      <c r="G897" s="2" t="s">
        <v>8713</v>
      </c>
      <c r="H897" s="10" t="s">
        <v>8713</v>
      </c>
      <c r="I897" s="2" t="s">
        <v>3611</v>
      </c>
      <c r="J897" s="26" t="str">
        <f t="array" ref="J897">IF(ISNA(XLOOKUP(I897,customers_clean!$A$2:$A$701,customers_clean!$A$2:$A$701, NA()) ),
   "❌ MISSING CUSTOMER", "✅")</f>
        <v>✅</v>
      </c>
      <c r="K897" s="2" t="str">
        <f t="array" ref="K897">XLOOKUP(I897,customers_clean!$A$2:$A$701,customers_clean!$C$2:$C$701)</f>
        <v>Hanna Rossi</v>
      </c>
      <c r="L897" s="10" t="str">
        <f t="array" ref="L897">XLOOKUP(I897,customers_clean!$A$2:$A$701,customers_clean!$D$2:$D$701)</f>
        <v>Hanna Rossi</v>
      </c>
      <c r="M897" s="2" t="str">
        <f t="array" ref="M897">XLOOKUP(I897,customers_clean!$A$2:$A$701,customers_clean!$I$2:$I$701)</f>
        <v>hanna.rossi@outlook.ocm</v>
      </c>
      <c r="N897" s="10" t="str">
        <f t="array" ref="N897">XLOOKUP(I897,customers_clean!$A$2:$A$701,customers_clean!$H$2:$H$701)</f>
        <v>hanna.rossi@outlook.ocm</v>
      </c>
      <c r="O897" s="9" t="str">
        <f>IFERROR(__xludf.DUMMYFUNCTION("IF(REGEXMATCH(TRIM(N897),""^[A-Za-z0-9._%+-]+@[A-Za-z0-9.-]+\.[A-Za-z]{2,}$""),""✅ Valid"",""❌ Invalid"")"),"✅ Valid")</f>
        <v>✅ Valid</v>
      </c>
      <c r="P897" s="33" t="str">
        <f t="array" ref="P897">XLOOKUP(I897,customers_clean!$A$2:$A$701,customers_clean!$K$2:$K$701)</f>
        <v>+4881737171</v>
      </c>
      <c r="Q897" s="10" t="str">
        <f t="array" ref="Q897">XLOOKUP(I897,customers_clean!$A$2:$A$701,customers_clean!$N$2:$N$701)</f>
        <v>81737171</v>
      </c>
      <c r="R897" s="9" t="str">
        <f t="array" ref="R897">XLOOKUP(I897,customers_clean!$A$2:$A$701,customers_clean!$Q$2:$Q$701)</f>
        <v>❌ INVALID</v>
      </c>
      <c r="S897" s="10" t="s">
        <v>25</v>
      </c>
      <c r="T897" s="2" t="s">
        <v>59</v>
      </c>
      <c r="U897" s="2" t="s">
        <v>289</v>
      </c>
      <c r="V897" s="2" t="s">
        <v>235</v>
      </c>
      <c r="W897" s="9" t="str">
        <f t="array" ref="W897">IF(ISNA(XLOOKUP(V897,products_master_corrected!$A$2:$A$151,products_master_corrected!$A$2:$A$151, NA())),
    "❌ MISSING SKU", "✅")</f>
        <v>✅</v>
      </c>
      <c r="X897" s="2" t="s">
        <v>768</v>
      </c>
      <c r="Y897" s="2" t="s">
        <v>30</v>
      </c>
      <c r="Z897" s="10" t="s">
        <v>179</v>
      </c>
      <c r="AA897" s="27">
        <v>2.0</v>
      </c>
      <c r="AB897" s="9" t="s">
        <v>8649</v>
      </c>
      <c r="AC897" s="28">
        <f t="array" ref="AC897">XLOOKUP(V897,products_master_corrected!$A$2:$A$151,products_master_corrected!$E$2:$E$151)</f>
        <v>10.17</v>
      </c>
      <c r="AD897" s="28">
        <f t="shared" ref="AD897:AD952" si="104">AA897*AC897</f>
        <v>20.34</v>
      </c>
      <c r="AE897" s="28">
        <f t="array" ref="AE897">XLOOKUP(V897,products_master_corrected!$A$2:$A$151,products_master_corrected!$K$2:$K$151)</f>
        <v>52.32</v>
      </c>
      <c r="AF897" s="29">
        <f t="shared" ref="AF897:AF952" si="105">AA897*AE897</f>
        <v>104.64</v>
      </c>
      <c r="AG897" s="30" t="s">
        <v>95</v>
      </c>
      <c r="AH897" s="2" t="s">
        <v>49</v>
      </c>
      <c r="AI897" s="10" t="s">
        <v>49</v>
      </c>
      <c r="AJ897" s="2" t="s">
        <v>261</v>
      </c>
      <c r="AK897" s="10" t="s">
        <v>261</v>
      </c>
      <c r="AL897" s="2" t="s">
        <v>67</v>
      </c>
    </row>
    <row r="898" ht="15.75" customHeight="1">
      <c r="A898" s="2" t="s">
        <v>4990</v>
      </c>
      <c r="B898" s="12" t="s">
        <v>4991</v>
      </c>
      <c r="C898" s="2" t="str">
        <f>IFERROR(__xludf.DUMMYFUNCTION("IF(ISNUMBER(B898),TEXT(B898,""yyyy-MM-dd""),REGEXREPLACE(REGEXREPLACE(TO_TEXT(B898),""[^0-9a-zA-Z]+"",""-""),""[^0-9]*$"",""""))"),"45656-16-48")</f>
        <v>45656-16-48</v>
      </c>
      <c r="D898" s="2" t="str">
        <f t="shared" si="101"/>
        <v>45656-16-48</v>
      </c>
      <c r="E898" s="25" t="str">
        <f t="shared" si="102"/>
        <v>45656</v>
      </c>
      <c r="F898" s="12">
        <f t="shared" si="103"/>
        <v>45657</v>
      </c>
      <c r="G898" s="2" t="s">
        <v>7984</v>
      </c>
      <c r="H898" s="10" t="s">
        <v>7984</v>
      </c>
      <c r="I898" s="2" t="s">
        <v>3611</v>
      </c>
      <c r="J898" s="26" t="str">
        <f t="array" ref="J898">IF(ISNA(XLOOKUP(I898,customers_clean!$A$2:$A$701,customers_clean!$A$2:$A$701, NA()) ),
   "❌ MISSING CUSTOMER", "✅")</f>
        <v>✅</v>
      </c>
      <c r="K898" s="2" t="str">
        <f t="array" ref="K898">XLOOKUP(I898,customers_clean!$A$2:$A$701,customers_clean!$C$2:$C$701)</f>
        <v>Hanna Rossi</v>
      </c>
      <c r="L898" s="10" t="str">
        <f t="array" ref="L898">XLOOKUP(I898,customers_clean!$A$2:$A$701,customers_clean!$D$2:$D$701)</f>
        <v>Hanna Rossi</v>
      </c>
      <c r="M898" s="2" t="str">
        <f t="array" ref="M898">XLOOKUP(I898,customers_clean!$A$2:$A$701,customers_clean!$I$2:$I$701)</f>
        <v>hanna.rossi@outlook.ocm</v>
      </c>
      <c r="N898" s="10" t="str">
        <f t="array" ref="N898">XLOOKUP(I898,customers_clean!$A$2:$A$701,customers_clean!$H$2:$H$701)</f>
        <v>hanna.rossi@outlook.ocm</v>
      </c>
      <c r="O898" s="9" t="str">
        <f>IFERROR(__xludf.DUMMYFUNCTION("IF(REGEXMATCH(TRIM(N898),""^[A-Za-z0-9._%+-]+@[A-Za-z0-9.-]+\.[A-Za-z]{2,}$""),""✅ Valid"",""❌ Invalid"")"),"✅ Valid")</f>
        <v>✅ Valid</v>
      </c>
      <c r="P898" s="33" t="str">
        <f t="array" ref="P898">XLOOKUP(I898,customers_clean!$A$2:$A$701,customers_clean!$K$2:$K$701)</f>
        <v>+4881737171</v>
      </c>
      <c r="Q898" s="10" t="str">
        <f t="array" ref="Q898">XLOOKUP(I898,customers_clean!$A$2:$A$701,customers_clean!$N$2:$N$701)</f>
        <v>81737171</v>
      </c>
      <c r="R898" s="9" t="str">
        <f t="array" ref="R898">XLOOKUP(I898,customers_clean!$A$2:$A$701,customers_clean!$Q$2:$Q$701)</f>
        <v>❌ INVALID</v>
      </c>
      <c r="S898" s="10" t="s">
        <v>25</v>
      </c>
      <c r="T898" s="2" t="s">
        <v>234</v>
      </c>
      <c r="U898" s="2" t="s">
        <v>176</v>
      </c>
      <c r="V898" s="2" t="s">
        <v>28</v>
      </c>
      <c r="W898" s="9" t="str">
        <f t="array" ref="W898">IF(ISNA(XLOOKUP(V898,products_master_corrected!$A$2:$A$151,products_master_corrected!$A$2:$A$151, NA())),
    "❌ MISSING SKU", "✅")</f>
        <v>✅</v>
      </c>
      <c r="X898" s="2" t="s">
        <v>29</v>
      </c>
      <c r="Y898" s="2" t="s">
        <v>30</v>
      </c>
      <c r="Z898" s="10" t="s">
        <v>179</v>
      </c>
      <c r="AA898" s="27">
        <v>2.0</v>
      </c>
      <c r="AB898" s="9" t="s">
        <v>8649</v>
      </c>
      <c r="AC898" s="28">
        <f t="array" ref="AC898">XLOOKUP(V898,products_master_corrected!$A$2:$A$151,products_master_corrected!$E$2:$E$151)</f>
        <v>145.2</v>
      </c>
      <c r="AD898" s="28">
        <f t="shared" si="104"/>
        <v>290.4</v>
      </c>
      <c r="AE898" s="28">
        <f t="array" ref="AE898">XLOOKUP(V898,products_master_corrected!$A$2:$A$151,products_master_corrected!$K$2:$K$151)</f>
        <v>747.05</v>
      </c>
      <c r="AF898" s="29">
        <f t="shared" si="105"/>
        <v>1494.1</v>
      </c>
      <c r="AG898" s="30" t="s">
        <v>95</v>
      </c>
      <c r="AH898" s="2" t="s">
        <v>49</v>
      </c>
      <c r="AI898" s="10" t="s">
        <v>49</v>
      </c>
      <c r="AJ898" s="2" t="s">
        <v>80</v>
      </c>
      <c r="AK898" s="10" t="s">
        <v>80</v>
      </c>
    </row>
    <row r="899" ht="15.75" customHeight="1">
      <c r="A899" s="2" t="s">
        <v>986</v>
      </c>
      <c r="B899" s="12">
        <v>45162.0</v>
      </c>
      <c r="C899" s="2" t="str">
        <f>IFERROR(__xludf.DUMMYFUNCTION("IF(ISNUMBER(B899),TEXT(B899,""yyyy-MM-dd""),REGEXREPLACE(REGEXREPLACE(TO_TEXT(B899),""[^0-9a-zA-Z]+"",""-""),""[^0-9]*$"",""""))"),"2023-08-24")</f>
        <v>2023-08-24</v>
      </c>
      <c r="D899" s="2" t="s">
        <v>987</v>
      </c>
      <c r="H899" s="10" t="s">
        <v>987</v>
      </c>
      <c r="I899" s="2" t="s">
        <v>988</v>
      </c>
      <c r="J899" s="26" t="str">
        <f t="array" ref="J899">IF(ISNA(XLOOKUP(I899,customers_clean!$A$2:$A$701,customers_clean!$A$2:$A$701, NA()) ),
   "❌ MISSING CUSTOMER", "✅")</f>
        <v>✅</v>
      </c>
      <c r="K899" s="2" t="str">
        <f t="array" ref="K899">XLOOKUP(I899,customers_clean!$A$2:$A$701,customers_clean!$C$2:$C$701)</f>
        <v>Vlad  Khan</v>
      </c>
      <c r="L899" s="10" t="str">
        <f t="array" ref="L899">XLOOKUP(I899,customers_clean!$A$2:$A$701,customers_clean!$D$2:$D$701)</f>
        <v>Vlad Khan</v>
      </c>
      <c r="M899" s="2" t="str">
        <f t="array" ref="M899">XLOOKUP(I899,customers_clean!$A$2:$A$701,customers_clean!$I$2:$I$701)</f>
        <v>VLAD.KHAN@COMPANY.CO.UK</v>
      </c>
      <c r="N899" s="10" t="str">
        <f t="array" ref="N899">XLOOKUP(I899,customers_clean!$A$2:$A$701,customers_clean!$H$2:$H$701)</f>
        <v>vlad.khan@company.co.uk</v>
      </c>
      <c r="O899" s="9" t="str">
        <f>IFERROR(__xludf.DUMMYFUNCTION("IF(REGEXMATCH(TRIM(N899),""^[A-Za-z0-9._%+-]+@[A-Za-z0-9.-]+\.[A-Za-z]{2,}$""),""✅ Valid"",""❌ Invalid"")"),"✅ Valid")</f>
        <v>✅ Valid</v>
      </c>
      <c r="P899" s="33" t="str">
        <f t="array" ref="P899">XLOOKUP(I899,customers_clean!$A$2:$A$701,customers_clean!$K$2:$K$701)</f>
        <v>+48 275 91690</v>
      </c>
      <c r="Q899" s="10" t="str">
        <f t="array" ref="Q899">XLOOKUP(I899,customers_clean!$A$2:$A$701,customers_clean!$N$2:$N$701)</f>
        <v>27591690</v>
      </c>
      <c r="R899" s="9" t="str">
        <f t="array" ref="R899">XLOOKUP(I899,customers_clean!$A$2:$A$701,customers_clean!$Q$2:$Q$701)</f>
        <v>❌ INVALID</v>
      </c>
      <c r="S899" s="10" t="s">
        <v>25</v>
      </c>
      <c r="T899" s="2" t="s">
        <v>234</v>
      </c>
      <c r="U899" s="2" t="s">
        <v>176</v>
      </c>
      <c r="V899" s="2" t="s">
        <v>993</v>
      </c>
      <c r="W899" s="9" t="str">
        <f t="array" ref="W899">IF(ISNA(XLOOKUP(V899,products_master_corrected!$A$2:$A$151,products_master_corrected!$A$2:$A$151, NA())),
    "❌ MISSING SKU", "✅")</f>
        <v>✅</v>
      </c>
      <c r="X899" s="2" t="s">
        <v>994</v>
      </c>
      <c r="Y899" s="2" t="s">
        <v>995</v>
      </c>
      <c r="Z899" s="10" t="s">
        <v>355</v>
      </c>
      <c r="AA899" s="27">
        <v>2.0</v>
      </c>
      <c r="AB899" s="9" t="s">
        <v>8649</v>
      </c>
      <c r="AC899" s="28">
        <f t="array" ref="AC899">XLOOKUP(V899,products_master_corrected!$A$2:$A$151,products_master_corrected!$E$2:$E$151)</f>
        <v>566.38</v>
      </c>
      <c r="AD899" s="28">
        <f t="shared" si="104"/>
        <v>1132.76</v>
      </c>
      <c r="AE899" s="28">
        <f t="array" ref="AE899">XLOOKUP(V899,products_master_corrected!$A$2:$A$151,products_master_corrected!$K$2:$K$151)</f>
        <v>2914.03</v>
      </c>
      <c r="AF899" s="29">
        <f t="shared" si="105"/>
        <v>5828.06</v>
      </c>
      <c r="AG899" s="30" t="s">
        <v>95</v>
      </c>
      <c r="AH899" s="2" t="s">
        <v>664</v>
      </c>
      <c r="AI899" s="10" t="s">
        <v>66</v>
      </c>
      <c r="AJ899" s="2" t="s">
        <v>80</v>
      </c>
      <c r="AK899" s="10" t="s">
        <v>80</v>
      </c>
    </row>
    <row r="900" ht="15.75" customHeight="1">
      <c r="A900" s="2" t="s">
        <v>1695</v>
      </c>
      <c r="B900" s="12">
        <v>45465.0</v>
      </c>
      <c r="C900" s="2" t="str">
        <f>IFERROR(__xludf.DUMMYFUNCTION("IF(ISNUMBER(B900),TEXT(B900,""yyyy-MM-dd""),REGEXREPLACE(REGEXREPLACE(TO_TEXT(B900),""[^0-9a-zA-Z]+"",""-""),""[^0-9]*$"",""""))"),"2024-06-22")</f>
        <v>2024-06-22</v>
      </c>
      <c r="D900" s="2" t="s">
        <v>8897</v>
      </c>
      <c r="H900" s="10" t="s">
        <v>8897</v>
      </c>
      <c r="I900" s="2" t="s">
        <v>1697</v>
      </c>
      <c r="J900" s="26" t="str">
        <f t="array" ref="J900">IF(ISNA(XLOOKUP(I900,customers_clean!$A$2:$A$701,customers_clean!$A$2:$A$701, NA()) ),
   "❌ MISSING CUSTOMER", "✅")</f>
        <v>✅</v>
      </c>
      <c r="K900" s="2" t="str">
        <f t="array" ref="K900">XLOOKUP(I900,customers_clean!$A$2:$A$701,customers_clean!$C$2:$C$701)</f>
        <v>Marek Kowalski</v>
      </c>
      <c r="L900" s="10" t="str">
        <f t="array" ref="L900">XLOOKUP(I900,customers_clean!$A$2:$A$701,customers_clean!$D$2:$D$701)</f>
        <v>Marek Kowalski</v>
      </c>
      <c r="M900" s="2" t="str">
        <f t="array" ref="M900">XLOOKUP(I900,customers_clean!$A$2:$A$701,customers_clean!$I$2:$I$701)</f>
        <v>marek.kowalski@company.co.uk </v>
      </c>
      <c r="N900" s="10" t="str">
        <f t="array" ref="N900">XLOOKUP(I900,customers_clean!$A$2:$A$701,customers_clean!$H$2:$H$701)</f>
        <v>marek.kowalski@company.co.uk</v>
      </c>
      <c r="O900" s="9" t="str">
        <f>IFERROR(__xludf.DUMMYFUNCTION("IF(REGEXMATCH(TRIM(N900),""^[A-Za-z0-9._%+-]+@[A-Za-z0-9.-]+\.[A-Za-z]{2,}$""),""✅ Valid"",""❌ Invalid"")"),"✅ Valid")</f>
        <v>✅ Valid</v>
      </c>
      <c r="P900" s="2">
        <f t="array" ref="P900">XLOOKUP(I900,customers_clean!$A$2:$A$701,customers_clean!$K$2:$K$701)</f>
        <v>2605847035</v>
      </c>
      <c r="Q900" s="10" t="str">
        <f t="array" ref="Q900">XLOOKUP(I900,customers_clean!$A$2:$A$701,customers_clean!$N$2:$N$701)</f>
        <v>2605847035</v>
      </c>
      <c r="R900" s="9" t="str">
        <f t="array" ref="R900">XLOOKUP(I900,customers_clean!$A$2:$A$701,customers_clean!$Q$2:$Q$701)</f>
        <v>❌ INVALID</v>
      </c>
      <c r="S900" s="10" t="s">
        <v>608</v>
      </c>
      <c r="T900" s="2" t="s">
        <v>42</v>
      </c>
      <c r="U900" s="2" t="s">
        <v>1245</v>
      </c>
      <c r="V900" s="2" t="s">
        <v>556</v>
      </c>
      <c r="W900" s="9" t="str">
        <f t="array" ref="W900">IF(ISNA(XLOOKUP(V900,products_master_corrected!$A$2:$A$151,products_master_corrected!$A$2:$A$151, NA())),
    "❌ MISSING SKU", "✅")</f>
        <v>✅</v>
      </c>
      <c r="X900" s="2" t="s">
        <v>502</v>
      </c>
      <c r="Y900" s="2" t="s">
        <v>355</v>
      </c>
      <c r="Z900" s="10" t="s">
        <v>355</v>
      </c>
      <c r="AA900" s="27">
        <v>2.0</v>
      </c>
      <c r="AB900" s="9" t="s">
        <v>8649</v>
      </c>
      <c r="AC900" s="28">
        <f t="array" ref="AC900">XLOOKUP(V900,products_master_corrected!$A$2:$A$151,products_master_corrected!$E$2:$E$151)</f>
        <v>879.27</v>
      </c>
      <c r="AD900" s="28">
        <f t="shared" si="104"/>
        <v>1758.54</v>
      </c>
      <c r="AE900" s="28">
        <f t="array" ref="AE900">XLOOKUP(V900,products_master_corrected!$A$2:$A$151,products_master_corrected!$H$2:$H$151)</f>
        <v>987.86</v>
      </c>
      <c r="AF900" s="29">
        <f t="shared" si="105"/>
        <v>1975.72</v>
      </c>
      <c r="AG900" s="32" t="s">
        <v>8658</v>
      </c>
      <c r="AH900" s="2" t="s">
        <v>49</v>
      </c>
      <c r="AI900" s="10" t="s">
        <v>49</v>
      </c>
      <c r="AJ900" s="2" t="s">
        <v>132</v>
      </c>
      <c r="AK900" s="10" t="s">
        <v>192</v>
      </c>
      <c r="AL900" s="2" t="s">
        <v>133</v>
      </c>
    </row>
    <row r="901" ht="15.75" customHeight="1">
      <c r="A901" s="2" t="s">
        <v>5246</v>
      </c>
      <c r="B901" s="12">
        <v>45077.0</v>
      </c>
      <c r="C901" s="2" t="str">
        <f>IFERROR(__xludf.DUMMYFUNCTION("IF(ISNUMBER(B901),TEXT(B901,""yyyy-MM-dd""),REGEXREPLACE(REGEXREPLACE(TO_TEXT(B901),""[^0-9a-zA-Z]+"",""-""),""[^0-9]*$"",""""))"),"2023-05-31")</f>
        <v>2023-05-31</v>
      </c>
      <c r="D901" s="2" t="s">
        <v>8972</v>
      </c>
      <c r="H901" s="10" t="s">
        <v>8972</v>
      </c>
      <c r="I901" s="2" t="s">
        <v>1697</v>
      </c>
      <c r="J901" s="26" t="str">
        <f t="array" ref="J901">IF(ISNA(XLOOKUP(I901,customers_clean!$A$2:$A$701,customers_clean!$A$2:$A$701, NA()) ),
   "❌ MISSING CUSTOMER", "✅")</f>
        <v>✅</v>
      </c>
      <c r="K901" s="2" t="str">
        <f t="array" ref="K901">XLOOKUP(I901,customers_clean!$A$2:$A$701,customers_clean!$C$2:$C$701)</f>
        <v>Marek Kowalski</v>
      </c>
      <c r="L901" s="10" t="str">
        <f t="array" ref="L901">XLOOKUP(I901,customers_clean!$A$2:$A$701,customers_clean!$D$2:$D$701)</f>
        <v>Marek Kowalski</v>
      </c>
      <c r="M901" s="2" t="str">
        <f t="array" ref="M901">XLOOKUP(I901,customers_clean!$A$2:$A$701,customers_clean!$I$2:$I$701)</f>
        <v>marek.kowalski@company.co.uk </v>
      </c>
      <c r="N901" s="10" t="str">
        <f t="array" ref="N901">XLOOKUP(I901,customers_clean!$A$2:$A$701,customers_clean!$H$2:$H$701)</f>
        <v>marek.kowalski@company.co.uk</v>
      </c>
      <c r="O901" s="9" t="str">
        <f>IFERROR(__xludf.DUMMYFUNCTION("IF(REGEXMATCH(TRIM(N901),""^[A-Za-z0-9._%+-]+@[A-Za-z0-9.-]+\.[A-Za-z]{2,}$""),""✅ Valid"",""❌ Invalid"")"),"✅ Valid")</f>
        <v>✅ Valid</v>
      </c>
      <c r="P901" s="2">
        <f t="array" ref="P901">XLOOKUP(I901,customers_clean!$A$2:$A$701,customers_clean!$K$2:$K$701)</f>
        <v>2605847035</v>
      </c>
      <c r="Q901" s="10" t="str">
        <f t="array" ref="Q901">XLOOKUP(I901,customers_clean!$A$2:$A$701,customers_clean!$N$2:$N$701)</f>
        <v>2605847035</v>
      </c>
      <c r="R901" s="9" t="str">
        <f t="array" ref="R901">XLOOKUP(I901,customers_clean!$A$2:$A$701,customers_clean!$Q$2:$Q$701)</f>
        <v>❌ INVALID</v>
      </c>
      <c r="S901" s="10" t="s">
        <v>608</v>
      </c>
      <c r="T901" s="2" t="s">
        <v>26</v>
      </c>
      <c r="U901" s="2" t="s">
        <v>43</v>
      </c>
      <c r="V901" s="2" t="s">
        <v>402</v>
      </c>
      <c r="W901" s="9" t="str">
        <f t="array" ref="W901">IF(ISNA(XLOOKUP(V901,products_master_corrected!$A$2:$A$151,products_master_corrected!$A$2:$A$151, NA())),
    "❌ MISSING SKU", "✅")</f>
        <v>✅</v>
      </c>
      <c r="X901" s="2" t="s">
        <v>403</v>
      </c>
      <c r="Y901" s="2" t="s">
        <v>404</v>
      </c>
      <c r="Z901" s="10" t="s">
        <v>248</v>
      </c>
      <c r="AA901" s="27">
        <v>1.0</v>
      </c>
      <c r="AB901" s="9" t="s">
        <v>8649</v>
      </c>
      <c r="AC901" s="28">
        <f t="array" ref="AC901">XLOOKUP(V901,products_master_corrected!$A$2:$A$151,products_master_corrected!$E$2:$E$151)</f>
        <v>20.48</v>
      </c>
      <c r="AD901" s="28">
        <f t="shared" si="104"/>
        <v>20.48</v>
      </c>
      <c r="AE901" s="28">
        <f t="array" ref="AE901">XLOOKUP(V901,products_master_corrected!$A$2:$A$151,products_master_corrected!$H$2:$H$151)</f>
        <v>23.01</v>
      </c>
      <c r="AF901" s="29">
        <f t="shared" si="105"/>
        <v>23.01</v>
      </c>
      <c r="AG901" s="32" t="s">
        <v>8658</v>
      </c>
      <c r="AH901" s="2" t="s">
        <v>49</v>
      </c>
      <c r="AI901" s="10" t="s">
        <v>49</v>
      </c>
      <c r="AJ901" s="2" t="s">
        <v>80</v>
      </c>
      <c r="AK901" s="10" t="s">
        <v>80</v>
      </c>
      <c r="AL901" s="2" t="s">
        <v>51</v>
      </c>
    </row>
    <row r="902" ht="15.75" customHeight="1">
      <c r="A902" s="2" t="s">
        <v>3340</v>
      </c>
      <c r="B902" s="12">
        <v>45904.0</v>
      </c>
      <c r="C902" s="2" t="str">
        <f>IFERROR(__xludf.DUMMYFUNCTION("IF(ISNUMBER(B902),TEXT(B902,""yyyy-MM-dd""),REGEXREPLACE(REGEXREPLACE(TO_TEXT(B902),""[^0-9a-zA-Z]+"",""-""),""[^0-9]*$"",""""))"),"2025-09-04")</f>
        <v>2025-09-04</v>
      </c>
      <c r="D902" s="2" t="s">
        <v>3341</v>
      </c>
      <c r="H902" s="10" t="s">
        <v>3341</v>
      </c>
      <c r="I902" s="2" t="s">
        <v>1697</v>
      </c>
      <c r="J902" s="26" t="str">
        <f t="array" ref="J902">IF(ISNA(XLOOKUP(I902,customers_clean!$A$2:$A$701,customers_clean!$A$2:$A$701, NA()) ),
   "❌ MISSING CUSTOMER", "✅")</f>
        <v>✅</v>
      </c>
      <c r="K902" s="2" t="str">
        <f t="array" ref="K902">XLOOKUP(I902,customers_clean!$A$2:$A$701,customers_clean!$C$2:$C$701)</f>
        <v>Marek Kowalski</v>
      </c>
      <c r="L902" s="10" t="str">
        <f t="array" ref="L902">XLOOKUP(I902,customers_clean!$A$2:$A$701,customers_clean!$D$2:$D$701)</f>
        <v>Marek Kowalski</v>
      </c>
      <c r="M902" s="2" t="str">
        <f t="array" ref="M902">XLOOKUP(I902,customers_clean!$A$2:$A$701,customers_clean!$I$2:$I$701)</f>
        <v>marek.kowalski@company.co.uk </v>
      </c>
      <c r="N902" s="10" t="str">
        <f t="array" ref="N902">XLOOKUP(I902,customers_clean!$A$2:$A$701,customers_clean!$H$2:$H$701)</f>
        <v>marek.kowalski@company.co.uk</v>
      </c>
      <c r="O902" s="9" t="str">
        <f>IFERROR(__xludf.DUMMYFUNCTION("IF(REGEXMATCH(TRIM(N902),""^[A-Za-z0-9._%+-]+@[A-Za-z0-9.-]+\.[A-Za-z]{2,}$""),""✅ Valid"",""❌ Invalid"")"),"✅ Valid")</f>
        <v>✅ Valid</v>
      </c>
      <c r="P902" s="2">
        <f t="array" ref="P902">XLOOKUP(I902,customers_clean!$A$2:$A$701,customers_clean!$K$2:$K$701)</f>
        <v>2605847035</v>
      </c>
      <c r="Q902" s="10" t="str">
        <f t="array" ref="Q902">XLOOKUP(I902,customers_clean!$A$2:$A$701,customers_clean!$N$2:$N$701)</f>
        <v>2605847035</v>
      </c>
      <c r="R902" s="9" t="str">
        <f t="array" ref="R902">XLOOKUP(I902,customers_clean!$A$2:$A$701,customers_clean!$Q$2:$Q$701)</f>
        <v>❌ INVALID</v>
      </c>
      <c r="S902" s="10" t="s">
        <v>608</v>
      </c>
      <c r="T902" s="2" t="s">
        <v>210</v>
      </c>
      <c r="U902" s="2" t="s">
        <v>43</v>
      </c>
      <c r="V902" s="2" t="s">
        <v>258</v>
      </c>
      <c r="W902" s="9" t="str">
        <f t="array" ref="W902">IF(ISNA(XLOOKUP(V902,products_master_corrected!$A$2:$A$151,products_master_corrected!$A$2:$A$151, NA())),
    "❌ MISSING SKU", "✅")</f>
        <v>✅</v>
      </c>
      <c r="X902" s="2" t="s">
        <v>259</v>
      </c>
      <c r="Y902" s="2" t="s">
        <v>214</v>
      </c>
      <c r="Z902" s="10" t="s">
        <v>368</v>
      </c>
      <c r="AA902" s="27">
        <v>2.0</v>
      </c>
      <c r="AB902" s="9" t="s">
        <v>8649</v>
      </c>
      <c r="AC902" s="28">
        <f t="array" ref="AC902">XLOOKUP(V902,products_master_corrected!$A$2:$A$151,products_master_corrected!$E$2:$E$151)</f>
        <v>15.73</v>
      </c>
      <c r="AD902" s="28">
        <f t="shared" si="104"/>
        <v>31.46</v>
      </c>
      <c r="AE902" s="28">
        <f t="array" ref="AE902">XLOOKUP(V902,products_master_corrected!$A$2:$A$151,products_master_corrected!$H$2:$H$151)</f>
        <v>17.67</v>
      </c>
      <c r="AF902" s="29">
        <f t="shared" si="105"/>
        <v>35.34</v>
      </c>
      <c r="AG902" s="32" t="s">
        <v>8658</v>
      </c>
      <c r="AH902" s="2" t="s">
        <v>664</v>
      </c>
      <c r="AI902" s="10" t="s">
        <v>66</v>
      </c>
      <c r="AJ902" s="2" t="s">
        <v>442</v>
      </c>
      <c r="AK902" s="10" t="s">
        <v>80</v>
      </c>
      <c r="AL902" s="2" t="s">
        <v>51</v>
      </c>
    </row>
    <row r="903" ht="15.75" customHeight="1">
      <c r="A903" s="2" t="s">
        <v>2516</v>
      </c>
      <c r="B903" s="12">
        <v>45672.0</v>
      </c>
      <c r="C903" s="2" t="str">
        <f>IFERROR(__xludf.DUMMYFUNCTION("IF(ISNUMBER(B903),TEXT(B903,""yyyy-MM-dd""),REGEXREPLACE(REGEXREPLACE(TO_TEXT(B903),""[^0-9a-zA-Z]+"",""-""),""[^0-9]*$"",""""))"),"2025-01-15")</f>
        <v>2025-01-15</v>
      </c>
      <c r="D903" s="2" t="s">
        <v>8973</v>
      </c>
      <c r="H903" s="10" t="s">
        <v>8973</v>
      </c>
      <c r="I903" s="2" t="s">
        <v>1697</v>
      </c>
      <c r="J903" s="26" t="str">
        <f t="array" ref="J903">IF(ISNA(XLOOKUP(I903,customers_clean!$A$2:$A$701,customers_clean!$A$2:$A$701, NA()) ),
   "❌ MISSING CUSTOMER", "✅")</f>
        <v>✅</v>
      </c>
      <c r="K903" s="2" t="str">
        <f t="array" ref="K903">XLOOKUP(I903,customers_clean!$A$2:$A$701,customers_clean!$C$2:$C$701)</f>
        <v>Marek Kowalski</v>
      </c>
      <c r="L903" s="10" t="str">
        <f t="array" ref="L903">XLOOKUP(I903,customers_clean!$A$2:$A$701,customers_clean!$D$2:$D$701)</f>
        <v>Marek Kowalski</v>
      </c>
      <c r="M903" s="2" t="str">
        <f t="array" ref="M903">XLOOKUP(I903,customers_clean!$A$2:$A$701,customers_clean!$I$2:$I$701)</f>
        <v>marek.kowalski@company.co.uk </v>
      </c>
      <c r="N903" s="10" t="str">
        <f t="array" ref="N903">XLOOKUP(I903,customers_clean!$A$2:$A$701,customers_clean!$H$2:$H$701)</f>
        <v>marek.kowalski@company.co.uk</v>
      </c>
      <c r="O903" s="9" t="str">
        <f>IFERROR(__xludf.DUMMYFUNCTION("IF(REGEXMATCH(TRIM(N903),""^[A-Za-z0-9._%+-]+@[A-Za-z0-9.-]+\.[A-Za-z]{2,}$""),""✅ Valid"",""❌ Invalid"")"),"✅ Valid")</f>
        <v>✅ Valid</v>
      </c>
      <c r="P903" s="2">
        <f t="array" ref="P903">XLOOKUP(I903,customers_clean!$A$2:$A$701,customers_clean!$K$2:$K$701)</f>
        <v>2605847035</v>
      </c>
      <c r="Q903" s="10" t="str">
        <f t="array" ref="Q903">XLOOKUP(I903,customers_clean!$A$2:$A$701,customers_clean!$N$2:$N$701)</f>
        <v>2605847035</v>
      </c>
      <c r="R903" s="9" t="str">
        <f t="array" ref="R903">XLOOKUP(I903,customers_clean!$A$2:$A$701,customers_clean!$Q$2:$Q$701)</f>
        <v>❌ INVALID</v>
      </c>
      <c r="S903" s="10" t="s">
        <v>608</v>
      </c>
      <c r="T903" s="2" t="s">
        <v>2519</v>
      </c>
      <c r="U903" s="2" t="s">
        <v>90</v>
      </c>
      <c r="V903" s="2" t="s">
        <v>609</v>
      </c>
      <c r="W903" s="9" t="str">
        <f t="array" ref="W903">IF(ISNA(XLOOKUP(V903,products_master_corrected!$A$2:$A$151,products_master_corrected!$A$2:$A$151, NA())),
    "❌ MISSING SKU", "✅")</f>
        <v>✅</v>
      </c>
      <c r="X903" s="2" t="s">
        <v>259</v>
      </c>
      <c r="Y903" s="2" t="s">
        <v>610</v>
      </c>
      <c r="Z903" s="10" t="s">
        <v>179</v>
      </c>
      <c r="AA903" s="27">
        <v>2.0</v>
      </c>
      <c r="AB903" s="9" t="s">
        <v>8649</v>
      </c>
      <c r="AC903" s="28">
        <f t="array" ref="AC903">XLOOKUP(V903,products_master_corrected!$A$2:$A$151,products_master_corrected!$E$2:$E$151)</f>
        <v>32.41</v>
      </c>
      <c r="AD903" s="28">
        <f t="shared" si="104"/>
        <v>64.82</v>
      </c>
      <c r="AE903" s="28">
        <f t="array" ref="AE903">XLOOKUP(V903,products_master_corrected!$A$2:$A$151,products_master_corrected!$H$2:$H$151)</f>
        <v>36.41</v>
      </c>
      <c r="AF903" s="29">
        <f t="shared" si="105"/>
        <v>72.82</v>
      </c>
      <c r="AG903" s="32" t="s">
        <v>8658</v>
      </c>
      <c r="AH903" s="2" t="s">
        <v>2521</v>
      </c>
      <c r="AI903" s="10" t="s">
        <v>49</v>
      </c>
      <c r="AJ903" s="2" t="s">
        <v>294</v>
      </c>
      <c r="AK903" s="10" t="s">
        <v>80</v>
      </c>
      <c r="AL903" s="2" t="s">
        <v>81</v>
      </c>
    </row>
    <row r="904" ht="15.75" customHeight="1">
      <c r="A904" s="2" t="s">
        <v>4662</v>
      </c>
      <c r="B904" s="12" t="s">
        <v>4663</v>
      </c>
      <c r="C904" s="2" t="str">
        <f>IFERROR(__xludf.DUMMYFUNCTION("IF(ISNUMBER(B904),TEXT(B904,""yyyy-MM-dd""),REGEXREPLACE(REGEXREPLACE(TO_TEXT(B904),""[^0-9a-zA-Z]+"",""-""),""[^0-9]*$"",""""))"),"01-15-2024")</f>
        <v>01-15-2024</v>
      </c>
      <c r="D904" s="2" t="str">
        <f>TEXT(C904,"yyyy-MM-dd")</f>
        <v>01-15-2024</v>
      </c>
      <c r="E904" s="2" t="s">
        <v>8974</v>
      </c>
      <c r="H904" s="10" t="s">
        <v>8974</v>
      </c>
      <c r="I904" s="2" t="s">
        <v>3868</v>
      </c>
      <c r="J904" s="26" t="str">
        <f t="array" ref="J904">IF(ISNA(XLOOKUP(I904,customers_clean!$A$2:$A$701,customers_clean!$A$2:$A$701, NA()) ),
   "❌ MISSING CUSTOMER", "✅")</f>
        <v>✅</v>
      </c>
      <c r="K904" s="2" t="str">
        <f t="array" ref="K904">XLOOKUP(I904,customers_clean!$A$2:$A$701,customers_clean!$C$2:$C$701)</f>
        <v>Daria Rossi</v>
      </c>
      <c r="L904" s="10" t="str">
        <f t="array" ref="L904">XLOOKUP(I904,customers_clean!$A$2:$A$701,customers_clean!$D$2:$D$701)</f>
        <v>Daria Rossi</v>
      </c>
      <c r="M904" s="2" t="str">
        <f t="array" ref="M904">XLOOKUP(I904,customers_clean!$A$2:$A$701,customers_clean!$I$2:$I$701)</f>
        <v/>
      </c>
      <c r="N904" s="10" t="str">
        <f t="array" ref="N904">XLOOKUP(I904,customers_clean!$A$2:$A$701,customers_clean!$H$2:$H$701)</f>
        <v/>
      </c>
      <c r="O904" s="9" t="str">
        <f>IFERROR(__xludf.DUMMYFUNCTION("IF(REGEXMATCH(TRIM(N904),""^[A-Za-z0-9._%+-]+@[A-Za-z0-9.-]+\.[A-Za-z]{2,}$""),""✅ Valid"",""❌ Invalid"")"),"❌ Invalid")</f>
        <v>❌ Invalid</v>
      </c>
      <c r="P904" s="2" t="str">
        <f t="array" ref="P904">XLOOKUP(I904,customers_clean!$A$2:$A$701,customers_clean!$K$2:$K$701)</f>
        <v>04200 455 960</v>
      </c>
      <c r="Q904" s="10" t="str">
        <f t="array" ref="Q904">XLOOKUP(I904,customers_clean!$A$2:$A$701,customers_clean!$N$2:$N$701)</f>
        <v/>
      </c>
      <c r="R904" s="9" t="str">
        <f t="array" ref="R904">XLOOKUP(I904,customers_clean!$A$2:$A$701,customers_clean!$Q$2:$Q$701)</f>
        <v/>
      </c>
      <c r="S904" s="31" t="s">
        <v>671</v>
      </c>
      <c r="T904" s="2" t="s">
        <v>4664</v>
      </c>
      <c r="U904" s="2" t="s">
        <v>480</v>
      </c>
      <c r="V904" s="2" t="s">
        <v>140</v>
      </c>
      <c r="W904" s="9" t="str">
        <f t="array" ref="W904">IF(ISNA(XLOOKUP(V904,products_master_corrected!$A$2:$A$151,products_master_corrected!$A$2:$A$151, NA())),
    "❌ MISSING SKU", "✅")</f>
        <v>✅</v>
      </c>
      <c r="X904" s="2" t="s">
        <v>741</v>
      </c>
      <c r="Y904" s="2" t="s">
        <v>63</v>
      </c>
      <c r="Z904" s="10" t="s">
        <v>63</v>
      </c>
      <c r="AA904" s="27">
        <v>3.0</v>
      </c>
      <c r="AB904" s="9" t="s">
        <v>8649</v>
      </c>
      <c r="AC904" s="28">
        <f t="array" ref="AC904">XLOOKUP(V904,products_master_corrected!$A$2:$A$151,products_master_corrected!$E$2:$E$151)</f>
        <v>30.67</v>
      </c>
      <c r="AD904" s="28">
        <f t="shared" si="104"/>
        <v>92.01</v>
      </c>
      <c r="AE904" s="28">
        <f t="array" ref="AE904">XLOOKUP(V904,products_master_corrected!$A$2:$A$151,products_master_corrected!$J$2:$J$151)</f>
        <v>35.77</v>
      </c>
      <c r="AF904" s="29">
        <f t="shared" si="105"/>
        <v>107.31</v>
      </c>
      <c r="AG904" s="32" t="s">
        <v>8656</v>
      </c>
      <c r="AH904" s="2" t="s">
        <v>485</v>
      </c>
      <c r="AI904" s="10" t="s">
        <v>181</v>
      </c>
      <c r="AJ904" s="2" t="s">
        <v>192</v>
      </c>
      <c r="AK904" s="10" t="s">
        <v>192</v>
      </c>
      <c r="AL904" s="2" t="s">
        <v>51</v>
      </c>
    </row>
    <row r="905" ht="15.75" customHeight="1">
      <c r="A905" s="2" t="s">
        <v>3866</v>
      </c>
      <c r="B905" s="12">
        <v>45235.0</v>
      </c>
      <c r="C905" s="2" t="str">
        <f>IFERROR(__xludf.DUMMYFUNCTION("IF(ISNUMBER(B905),TEXT(B905,""yyyy-MM-dd""),REGEXREPLACE(REGEXREPLACE(TO_TEXT(B905),""[^0-9a-zA-Z]+"",""-""),""[^0-9]*$"",""""))"),"2023-11-05")</f>
        <v>2023-11-05</v>
      </c>
      <c r="D905" s="2" t="s">
        <v>7797</v>
      </c>
      <c r="H905" s="10" t="s">
        <v>7797</v>
      </c>
      <c r="I905" s="2" t="s">
        <v>3868</v>
      </c>
      <c r="J905" s="26" t="str">
        <f t="array" ref="J905">IF(ISNA(XLOOKUP(I905,customers_clean!$A$2:$A$701,customers_clean!$A$2:$A$701, NA()) ),
   "❌ MISSING CUSTOMER", "✅")</f>
        <v>✅</v>
      </c>
      <c r="K905" s="2" t="str">
        <f t="array" ref="K905">XLOOKUP(I905,customers_clean!$A$2:$A$701,customers_clean!$C$2:$C$701)</f>
        <v>Daria Rossi</v>
      </c>
      <c r="L905" s="10" t="str">
        <f t="array" ref="L905">XLOOKUP(I905,customers_clean!$A$2:$A$701,customers_clean!$D$2:$D$701)</f>
        <v>Daria Rossi</v>
      </c>
      <c r="M905" s="2" t="str">
        <f t="array" ref="M905">XLOOKUP(I905,customers_clean!$A$2:$A$701,customers_clean!$I$2:$I$701)</f>
        <v/>
      </c>
      <c r="N905" s="10" t="str">
        <f t="array" ref="N905">XLOOKUP(I905,customers_clean!$A$2:$A$701,customers_clean!$H$2:$H$701)</f>
        <v/>
      </c>
      <c r="O905" s="9" t="str">
        <f>IFERROR(__xludf.DUMMYFUNCTION("IF(REGEXMATCH(TRIM(N905),""^[A-Za-z0-9._%+-]+@[A-Za-z0-9.-]+\.[A-Za-z]{2,}$""),""✅ Valid"",""❌ Invalid"")"),"❌ Invalid")</f>
        <v>❌ Invalid</v>
      </c>
      <c r="P905" s="2" t="str">
        <f t="array" ref="P905">XLOOKUP(I905,customers_clean!$A$2:$A$701,customers_clean!$K$2:$K$701)</f>
        <v>04200 455 960</v>
      </c>
      <c r="Q905" s="10" t="str">
        <f t="array" ref="Q905">XLOOKUP(I905,customers_clean!$A$2:$A$701,customers_clean!$N$2:$N$701)</f>
        <v/>
      </c>
      <c r="R905" s="9" t="str">
        <f t="array" ref="R905">XLOOKUP(I905,customers_clean!$A$2:$A$701,customers_clean!$Q$2:$Q$701)</f>
        <v/>
      </c>
      <c r="S905" s="31" t="s">
        <v>671</v>
      </c>
      <c r="T905" s="2" t="s">
        <v>26</v>
      </c>
      <c r="U905" s="2" t="s">
        <v>90</v>
      </c>
      <c r="V905" s="2" t="s">
        <v>889</v>
      </c>
      <c r="W905" s="9" t="str">
        <f t="array" ref="W905">IF(ISNA(XLOOKUP(V905,products_master_corrected!$A$2:$A$151,products_master_corrected!$A$2:$A$151, NA())),
    "❌ MISSING SKU", "✅")</f>
        <v>✅</v>
      </c>
      <c r="X905" s="2" t="s">
        <v>804</v>
      </c>
      <c r="Y905" s="2" t="s">
        <v>179</v>
      </c>
      <c r="Z905" s="10" t="s">
        <v>179</v>
      </c>
      <c r="AA905" s="27">
        <v>1.0</v>
      </c>
      <c r="AB905" s="9" t="s">
        <v>8649</v>
      </c>
      <c r="AC905" s="28">
        <f t="array" ref="AC905">XLOOKUP(V905,products_master_corrected!$A$2:$A$151,products_master_corrected!$E$2:$E$151)</f>
        <v>16.72</v>
      </c>
      <c r="AD905" s="28">
        <f t="shared" si="104"/>
        <v>16.72</v>
      </c>
      <c r="AE905" s="28">
        <f t="array" ref="AE905">XLOOKUP(V905,products_master_corrected!$A$2:$A$151,products_master_corrected!$J$2:$J$151)</f>
        <v>19.5</v>
      </c>
      <c r="AF905" s="29">
        <f t="shared" si="105"/>
        <v>19.5</v>
      </c>
      <c r="AG905" s="32" t="s">
        <v>8656</v>
      </c>
      <c r="AH905" s="2" t="s">
        <v>305</v>
      </c>
      <c r="AI905" s="10" t="s">
        <v>49</v>
      </c>
      <c r="AJ905" s="2" t="s">
        <v>527</v>
      </c>
      <c r="AK905" s="10" t="s">
        <v>192</v>
      </c>
    </row>
    <row r="906" ht="15.75" customHeight="1">
      <c r="A906" s="2" t="s">
        <v>1305</v>
      </c>
      <c r="B906" s="12">
        <v>44996.93194444444</v>
      </c>
      <c r="C906" s="2" t="str">
        <f>IFERROR(__xludf.DUMMYFUNCTION("IF(ISNUMBER(B906),TEXT(B906,""yyyy-MM-dd""),REGEXREPLACE(REGEXREPLACE(TO_TEXT(B906),""[^0-9a-zA-Z]+"",""-""),""[^0-9]*$"",""""))"),"2023-03-11")</f>
        <v>2023-03-11</v>
      </c>
      <c r="D906" s="2" t="s">
        <v>8975</v>
      </c>
      <c r="H906" s="10" t="s">
        <v>8975</v>
      </c>
      <c r="I906" s="2" t="s">
        <v>1307</v>
      </c>
      <c r="J906" s="26" t="str">
        <f t="array" ref="J906">IF(ISNA(XLOOKUP(I906,customers_clean!$A$2:$A$701,customers_clean!$A$2:$A$701, NA()) ),
   "❌ MISSING CUSTOMER", "✅")</f>
        <v>✅</v>
      </c>
      <c r="K906" s="2" t="str">
        <f t="array" ref="K906">XLOOKUP(I906,customers_clean!$A$2:$A$701,customers_clean!$C$2:$C$701)</f>
        <v> Igor Kowalczyk</v>
      </c>
      <c r="L906" s="10" t="str">
        <f t="array" ref="L906">XLOOKUP(I906,customers_clean!$A$2:$A$701,customers_clean!$D$2:$D$701)</f>
        <v>Igor Kowalczyk</v>
      </c>
      <c r="M906" s="2" t="str">
        <f t="array" ref="M906">XLOOKUP(I906,customers_clean!$A$2:$A$701,customers_clean!$I$2:$I$701)</f>
        <v> igor.kowalczyk@example.com</v>
      </c>
      <c r="N906" s="10" t="str">
        <f t="array" ref="N906">XLOOKUP(I906,customers_clean!$A$2:$A$701,customers_clean!$H$2:$H$701)</f>
        <v>igor.kowalczyk@example.com</v>
      </c>
      <c r="O906" s="9" t="str">
        <f>IFERROR(__xludf.DUMMYFUNCTION("IF(REGEXMATCH(TRIM(N906),""^[A-Za-z0-9._%+-]+@[A-Za-z0-9.-]+\.[A-Za-z]{2,}$""),""✅ Valid"",""❌ Invalid"")"),"✅ Valid")</f>
        <v>✅ Valid</v>
      </c>
      <c r="P906" s="2" t="str">
        <f t="array" ref="P906">XLOOKUP(I906,customers_clean!$A$2:$A$701,customers_clean!$K$2:$K$701)</f>
        <v>+398251232497</v>
      </c>
      <c r="Q906" s="10" t="str">
        <f t="array" ref="Q906">XLOOKUP(I906,customers_clean!$A$2:$A$701,customers_clean!$N$2:$N$701)</f>
        <v>8251232497</v>
      </c>
      <c r="R906" s="9" t="str">
        <f t="array" ref="R906">XLOOKUP(I906,customers_clean!$A$2:$A$701,customers_clean!$Q$2:$Q$701)</f>
        <v>❌ INVALID</v>
      </c>
      <c r="S906" s="10" t="s">
        <v>608</v>
      </c>
      <c r="T906" s="2" t="s">
        <v>42</v>
      </c>
      <c r="U906" s="2" t="s">
        <v>176</v>
      </c>
      <c r="V906" s="2" t="s">
        <v>325</v>
      </c>
      <c r="W906" s="9" t="str">
        <f t="array" ref="W906">IF(ISNA(XLOOKUP(V906,products_master_corrected!$A$2:$A$151,products_master_corrected!$A$2:$A$151, NA())),
    "❌ MISSING SKU", "✅")</f>
        <v>✅</v>
      </c>
      <c r="X906" s="2" t="s">
        <v>280</v>
      </c>
      <c r="Y906" s="2" t="s">
        <v>315</v>
      </c>
      <c r="Z906" s="10" t="s">
        <v>179</v>
      </c>
      <c r="AA906" s="27">
        <v>2.0</v>
      </c>
      <c r="AB906" s="9" t="s">
        <v>8649</v>
      </c>
      <c r="AC906" s="28">
        <f t="array" ref="AC906">XLOOKUP(V906,products_master_corrected!$A$2:$A$151,products_master_corrected!$E$2:$E$151)</f>
        <v>145.23</v>
      </c>
      <c r="AD906" s="28">
        <f t="shared" si="104"/>
        <v>290.46</v>
      </c>
      <c r="AE906" s="28">
        <f t="array" ref="AE906">XLOOKUP(V906,products_master_corrected!$A$2:$A$151,products_master_corrected!$H$2:$H$151)</f>
        <v>163.17</v>
      </c>
      <c r="AF906" s="29">
        <f t="shared" si="105"/>
        <v>326.34</v>
      </c>
      <c r="AG906" s="32" t="s">
        <v>8658</v>
      </c>
      <c r="AH906" s="2" t="s">
        <v>131</v>
      </c>
      <c r="AI906" s="10" t="s">
        <v>181</v>
      </c>
      <c r="AJ906" s="2" t="s">
        <v>1312</v>
      </c>
      <c r="AK906" s="10" t="s">
        <v>818</v>
      </c>
      <c r="AL906" s="2" t="s">
        <v>67</v>
      </c>
    </row>
    <row r="907" ht="15.75" customHeight="1">
      <c r="A907" s="2" t="s">
        <v>5810</v>
      </c>
      <c r="B907" s="12">
        <v>45843.0</v>
      </c>
      <c r="C907" s="2" t="str">
        <f>IFERROR(__xludf.DUMMYFUNCTION("IF(ISNUMBER(B907),TEXT(B907,""yyyy-MM-dd""),REGEXREPLACE(REGEXREPLACE(TO_TEXT(B907),""[^0-9a-zA-Z]+"",""-""),""[^0-9]*$"",""""))"),"2025-07-05")</f>
        <v>2025-07-05</v>
      </c>
      <c r="D907" s="2" t="s">
        <v>8976</v>
      </c>
      <c r="H907" s="10" t="s">
        <v>8976</v>
      </c>
      <c r="I907" s="2" t="s">
        <v>1307</v>
      </c>
      <c r="J907" s="26" t="str">
        <f t="array" ref="J907">IF(ISNA(XLOOKUP(I907,customers_clean!$A$2:$A$701,customers_clean!$A$2:$A$701, NA()) ),
   "❌ MISSING CUSTOMER", "✅")</f>
        <v>✅</v>
      </c>
      <c r="K907" s="2" t="str">
        <f t="array" ref="K907">XLOOKUP(I907,customers_clean!$A$2:$A$701,customers_clean!$C$2:$C$701)</f>
        <v> Igor Kowalczyk</v>
      </c>
      <c r="L907" s="10" t="str">
        <f t="array" ref="L907">XLOOKUP(I907,customers_clean!$A$2:$A$701,customers_clean!$D$2:$D$701)</f>
        <v>Igor Kowalczyk</v>
      </c>
      <c r="M907" s="2" t="str">
        <f t="array" ref="M907">XLOOKUP(I907,customers_clean!$A$2:$A$701,customers_clean!$I$2:$I$701)</f>
        <v> igor.kowalczyk@example.com</v>
      </c>
      <c r="N907" s="10" t="str">
        <f t="array" ref="N907">XLOOKUP(I907,customers_clean!$A$2:$A$701,customers_clean!$H$2:$H$701)</f>
        <v>igor.kowalczyk@example.com</v>
      </c>
      <c r="O907" s="9" t="str">
        <f>IFERROR(__xludf.DUMMYFUNCTION("IF(REGEXMATCH(TRIM(N907),""^[A-Za-z0-9._%+-]+@[A-Za-z0-9.-]+\.[A-Za-z]{2,}$""),""✅ Valid"",""❌ Invalid"")"),"✅ Valid")</f>
        <v>✅ Valid</v>
      </c>
      <c r="P907" s="2" t="str">
        <f t="array" ref="P907">XLOOKUP(I907,customers_clean!$A$2:$A$701,customers_clean!$K$2:$K$701)</f>
        <v>+398251232497</v>
      </c>
      <c r="Q907" s="10" t="str">
        <f t="array" ref="Q907">XLOOKUP(I907,customers_clean!$A$2:$A$701,customers_clean!$N$2:$N$701)</f>
        <v>8251232497</v>
      </c>
      <c r="R907" s="9" t="str">
        <f t="array" ref="R907">XLOOKUP(I907,customers_clean!$A$2:$A$701,customers_clean!$Q$2:$Q$701)</f>
        <v>❌ INVALID</v>
      </c>
      <c r="S907" s="10" t="s">
        <v>608</v>
      </c>
      <c r="T907" s="2" t="s">
        <v>234</v>
      </c>
      <c r="U907" s="2" t="s">
        <v>103</v>
      </c>
      <c r="V907" s="2" t="s">
        <v>1748</v>
      </c>
      <c r="W907" s="9" t="str">
        <f t="array" ref="W907">IF(ISNA(XLOOKUP(V907,products_master_corrected!$A$2:$A$151,products_master_corrected!$A$2:$A$151, NA())),
    "❌ MISSING SKU", "✅")</f>
        <v>✅</v>
      </c>
      <c r="X907" s="2" t="s">
        <v>62</v>
      </c>
      <c r="Y907" s="2" t="s">
        <v>315</v>
      </c>
      <c r="Z907" s="10" t="s">
        <v>179</v>
      </c>
      <c r="AA907" s="27">
        <v>2.0</v>
      </c>
      <c r="AB907" s="9" t="s">
        <v>8649</v>
      </c>
      <c r="AC907" s="28">
        <f t="array" ref="AC907">XLOOKUP(V907,products_master_corrected!$A$2:$A$151,products_master_corrected!$E$2:$E$151)</f>
        <v>94.26</v>
      </c>
      <c r="AD907" s="28">
        <f t="shared" si="104"/>
        <v>188.52</v>
      </c>
      <c r="AE907" s="28">
        <f t="array" ref="AE907">XLOOKUP(V907,products_master_corrected!$A$2:$A$151,products_master_corrected!$H$2:$H$151)</f>
        <v>105.9</v>
      </c>
      <c r="AF907" s="29">
        <f t="shared" si="105"/>
        <v>211.8</v>
      </c>
      <c r="AG907" s="32" t="s">
        <v>8658</v>
      </c>
      <c r="AH907" s="2" t="s">
        <v>66</v>
      </c>
      <c r="AI907" s="10" t="s">
        <v>66</v>
      </c>
      <c r="AJ907" s="2" t="s">
        <v>432</v>
      </c>
      <c r="AK907" s="10" t="s">
        <v>80</v>
      </c>
    </row>
    <row r="908" ht="15.75" customHeight="1">
      <c r="A908" s="2" t="s">
        <v>2798</v>
      </c>
      <c r="B908" s="12">
        <v>45232.0</v>
      </c>
      <c r="C908" s="2" t="str">
        <f>IFERROR(__xludf.DUMMYFUNCTION("IF(ISNUMBER(B908),TEXT(B908,""yyyy-MM-dd""),REGEXREPLACE(REGEXREPLACE(TO_TEXT(B908),""[^0-9a-zA-Z]+"",""-""),""[^0-9]*$"",""""))"),"2023-11-02")</f>
        <v>2023-11-02</v>
      </c>
      <c r="D908" s="2" t="s">
        <v>8623</v>
      </c>
      <c r="H908" s="10" t="s">
        <v>8623</v>
      </c>
      <c r="I908" s="2" t="s">
        <v>716</v>
      </c>
      <c r="J908" s="26" t="str">
        <f t="array" ref="J908">IF(ISNA(XLOOKUP(I908,customers_clean!$A$2:$A$701,customers_clean!$A$2:$A$701, NA()) ),
   "❌ MISSING CUSTOMER", "✅")</f>
        <v>✅</v>
      </c>
      <c r="K908" s="2" t="str">
        <f t="array" ref="K908">XLOOKUP(I908,customers_clean!$A$2:$A$701,customers_clean!$C$2:$C$701)</f>
        <v>Xenia  Lee</v>
      </c>
      <c r="L908" s="10" t="str">
        <f t="array" ref="L908">XLOOKUP(I908,customers_clean!$A$2:$A$701,customers_clean!$D$2:$D$701)</f>
        <v>Xenia Lee</v>
      </c>
      <c r="M908" s="2" t="str">
        <f t="array" ref="M908">XLOOKUP(I908,customers_clean!$A$2:$A$701,customers_clean!$I$2:$I$701)</f>
        <v>xenia.lee@example.com</v>
      </c>
      <c r="N908" s="10" t="str">
        <f t="array" ref="N908">XLOOKUP(I908,customers_clean!$A$2:$A$701,customers_clean!$H$2:$H$701)</f>
        <v>xenia.lee@example.com</v>
      </c>
      <c r="O908" s="9" t="str">
        <f>IFERROR(__xludf.DUMMYFUNCTION("IF(REGEXMATCH(TRIM(N908),""^[A-Za-z0-9._%+-]+@[A-Za-z0-9.-]+\.[A-Za-z]{2,}$""),""✅ Valid"",""❌ Invalid"")"),"✅ Valid")</f>
        <v>✅ Valid</v>
      </c>
      <c r="P908" s="33" t="str">
        <f t="array" ref="P908">XLOOKUP(I908,customers_clean!$A$2:$A$701,customers_clean!$K$2:$K$701)</f>
        <v>+48+302608781</v>
      </c>
      <c r="Q908" s="10" t="str">
        <f t="array" ref="Q908">XLOOKUP(I908,customers_clean!$A$2:$A$701,customers_clean!$N$2:$N$701)</f>
        <v>302608781</v>
      </c>
      <c r="R908" s="9" t="str">
        <f t="array" ref="R908">XLOOKUP(I908,customers_clean!$A$2:$A$701,customers_clean!$Q$2:$Q$701)</f>
        <v>❌ INVALID</v>
      </c>
      <c r="S908" s="10" t="s">
        <v>88</v>
      </c>
      <c r="T908" s="2" t="s">
        <v>210</v>
      </c>
      <c r="U908" s="2" t="s">
        <v>2800</v>
      </c>
      <c r="V908" s="2" t="s">
        <v>513</v>
      </c>
      <c r="W908" s="9" t="str">
        <f t="array" ref="W908">IF(ISNA(XLOOKUP(V908,products_master_corrected!$A$2:$A$151,products_master_corrected!$A$2:$A$151, NA())),
    "❌ MISSING SKU", "✅")</f>
        <v>✅</v>
      </c>
      <c r="X908" s="2" t="s">
        <v>8673</v>
      </c>
      <c r="Y908" s="2" t="s">
        <v>514</v>
      </c>
      <c r="Z908" s="10" t="s">
        <v>514</v>
      </c>
      <c r="AA908" s="27">
        <v>5.0</v>
      </c>
      <c r="AB908" s="9" t="s">
        <v>8649</v>
      </c>
      <c r="AC908" s="28">
        <f t="array" ref="AC908">XLOOKUP(V908,products_master_corrected!$A$2:$A$151,products_master_corrected!$E$2:$E$151)</f>
        <v>275.56</v>
      </c>
      <c r="AD908" s="28">
        <f t="shared" si="104"/>
        <v>1377.8</v>
      </c>
      <c r="AE908" s="28">
        <f t="array" ref="AE908">XLOOKUP(V908,products_master_corrected!$A$2:$A$151,products_master_corrected!$I$2:$I$151)</f>
        <v>303.78</v>
      </c>
      <c r="AF908" s="29">
        <f t="shared" si="105"/>
        <v>1518.9</v>
      </c>
      <c r="AG908" s="32" t="s">
        <v>8660</v>
      </c>
      <c r="AH908" s="2" t="s">
        <v>664</v>
      </c>
      <c r="AI908" s="10" t="s">
        <v>66</v>
      </c>
      <c r="AJ908" s="2" t="s">
        <v>2802</v>
      </c>
      <c r="AK908" s="10" t="s">
        <v>818</v>
      </c>
      <c r="AL908" s="2" t="s">
        <v>81</v>
      </c>
    </row>
    <row r="909" ht="15.75" customHeight="1">
      <c r="A909" s="2" t="s">
        <v>714</v>
      </c>
      <c r="B909" s="12">
        <v>45681.0</v>
      </c>
      <c r="C909" s="2" t="str">
        <f>IFERROR(__xludf.DUMMYFUNCTION("IF(ISNUMBER(B909),TEXT(B909,""yyyy-MM-dd""),REGEXREPLACE(REGEXREPLACE(TO_TEXT(B909),""[^0-9a-zA-Z]+"",""-""),""[^0-9]*$"",""""))"),"2025-01-24")</f>
        <v>2025-01-24</v>
      </c>
      <c r="D909" s="2" t="s">
        <v>8787</v>
      </c>
      <c r="H909" s="10" t="s">
        <v>8787</v>
      </c>
      <c r="I909" s="2" t="s">
        <v>716</v>
      </c>
      <c r="J909" s="26" t="str">
        <f t="array" ref="J909">IF(ISNA(XLOOKUP(I909,customers_clean!$A$2:$A$701,customers_clean!$A$2:$A$701, NA()) ),
   "❌ MISSING CUSTOMER", "✅")</f>
        <v>✅</v>
      </c>
      <c r="K909" s="2" t="str">
        <f t="array" ref="K909">XLOOKUP(I909,customers_clean!$A$2:$A$701,customers_clean!$C$2:$C$701)</f>
        <v>Xenia  Lee</v>
      </c>
      <c r="L909" s="10" t="str">
        <f t="array" ref="L909">XLOOKUP(I909,customers_clean!$A$2:$A$701,customers_clean!$D$2:$D$701)</f>
        <v>Xenia Lee</v>
      </c>
      <c r="M909" s="2" t="str">
        <f t="array" ref="M909">XLOOKUP(I909,customers_clean!$A$2:$A$701,customers_clean!$I$2:$I$701)</f>
        <v>xenia.lee@example.com</v>
      </c>
      <c r="N909" s="10" t="str">
        <f t="array" ref="N909">XLOOKUP(I909,customers_clean!$A$2:$A$701,customers_clean!$H$2:$H$701)</f>
        <v>xenia.lee@example.com</v>
      </c>
      <c r="O909" s="9" t="str">
        <f>IFERROR(__xludf.DUMMYFUNCTION("IF(REGEXMATCH(TRIM(N909),""^[A-Za-z0-9._%+-]+@[A-Za-z0-9.-]+\.[A-Za-z]{2,}$""),""✅ Valid"",""❌ Invalid"")"),"✅ Valid")</f>
        <v>✅ Valid</v>
      </c>
      <c r="P909" s="33" t="str">
        <f t="array" ref="P909">XLOOKUP(I909,customers_clean!$A$2:$A$701,customers_clean!$K$2:$K$701)</f>
        <v>+48+302608781</v>
      </c>
      <c r="Q909" s="10" t="str">
        <f t="array" ref="Q909">XLOOKUP(I909,customers_clean!$A$2:$A$701,customers_clean!$N$2:$N$701)</f>
        <v>302608781</v>
      </c>
      <c r="R909" s="9" t="str">
        <f t="array" ref="R909">XLOOKUP(I909,customers_clean!$A$2:$A$701,customers_clean!$Q$2:$Q$701)</f>
        <v>❌ INVALID</v>
      </c>
      <c r="S909" s="10" t="s">
        <v>88</v>
      </c>
      <c r="T909" s="2" t="s">
        <v>42</v>
      </c>
      <c r="U909" s="2" t="s">
        <v>116</v>
      </c>
      <c r="V909" s="2" t="s">
        <v>721</v>
      </c>
      <c r="W909" s="9" t="str">
        <f t="array" ref="W909">IF(ISNA(XLOOKUP(V909,products_master_corrected!$A$2:$A$151,products_master_corrected!$A$2:$A$151, NA())),
    "❌ MISSING SKU", "✅")</f>
        <v>✅</v>
      </c>
      <c r="X909" s="2" t="s">
        <v>259</v>
      </c>
      <c r="Y909" s="2" t="s">
        <v>179</v>
      </c>
      <c r="Z909" s="10" t="s">
        <v>179</v>
      </c>
      <c r="AA909" s="27">
        <v>1.0</v>
      </c>
      <c r="AB909" s="9" t="s">
        <v>8649</v>
      </c>
      <c r="AC909" s="28">
        <f t="array" ref="AC909">XLOOKUP(V909,products_master_corrected!$A$2:$A$151,products_master_corrected!$E$2:$E$151)</f>
        <v>20.42</v>
      </c>
      <c r="AD909" s="28">
        <f t="shared" si="104"/>
        <v>20.42</v>
      </c>
      <c r="AE909" s="28">
        <f t="array" ref="AE909">XLOOKUP(V909,products_master_corrected!$A$2:$A$151,products_master_corrected!$I$2:$I$151)</f>
        <v>22.51</v>
      </c>
      <c r="AF909" s="29">
        <f t="shared" si="105"/>
        <v>22.51</v>
      </c>
      <c r="AG909" s="32" t="s">
        <v>8660</v>
      </c>
      <c r="AH909" s="2" t="s">
        <v>143</v>
      </c>
      <c r="AI909" s="10" t="s">
        <v>143</v>
      </c>
      <c r="AJ909" s="2" t="s">
        <v>294</v>
      </c>
      <c r="AK909" s="10" t="s">
        <v>80</v>
      </c>
      <c r="AL909" s="2" t="s">
        <v>67</v>
      </c>
    </row>
    <row r="910" ht="15.75" customHeight="1">
      <c r="A910" s="2" t="s">
        <v>4293</v>
      </c>
      <c r="B910" s="12" t="s">
        <v>4294</v>
      </c>
      <c r="C910" s="2" t="str">
        <f>IFERROR(__xludf.DUMMYFUNCTION("IF(ISNUMBER(B910),TEXT(B910,""yyyy-MM-dd""),REGEXREPLACE(REGEXREPLACE(TO_TEXT(B910),""[^0-9a-zA-Z]+"",""-""),""[^0-9]*$"",""""))"),"45467-21-08")</f>
        <v>45467-21-08</v>
      </c>
      <c r="D910" s="2" t="str">
        <f>TEXT(C910,"yyyy-MM-dd")</f>
        <v>45467-21-08</v>
      </c>
      <c r="E910" s="25" t="str">
        <f>CONCATENATE(LEFT(D910,5))</f>
        <v>45467</v>
      </c>
      <c r="F910" s="12">
        <f>DATE(1900,1,1) + E910 - 1</f>
        <v>45468</v>
      </c>
      <c r="G910" s="2" t="s">
        <v>475</v>
      </c>
      <c r="H910" s="10" t="s">
        <v>475</v>
      </c>
      <c r="I910" s="2" t="s">
        <v>4295</v>
      </c>
      <c r="J910" s="26" t="str">
        <f t="array" ref="J910">IF(ISNA(XLOOKUP(I910,customers_clean!$A$2:$A$701,customers_clean!$A$2:$A$701, NA()) ),
   "❌ MISSING CUSTOMER", "✅")</f>
        <v>✅</v>
      </c>
      <c r="K910" s="2" t="str">
        <f t="array" ref="K910">XLOOKUP(I910,customers_clean!$A$2:$A$701,customers_clean!$C$2:$C$701)</f>
        <v>Carlos Walker</v>
      </c>
      <c r="L910" s="10" t="str">
        <f t="array" ref="L910">XLOOKUP(I910,customers_clean!$A$2:$A$701,customers_clean!$D$2:$D$701)</f>
        <v>Carlos Walker</v>
      </c>
      <c r="M910" s="2" t="str">
        <f t="array" ref="M910">XLOOKUP(I910,customers_clean!$A$2:$A$701,customers_clean!$I$2:$I$701)</f>
        <v> carlos.walker@yahoo.com</v>
      </c>
      <c r="N910" s="10" t="str">
        <f t="array" ref="N910">XLOOKUP(I910,customers_clean!$A$2:$A$701,customers_clean!$H$2:$H$701)</f>
        <v>carlos.walker@yahoo.com</v>
      </c>
      <c r="O910" s="9" t="str">
        <f>IFERROR(__xludf.DUMMYFUNCTION("IF(REGEXMATCH(TRIM(N910),""^[A-Za-z0-9._%+-]+@[A-Za-z0-9.-]+\.[A-Za-z]{2,}$""),""✅ Valid"",""❌ Invalid"")"),"✅ Valid")</f>
        <v>✅ Valid</v>
      </c>
      <c r="P910" s="2">
        <f t="array" ref="P910">XLOOKUP(I910,customers_clean!$A$2:$A$701,customers_clean!$K$2:$K$701)</f>
        <v>569712514</v>
      </c>
      <c r="Q910" s="10" t="str">
        <f t="array" ref="Q910">XLOOKUP(I910,customers_clean!$A$2:$A$701,customers_clean!$N$2:$N$701)</f>
        <v>569712514</v>
      </c>
      <c r="R910" s="9" t="str">
        <f t="array" ref="R910">XLOOKUP(I910,customers_clean!$A$2:$A$701,customers_clean!$Q$2:$Q$701)</f>
        <v>❌ INVALID</v>
      </c>
      <c r="S910" s="10" t="s">
        <v>114</v>
      </c>
      <c r="T910" s="2" t="s">
        <v>234</v>
      </c>
      <c r="U910" s="2" t="s">
        <v>4299</v>
      </c>
      <c r="V910" s="2" t="s">
        <v>313</v>
      </c>
      <c r="W910" s="9" t="str">
        <f t="array" ref="W910">IF(ISNA(XLOOKUP(V910,products_master_corrected!$A$2:$A$151,products_master_corrected!$A$2:$A$151, NA())),
    "❌ MISSING SKU", "✅")</f>
        <v>✅</v>
      </c>
      <c r="X910" s="2" t="s">
        <v>768</v>
      </c>
      <c r="Y910" s="2" t="s">
        <v>315</v>
      </c>
      <c r="Z910" s="10" t="s">
        <v>179</v>
      </c>
      <c r="AA910" s="27">
        <v>3.0</v>
      </c>
      <c r="AB910" s="9" t="s">
        <v>8649</v>
      </c>
      <c r="AC910" s="28">
        <f t="array" ref="AC910">XLOOKUP(V910,products_master_corrected!$A$2:$A$151,products_master_corrected!$E$2:$E$151)</f>
        <v>47.55</v>
      </c>
      <c r="AD910" s="28">
        <f t="shared" si="104"/>
        <v>142.65</v>
      </c>
      <c r="AE910" s="28">
        <f t="array" ref="AE910">XLOOKUP(V910,products_master_corrected!$A$2:$A$151,products_master_corrected!$F$2:$F$151)</f>
        <v>47.55</v>
      </c>
      <c r="AF910" s="29">
        <f t="shared" si="105"/>
        <v>142.65</v>
      </c>
      <c r="AG910" s="30" t="s">
        <v>65</v>
      </c>
      <c r="AH910" s="2" t="s">
        <v>505</v>
      </c>
      <c r="AI910" s="10" t="s">
        <v>181</v>
      </c>
      <c r="AJ910" s="2" t="s">
        <v>251</v>
      </c>
      <c r="AK910" s="10" t="s">
        <v>192</v>
      </c>
      <c r="AL910" s="2" t="s">
        <v>133</v>
      </c>
    </row>
    <row r="911" ht="15.75" customHeight="1">
      <c r="A911" s="2" t="s">
        <v>4653</v>
      </c>
      <c r="B911" s="12">
        <v>45322.0</v>
      </c>
      <c r="C911" s="2" t="str">
        <f>IFERROR(__xludf.DUMMYFUNCTION("IF(ISNUMBER(B911),TEXT(B911,""yyyy-MM-dd""),REGEXREPLACE(REGEXREPLACE(TO_TEXT(B911),""[^0-9a-zA-Z]+"",""-""),""[^0-9]*$"",""""))"),"2024-01-31")</f>
        <v>2024-01-31</v>
      </c>
      <c r="D911" s="2" t="s">
        <v>3044</v>
      </c>
      <c r="H911" s="10" t="s">
        <v>3044</v>
      </c>
      <c r="I911" s="2" t="s">
        <v>4295</v>
      </c>
      <c r="J911" s="26" t="str">
        <f t="array" ref="J911">IF(ISNA(XLOOKUP(I911,customers_clean!$A$2:$A$701,customers_clean!$A$2:$A$701, NA()) ),
   "❌ MISSING CUSTOMER", "✅")</f>
        <v>✅</v>
      </c>
      <c r="K911" s="2" t="str">
        <f t="array" ref="K911">XLOOKUP(I911,customers_clean!$A$2:$A$701,customers_clean!$C$2:$C$701)</f>
        <v>Carlos Walker</v>
      </c>
      <c r="L911" s="10" t="str">
        <f t="array" ref="L911">XLOOKUP(I911,customers_clean!$A$2:$A$701,customers_clean!$D$2:$D$701)</f>
        <v>Carlos Walker</v>
      </c>
      <c r="M911" s="2" t="str">
        <f t="array" ref="M911">XLOOKUP(I911,customers_clean!$A$2:$A$701,customers_clean!$I$2:$I$701)</f>
        <v> carlos.walker@yahoo.com</v>
      </c>
      <c r="N911" s="10" t="str">
        <f t="array" ref="N911">XLOOKUP(I911,customers_clean!$A$2:$A$701,customers_clean!$H$2:$H$701)</f>
        <v>carlos.walker@yahoo.com</v>
      </c>
      <c r="O911" s="9" t="str">
        <f>IFERROR(__xludf.DUMMYFUNCTION("IF(REGEXMATCH(TRIM(N911),""^[A-Za-z0-9._%+-]+@[A-Za-z0-9.-]+\.[A-Za-z]{2,}$""),""✅ Valid"",""❌ Invalid"")"),"✅ Valid")</f>
        <v>✅ Valid</v>
      </c>
      <c r="P911" s="2">
        <f t="array" ref="P911">XLOOKUP(I911,customers_clean!$A$2:$A$701,customers_clean!$K$2:$K$701)</f>
        <v>569712514</v>
      </c>
      <c r="Q911" s="10" t="str">
        <f t="array" ref="Q911">XLOOKUP(I911,customers_clean!$A$2:$A$701,customers_clean!$N$2:$N$701)</f>
        <v>569712514</v>
      </c>
      <c r="R911" s="9" t="str">
        <f t="array" ref="R911">XLOOKUP(I911,customers_clean!$A$2:$A$701,customers_clean!$Q$2:$Q$701)</f>
        <v>❌ INVALID</v>
      </c>
      <c r="S911" s="10" t="s">
        <v>114</v>
      </c>
      <c r="T911" s="2" t="s">
        <v>851</v>
      </c>
      <c r="U911" s="2" t="s">
        <v>60</v>
      </c>
      <c r="V911" s="2" t="s">
        <v>140</v>
      </c>
      <c r="W911" s="9" t="str">
        <f t="array" ref="W911">IF(ISNA(XLOOKUP(V911,products_master_corrected!$A$2:$A$151,products_master_corrected!$A$2:$A$151, NA())),
    "❌ MISSING SKU", "✅")</f>
        <v>✅</v>
      </c>
      <c r="X911" s="2" t="s">
        <v>741</v>
      </c>
      <c r="Y911" s="2" t="s">
        <v>63</v>
      </c>
      <c r="Z911" s="10" t="s">
        <v>63</v>
      </c>
      <c r="AA911" s="27">
        <v>1.0</v>
      </c>
      <c r="AB911" s="9" t="s">
        <v>8649</v>
      </c>
      <c r="AC911" s="28">
        <f t="array" ref="AC911">XLOOKUP(V911,products_master_corrected!$A$2:$A$151,products_master_corrected!$E$2:$E$151)</f>
        <v>30.67</v>
      </c>
      <c r="AD911" s="28">
        <f t="shared" si="104"/>
        <v>30.67</v>
      </c>
      <c r="AE911" s="28">
        <f t="array" ref="AE911">XLOOKUP(V911,products_master_corrected!$A$2:$A$151,products_master_corrected!$F$2:$F$151)</f>
        <v>30.67</v>
      </c>
      <c r="AF911" s="29">
        <f t="shared" si="105"/>
        <v>30.67</v>
      </c>
      <c r="AG911" s="30" t="s">
        <v>65</v>
      </c>
      <c r="AH911" s="2" t="s">
        <v>370</v>
      </c>
      <c r="AI911" s="10" t="s">
        <v>143</v>
      </c>
      <c r="AJ911" s="2" t="s">
        <v>2855</v>
      </c>
      <c r="AK911" s="10" t="s">
        <v>261</v>
      </c>
    </row>
    <row r="912" ht="15.75" customHeight="1">
      <c r="A912" s="2" t="s">
        <v>3816</v>
      </c>
      <c r="B912" s="12">
        <v>44966.72986111111</v>
      </c>
      <c r="C912" s="2" t="str">
        <f>IFERROR(__xludf.DUMMYFUNCTION("IF(ISNUMBER(B912),TEXT(B912,""yyyy-MM-dd""),REGEXREPLACE(REGEXREPLACE(TO_TEXT(B912),""[^0-9a-zA-Z]+"",""-""),""[^0-9]*$"",""""))"),"2023-02-09")</f>
        <v>2023-02-09</v>
      </c>
      <c r="D912" s="2" t="s">
        <v>8977</v>
      </c>
      <c r="H912" s="10" t="s">
        <v>8977</v>
      </c>
      <c r="I912" s="2" t="s">
        <v>3818</v>
      </c>
      <c r="J912" s="26" t="str">
        <f t="array" ref="J912">IF(ISNA(XLOOKUP(I912,customers_clean!$A$2:$A$701,customers_clean!$A$2:$A$701, NA()) ),
   "❌ MISSING CUSTOMER", "✅")</f>
        <v>✅</v>
      </c>
      <c r="K912" s="2" t="str">
        <f t="array" ref="K912">XLOOKUP(I912,customers_clean!$A$2:$A$701,customers_clean!$C$2:$C$701)</f>
        <v>Uma Lee</v>
      </c>
      <c r="L912" s="10" t="str">
        <f t="array" ref="L912">XLOOKUP(I912,customers_clean!$A$2:$A$701,customers_clean!$D$2:$D$701)</f>
        <v>Uma Lee</v>
      </c>
      <c r="M912" s="2" t="str">
        <f t="array" ref="M912">XLOOKUP(I912,customers_clean!$A$2:$A$701,customers_clean!$I$2:$I$701)</f>
        <v>UMA.LEE@COMPANY.CO.UK</v>
      </c>
      <c r="N912" s="10" t="str">
        <f t="array" ref="N912">XLOOKUP(I912,customers_clean!$A$2:$A$701,customers_clean!$H$2:$H$701)</f>
        <v>uma.lee@company.co.uk</v>
      </c>
      <c r="O912" s="9" t="str">
        <f>IFERROR(__xludf.DUMMYFUNCTION("IF(REGEXMATCH(TRIM(N912),""^[A-Za-z0-9._%+-]+@[A-Za-z0-9.-]+\.[A-Za-z]{2,}$""),""✅ Valid"",""❌ Invalid"")"),"✅ Valid")</f>
        <v>✅ Valid</v>
      </c>
      <c r="P912" s="2">
        <f t="array" ref="P912">XLOOKUP(I912,customers_clean!$A$2:$A$701,customers_clean!$K$2:$K$701)</f>
        <v>498802743537</v>
      </c>
      <c r="Q912" s="10" t="str">
        <f t="array" ref="Q912">XLOOKUP(I912,customers_clean!$A$2:$A$701,customers_clean!$N$2:$N$701)</f>
        <v>8802743537</v>
      </c>
      <c r="R912" s="9" t="str">
        <f t="array" ref="R912">XLOOKUP(I912,customers_clean!$A$2:$A$701,customers_clean!$Q$2:$Q$701)</f>
        <v>❌ INVALID</v>
      </c>
      <c r="S912" s="10" t="s">
        <v>88</v>
      </c>
      <c r="T912" s="2" t="s">
        <v>115</v>
      </c>
      <c r="U912" s="2" t="s">
        <v>289</v>
      </c>
      <c r="V912" s="2" t="s">
        <v>3172</v>
      </c>
      <c r="W912" s="9" t="str">
        <f t="array" ref="W912">IF(ISNA(XLOOKUP(V912,products_master_corrected!$A$2:$A$151,products_master_corrected!$A$2:$A$151, NA())),
    "❌ MISSING SKU", "✅")</f>
        <v>✅</v>
      </c>
      <c r="X912" s="2" t="s">
        <v>8765</v>
      </c>
      <c r="Y912" s="2" t="s">
        <v>355</v>
      </c>
      <c r="Z912" s="10" t="s">
        <v>355</v>
      </c>
      <c r="AA912" s="27">
        <v>1.0</v>
      </c>
      <c r="AB912" s="9" t="s">
        <v>8649</v>
      </c>
      <c r="AC912" s="28">
        <f t="array" ref="AC912">XLOOKUP(V912,products_master_corrected!$A$2:$A$151,products_master_corrected!$E$2:$E$151)</f>
        <v>107.38</v>
      </c>
      <c r="AD912" s="28">
        <f t="shared" si="104"/>
        <v>107.38</v>
      </c>
      <c r="AE912" s="28">
        <f t="array" ref="AE912">XLOOKUP(V912,products_master_corrected!$A$2:$A$151,products_master_corrected!$I$2:$I$151)</f>
        <v>118.38</v>
      </c>
      <c r="AF912" s="29">
        <f t="shared" si="105"/>
        <v>118.38</v>
      </c>
      <c r="AG912" s="32" t="s">
        <v>8660</v>
      </c>
      <c r="AH912" s="2" t="s">
        <v>157</v>
      </c>
      <c r="AI912" s="10" t="s">
        <v>143</v>
      </c>
      <c r="AJ912" s="2" t="s">
        <v>50</v>
      </c>
      <c r="AK912" s="10" t="s">
        <v>261</v>
      </c>
      <c r="AL912" s="2" t="s">
        <v>67</v>
      </c>
    </row>
    <row r="913" ht="15.75" customHeight="1">
      <c r="A913" s="2" t="s">
        <v>2981</v>
      </c>
      <c r="B913" s="12">
        <v>45261.0</v>
      </c>
      <c r="C913" s="2" t="str">
        <f>IFERROR(__xludf.DUMMYFUNCTION("IF(ISNUMBER(B913),TEXT(B913,""yyyy-MM-dd""),REGEXREPLACE(REGEXREPLACE(TO_TEXT(B913),""[^0-9a-zA-Z]+"",""-""),""[^0-9]*$"",""""))"),"2023-12-01")</f>
        <v>2023-12-01</v>
      </c>
      <c r="D913" s="2" t="s">
        <v>8390</v>
      </c>
      <c r="H913" s="10" t="s">
        <v>8390</v>
      </c>
      <c r="I913" s="2" t="s">
        <v>2983</v>
      </c>
      <c r="J913" s="26" t="str">
        <f t="array" ref="J913">IF(ISNA(XLOOKUP(I913,customers_clean!$A$2:$A$701,customers_clean!$A$2:$A$701, NA()) ),
   "❌ MISSING CUSTOMER", "✅")</f>
        <v>✅</v>
      </c>
      <c r="K913" s="2" t="str">
        <f t="array" ref="K913">XLOOKUP(I913,customers_clean!$A$2:$A$701,customers_clean!$C$2:$C$701)</f>
        <v>Yara Young</v>
      </c>
      <c r="L913" s="10" t="str">
        <f t="array" ref="L913">XLOOKUP(I913,customers_clean!$A$2:$A$701,customers_clean!$D$2:$D$701)</f>
        <v>Yara Young</v>
      </c>
      <c r="M913" s="2" t="str">
        <f t="array" ref="M913">XLOOKUP(I913,customers_clean!$A$2:$A$701,customers_clean!$I$2:$I$701)</f>
        <v>yara.young@company.co.uk</v>
      </c>
      <c r="N913" s="10" t="str">
        <f t="array" ref="N913">XLOOKUP(I913,customers_clean!$A$2:$A$701,customers_clean!$H$2:$H$701)</f>
        <v>yara.young@company.co.uk</v>
      </c>
      <c r="O913" s="9" t="str">
        <f>IFERROR(__xludf.DUMMYFUNCTION("IF(REGEXMATCH(TRIM(N913),""^[A-Za-z0-9._%+-]+@[A-Za-z0-9.-]+\.[A-Za-z]{2,}$""),""✅ Valid"",""❌ Invalid"")"),"✅ Valid")</f>
        <v>✅ Valid</v>
      </c>
      <c r="P913" s="2" t="str">
        <f t="array" ref="P913">XLOOKUP(I913,customers_clean!$A$2:$A$701,customers_clean!$K$2:$K$701)</f>
        <v>(306) 27085</v>
      </c>
      <c r="Q913" s="10" t="str">
        <f t="array" ref="Q913">XLOOKUP(I913,customers_clean!$A$2:$A$701,customers_clean!$N$2:$N$701)</f>
        <v>30627085</v>
      </c>
      <c r="R913" s="9" t="str">
        <f t="array" ref="R913">XLOOKUP(I913,customers_clean!$A$2:$A$701,customers_clean!$Q$2:$Q$701)</f>
        <v>❌ INVALID</v>
      </c>
      <c r="S913" s="10" t="s">
        <v>448</v>
      </c>
      <c r="T913" s="2" t="s">
        <v>2987</v>
      </c>
      <c r="U913" s="2" t="s">
        <v>90</v>
      </c>
      <c r="V913" s="2" t="s">
        <v>965</v>
      </c>
      <c r="W913" s="9" t="str">
        <f t="array" ref="W913">IF(ISNA(XLOOKUP(V913,products_master_corrected!$A$2:$A$151,products_master_corrected!$A$2:$A$151, NA())),
    "❌ MISSING SKU", "✅")</f>
        <v>✅</v>
      </c>
      <c r="X913" s="2" t="s">
        <v>966</v>
      </c>
      <c r="Y913" s="2" t="s">
        <v>967</v>
      </c>
      <c r="Z913" s="10" t="s">
        <v>248</v>
      </c>
      <c r="AA913" s="27">
        <v>1.0</v>
      </c>
      <c r="AB913" s="9" t="s">
        <v>8649</v>
      </c>
      <c r="AC913" s="28">
        <f t="array" ref="AC913">XLOOKUP(V913,products_master_corrected!$A$2:$A$151,products_master_corrected!$E$2:$E$151)</f>
        <v>74.59</v>
      </c>
      <c r="AD913" s="28">
        <f t="shared" si="104"/>
        <v>74.59</v>
      </c>
      <c r="AE913" s="28">
        <f t="array" ref="AE913">XLOOKUP(V913,products_master_corrected!$A$2:$A$151,products_master_corrected!$M$2:$M$151)</f>
        <v>90.22</v>
      </c>
      <c r="AF913" s="29">
        <f t="shared" si="105"/>
        <v>90.22</v>
      </c>
      <c r="AG913" s="30" t="s">
        <v>48</v>
      </c>
      <c r="AH913" s="2" t="s">
        <v>370</v>
      </c>
      <c r="AI913" s="10" t="s">
        <v>143</v>
      </c>
      <c r="AJ913" s="2" t="s">
        <v>432</v>
      </c>
      <c r="AK913" s="10" t="s">
        <v>80</v>
      </c>
    </row>
    <row r="914" ht="15.75" customHeight="1">
      <c r="A914" s="2" t="s">
        <v>3552</v>
      </c>
      <c r="B914" s="12">
        <v>45604.33125</v>
      </c>
      <c r="C914" s="2" t="str">
        <f>IFERROR(__xludf.DUMMYFUNCTION("IF(ISNUMBER(B914),TEXT(B914,""yyyy-MM-dd""),REGEXREPLACE(REGEXREPLACE(TO_TEXT(B914),""[^0-9a-zA-Z]+"",""-""),""[^0-9]*$"",""""))"),"2024-11-08")</f>
        <v>2024-11-08</v>
      </c>
      <c r="D914" s="2" t="s">
        <v>4205</v>
      </c>
      <c r="H914" s="10" t="s">
        <v>4205</v>
      </c>
      <c r="I914" s="2" t="s">
        <v>3554</v>
      </c>
      <c r="J914" s="26" t="str">
        <f t="array" ref="J914">IF(ISNA(XLOOKUP(I914,customers_clean!$A$2:$A$701,customers_clean!$A$2:$A$701, NA()) ),
   "❌ MISSING CUSTOMER", "✅")</f>
        <v>✅</v>
      </c>
      <c r="K914" s="2" t="str">
        <f t="array" ref="K914">XLOOKUP(I914,customers_clean!$A$2:$A$701,customers_clean!$C$2:$C$701)</f>
        <v>Vlad Kowalski</v>
      </c>
      <c r="L914" s="10" t="str">
        <f t="array" ref="L914">XLOOKUP(I914,customers_clean!$A$2:$A$701,customers_clean!$D$2:$D$701)</f>
        <v>Vlad Kowalski</v>
      </c>
      <c r="M914" s="2" t="str">
        <f t="array" ref="M914">XLOOKUP(I914,customers_clean!$A$2:$A$701,customers_clean!$I$2:$I$701)</f>
        <v> vlad.kowalski@company.co.uk</v>
      </c>
      <c r="N914" s="10" t="str">
        <f t="array" ref="N914">XLOOKUP(I914,customers_clean!$A$2:$A$701,customers_clean!$H$2:$H$701)</f>
        <v>vlad.kowalski@company.co.uk</v>
      </c>
      <c r="O914" s="9" t="str">
        <f>IFERROR(__xludf.DUMMYFUNCTION("IF(REGEXMATCH(TRIM(N914),""^[A-Za-z0-9._%+-]+@[A-Za-z0-9.-]+\.[A-Za-z]{2,}$""),""✅ Valid"",""❌ Invalid"")"),"✅ Valid")</f>
        <v>✅ Valid</v>
      </c>
      <c r="P914" s="2" t="str">
        <f t="array" ref="P914">XLOOKUP(I914,customers_clean!$A$2:$A$701,customers_clean!$K$2:$K$701)</f>
        <v>+44 4616 7942 50</v>
      </c>
      <c r="Q914" s="10" t="str">
        <f t="array" ref="Q914">XLOOKUP(I914,customers_clean!$A$2:$A$701,customers_clean!$N$2:$N$701)</f>
        <v>4616794250</v>
      </c>
      <c r="R914" s="9" t="str">
        <f t="array" ref="R914">XLOOKUP(I914,customers_clean!$A$2:$A$701,customers_clean!$Q$2:$Q$701)</f>
        <v>❌ INVALID</v>
      </c>
      <c r="S914" s="10" t="s">
        <v>58</v>
      </c>
      <c r="T914" s="2" t="s">
        <v>301</v>
      </c>
      <c r="U914" s="2" t="s">
        <v>333</v>
      </c>
      <c r="V914" s="2" t="s">
        <v>235</v>
      </c>
      <c r="W914" s="9" t="str">
        <f t="array" ref="W914">IF(ISNA(XLOOKUP(V914,products_master_corrected!$A$2:$A$151,products_master_corrected!$A$2:$A$151, NA())),
    "❌ MISSING SKU", "✅")</f>
        <v>✅</v>
      </c>
      <c r="X914" s="2" t="s">
        <v>768</v>
      </c>
      <c r="Y914" s="2" t="s">
        <v>30</v>
      </c>
      <c r="Z914" s="10" t="s">
        <v>179</v>
      </c>
      <c r="AA914" s="27">
        <v>1.0</v>
      </c>
      <c r="AB914" s="9" t="s">
        <v>8649</v>
      </c>
      <c r="AC914" s="28">
        <f t="array" ref="AC914">XLOOKUP(V914,products_master_corrected!$A$2:$A$151,products_master_corrected!$E$2:$E$151)</f>
        <v>10.17</v>
      </c>
      <c r="AD914" s="28">
        <f t="shared" si="104"/>
        <v>10.17</v>
      </c>
      <c r="AE914" s="28">
        <f t="array" ref="AE914">XLOOKUP(V914,products_master_corrected!$A$2:$A$151,products_master_corrected!$G$2:$G$151)</f>
        <v>11.64</v>
      </c>
      <c r="AF914" s="29">
        <f t="shared" si="105"/>
        <v>11.64</v>
      </c>
      <c r="AG914" s="32" t="s">
        <v>8663</v>
      </c>
      <c r="AH914" s="2" t="s">
        <v>49</v>
      </c>
      <c r="AI914" s="10" t="s">
        <v>49</v>
      </c>
      <c r="AJ914" s="2" t="s">
        <v>34</v>
      </c>
      <c r="AK914" s="10" t="s">
        <v>80</v>
      </c>
      <c r="AL914" s="2" t="s">
        <v>51</v>
      </c>
    </row>
    <row r="915" ht="15.75" customHeight="1">
      <c r="A915" s="2" t="s">
        <v>3680</v>
      </c>
      <c r="B915" s="12">
        <v>45219.0</v>
      </c>
      <c r="C915" s="2" t="str">
        <f>IFERROR(__xludf.DUMMYFUNCTION("IF(ISNUMBER(B915),TEXT(B915,""yyyy-MM-dd""),REGEXREPLACE(REGEXREPLACE(TO_TEXT(B915),""[^0-9a-zA-Z]+"",""-""),""[^0-9]*$"",""""))"),"2023-10-20")</f>
        <v>2023-10-20</v>
      </c>
      <c r="D915" s="2" t="s">
        <v>8955</v>
      </c>
      <c r="H915" s="10" t="s">
        <v>8955</v>
      </c>
      <c r="I915" s="2" t="s">
        <v>3554</v>
      </c>
      <c r="J915" s="26" t="str">
        <f t="array" ref="J915">IF(ISNA(XLOOKUP(I915,customers_clean!$A$2:$A$701,customers_clean!$A$2:$A$701, NA()) ),
   "❌ MISSING CUSTOMER", "✅")</f>
        <v>✅</v>
      </c>
      <c r="K915" s="2" t="str">
        <f t="array" ref="K915">XLOOKUP(I915,customers_clean!$A$2:$A$701,customers_clean!$C$2:$C$701)</f>
        <v>Vlad Kowalski</v>
      </c>
      <c r="L915" s="10" t="str">
        <f t="array" ref="L915">XLOOKUP(I915,customers_clean!$A$2:$A$701,customers_clean!$D$2:$D$701)</f>
        <v>Vlad Kowalski</v>
      </c>
      <c r="M915" s="2" t="str">
        <f t="array" ref="M915">XLOOKUP(I915,customers_clean!$A$2:$A$701,customers_clean!$I$2:$I$701)</f>
        <v> vlad.kowalski@company.co.uk</v>
      </c>
      <c r="N915" s="10" t="str">
        <f t="array" ref="N915">XLOOKUP(I915,customers_clean!$A$2:$A$701,customers_clean!$H$2:$H$701)</f>
        <v>vlad.kowalski@company.co.uk</v>
      </c>
      <c r="O915" s="9" t="str">
        <f>IFERROR(__xludf.DUMMYFUNCTION("IF(REGEXMATCH(TRIM(N915),""^[A-Za-z0-9._%+-]+@[A-Za-z0-9.-]+\.[A-Za-z]{2,}$""),""✅ Valid"",""❌ Invalid"")"),"✅ Valid")</f>
        <v>✅ Valid</v>
      </c>
      <c r="P915" s="2" t="str">
        <f t="array" ref="P915">XLOOKUP(I915,customers_clean!$A$2:$A$701,customers_clean!$K$2:$K$701)</f>
        <v>+44 4616 7942 50</v>
      </c>
      <c r="Q915" s="10" t="str">
        <f t="array" ref="Q915">XLOOKUP(I915,customers_clean!$A$2:$A$701,customers_clean!$N$2:$N$701)</f>
        <v>4616794250</v>
      </c>
      <c r="R915" s="9" t="str">
        <f t="array" ref="R915">XLOOKUP(I915,customers_clean!$A$2:$A$701,customers_clean!$Q$2:$Q$701)</f>
        <v>❌ INVALID</v>
      </c>
      <c r="S915" s="10" t="s">
        <v>58</v>
      </c>
      <c r="T915" s="2" t="s">
        <v>323</v>
      </c>
      <c r="U915" s="2" t="s">
        <v>60</v>
      </c>
      <c r="V915" s="2" t="s">
        <v>166</v>
      </c>
      <c r="W915" s="9" t="str">
        <f t="array" ref="W915">IF(ISNA(XLOOKUP(V915,products_master_corrected!$A$2:$A$151,products_master_corrected!$A$2:$A$151, NA())),
    "❌ MISSING SKU", "✅")</f>
        <v>✅</v>
      </c>
      <c r="X915" s="2" t="s">
        <v>259</v>
      </c>
      <c r="Y915" s="2" t="s">
        <v>167</v>
      </c>
      <c r="Z915" s="10" t="str">
        <f>PROPER(TRIM(Y915))</f>
        <v>Monitors</v>
      </c>
      <c r="AA915" s="27">
        <v>1.0</v>
      </c>
      <c r="AB915" s="9" t="s">
        <v>8649</v>
      </c>
      <c r="AC915" s="28">
        <f t="array" ref="AC915">XLOOKUP(V915,products_master_corrected!$A$2:$A$151,products_master_corrected!$E$2:$E$151)</f>
        <v>16.9</v>
      </c>
      <c r="AD915" s="28">
        <f t="shared" si="104"/>
        <v>16.9</v>
      </c>
      <c r="AE915" s="28">
        <f t="array" ref="AE915">XLOOKUP(V915,products_master_corrected!$A$2:$A$151,products_master_corrected!$G$2:$G$151)</f>
        <v>19.35</v>
      </c>
      <c r="AF915" s="29">
        <f t="shared" si="105"/>
        <v>19.35</v>
      </c>
      <c r="AG915" s="32" t="s">
        <v>8663</v>
      </c>
      <c r="AH915" s="2" t="s">
        <v>505</v>
      </c>
      <c r="AI915" s="10" t="s">
        <v>181</v>
      </c>
      <c r="AJ915" s="2" t="s">
        <v>306</v>
      </c>
      <c r="AK915" s="10" t="s">
        <v>192</v>
      </c>
      <c r="AL915" s="2" t="s">
        <v>51</v>
      </c>
    </row>
    <row r="916" ht="15.75" customHeight="1">
      <c r="A916" s="2" t="s">
        <v>4816</v>
      </c>
      <c r="B916" s="12">
        <v>44956.0</v>
      </c>
      <c r="C916" s="2" t="str">
        <f>IFERROR(__xludf.DUMMYFUNCTION("IF(ISNUMBER(B916),TEXT(B916,""yyyy-MM-dd""),REGEXREPLACE(REGEXREPLACE(TO_TEXT(B916),""[^0-9a-zA-Z]+"",""-""),""[^0-9]*$"",""""))"),"2023-01-30")</f>
        <v>2023-01-30</v>
      </c>
      <c r="D916" s="2" t="s">
        <v>8486</v>
      </c>
      <c r="H916" s="10" t="s">
        <v>8486</v>
      </c>
      <c r="I916" s="2" t="s">
        <v>3554</v>
      </c>
      <c r="J916" s="26" t="str">
        <f t="array" ref="J916">IF(ISNA(XLOOKUP(I916,customers_clean!$A$2:$A$701,customers_clean!$A$2:$A$701, NA()) ),
   "❌ MISSING CUSTOMER", "✅")</f>
        <v>✅</v>
      </c>
      <c r="K916" s="2" t="str">
        <f t="array" ref="K916">XLOOKUP(I916,customers_clean!$A$2:$A$701,customers_clean!$C$2:$C$701)</f>
        <v>Vlad Kowalski</v>
      </c>
      <c r="L916" s="10" t="str">
        <f t="array" ref="L916">XLOOKUP(I916,customers_clean!$A$2:$A$701,customers_clean!$D$2:$D$701)</f>
        <v>Vlad Kowalski</v>
      </c>
      <c r="M916" s="2" t="str">
        <f t="array" ref="M916">XLOOKUP(I916,customers_clean!$A$2:$A$701,customers_clean!$I$2:$I$701)</f>
        <v> vlad.kowalski@company.co.uk</v>
      </c>
      <c r="N916" s="10" t="str">
        <f t="array" ref="N916">XLOOKUP(I916,customers_clean!$A$2:$A$701,customers_clean!$H$2:$H$701)</f>
        <v>vlad.kowalski@company.co.uk</v>
      </c>
      <c r="O916" s="9" t="str">
        <f>IFERROR(__xludf.DUMMYFUNCTION("IF(REGEXMATCH(TRIM(N916),""^[A-Za-z0-9._%+-]+@[A-Za-z0-9.-]+\.[A-Za-z]{2,}$""),""✅ Valid"",""❌ Invalid"")"),"✅ Valid")</f>
        <v>✅ Valid</v>
      </c>
      <c r="P916" s="2" t="str">
        <f t="array" ref="P916">XLOOKUP(I916,customers_clean!$A$2:$A$701,customers_clean!$K$2:$K$701)</f>
        <v>+44 4616 7942 50</v>
      </c>
      <c r="Q916" s="10" t="str">
        <f t="array" ref="Q916">XLOOKUP(I916,customers_clean!$A$2:$A$701,customers_clean!$N$2:$N$701)</f>
        <v>4616794250</v>
      </c>
      <c r="R916" s="9" t="str">
        <f t="array" ref="R916">XLOOKUP(I916,customers_clean!$A$2:$A$701,customers_clean!$Q$2:$Q$701)</f>
        <v>❌ INVALID</v>
      </c>
      <c r="S916" s="10" t="s">
        <v>58</v>
      </c>
      <c r="T916" s="2" t="s">
        <v>802</v>
      </c>
      <c r="U916" s="2" t="s">
        <v>480</v>
      </c>
      <c r="V916" s="2" t="s">
        <v>1849</v>
      </c>
      <c r="W916" s="9" t="str">
        <f t="array" ref="W916">IF(ISNA(XLOOKUP(V916,products_master_corrected!$A$2:$A$151,products_master_corrected!$A$2:$A$151, NA())),
    "❌ MISSING SKU", "✅")</f>
        <v>✅</v>
      </c>
      <c r="X916" s="2" t="s">
        <v>403</v>
      </c>
      <c r="Y916" s="2" t="s">
        <v>248</v>
      </c>
      <c r="Z916" s="10" t="s">
        <v>248</v>
      </c>
      <c r="AA916" s="27">
        <v>1.0</v>
      </c>
      <c r="AB916" s="9" t="s">
        <v>8649</v>
      </c>
      <c r="AC916" s="28">
        <f t="array" ref="AC916">XLOOKUP(V916,products_master_corrected!$A$2:$A$151,products_master_corrected!$E$2:$E$151)</f>
        <v>46.23</v>
      </c>
      <c r="AD916" s="28">
        <f t="shared" si="104"/>
        <v>46.23</v>
      </c>
      <c r="AE916" s="28">
        <f t="array" ref="AE916">XLOOKUP(V916,products_master_corrected!$A$2:$A$151,products_master_corrected!$G$2:$G$151)</f>
        <v>52.92</v>
      </c>
      <c r="AF916" s="29">
        <f t="shared" si="105"/>
        <v>52.92</v>
      </c>
      <c r="AG916" s="32" t="s">
        <v>8663</v>
      </c>
      <c r="AH916" s="2" t="s">
        <v>4683</v>
      </c>
      <c r="AI916" s="10" t="s">
        <v>181</v>
      </c>
      <c r="AJ916" s="2" t="s">
        <v>50</v>
      </c>
      <c r="AK916" s="10" t="s">
        <v>261</v>
      </c>
    </row>
    <row r="917" ht="15.75" customHeight="1">
      <c r="A917" s="2" t="s">
        <v>5988</v>
      </c>
      <c r="B917" s="12" t="s">
        <v>5989</v>
      </c>
      <c r="C917" s="2" t="str">
        <f>IFERROR(__xludf.DUMMYFUNCTION("IF(ISNUMBER(B917),TEXT(B917,""yyyy-MM-dd""),REGEXREPLACE(REGEXREPLACE(TO_TEXT(B917),""[^0-9a-zA-Z]+"",""-""),""[^0-9]*$"",""""))"),"45703-21-54")</f>
        <v>45703-21-54</v>
      </c>
      <c r="D917" s="2" t="str">
        <f>TEXT(C917,"yyyy-MM-dd")</f>
        <v>45703-21-54</v>
      </c>
      <c r="E917" s="25" t="str">
        <f>CONCATENATE(LEFT(D917,5))</f>
        <v>45703</v>
      </c>
      <c r="F917" s="12">
        <f>DATE(1900,1,1) + E917 - 1</f>
        <v>45704</v>
      </c>
      <c r="G917" s="2" t="s">
        <v>8872</v>
      </c>
      <c r="H917" s="10" t="s">
        <v>8872</v>
      </c>
      <c r="I917" s="2" t="s">
        <v>4612</v>
      </c>
      <c r="J917" s="26" t="str">
        <f t="array" ref="J917">IF(ISNA(XLOOKUP(I917,customers_clean!$A$2:$A$701,customers_clean!$A$2:$A$701, NA()) ),
   "❌ MISSING CUSTOMER", "✅")</f>
        <v>✅</v>
      </c>
      <c r="K917" s="2" t="str">
        <f t="array" ref="K917">XLOOKUP(I917,customers_clean!$A$2:$A$701,customers_clean!$C$2:$C$701)</f>
        <v>Adam Martinez </v>
      </c>
      <c r="L917" s="10" t="str">
        <f t="array" ref="L917">XLOOKUP(I917,customers_clean!$A$2:$A$701,customers_clean!$D$2:$D$701)</f>
        <v>Adam Martinez</v>
      </c>
      <c r="M917" s="2" t="str">
        <f t="array" ref="M917">XLOOKUP(I917,customers_clean!$A$2:$A$701,customers_clean!$I$2:$I$701)</f>
        <v>adam.martinez@shop.io</v>
      </c>
      <c r="N917" s="10" t="str">
        <f t="array" ref="N917">XLOOKUP(I917,customers_clean!$A$2:$A$701,customers_clean!$H$2:$H$701)</f>
        <v>adam.martinez@shop.io</v>
      </c>
      <c r="O917" s="9" t="str">
        <f>IFERROR(__xludf.DUMMYFUNCTION("IF(REGEXMATCH(TRIM(N917),""^[A-Za-z0-9._%+-]+@[A-Za-z0-9.-]+\.[A-Za-z]{2,}$""),""✅ Valid"",""❌ Invalid"")"),"✅ Valid")</f>
        <v>✅ Valid</v>
      </c>
      <c r="P917" s="33" t="str">
        <f t="array" ref="P917">XLOOKUP(I917,customers_clean!$A$2:$A$701,customers_clean!$K$2:$K$701)</f>
        <v>+48 4895-3789-2</v>
      </c>
      <c r="Q917" s="10" t="str">
        <f t="array" ref="Q917">XLOOKUP(I917,customers_clean!$A$2:$A$701,customers_clean!$N$2:$N$701)</f>
        <v>489537892</v>
      </c>
      <c r="R917" s="9" t="str">
        <f t="array" ref="R917">XLOOKUP(I917,customers_clean!$A$2:$A$701,customers_clean!$Q$2:$Q$701)</f>
        <v>❌ INVALID</v>
      </c>
      <c r="S917" s="10" t="s">
        <v>25</v>
      </c>
      <c r="T917" s="2" t="s">
        <v>778</v>
      </c>
      <c r="U917" s="2" t="s">
        <v>4496</v>
      </c>
      <c r="V917" s="2" t="s">
        <v>1495</v>
      </c>
      <c r="W917" s="9" t="str">
        <f t="array" ref="W917">IF(ISNA(XLOOKUP(V917,products_master_corrected!$A$2:$A$151,products_master_corrected!$A$2:$A$151, NA())),
    "❌ MISSING SKU", "✅")</f>
        <v>✅</v>
      </c>
      <c r="X917" s="2" t="s">
        <v>1138</v>
      </c>
      <c r="Y917" s="2" t="s">
        <v>248</v>
      </c>
      <c r="Z917" s="10" t="s">
        <v>248</v>
      </c>
      <c r="AA917" s="27">
        <v>5.0</v>
      </c>
      <c r="AB917" s="9" t="s">
        <v>8649</v>
      </c>
      <c r="AC917" s="28">
        <f t="array" ref="AC917">XLOOKUP(V917,products_master_corrected!$A$2:$A$151,products_master_corrected!$E$2:$E$151)</f>
        <v>248.14</v>
      </c>
      <c r="AD917" s="28">
        <f t="shared" si="104"/>
        <v>1240.7</v>
      </c>
      <c r="AE917" s="28">
        <f t="array" ref="AE917">XLOOKUP(V917,products_master_corrected!$A$2:$A$151,products_master_corrected!$K$2:$K$151)</f>
        <v>1276.68</v>
      </c>
      <c r="AF917" s="29">
        <f t="shared" si="105"/>
        <v>6383.4</v>
      </c>
      <c r="AG917" s="30" t="s">
        <v>95</v>
      </c>
      <c r="AH917" s="2" t="s">
        <v>66</v>
      </c>
      <c r="AI917" s="10" t="s">
        <v>66</v>
      </c>
      <c r="AJ917" s="2" t="s">
        <v>345</v>
      </c>
      <c r="AK917" s="10" t="s">
        <v>261</v>
      </c>
    </row>
    <row r="918" ht="15.75" customHeight="1">
      <c r="A918" s="2" t="s">
        <v>5696</v>
      </c>
      <c r="B918" s="12">
        <v>45530.0</v>
      </c>
      <c r="C918" s="2" t="str">
        <f>IFERROR(__xludf.DUMMYFUNCTION("IF(ISNUMBER(B918),TEXT(B918,""yyyy-MM-dd""),REGEXREPLACE(REGEXREPLACE(TO_TEXT(B918),""[^0-9a-zA-Z]+"",""-""),""[^0-9]*$"",""""))"),"2024-08-26")</f>
        <v>2024-08-26</v>
      </c>
      <c r="D918" s="2" t="s">
        <v>7812</v>
      </c>
      <c r="H918" s="10" t="s">
        <v>7812</v>
      </c>
      <c r="I918" s="2" t="s">
        <v>4612</v>
      </c>
      <c r="J918" s="26" t="str">
        <f t="array" ref="J918">IF(ISNA(XLOOKUP(I918,customers_clean!$A$2:$A$701,customers_clean!$A$2:$A$701, NA()) ),
   "❌ MISSING CUSTOMER", "✅")</f>
        <v>✅</v>
      </c>
      <c r="K918" s="2" t="str">
        <f t="array" ref="K918">XLOOKUP(I918,customers_clean!$A$2:$A$701,customers_clean!$C$2:$C$701)</f>
        <v>Adam Martinez </v>
      </c>
      <c r="L918" s="10" t="str">
        <f t="array" ref="L918">XLOOKUP(I918,customers_clean!$A$2:$A$701,customers_clean!$D$2:$D$701)</f>
        <v>Adam Martinez</v>
      </c>
      <c r="M918" s="2" t="str">
        <f t="array" ref="M918">XLOOKUP(I918,customers_clean!$A$2:$A$701,customers_clean!$I$2:$I$701)</f>
        <v>adam.martinez@shop.io</v>
      </c>
      <c r="N918" s="10" t="str">
        <f t="array" ref="N918">XLOOKUP(I918,customers_clean!$A$2:$A$701,customers_clean!$H$2:$H$701)</f>
        <v>adam.martinez@shop.io</v>
      </c>
      <c r="O918" s="9" t="str">
        <f>IFERROR(__xludf.DUMMYFUNCTION("IF(REGEXMATCH(TRIM(N918),""^[A-Za-z0-9._%+-]+@[A-Za-z0-9.-]+\.[A-Za-z]{2,}$""),""✅ Valid"",""❌ Invalid"")"),"✅ Valid")</f>
        <v>✅ Valid</v>
      </c>
      <c r="P918" s="33" t="str">
        <f t="array" ref="P918">XLOOKUP(I918,customers_clean!$A$2:$A$701,customers_clean!$K$2:$K$701)</f>
        <v>+48 4895-3789-2</v>
      </c>
      <c r="Q918" s="10" t="str">
        <f t="array" ref="Q918">XLOOKUP(I918,customers_clean!$A$2:$A$701,customers_clean!$N$2:$N$701)</f>
        <v>489537892</v>
      </c>
      <c r="R918" s="9" t="str">
        <f t="array" ref="R918">XLOOKUP(I918,customers_clean!$A$2:$A$701,customers_clean!$Q$2:$Q$701)</f>
        <v>❌ INVALID</v>
      </c>
      <c r="S918" s="10" t="s">
        <v>25</v>
      </c>
      <c r="T918" s="2" t="s">
        <v>42</v>
      </c>
      <c r="U918" s="2" t="s">
        <v>116</v>
      </c>
      <c r="V918" s="2" t="s">
        <v>871</v>
      </c>
      <c r="W918" s="9" t="str">
        <f t="array" ref="W918">IF(ISNA(XLOOKUP(V918,products_master_corrected!$A$2:$A$151,products_master_corrected!$A$2:$A$151, NA())),
    "❌ MISSING SKU", "✅")</f>
        <v>✅</v>
      </c>
      <c r="X918" s="2" t="s">
        <v>29</v>
      </c>
      <c r="Y918" s="2" t="s">
        <v>292</v>
      </c>
      <c r="Z918" s="10" t="s">
        <v>63</v>
      </c>
      <c r="AA918" s="27">
        <v>5.0</v>
      </c>
      <c r="AB918" s="9" t="s">
        <v>8649</v>
      </c>
      <c r="AC918" s="28">
        <f t="array" ref="AC918">XLOOKUP(V918,products_master_corrected!$A$2:$A$151,products_master_corrected!$E$2:$E$151)</f>
        <v>178.58</v>
      </c>
      <c r="AD918" s="28">
        <f t="shared" si="104"/>
        <v>892.9</v>
      </c>
      <c r="AE918" s="28">
        <f t="array" ref="AE918">XLOOKUP(V918,products_master_corrected!$A$2:$A$151,products_master_corrected!$K$2:$K$151)</f>
        <v>918.79</v>
      </c>
      <c r="AF918" s="29">
        <f t="shared" si="105"/>
        <v>4593.95</v>
      </c>
      <c r="AG918" s="30" t="s">
        <v>95</v>
      </c>
      <c r="AH918" s="2" t="s">
        <v>143</v>
      </c>
      <c r="AI918" s="10" t="s">
        <v>143</v>
      </c>
      <c r="AJ918" s="2" t="s">
        <v>251</v>
      </c>
      <c r="AK918" s="10" t="s">
        <v>192</v>
      </c>
      <c r="AL918" s="2" t="s">
        <v>133</v>
      </c>
    </row>
    <row r="919" ht="15.75" customHeight="1">
      <c r="A919" s="2" t="s">
        <v>4610</v>
      </c>
      <c r="B919" s="12">
        <v>45900.0</v>
      </c>
      <c r="C919" s="2" t="str">
        <f>IFERROR(__xludf.DUMMYFUNCTION("IF(ISNUMBER(B919),TEXT(B919,""yyyy-MM-dd""),REGEXREPLACE(REGEXREPLACE(TO_TEXT(B919),""[^0-9a-zA-Z]+"",""-""),""[^0-9]*$"",""""))"),"2025-08-31")</f>
        <v>2025-08-31</v>
      </c>
      <c r="D919" s="2" t="s">
        <v>8510</v>
      </c>
      <c r="H919" s="10" t="s">
        <v>8510</v>
      </c>
      <c r="I919" s="2" t="s">
        <v>4612</v>
      </c>
      <c r="J919" s="26" t="str">
        <f t="array" ref="J919">IF(ISNA(XLOOKUP(I919,customers_clean!$A$2:$A$701,customers_clean!$A$2:$A$701, NA()) ),
   "❌ MISSING CUSTOMER", "✅")</f>
        <v>✅</v>
      </c>
      <c r="K919" s="2" t="str">
        <f t="array" ref="K919">XLOOKUP(I919,customers_clean!$A$2:$A$701,customers_clean!$C$2:$C$701)</f>
        <v>Adam Martinez </v>
      </c>
      <c r="L919" s="10" t="str">
        <f t="array" ref="L919">XLOOKUP(I919,customers_clean!$A$2:$A$701,customers_clean!$D$2:$D$701)</f>
        <v>Adam Martinez</v>
      </c>
      <c r="M919" s="2" t="str">
        <f t="array" ref="M919">XLOOKUP(I919,customers_clean!$A$2:$A$701,customers_clean!$I$2:$I$701)</f>
        <v>adam.martinez@shop.io</v>
      </c>
      <c r="N919" s="10" t="str">
        <f t="array" ref="N919">XLOOKUP(I919,customers_clean!$A$2:$A$701,customers_clean!$H$2:$H$701)</f>
        <v>adam.martinez@shop.io</v>
      </c>
      <c r="O919" s="9" t="str">
        <f>IFERROR(__xludf.DUMMYFUNCTION("IF(REGEXMATCH(TRIM(N919),""^[A-Za-z0-9._%+-]+@[A-Za-z0-9.-]+\.[A-Za-z]{2,}$""),""✅ Valid"",""❌ Invalid"")"),"✅ Valid")</f>
        <v>✅ Valid</v>
      </c>
      <c r="P919" s="33" t="str">
        <f t="array" ref="P919">XLOOKUP(I919,customers_clean!$A$2:$A$701,customers_clean!$K$2:$K$701)</f>
        <v>+48 4895-3789-2</v>
      </c>
      <c r="Q919" s="10" t="str">
        <f t="array" ref="Q919">XLOOKUP(I919,customers_clean!$A$2:$A$701,customers_clean!$N$2:$N$701)</f>
        <v>489537892</v>
      </c>
      <c r="R919" s="9" t="str">
        <f t="array" ref="R919">XLOOKUP(I919,customers_clean!$A$2:$A$701,customers_clean!$Q$2:$Q$701)</f>
        <v>❌ INVALID</v>
      </c>
      <c r="S919" s="10" t="s">
        <v>25</v>
      </c>
      <c r="T919" s="2" t="s">
        <v>42</v>
      </c>
      <c r="U919" s="2" t="s">
        <v>4616</v>
      </c>
      <c r="V919" s="2" t="s">
        <v>2483</v>
      </c>
      <c r="W919" s="9" t="str">
        <f t="array" ref="W919">IF(ISNA(XLOOKUP(V919,products_master_corrected!$A$2:$A$151,products_master_corrected!$A$2:$A$151, NA())),
    "❌ MISSING SKU", "✅")</f>
        <v>✅</v>
      </c>
      <c r="X919" s="2" t="s">
        <v>280</v>
      </c>
      <c r="Y919" s="2" t="s">
        <v>503</v>
      </c>
      <c r="Z919" s="10" t="str">
        <f>PROPER(TRIM(Y919))</f>
        <v>Monitors</v>
      </c>
      <c r="AA919" s="27">
        <v>3.0</v>
      </c>
      <c r="AB919" s="9" t="s">
        <v>8649</v>
      </c>
      <c r="AC919" s="28">
        <f t="array" ref="AC919">XLOOKUP(V919,products_master_corrected!$A$2:$A$151,products_master_corrected!$E$2:$E$151)</f>
        <v>76.81</v>
      </c>
      <c r="AD919" s="28">
        <f t="shared" si="104"/>
        <v>230.43</v>
      </c>
      <c r="AE919" s="28">
        <f t="array" ref="AE919">XLOOKUP(V919,products_master_corrected!$A$2:$A$151,products_master_corrected!$K$2:$K$151)</f>
        <v>395.19</v>
      </c>
      <c r="AF919" s="29">
        <f t="shared" si="105"/>
        <v>1185.57</v>
      </c>
      <c r="AG919" s="30" t="s">
        <v>95</v>
      </c>
      <c r="AH919" s="2" t="s">
        <v>143</v>
      </c>
      <c r="AI919" s="10" t="s">
        <v>143</v>
      </c>
      <c r="AJ919" s="2" t="s">
        <v>50</v>
      </c>
      <c r="AK919" s="10" t="s">
        <v>261</v>
      </c>
    </row>
    <row r="920" ht="15.75" customHeight="1">
      <c r="A920" s="2" t="s">
        <v>3640</v>
      </c>
      <c r="B920" s="12">
        <v>45251.0</v>
      </c>
      <c r="C920" s="2" t="str">
        <f>IFERROR(__xludf.DUMMYFUNCTION("IF(ISNUMBER(B920),TEXT(B920,""yyyy-MM-dd""),REGEXREPLACE(REGEXREPLACE(TO_TEXT(B920),""[^0-9a-zA-Z]+"",""-""),""[^0-9]*$"",""""))"),"2023-11-21")</f>
        <v>2023-11-21</v>
      </c>
      <c r="D920" s="2" t="s">
        <v>3641</v>
      </c>
      <c r="H920" s="10" t="s">
        <v>3641</v>
      </c>
      <c r="I920" s="2" t="s">
        <v>3642</v>
      </c>
      <c r="J920" s="26" t="str">
        <f t="array" ref="J920">IF(ISNA(XLOOKUP(I920,customers_clean!$A$2:$A$701,customers_clean!$A$2:$A$701, NA()) ),
   "❌ MISSING CUSTOMER", "✅")</f>
        <v>✅</v>
      </c>
      <c r="K920" s="2" t="str">
        <f t="array" ref="K920">XLOOKUP(I920,customers_clean!$A$2:$A$701,customers_clean!$C$2:$C$701)</f>
        <v>Igor Dubois </v>
      </c>
      <c r="L920" s="10" t="str">
        <f t="array" ref="L920">XLOOKUP(I920,customers_clean!$A$2:$A$701,customers_clean!$D$2:$D$701)</f>
        <v>Igor Dubois</v>
      </c>
      <c r="M920" s="2" t="str">
        <f t="array" ref="M920">XLOOKUP(I920,customers_clean!$A$2:$A$701,customers_clean!$I$2:$I$701)</f>
        <v>Igor.Dubois@Yahoo.Com</v>
      </c>
      <c r="N920" s="10" t="str">
        <f t="array" ref="N920">XLOOKUP(I920,customers_clean!$A$2:$A$701,customers_clean!$H$2:$H$701)</f>
        <v>igor.dubois@yahoo.com</v>
      </c>
      <c r="O920" s="9" t="str">
        <f>IFERROR(__xludf.DUMMYFUNCTION("IF(REGEXMATCH(TRIM(N920),""^[A-Za-z0-9._%+-]+@[A-Za-z0-9.-]+\.[A-Za-z]{2,}$""),""✅ Valid"",""❌ Invalid"")"),"✅ Valid")</f>
        <v>✅ Valid</v>
      </c>
      <c r="P920" s="33" t="str">
        <f t="array" ref="P920">XLOOKUP(I920,customers_clean!$A$2:$A$701,customers_clean!$K$2:$K$701)</f>
        <v>+48 8670-3146-59</v>
      </c>
      <c r="Q920" s="10" t="str">
        <f t="array" ref="Q920">XLOOKUP(I920,customers_clean!$A$2:$A$701,customers_clean!$N$2:$N$701)</f>
        <v>8670314659</v>
      </c>
      <c r="R920" s="9" t="str">
        <f t="array" ref="R920">XLOOKUP(I920,customers_clean!$A$2:$A$701,customers_clean!$Q$2:$Q$701)</f>
        <v>❌ INVALID</v>
      </c>
      <c r="S920" s="10" t="s">
        <v>25</v>
      </c>
      <c r="T920" s="2" t="s">
        <v>26</v>
      </c>
      <c r="U920" s="2" t="s">
        <v>176</v>
      </c>
      <c r="V920" s="2" t="s">
        <v>1529</v>
      </c>
      <c r="W920" s="9" t="str">
        <f t="array" ref="W920">IF(ISNA(XLOOKUP(V920,products_master_corrected!$A$2:$A$151,products_master_corrected!$A$2:$A$151, NA())),
    "❌ MISSING SKU", "✅")</f>
        <v>✅</v>
      </c>
      <c r="X920" s="2" t="s">
        <v>280</v>
      </c>
      <c r="Y920" s="2" t="s">
        <v>368</v>
      </c>
      <c r="Z920" s="10" t="s">
        <v>368</v>
      </c>
      <c r="AA920" s="27">
        <v>1.0</v>
      </c>
      <c r="AB920" s="9" t="s">
        <v>8649</v>
      </c>
      <c r="AC920" s="28">
        <f t="array" ref="AC920">XLOOKUP(V920,products_master_corrected!$A$2:$A$151,products_master_corrected!$E$2:$E$151)</f>
        <v>83.6</v>
      </c>
      <c r="AD920" s="28">
        <f t="shared" si="104"/>
        <v>83.6</v>
      </c>
      <c r="AE920" s="28">
        <f t="array" ref="AE920">XLOOKUP(V920,products_master_corrected!$A$2:$A$151,products_master_corrected!$K$2:$K$151)</f>
        <v>430.12</v>
      </c>
      <c r="AF920" s="29">
        <f t="shared" si="105"/>
        <v>430.12</v>
      </c>
      <c r="AG920" s="30" t="s">
        <v>95</v>
      </c>
      <c r="AH920" s="2" t="s">
        <v>414</v>
      </c>
      <c r="AI920" s="10" t="s">
        <v>49</v>
      </c>
      <c r="AJ920" s="2" t="s">
        <v>380</v>
      </c>
      <c r="AK920" s="10" t="s">
        <v>80</v>
      </c>
    </row>
    <row r="921" ht="15.75" customHeight="1">
      <c r="A921" s="2" t="s">
        <v>4711</v>
      </c>
      <c r="B921" s="12">
        <v>45915.0</v>
      </c>
      <c r="C921" s="2" t="str">
        <f>IFERROR(__xludf.DUMMYFUNCTION("IF(ISNUMBER(B921),TEXT(B921,""yyyy-MM-dd""),REGEXREPLACE(REGEXREPLACE(TO_TEXT(B921),""[^0-9a-zA-Z]+"",""-""),""[^0-9]*$"",""""))"),"2025-09-15")</f>
        <v>2025-09-15</v>
      </c>
      <c r="D921" s="2" t="s">
        <v>4712</v>
      </c>
      <c r="H921" s="10" t="s">
        <v>4712</v>
      </c>
      <c r="I921" s="2" t="s">
        <v>4713</v>
      </c>
      <c r="J921" s="26" t="str">
        <f t="array" ref="J921">IF(ISNA(XLOOKUP(I921,customers_clean!$A$2:$A$701,customers_clean!$A$2:$A$701, NA()) ),
   "❌ MISSING CUSTOMER", "✅")</f>
        <v>✅</v>
      </c>
      <c r="K921" s="2" t="str">
        <f t="array" ref="K921">XLOOKUP(I921,customers_clean!$A$2:$A$701,customers_clean!$C$2:$C$701)</f>
        <v>Omar Kowalski</v>
      </c>
      <c r="L921" s="10" t="str">
        <f t="array" ref="L921">XLOOKUP(I921,customers_clean!$A$2:$A$701,customers_clean!$D$2:$D$701)</f>
        <v>Omar Kowalski</v>
      </c>
      <c r="M921" s="2" t="str">
        <f t="array" ref="M921">XLOOKUP(I921,customers_clean!$A$2:$A$701,customers_clean!$I$2:$I$701)</f>
        <v>omar.kowalski@exmaple.com</v>
      </c>
      <c r="N921" s="10" t="str">
        <f t="array" ref="N921">XLOOKUP(I921,customers_clean!$A$2:$A$701,customers_clean!$H$2:$H$701)</f>
        <v>omar.kowalski@exmaple.com</v>
      </c>
      <c r="O921" s="9" t="str">
        <f>IFERROR(__xludf.DUMMYFUNCTION("IF(REGEXMATCH(TRIM(N921),""^[A-Za-z0-9._%+-]+@[A-Za-z0-9.-]+\.[A-Za-z]{2,}$""),""✅ Valid"",""❌ Invalid"")"),"✅ Valid")</f>
        <v>✅ Valid</v>
      </c>
      <c r="P921" s="33" t="str">
        <f t="array" ref="P921">XLOOKUP(I921,customers_clean!$A$2:$A$701,customers_clean!$K$2:$K$701)</f>
        <v>+48 866 270 683 7</v>
      </c>
      <c r="Q921" s="10" t="str">
        <f t="array" ref="Q921">XLOOKUP(I921,customers_clean!$A$2:$A$701,customers_clean!$N$2:$N$701)</f>
        <v>8662706837</v>
      </c>
      <c r="R921" s="9" t="str">
        <f t="array" ref="R921">XLOOKUP(I921,customers_clean!$A$2:$A$701,customers_clean!$Q$2:$Q$701)</f>
        <v>❌ INVALID</v>
      </c>
      <c r="S921" s="10" t="s">
        <v>88</v>
      </c>
      <c r="T921" s="2" t="s">
        <v>59</v>
      </c>
      <c r="U921" s="2" t="s">
        <v>480</v>
      </c>
      <c r="V921" s="2" t="s">
        <v>2631</v>
      </c>
      <c r="W921" s="9" t="str">
        <f t="array" ref="W921">IF(ISNA(XLOOKUP(V921,products_master_corrected!$A$2:$A$151,products_master_corrected!$A$2:$A$151, NA())),
    "❌ MISSING SKU", "✅")</f>
        <v>✅</v>
      </c>
      <c r="X921" s="2" t="s">
        <v>905</v>
      </c>
      <c r="Y921" s="2" t="s">
        <v>248</v>
      </c>
      <c r="Z921" s="10" t="s">
        <v>248</v>
      </c>
      <c r="AA921" s="27">
        <v>1.0</v>
      </c>
      <c r="AB921" s="9" t="s">
        <v>8649</v>
      </c>
      <c r="AC921" s="28">
        <f t="array" ref="AC921">XLOOKUP(V921,products_master_corrected!$A$2:$A$151,products_master_corrected!$E$2:$E$151)</f>
        <v>143.88</v>
      </c>
      <c r="AD921" s="28">
        <f t="shared" si="104"/>
        <v>143.88</v>
      </c>
      <c r="AE921" s="28">
        <f t="array" ref="AE921">XLOOKUP(V921,products_master_corrected!$A$2:$A$151,products_master_corrected!$I$2:$I$151)</f>
        <v>158.61</v>
      </c>
      <c r="AF921" s="29">
        <f t="shared" si="105"/>
        <v>158.61</v>
      </c>
      <c r="AG921" s="32" t="s">
        <v>8660</v>
      </c>
      <c r="AH921" s="2" t="s">
        <v>238</v>
      </c>
      <c r="AI921" s="10" t="s">
        <v>66</v>
      </c>
      <c r="AJ921" s="2" t="s">
        <v>818</v>
      </c>
      <c r="AK921" s="10" t="s">
        <v>818</v>
      </c>
    </row>
    <row r="922" ht="15.75" customHeight="1">
      <c r="A922" s="2" t="s">
        <v>5574</v>
      </c>
      <c r="B922" s="12">
        <v>45448.0</v>
      </c>
      <c r="C922" s="2" t="str">
        <f>IFERROR(__xludf.DUMMYFUNCTION("IF(ISNUMBER(B922),TEXT(B922,""yyyy-MM-dd""),REGEXREPLACE(REGEXREPLACE(TO_TEXT(B922),""[^0-9a-zA-Z]+"",""-""),""[^0-9]*$"",""""))"),"2024-06-05")</f>
        <v>2024-06-05</v>
      </c>
      <c r="D922" s="2" t="s">
        <v>8978</v>
      </c>
      <c r="H922" s="10" t="s">
        <v>8978</v>
      </c>
      <c r="I922" s="2" t="s">
        <v>4713</v>
      </c>
      <c r="J922" s="26" t="str">
        <f t="array" ref="J922">IF(ISNA(XLOOKUP(I922,customers_clean!$A$2:$A$701,customers_clean!$A$2:$A$701, NA()) ),
   "❌ MISSING CUSTOMER", "✅")</f>
        <v>✅</v>
      </c>
      <c r="K922" s="2" t="str">
        <f t="array" ref="K922">XLOOKUP(I922,customers_clean!$A$2:$A$701,customers_clean!$C$2:$C$701)</f>
        <v>Omar Kowalski</v>
      </c>
      <c r="L922" s="10" t="str">
        <f t="array" ref="L922">XLOOKUP(I922,customers_clean!$A$2:$A$701,customers_clean!$D$2:$D$701)</f>
        <v>Omar Kowalski</v>
      </c>
      <c r="M922" s="2" t="str">
        <f t="array" ref="M922">XLOOKUP(I922,customers_clean!$A$2:$A$701,customers_clean!$I$2:$I$701)</f>
        <v>omar.kowalski@exmaple.com</v>
      </c>
      <c r="N922" s="10" t="str">
        <f t="array" ref="N922">XLOOKUP(I922,customers_clean!$A$2:$A$701,customers_clean!$H$2:$H$701)</f>
        <v>omar.kowalski@exmaple.com</v>
      </c>
      <c r="O922" s="9" t="str">
        <f>IFERROR(__xludf.DUMMYFUNCTION("IF(REGEXMATCH(TRIM(N922),""^[A-Za-z0-9._%+-]+@[A-Za-z0-9.-]+\.[A-Za-z]{2,}$""),""✅ Valid"",""❌ Invalid"")"),"✅ Valid")</f>
        <v>✅ Valid</v>
      </c>
      <c r="P922" s="33" t="str">
        <f t="array" ref="P922">XLOOKUP(I922,customers_clean!$A$2:$A$701,customers_clean!$K$2:$K$701)</f>
        <v>+48 866 270 683 7</v>
      </c>
      <c r="Q922" s="10" t="str">
        <f t="array" ref="Q922">XLOOKUP(I922,customers_clean!$A$2:$A$701,customers_clean!$N$2:$N$701)</f>
        <v>8662706837</v>
      </c>
      <c r="R922" s="9" t="str">
        <f t="array" ref="R922">XLOOKUP(I922,customers_clean!$A$2:$A$701,customers_clean!$Q$2:$Q$701)</f>
        <v>❌ INVALID</v>
      </c>
      <c r="S922" s="10" t="s">
        <v>88</v>
      </c>
      <c r="T922" s="2" t="s">
        <v>223</v>
      </c>
      <c r="U922" s="2" t="s">
        <v>512</v>
      </c>
      <c r="V922" s="2" t="s">
        <v>523</v>
      </c>
      <c r="W922" s="9" t="str">
        <f t="array" ref="W922">IF(ISNA(XLOOKUP(V922,products_master_corrected!$A$2:$A$151,products_master_corrected!$A$2:$A$151, NA())),
    "❌ MISSING SKU", "✅")</f>
        <v>✅</v>
      </c>
      <c r="X922" s="2" t="s">
        <v>524</v>
      </c>
      <c r="Y922" s="2" t="s">
        <v>368</v>
      </c>
      <c r="Z922" s="10" t="s">
        <v>368</v>
      </c>
      <c r="AA922" s="27">
        <v>2.0</v>
      </c>
      <c r="AB922" s="9" t="s">
        <v>8649</v>
      </c>
      <c r="AC922" s="28">
        <f t="array" ref="AC922">XLOOKUP(V922,products_master_corrected!$A$2:$A$151,products_master_corrected!$E$2:$E$151)</f>
        <v>199.49</v>
      </c>
      <c r="AD922" s="28">
        <f t="shared" si="104"/>
        <v>398.98</v>
      </c>
      <c r="AE922" s="28">
        <f t="array" ref="AE922">XLOOKUP(V922,products_master_corrected!$A$2:$A$151,products_master_corrected!$I$2:$I$151)</f>
        <v>219.92</v>
      </c>
      <c r="AF922" s="29">
        <f t="shared" si="105"/>
        <v>439.84</v>
      </c>
      <c r="AG922" s="32" t="s">
        <v>8660</v>
      </c>
      <c r="AH922" s="2" t="s">
        <v>573</v>
      </c>
      <c r="AI922" s="10" t="s">
        <v>66</v>
      </c>
      <c r="AJ922" s="2" t="s">
        <v>132</v>
      </c>
      <c r="AK922" s="10" t="s">
        <v>192</v>
      </c>
      <c r="AL922" s="2" t="s">
        <v>51</v>
      </c>
    </row>
    <row r="923" ht="15.75" customHeight="1">
      <c r="A923" s="2" t="s">
        <v>5868</v>
      </c>
      <c r="B923" s="12" t="s">
        <v>347</v>
      </c>
      <c r="C923" s="2" t="str">
        <f>IFERROR(__xludf.DUMMYFUNCTION("IF(ISNUMBER(B923),TEXT(B923,""yyyy-MM-dd""),REGEXREPLACE(REGEXREPLACE(TO_TEXT(B923),""[^0-9a-zA-Z]+"",""-""),""[^0-9]*$"",""""))"),"01-24-2025")</f>
        <v>01-24-2025</v>
      </c>
      <c r="D923" s="2" t="str">
        <f>TEXT(C923,"yyyy-MM-dd")</f>
        <v>01-24-2025</v>
      </c>
      <c r="E923" s="2" t="s">
        <v>8787</v>
      </c>
      <c r="H923" s="10" t="s">
        <v>8787</v>
      </c>
      <c r="I923" s="2" t="s">
        <v>5869</v>
      </c>
      <c r="J923" s="26" t="str">
        <f t="array" ref="J923">IF(ISNA(XLOOKUP(I923,customers_clean!$A$2:$A$701,customers_clean!$A$2:$A$701, NA()) ),
   "❌ MISSING CUSTOMER", "✅")</f>
        <v>✅</v>
      </c>
      <c r="K923" s="2" t="str">
        <f t="array" ref="K923">XLOOKUP(I923,customers_clean!$A$2:$A$701,customers_clean!$C$2:$C$701)</f>
        <v> Adam Walker</v>
      </c>
      <c r="L923" s="10" t="str">
        <f t="array" ref="L923">XLOOKUP(I923,customers_clean!$A$2:$A$701,customers_clean!$D$2:$D$701)</f>
        <v>Adam Walker</v>
      </c>
      <c r="M923" s="2" t="str">
        <f t="array" ref="M923">XLOOKUP(I923,customers_clean!$A$2:$A$701,customers_clean!$I$2:$I$701)</f>
        <v>adam.wlaker@shop.io </v>
      </c>
      <c r="N923" s="10" t="str">
        <f t="array" ref="N923">XLOOKUP(I923,customers_clean!$A$2:$A$701,customers_clean!$H$2:$H$701)</f>
        <v>adam.wlaker@shop.io</v>
      </c>
      <c r="O923" s="9" t="str">
        <f>IFERROR(__xludf.DUMMYFUNCTION("IF(REGEXMATCH(TRIM(N923),""^[A-Za-z0-9._%+-]+@[A-Za-z0-9.-]+\.[A-Za-z]{2,}$""),""✅ Valid"",""❌ Invalid"")"),"✅ Valid")</f>
        <v>✅ Valid</v>
      </c>
      <c r="P923" s="2" t="str">
        <f t="array" ref="P923">XLOOKUP(I923,customers_clean!$A$2:$A$701,customers_clean!$K$2:$K$701)</f>
        <v>+49+0929411498</v>
      </c>
      <c r="Q923" s="10" t="str">
        <f t="array" ref="Q923">XLOOKUP(I923,customers_clean!$A$2:$A$701,customers_clean!$N$2:$N$701)</f>
        <v>0929411498</v>
      </c>
      <c r="R923" s="9" t="str">
        <f t="array" ref="R923">XLOOKUP(I923,customers_clean!$A$2:$A$701,customers_clean!$Q$2:$Q$701)</f>
        <v>❌ INVALID</v>
      </c>
      <c r="S923" s="31" t="s">
        <v>671</v>
      </c>
      <c r="T923" s="2" t="s">
        <v>460</v>
      </c>
      <c r="U923" s="2" t="s">
        <v>60</v>
      </c>
      <c r="V923" s="2" t="s">
        <v>767</v>
      </c>
      <c r="W923" s="9" t="str">
        <f t="array" ref="W923">IF(ISNA(XLOOKUP(V923,products_master_corrected!$A$2:$A$151,products_master_corrected!$A$2:$A$151, NA())),
    "❌ MISSING SKU", "✅")</f>
        <v>✅</v>
      </c>
      <c r="X923" s="2" t="s">
        <v>768</v>
      </c>
      <c r="Y923" s="2" t="s">
        <v>769</v>
      </c>
      <c r="Z923" s="10" t="str">
        <f>PROPER(TRIM(Y923))</f>
        <v>Monitors</v>
      </c>
      <c r="AA923" s="27">
        <v>2.0</v>
      </c>
      <c r="AB923" s="9" t="s">
        <v>8649</v>
      </c>
      <c r="AC923" s="28">
        <f t="array" ref="AC923">XLOOKUP(V923,products_master_corrected!$A$2:$A$151,products_master_corrected!$E$2:$E$151)</f>
        <v>15.17</v>
      </c>
      <c r="AD923" s="28">
        <f t="shared" si="104"/>
        <v>30.34</v>
      </c>
      <c r="AE923" s="28">
        <f t="array" ref="AE923">XLOOKUP(V923,products_master_corrected!$A$2:$A$151,products_master_corrected!$J$2:$J$151)</f>
        <v>17.69</v>
      </c>
      <c r="AF923" s="29">
        <f t="shared" si="105"/>
        <v>35.38</v>
      </c>
      <c r="AG923" s="32" t="s">
        <v>8656</v>
      </c>
      <c r="AH923" s="2" t="s">
        <v>66</v>
      </c>
      <c r="AI923" s="10" t="s">
        <v>66</v>
      </c>
      <c r="AJ923" s="2" t="s">
        <v>442</v>
      </c>
      <c r="AK923" s="10" t="s">
        <v>80</v>
      </c>
    </row>
    <row r="924" ht="15.75" customHeight="1">
      <c r="A924" s="2" t="s">
        <v>3828</v>
      </c>
      <c r="B924" s="12">
        <v>45254.0</v>
      </c>
      <c r="C924" s="2" t="str">
        <f>IFERROR(__xludf.DUMMYFUNCTION("IF(ISNUMBER(B924),TEXT(B924,""yyyy-MM-dd""),REGEXREPLACE(REGEXREPLACE(TO_TEXT(B924),""[^0-9a-zA-Z]+"",""-""),""[^0-9]*$"",""""))"),"2023-11-24")</f>
        <v>2023-11-24</v>
      </c>
      <c r="D924" s="2" t="s">
        <v>8845</v>
      </c>
      <c r="H924" s="10" t="s">
        <v>8845</v>
      </c>
      <c r="I924" s="2" t="s">
        <v>3830</v>
      </c>
      <c r="J924" s="26" t="str">
        <f t="array" ref="J924">IF(ISNA(XLOOKUP(I924,customers_clean!$A$2:$A$701,customers_clean!$A$2:$A$701, NA()) ),
   "❌ MISSING CUSTOMER", "✅")</f>
        <v>✅</v>
      </c>
      <c r="K924" s="2" t="str">
        <f t="array" ref="K924">XLOOKUP(I924,customers_clean!$A$2:$A$701,customers_clean!$C$2:$C$701)</f>
        <v>Ethan Kowalczyk</v>
      </c>
      <c r="L924" s="10" t="str">
        <f t="array" ref="L924">XLOOKUP(I924,customers_clean!$A$2:$A$701,customers_clean!$D$2:$D$701)</f>
        <v>Ethan Kowalczyk</v>
      </c>
      <c r="M924" s="2" t="str">
        <f t="array" ref="M924">XLOOKUP(I924,customers_clean!$A$2:$A$701,customers_clean!$I$2:$I$701)</f>
        <v>ethan.kowalczyk@example.com</v>
      </c>
      <c r="N924" s="10" t="str">
        <f t="array" ref="N924">XLOOKUP(I924,customers_clean!$A$2:$A$701,customers_clean!$H$2:$H$701)</f>
        <v>ethan.kowalczyk@example.com</v>
      </c>
      <c r="O924" s="9" t="str">
        <f>IFERROR(__xludf.DUMMYFUNCTION("IF(REGEXMATCH(TRIM(N924),""^[A-Za-z0-9._%+-]+@[A-Za-z0-9.-]+\.[A-Za-z]{2,}$""),""✅ Valid"",""❌ Invalid"")"),"✅ Valid")</f>
        <v>✅ Valid</v>
      </c>
      <c r="P924" s="2" t="str">
        <f t="array" ref="P924">XLOOKUP(I924,customers_clean!$A$2:$A$701,customers_clean!$K$2:$K$701)</f>
        <v>+39 435 513 611 0</v>
      </c>
      <c r="Q924" s="10" t="str">
        <f t="array" ref="Q924">XLOOKUP(I924,customers_clean!$A$2:$A$701,customers_clean!$N$2:$N$701)</f>
        <v>4355136110</v>
      </c>
      <c r="R924" s="9" t="str">
        <f t="array" ref="R924">XLOOKUP(I924,customers_clean!$A$2:$A$701,customers_clean!$Q$2:$Q$701)</f>
        <v>❌ INVALID</v>
      </c>
      <c r="S924" s="10" t="s">
        <v>139</v>
      </c>
      <c r="T924" s="2" t="s">
        <v>26</v>
      </c>
      <c r="U924" s="2" t="s">
        <v>3833</v>
      </c>
      <c r="V924" s="2" t="s">
        <v>402</v>
      </c>
      <c r="W924" s="9" t="str">
        <f t="array" ref="W924">IF(ISNA(XLOOKUP(V924,products_master_corrected!$A$2:$A$151,products_master_corrected!$A$2:$A$151, NA())),
    "❌ MISSING SKU", "✅")</f>
        <v>✅</v>
      </c>
      <c r="X924" s="2" t="s">
        <v>403</v>
      </c>
      <c r="Y924" s="2" t="s">
        <v>404</v>
      </c>
      <c r="Z924" s="10" t="s">
        <v>248</v>
      </c>
      <c r="AA924" s="27">
        <v>2.0</v>
      </c>
      <c r="AB924" s="9" t="s">
        <v>8649</v>
      </c>
      <c r="AC924" s="28">
        <f t="array" ref="AC924">XLOOKUP(V924,products_master_corrected!$A$2:$A$151,products_master_corrected!$E$2:$E$151)</f>
        <v>20.48</v>
      </c>
      <c r="AD924" s="28">
        <f t="shared" si="104"/>
        <v>40.96</v>
      </c>
      <c r="AE924" s="28">
        <f t="array" ref="AE924">XLOOKUP(V924,products_master_corrected!$A$2:$A$151,products_master_corrected!$L$2:$L$151)</f>
        <v>22.15</v>
      </c>
      <c r="AF924" s="29">
        <f t="shared" si="105"/>
        <v>44.3</v>
      </c>
      <c r="AG924" s="32" t="s">
        <v>8665</v>
      </c>
      <c r="AH924" s="2" t="s">
        <v>414</v>
      </c>
      <c r="AI924" s="10" t="s">
        <v>49</v>
      </c>
      <c r="AJ924" s="2" t="s">
        <v>818</v>
      </c>
      <c r="AK924" s="10" t="s">
        <v>818</v>
      </c>
    </row>
    <row r="925" ht="15.75" customHeight="1">
      <c r="A925" s="2" t="s">
        <v>5955</v>
      </c>
      <c r="B925" s="12">
        <v>45840.0</v>
      </c>
      <c r="C925" s="2" t="str">
        <f>IFERROR(__xludf.DUMMYFUNCTION("IF(ISNUMBER(B925),TEXT(B925,""yyyy-MM-dd""),REGEXREPLACE(REGEXREPLACE(TO_TEXT(B925),""[^0-9a-zA-Z]+"",""-""),""[^0-9]*$"",""""))"),"2025-07-02")</f>
        <v>2025-07-02</v>
      </c>
      <c r="D925" s="2" t="s">
        <v>2793</v>
      </c>
      <c r="H925" s="10" t="s">
        <v>2793</v>
      </c>
      <c r="I925" s="2" t="s">
        <v>3830</v>
      </c>
      <c r="J925" s="26" t="str">
        <f t="array" ref="J925">IF(ISNA(XLOOKUP(I925,customers_clean!$A$2:$A$701,customers_clean!$A$2:$A$701, NA()) ),
   "❌ MISSING CUSTOMER", "✅")</f>
        <v>✅</v>
      </c>
      <c r="K925" s="2" t="str">
        <f t="array" ref="K925">XLOOKUP(I925,customers_clean!$A$2:$A$701,customers_clean!$C$2:$C$701)</f>
        <v>Ethan Kowalczyk</v>
      </c>
      <c r="L925" s="10" t="str">
        <f t="array" ref="L925">XLOOKUP(I925,customers_clean!$A$2:$A$701,customers_clean!$D$2:$D$701)</f>
        <v>Ethan Kowalczyk</v>
      </c>
      <c r="M925" s="2" t="str">
        <f t="array" ref="M925">XLOOKUP(I925,customers_clean!$A$2:$A$701,customers_clean!$I$2:$I$701)</f>
        <v>ethan.kowalczyk@example.com</v>
      </c>
      <c r="N925" s="10" t="str">
        <f t="array" ref="N925">XLOOKUP(I925,customers_clean!$A$2:$A$701,customers_clean!$H$2:$H$701)</f>
        <v>ethan.kowalczyk@example.com</v>
      </c>
      <c r="O925" s="9" t="str">
        <f>IFERROR(__xludf.DUMMYFUNCTION("IF(REGEXMATCH(TRIM(N925),""^[A-Za-z0-9._%+-]+@[A-Za-z0-9.-]+\.[A-Za-z]{2,}$""),""✅ Valid"",""❌ Invalid"")"),"✅ Valid")</f>
        <v>✅ Valid</v>
      </c>
      <c r="P925" s="2" t="str">
        <f t="array" ref="P925">XLOOKUP(I925,customers_clean!$A$2:$A$701,customers_clean!$K$2:$K$701)</f>
        <v>+39 435 513 611 0</v>
      </c>
      <c r="Q925" s="10" t="str">
        <f t="array" ref="Q925">XLOOKUP(I925,customers_clean!$A$2:$A$701,customers_clean!$N$2:$N$701)</f>
        <v>4355136110</v>
      </c>
      <c r="R925" s="9" t="str">
        <f t="array" ref="R925">XLOOKUP(I925,customers_clean!$A$2:$A$701,customers_clean!$Q$2:$Q$701)</f>
        <v>❌ INVALID</v>
      </c>
      <c r="S925" s="10" t="s">
        <v>139</v>
      </c>
      <c r="T925" s="2" t="s">
        <v>42</v>
      </c>
      <c r="U925" s="2" t="s">
        <v>5957</v>
      </c>
      <c r="V925" s="2" t="s">
        <v>166</v>
      </c>
      <c r="W925" s="9" t="str">
        <f t="array" ref="W925">IF(ISNA(XLOOKUP(V925,products_master_corrected!$A$2:$A$151,products_master_corrected!$A$2:$A$151, NA())),
    "❌ MISSING SKU", "✅")</f>
        <v>✅</v>
      </c>
      <c r="X925" s="2" t="s">
        <v>259</v>
      </c>
      <c r="Y925" s="2" t="s">
        <v>167</v>
      </c>
      <c r="Z925" s="10" t="str">
        <f>PROPER(TRIM(Y925))</f>
        <v>Monitors</v>
      </c>
      <c r="AA925" s="27">
        <v>2.0</v>
      </c>
      <c r="AB925" s="9" t="s">
        <v>8649</v>
      </c>
      <c r="AC925" s="28">
        <f t="array" ref="AC925">XLOOKUP(V925,products_master_corrected!$A$2:$A$151,products_master_corrected!$E$2:$E$151)</f>
        <v>16.9</v>
      </c>
      <c r="AD925" s="28">
        <f t="shared" si="104"/>
        <v>33.8</v>
      </c>
      <c r="AE925" s="28">
        <f t="array" ref="AE925">XLOOKUP(V925,products_master_corrected!$A$2:$A$151,products_master_corrected!$L$2:$L$151)</f>
        <v>18.28</v>
      </c>
      <c r="AF925" s="29">
        <f t="shared" si="105"/>
        <v>36.56</v>
      </c>
      <c r="AG925" s="32" t="s">
        <v>8665</v>
      </c>
      <c r="AH925" s="2" t="s">
        <v>370</v>
      </c>
      <c r="AI925" s="10" t="s">
        <v>143</v>
      </c>
      <c r="AJ925" s="2" t="s">
        <v>50</v>
      </c>
      <c r="AK925" s="10" t="s">
        <v>261</v>
      </c>
      <c r="AL925" s="2" t="s">
        <v>51</v>
      </c>
    </row>
    <row r="926" ht="15.75" customHeight="1">
      <c r="A926" s="2" t="s">
        <v>5843</v>
      </c>
      <c r="B926" s="12">
        <v>45375.0</v>
      </c>
      <c r="C926" s="2" t="str">
        <f>IFERROR(__xludf.DUMMYFUNCTION("IF(ISNUMBER(B926),TEXT(B926,""yyyy-MM-dd""),REGEXREPLACE(REGEXREPLACE(TO_TEXT(B926),""[^0-9a-zA-Z]+"",""-""),""[^0-9]*$"",""""))"),"2024-03-24")</f>
        <v>2024-03-24</v>
      </c>
      <c r="D926" s="2" t="s">
        <v>5844</v>
      </c>
      <c r="H926" s="10" t="s">
        <v>5844</v>
      </c>
      <c r="I926" s="2" t="s">
        <v>3830</v>
      </c>
      <c r="J926" s="26" t="str">
        <f t="array" ref="J926">IF(ISNA(XLOOKUP(I926,customers_clean!$A$2:$A$701,customers_clean!$A$2:$A$701, NA()) ),
   "❌ MISSING CUSTOMER", "✅")</f>
        <v>✅</v>
      </c>
      <c r="K926" s="2" t="str">
        <f t="array" ref="K926">XLOOKUP(I926,customers_clean!$A$2:$A$701,customers_clean!$C$2:$C$701)</f>
        <v>Ethan Kowalczyk</v>
      </c>
      <c r="L926" s="10" t="str">
        <f t="array" ref="L926">XLOOKUP(I926,customers_clean!$A$2:$A$701,customers_clean!$D$2:$D$701)</f>
        <v>Ethan Kowalczyk</v>
      </c>
      <c r="M926" s="2" t="str">
        <f t="array" ref="M926">XLOOKUP(I926,customers_clean!$A$2:$A$701,customers_clean!$I$2:$I$701)</f>
        <v>ethan.kowalczyk@example.com</v>
      </c>
      <c r="N926" s="10" t="str">
        <f t="array" ref="N926">XLOOKUP(I926,customers_clean!$A$2:$A$701,customers_clean!$H$2:$H$701)</f>
        <v>ethan.kowalczyk@example.com</v>
      </c>
      <c r="O926" s="9" t="str">
        <f>IFERROR(__xludf.DUMMYFUNCTION("IF(REGEXMATCH(TRIM(N926),""^[A-Za-z0-9._%+-]+@[A-Za-z0-9.-]+\.[A-Za-z]{2,}$""),""✅ Valid"",""❌ Invalid"")"),"✅ Valid")</f>
        <v>✅ Valid</v>
      </c>
      <c r="P926" s="2" t="str">
        <f t="array" ref="P926">XLOOKUP(I926,customers_clean!$A$2:$A$701,customers_clean!$K$2:$K$701)</f>
        <v>+39 435 513 611 0</v>
      </c>
      <c r="Q926" s="10" t="str">
        <f t="array" ref="Q926">XLOOKUP(I926,customers_clean!$A$2:$A$701,customers_clean!$N$2:$N$701)</f>
        <v>4355136110</v>
      </c>
      <c r="R926" s="9" t="str">
        <f t="array" ref="R926">XLOOKUP(I926,customers_clean!$A$2:$A$701,customers_clean!$Q$2:$Q$701)</f>
        <v>❌ INVALID</v>
      </c>
      <c r="S926" s="10" t="s">
        <v>139</v>
      </c>
      <c r="T926" s="2" t="s">
        <v>1167</v>
      </c>
      <c r="U926" s="2" t="s">
        <v>401</v>
      </c>
      <c r="V926" s="2" t="s">
        <v>200</v>
      </c>
      <c r="W926" s="9" t="str">
        <f t="array" ref="W926">IF(ISNA(XLOOKUP(V926,products_master_corrected!$A$2:$A$151,products_master_corrected!$A$2:$A$151, NA())),
    "❌ MISSING SKU", "✅")</f>
        <v>✅</v>
      </c>
      <c r="X926" s="2" t="s">
        <v>190</v>
      </c>
      <c r="Y926" s="2" t="s">
        <v>202</v>
      </c>
      <c r="Z926" s="10" t="s">
        <v>63</v>
      </c>
      <c r="AA926" s="27">
        <v>2.0</v>
      </c>
      <c r="AB926" s="9" t="s">
        <v>8649</v>
      </c>
      <c r="AC926" s="28">
        <f t="array" ref="AC926">XLOOKUP(V926,products_master_corrected!$A$2:$A$151,products_master_corrected!$E$2:$E$151)</f>
        <v>61.21</v>
      </c>
      <c r="AD926" s="28">
        <f t="shared" si="104"/>
        <v>122.42</v>
      </c>
      <c r="AE926" s="28">
        <f t="array" ref="AE926">XLOOKUP(V926,products_master_corrected!$A$2:$A$151,products_master_corrected!$L$2:$L$151)</f>
        <v>66.2</v>
      </c>
      <c r="AF926" s="29">
        <f t="shared" si="105"/>
        <v>132.4</v>
      </c>
      <c r="AG926" s="32" t="s">
        <v>8665</v>
      </c>
      <c r="AH926" s="2" t="s">
        <v>573</v>
      </c>
      <c r="AI926" s="10" t="s">
        <v>66</v>
      </c>
      <c r="AJ926" s="2" t="s">
        <v>80</v>
      </c>
      <c r="AK926" s="10" t="s">
        <v>80</v>
      </c>
    </row>
    <row r="927" ht="15.75" customHeight="1">
      <c r="A927" s="2" t="s">
        <v>6121</v>
      </c>
      <c r="B927" s="12">
        <v>45638.0</v>
      </c>
      <c r="C927" s="2" t="str">
        <f>IFERROR(__xludf.DUMMYFUNCTION("IF(ISNUMBER(B927),TEXT(B927,""yyyy-MM-dd""),REGEXREPLACE(REGEXREPLACE(TO_TEXT(B927),""[^0-9a-zA-Z]+"",""-""),""[^0-9]*$"",""""))"),"2024-12-12")</f>
        <v>2024-12-12</v>
      </c>
      <c r="D927" s="2" t="s">
        <v>8022</v>
      </c>
      <c r="H927" s="10" t="s">
        <v>8022</v>
      </c>
      <c r="I927" s="2" t="s">
        <v>6123</v>
      </c>
      <c r="J927" s="26" t="str">
        <f t="array" ref="J927">IF(ISNA(XLOOKUP(I927,customers_clean!$A$2:$A$701,customers_clean!$A$2:$A$701, NA()) ),
   "❌ MISSING CUSTOMER", "✅")</f>
        <v>✅</v>
      </c>
      <c r="K927" s="2" t="str">
        <f t="array" ref="K927">XLOOKUP(I927,customers_clean!$A$2:$A$701,customers_clean!$C$2:$C$701)</f>
        <v> Ken Young</v>
      </c>
      <c r="L927" s="10" t="str">
        <f t="array" ref="L927">XLOOKUP(I927,customers_clean!$A$2:$A$701,customers_clean!$D$2:$D$701)</f>
        <v>Ken Young</v>
      </c>
      <c r="M927" s="2" t="str">
        <f t="array" ref="M927">XLOOKUP(I927,customers_clean!$A$2:$A$701,customers_clean!$I$2:$I$701)</f>
        <v>KEN.YOUNG@SHOP.IO</v>
      </c>
      <c r="N927" s="10" t="str">
        <f t="array" ref="N927">XLOOKUP(I927,customers_clean!$A$2:$A$701,customers_clean!$H$2:$H$701)</f>
        <v>ken.young@shop.io</v>
      </c>
      <c r="O927" s="9" t="str">
        <f>IFERROR(__xludf.DUMMYFUNCTION("IF(REGEXMATCH(TRIM(N927),""^[A-Za-z0-9._%+-]+@[A-Za-z0-9.-]+\.[A-Za-z]{2,}$""),""✅ Valid"",""❌ Invalid"")"),"✅ Valid")</f>
        <v>✅ Valid</v>
      </c>
      <c r="P927" s="2" t="str">
        <f t="array" ref="P927">XLOOKUP(I927,customers_clean!$A$2:$A$701,customers_clean!$K$2:$K$701)</f>
        <v>+49 767 0818805</v>
      </c>
      <c r="Q927" s="10" t="str">
        <f t="array" ref="Q927">XLOOKUP(I927,customers_clean!$A$2:$A$701,customers_clean!$N$2:$N$701)</f>
        <v>7670818805</v>
      </c>
      <c r="R927" s="9" t="str">
        <f t="array" ref="R927">XLOOKUP(I927,customers_clean!$A$2:$A$701,customers_clean!$Q$2:$Q$701)</f>
        <v>❌ INVALID</v>
      </c>
      <c r="S927" s="10" t="s">
        <v>448</v>
      </c>
      <c r="T927" s="2" t="s">
        <v>323</v>
      </c>
      <c r="U927" s="2" t="s">
        <v>176</v>
      </c>
      <c r="V927" s="2" t="s">
        <v>2336</v>
      </c>
      <c r="W927" s="9" t="str">
        <f t="array" ref="W927">IF(ISNA(XLOOKUP(V927,products_master_corrected!$A$2:$A$151,products_master_corrected!$A$2:$A$151, NA())),
    "❌ MISSING SKU", "✅")</f>
        <v>✅</v>
      </c>
      <c r="X927" s="2" t="s">
        <v>440</v>
      </c>
      <c r="Y927" s="2" t="s">
        <v>179</v>
      </c>
      <c r="Z927" s="10" t="s">
        <v>179</v>
      </c>
      <c r="AA927" s="27">
        <v>5.0</v>
      </c>
      <c r="AB927" s="9" t="s">
        <v>8649</v>
      </c>
      <c r="AC927" s="28">
        <f t="array" ref="AC927">XLOOKUP(V927,products_master_corrected!$A$2:$A$151,products_master_corrected!$E$2:$E$151)</f>
        <v>30.01</v>
      </c>
      <c r="AD927" s="28">
        <f t="shared" si="104"/>
        <v>150.05</v>
      </c>
      <c r="AE927" s="28">
        <f t="array" ref="AE927">XLOOKUP(V927,products_master_corrected!$A$2:$A$151,products_master_corrected!$M$2:$M$151)</f>
        <v>36.3</v>
      </c>
      <c r="AF927" s="29">
        <f t="shared" si="105"/>
        <v>181.5</v>
      </c>
      <c r="AG927" s="30" t="s">
        <v>48</v>
      </c>
      <c r="AH927" s="2" t="s">
        <v>181</v>
      </c>
      <c r="AI927" s="10" t="s">
        <v>181</v>
      </c>
      <c r="AJ927" s="2" t="s">
        <v>144</v>
      </c>
      <c r="AK927" s="10" t="s">
        <v>818</v>
      </c>
      <c r="AL927" s="2" t="s">
        <v>67</v>
      </c>
    </row>
    <row r="928" ht="15.75" customHeight="1">
      <c r="A928" s="2" t="s">
        <v>5396</v>
      </c>
      <c r="B928" s="12" t="s">
        <v>5397</v>
      </c>
      <c r="C928" s="2" t="str">
        <f>IFERROR(__xludf.DUMMYFUNCTION("IF(ISNUMBER(B928),TEXT(B928,""yyyy-MM-dd""),REGEXREPLACE(REGEXREPLACE(TO_TEXT(B928),""[^0-9a-zA-Z]+"",""-""),""[^0-9]*$"",""""))"),"06-26-2024")</f>
        <v>06-26-2024</v>
      </c>
      <c r="D928" s="2" t="str">
        <f>TEXT(C928,"yyyy-MM-dd")</f>
        <v>06-26-2024</v>
      </c>
      <c r="E928" s="2" t="s">
        <v>8809</v>
      </c>
      <c r="H928" s="10" t="s">
        <v>8809</v>
      </c>
      <c r="I928" s="2" t="s">
        <v>54</v>
      </c>
      <c r="J928" s="26" t="str">
        <f t="array" ref="J928">IF(ISNA(XLOOKUP(I928,customers_clean!$A$2:$A$701,customers_clean!$A$2:$A$701, NA()) ),
   "❌ MISSING CUSTOMER", "✅")</f>
        <v>✅</v>
      </c>
      <c r="K928" s="2" t="str">
        <f t="array" ref="K928">XLOOKUP(I928,customers_clean!$A$2:$A$701,customers_clean!$C$2:$C$701)</f>
        <v>Wiktor Garcia</v>
      </c>
      <c r="L928" s="10" t="str">
        <f t="array" ref="L928">XLOOKUP(I928,customers_clean!$A$2:$A$701,customers_clean!$D$2:$D$701)</f>
        <v>Wiktor Garcia</v>
      </c>
      <c r="M928" s="2" t="str">
        <f t="array" ref="M928">XLOOKUP(I928,customers_clean!$A$2:$A$701,customers_clean!$I$2:$I$701)</f>
        <v>wiktor.garcia@company.co.uk</v>
      </c>
      <c r="N928" s="10" t="str">
        <f t="array" ref="N928">XLOOKUP(I928,customers_clean!$A$2:$A$701,customers_clean!$H$2:$H$701)</f>
        <v>wiktor.garcia@company.co.uk</v>
      </c>
      <c r="O928" s="9" t="str">
        <f>IFERROR(__xludf.DUMMYFUNCTION("IF(REGEXMATCH(TRIM(N928),""^[A-Za-z0-9._%+-]+@[A-Za-z0-9.-]+\.[A-Za-z]{2,}$""),""✅ Valid"",""❌ Invalid"")"),"✅ Valid")</f>
        <v>✅ Valid</v>
      </c>
      <c r="P928" s="2" t="str">
        <f t="array" ref="P928">XLOOKUP(I928,customers_clean!$A$2:$A$701,customers_clean!$K$2:$K$701)</f>
        <v>+353 346 708015</v>
      </c>
      <c r="Q928" s="10" t="str">
        <f t="array" ref="Q928">XLOOKUP(I928,customers_clean!$A$2:$A$701,customers_clean!$N$2:$N$701)</f>
        <v>346708015</v>
      </c>
      <c r="R928" s="9" t="str">
        <f t="array" ref="R928">XLOOKUP(I928,customers_clean!$A$2:$A$701,customers_clean!$Q$2:$Q$701)</f>
        <v>❌ INVALID</v>
      </c>
      <c r="S928" s="10" t="s">
        <v>58</v>
      </c>
      <c r="T928" s="2" t="s">
        <v>26</v>
      </c>
      <c r="U928" s="2" t="s">
        <v>211</v>
      </c>
      <c r="V928" s="2" t="s">
        <v>4784</v>
      </c>
      <c r="W928" s="9" t="str">
        <f t="array" ref="W928">IF(ISNA(XLOOKUP(V928,products_master_corrected!$A$2:$A$151,products_master_corrected!$A$2:$A$151, NA())),
    "❌ MISSING SKU", "✅")</f>
        <v>✅</v>
      </c>
      <c r="X928" s="2" t="s">
        <v>2322</v>
      </c>
      <c r="Y928" s="2" t="s">
        <v>167</v>
      </c>
      <c r="Z928" s="10" t="str">
        <f>PROPER(TRIM(Y928))</f>
        <v>Monitors</v>
      </c>
      <c r="AA928" s="27">
        <v>1.0</v>
      </c>
      <c r="AB928" s="9" t="s">
        <v>8649</v>
      </c>
      <c r="AC928" s="28">
        <f t="array" ref="AC928">XLOOKUP(V928,products_master_corrected!$A$2:$A$151,products_master_corrected!$E$2:$E$151)</f>
        <v>22.87</v>
      </c>
      <c r="AD928" s="28">
        <f t="shared" si="104"/>
        <v>22.87</v>
      </c>
      <c r="AE928" s="28">
        <f t="array" ref="AE928">XLOOKUP(V928,products_master_corrected!$A$2:$A$151,products_master_corrected!$G$2:$G$151)</f>
        <v>26.18</v>
      </c>
      <c r="AF928" s="29">
        <f t="shared" si="105"/>
        <v>26.18</v>
      </c>
      <c r="AG928" s="32" t="s">
        <v>8663</v>
      </c>
      <c r="AH928" s="2" t="s">
        <v>485</v>
      </c>
      <c r="AI928" s="10" t="s">
        <v>181</v>
      </c>
      <c r="AJ928" s="2" t="s">
        <v>5399</v>
      </c>
      <c r="AK928" s="10" t="s">
        <v>80</v>
      </c>
    </row>
    <row r="929" ht="15.75" customHeight="1">
      <c r="A929" s="2" t="s">
        <v>639</v>
      </c>
      <c r="B929" s="12">
        <v>45077.0</v>
      </c>
      <c r="C929" s="2" t="str">
        <f>IFERROR(__xludf.DUMMYFUNCTION("IF(ISNUMBER(B929),TEXT(B929,""yyyy-MM-dd""),REGEXREPLACE(REGEXREPLACE(TO_TEXT(B929),""[^0-9a-zA-Z]+"",""-""),""[^0-9]*$"",""""))"),"2023-05-31")</f>
        <v>2023-05-31</v>
      </c>
      <c r="D929" s="2" t="s">
        <v>8972</v>
      </c>
      <c r="H929" s="10" t="s">
        <v>8972</v>
      </c>
      <c r="I929" s="2" t="s">
        <v>54</v>
      </c>
      <c r="J929" s="26" t="str">
        <f t="array" ref="J929">IF(ISNA(XLOOKUP(I929,customers_clean!$A$2:$A$701,customers_clean!$A$2:$A$701, NA()) ),
   "❌ MISSING CUSTOMER", "✅")</f>
        <v>✅</v>
      </c>
      <c r="K929" s="2" t="str">
        <f t="array" ref="K929">XLOOKUP(I929,customers_clean!$A$2:$A$701,customers_clean!$C$2:$C$701)</f>
        <v>Wiktor Garcia</v>
      </c>
      <c r="L929" s="10" t="str">
        <f t="array" ref="L929">XLOOKUP(I929,customers_clean!$A$2:$A$701,customers_clean!$D$2:$D$701)</f>
        <v>Wiktor Garcia</v>
      </c>
      <c r="M929" s="2" t="str">
        <f t="array" ref="M929">XLOOKUP(I929,customers_clean!$A$2:$A$701,customers_clean!$I$2:$I$701)</f>
        <v>wiktor.garcia@company.co.uk</v>
      </c>
      <c r="N929" s="10" t="str">
        <f t="array" ref="N929">XLOOKUP(I929,customers_clean!$A$2:$A$701,customers_clean!$H$2:$H$701)</f>
        <v>wiktor.garcia@company.co.uk</v>
      </c>
      <c r="O929" s="9" t="str">
        <f>IFERROR(__xludf.DUMMYFUNCTION("IF(REGEXMATCH(TRIM(N929),""^[A-Za-z0-9._%+-]+@[A-Za-z0-9.-]+\.[A-Za-z]{2,}$""),""✅ Valid"",""❌ Invalid"")"),"✅ Valid")</f>
        <v>✅ Valid</v>
      </c>
      <c r="P929" s="2" t="str">
        <f t="array" ref="P929">XLOOKUP(I929,customers_clean!$A$2:$A$701,customers_clean!$K$2:$K$701)</f>
        <v>+353 346 708015</v>
      </c>
      <c r="Q929" s="10" t="str">
        <f t="array" ref="Q929">XLOOKUP(I929,customers_clean!$A$2:$A$701,customers_clean!$N$2:$N$701)</f>
        <v>346708015</v>
      </c>
      <c r="R929" s="9" t="str">
        <f t="array" ref="R929">XLOOKUP(I929,customers_clean!$A$2:$A$701,customers_clean!$Q$2:$Q$701)</f>
        <v>❌ INVALID</v>
      </c>
      <c r="S929" s="10" t="s">
        <v>58</v>
      </c>
      <c r="T929" s="2" t="s">
        <v>641</v>
      </c>
      <c r="U929" s="2" t="s">
        <v>642</v>
      </c>
      <c r="V929" s="2" t="s">
        <v>643</v>
      </c>
      <c r="W929" s="9" t="str">
        <f t="array" ref="W929">IF(ISNA(XLOOKUP(V929,products_master_corrected!$A$2:$A$151,products_master_corrected!$A$2:$A$151, NA())),
    "❌ MISSING SKU", "✅")</f>
        <v>✅</v>
      </c>
      <c r="X929" s="2" t="s">
        <v>1147</v>
      </c>
      <c r="Y929" s="2" t="s">
        <v>368</v>
      </c>
      <c r="Z929" s="10" t="s">
        <v>368</v>
      </c>
      <c r="AA929" s="27">
        <v>1.0</v>
      </c>
      <c r="AB929" s="9" t="s">
        <v>8649</v>
      </c>
      <c r="AC929" s="28">
        <f t="array" ref="AC929">XLOOKUP(V929,products_master_corrected!$A$2:$A$151,products_master_corrected!$E$2:$E$151)</f>
        <v>62.12</v>
      </c>
      <c r="AD929" s="28">
        <f t="shared" si="104"/>
        <v>62.12</v>
      </c>
      <c r="AE929" s="28">
        <f t="array" ref="AE929">XLOOKUP(V929,products_master_corrected!$A$2:$A$151,products_master_corrected!$G$2:$G$151)</f>
        <v>71.11</v>
      </c>
      <c r="AF929" s="29">
        <f t="shared" si="105"/>
        <v>71.11</v>
      </c>
      <c r="AG929" s="32" t="s">
        <v>8663</v>
      </c>
      <c r="AH929" s="2" t="s">
        <v>305</v>
      </c>
      <c r="AI929" s="10" t="s">
        <v>49</v>
      </c>
      <c r="AJ929" s="2" t="s">
        <v>192</v>
      </c>
      <c r="AK929" s="10" t="s">
        <v>192</v>
      </c>
      <c r="AL929" s="2" t="s">
        <v>51</v>
      </c>
    </row>
    <row r="930" ht="15.75" customHeight="1">
      <c r="A930" s="2" t="s">
        <v>52</v>
      </c>
      <c r="B930" s="12">
        <v>45068.84722222222</v>
      </c>
      <c r="C930" s="2" t="str">
        <f>IFERROR(__xludf.DUMMYFUNCTION("IF(ISNUMBER(B930),TEXT(B930,""yyyy-MM-dd""),REGEXREPLACE(REGEXREPLACE(TO_TEXT(B930),""[^0-9a-zA-Z]+"",""-""),""[^0-9]*$"",""""))"),"2023-05-22")</f>
        <v>2023-05-22</v>
      </c>
      <c r="D930" s="2" t="s">
        <v>8979</v>
      </c>
      <c r="H930" s="10" t="s">
        <v>8979</v>
      </c>
      <c r="I930" s="2" t="s">
        <v>54</v>
      </c>
      <c r="J930" s="26" t="str">
        <f t="array" ref="J930">IF(ISNA(XLOOKUP(I930,customers_clean!$A$2:$A$701,customers_clean!$A$2:$A$701, NA()) ),
   "❌ MISSING CUSTOMER", "✅")</f>
        <v>✅</v>
      </c>
      <c r="K930" s="2" t="str">
        <f t="array" ref="K930">XLOOKUP(I930,customers_clean!$A$2:$A$701,customers_clean!$C$2:$C$701)</f>
        <v>Wiktor Garcia</v>
      </c>
      <c r="L930" s="10" t="str">
        <f t="array" ref="L930">XLOOKUP(I930,customers_clean!$A$2:$A$701,customers_clean!$D$2:$D$701)</f>
        <v>Wiktor Garcia</v>
      </c>
      <c r="M930" s="2" t="str">
        <f t="array" ref="M930">XLOOKUP(I930,customers_clean!$A$2:$A$701,customers_clean!$I$2:$I$701)</f>
        <v>wiktor.garcia@company.co.uk</v>
      </c>
      <c r="N930" s="10" t="str">
        <f t="array" ref="N930">XLOOKUP(I930,customers_clean!$A$2:$A$701,customers_clean!$H$2:$H$701)</f>
        <v>wiktor.garcia@company.co.uk</v>
      </c>
      <c r="O930" s="9" t="str">
        <f>IFERROR(__xludf.DUMMYFUNCTION("IF(REGEXMATCH(TRIM(N930),""^[A-Za-z0-9._%+-]+@[A-Za-z0-9.-]+\.[A-Za-z]{2,}$""),""✅ Valid"",""❌ Invalid"")"),"✅ Valid")</f>
        <v>✅ Valid</v>
      </c>
      <c r="P930" s="2" t="str">
        <f t="array" ref="P930">XLOOKUP(I930,customers_clean!$A$2:$A$701,customers_clean!$K$2:$K$701)</f>
        <v>+353 346 708015</v>
      </c>
      <c r="Q930" s="10" t="str">
        <f t="array" ref="Q930">XLOOKUP(I930,customers_clean!$A$2:$A$701,customers_clean!$N$2:$N$701)</f>
        <v>346708015</v>
      </c>
      <c r="R930" s="9" t="str">
        <f t="array" ref="R930">XLOOKUP(I930,customers_clean!$A$2:$A$701,customers_clean!$Q$2:$Q$701)</f>
        <v>❌ INVALID</v>
      </c>
      <c r="S930" s="10" t="s">
        <v>58</v>
      </c>
      <c r="T930" s="2" t="s">
        <v>59</v>
      </c>
      <c r="U930" s="2" t="s">
        <v>60</v>
      </c>
      <c r="V930" s="2" t="s">
        <v>61</v>
      </c>
      <c r="W930" s="9" t="str">
        <f t="array" ref="W930">IF(ISNA(XLOOKUP(V930,products_master_corrected!$A$2:$A$151,products_master_corrected!$A$2:$A$151, NA())),
    "❌ MISSING SKU", "✅")</f>
        <v>✅</v>
      </c>
      <c r="X930" s="2" t="s">
        <v>62</v>
      </c>
      <c r="Y930" s="2" t="s">
        <v>63</v>
      </c>
      <c r="Z930" s="10" t="s">
        <v>63</v>
      </c>
      <c r="AA930" s="27">
        <v>2.0</v>
      </c>
      <c r="AB930" s="9" t="s">
        <v>8649</v>
      </c>
      <c r="AC930" s="28">
        <f t="array" ref="AC930">XLOOKUP(V930,products_master_corrected!$A$2:$A$151,products_master_corrected!$E$2:$E$151)</f>
        <v>62.81</v>
      </c>
      <c r="AD930" s="28">
        <f t="shared" si="104"/>
        <v>125.62</v>
      </c>
      <c r="AE930" s="28">
        <f t="array" ref="AE930">XLOOKUP(V930,products_master_corrected!$A$2:$A$151,products_master_corrected!$G$2:$G$151)</f>
        <v>71.9</v>
      </c>
      <c r="AF930" s="29">
        <f t="shared" si="105"/>
        <v>143.8</v>
      </c>
      <c r="AG930" s="32" t="s">
        <v>8663</v>
      </c>
      <c r="AH930" s="2" t="s">
        <v>66</v>
      </c>
      <c r="AI930" s="10" t="s">
        <v>66</v>
      </c>
      <c r="AJ930" s="2" t="s">
        <v>50</v>
      </c>
      <c r="AK930" s="10" t="s">
        <v>261</v>
      </c>
      <c r="AL930" s="2" t="s">
        <v>67</v>
      </c>
    </row>
    <row r="931" ht="15.75" customHeight="1">
      <c r="A931" s="2" t="s">
        <v>2112</v>
      </c>
      <c r="B931" s="12">
        <v>45571.0</v>
      </c>
      <c r="C931" s="2" t="str">
        <f>IFERROR(__xludf.DUMMYFUNCTION("IF(ISNUMBER(B931),TEXT(B931,""yyyy-MM-dd""),REGEXREPLACE(REGEXREPLACE(TO_TEXT(B931),""[^0-9a-zA-Z]+"",""-""),""[^0-9]*$"",""""))"),"2024-10-06")</f>
        <v>2024-10-06</v>
      </c>
      <c r="D931" s="2" t="s">
        <v>8353</v>
      </c>
      <c r="H931" s="10" t="s">
        <v>8353</v>
      </c>
      <c r="I931" s="2" t="s">
        <v>700</v>
      </c>
      <c r="J931" s="26" t="str">
        <f t="array" ref="J931">IF(ISNA(XLOOKUP(I931,customers_clean!$A$2:$A$701,customers_clean!$A$2:$A$701, NA()) ),
   "❌ MISSING CUSTOMER", "✅")</f>
        <v>✅</v>
      </c>
      <c r="K931" s="2" t="str">
        <f t="array" ref="K931">XLOOKUP(I931,customers_clean!$A$2:$A$701,customers_clean!$C$2:$C$701)</f>
        <v>Wiktor Young</v>
      </c>
      <c r="L931" s="10" t="str">
        <f t="array" ref="L931">XLOOKUP(I931,customers_clean!$A$2:$A$701,customers_clean!$D$2:$D$701)</f>
        <v>Wiktor Young</v>
      </c>
      <c r="M931" s="2" t="str">
        <f t="array" ref="M931">XLOOKUP(I931,customers_clean!$A$2:$A$701,customers_clean!$I$2:$I$701)</f>
        <v>wiktor.young@cmopany.co.uk</v>
      </c>
      <c r="N931" s="10" t="str">
        <f t="array" ref="N931">XLOOKUP(I931,customers_clean!$A$2:$A$701,customers_clean!$H$2:$H$701)</f>
        <v>wiktor.young@cmopany.co.uk</v>
      </c>
      <c r="O931" s="9" t="str">
        <f>IFERROR(__xludf.DUMMYFUNCTION("IF(REGEXMATCH(TRIM(N931),""^[A-Za-z0-9._%+-]+@[A-Za-z0-9.-]+\.[A-Za-z]{2,}$""),""✅ Valid"",""❌ Invalid"")"),"✅ Valid")</f>
        <v>✅ Valid</v>
      </c>
      <c r="P931" s="2" t="str">
        <f t="array" ref="P931">XLOOKUP(I931,customers_clean!$A$2:$A$701,customers_clean!$K$2:$K$701)</f>
        <v>+44 399 9447299</v>
      </c>
      <c r="Q931" s="10" t="str">
        <f t="array" ref="Q931">XLOOKUP(I931,customers_clean!$A$2:$A$701,customers_clean!$N$2:$N$701)</f>
        <v>3999447299</v>
      </c>
      <c r="R931" s="9" t="str">
        <f t="array" ref="R931">XLOOKUP(I931,customers_clean!$A$2:$A$701,customers_clean!$Q$2:$Q$701)</f>
        <v>❌ INVALID</v>
      </c>
      <c r="S931" s="10" t="s">
        <v>448</v>
      </c>
      <c r="T931" s="2" t="s">
        <v>2114</v>
      </c>
      <c r="U931" s="2" t="s">
        <v>43</v>
      </c>
      <c r="V931" s="2" t="s">
        <v>904</v>
      </c>
      <c r="W931" s="9" t="str">
        <f t="array" ref="W931">IF(ISNA(XLOOKUP(V931,products_master_corrected!$A$2:$A$151,products_master_corrected!$A$2:$A$151, NA())),
    "❌ MISSING SKU", "✅")</f>
        <v>✅</v>
      </c>
      <c r="X931" s="2" t="s">
        <v>905</v>
      </c>
      <c r="Y931" s="2" t="s">
        <v>167</v>
      </c>
      <c r="Z931" s="10" t="str">
        <f>PROPER(TRIM(Y931))</f>
        <v>Monitors</v>
      </c>
      <c r="AA931" s="27">
        <v>1.0</v>
      </c>
      <c r="AB931" s="9" t="s">
        <v>8649</v>
      </c>
      <c r="AC931" s="28">
        <f t="array" ref="AC931">XLOOKUP(V931,products_master_corrected!$A$2:$A$151,products_master_corrected!$E$2:$E$151)</f>
        <v>132.42</v>
      </c>
      <c r="AD931" s="28">
        <f t="shared" si="104"/>
        <v>132.42</v>
      </c>
      <c r="AE931" s="28">
        <f t="array" ref="AE931">XLOOKUP(V931,products_master_corrected!$A$2:$A$151,products_master_corrected!$M$2:$M$151)</f>
        <v>160.18</v>
      </c>
      <c r="AF931" s="29">
        <f t="shared" si="105"/>
        <v>160.18</v>
      </c>
      <c r="AG931" s="30" t="s">
        <v>48</v>
      </c>
      <c r="AH931" s="2" t="s">
        <v>131</v>
      </c>
      <c r="AI931" s="10" t="s">
        <v>181</v>
      </c>
      <c r="AJ931" s="2" t="s">
        <v>80</v>
      </c>
      <c r="AK931" s="10" t="s">
        <v>80</v>
      </c>
      <c r="AL931" s="2" t="s">
        <v>51</v>
      </c>
    </row>
    <row r="932" ht="15.75" customHeight="1">
      <c r="A932" s="2" t="s">
        <v>698</v>
      </c>
      <c r="B932" s="12" t="s">
        <v>699</v>
      </c>
      <c r="C932" s="2" t="str">
        <f>IFERROR(__xludf.DUMMYFUNCTION("IF(ISNUMBER(B932),TEXT(B932,""yyyy-MM-dd""),REGEXREPLACE(REGEXREPLACE(TO_TEXT(B932),""[^0-9a-zA-Z]+"",""-""),""[^0-9]*$"",""""))"),"29-06-2023")</f>
        <v>29-06-2023</v>
      </c>
      <c r="D932" s="2" t="s">
        <v>8980</v>
      </c>
      <c r="H932" s="10" t="s">
        <v>8980</v>
      </c>
      <c r="I932" s="2" t="s">
        <v>700</v>
      </c>
      <c r="J932" s="26" t="str">
        <f t="array" ref="J932">IF(ISNA(XLOOKUP(I932,customers_clean!$A$2:$A$701,customers_clean!$A$2:$A$701, NA()) ),
   "❌ MISSING CUSTOMER", "✅")</f>
        <v>✅</v>
      </c>
      <c r="K932" s="2" t="str">
        <f t="array" ref="K932">XLOOKUP(I932,customers_clean!$A$2:$A$701,customers_clean!$C$2:$C$701)</f>
        <v>Wiktor Young</v>
      </c>
      <c r="L932" s="10" t="str">
        <f t="array" ref="L932">XLOOKUP(I932,customers_clean!$A$2:$A$701,customers_clean!$D$2:$D$701)</f>
        <v>Wiktor Young</v>
      </c>
      <c r="M932" s="2" t="str">
        <f t="array" ref="M932">XLOOKUP(I932,customers_clean!$A$2:$A$701,customers_clean!$I$2:$I$701)</f>
        <v>wiktor.young@cmopany.co.uk</v>
      </c>
      <c r="N932" s="10" t="str">
        <f t="array" ref="N932">XLOOKUP(I932,customers_clean!$A$2:$A$701,customers_clean!$H$2:$H$701)</f>
        <v>wiktor.young@cmopany.co.uk</v>
      </c>
      <c r="O932" s="9" t="str">
        <f>IFERROR(__xludf.DUMMYFUNCTION("IF(REGEXMATCH(TRIM(N932),""^[A-Za-z0-9._%+-]+@[A-Za-z0-9.-]+\.[A-Za-z]{2,}$""),""✅ Valid"",""❌ Invalid"")"),"✅ Valid")</f>
        <v>✅ Valid</v>
      </c>
      <c r="P932" s="2" t="str">
        <f t="array" ref="P932">XLOOKUP(I932,customers_clean!$A$2:$A$701,customers_clean!$K$2:$K$701)</f>
        <v>+44 399 9447299</v>
      </c>
      <c r="Q932" s="10" t="str">
        <f t="array" ref="Q932">XLOOKUP(I932,customers_clean!$A$2:$A$701,customers_clean!$N$2:$N$701)</f>
        <v>3999447299</v>
      </c>
      <c r="R932" s="9" t="str">
        <f t="array" ref="R932">XLOOKUP(I932,customers_clean!$A$2:$A$701,customers_clean!$Q$2:$Q$701)</f>
        <v>❌ INVALID</v>
      </c>
      <c r="S932" s="10" t="s">
        <v>448</v>
      </c>
      <c r="T932" s="2" t="s">
        <v>42</v>
      </c>
      <c r="U932" s="2" t="s">
        <v>365</v>
      </c>
      <c r="V932" s="2" t="s">
        <v>702</v>
      </c>
      <c r="W932" s="9" t="str">
        <f t="array" ref="W932">IF(ISNA(XLOOKUP(V932,products_master_corrected!$A$2:$A$151,products_master_corrected!$A$2:$A$151, NA())),
    "❌ MISSING SKU", "✅")</f>
        <v>✅</v>
      </c>
      <c r="X932" s="2" t="s">
        <v>524</v>
      </c>
      <c r="Y932" s="2" t="s">
        <v>703</v>
      </c>
      <c r="Z932" s="10" t="s">
        <v>248</v>
      </c>
      <c r="AA932" s="27">
        <v>2.0</v>
      </c>
      <c r="AB932" s="9" t="s">
        <v>8649</v>
      </c>
      <c r="AC932" s="28">
        <f t="array" ref="AC932">XLOOKUP(V932,products_master_corrected!$A$2:$A$151,products_master_corrected!$E$2:$E$151)</f>
        <v>176.25</v>
      </c>
      <c r="AD932" s="28">
        <f t="shared" si="104"/>
        <v>352.5</v>
      </c>
      <c r="AE932" s="28">
        <f t="array" ref="AE932">XLOOKUP(V932,products_master_corrected!$A$2:$A$151,products_master_corrected!$M$2:$M$151)</f>
        <v>213.19</v>
      </c>
      <c r="AF932" s="29">
        <f t="shared" si="105"/>
        <v>426.38</v>
      </c>
      <c r="AG932" s="30" t="s">
        <v>48</v>
      </c>
      <c r="AH932" s="2" t="s">
        <v>181</v>
      </c>
      <c r="AI932" s="10" t="s">
        <v>181</v>
      </c>
      <c r="AJ932" s="2" t="s">
        <v>80</v>
      </c>
      <c r="AK932" s="10" t="s">
        <v>80</v>
      </c>
    </row>
    <row r="933" ht="15.75" customHeight="1">
      <c r="A933" s="2" t="s">
        <v>5901</v>
      </c>
      <c r="B933" s="12">
        <v>45339.0</v>
      </c>
      <c r="C933" s="2" t="str">
        <f>IFERROR(__xludf.DUMMYFUNCTION("IF(ISNUMBER(B933),TEXT(B933,""yyyy-MM-dd""),REGEXREPLACE(REGEXREPLACE(TO_TEXT(B933),""[^0-9a-zA-Z]+"",""-""),""[^0-9]*$"",""""))"),"2024-02-17")</f>
        <v>2024-02-17</v>
      </c>
      <c r="D933" s="2" t="s">
        <v>8506</v>
      </c>
      <c r="H933" s="10" t="s">
        <v>8506</v>
      </c>
      <c r="I933" s="2" t="s">
        <v>700</v>
      </c>
      <c r="J933" s="26" t="str">
        <f t="array" ref="J933">IF(ISNA(XLOOKUP(I933,customers_clean!$A$2:$A$701,customers_clean!$A$2:$A$701, NA()) ),
   "❌ MISSING CUSTOMER", "✅")</f>
        <v>✅</v>
      </c>
      <c r="K933" s="2" t="str">
        <f t="array" ref="K933">XLOOKUP(I933,customers_clean!$A$2:$A$701,customers_clean!$C$2:$C$701)</f>
        <v>Wiktor Young</v>
      </c>
      <c r="L933" s="10" t="str">
        <f t="array" ref="L933">XLOOKUP(I933,customers_clean!$A$2:$A$701,customers_clean!$D$2:$D$701)</f>
        <v>Wiktor Young</v>
      </c>
      <c r="M933" s="2" t="str">
        <f t="array" ref="M933">XLOOKUP(I933,customers_clean!$A$2:$A$701,customers_clean!$I$2:$I$701)</f>
        <v>wiktor.young@cmopany.co.uk</v>
      </c>
      <c r="N933" s="10" t="str">
        <f t="array" ref="N933">XLOOKUP(I933,customers_clean!$A$2:$A$701,customers_clean!$H$2:$H$701)</f>
        <v>wiktor.young@cmopany.co.uk</v>
      </c>
      <c r="O933" s="9" t="str">
        <f>IFERROR(__xludf.DUMMYFUNCTION("IF(REGEXMATCH(TRIM(N933),""^[A-Za-z0-9._%+-]+@[A-Za-z0-9.-]+\.[A-Za-z]{2,}$""),""✅ Valid"",""❌ Invalid"")"),"✅ Valid")</f>
        <v>✅ Valid</v>
      </c>
      <c r="P933" s="2" t="str">
        <f t="array" ref="P933">XLOOKUP(I933,customers_clean!$A$2:$A$701,customers_clean!$K$2:$K$701)</f>
        <v>+44 399 9447299</v>
      </c>
      <c r="Q933" s="10" t="str">
        <f t="array" ref="Q933">XLOOKUP(I933,customers_clean!$A$2:$A$701,customers_clean!$N$2:$N$701)</f>
        <v>3999447299</v>
      </c>
      <c r="R933" s="9" t="str">
        <f t="array" ref="R933">XLOOKUP(I933,customers_clean!$A$2:$A$701,customers_clean!$Q$2:$Q$701)</f>
        <v>❌ INVALID</v>
      </c>
      <c r="S933" s="10" t="s">
        <v>448</v>
      </c>
      <c r="T933" s="2" t="s">
        <v>59</v>
      </c>
      <c r="U933" s="2" t="s">
        <v>312</v>
      </c>
      <c r="V933" s="2" t="s">
        <v>2033</v>
      </c>
      <c r="W933" s="9" t="str">
        <f t="array" ref="W933">IF(ISNA(XLOOKUP(V933,products_master_corrected!$A$2:$A$151,products_master_corrected!$A$2:$A$151, NA())),
    "❌ MISSING SKU", "✅")</f>
        <v>✅</v>
      </c>
      <c r="X933" s="2" t="s">
        <v>2034</v>
      </c>
      <c r="Y933" s="2" t="s">
        <v>1016</v>
      </c>
      <c r="Z933" s="10" t="s">
        <v>355</v>
      </c>
      <c r="AA933" s="27">
        <v>1.0</v>
      </c>
      <c r="AB933" s="9" t="s">
        <v>8649</v>
      </c>
      <c r="AC933" s="28">
        <f t="array" ref="AC933">XLOOKUP(V933,products_master_corrected!$A$2:$A$151,products_master_corrected!$E$2:$E$151)</f>
        <v>938.62</v>
      </c>
      <c r="AD933" s="28">
        <f t="shared" si="104"/>
        <v>938.62</v>
      </c>
      <c r="AE933" s="28">
        <f t="array" ref="AE933">XLOOKUP(V933,products_master_corrected!$A$2:$A$151,products_master_corrected!$M$2:$M$151)</f>
        <v>1135.35</v>
      </c>
      <c r="AF933" s="29">
        <f t="shared" si="105"/>
        <v>1135.35</v>
      </c>
      <c r="AG933" s="30" t="s">
        <v>48</v>
      </c>
      <c r="AH933" s="2" t="s">
        <v>526</v>
      </c>
      <c r="AI933" s="10" t="s">
        <v>49</v>
      </c>
      <c r="AJ933" s="2" t="s">
        <v>120</v>
      </c>
      <c r="AK933" s="10" t="s">
        <v>818</v>
      </c>
    </row>
    <row r="934" ht="15.75" customHeight="1">
      <c r="A934" s="2" t="s">
        <v>3003</v>
      </c>
      <c r="B934" s="12">
        <v>45825.0</v>
      </c>
      <c r="C934" s="2" t="str">
        <f>IFERROR(__xludf.DUMMYFUNCTION("IF(ISNUMBER(B934),TEXT(B934,""yyyy-MM-dd""),REGEXREPLACE(REGEXREPLACE(TO_TEXT(B934),""[^0-9a-zA-Z]+"",""-""),""[^0-9]*$"",""""))"),"2025-06-17")</f>
        <v>2025-06-17</v>
      </c>
      <c r="D934" s="2" t="s">
        <v>8981</v>
      </c>
      <c r="H934" s="10" t="s">
        <v>8981</v>
      </c>
      <c r="I934" s="2" t="s">
        <v>3005</v>
      </c>
      <c r="J934" s="26" t="str">
        <f t="array" ref="J934">IF(ISNA(XLOOKUP(I934,customers_clean!$A$2:$A$701,customers_clean!$A$2:$A$701, NA()) ),
   "❌ MISSING CUSTOMER", "✅")</f>
        <v>✅</v>
      </c>
      <c r="K934" s="2" t="str">
        <f t="array" ref="K934">XLOOKUP(I934,customers_clean!$A$2:$A$701,customers_clean!$C$2:$C$701)</f>
        <v>LIA TAYLOR</v>
      </c>
      <c r="L934" s="10" t="str">
        <f t="array" ref="L934">XLOOKUP(I934,customers_clean!$A$2:$A$701,customers_clean!$D$2:$D$701)</f>
        <v>Lia Taylor</v>
      </c>
      <c r="M934" s="2" t="str">
        <f t="array" ref="M934">XLOOKUP(I934,customers_clean!$A$2:$A$701,customers_clean!$I$2:$I$701)</f>
        <v>Lia.Taylor@Company.Co.Uk</v>
      </c>
      <c r="N934" s="10" t="str">
        <f t="array" ref="N934">XLOOKUP(I934,customers_clean!$A$2:$A$701,customers_clean!$H$2:$H$701)</f>
        <v>lia.taylor@company.co.uk</v>
      </c>
      <c r="O934" s="9" t="str">
        <f>IFERROR(__xludf.DUMMYFUNCTION("IF(REGEXMATCH(TRIM(N934),""^[A-Za-z0-9._%+-]+@[A-Za-z0-9.-]+\.[A-Za-z]{2,}$""),""✅ Valid"",""❌ Invalid"")"),"✅ Valid")</f>
        <v>✅ Valid</v>
      </c>
      <c r="P934" s="2" t="str">
        <f t="array" ref="P934">XLOOKUP(I934,customers_clean!$A$2:$A$701,customers_clean!$K$2:$K$701)</f>
        <v>(312) 0374952</v>
      </c>
      <c r="Q934" s="10" t="str">
        <f t="array" ref="Q934">XLOOKUP(I934,customers_clean!$A$2:$A$701,customers_clean!$N$2:$N$701)</f>
        <v>3120374952</v>
      </c>
      <c r="R934" s="9" t="str">
        <f t="array" ref="R934">XLOOKUP(I934,customers_clean!$A$2:$A$701,customers_clean!$Q$2:$Q$701)</f>
        <v>✅ VALID</v>
      </c>
      <c r="S934" s="31" t="s">
        <v>671</v>
      </c>
      <c r="T934" s="2" t="s">
        <v>323</v>
      </c>
      <c r="U934" s="2" t="s">
        <v>1245</v>
      </c>
      <c r="V934" s="2" t="s">
        <v>166</v>
      </c>
      <c r="W934" s="9" t="str">
        <f t="array" ref="W934">IF(ISNA(XLOOKUP(V934,products_master_corrected!$A$2:$A$151,products_master_corrected!$A$2:$A$151, NA())),
    "❌ MISSING SKU", "✅")</f>
        <v>✅</v>
      </c>
      <c r="X934" s="2" t="s">
        <v>259</v>
      </c>
      <c r="Y934" s="2" t="s">
        <v>167</v>
      </c>
      <c r="Z934" s="10" t="str">
        <f>PROPER(TRIM(Y934))</f>
        <v>Monitors</v>
      </c>
      <c r="AA934" s="27">
        <v>1.0</v>
      </c>
      <c r="AB934" s="9" t="s">
        <v>8649</v>
      </c>
      <c r="AC934" s="28">
        <f t="array" ref="AC934">XLOOKUP(V934,products_master_corrected!$A$2:$A$151,products_master_corrected!$E$2:$E$151)</f>
        <v>16.9</v>
      </c>
      <c r="AD934" s="28">
        <f t="shared" si="104"/>
        <v>16.9</v>
      </c>
      <c r="AE934" s="28">
        <f t="array" ref="AE934">XLOOKUP(V934,products_master_corrected!$A$2:$A$151,products_master_corrected!$J$2:$J$151)</f>
        <v>19.71</v>
      </c>
      <c r="AF934" s="29">
        <f t="shared" si="105"/>
        <v>19.71</v>
      </c>
      <c r="AG934" s="32" t="s">
        <v>8656</v>
      </c>
      <c r="AH934" s="2" t="s">
        <v>526</v>
      </c>
      <c r="AI934" s="10" t="s">
        <v>49</v>
      </c>
      <c r="AJ934" s="2" t="s">
        <v>80</v>
      </c>
      <c r="AK934" s="10" t="s">
        <v>80</v>
      </c>
    </row>
    <row r="935" ht="15.75" customHeight="1">
      <c r="A935" s="2" t="s">
        <v>5991</v>
      </c>
      <c r="B935" s="12" t="s">
        <v>5992</v>
      </c>
      <c r="C935" s="2" t="str">
        <f>IFERROR(__xludf.DUMMYFUNCTION("IF(ISNUMBER(B935),TEXT(B935,""yyyy-MM-dd""),REGEXREPLACE(REGEXREPLACE(TO_TEXT(B935),""[^0-9a-zA-Z]+"",""-""),""[^0-9]*$"",""""))"),"45182-07-57")</f>
        <v>45182-07-57</v>
      </c>
      <c r="D935" s="2" t="str">
        <f>TEXT(C935,"yyyy-MM-dd")</f>
        <v>45182-07-57</v>
      </c>
      <c r="E935" s="25" t="str">
        <f>CONCATENATE(LEFT(D935,5))</f>
        <v>45182</v>
      </c>
      <c r="F935" s="12">
        <f>DATE(1900,1,1) + E935 - 1</f>
        <v>45183</v>
      </c>
      <c r="G935" s="2" t="s">
        <v>8869</v>
      </c>
      <c r="H935" s="10" t="s">
        <v>8869</v>
      </c>
      <c r="I935" s="2" t="s">
        <v>3005</v>
      </c>
      <c r="J935" s="26" t="str">
        <f t="array" ref="J935">IF(ISNA(XLOOKUP(I935,customers_clean!$A$2:$A$701,customers_clean!$A$2:$A$701, NA()) ),
   "❌ MISSING CUSTOMER", "✅")</f>
        <v>✅</v>
      </c>
      <c r="K935" s="2" t="str">
        <f t="array" ref="K935">XLOOKUP(I935,customers_clean!$A$2:$A$701,customers_clean!$C$2:$C$701)</f>
        <v>LIA TAYLOR</v>
      </c>
      <c r="L935" s="10" t="str">
        <f t="array" ref="L935">XLOOKUP(I935,customers_clean!$A$2:$A$701,customers_clean!$D$2:$D$701)</f>
        <v>Lia Taylor</v>
      </c>
      <c r="M935" s="2" t="str">
        <f t="array" ref="M935">XLOOKUP(I935,customers_clean!$A$2:$A$701,customers_clean!$I$2:$I$701)</f>
        <v>Lia.Taylor@Company.Co.Uk</v>
      </c>
      <c r="N935" s="10" t="str">
        <f t="array" ref="N935">XLOOKUP(I935,customers_clean!$A$2:$A$701,customers_clean!$H$2:$H$701)</f>
        <v>lia.taylor@company.co.uk</v>
      </c>
      <c r="O935" s="9" t="str">
        <f>IFERROR(__xludf.DUMMYFUNCTION("IF(REGEXMATCH(TRIM(N935),""^[A-Za-z0-9._%+-]+@[A-Za-z0-9.-]+\.[A-Za-z]{2,}$""),""✅ Valid"",""❌ Invalid"")"),"✅ Valid")</f>
        <v>✅ Valid</v>
      </c>
      <c r="P935" s="2" t="str">
        <f t="array" ref="P935">XLOOKUP(I935,customers_clean!$A$2:$A$701,customers_clean!$K$2:$K$701)</f>
        <v>(312) 0374952</v>
      </c>
      <c r="Q935" s="10" t="str">
        <f t="array" ref="Q935">XLOOKUP(I935,customers_clean!$A$2:$A$701,customers_clean!$N$2:$N$701)</f>
        <v>3120374952</v>
      </c>
      <c r="R935" s="9" t="str">
        <f t="array" ref="R935">XLOOKUP(I935,customers_clean!$A$2:$A$701,customers_clean!$Q$2:$Q$701)</f>
        <v>✅ VALID</v>
      </c>
      <c r="S935" s="31" t="s">
        <v>671</v>
      </c>
      <c r="T935" s="2" t="s">
        <v>223</v>
      </c>
      <c r="U935" s="2" t="s">
        <v>500</v>
      </c>
      <c r="V935" s="2" t="s">
        <v>1476</v>
      </c>
      <c r="W935" s="9" t="str">
        <f t="array" ref="W935">IF(ISNA(XLOOKUP(V935,products_master_corrected!$A$2:$A$151,products_master_corrected!$A$2:$A$151, NA())),
    "❌ MISSING SKU", "✅")</f>
        <v>✅</v>
      </c>
      <c r="X935" s="2" t="s">
        <v>1147</v>
      </c>
      <c r="Y935" s="2" t="s">
        <v>1477</v>
      </c>
      <c r="Z935" s="10" t="s">
        <v>248</v>
      </c>
      <c r="AA935" s="27">
        <v>5.0</v>
      </c>
      <c r="AB935" s="9" t="s">
        <v>8649</v>
      </c>
      <c r="AC935" s="28">
        <f t="array" ref="AC935">XLOOKUP(V935,products_master_corrected!$A$2:$A$151,products_master_corrected!$E$2:$E$151)</f>
        <v>147.92</v>
      </c>
      <c r="AD935" s="28">
        <f t="shared" si="104"/>
        <v>739.6</v>
      </c>
      <c r="AE935" s="28">
        <f t="array" ref="AE935">XLOOKUP(V935,products_master_corrected!$A$2:$A$151,products_master_corrected!$J$2:$J$151)</f>
        <v>172.52</v>
      </c>
      <c r="AF935" s="29">
        <f t="shared" si="105"/>
        <v>862.6</v>
      </c>
      <c r="AG935" s="32" t="s">
        <v>8656</v>
      </c>
      <c r="AH935" s="2" t="s">
        <v>573</v>
      </c>
      <c r="AI935" s="10" t="s">
        <v>66</v>
      </c>
      <c r="AJ935" s="2" t="s">
        <v>1221</v>
      </c>
      <c r="AK935" s="10" t="s">
        <v>80</v>
      </c>
      <c r="AL935" s="2" t="s">
        <v>67</v>
      </c>
    </row>
    <row r="936" ht="15.75" customHeight="1">
      <c r="A936" s="2" t="s">
        <v>4624</v>
      </c>
      <c r="B936" s="12">
        <v>45402.0</v>
      </c>
      <c r="C936" s="2" t="str">
        <f>IFERROR(__xludf.DUMMYFUNCTION("IF(ISNUMBER(B936),TEXT(B936,""yyyy-MM-dd""),REGEXREPLACE(REGEXREPLACE(TO_TEXT(B936),""[^0-9a-zA-Z]+"",""-""),""[^0-9]*$"",""""))"),"2024-04-20")</f>
        <v>2024-04-20</v>
      </c>
      <c r="D936" s="2" t="s">
        <v>8982</v>
      </c>
      <c r="H936" s="10" t="s">
        <v>8982</v>
      </c>
      <c r="I936" s="2" t="s">
        <v>1174</v>
      </c>
      <c r="J936" s="26" t="str">
        <f t="array" ref="J936">IF(ISNA(XLOOKUP(I936,customers_clean!$A$2:$A$701,customers_clean!$A$2:$A$701, NA()) ),
   "❌ MISSING CUSTOMER", "✅")</f>
        <v>✅</v>
      </c>
      <c r="K936" s="2" t="str">
        <f t="array" ref="K936">XLOOKUP(I936,customers_clean!$A$2:$A$701,customers_clean!$C$2:$C$701)</f>
        <v>Omar Young</v>
      </c>
      <c r="L936" s="10" t="str">
        <f t="array" ref="L936">XLOOKUP(I936,customers_clean!$A$2:$A$701,customers_clean!$D$2:$D$701)</f>
        <v>Omar Young</v>
      </c>
      <c r="M936" s="2" t="str">
        <f t="array" ref="M936">XLOOKUP(I936,customers_clean!$A$2:$A$701,customers_clean!$I$2:$I$701)</f>
        <v>omar.young@example.com </v>
      </c>
      <c r="N936" s="10" t="str">
        <f t="array" ref="N936">XLOOKUP(I936,customers_clean!$A$2:$A$701,customers_clean!$H$2:$H$701)</f>
        <v>omar.young@example.com</v>
      </c>
      <c r="O936" s="9" t="str">
        <f>IFERROR(__xludf.DUMMYFUNCTION("IF(REGEXMATCH(TRIM(N936),""^[A-Za-z0-9._%+-]+@[A-Za-z0-9.-]+\.[A-Za-z]{2,}$""),""✅ Valid"",""❌ Invalid"")"),"✅ Valid")</f>
        <v>✅ Valid</v>
      </c>
      <c r="P936" s="2" t="str">
        <f t="array" ref="P936">XLOOKUP(I936,customers_clean!$A$2:$A$701,customers_clean!$K$2:$K$701)</f>
        <v>124-700-93417</v>
      </c>
      <c r="Q936" s="10" t="str">
        <f t="array" ref="Q936">XLOOKUP(I936,customers_clean!$A$2:$A$701,customers_clean!$N$2:$N$701)</f>
        <v>12470093417</v>
      </c>
      <c r="R936" s="9" t="str">
        <f t="array" ref="R936">XLOOKUP(I936,customers_clean!$A$2:$A$701,customers_clean!$Q$2:$Q$701)</f>
        <v>❌ INVALID</v>
      </c>
      <c r="S936" s="10" t="s">
        <v>88</v>
      </c>
      <c r="T936" s="2" t="s">
        <v>115</v>
      </c>
      <c r="U936" s="2" t="s">
        <v>1245</v>
      </c>
      <c r="V936" s="2" t="s">
        <v>740</v>
      </c>
      <c r="W936" s="9" t="str">
        <f t="array" ref="W936">IF(ISNA(XLOOKUP(V936,products_master_corrected!$A$2:$A$151,products_master_corrected!$A$2:$A$151, NA())),
    "❌ MISSING SKU", "✅")</f>
        <v>✅</v>
      </c>
      <c r="X936" s="2" t="s">
        <v>741</v>
      </c>
      <c r="Y936" s="2" t="s">
        <v>742</v>
      </c>
      <c r="Z936" s="10" t="s">
        <v>355</v>
      </c>
      <c r="AA936" s="27">
        <v>5.0</v>
      </c>
      <c r="AB936" s="9" t="s">
        <v>8649</v>
      </c>
      <c r="AC936" s="28">
        <f t="array" ref="AC936">XLOOKUP(V936,products_master_corrected!$A$2:$A$151,products_master_corrected!$E$2:$E$151)</f>
        <v>35.77</v>
      </c>
      <c r="AD936" s="28">
        <f t="shared" si="104"/>
        <v>178.85</v>
      </c>
      <c r="AE936" s="28">
        <f t="array" ref="AE936">XLOOKUP(V936,products_master_corrected!$A$2:$A$151,products_master_corrected!$I$2:$I$151)</f>
        <v>39.43</v>
      </c>
      <c r="AF936" s="29">
        <f t="shared" si="105"/>
        <v>197.15</v>
      </c>
      <c r="AG936" s="32" t="s">
        <v>8660</v>
      </c>
      <c r="AH936" s="2" t="s">
        <v>1287</v>
      </c>
      <c r="AI936" s="10" t="s">
        <v>49</v>
      </c>
      <c r="AJ936" s="2" t="s">
        <v>380</v>
      </c>
      <c r="AK936" s="10" t="s">
        <v>80</v>
      </c>
      <c r="AL936" s="2" t="s">
        <v>81</v>
      </c>
    </row>
    <row r="937" ht="15.75" customHeight="1">
      <c r="A937" s="2" t="s">
        <v>1172</v>
      </c>
      <c r="B937" s="12" t="s">
        <v>1173</v>
      </c>
      <c r="C937" s="2" t="str">
        <f>IFERROR(__xludf.DUMMYFUNCTION("IF(ISNUMBER(B937),TEXT(B937,""yyyy-MM-dd""),REGEXREPLACE(REGEXREPLACE(TO_TEXT(B937),""[^0-9a-zA-Z]+"",""-""),""[^0-9]*$"",""""))"),"10-02-2024")</f>
        <v>10-02-2024</v>
      </c>
      <c r="D937" s="2" t="s">
        <v>7904</v>
      </c>
      <c r="H937" s="10" t="s">
        <v>7904</v>
      </c>
      <c r="I937" s="2" t="s">
        <v>1174</v>
      </c>
      <c r="J937" s="26" t="str">
        <f t="array" ref="J937">IF(ISNA(XLOOKUP(I937,customers_clean!$A$2:$A$701,customers_clean!$A$2:$A$701, NA()) ),
   "❌ MISSING CUSTOMER", "✅")</f>
        <v>✅</v>
      </c>
      <c r="K937" s="2" t="str">
        <f t="array" ref="K937">XLOOKUP(I937,customers_clean!$A$2:$A$701,customers_clean!$C$2:$C$701)</f>
        <v>Omar Young</v>
      </c>
      <c r="L937" s="10" t="str">
        <f t="array" ref="L937">XLOOKUP(I937,customers_clean!$A$2:$A$701,customers_clean!$D$2:$D$701)</f>
        <v>Omar Young</v>
      </c>
      <c r="M937" s="2" t="str">
        <f t="array" ref="M937">XLOOKUP(I937,customers_clean!$A$2:$A$701,customers_clean!$I$2:$I$701)</f>
        <v>omar.young@example.com </v>
      </c>
      <c r="N937" s="10" t="str">
        <f t="array" ref="N937">XLOOKUP(I937,customers_clean!$A$2:$A$701,customers_clean!$H$2:$H$701)</f>
        <v>omar.young@example.com</v>
      </c>
      <c r="O937" s="9" t="str">
        <f>IFERROR(__xludf.DUMMYFUNCTION("IF(REGEXMATCH(TRIM(N937),""^[A-Za-z0-9._%+-]+@[A-Za-z0-9.-]+\.[A-Za-z]{2,}$""),""✅ Valid"",""❌ Invalid"")"),"✅ Valid")</f>
        <v>✅ Valid</v>
      </c>
      <c r="P937" s="2" t="str">
        <f t="array" ref="P937">XLOOKUP(I937,customers_clean!$A$2:$A$701,customers_clean!$K$2:$K$701)</f>
        <v>124-700-93417</v>
      </c>
      <c r="Q937" s="10" t="str">
        <f t="array" ref="Q937">XLOOKUP(I937,customers_clean!$A$2:$A$701,customers_clean!$N$2:$N$701)</f>
        <v>12470093417</v>
      </c>
      <c r="R937" s="9" t="str">
        <f t="array" ref="R937">XLOOKUP(I937,customers_clean!$A$2:$A$701,customers_clean!$Q$2:$Q$701)</f>
        <v>❌ INVALID</v>
      </c>
      <c r="S937" s="10" t="s">
        <v>88</v>
      </c>
      <c r="T937" s="2" t="s">
        <v>74</v>
      </c>
      <c r="U937" s="2" t="s">
        <v>1178</v>
      </c>
      <c r="V937" s="2" t="s">
        <v>1137</v>
      </c>
      <c r="W937" s="9" t="str">
        <f t="array" ref="W937">IF(ISNA(XLOOKUP(V937,products_master_corrected!$A$2:$A$151,products_master_corrected!$A$2:$A$151, NA())),
    "❌ MISSING SKU", "✅")</f>
        <v>✅</v>
      </c>
      <c r="X937" s="2" t="s">
        <v>1138</v>
      </c>
      <c r="Y937" s="2" t="s">
        <v>30</v>
      </c>
      <c r="Z937" s="10" t="s">
        <v>179</v>
      </c>
      <c r="AA937" s="27">
        <v>2.0</v>
      </c>
      <c r="AB937" s="9" t="s">
        <v>8649</v>
      </c>
      <c r="AC937" s="28">
        <f t="array" ref="AC937">XLOOKUP(V937,products_master_corrected!$A$2:$A$151,products_master_corrected!$E$2:$E$151)</f>
        <v>305.43</v>
      </c>
      <c r="AD937" s="28">
        <f t="shared" si="104"/>
        <v>610.86</v>
      </c>
      <c r="AE937" s="28">
        <f t="array" ref="AE937">XLOOKUP(V937,products_master_corrected!$A$2:$A$151,products_master_corrected!$I$2:$I$151)</f>
        <v>336.71</v>
      </c>
      <c r="AF937" s="29">
        <f t="shared" si="105"/>
        <v>673.42</v>
      </c>
      <c r="AG937" s="32" t="s">
        <v>8660</v>
      </c>
      <c r="AH937" s="2" t="s">
        <v>1181</v>
      </c>
      <c r="AI937" s="10" t="s">
        <v>49</v>
      </c>
      <c r="AJ937" s="2" t="s">
        <v>380</v>
      </c>
      <c r="AK937" s="10" t="s">
        <v>80</v>
      </c>
      <c r="AL937" s="2" t="s">
        <v>51</v>
      </c>
    </row>
    <row r="938" ht="15.75" customHeight="1">
      <c r="A938" s="2" t="s">
        <v>4177</v>
      </c>
      <c r="B938" s="12">
        <v>45471.0</v>
      </c>
      <c r="C938" s="2" t="str">
        <f>IFERROR(__xludf.DUMMYFUNCTION("IF(ISNUMBER(B938),TEXT(B938,""yyyy-MM-dd""),REGEXREPLACE(REGEXREPLACE(TO_TEXT(B938),""[^0-9a-zA-Z]+"",""-""),""[^0-9]*$"",""""))"),"2024-06-28")</f>
        <v>2024-06-28</v>
      </c>
      <c r="D938" s="2" t="s">
        <v>4178</v>
      </c>
      <c r="H938" s="10" t="s">
        <v>4178</v>
      </c>
      <c r="I938" s="2" t="s">
        <v>4179</v>
      </c>
      <c r="J938" s="26" t="str">
        <f t="array" ref="J938">IF(ISNA(XLOOKUP(I938,customers_clean!$A$2:$A$701,customers_clean!$A$2:$A$701, NA()) ),
   "❌ MISSING CUSTOMER", "✅")</f>
        <v>✅</v>
      </c>
      <c r="K938" s="2" t="str">
        <f t="array" ref="K938">XLOOKUP(I938,customers_clean!$A$2:$A$701,customers_clean!$C$2:$C$701)</f>
        <v>Carlos Taylor</v>
      </c>
      <c r="L938" s="10" t="str">
        <f t="array" ref="L938">XLOOKUP(I938,customers_clean!$A$2:$A$701,customers_clean!$D$2:$D$701)</f>
        <v>Carlos Taylor</v>
      </c>
      <c r="M938" s="2" t="str">
        <f t="array" ref="M938">XLOOKUP(I938,customers_clean!$A$2:$A$701,customers_clean!$I$2:$I$701)</f>
        <v> carlos.taylor@example.com</v>
      </c>
      <c r="N938" s="10" t="str">
        <f t="array" ref="N938">XLOOKUP(I938,customers_clean!$A$2:$A$701,customers_clean!$H$2:$H$701)</f>
        <v>carlos.taylor@example.com</v>
      </c>
      <c r="O938" s="9" t="str">
        <f>IFERROR(__xludf.DUMMYFUNCTION("IF(REGEXMATCH(TRIM(N938),""^[A-Za-z0-9._%+-]+@[A-Za-z0-9.-]+\.[A-Za-z]{2,}$""),""✅ Valid"",""❌ Invalid"")"),"✅ Valid")</f>
        <v>✅ Valid</v>
      </c>
      <c r="P938" s="2" t="str">
        <f t="array" ref="P938">XLOOKUP(I938,customers_clean!$A$2:$A$701,customers_clean!$K$2:$K$701)</f>
        <v>(460) 3194753</v>
      </c>
      <c r="Q938" s="10" t="str">
        <f t="array" ref="Q938">XLOOKUP(I938,customers_clean!$A$2:$A$701,customers_clean!$N$2:$N$701)</f>
        <v>4603194753</v>
      </c>
      <c r="R938" s="9" t="str">
        <f t="array" ref="R938">XLOOKUP(I938,customers_clean!$A$2:$A$701,customers_clean!$Q$2:$Q$701)</f>
        <v>❌ INVALID</v>
      </c>
      <c r="S938" s="10" t="s">
        <v>58</v>
      </c>
      <c r="T938" s="2" t="s">
        <v>400</v>
      </c>
      <c r="U938" s="2" t="s">
        <v>103</v>
      </c>
      <c r="V938" s="2" t="s">
        <v>4048</v>
      </c>
      <c r="W938" s="9" t="str">
        <f t="array" ref="W938">IF(ISNA(XLOOKUP(V938,products_master_corrected!$A$2:$A$151,products_master_corrected!$A$2:$A$151, NA())),
    "❌ MISSING SKU", "✅")</f>
        <v>✅</v>
      </c>
      <c r="X938" s="2" t="s">
        <v>190</v>
      </c>
      <c r="Y938" s="2" t="s">
        <v>214</v>
      </c>
      <c r="Z938" s="10" t="s">
        <v>368</v>
      </c>
      <c r="AA938" s="27">
        <v>2.0</v>
      </c>
      <c r="AB938" s="9" t="s">
        <v>8649</v>
      </c>
      <c r="AC938" s="28">
        <f t="array" ref="AC938">XLOOKUP(V938,products_master_corrected!$A$2:$A$151,products_master_corrected!$E$2:$E$151)</f>
        <v>147.02</v>
      </c>
      <c r="AD938" s="28">
        <f t="shared" si="104"/>
        <v>294.04</v>
      </c>
      <c r="AE938" s="28">
        <f t="array" ref="AE938">XLOOKUP(V938,products_master_corrected!$A$2:$A$151,products_master_corrected!$G$2:$G$151)</f>
        <v>168.31</v>
      </c>
      <c r="AF938" s="29">
        <f t="shared" si="105"/>
        <v>336.62</v>
      </c>
      <c r="AG938" s="32" t="s">
        <v>8663</v>
      </c>
      <c r="AH938" s="2" t="s">
        <v>181</v>
      </c>
      <c r="AI938" s="10" t="s">
        <v>181</v>
      </c>
      <c r="AJ938" s="2" t="s">
        <v>251</v>
      </c>
      <c r="AK938" s="10" t="s">
        <v>192</v>
      </c>
    </row>
    <row r="939" ht="15.75" customHeight="1">
      <c r="A939" s="2" t="s">
        <v>2760</v>
      </c>
      <c r="B939" s="12">
        <v>45438.0</v>
      </c>
      <c r="C939" s="2" t="str">
        <f>IFERROR(__xludf.DUMMYFUNCTION("IF(ISNUMBER(B939),TEXT(B939,""yyyy-MM-dd""),REGEXREPLACE(REGEXREPLACE(TO_TEXT(B939),""[^0-9a-zA-Z]+"",""-""),""[^0-9]*$"",""""))"),"2024-05-26")</f>
        <v>2024-05-26</v>
      </c>
      <c r="D939" s="2" t="s">
        <v>8983</v>
      </c>
      <c r="H939" s="10" t="s">
        <v>8983</v>
      </c>
      <c r="I939" s="2" t="s">
        <v>2762</v>
      </c>
      <c r="J939" s="26" t="str">
        <f t="array" ref="J939">IF(ISNA(XLOOKUP(I939,customers_clean!$A$2:$A$701,customers_clean!$A$2:$A$701, NA()) ),
   "❌ MISSING CUSTOMER", "✅")</f>
        <v>✅</v>
      </c>
      <c r="K939" s="2" t="str">
        <f t="array" ref="K939">XLOOKUP(I939,customers_clean!$A$2:$A$701,customers_clean!$C$2:$C$701)</f>
        <v>Ken  Gracia</v>
      </c>
      <c r="L939" s="10" t="str">
        <f t="array" ref="L939">XLOOKUP(I939,customers_clean!$A$2:$A$701,customers_clean!$D$2:$D$701)</f>
        <v>Ken Garcia</v>
      </c>
      <c r="M939" s="2" t="str">
        <f t="array" ref="M939">XLOOKUP(I939,customers_clean!$A$2:$A$701,customers_clean!$I$2:$I$701)</f>
        <v>ken.garcia@gmail.com </v>
      </c>
      <c r="N939" s="10" t="str">
        <f t="array" ref="N939">XLOOKUP(I939,customers_clean!$A$2:$A$701,customers_clean!$H$2:$H$701)</f>
        <v>ken.garcia@gmail.com</v>
      </c>
      <c r="O939" s="9" t="str">
        <f>IFERROR(__xludf.DUMMYFUNCTION("IF(REGEXMATCH(TRIM(N939),""^[A-Za-z0-9._%+-]+@[A-Za-z0-9.-]+\.[A-Za-z]{2,}$""),""✅ Valid"",""❌ Invalid"")"),"✅ Valid")</f>
        <v>✅ Valid</v>
      </c>
      <c r="P939" s="2">
        <f t="array" ref="P939">XLOOKUP(I939,customers_clean!$A$2:$A$701,customers_clean!$K$2:$K$701)</f>
        <v>4908897243</v>
      </c>
      <c r="Q939" s="10" t="str">
        <f t="array" ref="Q939">XLOOKUP(I939,customers_clean!$A$2:$A$701,customers_clean!$N$2:$N$701)</f>
        <v>4908897243</v>
      </c>
      <c r="R939" s="9" t="str">
        <f t="array" ref="R939">XLOOKUP(I939,customers_clean!$A$2:$A$701,customers_clean!$Q$2:$Q$701)</f>
        <v>✅ VALID</v>
      </c>
      <c r="S939" s="10" t="s">
        <v>448</v>
      </c>
      <c r="T939" s="2" t="s">
        <v>26</v>
      </c>
      <c r="U939" s="2" t="s">
        <v>522</v>
      </c>
      <c r="V939" s="2" t="s">
        <v>235</v>
      </c>
      <c r="W939" s="9" t="str">
        <f t="array" ref="W939">IF(ISNA(XLOOKUP(V939,products_master_corrected!$A$2:$A$151,products_master_corrected!$A$2:$A$151, NA())),
    "❌ MISSING SKU", "✅")</f>
        <v>✅</v>
      </c>
      <c r="X939" s="2" t="s">
        <v>768</v>
      </c>
      <c r="Y939" s="2" t="s">
        <v>30</v>
      </c>
      <c r="Z939" s="10" t="s">
        <v>179</v>
      </c>
      <c r="AA939" s="27">
        <v>3.0</v>
      </c>
      <c r="AB939" s="9" t="s">
        <v>8649</v>
      </c>
      <c r="AC939" s="28">
        <f t="array" ref="AC939">XLOOKUP(V939,products_master_corrected!$A$2:$A$151,products_master_corrected!$E$2:$E$151)</f>
        <v>10.17</v>
      </c>
      <c r="AD939" s="28">
        <f t="shared" si="104"/>
        <v>30.51</v>
      </c>
      <c r="AE939" s="28">
        <f t="array" ref="AE939">XLOOKUP(V939,products_master_corrected!$A$2:$A$151,products_master_corrected!$M$2:$M$151)</f>
        <v>12.3</v>
      </c>
      <c r="AF939" s="29">
        <f t="shared" si="105"/>
        <v>36.9</v>
      </c>
      <c r="AG939" s="30" t="s">
        <v>48</v>
      </c>
      <c r="AH939" s="2" t="s">
        <v>238</v>
      </c>
      <c r="AI939" s="10" t="s">
        <v>66</v>
      </c>
      <c r="AJ939" s="2" t="s">
        <v>294</v>
      </c>
      <c r="AK939" s="10" t="s">
        <v>80</v>
      </c>
      <c r="AL939" s="2" t="s">
        <v>133</v>
      </c>
    </row>
    <row r="940" ht="15.75" customHeight="1">
      <c r="A940" s="2" t="s">
        <v>5789</v>
      </c>
      <c r="B940" s="12">
        <v>45329.0</v>
      </c>
      <c r="C940" s="2" t="str">
        <f>IFERROR(__xludf.DUMMYFUNCTION("IF(ISNUMBER(B940),TEXT(B940,""yyyy-MM-dd""),REGEXREPLACE(REGEXREPLACE(TO_TEXT(B940),""[^0-9a-zA-Z]+"",""-""),""[^0-9]*$"",""""))"),"2024-02-07")</f>
        <v>2024-02-07</v>
      </c>
      <c r="D940" s="2" t="s">
        <v>8713</v>
      </c>
      <c r="H940" s="10" t="s">
        <v>8713</v>
      </c>
      <c r="I940" s="2" t="s">
        <v>2152</v>
      </c>
      <c r="J940" s="26" t="str">
        <f t="array" ref="J940">IF(ISNA(XLOOKUP(I940,customers_clean!$A$2:$A$701,customers_clean!$A$2:$A$701, NA()) ),
   "❌ MISSING CUSTOMER", "✅")</f>
        <v>✅</v>
      </c>
      <c r="K940" s="2" t="str">
        <f t="array" ref="K940">XLOOKUP(I940,customers_clean!$A$2:$A$701,customers_clean!$C$2:$C$701)</f>
        <v>Nina Young </v>
      </c>
      <c r="L940" s="10" t="str">
        <f t="array" ref="L940">XLOOKUP(I940,customers_clean!$A$2:$A$701,customers_clean!$D$2:$D$701)</f>
        <v>Nina Young</v>
      </c>
      <c r="M940" s="2" t="str">
        <f t="array" ref="M940">XLOOKUP(I940,customers_clean!$A$2:$A$701,customers_clean!$I$2:$I$701)</f>
        <v>NINA.YOUNG@OUTLOOK.COM</v>
      </c>
      <c r="N940" s="10" t="str">
        <f t="array" ref="N940">XLOOKUP(I940,customers_clean!$A$2:$A$701,customers_clean!$H$2:$H$701)</f>
        <v>nina.young@outlook.com</v>
      </c>
      <c r="O940" s="9" t="str">
        <f>IFERROR(__xludf.DUMMYFUNCTION("IF(REGEXMATCH(TRIM(N940),""^[A-Za-z0-9._%+-]+@[A-Za-z0-9.-]+\.[A-Za-z]{2,}$""),""✅ Valid"",""❌ Invalid"")"),"✅ Valid")</f>
        <v>✅ Valid</v>
      </c>
      <c r="P940" s="2" t="str">
        <f t="array" ref="P940">XLOOKUP(I940,customers_clean!$A$2:$A$701,customers_clean!$K$2:$K$701)</f>
        <v>018-259-510</v>
      </c>
      <c r="Q940" s="10" t="str">
        <f t="array" ref="Q940">XLOOKUP(I940,customers_clean!$A$2:$A$701,customers_clean!$N$2:$N$701)</f>
        <v>018259510</v>
      </c>
      <c r="R940" s="9" t="str">
        <f t="array" ref="R940">XLOOKUP(I940,customers_clean!$A$2:$A$701,customers_clean!$Q$2:$Q$701)</f>
        <v>❌ INVALID</v>
      </c>
      <c r="S940" s="10" t="s">
        <v>114</v>
      </c>
      <c r="T940" s="2" t="s">
        <v>460</v>
      </c>
      <c r="U940" s="2" t="s">
        <v>116</v>
      </c>
      <c r="V940" s="2" t="s">
        <v>104</v>
      </c>
      <c r="W940" s="9" t="str">
        <f t="array" ref="W940">IF(ISNA(XLOOKUP(V940,products_master_corrected!$A$2:$A$151,products_master_corrected!$A$2:$A$151, NA())),
    "❌ MISSING SKU", "✅")</f>
        <v>✅</v>
      </c>
      <c r="X940" s="2" t="s">
        <v>8703</v>
      </c>
      <c r="Y940" s="2" t="s">
        <v>106</v>
      </c>
      <c r="Z940" s="10" t="s">
        <v>368</v>
      </c>
      <c r="AA940" s="27">
        <v>1.0</v>
      </c>
      <c r="AB940" s="9" t="s">
        <v>8649</v>
      </c>
      <c r="AC940" s="28">
        <f t="array" ref="AC940">XLOOKUP(V940,products_master_corrected!$A$2:$A$151,products_master_corrected!$E$2:$E$151)</f>
        <v>135.16</v>
      </c>
      <c r="AD940" s="28">
        <f t="shared" si="104"/>
        <v>135.16</v>
      </c>
      <c r="AE940" s="28">
        <f t="array" ref="AE940">XLOOKUP(V940,products_master_corrected!$A$2:$A$151,products_master_corrected!$F$2:$F$151)</f>
        <v>135.16</v>
      </c>
      <c r="AF940" s="29">
        <f t="shared" si="105"/>
        <v>135.16</v>
      </c>
      <c r="AG940" s="30" t="s">
        <v>65</v>
      </c>
      <c r="AH940" s="2" t="s">
        <v>181</v>
      </c>
      <c r="AI940" s="10" t="s">
        <v>181</v>
      </c>
      <c r="AJ940" s="2" t="s">
        <v>432</v>
      </c>
      <c r="AK940" s="10" t="s">
        <v>80</v>
      </c>
      <c r="AL940" s="2" t="s">
        <v>67</v>
      </c>
    </row>
    <row r="941" ht="15.75" customHeight="1">
      <c r="A941" s="2" t="s">
        <v>2150</v>
      </c>
      <c r="B941" s="12">
        <v>45218.0</v>
      </c>
      <c r="C941" s="2" t="str">
        <f>IFERROR(__xludf.DUMMYFUNCTION("IF(ISNUMBER(B941),TEXT(B941,""yyyy-MM-dd""),REGEXREPLACE(REGEXREPLACE(TO_TEXT(B941),""[^0-9a-zA-Z]+"",""-""),""[^0-9]*$"",""""))"),"2023-10-19")</f>
        <v>2023-10-19</v>
      </c>
      <c r="D941" s="2" t="s">
        <v>5827</v>
      </c>
      <c r="H941" s="10" t="s">
        <v>5827</v>
      </c>
      <c r="I941" s="2" t="s">
        <v>2152</v>
      </c>
      <c r="J941" s="26" t="str">
        <f t="array" ref="J941">IF(ISNA(XLOOKUP(I941,customers_clean!$A$2:$A$701,customers_clean!$A$2:$A$701, NA()) ),
   "❌ MISSING CUSTOMER", "✅")</f>
        <v>✅</v>
      </c>
      <c r="K941" s="2" t="str">
        <f t="array" ref="K941">XLOOKUP(I941,customers_clean!$A$2:$A$701,customers_clean!$C$2:$C$701)</f>
        <v>Nina Young </v>
      </c>
      <c r="L941" s="10" t="str">
        <f t="array" ref="L941">XLOOKUP(I941,customers_clean!$A$2:$A$701,customers_clean!$D$2:$D$701)</f>
        <v>Nina Young</v>
      </c>
      <c r="M941" s="2" t="str">
        <f t="array" ref="M941">XLOOKUP(I941,customers_clean!$A$2:$A$701,customers_clean!$I$2:$I$701)</f>
        <v>NINA.YOUNG@OUTLOOK.COM</v>
      </c>
      <c r="N941" s="10" t="str">
        <f t="array" ref="N941">XLOOKUP(I941,customers_clean!$A$2:$A$701,customers_clean!$H$2:$H$701)</f>
        <v>nina.young@outlook.com</v>
      </c>
      <c r="O941" s="9" t="str">
        <f>IFERROR(__xludf.DUMMYFUNCTION("IF(REGEXMATCH(TRIM(N941),""^[A-Za-z0-9._%+-]+@[A-Za-z0-9.-]+\.[A-Za-z]{2,}$""),""✅ Valid"",""❌ Invalid"")"),"✅ Valid")</f>
        <v>✅ Valid</v>
      </c>
      <c r="P941" s="2" t="str">
        <f t="array" ref="P941">XLOOKUP(I941,customers_clean!$A$2:$A$701,customers_clean!$K$2:$K$701)</f>
        <v>018-259-510</v>
      </c>
      <c r="Q941" s="10" t="str">
        <f t="array" ref="Q941">XLOOKUP(I941,customers_clean!$A$2:$A$701,customers_clean!$N$2:$N$701)</f>
        <v>018259510</v>
      </c>
      <c r="R941" s="9" t="str">
        <f t="array" ref="R941">XLOOKUP(I941,customers_clean!$A$2:$A$701,customers_clean!$Q$2:$Q$701)</f>
        <v>❌ INVALID</v>
      </c>
      <c r="S941" s="10" t="s">
        <v>114</v>
      </c>
      <c r="T941" s="2" t="s">
        <v>74</v>
      </c>
      <c r="U941" s="2" t="s">
        <v>90</v>
      </c>
      <c r="V941" s="2" t="s">
        <v>1085</v>
      </c>
      <c r="W941" s="9" t="str">
        <f t="array" ref="W941">IF(ISNA(XLOOKUP(V941,products_master_corrected!$A$2:$A$151,products_master_corrected!$A$2:$A$151, NA())),
    "❌ MISSING SKU", "✅")</f>
        <v>✅</v>
      </c>
      <c r="X941" s="2" t="s">
        <v>29</v>
      </c>
      <c r="Y941" s="2" t="s">
        <v>368</v>
      </c>
      <c r="Z941" s="10" t="s">
        <v>368</v>
      </c>
      <c r="AA941" s="27">
        <v>3.0</v>
      </c>
      <c r="AB941" s="9" t="s">
        <v>8649</v>
      </c>
      <c r="AC941" s="28">
        <f t="array" ref="AC941">XLOOKUP(V941,products_master_corrected!$A$2:$A$151,products_master_corrected!$E$2:$E$151)</f>
        <v>171.42</v>
      </c>
      <c r="AD941" s="28">
        <f t="shared" si="104"/>
        <v>514.26</v>
      </c>
      <c r="AE941" s="28">
        <f t="array" ref="AE941">XLOOKUP(V941,products_master_corrected!$A$2:$A$151,products_master_corrected!$F$2:$F$151)</f>
        <v>171.42</v>
      </c>
      <c r="AF941" s="29">
        <f t="shared" si="105"/>
        <v>514.26</v>
      </c>
      <c r="AG941" s="30" t="s">
        <v>65</v>
      </c>
      <c r="AH941" s="2" t="s">
        <v>238</v>
      </c>
      <c r="AI941" s="10" t="s">
        <v>66</v>
      </c>
      <c r="AJ941" s="2" t="s">
        <v>818</v>
      </c>
      <c r="AK941" s="10" t="s">
        <v>818</v>
      </c>
    </row>
    <row r="942" ht="15.75" customHeight="1">
      <c r="A942" s="2" t="s">
        <v>3660</v>
      </c>
      <c r="B942" s="12">
        <v>44935.0</v>
      </c>
      <c r="C942" s="2" t="str">
        <f>IFERROR(__xludf.DUMMYFUNCTION("IF(ISNUMBER(B942),TEXT(B942,""yyyy-MM-dd""),REGEXREPLACE(REGEXREPLACE(TO_TEXT(B942),""[^0-9a-zA-Z]+"",""-""),""[^0-9]*$"",""""))"),"2023-01-09")</f>
        <v>2023-01-09</v>
      </c>
      <c r="D942" s="2" t="s">
        <v>7885</v>
      </c>
      <c r="H942" s="10" t="s">
        <v>7885</v>
      </c>
      <c r="I942" s="2" t="s">
        <v>2152</v>
      </c>
      <c r="J942" s="26" t="str">
        <f t="array" ref="J942">IF(ISNA(XLOOKUP(I942,customers_clean!$A$2:$A$701,customers_clean!$A$2:$A$701, NA()) ),
   "❌ MISSING CUSTOMER", "✅")</f>
        <v>✅</v>
      </c>
      <c r="K942" s="2" t="str">
        <f t="array" ref="K942">XLOOKUP(I942,customers_clean!$A$2:$A$701,customers_clean!$C$2:$C$701)</f>
        <v>Nina Young </v>
      </c>
      <c r="L942" s="10" t="str">
        <f t="array" ref="L942">XLOOKUP(I942,customers_clean!$A$2:$A$701,customers_clean!$D$2:$D$701)</f>
        <v>Nina Young</v>
      </c>
      <c r="M942" s="2" t="str">
        <f t="array" ref="M942">XLOOKUP(I942,customers_clean!$A$2:$A$701,customers_clean!$I$2:$I$701)</f>
        <v>NINA.YOUNG@OUTLOOK.COM</v>
      </c>
      <c r="N942" s="10" t="str">
        <f t="array" ref="N942">XLOOKUP(I942,customers_clean!$A$2:$A$701,customers_clean!$H$2:$H$701)</f>
        <v>nina.young@outlook.com</v>
      </c>
      <c r="O942" s="9" t="str">
        <f>IFERROR(__xludf.DUMMYFUNCTION("IF(REGEXMATCH(TRIM(N942),""^[A-Za-z0-9._%+-]+@[A-Za-z0-9.-]+\.[A-Za-z]{2,}$""),""✅ Valid"",""❌ Invalid"")"),"✅ Valid")</f>
        <v>✅ Valid</v>
      </c>
      <c r="P942" s="2" t="str">
        <f t="array" ref="P942">XLOOKUP(I942,customers_clean!$A$2:$A$701,customers_clean!$K$2:$K$701)</f>
        <v>018-259-510</v>
      </c>
      <c r="Q942" s="10" t="str">
        <f t="array" ref="Q942">XLOOKUP(I942,customers_clean!$A$2:$A$701,customers_clean!$N$2:$N$701)</f>
        <v>018259510</v>
      </c>
      <c r="R942" s="9" t="str">
        <f t="array" ref="R942">XLOOKUP(I942,customers_clean!$A$2:$A$701,customers_clean!$Q$2:$Q$701)</f>
        <v>❌ INVALID</v>
      </c>
      <c r="S942" s="10" t="s">
        <v>114</v>
      </c>
      <c r="T942" s="2" t="s">
        <v>301</v>
      </c>
      <c r="U942" s="2" t="s">
        <v>522</v>
      </c>
      <c r="V942" s="2" t="s">
        <v>1815</v>
      </c>
      <c r="W942" s="9" t="str">
        <f t="array" ref="W942">IF(ISNA(XLOOKUP(V942,products_master_corrected!$A$2:$A$151,products_master_corrected!$A$2:$A$151, NA())),
    "❌ MISSING SKU", "✅")</f>
        <v>✅</v>
      </c>
      <c r="X942" s="2" t="s">
        <v>768</v>
      </c>
      <c r="Y942" s="2" t="s">
        <v>368</v>
      </c>
      <c r="Z942" s="10" t="s">
        <v>368</v>
      </c>
      <c r="AA942" s="27">
        <v>3.0</v>
      </c>
      <c r="AB942" s="9" t="s">
        <v>8649</v>
      </c>
      <c r="AC942" s="28">
        <f t="array" ref="AC942">XLOOKUP(V942,products_master_corrected!$A$2:$A$151,products_master_corrected!$E$2:$E$151)</f>
        <v>42.65</v>
      </c>
      <c r="AD942" s="28">
        <f t="shared" si="104"/>
        <v>127.95</v>
      </c>
      <c r="AE942" s="28">
        <f t="array" ref="AE942">XLOOKUP(V942,products_master_corrected!$A$2:$A$151,products_master_corrected!$F$2:$F$151)</f>
        <v>42.65</v>
      </c>
      <c r="AF942" s="29">
        <f t="shared" si="105"/>
        <v>127.95</v>
      </c>
      <c r="AG942" s="30" t="s">
        <v>65</v>
      </c>
      <c r="AH942" s="2" t="s">
        <v>33</v>
      </c>
      <c r="AI942" s="10" t="s">
        <v>181</v>
      </c>
      <c r="AJ942" s="2" t="s">
        <v>294</v>
      </c>
      <c r="AK942" s="10" t="s">
        <v>80</v>
      </c>
      <c r="AL942" s="2" t="s">
        <v>81</v>
      </c>
    </row>
    <row r="943" ht="15.75" customHeight="1">
      <c r="A943" s="2" t="s">
        <v>4889</v>
      </c>
      <c r="B943" s="12" t="s">
        <v>4890</v>
      </c>
      <c r="C943" s="2" t="str">
        <f>IFERROR(__xludf.DUMMYFUNCTION("IF(ISNUMBER(B943),TEXT(B943,""yyyy-MM-dd""),REGEXREPLACE(REGEXREPLACE(TO_TEXT(B943),""[^0-9a-zA-Z]+"",""-""),""[^0-9]*$"",""""))"),"07-01-2025")</f>
        <v>07-01-2025</v>
      </c>
      <c r="D943" s="2" t="s">
        <v>8959</v>
      </c>
      <c r="H943" s="10" t="s">
        <v>8959</v>
      </c>
      <c r="I943" s="2" t="s">
        <v>1638</v>
      </c>
      <c r="J943" s="26" t="str">
        <f t="array" ref="J943">IF(ISNA(XLOOKUP(I943,customers_clean!$A$2:$A$701,customers_clean!$A$2:$A$701, NA()) ),
   "❌ MISSING CUSTOMER", "✅")</f>
        <v>✅</v>
      </c>
      <c r="K943" s="2" t="str">
        <f t="array" ref="K943">XLOOKUP(I943,customers_clean!$A$2:$A$701,customers_clean!$C$2:$C$701)</f>
        <v>DARIA LOPEZ</v>
      </c>
      <c r="L943" s="10" t="str">
        <f t="array" ref="L943">XLOOKUP(I943,customers_clean!$A$2:$A$701,customers_clean!$D$2:$D$701)</f>
        <v>Daria Lopez</v>
      </c>
      <c r="M943" s="2" t="str">
        <f t="array" ref="M943">XLOOKUP(I943,customers_clean!$A$2:$A$701,customers_clean!$I$2:$I$701)</f>
        <v>daria.lopez@company.co.uk </v>
      </c>
      <c r="N943" s="10" t="str">
        <f t="array" ref="N943">XLOOKUP(I943,customers_clean!$A$2:$A$701,customers_clean!$H$2:$H$701)</f>
        <v>daria.lopez@company.co.uk</v>
      </c>
      <c r="O943" s="9" t="str">
        <f>IFERROR(__xludf.DUMMYFUNCTION("IF(REGEXMATCH(TRIM(N943),""^[A-Za-z0-9._%+-]+@[A-Za-z0-9.-]+\.[A-Za-z]{2,}$""),""✅ Valid"",""❌ Invalid"")"),"✅ Valid")</f>
        <v>✅ Valid</v>
      </c>
      <c r="P943" s="33" t="str">
        <f t="array" ref="P943">XLOOKUP(I943,customers_clean!$A$2:$A$701,customers_clean!$K$2:$K$701)</f>
        <v>745987647</v>
      </c>
      <c r="Q943" s="10" t="str">
        <f t="array" ref="Q943">XLOOKUP(I943,customers_clean!$A$2:$A$701,customers_clean!$N$2:$N$701)</f>
        <v>745987647</v>
      </c>
      <c r="R943" s="9" t="str">
        <f t="array" ref="R943">XLOOKUP(I943,customers_clean!$A$2:$A$701,customers_clean!$Q$2:$Q$701)</f>
        <v>✅ VALID</v>
      </c>
      <c r="S943" s="10" t="s">
        <v>448</v>
      </c>
      <c r="T943" s="2" t="s">
        <v>26</v>
      </c>
      <c r="U943" s="2" t="s">
        <v>116</v>
      </c>
      <c r="V943" s="2" t="s">
        <v>313</v>
      </c>
      <c r="W943" s="9" t="str">
        <f t="array" ref="W943">IF(ISNA(XLOOKUP(V943,products_master_corrected!$A$2:$A$151,products_master_corrected!$A$2:$A$151, NA())),
    "❌ MISSING SKU", "✅")</f>
        <v>✅</v>
      </c>
      <c r="X943" s="2" t="s">
        <v>768</v>
      </c>
      <c r="Y943" s="2" t="s">
        <v>315</v>
      </c>
      <c r="Z943" s="10" t="s">
        <v>179</v>
      </c>
      <c r="AA943" s="27">
        <v>5.0</v>
      </c>
      <c r="AB943" s="9" t="s">
        <v>8649</v>
      </c>
      <c r="AC943" s="28">
        <f t="array" ref="AC943">XLOOKUP(V943,products_master_corrected!$A$2:$A$151,products_master_corrected!$E$2:$E$151)</f>
        <v>47.55</v>
      </c>
      <c r="AD943" s="28">
        <f t="shared" si="104"/>
        <v>237.75</v>
      </c>
      <c r="AE943" s="28">
        <f t="array" ref="AE943">XLOOKUP(V943,products_master_corrected!$A$2:$A$151,products_master_corrected!$M$2:$M$151)</f>
        <v>57.52</v>
      </c>
      <c r="AF943" s="29">
        <f t="shared" si="105"/>
        <v>287.6</v>
      </c>
      <c r="AG943" s="30" t="s">
        <v>48</v>
      </c>
      <c r="AH943" s="2" t="s">
        <v>573</v>
      </c>
      <c r="AI943" s="10" t="s">
        <v>66</v>
      </c>
      <c r="AJ943" s="2" t="s">
        <v>818</v>
      </c>
      <c r="AK943" s="10" t="s">
        <v>818</v>
      </c>
    </row>
    <row r="944" ht="15.75" customHeight="1">
      <c r="A944" s="2" t="s">
        <v>1636</v>
      </c>
      <c r="B944" s="12" t="s">
        <v>1637</v>
      </c>
      <c r="C944" s="2" t="str">
        <f>IFERROR(__xludf.DUMMYFUNCTION("IF(ISNUMBER(B944),TEXT(B944,""yyyy-MM-dd""),REGEXREPLACE(REGEXREPLACE(TO_TEXT(B944),""[^0-9a-zA-Z]+"",""-""),""[^0-9]*$"",""""))"),"07-02-2023")</f>
        <v>07-02-2023</v>
      </c>
      <c r="D944" s="2" t="s">
        <v>8935</v>
      </c>
      <c r="H944" s="10" t="s">
        <v>8935</v>
      </c>
      <c r="I944" s="2" t="s">
        <v>1638</v>
      </c>
      <c r="J944" s="26" t="str">
        <f t="array" ref="J944">IF(ISNA(XLOOKUP(I944,customers_clean!$A$2:$A$701,customers_clean!$A$2:$A$701, NA()) ),
   "❌ MISSING CUSTOMER", "✅")</f>
        <v>✅</v>
      </c>
      <c r="K944" s="2" t="str">
        <f t="array" ref="K944">XLOOKUP(I944,customers_clean!$A$2:$A$701,customers_clean!$C$2:$C$701)</f>
        <v>DARIA LOPEZ</v>
      </c>
      <c r="L944" s="10" t="str">
        <f t="array" ref="L944">XLOOKUP(I944,customers_clean!$A$2:$A$701,customers_clean!$D$2:$D$701)</f>
        <v>Daria Lopez</v>
      </c>
      <c r="M944" s="2" t="str">
        <f t="array" ref="M944">XLOOKUP(I944,customers_clean!$A$2:$A$701,customers_clean!$I$2:$I$701)</f>
        <v>daria.lopez@company.co.uk </v>
      </c>
      <c r="N944" s="10" t="str">
        <f t="array" ref="N944">XLOOKUP(I944,customers_clean!$A$2:$A$701,customers_clean!$H$2:$H$701)</f>
        <v>daria.lopez@company.co.uk</v>
      </c>
      <c r="O944" s="9" t="str">
        <f>IFERROR(__xludf.DUMMYFUNCTION("IF(REGEXMATCH(TRIM(N944),""^[A-Za-z0-9._%+-]+@[A-Za-z0-9.-]+\.[A-Za-z]{2,}$""),""✅ Valid"",""❌ Invalid"")"),"✅ Valid")</f>
        <v>✅ Valid</v>
      </c>
      <c r="P944" s="33" t="str">
        <f t="array" ref="P944">XLOOKUP(I944,customers_clean!$A$2:$A$701,customers_clean!$K$2:$K$701)</f>
        <v>745987647</v>
      </c>
      <c r="Q944" s="10" t="str">
        <f t="array" ref="Q944">XLOOKUP(I944,customers_clean!$A$2:$A$701,customers_clean!$N$2:$N$701)</f>
        <v>745987647</v>
      </c>
      <c r="R944" s="9" t="str">
        <f t="array" ref="R944">XLOOKUP(I944,customers_clean!$A$2:$A$701,customers_clean!$Q$2:$Q$701)</f>
        <v>✅ VALID</v>
      </c>
      <c r="S944" s="10" t="s">
        <v>448</v>
      </c>
      <c r="T944" s="2" t="s">
        <v>210</v>
      </c>
      <c r="U944" s="2" t="s">
        <v>480</v>
      </c>
      <c r="V944" s="2" t="s">
        <v>1641</v>
      </c>
      <c r="W944" s="9" t="str">
        <f t="array" ref="W944">IF(ISNA(XLOOKUP(V944,products_master_corrected!$A$2:$A$151,products_master_corrected!$A$2:$A$151, NA())),
    "❌ MISSING SKU", "✅")</f>
        <v>✅</v>
      </c>
      <c r="X944" s="2" t="s">
        <v>825</v>
      </c>
      <c r="Y944" s="2" t="s">
        <v>179</v>
      </c>
      <c r="Z944" s="10" t="s">
        <v>179</v>
      </c>
      <c r="AA944" s="27">
        <v>3.0</v>
      </c>
      <c r="AB944" s="9" t="s">
        <v>8649</v>
      </c>
      <c r="AC944" s="28">
        <f t="array" ref="AC944">XLOOKUP(V944,products_master_corrected!$A$2:$A$151,products_master_corrected!$E$2:$E$151)</f>
        <v>23.84</v>
      </c>
      <c r="AD944" s="28">
        <f t="shared" si="104"/>
        <v>71.52</v>
      </c>
      <c r="AE944" s="28">
        <f t="array" ref="AE944">XLOOKUP(V944,products_master_corrected!$A$2:$A$151,products_master_corrected!$M$2:$M$151)</f>
        <v>28.84</v>
      </c>
      <c r="AF944" s="29">
        <f t="shared" si="105"/>
        <v>86.52</v>
      </c>
      <c r="AG944" s="30" t="s">
        <v>48</v>
      </c>
      <c r="AH944" s="2" t="s">
        <v>49</v>
      </c>
      <c r="AI944" s="10" t="s">
        <v>49</v>
      </c>
      <c r="AJ944" s="2" t="s">
        <v>442</v>
      </c>
      <c r="AK944" s="10" t="s">
        <v>80</v>
      </c>
      <c r="AL944" s="2" t="s">
        <v>51</v>
      </c>
    </row>
    <row r="945" ht="15.75" customHeight="1">
      <c r="A945" s="2" t="s">
        <v>4378</v>
      </c>
      <c r="B945" s="12" t="s">
        <v>4379</v>
      </c>
      <c r="C945" s="2" t="str">
        <f>IFERROR(__xludf.DUMMYFUNCTION("IF(ISNUMBER(B945),TEXT(B945,""yyyy-MM-dd""),REGEXREPLACE(REGEXREPLACE(TO_TEXT(B945),""[^0-9a-zA-Z]+"",""-""),""[^0-9]*$"",""""))"),"10-13-2024-14-48")</f>
        <v>10-13-2024-14-48</v>
      </c>
      <c r="D945" s="2" t="str">
        <f t="shared" ref="D945:D946" si="106">TEXT(C945,"yyyy-MM-dd")</f>
        <v>10-13-2024-14-48</v>
      </c>
      <c r="E945" s="12" t="str">
        <f>IFERROR(__xludf.DUMMYFUNCTION("REGEXEXTRACT(D945,""^\d{2}-\d{2}-\d{4}"")"),"10-13-2024")</f>
        <v>10-13-2024</v>
      </c>
      <c r="F945" s="2" t="str">
        <f>TEXT(E945,"yyyy-MM-dd")</f>
        <v>10-13-2024</v>
      </c>
      <c r="G945" s="2" t="s">
        <v>8984</v>
      </c>
      <c r="H945" s="10" t="s">
        <v>8984</v>
      </c>
      <c r="I945" s="2" t="s">
        <v>1638</v>
      </c>
      <c r="J945" s="26" t="str">
        <f t="array" ref="J945">IF(ISNA(XLOOKUP(I945,customers_clean!$A$2:$A$701,customers_clean!$A$2:$A$701, NA()) ),
   "❌ MISSING CUSTOMER", "✅")</f>
        <v>✅</v>
      </c>
      <c r="K945" s="2" t="str">
        <f t="array" ref="K945">XLOOKUP(I945,customers_clean!$A$2:$A$701,customers_clean!$C$2:$C$701)</f>
        <v>DARIA LOPEZ</v>
      </c>
      <c r="L945" s="10" t="str">
        <f t="array" ref="L945">XLOOKUP(I945,customers_clean!$A$2:$A$701,customers_clean!$D$2:$D$701)</f>
        <v>Daria Lopez</v>
      </c>
      <c r="M945" s="2" t="str">
        <f t="array" ref="M945">XLOOKUP(I945,customers_clean!$A$2:$A$701,customers_clean!$I$2:$I$701)</f>
        <v>daria.lopez@company.co.uk </v>
      </c>
      <c r="N945" s="10" t="str">
        <f t="array" ref="N945">XLOOKUP(I945,customers_clean!$A$2:$A$701,customers_clean!$H$2:$H$701)</f>
        <v>daria.lopez@company.co.uk</v>
      </c>
      <c r="O945" s="9" t="str">
        <f>IFERROR(__xludf.DUMMYFUNCTION("IF(REGEXMATCH(TRIM(N945),""^[A-Za-z0-9._%+-]+@[A-Za-z0-9.-]+\.[A-Za-z]{2,}$""),""✅ Valid"",""❌ Invalid"")"),"✅ Valid")</f>
        <v>✅ Valid</v>
      </c>
      <c r="P945" s="33" t="str">
        <f t="array" ref="P945">XLOOKUP(I945,customers_clean!$A$2:$A$701,customers_clean!$K$2:$K$701)</f>
        <v>745987647</v>
      </c>
      <c r="Q945" s="10" t="str">
        <f t="array" ref="Q945">XLOOKUP(I945,customers_clean!$A$2:$A$701,customers_clean!$N$2:$N$701)</f>
        <v>745987647</v>
      </c>
      <c r="R945" s="9" t="str">
        <f t="array" ref="R945">XLOOKUP(I945,customers_clean!$A$2:$A$701,customers_clean!$Q$2:$Q$701)</f>
        <v>✅ VALID</v>
      </c>
      <c r="S945" s="10" t="s">
        <v>448</v>
      </c>
      <c r="T945" s="2" t="s">
        <v>74</v>
      </c>
      <c r="U945" s="2" t="s">
        <v>75</v>
      </c>
      <c r="V945" s="2" t="s">
        <v>1733</v>
      </c>
      <c r="W945" s="9" t="str">
        <f t="array" ref="W945">IF(ISNA(XLOOKUP(V945,products_master_corrected!$A$2:$A$151,products_master_corrected!$A$2:$A$151, NA())),
    "❌ MISSING SKU", "✅")</f>
        <v>✅</v>
      </c>
      <c r="X945" s="2" t="s">
        <v>440</v>
      </c>
      <c r="Y945" s="2" t="s">
        <v>315</v>
      </c>
      <c r="Z945" s="10" t="s">
        <v>179</v>
      </c>
      <c r="AA945" s="27">
        <v>5.0</v>
      </c>
      <c r="AB945" s="9" t="s">
        <v>8649</v>
      </c>
      <c r="AC945" s="28">
        <f t="array" ref="AC945">XLOOKUP(V945,products_master_corrected!$A$2:$A$151,products_master_corrected!$E$2:$E$151)</f>
        <v>35.69</v>
      </c>
      <c r="AD945" s="28">
        <f t="shared" si="104"/>
        <v>178.45</v>
      </c>
      <c r="AE945" s="28">
        <f t="array" ref="AE945">XLOOKUP(V945,products_master_corrected!$A$2:$A$151,products_master_corrected!$M$2:$M$151)</f>
        <v>43.17</v>
      </c>
      <c r="AF945" s="29">
        <f t="shared" si="105"/>
        <v>215.85</v>
      </c>
      <c r="AG945" s="30" t="s">
        <v>48</v>
      </c>
      <c r="AH945" s="2" t="s">
        <v>131</v>
      </c>
      <c r="AI945" s="10" t="s">
        <v>181</v>
      </c>
      <c r="AJ945" s="2" t="s">
        <v>261</v>
      </c>
      <c r="AK945" s="10" t="s">
        <v>261</v>
      </c>
      <c r="AL945" s="2" t="s">
        <v>81</v>
      </c>
    </row>
    <row r="946" ht="15.75" customHeight="1">
      <c r="A946" s="2" t="s">
        <v>3630</v>
      </c>
      <c r="B946" s="12" t="s">
        <v>3631</v>
      </c>
      <c r="C946" s="2" t="str">
        <f>IFERROR(__xludf.DUMMYFUNCTION("IF(ISNUMBER(B946),TEXT(B946,""yyyy-MM-dd""),REGEXREPLACE(REGEXREPLACE(TO_TEXT(B946),""[^0-9a-zA-Z]+"",""-""),""[^0-9]*$"",""""))"),"02-24-2023")</f>
        <v>02-24-2023</v>
      </c>
      <c r="D946" s="2" t="str">
        <f t="shared" si="106"/>
        <v>02-24-2023</v>
      </c>
      <c r="E946" s="2" t="s">
        <v>8693</v>
      </c>
      <c r="H946" s="10" t="s">
        <v>8693</v>
      </c>
      <c r="I946" s="2" t="s">
        <v>3632</v>
      </c>
      <c r="J946" s="26" t="str">
        <f t="array" ref="J946">IF(ISNA(XLOOKUP(I946,customers_clean!$A$2:$A$701,customers_clean!$A$2:$A$701, NA()) ),
   "❌ MISSING CUSTOMER", "✅")</f>
        <v>✅</v>
      </c>
      <c r="K946" s="2" t="str">
        <f t="array" ref="K946">XLOOKUP(I946,customers_clean!$A$2:$A$701,customers_clean!$C$2:$C$701)</f>
        <v>Ethan Brown</v>
      </c>
      <c r="L946" s="10" t="str">
        <f t="array" ref="L946">XLOOKUP(I946,customers_clean!$A$2:$A$701,customers_clean!$D$2:$D$701)</f>
        <v>Ethan Brown</v>
      </c>
      <c r="M946" s="2" t="str">
        <f t="array" ref="M946">XLOOKUP(I946,customers_clean!$A$2:$A$701,customers_clean!$I$2:$I$701)</f>
        <v>ethan.brown@company.co.uk </v>
      </c>
      <c r="N946" s="10" t="str">
        <f t="array" ref="N946">XLOOKUP(I946,customers_clean!$A$2:$A$701,customers_clean!$H$2:$H$701)</f>
        <v>ethan.brown@company.co.uk</v>
      </c>
      <c r="O946" s="9" t="str">
        <f>IFERROR(__xludf.DUMMYFUNCTION("IF(REGEXMATCH(TRIM(N946),""^[A-Za-z0-9._%+-]+@[A-Za-z0-9.-]+\.[A-Za-z]{2,}$""),""✅ Valid"",""❌ Invalid"")"),"✅ Valid")</f>
        <v>✅ Valid</v>
      </c>
      <c r="P946" s="33" t="str">
        <f t="array" ref="P946">XLOOKUP(I946,customers_clean!$A$2:$A$701,customers_clean!$K$2:$K$701)</f>
        <v>(243) 55170</v>
      </c>
      <c r="Q946" s="10" t="str">
        <f t="array" ref="Q946">XLOOKUP(I946,customers_clean!$A$2:$A$701,customers_clean!$N$2:$N$701)</f>
        <v>24355170</v>
      </c>
      <c r="R946" s="9" t="str">
        <f t="array" ref="R946">XLOOKUP(I946,customers_clean!$A$2:$A$701,customers_clean!$Q$2:$Q$701)</f>
        <v>❌ INVALID</v>
      </c>
      <c r="S946" s="10" t="s">
        <v>448</v>
      </c>
      <c r="T946" s="2" t="s">
        <v>301</v>
      </c>
      <c r="U946" s="2" t="s">
        <v>43</v>
      </c>
      <c r="V946" s="2" t="s">
        <v>3210</v>
      </c>
      <c r="W946" s="9" t="str">
        <f t="array" ref="W946">IF(ISNA(XLOOKUP(V946,products_master_corrected!$A$2:$A$151,products_master_corrected!$A$2:$A$151, NA())),
    "❌ MISSING SKU", "✅")</f>
        <v>✅</v>
      </c>
      <c r="X946" s="2" t="s">
        <v>3597</v>
      </c>
      <c r="Y946" s="2" t="s">
        <v>167</v>
      </c>
      <c r="Z946" s="10" t="str">
        <f t="shared" ref="Z946:Z947" si="107">PROPER(TRIM(Y946))</f>
        <v>Monitors</v>
      </c>
      <c r="AA946" s="27">
        <v>5.0</v>
      </c>
      <c r="AB946" s="9" t="s">
        <v>8649</v>
      </c>
      <c r="AC946" s="28">
        <f t="array" ref="AC946">XLOOKUP(V946,products_master_corrected!$A$2:$A$151,products_master_corrected!$E$2:$E$151)</f>
        <v>253.27</v>
      </c>
      <c r="AD946" s="28">
        <f t="shared" si="104"/>
        <v>1266.35</v>
      </c>
      <c r="AE946" s="28">
        <f t="array" ref="AE946">XLOOKUP(V946,products_master_corrected!$A$2:$A$151,products_master_corrected!$M$2:$M$151)</f>
        <v>306.36</v>
      </c>
      <c r="AF946" s="29">
        <f t="shared" si="105"/>
        <v>1531.8</v>
      </c>
      <c r="AG946" s="30" t="s">
        <v>48</v>
      </c>
      <c r="AH946" s="2" t="s">
        <v>143</v>
      </c>
      <c r="AI946" s="10" t="s">
        <v>143</v>
      </c>
      <c r="AJ946" s="2" t="s">
        <v>169</v>
      </c>
      <c r="AK946" s="10" t="s">
        <v>261</v>
      </c>
      <c r="AL946" s="2" t="s">
        <v>133</v>
      </c>
    </row>
    <row r="947" ht="15.75" customHeight="1">
      <c r="A947" s="2" t="s">
        <v>1486</v>
      </c>
      <c r="B947" s="12">
        <v>45607.0</v>
      </c>
      <c r="C947" s="2" t="str">
        <f>IFERROR(__xludf.DUMMYFUNCTION("IF(ISNUMBER(B947),TEXT(B947,""yyyy-MM-dd""),REGEXREPLACE(REGEXREPLACE(TO_TEXT(B947),""[^0-9a-zA-Z]+"",""-""),""[^0-9]*$"",""""))"),"2024-11-11")</f>
        <v>2024-11-11</v>
      </c>
      <c r="D947" s="2" t="s">
        <v>2258</v>
      </c>
      <c r="H947" s="10" t="s">
        <v>2258</v>
      </c>
      <c r="I947" s="2" t="s">
        <v>275</v>
      </c>
      <c r="J947" s="26" t="str">
        <f t="array" ref="J947">IF(ISNA(XLOOKUP(I947,customers_clean!$A$2:$A$701,customers_clean!$A$2:$A$701, NA()) ),
   "❌ MISSING CUSTOMER", "✅")</f>
        <v>✅</v>
      </c>
      <c r="K947" s="2" t="str">
        <f t="array" ref="K947">XLOOKUP(I947,customers_clean!$A$2:$A$701,customers_clean!$C$2:$C$701)</f>
        <v>Wiktor Novak</v>
      </c>
      <c r="L947" s="10" t="str">
        <f t="array" ref="L947">XLOOKUP(I947,customers_clean!$A$2:$A$701,customers_clean!$D$2:$D$701)</f>
        <v>Wiktor Novak</v>
      </c>
      <c r="M947" s="2" t="str">
        <f t="array" ref="M947">XLOOKUP(I947,customers_clean!$A$2:$A$701,customers_clean!$I$2:$I$701)</f>
        <v>Wiktor.Novak@Company.Co.Uk</v>
      </c>
      <c r="N947" s="10" t="str">
        <f t="array" ref="N947">XLOOKUP(I947,customers_clean!$A$2:$A$701,customers_clean!$H$2:$H$701)</f>
        <v>wiktor.novak@company.co.uk</v>
      </c>
      <c r="O947" s="9" t="str">
        <f>IFERROR(__xludf.DUMMYFUNCTION("IF(REGEXMATCH(TRIM(N947),""^[A-Za-z0-9._%+-]+@[A-Za-z0-9.-]+\.[A-Za-z]{2,}$""),""✅ Valid"",""❌ Invalid"")"),"✅ Valid")</f>
        <v>✅ Valid</v>
      </c>
      <c r="P947" s="2" t="str">
        <f t="array" ref="P947">XLOOKUP(I947,customers_clean!$A$2:$A$701,customers_clean!$K$2:$K$701)</f>
        <v>tel:+39289324451</v>
      </c>
      <c r="Q947" s="10" t="str">
        <f t="array" ref="Q947">XLOOKUP(I947,customers_clean!$A$2:$A$701,customers_clean!$N$2:$N$701)</f>
        <v>289324451</v>
      </c>
      <c r="R947" s="9" t="str">
        <f t="array" ref="R947">XLOOKUP(I947,customers_clean!$A$2:$A$701,customers_clean!$Q$2:$Q$701)</f>
        <v>❌ INVALID</v>
      </c>
      <c r="S947" s="10" t="s">
        <v>25</v>
      </c>
      <c r="T947" s="2" t="s">
        <v>778</v>
      </c>
      <c r="U947" s="2" t="s">
        <v>176</v>
      </c>
      <c r="V947" s="2" t="s">
        <v>1358</v>
      </c>
      <c r="W947" s="9" t="str">
        <f t="array" ref="W947">IF(ISNA(XLOOKUP(V947,products_master_corrected!$A$2:$A$151,products_master_corrected!$A$2:$A$151, NA())),
    "❌ MISSING SKU", "✅")</f>
        <v>✅</v>
      </c>
      <c r="X947" s="2" t="s">
        <v>259</v>
      </c>
      <c r="Y947" s="2" t="s">
        <v>941</v>
      </c>
      <c r="Z947" s="10" t="str">
        <f t="shared" si="107"/>
        <v>Monitors</v>
      </c>
      <c r="AA947" s="27">
        <v>3.0</v>
      </c>
      <c r="AB947" s="9" t="s">
        <v>8649</v>
      </c>
      <c r="AC947" s="28">
        <f t="array" ref="AC947">XLOOKUP(V947,products_master_corrected!$A$2:$A$151,products_master_corrected!$E$2:$E$151)</f>
        <v>36.44</v>
      </c>
      <c r="AD947" s="28">
        <f t="shared" si="104"/>
        <v>109.32</v>
      </c>
      <c r="AE947" s="28">
        <f t="array" ref="AE947">XLOOKUP(V947,products_master_corrected!$A$2:$A$151,products_master_corrected!$K$2:$K$151)</f>
        <v>187.48</v>
      </c>
      <c r="AF947" s="29">
        <f t="shared" si="105"/>
        <v>562.44</v>
      </c>
      <c r="AG947" s="30" t="s">
        <v>95</v>
      </c>
      <c r="AH947" s="2" t="s">
        <v>66</v>
      </c>
      <c r="AI947" s="10" t="s">
        <v>66</v>
      </c>
      <c r="AJ947" s="2" t="s">
        <v>345</v>
      </c>
      <c r="AK947" s="10" t="s">
        <v>261</v>
      </c>
    </row>
    <row r="948" ht="15.75" customHeight="1">
      <c r="A948" s="2" t="s">
        <v>3343</v>
      </c>
      <c r="B948" s="12">
        <v>45337.0</v>
      </c>
      <c r="C948" s="2" t="str">
        <f>IFERROR(__xludf.DUMMYFUNCTION("IF(ISNUMBER(B948),TEXT(B948,""yyyy-MM-dd""),REGEXREPLACE(REGEXREPLACE(TO_TEXT(B948),""[^0-9a-zA-Z]+"",""-""),""[^0-9]*$"",""""))"),"2024-02-15")</f>
        <v>2024-02-15</v>
      </c>
      <c r="D948" s="2" t="s">
        <v>8985</v>
      </c>
      <c r="H948" s="10" t="s">
        <v>8985</v>
      </c>
      <c r="I948" s="2" t="s">
        <v>275</v>
      </c>
      <c r="J948" s="26" t="str">
        <f t="array" ref="J948">IF(ISNA(XLOOKUP(I948,customers_clean!$A$2:$A$701,customers_clean!$A$2:$A$701, NA()) ),
   "❌ MISSING CUSTOMER", "✅")</f>
        <v>✅</v>
      </c>
      <c r="K948" s="2" t="str">
        <f t="array" ref="K948">XLOOKUP(I948,customers_clean!$A$2:$A$701,customers_clean!$C$2:$C$701)</f>
        <v>Wiktor Novak</v>
      </c>
      <c r="L948" s="10" t="str">
        <f t="array" ref="L948">XLOOKUP(I948,customers_clean!$A$2:$A$701,customers_clean!$D$2:$D$701)</f>
        <v>Wiktor Novak</v>
      </c>
      <c r="M948" s="2" t="str">
        <f t="array" ref="M948">XLOOKUP(I948,customers_clean!$A$2:$A$701,customers_clean!$I$2:$I$701)</f>
        <v>Wiktor.Novak@Company.Co.Uk</v>
      </c>
      <c r="N948" s="10" t="str">
        <f t="array" ref="N948">XLOOKUP(I948,customers_clean!$A$2:$A$701,customers_clean!$H$2:$H$701)</f>
        <v>wiktor.novak@company.co.uk</v>
      </c>
      <c r="O948" s="9" t="str">
        <f>IFERROR(__xludf.DUMMYFUNCTION("IF(REGEXMATCH(TRIM(N948),""^[A-Za-z0-9._%+-]+@[A-Za-z0-9.-]+\.[A-Za-z]{2,}$""),""✅ Valid"",""❌ Invalid"")"),"✅ Valid")</f>
        <v>✅ Valid</v>
      </c>
      <c r="P948" s="2" t="str">
        <f t="array" ref="P948">XLOOKUP(I948,customers_clean!$A$2:$A$701,customers_clean!$K$2:$K$701)</f>
        <v>tel:+39289324451</v>
      </c>
      <c r="Q948" s="10" t="str">
        <f t="array" ref="Q948">XLOOKUP(I948,customers_clean!$A$2:$A$701,customers_clean!$N$2:$N$701)</f>
        <v>289324451</v>
      </c>
      <c r="R948" s="9" t="str">
        <f t="array" ref="R948">XLOOKUP(I948,customers_clean!$A$2:$A$701,customers_clean!$Q$2:$Q$701)</f>
        <v>❌ INVALID</v>
      </c>
      <c r="S948" s="10" t="s">
        <v>25</v>
      </c>
      <c r="T948" s="2" t="s">
        <v>234</v>
      </c>
      <c r="U948" s="2" t="s">
        <v>176</v>
      </c>
      <c r="V948" s="2" t="s">
        <v>269</v>
      </c>
      <c r="W948" s="9" t="str">
        <f t="array" ref="W948">IF(ISNA(XLOOKUP(V948,products_master_corrected!$A$2:$A$151,products_master_corrected!$A$2:$A$151, NA())),
    "❌ MISSING SKU", "✅")</f>
        <v>✅</v>
      </c>
      <c r="X948" s="2" t="s">
        <v>524</v>
      </c>
      <c r="Y948" s="2" t="s">
        <v>271</v>
      </c>
      <c r="Z948" s="10" t="s">
        <v>368</v>
      </c>
      <c r="AA948" s="27">
        <v>2.0</v>
      </c>
      <c r="AB948" s="9" t="s">
        <v>8649</v>
      </c>
      <c r="AC948" s="28">
        <f t="array" ref="AC948">XLOOKUP(V948,products_master_corrected!$A$2:$A$151,products_master_corrected!$E$2:$E$151)</f>
        <v>219.29</v>
      </c>
      <c r="AD948" s="28">
        <f t="shared" si="104"/>
        <v>438.58</v>
      </c>
      <c r="AE948" s="28">
        <f t="array" ref="AE948">XLOOKUP(V948,products_master_corrected!$A$2:$A$151,products_master_corrected!$K$2:$K$151)</f>
        <v>1128.25</v>
      </c>
      <c r="AF948" s="29">
        <f t="shared" si="105"/>
        <v>2256.5</v>
      </c>
      <c r="AG948" s="30" t="s">
        <v>95</v>
      </c>
      <c r="AH948" s="2" t="s">
        <v>573</v>
      </c>
      <c r="AI948" s="10" t="s">
        <v>66</v>
      </c>
      <c r="AJ948" s="2" t="s">
        <v>169</v>
      </c>
      <c r="AK948" s="10" t="s">
        <v>261</v>
      </c>
      <c r="AL948" s="2" t="s">
        <v>81</v>
      </c>
    </row>
    <row r="949" ht="15.75" customHeight="1">
      <c r="A949" s="2" t="s">
        <v>273</v>
      </c>
      <c r="B949" s="12">
        <v>45075.0</v>
      </c>
      <c r="C949" s="2" t="str">
        <f>IFERROR(__xludf.DUMMYFUNCTION("IF(ISNUMBER(B949),TEXT(B949,""yyyy-MM-dd""),REGEXREPLACE(REGEXREPLACE(TO_TEXT(B949),""[^0-9a-zA-Z]+"",""-""),""[^0-9]*$"",""""))"),"2023-05-29")</f>
        <v>2023-05-29</v>
      </c>
      <c r="D949" s="2" t="s">
        <v>8782</v>
      </c>
      <c r="H949" s="10" t="s">
        <v>8782</v>
      </c>
      <c r="I949" s="2" t="s">
        <v>275</v>
      </c>
      <c r="J949" s="26" t="str">
        <f t="array" ref="J949">IF(ISNA(XLOOKUP(I949,customers_clean!$A$2:$A$701,customers_clean!$A$2:$A$701, NA()) ),
   "❌ MISSING CUSTOMER", "✅")</f>
        <v>✅</v>
      </c>
      <c r="K949" s="2" t="str">
        <f t="array" ref="K949">XLOOKUP(I949,customers_clean!$A$2:$A$701,customers_clean!$C$2:$C$701)</f>
        <v>Wiktor Novak</v>
      </c>
      <c r="L949" s="10" t="str">
        <f t="array" ref="L949">XLOOKUP(I949,customers_clean!$A$2:$A$701,customers_clean!$D$2:$D$701)</f>
        <v>Wiktor Novak</v>
      </c>
      <c r="M949" s="2" t="str">
        <f t="array" ref="M949">XLOOKUP(I949,customers_clean!$A$2:$A$701,customers_clean!$I$2:$I$701)</f>
        <v>Wiktor.Novak@Company.Co.Uk</v>
      </c>
      <c r="N949" s="10" t="str">
        <f t="array" ref="N949">XLOOKUP(I949,customers_clean!$A$2:$A$701,customers_clean!$H$2:$H$701)</f>
        <v>wiktor.novak@company.co.uk</v>
      </c>
      <c r="O949" s="9" t="str">
        <f>IFERROR(__xludf.DUMMYFUNCTION("IF(REGEXMATCH(TRIM(N949),""^[A-Za-z0-9._%+-]+@[A-Za-z0-9.-]+\.[A-Za-z]{2,}$""),""✅ Valid"",""❌ Invalid"")"),"✅ Valid")</f>
        <v>✅ Valid</v>
      </c>
      <c r="P949" s="2" t="str">
        <f t="array" ref="P949">XLOOKUP(I949,customers_clean!$A$2:$A$701,customers_clean!$K$2:$K$701)</f>
        <v>tel:+39289324451</v>
      </c>
      <c r="Q949" s="10" t="str">
        <f t="array" ref="Q949">XLOOKUP(I949,customers_clean!$A$2:$A$701,customers_clean!$N$2:$N$701)</f>
        <v>289324451</v>
      </c>
      <c r="R949" s="9" t="str">
        <f t="array" ref="R949">XLOOKUP(I949,customers_clean!$A$2:$A$701,customers_clean!$Q$2:$Q$701)</f>
        <v>❌ INVALID</v>
      </c>
      <c r="S949" s="10" t="s">
        <v>25</v>
      </c>
      <c r="T949" s="2" t="s">
        <v>42</v>
      </c>
      <c r="U949" s="2" t="s">
        <v>103</v>
      </c>
      <c r="V949" s="2" t="s">
        <v>279</v>
      </c>
      <c r="W949" s="9" t="str">
        <f t="array" ref="W949">IF(ISNA(XLOOKUP(V949,products_master_corrected!$A$2:$A$151,products_master_corrected!$A$2:$A$151, NA())),
    "❌ MISSING SKU", "✅")</f>
        <v>✅</v>
      </c>
      <c r="X949" s="2" t="s">
        <v>280</v>
      </c>
      <c r="Y949" s="2" t="s">
        <v>281</v>
      </c>
      <c r="Z949" s="10" t="s">
        <v>248</v>
      </c>
      <c r="AA949" s="27">
        <v>1.0</v>
      </c>
      <c r="AB949" s="9" t="s">
        <v>8649</v>
      </c>
      <c r="AC949" s="28">
        <f t="array" ref="AC949">XLOOKUP(V949,products_master_corrected!$A$2:$A$151,products_master_corrected!$E$2:$E$151)</f>
        <v>95.88</v>
      </c>
      <c r="AD949" s="28">
        <f t="shared" si="104"/>
        <v>95.88</v>
      </c>
      <c r="AE949" s="28">
        <f t="array" ref="AE949">XLOOKUP(V949,products_master_corrected!$A$2:$A$151,products_master_corrected!$K$2:$K$151)</f>
        <v>493.3</v>
      </c>
      <c r="AF949" s="29">
        <f t="shared" si="105"/>
        <v>493.3</v>
      </c>
      <c r="AG949" s="30" t="s">
        <v>95</v>
      </c>
      <c r="AH949" s="2" t="s">
        <v>33</v>
      </c>
      <c r="AI949" s="10" t="s">
        <v>181</v>
      </c>
      <c r="AJ949" s="2" t="s">
        <v>169</v>
      </c>
      <c r="AK949" s="10" t="s">
        <v>261</v>
      </c>
      <c r="AL949" s="2" t="s">
        <v>67</v>
      </c>
    </row>
    <row r="950" ht="15.75" customHeight="1">
      <c r="A950" s="2" t="s">
        <v>1865</v>
      </c>
      <c r="B950" s="12">
        <v>45812.0</v>
      </c>
      <c r="C950" s="2" t="str">
        <f>IFERROR(__xludf.DUMMYFUNCTION("IF(ISNUMBER(B950),TEXT(B950,""yyyy-MM-dd""),REGEXREPLACE(REGEXREPLACE(TO_TEXT(B950),""[^0-9a-zA-Z]+"",""-""),""[^0-9]*$"",""""))"),"2025-06-04")</f>
        <v>2025-06-04</v>
      </c>
      <c r="D950" s="2" t="s">
        <v>8986</v>
      </c>
      <c r="H950" s="10" t="s">
        <v>8986</v>
      </c>
      <c r="I950" s="2" t="s">
        <v>1867</v>
      </c>
      <c r="J950" s="26" t="str">
        <f t="array" ref="J950">IF(ISNA(XLOOKUP(I950,customers_clean!$A$2:$A$701,customers_clean!$A$2:$A$701, NA()) ),
   "❌ MISSING CUSTOMER", "✅")</f>
        <v>✅</v>
      </c>
      <c r="K950" s="2" t="str">
        <f t="array" ref="K950">XLOOKUP(I950,customers_clean!$A$2:$A$701,customers_clean!$C$2:$C$701)</f>
        <v>Igor Brown</v>
      </c>
      <c r="L950" s="10" t="str">
        <f t="array" ref="L950">XLOOKUP(I950,customers_clean!$A$2:$A$701,customers_clean!$D$2:$D$701)</f>
        <v>Igor Brown</v>
      </c>
      <c r="M950" s="2" t="str">
        <f t="array" ref="M950">XLOOKUP(I950,customers_clean!$A$2:$A$701,customers_clean!$I$2:$I$701)</f>
        <v>Igor.Brown@Shop.Io</v>
      </c>
      <c r="N950" s="10" t="str">
        <f t="array" ref="N950">XLOOKUP(I950,customers_clean!$A$2:$A$701,customers_clean!$H$2:$H$701)</f>
        <v>igor.brown@shop.io</v>
      </c>
      <c r="O950" s="9" t="str">
        <f>IFERROR(__xludf.DUMMYFUNCTION("IF(REGEXMATCH(TRIM(N950),""^[A-Za-z0-9._%+-]+@[A-Za-z0-9.-]+\.[A-Za-z]{2,}$""),""✅ Valid"",""❌ Invalid"")"),"✅ Valid")</f>
        <v>✅ Valid</v>
      </c>
      <c r="P950" s="2">
        <f t="array" ref="P950">XLOOKUP(I950,customers_clean!$A$2:$A$701,customers_clean!$K$2:$K$701)</f>
        <v>348623984397</v>
      </c>
      <c r="Q950" s="10" t="str">
        <f t="array" ref="Q950">XLOOKUP(I950,customers_clean!$A$2:$A$701,customers_clean!$N$2:$N$701)</f>
        <v>8623984397</v>
      </c>
      <c r="R950" s="9" t="str">
        <f t="array" ref="R950">XLOOKUP(I950,customers_clean!$A$2:$A$701,customers_clean!$Q$2:$Q$701)</f>
        <v>❌ INVALID</v>
      </c>
      <c r="S950" s="10" t="s">
        <v>114</v>
      </c>
      <c r="T950" s="2" t="s">
        <v>223</v>
      </c>
      <c r="U950" s="2" t="s">
        <v>43</v>
      </c>
      <c r="V950" s="2" t="s">
        <v>1722</v>
      </c>
      <c r="W950" s="9" t="str">
        <f t="array" ref="W950">IF(ISNA(XLOOKUP(V950,products_master_corrected!$A$2:$A$151,products_master_corrected!$A$2:$A$151, NA())),
    "❌ MISSING SKU", "✅")</f>
        <v>✅</v>
      </c>
      <c r="X950" s="2" t="s">
        <v>804</v>
      </c>
      <c r="Y950" s="2" t="s">
        <v>368</v>
      </c>
      <c r="Z950" s="10" t="s">
        <v>368</v>
      </c>
      <c r="AA950" s="27">
        <v>3.0</v>
      </c>
      <c r="AB950" s="9" t="s">
        <v>8649</v>
      </c>
      <c r="AC950" s="28">
        <f t="array" ref="AC950">XLOOKUP(V950,products_master_corrected!$A$2:$A$151,products_master_corrected!$E$2:$E$151)</f>
        <v>13.05</v>
      </c>
      <c r="AD950" s="28">
        <f t="shared" si="104"/>
        <v>39.15</v>
      </c>
      <c r="AE950" s="28">
        <f t="array" ref="AE950">XLOOKUP(V950,products_master_corrected!$A$2:$A$151,products_master_corrected!$F$2:$F$151)</f>
        <v>13.05</v>
      </c>
      <c r="AF950" s="29">
        <f t="shared" si="105"/>
        <v>39.15</v>
      </c>
      <c r="AG950" s="30" t="s">
        <v>65</v>
      </c>
      <c r="AH950" s="2" t="s">
        <v>131</v>
      </c>
      <c r="AI950" s="10" t="s">
        <v>181</v>
      </c>
      <c r="AJ950" s="2" t="s">
        <v>452</v>
      </c>
      <c r="AK950" s="10" t="s">
        <v>261</v>
      </c>
      <c r="AL950" s="2" t="s">
        <v>133</v>
      </c>
    </row>
    <row r="951" ht="15.75" customHeight="1">
      <c r="A951" s="2" t="s">
        <v>3825</v>
      </c>
      <c r="B951" s="12">
        <v>45512.0</v>
      </c>
      <c r="C951" s="2" t="str">
        <f>IFERROR(__xludf.DUMMYFUNCTION("IF(ISNUMBER(B951),TEXT(B951,""yyyy-MM-dd""),REGEXREPLACE(REGEXREPLACE(TO_TEXT(B951),""[^0-9a-zA-Z]+"",""-""),""[^0-9]*$"",""""))"),"2024-08-08")</f>
        <v>2024-08-08</v>
      </c>
      <c r="D951" s="2" t="s">
        <v>8813</v>
      </c>
      <c r="H951" s="10" t="s">
        <v>8813</v>
      </c>
      <c r="I951" s="2" t="s">
        <v>2329</v>
      </c>
      <c r="J951" s="26" t="str">
        <f t="array" ref="J951">IF(ISNA(XLOOKUP(I951,customers_clean!$A$2:$A$701,customers_clean!$A$2:$A$701, NA()) ),
   "❌ MISSING CUSTOMER", "✅")</f>
        <v>✅</v>
      </c>
      <c r="K951" s="2" t="str">
        <f t="array" ref="K951">XLOOKUP(I951,customers_clean!$A$2:$A$701,customers_clean!$C$2:$C$701)</f>
        <v>Zakc  Kowalczyk</v>
      </c>
      <c r="L951" s="10" t="str">
        <f t="array" ref="L951">XLOOKUP(I951,customers_clean!$A$2:$A$701,customers_clean!$D$2:$D$701)</f>
        <v>Zakc Kowalczyk</v>
      </c>
      <c r="M951" s="2" t="str">
        <f t="array" ref="M951">XLOOKUP(I951,customers_clean!$A$2:$A$701,customers_clean!$I$2:$I$701)</f>
        <v/>
      </c>
      <c r="N951" s="10" t="str">
        <f t="array" ref="N951">XLOOKUP(I951,customers_clean!$A$2:$A$701,customers_clean!$H$2:$H$701)</f>
        <v/>
      </c>
      <c r="O951" s="9" t="str">
        <f>IFERROR(__xludf.DUMMYFUNCTION("IF(REGEXMATCH(TRIM(N951),""^[A-Za-z0-9._%+-]+@[A-Za-z0-9.-]+\.[A-Za-z]{2,}$""),""✅ Valid"",""❌ Invalid"")"),"❌ Invalid")</f>
        <v>❌ Invalid</v>
      </c>
      <c r="P951" s="2" t="str">
        <f t="array" ref="P951">XLOOKUP(I951,customers_clean!$A$2:$A$701,customers_clean!$K$2:$K$701)</f>
        <v>+1-206-888-5222 </v>
      </c>
      <c r="Q951" s="10" t="str">
        <f t="array" ref="Q951">XLOOKUP(I951,customers_clean!$A$2:$A$701,customers_clean!$N$2:$N$701)</f>
        <v/>
      </c>
      <c r="R951" s="9" t="str">
        <f t="array" ref="R951">XLOOKUP(I951,customers_clean!$A$2:$A$701,customers_clean!$Q$2:$Q$701)</f>
        <v/>
      </c>
      <c r="S951" s="10" t="s">
        <v>139</v>
      </c>
      <c r="T951" s="2" t="s">
        <v>59</v>
      </c>
      <c r="U951" s="2" t="s">
        <v>1245</v>
      </c>
      <c r="V951" s="2" t="s">
        <v>269</v>
      </c>
      <c r="W951" s="9" t="str">
        <f t="array" ref="W951">IF(ISNA(XLOOKUP(V951,products_master_corrected!$A$2:$A$151,products_master_corrected!$A$2:$A$151, NA())),
    "❌ MISSING SKU", "✅")</f>
        <v>✅</v>
      </c>
      <c r="X951" s="2" t="s">
        <v>524</v>
      </c>
      <c r="Y951" s="2" t="s">
        <v>271</v>
      </c>
      <c r="Z951" s="10" t="s">
        <v>368</v>
      </c>
      <c r="AA951" s="27">
        <v>5.0</v>
      </c>
      <c r="AB951" s="9" t="s">
        <v>8649</v>
      </c>
      <c r="AC951" s="28">
        <f t="array" ref="AC951">XLOOKUP(V951,products_master_corrected!$A$2:$A$151,products_master_corrected!$E$2:$E$151)</f>
        <v>219.29</v>
      </c>
      <c r="AD951" s="28">
        <f t="shared" si="104"/>
        <v>1096.45</v>
      </c>
      <c r="AE951" s="28">
        <f t="array" ref="AE951">XLOOKUP(V951,products_master_corrected!$A$2:$A$151,products_master_corrected!$L$2:$L$151)</f>
        <v>237.16</v>
      </c>
      <c r="AF951" s="29">
        <f t="shared" si="105"/>
        <v>1185.8</v>
      </c>
      <c r="AG951" s="32" t="s">
        <v>8665</v>
      </c>
      <c r="AH951" s="2" t="s">
        <v>49</v>
      </c>
      <c r="AI951" s="10" t="s">
        <v>49</v>
      </c>
      <c r="AJ951" s="2" t="s">
        <v>169</v>
      </c>
      <c r="AK951" s="10" t="s">
        <v>261</v>
      </c>
      <c r="AL951" s="2" t="s">
        <v>133</v>
      </c>
    </row>
    <row r="952" ht="15.75" customHeight="1">
      <c r="A952" s="2" t="s">
        <v>2327</v>
      </c>
      <c r="B952" s="12">
        <v>45129.751388888886</v>
      </c>
      <c r="C952" s="2" t="str">
        <f>IFERROR(__xludf.DUMMYFUNCTION("IF(ISNUMBER(B952),TEXT(B952,""yyyy-MM-dd""),REGEXREPLACE(REGEXREPLACE(TO_TEXT(B952),""[^0-9a-zA-Z]+"",""-""),""[^0-9]*$"",""""))"),"2023-07-22")</f>
        <v>2023-07-22</v>
      </c>
      <c r="D952" s="2" t="s">
        <v>1418</v>
      </c>
      <c r="H952" s="10" t="s">
        <v>1418</v>
      </c>
      <c r="I952" s="2" t="s">
        <v>2329</v>
      </c>
      <c r="J952" s="26" t="str">
        <f t="array" ref="J952">IF(ISNA(XLOOKUP(I952,customers_clean!$A$2:$A$701,customers_clean!$A$2:$A$701, NA()) ),
   "❌ MISSING CUSTOMER", "✅")</f>
        <v>✅</v>
      </c>
      <c r="K952" s="2" t="str">
        <f t="array" ref="K952">XLOOKUP(I952,customers_clean!$A$2:$A$701,customers_clean!$C$2:$C$701)</f>
        <v>Zakc  Kowalczyk</v>
      </c>
      <c r="L952" s="10" t="str">
        <f t="array" ref="L952">XLOOKUP(I952,customers_clean!$A$2:$A$701,customers_clean!$D$2:$D$701)</f>
        <v>Zakc Kowalczyk</v>
      </c>
      <c r="M952" s="2" t="str">
        <f t="array" ref="M952">XLOOKUP(I952,customers_clean!$A$2:$A$701,customers_clean!$I$2:$I$701)</f>
        <v/>
      </c>
      <c r="N952" s="10" t="str">
        <f t="array" ref="N952">XLOOKUP(I952,customers_clean!$A$2:$A$701,customers_clean!$H$2:$H$701)</f>
        <v/>
      </c>
      <c r="O952" s="9" t="str">
        <f>IFERROR(__xludf.DUMMYFUNCTION("IF(REGEXMATCH(TRIM(N952),""^[A-Za-z0-9._%+-]+@[A-Za-z0-9.-]+\.[A-Za-z]{2,}$""),""✅ Valid"",""❌ Invalid"")"),"❌ Invalid")</f>
        <v>❌ Invalid</v>
      </c>
      <c r="P952" s="2" t="str">
        <f t="array" ref="P952">XLOOKUP(I952,customers_clean!$A$2:$A$701,customers_clean!$K$2:$K$701)</f>
        <v>+1-206-888-5222 </v>
      </c>
      <c r="Q952" s="10" t="str">
        <f t="array" ref="Q952">XLOOKUP(I952,customers_clean!$A$2:$A$701,customers_clean!$N$2:$N$701)</f>
        <v/>
      </c>
      <c r="R952" s="9" t="str">
        <f t="array" ref="R952">XLOOKUP(I952,customers_clean!$A$2:$A$701,customers_clean!$Q$2:$Q$701)</f>
        <v/>
      </c>
      <c r="S952" s="10" t="s">
        <v>139</v>
      </c>
      <c r="T952" s="2" t="s">
        <v>223</v>
      </c>
      <c r="U952" s="2" t="s">
        <v>176</v>
      </c>
      <c r="V952" s="2" t="s">
        <v>490</v>
      </c>
      <c r="W952" s="9" t="str">
        <f t="array" ref="W952">IF(ISNA(XLOOKUP(V952,products_master_corrected!$A$2:$A$151,products_master_corrected!$A$2:$A$151, NA())),
    "❌ MISSING SKU", "✅")</f>
        <v>✅</v>
      </c>
      <c r="X952" s="2" t="s">
        <v>29</v>
      </c>
      <c r="Y952" s="2" t="s">
        <v>492</v>
      </c>
      <c r="Z952" s="10" t="s">
        <v>514</v>
      </c>
      <c r="AA952" s="27">
        <v>3.0</v>
      </c>
      <c r="AB952" s="9" t="s">
        <v>8649</v>
      </c>
      <c r="AC952" s="28">
        <f t="array" ref="AC952">XLOOKUP(V952,products_master_corrected!$A$2:$A$151,products_master_corrected!$E$2:$E$151)</f>
        <v>116.45</v>
      </c>
      <c r="AD952" s="28">
        <f t="shared" si="104"/>
        <v>349.35</v>
      </c>
      <c r="AE952" s="28">
        <f t="array" ref="AE952">XLOOKUP(V952,products_master_corrected!$A$2:$A$151,products_master_corrected!$L$2:$L$151)</f>
        <v>125.94</v>
      </c>
      <c r="AF952" s="29">
        <f t="shared" si="105"/>
        <v>377.82</v>
      </c>
      <c r="AG952" s="32" t="s">
        <v>8665</v>
      </c>
      <c r="AH952" s="2" t="s">
        <v>664</v>
      </c>
      <c r="AI952" s="10" t="s">
        <v>66</v>
      </c>
      <c r="AJ952" s="2" t="s">
        <v>169</v>
      </c>
      <c r="AK952" s="10" t="s">
        <v>261</v>
      </c>
      <c r="AL952" s="2" t="s">
        <v>133</v>
      </c>
    </row>
    <row r="953" ht="15.75" customHeight="1">
      <c r="A953" s="2" t="s">
        <v>1149</v>
      </c>
      <c r="B953" s="12" t="s">
        <v>1150</v>
      </c>
      <c r="C953" s="2" t="str">
        <f>IFERROR(__xludf.DUMMYFUNCTION("IF(ISNUMBER(B953),TEXT(B953,""yyyy-MM-dd""),REGEXREPLACE(REGEXREPLACE(TO_TEXT(B953),""[^0-9a-zA-Z]+"",""-""),""[^0-9]*$"",""""))"),"14-05-2024")</f>
        <v>14-05-2024</v>
      </c>
      <c r="D953" s="2" t="s">
        <v>8752</v>
      </c>
      <c r="H953" s="10" t="s">
        <v>8752</v>
      </c>
      <c r="I953" s="2" t="s">
        <v>348</v>
      </c>
      <c r="J953" s="26" t="str">
        <f t="array" ref="J953">IF(ISNA(XLOOKUP(I953,customers_clean!$A$2:$A$701,customers_clean!$A$2:$A$701, NA()) ),
   "❌ MISSING CUSTOMER", "✅")</f>
        <v>✅</v>
      </c>
      <c r="K953" s="2" t="str">
        <f t="array" ref="K953">XLOOKUP(I953,customers_clean!$A$2:$A$701,customers_clean!$C$2:$C$701)</f>
        <v>Adam Walker</v>
      </c>
      <c r="L953" s="10" t="str">
        <f t="array" ref="L953">XLOOKUP(I953,customers_clean!$A$2:$A$701,customers_clean!$D$2:$D$701)</f>
        <v>Adam Walker</v>
      </c>
      <c r="M953" s="2" t="str">
        <f t="array" ref="M953">XLOOKUP(I953,customers_clean!$A$2:$A$701,customers_clean!$I$2:$I$701)</f>
        <v>Adam.Walker@Outlook.Com</v>
      </c>
      <c r="N953" s="10" t="str">
        <f t="array" ref="N953">XLOOKUP(I953,customers_clean!$A$2:$A$701,customers_clean!$H$2:$H$701)</f>
        <v>adam.walker@outlook.com</v>
      </c>
      <c r="O953" s="9" t="str">
        <f>IFERROR(__xludf.DUMMYFUNCTION("IF(REGEXMATCH(TRIM(N953),""^[A-Za-z0-9._%+-]+@[A-Za-z0-9.-]+\.[A-Za-z]{2,}$""),""✅ Valid"",""❌ Invalid"")"),"✅ Valid")</f>
        <v>✅ Valid</v>
      </c>
      <c r="P953" s="2" t="str">
        <f t="array" ref="P953">XLOOKUP(I953,customers_clean!$A$2:$A$701,customers_clean!$K$2:$K$701)</f>
        <v>+1+8899474394</v>
      </c>
      <c r="Q953" s="10" t="str">
        <f t="array" ref="Q953">XLOOKUP(I953,customers_clean!$A$2:$A$701,customers_clean!$N$2:$N$701)</f>
        <v>8899474394</v>
      </c>
      <c r="R953" s="9" t="str">
        <f t="array" ref="R953">XLOOKUP(I953,customers_clean!$A$2:$A$701,customers_clean!$Q$2:$Q$701)</f>
        <v>✅ VALID</v>
      </c>
      <c r="S953" s="10" t="s">
        <v>25</v>
      </c>
      <c r="T953" s="2" t="s">
        <v>1151</v>
      </c>
      <c r="U953" s="2" t="s">
        <v>211</v>
      </c>
      <c r="V953" s="2" t="s">
        <v>117</v>
      </c>
      <c r="W953" s="9" t="str">
        <f t="array" ref="W953">IF(ISNA(XLOOKUP(V953,products_master_corrected!$A$2:$A$151,products_master_corrected!$A$2:$A$151, NA())),
    "❌ MISSING SKU", "✅")</f>
        <v>✅</v>
      </c>
      <c r="X953" s="2" t="s">
        <v>259</v>
      </c>
      <c r="Y953" s="2" t="s">
        <v>63</v>
      </c>
      <c r="Z953" s="10" t="s">
        <v>63</v>
      </c>
      <c r="AA953" s="27"/>
      <c r="AB953" s="9" t="s">
        <v>8677</v>
      </c>
      <c r="AC953" s="34"/>
      <c r="AD953" s="34"/>
      <c r="AE953" s="34"/>
      <c r="AF953" s="35"/>
      <c r="AG953" s="36" t="s">
        <v>65</v>
      </c>
      <c r="AH953" s="2" t="s">
        <v>1153</v>
      </c>
      <c r="AI953" s="10" t="s">
        <v>49</v>
      </c>
      <c r="AJ953" s="2" t="s">
        <v>294</v>
      </c>
      <c r="AK953" s="10" t="s">
        <v>80</v>
      </c>
    </row>
    <row r="954" ht="15.75" customHeight="1">
      <c r="A954" s="2" t="s">
        <v>346</v>
      </c>
      <c r="B954" s="12" t="s">
        <v>347</v>
      </c>
      <c r="C954" s="2" t="str">
        <f>IFERROR(__xludf.DUMMYFUNCTION("IF(ISNUMBER(B954),TEXT(B954,""yyyy-MM-dd""),REGEXREPLACE(REGEXREPLACE(TO_TEXT(B954),""[^0-9a-zA-Z]+"",""-""),""[^0-9]*$"",""""))"),"01-24-2025")</f>
        <v>01-24-2025</v>
      </c>
      <c r="D954" s="2" t="str">
        <f>TEXT(C954,"yyyy-MM-dd")</f>
        <v>01-24-2025</v>
      </c>
      <c r="E954" s="2" t="s">
        <v>8787</v>
      </c>
      <c r="H954" s="10" t="s">
        <v>8787</v>
      </c>
      <c r="I954" s="2" t="s">
        <v>348</v>
      </c>
      <c r="J954" s="26" t="str">
        <f t="array" ref="J954">IF(ISNA(XLOOKUP(I954,customers_clean!$A$2:$A$701,customers_clean!$A$2:$A$701, NA()) ),
   "❌ MISSING CUSTOMER", "✅")</f>
        <v>✅</v>
      </c>
      <c r="K954" s="2" t="str">
        <f t="array" ref="K954">XLOOKUP(I954,customers_clean!$A$2:$A$701,customers_clean!$C$2:$C$701)</f>
        <v>Adam Walker</v>
      </c>
      <c r="L954" s="10" t="str">
        <f t="array" ref="L954">XLOOKUP(I954,customers_clean!$A$2:$A$701,customers_clean!$D$2:$D$701)</f>
        <v>Adam Walker</v>
      </c>
      <c r="M954" s="2" t="str">
        <f t="array" ref="M954">XLOOKUP(I954,customers_clean!$A$2:$A$701,customers_clean!$I$2:$I$701)</f>
        <v>Adam.Walker@Outlook.Com</v>
      </c>
      <c r="N954" s="10" t="str">
        <f t="array" ref="N954">XLOOKUP(I954,customers_clean!$A$2:$A$701,customers_clean!$H$2:$H$701)</f>
        <v>adam.walker@outlook.com</v>
      </c>
      <c r="O954" s="9" t="str">
        <f>IFERROR(__xludf.DUMMYFUNCTION("IF(REGEXMATCH(TRIM(N954),""^[A-Za-z0-9._%+-]+@[A-Za-z0-9.-]+\.[A-Za-z]{2,}$""),""✅ Valid"",""❌ Invalid"")"),"✅ Valid")</f>
        <v>✅ Valid</v>
      </c>
      <c r="P954" s="2" t="str">
        <f t="array" ref="P954">XLOOKUP(I954,customers_clean!$A$2:$A$701,customers_clean!$K$2:$K$701)</f>
        <v>+1+8899474394</v>
      </c>
      <c r="Q954" s="10" t="str">
        <f t="array" ref="Q954">XLOOKUP(I954,customers_clean!$A$2:$A$701,customers_clean!$N$2:$N$701)</f>
        <v>8899474394</v>
      </c>
      <c r="R954" s="9" t="str">
        <f t="array" ref="R954">XLOOKUP(I954,customers_clean!$A$2:$A$701,customers_clean!$Q$2:$Q$701)</f>
        <v>✅ VALID</v>
      </c>
      <c r="S954" s="10" t="s">
        <v>25</v>
      </c>
      <c r="T954" s="2" t="s">
        <v>74</v>
      </c>
      <c r="U954" s="2" t="s">
        <v>352</v>
      </c>
      <c r="V954" s="2" t="s">
        <v>353</v>
      </c>
      <c r="W954" s="9" t="str">
        <f t="array" ref="W954">IF(ISNA(XLOOKUP(V954,products_master_corrected!$A$2:$A$151,products_master_corrected!$A$2:$A$151, NA())),
    "❌ MISSING SKU", "✅")</f>
        <v>✅</v>
      </c>
      <c r="X954" s="2" t="s">
        <v>62</v>
      </c>
      <c r="Y954" s="2" t="s">
        <v>355</v>
      </c>
      <c r="Z954" s="10" t="s">
        <v>355</v>
      </c>
      <c r="AA954" s="27">
        <v>2.0</v>
      </c>
      <c r="AB954" s="9" t="s">
        <v>8649</v>
      </c>
      <c r="AC954" s="28">
        <f t="array" ref="AC954">XLOOKUP(V954,products_master_corrected!$A$2:$A$151,products_master_corrected!$E$2:$E$151)</f>
        <v>106.56</v>
      </c>
      <c r="AD954" s="28">
        <f t="shared" ref="AD954:AD968" si="108">AA954*AC954</f>
        <v>213.12</v>
      </c>
      <c r="AE954" s="28">
        <f t="array" ref="AE954">XLOOKUP(V954,products_master_corrected!$A$2:$A$151,products_master_corrected!$K$2:$K$151)</f>
        <v>548.25</v>
      </c>
      <c r="AF954" s="29">
        <f t="shared" ref="AF954:AF968" si="109">AA954*AE954</f>
        <v>1096.5</v>
      </c>
      <c r="AG954" s="30" t="s">
        <v>95</v>
      </c>
      <c r="AH954" s="2" t="s">
        <v>357</v>
      </c>
      <c r="AI954" s="10" t="s">
        <v>66</v>
      </c>
      <c r="AJ954" s="2" t="s">
        <v>169</v>
      </c>
      <c r="AK954" s="10" t="s">
        <v>261</v>
      </c>
      <c r="AL954" s="2" t="s">
        <v>67</v>
      </c>
    </row>
    <row r="955" ht="15.75" customHeight="1">
      <c r="A955" s="2" t="s">
        <v>5805</v>
      </c>
      <c r="B955" s="12">
        <v>45595.0</v>
      </c>
      <c r="C955" s="2" t="str">
        <f>IFERROR(__xludf.DUMMYFUNCTION("IF(ISNUMBER(B955),TEXT(B955,""yyyy-MM-dd""),REGEXREPLACE(REGEXREPLACE(TO_TEXT(B955),""[^0-9a-zA-Z]+"",""-""),""[^0-9]*$"",""""))"),"2024-10-30")</f>
        <v>2024-10-30</v>
      </c>
      <c r="D955" s="2" t="s">
        <v>8674</v>
      </c>
      <c r="H955" s="10" t="s">
        <v>8674</v>
      </c>
      <c r="I955" s="2" t="s">
        <v>348</v>
      </c>
      <c r="J955" s="26" t="str">
        <f t="array" ref="J955">IF(ISNA(XLOOKUP(I955,customers_clean!$A$2:$A$701,customers_clean!$A$2:$A$701, NA()) ),
   "❌ MISSING CUSTOMER", "✅")</f>
        <v>✅</v>
      </c>
      <c r="K955" s="2" t="str">
        <f t="array" ref="K955">XLOOKUP(I955,customers_clean!$A$2:$A$701,customers_clean!$C$2:$C$701)</f>
        <v>Adam Walker</v>
      </c>
      <c r="L955" s="10" t="str">
        <f t="array" ref="L955">XLOOKUP(I955,customers_clean!$A$2:$A$701,customers_clean!$D$2:$D$701)</f>
        <v>Adam Walker</v>
      </c>
      <c r="M955" s="2" t="str">
        <f t="array" ref="M955">XLOOKUP(I955,customers_clean!$A$2:$A$701,customers_clean!$I$2:$I$701)</f>
        <v>Adam.Walker@Outlook.Com</v>
      </c>
      <c r="N955" s="10" t="str">
        <f t="array" ref="N955">XLOOKUP(I955,customers_clean!$A$2:$A$701,customers_clean!$H$2:$H$701)</f>
        <v>adam.walker@outlook.com</v>
      </c>
      <c r="O955" s="9" t="str">
        <f>IFERROR(__xludf.DUMMYFUNCTION("IF(REGEXMATCH(TRIM(N955),""^[A-Za-z0-9._%+-]+@[A-Za-z0-9.-]+\.[A-Za-z]{2,}$""),""✅ Valid"",""❌ Invalid"")"),"✅ Valid")</f>
        <v>✅ Valid</v>
      </c>
      <c r="P955" s="2" t="str">
        <f t="array" ref="P955">XLOOKUP(I955,customers_clean!$A$2:$A$701,customers_clean!$K$2:$K$701)</f>
        <v>+1+8899474394</v>
      </c>
      <c r="Q955" s="10" t="str">
        <f t="array" ref="Q955">XLOOKUP(I955,customers_clean!$A$2:$A$701,customers_clean!$N$2:$N$701)</f>
        <v>8899474394</v>
      </c>
      <c r="R955" s="9" t="str">
        <f t="array" ref="R955">XLOOKUP(I955,customers_clean!$A$2:$A$701,customers_clean!$Q$2:$Q$701)</f>
        <v>✅ VALID</v>
      </c>
      <c r="S955" s="10" t="s">
        <v>25</v>
      </c>
      <c r="T955" s="2" t="s">
        <v>223</v>
      </c>
      <c r="U955" s="2" t="s">
        <v>60</v>
      </c>
      <c r="V955" s="2" t="s">
        <v>2033</v>
      </c>
      <c r="W955" s="9" t="str">
        <f t="array" ref="W955">IF(ISNA(XLOOKUP(V955,products_master_corrected!$A$2:$A$151,products_master_corrected!$A$2:$A$151, NA())),
    "❌ MISSING SKU", "✅")</f>
        <v>✅</v>
      </c>
      <c r="X955" s="2" t="s">
        <v>2034</v>
      </c>
      <c r="Y955" s="2" t="s">
        <v>1016</v>
      </c>
      <c r="Z955" s="10" t="s">
        <v>355</v>
      </c>
      <c r="AA955" s="27">
        <v>2.0</v>
      </c>
      <c r="AB955" s="9" t="s">
        <v>8649</v>
      </c>
      <c r="AC955" s="28">
        <f t="array" ref="AC955">XLOOKUP(V955,products_master_corrected!$A$2:$A$151,products_master_corrected!$E$2:$E$151)</f>
        <v>938.62</v>
      </c>
      <c r="AD955" s="28">
        <f t="shared" si="108"/>
        <v>1877.24</v>
      </c>
      <c r="AE955" s="28">
        <f t="array" ref="AE955">XLOOKUP(V955,products_master_corrected!$A$2:$A$151,products_master_corrected!$K$2:$K$151)</f>
        <v>4829.2</v>
      </c>
      <c r="AF955" s="29">
        <f t="shared" si="109"/>
        <v>9658.4</v>
      </c>
      <c r="AG955" s="30" t="s">
        <v>95</v>
      </c>
      <c r="AH955" s="2" t="s">
        <v>143</v>
      </c>
      <c r="AI955" s="10" t="s">
        <v>143</v>
      </c>
      <c r="AJ955" s="2" t="s">
        <v>294</v>
      </c>
      <c r="AK955" s="10" t="s">
        <v>80</v>
      </c>
    </row>
    <row r="956" ht="15.75" customHeight="1">
      <c r="A956" s="2" t="s">
        <v>6114</v>
      </c>
      <c r="B956" s="12" t="s">
        <v>6115</v>
      </c>
      <c r="C956" s="2" t="str">
        <f>IFERROR(__xludf.DUMMYFUNCTION("IF(ISNUMBER(B956),TEXT(B956,""yyyy-MM-dd""),REGEXREPLACE(REGEXREPLACE(TO_TEXT(B956),""[^0-9a-zA-Z]+"",""-""),""[^0-9]*$"",""""))"),"16-10-2024")</f>
        <v>16-10-2024</v>
      </c>
      <c r="D956" s="2" t="s">
        <v>8987</v>
      </c>
      <c r="H956" s="10" t="s">
        <v>8987</v>
      </c>
      <c r="I956" s="2" t="s">
        <v>6116</v>
      </c>
      <c r="J956" s="26" t="str">
        <f t="array" ref="J956">IF(ISNA(XLOOKUP(I956,customers_clean!$A$2:$A$701,customers_clean!$A$2:$A$701, NA()) ),
   "❌ MISSING CUSTOMER", "✅")</f>
        <v>✅</v>
      </c>
      <c r="K956" s="2" t="str">
        <f t="array" ref="K956">XLOOKUP(I956,customers_clean!$A$2:$A$701,customers_clean!$C$2:$C$701)</f>
        <v>LIA DUBOIS</v>
      </c>
      <c r="L956" s="10" t="str">
        <f t="array" ref="L956">XLOOKUP(I956,customers_clean!$A$2:$A$701,customers_clean!$D$2:$D$701)</f>
        <v>Lia Dubois</v>
      </c>
      <c r="M956" s="2" t="str">
        <f t="array" ref="M956">XLOOKUP(I956,customers_clean!$A$2:$A$701,customers_clean!$I$2:$I$701)</f>
        <v>lia.dubois@outlook.com</v>
      </c>
      <c r="N956" s="10" t="str">
        <f t="array" ref="N956">XLOOKUP(I956,customers_clean!$A$2:$A$701,customers_clean!$H$2:$H$701)</f>
        <v>lia.dubois@outlook.com</v>
      </c>
      <c r="O956" s="9" t="str">
        <f>IFERROR(__xludf.DUMMYFUNCTION("IF(REGEXMATCH(TRIM(N956),""^[A-Za-z0-9._%+-]+@[A-Za-z0-9.-]+\.[A-Za-z]{2,}$""),""✅ Valid"",""❌ Invalid"")"),"✅ Valid")</f>
        <v>✅ Valid</v>
      </c>
      <c r="P956" s="2" t="str">
        <f t="array" ref="P956">XLOOKUP(I956,customers_clean!$A$2:$A$701,customers_clean!$K$2:$K$701)</f>
        <v>+332216865660 ext 722</v>
      </c>
      <c r="Q956" s="10" t="str">
        <f t="array" ref="Q956">XLOOKUP(I956,customers_clean!$A$2:$A$701,customers_clean!$N$2:$N$701)</f>
        <v>2216865660</v>
      </c>
      <c r="R956" s="9" t="str">
        <f t="array" ref="R956">XLOOKUP(I956,customers_clean!$A$2:$A$701,customers_clean!$Q$2:$Q$701)</f>
        <v>❌ INVALID</v>
      </c>
      <c r="S956" s="10" t="s">
        <v>25</v>
      </c>
      <c r="T956" s="2" t="s">
        <v>42</v>
      </c>
      <c r="U956" s="2" t="s">
        <v>512</v>
      </c>
      <c r="V956" s="2" t="s">
        <v>1495</v>
      </c>
      <c r="W956" s="9" t="str">
        <f t="array" ref="W956">IF(ISNA(XLOOKUP(V956,products_master_corrected!$A$2:$A$151,products_master_corrected!$A$2:$A$151, NA())),
    "❌ MISSING SKU", "✅")</f>
        <v>✅</v>
      </c>
      <c r="X956" s="2" t="s">
        <v>1138</v>
      </c>
      <c r="Y956" s="2" t="s">
        <v>248</v>
      </c>
      <c r="Z956" s="10" t="s">
        <v>248</v>
      </c>
      <c r="AA956" s="27">
        <v>2.0</v>
      </c>
      <c r="AB956" s="9" t="s">
        <v>8649</v>
      </c>
      <c r="AC956" s="28">
        <f t="array" ref="AC956">XLOOKUP(V956,products_master_corrected!$A$2:$A$151,products_master_corrected!$E$2:$E$151)</f>
        <v>248.14</v>
      </c>
      <c r="AD956" s="28">
        <f t="shared" si="108"/>
        <v>496.28</v>
      </c>
      <c r="AE956" s="28">
        <f t="array" ref="AE956">XLOOKUP(V956,products_master_corrected!$A$2:$A$151,products_master_corrected!$K$2:$K$151)</f>
        <v>1276.68</v>
      </c>
      <c r="AF956" s="29">
        <f t="shared" si="109"/>
        <v>2553.36</v>
      </c>
      <c r="AG956" s="30" t="s">
        <v>95</v>
      </c>
      <c r="AH956" s="2" t="s">
        <v>370</v>
      </c>
      <c r="AI956" s="10" t="s">
        <v>143</v>
      </c>
      <c r="AJ956" s="2" t="s">
        <v>144</v>
      </c>
      <c r="AK956" s="10" t="s">
        <v>818</v>
      </c>
    </row>
    <row r="957" ht="15.75" customHeight="1">
      <c r="A957" s="2" t="s">
        <v>3856</v>
      </c>
      <c r="B957" s="12">
        <v>44965.0</v>
      </c>
      <c r="C957" s="2" t="str">
        <f>IFERROR(__xludf.DUMMYFUNCTION("IF(ISNUMBER(B957),TEXT(B957,""yyyy-MM-dd""),REGEXREPLACE(REGEXREPLACE(TO_TEXT(B957),""[^0-9a-zA-Z]+"",""-""),""[^0-9]*$"",""""))"),"2023-02-08")</f>
        <v>2023-02-08</v>
      </c>
      <c r="D957" s="2" t="s">
        <v>8988</v>
      </c>
      <c r="H957" s="10" t="s">
        <v>8988</v>
      </c>
      <c r="I957" s="2" t="s">
        <v>2300</v>
      </c>
      <c r="J957" s="26" t="str">
        <f t="array" ref="J957">IF(ISNA(XLOOKUP(I957,customers_clean!$A$2:$A$701,customers_clean!$A$2:$A$701, NA()) ),
   "❌ MISSING CUSTOMER", "✅")</f>
        <v>✅</v>
      </c>
      <c r="K957" s="2" t="str">
        <f t="array" ref="K957">XLOOKUP(I957,customers_clean!$A$2:$A$701,customers_clean!$C$2:$C$701)</f>
        <v>Ethan Kowalski </v>
      </c>
      <c r="L957" s="10" t="str">
        <f t="array" ref="L957">XLOOKUP(I957,customers_clean!$A$2:$A$701,customers_clean!$D$2:$D$701)</f>
        <v>Ethan Kowalski</v>
      </c>
      <c r="M957" s="2" t="str">
        <f t="array" ref="M957">XLOOKUP(I957,customers_clean!$A$2:$A$701,customers_clean!$I$2:$I$701)</f>
        <v>EHTAN.KOWALSKI@SHOP.IO</v>
      </c>
      <c r="N957" s="10" t="str">
        <f t="array" ref="N957">XLOOKUP(I957,customers_clean!$A$2:$A$701,customers_clean!$H$2:$H$701)</f>
        <v>ehtan.kowalski@shop.io</v>
      </c>
      <c r="O957" s="9" t="str">
        <f>IFERROR(__xludf.DUMMYFUNCTION("IF(REGEXMATCH(TRIM(N957),""^[A-Za-z0-9._%+-]+@[A-Za-z0-9.-]+\.[A-Za-z]{2,}$""),""✅ Valid"",""❌ Invalid"")"),"✅ Valid")</f>
        <v>✅ Valid</v>
      </c>
      <c r="P957" s="2">
        <f t="array" ref="P957">XLOOKUP(I957,customers_clean!$A$2:$A$701,customers_clean!$K$2:$K$701)</f>
        <v>9214270409</v>
      </c>
      <c r="Q957" s="10" t="str">
        <f t="array" ref="Q957">XLOOKUP(I957,customers_clean!$A$2:$A$701,customers_clean!$N$2:$N$701)</f>
        <v>9214270409</v>
      </c>
      <c r="R957" s="9" t="str">
        <f t="array" ref="R957">XLOOKUP(I957,customers_clean!$A$2:$A$701,customers_clean!$Q$2:$Q$701)</f>
        <v>✅ VALID</v>
      </c>
      <c r="S957" s="10" t="s">
        <v>608</v>
      </c>
      <c r="T957" s="2" t="s">
        <v>59</v>
      </c>
      <c r="U957" s="2" t="s">
        <v>870</v>
      </c>
      <c r="V957" s="2" t="s">
        <v>692</v>
      </c>
      <c r="W957" s="9" t="str">
        <f t="array" ref="W957">IF(ISNA(XLOOKUP(V957,products_master_corrected!$A$2:$A$151,products_master_corrected!$A$2:$A$151, NA())),
    "❌ MISSING SKU", "✅")</f>
        <v>✅</v>
      </c>
      <c r="X957" s="2" t="s">
        <v>8661</v>
      </c>
      <c r="Y957" s="2" t="s">
        <v>368</v>
      </c>
      <c r="Z957" s="10" t="s">
        <v>368</v>
      </c>
      <c r="AA957" s="27">
        <v>1.0</v>
      </c>
      <c r="AB957" s="9" t="s">
        <v>8649</v>
      </c>
      <c r="AC957" s="28">
        <f t="array" ref="AC957">XLOOKUP(V957,products_master_corrected!$A$2:$A$151,products_master_corrected!$E$2:$E$151)</f>
        <v>65.53</v>
      </c>
      <c r="AD957" s="28">
        <f t="shared" si="108"/>
        <v>65.53</v>
      </c>
      <c r="AE957" s="28">
        <f t="array" ref="AE957">XLOOKUP(V957,products_master_corrected!$A$2:$A$151,products_master_corrected!$H$2:$H$151)</f>
        <v>73.62</v>
      </c>
      <c r="AF957" s="29">
        <f t="shared" si="109"/>
        <v>73.62</v>
      </c>
      <c r="AG957" s="32" t="s">
        <v>8658</v>
      </c>
      <c r="AH957" s="2" t="s">
        <v>143</v>
      </c>
      <c r="AI957" s="10" t="s">
        <v>143</v>
      </c>
      <c r="AJ957" s="2" t="s">
        <v>80</v>
      </c>
      <c r="AK957" s="10" t="s">
        <v>80</v>
      </c>
      <c r="AL957" s="2" t="s">
        <v>133</v>
      </c>
    </row>
    <row r="958" ht="15.75" customHeight="1">
      <c r="A958" s="2" t="s">
        <v>5011</v>
      </c>
      <c r="B958" s="12">
        <v>45766.0</v>
      </c>
      <c r="C958" s="2" t="str">
        <f>IFERROR(__xludf.DUMMYFUNCTION("IF(ISNUMBER(B958),TEXT(B958,""yyyy-MM-dd""),REGEXREPLACE(REGEXREPLACE(TO_TEXT(B958),""[^0-9a-zA-Z]+"",""-""),""[^0-9]*$"",""""))"),"2025-04-19")</f>
        <v>2025-04-19</v>
      </c>
      <c r="D958" s="2" t="s">
        <v>5012</v>
      </c>
      <c r="H958" s="10" t="s">
        <v>5012</v>
      </c>
      <c r="I958" s="2" t="s">
        <v>2300</v>
      </c>
      <c r="J958" s="26" t="str">
        <f t="array" ref="J958">IF(ISNA(XLOOKUP(I958,customers_clean!$A$2:$A$701,customers_clean!$A$2:$A$701, NA()) ),
   "❌ MISSING CUSTOMER", "✅")</f>
        <v>✅</v>
      </c>
      <c r="K958" s="2" t="str">
        <f t="array" ref="K958">XLOOKUP(I958,customers_clean!$A$2:$A$701,customers_clean!$C$2:$C$701)</f>
        <v>Ethan Kowalski </v>
      </c>
      <c r="L958" s="10" t="str">
        <f t="array" ref="L958">XLOOKUP(I958,customers_clean!$A$2:$A$701,customers_clean!$D$2:$D$701)</f>
        <v>Ethan Kowalski</v>
      </c>
      <c r="M958" s="2" t="str">
        <f t="array" ref="M958">XLOOKUP(I958,customers_clean!$A$2:$A$701,customers_clean!$I$2:$I$701)</f>
        <v>EHTAN.KOWALSKI@SHOP.IO</v>
      </c>
      <c r="N958" s="10" t="str">
        <f t="array" ref="N958">XLOOKUP(I958,customers_clean!$A$2:$A$701,customers_clean!$H$2:$H$701)</f>
        <v>ehtan.kowalski@shop.io</v>
      </c>
      <c r="O958" s="9" t="str">
        <f>IFERROR(__xludf.DUMMYFUNCTION("IF(REGEXMATCH(TRIM(N958),""^[A-Za-z0-9._%+-]+@[A-Za-z0-9.-]+\.[A-Za-z]{2,}$""),""✅ Valid"",""❌ Invalid"")"),"✅ Valid")</f>
        <v>✅ Valid</v>
      </c>
      <c r="P958" s="2">
        <f t="array" ref="P958">XLOOKUP(I958,customers_clean!$A$2:$A$701,customers_clean!$K$2:$K$701)</f>
        <v>9214270409</v>
      </c>
      <c r="Q958" s="10" t="str">
        <f t="array" ref="Q958">XLOOKUP(I958,customers_clean!$A$2:$A$701,customers_clean!$N$2:$N$701)</f>
        <v>9214270409</v>
      </c>
      <c r="R958" s="9" t="str">
        <f t="array" ref="R958">XLOOKUP(I958,customers_clean!$A$2:$A$701,customers_clean!$Q$2:$Q$701)</f>
        <v>✅ VALID</v>
      </c>
      <c r="S958" s="10" t="s">
        <v>608</v>
      </c>
      <c r="T958" s="2" t="s">
        <v>26</v>
      </c>
      <c r="U958" s="2" t="s">
        <v>512</v>
      </c>
      <c r="V958" s="2" t="s">
        <v>302</v>
      </c>
      <c r="W958" s="9" t="str">
        <f t="array" ref="W958">IF(ISNA(XLOOKUP(V958,products_master_corrected!$A$2:$A$151,products_master_corrected!$A$2:$A$151, NA())),
    "❌ MISSING SKU", "✅")</f>
        <v>✅</v>
      </c>
      <c r="X958" s="2" t="s">
        <v>303</v>
      </c>
      <c r="Y958" s="2" t="s">
        <v>248</v>
      </c>
      <c r="Z958" s="10" t="s">
        <v>248</v>
      </c>
      <c r="AA958" s="27">
        <v>5.0</v>
      </c>
      <c r="AB958" s="9" t="s">
        <v>8649</v>
      </c>
      <c r="AC958" s="28">
        <f t="array" ref="AC958">XLOOKUP(V958,products_master_corrected!$A$2:$A$151,products_master_corrected!$E$2:$E$151)</f>
        <v>172.22</v>
      </c>
      <c r="AD958" s="28">
        <f t="shared" si="108"/>
        <v>861.1</v>
      </c>
      <c r="AE958" s="28">
        <f t="array" ref="AE958">XLOOKUP(V958,products_master_corrected!$A$2:$A$151,products_master_corrected!$H$2:$H$151)</f>
        <v>193.49</v>
      </c>
      <c r="AF958" s="29">
        <f t="shared" si="109"/>
        <v>967.45</v>
      </c>
      <c r="AG958" s="32" t="s">
        <v>8658</v>
      </c>
      <c r="AH958" s="2" t="s">
        <v>583</v>
      </c>
      <c r="AI958" s="10" t="s">
        <v>181</v>
      </c>
      <c r="AJ958" s="2" t="s">
        <v>120</v>
      </c>
      <c r="AK958" s="10" t="s">
        <v>818</v>
      </c>
      <c r="AL958" s="2" t="s">
        <v>81</v>
      </c>
    </row>
    <row r="959" ht="15.75" customHeight="1">
      <c r="A959" s="2" t="s">
        <v>4424</v>
      </c>
      <c r="B959" s="12">
        <v>44928.0</v>
      </c>
      <c r="C959" s="2" t="str">
        <f>IFERROR(__xludf.DUMMYFUNCTION("IF(ISNUMBER(B959),TEXT(B959,""yyyy-MM-dd""),REGEXREPLACE(REGEXREPLACE(TO_TEXT(B959),""[^0-9a-zA-Z]+"",""-""),""[^0-9]*$"",""""))"),"2023-01-02")</f>
        <v>2023-01-02</v>
      </c>
      <c r="D959" s="2" t="s">
        <v>4382</v>
      </c>
      <c r="H959" s="10" t="s">
        <v>4382</v>
      </c>
      <c r="I959" s="2" t="s">
        <v>2300</v>
      </c>
      <c r="J959" s="26" t="str">
        <f t="array" ref="J959">IF(ISNA(XLOOKUP(I959,customers_clean!$A$2:$A$701,customers_clean!$A$2:$A$701, NA()) ),
   "❌ MISSING CUSTOMER", "✅")</f>
        <v>✅</v>
      </c>
      <c r="K959" s="2" t="str">
        <f t="array" ref="K959">XLOOKUP(I959,customers_clean!$A$2:$A$701,customers_clean!$C$2:$C$701)</f>
        <v>Ethan Kowalski </v>
      </c>
      <c r="L959" s="10" t="str">
        <f t="array" ref="L959">XLOOKUP(I959,customers_clean!$A$2:$A$701,customers_clean!$D$2:$D$701)</f>
        <v>Ethan Kowalski</v>
      </c>
      <c r="M959" s="2" t="str">
        <f t="array" ref="M959">XLOOKUP(I959,customers_clean!$A$2:$A$701,customers_clean!$I$2:$I$701)</f>
        <v>EHTAN.KOWALSKI@SHOP.IO</v>
      </c>
      <c r="N959" s="10" t="str">
        <f t="array" ref="N959">XLOOKUP(I959,customers_clean!$A$2:$A$701,customers_clean!$H$2:$H$701)</f>
        <v>ehtan.kowalski@shop.io</v>
      </c>
      <c r="O959" s="9" t="str">
        <f>IFERROR(__xludf.DUMMYFUNCTION("IF(REGEXMATCH(TRIM(N959),""^[A-Za-z0-9._%+-]+@[A-Za-z0-9.-]+\.[A-Za-z]{2,}$""),""✅ Valid"",""❌ Invalid"")"),"✅ Valid")</f>
        <v>✅ Valid</v>
      </c>
      <c r="P959" s="2">
        <f t="array" ref="P959">XLOOKUP(I959,customers_clean!$A$2:$A$701,customers_clean!$K$2:$K$701)</f>
        <v>9214270409</v>
      </c>
      <c r="Q959" s="10" t="str">
        <f t="array" ref="Q959">XLOOKUP(I959,customers_clean!$A$2:$A$701,customers_clean!$N$2:$N$701)</f>
        <v>9214270409</v>
      </c>
      <c r="R959" s="9" t="str">
        <f t="array" ref="R959">XLOOKUP(I959,customers_clean!$A$2:$A$701,customers_clean!$Q$2:$Q$701)</f>
        <v>✅ VALID</v>
      </c>
      <c r="S959" s="10" t="s">
        <v>608</v>
      </c>
      <c r="T959" s="2" t="s">
        <v>223</v>
      </c>
      <c r="U959" s="2" t="s">
        <v>480</v>
      </c>
      <c r="V959" s="2" t="s">
        <v>334</v>
      </c>
      <c r="W959" s="9" t="str">
        <f t="array" ref="W959">IF(ISNA(XLOOKUP(V959,products_master_corrected!$A$2:$A$151,products_master_corrected!$A$2:$A$151, NA())),
    "❌ MISSING SKU", "✅")</f>
        <v>✅</v>
      </c>
      <c r="X959" s="2" t="s">
        <v>29</v>
      </c>
      <c r="Y959" s="2" t="s">
        <v>248</v>
      </c>
      <c r="Z959" s="10" t="s">
        <v>248</v>
      </c>
      <c r="AA959" s="27">
        <v>1.0</v>
      </c>
      <c r="AB959" s="9" t="s">
        <v>8649</v>
      </c>
      <c r="AC959" s="28">
        <f t="array" ref="AC959">XLOOKUP(V959,products_master_corrected!$A$2:$A$151,products_master_corrected!$E$2:$E$151)</f>
        <v>75.62</v>
      </c>
      <c r="AD959" s="28">
        <f t="shared" si="108"/>
        <v>75.62</v>
      </c>
      <c r="AE959" s="28">
        <f t="array" ref="AE959">XLOOKUP(V959,products_master_corrected!$A$2:$A$151,products_master_corrected!$H$2:$H$151)</f>
        <v>84.96</v>
      </c>
      <c r="AF959" s="29">
        <f t="shared" si="109"/>
        <v>84.96</v>
      </c>
      <c r="AG959" s="32" t="s">
        <v>8658</v>
      </c>
      <c r="AH959" s="2" t="s">
        <v>305</v>
      </c>
      <c r="AI959" s="10" t="s">
        <v>49</v>
      </c>
      <c r="AJ959" s="2" t="s">
        <v>345</v>
      </c>
      <c r="AK959" s="10" t="s">
        <v>261</v>
      </c>
    </row>
    <row r="960" ht="15.75" customHeight="1">
      <c r="A960" s="2" t="s">
        <v>2298</v>
      </c>
      <c r="B960" s="12" t="s">
        <v>2299</v>
      </c>
      <c r="C960" s="2" t="str">
        <f>IFERROR(__xludf.DUMMYFUNCTION("IF(ISNUMBER(B960),TEXT(B960,""yyyy-MM-dd""),REGEXREPLACE(REGEXREPLACE(TO_TEXT(B960),""[^0-9a-zA-Z]+"",""-""),""[^0-9]*$"",""""))"),"27-10-2023")</f>
        <v>27-10-2023</v>
      </c>
      <c r="D960" s="2" t="s">
        <v>8773</v>
      </c>
      <c r="H960" s="10" t="s">
        <v>8773</v>
      </c>
      <c r="I960" s="2" t="s">
        <v>2300</v>
      </c>
      <c r="J960" s="26" t="str">
        <f t="array" ref="J960">IF(ISNA(XLOOKUP(I960,customers_clean!$A$2:$A$701,customers_clean!$A$2:$A$701, NA()) ),
   "❌ MISSING CUSTOMER", "✅")</f>
        <v>✅</v>
      </c>
      <c r="K960" s="2" t="str">
        <f t="array" ref="K960">XLOOKUP(I960,customers_clean!$A$2:$A$701,customers_clean!$C$2:$C$701)</f>
        <v>Ethan Kowalski </v>
      </c>
      <c r="L960" s="10" t="str">
        <f t="array" ref="L960">XLOOKUP(I960,customers_clean!$A$2:$A$701,customers_clean!$D$2:$D$701)</f>
        <v>Ethan Kowalski</v>
      </c>
      <c r="M960" s="2" t="str">
        <f t="array" ref="M960">XLOOKUP(I960,customers_clean!$A$2:$A$701,customers_clean!$I$2:$I$701)</f>
        <v>EHTAN.KOWALSKI@SHOP.IO</v>
      </c>
      <c r="N960" s="10" t="str">
        <f t="array" ref="N960">XLOOKUP(I960,customers_clean!$A$2:$A$701,customers_clean!$H$2:$H$701)</f>
        <v>ehtan.kowalski@shop.io</v>
      </c>
      <c r="O960" s="9" t="str">
        <f>IFERROR(__xludf.DUMMYFUNCTION("IF(REGEXMATCH(TRIM(N960),""^[A-Za-z0-9._%+-]+@[A-Za-z0-9.-]+\.[A-Za-z]{2,}$""),""✅ Valid"",""❌ Invalid"")"),"✅ Valid")</f>
        <v>✅ Valid</v>
      </c>
      <c r="P960" s="2">
        <f t="array" ref="P960">XLOOKUP(I960,customers_clean!$A$2:$A$701,customers_clean!$K$2:$K$701)</f>
        <v>9214270409</v>
      </c>
      <c r="Q960" s="10" t="str">
        <f t="array" ref="Q960">XLOOKUP(I960,customers_clean!$A$2:$A$701,customers_clean!$N$2:$N$701)</f>
        <v>9214270409</v>
      </c>
      <c r="R960" s="9" t="str">
        <f t="array" ref="R960">XLOOKUP(I960,customers_clean!$A$2:$A$701,customers_clean!$Q$2:$Q$701)</f>
        <v>✅ VALID</v>
      </c>
      <c r="S960" s="10" t="s">
        <v>608</v>
      </c>
      <c r="T960" s="2" t="s">
        <v>234</v>
      </c>
      <c r="U960" s="2" t="s">
        <v>60</v>
      </c>
      <c r="V960" s="2" t="s">
        <v>481</v>
      </c>
      <c r="W960" s="9" t="str">
        <f t="array" ref="W960">IF(ISNA(XLOOKUP(V960,products_master_corrected!$A$2:$A$151,products_master_corrected!$A$2:$A$151, NA())),
    "❌ MISSING SKU", "✅")</f>
        <v>✅</v>
      </c>
      <c r="X960" s="2" t="s">
        <v>291</v>
      </c>
      <c r="Y960" s="2" t="s">
        <v>482</v>
      </c>
      <c r="Z960" s="10" t="s">
        <v>63</v>
      </c>
      <c r="AA960" s="27">
        <v>1.0</v>
      </c>
      <c r="AB960" s="9" t="s">
        <v>8649</v>
      </c>
      <c r="AC960" s="28">
        <f t="array" ref="AC960">XLOOKUP(V960,products_master_corrected!$A$2:$A$151,products_master_corrected!$E$2:$E$151)</f>
        <v>190.18</v>
      </c>
      <c r="AD960" s="28">
        <f t="shared" si="108"/>
        <v>190.18</v>
      </c>
      <c r="AE960" s="28">
        <f t="array" ref="AE960">XLOOKUP(V960,products_master_corrected!$A$2:$A$151,products_master_corrected!$H$2:$H$151)</f>
        <v>213.67</v>
      </c>
      <c r="AF960" s="29">
        <f t="shared" si="109"/>
        <v>213.67</v>
      </c>
      <c r="AG960" s="32" t="s">
        <v>8658</v>
      </c>
      <c r="AH960" s="2" t="s">
        <v>66</v>
      </c>
      <c r="AI960" s="10" t="s">
        <v>66</v>
      </c>
      <c r="AJ960" s="2" t="s">
        <v>294</v>
      </c>
      <c r="AK960" s="10" t="s">
        <v>80</v>
      </c>
    </row>
    <row r="961" ht="15.75" customHeight="1">
      <c r="A961" s="2" t="s">
        <v>6195</v>
      </c>
      <c r="B961" s="12">
        <v>45494.916666666664</v>
      </c>
      <c r="C961" s="2" t="str">
        <f>IFERROR(__xludf.DUMMYFUNCTION("IF(ISNUMBER(B961),TEXT(B961,""yyyy-MM-dd""),REGEXREPLACE(REGEXREPLACE(TO_TEXT(B961),""[^0-9a-zA-Z]+"",""-""),""[^0-9]*$"",""""))"),"2024-07-21")</f>
        <v>2024-07-21</v>
      </c>
      <c r="D961" s="2" t="s">
        <v>8989</v>
      </c>
      <c r="H961" s="10" t="s">
        <v>8989</v>
      </c>
      <c r="I961" s="2" t="s">
        <v>2300</v>
      </c>
      <c r="J961" s="26" t="str">
        <f t="array" ref="J961">IF(ISNA(XLOOKUP(I961,customers_clean!$A$2:$A$701,customers_clean!$A$2:$A$701, NA()) ),
   "❌ MISSING CUSTOMER", "✅")</f>
        <v>✅</v>
      </c>
      <c r="K961" s="2" t="str">
        <f t="array" ref="K961">XLOOKUP(I961,customers_clean!$A$2:$A$701,customers_clean!$C$2:$C$701)</f>
        <v>Ethan Kowalski </v>
      </c>
      <c r="L961" s="10" t="str">
        <f t="array" ref="L961">XLOOKUP(I961,customers_clean!$A$2:$A$701,customers_clean!$D$2:$D$701)</f>
        <v>Ethan Kowalski</v>
      </c>
      <c r="M961" s="2" t="str">
        <f t="array" ref="M961">XLOOKUP(I961,customers_clean!$A$2:$A$701,customers_clean!$I$2:$I$701)</f>
        <v>EHTAN.KOWALSKI@SHOP.IO</v>
      </c>
      <c r="N961" s="10" t="str">
        <f t="array" ref="N961">XLOOKUP(I961,customers_clean!$A$2:$A$701,customers_clean!$H$2:$H$701)</f>
        <v>ehtan.kowalski@shop.io</v>
      </c>
      <c r="O961" s="9" t="str">
        <f>IFERROR(__xludf.DUMMYFUNCTION("IF(REGEXMATCH(TRIM(N961),""^[A-Za-z0-9._%+-]+@[A-Za-z0-9.-]+\.[A-Za-z]{2,}$""),""✅ Valid"",""❌ Invalid"")"),"✅ Valid")</f>
        <v>✅ Valid</v>
      </c>
      <c r="P961" s="2">
        <f t="array" ref="P961">XLOOKUP(I961,customers_clean!$A$2:$A$701,customers_clean!$K$2:$K$701)</f>
        <v>9214270409</v>
      </c>
      <c r="Q961" s="10" t="str">
        <f t="array" ref="Q961">XLOOKUP(I961,customers_clean!$A$2:$A$701,customers_clean!$N$2:$N$701)</f>
        <v>9214270409</v>
      </c>
      <c r="R961" s="9" t="str">
        <f t="array" ref="R961">XLOOKUP(I961,customers_clean!$A$2:$A$701,customers_clean!$Q$2:$Q$701)</f>
        <v>✅ VALID</v>
      </c>
      <c r="S961" s="10" t="s">
        <v>608</v>
      </c>
      <c r="T961" s="2" t="s">
        <v>152</v>
      </c>
      <c r="U961" s="2" t="s">
        <v>1245</v>
      </c>
      <c r="V961" s="2" t="s">
        <v>1400</v>
      </c>
      <c r="W961" s="9" t="str">
        <f t="array" ref="W961">IF(ISNA(XLOOKUP(V961,products_master_corrected!$A$2:$A$151,products_master_corrected!$A$2:$A$151, NA())),
    "❌ MISSING SKU", "✅")</f>
        <v>✅</v>
      </c>
      <c r="X961" s="2" t="s">
        <v>524</v>
      </c>
      <c r="Y961" s="2" t="s">
        <v>1401</v>
      </c>
      <c r="Z961" s="10" t="s">
        <v>63</v>
      </c>
      <c r="AA961" s="27">
        <v>2.0</v>
      </c>
      <c r="AB961" s="9" t="s">
        <v>8649</v>
      </c>
      <c r="AC961" s="28">
        <f t="array" ref="AC961">XLOOKUP(V961,products_master_corrected!$A$2:$A$151,products_master_corrected!$E$2:$E$151)</f>
        <v>145.12</v>
      </c>
      <c r="AD961" s="28">
        <f t="shared" si="108"/>
        <v>290.24</v>
      </c>
      <c r="AE961" s="28">
        <f t="array" ref="AE961">XLOOKUP(V961,products_master_corrected!$A$2:$A$151,products_master_corrected!$H$2:$H$151)</f>
        <v>163.04</v>
      </c>
      <c r="AF961" s="29">
        <f t="shared" si="109"/>
        <v>326.08</v>
      </c>
      <c r="AG961" s="32" t="s">
        <v>8658</v>
      </c>
      <c r="AH961" s="2" t="s">
        <v>238</v>
      </c>
      <c r="AI961" s="10" t="s">
        <v>66</v>
      </c>
      <c r="AJ961" s="2" t="s">
        <v>452</v>
      </c>
      <c r="AK961" s="10" t="s">
        <v>261</v>
      </c>
    </row>
    <row r="962" ht="15.75" customHeight="1">
      <c r="A962" s="2" t="s">
        <v>3742</v>
      </c>
      <c r="B962" s="12">
        <v>45337.0</v>
      </c>
      <c r="C962" s="2" t="str">
        <f>IFERROR(__xludf.DUMMYFUNCTION("IF(ISNUMBER(B962),TEXT(B962,""yyyy-MM-dd""),REGEXREPLACE(REGEXREPLACE(TO_TEXT(B962),""[^0-9a-zA-Z]+"",""-""),""[^0-9]*$"",""""))"),"2024-02-15")</f>
        <v>2024-02-15</v>
      </c>
      <c r="D962" s="2" t="s">
        <v>8985</v>
      </c>
      <c r="H962" s="10" t="s">
        <v>8985</v>
      </c>
      <c r="I962" s="2" t="s">
        <v>3744</v>
      </c>
      <c r="J962" s="26" t="str">
        <f t="array" ref="J962">IF(ISNA(XLOOKUP(I962,customers_clean!$A$2:$A$701,customers_clean!$A$2:$A$701, NA()) ),
   "❌ MISSING CUSTOMER", "✅")</f>
        <v>✅</v>
      </c>
      <c r="K962" s="2" t="str">
        <f t="array" ref="K962">XLOOKUP(I962,customers_clean!$A$2:$A$701,customers_clean!$C$2:$C$701)</f>
        <v>Gabe Rodriguez</v>
      </c>
      <c r="L962" s="10" t="str">
        <f t="array" ref="L962">XLOOKUP(I962,customers_clean!$A$2:$A$701,customers_clean!$D$2:$D$701)</f>
        <v>Gabe Rodriguez</v>
      </c>
      <c r="M962" s="2" t="str">
        <f t="array" ref="M962">XLOOKUP(I962,customers_clean!$A$2:$A$701,customers_clean!$I$2:$I$701)</f>
        <v>gabe.rodriguez@yahoo.com</v>
      </c>
      <c r="N962" s="10" t="str">
        <f t="array" ref="N962">XLOOKUP(I962,customers_clean!$A$2:$A$701,customers_clean!$H$2:$H$701)</f>
        <v>gabe.rodriguez@yahoo.com</v>
      </c>
      <c r="O962" s="9" t="str">
        <f>IFERROR(__xludf.DUMMYFUNCTION("IF(REGEXMATCH(TRIM(N962),""^[A-Za-z0-9._%+-]+@[A-Za-z0-9.-]+\.[A-Za-z]{2,}$""),""✅ Valid"",""❌ Invalid"")"),"✅ Valid")</f>
        <v>✅ Valid</v>
      </c>
      <c r="P962" s="2" t="str">
        <f t="array" ref="P962">XLOOKUP(I962,customers_clean!$A$2:$A$701,customers_clean!$K$2:$K$701)</f>
        <v>+39 64-01-89-27-38</v>
      </c>
      <c r="Q962" s="10" t="str">
        <f t="array" ref="Q962">XLOOKUP(I962,customers_clean!$A$2:$A$701,customers_clean!$N$2:$N$701)</f>
        <v>6401892738</v>
      </c>
      <c r="R962" s="9" t="str">
        <f t="array" ref="R962">XLOOKUP(I962,customers_clean!$A$2:$A$701,customers_clean!$Q$2:$Q$701)</f>
        <v>❌ INVALID</v>
      </c>
      <c r="S962" s="31" t="s">
        <v>671</v>
      </c>
      <c r="T962" s="2" t="s">
        <v>74</v>
      </c>
      <c r="U962" s="2" t="s">
        <v>43</v>
      </c>
      <c r="V962" s="2" t="s">
        <v>1783</v>
      </c>
      <c r="W962" s="9" t="str">
        <f t="array" ref="W962">IF(ISNA(XLOOKUP(V962,products_master_corrected!$A$2:$A$151,products_master_corrected!$A$2:$A$151, NA())),
    "❌ MISSING SKU", "✅")</f>
        <v>✅</v>
      </c>
      <c r="X962" s="2" t="s">
        <v>966</v>
      </c>
      <c r="Y962" s="2" t="s">
        <v>514</v>
      </c>
      <c r="Z962" s="10" t="s">
        <v>514</v>
      </c>
      <c r="AA962" s="27">
        <v>2.0</v>
      </c>
      <c r="AB962" s="9" t="s">
        <v>8649</v>
      </c>
      <c r="AC962" s="28">
        <f t="array" ref="AC962">XLOOKUP(V962,products_master_corrected!$A$2:$A$151,products_master_corrected!$E$2:$E$151)</f>
        <v>23.25</v>
      </c>
      <c r="AD962" s="28">
        <f t="shared" si="108"/>
        <v>46.5</v>
      </c>
      <c r="AE962" s="28">
        <f t="array" ref="AE962">XLOOKUP(V962,products_master_corrected!$A$2:$A$151,products_master_corrected!$J$2:$J$151)</f>
        <v>27.12</v>
      </c>
      <c r="AF962" s="29">
        <f t="shared" si="109"/>
        <v>54.24</v>
      </c>
      <c r="AG962" s="32" t="s">
        <v>8656</v>
      </c>
      <c r="AH962" s="2" t="s">
        <v>573</v>
      </c>
      <c r="AI962" s="10" t="s">
        <v>66</v>
      </c>
      <c r="AJ962" s="2" t="s">
        <v>3749</v>
      </c>
      <c r="AK962" s="10" t="s">
        <v>192</v>
      </c>
      <c r="AL962" s="2" t="s">
        <v>51</v>
      </c>
    </row>
    <row r="963" ht="15.75" customHeight="1">
      <c r="A963" s="2" t="s">
        <v>4170</v>
      </c>
      <c r="B963" s="12">
        <v>45824.240277777775</v>
      </c>
      <c r="C963" s="2" t="str">
        <f>IFERROR(__xludf.DUMMYFUNCTION("IF(ISNUMBER(B963),TEXT(B963,""yyyy-MM-dd""),REGEXREPLACE(REGEXREPLACE(TO_TEXT(B963),""[^0-9a-zA-Z]+"",""-""),""[^0-9]*$"",""""))"),"2025-06-16")</f>
        <v>2025-06-16</v>
      </c>
      <c r="D963" s="2" t="s">
        <v>6556</v>
      </c>
      <c r="H963" s="10" t="s">
        <v>6556</v>
      </c>
      <c r="I963" s="2" t="s">
        <v>4172</v>
      </c>
      <c r="J963" s="26" t="str">
        <f t="array" ref="J963">IF(ISNA(XLOOKUP(I963,customers_clean!$A$2:$A$701,customers_clean!$A$2:$A$701, NA()) ),
   "❌ MISSING CUSTOMER", "✅")</f>
        <v>✅</v>
      </c>
      <c r="K963" s="2" t="str">
        <f t="array" ref="K963">XLOOKUP(I963,customers_clean!$A$2:$A$701,customers_clean!$C$2:$C$701)</f>
        <v> Ethan Garcia</v>
      </c>
      <c r="L963" s="10" t="str">
        <f t="array" ref="L963">XLOOKUP(I963,customers_clean!$A$2:$A$701,customers_clean!$D$2:$D$701)</f>
        <v>Ethan Garcia</v>
      </c>
      <c r="M963" s="2" t="str">
        <f t="array" ref="M963">XLOOKUP(I963,customers_clean!$A$2:$A$701,customers_clean!$I$2:$I$701)</f>
        <v>ethan.garcia@gmail.com</v>
      </c>
      <c r="N963" s="10" t="str">
        <f t="array" ref="N963">XLOOKUP(I963,customers_clean!$A$2:$A$701,customers_clean!$H$2:$H$701)</f>
        <v>ethan.garcia@gmail.com</v>
      </c>
      <c r="O963" s="9" t="str">
        <f>IFERROR(__xludf.DUMMYFUNCTION("IF(REGEXMATCH(TRIM(N963),""^[A-Za-z0-9._%+-]+@[A-Za-z0-9.-]+\.[A-Za-z]{2,}$""),""✅ Valid"",""❌ Invalid"")"),"✅ Valid")</f>
        <v>✅ Valid</v>
      </c>
      <c r="P963" s="2">
        <f t="array" ref="P963">XLOOKUP(I963,customers_clean!$A$2:$A$701,customers_clean!$K$2:$K$701)</f>
        <v>946621282</v>
      </c>
      <c r="Q963" s="10" t="str">
        <f t="array" ref="Q963">XLOOKUP(I963,customers_clean!$A$2:$A$701,customers_clean!$N$2:$N$701)</f>
        <v>946621282</v>
      </c>
      <c r="R963" s="9" t="str">
        <f t="array" ref="R963">XLOOKUP(I963,customers_clean!$A$2:$A$701,customers_clean!$Q$2:$Q$701)</f>
        <v>❌ INVALID</v>
      </c>
      <c r="S963" s="31" t="s">
        <v>671</v>
      </c>
      <c r="T963" s="2" t="s">
        <v>26</v>
      </c>
      <c r="U963" s="2" t="s">
        <v>176</v>
      </c>
      <c r="V963" s="2" t="s">
        <v>965</v>
      </c>
      <c r="W963" s="9" t="str">
        <f t="array" ref="W963">IF(ISNA(XLOOKUP(V963,products_master_corrected!$A$2:$A$151,products_master_corrected!$A$2:$A$151, NA())),
    "❌ MISSING SKU", "✅")</f>
        <v>✅</v>
      </c>
      <c r="X963" s="2" t="s">
        <v>966</v>
      </c>
      <c r="Y963" s="2" t="s">
        <v>967</v>
      </c>
      <c r="Z963" s="10" t="s">
        <v>248</v>
      </c>
      <c r="AA963" s="27">
        <v>5.0</v>
      </c>
      <c r="AB963" s="9" t="s">
        <v>8649</v>
      </c>
      <c r="AC963" s="28">
        <f t="array" ref="AC963">XLOOKUP(V963,products_master_corrected!$A$2:$A$151,products_master_corrected!$E$2:$E$151)</f>
        <v>74.59</v>
      </c>
      <c r="AD963" s="28">
        <f t="shared" si="108"/>
        <v>372.95</v>
      </c>
      <c r="AE963" s="28">
        <f t="array" ref="AE963">XLOOKUP(V963,products_master_corrected!$A$2:$A$151,products_master_corrected!$J$2:$J$151)</f>
        <v>86.99</v>
      </c>
      <c r="AF963" s="29">
        <f t="shared" si="109"/>
        <v>434.95</v>
      </c>
      <c r="AG963" s="32" t="s">
        <v>8656</v>
      </c>
      <c r="AH963" s="2" t="s">
        <v>66</v>
      </c>
      <c r="AI963" s="10" t="s">
        <v>66</v>
      </c>
      <c r="AJ963" s="2" t="s">
        <v>80</v>
      </c>
      <c r="AK963" s="10" t="s">
        <v>80</v>
      </c>
      <c r="AL963" s="2" t="s">
        <v>133</v>
      </c>
    </row>
    <row r="964" ht="15.75" customHeight="1">
      <c r="A964" s="2" t="s">
        <v>4301</v>
      </c>
      <c r="B964" s="12">
        <v>45376.95694444444</v>
      </c>
      <c r="C964" s="2" t="str">
        <f>IFERROR(__xludf.DUMMYFUNCTION("IF(ISNUMBER(B964),TEXT(B964,""yyyy-MM-dd""),REGEXREPLACE(REGEXREPLACE(TO_TEXT(B964),""[^0-9a-zA-Z]+"",""-""),""[^0-9]*$"",""""))"),"2024-03-25")</f>
        <v>2024-03-25</v>
      </c>
      <c r="D964" s="2" t="s">
        <v>8695</v>
      </c>
      <c r="H964" s="10" t="s">
        <v>8695</v>
      </c>
      <c r="I964" s="2" t="s">
        <v>1133</v>
      </c>
      <c r="J964" s="26" t="str">
        <f t="array" ref="J964">IF(ISNA(XLOOKUP(I964,customers_clean!$A$2:$A$701,customers_clean!$A$2:$A$701, NA()) ),
   "❌ MISSING CUSTOMER", "✅")</f>
        <v>✅</v>
      </c>
      <c r="K964" s="2" t="str">
        <f t="array" ref="K964">XLOOKUP(I964,customers_clean!$A$2:$A$701,customers_clean!$C$2:$C$701)</f>
        <v>Bella  Taylor</v>
      </c>
      <c r="L964" s="10" t="str">
        <f t="array" ref="L964">XLOOKUP(I964,customers_clean!$A$2:$A$701,customers_clean!$D$2:$D$701)</f>
        <v>Bella Taylor</v>
      </c>
      <c r="M964" s="2" t="str">
        <f t="array" ref="M964">XLOOKUP(I964,customers_clean!$A$2:$A$701,customers_clean!$I$2:$I$701)</f>
        <v>bella.taylor@yahoo.com</v>
      </c>
      <c r="N964" s="10" t="str">
        <f t="array" ref="N964">XLOOKUP(I964,customers_clean!$A$2:$A$701,customers_clean!$H$2:$H$701)</f>
        <v>bella.taylor@yahoo.com</v>
      </c>
      <c r="O964" s="9" t="str">
        <f>IFERROR(__xludf.DUMMYFUNCTION("IF(REGEXMATCH(TRIM(N964),""^[A-Za-z0-9._%+-]+@[A-Za-z0-9.-]+\.[A-Za-z]{2,}$""),""✅ Valid"",""❌ Invalid"")"),"✅ Valid")</f>
        <v>✅ Valid</v>
      </c>
      <c r="P964" s="2" t="str">
        <f t="array" ref="P964">XLOOKUP(I964,customers_clean!$A$2:$A$701,customers_clean!$K$2:$K$701)</f>
        <v>+1 037 650202</v>
      </c>
      <c r="Q964" s="10" t="str">
        <f t="array" ref="Q964">XLOOKUP(I964,customers_clean!$A$2:$A$701,customers_clean!$N$2:$N$701)</f>
        <v>037650202</v>
      </c>
      <c r="R964" s="9" t="str">
        <f t="array" ref="R964">XLOOKUP(I964,customers_clean!$A$2:$A$701,customers_clean!$Q$2:$Q$701)</f>
        <v>❌ INVALID</v>
      </c>
      <c r="S964" s="31" t="s">
        <v>671</v>
      </c>
      <c r="T964" s="2" t="s">
        <v>683</v>
      </c>
      <c r="U964" s="2" t="s">
        <v>116</v>
      </c>
      <c r="V964" s="2" t="s">
        <v>792</v>
      </c>
      <c r="W964" s="9" t="str">
        <f t="array" ref="W964">IF(ISNA(XLOOKUP(V964,products_master_corrected!$A$2:$A$151,products_master_corrected!$A$2:$A$151, NA())),
    "❌ MISSING SKU", "✅")</f>
        <v>✅</v>
      </c>
      <c r="X964" s="2" t="s">
        <v>768</v>
      </c>
      <c r="Y964" s="2" t="s">
        <v>742</v>
      </c>
      <c r="Z964" s="10" t="s">
        <v>355</v>
      </c>
      <c r="AA964" s="27">
        <v>1.0</v>
      </c>
      <c r="AB964" s="9" t="s">
        <v>8649</v>
      </c>
      <c r="AC964" s="28">
        <f t="array" ref="AC964">XLOOKUP(V964,products_master_corrected!$A$2:$A$151,products_master_corrected!$E$2:$E$151)</f>
        <v>20.12</v>
      </c>
      <c r="AD964" s="28">
        <f t="shared" si="108"/>
        <v>20.12</v>
      </c>
      <c r="AE964" s="28">
        <f t="array" ref="AE964">XLOOKUP(V964,products_master_corrected!$A$2:$A$151,products_master_corrected!$J$2:$J$151)</f>
        <v>23.47</v>
      </c>
      <c r="AF964" s="29">
        <f t="shared" si="109"/>
        <v>23.47</v>
      </c>
      <c r="AG964" s="32" t="s">
        <v>8656</v>
      </c>
      <c r="AH964" s="2" t="s">
        <v>526</v>
      </c>
      <c r="AI964" s="10" t="s">
        <v>49</v>
      </c>
      <c r="AJ964" s="2" t="s">
        <v>676</v>
      </c>
      <c r="AK964" s="10" t="s">
        <v>80</v>
      </c>
      <c r="AL964" s="2" t="s">
        <v>133</v>
      </c>
    </row>
    <row r="965" ht="15.75" customHeight="1">
      <c r="A965" s="2" t="s">
        <v>3709</v>
      </c>
      <c r="B965" s="12">
        <v>45635.0</v>
      </c>
      <c r="C965" s="2" t="str">
        <f>IFERROR(__xludf.DUMMYFUNCTION("IF(ISNUMBER(B965),TEXT(B965,""yyyy-MM-dd""),REGEXREPLACE(REGEXREPLACE(TO_TEXT(B965),""[^0-9a-zA-Z]+"",""-""),""[^0-9]*$"",""""))"),"2024-12-09")</f>
        <v>2024-12-09</v>
      </c>
      <c r="D965" s="2" t="s">
        <v>3710</v>
      </c>
      <c r="H965" s="10" t="s">
        <v>3710</v>
      </c>
      <c r="I965" s="2" t="s">
        <v>1133</v>
      </c>
      <c r="J965" s="26" t="str">
        <f t="array" ref="J965">IF(ISNA(XLOOKUP(I965,customers_clean!$A$2:$A$701,customers_clean!$A$2:$A$701, NA()) ),
   "❌ MISSING CUSTOMER", "✅")</f>
        <v>✅</v>
      </c>
      <c r="K965" s="2" t="str">
        <f t="array" ref="K965">XLOOKUP(I965,customers_clean!$A$2:$A$701,customers_clean!$C$2:$C$701)</f>
        <v>Bella  Taylor</v>
      </c>
      <c r="L965" s="10" t="str">
        <f t="array" ref="L965">XLOOKUP(I965,customers_clean!$A$2:$A$701,customers_clean!$D$2:$D$701)</f>
        <v>Bella Taylor</v>
      </c>
      <c r="M965" s="2" t="str">
        <f t="array" ref="M965">XLOOKUP(I965,customers_clean!$A$2:$A$701,customers_clean!$I$2:$I$701)</f>
        <v>bella.taylor@yahoo.com</v>
      </c>
      <c r="N965" s="10" t="str">
        <f t="array" ref="N965">XLOOKUP(I965,customers_clean!$A$2:$A$701,customers_clean!$H$2:$H$701)</f>
        <v>bella.taylor@yahoo.com</v>
      </c>
      <c r="O965" s="9" t="str">
        <f>IFERROR(__xludf.DUMMYFUNCTION("IF(REGEXMATCH(TRIM(N965),""^[A-Za-z0-9._%+-]+@[A-Za-z0-9.-]+\.[A-Za-z]{2,}$""),""✅ Valid"",""❌ Invalid"")"),"✅ Valid")</f>
        <v>✅ Valid</v>
      </c>
      <c r="P965" s="2" t="str">
        <f t="array" ref="P965">XLOOKUP(I965,customers_clean!$A$2:$A$701,customers_clean!$K$2:$K$701)</f>
        <v>+1 037 650202</v>
      </c>
      <c r="Q965" s="10" t="str">
        <f t="array" ref="Q965">XLOOKUP(I965,customers_clean!$A$2:$A$701,customers_clean!$N$2:$N$701)</f>
        <v>037650202</v>
      </c>
      <c r="R965" s="9" t="str">
        <f t="array" ref="R965">XLOOKUP(I965,customers_clean!$A$2:$A$701,customers_clean!$Q$2:$Q$701)</f>
        <v>❌ INVALID</v>
      </c>
      <c r="S965" s="31" t="s">
        <v>671</v>
      </c>
      <c r="T965" s="2" t="s">
        <v>223</v>
      </c>
      <c r="U965" s="2" t="s">
        <v>43</v>
      </c>
      <c r="V965" s="2" t="s">
        <v>2033</v>
      </c>
      <c r="W965" s="9" t="str">
        <f t="array" ref="W965">IF(ISNA(XLOOKUP(V965,products_master_corrected!$A$2:$A$151,products_master_corrected!$A$2:$A$151, NA())),
    "❌ MISSING SKU", "✅")</f>
        <v>✅</v>
      </c>
      <c r="X965" s="2" t="s">
        <v>2034</v>
      </c>
      <c r="Y965" s="2" t="s">
        <v>1016</v>
      </c>
      <c r="Z965" s="10" t="s">
        <v>355</v>
      </c>
      <c r="AA965" s="27">
        <v>5.0</v>
      </c>
      <c r="AB965" s="9" t="s">
        <v>8649</v>
      </c>
      <c r="AC965" s="28">
        <f t="array" ref="AC965">XLOOKUP(V965,products_master_corrected!$A$2:$A$151,products_master_corrected!$E$2:$E$151)</f>
        <v>938.62</v>
      </c>
      <c r="AD965" s="28">
        <f t="shared" si="108"/>
        <v>4693.1</v>
      </c>
      <c r="AE965" s="28">
        <f t="array" ref="AE965">XLOOKUP(V965,products_master_corrected!$A$2:$A$151,products_master_corrected!$J$2:$J$151)</f>
        <v>1094.71</v>
      </c>
      <c r="AF965" s="29">
        <f t="shared" si="109"/>
        <v>5473.55</v>
      </c>
      <c r="AG965" s="32" t="s">
        <v>8656</v>
      </c>
      <c r="AH965" s="2" t="s">
        <v>49</v>
      </c>
      <c r="AI965" s="10" t="s">
        <v>49</v>
      </c>
      <c r="AJ965" s="2" t="s">
        <v>1171</v>
      </c>
      <c r="AK965" s="10" t="s">
        <v>80</v>
      </c>
    </row>
    <row r="966" ht="15.75" customHeight="1">
      <c r="A966" s="2" t="s">
        <v>1131</v>
      </c>
      <c r="B966" s="12">
        <v>45737.0</v>
      </c>
      <c r="C966" s="2" t="str">
        <f>IFERROR(__xludf.DUMMYFUNCTION("IF(ISNUMBER(B966),TEXT(B966,""yyyy-MM-dd""),REGEXREPLACE(REGEXREPLACE(TO_TEXT(B966),""[^0-9a-zA-Z]+"",""-""),""[^0-9]*$"",""""))"),"2025-03-21")</f>
        <v>2025-03-21</v>
      </c>
      <c r="D966" s="2" t="s">
        <v>1132</v>
      </c>
      <c r="H966" s="10" t="s">
        <v>1132</v>
      </c>
      <c r="I966" s="2" t="s">
        <v>1133</v>
      </c>
      <c r="J966" s="26" t="str">
        <f t="array" ref="J966">IF(ISNA(XLOOKUP(I966,customers_clean!$A$2:$A$701,customers_clean!$A$2:$A$701, NA()) ),
   "❌ MISSING CUSTOMER", "✅")</f>
        <v>✅</v>
      </c>
      <c r="K966" s="2" t="str">
        <f t="array" ref="K966">XLOOKUP(I966,customers_clean!$A$2:$A$701,customers_clean!$C$2:$C$701)</f>
        <v>Bella  Taylor</v>
      </c>
      <c r="L966" s="10" t="str">
        <f t="array" ref="L966">XLOOKUP(I966,customers_clean!$A$2:$A$701,customers_clean!$D$2:$D$701)</f>
        <v>Bella Taylor</v>
      </c>
      <c r="M966" s="2" t="str">
        <f t="array" ref="M966">XLOOKUP(I966,customers_clean!$A$2:$A$701,customers_clean!$I$2:$I$701)</f>
        <v>bella.taylor@yahoo.com</v>
      </c>
      <c r="N966" s="10" t="str">
        <f t="array" ref="N966">XLOOKUP(I966,customers_clean!$A$2:$A$701,customers_clean!$H$2:$H$701)</f>
        <v>bella.taylor@yahoo.com</v>
      </c>
      <c r="O966" s="9" t="str">
        <f>IFERROR(__xludf.DUMMYFUNCTION("IF(REGEXMATCH(TRIM(N966),""^[A-Za-z0-9._%+-]+@[A-Za-z0-9.-]+\.[A-Za-z]{2,}$""),""✅ Valid"",""❌ Invalid"")"),"✅ Valid")</f>
        <v>✅ Valid</v>
      </c>
      <c r="P966" s="2" t="str">
        <f t="array" ref="P966">XLOOKUP(I966,customers_clean!$A$2:$A$701,customers_clean!$K$2:$K$701)</f>
        <v>+1 037 650202</v>
      </c>
      <c r="Q966" s="10" t="str">
        <f t="array" ref="Q966">XLOOKUP(I966,customers_clean!$A$2:$A$701,customers_clean!$N$2:$N$701)</f>
        <v>037650202</v>
      </c>
      <c r="R966" s="9" t="str">
        <f t="array" ref="R966">XLOOKUP(I966,customers_clean!$A$2:$A$701,customers_clean!$Q$2:$Q$701)</f>
        <v>❌ INVALID</v>
      </c>
      <c r="S966" s="31" t="s">
        <v>671</v>
      </c>
      <c r="T966" s="2" t="s">
        <v>223</v>
      </c>
      <c r="U966" s="2" t="s">
        <v>43</v>
      </c>
      <c r="V966" s="2" t="s">
        <v>1137</v>
      </c>
      <c r="W966" s="9" t="str">
        <f t="array" ref="W966">IF(ISNA(XLOOKUP(V966,products_master_corrected!$A$2:$A$151,products_master_corrected!$A$2:$A$151, NA())),
    "❌ MISSING SKU", "✅")</f>
        <v>✅</v>
      </c>
      <c r="X966" s="2" t="s">
        <v>1138</v>
      </c>
      <c r="Y966" s="2" t="s">
        <v>30</v>
      </c>
      <c r="Z966" s="10" t="s">
        <v>179</v>
      </c>
      <c r="AA966" s="27">
        <v>5.0</v>
      </c>
      <c r="AB966" s="9" t="s">
        <v>8649</v>
      </c>
      <c r="AC966" s="28">
        <f t="array" ref="AC966">XLOOKUP(V966,products_master_corrected!$A$2:$A$151,products_master_corrected!$E$2:$E$151)</f>
        <v>305.43</v>
      </c>
      <c r="AD966" s="28">
        <f t="shared" si="108"/>
        <v>1527.15</v>
      </c>
      <c r="AE966" s="28">
        <f t="array" ref="AE966">XLOOKUP(V966,products_master_corrected!$A$2:$A$151,products_master_corrected!$J$2:$J$151)</f>
        <v>356.22</v>
      </c>
      <c r="AF966" s="29">
        <f t="shared" si="109"/>
        <v>1781.1</v>
      </c>
      <c r="AG966" s="32" t="s">
        <v>8656</v>
      </c>
      <c r="AH966" s="2" t="s">
        <v>181</v>
      </c>
      <c r="AI966" s="10" t="s">
        <v>181</v>
      </c>
      <c r="AJ966" s="2" t="s">
        <v>34</v>
      </c>
      <c r="AK966" s="10" t="s">
        <v>80</v>
      </c>
    </row>
    <row r="967" ht="15.75" customHeight="1">
      <c r="A967" s="2" t="s">
        <v>4552</v>
      </c>
      <c r="B967" s="12" t="s">
        <v>4553</v>
      </c>
      <c r="C967" s="2" t="str">
        <f>IFERROR(__xludf.DUMMYFUNCTION("IF(ISNUMBER(B967),TEXT(B967,""yyyy-MM-dd""),REGEXREPLACE(REGEXREPLACE(TO_TEXT(B967),""[^0-9a-zA-Z]+"",""-""),""[^0-9]*$"",""""))"),"08-16-2024-22-34")</f>
        <v>08-16-2024-22-34</v>
      </c>
      <c r="D967" s="2" t="str">
        <f>TEXT(C967,"yyyy-MM-dd")</f>
        <v>08-16-2024-22-34</v>
      </c>
      <c r="E967" s="12" t="str">
        <f>IFERROR(__xludf.DUMMYFUNCTION("REGEXEXTRACT(D967,""^\d{2}-\d{2}-\d{4}"")"),"08-16-2024")</f>
        <v>08-16-2024</v>
      </c>
      <c r="F967" s="2" t="str">
        <f>TEXT(E967,"yyyy-MM-dd")</f>
        <v>08-16-2024</v>
      </c>
      <c r="G967" s="2" t="s">
        <v>8776</v>
      </c>
      <c r="H967" s="10" t="s">
        <v>8776</v>
      </c>
      <c r="I967" s="2" t="s">
        <v>1059</v>
      </c>
      <c r="J967" s="26" t="str">
        <f t="array" ref="J967">IF(ISNA(XLOOKUP(I967,customers_clean!$A$2:$A$701,customers_clean!$A$2:$A$701, NA()) ),
   "❌ MISSING CUSTOMER", "✅")</f>
        <v>✅</v>
      </c>
      <c r="K967" s="2" t="str">
        <f t="array" ref="K967">XLOOKUP(I967,customers_clean!$A$2:$A$701,customers_clean!$C$2:$C$701)</f>
        <v>Zack Novak </v>
      </c>
      <c r="L967" s="10" t="str">
        <f t="array" ref="L967">XLOOKUP(I967,customers_clean!$A$2:$A$701,customers_clean!$D$2:$D$701)</f>
        <v>Zack Novak</v>
      </c>
      <c r="M967" s="2" t="str">
        <f t="array" ref="M967">XLOOKUP(I967,customers_clean!$A$2:$A$701,customers_clean!$I$2:$I$701)</f>
        <v>zack.novak@company.co.uk</v>
      </c>
      <c r="N967" s="10" t="str">
        <f t="array" ref="N967">XLOOKUP(I967,customers_clean!$A$2:$A$701,customers_clean!$H$2:$H$701)</f>
        <v>zack.novak@company.co.uk</v>
      </c>
      <c r="O967" s="9" t="str">
        <f>IFERROR(__xludf.DUMMYFUNCTION("IF(REGEXMATCH(TRIM(N967),""^[A-Za-z0-9._%+-]+@[A-Za-z0-9.-]+\.[A-Za-z]{2,}$""),""✅ Valid"",""❌ Invalid"")"),"✅ Valid")</f>
        <v>✅ Valid</v>
      </c>
      <c r="P967" s="2" t="str">
        <f t="array" ref="P967">XLOOKUP(I967,customers_clean!$A$2:$A$701,customers_clean!$K$2:$K$701)</f>
        <v>44 91-50-18-91-09</v>
      </c>
      <c r="Q967" s="10" t="str">
        <f t="array" ref="Q967">XLOOKUP(I967,customers_clean!$A$2:$A$701,customers_clean!$N$2:$N$701)</f>
        <v>9150189109</v>
      </c>
      <c r="R967" s="9" t="str">
        <f t="array" ref="R967">XLOOKUP(I967,customers_clean!$A$2:$A$701,customers_clean!$Q$2:$Q$701)</f>
        <v>❌ INVALID</v>
      </c>
      <c r="S967" s="10" t="s">
        <v>448</v>
      </c>
      <c r="T967" s="2" t="s">
        <v>4554</v>
      </c>
      <c r="U967" s="2" t="s">
        <v>176</v>
      </c>
      <c r="V967" s="2" t="s">
        <v>652</v>
      </c>
      <c r="W967" s="9" t="str">
        <f t="array" ref="W967">IF(ISNA(XLOOKUP(V967,products_master_corrected!$A$2:$A$151,products_master_corrected!$A$2:$A$151, NA())),
    "❌ MISSING SKU", "✅")</f>
        <v>✅</v>
      </c>
      <c r="X967" s="2" t="s">
        <v>8673</v>
      </c>
      <c r="Y967" s="2" t="s">
        <v>179</v>
      </c>
      <c r="Z967" s="10" t="s">
        <v>179</v>
      </c>
      <c r="AA967" s="27">
        <v>5.0</v>
      </c>
      <c r="AB967" s="9" t="s">
        <v>8649</v>
      </c>
      <c r="AC967" s="28">
        <f t="array" ref="AC967">XLOOKUP(V967,products_master_corrected!$A$2:$A$151,products_master_corrected!$E$2:$E$151)</f>
        <v>240.24</v>
      </c>
      <c r="AD967" s="28">
        <f t="shared" si="108"/>
        <v>1201.2</v>
      </c>
      <c r="AE967" s="28">
        <f t="array" ref="AE967">XLOOKUP(V967,products_master_corrected!$A$2:$A$151,products_master_corrected!$M$2:$M$151)</f>
        <v>290.59</v>
      </c>
      <c r="AF967" s="29">
        <f t="shared" si="109"/>
        <v>1452.95</v>
      </c>
      <c r="AG967" s="30" t="s">
        <v>48</v>
      </c>
      <c r="AH967" s="2" t="s">
        <v>4556</v>
      </c>
      <c r="AI967" s="10" t="s">
        <v>49</v>
      </c>
      <c r="AJ967" s="2" t="s">
        <v>442</v>
      </c>
      <c r="AK967" s="10" t="s">
        <v>80</v>
      </c>
      <c r="AL967" s="2" t="s">
        <v>81</v>
      </c>
    </row>
    <row r="968" ht="15.75" customHeight="1">
      <c r="A968" s="2" t="s">
        <v>1057</v>
      </c>
      <c r="B968" s="12">
        <v>45085.90347222222</v>
      </c>
      <c r="C968" s="2" t="str">
        <f>IFERROR(__xludf.DUMMYFUNCTION("IF(ISNUMBER(B968),TEXT(B968,""yyyy-MM-dd""),REGEXREPLACE(REGEXREPLACE(TO_TEXT(B968),""[^0-9a-zA-Z]+"",""-""),""[^0-9]*$"",""""))"),"2023-06-08")</f>
        <v>2023-06-08</v>
      </c>
      <c r="D968" s="2" t="s">
        <v>8990</v>
      </c>
      <c r="H968" s="10" t="s">
        <v>8990</v>
      </c>
      <c r="I968" s="2" t="s">
        <v>1059</v>
      </c>
      <c r="J968" s="26" t="str">
        <f t="array" ref="J968">IF(ISNA(XLOOKUP(I968,customers_clean!$A$2:$A$701,customers_clean!$A$2:$A$701, NA()) ),
   "❌ MISSING CUSTOMER", "✅")</f>
        <v>✅</v>
      </c>
      <c r="K968" s="2" t="str">
        <f t="array" ref="K968">XLOOKUP(I968,customers_clean!$A$2:$A$701,customers_clean!$C$2:$C$701)</f>
        <v>Zack Novak </v>
      </c>
      <c r="L968" s="10" t="str">
        <f t="array" ref="L968">XLOOKUP(I968,customers_clean!$A$2:$A$701,customers_clean!$D$2:$D$701)</f>
        <v>Zack Novak</v>
      </c>
      <c r="M968" s="2" t="str">
        <f t="array" ref="M968">XLOOKUP(I968,customers_clean!$A$2:$A$701,customers_clean!$I$2:$I$701)</f>
        <v>zack.novak@company.co.uk</v>
      </c>
      <c r="N968" s="10" t="str">
        <f t="array" ref="N968">XLOOKUP(I968,customers_clean!$A$2:$A$701,customers_clean!$H$2:$H$701)</f>
        <v>zack.novak@company.co.uk</v>
      </c>
      <c r="O968" s="9" t="str">
        <f>IFERROR(__xludf.DUMMYFUNCTION("IF(REGEXMATCH(TRIM(N968),""^[A-Za-z0-9._%+-]+@[A-Za-z0-9.-]+\.[A-Za-z]{2,}$""),""✅ Valid"",""❌ Invalid"")"),"✅ Valid")</f>
        <v>✅ Valid</v>
      </c>
      <c r="P968" s="2" t="str">
        <f t="array" ref="P968">XLOOKUP(I968,customers_clean!$A$2:$A$701,customers_clean!$K$2:$K$701)</f>
        <v>44 91-50-18-91-09</v>
      </c>
      <c r="Q968" s="10" t="str">
        <f t="array" ref="Q968">XLOOKUP(I968,customers_clean!$A$2:$A$701,customers_clean!$N$2:$N$701)</f>
        <v>9150189109</v>
      </c>
      <c r="R968" s="9" t="str">
        <f t="array" ref="R968">XLOOKUP(I968,customers_clean!$A$2:$A$701,customers_clean!$Q$2:$Q$701)</f>
        <v>❌ INVALID</v>
      </c>
      <c r="S968" s="10" t="s">
        <v>448</v>
      </c>
      <c r="T968" s="2" t="s">
        <v>59</v>
      </c>
      <c r="U968" s="2" t="s">
        <v>75</v>
      </c>
      <c r="V968" s="2" t="s">
        <v>1063</v>
      </c>
      <c r="W968" s="9" t="str">
        <f t="array" ref="W968">IF(ISNA(XLOOKUP(V968,products_master_corrected!$A$2:$A$151,products_master_corrected!$A$2:$A$151, NA())),
    "❌ MISSING SKU", "✅")</f>
        <v>✅</v>
      </c>
      <c r="X968" s="2" t="s">
        <v>291</v>
      </c>
      <c r="Y968" s="2" t="s">
        <v>167</v>
      </c>
      <c r="Z968" s="10" t="str">
        <f t="shared" ref="Z968:Z969" si="110">PROPER(TRIM(Y968))</f>
        <v>Monitors</v>
      </c>
      <c r="AA968" s="27">
        <v>5.0</v>
      </c>
      <c r="AB968" s="9" t="s">
        <v>8649</v>
      </c>
      <c r="AC968" s="28">
        <f t="array" ref="AC968">XLOOKUP(V968,products_master_corrected!$A$2:$A$151,products_master_corrected!$E$2:$E$151)</f>
        <v>136.55</v>
      </c>
      <c r="AD968" s="28">
        <f t="shared" si="108"/>
        <v>682.75</v>
      </c>
      <c r="AE968" s="28">
        <f t="array" ref="AE968">XLOOKUP(V968,products_master_corrected!$A$2:$A$151,products_master_corrected!$M$2:$M$151)</f>
        <v>165.17</v>
      </c>
      <c r="AF968" s="29">
        <f t="shared" si="109"/>
        <v>825.85</v>
      </c>
      <c r="AG968" s="30" t="s">
        <v>48</v>
      </c>
      <c r="AH968" s="2" t="s">
        <v>49</v>
      </c>
      <c r="AI968" s="10" t="s">
        <v>49</v>
      </c>
      <c r="AJ968" s="2" t="s">
        <v>442</v>
      </c>
      <c r="AK968" s="10" t="s">
        <v>80</v>
      </c>
      <c r="AL968" s="2" t="s">
        <v>51</v>
      </c>
    </row>
    <row r="969" ht="15.75" customHeight="1">
      <c r="A969" s="2" t="s">
        <v>5473</v>
      </c>
      <c r="B969" s="12">
        <v>45838.0</v>
      </c>
      <c r="C969" s="2" t="str">
        <f>IFERROR(__xludf.DUMMYFUNCTION("IF(ISNUMBER(B969),TEXT(B969,""yyyy-MM-dd""),REGEXREPLACE(REGEXREPLACE(TO_TEXT(B969),""[^0-9a-zA-Z]+"",""-""),""[^0-9]*$"",""""))"),"2025-06-30")</f>
        <v>2025-06-30</v>
      </c>
      <c r="D969" s="2" t="s">
        <v>1103</v>
      </c>
      <c r="H969" s="10" t="s">
        <v>1103</v>
      </c>
      <c r="I969" s="2" t="s">
        <v>2669</v>
      </c>
      <c r="J969" s="26" t="str">
        <f t="array" ref="J969">IF(ISNA(XLOOKUP(I969,customers_clean!$A$2:$A$701,customers_clean!$A$2:$A$701, NA()) ),
   "❌ MISSING CUSTOMER", "✅")</f>
        <v>✅</v>
      </c>
      <c r="K969" s="2" t="str">
        <f t="array" ref="K969">XLOOKUP(I969,customers_clean!$A$2:$A$701,customers_clean!$C$2:$C$701)</f>
        <v> Yara Rossi</v>
      </c>
      <c r="L969" s="10" t="str">
        <f t="array" ref="L969">XLOOKUP(I969,customers_clean!$A$2:$A$701,customers_clean!$D$2:$D$701)</f>
        <v>Yara Rossi</v>
      </c>
      <c r="M969" s="2" t="str">
        <f t="array" ref="M969">XLOOKUP(I969,customers_clean!$A$2:$A$701,customers_clean!$I$2:$I$701)</f>
        <v>yara.rossi@company.co.uk</v>
      </c>
      <c r="N969" s="10" t="str">
        <f t="array" ref="N969">XLOOKUP(I969,customers_clean!$A$2:$A$701,customers_clean!$H$2:$H$701)</f>
        <v>yara.rossi@company.co.uk</v>
      </c>
      <c r="O969" s="9" t="str">
        <f>IFERROR(__xludf.DUMMYFUNCTION("IF(REGEXMATCH(TRIM(N969),""^[A-Za-z0-9._%+-]+@[A-Za-z0-9.-]+\.[A-Za-z]{2,}$""),""✅ Valid"",""❌ Invalid"")"),"✅ Valid")</f>
        <v>✅ Valid</v>
      </c>
      <c r="P969" s="2" t="str">
        <f t="array" ref="P969">XLOOKUP(I969,customers_clean!$A$2:$A$701,customers_clean!$K$2:$K$701)</f>
        <v>+1 219 952 912 12-</v>
      </c>
      <c r="Q969" s="10" t="str">
        <f t="array" ref="Q969">XLOOKUP(I969,customers_clean!$A$2:$A$701,customers_clean!$N$2:$N$701)</f>
        <v>21995291212</v>
      </c>
      <c r="R969" s="9" t="str">
        <f t="array" ref="R969">XLOOKUP(I969,customers_clean!$A$2:$A$701,customers_clean!$Q$2:$Q$701)</f>
        <v>❌ INVALID</v>
      </c>
      <c r="S969" s="31" t="s">
        <v>671</v>
      </c>
      <c r="T969" s="2" t="s">
        <v>223</v>
      </c>
      <c r="U969" s="2" t="s">
        <v>480</v>
      </c>
      <c r="V969" s="2" t="s">
        <v>565</v>
      </c>
      <c r="W969" s="9" t="str">
        <f t="array" ref="W969">IF(ISNA(XLOOKUP(V969,products_master_corrected!$A$2:$A$151,products_master_corrected!$A$2:$A$151, NA())),
    "❌ MISSING SKU", "✅")</f>
        <v>✅</v>
      </c>
      <c r="X969" s="2" t="s">
        <v>566</v>
      </c>
      <c r="Y969" s="2" t="s">
        <v>167</v>
      </c>
      <c r="Z969" s="10" t="str">
        <f t="shared" si="110"/>
        <v>Monitors</v>
      </c>
      <c r="AA969" s="27"/>
      <c r="AB969" s="9" t="s">
        <v>8677</v>
      </c>
      <c r="AC969" s="34"/>
      <c r="AD969" s="34"/>
      <c r="AE969" s="34"/>
      <c r="AF969" s="35"/>
      <c r="AG969" s="36" t="s">
        <v>32</v>
      </c>
      <c r="AH969" s="2" t="s">
        <v>143</v>
      </c>
      <c r="AI969" s="10" t="s">
        <v>143</v>
      </c>
      <c r="AJ969" s="2" t="s">
        <v>306</v>
      </c>
      <c r="AK969" s="10" t="s">
        <v>192</v>
      </c>
    </row>
    <row r="970" ht="15.75" customHeight="1">
      <c r="A970" s="2" t="s">
        <v>4590</v>
      </c>
      <c r="B970" s="12">
        <v>45790.74722222222</v>
      </c>
      <c r="C970" s="2" t="str">
        <f>IFERROR(__xludf.DUMMYFUNCTION("IF(ISNUMBER(B970),TEXT(B970,""yyyy-MM-dd""),REGEXREPLACE(REGEXREPLACE(TO_TEXT(B970),""[^0-9a-zA-Z]+"",""-""),""[^0-9]*$"",""""))"),"2025-05-13")</f>
        <v>2025-05-13</v>
      </c>
      <c r="D970" s="2" t="s">
        <v>8951</v>
      </c>
      <c r="H970" s="10" t="s">
        <v>8951</v>
      </c>
      <c r="I970" s="2" t="s">
        <v>2669</v>
      </c>
      <c r="J970" s="26" t="str">
        <f t="array" ref="J970">IF(ISNA(XLOOKUP(I970,customers_clean!$A$2:$A$701,customers_clean!$A$2:$A$701, NA()) ),
   "❌ MISSING CUSTOMER", "✅")</f>
        <v>✅</v>
      </c>
      <c r="K970" s="2" t="str">
        <f t="array" ref="K970">XLOOKUP(I970,customers_clean!$A$2:$A$701,customers_clean!$C$2:$C$701)</f>
        <v> Yara Rossi</v>
      </c>
      <c r="L970" s="10" t="str">
        <f t="array" ref="L970">XLOOKUP(I970,customers_clean!$A$2:$A$701,customers_clean!$D$2:$D$701)</f>
        <v>Yara Rossi</v>
      </c>
      <c r="M970" s="2" t="str">
        <f t="array" ref="M970">XLOOKUP(I970,customers_clean!$A$2:$A$701,customers_clean!$I$2:$I$701)</f>
        <v>yara.rossi@company.co.uk</v>
      </c>
      <c r="N970" s="10" t="str">
        <f t="array" ref="N970">XLOOKUP(I970,customers_clean!$A$2:$A$701,customers_clean!$H$2:$H$701)</f>
        <v>yara.rossi@company.co.uk</v>
      </c>
      <c r="O970" s="9" t="str">
        <f>IFERROR(__xludf.DUMMYFUNCTION("IF(REGEXMATCH(TRIM(N970),""^[A-Za-z0-9._%+-]+@[A-Za-z0-9.-]+\.[A-Za-z]{2,}$""),""✅ Valid"",""❌ Invalid"")"),"✅ Valid")</f>
        <v>✅ Valid</v>
      </c>
      <c r="P970" s="2" t="str">
        <f t="array" ref="P970">XLOOKUP(I970,customers_clean!$A$2:$A$701,customers_clean!$K$2:$K$701)</f>
        <v>+1 219 952 912 12-</v>
      </c>
      <c r="Q970" s="10" t="str">
        <f t="array" ref="Q970">XLOOKUP(I970,customers_clean!$A$2:$A$701,customers_clean!$N$2:$N$701)</f>
        <v>21995291212</v>
      </c>
      <c r="R970" s="9" t="str">
        <f t="array" ref="R970">XLOOKUP(I970,customers_clean!$A$2:$A$701,customers_clean!$Q$2:$Q$701)</f>
        <v>❌ INVALID</v>
      </c>
      <c r="S970" s="31" t="s">
        <v>671</v>
      </c>
      <c r="T970" s="2" t="s">
        <v>42</v>
      </c>
      <c r="U970" s="2" t="s">
        <v>1423</v>
      </c>
      <c r="V970" s="2" t="s">
        <v>2688</v>
      </c>
      <c r="W970" s="9" t="str">
        <f t="array" ref="W970">IF(ISNA(XLOOKUP(V970,products_master_corrected!$A$2:$A$151,products_master_corrected!$A$2:$A$151, NA())),
    "❌ MISSING SKU", "✅")</f>
        <v>✅</v>
      </c>
      <c r="X970" s="2" t="s">
        <v>502</v>
      </c>
      <c r="Y970" s="2" t="s">
        <v>179</v>
      </c>
      <c r="Z970" s="10" t="s">
        <v>179</v>
      </c>
      <c r="AA970" s="27">
        <v>2.0</v>
      </c>
      <c r="AB970" s="9" t="s">
        <v>8649</v>
      </c>
      <c r="AC970" s="28">
        <f t="array" ref="AC970">XLOOKUP(V970,products_master_corrected!$A$2:$A$151,products_master_corrected!$E$2:$E$151)</f>
        <v>985.77</v>
      </c>
      <c r="AD970" s="28">
        <f t="shared" ref="AD970:AD971" si="111">AA970*AC970</f>
        <v>1971.54</v>
      </c>
      <c r="AE970" s="28">
        <f t="array" ref="AE970">XLOOKUP(V970,products_master_corrected!$A$2:$A$151,products_master_corrected!$J$2:$J$151)</f>
        <v>1149.7</v>
      </c>
      <c r="AF970" s="29">
        <f t="shared" ref="AF970:AF971" si="112">AA970*AE970</f>
        <v>2299.4</v>
      </c>
      <c r="AG970" s="32" t="s">
        <v>8656</v>
      </c>
      <c r="AH970" s="2" t="s">
        <v>181</v>
      </c>
      <c r="AI970" s="10" t="s">
        <v>181</v>
      </c>
      <c r="AJ970" s="2" t="s">
        <v>442</v>
      </c>
      <c r="AK970" s="10" t="s">
        <v>80</v>
      </c>
      <c r="AL970" s="2" t="s">
        <v>81</v>
      </c>
    </row>
    <row r="971" ht="15.75" customHeight="1">
      <c r="A971" s="2" t="s">
        <v>2667</v>
      </c>
      <c r="B971" s="12">
        <v>45152.0</v>
      </c>
      <c r="C971" s="2" t="str">
        <f>IFERROR(__xludf.DUMMYFUNCTION("IF(ISNUMBER(B971),TEXT(B971,""yyyy-MM-dd""),REGEXREPLACE(REGEXREPLACE(TO_TEXT(B971),""[^0-9a-zA-Z]+"",""-""),""[^0-9]*$"",""""))"),"2023-08-14")</f>
        <v>2023-08-14</v>
      </c>
      <c r="D971" s="2" t="s">
        <v>8991</v>
      </c>
      <c r="H971" s="10" t="s">
        <v>8991</v>
      </c>
      <c r="I971" s="2" t="s">
        <v>2669</v>
      </c>
      <c r="J971" s="26" t="str">
        <f t="array" ref="J971">IF(ISNA(XLOOKUP(I971,customers_clean!$A$2:$A$701,customers_clean!$A$2:$A$701, NA()) ),
   "❌ MISSING CUSTOMER", "✅")</f>
        <v>✅</v>
      </c>
      <c r="K971" s="2" t="str">
        <f t="array" ref="K971">XLOOKUP(I971,customers_clean!$A$2:$A$701,customers_clean!$C$2:$C$701)</f>
        <v> Yara Rossi</v>
      </c>
      <c r="L971" s="10" t="str">
        <f t="array" ref="L971">XLOOKUP(I971,customers_clean!$A$2:$A$701,customers_clean!$D$2:$D$701)</f>
        <v>Yara Rossi</v>
      </c>
      <c r="M971" s="2" t="str">
        <f t="array" ref="M971">XLOOKUP(I971,customers_clean!$A$2:$A$701,customers_clean!$I$2:$I$701)</f>
        <v>yara.rossi@company.co.uk</v>
      </c>
      <c r="N971" s="10" t="str">
        <f t="array" ref="N971">XLOOKUP(I971,customers_clean!$A$2:$A$701,customers_clean!$H$2:$H$701)</f>
        <v>yara.rossi@company.co.uk</v>
      </c>
      <c r="O971" s="9" t="str">
        <f>IFERROR(__xludf.DUMMYFUNCTION("IF(REGEXMATCH(TRIM(N971),""^[A-Za-z0-9._%+-]+@[A-Za-z0-9.-]+\.[A-Za-z]{2,}$""),""✅ Valid"",""❌ Invalid"")"),"✅ Valid")</f>
        <v>✅ Valid</v>
      </c>
      <c r="P971" s="2" t="str">
        <f t="array" ref="P971">XLOOKUP(I971,customers_clean!$A$2:$A$701,customers_clean!$K$2:$K$701)</f>
        <v>+1 219 952 912 12-</v>
      </c>
      <c r="Q971" s="10" t="str">
        <f t="array" ref="Q971">XLOOKUP(I971,customers_clean!$A$2:$A$701,customers_clean!$N$2:$N$701)</f>
        <v>21995291212</v>
      </c>
      <c r="R971" s="9" t="str">
        <f t="array" ref="R971">XLOOKUP(I971,customers_clean!$A$2:$A$701,customers_clean!$Q$2:$Q$701)</f>
        <v>❌ INVALID</v>
      </c>
      <c r="S971" s="31" t="s">
        <v>671</v>
      </c>
      <c r="T971" s="2" t="s">
        <v>2672</v>
      </c>
      <c r="U971" s="2" t="s">
        <v>1245</v>
      </c>
      <c r="V971" s="2" t="s">
        <v>439</v>
      </c>
      <c r="W971" s="9" t="str">
        <f t="array" ref="W971">IF(ISNA(XLOOKUP(V971,products_master_corrected!$A$2:$A$151,products_master_corrected!$A$2:$A$151, NA())),
    "❌ MISSING SKU", "✅")</f>
        <v>✅</v>
      </c>
      <c r="X971" s="2" t="s">
        <v>440</v>
      </c>
      <c r="Y971" s="2" t="s">
        <v>63</v>
      </c>
      <c r="Z971" s="10" t="s">
        <v>63</v>
      </c>
      <c r="AA971" s="27">
        <v>5.0</v>
      </c>
      <c r="AB971" s="9" t="s">
        <v>8649</v>
      </c>
      <c r="AC971" s="28">
        <f t="array" ref="AC971">XLOOKUP(V971,products_master_corrected!$A$2:$A$151,products_master_corrected!$E$2:$E$151)</f>
        <v>70.84</v>
      </c>
      <c r="AD971" s="28">
        <f t="shared" si="111"/>
        <v>354.2</v>
      </c>
      <c r="AE971" s="28">
        <f t="array" ref="AE971">XLOOKUP(V971,products_master_corrected!$A$2:$A$151,products_master_corrected!$J$2:$J$151)</f>
        <v>82.62</v>
      </c>
      <c r="AF971" s="29">
        <f t="shared" si="112"/>
        <v>413.1</v>
      </c>
      <c r="AG971" s="32" t="s">
        <v>8656</v>
      </c>
      <c r="AH971" s="2" t="s">
        <v>505</v>
      </c>
      <c r="AI971" s="10" t="s">
        <v>181</v>
      </c>
      <c r="AJ971" s="2" t="s">
        <v>294</v>
      </c>
      <c r="AK971" s="10" t="s">
        <v>80</v>
      </c>
      <c r="AL971" s="2" t="s">
        <v>133</v>
      </c>
    </row>
    <row r="972" ht="15.75" customHeight="1">
      <c r="A972" s="2" t="s">
        <v>3602</v>
      </c>
      <c r="B972" s="12">
        <v>45663.81458333333</v>
      </c>
      <c r="C972" s="2" t="str">
        <f>IFERROR(__xludf.DUMMYFUNCTION("IF(ISNUMBER(B972),TEXT(B972,""yyyy-MM-dd""),REGEXREPLACE(REGEXREPLACE(TO_TEXT(B972),""[^0-9a-zA-Z]+"",""-""),""[^0-9]*$"",""""))"),"2025-01-06")</f>
        <v>2025-01-06</v>
      </c>
      <c r="D972" s="2" t="s">
        <v>8281</v>
      </c>
      <c r="H972" s="10" t="s">
        <v>8281</v>
      </c>
      <c r="I972" s="2" t="s">
        <v>2669</v>
      </c>
      <c r="J972" s="26" t="str">
        <f t="array" ref="J972">IF(ISNA(XLOOKUP(I972,customers_clean!$A$2:$A$701,customers_clean!$A$2:$A$701, NA()) ),
   "❌ MISSING CUSTOMER", "✅")</f>
        <v>✅</v>
      </c>
      <c r="K972" s="2" t="str">
        <f t="array" ref="K972">XLOOKUP(I972,customers_clean!$A$2:$A$701,customers_clean!$C$2:$C$701)</f>
        <v> Yara Rossi</v>
      </c>
      <c r="L972" s="10" t="str">
        <f t="array" ref="L972">XLOOKUP(I972,customers_clean!$A$2:$A$701,customers_clean!$D$2:$D$701)</f>
        <v>Yara Rossi</v>
      </c>
      <c r="M972" s="2" t="str">
        <f t="array" ref="M972">XLOOKUP(I972,customers_clean!$A$2:$A$701,customers_clean!$I$2:$I$701)</f>
        <v>yara.rossi@company.co.uk</v>
      </c>
      <c r="N972" s="10" t="str">
        <f t="array" ref="N972">XLOOKUP(I972,customers_clean!$A$2:$A$701,customers_clean!$H$2:$H$701)</f>
        <v>yara.rossi@company.co.uk</v>
      </c>
      <c r="O972" s="9" t="str">
        <f>IFERROR(__xludf.DUMMYFUNCTION("IF(REGEXMATCH(TRIM(N972),""^[A-Za-z0-9._%+-]+@[A-Za-z0-9.-]+\.[A-Za-z]{2,}$""),""✅ Valid"",""❌ Invalid"")"),"✅ Valid")</f>
        <v>✅ Valid</v>
      </c>
      <c r="P972" s="2" t="str">
        <f t="array" ref="P972">XLOOKUP(I972,customers_clean!$A$2:$A$701,customers_clean!$K$2:$K$701)</f>
        <v>+1 219 952 912 12-</v>
      </c>
      <c r="Q972" s="10" t="str">
        <f t="array" ref="Q972">XLOOKUP(I972,customers_clean!$A$2:$A$701,customers_clean!$N$2:$N$701)</f>
        <v>21995291212</v>
      </c>
      <c r="R972" s="9" t="str">
        <f t="array" ref="R972">XLOOKUP(I972,customers_clean!$A$2:$A$701,customers_clean!$Q$2:$Q$701)</f>
        <v>❌ INVALID</v>
      </c>
      <c r="S972" s="31" t="s">
        <v>671</v>
      </c>
      <c r="T972" s="2" t="s">
        <v>234</v>
      </c>
      <c r="U972" s="2" t="s">
        <v>43</v>
      </c>
      <c r="V972" s="2" t="s">
        <v>2181</v>
      </c>
      <c r="W972" s="9" t="str">
        <f t="array" ref="W972">IF(ISNA(XLOOKUP(V972,products_master_corrected!$A$2:$A$151,products_master_corrected!$A$2:$A$151, NA())),
    "❌ MISSING SKU", "✅")</f>
        <v>✅</v>
      </c>
      <c r="X972" s="2" t="s">
        <v>2182</v>
      </c>
      <c r="Y972" s="2" t="s">
        <v>179</v>
      </c>
      <c r="Z972" s="10" t="s">
        <v>179</v>
      </c>
      <c r="AA972" s="27"/>
      <c r="AB972" s="9" t="s">
        <v>8677</v>
      </c>
      <c r="AC972" s="34"/>
      <c r="AD972" s="34"/>
      <c r="AE972" s="34"/>
      <c r="AF972" s="35"/>
      <c r="AG972" s="36" t="s">
        <v>65</v>
      </c>
      <c r="AH972" s="2" t="s">
        <v>49</v>
      </c>
      <c r="AI972" s="10" t="s">
        <v>49</v>
      </c>
      <c r="AJ972" s="2" t="s">
        <v>3604</v>
      </c>
      <c r="AK972" s="10" t="s">
        <v>818</v>
      </c>
    </row>
    <row r="973" ht="15.75" customHeight="1">
      <c r="A973" s="2" t="s">
        <v>3734</v>
      </c>
      <c r="B973" s="12">
        <v>44982.0</v>
      </c>
      <c r="C973" s="2" t="str">
        <f>IFERROR(__xludf.DUMMYFUNCTION("IF(ISNUMBER(B973),TEXT(B973,""yyyy-MM-dd""),REGEXREPLACE(REGEXREPLACE(TO_TEXT(B973),""[^0-9a-zA-Z]+"",""-""),""[^0-9]*$"",""""))"),"2023-02-25")</f>
        <v>2023-02-25</v>
      </c>
      <c r="D973" s="2" t="s">
        <v>7711</v>
      </c>
      <c r="H973" s="10" t="s">
        <v>7711</v>
      </c>
      <c r="I973" s="2" t="s">
        <v>3736</v>
      </c>
      <c r="J973" s="26" t="str">
        <f t="array" ref="J973">IF(ISNA(XLOOKUP(I973,customers_clean!$A$2:$A$701,customers_clean!$A$2:$A$701, NA()) ),
   "❌ MISSING CUSTOMER", "✅")</f>
        <v>✅</v>
      </c>
      <c r="K973" s="2" t="str">
        <f t="array" ref="K973">XLOOKUP(I973,customers_clean!$A$2:$A$701,customers_clean!$C$2:$C$701)</f>
        <v>Omar Noawk</v>
      </c>
      <c r="L973" s="10" t="str">
        <f t="array" ref="L973">XLOOKUP(I973,customers_clean!$A$2:$A$701,customers_clean!$D$2:$D$701)</f>
        <v>Omar Noawk</v>
      </c>
      <c r="M973" s="2" t="str">
        <f t="array" ref="M973">XLOOKUP(I973,customers_clean!$A$2:$A$701,customers_clean!$I$2:$I$701)</f>
        <v/>
      </c>
      <c r="N973" s="10" t="str">
        <f t="array" ref="N973">XLOOKUP(I973,customers_clean!$A$2:$A$701,customers_clean!$H$2:$H$701)</f>
        <v/>
      </c>
      <c r="O973" s="9" t="str">
        <f>IFERROR(__xludf.DUMMYFUNCTION("IF(REGEXMATCH(TRIM(N973),""^[A-Za-z0-9._%+-]+@[A-Za-z0-9.-]+\.[A-Za-z]{2,}$""),""✅ Valid"",""❌ Invalid"")"),"❌ Invalid")</f>
        <v>❌ Invalid</v>
      </c>
      <c r="P973" s="2" t="str">
        <f t="array" ref="P973">XLOOKUP(I973,customers_clean!$A$2:$A$701,customers_clean!$K$2:$K$701)</f>
        <v>+44 880 607 0567 </v>
      </c>
      <c r="Q973" s="10" t="str">
        <f t="array" ref="Q973">XLOOKUP(I973,customers_clean!$A$2:$A$701,customers_clean!$N$2:$N$701)</f>
        <v/>
      </c>
      <c r="R973" s="9" t="str">
        <f t="array" ref="R973">XLOOKUP(I973,customers_clean!$A$2:$A$701,customers_clean!$Q$2:$Q$701)</f>
        <v/>
      </c>
      <c r="S973" s="10" t="s">
        <v>58</v>
      </c>
      <c r="T973" s="2" t="s">
        <v>479</v>
      </c>
      <c r="U973" s="2" t="s">
        <v>3740</v>
      </c>
      <c r="V973" s="2" t="s">
        <v>1014</v>
      </c>
      <c r="W973" s="9" t="str">
        <f t="array" ref="W973">IF(ISNA(XLOOKUP(V973,products_master_corrected!$A$2:$A$151,products_master_corrected!$A$2:$A$151, NA())),
    "❌ MISSING SKU", "✅")</f>
        <v>✅</v>
      </c>
      <c r="X973" s="2" t="s">
        <v>1015</v>
      </c>
      <c r="Y973" s="2" t="s">
        <v>1016</v>
      </c>
      <c r="Z973" s="10" t="s">
        <v>355</v>
      </c>
      <c r="AA973" s="27"/>
      <c r="AB973" s="9" t="s">
        <v>8677</v>
      </c>
      <c r="AC973" s="34"/>
      <c r="AD973" s="34"/>
      <c r="AE973" s="34"/>
      <c r="AF973" s="35"/>
      <c r="AG973" s="36" t="s">
        <v>95</v>
      </c>
      <c r="AH973" s="2" t="s">
        <v>505</v>
      </c>
      <c r="AI973" s="10" t="s">
        <v>181</v>
      </c>
      <c r="AJ973" s="2" t="s">
        <v>442</v>
      </c>
      <c r="AK973" s="10" t="s">
        <v>80</v>
      </c>
    </row>
    <row r="974" ht="15.75" customHeight="1">
      <c r="A974" s="2" t="s">
        <v>1709</v>
      </c>
      <c r="B974" s="12">
        <v>45208.0</v>
      </c>
      <c r="C974" s="2" t="str">
        <f>IFERROR(__xludf.DUMMYFUNCTION("IF(ISNUMBER(B974),TEXT(B974,""yyyy-MM-dd""),REGEXREPLACE(REGEXREPLACE(TO_TEXT(B974),""[^0-9a-zA-Z]+"",""-""),""[^0-9]*$"",""""))"),"2023-10-09")</f>
        <v>2023-10-09</v>
      </c>
      <c r="D974" s="2" t="s">
        <v>1710</v>
      </c>
      <c r="H974" s="10" t="s">
        <v>1710</v>
      </c>
      <c r="I974" s="2" t="s">
        <v>1711</v>
      </c>
      <c r="J974" s="26" t="str">
        <f t="array" ref="J974">IF(ISNA(XLOOKUP(I974,customers_clean!$A$2:$A$701,customers_clean!$A$2:$A$701, NA()) ),
   "❌ MISSING CUSTOMER", "✅")</f>
        <v>✅</v>
      </c>
      <c r="K974" s="2" t="str">
        <f t="array" ref="K974">XLOOKUP(I974,customers_clean!$A$2:$A$701,customers_clean!$C$2:$C$701)</f>
        <v>ETHAN KOWALSKI</v>
      </c>
      <c r="L974" s="10" t="str">
        <f t="array" ref="L974">XLOOKUP(I974,customers_clean!$A$2:$A$701,customers_clean!$D$2:$D$701)</f>
        <v>Ethan Kowalski</v>
      </c>
      <c r="M974" s="2" t="str">
        <f t="array" ref="M974">XLOOKUP(I974,customers_clean!$A$2:$A$701,customers_clean!$I$2:$I$701)</f>
        <v> ethan.kowalski@example.com</v>
      </c>
      <c r="N974" s="10" t="str">
        <f t="array" ref="N974">XLOOKUP(I974,customers_clean!$A$2:$A$701,customers_clean!$H$2:$H$701)</f>
        <v>ethan.kowalski@example.com</v>
      </c>
      <c r="O974" s="9" t="str">
        <f>IFERROR(__xludf.DUMMYFUNCTION("IF(REGEXMATCH(TRIM(N974),""^[A-Za-z0-9._%+-]+@[A-Za-z0-9.-]+\.[A-Za-z]{2,}$""),""✅ Valid"",""❌ Invalid"")"),"✅ Valid")</f>
        <v>✅ Valid</v>
      </c>
      <c r="P974" s="2">
        <f t="array" ref="P974">XLOOKUP(I974,customers_clean!$A$2:$A$701,customers_clean!$K$2:$K$701)</f>
        <v>1591826142</v>
      </c>
      <c r="Q974" s="10" t="str">
        <f t="array" ref="Q974">XLOOKUP(I974,customers_clean!$A$2:$A$701,customers_clean!$N$2:$N$701)</f>
        <v>1591826142</v>
      </c>
      <c r="R974" s="9" t="str">
        <f t="array" ref="R974">XLOOKUP(I974,customers_clean!$A$2:$A$701,customers_clean!$Q$2:$Q$701)</f>
        <v>❌ INVALID</v>
      </c>
      <c r="S974" s="10" t="s">
        <v>58</v>
      </c>
      <c r="T974" s="2" t="s">
        <v>42</v>
      </c>
      <c r="U974" s="2" t="s">
        <v>352</v>
      </c>
      <c r="V974" s="2" t="s">
        <v>166</v>
      </c>
      <c r="W974" s="9" t="str">
        <f t="array" ref="W974">IF(ISNA(XLOOKUP(V974,products_master_corrected!$A$2:$A$151,products_master_corrected!$A$2:$A$151, NA())),
    "❌ MISSING SKU", "✅")</f>
        <v>✅</v>
      </c>
      <c r="X974" s="2" t="s">
        <v>259</v>
      </c>
      <c r="Y974" s="2" t="s">
        <v>167</v>
      </c>
      <c r="Z974" s="10" t="str">
        <f>PROPER(TRIM(Y974))</f>
        <v>Monitors</v>
      </c>
      <c r="AA974" s="27">
        <v>1.0</v>
      </c>
      <c r="AB974" s="9" t="s">
        <v>8649</v>
      </c>
      <c r="AC974" s="28">
        <f t="array" ref="AC974">XLOOKUP(V974,products_master_corrected!$A$2:$A$151,products_master_corrected!$E$2:$E$151)</f>
        <v>16.9</v>
      </c>
      <c r="AD974" s="28">
        <f t="shared" ref="AD974:AD1003" si="113">AA974*AC974</f>
        <v>16.9</v>
      </c>
      <c r="AE974" s="28">
        <f t="array" ref="AE974">XLOOKUP(V974,products_master_corrected!$A$2:$A$151,products_master_corrected!$G$2:$G$151)</f>
        <v>19.35</v>
      </c>
      <c r="AF974" s="29">
        <f t="shared" ref="AF974:AF1003" si="114">AA974*AE974</f>
        <v>19.35</v>
      </c>
      <c r="AG974" s="32" t="s">
        <v>8663</v>
      </c>
      <c r="AH974" s="2" t="s">
        <v>370</v>
      </c>
      <c r="AI974" s="10" t="s">
        <v>143</v>
      </c>
      <c r="AJ974" s="2" t="s">
        <v>80</v>
      </c>
      <c r="AK974" s="10" t="s">
        <v>80</v>
      </c>
    </row>
    <row r="975" ht="15.75" customHeight="1">
      <c r="A975" s="2" t="s">
        <v>4843</v>
      </c>
      <c r="B975" s="12" t="s">
        <v>4844</v>
      </c>
      <c r="C975" s="2" t="str">
        <f>IFERROR(__xludf.DUMMYFUNCTION("IF(ISNUMBER(B975),TEXT(B975,""yyyy-MM-dd""),REGEXREPLACE(REGEXREPLACE(TO_TEXT(B975),""[^0-9a-zA-Z]+"",""-""),""[^0-9]*$"",""""))"),"16-05-2024-19-59")</f>
        <v>16-05-2024-19-59</v>
      </c>
      <c r="D975" s="2" t="str">
        <f>TEXT(C975,"yyyy-MM-dd")</f>
        <v>16-05-2024-19-59</v>
      </c>
      <c r="E975" s="12" t="str">
        <f>IFERROR(__xludf.DUMMYFUNCTION("REGEXEXTRACT(D975,""^\d{2}-\d{2}-\d{4}"")"),"16-05-2024")</f>
        <v>16-05-2024</v>
      </c>
      <c r="F975" s="2" t="s">
        <v>8198</v>
      </c>
      <c r="H975" s="10" t="s">
        <v>8198</v>
      </c>
      <c r="I975" s="2" t="s">
        <v>1711</v>
      </c>
      <c r="J975" s="26" t="str">
        <f t="array" ref="J975">IF(ISNA(XLOOKUP(I975,customers_clean!$A$2:$A$701,customers_clean!$A$2:$A$701, NA()) ),
   "❌ MISSING CUSTOMER", "✅")</f>
        <v>✅</v>
      </c>
      <c r="K975" s="2" t="str">
        <f t="array" ref="K975">XLOOKUP(I975,customers_clean!$A$2:$A$701,customers_clean!$C$2:$C$701)</f>
        <v>ETHAN KOWALSKI</v>
      </c>
      <c r="L975" s="10" t="str">
        <f t="array" ref="L975">XLOOKUP(I975,customers_clean!$A$2:$A$701,customers_clean!$D$2:$D$701)</f>
        <v>Ethan Kowalski</v>
      </c>
      <c r="M975" s="2" t="str">
        <f t="array" ref="M975">XLOOKUP(I975,customers_clean!$A$2:$A$701,customers_clean!$I$2:$I$701)</f>
        <v> ethan.kowalski@example.com</v>
      </c>
      <c r="N975" s="10" t="str">
        <f t="array" ref="N975">XLOOKUP(I975,customers_clean!$A$2:$A$701,customers_clean!$H$2:$H$701)</f>
        <v>ethan.kowalski@example.com</v>
      </c>
      <c r="O975" s="9" t="str">
        <f>IFERROR(__xludf.DUMMYFUNCTION("IF(REGEXMATCH(TRIM(N975),""^[A-Za-z0-9._%+-]+@[A-Za-z0-9.-]+\.[A-Za-z]{2,}$""),""✅ Valid"",""❌ Invalid"")"),"✅ Valid")</f>
        <v>✅ Valid</v>
      </c>
      <c r="P975" s="2">
        <f t="array" ref="P975">XLOOKUP(I975,customers_clean!$A$2:$A$701,customers_clean!$K$2:$K$701)</f>
        <v>1591826142</v>
      </c>
      <c r="Q975" s="10" t="str">
        <f t="array" ref="Q975">XLOOKUP(I975,customers_clean!$A$2:$A$701,customers_clean!$N$2:$N$701)</f>
        <v>1591826142</v>
      </c>
      <c r="R975" s="9" t="str">
        <f t="array" ref="R975">XLOOKUP(I975,customers_clean!$A$2:$A$701,customers_clean!$Q$2:$Q$701)</f>
        <v>❌ INVALID</v>
      </c>
      <c r="S975" s="10" t="s">
        <v>58</v>
      </c>
      <c r="T975" s="2" t="s">
        <v>59</v>
      </c>
      <c r="U975" s="2" t="s">
        <v>522</v>
      </c>
      <c r="V975" s="2" t="s">
        <v>1432</v>
      </c>
      <c r="W975" s="9" t="str">
        <f t="array" ref="W975">IF(ISNA(XLOOKUP(V975,products_master_corrected!$A$2:$A$151,products_master_corrected!$A$2:$A$151, NA())),
    "❌ MISSING SKU", "✅")</f>
        <v>✅</v>
      </c>
      <c r="X975" s="2" t="s">
        <v>994</v>
      </c>
      <c r="Y975" s="2" t="s">
        <v>1328</v>
      </c>
      <c r="Z975" s="10" t="s">
        <v>179</v>
      </c>
      <c r="AA975" s="27">
        <v>2.0</v>
      </c>
      <c r="AB975" s="9" t="s">
        <v>8649</v>
      </c>
      <c r="AC975" s="28">
        <f t="array" ref="AC975">XLOOKUP(V975,products_master_corrected!$A$2:$A$151,products_master_corrected!$E$2:$E$151)</f>
        <v>513.1</v>
      </c>
      <c r="AD975" s="28">
        <f t="shared" si="113"/>
        <v>1026.2</v>
      </c>
      <c r="AE975" s="28">
        <f t="array" ref="AE975">XLOOKUP(V975,products_master_corrected!$A$2:$A$151,products_master_corrected!$G$2:$G$151)</f>
        <v>587.4</v>
      </c>
      <c r="AF975" s="29">
        <f t="shared" si="114"/>
        <v>1174.8</v>
      </c>
      <c r="AG975" s="32" t="s">
        <v>8663</v>
      </c>
      <c r="AH975" s="2" t="s">
        <v>204</v>
      </c>
      <c r="AI975" s="10" t="s">
        <v>143</v>
      </c>
      <c r="AJ975" s="2" t="s">
        <v>393</v>
      </c>
      <c r="AK975" s="10" t="s">
        <v>80</v>
      </c>
    </row>
    <row r="976" ht="15.75" customHeight="1">
      <c r="A976" s="2" t="s">
        <v>5719</v>
      </c>
      <c r="B976" s="12">
        <v>45839.0</v>
      </c>
      <c r="C976" s="2" t="str">
        <f>IFERROR(__xludf.DUMMYFUNCTION("IF(ISNUMBER(B976),TEXT(B976,""yyyy-MM-dd""),REGEXREPLACE(REGEXREPLACE(TO_TEXT(B976),""[^0-9a-zA-Z]+"",""-""),""[^0-9]*$"",""""))"),"2025-07-01")</f>
        <v>2025-07-01</v>
      </c>
      <c r="D976" s="2" t="s">
        <v>5720</v>
      </c>
      <c r="H976" s="10" t="s">
        <v>5720</v>
      </c>
      <c r="I976" s="2" t="s">
        <v>3424</v>
      </c>
      <c r="J976" s="26" t="str">
        <f t="array" ref="J976">IF(ISNA(XLOOKUP(I976,customers_clean!$A$2:$A$701,customers_clean!$A$2:$A$701, NA()) ),
   "❌ MISSING CUSTOMER", "✅")</f>
        <v>✅</v>
      </c>
      <c r="K976" s="2" t="str">
        <f t="array" ref="K976">XLOOKUP(I976,customers_clean!$A$2:$A$701,customers_clean!$C$2:$C$701)</f>
        <v>Hanna Kowalczyk </v>
      </c>
      <c r="L976" s="10" t="str">
        <f t="array" ref="L976">XLOOKUP(I976,customers_clean!$A$2:$A$701,customers_clean!$D$2:$D$701)</f>
        <v>Hanna Kowalczyk</v>
      </c>
      <c r="M976" s="2" t="str">
        <f t="array" ref="M976">XLOOKUP(I976,customers_clean!$A$2:$A$701,customers_clean!$I$2:$I$701)</f>
        <v>hanna.kowalczyk@gmail.com</v>
      </c>
      <c r="N976" s="10" t="str">
        <f t="array" ref="N976">XLOOKUP(I976,customers_clean!$A$2:$A$701,customers_clean!$H$2:$H$701)</f>
        <v>hanna.kowalczyk@gmail.com</v>
      </c>
      <c r="O976" s="9" t="str">
        <f>IFERROR(__xludf.DUMMYFUNCTION("IF(REGEXMATCH(TRIM(N976),""^[A-Za-z0-9._%+-]+@[A-Za-z0-9.-]+\.[A-Za-z]{2,}$""),""✅ Valid"",""❌ Invalid"")"),"✅ Valid")</f>
        <v>✅ Valid</v>
      </c>
      <c r="P976" s="2" t="str">
        <f t="array" ref="P976">XLOOKUP(I976,customers_clean!$A$2:$A$701,customers_clean!$K$2:$K$701)</f>
        <v>+449785182444</v>
      </c>
      <c r="Q976" s="10" t="str">
        <f t="array" ref="Q976">XLOOKUP(I976,customers_clean!$A$2:$A$701,customers_clean!$N$2:$N$701)</f>
        <v>9785182444</v>
      </c>
      <c r="R976" s="9" t="str">
        <f t="array" ref="R976">XLOOKUP(I976,customers_clean!$A$2:$A$701,customers_clean!$Q$2:$Q$701)</f>
        <v>❌ INVALID</v>
      </c>
      <c r="S976" s="10" t="s">
        <v>139</v>
      </c>
      <c r="T976" s="2" t="s">
        <v>400</v>
      </c>
      <c r="U976" s="2" t="s">
        <v>352</v>
      </c>
      <c r="V976" s="2" t="s">
        <v>904</v>
      </c>
      <c r="W976" s="9" t="str">
        <f t="array" ref="W976">IF(ISNA(XLOOKUP(V976,products_master_corrected!$A$2:$A$151,products_master_corrected!$A$2:$A$151, NA())),
    "❌ MISSING SKU", "✅")</f>
        <v>✅</v>
      </c>
      <c r="X976" s="2" t="s">
        <v>905</v>
      </c>
      <c r="Y976" s="2" t="s">
        <v>167</v>
      </c>
      <c r="Z976" s="10" t="str">
        <f>PROPER(TRIM(Y976))</f>
        <v>Monitors</v>
      </c>
      <c r="AA976" s="27">
        <v>1.0</v>
      </c>
      <c r="AB976" s="9" t="s">
        <v>8649</v>
      </c>
      <c r="AC976" s="28">
        <f t="array" ref="AC976">XLOOKUP(V976,products_master_corrected!$A$2:$A$151,products_master_corrected!$E$2:$E$151)</f>
        <v>132.42</v>
      </c>
      <c r="AD976" s="28">
        <f t="shared" si="113"/>
        <v>132.42</v>
      </c>
      <c r="AE976" s="28">
        <f t="array" ref="AE976">XLOOKUP(V976,products_master_corrected!$A$2:$A$151,products_master_corrected!$L$2:$L$151)</f>
        <v>143.21</v>
      </c>
      <c r="AF976" s="29">
        <f t="shared" si="114"/>
        <v>143.21</v>
      </c>
      <c r="AG976" s="32" t="s">
        <v>8665</v>
      </c>
      <c r="AH976" s="2" t="s">
        <v>379</v>
      </c>
      <c r="AI976" s="10" t="s">
        <v>143</v>
      </c>
      <c r="AJ976" s="2" t="s">
        <v>80</v>
      </c>
      <c r="AK976" s="10" t="s">
        <v>80</v>
      </c>
    </row>
    <row r="977" ht="15.75" customHeight="1">
      <c r="A977" s="2" t="s">
        <v>3422</v>
      </c>
      <c r="B977" s="12">
        <v>44996.0</v>
      </c>
      <c r="C977" s="2" t="str">
        <f>IFERROR(__xludf.DUMMYFUNCTION("IF(ISNUMBER(B977),TEXT(B977,""yyyy-MM-dd""),REGEXREPLACE(REGEXREPLACE(TO_TEXT(B977),""[^0-9a-zA-Z]+"",""-""),""[^0-9]*$"",""""))"),"2023-03-11")</f>
        <v>2023-03-11</v>
      </c>
      <c r="D977" s="2" t="s">
        <v>8975</v>
      </c>
      <c r="H977" s="10" t="s">
        <v>8975</v>
      </c>
      <c r="I977" s="2" t="s">
        <v>3424</v>
      </c>
      <c r="J977" s="26" t="str">
        <f t="array" ref="J977">IF(ISNA(XLOOKUP(I977,customers_clean!$A$2:$A$701,customers_clean!$A$2:$A$701, NA()) ),
   "❌ MISSING CUSTOMER", "✅")</f>
        <v>✅</v>
      </c>
      <c r="K977" s="2" t="str">
        <f t="array" ref="K977">XLOOKUP(I977,customers_clean!$A$2:$A$701,customers_clean!$C$2:$C$701)</f>
        <v>Hanna Kowalczyk </v>
      </c>
      <c r="L977" s="10" t="str">
        <f t="array" ref="L977">XLOOKUP(I977,customers_clean!$A$2:$A$701,customers_clean!$D$2:$D$701)</f>
        <v>Hanna Kowalczyk</v>
      </c>
      <c r="M977" s="2" t="str">
        <f t="array" ref="M977">XLOOKUP(I977,customers_clean!$A$2:$A$701,customers_clean!$I$2:$I$701)</f>
        <v>hanna.kowalczyk@gmail.com</v>
      </c>
      <c r="N977" s="10" t="str">
        <f t="array" ref="N977">XLOOKUP(I977,customers_clean!$A$2:$A$701,customers_clean!$H$2:$H$701)</f>
        <v>hanna.kowalczyk@gmail.com</v>
      </c>
      <c r="O977" s="9" t="str">
        <f>IFERROR(__xludf.DUMMYFUNCTION("IF(REGEXMATCH(TRIM(N977),""^[A-Za-z0-9._%+-]+@[A-Za-z0-9.-]+\.[A-Za-z]{2,}$""),""✅ Valid"",""❌ Invalid"")"),"✅ Valid")</f>
        <v>✅ Valid</v>
      </c>
      <c r="P977" s="2" t="str">
        <f t="array" ref="P977">XLOOKUP(I977,customers_clean!$A$2:$A$701,customers_clean!$K$2:$K$701)</f>
        <v>+449785182444</v>
      </c>
      <c r="Q977" s="10" t="str">
        <f t="array" ref="Q977">XLOOKUP(I977,customers_clean!$A$2:$A$701,customers_clean!$N$2:$N$701)</f>
        <v>9785182444</v>
      </c>
      <c r="R977" s="9" t="str">
        <f t="array" ref="R977">XLOOKUP(I977,customers_clean!$A$2:$A$701,customers_clean!$Q$2:$Q$701)</f>
        <v>❌ INVALID</v>
      </c>
      <c r="S977" s="10" t="s">
        <v>139</v>
      </c>
      <c r="T977" s="2" t="s">
        <v>234</v>
      </c>
      <c r="U977" s="2" t="s">
        <v>90</v>
      </c>
      <c r="V977" s="2" t="s">
        <v>1849</v>
      </c>
      <c r="W977" s="9" t="str">
        <f t="array" ref="W977">IF(ISNA(XLOOKUP(V977,products_master_corrected!$A$2:$A$151,products_master_corrected!$A$2:$A$151, NA())),
    "❌ MISSING SKU", "✅")</f>
        <v>✅</v>
      </c>
      <c r="X977" s="2" t="s">
        <v>403</v>
      </c>
      <c r="Y977" s="2" t="s">
        <v>248</v>
      </c>
      <c r="Z977" s="10" t="s">
        <v>248</v>
      </c>
      <c r="AA977" s="27">
        <v>1.0</v>
      </c>
      <c r="AB977" s="9" t="s">
        <v>8649</v>
      </c>
      <c r="AC977" s="28">
        <f t="array" ref="AC977">XLOOKUP(V977,products_master_corrected!$A$2:$A$151,products_master_corrected!$E$2:$E$151)</f>
        <v>46.23</v>
      </c>
      <c r="AD977" s="28">
        <f t="shared" si="113"/>
        <v>46.23</v>
      </c>
      <c r="AE977" s="28">
        <f t="array" ref="AE977">XLOOKUP(V977,products_master_corrected!$A$2:$A$151,products_master_corrected!$L$2:$L$151)</f>
        <v>50</v>
      </c>
      <c r="AF977" s="29">
        <f t="shared" si="114"/>
        <v>50</v>
      </c>
      <c r="AG977" s="32" t="s">
        <v>8665</v>
      </c>
      <c r="AH977" s="2" t="s">
        <v>505</v>
      </c>
      <c r="AI977" s="10" t="s">
        <v>181</v>
      </c>
      <c r="AJ977" s="2" t="s">
        <v>432</v>
      </c>
      <c r="AK977" s="10" t="s">
        <v>80</v>
      </c>
      <c r="AL977" s="2" t="s">
        <v>51</v>
      </c>
    </row>
    <row r="978" ht="15.75" customHeight="1">
      <c r="A978" s="2" t="s">
        <v>5381</v>
      </c>
      <c r="B978" s="12">
        <v>45397.0</v>
      </c>
      <c r="C978" s="2" t="str">
        <f>IFERROR(__xludf.DUMMYFUNCTION("IF(ISNUMBER(B978),TEXT(B978,""yyyy-MM-dd""),REGEXREPLACE(REGEXREPLACE(TO_TEXT(B978),""[^0-9a-zA-Z]+"",""-""),""[^0-9]*$"",""""))"),"2024-04-15")</f>
        <v>2024-04-15</v>
      </c>
      <c r="D978" s="2" t="s">
        <v>7701</v>
      </c>
      <c r="H978" s="10" t="s">
        <v>7701</v>
      </c>
      <c r="I978" s="2" t="s">
        <v>935</v>
      </c>
      <c r="J978" s="26" t="str">
        <f t="array" ref="J978">IF(ISNA(XLOOKUP(I978,customers_clean!$A$2:$A$701,customers_clean!$A$2:$A$701, NA()) ),
   "❌ MISSING CUSTOMER", "✅")</f>
        <v>✅</v>
      </c>
      <c r="K978" s="2" t="str">
        <f t="array" ref="K978">XLOOKUP(I978,customers_clean!$A$2:$A$701,customers_clean!$C$2:$C$701)</f>
        <v> Wiktor Young</v>
      </c>
      <c r="L978" s="10" t="str">
        <f t="array" ref="L978">XLOOKUP(I978,customers_clean!$A$2:$A$701,customers_clean!$D$2:$D$701)</f>
        <v>Wiktor Young</v>
      </c>
      <c r="M978" s="2" t="str">
        <f t="array" ref="M978">XLOOKUP(I978,customers_clean!$A$2:$A$701,customers_clean!$I$2:$I$701)</f>
        <v>wiktor.young@yahoo.cmo</v>
      </c>
      <c r="N978" s="10" t="str">
        <f t="array" ref="N978">XLOOKUP(I978,customers_clean!$A$2:$A$701,customers_clean!$H$2:$H$701)</f>
        <v>wiktor.young@yahoo.cmo</v>
      </c>
      <c r="O978" s="9" t="str">
        <f>IFERROR(__xludf.DUMMYFUNCTION("IF(REGEXMATCH(TRIM(N978),""^[A-Za-z0-9._%+-]+@[A-Za-z0-9.-]+\.[A-Za-z]{2,}$""),""✅ Valid"",""❌ Invalid"")"),"✅ Valid")</f>
        <v>✅ Valid</v>
      </c>
      <c r="P978" s="2" t="str">
        <f t="array" ref="P978">XLOOKUP(I978,customers_clean!$A$2:$A$701,customers_clean!$K$2:$K$701)</f>
        <v>(265) 195799</v>
      </c>
      <c r="Q978" s="10" t="str">
        <f t="array" ref="Q978">XLOOKUP(I978,customers_clean!$A$2:$A$701,customers_clean!$N$2:$N$701)</f>
        <v>265195799</v>
      </c>
      <c r="R978" s="9" t="str">
        <f t="array" ref="R978">XLOOKUP(I978,customers_clean!$A$2:$A$701,customers_clean!$Q$2:$Q$701)</f>
        <v>❌ INVALID</v>
      </c>
      <c r="S978" s="10" t="s">
        <v>448</v>
      </c>
      <c r="T978" s="2" t="s">
        <v>42</v>
      </c>
      <c r="U978" s="2" t="s">
        <v>480</v>
      </c>
      <c r="V978" s="2" t="s">
        <v>4048</v>
      </c>
      <c r="W978" s="9" t="str">
        <f t="array" ref="W978">IF(ISNA(XLOOKUP(V978,products_master_corrected!$A$2:$A$151,products_master_corrected!$A$2:$A$151, NA())),
    "❌ MISSING SKU", "✅")</f>
        <v>✅</v>
      </c>
      <c r="X978" s="2" t="s">
        <v>190</v>
      </c>
      <c r="Y978" s="2" t="s">
        <v>214</v>
      </c>
      <c r="Z978" s="10" t="s">
        <v>368</v>
      </c>
      <c r="AA978" s="27">
        <v>3.0</v>
      </c>
      <c r="AB978" s="9" t="s">
        <v>8649</v>
      </c>
      <c r="AC978" s="28">
        <f t="array" ref="AC978">XLOOKUP(V978,products_master_corrected!$A$2:$A$151,products_master_corrected!$E$2:$E$151)</f>
        <v>147.02</v>
      </c>
      <c r="AD978" s="28">
        <f t="shared" si="113"/>
        <v>441.06</v>
      </c>
      <c r="AE978" s="28">
        <f t="array" ref="AE978">XLOOKUP(V978,products_master_corrected!$A$2:$A$151,products_master_corrected!$M$2:$M$151)</f>
        <v>177.84</v>
      </c>
      <c r="AF978" s="29">
        <f t="shared" si="114"/>
        <v>533.52</v>
      </c>
      <c r="AG978" s="30" t="s">
        <v>48</v>
      </c>
      <c r="AH978" s="2" t="s">
        <v>526</v>
      </c>
      <c r="AI978" s="10" t="s">
        <v>49</v>
      </c>
      <c r="AJ978" s="2" t="s">
        <v>169</v>
      </c>
      <c r="AK978" s="10" t="s">
        <v>261</v>
      </c>
    </row>
    <row r="979" ht="15.75" customHeight="1">
      <c r="A979" s="2" t="s">
        <v>933</v>
      </c>
      <c r="B979" s="12" t="s">
        <v>934</v>
      </c>
      <c r="C979" s="2" t="str">
        <f>IFERROR(__xludf.DUMMYFUNCTION("IF(ISNUMBER(B979),TEXT(B979,""yyyy-MM-dd""),REGEXREPLACE(REGEXREPLACE(TO_TEXT(B979),""[^0-9a-zA-Z]+"",""-""),""[^0-9]*$"",""""))"),"12-25-2023-04-38")</f>
        <v>12-25-2023-04-38</v>
      </c>
      <c r="D979" s="2" t="str">
        <f>TEXT(C979,"yyyy-MM-dd")</f>
        <v>12-25-2023-04-38</v>
      </c>
      <c r="E979" s="12" t="str">
        <f>IFERROR(__xludf.DUMMYFUNCTION("REGEXEXTRACT(D979,""^\d{2}-\d{2}-\d{4}"")"),"12-25-2023")</f>
        <v>12-25-2023</v>
      </c>
      <c r="F979" s="2" t="str">
        <f>TEXT(E979,"yyyy-MM-dd")</f>
        <v>12-25-2023</v>
      </c>
      <c r="G979" s="2" t="s">
        <v>8992</v>
      </c>
      <c r="H979" s="10" t="s">
        <v>8992</v>
      </c>
      <c r="I979" s="2" t="s">
        <v>935</v>
      </c>
      <c r="J979" s="26" t="str">
        <f t="array" ref="J979">IF(ISNA(XLOOKUP(I979,customers_clean!$A$2:$A$701,customers_clean!$A$2:$A$701, NA()) ),
   "❌ MISSING CUSTOMER", "✅")</f>
        <v>✅</v>
      </c>
      <c r="K979" s="2" t="str">
        <f t="array" ref="K979">XLOOKUP(I979,customers_clean!$A$2:$A$701,customers_clean!$C$2:$C$701)</f>
        <v> Wiktor Young</v>
      </c>
      <c r="L979" s="10" t="str">
        <f t="array" ref="L979">XLOOKUP(I979,customers_clean!$A$2:$A$701,customers_clean!$D$2:$D$701)</f>
        <v>Wiktor Young</v>
      </c>
      <c r="M979" s="2" t="str">
        <f t="array" ref="M979">XLOOKUP(I979,customers_clean!$A$2:$A$701,customers_clean!$I$2:$I$701)</f>
        <v>wiktor.young@yahoo.cmo</v>
      </c>
      <c r="N979" s="10" t="str">
        <f t="array" ref="N979">XLOOKUP(I979,customers_clean!$A$2:$A$701,customers_clean!$H$2:$H$701)</f>
        <v>wiktor.young@yahoo.cmo</v>
      </c>
      <c r="O979" s="9" t="str">
        <f>IFERROR(__xludf.DUMMYFUNCTION("IF(REGEXMATCH(TRIM(N979),""^[A-Za-z0-9._%+-]+@[A-Za-z0-9.-]+\.[A-Za-z]{2,}$""),""✅ Valid"",""❌ Invalid"")"),"✅ Valid")</f>
        <v>✅ Valid</v>
      </c>
      <c r="P979" s="2" t="str">
        <f t="array" ref="P979">XLOOKUP(I979,customers_clean!$A$2:$A$701,customers_clean!$K$2:$K$701)</f>
        <v>(265) 195799</v>
      </c>
      <c r="Q979" s="10" t="str">
        <f t="array" ref="Q979">XLOOKUP(I979,customers_clean!$A$2:$A$701,customers_clean!$N$2:$N$701)</f>
        <v>265195799</v>
      </c>
      <c r="R979" s="9" t="str">
        <f t="array" ref="R979">XLOOKUP(I979,customers_clean!$A$2:$A$701,customers_clean!$Q$2:$Q$701)</f>
        <v>❌ INVALID</v>
      </c>
      <c r="S979" s="10" t="s">
        <v>448</v>
      </c>
      <c r="T979" s="2" t="s">
        <v>223</v>
      </c>
      <c r="U979" s="2" t="s">
        <v>312</v>
      </c>
      <c r="V979" s="2" t="s">
        <v>939</v>
      </c>
      <c r="W979" s="9" t="str">
        <f t="array" ref="W979">IF(ISNA(XLOOKUP(V979,products_master_corrected!$A$2:$A$151,products_master_corrected!$A$2:$A$151, NA())),
    "❌ MISSING SKU", "✅")</f>
        <v>✅</v>
      </c>
      <c r="X979" s="2" t="s">
        <v>940</v>
      </c>
      <c r="Y979" s="2" t="s">
        <v>941</v>
      </c>
      <c r="Z979" s="10" t="str">
        <f t="shared" ref="Z979:Z980" si="115">PROPER(TRIM(Y979))</f>
        <v>Monitors</v>
      </c>
      <c r="AA979" s="27">
        <v>1.0</v>
      </c>
      <c r="AB979" s="9" t="s">
        <v>8649</v>
      </c>
      <c r="AC979" s="28">
        <f t="array" ref="AC979">XLOOKUP(V979,products_master_corrected!$A$2:$A$151,products_master_corrected!$E$2:$E$151)</f>
        <v>215.15</v>
      </c>
      <c r="AD979" s="28">
        <f t="shared" si="113"/>
        <v>215.15</v>
      </c>
      <c r="AE979" s="28">
        <f t="array" ref="AE979">XLOOKUP(V979,products_master_corrected!$A$2:$A$151,products_master_corrected!$M$2:$M$151)</f>
        <v>260.25</v>
      </c>
      <c r="AF979" s="29">
        <f t="shared" si="114"/>
        <v>260.25</v>
      </c>
      <c r="AG979" s="30" t="s">
        <v>48</v>
      </c>
      <c r="AH979" s="2" t="s">
        <v>143</v>
      </c>
      <c r="AI979" s="10" t="s">
        <v>143</v>
      </c>
      <c r="AJ979" s="2" t="s">
        <v>120</v>
      </c>
      <c r="AK979" s="10" t="s">
        <v>818</v>
      </c>
    </row>
    <row r="980" ht="15.75" customHeight="1">
      <c r="A980" s="2" t="s">
        <v>4822</v>
      </c>
      <c r="B980" s="12">
        <v>45804.0</v>
      </c>
      <c r="C980" s="2" t="str">
        <f>IFERROR(__xludf.DUMMYFUNCTION("IF(ISNUMBER(B980),TEXT(B980,""yyyy-MM-dd""),REGEXREPLACE(REGEXREPLACE(TO_TEXT(B980),""[^0-9a-zA-Z]+"",""-""),""[^0-9]*$"",""""))"),"2025-05-27")</f>
        <v>2025-05-27</v>
      </c>
      <c r="D980" s="2" t="s">
        <v>4823</v>
      </c>
      <c r="H980" s="10" t="s">
        <v>4823</v>
      </c>
      <c r="I980" s="2" t="s">
        <v>4824</v>
      </c>
      <c r="J980" s="26" t="str">
        <f t="array" ref="J980">IF(ISNA(XLOOKUP(I980,customers_clean!$A$2:$A$701,customers_clean!$A$2:$A$701, NA()) ),
   "❌ MISSING CUSTOMER", "✅")</f>
        <v>✅</v>
      </c>
      <c r="K980" s="2" t="str">
        <f t="array" ref="K980">XLOOKUP(I980,customers_clean!$A$2:$A$701,customers_clean!$C$2:$C$701)</f>
        <v>Rita Lopez</v>
      </c>
      <c r="L980" s="10" t="str">
        <f t="array" ref="L980">XLOOKUP(I980,customers_clean!$A$2:$A$701,customers_clean!$D$2:$D$701)</f>
        <v>Rita Lopez</v>
      </c>
      <c r="M980" s="2" t="str">
        <f t="array" ref="M980">XLOOKUP(I980,customers_clean!$A$2:$A$701,customers_clean!$I$2:$I$701)</f>
        <v>rita.lopez@company.co.uk</v>
      </c>
      <c r="N980" s="10" t="str">
        <f t="array" ref="N980">XLOOKUP(I980,customers_clean!$A$2:$A$701,customers_clean!$H$2:$H$701)</f>
        <v>rita.lopez@company.co.uk</v>
      </c>
      <c r="O980" s="9" t="str">
        <f>IFERROR(__xludf.DUMMYFUNCTION("IF(REGEXMATCH(TRIM(N980),""^[A-Za-z0-9._%+-]+@[A-Za-z0-9.-]+\.[A-Za-z]{2,}$""),""✅ Valid"",""❌ Invalid"")"),"✅ Valid")</f>
        <v>✅ Valid</v>
      </c>
      <c r="P980" s="33" t="str">
        <f t="array" ref="P980">XLOOKUP(I980,customers_clean!$A$2:$A$701,customers_clean!$K$2:$K$701)</f>
        <v>24x9254129</v>
      </c>
      <c r="Q980" s="10" t="str">
        <f t="array" ref="Q980">XLOOKUP(I980,customers_clean!$A$2:$A$701,customers_clean!$N$2:$N$701)</f>
        <v>249254129</v>
      </c>
      <c r="R980" s="9" t="str">
        <f t="array" ref="R980">XLOOKUP(I980,customers_clean!$A$2:$A$701,customers_clean!$Q$2:$Q$701)</f>
        <v>❌ INVALID</v>
      </c>
      <c r="S980" s="10" t="s">
        <v>608</v>
      </c>
      <c r="T980" s="2" t="s">
        <v>223</v>
      </c>
      <c r="U980" s="2" t="s">
        <v>4828</v>
      </c>
      <c r="V980" s="2" t="s">
        <v>2483</v>
      </c>
      <c r="W980" s="9" t="str">
        <f t="array" ref="W980">IF(ISNA(XLOOKUP(V980,products_master_corrected!$A$2:$A$151,products_master_corrected!$A$2:$A$151, NA())),
    "❌ MISSING SKU", "✅")</f>
        <v>✅</v>
      </c>
      <c r="X980" s="2" t="s">
        <v>280</v>
      </c>
      <c r="Y980" s="2" t="s">
        <v>503</v>
      </c>
      <c r="Z980" s="10" t="str">
        <f t="shared" si="115"/>
        <v>Monitors</v>
      </c>
      <c r="AA980" s="27">
        <v>2.0</v>
      </c>
      <c r="AB980" s="9" t="s">
        <v>8649</v>
      </c>
      <c r="AC980" s="28">
        <f t="array" ref="AC980">XLOOKUP(V980,products_master_corrected!$A$2:$A$151,products_master_corrected!$E$2:$E$151)</f>
        <v>76.81</v>
      </c>
      <c r="AD980" s="28">
        <f t="shared" si="113"/>
        <v>153.62</v>
      </c>
      <c r="AE980" s="28">
        <f t="array" ref="AE980">XLOOKUP(V980,products_master_corrected!$A$2:$A$151,products_master_corrected!$H$2:$H$151)</f>
        <v>86.3</v>
      </c>
      <c r="AF980" s="29">
        <f t="shared" si="114"/>
        <v>172.6</v>
      </c>
      <c r="AG980" s="32" t="s">
        <v>8658</v>
      </c>
      <c r="AH980" s="2" t="s">
        <v>33</v>
      </c>
      <c r="AI980" s="10" t="s">
        <v>181</v>
      </c>
      <c r="AJ980" s="2" t="s">
        <v>393</v>
      </c>
      <c r="AK980" s="10" t="s">
        <v>80</v>
      </c>
      <c r="AL980" s="2" t="s">
        <v>67</v>
      </c>
    </row>
    <row r="981" ht="15.75" customHeight="1">
      <c r="A981" s="2" t="s">
        <v>5680</v>
      </c>
      <c r="B981" s="12">
        <v>45253.0</v>
      </c>
      <c r="C981" s="2" t="str">
        <f>IFERROR(__xludf.DUMMYFUNCTION("IF(ISNUMBER(B981),TEXT(B981,""yyyy-MM-dd""),REGEXREPLACE(REGEXREPLACE(TO_TEXT(B981),""[^0-9a-zA-Z]+"",""-""),""[^0-9]*$"",""""))"),"2023-11-23")</f>
        <v>2023-11-23</v>
      </c>
      <c r="D981" s="2" t="s">
        <v>8937</v>
      </c>
      <c r="H981" s="10" t="s">
        <v>8937</v>
      </c>
      <c r="I981" s="2" t="s">
        <v>4824</v>
      </c>
      <c r="J981" s="26" t="str">
        <f t="array" ref="J981">IF(ISNA(XLOOKUP(I981,customers_clean!$A$2:$A$701,customers_clean!$A$2:$A$701, NA()) ),
   "❌ MISSING CUSTOMER", "✅")</f>
        <v>✅</v>
      </c>
      <c r="K981" s="2" t="str">
        <f t="array" ref="K981">XLOOKUP(I981,customers_clean!$A$2:$A$701,customers_clean!$C$2:$C$701)</f>
        <v>Rita Lopez</v>
      </c>
      <c r="L981" s="10" t="str">
        <f t="array" ref="L981">XLOOKUP(I981,customers_clean!$A$2:$A$701,customers_clean!$D$2:$D$701)</f>
        <v>Rita Lopez</v>
      </c>
      <c r="M981" s="2" t="str">
        <f t="array" ref="M981">XLOOKUP(I981,customers_clean!$A$2:$A$701,customers_clean!$I$2:$I$701)</f>
        <v>rita.lopez@company.co.uk</v>
      </c>
      <c r="N981" s="10" t="str">
        <f t="array" ref="N981">XLOOKUP(I981,customers_clean!$A$2:$A$701,customers_clean!$H$2:$H$701)</f>
        <v>rita.lopez@company.co.uk</v>
      </c>
      <c r="O981" s="9" t="str">
        <f>IFERROR(__xludf.DUMMYFUNCTION("IF(REGEXMATCH(TRIM(N981),""^[A-Za-z0-9._%+-]+@[A-Za-z0-9.-]+\.[A-Za-z]{2,}$""),""✅ Valid"",""❌ Invalid"")"),"✅ Valid")</f>
        <v>✅ Valid</v>
      </c>
      <c r="P981" s="33" t="str">
        <f t="array" ref="P981">XLOOKUP(I981,customers_clean!$A$2:$A$701,customers_clean!$K$2:$K$701)</f>
        <v>24x9254129</v>
      </c>
      <c r="Q981" s="10" t="str">
        <f t="array" ref="Q981">XLOOKUP(I981,customers_clean!$A$2:$A$701,customers_clean!$N$2:$N$701)</f>
        <v>249254129</v>
      </c>
      <c r="R981" s="9" t="str">
        <f t="array" ref="R981">XLOOKUP(I981,customers_clean!$A$2:$A$701,customers_clean!$Q$2:$Q$701)</f>
        <v>❌ INVALID</v>
      </c>
      <c r="S981" s="10" t="s">
        <v>608</v>
      </c>
      <c r="T981" s="2" t="s">
        <v>301</v>
      </c>
      <c r="U981" s="2" t="s">
        <v>116</v>
      </c>
      <c r="V981" s="2" t="s">
        <v>1302</v>
      </c>
      <c r="W981" s="9" t="str">
        <f t="array" ref="W981">IF(ISNA(XLOOKUP(V981,products_master_corrected!$A$2:$A$151,products_master_corrected!$A$2:$A$151, NA())),
    "❌ MISSING SKU", "✅")</f>
        <v>✅</v>
      </c>
      <c r="X981" s="2" t="s">
        <v>440</v>
      </c>
      <c r="Y981" s="2" t="s">
        <v>179</v>
      </c>
      <c r="Z981" s="10" t="s">
        <v>179</v>
      </c>
      <c r="AA981" s="27">
        <v>1.0</v>
      </c>
      <c r="AB981" s="9" t="s">
        <v>8649</v>
      </c>
      <c r="AC981" s="28">
        <f t="array" ref="AC981">XLOOKUP(V981,products_master_corrected!$A$2:$A$151,products_master_corrected!$E$2:$E$151)</f>
        <v>28.97</v>
      </c>
      <c r="AD981" s="28">
        <f t="shared" si="113"/>
        <v>28.97</v>
      </c>
      <c r="AE981" s="28">
        <f t="array" ref="AE981">XLOOKUP(V981,products_master_corrected!$A$2:$A$151,products_master_corrected!$H$2:$H$151)</f>
        <v>32.55</v>
      </c>
      <c r="AF981" s="29">
        <f t="shared" si="114"/>
        <v>32.55</v>
      </c>
      <c r="AG981" s="32" t="s">
        <v>8658</v>
      </c>
      <c r="AH981" s="2" t="s">
        <v>370</v>
      </c>
      <c r="AI981" s="10" t="s">
        <v>143</v>
      </c>
      <c r="AJ981" s="2" t="s">
        <v>294</v>
      </c>
      <c r="AK981" s="10" t="s">
        <v>80</v>
      </c>
      <c r="AL981" s="2" t="s">
        <v>81</v>
      </c>
    </row>
    <row r="982" ht="15.75" customHeight="1">
      <c r="A982" s="2" t="s">
        <v>5918</v>
      </c>
      <c r="B982" s="12">
        <v>45794.0</v>
      </c>
      <c r="C982" s="2" t="str">
        <f>IFERROR(__xludf.DUMMYFUNCTION("IF(ISNUMBER(B982),TEXT(B982,""yyyy-MM-dd""),REGEXREPLACE(REGEXREPLACE(TO_TEXT(B982),""[^0-9a-zA-Z]+"",""-""),""[^0-9]*$"",""""))"),"2025-05-17")</f>
        <v>2025-05-17</v>
      </c>
      <c r="D982" s="2" t="s">
        <v>6596</v>
      </c>
      <c r="H982" s="10" t="s">
        <v>6596</v>
      </c>
      <c r="I982" s="2" t="s">
        <v>5920</v>
      </c>
      <c r="J982" s="26" t="str">
        <f t="array" ref="J982">IF(ISNA(XLOOKUP(I982,customers_clean!$A$2:$A$701,customers_clean!$A$2:$A$701, NA()) ),
   "❌ MISSING CUSTOMER", "✅")</f>
        <v>✅</v>
      </c>
      <c r="K982" s="2" t="str">
        <f t="array" ref="K982">XLOOKUP(I982,customers_clean!$A$2:$A$701,customers_clean!$C$2:$C$701)</f>
        <v>Jade Muller </v>
      </c>
      <c r="L982" s="10" t="str">
        <f t="array" ref="L982">XLOOKUP(I982,customers_clean!$A$2:$A$701,customers_clean!$D$2:$D$701)</f>
        <v>Jade Muller</v>
      </c>
      <c r="M982" s="2" t="str">
        <f t="array" ref="M982">XLOOKUP(I982,customers_clean!$A$2:$A$701,customers_clean!$I$2:$I$701)</f>
        <v>jade.muller@example.com</v>
      </c>
      <c r="N982" s="10" t="str">
        <f t="array" ref="N982">XLOOKUP(I982,customers_clean!$A$2:$A$701,customers_clean!$H$2:$H$701)</f>
        <v>jade.muller@example.com</v>
      </c>
      <c r="O982" s="9" t="str">
        <f>IFERROR(__xludf.DUMMYFUNCTION("IF(REGEXMATCH(TRIM(N982),""^[A-Za-z0-9._%+-]+@[A-Za-z0-9.-]+\.[A-Za-z]{2,}$""),""✅ Valid"",""❌ Invalid"")"),"✅ Valid")</f>
        <v>✅ Valid</v>
      </c>
      <c r="P982" s="2" t="str">
        <f t="array" ref="P982">XLOOKUP(I982,customers_clean!$A$2:$A$701,customers_clean!$K$2:$K$701)</f>
        <v>+39 213 206796</v>
      </c>
      <c r="Q982" s="10" t="str">
        <f t="array" ref="Q982">XLOOKUP(I982,customers_clean!$A$2:$A$701,customers_clean!$N$2:$N$701)</f>
        <v>213206796</v>
      </c>
      <c r="R982" s="9" t="str">
        <f t="array" ref="R982">XLOOKUP(I982,customers_clean!$A$2:$A$701,customers_clean!$Q$2:$Q$701)</f>
        <v>❌ INVALID</v>
      </c>
      <c r="S982" s="10" t="s">
        <v>608</v>
      </c>
      <c r="T982" s="2" t="s">
        <v>223</v>
      </c>
      <c r="U982" s="2" t="s">
        <v>333</v>
      </c>
      <c r="V982" s="2" t="s">
        <v>246</v>
      </c>
      <c r="W982" s="9" t="str">
        <f t="array" ref="W982">IF(ISNA(XLOOKUP(V982,products_master_corrected!$A$2:$A$151,products_master_corrected!$A$2:$A$151, NA())),
    "❌ MISSING SKU", "✅")</f>
        <v>✅</v>
      </c>
      <c r="X982" s="2" t="s">
        <v>1138</v>
      </c>
      <c r="Y982" s="2" t="s">
        <v>248</v>
      </c>
      <c r="Z982" s="10" t="s">
        <v>248</v>
      </c>
      <c r="AA982" s="27">
        <v>1.0</v>
      </c>
      <c r="AB982" s="9" t="s">
        <v>8649</v>
      </c>
      <c r="AC982" s="28">
        <f t="array" ref="AC982">XLOOKUP(V982,products_master_corrected!$A$2:$A$151,products_master_corrected!$E$2:$E$151)</f>
        <v>259.62</v>
      </c>
      <c r="AD982" s="28">
        <f t="shared" si="113"/>
        <v>259.62</v>
      </c>
      <c r="AE982" s="28">
        <f t="array" ref="AE982">XLOOKUP(V982,products_master_corrected!$A$2:$A$151,products_master_corrected!$H$2:$H$151)</f>
        <v>291.68</v>
      </c>
      <c r="AF982" s="29">
        <f t="shared" si="114"/>
        <v>291.68</v>
      </c>
      <c r="AG982" s="32" t="s">
        <v>8658</v>
      </c>
      <c r="AH982" s="2" t="s">
        <v>66</v>
      </c>
      <c r="AI982" s="10" t="s">
        <v>66</v>
      </c>
      <c r="AJ982" s="2" t="s">
        <v>80</v>
      </c>
      <c r="AK982" s="10" t="s">
        <v>80</v>
      </c>
      <c r="AL982" s="2" t="s">
        <v>67</v>
      </c>
    </row>
    <row r="983" ht="15.75" customHeight="1">
      <c r="A983" s="2" t="s">
        <v>506</v>
      </c>
      <c r="B983" s="12">
        <v>45016.52361111111</v>
      </c>
      <c r="C983" s="2" t="str">
        <f>IFERROR(__xludf.DUMMYFUNCTION("IF(ISNUMBER(B983),TEXT(B983,""yyyy-MM-dd""),REGEXREPLACE(REGEXREPLACE(TO_TEXT(B983),""[^0-9a-zA-Z]+"",""-""),""[^0-9]*$"",""""))"),"2023-03-31")</f>
        <v>2023-03-31</v>
      </c>
      <c r="D983" s="2" t="s">
        <v>8006</v>
      </c>
      <c r="H983" s="10" t="s">
        <v>8006</v>
      </c>
      <c r="I983" s="2" t="s">
        <v>508</v>
      </c>
      <c r="J983" s="26" t="str">
        <f t="array" ref="J983">IF(ISNA(XLOOKUP(I983,customers_clean!$A$2:$A$701,customers_clean!$A$2:$A$701, NA()) ),
   "❌ MISSING CUSTOMER", "✅")</f>
        <v>✅</v>
      </c>
      <c r="K983" s="2" t="str">
        <f t="array" ref="K983">XLOOKUP(I983,customers_clean!$A$2:$A$701,customers_clean!$C$2:$C$701)</f>
        <v> Sam Lee</v>
      </c>
      <c r="L983" s="10" t="str">
        <f t="array" ref="L983">XLOOKUP(I983,customers_clean!$A$2:$A$701,customers_clean!$D$2:$D$701)</f>
        <v>Sam Lee</v>
      </c>
      <c r="M983" s="2" t="str">
        <f t="array" ref="M983">XLOOKUP(I983,customers_clean!$A$2:$A$701,customers_clean!$I$2:$I$701)</f>
        <v>sam.lee@outlook.com</v>
      </c>
      <c r="N983" s="10" t="str">
        <f t="array" ref="N983">XLOOKUP(I983,customers_clean!$A$2:$A$701,customers_clean!$H$2:$H$701)</f>
        <v>sam.lee@outlook.com</v>
      </c>
      <c r="O983" s="9" t="str">
        <f>IFERROR(__xludf.DUMMYFUNCTION("IF(REGEXMATCH(TRIM(N983),""^[A-Za-z0-9._%+-]+@[A-Za-z0-9.-]+\.[A-Za-z]{2,}$""),""✅ Valid"",""❌ Invalid"")"),"✅ Valid")</f>
        <v>✅ Valid</v>
      </c>
      <c r="P983" s="2" t="str">
        <f t="array" ref="P983">XLOOKUP(I983,customers_clean!$A$2:$A$701,customers_clean!$K$2:$K$701)</f>
        <v>+49-310-27812889</v>
      </c>
      <c r="Q983" s="10" t="str">
        <f t="array" ref="Q983">XLOOKUP(I983,customers_clean!$A$2:$A$701,customers_clean!$N$2:$N$701)</f>
        <v>31027812889</v>
      </c>
      <c r="R983" s="9" t="str">
        <f t="array" ref="R983">XLOOKUP(I983,customers_clean!$A$2:$A$701,customers_clean!$Q$2:$Q$701)</f>
        <v>❌ INVALID</v>
      </c>
      <c r="S983" s="10" t="s">
        <v>114</v>
      </c>
      <c r="T983" s="2" t="s">
        <v>42</v>
      </c>
      <c r="U983" s="2" t="s">
        <v>512</v>
      </c>
      <c r="V983" s="2" t="s">
        <v>513</v>
      </c>
      <c r="W983" s="9" t="str">
        <f t="array" ref="W983">IF(ISNA(XLOOKUP(V983,products_master_corrected!$A$2:$A$151,products_master_corrected!$A$2:$A$151, NA())),
    "❌ MISSING SKU", "✅")</f>
        <v>✅</v>
      </c>
      <c r="X983" s="2" t="s">
        <v>8673</v>
      </c>
      <c r="Y983" s="2" t="s">
        <v>514</v>
      </c>
      <c r="Z983" s="10" t="s">
        <v>514</v>
      </c>
      <c r="AA983" s="27">
        <v>2.0</v>
      </c>
      <c r="AB983" s="9" t="s">
        <v>8649</v>
      </c>
      <c r="AC983" s="28">
        <f t="array" ref="AC983">XLOOKUP(V983,products_master_corrected!$A$2:$A$151,products_master_corrected!$E$2:$E$151)</f>
        <v>275.56</v>
      </c>
      <c r="AD983" s="28">
        <f t="shared" si="113"/>
        <v>551.12</v>
      </c>
      <c r="AE983" s="28">
        <f t="array" ref="AE983">XLOOKUP(V983,products_master_corrected!$A$2:$A$151,products_master_corrected!$F$2:$F$151)</f>
        <v>275.56</v>
      </c>
      <c r="AF983" s="29">
        <f t="shared" si="114"/>
        <v>551.12</v>
      </c>
      <c r="AG983" s="30" t="s">
        <v>65</v>
      </c>
      <c r="AH983" s="2" t="s">
        <v>370</v>
      </c>
      <c r="AI983" s="10" t="s">
        <v>143</v>
      </c>
      <c r="AJ983" s="2" t="s">
        <v>432</v>
      </c>
      <c r="AK983" s="10" t="s">
        <v>80</v>
      </c>
    </row>
    <row r="984" ht="15.75" customHeight="1">
      <c r="A984" s="2" t="s">
        <v>6045</v>
      </c>
      <c r="B984" s="12">
        <v>45912.0</v>
      </c>
      <c r="C984" s="2" t="str">
        <f>IFERROR(__xludf.DUMMYFUNCTION("IF(ISNUMBER(B984),TEXT(B984,""yyyy-MM-dd""),REGEXREPLACE(REGEXREPLACE(TO_TEXT(B984),""[^0-9a-zA-Z]+"",""-""),""[^0-9]*$"",""""))"),"2025-09-12")</f>
        <v>2025-09-12</v>
      </c>
      <c r="D984" s="2" t="s">
        <v>8583</v>
      </c>
      <c r="H984" s="10" t="s">
        <v>8583</v>
      </c>
      <c r="I984" s="2" t="s">
        <v>508</v>
      </c>
      <c r="J984" s="26" t="str">
        <f t="array" ref="J984">IF(ISNA(XLOOKUP(I984,customers_clean!$A$2:$A$701,customers_clean!$A$2:$A$701, NA()) ),
   "❌ MISSING CUSTOMER", "✅")</f>
        <v>✅</v>
      </c>
      <c r="K984" s="2" t="str">
        <f t="array" ref="K984">XLOOKUP(I984,customers_clean!$A$2:$A$701,customers_clean!$C$2:$C$701)</f>
        <v> Sam Lee</v>
      </c>
      <c r="L984" s="10" t="str">
        <f t="array" ref="L984">XLOOKUP(I984,customers_clean!$A$2:$A$701,customers_clean!$D$2:$D$701)</f>
        <v>Sam Lee</v>
      </c>
      <c r="M984" s="2" t="str">
        <f t="array" ref="M984">XLOOKUP(I984,customers_clean!$A$2:$A$701,customers_clean!$I$2:$I$701)</f>
        <v>sam.lee@outlook.com</v>
      </c>
      <c r="N984" s="10" t="str">
        <f t="array" ref="N984">XLOOKUP(I984,customers_clean!$A$2:$A$701,customers_clean!$H$2:$H$701)</f>
        <v>sam.lee@outlook.com</v>
      </c>
      <c r="O984" s="9" t="str">
        <f>IFERROR(__xludf.DUMMYFUNCTION("IF(REGEXMATCH(TRIM(N984),""^[A-Za-z0-9._%+-]+@[A-Za-z0-9.-]+\.[A-Za-z]{2,}$""),""✅ Valid"",""❌ Invalid"")"),"✅ Valid")</f>
        <v>✅ Valid</v>
      </c>
      <c r="P984" s="2" t="str">
        <f t="array" ref="P984">XLOOKUP(I984,customers_clean!$A$2:$A$701,customers_clean!$K$2:$K$701)</f>
        <v>+49-310-27812889</v>
      </c>
      <c r="Q984" s="10" t="str">
        <f t="array" ref="Q984">XLOOKUP(I984,customers_clean!$A$2:$A$701,customers_clean!$N$2:$N$701)</f>
        <v>31027812889</v>
      </c>
      <c r="R984" s="9" t="str">
        <f t="array" ref="R984">XLOOKUP(I984,customers_clean!$A$2:$A$701,customers_clean!$Q$2:$Q$701)</f>
        <v>❌ INVALID</v>
      </c>
      <c r="S984" s="10" t="s">
        <v>114</v>
      </c>
      <c r="T984" s="2" t="s">
        <v>234</v>
      </c>
      <c r="U984" s="2" t="s">
        <v>333</v>
      </c>
      <c r="V984" s="2" t="s">
        <v>5482</v>
      </c>
      <c r="W984" s="9" t="str">
        <f t="array" ref="W984">IF(ISNA(XLOOKUP(V984,products_master_corrected!$A$2:$A$151,products_master_corrected!$A$2:$A$151, NA())),
    "❌ MISSING SKU", "✅")</f>
        <v>✅</v>
      </c>
      <c r="X984" s="2" t="s">
        <v>259</v>
      </c>
      <c r="Y984" s="2" t="s">
        <v>503</v>
      </c>
      <c r="Z984" s="10" t="str">
        <f t="shared" ref="Z984:Z985" si="116">PROPER(TRIM(Y984))</f>
        <v>Monitors</v>
      </c>
      <c r="AA984" s="27">
        <v>3.0</v>
      </c>
      <c r="AB984" s="9" t="s">
        <v>8649</v>
      </c>
      <c r="AC984" s="28">
        <f t="array" ref="AC984">XLOOKUP(V984,products_master_corrected!$A$2:$A$151,products_master_corrected!$E$2:$E$151)</f>
        <v>39.4</v>
      </c>
      <c r="AD984" s="28">
        <f t="shared" si="113"/>
        <v>118.2</v>
      </c>
      <c r="AE984" s="28">
        <f t="array" ref="AE984">XLOOKUP(V984,products_master_corrected!$A$2:$A$151,products_master_corrected!$F$2:$F$151)</f>
        <v>39.4</v>
      </c>
      <c r="AF984" s="29">
        <f t="shared" si="114"/>
        <v>118.2</v>
      </c>
      <c r="AG984" s="30" t="s">
        <v>65</v>
      </c>
      <c r="AH984" s="2" t="s">
        <v>131</v>
      </c>
      <c r="AI984" s="10" t="s">
        <v>181</v>
      </c>
      <c r="AJ984" s="2" t="s">
        <v>50</v>
      </c>
      <c r="AK984" s="10" t="s">
        <v>261</v>
      </c>
    </row>
    <row r="985" ht="15.75" customHeight="1">
      <c r="A985" s="2" t="s">
        <v>2848</v>
      </c>
      <c r="B985" s="12">
        <v>44935.0</v>
      </c>
      <c r="C985" s="2" t="str">
        <f>IFERROR(__xludf.DUMMYFUNCTION("IF(ISNUMBER(B985),TEXT(B985,""yyyy-MM-dd""),REGEXREPLACE(REGEXREPLACE(TO_TEXT(B985),""[^0-9a-zA-Z]+"",""-""),""[^0-9]*$"",""""))"),"2023-01-09")</f>
        <v>2023-01-09</v>
      </c>
      <c r="D985" s="2" t="s">
        <v>7885</v>
      </c>
      <c r="H985" s="10" t="s">
        <v>7885</v>
      </c>
      <c r="I985" s="2" t="s">
        <v>2850</v>
      </c>
      <c r="J985" s="26" t="str">
        <f t="array" ref="J985">IF(ISNA(XLOOKUP(I985,customers_clean!$A$2:$A$701,customers_clean!$A$2:$A$701, NA()) ),
   "❌ MISSING CUSTOMER", "✅")</f>
        <v>✅</v>
      </c>
      <c r="K985" s="2" t="str">
        <f t="array" ref="K985">XLOOKUP(I985,customers_clean!$A$2:$A$701,customers_clean!$C$2:$C$701)</f>
        <v>Daria Kowlaczyk</v>
      </c>
      <c r="L985" s="10" t="str">
        <f t="array" ref="L985">XLOOKUP(I985,customers_clean!$A$2:$A$701,customers_clean!$D$2:$D$701)</f>
        <v>Daria Kowalczyk</v>
      </c>
      <c r="M985" s="2" t="str">
        <f t="array" ref="M985">XLOOKUP(I985,customers_clean!$A$2:$A$701,customers_clean!$I$2:$I$701)</f>
        <v>Daria.Kowalczyk@Outlook.Com</v>
      </c>
      <c r="N985" s="10" t="str">
        <f t="array" ref="N985">XLOOKUP(I985,customers_clean!$A$2:$A$701,customers_clean!$H$2:$H$701)</f>
        <v>daria.kowalczyk@outlook.com</v>
      </c>
      <c r="O985" s="9" t="str">
        <f>IFERROR(__xludf.DUMMYFUNCTION("IF(REGEXMATCH(TRIM(N985),""^[A-Za-z0-9._%+-]+@[A-Za-z0-9.-]+\.[A-Za-z]{2,}$""),""✅ Valid"",""❌ Invalid"")"),"✅ Valid")</f>
        <v>✅ Valid</v>
      </c>
      <c r="P985" s="2" t="str">
        <f t="array" ref="P985">XLOOKUP(I985,customers_clean!$A$2:$A$701,customers_clean!$K$2:$K$701)</f>
        <v>+39350473848 ext 449</v>
      </c>
      <c r="Q985" s="10" t="str">
        <f t="array" ref="Q985">XLOOKUP(I985,customers_clean!$A$2:$A$701,customers_clean!$N$2:$N$701)</f>
        <v>350473848</v>
      </c>
      <c r="R985" s="9" t="str">
        <f t="array" ref="R985">XLOOKUP(I985,customers_clean!$A$2:$A$701,customers_clean!$Q$2:$Q$701)</f>
        <v>✅ VALID</v>
      </c>
      <c r="S985" s="31" t="s">
        <v>671</v>
      </c>
      <c r="T985" s="2" t="s">
        <v>223</v>
      </c>
      <c r="U985" s="2" t="s">
        <v>500</v>
      </c>
      <c r="V985" s="2" t="s">
        <v>501</v>
      </c>
      <c r="W985" s="9" t="str">
        <f t="array" ref="W985">IF(ISNA(XLOOKUP(V985,products_master_corrected!$A$2:$A$151,products_master_corrected!$A$2:$A$151, NA())),
    "❌ MISSING SKU", "✅")</f>
        <v>✅</v>
      </c>
      <c r="X985" s="2" t="s">
        <v>502</v>
      </c>
      <c r="Y985" s="2" t="s">
        <v>503</v>
      </c>
      <c r="Z985" s="10" t="str">
        <f t="shared" si="116"/>
        <v>Monitors</v>
      </c>
      <c r="AA985" s="27">
        <v>3.0</v>
      </c>
      <c r="AB985" s="9" t="s">
        <v>8649</v>
      </c>
      <c r="AC985" s="28">
        <f t="array" ref="AC985">XLOOKUP(V985,products_master_corrected!$A$2:$A$151,products_master_corrected!$E$2:$E$151)</f>
        <v>1071.94</v>
      </c>
      <c r="AD985" s="28">
        <f t="shared" si="113"/>
        <v>3215.82</v>
      </c>
      <c r="AE985" s="28">
        <f t="array" ref="AE985">XLOOKUP(V985,products_master_corrected!$A$2:$A$151,products_master_corrected!$J$2:$J$151)</f>
        <v>1250.2</v>
      </c>
      <c r="AF985" s="29">
        <f t="shared" si="114"/>
        <v>3750.6</v>
      </c>
      <c r="AG985" s="32" t="s">
        <v>8656</v>
      </c>
      <c r="AH985" s="2" t="s">
        <v>33</v>
      </c>
      <c r="AI985" s="10" t="s">
        <v>181</v>
      </c>
      <c r="AJ985" s="2" t="s">
        <v>2855</v>
      </c>
      <c r="AK985" s="10" t="s">
        <v>261</v>
      </c>
      <c r="AL985" s="2" t="s">
        <v>67</v>
      </c>
    </row>
    <row r="986" ht="15.75" customHeight="1">
      <c r="A986" s="2" t="s">
        <v>4786</v>
      </c>
      <c r="B986" s="12">
        <v>45789.0</v>
      </c>
      <c r="C986" s="2" t="str">
        <f>IFERROR(__xludf.DUMMYFUNCTION("IF(ISNUMBER(B986),TEXT(B986,""yyyy-MM-dd""),REGEXREPLACE(REGEXREPLACE(TO_TEXT(B986),""[^0-9a-zA-Z]+"",""-""),""[^0-9]*$"",""""))"),"2025-05-12")</f>
        <v>2025-05-12</v>
      </c>
      <c r="D986" s="2" t="s">
        <v>8993</v>
      </c>
      <c r="H986" s="10" t="s">
        <v>8993</v>
      </c>
      <c r="I986" s="2" t="s">
        <v>2850</v>
      </c>
      <c r="J986" s="26" t="str">
        <f t="array" ref="J986">IF(ISNA(XLOOKUP(I986,customers_clean!$A$2:$A$701,customers_clean!$A$2:$A$701, NA()) ),
   "❌ MISSING CUSTOMER", "✅")</f>
        <v>✅</v>
      </c>
      <c r="K986" s="2" t="str">
        <f t="array" ref="K986">XLOOKUP(I986,customers_clean!$A$2:$A$701,customers_clean!$C$2:$C$701)</f>
        <v>Daria Kowlaczyk</v>
      </c>
      <c r="L986" s="10" t="str">
        <f t="array" ref="L986">XLOOKUP(I986,customers_clean!$A$2:$A$701,customers_clean!$D$2:$D$701)</f>
        <v>Daria Kowalczyk</v>
      </c>
      <c r="M986" s="2" t="str">
        <f t="array" ref="M986">XLOOKUP(I986,customers_clean!$A$2:$A$701,customers_clean!$I$2:$I$701)</f>
        <v>Daria.Kowalczyk@Outlook.Com</v>
      </c>
      <c r="N986" s="10" t="str">
        <f t="array" ref="N986">XLOOKUP(I986,customers_clean!$A$2:$A$701,customers_clean!$H$2:$H$701)</f>
        <v>daria.kowalczyk@outlook.com</v>
      </c>
      <c r="O986" s="9" t="str">
        <f>IFERROR(__xludf.DUMMYFUNCTION("IF(REGEXMATCH(TRIM(N986),""^[A-Za-z0-9._%+-]+@[A-Za-z0-9.-]+\.[A-Za-z]{2,}$""),""✅ Valid"",""❌ Invalid"")"),"✅ Valid")</f>
        <v>✅ Valid</v>
      </c>
      <c r="P986" s="2" t="str">
        <f t="array" ref="P986">XLOOKUP(I986,customers_clean!$A$2:$A$701,customers_clean!$K$2:$K$701)</f>
        <v>+39350473848 ext 449</v>
      </c>
      <c r="Q986" s="10" t="str">
        <f t="array" ref="Q986">XLOOKUP(I986,customers_clean!$A$2:$A$701,customers_clean!$N$2:$N$701)</f>
        <v>350473848</v>
      </c>
      <c r="R986" s="9" t="str">
        <f t="array" ref="R986">XLOOKUP(I986,customers_clean!$A$2:$A$701,customers_clean!$Q$2:$Q$701)</f>
        <v>✅ VALID</v>
      </c>
      <c r="S986" s="31" t="s">
        <v>671</v>
      </c>
      <c r="T986" s="2" t="s">
        <v>778</v>
      </c>
      <c r="U986" s="2" t="s">
        <v>103</v>
      </c>
      <c r="V986" s="2" t="s">
        <v>1772</v>
      </c>
      <c r="W986" s="9" t="str">
        <f t="array" ref="W986">IF(ISNA(XLOOKUP(V986,products_master_corrected!$A$2:$A$151,products_master_corrected!$A$2:$A$151, NA())),
    "❌ MISSING SKU", "✅")</f>
        <v>✅</v>
      </c>
      <c r="X986" s="2" t="s">
        <v>403</v>
      </c>
      <c r="Y986" s="2" t="s">
        <v>995</v>
      </c>
      <c r="Z986" s="10" t="s">
        <v>355</v>
      </c>
      <c r="AA986" s="27">
        <v>1.0</v>
      </c>
      <c r="AB986" s="9" t="s">
        <v>8649</v>
      </c>
      <c r="AC986" s="28">
        <f t="array" ref="AC986">XLOOKUP(V986,products_master_corrected!$A$2:$A$151,products_master_corrected!$E$2:$E$151)</f>
        <v>39.48</v>
      </c>
      <c r="AD986" s="28">
        <f t="shared" si="113"/>
        <v>39.48</v>
      </c>
      <c r="AE986" s="28">
        <f t="array" ref="AE986">XLOOKUP(V986,products_master_corrected!$A$2:$A$151,products_master_corrected!$J$2:$J$151)</f>
        <v>46.05</v>
      </c>
      <c r="AF986" s="29">
        <f t="shared" si="114"/>
        <v>46.05</v>
      </c>
      <c r="AG986" s="32" t="s">
        <v>8656</v>
      </c>
      <c r="AH986" s="2" t="s">
        <v>526</v>
      </c>
      <c r="AI986" s="10" t="s">
        <v>49</v>
      </c>
      <c r="AJ986" s="2" t="s">
        <v>306</v>
      </c>
      <c r="AK986" s="10" t="s">
        <v>192</v>
      </c>
    </row>
    <row r="987" ht="15.75" customHeight="1">
      <c r="A987" s="2" t="s">
        <v>2105</v>
      </c>
      <c r="B987" s="12">
        <v>45429.99791666667</v>
      </c>
      <c r="C987" s="2" t="str">
        <f>IFERROR(__xludf.DUMMYFUNCTION("IF(ISNUMBER(B987),TEXT(B987,""yyyy-MM-dd""),REGEXREPLACE(REGEXREPLACE(TO_TEXT(B987),""[^0-9a-zA-Z]+"",""-""),""[^0-9]*$"",""""))"),"2024-05-17")</f>
        <v>2024-05-17</v>
      </c>
      <c r="D987" s="2" t="s">
        <v>8741</v>
      </c>
      <c r="H987" s="10" t="s">
        <v>8741</v>
      </c>
      <c r="I987" s="2" t="s">
        <v>2107</v>
      </c>
      <c r="J987" s="26" t="str">
        <f t="array" ref="J987">IF(ISNA(XLOOKUP(I987,customers_clean!$A$2:$A$701,customers_clean!$A$2:$A$701, NA()) ),
   "❌ MISSING CUSTOMER", "✅")</f>
        <v>✅</v>
      </c>
      <c r="K987" s="2" t="str">
        <f t="array" ref="K987">XLOOKUP(I987,customers_clean!$A$2:$A$701,customers_clean!$C$2:$C$701)</f>
        <v>Ethan Johnson</v>
      </c>
      <c r="L987" s="10" t="str">
        <f t="array" ref="L987">XLOOKUP(I987,customers_clean!$A$2:$A$701,customers_clean!$D$2:$D$701)</f>
        <v>Ethan Johnson</v>
      </c>
      <c r="M987" s="2" t="str">
        <f t="array" ref="M987">XLOOKUP(I987,customers_clean!$A$2:$A$701,customers_clean!$I$2:$I$701)</f>
        <v>ethan.johnson@yahoo.com</v>
      </c>
      <c r="N987" s="10" t="str">
        <f t="array" ref="N987">XLOOKUP(I987,customers_clean!$A$2:$A$701,customers_clean!$H$2:$H$701)</f>
        <v>ethan.johnson@yahoo.com</v>
      </c>
      <c r="O987" s="9" t="str">
        <f>IFERROR(__xludf.DUMMYFUNCTION("IF(REGEXMATCH(TRIM(N987),""^[A-Za-z0-9._%+-]+@[A-Za-z0-9.-]+\.[A-Za-z]{2,}$""),""✅ Valid"",""❌ Invalid"")"),"✅ Valid")</f>
        <v>✅ Valid</v>
      </c>
      <c r="P987" s="2">
        <f t="array" ref="P987">XLOOKUP(I987,customers_clean!$A$2:$A$701,customers_clean!$K$2:$K$701)</f>
        <v>85974111</v>
      </c>
      <c r="Q987" s="10" t="str">
        <f t="array" ref="Q987">XLOOKUP(I987,customers_clean!$A$2:$A$701,customers_clean!$N$2:$N$701)</f>
        <v>85974111</v>
      </c>
      <c r="R987" s="9" t="str">
        <f t="array" ref="R987">XLOOKUP(I987,customers_clean!$A$2:$A$701,customers_clean!$Q$2:$Q$701)</f>
        <v>❌ INVALID</v>
      </c>
      <c r="S987" s="10" t="s">
        <v>58</v>
      </c>
      <c r="T987" s="2" t="s">
        <v>26</v>
      </c>
      <c r="U987" s="2" t="s">
        <v>352</v>
      </c>
      <c r="V987" s="2" t="s">
        <v>91</v>
      </c>
      <c r="W987" s="9" t="str">
        <f t="array" ref="W987">IF(ISNA(XLOOKUP(V987,products_master_corrected!$A$2:$A$151,products_master_corrected!$A$2:$A$151, NA())),
    "❌ MISSING SKU", "✅")</f>
        <v>✅</v>
      </c>
      <c r="X987" s="2" t="s">
        <v>259</v>
      </c>
      <c r="Y987" s="2" t="s">
        <v>93</v>
      </c>
      <c r="Z987" s="10" t="s">
        <v>368</v>
      </c>
      <c r="AA987" s="27">
        <v>2.0</v>
      </c>
      <c r="AB987" s="9" t="s">
        <v>8649</v>
      </c>
      <c r="AC987" s="28">
        <f t="array" ref="AC987">XLOOKUP(V987,products_master_corrected!$A$2:$A$151,products_master_corrected!$E$2:$E$151)</f>
        <v>30.17</v>
      </c>
      <c r="AD987" s="28">
        <f t="shared" si="113"/>
        <v>60.34</v>
      </c>
      <c r="AE987" s="28">
        <f t="array" ref="AE987">XLOOKUP(V987,products_master_corrected!$A$2:$A$151,products_master_corrected!$G$2:$G$151)</f>
        <v>34.54</v>
      </c>
      <c r="AF987" s="29">
        <f t="shared" si="114"/>
        <v>69.08</v>
      </c>
      <c r="AG987" s="32" t="s">
        <v>8663</v>
      </c>
      <c r="AH987" s="2" t="s">
        <v>49</v>
      </c>
      <c r="AI987" s="10" t="s">
        <v>49</v>
      </c>
      <c r="AJ987" s="2" t="s">
        <v>169</v>
      </c>
      <c r="AK987" s="10" t="s">
        <v>261</v>
      </c>
      <c r="AL987" s="2" t="s">
        <v>67</v>
      </c>
    </row>
    <row r="988" ht="15.75" customHeight="1">
      <c r="A988" s="2" t="s">
        <v>1817</v>
      </c>
      <c r="B988" s="12">
        <v>45296.0</v>
      </c>
      <c r="C988" s="2" t="str">
        <f>IFERROR(__xludf.DUMMYFUNCTION("IF(ISNUMBER(B988),TEXT(B988,""yyyy-MM-dd""),REGEXREPLACE(REGEXREPLACE(TO_TEXT(B988),""[^0-9a-zA-Z]+"",""-""),""[^0-9]*$"",""""))"),"2024-01-05")</f>
        <v>2024-01-05</v>
      </c>
      <c r="D988" s="2" t="s">
        <v>8928</v>
      </c>
      <c r="H988" s="10" t="s">
        <v>8928</v>
      </c>
      <c r="I988" s="2" t="s">
        <v>1819</v>
      </c>
      <c r="J988" s="26" t="str">
        <f t="array" ref="J988">IF(ISNA(XLOOKUP(I988,customers_clean!$A$2:$A$701,customers_clean!$A$2:$A$701, NA()) ),
   "❌ MISSING CUSTOMER", "✅")</f>
        <v>✅</v>
      </c>
      <c r="K988" s="2" t="str">
        <f t="array" ref="K988">XLOOKUP(I988,customers_clean!$A$2:$A$701,customers_clean!$C$2:$C$701)</f>
        <v>Tara oJhnson</v>
      </c>
      <c r="L988" s="10" t="str">
        <f t="array" ref="L988">XLOOKUP(I988,customers_clean!$A$2:$A$701,customers_clean!$D$2:$D$701)</f>
        <v>Tara Johnson</v>
      </c>
      <c r="M988" s="2" t="str">
        <f t="array" ref="M988">XLOOKUP(I988,customers_clean!$A$2:$A$701,customers_clean!$I$2:$I$701)</f>
        <v>tara.johnson@gmail.com  </v>
      </c>
      <c r="N988" s="10" t="str">
        <f t="array" ref="N988">XLOOKUP(I988,customers_clean!$A$2:$A$701,customers_clean!$H$2:$H$701)</f>
        <v>tara.johnson@gmail.com</v>
      </c>
      <c r="O988" s="9" t="str">
        <f>IFERROR(__xludf.DUMMYFUNCTION("IF(REGEXMATCH(TRIM(N988),""^[A-Za-z0-9._%+-]+@[A-Za-z0-9.-]+\.[A-Za-z]{2,}$""),""✅ Valid"",""❌ Invalid"")"),"✅ Valid")</f>
        <v>✅ Valid</v>
      </c>
      <c r="P988" s="2" t="str">
        <f t="array" ref="P988">XLOOKUP(I988,customers_clean!$A$2:$A$701,customers_clean!$K$2:$K$701)</f>
        <v>+353437295330</v>
      </c>
      <c r="Q988" s="10" t="str">
        <f t="array" ref="Q988">XLOOKUP(I988,customers_clean!$A$2:$A$701,customers_clean!$N$2:$N$701)</f>
        <v>437295330</v>
      </c>
      <c r="R988" s="9" t="str">
        <f t="array" ref="R988">XLOOKUP(I988,customers_clean!$A$2:$A$701,customers_clean!$Q$2:$Q$701)</f>
        <v>❌ INVALID</v>
      </c>
      <c r="S988" s="10" t="s">
        <v>58</v>
      </c>
      <c r="T988" s="2" t="s">
        <v>323</v>
      </c>
      <c r="U988" s="2" t="s">
        <v>480</v>
      </c>
      <c r="V988" s="2" t="s">
        <v>104</v>
      </c>
      <c r="W988" s="9" t="str">
        <f t="array" ref="W988">IF(ISNA(XLOOKUP(V988,products_master_corrected!$A$2:$A$151,products_master_corrected!$A$2:$A$151, NA())),
    "❌ MISSING SKU", "✅")</f>
        <v>✅</v>
      </c>
      <c r="X988" s="2" t="s">
        <v>8703</v>
      </c>
      <c r="Y988" s="2" t="s">
        <v>106</v>
      </c>
      <c r="Z988" s="10" t="s">
        <v>368</v>
      </c>
      <c r="AA988" s="27">
        <v>2.0</v>
      </c>
      <c r="AB988" s="9" t="s">
        <v>8649</v>
      </c>
      <c r="AC988" s="28">
        <f t="array" ref="AC988">XLOOKUP(V988,products_master_corrected!$A$2:$A$151,products_master_corrected!$E$2:$E$151)</f>
        <v>135.16</v>
      </c>
      <c r="AD988" s="28">
        <f t="shared" si="113"/>
        <v>270.32</v>
      </c>
      <c r="AE988" s="28">
        <f t="array" ref="AE988">XLOOKUP(V988,products_master_corrected!$A$2:$A$151,products_master_corrected!$G$2:$G$151)</f>
        <v>154.73</v>
      </c>
      <c r="AF988" s="29">
        <f t="shared" si="114"/>
        <v>309.46</v>
      </c>
      <c r="AG988" s="32" t="s">
        <v>8663</v>
      </c>
      <c r="AH988" s="2" t="s">
        <v>573</v>
      </c>
      <c r="AI988" s="10" t="s">
        <v>66</v>
      </c>
      <c r="AJ988" s="2" t="s">
        <v>393</v>
      </c>
      <c r="AK988" s="10" t="s">
        <v>80</v>
      </c>
      <c r="AL988" s="2" t="s">
        <v>133</v>
      </c>
    </row>
    <row r="989" ht="15.75" customHeight="1">
      <c r="A989" s="2" t="s">
        <v>2944</v>
      </c>
      <c r="B989" s="12">
        <v>45273.0</v>
      </c>
      <c r="C989" s="2" t="str">
        <f>IFERROR(__xludf.DUMMYFUNCTION("IF(ISNUMBER(B989),TEXT(B989,""yyyy-MM-dd""),REGEXREPLACE(REGEXREPLACE(TO_TEXT(B989),""[^0-9a-zA-Z]+"",""-""),""[^0-9]*$"",""""))"),"2023-12-13")</f>
        <v>2023-12-13</v>
      </c>
      <c r="D989" s="2" t="s">
        <v>8104</v>
      </c>
      <c r="H989" s="10" t="s">
        <v>8104</v>
      </c>
      <c r="I989" s="2" t="s">
        <v>2946</v>
      </c>
      <c r="J989" s="26" t="str">
        <f t="array" ref="J989">IF(ISNA(XLOOKUP(I989,customers_clean!$A$2:$A$701,customers_clean!$A$2:$A$701, NA()) ),
   "❌ MISSING CUSTOMER", "✅")</f>
        <v>✅</v>
      </c>
      <c r="K989" s="2" t="str">
        <f t="array" ref="K989">XLOOKUP(I989,customers_clean!$A$2:$A$701,customers_clean!$C$2:$C$701)</f>
        <v>Tara Johnson</v>
      </c>
      <c r="L989" s="10" t="str">
        <f t="array" ref="L989">XLOOKUP(I989,customers_clean!$A$2:$A$701,customers_clean!$D$2:$D$701)</f>
        <v>Tara Johnson</v>
      </c>
      <c r="M989" s="2" t="str">
        <f t="array" ref="M989">XLOOKUP(I989,customers_clean!$A$2:$A$701,customers_clean!$I$2:$I$701)</f>
        <v>tara.johnson@gmail.com </v>
      </c>
      <c r="N989" s="10" t="str">
        <f t="array" ref="N989">XLOOKUP(I989,customers_clean!$A$2:$A$701,customers_clean!$H$2:$H$701)</f>
        <v>tara.johnson@gmail.com</v>
      </c>
      <c r="O989" s="9" t="str">
        <f>IFERROR(__xludf.DUMMYFUNCTION("IF(REGEXMATCH(TRIM(N989),""^[A-Za-z0-9._%+-]+@[A-Za-z0-9.-]+\.[A-Za-z]{2,}$""),""✅ Valid"",""❌ Invalid"")"),"✅ Valid")</f>
        <v>✅ Valid</v>
      </c>
      <c r="P989" s="2" t="str">
        <f t="array" ref="P989">XLOOKUP(I989,customers_clean!$A$2:$A$701,customers_clean!$K$2:$K$701)</f>
        <v>+39 1202-0919-0</v>
      </c>
      <c r="Q989" s="10" t="str">
        <f t="array" ref="Q989">XLOOKUP(I989,customers_clean!$A$2:$A$701,customers_clean!$N$2:$N$701)</f>
        <v>120209190</v>
      </c>
      <c r="R989" s="9" t="str">
        <f t="array" ref="R989">XLOOKUP(I989,customers_clean!$A$2:$A$701,customers_clean!$Q$2:$Q$701)</f>
        <v>❌ INVALID</v>
      </c>
      <c r="S989" s="10" t="s">
        <v>139</v>
      </c>
      <c r="T989" s="2" t="s">
        <v>2949</v>
      </c>
      <c r="U989" s="2" t="s">
        <v>512</v>
      </c>
      <c r="V989" s="2" t="s">
        <v>1168</v>
      </c>
      <c r="W989" s="9" t="str">
        <f t="array" ref="W989">IF(ISNA(XLOOKUP(V989,products_master_corrected!$A$2:$A$151,products_master_corrected!$A$2:$A$151, NA())),
    "❌ MISSING SKU", "✅")</f>
        <v>✅</v>
      </c>
      <c r="X989" s="2" t="s">
        <v>423</v>
      </c>
      <c r="Y989" s="2" t="s">
        <v>63</v>
      </c>
      <c r="Z989" s="10" t="s">
        <v>63</v>
      </c>
      <c r="AA989" s="27">
        <v>3.0</v>
      </c>
      <c r="AB989" s="9" t="s">
        <v>8649</v>
      </c>
      <c r="AC989" s="28">
        <f t="array" ref="AC989">XLOOKUP(V989,products_master_corrected!$A$2:$A$151,products_master_corrected!$E$2:$E$151)</f>
        <v>106.64</v>
      </c>
      <c r="AD989" s="28">
        <f t="shared" si="113"/>
        <v>319.92</v>
      </c>
      <c r="AE989" s="28">
        <f t="array" ref="AE989">XLOOKUP(V989,products_master_corrected!$A$2:$A$151,products_master_corrected!$L$2:$L$151)</f>
        <v>115.33</v>
      </c>
      <c r="AF989" s="29">
        <f t="shared" si="114"/>
        <v>345.99</v>
      </c>
      <c r="AG989" s="32" t="s">
        <v>8665</v>
      </c>
      <c r="AH989" s="2" t="s">
        <v>204</v>
      </c>
      <c r="AI989" s="10" t="s">
        <v>143</v>
      </c>
      <c r="AJ989" s="2" t="s">
        <v>442</v>
      </c>
      <c r="AK989" s="10" t="s">
        <v>80</v>
      </c>
      <c r="AL989" s="2" t="s">
        <v>51</v>
      </c>
    </row>
    <row r="990" ht="15.75" customHeight="1">
      <c r="A990" s="2" t="s">
        <v>4255</v>
      </c>
      <c r="B990" s="12">
        <v>45010.0</v>
      </c>
      <c r="C990" s="2" t="str">
        <f>IFERROR(__xludf.DUMMYFUNCTION("IF(ISNUMBER(B990),TEXT(B990,""yyyy-MM-dd""),REGEXREPLACE(REGEXREPLACE(TO_TEXT(B990),""[^0-9a-zA-Z]+"",""-""),""[^0-9]*$"",""""))"),"2023-03-25")</f>
        <v>2023-03-25</v>
      </c>
      <c r="D990" s="2" t="s">
        <v>8965</v>
      </c>
      <c r="H990" s="10" t="s">
        <v>8965</v>
      </c>
      <c r="I990" s="2" t="s">
        <v>2946</v>
      </c>
      <c r="J990" s="26" t="str">
        <f t="array" ref="J990">IF(ISNA(XLOOKUP(I990,customers_clean!$A$2:$A$701,customers_clean!$A$2:$A$701, NA()) ),
   "❌ MISSING CUSTOMER", "✅")</f>
        <v>✅</v>
      </c>
      <c r="K990" s="2" t="str">
        <f t="array" ref="K990">XLOOKUP(I990,customers_clean!$A$2:$A$701,customers_clean!$C$2:$C$701)</f>
        <v>Tara Johnson</v>
      </c>
      <c r="L990" s="10" t="str">
        <f t="array" ref="L990">XLOOKUP(I990,customers_clean!$A$2:$A$701,customers_clean!$D$2:$D$701)</f>
        <v>Tara Johnson</v>
      </c>
      <c r="M990" s="2" t="str">
        <f t="array" ref="M990">XLOOKUP(I990,customers_clean!$A$2:$A$701,customers_clean!$I$2:$I$701)</f>
        <v>tara.johnson@gmail.com </v>
      </c>
      <c r="N990" s="10" t="str">
        <f t="array" ref="N990">XLOOKUP(I990,customers_clean!$A$2:$A$701,customers_clean!$H$2:$H$701)</f>
        <v>tara.johnson@gmail.com</v>
      </c>
      <c r="O990" s="9" t="str">
        <f>IFERROR(__xludf.DUMMYFUNCTION("IF(REGEXMATCH(TRIM(N990),""^[A-Za-z0-9._%+-]+@[A-Za-z0-9.-]+\.[A-Za-z]{2,}$""),""✅ Valid"",""❌ Invalid"")"),"✅ Valid")</f>
        <v>✅ Valid</v>
      </c>
      <c r="P990" s="2" t="str">
        <f t="array" ref="P990">XLOOKUP(I990,customers_clean!$A$2:$A$701,customers_clean!$K$2:$K$701)</f>
        <v>+39 1202-0919-0</v>
      </c>
      <c r="Q990" s="10" t="str">
        <f t="array" ref="Q990">XLOOKUP(I990,customers_clean!$A$2:$A$701,customers_clean!$N$2:$N$701)</f>
        <v>120209190</v>
      </c>
      <c r="R990" s="9" t="str">
        <f t="array" ref="R990">XLOOKUP(I990,customers_clean!$A$2:$A$701,customers_clean!$Q$2:$Q$701)</f>
        <v>❌ INVALID</v>
      </c>
      <c r="S990" s="10" t="s">
        <v>139</v>
      </c>
      <c r="T990" s="2" t="s">
        <v>778</v>
      </c>
      <c r="U990" s="2" t="s">
        <v>401</v>
      </c>
      <c r="V990" s="2" t="s">
        <v>334</v>
      </c>
      <c r="W990" s="9" t="str">
        <f t="array" ref="W990">IF(ISNA(XLOOKUP(V990,products_master_corrected!$A$2:$A$151,products_master_corrected!$A$2:$A$151, NA())),
    "❌ MISSING SKU", "✅")</f>
        <v>✅</v>
      </c>
      <c r="X990" s="2" t="s">
        <v>29</v>
      </c>
      <c r="Y990" s="2" t="s">
        <v>248</v>
      </c>
      <c r="Z990" s="10" t="s">
        <v>248</v>
      </c>
      <c r="AA990" s="27">
        <v>1.0</v>
      </c>
      <c r="AB990" s="9" t="s">
        <v>8649</v>
      </c>
      <c r="AC990" s="28">
        <f t="array" ref="AC990">XLOOKUP(V990,products_master_corrected!$A$2:$A$151,products_master_corrected!$E$2:$E$151)</f>
        <v>75.62</v>
      </c>
      <c r="AD990" s="28">
        <f t="shared" si="113"/>
        <v>75.62</v>
      </c>
      <c r="AE990" s="28">
        <f t="array" ref="AE990">XLOOKUP(V990,products_master_corrected!$A$2:$A$151,products_master_corrected!$L$2:$L$151)</f>
        <v>81.78</v>
      </c>
      <c r="AF990" s="29">
        <f t="shared" si="114"/>
        <v>81.78</v>
      </c>
      <c r="AG990" s="32" t="s">
        <v>8665</v>
      </c>
      <c r="AH990" s="2" t="s">
        <v>573</v>
      </c>
      <c r="AI990" s="10" t="s">
        <v>66</v>
      </c>
      <c r="AJ990" s="2" t="s">
        <v>818</v>
      </c>
      <c r="AK990" s="10" t="s">
        <v>818</v>
      </c>
      <c r="AL990" s="2" t="s">
        <v>81</v>
      </c>
    </row>
    <row r="991" ht="15.75" customHeight="1">
      <c r="A991" s="2" t="s">
        <v>1870</v>
      </c>
      <c r="B991" s="12" t="s">
        <v>1871</v>
      </c>
      <c r="C991" s="2" t="str">
        <f>IFERROR(__xludf.DUMMYFUNCTION("IF(ISNUMBER(B991),TEXT(B991,""yyyy-MM-dd""),REGEXREPLACE(REGEXREPLACE(TO_TEXT(B991),""[^0-9a-zA-Z]+"",""-""),""[^0-9]*$"",""""))"),"09-19-2023")</f>
        <v>09-19-2023</v>
      </c>
      <c r="D991" s="2" t="str">
        <f>TEXT(C991,"yyyy-MM-dd")</f>
        <v>09-19-2023</v>
      </c>
      <c r="E991" s="2" t="s">
        <v>7834</v>
      </c>
      <c r="H991" s="10" t="s">
        <v>7834</v>
      </c>
      <c r="I991" s="2" t="s">
        <v>1872</v>
      </c>
      <c r="J991" s="26" t="str">
        <f t="array" ref="J991">IF(ISNA(XLOOKUP(I991,customers_clean!$A$2:$A$701,customers_clean!$A$2:$A$701, NA()) ),
   "❌ MISSING CUSTOMER", "✅")</f>
        <v>✅</v>
      </c>
      <c r="K991" s="2" t="str">
        <f t="array" ref="K991">XLOOKUP(I991,customers_clean!$A$2:$A$701,customers_clean!$C$2:$C$701)</f>
        <v>Tara Jonhson</v>
      </c>
      <c r="L991" s="10" t="str">
        <f t="array" ref="L991">XLOOKUP(I991,customers_clean!$A$2:$A$701,customers_clean!$D$2:$D$701)</f>
        <v>Tara Johnson</v>
      </c>
      <c r="M991" s="2" t="str">
        <f t="array" ref="M991">XLOOKUP(I991,customers_clean!$A$2:$A$701,customers_clean!$I$2:$I$701)</f>
        <v>tara.johnson@outlook.com </v>
      </c>
      <c r="N991" s="10" t="str">
        <f t="array" ref="N991">XLOOKUP(I991,customers_clean!$A$2:$A$701,customers_clean!$H$2:$H$701)</f>
        <v>tara.johnson@outlook.com</v>
      </c>
      <c r="O991" s="9" t="str">
        <f>IFERROR(__xludf.DUMMYFUNCTION("IF(REGEXMATCH(TRIM(N991),""^[A-Za-z0-9._%+-]+@[A-Za-z0-9.-]+\.[A-Za-z]{2,}$""),""✅ Valid"",""❌ Invalid"")"),"✅ Valid")</f>
        <v>✅ Valid</v>
      </c>
      <c r="P991" s="2" t="str">
        <f t="array" ref="P991">XLOOKUP(I991,customers_clean!$A$2:$A$701,customers_clean!$K$2:$K$701)</f>
        <v>427-331-7624</v>
      </c>
      <c r="Q991" s="10" t="str">
        <f t="array" ref="Q991">XLOOKUP(I991,customers_clean!$A$2:$A$701,customers_clean!$N$2:$N$701)</f>
        <v>4273317624</v>
      </c>
      <c r="R991" s="9" t="str">
        <f t="array" ref="R991">XLOOKUP(I991,customers_clean!$A$2:$A$701,customers_clean!$Q$2:$Q$701)</f>
        <v>❌ INVALID</v>
      </c>
      <c r="S991" s="10" t="s">
        <v>608</v>
      </c>
      <c r="T991" s="2" t="s">
        <v>26</v>
      </c>
      <c r="U991" s="2" t="s">
        <v>480</v>
      </c>
      <c r="V991" s="2" t="s">
        <v>652</v>
      </c>
      <c r="W991" s="9" t="str">
        <f t="array" ref="W991">IF(ISNA(XLOOKUP(V991,products_master_corrected!$A$2:$A$151,products_master_corrected!$A$2:$A$151, NA())),
    "❌ MISSING SKU", "✅")</f>
        <v>✅</v>
      </c>
      <c r="X991" s="2" t="s">
        <v>8673</v>
      </c>
      <c r="Y991" s="2" t="s">
        <v>179</v>
      </c>
      <c r="Z991" s="10" t="s">
        <v>179</v>
      </c>
      <c r="AA991" s="27">
        <v>1.0</v>
      </c>
      <c r="AB991" s="9" t="s">
        <v>8649</v>
      </c>
      <c r="AC991" s="28">
        <f t="array" ref="AC991">XLOOKUP(V991,products_master_corrected!$A$2:$A$151,products_master_corrected!$E$2:$E$151)</f>
        <v>240.24</v>
      </c>
      <c r="AD991" s="28">
        <f t="shared" si="113"/>
        <v>240.24</v>
      </c>
      <c r="AE991" s="28">
        <f t="array" ref="AE991">XLOOKUP(V991,products_master_corrected!$A$2:$A$151,products_master_corrected!$H$2:$H$151)</f>
        <v>269.91</v>
      </c>
      <c r="AF991" s="29">
        <f t="shared" si="114"/>
        <v>269.91</v>
      </c>
      <c r="AG991" s="32" t="s">
        <v>8658</v>
      </c>
      <c r="AH991" s="2" t="s">
        <v>131</v>
      </c>
      <c r="AI991" s="10" t="s">
        <v>181</v>
      </c>
      <c r="AJ991" s="2" t="s">
        <v>1312</v>
      </c>
      <c r="AK991" s="10" t="s">
        <v>818</v>
      </c>
    </row>
    <row r="992" ht="15.75" customHeight="1">
      <c r="A992" s="2" t="s">
        <v>2835</v>
      </c>
      <c r="B992" s="12">
        <v>45134.0</v>
      </c>
      <c r="C992" s="2" t="str">
        <f>IFERROR(__xludf.DUMMYFUNCTION("IF(ISNUMBER(B992),TEXT(B992,""yyyy-MM-dd""),REGEXREPLACE(REGEXREPLACE(TO_TEXT(B992),""[^0-9a-zA-Z]+"",""-""),""[^0-9]*$"",""""))"),"2023-07-27")</f>
        <v>2023-07-27</v>
      </c>
      <c r="D992" s="2" t="s">
        <v>8971</v>
      </c>
      <c r="H992" s="10" t="s">
        <v>8971</v>
      </c>
      <c r="I992" s="2" t="s">
        <v>1872</v>
      </c>
      <c r="J992" s="26" t="str">
        <f t="array" ref="J992">IF(ISNA(XLOOKUP(I992,customers_clean!$A$2:$A$701,customers_clean!$A$2:$A$701, NA()) ),
   "❌ MISSING CUSTOMER", "✅")</f>
        <v>✅</v>
      </c>
      <c r="K992" s="2" t="str">
        <f t="array" ref="K992">XLOOKUP(I992,customers_clean!$A$2:$A$701,customers_clean!$C$2:$C$701)</f>
        <v>Tara Jonhson</v>
      </c>
      <c r="L992" s="10" t="str">
        <f t="array" ref="L992">XLOOKUP(I992,customers_clean!$A$2:$A$701,customers_clean!$D$2:$D$701)</f>
        <v>Tara Johnson</v>
      </c>
      <c r="M992" s="2" t="str">
        <f t="array" ref="M992">XLOOKUP(I992,customers_clean!$A$2:$A$701,customers_clean!$I$2:$I$701)</f>
        <v>tara.johnson@outlook.com </v>
      </c>
      <c r="N992" s="10" t="str">
        <f t="array" ref="N992">XLOOKUP(I992,customers_clean!$A$2:$A$701,customers_clean!$H$2:$H$701)</f>
        <v>tara.johnson@outlook.com</v>
      </c>
      <c r="O992" s="9" t="str">
        <f>IFERROR(__xludf.DUMMYFUNCTION("IF(REGEXMATCH(TRIM(N992),""^[A-Za-z0-9._%+-]+@[A-Za-z0-9.-]+\.[A-Za-z]{2,}$""),""✅ Valid"",""❌ Invalid"")"),"✅ Valid")</f>
        <v>✅ Valid</v>
      </c>
      <c r="P992" s="2" t="str">
        <f t="array" ref="P992">XLOOKUP(I992,customers_clean!$A$2:$A$701,customers_clean!$K$2:$K$701)</f>
        <v>427-331-7624</v>
      </c>
      <c r="Q992" s="10" t="str">
        <f t="array" ref="Q992">XLOOKUP(I992,customers_clean!$A$2:$A$701,customers_clean!$N$2:$N$701)</f>
        <v>4273317624</v>
      </c>
      <c r="R992" s="9" t="str">
        <f t="array" ref="R992">XLOOKUP(I992,customers_clean!$A$2:$A$701,customers_clean!$Q$2:$Q$701)</f>
        <v>❌ INVALID</v>
      </c>
      <c r="S992" s="10" t="s">
        <v>608</v>
      </c>
      <c r="T992" s="2" t="s">
        <v>223</v>
      </c>
      <c r="U992" s="2" t="s">
        <v>480</v>
      </c>
      <c r="V992" s="2" t="s">
        <v>1460</v>
      </c>
      <c r="W992" s="9" t="str">
        <f t="array" ref="W992">IF(ISNA(XLOOKUP(V992,products_master_corrected!$A$2:$A$151,products_master_corrected!$A$2:$A$151, NA())),
    "❌ MISSING SKU", "✅")</f>
        <v>✅</v>
      </c>
      <c r="X992" s="2" t="s">
        <v>1138</v>
      </c>
      <c r="Y992" s="2" t="s">
        <v>368</v>
      </c>
      <c r="Z992" s="10" t="s">
        <v>368</v>
      </c>
      <c r="AA992" s="27">
        <v>3.0</v>
      </c>
      <c r="AB992" s="9" t="s">
        <v>8649</v>
      </c>
      <c r="AC992" s="28">
        <f t="array" ref="AC992">XLOOKUP(V992,products_master_corrected!$A$2:$A$151,products_master_corrected!$E$2:$E$151)</f>
        <v>271.81</v>
      </c>
      <c r="AD992" s="28">
        <f t="shared" si="113"/>
        <v>815.43</v>
      </c>
      <c r="AE992" s="28">
        <f t="array" ref="AE992">XLOOKUP(V992,products_master_corrected!$A$2:$A$151,products_master_corrected!$H$2:$H$151)</f>
        <v>305.38</v>
      </c>
      <c r="AF992" s="29">
        <f t="shared" si="114"/>
        <v>916.14</v>
      </c>
      <c r="AG992" s="32" t="s">
        <v>8658</v>
      </c>
      <c r="AH992" s="2" t="s">
        <v>143</v>
      </c>
      <c r="AI992" s="10" t="s">
        <v>143</v>
      </c>
      <c r="AJ992" s="2" t="s">
        <v>1312</v>
      </c>
      <c r="AK992" s="10" t="s">
        <v>818</v>
      </c>
    </row>
    <row r="993" ht="15.75" customHeight="1">
      <c r="A993" s="2" t="s">
        <v>3936</v>
      </c>
      <c r="B993" s="12" t="s">
        <v>3937</v>
      </c>
      <c r="C993" s="2" t="str">
        <f>IFERROR(__xludf.DUMMYFUNCTION("IF(ISNUMBER(B993),TEXT(B993,""yyyy-MM-dd""),REGEXREPLACE(REGEXREPLACE(TO_TEXT(B993),""[^0-9a-zA-Z]+"",""-""),""[^0-9]*$"",""""))"),"12-09-2023")</f>
        <v>12-09-2023</v>
      </c>
      <c r="D993" s="2" t="s">
        <v>7753</v>
      </c>
      <c r="H993" s="10" t="s">
        <v>7753</v>
      </c>
      <c r="I993" s="2" t="s">
        <v>1872</v>
      </c>
      <c r="J993" s="26" t="str">
        <f t="array" ref="J993">IF(ISNA(XLOOKUP(I993,customers_clean!$A$2:$A$701,customers_clean!$A$2:$A$701, NA()) ),
   "❌ MISSING CUSTOMER", "✅")</f>
        <v>✅</v>
      </c>
      <c r="K993" s="2" t="str">
        <f t="array" ref="K993">XLOOKUP(I993,customers_clean!$A$2:$A$701,customers_clean!$C$2:$C$701)</f>
        <v>Tara Jonhson</v>
      </c>
      <c r="L993" s="10" t="str">
        <f t="array" ref="L993">XLOOKUP(I993,customers_clean!$A$2:$A$701,customers_clean!$D$2:$D$701)</f>
        <v>Tara Johnson</v>
      </c>
      <c r="M993" s="2" t="str">
        <f t="array" ref="M993">XLOOKUP(I993,customers_clean!$A$2:$A$701,customers_clean!$I$2:$I$701)</f>
        <v>tara.johnson@outlook.com </v>
      </c>
      <c r="N993" s="10" t="str">
        <f t="array" ref="N993">XLOOKUP(I993,customers_clean!$A$2:$A$701,customers_clean!$H$2:$H$701)</f>
        <v>tara.johnson@outlook.com</v>
      </c>
      <c r="O993" s="9" t="str">
        <f>IFERROR(__xludf.DUMMYFUNCTION("IF(REGEXMATCH(TRIM(N993),""^[A-Za-z0-9._%+-]+@[A-Za-z0-9.-]+\.[A-Za-z]{2,}$""),""✅ Valid"",""❌ Invalid"")"),"✅ Valid")</f>
        <v>✅ Valid</v>
      </c>
      <c r="P993" s="2" t="str">
        <f t="array" ref="P993">XLOOKUP(I993,customers_clean!$A$2:$A$701,customers_clean!$K$2:$K$701)</f>
        <v>427-331-7624</v>
      </c>
      <c r="Q993" s="10" t="str">
        <f t="array" ref="Q993">XLOOKUP(I993,customers_clean!$A$2:$A$701,customers_clean!$N$2:$N$701)</f>
        <v>4273317624</v>
      </c>
      <c r="R993" s="9" t="str">
        <f t="array" ref="R993">XLOOKUP(I993,customers_clean!$A$2:$A$701,customers_clean!$Q$2:$Q$701)</f>
        <v>❌ INVALID</v>
      </c>
      <c r="S993" s="10" t="s">
        <v>608</v>
      </c>
      <c r="T993" s="2" t="s">
        <v>234</v>
      </c>
      <c r="U993" s="2" t="s">
        <v>176</v>
      </c>
      <c r="V993" s="2" t="s">
        <v>3596</v>
      </c>
      <c r="W993" s="9" t="str">
        <f t="array" ref="W993">IF(ISNA(XLOOKUP(V993,products_master_corrected!$A$2:$A$151,products_master_corrected!$A$2:$A$151, NA())),
    "❌ MISSING SKU", "✅")</f>
        <v>✅</v>
      </c>
      <c r="X993" s="2" t="s">
        <v>3597</v>
      </c>
      <c r="Y993" s="2" t="s">
        <v>63</v>
      </c>
      <c r="Z993" s="10" t="s">
        <v>63</v>
      </c>
      <c r="AA993" s="27">
        <v>1.0</v>
      </c>
      <c r="AB993" s="9" t="s">
        <v>8649</v>
      </c>
      <c r="AC993" s="28">
        <f t="array" ref="AC993">XLOOKUP(V993,products_master_corrected!$A$2:$A$151,products_master_corrected!$E$2:$E$151)</f>
        <v>160.36</v>
      </c>
      <c r="AD993" s="28">
        <f t="shared" si="113"/>
        <v>160.36</v>
      </c>
      <c r="AE993" s="28">
        <f t="array" ref="AE993">XLOOKUP(V993,products_master_corrected!$A$2:$A$151,products_master_corrected!$H$2:$H$151)</f>
        <v>180.16</v>
      </c>
      <c r="AF993" s="29">
        <f t="shared" si="114"/>
        <v>180.16</v>
      </c>
      <c r="AG993" s="32" t="s">
        <v>8658</v>
      </c>
      <c r="AH993" s="2" t="s">
        <v>49</v>
      </c>
      <c r="AI993" s="10" t="s">
        <v>49</v>
      </c>
      <c r="AJ993" s="2" t="s">
        <v>1312</v>
      </c>
      <c r="AK993" s="10" t="s">
        <v>818</v>
      </c>
      <c r="AL993" s="2" t="s">
        <v>67</v>
      </c>
    </row>
    <row r="994" ht="15.75" customHeight="1">
      <c r="A994" s="2" t="s">
        <v>4699</v>
      </c>
      <c r="B994" s="12">
        <v>45454.0</v>
      </c>
      <c r="C994" s="2" t="str">
        <f>IFERROR(__xludf.DUMMYFUNCTION("IF(ISNUMBER(B994),TEXT(B994,""yyyy-MM-dd""),REGEXREPLACE(REGEXREPLACE(TO_TEXT(B994),""[^0-9a-zA-Z]+"",""-""),""[^0-9]*$"",""""))"),"2024-06-11")</f>
        <v>2024-06-11</v>
      </c>
      <c r="D994" s="2" t="s">
        <v>3231</v>
      </c>
      <c r="H994" s="10" t="s">
        <v>3231</v>
      </c>
      <c r="I994" s="2" t="s">
        <v>476</v>
      </c>
      <c r="J994" s="26" t="str">
        <f t="array" ref="J994">IF(ISNA(XLOOKUP(I994,customers_clean!$A$2:$A$701,customers_clean!$A$2:$A$701, NA()) ),
   "❌ MISSING CUSTOMER", "✅")</f>
        <v>✅</v>
      </c>
      <c r="K994" s="2" t="str">
        <f t="array" ref="K994">XLOOKUP(I994,customers_clean!$A$2:$A$701,customers_clean!$C$2:$C$701)</f>
        <v>Carlos Martinez</v>
      </c>
      <c r="L994" s="10" t="str">
        <f t="array" ref="L994">XLOOKUP(I994,customers_clean!$A$2:$A$701,customers_clean!$D$2:$D$701)</f>
        <v>Carlos Martinez</v>
      </c>
      <c r="M994" s="2" t="str">
        <f t="array" ref="M994">XLOOKUP(I994,customers_clean!$A$2:$A$701,customers_clean!$I$2:$I$701)</f>
        <v>Carlos.Martinez@Company.Co.Uk</v>
      </c>
      <c r="N994" s="10" t="str">
        <f t="array" ref="N994">XLOOKUP(I994,customers_clean!$A$2:$A$701,customers_clean!$H$2:$H$701)</f>
        <v>carlos.martinez@company.co.uk</v>
      </c>
      <c r="O994" s="9" t="str">
        <f>IFERROR(__xludf.DUMMYFUNCTION("IF(REGEXMATCH(TRIM(N994),""^[A-Za-z0-9._%+-]+@[A-Za-z0-9.-]+\.[A-Za-z]{2,}$""),""✅ Valid"",""❌ Invalid"")"),"✅ Valid")</f>
        <v>✅ Valid</v>
      </c>
      <c r="P994" s="2" t="str">
        <f t="array" ref="P994">XLOOKUP(I994,customers_clean!$A$2:$A$701,customers_clean!$K$2:$K$701)</f>
        <v>+39420638049</v>
      </c>
      <c r="Q994" s="10" t="str">
        <f t="array" ref="Q994">XLOOKUP(I994,customers_clean!$A$2:$A$701,customers_clean!$N$2:$N$701)</f>
        <v>420638049</v>
      </c>
      <c r="R994" s="9" t="str">
        <f t="array" ref="R994">XLOOKUP(I994,customers_clean!$A$2:$A$701,customers_clean!$Q$2:$Q$701)</f>
        <v>❌ INVALID</v>
      </c>
      <c r="S994" s="10" t="s">
        <v>25</v>
      </c>
      <c r="T994" s="2" t="s">
        <v>42</v>
      </c>
      <c r="U994" s="2" t="s">
        <v>401</v>
      </c>
      <c r="V994" s="2" t="s">
        <v>815</v>
      </c>
      <c r="W994" s="9" t="str">
        <f t="array" ref="W994">IF(ISNA(XLOOKUP(V994,products_master_corrected!$A$2:$A$151,products_master_corrected!$A$2:$A$151, NA())),
    "❌ MISSING SKU", "✅")</f>
        <v>✅</v>
      </c>
      <c r="X994" s="2" t="s">
        <v>816</v>
      </c>
      <c r="Y994" s="2" t="s">
        <v>179</v>
      </c>
      <c r="Z994" s="10" t="s">
        <v>179</v>
      </c>
      <c r="AA994" s="27">
        <v>2.0</v>
      </c>
      <c r="AB994" s="9" t="s">
        <v>8649</v>
      </c>
      <c r="AC994" s="28">
        <f t="array" ref="AC994">XLOOKUP(V994,products_master_corrected!$A$2:$A$151,products_master_corrected!$E$2:$E$151)</f>
        <v>328.22</v>
      </c>
      <c r="AD994" s="28">
        <f t="shared" si="113"/>
        <v>656.44</v>
      </c>
      <c r="AE994" s="28">
        <f t="array" ref="AE994">XLOOKUP(V994,products_master_corrected!$A$2:$A$151,products_master_corrected!$K$2:$K$151)</f>
        <v>1688.69</v>
      </c>
      <c r="AF994" s="29">
        <f t="shared" si="114"/>
        <v>3377.38</v>
      </c>
      <c r="AG994" s="30" t="s">
        <v>95</v>
      </c>
      <c r="AH994" s="2" t="s">
        <v>96</v>
      </c>
      <c r="AI994" s="10" t="s">
        <v>143</v>
      </c>
      <c r="AJ994" s="2" t="s">
        <v>50</v>
      </c>
      <c r="AK994" s="10" t="s">
        <v>261</v>
      </c>
      <c r="AL994" s="2" t="s">
        <v>67</v>
      </c>
    </row>
    <row r="995" ht="15.75" customHeight="1">
      <c r="A995" s="2" t="s">
        <v>4680</v>
      </c>
      <c r="B995" s="12">
        <v>45803.0</v>
      </c>
      <c r="C995" s="2" t="str">
        <f>IFERROR(__xludf.DUMMYFUNCTION("IF(ISNUMBER(B995),TEXT(B995,""yyyy-MM-dd""),REGEXREPLACE(REGEXREPLACE(TO_TEXT(B995),""[^0-9a-zA-Z]+"",""-""),""[^0-9]*$"",""""))"),"2025-05-26")</f>
        <v>2025-05-26</v>
      </c>
      <c r="D995" s="2" t="s">
        <v>7789</v>
      </c>
      <c r="H995" s="10" t="s">
        <v>7789</v>
      </c>
      <c r="I995" s="2" t="s">
        <v>476</v>
      </c>
      <c r="J995" s="26" t="str">
        <f t="array" ref="J995">IF(ISNA(XLOOKUP(I995,customers_clean!$A$2:$A$701,customers_clean!$A$2:$A$701, NA()) ),
   "❌ MISSING CUSTOMER", "✅")</f>
        <v>✅</v>
      </c>
      <c r="K995" s="2" t="str">
        <f t="array" ref="K995">XLOOKUP(I995,customers_clean!$A$2:$A$701,customers_clean!$C$2:$C$701)</f>
        <v>Carlos Martinez</v>
      </c>
      <c r="L995" s="10" t="str">
        <f t="array" ref="L995">XLOOKUP(I995,customers_clean!$A$2:$A$701,customers_clean!$D$2:$D$701)</f>
        <v>Carlos Martinez</v>
      </c>
      <c r="M995" s="2" t="str">
        <f t="array" ref="M995">XLOOKUP(I995,customers_clean!$A$2:$A$701,customers_clean!$I$2:$I$701)</f>
        <v>Carlos.Martinez@Company.Co.Uk</v>
      </c>
      <c r="N995" s="10" t="str">
        <f t="array" ref="N995">XLOOKUP(I995,customers_clean!$A$2:$A$701,customers_clean!$H$2:$H$701)</f>
        <v>carlos.martinez@company.co.uk</v>
      </c>
      <c r="O995" s="9" t="str">
        <f>IFERROR(__xludf.DUMMYFUNCTION("IF(REGEXMATCH(TRIM(N995),""^[A-Za-z0-9._%+-]+@[A-Za-z0-9.-]+\.[A-Za-z]{2,}$""),""✅ Valid"",""❌ Invalid"")"),"✅ Valid")</f>
        <v>✅ Valid</v>
      </c>
      <c r="P995" s="2" t="str">
        <f t="array" ref="P995">XLOOKUP(I995,customers_clean!$A$2:$A$701,customers_clean!$K$2:$K$701)</f>
        <v>+39420638049</v>
      </c>
      <c r="Q995" s="10" t="str">
        <f t="array" ref="Q995">XLOOKUP(I995,customers_clean!$A$2:$A$701,customers_clean!$N$2:$N$701)</f>
        <v>420638049</v>
      </c>
      <c r="R995" s="9" t="str">
        <f t="array" ref="R995">XLOOKUP(I995,customers_clean!$A$2:$A$701,customers_clean!$Q$2:$Q$701)</f>
        <v>❌ INVALID</v>
      </c>
      <c r="S995" s="10" t="s">
        <v>25</v>
      </c>
      <c r="T995" s="2" t="s">
        <v>59</v>
      </c>
      <c r="U995" s="2" t="s">
        <v>211</v>
      </c>
      <c r="V995" s="2" t="s">
        <v>1432</v>
      </c>
      <c r="W995" s="9" t="str">
        <f t="array" ref="W995">IF(ISNA(XLOOKUP(V995,products_master_corrected!$A$2:$A$151,products_master_corrected!$A$2:$A$151, NA())),
    "❌ MISSING SKU", "✅")</f>
        <v>✅</v>
      </c>
      <c r="X995" s="2" t="s">
        <v>994</v>
      </c>
      <c r="Y995" s="2" t="s">
        <v>1328</v>
      </c>
      <c r="Z995" s="10" t="s">
        <v>179</v>
      </c>
      <c r="AA995" s="27">
        <v>1.0</v>
      </c>
      <c r="AB995" s="9" t="s">
        <v>8649</v>
      </c>
      <c r="AC995" s="28">
        <f t="array" ref="AC995">XLOOKUP(V995,products_master_corrected!$A$2:$A$151,products_master_corrected!$E$2:$E$151)</f>
        <v>513.1</v>
      </c>
      <c r="AD995" s="28">
        <f t="shared" si="113"/>
        <v>513.1</v>
      </c>
      <c r="AE995" s="28">
        <f t="array" ref="AE995">XLOOKUP(V995,products_master_corrected!$A$2:$A$151,products_master_corrected!$K$2:$K$151)</f>
        <v>2639.9</v>
      </c>
      <c r="AF995" s="29">
        <f t="shared" si="114"/>
        <v>2639.9</v>
      </c>
      <c r="AG995" s="30" t="s">
        <v>95</v>
      </c>
      <c r="AH995" s="2" t="s">
        <v>4683</v>
      </c>
      <c r="AI995" s="10" t="s">
        <v>181</v>
      </c>
      <c r="AJ995" s="2" t="s">
        <v>432</v>
      </c>
      <c r="AK995" s="10" t="s">
        <v>80</v>
      </c>
      <c r="AL995" s="2" t="s">
        <v>51</v>
      </c>
    </row>
    <row r="996" ht="15.75" customHeight="1">
      <c r="A996" s="2" t="s">
        <v>1762</v>
      </c>
      <c r="B996" s="12" t="s">
        <v>1763</v>
      </c>
      <c r="C996" s="2" t="str">
        <f>IFERROR(__xludf.DUMMYFUNCTION("IF(ISNUMBER(B996),TEXT(B996,""yyyy-MM-dd""),REGEXREPLACE(REGEXREPLACE(TO_TEXT(B996),""[^0-9a-zA-Z]+"",""-""),""[^0-9]*$"",""""))"),"45133-02-12")</f>
        <v>45133-02-12</v>
      </c>
      <c r="D996" s="2" t="str">
        <f>TEXT(C996,"yyyy-MM-dd")</f>
        <v>45133-02-12</v>
      </c>
      <c r="E996" s="25" t="str">
        <f>CONCATENATE(LEFT(D996,5))</f>
        <v>45133</v>
      </c>
      <c r="F996" s="12">
        <f>DATE(1900,1,1) + E996 - 1</f>
        <v>45134</v>
      </c>
      <c r="G996" s="2" t="s">
        <v>8971</v>
      </c>
      <c r="H996" s="10" t="s">
        <v>8971</v>
      </c>
      <c r="I996" s="2" t="s">
        <v>476</v>
      </c>
      <c r="J996" s="26" t="str">
        <f t="array" ref="J996">IF(ISNA(XLOOKUP(I996,customers_clean!$A$2:$A$701,customers_clean!$A$2:$A$701, NA()) ),
   "❌ MISSING CUSTOMER", "✅")</f>
        <v>✅</v>
      </c>
      <c r="K996" s="2" t="str">
        <f t="array" ref="K996">XLOOKUP(I996,customers_clean!$A$2:$A$701,customers_clean!$C$2:$C$701)</f>
        <v>Carlos Martinez</v>
      </c>
      <c r="L996" s="10" t="str">
        <f t="array" ref="L996">XLOOKUP(I996,customers_clean!$A$2:$A$701,customers_clean!$D$2:$D$701)</f>
        <v>Carlos Martinez</v>
      </c>
      <c r="M996" s="2" t="str">
        <f t="array" ref="M996">XLOOKUP(I996,customers_clean!$A$2:$A$701,customers_clean!$I$2:$I$701)</f>
        <v>Carlos.Martinez@Company.Co.Uk</v>
      </c>
      <c r="N996" s="10" t="str">
        <f t="array" ref="N996">XLOOKUP(I996,customers_clean!$A$2:$A$701,customers_clean!$H$2:$H$701)</f>
        <v>carlos.martinez@company.co.uk</v>
      </c>
      <c r="O996" s="9" t="str">
        <f>IFERROR(__xludf.DUMMYFUNCTION("IF(REGEXMATCH(TRIM(N996),""^[A-Za-z0-9._%+-]+@[A-Za-z0-9.-]+\.[A-Za-z]{2,}$""),""✅ Valid"",""❌ Invalid"")"),"✅ Valid")</f>
        <v>✅ Valid</v>
      </c>
      <c r="P996" s="2" t="str">
        <f t="array" ref="P996">XLOOKUP(I996,customers_clean!$A$2:$A$701,customers_clean!$K$2:$K$701)</f>
        <v>+39420638049</v>
      </c>
      <c r="Q996" s="10" t="str">
        <f t="array" ref="Q996">XLOOKUP(I996,customers_clean!$A$2:$A$701,customers_clean!$N$2:$N$701)</f>
        <v>420638049</v>
      </c>
      <c r="R996" s="9" t="str">
        <f t="array" ref="R996">XLOOKUP(I996,customers_clean!$A$2:$A$701,customers_clean!$Q$2:$Q$701)</f>
        <v>❌ INVALID</v>
      </c>
      <c r="S996" s="10" t="s">
        <v>25</v>
      </c>
      <c r="T996" s="2" t="s">
        <v>234</v>
      </c>
      <c r="U996" s="2" t="s">
        <v>312</v>
      </c>
      <c r="V996" s="2" t="s">
        <v>91</v>
      </c>
      <c r="W996" s="9" t="str">
        <f t="array" ref="W996">IF(ISNA(XLOOKUP(V996,products_master_corrected!$A$2:$A$151,products_master_corrected!$A$2:$A$151, NA())),
    "❌ MISSING SKU", "✅")</f>
        <v>✅</v>
      </c>
      <c r="X996" s="2" t="s">
        <v>259</v>
      </c>
      <c r="Y996" s="2" t="s">
        <v>93</v>
      </c>
      <c r="Z996" s="10" t="s">
        <v>368</v>
      </c>
      <c r="AA996" s="27">
        <v>3.0</v>
      </c>
      <c r="AB996" s="9" t="s">
        <v>8649</v>
      </c>
      <c r="AC996" s="28">
        <f t="array" ref="AC996">XLOOKUP(V996,products_master_corrected!$A$2:$A$151,products_master_corrected!$E$2:$E$151)</f>
        <v>30.17</v>
      </c>
      <c r="AD996" s="28">
        <f t="shared" si="113"/>
        <v>90.51</v>
      </c>
      <c r="AE996" s="28">
        <f t="array" ref="AE996">XLOOKUP(V996,products_master_corrected!$A$2:$A$151,products_master_corrected!$K$2:$K$151)</f>
        <v>155.22</v>
      </c>
      <c r="AF996" s="29">
        <f t="shared" si="114"/>
        <v>465.66</v>
      </c>
      <c r="AG996" s="30" t="s">
        <v>95</v>
      </c>
      <c r="AH996" s="2" t="s">
        <v>49</v>
      </c>
      <c r="AI996" s="10" t="s">
        <v>49</v>
      </c>
      <c r="AJ996" s="2" t="s">
        <v>442</v>
      </c>
      <c r="AK996" s="10" t="s">
        <v>80</v>
      </c>
      <c r="AL996" s="2" t="s">
        <v>51</v>
      </c>
    </row>
    <row r="997" ht="15.75" customHeight="1">
      <c r="A997" s="2" t="s">
        <v>474</v>
      </c>
      <c r="B997" s="12">
        <v>45468.0</v>
      </c>
      <c r="C997" s="2" t="str">
        <f>IFERROR(__xludf.DUMMYFUNCTION("IF(ISNUMBER(B997),TEXT(B997,""yyyy-MM-dd""),REGEXREPLACE(REGEXREPLACE(TO_TEXT(B997),""[^0-9a-zA-Z]+"",""-""),""[^0-9]*$"",""""))"),"2024-06-25")</f>
        <v>2024-06-25</v>
      </c>
      <c r="D997" s="2" t="s">
        <v>475</v>
      </c>
      <c r="H997" s="10" t="s">
        <v>475</v>
      </c>
      <c r="I997" s="2" t="s">
        <v>476</v>
      </c>
      <c r="J997" s="26" t="str">
        <f t="array" ref="J997">IF(ISNA(XLOOKUP(I997,customers_clean!$A$2:$A$701,customers_clean!$A$2:$A$701, NA()) ),
   "❌ MISSING CUSTOMER", "✅")</f>
        <v>✅</v>
      </c>
      <c r="K997" s="2" t="str">
        <f t="array" ref="K997">XLOOKUP(I997,customers_clean!$A$2:$A$701,customers_clean!$C$2:$C$701)</f>
        <v>Carlos Martinez</v>
      </c>
      <c r="L997" s="10" t="str">
        <f t="array" ref="L997">XLOOKUP(I997,customers_clean!$A$2:$A$701,customers_clean!$D$2:$D$701)</f>
        <v>Carlos Martinez</v>
      </c>
      <c r="M997" s="2" t="str">
        <f t="array" ref="M997">XLOOKUP(I997,customers_clean!$A$2:$A$701,customers_clean!$I$2:$I$701)</f>
        <v>Carlos.Martinez@Company.Co.Uk</v>
      </c>
      <c r="N997" s="10" t="str">
        <f t="array" ref="N997">XLOOKUP(I997,customers_clean!$A$2:$A$701,customers_clean!$H$2:$H$701)</f>
        <v>carlos.martinez@company.co.uk</v>
      </c>
      <c r="O997" s="9" t="str">
        <f>IFERROR(__xludf.DUMMYFUNCTION("IF(REGEXMATCH(TRIM(N997),""^[A-Za-z0-9._%+-]+@[A-Za-z0-9.-]+\.[A-Za-z]{2,}$""),""✅ Valid"",""❌ Invalid"")"),"✅ Valid")</f>
        <v>✅ Valid</v>
      </c>
      <c r="P997" s="2" t="str">
        <f t="array" ref="P997">XLOOKUP(I997,customers_clean!$A$2:$A$701,customers_clean!$K$2:$K$701)</f>
        <v>+39420638049</v>
      </c>
      <c r="Q997" s="10" t="str">
        <f t="array" ref="Q997">XLOOKUP(I997,customers_clean!$A$2:$A$701,customers_clean!$N$2:$N$701)</f>
        <v>420638049</v>
      </c>
      <c r="R997" s="9" t="str">
        <f t="array" ref="R997">XLOOKUP(I997,customers_clean!$A$2:$A$701,customers_clean!$Q$2:$Q$701)</f>
        <v>❌ INVALID</v>
      </c>
      <c r="S997" s="10" t="s">
        <v>25</v>
      </c>
      <c r="T997" s="2" t="s">
        <v>479</v>
      </c>
      <c r="U997" s="2" t="s">
        <v>480</v>
      </c>
      <c r="V997" s="2" t="s">
        <v>481</v>
      </c>
      <c r="W997" s="9" t="str">
        <f t="array" ref="W997">IF(ISNA(XLOOKUP(V997,products_master_corrected!$A$2:$A$151,products_master_corrected!$A$2:$A$151, NA())),
    "❌ MISSING SKU", "✅")</f>
        <v>✅</v>
      </c>
      <c r="X997" s="2" t="s">
        <v>291</v>
      </c>
      <c r="Y997" s="2" t="s">
        <v>482</v>
      </c>
      <c r="Z997" s="10" t="s">
        <v>63</v>
      </c>
      <c r="AA997" s="27">
        <v>2.0</v>
      </c>
      <c r="AB997" s="9" t="s">
        <v>8649</v>
      </c>
      <c r="AC997" s="28">
        <f t="array" ref="AC997">XLOOKUP(V997,products_master_corrected!$A$2:$A$151,products_master_corrected!$E$2:$E$151)</f>
        <v>190.18</v>
      </c>
      <c r="AD997" s="28">
        <f t="shared" si="113"/>
        <v>380.36</v>
      </c>
      <c r="AE997" s="28">
        <f t="array" ref="AE997">XLOOKUP(V997,products_master_corrected!$A$2:$A$151,products_master_corrected!$K$2:$K$151)</f>
        <v>978.48</v>
      </c>
      <c r="AF997" s="29">
        <f t="shared" si="114"/>
        <v>1956.96</v>
      </c>
      <c r="AG997" s="30" t="s">
        <v>95</v>
      </c>
      <c r="AH997" s="2" t="s">
        <v>485</v>
      </c>
      <c r="AI997" s="10" t="s">
        <v>181</v>
      </c>
      <c r="AJ997" s="2" t="s">
        <v>192</v>
      </c>
      <c r="AK997" s="10" t="s">
        <v>192</v>
      </c>
      <c r="AL997" s="2" t="s">
        <v>81</v>
      </c>
    </row>
    <row r="998" ht="15.75" customHeight="1">
      <c r="A998" s="2" t="s">
        <v>3540</v>
      </c>
      <c r="B998" s="12" t="s">
        <v>3541</v>
      </c>
      <c r="C998" s="2" t="str">
        <f>IFERROR(__xludf.DUMMYFUNCTION("IF(ISNUMBER(B998),TEXT(B998,""yyyy-MM-dd""),REGEXREPLACE(REGEXREPLACE(TO_TEXT(B998),""[^0-9a-zA-Z]+"",""-""),""[^0-9]*$"",""""))"),"04-01-2024")</f>
        <v>04-01-2024</v>
      </c>
      <c r="D998" s="2" t="s">
        <v>8994</v>
      </c>
      <c r="H998" s="10" t="s">
        <v>8994</v>
      </c>
      <c r="I998" s="2" t="s">
        <v>3542</v>
      </c>
      <c r="J998" s="26" t="str">
        <f t="array" ref="J998">IF(ISNA(XLOOKUP(I998,customers_clean!$A$2:$A$701,customers_clean!$A$2:$A$701, NA()) ),
   "❌ MISSING CUSTOMER", "✅")</f>
        <v>✅</v>
      </c>
      <c r="K998" s="2" t="str">
        <f t="array" ref="K998">XLOOKUP(I998,customers_clean!$A$2:$A$701,customers_clean!$C$2:$C$701)</f>
        <v>GABE SMITH</v>
      </c>
      <c r="L998" s="10" t="str">
        <f t="array" ref="L998">XLOOKUP(I998,customers_clean!$A$2:$A$701,customers_clean!$D$2:$D$701)</f>
        <v>Gabe Smith</v>
      </c>
      <c r="M998" s="2" t="str">
        <f t="array" ref="M998">XLOOKUP(I998,customers_clean!$A$2:$A$701,customers_clean!$I$2:$I$701)</f>
        <v>gabe.smith@company.co.uk </v>
      </c>
      <c r="N998" s="10" t="str">
        <f t="array" ref="N998">XLOOKUP(I998,customers_clean!$A$2:$A$701,customers_clean!$H$2:$H$701)</f>
        <v>gabe.smith@company.co.uk</v>
      </c>
      <c r="O998" s="9" t="str">
        <f>IFERROR(__xludf.DUMMYFUNCTION("IF(REGEXMATCH(TRIM(N998),""^[A-Za-z0-9._%+-]+@[A-Za-z0-9.-]+\.[A-Za-z]{2,}$""),""✅ Valid"",""❌ Invalid"")"),"✅ Valid")</f>
        <v>✅ Valid</v>
      </c>
      <c r="P998" s="2" t="str">
        <f t="array" ref="P998">XLOOKUP(I998,customers_clean!$A$2:$A$701,customers_clean!$K$2:$K$701)</f>
        <v>45923x487</v>
      </c>
      <c r="Q998" s="10" t="str">
        <f t="array" ref="Q998">XLOOKUP(I998,customers_clean!$A$2:$A$701,customers_clean!$N$2:$N$701)</f>
        <v>45923487</v>
      </c>
      <c r="R998" s="9" t="str">
        <f t="array" ref="R998">XLOOKUP(I998,customers_clean!$A$2:$A$701,customers_clean!$Q$2:$Q$701)</f>
        <v>❌ INVALID</v>
      </c>
      <c r="S998" s="10" t="s">
        <v>58</v>
      </c>
      <c r="T998" s="2" t="s">
        <v>42</v>
      </c>
      <c r="U998" s="2" t="s">
        <v>480</v>
      </c>
      <c r="V998" s="2" t="s">
        <v>756</v>
      </c>
      <c r="W998" s="9" t="str">
        <f t="array" ref="W998">IF(ISNA(XLOOKUP(V998,products_master_corrected!$A$2:$A$151,products_master_corrected!$A$2:$A$151, NA())),
    "❌ MISSING SKU", "✅")</f>
        <v>✅</v>
      </c>
      <c r="X998" s="2" t="s">
        <v>8737</v>
      </c>
      <c r="Y998" s="2" t="s">
        <v>30</v>
      </c>
      <c r="Z998" s="10" t="s">
        <v>179</v>
      </c>
      <c r="AA998" s="27">
        <v>2.0</v>
      </c>
      <c r="AB998" s="9" t="s">
        <v>8649</v>
      </c>
      <c r="AC998" s="28">
        <f t="array" ref="AC998">XLOOKUP(V998,products_master_corrected!$A$2:$A$151,products_master_corrected!$E$2:$E$151)</f>
        <v>61.04</v>
      </c>
      <c r="AD998" s="28">
        <f t="shared" si="113"/>
        <v>122.08</v>
      </c>
      <c r="AE998" s="28">
        <f t="array" ref="AE998">XLOOKUP(V998,products_master_corrected!$A$2:$A$151,products_master_corrected!$G$2:$G$151)</f>
        <v>69.88</v>
      </c>
      <c r="AF998" s="29">
        <f t="shared" si="114"/>
        <v>139.76</v>
      </c>
      <c r="AG998" s="32" t="s">
        <v>8663</v>
      </c>
      <c r="AH998" s="2" t="s">
        <v>49</v>
      </c>
      <c r="AI998" s="10" t="s">
        <v>49</v>
      </c>
      <c r="AJ998" s="2" t="s">
        <v>158</v>
      </c>
      <c r="AK998" s="10" t="s">
        <v>818</v>
      </c>
      <c r="AL998" s="2" t="s">
        <v>81</v>
      </c>
    </row>
    <row r="999" ht="15.75" customHeight="1">
      <c r="A999" s="2" t="s">
        <v>3647</v>
      </c>
      <c r="B999" s="12">
        <v>45775.0</v>
      </c>
      <c r="C999" s="2" t="str">
        <f>IFERROR(__xludf.DUMMYFUNCTION("IF(ISNUMBER(B999),TEXT(B999,""yyyy-MM-dd""),REGEXREPLACE(REGEXREPLACE(TO_TEXT(B999),""[^0-9a-zA-Z]+"",""-""),""[^0-9]*$"",""""))"),"2025-04-28")</f>
        <v>2025-04-28</v>
      </c>
      <c r="D999" s="2" t="s">
        <v>8949</v>
      </c>
      <c r="H999" s="10" t="s">
        <v>8949</v>
      </c>
      <c r="I999" s="2" t="s">
        <v>3649</v>
      </c>
      <c r="J999" s="26" t="str">
        <f t="array" ref="J999">IF(ISNA(XLOOKUP(I999,customers_clean!$A$2:$A$701,customers_clean!$A$2:$A$701, NA()) ),
   "❌ MISSING CUSTOMER", "✅")</f>
        <v>✅</v>
      </c>
      <c r="K999" s="2" t="str">
        <f t="array" ref="K999">XLOOKUP(I999,customers_clean!$A$2:$A$701,customers_clean!$C$2:$C$701)</f>
        <v>Mare kSmith</v>
      </c>
      <c r="L999" s="10" t="str">
        <f t="array" ref="L999">XLOOKUP(I999,customers_clean!$A$2:$A$701,customers_clean!$D$2:$D$701)</f>
        <v>Marek Smith</v>
      </c>
      <c r="M999" s="2" t="str">
        <f t="array" ref="M999">XLOOKUP(I999,customers_clean!$A$2:$A$701,customers_clean!$I$2:$I$701)</f>
        <v>marek.smith@shpo.io</v>
      </c>
      <c r="N999" s="10" t="str">
        <f t="array" ref="N999">XLOOKUP(I999,customers_clean!$A$2:$A$701,customers_clean!$H$2:$H$701)</f>
        <v>marek.smith@shpo.io</v>
      </c>
      <c r="O999" s="9" t="str">
        <f>IFERROR(__xludf.DUMMYFUNCTION("IF(REGEXMATCH(TRIM(N999),""^[A-Za-z0-9._%+-]+@[A-Za-z0-9.-]+\.[A-Za-z]{2,}$""),""✅ Valid"",""❌ Invalid"")"),"✅ Valid")</f>
        <v>✅ Valid</v>
      </c>
      <c r="P999" s="33" t="str">
        <f t="array" ref="P999">XLOOKUP(I999,customers_clean!$A$2:$A$701,customers_clean!$K$2:$K$701)</f>
        <v>2491247422</v>
      </c>
      <c r="Q999" s="10" t="str">
        <f t="array" ref="Q999">XLOOKUP(I999,customers_clean!$A$2:$A$701,customers_clean!$N$2:$N$701)</f>
        <v>2491247422</v>
      </c>
      <c r="R999" s="9" t="str">
        <f t="array" ref="R999">XLOOKUP(I999,customers_clean!$A$2:$A$701,customers_clean!$Q$2:$Q$701)</f>
        <v>❌ INVALID</v>
      </c>
      <c r="S999" s="31" t="s">
        <v>671</v>
      </c>
      <c r="T999" s="2" t="s">
        <v>26</v>
      </c>
      <c r="U999" s="2" t="s">
        <v>870</v>
      </c>
      <c r="V999" s="2" t="s">
        <v>3101</v>
      </c>
      <c r="W999" s="9" t="str">
        <f t="array" ref="W999">IF(ISNA(XLOOKUP(V999,products_master_corrected!$A$2:$A$151,products_master_corrected!$A$2:$A$151, NA())),
    "❌ MISSING SKU", "✅")</f>
        <v>✅</v>
      </c>
      <c r="X999" s="2" t="s">
        <v>804</v>
      </c>
      <c r="Y999" s="2" t="s">
        <v>248</v>
      </c>
      <c r="Z999" s="10" t="s">
        <v>248</v>
      </c>
      <c r="AA999" s="27">
        <v>2.0</v>
      </c>
      <c r="AB999" s="9" t="s">
        <v>8649</v>
      </c>
      <c r="AC999" s="28">
        <f t="array" ref="AC999">XLOOKUP(V999,products_master_corrected!$A$2:$A$151,products_master_corrected!$E$2:$E$151)</f>
        <v>23.37</v>
      </c>
      <c r="AD999" s="28">
        <f t="shared" si="113"/>
        <v>46.74</v>
      </c>
      <c r="AE999" s="28">
        <f t="array" ref="AE999">XLOOKUP(V999,products_master_corrected!$A$2:$A$151,products_master_corrected!$J$2:$J$151)</f>
        <v>27.26</v>
      </c>
      <c r="AF999" s="29">
        <f t="shared" si="114"/>
        <v>54.52</v>
      </c>
      <c r="AG999" s="32" t="s">
        <v>8656</v>
      </c>
      <c r="AH999" s="2" t="s">
        <v>305</v>
      </c>
      <c r="AI999" s="10" t="s">
        <v>49</v>
      </c>
      <c r="AJ999" s="2" t="s">
        <v>158</v>
      </c>
      <c r="AK999" s="10" t="s">
        <v>818</v>
      </c>
      <c r="AL999" s="2" t="s">
        <v>81</v>
      </c>
    </row>
    <row r="1000" ht="15.75" customHeight="1">
      <c r="A1000" s="2" t="s">
        <v>3939</v>
      </c>
      <c r="B1000" s="12">
        <v>44969.0</v>
      </c>
      <c r="C1000" s="2" t="str">
        <f>IFERROR(__xludf.DUMMYFUNCTION("IF(ISNUMBER(B1000),TEXT(B1000,""yyyy-MM-dd""),REGEXREPLACE(REGEXREPLACE(TO_TEXT(B1000),""[^0-9a-zA-Z]+"",""-""),""[^0-9]*$"",""""))"),"2023-02-12")</f>
        <v>2023-02-12</v>
      </c>
      <c r="D1000" s="2" t="s">
        <v>7177</v>
      </c>
      <c r="H1000" s="10" t="s">
        <v>7177</v>
      </c>
      <c r="I1000" s="2" t="s">
        <v>1224</v>
      </c>
      <c r="J1000" s="26" t="str">
        <f t="array" ref="J1000">IF(ISNA(XLOOKUP(I1000,customers_clean!$A$2:$A$701,customers_clean!$A$2:$A$701, NA()) ),
   "❌ MISSING CUSTOMER", "✅")</f>
        <v>✅</v>
      </c>
      <c r="K1000" s="2" t="str">
        <f t="array" ref="K1000">XLOOKUP(I1000,customers_clean!$A$2:$A$701,customers_clean!$C$2:$C$701)</f>
        <v>Gaeb Williams</v>
      </c>
      <c r="L1000" s="10" t="str">
        <f t="array" ref="L1000">XLOOKUP(I1000,customers_clean!$A$2:$A$701,customers_clean!$D$2:$D$701)</f>
        <v>Gabe Williams</v>
      </c>
      <c r="M1000" s="2" t="str">
        <f t="array" ref="M1000">XLOOKUP(I1000,customers_clean!$A$2:$A$701,customers_clean!$I$2:$I$701)</f>
        <v>gabe.williams@outlook.com </v>
      </c>
      <c r="N1000" s="10" t="str">
        <f t="array" ref="N1000">XLOOKUP(I1000,customers_clean!$A$2:$A$701,customers_clean!$H$2:$H$701)</f>
        <v>gabe.williams@outlook.com</v>
      </c>
      <c r="O1000" s="9" t="str">
        <f>IFERROR(__xludf.DUMMYFUNCTION("IF(REGEXMATCH(TRIM(N1000),""^[A-Za-z0-9._%+-]+@[A-Za-z0-9.-]+\.[A-Za-z]{2,}$""),""✅ Valid"",""❌ Invalid"")"),"✅ Valid")</f>
        <v>✅ Valid</v>
      </c>
      <c r="P1000" s="2" t="str">
        <f t="array" ref="P1000">XLOOKUP(I1000,customers_clean!$A$2:$A$701,customers_clean!$K$2:$K$701)</f>
        <v>+34-235-31518</v>
      </c>
      <c r="Q1000" s="10" t="str">
        <f t="array" ref="Q1000">XLOOKUP(I1000,customers_clean!$A$2:$A$701,customers_clean!$N$2:$N$701)</f>
        <v>23531518</v>
      </c>
      <c r="R1000" s="9" t="str">
        <f t="array" ref="R1000">XLOOKUP(I1000,customers_clean!$A$2:$A$701,customers_clean!$Q$2:$Q$701)</f>
        <v>❌ INVALID</v>
      </c>
      <c r="S1000" s="10" t="s">
        <v>25</v>
      </c>
      <c r="T1000" s="2" t="s">
        <v>323</v>
      </c>
      <c r="U1000" s="2" t="s">
        <v>401</v>
      </c>
      <c r="V1000" s="2" t="s">
        <v>635</v>
      </c>
      <c r="W1000" s="9" t="str">
        <f t="array" ref="W1000">IF(ISNA(XLOOKUP(V1000,products_master_corrected!$A$2:$A$151,products_master_corrected!$A$2:$A$151, NA())),
    "❌ MISSING SKU", "✅")</f>
        <v>✅</v>
      </c>
      <c r="X1000" s="2" t="s">
        <v>636</v>
      </c>
      <c r="Y1000" s="2" t="s">
        <v>637</v>
      </c>
      <c r="Z1000" s="10" t="s">
        <v>514</v>
      </c>
      <c r="AA1000" s="27">
        <v>5.0</v>
      </c>
      <c r="AB1000" s="9" t="s">
        <v>8649</v>
      </c>
      <c r="AC1000" s="28">
        <f t="array" ref="AC1000">XLOOKUP(V1000,products_master_corrected!$A$2:$A$151,products_master_corrected!$E$2:$E$151)</f>
        <v>30.93</v>
      </c>
      <c r="AD1000" s="28">
        <f t="shared" si="113"/>
        <v>154.65</v>
      </c>
      <c r="AE1000" s="28">
        <f t="array" ref="AE1000">XLOOKUP(V1000,products_master_corrected!$A$2:$A$151,products_master_corrected!$K$2:$K$151)</f>
        <v>159.13</v>
      </c>
      <c r="AF1000" s="29">
        <f t="shared" si="114"/>
        <v>795.65</v>
      </c>
      <c r="AG1000" s="30" t="s">
        <v>95</v>
      </c>
      <c r="AH1000" s="2" t="s">
        <v>66</v>
      </c>
      <c r="AI1000" s="10" t="s">
        <v>66</v>
      </c>
      <c r="AJ1000" s="2" t="s">
        <v>169</v>
      </c>
      <c r="AK1000" s="10" t="s">
        <v>261</v>
      </c>
    </row>
    <row r="1001" ht="15.75" customHeight="1">
      <c r="A1001" s="2" t="s">
        <v>1222</v>
      </c>
      <c r="B1001" s="12">
        <v>45569.0</v>
      </c>
      <c r="C1001" s="2" t="str">
        <f>IFERROR(__xludf.DUMMYFUNCTION("IF(ISNUMBER(B1001),TEXT(B1001,""yyyy-MM-dd""),REGEXREPLACE(REGEXREPLACE(TO_TEXT(B1001),""[^0-9a-zA-Z]+"",""-""),""[^0-9]*$"",""""))"),"2024-10-04")</f>
        <v>2024-10-04</v>
      </c>
      <c r="D1001" s="2" t="s">
        <v>7697</v>
      </c>
      <c r="H1001" s="10" t="s">
        <v>7697</v>
      </c>
      <c r="I1001" s="2" t="s">
        <v>1224</v>
      </c>
      <c r="J1001" s="26" t="str">
        <f t="array" ref="J1001">IF(ISNA(XLOOKUP(I1001,customers_clean!$A$2:$A$701,customers_clean!$A$2:$A$701, NA()) ),
   "❌ MISSING CUSTOMER", "✅")</f>
        <v>✅</v>
      </c>
      <c r="K1001" s="2" t="str">
        <f t="array" ref="K1001">XLOOKUP(I1001,customers_clean!$A$2:$A$701,customers_clean!$C$2:$C$701)</f>
        <v>Gaeb Williams</v>
      </c>
      <c r="L1001" s="10" t="str">
        <f t="array" ref="L1001">XLOOKUP(I1001,customers_clean!$A$2:$A$701,customers_clean!$D$2:$D$701)</f>
        <v>Gabe Williams</v>
      </c>
      <c r="M1001" s="2" t="str">
        <f t="array" ref="M1001">XLOOKUP(I1001,customers_clean!$A$2:$A$701,customers_clean!$I$2:$I$701)</f>
        <v>gabe.williams@outlook.com </v>
      </c>
      <c r="N1001" s="10" t="str">
        <f t="array" ref="N1001">XLOOKUP(I1001,customers_clean!$A$2:$A$701,customers_clean!$H$2:$H$701)</f>
        <v>gabe.williams@outlook.com</v>
      </c>
      <c r="O1001" s="9" t="str">
        <f>IFERROR(__xludf.DUMMYFUNCTION("IF(REGEXMATCH(TRIM(N1001),""^[A-Za-z0-9._%+-]+@[A-Za-z0-9.-]+\.[A-Za-z]{2,}$""),""✅ Valid"",""❌ Invalid"")"),"✅ Valid")</f>
        <v>✅ Valid</v>
      </c>
      <c r="P1001" s="2" t="str">
        <f t="array" ref="P1001">XLOOKUP(I1001,customers_clean!$A$2:$A$701,customers_clean!$K$2:$K$701)</f>
        <v>+34-235-31518</v>
      </c>
      <c r="Q1001" s="10" t="str">
        <f t="array" ref="Q1001">XLOOKUP(I1001,customers_clean!$A$2:$A$701,customers_clean!$N$2:$N$701)</f>
        <v>23531518</v>
      </c>
      <c r="R1001" s="9" t="str">
        <f t="array" ref="R1001">XLOOKUP(I1001,customers_clean!$A$2:$A$701,customers_clean!$Q$2:$Q$701)</f>
        <v>❌ INVALID</v>
      </c>
      <c r="S1001" s="10" t="s">
        <v>25</v>
      </c>
      <c r="T1001" s="2" t="s">
        <v>42</v>
      </c>
      <c r="U1001" s="2" t="s">
        <v>176</v>
      </c>
      <c r="V1001" s="2" t="s">
        <v>353</v>
      </c>
      <c r="W1001" s="9" t="str">
        <f t="array" ref="W1001">IF(ISNA(XLOOKUP(V1001,products_master_corrected!$A$2:$A$151,products_master_corrected!$A$2:$A$151, NA())),
    "❌ MISSING SKU", "✅")</f>
        <v>✅</v>
      </c>
      <c r="X1001" s="2" t="s">
        <v>62</v>
      </c>
      <c r="Y1001" s="2" t="s">
        <v>355</v>
      </c>
      <c r="Z1001" s="10" t="s">
        <v>355</v>
      </c>
      <c r="AA1001" s="27">
        <v>2.0</v>
      </c>
      <c r="AB1001" s="9" t="s">
        <v>8649</v>
      </c>
      <c r="AC1001" s="28">
        <f t="array" ref="AC1001">XLOOKUP(V1001,products_master_corrected!$A$2:$A$151,products_master_corrected!$E$2:$E$151)</f>
        <v>106.56</v>
      </c>
      <c r="AD1001" s="28">
        <f t="shared" si="113"/>
        <v>213.12</v>
      </c>
      <c r="AE1001" s="28">
        <f t="array" ref="AE1001">XLOOKUP(V1001,products_master_corrected!$A$2:$A$151,products_master_corrected!$K$2:$K$151)</f>
        <v>548.25</v>
      </c>
      <c r="AF1001" s="29">
        <f t="shared" si="114"/>
        <v>1096.5</v>
      </c>
      <c r="AG1001" s="30" t="s">
        <v>95</v>
      </c>
      <c r="AH1001" s="2" t="s">
        <v>370</v>
      </c>
      <c r="AI1001" s="10" t="s">
        <v>143</v>
      </c>
      <c r="AJ1001" s="2" t="s">
        <v>169</v>
      </c>
      <c r="AK1001" s="10" t="s">
        <v>261</v>
      </c>
    </row>
    <row r="1002" ht="15.75" customHeight="1">
      <c r="A1002" s="2" t="s">
        <v>1011</v>
      </c>
      <c r="B1002" s="12" t="s">
        <v>1012</v>
      </c>
      <c r="C1002" s="2" t="str">
        <f>IFERROR(__xludf.DUMMYFUNCTION("IF(ISNUMBER(B1002),TEXT(B1002,""yyyy-MM-dd""),REGEXREPLACE(REGEXREPLACE(TO_TEXT(B1002),""[^0-9a-zA-Z]+"",""-""),""[^0-9]*$"",""""))"),"21-05-2025")</f>
        <v>21-05-2025</v>
      </c>
      <c r="D1002" s="2" t="s">
        <v>7832</v>
      </c>
      <c r="H1002" s="10" t="s">
        <v>7832</v>
      </c>
      <c r="I1002" s="2" t="s">
        <v>330</v>
      </c>
      <c r="J1002" s="26" t="str">
        <f t="array" ref="J1002">IF(ISNA(XLOOKUP(I1002,customers_clean!$A$2:$A$701,customers_clean!$A$2:$A$701, NA()) ),
   "❌ MISSING CUSTOMER", "✅")</f>
        <v>✅</v>
      </c>
      <c r="K1002" s="2" t="str">
        <f t="array" ref="K1002">XLOOKUP(I1002,customers_clean!$A$2:$A$701,customers_clean!$C$2:$C$701)</f>
        <v>Omar Davis </v>
      </c>
      <c r="L1002" s="10" t="str">
        <f t="array" ref="L1002">XLOOKUP(I1002,customers_clean!$A$2:$A$701,customers_clean!$D$2:$D$701)</f>
        <v>Omar Davis</v>
      </c>
      <c r="M1002" s="2" t="str">
        <f t="array" ref="M1002">XLOOKUP(I1002,customers_clean!$A$2:$A$701,customers_clean!$I$2:$I$701)</f>
        <v>Omar.Davis@Company.Co.Uk</v>
      </c>
      <c r="N1002" s="10" t="str">
        <f t="array" ref="N1002">XLOOKUP(I1002,customers_clean!$A$2:$A$701,customers_clean!$H$2:$H$701)</f>
        <v>omar.davis@company.co.uk</v>
      </c>
      <c r="O1002" s="9" t="str">
        <f>IFERROR(__xludf.DUMMYFUNCTION("IF(REGEXMATCH(TRIM(N1002),""^[A-Za-z0-9._%+-]+@[A-Za-z0-9.-]+\.[A-Za-z]{2,}$""),""✅ Valid"",""❌ Invalid"")"),"✅ Valid")</f>
        <v>✅ Valid</v>
      </c>
      <c r="P1002" s="2" t="str">
        <f t="array" ref="P1002">XLOOKUP(I1002,customers_clean!$A$2:$A$701,customers_clean!$K$2:$K$701)</f>
        <v>+33-600-80246</v>
      </c>
      <c r="Q1002" s="10" t="str">
        <f t="array" ref="Q1002">XLOOKUP(I1002,customers_clean!$A$2:$A$701,customers_clean!$N$2:$N$701)</f>
        <v>60080246</v>
      </c>
      <c r="R1002" s="9" t="str">
        <f t="array" ref="R1002">XLOOKUP(I1002,customers_clean!$A$2:$A$701,customers_clean!$Q$2:$Q$701)</f>
        <v>❌ INVALID</v>
      </c>
      <c r="S1002" s="10" t="s">
        <v>139</v>
      </c>
      <c r="T1002" s="2" t="s">
        <v>26</v>
      </c>
      <c r="U1002" s="2" t="s">
        <v>333</v>
      </c>
      <c r="V1002" s="2" t="s">
        <v>1014</v>
      </c>
      <c r="W1002" s="9" t="str">
        <f t="array" ref="W1002">IF(ISNA(XLOOKUP(V1002,products_master_corrected!$A$2:$A$151,products_master_corrected!$A$2:$A$151, NA())),
    "❌ MISSING SKU", "✅")</f>
        <v>✅</v>
      </c>
      <c r="X1002" s="2" t="s">
        <v>1015</v>
      </c>
      <c r="Y1002" s="2" t="s">
        <v>1016</v>
      </c>
      <c r="Z1002" s="10" t="s">
        <v>355</v>
      </c>
      <c r="AA1002" s="27">
        <v>2.0</v>
      </c>
      <c r="AB1002" s="9" t="s">
        <v>8649</v>
      </c>
      <c r="AC1002" s="28">
        <f t="array" ref="AC1002">XLOOKUP(V1002,products_master_corrected!$A$2:$A$151,products_master_corrected!$E$2:$E$151)</f>
        <v>162.1</v>
      </c>
      <c r="AD1002" s="28">
        <f t="shared" si="113"/>
        <v>324.2</v>
      </c>
      <c r="AE1002" s="28">
        <f t="array" ref="AE1002">XLOOKUP(V1002,products_master_corrected!$A$2:$A$151,products_master_corrected!$L$2:$L$151)</f>
        <v>175.31</v>
      </c>
      <c r="AF1002" s="29">
        <f t="shared" si="114"/>
        <v>350.62</v>
      </c>
      <c r="AG1002" s="32" t="s">
        <v>8665</v>
      </c>
      <c r="AH1002" s="2" t="s">
        <v>143</v>
      </c>
      <c r="AI1002" s="10" t="s">
        <v>143</v>
      </c>
      <c r="AJ1002" s="2" t="s">
        <v>294</v>
      </c>
      <c r="AK1002" s="10" t="s">
        <v>80</v>
      </c>
      <c r="AL1002" s="2" t="s">
        <v>67</v>
      </c>
    </row>
    <row r="1003" ht="15.75" customHeight="1">
      <c r="A1003" s="2" t="s">
        <v>4587</v>
      </c>
      <c r="B1003" s="12" t="s">
        <v>4588</v>
      </c>
      <c r="C1003" s="2" t="str">
        <f>IFERROR(__xludf.DUMMYFUNCTION("IF(ISNUMBER(B1003),TEXT(B1003,""yyyy-MM-dd""),REGEXREPLACE(REGEXREPLACE(TO_TEXT(B1003),""[^0-9a-zA-Z]+"",""-""),""[^0-9]*$"",""""))"),"11-15-2024")</f>
        <v>11-15-2024</v>
      </c>
      <c r="D1003" s="2" t="str">
        <f>TEXT(C1003,"yyyy-MM-dd")</f>
        <v>11-15-2024</v>
      </c>
      <c r="E1003" s="2" t="s">
        <v>8918</v>
      </c>
      <c r="H1003" s="10" t="s">
        <v>8918</v>
      </c>
      <c r="I1003" s="2" t="s">
        <v>330</v>
      </c>
      <c r="J1003" s="26" t="str">
        <f t="array" ref="J1003">IF(ISNA(XLOOKUP(I1003,customers_clean!$A$2:$A$701,customers_clean!$A$2:$A$701, NA()) ),
   "❌ MISSING CUSTOMER", "✅")</f>
        <v>✅</v>
      </c>
      <c r="K1003" s="2" t="str">
        <f t="array" ref="K1003">XLOOKUP(I1003,customers_clean!$A$2:$A$701,customers_clean!$C$2:$C$701)</f>
        <v>Omar Davis </v>
      </c>
      <c r="L1003" s="10" t="str">
        <f t="array" ref="L1003">XLOOKUP(I1003,customers_clean!$A$2:$A$701,customers_clean!$D$2:$D$701)</f>
        <v>Omar Davis</v>
      </c>
      <c r="M1003" s="2" t="str">
        <f t="array" ref="M1003">XLOOKUP(I1003,customers_clean!$A$2:$A$701,customers_clean!$I$2:$I$701)</f>
        <v>Omar.Davis@Company.Co.Uk</v>
      </c>
      <c r="N1003" s="10" t="str">
        <f t="array" ref="N1003">XLOOKUP(I1003,customers_clean!$A$2:$A$701,customers_clean!$H$2:$H$701)</f>
        <v>omar.davis@company.co.uk</v>
      </c>
      <c r="O1003" s="9" t="str">
        <f>IFERROR(__xludf.DUMMYFUNCTION("IF(REGEXMATCH(TRIM(N1003),""^[A-Za-z0-9._%+-]+@[A-Za-z0-9.-]+\.[A-Za-z]{2,}$""),""✅ Valid"",""❌ Invalid"")"),"✅ Valid")</f>
        <v>✅ Valid</v>
      </c>
      <c r="P1003" s="2" t="str">
        <f t="array" ref="P1003">XLOOKUP(I1003,customers_clean!$A$2:$A$701,customers_clean!$K$2:$K$701)</f>
        <v>+33-600-80246</v>
      </c>
      <c r="Q1003" s="10" t="str">
        <f t="array" ref="Q1003">XLOOKUP(I1003,customers_clean!$A$2:$A$701,customers_clean!$N$2:$N$701)</f>
        <v>60080246</v>
      </c>
      <c r="R1003" s="9" t="str">
        <f t="array" ref="R1003">XLOOKUP(I1003,customers_clean!$A$2:$A$701,customers_clean!$Q$2:$Q$701)</f>
        <v>❌ INVALID</v>
      </c>
      <c r="S1003" s="10" t="s">
        <v>139</v>
      </c>
      <c r="T1003" s="2" t="s">
        <v>26</v>
      </c>
      <c r="U1003" s="2" t="s">
        <v>352</v>
      </c>
      <c r="V1003" s="2" t="s">
        <v>852</v>
      </c>
      <c r="W1003" s="9" t="str">
        <f t="array" ref="W1003">IF(ISNA(XLOOKUP(V1003,products_master_corrected!$A$2:$A$151,products_master_corrected!$A$2:$A$151, NA())),
    "❌ MISSING SKU", "✅")</f>
        <v>✅</v>
      </c>
      <c r="X1003" s="2" t="s">
        <v>213</v>
      </c>
      <c r="Y1003" s="2" t="s">
        <v>167</v>
      </c>
      <c r="Z1003" s="10" t="str">
        <f>PROPER(TRIM(Y1003))</f>
        <v>Monitors</v>
      </c>
      <c r="AA1003" s="27">
        <v>3.0</v>
      </c>
      <c r="AB1003" s="9" t="s">
        <v>8649</v>
      </c>
      <c r="AC1003" s="28">
        <f t="array" ref="AC1003">XLOOKUP(V1003,products_master_corrected!$A$2:$A$151,products_master_corrected!$E$2:$E$151)</f>
        <v>1114.6</v>
      </c>
      <c r="AD1003" s="28">
        <f t="shared" si="113"/>
        <v>3343.8</v>
      </c>
      <c r="AE1003" s="28">
        <f t="array" ref="AE1003">XLOOKUP(V1003,products_master_corrected!$A$2:$A$151,products_master_corrected!$L$2:$L$151)</f>
        <v>1205.44</v>
      </c>
      <c r="AF1003" s="29">
        <f t="shared" si="114"/>
        <v>3616.32</v>
      </c>
      <c r="AG1003" s="32" t="s">
        <v>8665</v>
      </c>
      <c r="AH1003" s="2" t="s">
        <v>181</v>
      </c>
      <c r="AI1003" s="10" t="s">
        <v>181</v>
      </c>
      <c r="AJ1003" s="2" t="s">
        <v>80</v>
      </c>
      <c r="AK1003" s="10" t="s">
        <v>80</v>
      </c>
      <c r="AL1003" s="2" t="s">
        <v>133</v>
      </c>
    </row>
    <row r="1004" ht="15.75" customHeight="1">
      <c r="A1004" s="2" t="s">
        <v>328</v>
      </c>
      <c r="B1004" s="12">
        <v>45168.0</v>
      </c>
      <c r="C1004" s="2" t="str">
        <f>IFERROR(__xludf.DUMMYFUNCTION("IF(ISNUMBER(B1004),TEXT(B1004,""yyyy-MM-dd""),REGEXREPLACE(REGEXREPLACE(TO_TEXT(B1004),""[^0-9a-zA-Z]+"",""-""),""[^0-9]*$"",""""))"),"2023-08-30")</f>
        <v>2023-08-30</v>
      </c>
      <c r="D1004" s="2" t="s">
        <v>8794</v>
      </c>
      <c r="H1004" s="10" t="s">
        <v>8794</v>
      </c>
      <c r="I1004" s="2" t="s">
        <v>330</v>
      </c>
      <c r="J1004" s="26" t="str">
        <f t="array" ref="J1004">IF(ISNA(XLOOKUP(I1004,customers_clean!$A$2:$A$701,customers_clean!$A$2:$A$701, NA()) ),
   "❌ MISSING CUSTOMER", "✅")</f>
        <v>✅</v>
      </c>
      <c r="K1004" s="2" t="str">
        <f t="array" ref="K1004">XLOOKUP(I1004,customers_clean!$A$2:$A$701,customers_clean!$C$2:$C$701)</f>
        <v>Omar Davis </v>
      </c>
      <c r="L1004" s="10" t="str">
        <f t="array" ref="L1004">XLOOKUP(I1004,customers_clean!$A$2:$A$701,customers_clean!$D$2:$D$701)</f>
        <v>Omar Davis</v>
      </c>
      <c r="M1004" s="2" t="str">
        <f t="array" ref="M1004">XLOOKUP(I1004,customers_clean!$A$2:$A$701,customers_clean!$I$2:$I$701)</f>
        <v>Omar.Davis@Company.Co.Uk</v>
      </c>
      <c r="N1004" s="10" t="str">
        <f t="array" ref="N1004">XLOOKUP(I1004,customers_clean!$A$2:$A$701,customers_clean!$H$2:$H$701)</f>
        <v>omar.davis@company.co.uk</v>
      </c>
      <c r="O1004" s="9" t="str">
        <f>IFERROR(__xludf.DUMMYFUNCTION("IF(REGEXMATCH(TRIM(N1004),""^[A-Za-z0-9._%+-]+@[A-Za-z0-9.-]+\.[A-Za-z]{2,}$""),""✅ Valid"",""❌ Invalid"")"),"✅ Valid")</f>
        <v>✅ Valid</v>
      </c>
      <c r="P1004" s="2" t="str">
        <f t="array" ref="P1004">XLOOKUP(I1004,customers_clean!$A$2:$A$701,customers_clean!$K$2:$K$701)</f>
        <v>+33-600-80246</v>
      </c>
      <c r="Q1004" s="10" t="str">
        <f t="array" ref="Q1004">XLOOKUP(I1004,customers_clean!$A$2:$A$701,customers_clean!$N$2:$N$701)</f>
        <v>60080246</v>
      </c>
      <c r="R1004" s="9" t="str">
        <f t="array" ref="R1004">XLOOKUP(I1004,customers_clean!$A$2:$A$701,customers_clean!$Q$2:$Q$701)</f>
        <v>❌ INVALID</v>
      </c>
      <c r="S1004" s="10" t="s">
        <v>139</v>
      </c>
      <c r="T1004" s="2" t="s">
        <v>323</v>
      </c>
      <c r="U1004" s="2" t="s">
        <v>333</v>
      </c>
      <c r="V1004" s="2" t="s">
        <v>334</v>
      </c>
      <c r="W1004" s="9" t="str">
        <f t="array" ref="W1004">IF(ISNA(XLOOKUP(V1004,products_master_corrected!$A$2:$A$151,products_master_corrected!$A$2:$A$151, NA())),
    "❌ MISSING SKU", "✅")</f>
        <v>✅</v>
      </c>
      <c r="X1004" s="2" t="s">
        <v>29</v>
      </c>
      <c r="Y1004" s="2" t="s">
        <v>248</v>
      </c>
      <c r="Z1004" s="10" t="s">
        <v>248</v>
      </c>
      <c r="AA1004" s="27"/>
      <c r="AB1004" s="9" t="s">
        <v>8677</v>
      </c>
      <c r="AC1004" s="34"/>
      <c r="AD1004" s="34"/>
      <c r="AE1004" s="34"/>
      <c r="AF1004" s="35"/>
      <c r="AG1004" s="36" t="s">
        <v>65</v>
      </c>
      <c r="AH1004" s="2" t="s">
        <v>337</v>
      </c>
      <c r="AI1004" s="10" t="s">
        <v>181</v>
      </c>
      <c r="AJ1004" s="2" t="s">
        <v>169</v>
      </c>
      <c r="AK1004" s="10" t="s">
        <v>261</v>
      </c>
      <c r="AL1004" s="2" t="s">
        <v>81</v>
      </c>
    </row>
    <row r="1005" ht="15.75" customHeight="1">
      <c r="A1005" s="2" t="s">
        <v>6137</v>
      </c>
      <c r="B1005" s="12">
        <v>44979.0</v>
      </c>
      <c r="C1005" s="2" t="str">
        <f>IFERROR(__xludf.DUMMYFUNCTION("IF(ISNUMBER(B1005),TEXT(B1005,""yyyy-MM-dd""),REGEXREPLACE(REGEXREPLACE(TO_TEXT(B1005),""[^0-9a-zA-Z]+"",""-""),""[^0-9]*$"",""""))"),"2023-02-22")</f>
        <v>2023-02-22</v>
      </c>
      <c r="D1005" s="2" t="s">
        <v>8995</v>
      </c>
      <c r="H1005" s="10" t="s">
        <v>8995</v>
      </c>
      <c r="I1005" s="2" t="s">
        <v>6139</v>
      </c>
      <c r="J1005" s="26" t="str">
        <f t="array" ref="J1005">IF(ISNA(XLOOKUP(I1005,customers_clean!$A$2:$A$701,customers_clean!$A$2:$A$701, NA()) ),
   "❌ MISSING CUSTOMER", "✅")</f>
        <v>✅</v>
      </c>
      <c r="K1005" s="2" t="str">
        <f t="array" ref="K1005">XLOOKUP(I1005,customers_clean!$A$2:$A$701,customers_clean!$C$2:$C$701)</f>
        <v> Igor Rodriguez</v>
      </c>
      <c r="L1005" s="10" t="str">
        <f t="array" ref="L1005">XLOOKUP(I1005,customers_clean!$A$2:$A$701,customers_clean!$D$2:$D$701)</f>
        <v>Igor Rodriguez</v>
      </c>
      <c r="M1005" s="2" t="str">
        <f t="array" ref="M1005">XLOOKUP(I1005,customers_clean!$A$2:$A$701,customers_clean!$I$2:$I$701)</f>
        <v> igor.rodriguez@outlook.com</v>
      </c>
      <c r="N1005" s="10" t="str">
        <f t="array" ref="N1005">XLOOKUP(I1005,customers_clean!$A$2:$A$701,customers_clean!$H$2:$H$701)</f>
        <v>igor.rodriguez@outlook.com</v>
      </c>
      <c r="O1005" s="9" t="str">
        <f>IFERROR(__xludf.DUMMYFUNCTION("IF(REGEXMATCH(TRIM(N1005),""^[A-Za-z0-9._%+-]+@[A-Za-z0-9.-]+\.[A-Za-z]{2,}$""),""✅ Valid"",""❌ Invalid"")"),"✅ Valid")</f>
        <v>✅ Valid</v>
      </c>
      <c r="P1005" s="2" t="str">
        <f t="array" ref="P1005">XLOOKUP(I1005,customers_clean!$A$2:$A$701,customers_clean!$K$2:$K$701)</f>
        <v>+34+102701216</v>
      </c>
      <c r="Q1005" s="10" t="str">
        <f t="array" ref="Q1005">XLOOKUP(I1005,customers_clean!$A$2:$A$701,customers_clean!$N$2:$N$701)</f>
        <v>102701216</v>
      </c>
      <c r="R1005" s="9" t="str">
        <f t="array" ref="R1005">XLOOKUP(I1005,customers_clean!$A$2:$A$701,customers_clean!$Q$2:$Q$701)</f>
        <v>❌ INVALID</v>
      </c>
      <c r="S1005" s="10" t="s">
        <v>139</v>
      </c>
      <c r="T1005" s="2" t="s">
        <v>2045</v>
      </c>
      <c r="U1005" s="2" t="s">
        <v>4601</v>
      </c>
      <c r="V1005" s="2" t="s">
        <v>1679</v>
      </c>
      <c r="W1005" s="9" t="str">
        <f t="array" ref="W1005">IF(ISNA(XLOOKUP(V1005,products_master_corrected!$A$2:$A$151,products_master_corrected!$A$2:$A$151, NA())),
    "❌ MISSING SKU", "✅")</f>
        <v>✅</v>
      </c>
      <c r="X1005" s="2" t="s">
        <v>280</v>
      </c>
      <c r="Y1005" s="2" t="s">
        <v>514</v>
      </c>
      <c r="Z1005" s="10" t="s">
        <v>514</v>
      </c>
      <c r="AA1005" s="27">
        <v>1.0</v>
      </c>
      <c r="AB1005" s="9" t="s">
        <v>8649</v>
      </c>
      <c r="AC1005" s="28">
        <f t="array" ref="AC1005">XLOOKUP(V1005,products_master_corrected!$A$2:$A$151,products_master_corrected!$E$2:$E$151)</f>
        <v>130.95</v>
      </c>
      <c r="AD1005" s="28">
        <f t="shared" ref="AD1005:AD1027" si="117">AA1005*AC1005</f>
        <v>130.95</v>
      </c>
      <c r="AE1005" s="28">
        <f t="array" ref="AE1005">XLOOKUP(V1005,products_master_corrected!$A$2:$A$151,products_master_corrected!$L$2:$L$151)</f>
        <v>141.62</v>
      </c>
      <c r="AF1005" s="29">
        <f t="shared" ref="AF1005:AF1027" si="118">AA1005*AE1005</f>
        <v>141.62</v>
      </c>
      <c r="AG1005" s="32" t="s">
        <v>8665</v>
      </c>
      <c r="AH1005" s="2" t="s">
        <v>66</v>
      </c>
      <c r="AI1005" s="10" t="s">
        <v>66</v>
      </c>
      <c r="AJ1005" s="2" t="s">
        <v>80</v>
      </c>
      <c r="AK1005" s="10" t="s">
        <v>80</v>
      </c>
    </row>
    <row r="1006" ht="15.75" customHeight="1">
      <c r="A1006" s="2" t="s">
        <v>3922</v>
      </c>
      <c r="B1006" s="12">
        <v>45379.0</v>
      </c>
      <c r="C1006" s="2" t="str">
        <f>IFERROR(__xludf.DUMMYFUNCTION("IF(ISNUMBER(B1006),TEXT(B1006,""yyyy-MM-dd""),REGEXREPLACE(REGEXREPLACE(TO_TEXT(B1006),""[^0-9a-zA-Z]+"",""-""),""[^0-9]*$"",""""))"),"2024-03-28")</f>
        <v>2024-03-28</v>
      </c>
      <c r="D1006" s="2" t="s">
        <v>8873</v>
      </c>
      <c r="H1006" s="10" t="s">
        <v>8873</v>
      </c>
      <c r="I1006" s="2" t="s">
        <v>2215</v>
      </c>
      <c r="J1006" s="26" t="str">
        <f t="array" ref="J1006">IF(ISNA(XLOOKUP(I1006,customers_clean!$A$2:$A$701,customers_clean!$A$2:$A$701, NA()) ),
   "❌ MISSING CUSTOMER", "✅")</f>
        <v>✅</v>
      </c>
      <c r="K1006" s="2" t="str">
        <f t="array" ref="K1006">XLOOKUP(I1006,customers_clean!$A$2:$A$701,customers_clean!$C$2:$C$701)</f>
        <v>Wiktor Lopez</v>
      </c>
      <c r="L1006" s="10" t="str">
        <f t="array" ref="L1006">XLOOKUP(I1006,customers_clean!$A$2:$A$701,customers_clean!$D$2:$D$701)</f>
        <v>Wiktor Lopez</v>
      </c>
      <c r="M1006" s="2" t="str">
        <f t="array" ref="M1006">XLOOKUP(I1006,customers_clean!$A$2:$A$701,customers_clean!$I$2:$I$701)</f>
        <v>wiktor.lopez@gmail.com</v>
      </c>
      <c r="N1006" s="10" t="str">
        <f t="array" ref="N1006">XLOOKUP(I1006,customers_clean!$A$2:$A$701,customers_clean!$H$2:$H$701)</f>
        <v>wiktor.lopez@gmail.com</v>
      </c>
      <c r="O1006" s="9" t="str">
        <f>IFERROR(__xludf.DUMMYFUNCTION("IF(REGEXMATCH(TRIM(N1006),""^[A-Za-z0-9._%+-]+@[A-Za-z0-9.-]+\.[A-Za-z]{2,}$""),""✅ Valid"",""❌ Invalid"")"),"✅ Valid")</f>
        <v>✅ Valid</v>
      </c>
      <c r="P1006" s="2" t="str">
        <f t="array" ref="P1006">XLOOKUP(I1006,customers_clean!$A$2:$A$701,customers_clean!$K$2:$K$701)</f>
        <v>+1+642485861</v>
      </c>
      <c r="Q1006" s="10" t="str">
        <f t="array" ref="Q1006">XLOOKUP(I1006,customers_clean!$A$2:$A$701,customers_clean!$N$2:$N$701)</f>
        <v>642485861</v>
      </c>
      <c r="R1006" s="9" t="str">
        <f t="array" ref="R1006">XLOOKUP(I1006,customers_clean!$A$2:$A$701,customers_clean!$Q$2:$Q$701)</f>
        <v>❌ INVALID</v>
      </c>
      <c r="S1006" s="31" t="s">
        <v>671</v>
      </c>
      <c r="T1006" s="2" t="s">
        <v>301</v>
      </c>
      <c r="U1006" s="2" t="s">
        <v>90</v>
      </c>
      <c r="V1006" s="2" t="s">
        <v>1168</v>
      </c>
      <c r="W1006" s="9" t="str">
        <f t="array" ref="W1006">IF(ISNA(XLOOKUP(V1006,products_master_corrected!$A$2:$A$151,products_master_corrected!$A$2:$A$151, NA())),
    "❌ MISSING SKU", "✅")</f>
        <v>✅</v>
      </c>
      <c r="X1006" s="2" t="s">
        <v>423</v>
      </c>
      <c r="Y1006" s="2" t="s">
        <v>63</v>
      </c>
      <c r="Z1006" s="10" t="s">
        <v>63</v>
      </c>
      <c r="AA1006" s="27">
        <v>2.0</v>
      </c>
      <c r="AB1006" s="9" t="s">
        <v>8649</v>
      </c>
      <c r="AC1006" s="28">
        <f t="array" ref="AC1006">XLOOKUP(V1006,products_master_corrected!$A$2:$A$151,products_master_corrected!$E$2:$E$151)</f>
        <v>106.64</v>
      </c>
      <c r="AD1006" s="28">
        <f t="shared" si="117"/>
        <v>213.28</v>
      </c>
      <c r="AE1006" s="28">
        <f t="array" ref="AE1006">XLOOKUP(V1006,products_master_corrected!$A$2:$A$151,products_master_corrected!$J$2:$J$151)</f>
        <v>124.37</v>
      </c>
      <c r="AF1006" s="29">
        <f t="shared" si="118"/>
        <v>248.74</v>
      </c>
      <c r="AG1006" s="32" t="s">
        <v>8656</v>
      </c>
      <c r="AH1006" s="2" t="s">
        <v>305</v>
      </c>
      <c r="AI1006" s="10" t="s">
        <v>49</v>
      </c>
      <c r="AJ1006" s="2" t="s">
        <v>192</v>
      </c>
      <c r="AK1006" s="10" t="s">
        <v>192</v>
      </c>
    </row>
    <row r="1007" ht="15.75" customHeight="1">
      <c r="A1007" s="2" t="s">
        <v>2213</v>
      </c>
      <c r="B1007" s="12">
        <v>45614.0</v>
      </c>
      <c r="C1007" s="2" t="str">
        <f>IFERROR(__xludf.DUMMYFUNCTION("IF(ISNUMBER(B1007),TEXT(B1007,""yyyy-MM-dd""),REGEXREPLACE(REGEXREPLACE(TO_TEXT(B1007),""[^0-9a-zA-Z]+"",""-""),""[^0-9]*$"",""""))"),"2024-11-18")</f>
        <v>2024-11-18</v>
      </c>
      <c r="D1007" s="2" t="s">
        <v>8743</v>
      </c>
      <c r="H1007" s="10" t="s">
        <v>8743</v>
      </c>
      <c r="I1007" s="2" t="s">
        <v>2215</v>
      </c>
      <c r="J1007" s="26" t="str">
        <f t="array" ref="J1007">IF(ISNA(XLOOKUP(I1007,customers_clean!$A$2:$A$701,customers_clean!$A$2:$A$701, NA()) ),
   "❌ MISSING CUSTOMER", "✅")</f>
        <v>✅</v>
      </c>
      <c r="K1007" s="2" t="str">
        <f t="array" ref="K1007">XLOOKUP(I1007,customers_clean!$A$2:$A$701,customers_clean!$C$2:$C$701)</f>
        <v>Wiktor Lopez</v>
      </c>
      <c r="L1007" s="10" t="str">
        <f t="array" ref="L1007">XLOOKUP(I1007,customers_clean!$A$2:$A$701,customers_clean!$D$2:$D$701)</f>
        <v>Wiktor Lopez</v>
      </c>
      <c r="M1007" s="2" t="str">
        <f t="array" ref="M1007">XLOOKUP(I1007,customers_clean!$A$2:$A$701,customers_clean!$I$2:$I$701)</f>
        <v>wiktor.lopez@gmail.com</v>
      </c>
      <c r="N1007" s="10" t="str">
        <f t="array" ref="N1007">XLOOKUP(I1007,customers_clean!$A$2:$A$701,customers_clean!$H$2:$H$701)</f>
        <v>wiktor.lopez@gmail.com</v>
      </c>
      <c r="O1007" s="9" t="str">
        <f>IFERROR(__xludf.DUMMYFUNCTION("IF(REGEXMATCH(TRIM(N1007),""^[A-Za-z0-9._%+-]+@[A-Za-z0-9.-]+\.[A-Za-z]{2,}$""),""✅ Valid"",""❌ Invalid"")"),"✅ Valid")</f>
        <v>✅ Valid</v>
      </c>
      <c r="P1007" s="2" t="str">
        <f t="array" ref="P1007">XLOOKUP(I1007,customers_clean!$A$2:$A$701,customers_clean!$K$2:$K$701)</f>
        <v>+1+642485861</v>
      </c>
      <c r="Q1007" s="10" t="str">
        <f t="array" ref="Q1007">XLOOKUP(I1007,customers_clean!$A$2:$A$701,customers_clean!$N$2:$N$701)</f>
        <v>642485861</v>
      </c>
      <c r="R1007" s="9" t="str">
        <f t="array" ref="R1007">XLOOKUP(I1007,customers_clean!$A$2:$A$701,customers_clean!$Q$2:$Q$701)</f>
        <v>❌ INVALID</v>
      </c>
      <c r="S1007" s="31" t="s">
        <v>671</v>
      </c>
      <c r="T1007" s="2" t="s">
        <v>802</v>
      </c>
      <c r="U1007" s="2" t="s">
        <v>352</v>
      </c>
      <c r="V1007" s="2" t="s">
        <v>2219</v>
      </c>
      <c r="W1007" s="9" t="str">
        <f t="array" ref="W1007">IF(ISNA(XLOOKUP(V1007,products_master_corrected!$A$2:$A$151,products_master_corrected!$A$2:$A$151, NA())),
    "❌ MISSING SKU", "✅")</f>
        <v>✅</v>
      </c>
      <c r="X1007" s="2" t="s">
        <v>768</v>
      </c>
      <c r="Y1007" s="2" t="s">
        <v>805</v>
      </c>
      <c r="Z1007" s="10" t="s">
        <v>355</v>
      </c>
      <c r="AA1007" s="27">
        <v>3.0</v>
      </c>
      <c r="AB1007" s="9" t="s">
        <v>8649</v>
      </c>
      <c r="AC1007" s="28">
        <f t="array" ref="AC1007">XLOOKUP(V1007,products_master_corrected!$A$2:$A$151,products_master_corrected!$E$2:$E$151)</f>
        <v>44.94</v>
      </c>
      <c r="AD1007" s="28">
        <f t="shared" si="117"/>
        <v>134.82</v>
      </c>
      <c r="AE1007" s="28">
        <f t="array" ref="AE1007">XLOOKUP(V1007,products_master_corrected!$A$2:$A$151,products_master_corrected!$J$2:$J$151)</f>
        <v>52.41</v>
      </c>
      <c r="AF1007" s="29">
        <f t="shared" si="118"/>
        <v>157.23</v>
      </c>
      <c r="AG1007" s="32" t="s">
        <v>8656</v>
      </c>
      <c r="AH1007" s="2" t="s">
        <v>49</v>
      </c>
      <c r="AI1007" s="10" t="s">
        <v>49</v>
      </c>
      <c r="AJ1007" s="2" t="s">
        <v>294</v>
      </c>
      <c r="AK1007" s="10" t="s">
        <v>80</v>
      </c>
    </row>
    <row r="1008" ht="15.75" customHeight="1">
      <c r="A1008" s="2" t="s">
        <v>3099</v>
      </c>
      <c r="B1008" s="12">
        <v>45053.0</v>
      </c>
      <c r="C1008" s="2" t="str">
        <f>IFERROR(__xludf.DUMMYFUNCTION("IF(ISNUMBER(B1008),TEXT(B1008,""yyyy-MM-dd""),REGEXREPLACE(REGEXREPLACE(TO_TEXT(B1008),""[^0-9a-zA-Z]+"",""-""),""[^0-9]*$"",""""))"),"2023-05-07")</f>
        <v>2023-05-07</v>
      </c>
      <c r="D1008" s="2" t="s">
        <v>8867</v>
      </c>
      <c r="H1008" s="10" t="s">
        <v>8867</v>
      </c>
      <c r="I1008" s="2" t="s">
        <v>2215</v>
      </c>
      <c r="J1008" s="26" t="str">
        <f t="array" ref="J1008">IF(ISNA(XLOOKUP(I1008,customers_clean!$A$2:$A$701,customers_clean!$A$2:$A$701, NA()) ),
   "❌ MISSING CUSTOMER", "✅")</f>
        <v>✅</v>
      </c>
      <c r="K1008" s="2" t="str">
        <f t="array" ref="K1008">XLOOKUP(I1008,customers_clean!$A$2:$A$701,customers_clean!$C$2:$C$701)</f>
        <v>Wiktor Lopez</v>
      </c>
      <c r="L1008" s="10" t="str">
        <f t="array" ref="L1008">XLOOKUP(I1008,customers_clean!$A$2:$A$701,customers_clean!$D$2:$D$701)</f>
        <v>Wiktor Lopez</v>
      </c>
      <c r="M1008" s="2" t="str">
        <f t="array" ref="M1008">XLOOKUP(I1008,customers_clean!$A$2:$A$701,customers_clean!$I$2:$I$701)</f>
        <v>wiktor.lopez@gmail.com</v>
      </c>
      <c r="N1008" s="10" t="str">
        <f t="array" ref="N1008">XLOOKUP(I1008,customers_clean!$A$2:$A$701,customers_clean!$H$2:$H$701)</f>
        <v>wiktor.lopez@gmail.com</v>
      </c>
      <c r="O1008" s="9" t="str">
        <f>IFERROR(__xludf.DUMMYFUNCTION("IF(REGEXMATCH(TRIM(N1008),""^[A-Za-z0-9._%+-]+@[A-Za-z0-9.-]+\.[A-Za-z]{2,}$""),""✅ Valid"",""❌ Invalid"")"),"✅ Valid")</f>
        <v>✅ Valid</v>
      </c>
      <c r="P1008" s="2" t="str">
        <f t="array" ref="P1008">XLOOKUP(I1008,customers_clean!$A$2:$A$701,customers_clean!$K$2:$K$701)</f>
        <v>+1+642485861</v>
      </c>
      <c r="Q1008" s="10" t="str">
        <f t="array" ref="Q1008">XLOOKUP(I1008,customers_clean!$A$2:$A$701,customers_clean!$N$2:$N$701)</f>
        <v>642485861</v>
      </c>
      <c r="R1008" s="9" t="str">
        <f t="array" ref="R1008">XLOOKUP(I1008,customers_clean!$A$2:$A$701,customers_clean!$Q$2:$Q$701)</f>
        <v>❌ INVALID</v>
      </c>
      <c r="S1008" s="31" t="s">
        <v>671</v>
      </c>
      <c r="T1008" s="2" t="s">
        <v>42</v>
      </c>
      <c r="U1008" s="2" t="s">
        <v>103</v>
      </c>
      <c r="V1008" s="2" t="s">
        <v>3101</v>
      </c>
      <c r="W1008" s="9" t="str">
        <f t="array" ref="W1008">IF(ISNA(XLOOKUP(V1008,products_master_corrected!$A$2:$A$151,products_master_corrected!$A$2:$A$151, NA())),
    "❌ MISSING SKU", "✅")</f>
        <v>✅</v>
      </c>
      <c r="X1008" s="2" t="s">
        <v>804</v>
      </c>
      <c r="Y1008" s="2" t="s">
        <v>248</v>
      </c>
      <c r="Z1008" s="10" t="s">
        <v>248</v>
      </c>
      <c r="AA1008" s="27">
        <v>1.0</v>
      </c>
      <c r="AB1008" s="9" t="s">
        <v>8649</v>
      </c>
      <c r="AC1008" s="28">
        <f t="array" ref="AC1008">XLOOKUP(V1008,products_master_corrected!$A$2:$A$151,products_master_corrected!$E$2:$E$151)</f>
        <v>23.37</v>
      </c>
      <c r="AD1008" s="28">
        <f t="shared" si="117"/>
        <v>23.37</v>
      </c>
      <c r="AE1008" s="28">
        <f t="array" ref="AE1008">XLOOKUP(V1008,products_master_corrected!$A$2:$A$151,products_master_corrected!$J$2:$J$151)</f>
        <v>27.26</v>
      </c>
      <c r="AF1008" s="29">
        <f t="shared" si="118"/>
        <v>27.26</v>
      </c>
      <c r="AG1008" s="32" t="s">
        <v>8656</v>
      </c>
      <c r="AH1008" s="2" t="s">
        <v>66</v>
      </c>
      <c r="AI1008" s="10" t="s">
        <v>66</v>
      </c>
      <c r="AJ1008" s="2" t="s">
        <v>432</v>
      </c>
      <c r="AK1008" s="10" t="s">
        <v>80</v>
      </c>
    </row>
    <row r="1009" ht="15.75" customHeight="1">
      <c r="A1009" s="2" t="s">
        <v>2474</v>
      </c>
      <c r="B1009" s="12">
        <v>45717.0</v>
      </c>
      <c r="C1009" s="2" t="str">
        <f>IFERROR(__xludf.DUMMYFUNCTION("IF(ISNUMBER(B1009),TEXT(B1009,""yyyy-MM-dd""),REGEXREPLACE(REGEXREPLACE(TO_TEXT(B1009),""[^0-9a-zA-Z]+"",""-""),""[^0-9]*$"",""""))"),"2025-03-01")</f>
        <v>2025-03-01</v>
      </c>
      <c r="D1009" s="2" t="s">
        <v>8002</v>
      </c>
      <c r="H1009" s="10" t="s">
        <v>8002</v>
      </c>
      <c r="I1009" s="2" t="s">
        <v>2476</v>
      </c>
      <c r="J1009" s="26" t="str">
        <f t="array" ref="J1009">IF(ISNA(XLOOKUP(I1009,customers_clean!$A$2:$A$701,customers_clean!$A$2:$A$701, NA()) ),
   "❌ MISSING CUSTOMER", "✅")</f>
        <v>✅</v>
      </c>
      <c r="K1009" s="2" t="str">
        <f t="array" ref="K1009">XLOOKUP(I1009,customers_clean!$A$2:$A$701,customers_clean!$C$2:$C$701)</f>
        <v>Omar Nowak</v>
      </c>
      <c r="L1009" s="10" t="str">
        <f t="array" ref="L1009">XLOOKUP(I1009,customers_clean!$A$2:$A$701,customers_clean!$D$2:$D$701)</f>
        <v>Omar Nowak</v>
      </c>
      <c r="M1009" s="2" t="str">
        <f t="array" ref="M1009">XLOOKUP(I1009,customers_clean!$A$2:$A$701,customers_clean!$I$2:$I$701)</f>
        <v>Omar.Nowak@Yahoo.Com</v>
      </c>
      <c r="N1009" s="10" t="str">
        <f t="array" ref="N1009">XLOOKUP(I1009,customers_clean!$A$2:$A$701,customers_clean!$H$2:$H$701)</f>
        <v>omar.nowak@yahoo.com</v>
      </c>
      <c r="O1009" s="9" t="str">
        <f>IFERROR(__xludf.DUMMYFUNCTION("IF(REGEXMATCH(TRIM(N1009),""^[A-Za-z0-9._%+-]+@[A-Za-z0-9.-]+\.[A-Za-z]{2,}$""),""✅ Valid"",""❌ Invalid"")"),"✅ Valid")</f>
        <v>✅ Valid</v>
      </c>
      <c r="P1009" s="2">
        <f t="array" ref="P1009">XLOOKUP(I1009,customers_clean!$A$2:$A$701,customers_clean!$K$2:$K$701)</f>
        <v>4488740291955</v>
      </c>
      <c r="Q1009" s="10" t="str">
        <f t="array" ref="Q1009">XLOOKUP(I1009,customers_clean!$A$2:$A$701,customers_clean!$N$2:$N$701)</f>
        <v>88740291955</v>
      </c>
      <c r="R1009" s="9" t="str">
        <f t="array" ref="R1009">XLOOKUP(I1009,customers_clean!$A$2:$A$701,customers_clean!$Q$2:$Q$701)</f>
        <v>❌ INVALID</v>
      </c>
      <c r="S1009" s="10" t="s">
        <v>25</v>
      </c>
      <c r="T1009" s="2" t="s">
        <v>234</v>
      </c>
      <c r="U1009" s="2" t="s">
        <v>90</v>
      </c>
      <c r="V1009" s="2" t="s">
        <v>471</v>
      </c>
      <c r="W1009" s="9" t="str">
        <f t="array" ref="W1009">IF(ISNA(XLOOKUP(V1009,products_master_corrected!$A$2:$A$151,products_master_corrected!$A$2:$A$151, NA())),
    "❌ MISSING SKU", "✅")</f>
        <v>✅</v>
      </c>
      <c r="X1009" s="2" t="s">
        <v>29</v>
      </c>
      <c r="Y1009" s="2" t="s">
        <v>179</v>
      </c>
      <c r="Z1009" s="10" t="s">
        <v>179</v>
      </c>
      <c r="AA1009" s="27">
        <v>3.0</v>
      </c>
      <c r="AB1009" s="9" t="s">
        <v>8649</v>
      </c>
      <c r="AC1009" s="28">
        <f t="array" ref="AC1009">XLOOKUP(V1009,products_master_corrected!$A$2:$A$151,products_master_corrected!$E$2:$E$151)</f>
        <v>71.8</v>
      </c>
      <c r="AD1009" s="28">
        <f t="shared" si="117"/>
        <v>215.4</v>
      </c>
      <c r="AE1009" s="28">
        <f t="array" ref="AE1009">XLOOKUP(V1009,products_master_corrected!$A$2:$A$151,products_master_corrected!$K$2:$K$151)</f>
        <v>369.41</v>
      </c>
      <c r="AF1009" s="29">
        <f t="shared" si="118"/>
        <v>1108.23</v>
      </c>
      <c r="AG1009" s="30" t="s">
        <v>95</v>
      </c>
      <c r="AH1009" s="2" t="s">
        <v>370</v>
      </c>
      <c r="AI1009" s="10" t="s">
        <v>143</v>
      </c>
      <c r="AJ1009" s="2" t="s">
        <v>192</v>
      </c>
      <c r="AK1009" s="10" t="s">
        <v>192</v>
      </c>
    </row>
    <row r="1010" ht="15.75" customHeight="1">
      <c r="A1010" s="2" t="s">
        <v>5525</v>
      </c>
      <c r="B1010" s="12">
        <v>45551.62013888889</v>
      </c>
      <c r="C1010" s="2" t="str">
        <f>IFERROR(__xludf.DUMMYFUNCTION("IF(ISNUMBER(B1010),TEXT(B1010,""yyyy-MM-dd""),REGEXREPLACE(REGEXREPLACE(TO_TEXT(B1010),""[^0-9a-zA-Z]+"",""-""),""[^0-9]*$"",""""))"),"2024-09-16")</f>
        <v>2024-09-16</v>
      </c>
      <c r="D1010" s="2" t="s">
        <v>7743</v>
      </c>
      <c r="H1010" s="10" t="s">
        <v>7743</v>
      </c>
      <c r="I1010" s="2" t="s">
        <v>5527</v>
      </c>
      <c r="J1010" s="26" t="str">
        <f t="array" ref="J1010">IF(ISNA(XLOOKUP(I1010,customers_clean!$A$2:$A$701,customers_clean!$A$2:$A$701, NA()) ),
   "❌ MISSING CUSTOMER", "✅")</f>
        <v>✅</v>
      </c>
      <c r="K1010" s="2" t="str">
        <f t="array" ref="K1010">XLOOKUP(I1010,customers_clean!$A$2:$A$701,customers_clean!$C$2:$C$701)</f>
        <v>Rita Walker</v>
      </c>
      <c r="L1010" s="10" t="str">
        <f t="array" ref="L1010">XLOOKUP(I1010,customers_clean!$A$2:$A$701,customers_clean!$D$2:$D$701)</f>
        <v>Rita Walker</v>
      </c>
      <c r="M1010" s="2" t="str">
        <f t="array" ref="M1010">XLOOKUP(I1010,customers_clean!$A$2:$A$701,customers_clean!$I$2:$I$701)</f>
        <v>rita.walekr@example.com</v>
      </c>
      <c r="N1010" s="10" t="str">
        <f t="array" ref="N1010">XLOOKUP(I1010,customers_clean!$A$2:$A$701,customers_clean!$H$2:$H$701)</f>
        <v>rita.walekr@example.com</v>
      </c>
      <c r="O1010" s="9" t="str">
        <f>IFERROR(__xludf.DUMMYFUNCTION("IF(REGEXMATCH(TRIM(N1010),""^[A-Za-z0-9._%+-]+@[A-Za-z0-9.-]+\.[A-Za-z]{2,}$""),""✅ Valid"",""❌ Invalid"")"),"✅ Valid")</f>
        <v>✅ Valid</v>
      </c>
      <c r="P1010" s="2" t="str">
        <f t="array" ref="P1010">XLOOKUP(I1010,customers_clean!$A$2:$A$701,customers_clean!$K$2:$K$701)</f>
        <v>(797) 75138600</v>
      </c>
      <c r="Q1010" s="10" t="str">
        <f t="array" ref="Q1010">XLOOKUP(I1010,customers_clean!$A$2:$A$701,customers_clean!$N$2:$N$701)</f>
        <v>79775138600</v>
      </c>
      <c r="R1010" s="9" t="str">
        <f t="array" ref="R1010">XLOOKUP(I1010,customers_clean!$A$2:$A$701,customers_clean!$Q$2:$Q$701)</f>
        <v>❌ INVALID</v>
      </c>
      <c r="S1010" s="10" t="s">
        <v>88</v>
      </c>
      <c r="T1010" s="2" t="s">
        <v>59</v>
      </c>
      <c r="U1010" s="2" t="s">
        <v>401</v>
      </c>
      <c r="V1010" s="2" t="s">
        <v>44</v>
      </c>
      <c r="W1010" s="9" t="str">
        <f t="array" ref="W1010">IF(ISNA(XLOOKUP(V1010,products_master_corrected!$A$2:$A$151,products_master_corrected!$A$2:$A$151, NA())),
    "❌ MISSING SKU", "✅")</f>
        <v>✅</v>
      </c>
      <c r="X1010" s="2" t="s">
        <v>502</v>
      </c>
      <c r="Y1010" s="2" t="s">
        <v>46</v>
      </c>
      <c r="Z1010" s="10" t="s">
        <v>248</v>
      </c>
      <c r="AA1010" s="27">
        <v>2.0</v>
      </c>
      <c r="AB1010" s="9" t="s">
        <v>8649</v>
      </c>
      <c r="AC1010" s="28">
        <f t="array" ref="AC1010">XLOOKUP(V1010,products_master_corrected!$A$2:$A$151,products_master_corrected!$E$2:$E$151)</f>
        <v>755.05</v>
      </c>
      <c r="AD1010" s="28">
        <f t="shared" si="117"/>
        <v>1510.1</v>
      </c>
      <c r="AE1010" s="28">
        <f t="array" ref="AE1010">XLOOKUP(V1010,products_master_corrected!$A$2:$A$151,products_master_corrected!$I$2:$I$151)</f>
        <v>832.37</v>
      </c>
      <c r="AF1010" s="29">
        <f t="shared" si="118"/>
        <v>1664.74</v>
      </c>
      <c r="AG1010" s="32" t="s">
        <v>8660</v>
      </c>
      <c r="AH1010" s="2" t="s">
        <v>96</v>
      </c>
      <c r="AI1010" s="10" t="s">
        <v>143</v>
      </c>
      <c r="AJ1010" s="2" t="s">
        <v>818</v>
      </c>
      <c r="AK1010" s="10" t="s">
        <v>818</v>
      </c>
    </row>
    <row r="1011" ht="15.75" customHeight="1">
      <c r="A1011" s="2" t="s">
        <v>1313</v>
      </c>
      <c r="B1011" s="12">
        <v>45490.0</v>
      </c>
      <c r="C1011" s="2" t="str">
        <f>IFERROR(__xludf.DUMMYFUNCTION("IF(ISNUMBER(B1011),TEXT(B1011,""yyyy-MM-dd""),REGEXREPLACE(REGEXREPLACE(TO_TEXT(B1011),""[^0-9a-zA-Z]+"",""-""),""[^0-9]*$"",""""))"),"2024-07-17")</f>
        <v>2024-07-17</v>
      </c>
      <c r="D1011" s="2" t="s">
        <v>8910</v>
      </c>
      <c r="H1011" s="10" t="s">
        <v>8910</v>
      </c>
      <c r="I1011" s="2" t="s">
        <v>1315</v>
      </c>
      <c r="J1011" s="26" t="str">
        <f t="array" ref="J1011">IF(ISNA(XLOOKUP(I1011,customers_clean!$A$2:$A$701,customers_clean!$A$2:$A$701, NA()) ),
   "❌ MISSING CUSTOMER", "✅")</f>
        <v>✅</v>
      </c>
      <c r="K1011" s="2" t="str">
        <f t="array" ref="K1011">XLOOKUP(I1011,customers_clean!$A$2:$A$701,customers_clean!$C$2:$C$701)</f>
        <v> Gabe Davis</v>
      </c>
      <c r="L1011" s="10" t="str">
        <f t="array" ref="L1011">XLOOKUP(I1011,customers_clean!$A$2:$A$701,customers_clean!$D$2:$D$701)</f>
        <v>Gabe Davis</v>
      </c>
      <c r="M1011" s="2" t="str">
        <f t="array" ref="M1011">XLOOKUP(I1011,customers_clean!$A$2:$A$701,customers_clean!$I$2:$I$701)</f>
        <v>gabe.davis@gmail.com</v>
      </c>
      <c r="N1011" s="10" t="str">
        <f t="array" ref="N1011">XLOOKUP(I1011,customers_clean!$A$2:$A$701,customers_clean!$H$2:$H$701)</f>
        <v>gabe.davis@gmail.com</v>
      </c>
      <c r="O1011" s="9" t="str">
        <f>IFERROR(__xludf.DUMMYFUNCTION("IF(REGEXMATCH(TRIM(N1011),""^[A-Za-z0-9._%+-]+@[A-Za-z0-9.-]+\.[A-Za-z]{2,}$""),""✅ Valid"",""❌ Invalid"")"),"✅ Valid")</f>
        <v>✅ Valid</v>
      </c>
      <c r="P1011" s="2" t="str">
        <f t="array" ref="P1011">XLOOKUP(I1011,customers_clean!$A$2:$A$701,customers_clean!$K$2:$K$701)</f>
        <v>+496962588155 ext 680</v>
      </c>
      <c r="Q1011" s="10" t="str">
        <f t="array" ref="Q1011">XLOOKUP(I1011,customers_clean!$A$2:$A$701,customers_clean!$N$2:$N$701)</f>
        <v>6962588155</v>
      </c>
      <c r="R1011" s="9" t="str">
        <f t="array" ref="R1011">XLOOKUP(I1011,customers_clean!$A$2:$A$701,customers_clean!$Q$2:$Q$701)</f>
        <v>❌ INVALID</v>
      </c>
      <c r="S1011" s="10" t="s">
        <v>58</v>
      </c>
      <c r="T1011" s="2" t="s">
        <v>26</v>
      </c>
      <c r="U1011" s="2" t="s">
        <v>352</v>
      </c>
      <c r="V1011" s="2" t="s">
        <v>402</v>
      </c>
      <c r="W1011" s="9" t="str">
        <f t="array" ref="W1011">IF(ISNA(XLOOKUP(V1011,products_master_corrected!$A$2:$A$151,products_master_corrected!$A$2:$A$151, NA())),
    "❌ MISSING SKU", "✅")</f>
        <v>✅</v>
      </c>
      <c r="X1011" s="2" t="s">
        <v>403</v>
      </c>
      <c r="Y1011" s="2" t="s">
        <v>404</v>
      </c>
      <c r="Z1011" s="10" t="s">
        <v>248</v>
      </c>
      <c r="AA1011" s="27">
        <v>3.0</v>
      </c>
      <c r="AB1011" s="9" t="s">
        <v>8649</v>
      </c>
      <c r="AC1011" s="28">
        <f t="array" ref="AC1011">XLOOKUP(V1011,products_master_corrected!$A$2:$A$151,products_master_corrected!$E$2:$E$151)</f>
        <v>20.48</v>
      </c>
      <c r="AD1011" s="28">
        <f t="shared" si="117"/>
        <v>61.44</v>
      </c>
      <c r="AE1011" s="28">
        <f t="array" ref="AE1011">XLOOKUP(V1011,products_master_corrected!$A$2:$A$151,products_master_corrected!$G$2:$G$151)</f>
        <v>23.45</v>
      </c>
      <c r="AF1011" s="29">
        <f t="shared" si="118"/>
        <v>70.35</v>
      </c>
      <c r="AG1011" s="32" t="s">
        <v>8663</v>
      </c>
      <c r="AH1011" s="2" t="s">
        <v>49</v>
      </c>
      <c r="AI1011" s="10" t="s">
        <v>49</v>
      </c>
      <c r="AJ1011" s="2" t="s">
        <v>144</v>
      </c>
      <c r="AK1011" s="10" t="s">
        <v>818</v>
      </c>
      <c r="AL1011" s="2" t="s">
        <v>133</v>
      </c>
    </row>
    <row r="1012" ht="15.75" customHeight="1">
      <c r="A1012" s="2" t="s">
        <v>4644</v>
      </c>
      <c r="B1012" s="12">
        <v>45361.0</v>
      </c>
      <c r="C1012" s="2" t="str">
        <f>IFERROR(__xludf.DUMMYFUNCTION("IF(ISNUMBER(B1012),TEXT(B1012,""yyyy-MM-dd""),REGEXREPLACE(REGEXREPLACE(TO_TEXT(B1012),""[^0-9a-zA-Z]+"",""-""),""[^0-9]*$"",""""))"),"2024-03-10")</f>
        <v>2024-03-10</v>
      </c>
      <c r="D1012" s="2" t="s">
        <v>4645</v>
      </c>
      <c r="H1012" s="10" t="s">
        <v>4645</v>
      </c>
      <c r="I1012" s="2" t="s">
        <v>2040</v>
      </c>
      <c r="J1012" s="26" t="str">
        <f t="array" ref="J1012">IF(ISNA(XLOOKUP(I1012,customers_clean!$A$2:$A$701,customers_clean!$A$2:$A$701, NA()) ),
   "❌ MISSING CUSTOMER", "✅")</f>
        <v>✅</v>
      </c>
      <c r="K1012" s="2" t="str">
        <f t="array" ref="K1012">XLOOKUP(I1012,customers_clean!$A$2:$A$701,customers_clean!$C$2:$C$701)</f>
        <v>Hanna Kowalski</v>
      </c>
      <c r="L1012" s="10" t="str">
        <f t="array" ref="L1012">XLOOKUP(I1012,customers_clean!$A$2:$A$701,customers_clean!$D$2:$D$701)</f>
        <v>Hanna Kowalski</v>
      </c>
      <c r="M1012" s="2" t="str">
        <f t="array" ref="M1012">XLOOKUP(I1012,customers_clean!$A$2:$A$701,customers_clean!$I$2:$I$701)</f>
        <v> hanna.kowalski@yahoo.com</v>
      </c>
      <c r="N1012" s="10" t="str">
        <f t="array" ref="N1012">XLOOKUP(I1012,customers_clean!$A$2:$A$701,customers_clean!$H$2:$H$701)</f>
        <v>hanna.kowalski@yahoo.com</v>
      </c>
      <c r="O1012" s="9" t="str">
        <f>IFERROR(__xludf.DUMMYFUNCTION("IF(REGEXMATCH(TRIM(N1012),""^[A-Za-z0-9._%+-]+@[A-Za-z0-9.-]+\.[A-Za-z]{2,}$""),""✅ Valid"",""❌ Invalid"")"),"✅ Valid")</f>
        <v>✅ Valid</v>
      </c>
      <c r="P1012" s="2" t="str">
        <f t="array" ref="P1012">XLOOKUP(I1012,customers_clean!$A$2:$A$701,customers_clean!$K$2:$K$701)</f>
        <v>+39 279 0826645</v>
      </c>
      <c r="Q1012" s="10" t="str">
        <f t="array" ref="Q1012">XLOOKUP(I1012,customers_clean!$A$2:$A$701,customers_clean!$N$2:$N$701)</f>
        <v>2790826645</v>
      </c>
      <c r="R1012" s="9" t="str">
        <f t="array" ref="R1012">XLOOKUP(I1012,customers_clean!$A$2:$A$701,customers_clean!$Q$2:$Q$701)</f>
        <v>❌ INVALID</v>
      </c>
      <c r="S1012" s="10" t="s">
        <v>608</v>
      </c>
      <c r="T1012" s="2" t="s">
        <v>115</v>
      </c>
      <c r="U1012" s="2" t="s">
        <v>333</v>
      </c>
      <c r="V1012" s="2" t="s">
        <v>117</v>
      </c>
      <c r="W1012" s="9" t="str">
        <f t="array" ref="W1012">IF(ISNA(XLOOKUP(V1012,products_master_corrected!$A$2:$A$151,products_master_corrected!$A$2:$A$151, NA())),
    "❌ MISSING SKU", "✅")</f>
        <v>✅</v>
      </c>
      <c r="X1012" s="2" t="s">
        <v>259</v>
      </c>
      <c r="Y1012" s="2" t="s">
        <v>63</v>
      </c>
      <c r="Z1012" s="10" t="s">
        <v>63</v>
      </c>
      <c r="AA1012" s="27">
        <v>5.0</v>
      </c>
      <c r="AB1012" s="9" t="s">
        <v>8649</v>
      </c>
      <c r="AC1012" s="28">
        <f t="array" ref="AC1012">XLOOKUP(V1012,products_master_corrected!$A$2:$A$151,products_master_corrected!$E$2:$E$151)</f>
        <v>13.26</v>
      </c>
      <c r="AD1012" s="28">
        <f t="shared" si="117"/>
        <v>66.3</v>
      </c>
      <c r="AE1012" s="28">
        <f t="array" ref="AE1012">XLOOKUP(V1012,products_master_corrected!$A$2:$A$151,products_master_corrected!$H$2:$H$151)</f>
        <v>14.9</v>
      </c>
      <c r="AF1012" s="29">
        <f t="shared" si="118"/>
        <v>74.5</v>
      </c>
      <c r="AG1012" s="32" t="s">
        <v>8658</v>
      </c>
      <c r="AH1012" s="2" t="s">
        <v>370</v>
      </c>
      <c r="AI1012" s="10" t="s">
        <v>143</v>
      </c>
      <c r="AJ1012" s="2" t="s">
        <v>3136</v>
      </c>
      <c r="AK1012" s="10" t="s">
        <v>261</v>
      </c>
    </row>
    <row r="1013" ht="15.75" customHeight="1">
      <c r="A1013" s="2" t="s">
        <v>2038</v>
      </c>
      <c r="B1013" s="12">
        <v>45756.0</v>
      </c>
      <c r="C1013" s="2" t="str">
        <f>IFERROR(__xludf.DUMMYFUNCTION("IF(ISNUMBER(B1013),TEXT(B1013,""yyyy-MM-dd""),REGEXREPLACE(REGEXREPLACE(TO_TEXT(B1013),""[^0-9a-zA-Z]+"",""-""),""[^0-9]*$"",""""))"),"2025-04-09")</f>
        <v>2025-04-09</v>
      </c>
      <c r="D1013" s="2" t="s">
        <v>7894</v>
      </c>
      <c r="H1013" s="10" t="s">
        <v>7894</v>
      </c>
      <c r="I1013" s="2" t="s">
        <v>2040</v>
      </c>
      <c r="J1013" s="26" t="str">
        <f t="array" ref="J1013">IF(ISNA(XLOOKUP(I1013,customers_clean!$A$2:$A$701,customers_clean!$A$2:$A$701, NA()) ),
   "❌ MISSING CUSTOMER", "✅")</f>
        <v>✅</v>
      </c>
      <c r="K1013" s="2" t="str">
        <f t="array" ref="K1013">XLOOKUP(I1013,customers_clean!$A$2:$A$701,customers_clean!$C$2:$C$701)</f>
        <v>Hanna Kowalski</v>
      </c>
      <c r="L1013" s="10" t="str">
        <f t="array" ref="L1013">XLOOKUP(I1013,customers_clean!$A$2:$A$701,customers_clean!$D$2:$D$701)</f>
        <v>Hanna Kowalski</v>
      </c>
      <c r="M1013" s="2" t="str">
        <f t="array" ref="M1013">XLOOKUP(I1013,customers_clean!$A$2:$A$701,customers_clean!$I$2:$I$701)</f>
        <v> hanna.kowalski@yahoo.com</v>
      </c>
      <c r="N1013" s="10" t="str">
        <f t="array" ref="N1013">XLOOKUP(I1013,customers_clean!$A$2:$A$701,customers_clean!$H$2:$H$701)</f>
        <v>hanna.kowalski@yahoo.com</v>
      </c>
      <c r="O1013" s="9" t="str">
        <f>IFERROR(__xludf.DUMMYFUNCTION("IF(REGEXMATCH(TRIM(N1013),""^[A-Za-z0-9._%+-]+@[A-Za-z0-9.-]+\.[A-Za-z]{2,}$""),""✅ Valid"",""❌ Invalid"")"),"✅ Valid")</f>
        <v>✅ Valid</v>
      </c>
      <c r="P1013" s="2" t="str">
        <f t="array" ref="P1013">XLOOKUP(I1013,customers_clean!$A$2:$A$701,customers_clean!$K$2:$K$701)</f>
        <v>+39 279 0826645</v>
      </c>
      <c r="Q1013" s="10" t="str">
        <f t="array" ref="Q1013">XLOOKUP(I1013,customers_clean!$A$2:$A$701,customers_clean!$N$2:$N$701)</f>
        <v>2790826645</v>
      </c>
      <c r="R1013" s="9" t="str">
        <f t="array" ref="R1013">XLOOKUP(I1013,customers_clean!$A$2:$A$701,customers_clean!$Q$2:$Q$701)</f>
        <v>❌ INVALID</v>
      </c>
      <c r="S1013" s="10" t="s">
        <v>608</v>
      </c>
      <c r="T1013" s="2" t="s">
        <v>2045</v>
      </c>
      <c r="U1013" s="2" t="s">
        <v>522</v>
      </c>
      <c r="V1013" s="2" t="s">
        <v>1063</v>
      </c>
      <c r="W1013" s="9" t="str">
        <f t="array" ref="W1013">IF(ISNA(XLOOKUP(V1013,products_master_corrected!$A$2:$A$151,products_master_corrected!$A$2:$A$151, NA())),
    "❌ MISSING SKU", "✅")</f>
        <v>✅</v>
      </c>
      <c r="X1013" s="2" t="s">
        <v>291</v>
      </c>
      <c r="Y1013" s="2" t="s">
        <v>167</v>
      </c>
      <c r="Z1013" s="10" t="str">
        <f>PROPER(TRIM(Y1013))</f>
        <v>Monitors</v>
      </c>
      <c r="AA1013" s="27">
        <v>3.0</v>
      </c>
      <c r="AB1013" s="9" t="s">
        <v>8649</v>
      </c>
      <c r="AC1013" s="28">
        <f t="array" ref="AC1013">XLOOKUP(V1013,products_master_corrected!$A$2:$A$151,products_master_corrected!$E$2:$E$151)</f>
        <v>136.55</v>
      </c>
      <c r="AD1013" s="28">
        <f t="shared" si="117"/>
        <v>409.65</v>
      </c>
      <c r="AE1013" s="28">
        <f t="array" ref="AE1013">XLOOKUP(V1013,products_master_corrected!$A$2:$A$151,products_master_corrected!$H$2:$H$151)</f>
        <v>153.41</v>
      </c>
      <c r="AF1013" s="29">
        <f t="shared" si="118"/>
        <v>460.23</v>
      </c>
      <c r="AG1013" s="32" t="s">
        <v>8658</v>
      </c>
      <c r="AH1013" s="2" t="s">
        <v>96</v>
      </c>
      <c r="AI1013" s="10" t="s">
        <v>143</v>
      </c>
      <c r="AJ1013" s="2" t="s">
        <v>2047</v>
      </c>
      <c r="AK1013" s="10" t="s">
        <v>818</v>
      </c>
    </row>
    <row r="1014" ht="15.75" customHeight="1">
      <c r="A1014" s="2" t="s">
        <v>4274</v>
      </c>
      <c r="B1014" s="12">
        <v>45519.0</v>
      </c>
      <c r="C1014" s="2" t="str">
        <f>IFERROR(__xludf.DUMMYFUNCTION("IF(ISNUMBER(B1014),TEXT(B1014,""yyyy-MM-dd""),REGEXREPLACE(REGEXREPLACE(TO_TEXT(B1014),""[^0-9a-zA-Z]+"",""-""),""[^0-9]*$"",""""))"),"2024-08-15")</f>
        <v>2024-08-15</v>
      </c>
      <c r="D1014" s="2" t="s">
        <v>4275</v>
      </c>
      <c r="H1014" s="10" t="s">
        <v>4275</v>
      </c>
      <c r="I1014" s="2" t="s">
        <v>4276</v>
      </c>
      <c r="J1014" s="26" t="str">
        <f t="array" ref="J1014">IF(ISNA(XLOOKUP(I1014,customers_clean!$A$2:$A$701,customers_clean!$A$2:$A$701, NA()) ),
   "❌ MISSING CUSTOMER", "✅")</f>
        <v>✅</v>
      </c>
      <c r="K1014" s="2" t="str">
        <f t="array" ref="K1014">XLOOKUP(I1014,customers_clean!$A$2:$A$701,customers_clean!$C$2:$C$701)</f>
        <v>LIA SMITH</v>
      </c>
      <c r="L1014" s="10" t="str">
        <f t="array" ref="L1014">XLOOKUP(I1014,customers_clean!$A$2:$A$701,customers_clean!$D$2:$D$701)</f>
        <v>Lia Smith</v>
      </c>
      <c r="M1014" s="2" t="str">
        <f t="array" ref="M1014">XLOOKUP(I1014,customers_clean!$A$2:$A$701,customers_clean!$I$2:$I$701)</f>
        <v>LIA.SMITH@EXAMPLE.COM</v>
      </c>
      <c r="N1014" s="10" t="str">
        <f t="array" ref="N1014">XLOOKUP(I1014,customers_clean!$A$2:$A$701,customers_clean!$H$2:$H$701)</f>
        <v>lia.smith@example.com</v>
      </c>
      <c r="O1014" s="9" t="str">
        <f>IFERROR(__xludf.DUMMYFUNCTION("IF(REGEXMATCH(TRIM(N1014),""^[A-Za-z0-9._%+-]+@[A-Za-z0-9.-]+\.[A-Za-z]{2,}$""),""✅ Valid"",""❌ Invalid"")"),"✅ Valid")</f>
        <v>✅ Valid</v>
      </c>
      <c r="P1014" s="2" t="str">
        <f t="array" ref="P1014">XLOOKUP(I1014,customers_clean!$A$2:$A$701,customers_clean!$K$2:$K$701)</f>
        <v>+33408257680</v>
      </c>
      <c r="Q1014" s="10" t="str">
        <f t="array" ref="Q1014">XLOOKUP(I1014,customers_clean!$A$2:$A$701,customers_clean!$N$2:$N$701)</f>
        <v>408257680</v>
      </c>
      <c r="R1014" s="9" t="str">
        <f t="array" ref="R1014">XLOOKUP(I1014,customers_clean!$A$2:$A$701,customers_clean!$Q$2:$Q$701)</f>
        <v>❌ INVALID</v>
      </c>
      <c r="S1014" s="10" t="s">
        <v>25</v>
      </c>
      <c r="T1014" s="2" t="s">
        <v>223</v>
      </c>
      <c r="U1014" s="2" t="s">
        <v>90</v>
      </c>
      <c r="V1014" s="2" t="s">
        <v>2680</v>
      </c>
      <c r="W1014" s="9" t="str">
        <f t="array" ref="W1014">IF(ISNA(XLOOKUP(V1014,products_master_corrected!$A$2:$A$151,products_master_corrected!$A$2:$A$151, NA())),
    "❌ MISSING SKU", "✅")</f>
        <v>✅</v>
      </c>
      <c r="X1014" s="2" t="s">
        <v>303</v>
      </c>
      <c r="Y1014" s="2" t="s">
        <v>2421</v>
      </c>
      <c r="Z1014" s="10" t="s">
        <v>248</v>
      </c>
      <c r="AA1014" s="27">
        <v>2.0</v>
      </c>
      <c r="AB1014" s="9" t="s">
        <v>8649</v>
      </c>
      <c r="AC1014" s="28">
        <f t="array" ref="AC1014">XLOOKUP(V1014,products_master_corrected!$A$2:$A$151,products_master_corrected!$E$2:$E$151)</f>
        <v>121.47</v>
      </c>
      <c r="AD1014" s="28">
        <f t="shared" si="117"/>
        <v>242.94</v>
      </c>
      <c r="AE1014" s="28">
        <f t="array" ref="AE1014">XLOOKUP(V1014,products_master_corrected!$A$2:$A$151,products_master_corrected!$K$2:$K$151)</f>
        <v>624.96</v>
      </c>
      <c r="AF1014" s="29">
        <f t="shared" si="118"/>
        <v>1249.92</v>
      </c>
      <c r="AG1014" s="30" t="s">
        <v>95</v>
      </c>
      <c r="AH1014" s="2" t="s">
        <v>204</v>
      </c>
      <c r="AI1014" s="10" t="s">
        <v>143</v>
      </c>
      <c r="AJ1014" s="2" t="s">
        <v>452</v>
      </c>
      <c r="AK1014" s="10" t="s">
        <v>261</v>
      </c>
      <c r="AL1014" s="2" t="s">
        <v>81</v>
      </c>
    </row>
    <row r="1015" ht="15.75" customHeight="1">
      <c r="A1015" s="2" t="s">
        <v>1756</v>
      </c>
      <c r="B1015" s="12">
        <v>45724.0</v>
      </c>
      <c r="C1015" s="2" t="str">
        <f>IFERROR(__xludf.DUMMYFUNCTION("IF(ISNUMBER(B1015),TEXT(B1015,""yyyy-MM-dd""),REGEXREPLACE(REGEXREPLACE(TO_TEXT(B1015),""[^0-9a-zA-Z]+"",""-""),""[^0-9]*$"",""""))"),"2025-03-08")</f>
        <v>2025-03-08</v>
      </c>
      <c r="D1015" s="2" t="s">
        <v>7602</v>
      </c>
      <c r="H1015" s="10" t="s">
        <v>7602</v>
      </c>
      <c r="I1015" s="2" t="s">
        <v>1758</v>
      </c>
      <c r="J1015" s="26" t="str">
        <f t="array" ref="J1015">IF(ISNA(XLOOKUP(I1015,customers_clean!$A$2:$A$701,customers_clean!$A$2:$A$701, NA()) ),
   "❌ MISSING CUSTOMER", "✅")</f>
        <v>✅</v>
      </c>
      <c r="K1015" s="2" t="str">
        <f t="array" ref="K1015">XLOOKUP(I1015,customers_clean!$A$2:$A$701,customers_clean!$C$2:$C$701)</f>
        <v>Nina Kowalczyk </v>
      </c>
      <c r="L1015" s="10" t="str">
        <f t="array" ref="L1015">XLOOKUP(I1015,customers_clean!$A$2:$A$701,customers_clean!$D$2:$D$701)</f>
        <v>Nina Kowalczyk</v>
      </c>
      <c r="M1015" s="2" t="str">
        <f t="array" ref="M1015">XLOOKUP(I1015,customers_clean!$A$2:$A$701,customers_clean!$I$2:$I$701)</f>
        <v>NINA.KOWALCZYK@YAHOO.COM</v>
      </c>
      <c r="N1015" s="10" t="str">
        <f t="array" ref="N1015">XLOOKUP(I1015,customers_clean!$A$2:$A$701,customers_clean!$H$2:$H$701)</f>
        <v>nina.kowalczyk@yahoo.com</v>
      </c>
      <c r="O1015" s="9" t="str">
        <f>IFERROR(__xludf.DUMMYFUNCTION("IF(REGEXMATCH(TRIM(N1015),""^[A-Za-z0-9._%+-]+@[A-Za-z0-9.-]+\.[A-Za-z]{2,}$""),""✅ Valid"",""❌ Invalid"")"),"✅ Valid")</f>
        <v>✅ Valid</v>
      </c>
      <c r="P1015" s="2" t="str">
        <f t="array" ref="P1015">XLOOKUP(I1015,customers_clean!$A$2:$A$701,customers_clean!$K$2:$K$701)</f>
        <v>+338027019913</v>
      </c>
      <c r="Q1015" s="10" t="str">
        <f t="array" ref="Q1015">XLOOKUP(I1015,customers_clean!$A$2:$A$701,customers_clean!$N$2:$N$701)</f>
        <v>8027019913</v>
      </c>
      <c r="R1015" s="9" t="str">
        <f t="array" ref="R1015">XLOOKUP(I1015,customers_clean!$A$2:$A$701,customers_clean!$Q$2:$Q$701)</f>
        <v>❌ INVALID</v>
      </c>
      <c r="S1015" s="10" t="s">
        <v>608</v>
      </c>
      <c r="T1015" s="2" t="s">
        <v>42</v>
      </c>
      <c r="U1015" s="2" t="s">
        <v>401</v>
      </c>
      <c r="V1015" s="2" t="s">
        <v>258</v>
      </c>
      <c r="W1015" s="9" t="str">
        <f t="array" ref="W1015">IF(ISNA(XLOOKUP(V1015,products_master_corrected!$A$2:$A$151,products_master_corrected!$A$2:$A$151, NA())),
    "❌ MISSING SKU", "✅")</f>
        <v>✅</v>
      </c>
      <c r="X1015" s="2" t="s">
        <v>259</v>
      </c>
      <c r="Y1015" s="2" t="s">
        <v>214</v>
      </c>
      <c r="Z1015" s="10" t="s">
        <v>368</v>
      </c>
      <c r="AA1015" s="27">
        <v>1.0</v>
      </c>
      <c r="AB1015" s="9" t="s">
        <v>8649</v>
      </c>
      <c r="AC1015" s="28">
        <f t="array" ref="AC1015">XLOOKUP(V1015,products_master_corrected!$A$2:$A$151,products_master_corrected!$E$2:$E$151)</f>
        <v>15.73</v>
      </c>
      <c r="AD1015" s="28">
        <f t="shared" si="117"/>
        <v>15.73</v>
      </c>
      <c r="AE1015" s="28">
        <f t="array" ref="AE1015">XLOOKUP(V1015,products_master_corrected!$A$2:$A$151,products_master_corrected!$H$2:$H$151)</f>
        <v>17.67</v>
      </c>
      <c r="AF1015" s="29">
        <f t="shared" si="118"/>
        <v>17.67</v>
      </c>
      <c r="AG1015" s="32" t="s">
        <v>8658</v>
      </c>
      <c r="AH1015" s="2" t="s">
        <v>664</v>
      </c>
      <c r="AI1015" s="10" t="s">
        <v>66</v>
      </c>
      <c r="AJ1015" s="2" t="s">
        <v>393</v>
      </c>
      <c r="AK1015" s="10" t="s">
        <v>80</v>
      </c>
    </row>
    <row r="1016" ht="15.75" customHeight="1">
      <c r="A1016" s="2" t="s">
        <v>2246</v>
      </c>
      <c r="B1016" s="12">
        <v>45505.0</v>
      </c>
      <c r="C1016" s="2" t="str">
        <f>IFERROR(__xludf.DUMMYFUNCTION("IF(ISNUMBER(B1016),TEXT(B1016,""yyyy-MM-dd""),REGEXREPLACE(REGEXREPLACE(TO_TEXT(B1016),""[^0-9a-zA-Z]+"",""-""),""[^0-9]*$"",""""))"),"2024-08-01")</f>
        <v>2024-08-01</v>
      </c>
      <c r="D1016" s="2" t="s">
        <v>8450</v>
      </c>
      <c r="H1016" s="10" t="s">
        <v>8450</v>
      </c>
      <c r="I1016" s="2" t="s">
        <v>1758</v>
      </c>
      <c r="J1016" s="26" t="str">
        <f t="array" ref="J1016">IF(ISNA(XLOOKUP(I1016,customers_clean!$A$2:$A$701,customers_clean!$A$2:$A$701, NA()) ),
   "❌ MISSING CUSTOMER", "✅")</f>
        <v>✅</v>
      </c>
      <c r="K1016" s="2" t="str">
        <f t="array" ref="K1016">XLOOKUP(I1016,customers_clean!$A$2:$A$701,customers_clean!$C$2:$C$701)</f>
        <v>Nina Kowalczyk </v>
      </c>
      <c r="L1016" s="10" t="str">
        <f t="array" ref="L1016">XLOOKUP(I1016,customers_clean!$A$2:$A$701,customers_clean!$D$2:$D$701)</f>
        <v>Nina Kowalczyk</v>
      </c>
      <c r="M1016" s="2" t="str">
        <f t="array" ref="M1016">XLOOKUP(I1016,customers_clean!$A$2:$A$701,customers_clean!$I$2:$I$701)</f>
        <v>NINA.KOWALCZYK@YAHOO.COM</v>
      </c>
      <c r="N1016" s="10" t="str">
        <f t="array" ref="N1016">XLOOKUP(I1016,customers_clean!$A$2:$A$701,customers_clean!$H$2:$H$701)</f>
        <v>nina.kowalczyk@yahoo.com</v>
      </c>
      <c r="O1016" s="9" t="str">
        <f>IFERROR(__xludf.DUMMYFUNCTION("IF(REGEXMATCH(TRIM(N1016),""^[A-Za-z0-9._%+-]+@[A-Za-z0-9.-]+\.[A-Za-z]{2,}$""),""✅ Valid"",""❌ Invalid"")"),"✅ Valid")</f>
        <v>✅ Valid</v>
      </c>
      <c r="P1016" s="2" t="str">
        <f t="array" ref="P1016">XLOOKUP(I1016,customers_clean!$A$2:$A$701,customers_clean!$K$2:$K$701)</f>
        <v>+338027019913</v>
      </c>
      <c r="Q1016" s="10" t="str">
        <f t="array" ref="Q1016">XLOOKUP(I1016,customers_clean!$A$2:$A$701,customers_clean!$N$2:$N$701)</f>
        <v>8027019913</v>
      </c>
      <c r="R1016" s="9" t="str">
        <f t="array" ref="R1016">XLOOKUP(I1016,customers_clean!$A$2:$A$701,customers_clean!$Q$2:$Q$701)</f>
        <v>❌ INVALID</v>
      </c>
      <c r="S1016" s="10" t="s">
        <v>608</v>
      </c>
      <c r="T1016" s="2" t="s">
        <v>210</v>
      </c>
      <c r="U1016" s="2" t="s">
        <v>2248</v>
      </c>
      <c r="V1016" s="2" t="s">
        <v>852</v>
      </c>
      <c r="W1016" s="9" t="str">
        <f t="array" ref="W1016">IF(ISNA(XLOOKUP(V1016,products_master_corrected!$A$2:$A$151,products_master_corrected!$A$2:$A$151, NA())),
    "❌ MISSING SKU", "✅")</f>
        <v>✅</v>
      </c>
      <c r="X1016" s="2" t="s">
        <v>213</v>
      </c>
      <c r="Y1016" s="2" t="s">
        <v>167</v>
      </c>
      <c r="Z1016" s="10" t="str">
        <f t="shared" ref="Z1016:Z1017" si="119">PROPER(TRIM(Y1016))</f>
        <v>Monitors</v>
      </c>
      <c r="AA1016" s="27">
        <v>2.0</v>
      </c>
      <c r="AB1016" s="9" t="s">
        <v>8649</v>
      </c>
      <c r="AC1016" s="28">
        <f t="array" ref="AC1016">XLOOKUP(V1016,products_master_corrected!$A$2:$A$151,products_master_corrected!$E$2:$E$151)</f>
        <v>1114.6</v>
      </c>
      <c r="AD1016" s="28">
        <f t="shared" si="117"/>
        <v>2229.2</v>
      </c>
      <c r="AE1016" s="28">
        <f t="array" ref="AE1016">XLOOKUP(V1016,products_master_corrected!$A$2:$A$151,products_master_corrected!$H$2:$H$151)</f>
        <v>1252.25</v>
      </c>
      <c r="AF1016" s="29">
        <f t="shared" si="118"/>
        <v>2504.5</v>
      </c>
      <c r="AG1016" s="32" t="s">
        <v>8658</v>
      </c>
      <c r="AH1016" s="2" t="s">
        <v>2250</v>
      </c>
      <c r="AI1016" s="10" t="s">
        <v>66</v>
      </c>
      <c r="AJ1016" s="2" t="s">
        <v>1312</v>
      </c>
      <c r="AK1016" s="10" t="s">
        <v>818</v>
      </c>
      <c r="AL1016" s="2" t="s">
        <v>67</v>
      </c>
    </row>
    <row r="1017" ht="15.75" customHeight="1">
      <c r="A1017" s="2" t="s">
        <v>4106</v>
      </c>
      <c r="B1017" s="12">
        <v>45456.0</v>
      </c>
      <c r="C1017" s="2" t="str">
        <f>IFERROR(__xludf.DUMMYFUNCTION("IF(ISNUMBER(B1017),TEXT(B1017,""yyyy-MM-dd""),REGEXREPLACE(REGEXREPLACE(TO_TEXT(B1017),""[^0-9a-zA-Z]+"",""-""),""[^0-9]*$"",""""))"),"2024-06-13")</f>
        <v>2024-06-13</v>
      </c>
      <c r="D1017" s="2" t="s">
        <v>4107</v>
      </c>
      <c r="H1017" s="10" t="s">
        <v>4107</v>
      </c>
      <c r="I1017" s="2" t="s">
        <v>4108</v>
      </c>
      <c r="J1017" s="26" t="str">
        <f t="array" ref="J1017">IF(ISNA(XLOOKUP(I1017,customers_clean!$A$2:$A$701,customers_clean!$A$2:$A$701, NA()) ),
   "❌ MISSING CUSTOMER", "✅")</f>
        <v>✅</v>
      </c>
      <c r="K1017" s="2" t="str">
        <f t="array" ref="K1017">XLOOKUP(I1017,customers_clean!$A$2:$A$701,customers_clean!$C$2:$C$701)</f>
        <v>Wiktor Taylor </v>
      </c>
      <c r="L1017" s="10" t="str">
        <f t="array" ref="L1017">XLOOKUP(I1017,customers_clean!$A$2:$A$701,customers_clean!$D$2:$D$701)</f>
        <v>Wiktor Taylor</v>
      </c>
      <c r="M1017" s="2" t="str">
        <f t="array" ref="M1017">XLOOKUP(I1017,customers_clean!$A$2:$A$701,customers_clean!$I$2:$I$701)</f>
        <v>wiktor.taylor@yahoo.com</v>
      </c>
      <c r="N1017" s="10" t="str">
        <f t="array" ref="N1017">XLOOKUP(I1017,customers_clean!$A$2:$A$701,customers_clean!$H$2:$H$701)</f>
        <v>wiktor.taylor@yahoo.com</v>
      </c>
      <c r="O1017" s="9" t="str">
        <f>IFERROR(__xludf.DUMMYFUNCTION("IF(REGEXMATCH(TRIM(N1017),""^[A-Za-z0-9._%+-]+@[A-Za-z0-9.-]+\.[A-Za-z]{2,}$""),""✅ Valid"",""❌ Invalid"")"),"✅ Valid")</f>
        <v>✅ Valid</v>
      </c>
      <c r="P1017" s="2" t="str">
        <f t="array" ref="P1017">XLOOKUP(I1017,customers_clean!$A$2:$A$701,customers_clean!$K$2:$K$701)</f>
        <v>+4432732128</v>
      </c>
      <c r="Q1017" s="10" t="str">
        <f t="array" ref="Q1017">XLOOKUP(I1017,customers_clean!$A$2:$A$701,customers_clean!$N$2:$N$701)</f>
        <v>32732128</v>
      </c>
      <c r="R1017" s="9" t="str">
        <f t="array" ref="R1017">XLOOKUP(I1017,customers_clean!$A$2:$A$701,customers_clean!$Q$2:$Q$701)</f>
        <v>❌ INVALID</v>
      </c>
      <c r="S1017" s="10" t="s">
        <v>448</v>
      </c>
      <c r="T1017" s="2" t="s">
        <v>26</v>
      </c>
      <c r="U1017" s="2" t="s">
        <v>1245</v>
      </c>
      <c r="V1017" s="2" t="s">
        <v>599</v>
      </c>
      <c r="W1017" s="9" t="str">
        <f t="array" ref="W1017">IF(ISNA(XLOOKUP(V1017,products_master_corrected!$A$2:$A$151,products_master_corrected!$A$2:$A$151, NA())),
    "❌ MISSING SKU", "✅")</f>
        <v>✅</v>
      </c>
      <c r="X1017" s="2" t="s">
        <v>524</v>
      </c>
      <c r="Y1017" s="2" t="s">
        <v>167</v>
      </c>
      <c r="Z1017" s="10" t="str">
        <f t="shared" si="119"/>
        <v>Monitors</v>
      </c>
      <c r="AA1017" s="27">
        <v>1.0</v>
      </c>
      <c r="AB1017" s="9" t="s">
        <v>8649</v>
      </c>
      <c r="AC1017" s="28">
        <f t="array" ref="AC1017">XLOOKUP(V1017,products_master_corrected!$A$2:$A$151,products_master_corrected!$E$2:$E$151)</f>
        <v>212.85</v>
      </c>
      <c r="AD1017" s="28">
        <f t="shared" si="117"/>
        <v>212.85</v>
      </c>
      <c r="AE1017" s="28">
        <f t="array" ref="AE1017">XLOOKUP(V1017,products_master_corrected!$A$2:$A$151,products_master_corrected!$M$2:$M$151)</f>
        <v>257.46</v>
      </c>
      <c r="AF1017" s="29">
        <f t="shared" si="118"/>
        <v>257.46</v>
      </c>
      <c r="AG1017" s="30" t="s">
        <v>48</v>
      </c>
      <c r="AH1017" s="2" t="s">
        <v>49</v>
      </c>
      <c r="AI1017" s="10" t="s">
        <v>49</v>
      </c>
      <c r="AJ1017" s="2" t="s">
        <v>452</v>
      </c>
      <c r="AK1017" s="10" t="s">
        <v>261</v>
      </c>
      <c r="AL1017" s="2" t="s">
        <v>133</v>
      </c>
    </row>
    <row r="1018" ht="15.75" customHeight="1">
      <c r="A1018" s="2" t="s">
        <v>5667</v>
      </c>
      <c r="B1018" s="12">
        <v>45417.0</v>
      </c>
      <c r="C1018" s="2" t="str">
        <f>IFERROR(__xludf.DUMMYFUNCTION("IF(ISNUMBER(B1018),TEXT(B1018,""yyyy-MM-dd""),REGEXREPLACE(REGEXREPLACE(TO_TEXT(B1018),""[^0-9a-zA-Z]+"",""-""),""[^0-9]*$"",""""))"),"2024-05-05")</f>
        <v>2024-05-05</v>
      </c>
      <c r="D1018" s="2" t="s">
        <v>8856</v>
      </c>
      <c r="H1018" s="10" t="s">
        <v>8856</v>
      </c>
      <c r="I1018" s="2" t="s">
        <v>4108</v>
      </c>
      <c r="J1018" s="26" t="str">
        <f t="array" ref="J1018">IF(ISNA(XLOOKUP(I1018,customers_clean!$A$2:$A$701,customers_clean!$A$2:$A$701, NA()) ),
   "❌ MISSING CUSTOMER", "✅")</f>
        <v>✅</v>
      </c>
      <c r="K1018" s="2" t="str">
        <f t="array" ref="K1018">XLOOKUP(I1018,customers_clean!$A$2:$A$701,customers_clean!$C$2:$C$701)</f>
        <v>Wiktor Taylor </v>
      </c>
      <c r="L1018" s="10" t="str">
        <f t="array" ref="L1018">XLOOKUP(I1018,customers_clean!$A$2:$A$701,customers_clean!$D$2:$D$701)</f>
        <v>Wiktor Taylor</v>
      </c>
      <c r="M1018" s="2" t="str">
        <f t="array" ref="M1018">XLOOKUP(I1018,customers_clean!$A$2:$A$701,customers_clean!$I$2:$I$701)</f>
        <v>wiktor.taylor@yahoo.com</v>
      </c>
      <c r="N1018" s="10" t="str">
        <f t="array" ref="N1018">XLOOKUP(I1018,customers_clean!$A$2:$A$701,customers_clean!$H$2:$H$701)</f>
        <v>wiktor.taylor@yahoo.com</v>
      </c>
      <c r="O1018" s="9" t="str">
        <f>IFERROR(__xludf.DUMMYFUNCTION("IF(REGEXMATCH(TRIM(N1018),""^[A-Za-z0-9._%+-]+@[A-Za-z0-9.-]+\.[A-Za-z]{2,}$""),""✅ Valid"",""❌ Invalid"")"),"✅ Valid")</f>
        <v>✅ Valid</v>
      </c>
      <c r="P1018" s="2" t="str">
        <f t="array" ref="P1018">XLOOKUP(I1018,customers_clean!$A$2:$A$701,customers_clean!$K$2:$K$701)</f>
        <v>+4432732128</v>
      </c>
      <c r="Q1018" s="10" t="str">
        <f t="array" ref="Q1018">XLOOKUP(I1018,customers_clean!$A$2:$A$701,customers_clean!$N$2:$N$701)</f>
        <v>32732128</v>
      </c>
      <c r="R1018" s="9" t="str">
        <f t="array" ref="R1018">XLOOKUP(I1018,customers_clean!$A$2:$A$701,customers_clean!$Q$2:$Q$701)</f>
        <v>❌ INVALID</v>
      </c>
      <c r="S1018" s="10" t="s">
        <v>448</v>
      </c>
      <c r="T1018" s="2" t="s">
        <v>460</v>
      </c>
      <c r="U1018" s="2" t="s">
        <v>75</v>
      </c>
      <c r="V1018" s="2" t="s">
        <v>490</v>
      </c>
      <c r="W1018" s="9" t="str">
        <f t="array" ref="W1018">IF(ISNA(XLOOKUP(V1018,products_master_corrected!$A$2:$A$151,products_master_corrected!$A$2:$A$151, NA())),
    "❌ MISSING SKU", "✅")</f>
        <v>✅</v>
      </c>
      <c r="X1018" s="2" t="s">
        <v>29</v>
      </c>
      <c r="Y1018" s="2" t="s">
        <v>492</v>
      </c>
      <c r="Z1018" s="10" t="s">
        <v>514</v>
      </c>
      <c r="AA1018" s="27">
        <v>1.0</v>
      </c>
      <c r="AB1018" s="9" t="s">
        <v>8649</v>
      </c>
      <c r="AC1018" s="28">
        <f t="array" ref="AC1018">XLOOKUP(V1018,products_master_corrected!$A$2:$A$151,products_master_corrected!$E$2:$E$151)</f>
        <v>116.45</v>
      </c>
      <c r="AD1018" s="28">
        <f t="shared" si="117"/>
        <v>116.45</v>
      </c>
      <c r="AE1018" s="28">
        <f t="array" ref="AE1018">XLOOKUP(V1018,products_master_corrected!$A$2:$A$151,products_master_corrected!$M$2:$M$151)</f>
        <v>140.86</v>
      </c>
      <c r="AF1018" s="29">
        <f t="shared" si="118"/>
        <v>140.86</v>
      </c>
      <c r="AG1018" s="30" t="s">
        <v>48</v>
      </c>
      <c r="AH1018" s="2" t="s">
        <v>414</v>
      </c>
      <c r="AI1018" s="10" t="s">
        <v>49</v>
      </c>
      <c r="AJ1018" s="2" t="s">
        <v>144</v>
      </c>
      <c r="AK1018" s="10" t="s">
        <v>818</v>
      </c>
      <c r="AL1018" s="2" t="s">
        <v>51</v>
      </c>
    </row>
    <row r="1019" ht="15.75" customHeight="1">
      <c r="A1019" s="2" t="s">
        <v>1289</v>
      </c>
      <c r="B1019" s="12">
        <v>45629.0</v>
      </c>
      <c r="C1019" s="2" t="str">
        <f>IFERROR(__xludf.DUMMYFUNCTION("IF(ISNUMBER(B1019),TEXT(B1019,""yyyy-MM-dd""),REGEXREPLACE(REGEXREPLACE(TO_TEXT(B1019),""[^0-9a-zA-Z]+"",""-""),""[^0-9]*$"",""""))"),"2024-12-03")</f>
        <v>2024-12-03</v>
      </c>
      <c r="D1019" s="2" t="s">
        <v>8405</v>
      </c>
      <c r="H1019" s="10" t="s">
        <v>8405</v>
      </c>
      <c r="I1019" s="2" t="s">
        <v>1291</v>
      </c>
      <c r="J1019" s="26" t="str">
        <f t="array" ref="J1019">IF(ISNA(XLOOKUP(I1019,customers_clean!$A$2:$A$701,customers_clean!$A$2:$A$701, NA()) ),
   "❌ MISSING CUSTOMER", "✅")</f>
        <v>✅</v>
      </c>
      <c r="K1019" s="2" t="str">
        <f t="array" ref="K1019">XLOOKUP(I1019,customers_clean!$A$2:$A$701,customers_clean!$C$2:$C$701)</f>
        <v> Daria Novak</v>
      </c>
      <c r="L1019" s="10" t="str">
        <f t="array" ref="L1019">XLOOKUP(I1019,customers_clean!$A$2:$A$701,customers_clean!$D$2:$D$701)</f>
        <v>Daria Novak</v>
      </c>
      <c r="M1019" s="2" t="str">
        <f t="array" ref="M1019">XLOOKUP(I1019,customers_clean!$A$2:$A$701,customers_clean!$I$2:$I$701)</f>
        <v>DARIA.NOVAK@COMPANY.CO.UK</v>
      </c>
      <c r="N1019" s="10" t="str">
        <f t="array" ref="N1019">XLOOKUP(I1019,customers_clean!$A$2:$A$701,customers_clean!$H$2:$H$701)</f>
        <v>daria.novak@company.co.uk</v>
      </c>
      <c r="O1019" s="9" t="str">
        <f>IFERROR(__xludf.DUMMYFUNCTION("IF(REGEXMATCH(TRIM(N1019),""^[A-Za-z0-9._%+-]+@[A-Za-z0-9.-]+\.[A-Za-z]{2,}$""),""✅ Valid"",""❌ Invalid"")"),"✅ Valid")</f>
        <v>✅ Valid</v>
      </c>
      <c r="P1019" s="2" t="str">
        <f t="array" ref="P1019">XLOOKUP(I1019,customers_clean!$A$2:$A$701,customers_clean!$K$2:$K$701)</f>
        <v>+499475170131</v>
      </c>
      <c r="Q1019" s="10" t="str">
        <f t="array" ref="Q1019">XLOOKUP(I1019,customers_clean!$A$2:$A$701,customers_clean!$N$2:$N$701)</f>
        <v>9475170131</v>
      </c>
      <c r="R1019" s="9" t="str">
        <f t="array" ref="R1019">XLOOKUP(I1019,customers_clean!$A$2:$A$701,customers_clean!$Q$2:$Q$701)</f>
        <v>❌ INVALID</v>
      </c>
      <c r="S1019" s="10" t="s">
        <v>448</v>
      </c>
      <c r="T1019" s="2" t="s">
        <v>59</v>
      </c>
      <c r="U1019" s="2" t="s">
        <v>75</v>
      </c>
      <c r="V1019" s="2" t="s">
        <v>556</v>
      </c>
      <c r="W1019" s="9" t="str">
        <f t="array" ref="W1019">IF(ISNA(XLOOKUP(V1019,products_master_corrected!$A$2:$A$151,products_master_corrected!$A$2:$A$151, NA())),
    "❌ MISSING SKU", "✅")</f>
        <v>✅</v>
      </c>
      <c r="X1019" s="2" t="s">
        <v>502</v>
      </c>
      <c r="Y1019" s="2" t="s">
        <v>355</v>
      </c>
      <c r="Z1019" s="10" t="s">
        <v>355</v>
      </c>
      <c r="AA1019" s="27">
        <v>5.0</v>
      </c>
      <c r="AB1019" s="9" t="s">
        <v>8649</v>
      </c>
      <c r="AC1019" s="28">
        <f t="array" ref="AC1019">XLOOKUP(V1019,products_master_corrected!$A$2:$A$151,products_master_corrected!$E$2:$E$151)</f>
        <v>879.27</v>
      </c>
      <c r="AD1019" s="28">
        <f t="shared" si="117"/>
        <v>4396.35</v>
      </c>
      <c r="AE1019" s="28">
        <f t="array" ref="AE1019">XLOOKUP(V1019,products_master_corrected!$A$2:$A$151,products_master_corrected!$M$2:$M$151)</f>
        <v>1063.56</v>
      </c>
      <c r="AF1019" s="29">
        <f t="shared" si="118"/>
        <v>5317.8</v>
      </c>
      <c r="AG1019" s="30" t="s">
        <v>48</v>
      </c>
      <c r="AH1019" s="2" t="s">
        <v>181</v>
      </c>
      <c r="AI1019" s="10" t="s">
        <v>181</v>
      </c>
      <c r="AJ1019" s="2" t="s">
        <v>169</v>
      </c>
      <c r="AK1019" s="10" t="s">
        <v>261</v>
      </c>
      <c r="AL1019" s="2" t="s">
        <v>81</v>
      </c>
    </row>
    <row r="1020" ht="15.75" customHeight="1">
      <c r="A1020" s="2" t="s">
        <v>3776</v>
      </c>
      <c r="B1020" s="12">
        <v>45422.0</v>
      </c>
      <c r="C1020" s="2" t="str">
        <f>IFERROR(__xludf.DUMMYFUNCTION("IF(ISNUMBER(B1020),TEXT(B1020,""yyyy-MM-dd""),REGEXREPLACE(REGEXREPLACE(TO_TEXT(B1020),""[^0-9a-zA-Z]+"",""-""),""[^0-9]*$"",""""))"),"2024-05-10")</f>
        <v>2024-05-10</v>
      </c>
      <c r="D1020" s="2" t="s">
        <v>8996</v>
      </c>
      <c r="H1020" s="10" t="s">
        <v>8996</v>
      </c>
      <c r="I1020" s="2" t="s">
        <v>1291</v>
      </c>
      <c r="J1020" s="26" t="str">
        <f t="array" ref="J1020">IF(ISNA(XLOOKUP(I1020,customers_clean!$A$2:$A$701,customers_clean!$A$2:$A$701, NA()) ),
   "❌ MISSING CUSTOMER", "✅")</f>
        <v>✅</v>
      </c>
      <c r="K1020" s="2" t="str">
        <f t="array" ref="K1020">XLOOKUP(I1020,customers_clean!$A$2:$A$701,customers_clean!$C$2:$C$701)</f>
        <v> Daria Novak</v>
      </c>
      <c r="L1020" s="10" t="str">
        <f t="array" ref="L1020">XLOOKUP(I1020,customers_clean!$A$2:$A$701,customers_clean!$D$2:$D$701)</f>
        <v>Daria Novak</v>
      </c>
      <c r="M1020" s="2" t="str">
        <f t="array" ref="M1020">XLOOKUP(I1020,customers_clean!$A$2:$A$701,customers_clean!$I$2:$I$701)</f>
        <v>DARIA.NOVAK@COMPANY.CO.UK</v>
      </c>
      <c r="N1020" s="10" t="str">
        <f t="array" ref="N1020">XLOOKUP(I1020,customers_clean!$A$2:$A$701,customers_clean!$H$2:$H$701)</f>
        <v>daria.novak@company.co.uk</v>
      </c>
      <c r="O1020" s="9" t="str">
        <f>IFERROR(__xludf.DUMMYFUNCTION("IF(REGEXMATCH(TRIM(N1020),""^[A-Za-z0-9._%+-]+@[A-Za-z0-9.-]+\.[A-Za-z]{2,}$""),""✅ Valid"",""❌ Invalid"")"),"✅ Valid")</f>
        <v>✅ Valid</v>
      </c>
      <c r="P1020" s="2" t="str">
        <f t="array" ref="P1020">XLOOKUP(I1020,customers_clean!$A$2:$A$701,customers_clean!$K$2:$K$701)</f>
        <v>+499475170131</v>
      </c>
      <c r="Q1020" s="10" t="str">
        <f t="array" ref="Q1020">XLOOKUP(I1020,customers_clean!$A$2:$A$701,customers_clean!$N$2:$N$701)</f>
        <v>9475170131</v>
      </c>
      <c r="R1020" s="9" t="str">
        <f t="array" ref="R1020">XLOOKUP(I1020,customers_clean!$A$2:$A$701,customers_clean!$Q$2:$Q$701)</f>
        <v>❌ INVALID</v>
      </c>
      <c r="S1020" s="10" t="s">
        <v>448</v>
      </c>
      <c r="T1020" s="2" t="s">
        <v>323</v>
      </c>
      <c r="U1020" s="2" t="s">
        <v>75</v>
      </c>
      <c r="V1020" s="2" t="s">
        <v>2024</v>
      </c>
      <c r="W1020" s="9" t="str">
        <f t="array" ref="W1020">IF(ISNA(XLOOKUP(V1020,products_master_corrected!$A$2:$A$151,products_master_corrected!$A$2:$A$151, NA())),
    "❌ MISSING SKU", "✅")</f>
        <v>✅</v>
      </c>
      <c r="X1020" s="2" t="s">
        <v>2025</v>
      </c>
      <c r="Y1020" s="2" t="s">
        <v>63</v>
      </c>
      <c r="Z1020" s="10" t="s">
        <v>63</v>
      </c>
      <c r="AA1020" s="27">
        <v>1.0</v>
      </c>
      <c r="AB1020" s="9" t="s">
        <v>8649</v>
      </c>
      <c r="AC1020" s="28">
        <f t="array" ref="AC1020">XLOOKUP(V1020,products_master_corrected!$A$2:$A$151,products_master_corrected!$E$2:$E$151)</f>
        <v>1358.96</v>
      </c>
      <c r="AD1020" s="28">
        <f t="shared" si="117"/>
        <v>1358.96</v>
      </c>
      <c r="AE1020" s="28">
        <f t="array" ref="AE1020">XLOOKUP(V1020,products_master_corrected!$A$2:$A$151,products_master_corrected!$M$2:$M$151)</f>
        <v>1643.8</v>
      </c>
      <c r="AF1020" s="29">
        <f t="shared" si="118"/>
        <v>1643.8</v>
      </c>
      <c r="AG1020" s="30" t="s">
        <v>48</v>
      </c>
      <c r="AH1020" s="2" t="s">
        <v>664</v>
      </c>
      <c r="AI1020" s="10" t="s">
        <v>66</v>
      </c>
      <c r="AJ1020" s="2" t="s">
        <v>144</v>
      </c>
      <c r="AK1020" s="10" t="s">
        <v>818</v>
      </c>
    </row>
    <row r="1021" ht="15.75" customHeight="1">
      <c r="A1021" s="2" t="s">
        <v>5009</v>
      </c>
      <c r="B1021" s="12">
        <v>45057.0</v>
      </c>
      <c r="C1021" s="2" t="str">
        <f>IFERROR(__xludf.DUMMYFUNCTION("IF(ISNUMBER(B1021),TEXT(B1021,""yyyy-MM-dd""),REGEXREPLACE(REGEXREPLACE(TO_TEXT(B1021),""[^0-9a-zA-Z]+"",""-""),""[^0-9]*$"",""""))"),"2023-05-11")</f>
        <v>2023-05-11</v>
      </c>
      <c r="D1021" s="2" t="s">
        <v>8123</v>
      </c>
      <c r="H1021" s="10" t="s">
        <v>8123</v>
      </c>
      <c r="I1021" s="2" t="s">
        <v>3903</v>
      </c>
      <c r="J1021" s="26" t="str">
        <f t="array" ref="J1021">IF(ISNA(XLOOKUP(I1021,customers_clean!$A$2:$A$701,customers_clean!$A$2:$A$701, NA()) ),
   "❌ MISSING CUSTOMER", "✅")</f>
        <v>✅</v>
      </c>
      <c r="K1021" s="2" t="str">
        <f t="array" ref="K1021">XLOOKUP(I1021,customers_clean!$A$2:$A$701,customers_clean!$C$2:$C$701)</f>
        <v> Carlos Johnson</v>
      </c>
      <c r="L1021" s="10" t="str">
        <f t="array" ref="L1021">XLOOKUP(I1021,customers_clean!$A$2:$A$701,customers_clean!$D$2:$D$701)</f>
        <v>Carlos Johnson</v>
      </c>
      <c r="M1021" s="2" t="str">
        <f t="array" ref="M1021">XLOOKUP(I1021,customers_clean!$A$2:$A$701,customers_clean!$I$2:$I$701)</f>
        <v>carlso.johnson@shop.io</v>
      </c>
      <c r="N1021" s="10" t="str">
        <f t="array" ref="N1021">XLOOKUP(I1021,customers_clean!$A$2:$A$701,customers_clean!$H$2:$H$701)</f>
        <v>carlso.johnson@shop.io</v>
      </c>
      <c r="O1021" s="9" t="str">
        <f>IFERROR(__xludf.DUMMYFUNCTION("IF(REGEXMATCH(TRIM(N1021),""^[A-Za-z0-9._%+-]+@[A-Za-z0-9.-]+\.[A-Za-z]{2,}$""),""✅ Valid"",""❌ Invalid"")"),"✅ Valid")</f>
        <v>✅ Valid</v>
      </c>
      <c r="P1021" s="33" t="str">
        <f t="array" ref="P1021">XLOOKUP(I1021,customers_clean!$A$2:$A$701,customers_clean!$K$2:$K$701)</f>
        <v>tel:456290341</v>
      </c>
      <c r="Q1021" s="10" t="str">
        <f t="array" ref="Q1021">XLOOKUP(I1021,customers_clean!$A$2:$A$701,customers_clean!$N$2:$N$701)</f>
        <v>456290341</v>
      </c>
      <c r="R1021" s="9" t="str">
        <f t="array" ref="R1021">XLOOKUP(I1021,customers_clean!$A$2:$A$701,customers_clean!$Q$2:$Q$701)</f>
        <v>❌ INVALID</v>
      </c>
      <c r="S1021" s="10" t="s">
        <v>608</v>
      </c>
      <c r="T1021" s="2" t="s">
        <v>26</v>
      </c>
      <c r="U1021" s="2" t="s">
        <v>211</v>
      </c>
      <c r="V1021" s="2" t="s">
        <v>177</v>
      </c>
      <c r="W1021" s="9" t="str">
        <f t="array" ref="W1021">IF(ISNA(XLOOKUP(V1021,products_master_corrected!$A$2:$A$151,products_master_corrected!$A$2:$A$151, NA())),
    "❌ MISSING SKU", "✅")</f>
        <v>✅</v>
      </c>
      <c r="X1021" s="2" t="s">
        <v>8680</v>
      </c>
      <c r="Y1021" s="2" t="s">
        <v>179</v>
      </c>
      <c r="Z1021" s="10" t="s">
        <v>179</v>
      </c>
      <c r="AA1021" s="27">
        <v>1.0</v>
      </c>
      <c r="AB1021" s="9" t="s">
        <v>8649</v>
      </c>
      <c r="AC1021" s="28">
        <f t="array" ref="AC1021">XLOOKUP(V1021,products_master_corrected!$A$2:$A$151,products_master_corrected!$E$2:$E$151)</f>
        <v>272.72</v>
      </c>
      <c r="AD1021" s="28">
        <f t="shared" si="117"/>
        <v>272.72</v>
      </c>
      <c r="AE1021" s="28">
        <f t="array" ref="AE1021">XLOOKUP(V1021,products_master_corrected!$A$2:$A$151,products_master_corrected!$H$2:$H$151)</f>
        <v>306.4</v>
      </c>
      <c r="AF1021" s="29">
        <f t="shared" si="118"/>
        <v>306.4</v>
      </c>
      <c r="AG1021" s="32" t="s">
        <v>8658</v>
      </c>
      <c r="AH1021" s="2" t="s">
        <v>181</v>
      </c>
      <c r="AI1021" s="10" t="s">
        <v>181</v>
      </c>
      <c r="AJ1021" s="2" t="s">
        <v>442</v>
      </c>
      <c r="AK1021" s="10" t="s">
        <v>80</v>
      </c>
    </row>
    <row r="1022" ht="15.75" customHeight="1">
      <c r="A1022" s="2" t="s">
        <v>6204</v>
      </c>
      <c r="B1022" s="12" t="s">
        <v>6205</v>
      </c>
      <c r="C1022" s="2" t="str">
        <f>IFERROR(__xludf.DUMMYFUNCTION("IF(ISNUMBER(B1022),TEXT(B1022,""yyyy-MM-dd""),REGEXREPLACE(REGEXREPLACE(TO_TEXT(B1022),""[^0-9a-zA-Z]+"",""-""),""[^0-9]*$"",""""))"),"21-08-2024-04-11")</f>
        <v>21-08-2024-04-11</v>
      </c>
      <c r="D1022" s="2" t="str">
        <f>TEXT(C1022,"yyyy-MM-dd")</f>
        <v>21-08-2024-04-11</v>
      </c>
      <c r="E1022" s="12" t="str">
        <f>IFERROR(__xludf.DUMMYFUNCTION("REGEXEXTRACT(D1022,""^\d{2}-\d{2}-\d{4}"")"),"21-08-2024")</f>
        <v>21-08-2024</v>
      </c>
      <c r="F1022" s="2" t="s">
        <v>8997</v>
      </c>
      <c r="H1022" s="10" t="s">
        <v>8997</v>
      </c>
      <c r="I1022" s="2" t="s">
        <v>3903</v>
      </c>
      <c r="J1022" s="26" t="str">
        <f t="array" ref="J1022">IF(ISNA(XLOOKUP(I1022,customers_clean!$A$2:$A$701,customers_clean!$A$2:$A$701, NA()) ),
   "❌ MISSING CUSTOMER", "✅")</f>
        <v>✅</v>
      </c>
      <c r="K1022" s="2" t="str">
        <f t="array" ref="K1022">XLOOKUP(I1022,customers_clean!$A$2:$A$701,customers_clean!$C$2:$C$701)</f>
        <v> Carlos Johnson</v>
      </c>
      <c r="L1022" s="10" t="str">
        <f t="array" ref="L1022">XLOOKUP(I1022,customers_clean!$A$2:$A$701,customers_clean!$D$2:$D$701)</f>
        <v>Carlos Johnson</v>
      </c>
      <c r="M1022" s="2" t="str">
        <f t="array" ref="M1022">XLOOKUP(I1022,customers_clean!$A$2:$A$701,customers_clean!$I$2:$I$701)</f>
        <v>carlso.johnson@shop.io</v>
      </c>
      <c r="N1022" s="10" t="str">
        <f t="array" ref="N1022">XLOOKUP(I1022,customers_clean!$A$2:$A$701,customers_clean!$H$2:$H$701)</f>
        <v>carlso.johnson@shop.io</v>
      </c>
      <c r="O1022" s="9" t="str">
        <f>IFERROR(__xludf.DUMMYFUNCTION("IF(REGEXMATCH(TRIM(N1022),""^[A-Za-z0-9._%+-]+@[A-Za-z0-9.-]+\.[A-Za-z]{2,}$""),""✅ Valid"",""❌ Invalid"")"),"✅ Valid")</f>
        <v>✅ Valid</v>
      </c>
      <c r="P1022" s="33" t="str">
        <f t="array" ref="P1022">XLOOKUP(I1022,customers_clean!$A$2:$A$701,customers_clean!$K$2:$K$701)</f>
        <v>tel:456290341</v>
      </c>
      <c r="Q1022" s="10" t="str">
        <f t="array" ref="Q1022">XLOOKUP(I1022,customers_clean!$A$2:$A$701,customers_clean!$N$2:$N$701)</f>
        <v>456290341</v>
      </c>
      <c r="R1022" s="9" t="str">
        <f t="array" ref="R1022">XLOOKUP(I1022,customers_clean!$A$2:$A$701,customers_clean!$Q$2:$Q$701)</f>
        <v>❌ INVALID</v>
      </c>
      <c r="S1022" s="10" t="s">
        <v>608</v>
      </c>
      <c r="T1022" s="2" t="s">
        <v>223</v>
      </c>
      <c r="U1022" s="2" t="s">
        <v>116</v>
      </c>
      <c r="V1022" s="2" t="s">
        <v>599</v>
      </c>
      <c r="W1022" s="9" t="str">
        <f t="array" ref="W1022">IF(ISNA(XLOOKUP(V1022,products_master_corrected!$A$2:$A$151,products_master_corrected!$A$2:$A$151, NA())),
    "❌ MISSING SKU", "✅")</f>
        <v>✅</v>
      </c>
      <c r="X1022" s="2" t="s">
        <v>524</v>
      </c>
      <c r="Y1022" s="2" t="s">
        <v>167</v>
      </c>
      <c r="Z1022" s="10" t="str">
        <f t="shared" ref="Z1022:Z1023" si="120">PROPER(TRIM(Y1022))</f>
        <v>Monitors</v>
      </c>
      <c r="AA1022" s="27">
        <v>1.0</v>
      </c>
      <c r="AB1022" s="9" t="s">
        <v>8649</v>
      </c>
      <c r="AC1022" s="28">
        <f t="array" ref="AC1022">XLOOKUP(V1022,products_master_corrected!$A$2:$A$151,products_master_corrected!$E$2:$E$151)</f>
        <v>212.85</v>
      </c>
      <c r="AD1022" s="28">
        <f t="shared" si="117"/>
        <v>212.85</v>
      </c>
      <c r="AE1022" s="28">
        <f t="array" ref="AE1022">XLOOKUP(V1022,products_master_corrected!$A$2:$A$151,products_master_corrected!$H$2:$H$151)</f>
        <v>239.14</v>
      </c>
      <c r="AF1022" s="29">
        <f t="shared" si="118"/>
        <v>239.14</v>
      </c>
      <c r="AG1022" s="32" t="s">
        <v>8658</v>
      </c>
      <c r="AH1022" s="2" t="s">
        <v>573</v>
      </c>
      <c r="AI1022" s="10" t="s">
        <v>66</v>
      </c>
      <c r="AJ1022" s="2" t="s">
        <v>80</v>
      </c>
      <c r="AK1022" s="10" t="s">
        <v>80</v>
      </c>
    </row>
    <row r="1023" ht="15.75" customHeight="1">
      <c r="A1023" s="2" t="s">
        <v>3901</v>
      </c>
      <c r="B1023" s="12">
        <v>45163.0</v>
      </c>
      <c r="C1023" s="2" t="str">
        <f>IFERROR(__xludf.DUMMYFUNCTION("IF(ISNUMBER(B1023),TEXT(B1023,""yyyy-MM-dd""),REGEXREPLACE(REGEXREPLACE(TO_TEXT(B1023),""[^0-9a-zA-Z]+"",""-""),""[^0-9]*$"",""""))"),"2023-08-25")</f>
        <v>2023-08-25</v>
      </c>
      <c r="D1023" s="2" t="s">
        <v>7761</v>
      </c>
      <c r="H1023" s="10" t="s">
        <v>7761</v>
      </c>
      <c r="I1023" s="2" t="s">
        <v>3903</v>
      </c>
      <c r="J1023" s="26" t="str">
        <f t="array" ref="J1023">IF(ISNA(XLOOKUP(I1023,customers_clean!$A$2:$A$701,customers_clean!$A$2:$A$701, NA()) ),
   "❌ MISSING CUSTOMER", "✅")</f>
        <v>✅</v>
      </c>
      <c r="K1023" s="2" t="str">
        <f t="array" ref="K1023">XLOOKUP(I1023,customers_clean!$A$2:$A$701,customers_clean!$C$2:$C$701)</f>
        <v> Carlos Johnson</v>
      </c>
      <c r="L1023" s="10" t="str">
        <f t="array" ref="L1023">XLOOKUP(I1023,customers_clean!$A$2:$A$701,customers_clean!$D$2:$D$701)</f>
        <v>Carlos Johnson</v>
      </c>
      <c r="M1023" s="2" t="str">
        <f t="array" ref="M1023">XLOOKUP(I1023,customers_clean!$A$2:$A$701,customers_clean!$I$2:$I$701)</f>
        <v>carlso.johnson@shop.io</v>
      </c>
      <c r="N1023" s="10" t="str">
        <f t="array" ref="N1023">XLOOKUP(I1023,customers_clean!$A$2:$A$701,customers_clean!$H$2:$H$701)</f>
        <v>carlso.johnson@shop.io</v>
      </c>
      <c r="O1023" s="9" t="str">
        <f>IFERROR(__xludf.DUMMYFUNCTION("IF(REGEXMATCH(TRIM(N1023),""^[A-Za-z0-9._%+-]+@[A-Za-z0-9.-]+\.[A-Za-z]{2,}$""),""✅ Valid"",""❌ Invalid"")"),"✅ Valid")</f>
        <v>✅ Valid</v>
      </c>
      <c r="P1023" s="33" t="str">
        <f t="array" ref="P1023">XLOOKUP(I1023,customers_clean!$A$2:$A$701,customers_clean!$K$2:$K$701)</f>
        <v>tel:456290341</v>
      </c>
      <c r="Q1023" s="10" t="str">
        <f t="array" ref="Q1023">XLOOKUP(I1023,customers_clean!$A$2:$A$701,customers_clean!$N$2:$N$701)</f>
        <v>456290341</v>
      </c>
      <c r="R1023" s="9" t="str">
        <f t="array" ref="R1023">XLOOKUP(I1023,customers_clean!$A$2:$A$701,customers_clean!$Q$2:$Q$701)</f>
        <v>❌ INVALID</v>
      </c>
      <c r="S1023" s="10" t="s">
        <v>608</v>
      </c>
      <c r="T1023" s="2" t="s">
        <v>115</v>
      </c>
      <c r="U1023" s="2" t="s">
        <v>103</v>
      </c>
      <c r="V1023" s="2" t="s">
        <v>411</v>
      </c>
      <c r="W1023" s="9" t="str">
        <f t="array" ref="W1023">IF(ISNA(XLOOKUP(V1023,products_master_corrected!$A$2:$A$151,products_master_corrected!$A$2:$A$151, NA())),
    "❌ MISSING SKU", "✅")</f>
        <v>✅</v>
      </c>
      <c r="X1023" s="2" t="s">
        <v>412</v>
      </c>
      <c r="Y1023" s="2" t="s">
        <v>167</v>
      </c>
      <c r="Z1023" s="10" t="str">
        <f t="shared" si="120"/>
        <v>Monitors</v>
      </c>
      <c r="AA1023" s="27">
        <v>2.0</v>
      </c>
      <c r="AB1023" s="9" t="s">
        <v>8649</v>
      </c>
      <c r="AC1023" s="28">
        <f t="array" ref="AC1023">XLOOKUP(V1023,products_master_corrected!$A$2:$A$151,products_master_corrected!$E$2:$E$151)</f>
        <v>363.33</v>
      </c>
      <c r="AD1023" s="28">
        <f t="shared" si="117"/>
        <v>726.66</v>
      </c>
      <c r="AE1023" s="28">
        <f t="array" ref="AE1023">XLOOKUP(V1023,products_master_corrected!$A$2:$A$151,products_master_corrected!$H$2:$H$151)</f>
        <v>408.2</v>
      </c>
      <c r="AF1023" s="29">
        <f t="shared" si="118"/>
        <v>816.4</v>
      </c>
      <c r="AG1023" s="32" t="s">
        <v>8658</v>
      </c>
      <c r="AH1023" s="2" t="s">
        <v>204</v>
      </c>
      <c r="AI1023" s="10" t="s">
        <v>143</v>
      </c>
      <c r="AJ1023" s="2" t="s">
        <v>158</v>
      </c>
      <c r="AK1023" s="10" t="s">
        <v>818</v>
      </c>
      <c r="AL1023" s="2" t="s">
        <v>81</v>
      </c>
    </row>
    <row r="1024" ht="15.75" customHeight="1">
      <c r="A1024" s="2" t="s">
        <v>4962</v>
      </c>
      <c r="B1024" s="12">
        <v>45283.0</v>
      </c>
      <c r="C1024" s="2" t="str">
        <f>IFERROR(__xludf.DUMMYFUNCTION("IF(ISNUMBER(B1024),TEXT(B1024,""yyyy-MM-dd""),REGEXREPLACE(REGEXREPLACE(TO_TEXT(B1024),""[^0-9a-zA-Z]+"",""-""),""[^0-9]*$"",""""))"),"2023-12-23")</f>
        <v>2023-12-23</v>
      </c>
      <c r="D1024" s="2" t="s">
        <v>8998</v>
      </c>
      <c r="H1024" s="10" t="s">
        <v>8998</v>
      </c>
      <c r="I1024" s="2" t="s">
        <v>3903</v>
      </c>
      <c r="J1024" s="26" t="str">
        <f t="array" ref="J1024">IF(ISNA(XLOOKUP(I1024,customers_clean!$A$2:$A$701,customers_clean!$A$2:$A$701, NA()) ),
   "❌ MISSING CUSTOMER", "✅")</f>
        <v>✅</v>
      </c>
      <c r="K1024" s="2" t="str">
        <f t="array" ref="K1024">XLOOKUP(I1024,customers_clean!$A$2:$A$701,customers_clean!$C$2:$C$701)</f>
        <v> Carlos Johnson</v>
      </c>
      <c r="L1024" s="10" t="str">
        <f t="array" ref="L1024">XLOOKUP(I1024,customers_clean!$A$2:$A$701,customers_clean!$D$2:$D$701)</f>
        <v>Carlos Johnson</v>
      </c>
      <c r="M1024" s="2" t="str">
        <f t="array" ref="M1024">XLOOKUP(I1024,customers_clean!$A$2:$A$701,customers_clean!$I$2:$I$701)</f>
        <v>carlso.johnson@shop.io</v>
      </c>
      <c r="N1024" s="10" t="str">
        <f t="array" ref="N1024">XLOOKUP(I1024,customers_clean!$A$2:$A$701,customers_clean!$H$2:$H$701)</f>
        <v>carlso.johnson@shop.io</v>
      </c>
      <c r="O1024" s="9" t="str">
        <f>IFERROR(__xludf.DUMMYFUNCTION("IF(REGEXMATCH(TRIM(N1024),""^[A-Za-z0-9._%+-]+@[A-Za-z0-9.-]+\.[A-Za-z]{2,}$""),""✅ Valid"",""❌ Invalid"")"),"✅ Valid")</f>
        <v>✅ Valid</v>
      </c>
      <c r="P1024" s="33" t="str">
        <f t="array" ref="P1024">XLOOKUP(I1024,customers_clean!$A$2:$A$701,customers_clean!$K$2:$K$701)</f>
        <v>tel:456290341</v>
      </c>
      <c r="Q1024" s="10" t="str">
        <f t="array" ref="Q1024">XLOOKUP(I1024,customers_clean!$A$2:$A$701,customers_clean!$N$2:$N$701)</f>
        <v>456290341</v>
      </c>
      <c r="R1024" s="9" t="str">
        <f t="array" ref="R1024">XLOOKUP(I1024,customers_clean!$A$2:$A$701,customers_clean!$Q$2:$Q$701)</f>
        <v>❌ INVALID</v>
      </c>
      <c r="S1024" s="10" t="s">
        <v>608</v>
      </c>
      <c r="T1024" s="2" t="s">
        <v>4964</v>
      </c>
      <c r="U1024" s="2" t="s">
        <v>401</v>
      </c>
      <c r="V1024" s="2" t="s">
        <v>212</v>
      </c>
      <c r="W1024" s="9" t="str">
        <f t="array" ref="W1024">IF(ISNA(XLOOKUP(V1024,products_master_corrected!$A$2:$A$151,products_master_corrected!$A$2:$A$151, NA())),
    "❌ MISSING SKU", "✅")</f>
        <v>✅</v>
      </c>
      <c r="X1024" s="2" t="s">
        <v>213</v>
      </c>
      <c r="Y1024" s="2" t="s">
        <v>214</v>
      </c>
      <c r="Z1024" s="10" t="s">
        <v>368</v>
      </c>
      <c r="AA1024" s="27">
        <v>2.0</v>
      </c>
      <c r="AB1024" s="9" t="s">
        <v>8649</v>
      </c>
      <c r="AC1024" s="28">
        <f t="array" ref="AC1024">XLOOKUP(V1024,products_master_corrected!$A$2:$A$151,products_master_corrected!$E$2:$E$151)</f>
        <v>1464.12</v>
      </c>
      <c r="AD1024" s="28">
        <f t="shared" si="117"/>
        <v>2928.24</v>
      </c>
      <c r="AE1024" s="28">
        <f t="array" ref="AE1024">XLOOKUP(V1024,products_master_corrected!$A$2:$A$151,products_master_corrected!$H$2:$H$151)</f>
        <v>1644.94</v>
      </c>
      <c r="AF1024" s="29">
        <f t="shared" si="118"/>
        <v>3289.88</v>
      </c>
      <c r="AG1024" s="32" t="s">
        <v>8658</v>
      </c>
      <c r="AH1024" s="2" t="s">
        <v>181</v>
      </c>
      <c r="AI1024" s="10" t="s">
        <v>181</v>
      </c>
      <c r="AJ1024" s="2" t="s">
        <v>818</v>
      </c>
      <c r="AK1024" s="10" t="s">
        <v>818</v>
      </c>
    </row>
    <row r="1025" ht="15.75" customHeight="1">
      <c r="A1025" s="2" t="s">
        <v>2640</v>
      </c>
      <c r="B1025" s="12" t="s">
        <v>2641</v>
      </c>
      <c r="C1025" s="2" t="str">
        <f>IFERROR(__xludf.DUMMYFUNCTION("IF(ISNUMBER(B1025),TEXT(B1025,""yyyy-MM-dd""),REGEXREPLACE(REGEXREPLACE(TO_TEXT(B1025),""[^0-9a-zA-Z]+"",""-""),""[^0-9]*$"",""""))"),"18-09-2025")</f>
        <v>18-09-2025</v>
      </c>
      <c r="D1025" s="2" t="s">
        <v>8400</v>
      </c>
      <c r="H1025" s="10" t="s">
        <v>8400</v>
      </c>
      <c r="I1025" s="2" t="s">
        <v>2317</v>
      </c>
      <c r="J1025" s="26" t="str">
        <f t="array" ref="J1025">IF(ISNA(XLOOKUP(I1025,customers_clean!$A$2:$A$701,customers_clean!$A$2:$A$701, NA()) ),
   "❌ MISSING CUSTOMER", "✅")</f>
        <v>✅</v>
      </c>
      <c r="K1025" s="2" t="str">
        <f t="array" ref="K1025">XLOOKUP(I1025,customers_clean!$A$2:$A$701,customers_clean!$C$2:$C$701)</f>
        <v>Gabe Rodriguez</v>
      </c>
      <c r="L1025" s="10" t="str">
        <f t="array" ref="L1025">XLOOKUP(I1025,customers_clean!$A$2:$A$701,customers_clean!$D$2:$D$701)</f>
        <v>Gabe Rodriguez</v>
      </c>
      <c r="M1025" s="2" t="str">
        <f t="array" ref="M1025">XLOOKUP(I1025,customers_clean!$A$2:$A$701,customers_clean!$I$2:$I$701)</f>
        <v>gabe.rodriguez@yahoo.com</v>
      </c>
      <c r="N1025" s="10" t="str">
        <f t="array" ref="N1025">XLOOKUP(I1025,customers_clean!$A$2:$A$701,customers_clean!$H$2:$H$701)</f>
        <v>gabe.rodriguez@yahoo.com</v>
      </c>
      <c r="O1025" s="9" t="str">
        <f>IFERROR(__xludf.DUMMYFUNCTION("IF(REGEXMATCH(TRIM(N1025),""^[A-Za-z0-9._%+-]+@[A-Za-z0-9.-]+\.[A-Za-z]{2,}$""),""✅ Valid"",""❌ Invalid"")"),"✅ Valid")</f>
        <v>✅ Valid</v>
      </c>
      <c r="P1025" s="2" t="str">
        <f t="array" ref="P1025">XLOOKUP(I1025,customers_clean!$A$2:$A$701,customers_clean!$K$2:$K$701)</f>
        <v>+3403540843</v>
      </c>
      <c r="Q1025" s="10" t="str">
        <f t="array" ref="Q1025">XLOOKUP(I1025,customers_clean!$A$2:$A$701,customers_clean!$N$2:$N$701)</f>
        <v>03540843</v>
      </c>
      <c r="R1025" s="9" t="str">
        <f t="array" ref="R1025">XLOOKUP(I1025,customers_clean!$A$2:$A$701,customers_clean!$Q$2:$Q$701)</f>
        <v>❌ INVALID</v>
      </c>
      <c r="S1025" s="10" t="s">
        <v>448</v>
      </c>
      <c r="T1025" s="2" t="s">
        <v>400</v>
      </c>
      <c r="U1025" s="2" t="s">
        <v>176</v>
      </c>
      <c r="V1025" s="2" t="s">
        <v>1255</v>
      </c>
      <c r="W1025" s="9" t="str">
        <f t="array" ref="W1025">IF(ISNA(XLOOKUP(V1025,products_master_corrected!$A$2:$A$151,products_master_corrected!$A$2:$A$151, NA())),
    "❌ MISSING SKU", "✅")</f>
        <v>✅</v>
      </c>
      <c r="X1025" s="2" t="s">
        <v>29</v>
      </c>
      <c r="Y1025" s="2" t="s">
        <v>271</v>
      </c>
      <c r="Z1025" s="10" t="s">
        <v>368</v>
      </c>
      <c r="AA1025" s="27">
        <v>2.0</v>
      </c>
      <c r="AB1025" s="9" t="s">
        <v>8649</v>
      </c>
      <c r="AC1025" s="28">
        <f t="array" ref="AC1025">XLOOKUP(V1025,products_master_corrected!$A$2:$A$151,products_master_corrected!$E$2:$E$151)</f>
        <v>161.4</v>
      </c>
      <c r="AD1025" s="28">
        <f t="shared" si="117"/>
        <v>322.8</v>
      </c>
      <c r="AE1025" s="28">
        <f t="array" ref="AE1025">XLOOKUP(V1025,products_master_corrected!$A$2:$A$151,products_master_corrected!$M$2:$M$151)</f>
        <v>195.23</v>
      </c>
      <c r="AF1025" s="29">
        <f t="shared" si="118"/>
        <v>390.46</v>
      </c>
      <c r="AG1025" s="30" t="s">
        <v>48</v>
      </c>
      <c r="AH1025" s="2" t="s">
        <v>66</v>
      </c>
      <c r="AI1025" s="10" t="s">
        <v>66</v>
      </c>
      <c r="AJ1025" s="2" t="s">
        <v>345</v>
      </c>
      <c r="AK1025" s="10" t="s">
        <v>261</v>
      </c>
      <c r="AL1025" s="2" t="s">
        <v>133</v>
      </c>
    </row>
    <row r="1026" ht="15.75" customHeight="1">
      <c r="A1026" s="2" t="s">
        <v>5888</v>
      </c>
      <c r="B1026" s="12">
        <v>45222.0</v>
      </c>
      <c r="C1026" s="2" t="str">
        <f>IFERROR(__xludf.DUMMYFUNCTION("IF(ISNUMBER(B1026),TEXT(B1026,""yyyy-MM-dd""),REGEXREPLACE(REGEXREPLACE(TO_TEXT(B1026),""[^0-9a-zA-Z]+"",""-""),""[^0-9]*$"",""""))"),"2023-10-23")</f>
        <v>2023-10-23</v>
      </c>
      <c r="D1026" s="2" t="s">
        <v>5889</v>
      </c>
      <c r="H1026" s="10" t="s">
        <v>5889</v>
      </c>
      <c r="I1026" s="2" t="s">
        <v>2317</v>
      </c>
      <c r="J1026" s="26" t="str">
        <f t="array" ref="J1026">IF(ISNA(XLOOKUP(I1026,customers_clean!$A$2:$A$701,customers_clean!$A$2:$A$701, NA()) ),
   "❌ MISSING CUSTOMER", "✅")</f>
        <v>✅</v>
      </c>
      <c r="K1026" s="2" t="str">
        <f t="array" ref="K1026">XLOOKUP(I1026,customers_clean!$A$2:$A$701,customers_clean!$C$2:$C$701)</f>
        <v>Gabe Rodriguez</v>
      </c>
      <c r="L1026" s="10" t="str">
        <f t="array" ref="L1026">XLOOKUP(I1026,customers_clean!$A$2:$A$701,customers_clean!$D$2:$D$701)</f>
        <v>Gabe Rodriguez</v>
      </c>
      <c r="M1026" s="2" t="str">
        <f t="array" ref="M1026">XLOOKUP(I1026,customers_clean!$A$2:$A$701,customers_clean!$I$2:$I$701)</f>
        <v>gabe.rodriguez@yahoo.com</v>
      </c>
      <c r="N1026" s="10" t="str">
        <f t="array" ref="N1026">XLOOKUP(I1026,customers_clean!$A$2:$A$701,customers_clean!$H$2:$H$701)</f>
        <v>gabe.rodriguez@yahoo.com</v>
      </c>
      <c r="O1026" s="9" t="str">
        <f>IFERROR(__xludf.DUMMYFUNCTION("IF(REGEXMATCH(TRIM(N1026),""^[A-Za-z0-9._%+-]+@[A-Za-z0-9.-]+\.[A-Za-z]{2,}$""),""✅ Valid"",""❌ Invalid"")"),"✅ Valid")</f>
        <v>✅ Valid</v>
      </c>
      <c r="P1026" s="2" t="str">
        <f t="array" ref="P1026">XLOOKUP(I1026,customers_clean!$A$2:$A$701,customers_clean!$K$2:$K$701)</f>
        <v>+3403540843</v>
      </c>
      <c r="Q1026" s="10" t="str">
        <f t="array" ref="Q1026">XLOOKUP(I1026,customers_clean!$A$2:$A$701,customers_clean!$N$2:$N$701)</f>
        <v>03540843</v>
      </c>
      <c r="R1026" s="9" t="str">
        <f t="array" ref="R1026">XLOOKUP(I1026,customers_clean!$A$2:$A$701,customers_clean!$Q$2:$Q$701)</f>
        <v>❌ INVALID</v>
      </c>
      <c r="S1026" s="10" t="s">
        <v>448</v>
      </c>
      <c r="T1026" s="2" t="s">
        <v>59</v>
      </c>
      <c r="U1026" s="2" t="s">
        <v>512</v>
      </c>
      <c r="V1026" s="2" t="s">
        <v>490</v>
      </c>
      <c r="W1026" s="9" t="str">
        <f t="array" ref="W1026">IF(ISNA(XLOOKUP(V1026,products_master_corrected!$A$2:$A$151,products_master_corrected!$A$2:$A$151, NA())),
    "❌ MISSING SKU", "✅")</f>
        <v>✅</v>
      </c>
      <c r="X1026" s="2" t="s">
        <v>29</v>
      </c>
      <c r="Y1026" s="2" t="s">
        <v>492</v>
      </c>
      <c r="Z1026" s="10" t="s">
        <v>514</v>
      </c>
      <c r="AA1026" s="27">
        <v>2.0</v>
      </c>
      <c r="AB1026" s="9" t="s">
        <v>8649</v>
      </c>
      <c r="AC1026" s="28">
        <f t="array" ref="AC1026">XLOOKUP(V1026,products_master_corrected!$A$2:$A$151,products_master_corrected!$E$2:$E$151)</f>
        <v>116.45</v>
      </c>
      <c r="AD1026" s="28">
        <f t="shared" si="117"/>
        <v>232.9</v>
      </c>
      <c r="AE1026" s="28">
        <f t="array" ref="AE1026">XLOOKUP(V1026,products_master_corrected!$A$2:$A$151,products_master_corrected!$M$2:$M$151)</f>
        <v>140.86</v>
      </c>
      <c r="AF1026" s="29">
        <f t="shared" si="118"/>
        <v>281.72</v>
      </c>
      <c r="AG1026" s="30" t="s">
        <v>48</v>
      </c>
      <c r="AH1026" s="2" t="s">
        <v>238</v>
      </c>
      <c r="AI1026" s="10" t="s">
        <v>66</v>
      </c>
      <c r="AJ1026" s="2" t="s">
        <v>380</v>
      </c>
      <c r="AK1026" s="10" t="s">
        <v>80</v>
      </c>
      <c r="AL1026" s="2" t="s">
        <v>67</v>
      </c>
    </row>
    <row r="1027" ht="15.75" customHeight="1">
      <c r="A1027" s="2" t="s">
        <v>3010</v>
      </c>
      <c r="B1027" s="12">
        <v>45474.0</v>
      </c>
      <c r="C1027" s="2" t="str">
        <f>IFERROR(__xludf.DUMMYFUNCTION("IF(ISNUMBER(B1027),TEXT(B1027,""yyyy-MM-dd""),REGEXREPLACE(REGEXREPLACE(TO_TEXT(B1027),""[^0-9a-zA-Z]+"",""-""),""[^0-9]*$"",""""))"),"2024-07-01")</f>
        <v>2024-07-01</v>
      </c>
      <c r="D1027" s="2" t="s">
        <v>8823</v>
      </c>
      <c r="H1027" s="10" t="s">
        <v>8823</v>
      </c>
      <c r="I1027" s="2" t="s">
        <v>2317</v>
      </c>
      <c r="J1027" s="26" t="str">
        <f t="array" ref="J1027">IF(ISNA(XLOOKUP(I1027,customers_clean!$A$2:$A$701,customers_clean!$A$2:$A$701, NA()) ),
   "❌ MISSING CUSTOMER", "✅")</f>
        <v>✅</v>
      </c>
      <c r="K1027" s="2" t="str">
        <f t="array" ref="K1027">XLOOKUP(I1027,customers_clean!$A$2:$A$701,customers_clean!$C$2:$C$701)</f>
        <v>Gabe Rodriguez</v>
      </c>
      <c r="L1027" s="10" t="str">
        <f t="array" ref="L1027">XLOOKUP(I1027,customers_clean!$A$2:$A$701,customers_clean!$D$2:$D$701)</f>
        <v>Gabe Rodriguez</v>
      </c>
      <c r="M1027" s="2" t="str">
        <f t="array" ref="M1027">XLOOKUP(I1027,customers_clean!$A$2:$A$701,customers_clean!$I$2:$I$701)</f>
        <v>gabe.rodriguez@yahoo.com</v>
      </c>
      <c r="N1027" s="10" t="str">
        <f t="array" ref="N1027">XLOOKUP(I1027,customers_clean!$A$2:$A$701,customers_clean!$H$2:$H$701)</f>
        <v>gabe.rodriguez@yahoo.com</v>
      </c>
      <c r="O1027" s="9" t="str">
        <f>IFERROR(__xludf.DUMMYFUNCTION("IF(REGEXMATCH(TRIM(N1027),""^[A-Za-z0-9._%+-]+@[A-Za-z0-9.-]+\.[A-Za-z]{2,}$""),""✅ Valid"",""❌ Invalid"")"),"✅ Valid")</f>
        <v>✅ Valid</v>
      </c>
      <c r="P1027" s="2" t="str">
        <f t="array" ref="P1027">XLOOKUP(I1027,customers_clean!$A$2:$A$701,customers_clean!$K$2:$K$701)</f>
        <v>+3403540843</v>
      </c>
      <c r="Q1027" s="10" t="str">
        <f t="array" ref="Q1027">XLOOKUP(I1027,customers_clean!$A$2:$A$701,customers_clean!$N$2:$N$701)</f>
        <v>03540843</v>
      </c>
      <c r="R1027" s="9" t="str">
        <f t="array" ref="R1027">XLOOKUP(I1027,customers_clean!$A$2:$A$701,customers_clean!$Q$2:$Q$701)</f>
        <v>❌ INVALID</v>
      </c>
      <c r="S1027" s="10" t="s">
        <v>448</v>
      </c>
      <c r="T1027" s="2" t="s">
        <v>802</v>
      </c>
      <c r="U1027" s="2" t="s">
        <v>60</v>
      </c>
      <c r="V1027" s="2" t="s">
        <v>76</v>
      </c>
      <c r="W1027" s="9" t="str">
        <f t="array" ref="W1027">IF(ISNA(XLOOKUP(V1027,products_master_corrected!$A$2:$A$151,products_master_corrected!$A$2:$A$151, NA())),
    "❌ MISSING SKU", "✅")</f>
        <v>✅</v>
      </c>
      <c r="X1027" s="2" t="s">
        <v>77</v>
      </c>
      <c r="Y1027" s="2" t="s">
        <v>78</v>
      </c>
      <c r="Z1027" s="10" t="s">
        <v>355</v>
      </c>
      <c r="AA1027" s="27">
        <v>3.0</v>
      </c>
      <c r="AB1027" s="9" t="s">
        <v>8649</v>
      </c>
      <c r="AC1027" s="28">
        <f t="array" ref="AC1027">XLOOKUP(V1027,products_master_corrected!$A$2:$A$151,products_master_corrected!$E$2:$E$151)</f>
        <v>153.16</v>
      </c>
      <c r="AD1027" s="28">
        <f t="shared" si="117"/>
        <v>459.48</v>
      </c>
      <c r="AE1027" s="28">
        <f t="array" ref="AE1027">XLOOKUP(V1027,products_master_corrected!$A$2:$A$151,products_master_corrected!$M$2:$M$151)</f>
        <v>185.26</v>
      </c>
      <c r="AF1027" s="29">
        <f t="shared" si="118"/>
        <v>555.78</v>
      </c>
      <c r="AG1027" s="30" t="s">
        <v>48</v>
      </c>
      <c r="AH1027" s="2" t="s">
        <v>305</v>
      </c>
      <c r="AI1027" s="10" t="s">
        <v>49</v>
      </c>
      <c r="AJ1027" s="2" t="s">
        <v>80</v>
      </c>
      <c r="AK1027" s="10" t="s">
        <v>80</v>
      </c>
    </row>
    <row r="1028" ht="15.75" customHeight="1">
      <c r="A1028" s="2" t="s">
        <v>2315</v>
      </c>
      <c r="B1028" s="12">
        <v>45419.0</v>
      </c>
      <c r="C1028" s="2" t="str">
        <f>IFERROR(__xludf.DUMMYFUNCTION("IF(ISNUMBER(B1028),TEXT(B1028,""yyyy-MM-dd""),REGEXREPLACE(REGEXREPLACE(TO_TEXT(B1028),""[^0-9a-zA-Z]+"",""-""),""[^0-9]*$"",""""))"),"2024-05-07")</f>
        <v>2024-05-07</v>
      </c>
      <c r="D1028" s="2" t="s">
        <v>8442</v>
      </c>
      <c r="H1028" s="10" t="s">
        <v>8442</v>
      </c>
      <c r="I1028" s="2" t="s">
        <v>2317</v>
      </c>
      <c r="J1028" s="26" t="str">
        <f t="array" ref="J1028">IF(ISNA(XLOOKUP(I1028,customers_clean!$A$2:$A$701,customers_clean!$A$2:$A$701, NA()) ),
   "❌ MISSING CUSTOMER", "✅")</f>
        <v>✅</v>
      </c>
      <c r="K1028" s="2" t="str">
        <f t="array" ref="K1028">XLOOKUP(I1028,customers_clean!$A$2:$A$701,customers_clean!$C$2:$C$701)</f>
        <v>Gabe Rodriguez</v>
      </c>
      <c r="L1028" s="10" t="str">
        <f t="array" ref="L1028">XLOOKUP(I1028,customers_clean!$A$2:$A$701,customers_clean!$D$2:$D$701)</f>
        <v>Gabe Rodriguez</v>
      </c>
      <c r="M1028" s="2" t="str">
        <f t="array" ref="M1028">XLOOKUP(I1028,customers_clean!$A$2:$A$701,customers_clean!$I$2:$I$701)</f>
        <v>gabe.rodriguez@yahoo.com</v>
      </c>
      <c r="N1028" s="10" t="str">
        <f t="array" ref="N1028">XLOOKUP(I1028,customers_clean!$A$2:$A$701,customers_clean!$H$2:$H$701)</f>
        <v>gabe.rodriguez@yahoo.com</v>
      </c>
      <c r="O1028" s="9" t="str">
        <f>IFERROR(__xludf.DUMMYFUNCTION("IF(REGEXMATCH(TRIM(N1028),""^[A-Za-z0-9._%+-]+@[A-Za-z0-9.-]+\.[A-Za-z]{2,}$""),""✅ Valid"",""❌ Invalid"")"),"✅ Valid")</f>
        <v>✅ Valid</v>
      </c>
      <c r="P1028" s="2" t="str">
        <f t="array" ref="P1028">XLOOKUP(I1028,customers_clean!$A$2:$A$701,customers_clean!$K$2:$K$701)</f>
        <v>+3403540843</v>
      </c>
      <c r="Q1028" s="10" t="str">
        <f t="array" ref="Q1028">XLOOKUP(I1028,customers_clean!$A$2:$A$701,customers_clean!$N$2:$N$701)</f>
        <v>03540843</v>
      </c>
      <c r="R1028" s="9" t="str">
        <f t="array" ref="R1028">XLOOKUP(I1028,customers_clean!$A$2:$A$701,customers_clean!$Q$2:$Q$701)</f>
        <v>❌ INVALID</v>
      </c>
      <c r="S1028" s="10" t="s">
        <v>448</v>
      </c>
      <c r="T1028" s="2" t="s">
        <v>59</v>
      </c>
      <c r="U1028" s="2" t="s">
        <v>43</v>
      </c>
      <c r="V1028" s="2" t="s">
        <v>2321</v>
      </c>
      <c r="W1028" s="9" t="str">
        <f t="array" ref="W1028">IF(ISNA(XLOOKUP(V1028,products_master_corrected!$A$2:$A$151,products_master_corrected!$A$2:$A$151, NA())),
    "❌ MISSING SKU", "✅")</f>
        <v>✅</v>
      </c>
      <c r="X1028" s="2" t="s">
        <v>2322</v>
      </c>
      <c r="Y1028" s="2" t="s">
        <v>368</v>
      </c>
      <c r="Z1028" s="10" t="s">
        <v>368</v>
      </c>
      <c r="AA1028" s="27"/>
      <c r="AB1028" s="9" t="s">
        <v>8677</v>
      </c>
      <c r="AC1028" s="34"/>
      <c r="AD1028" s="34"/>
      <c r="AE1028" s="34"/>
      <c r="AF1028" s="35"/>
      <c r="AG1028" s="36" t="s">
        <v>65</v>
      </c>
      <c r="AH1028" s="2" t="s">
        <v>66</v>
      </c>
      <c r="AI1028" s="10" t="s">
        <v>66</v>
      </c>
      <c r="AJ1028" s="2" t="s">
        <v>432</v>
      </c>
      <c r="AK1028" s="10" t="s">
        <v>80</v>
      </c>
      <c r="AL1028" s="2" t="s">
        <v>67</v>
      </c>
    </row>
    <row r="1029" ht="15.75" customHeight="1">
      <c r="A1029" s="2" t="s">
        <v>5128</v>
      </c>
      <c r="B1029" s="12" t="s">
        <v>5129</v>
      </c>
      <c r="C1029" s="2" t="str">
        <f>IFERROR(__xludf.DUMMYFUNCTION("IF(ISNUMBER(B1029),TEXT(B1029,""yyyy-MM-dd""),REGEXREPLACE(REGEXREPLACE(TO_TEXT(B1029),""[^0-9a-zA-Z]+"",""-""),""[^0-9]*$"",""""))"),"44940-00-02")</f>
        <v>44940-00-02</v>
      </c>
      <c r="D1029" s="2" t="str">
        <f>TEXT(C1029,"yyyy-MM-dd")</f>
        <v>44940-00-02</v>
      </c>
      <c r="E1029" s="25" t="str">
        <f>CONCATENATE(LEFT(D1029,5))</f>
        <v>44940</v>
      </c>
      <c r="F1029" s="12">
        <f>DATE(1900,1,1) + E1029 - 1</f>
        <v>44941</v>
      </c>
      <c r="G1029" s="2" t="s">
        <v>8999</v>
      </c>
      <c r="H1029" s="10" t="s">
        <v>8999</v>
      </c>
      <c r="I1029" s="2" t="s">
        <v>5130</v>
      </c>
      <c r="J1029" s="26" t="str">
        <f t="array" ref="J1029">IF(ISNA(XLOOKUP(I1029,customers_clean!$A$2:$A$701,customers_clean!$A$2:$A$701, NA()) ),
   "❌ MISSING CUSTOMER", "✅")</f>
        <v>✅</v>
      </c>
      <c r="K1029" s="2" t="str">
        <f t="array" ref="K1029">XLOOKUP(I1029,customers_clean!$A$2:$A$701,customers_clean!$C$2:$C$701)</f>
        <v>Ken Johnson </v>
      </c>
      <c r="L1029" s="10" t="str">
        <f t="array" ref="L1029">XLOOKUP(I1029,customers_clean!$A$2:$A$701,customers_clean!$D$2:$D$701)</f>
        <v>Ken Johnson</v>
      </c>
      <c r="M1029" s="2" t="str">
        <f t="array" ref="M1029">XLOOKUP(I1029,customers_clean!$A$2:$A$701,customers_clean!$I$2:$I$701)</f>
        <v>ken.johnson@example.com</v>
      </c>
      <c r="N1029" s="10" t="str">
        <f t="array" ref="N1029">XLOOKUP(I1029,customers_clean!$A$2:$A$701,customers_clean!$H$2:$H$701)</f>
        <v>ken.johnson@example.com</v>
      </c>
      <c r="O1029" s="9" t="str">
        <f>IFERROR(__xludf.DUMMYFUNCTION("IF(REGEXMATCH(TRIM(N1029),""^[A-Za-z0-9._%+-]+@[A-Za-z0-9.-]+\.[A-Za-z]{2,}$""),""✅ Valid"",""❌ Invalid"")"),"✅ Valid")</f>
        <v>✅ Valid</v>
      </c>
      <c r="P1029" s="2" t="str">
        <f t="array" ref="P1029">XLOOKUP(I1029,customers_clean!$A$2:$A$701,customers_clean!$K$2:$K$701)</f>
        <v>(188) 7521160</v>
      </c>
      <c r="Q1029" s="10" t="str">
        <f t="array" ref="Q1029">XLOOKUP(I1029,customers_clean!$A$2:$A$701,customers_clean!$N$2:$N$701)</f>
        <v>1887521160</v>
      </c>
      <c r="R1029" s="9" t="str">
        <f t="array" ref="R1029">XLOOKUP(I1029,customers_clean!$A$2:$A$701,customers_clean!$Q$2:$Q$701)</f>
        <v>❌ INVALID</v>
      </c>
      <c r="S1029" s="10" t="s">
        <v>114</v>
      </c>
      <c r="T1029" s="2" t="s">
        <v>5134</v>
      </c>
      <c r="U1029" s="2" t="s">
        <v>522</v>
      </c>
      <c r="V1029" s="2" t="s">
        <v>565</v>
      </c>
      <c r="W1029" s="9" t="str">
        <f t="array" ref="W1029">IF(ISNA(XLOOKUP(V1029,products_master_corrected!$A$2:$A$151,products_master_corrected!$A$2:$A$151, NA())),
    "❌ MISSING SKU", "✅")</f>
        <v>✅</v>
      </c>
      <c r="X1029" s="2" t="s">
        <v>566</v>
      </c>
      <c r="Y1029" s="2" t="s">
        <v>167</v>
      </c>
      <c r="Z1029" s="10" t="str">
        <f>PROPER(TRIM(Y1029))</f>
        <v>Monitors</v>
      </c>
      <c r="AA1029" s="27">
        <v>3.0</v>
      </c>
      <c r="AB1029" s="9" t="s">
        <v>8649</v>
      </c>
      <c r="AC1029" s="28">
        <f t="array" ref="AC1029">XLOOKUP(V1029,products_master_corrected!$A$2:$A$151,products_master_corrected!$E$2:$E$151)</f>
        <v>43.38</v>
      </c>
      <c r="AD1029" s="28">
        <f t="shared" ref="AD1029:AD1049" si="121">AA1029*AC1029</f>
        <v>130.14</v>
      </c>
      <c r="AE1029" s="28">
        <f t="array" ref="AE1029">XLOOKUP(V1029,products_master_corrected!$A$2:$A$151,products_master_corrected!$F$2:$F$151)</f>
        <v>43.38</v>
      </c>
      <c r="AF1029" s="29">
        <f t="shared" ref="AF1029:AF1049" si="122">AA1029*AE1029</f>
        <v>130.14</v>
      </c>
      <c r="AG1029" s="30" t="s">
        <v>65</v>
      </c>
      <c r="AH1029" s="2" t="s">
        <v>66</v>
      </c>
      <c r="AI1029" s="10" t="s">
        <v>66</v>
      </c>
      <c r="AJ1029" s="2" t="s">
        <v>345</v>
      </c>
      <c r="AK1029" s="10" t="s">
        <v>261</v>
      </c>
      <c r="AL1029" s="2" t="s">
        <v>133</v>
      </c>
    </row>
    <row r="1030" ht="15.75" customHeight="1">
      <c r="A1030" s="2" t="s">
        <v>4875</v>
      </c>
      <c r="B1030" s="12">
        <v>45104.0</v>
      </c>
      <c r="C1030" s="2" t="str">
        <f>IFERROR(__xludf.DUMMYFUNCTION("IF(ISNUMBER(B1030),TEXT(B1030,""yyyy-MM-dd""),REGEXREPLACE(REGEXREPLACE(TO_TEXT(B1030),""[^0-9a-zA-Z]+"",""-""),""[^0-9]*$"",""""))"),"2023-06-27")</f>
        <v>2023-06-27</v>
      </c>
      <c r="D1030" s="2" t="s">
        <v>5723</v>
      </c>
      <c r="H1030" s="10" t="s">
        <v>5723</v>
      </c>
      <c r="I1030" s="2" t="s">
        <v>893</v>
      </c>
      <c r="J1030" s="26" t="str">
        <f t="array" ref="J1030">IF(ISNA(XLOOKUP(I1030,customers_clean!$A$2:$A$701,customers_clean!$A$2:$A$701, NA()) ),
   "❌ MISSING CUSTOMER", "✅")</f>
        <v>✅</v>
      </c>
      <c r="K1030" s="2" t="str">
        <f t="array" ref="K1030">XLOOKUP(I1030,customers_clean!$A$2:$A$701,customers_clean!$C$2:$C$701)</f>
        <v>Gabe Taylor </v>
      </c>
      <c r="L1030" s="10" t="str">
        <f t="array" ref="L1030">XLOOKUP(I1030,customers_clean!$A$2:$A$701,customers_clean!$D$2:$D$701)</f>
        <v>Gabe Taylor</v>
      </c>
      <c r="M1030" s="2" t="str">
        <f t="array" ref="M1030">XLOOKUP(I1030,customers_clean!$A$2:$A$701,customers_clean!$I$2:$I$701)</f>
        <v> gabe.taylor@example.com</v>
      </c>
      <c r="N1030" s="10" t="str">
        <f t="array" ref="N1030">XLOOKUP(I1030,customers_clean!$A$2:$A$701,customers_clean!$H$2:$H$701)</f>
        <v>gabe.taylor@example.com</v>
      </c>
      <c r="O1030" s="9" t="str">
        <f>IFERROR(__xludf.DUMMYFUNCTION("IF(REGEXMATCH(TRIM(N1030),""^[A-Za-z0-9._%+-]+@[A-Za-z0-9.-]+\.[A-Za-z]{2,}$""),""✅ Valid"",""❌ Invalid"")"),"✅ Valid")</f>
        <v>✅ Valid</v>
      </c>
      <c r="P1030" s="2" t="str">
        <f t="array" ref="P1030">XLOOKUP(I1030,customers_clean!$A$2:$A$701,customers_clean!$K$2:$K$701)</f>
        <v>+39 521 7999836</v>
      </c>
      <c r="Q1030" s="10" t="str">
        <f t="array" ref="Q1030">XLOOKUP(I1030,customers_clean!$A$2:$A$701,customers_clean!$N$2:$N$701)</f>
        <v>5217999836</v>
      </c>
      <c r="R1030" s="9" t="str">
        <f t="array" ref="R1030">XLOOKUP(I1030,customers_clean!$A$2:$A$701,customers_clean!$Q$2:$Q$701)</f>
        <v>❌ INVALID</v>
      </c>
      <c r="S1030" s="10" t="s">
        <v>114</v>
      </c>
      <c r="T1030" s="2" t="s">
        <v>42</v>
      </c>
      <c r="U1030" s="2" t="s">
        <v>835</v>
      </c>
      <c r="V1030" s="2" t="s">
        <v>44</v>
      </c>
      <c r="W1030" s="9" t="str">
        <f t="array" ref="W1030">IF(ISNA(XLOOKUP(V1030,products_master_corrected!$A$2:$A$151,products_master_corrected!$A$2:$A$151, NA())),
    "❌ MISSING SKU", "✅")</f>
        <v>✅</v>
      </c>
      <c r="X1030" s="2" t="s">
        <v>502</v>
      </c>
      <c r="Y1030" s="2" t="s">
        <v>46</v>
      </c>
      <c r="Z1030" s="10" t="s">
        <v>248</v>
      </c>
      <c r="AA1030" s="27">
        <v>1.0</v>
      </c>
      <c r="AB1030" s="9" t="s">
        <v>8649</v>
      </c>
      <c r="AC1030" s="28">
        <f t="array" ref="AC1030">XLOOKUP(V1030,products_master_corrected!$A$2:$A$151,products_master_corrected!$E$2:$E$151)</f>
        <v>755.05</v>
      </c>
      <c r="AD1030" s="28">
        <f t="shared" si="121"/>
        <v>755.05</v>
      </c>
      <c r="AE1030" s="28">
        <f t="array" ref="AE1030">XLOOKUP(V1030,products_master_corrected!$A$2:$A$151,products_master_corrected!$F$2:$F$151)</f>
        <v>755.05</v>
      </c>
      <c r="AF1030" s="29">
        <f t="shared" si="122"/>
        <v>755.05</v>
      </c>
      <c r="AG1030" s="30" t="s">
        <v>65</v>
      </c>
      <c r="AH1030" s="2" t="s">
        <v>573</v>
      </c>
      <c r="AI1030" s="10" t="s">
        <v>66</v>
      </c>
      <c r="AJ1030" s="2" t="s">
        <v>192</v>
      </c>
      <c r="AK1030" s="10" t="s">
        <v>192</v>
      </c>
    </row>
    <row r="1031" ht="15.75" customHeight="1">
      <c r="A1031" s="2" t="s">
        <v>6009</v>
      </c>
      <c r="B1031" s="12">
        <v>45104.0</v>
      </c>
      <c r="C1031" s="2" t="str">
        <f>IFERROR(__xludf.DUMMYFUNCTION("IF(ISNUMBER(B1031),TEXT(B1031,""yyyy-MM-dd""),REGEXREPLACE(REGEXREPLACE(TO_TEXT(B1031),""[^0-9a-zA-Z]+"",""-""),""[^0-9]*$"",""""))"),"2023-06-27")</f>
        <v>2023-06-27</v>
      </c>
      <c r="D1031" s="2" t="s">
        <v>5723</v>
      </c>
      <c r="H1031" s="10" t="s">
        <v>5723</v>
      </c>
      <c r="I1031" s="2" t="s">
        <v>893</v>
      </c>
      <c r="J1031" s="26" t="str">
        <f t="array" ref="J1031">IF(ISNA(XLOOKUP(I1031,customers_clean!$A$2:$A$701,customers_clean!$A$2:$A$701, NA()) ),
   "❌ MISSING CUSTOMER", "✅")</f>
        <v>✅</v>
      </c>
      <c r="K1031" s="2" t="str">
        <f t="array" ref="K1031">XLOOKUP(I1031,customers_clean!$A$2:$A$701,customers_clean!$C$2:$C$701)</f>
        <v>Gabe Taylor </v>
      </c>
      <c r="L1031" s="10" t="str">
        <f t="array" ref="L1031">XLOOKUP(I1031,customers_clean!$A$2:$A$701,customers_clean!$D$2:$D$701)</f>
        <v>Gabe Taylor</v>
      </c>
      <c r="M1031" s="2" t="str">
        <f t="array" ref="M1031">XLOOKUP(I1031,customers_clean!$A$2:$A$701,customers_clean!$I$2:$I$701)</f>
        <v> gabe.taylor@example.com</v>
      </c>
      <c r="N1031" s="10" t="str">
        <f t="array" ref="N1031">XLOOKUP(I1031,customers_clean!$A$2:$A$701,customers_clean!$H$2:$H$701)</f>
        <v>gabe.taylor@example.com</v>
      </c>
      <c r="O1031" s="9" t="str">
        <f>IFERROR(__xludf.DUMMYFUNCTION("IF(REGEXMATCH(TRIM(N1031),""^[A-Za-z0-9._%+-]+@[A-Za-z0-9.-]+\.[A-Za-z]{2,}$""),""✅ Valid"",""❌ Invalid"")"),"✅ Valid")</f>
        <v>✅ Valid</v>
      </c>
      <c r="P1031" s="2" t="str">
        <f t="array" ref="P1031">XLOOKUP(I1031,customers_clean!$A$2:$A$701,customers_clean!$K$2:$K$701)</f>
        <v>+39 521 7999836</v>
      </c>
      <c r="Q1031" s="10" t="str">
        <f t="array" ref="Q1031">XLOOKUP(I1031,customers_clean!$A$2:$A$701,customers_clean!$N$2:$N$701)</f>
        <v>5217999836</v>
      </c>
      <c r="R1031" s="9" t="str">
        <f t="array" ref="R1031">XLOOKUP(I1031,customers_clean!$A$2:$A$701,customers_clean!$Q$2:$Q$701)</f>
        <v>❌ INVALID</v>
      </c>
      <c r="S1031" s="10" t="s">
        <v>114</v>
      </c>
      <c r="T1031" s="2" t="s">
        <v>42</v>
      </c>
      <c r="U1031" s="2" t="s">
        <v>103</v>
      </c>
      <c r="V1031" s="2" t="s">
        <v>1014</v>
      </c>
      <c r="W1031" s="9" t="str">
        <f t="array" ref="W1031">IF(ISNA(XLOOKUP(V1031,products_master_corrected!$A$2:$A$151,products_master_corrected!$A$2:$A$151, NA())),
    "❌ MISSING SKU", "✅")</f>
        <v>✅</v>
      </c>
      <c r="X1031" s="2" t="s">
        <v>1015</v>
      </c>
      <c r="Y1031" s="2" t="s">
        <v>1016</v>
      </c>
      <c r="Z1031" s="10" t="s">
        <v>355</v>
      </c>
      <c r="AA1031" s="27">
        <v>2.0</v>
      </c>
      <c r="AB1031" s="9" t="s">
        <v>8649</v>
      </c>
      <c r="AC1031" s="28">
        <f t="array" ref="AC1031">XLOOKUP(V1031,products_master_corrected!$A$2:$A$151,products_master_corrected!$E$2:$E$151)</f>
        <v>162.1</v>
      </c>
      <c r="AD1031" s="28">
        <f t="shared" si="121"/>
        <v>324.2</v>
      </c>
      <c r="AE1031" s="28">
        <f t="array" ref="AE1031">XLOOKUP(V1031,products_master_corrected!$A$2:$A$151,products_master_corrected!$F$2:$F$151)</f>
        <v>162.1</v>
      </c>
      <c r="AF1031" s="29">
        <f t="shared" si="122"/>
        <v>324.2</v>
      </c>
      <c r="AG1031" s="30" t="s">
        <v>65</v>
      </c>
      <c r="AH1031" s="2" t="s">
        <v>49</v>
      </c>
      <c r="AI1031" s="10" t="s">
        <v>49</v>
      </c>
      <c r="AJ1031" s="2" t="s">
        <v>80</v>
      </c>
      <c r="AK1031" s="10" t="s">
        <v>80</v>
      </c>
    </row>
    <row r="1032" ht="15.75" customHeight="1">
      <c r="A1032" s="2" t="s">
        <v>891</v>
      </c>
      <c r="B1032" s="12" t="s">
        <v>892</v>
      </c>
      <c r="C1032" s="2" t="str">
        <f>IFERROR(__xludf.DUMMYFUNCTION("IF(ISNUMBER(B1032),TEXT(B1032,""yyyy-MM-dd""),REGEXREPLACE(REGEXREPLACE(TO_TEXT(B1032),""[^0-9a-zA-Z]+"",""-""),""[^0-9]*$"",""""))"),"14-04-2025-21-16")</f>
        <v>14-04-2025-21-16</v>
      </c>
      <c r="D1032" s="2" t="str">
        <f>TEXT(C1032,"yyyy-MM-dd")</f>
        <v>14-04-2025-21-16</v>
      </c>
      <c r="E1032" s="12" t="str">
        <f>IFERROR(__xludf.DUMMYFUNCTION("REGEXEXTRACT(D1032,""^\d{2}-\d{2}-\d{4}"")"),"14-04-2025")</f>
        <v>14-04-2025</v>
      </c>
      <c r="F1032" s="2" t="s">
        <v>8483</v>
      </c>
      <c r="H1032" s="10" t="s">
        <v>8483</v>
      </c>
      <c r="I1032" s="2" t="s">
        <v>893</v>
      </c>
      <c r="J1032" s="26" t="str">
        <f t="array" ref="J1032">IF(ISNA(XLOOKUP(I1032,customers_clean!$A$2:$A$701,customers_clean!$A$2:$A$701, NA()) ),
   "❌ MISSING CUSTOMER", "✅")</f>
        <v>✅</v>
      </c>
      <c r="K1032" s="2" t="str">
        <f t="array" ref="K1032">XLOOKUP(I1032,customers_clean!$A$2:$A$701,customers_clean!$C$2:$C$701)</f>
        <v>Gabe Taylor </v>
      </c>
      <c r="L1032" s="10" t="str">
        <f t="array" ref="L1032">XLOOKUP(I1032,customers_clean!$A$2:$A$701,customers_clean!$D$2:$D$701)</f>
        <v>Gabe Taylor</v>
      </c>
      <c r="M1032" s="2" t="str">
        <f t="array" ref="M1032">XLOOKUP(I1032,customers_clean!$A$2:$A$701,customers_clean!$I$2:$I$701)</f>
        <v> gabe.taylor@example.com</v>
      </c>
      <c r="N1032" s="10" t="str">
        <f t="array" ref="N1032">XLOOKUP(I1032,customers_clean!$A$2:$A$701,customers_clean!$H$2:$H$701)</f>
        <v>gabe.taylor@example.com</v>
      </c>
      <c r="O1032" s="9" t="str">
        <f>IFERROR(__xludf.DUMMYFUNCTION("IF(REGEXMATCH(TRIM(N1032),""^[A-Za-z0-9._%+-]+@[A-Za-z0-9.-]+\.[A-Za-z]{2,}$""),""✅ Valid"",""❌ Invalid"")"),"✅ Valid")</f>
        <v>✅ Valid</v>
      </c>
      <c r="P1032" s="2" t="str">
        <f t="array" ref="P1032">XLOOKUP(I1032,customers_clean!$A$2:$A$701,customers_clean!$K$2:$K$701)</f>
        <v>+39 521 7999836</v>
      </c>
      <c r="Q1032" s="10" t="str">
        <f t="array" ref="Q1032">XLOOKUP(I1032,customers_clean!$A$2:$A$701,customers_clean!$N$2:$N$701)</f>
        <v>5217999836</v>
      </c>
      <c r="R1032" s="9" t="str">
        <f t="array" ref="R1032">XLOOKUP(I1032,customers_clean!$A$2:$A$701,customers_clean!$Q$2:$Q$701)</f>
        <v>❌ INVALID</v>
      </c>
      <c r="S1032" s="10" t="s">
        <v>114</v>
      </c>
      <c r="T1032" s="2" t="s">
        <v>778</v>
      </c>
      <c r="U1032" s="2" t="s">
        <v>75</v>
      </c>
      <c r="V1032" s="2" t="s">
        <v>767</v>
      </c>
      <c r="W1032" s="9" t="str">
        <f t="array" ref="W1032">IF(ISNA(XLOOKUP(V1032,products_master_corrected!$A$2:$A$151,products_master_corrected!$A$2:$A$151, NA())),
    "❌ MISSING SKU", "✅")</f>
        <v>✅</v>
      </c>
      <c r="X1032" s="2" t="s">
        <v>768</v>
      </c>
      <c r="Y1032" s="2" t="s">
        <v>769</v>
      </c>
      <c r="Z1032" s="10" t="str">
        <f>PROPER(TRIM(Y1032))</f>
        <v>Monitors</v>
      </c>
      <c r="AA1032" s="27">
        <v>2.0</v>
      </c>
      <c r="AB1032" s="9" t="s">
        <v>8649</v>
      </c>
      <c r="AC1032" s="28">
        <f t="array" ref="AC1032">XLOOKUP(V1032,products_master_corrected!$A$2:$A$151,products_master_corrected!$E$2:$E$151)</f>
        <v>15.17</v>
      </c>
      <c r="AD1032" s="28">
        <f t="shared" si="121"/>
        <v>30.34</v>
      </c>
      <c r="AE1032" s="28">
        <f t="array" ref="AE1032">XLOOKUP(V1032,products_master_corrected!$A$2:$A$151,products_master_corrected!$F$2:$F$151)</f>
        <v>15.17</v>
      </c>
      <c r="AF1032" s="29">
        <f t="shared" si="122"/>
        <v>30.34</v>
      </c>
      <c r="AG1032" s="30" t="s">
        <v>65</v>
      </c>
      <c r="AH1032" s="2" t="s">
        <v>143</v>
      </c>
      <c r="AI1032" s="10" t="s">
        <v>143</v>
      </c>
      <c r="AJ1032" s="2" t="s">
        <v>294</v>
      </c>
      <c r="AK1032" s="10" t="s">
        <v>80</v>
      </c>
    </row>
    <row r="1033" ht="15.75" customHeight="1">
      <c r="A1033" s="2" t="s">
        <v>3106</v>
      </c>
      <c r="B1033" s="12">
        <v>45644.0</v>
      </c>
      <c r="C1033" s="2" t="str">
        <f>IFERROR(__xludf.DUMMYFUNCTION("IF(ISNUMBER(B1033),TEXT(B1033,""yyyy-MM-dd""),REGEXREPLACE(REGEXREPLACE(TO_TEXT(B1033),""[^0-9a-zA-Z]+"",""-""),""[^0-9]*$"",""""))"),"2024-12-18")</f>
        <v>2024-12-18</v>
      </c>
      <c r="D1033" s="2" t="s">
        <v>7382</v>
      </c>
      <c r="H1033" s="10" t="s">
        <v>7382</v>
      </c>
      <c r="I1033" s="2" t="s">
        <v>3108</v>
      </c>
      <c r="J1033" s="26" t="str">
        <f t="array" ref="J1033">IF(ISNA(XLOOKUP(I1033,customers_clean!$A$2:$A$701,customers_clean!$A$2:$A$701, NA()) ),
   "❌ MISSING CUSTOMER", "✅")</f>
        <v>✅</v>
      </c>
      <c r="K1033" s="2" t="str">
        <f t="array" ref="K1033">XLOOKUP(I1033,customers_clean!$A$2:$A$701,customers_clean!$C$2:$C$701)</f>
        <v>Xenia Garcia</v>
      </c>
      <c r="L1033" s="10" t="str">
        <f t="array" ref="L1033">XLOOKUP(I1033,customers_clean!$A$2:$A$701,customers_clean!$D$2:$D$701)</f>
        <v>Xenia Garcia</v>
      </c>
      <c r="M1033" s="2" t="str">
        <f t="array" ref="M1033">XLOOKUP(I1033,customers_clean!$A$2:$A$701,customers_clean!$I$2:$I$701)</f>
        <v>xenia.garcia@example.com</v>
      </c>
      <c r="N1033" s="10" t="str">
        <f t="array" ref="N1033">XLOOKUP(I1033,customers_clean!$A$2:$A$701,customers_clean!$H$2:$H$701)</f>
        <v>xenia.garcia@example.com</v>
      </c>
      <c r="O1033" s="9" t="str">
        <f>IFERROR(__xludf.DUMMYFUNCTION("IF(REGEXMATCH(TRIM(N1033),""^[A-Za-z0-9._%+-]+@[A-Za-z0-9.-]+\.[A-Za-z]{2,}$""),""✅ Valid"",""❌ Invalid"")"),"✅ Valid")</f>
        <v>✅ Valid</v>
      </c>
      <c r="P1033" s="33" t="str">
        <f t="array" ref="P1033">XLOOKUP(I1033,customers_clean!$A$2:$A$701,customers_clean!$K$2:$K$701)</f>
        <v>916x222253</v>
      </c>
      <c r="Q1033" s="10" t="str">
        <f t="array" ref="Q1033">XLOOKUP(I1033,customers_clean!$A$2:$A$701,customers_clean!$N$2:$N$701)</f>
        <v>916222253</v>
      </c>
      <c r="R1033" s="9" t="str">
        <f t="array" ref="R1033">XLOOKUP(I1033,customers_clean!$A$2:$A$701,customers_clean!$Q$2:$Q$701)</f>
        <v>❌ INVALID</v>
      </c>
      <c r="S1033" s="10" t="s">
        <v>88</v>
      </c>
      <c r="T1033" s="2" t="s">
        <v>802</v>
      </c>
      <c r="U1033" s="2" t="s">
        <v>75</v>
      </c>
      <c r="V1033" s="2" t="s">
        <v>154</v>
      </c>
      <c r="W1033" s="9" t="str">
        <f t="array" ref="W1033">IF(ISNA(XLOOKUP(V1033,products_master_corrected!$A$2:$A$151,products_master_corrected!$A$2:$A$151, NA())),
    "❌ MISSING SKU", "✅")</f>
        <v>✅</v>
      </c>
      <c r="X1033" s="2" t="s">
        <v>62</v>
      </c>
      <c r="Y1033" s="2" t="s">
        <v>155</v>
      </c>
      <c r="Z1033" s="10" t="s">
        <v>368</v>
      </c>
      <c r="AA1033" s="27">
        <v>5.0</v>
      </c>
      <c r="AB1033" s="9" t="s">
        <v>8649</v>
      </c>
      <c r="AC1033" s="28">
        <f t="array" ref="AC1033">XLOOKUP(V1033,products_master_corrected!$A$2:$A$151,products_master_corrected!$E$2:$E$151)</f>
        <v>74.1</v>
      </c>
      <c r="AD1033" s="28">
        <f t="shared" si="121"/>
        <v>370.5</v>
      </c>
      <c r="AE1033" s="28">
        <f t="array" ref="AE1033">XLOOKUP(V1033,products_master_corrected!$A$2:$A$151,products_master_corrected!$I$2:$I$151)</f>
        <v>81.69</v>
      </c>
      <c r="AF1033" s="29">
        <f t="shared" si="122"/>
        <v>408.45</v>
      </c>
      <c r="AG1033" s="32" t="s">
        <v>8660</v>
      </c>
      <c r="AH1033" s="2" t="s">
        <v>66</v>
      </c>
      <c r="AI1033" s="10" t="s">
        <v>66</v>
      </c>
      <c r="AJ1033" s="2" t="s">
        <v>3113</v>
      </c>
      <c r="AK1033" s="10" t="s">
        <v>261</v>
      </c>
      <c r="AL1033" s="2" t="s">
        <v>81</v>
      </c>
    </row>
    <row r="1034" ht="15.75" customHeight="1">
      <c r="A1034" s="2" t="s">
        <v>98</v>
      </c>
      <c r="B1034" s="12">
        <v>45925.0</v>
      </c>
      <c r="C1034" s="2" t="str">
        <f>IFERROR(__xludf.DUMMYFUNCTION("IF(ISNUMBER(B1034),TEXT(B1034,""yyyy-MM-dd""),REGEXREPLACE(REGEXREPLACE(TO_TEXT(B1034),""[^0-9a-zA-Z]+"",""-""),""[^0-9]*$"",""""))"),"2025-09-25")</f>
        <v>2025-09-25</v>
      </c>
      <c r="D1034" s="2" t="s">
        <v>6244</v>
      </c>
      <c r="H1034" s="10" t="s">
        <v>6244</v>
      </c>
      <c r="I1034" s="2" t="s">
        <v>100</v>
      </c>
      <c r="J1034" s="26" t="str">
        <f t="array" ref="J1034">IF(ISNA(XLOOKUP(I1034,customers_clean!$A$2:$A$701,customers_clean!$A$2:$A$701, NA()) ),
   "❌ MISSING CUSTOMER", "✅")</f>
        <v>✅</v>
      </c>
      <c r="K1034" s="2" t="str">
        <f t="array" ref="K1034">XLOOKUP(I1034,customers_clean!$A$2:$A$701,customers_clean!$C$2:$C$701)</f>
        <v> Igor Rossi</v>
      </c>
      <c r="L1034" s="10" t="str">
        <f t="array" ref="L1034">XLOOKUP(I1034,customers_clean!$A$2:$A$701,customers_clean!$D$2:$D$701)</f>
        <v>Igor Rossi</v>
      </c>
      <c r="M1034" s="2" t="str">
        <f t="array" ref="M1034">XLOOKUP(I1034,customers_clean!$A$2:$A$701,customers_clean!$I$2:$I$701)</f>
        <v> igor.rossi@yahoo.com</v>
      </c>
      <c r="N1034" s="10" t="str">
        <f t="array" ref="N1034">XLOOKUP(I1034,customers_clean!$A$2:$A$701,customers_clean!$H$2:$H$701)</f>
        <v>igor.rossi@yahoo.com</v>
      </c>
      <c r="O1034" s="9" t="str">
        <f>IFERROR(__xludf.DUMMYFUNCTION("IF(REGEXMATCH(TRIM(N1034),""^[A-Za-z0-9._%+-]+@[A-Za-z0-9.-]+\.[A-Za-z]{2,}$""),""✅ Valid"",""❌ Invalid"")"),"✅ Valid")</f>
        <v>✅ Valid</v>
      </c>
      <c r="P1034" s="2" t="str">
        <f t="array" ref="P1034">XLOOKUP(I1034,customers_clean!$A$2:$A$701,customers_clean!$K$2:$K$701)</f>
        <v>(836) 202140</v>
      </c>
      <c r="Q1034" s="10" t="str">
        <f t="array" ref="Q1034">XLOOKUP(I1034,customers_clean!$A$2:$A$701,customers_clean!$N$2:$N$701)</f>
        <v>836202140</v>
      </c>
      <c r="R1034" s="9" t="str">
        <f t="array" ref="R1034">XLOOKUP(I1034,customers_clean!$A$2:$A$701,customers_clean!$Q$2:$Q$701)</f>
        <v>❌ INVALID</v>
      </c>
      <c r="S1034" s="10" t="s">
        <v>88</v>
      </c>
      <c r="T1034" s="2" t="s">
        <v>42</v>
      </c>
      <c r="U1034" s="2" t="s">
        <v>103</v>
      </c>
      <c r="V1034" s="2" t="s">
        <v>104</v>
      </c>
      <c r="W1034" s="9" t="str">
        <f t="array" ref="W1034">IF(ISNA(XLOOKUP(V1034,products_master_corrected!$A$2:$A$151,products_master_corrected!$A$2:$A$151, NA())),
    "❌ MISSING SKU", "✅")</f>
        <v>✅</v>
      </c>
      <c r="X1034" s="2" t="s">
        <v>8703</v>
      </c>
      <c r="Y1034" s="2" t="s">
        <v>106</v>
      </c>
      <c r="Z1034" s="10" t="s">
        <v>368</v>
      </c>
      <c r="AA1034" s="27">
        <v>1.0</v>
      </c>
      <c r="AB1034" s="9" t="s">
        <v>8649</v>
      </c>
      <c r="AC1034" s="28">
        <f t="array" ref="AC1034">XLOOKUP(V1034,products_master_corrected!$A$2:$A$151,products_master_corrected!$E$2:$E$151)</f>
        <v>135.16</v>
      </c>
      <c r="AD1034" s="28">
        <f t="shared" si="121"/>
        <v>135.16</v>
      </c>
      <c r="AE1034" s="28">
        <f t="array" ref="AE1034">XLOOKUP(V1034,products_master_corrected!$A$2:$A$151,products_master_corrected!$I$2:$I$151)</f>
        <v>149</v>
      </c>
      <c r="AF1034" s="29">
        <f t="shared" si="122"/>
        <v>149</v>
      </c>
      <c r="AG1034" s="32" t="s">
        <v>8660</v>
      </c>
      <c r="AH1034" s="2" t="s">
        <v>66</v>
      </c>
      <c r="AI1034" s="10" t="s">
        <v>66</v>
      </c>
      <c r="AJ1034" s="2" t="s">
        <v>80</v>
      </c>
      <c r="AK1034" s="10" t="s">
        <v>80</v>
      </c>
    </row>
    <row r="1035" ht="15.75" customHeight="1">
      <c r="A1035" s="2" t="s">
        <v>744</v>
      </c>
      <c r="B1035" s="12">
        <v>45131.0</v>
      </c>
      <c r="C1035" s="2" t="str">
        <f>IFERROR(__xludf.DUMMYFUNCTION("IF(ISNUMBER(B1035),TEXT(B1035,""yyyy-MM-dd""),REGEXREPLACE(REGEXREPLACE(TO_TEXT(B1035),""[^0-9a-zA-Z]+"",""-""),""[^0-9]*$"",""""))"),"2023-07-24")</f>
        <v>2023-07-24</v>
      </c>
      <c r="D1035" s="2" t="s">
        <v>745</v>
      </c>
      <c r="H1035" s="10" t="s">
        <v>745</v>
      </c>
      <c r="I1035" s="2" t="s">
        <v>100</v>
      </c>
      <c r="J1035" s="26" t="str">
        <f t="array" ref="J1035">IF(ISNA(XLOOKUP(I1035,customers_clean!$A$2:$A$701,customers_clean!$A$2:$A$701, NA()) ),
   "❌ MISSING CUSTOMER", "✅")</f>
        <v>✅</v>
      </c>
      <c r="K1035" s="2" t="str">
        <f t="array" ref="K1035">XLOOKUP(I1035,customers_clean!$A$2:$A$701,customers_clean!$C$2:$C$701)</f>
        <v> Igor Rossi</v>
      </c>
      <c r="L1035" s="10" t="str">
        <f t="array" ref="L1035">XLOOKUP(I1035,customers_clean!$A$2:$A$701,customers_clean!$D$2:$D$701)</f>
        <v>Igor Rossi</v>
      </c>
      <c r="M1035" s="2" t="str">
        <f t="array" ref="M1035">XLOOKUP(I1035,customers_clean!$A$2:$A$701,customers_clean!$I$2:$I$701)</f>
        <v> igor.rossi@yahoo.com</v>
      </c>
      <c r="N1035" s="10" t="str">
        <f t="array" ref="N1035">XLOOKUP(I1035,customers_clean!$A$2:$A$701,customers_clean!$H$2:$H$701)</f>
        <v>igor.rossi@yahoo.com</v>
      </c>
      <c r="O1035" s="9" t="str">
        <f>IFERROR(__xludf.DUMMYFUNCTION("IF(REGEXMATCH(TRIM(N1035),""^[A-Za-z0-9._%+-]+@[A-Za-z0-9.-]+\.[A-Za-z]{2,}$""),""✅ Valid"",""❌ Invalid"")"),"✅ Valid")</f>
        <v>✅ Valid</v>
      </c>
      <c r="P1035" s="2" t="str">
        <f t="array" ref="P1035">XLOOKUP(I1035,customers_clean!$A$2:$A$701,customers_clean!$K$2:$K$701)</f>
        <v>(836) 202140</v>
      </c>
      <c r="Q1035" s="10" t="str">
        <f t="array" ref="Q1035">XLOOKUP(I1035,customers_clean!$A$2:$A$701,customers_clean!$N$2:$N$701)</f>
        <v>836202140</v>
      </c>
      <c r="R1035" s="9" t="str">
        <f t="array" ref="R1035">XLOOKUP(I1035,customers_clean!$A$2:$A$701,customers_clean!$Q$2:$Q$701)</f>
        <v>❌ INVALID</v>
      </c>
      <c r="S1035" s="10" t="s">
        <v>88</v>
      </c>
      <c r="T1035" s="2" t="s">
        <v>400</v>
      </c>
      <c r="U1035" s="2" t="s">
        <v>90</v>
      </c>
      <c r="V1035" s="2" t="s">
        <v>746</v>
      </c>
      <c r="W1035" s="9" t="str">
        <f t="array" ref="W1035">IF(ISNA(XLOOKUP(V1035,products_master_corrected!$A$2:$A$151,products_master_corrected!$A$2:$A$151, NA())),
    "❌ MISSING SKU", "✅")</f>
        <v>✅</v>
      </c>
      <c r="X1035" s="2" t="s">
        <v>747</v>
      </c>
      <c r="Y1035" s="2" t="s">
        <v>748</v>
      </c>
      <c r="Z1035" s="10" t="s">
        <v>355</v>
      </c>
      <c r="AA1035" s="27">
        <v>1.0</v>
      </c>
      <c r="AB1035" s="9" t="s">
        <v>8649</v>
      </c>
      <c r="AC1035" s="28">
        <f t="array" ref="AC1035">XLOOKUP(V1035,products_master_corrected!$A$2:$A$151,products_master_corrected!$E$2:$E$151)</f>
        <v>346</v>
      </c>
      <c r="AD1035" s="28">
        <f t="shared" si="121"/>
        <v>346</v>
      </c>
      <c r="AE1035" s="28">
        <f t="array" ref="AE1035">XLOOKUP(V1035,products_master_corrected!$A$2:$A$151,products_master_corrected!$I$2:$I$151)</f>
        <v>381.43</v>
      </c>
      <c r="AF1035" s="29">
        <f t="shared" si="122"/>
        <v>381.43</v>
      </c>
      <c r="AG1035" s="32" t="s">
        <v>8660</v>
      </c>
      <c r="AH1035" s="2" t="s">
        <v>181</v>
      </c>
      <c r="AI1035" s="10" t="s">
        <v>181</v>
      </c>
      <c r="AJ1035" s="2" t="s">
        <v>380</v>
      </c>
      <c r="AK1035" s="10" t="s">
        <v>80</v>
      </c>
      <c r="AL1035" s="2" t="s">
        <v>81</v>
      </c>
    </row>
    <row r="1036" ht="15.75" customHeight="1">
      <c r="A1036" s="2" t="s">
        <v>5602</v>
      </c>
      <c r="B1036" s="12">
        <v>45340.0</v>
      </c>
      <c r="C1036" s="2" t="str">
        <f>IFERROR(__xludf.DUMMYFUNCTION("IF(ISNUMBER(B1036),TEXT(B1036,""yyyy-MM-dd""),REGEXREPLACE(REGEXREPLACE(TO_TEXT(B1036),""[^0-9a-zA-Z]+"",""-""),""[^0-9]*$"",""""))"),"2024-02-18")</f>
        <v>2024-02-18</v>
      </c>
      <c r="D1036" s="2" t="s">
        <v>6639</v>
      </c>
      <c r="H1036" s="10" t="s">
        <v>6639</v>
      </c>
      <c r="I1036" s="2" t="s">
        <v>5604</v>
      </c>
      <c r="J1036" s="26" t="str">
        <f t="array" ref="J1036">IF(ISNA(XLOOKUP(I1036,customers_clean!$A$2:$A$701,customers_clean!$A$2:$A$701, NA()) ),
   "❌ MISSING CUSTOMER", "✅")</f>
        <v>✅</v>
      </c>
      <c r="K1036" s="2" t="str">
        <f t="array" ref="K1036">XLOOKUP(I1036,customers_clean!$A$2:$A$701,customers_clean!$C$2:$C$701)</f>
        <v>Bella Dubois</v>
      </c>
      <c r="L1036" s="10" t="str">
        <f t="array" ref="L1036">XLOOKUP(I1036,customers_clean!$A$2:$A$701,customers_clean!$D$2:$D$701)</f>
        <v>Bella Dubois</v>
      </c>
      <c r="M1036" s="2" t="str">
        <f t="array" ref="M1036">XLOOKUP(I1036,customers_clean!$A$2:$A$701,customers_clean!$I$2:$I$701)</f>
        <v>bella.dubois@outlook.com</v>
      </c>
      <c r="N1036" s="10" t="str">
        <f t="array" ref="N1036">XLOOKUP(I1036,customers_clean!$A$2:$A$701,customers_clean!$H$2:$H$701)</f>
        <v>bella.dubois@outlook.com</v>
      </c>
      <c r="O1036" s="9" t="str">
        <f>IFERROR(__xludf.DUMMYFUNCTION("IF(REGEXMATCH(TRIM(N1036),""^[A-Za-z0-9._%+-]+@[A-Za-z0-9.-]+\.[A-Za-z]{2,}$""),""✅ Valid"",""❌ Invalid"")"),"✅ Valid")</f>
        <v>✅ Valid</v>
      </c>
      <c r="P1036" s="2" t="str">
        <f t="array" ref="P1036">XLOOKUP(I1036,customers_clean!$A$2:$A$701,customers_clean!$K$2:$K$701)</f>
        <v>+33 0746 0718 8</v>
      </c>
      <c r="Q1036" s="10" t="str">
        <f t="array" ref="Q1036">XLOOKUP(I1036,customers_clean!$A$2:$A$701,customers_clean!$N$2:$N$701)</f>
        <v>074607188</v>
      </c>
      <c r="R1036" s="9" t="str">
        <f t="array" ref="R1036">XLOOKUP(I1036,customers_clean!$A$2:$A$701,customers_clean!$Q$2:$Q$701)</f>
        <v>✅ VALID</v>
      </c>
      <c r="S1036" s="31" t="s">
        <v>671</v>
      </c>
      <c r="T1036" s="2" t="s">
        <v>152</v>
      </c>
      <c r="U1036" s="2" t="s">
        <v>870</v>
      </c>
      <c r="V1036" s="2" t="s">
        <v>449</v>
      </c>
      <c r="W1036" s="9" t="str">
        <f t="array" ref="W1036">IF(ISNA(XLOOKUP(V1036,products_master_corrected!$A$2:$A$151,products_master_corrected!$A$2:$A$151, NA())),
    "❌ MISSING SKU", "✅")</f>
        <v>✅</v>
      </c>
      <c r="X1036" s="2" t="s">
        <v>213</v>
      </c>
      <c r="Y1036" s="2" t="s">
        <v>315</v>
      </c>
      <c r="Z1036" s="10" t="s">
        <v>179</v>
      </c>
      <c r="AA1036" s="27">
        <v>2.0</v>
      </c>
      <c r="AB1036" s="9" t="s">
        <v>8649</v>
      </c>
      <c r="AC1036" s="28">
        <f t="array" ref="AC1036">XLOOKUP(V1036,products_master_corrected!$A$2:$A$151,products_master_corrected!$E$2:$E$151)</f>
        <v>1404.25</v>
      </c>
      <c r="AD1036" s="28">
        <f t="shared" si="121"/>
        <v>2808.5</v>
      </c>
      <c r="AE1036" s="28">
        <f t="array" ref="AE1036">XLOOKUP(V1036,products_master_corrected!$A$2:$A$151,products_master_corrected!$J$2:$J$151)</f>
        <v>1637.78</v>
      </c>
      <c r="AF1036" s="29">
        <f t="shared" si="122"/>
        <v>3275.56</v>
      </c>
      <c r="AG1036" s="32" t="s">
        <v>8656</v>
      </c>
      <c r="AH1036" s="2" t="s">
        <v>305</v>
      </c>
      <c r="AI1036" s="10" t="s">
        <v>49</v>
      </c>
      <c r="AJ1036" s="2" t="s">
        <v>818</v>
      </c>
      <c r="AK1036" s="10" t="s">
        <v>818</v>
      </c>
    </row>
    <row r="1037" ht="15.75" customHeight="1">
      <c r="A1037" s="2" t="s">
        <v>5139</v>
      </c>
      <c r="B1037" s="12" t="s">
        <v>5140</v>
      </c>
      <c r="C1037" s="2" t="str">
        <f>IFERROR(__xludf.DUMMYFUNCTION("IF(ISNUMBER(B1037),TEXT(B1037,""yyyy-MM-dd""),REGEXREPLACE(REGEXREPLACE(TO_TEXT(B1037),""[^0-9a-zA-Z]+"",""-""),""[^0-9]*$"",""""))"),"08-27-2023")</f>
        <v>08-27-2023</v>
      </c>
      <c r="D1037" s="2" t="str">
        <f>TEXT(C1037,"yyyy-MM-dd")</f>
        <v>08-27-2023</v>
      </c>
      <c r="E1037" s="2" t="s">
        <v>9000</v>
      </c>
      <c r="H1037" s="10" t="s">
        <v>9000</v>
      </c>
      <c r="I1037" s="2" t="s">
        <v>1845</v>
      </c>
      <c r="J1037" s="26" t="str">
        <f t="array" ref="J1037">IF(ISNA(XLOOKUP(I1037,customers_clean!$A$2:$A$701,customers_clean!$A$2:$A$701, NA()) ),
   "❌ MISSING CUSTOMER", "✅")</f>
        <v>✅</v>
      </c>
      <c r="K1037" s="2" t="str">
        <f t="array" ref="K1037">XLOOKUP(I1037,customers_clean!$A$2:$A$701,customers_clean!$C$2:$C$701)</f>
        <v>Nina Muller</v>
      </c>
      <c r="L1037" s="10" t="str">
        <f t="array" ref="L1037">XLOOKUP(I1037,customers_clean!$A$2:$A$701,customers_clean!$D$2:$D$701)</f>
        <v>Nina Muller</v>
      </c>
      <c r="M1037" s="2" t="str">
        <f t="array" ref="M1037">XLOOKUP(I1037,customers_clean!$A$2:$A$701,customers_clean!$I$2:$I$701)</f>
        <v> nina.muller@example.com</v>
      </c>
      <c r="N1037" s="10" t="str">
        <f t="array" ref="N1037">XLOOKUP(I1037,customers_clean!$A$2:$A$701,customers_clean!$H$2:$H$701)</f>
        <v>nina.muller@example.com</v>
      </c>
      <c r="O1037" s="9" t="str">
        <f>IFERROR(__xludf.DUMMYFUNCTION("IF(REGEXMATCH(TRIM(N1037),""^[A-Za-z0-9._%+-]+@[A-Za-z0-9.-]+\.[A-Za-z]{2,}$""),""✅ Valid"",""❌ Invalid"")"),"✅ Valid")</f>
        <v>✅ Valid</v>
      </c>
      <c r="P1037" s="2">
        <f t="array" ref="P1037">XLOOKUP(I1037,customers_clean!$A$2:$A$701,customers_clean!$K$2:$K$701)</f>
        <v>9179531279</v>
      </c>
      <c r="Q1037" s="10" t="str">
        <f t="array" ref="Q1037">XLOOKUP(I1037,customers_clean!$A$2:$A$701,customers_clean!$N$2:$N$701)</f>
        <v>9179531279</v>
      </c>
      <c r="R1037" s="9" t="str">
        <f t="array" ref="R1037">XLOOKUP(I1037,customers_clean!$A$2:$A$701,customers_clean!$Q$2:$Q$701)</f>
        <v>❌ INVALID</v>
      </c>
      <c r="S1037" s="10" t="s">
        <v>25</v>
      </c>
      <c r="T1037" s="2" t="s">
        <v>683</v>
      </c>
      <c r="U1037" s="2" t="s">
        <v>522</v>
      </c>
      <c r="V1037" s="2" t="s">
        <v>461</v>
      </c>
      <c r="W1037" s="9" t="str">
        <f t="array" ref="W1037">IF(ISNA(XLOOKUP(V1037,products_master_corrected!$A$2:$A$151,products_master_corrected!$A$2:$A$151, NA())),
    "❌ MISSING SKU", "✅")</f>
        <v>✅</v>
      </c>
      <c r="X1037" s="2" t="s">
        <v>804</v>
      </c>
      <c r="Y1037" s="2" t="s">
        <v>463</v>
      </c>
      <c r="Z1037" s="10" t="s">
        <v>514</v>
      </c>
      <c r="AA1037" s="27">
        <v>5.0</v>
      </c>
      <c r="AB1037" s="9" t="s">
        <v>8649</v>
      </c>
      <c r="AC1037" s="28">
        <f t="array" ref="AC1037">XLOOKUP(V1037,products_master_corrected!$A$2:$A$151,products_master_corrected!$E$2:$E$151)</f>
        <v>17.15</v>
      </c>
      <c r="AD1037" s="28">
        <f t="shared" si="121"/>
        <v>85.75</v>
      </c>
      <c r="AE1037" s="28">
        <f t="array" ref="AE1037">XLOOKUP(V1037,products_master_corrected!$A$2:$A$151,products_master_corrected!$K$2:$K$151)</f>
        <v>88.24</v>
      </c>
      <c r="AF1037" s="29">
        <f t="shared" si="122"/>
        <v>441.2</v>
      </c>
      <c r="AG1037" s="30" t="s">
        <v>95</v>
      </c>
      <c r="AH1037" s="2" t="s">
        <v>414</v>
      </c>
      <c r="AI1037" s="10" t="s">
        <v>49</v>
      </c>
      <c r="AJ1037" s="2" t="s">
        <v>5142</v>
      </c>
      <c r="AK1037" s="10" t="s">
        <v>818</v>
      </c>
      <c r="AL1037" s="2" t="s">
        <v>133</v>
      </c>
    </row>
    <row r="1038" ht="15.75" customHeight="1">
      <c r="A1038" s="2" t="s">
        <v>1843</v>
      </c>
      <c r="B1038" s="12">
        <v>45470.0</v>
      </c>
      <c r="C1038" s="2" t="str">
        <f>IFERROR(__xludf.DUMMYFUNCTION("IF(ISNUMBER(B1038),TEXT(B1038,""yyyy-MM-dd""),REGEXREPLACE(REGEXREPLACE(TO_TEXT(B1038),""[^0-9a-zA-Z]+"",""-""),""[^0-9]*$"",""""))"),"2024-06-27")</f>
        <v>2024-06-27</v>
      </c>
      <c r="D1038" s="2" t="s">
        <v>8143</v>
      </c>
      <c r="H1038" s="10" t="s">
        <v>8143</v>
      </c>
      <c r="I1038" s="2" t="s">
        <v>1845</v>
      </c>
      <c r="J1038" s="26" t="str">
        <f t="array" ref="J1038">IF(ISNA(XLOOKUP(I1038,customers_clean!$A$2:$A$701,customers_clean!$A$2:$A$701, NA()) ),
   "❌ MISSING CUSTOMER", "✅")</f>
        <v>✅</v>
      </c>
      <c r="K1038" s="2" t="str">
        <f t="array" ref="K1038">XLOOKUP(I1038,customers_clean!$A$2:$A$701,customers_clean!$C$2:$C$701)</f>
        <v>Nina Muller</v>
      </c>
      <c r="L1038" s="10" t="str">
        <f t="array" ref="L1038">XLOOKUP(I1038,customers_clean!$A$2:$A$701,customers_clean!$D$2:$D$701)</f>
        <v>Nina Muller</v>
      </c>
      <c r="M1038" s="2" t="str">
        <f t="array" ref="M1038">XLOOKUP(I1038,customers_clean!$A$2:$A$701,customers_clean!$I$2:$I$701)</f>
        <v> nina.muller@example.com</v>
      </c>
      <c r="N1038" s="10" t="str">
        <f t="array" ref="N1038">XLOOKUP(I1038,customers_clean!$A$2:$A$701,customers_clean!$H$2:$H$701)</f>
        <v>nina.muller@example.com</v>
      </c>
      <c r="O1038" s="9" t="str">
        <f>IFERROR(__xludf.DUMMYFUNCTION("IF(REGEXMATCH(TRIM(N1038),""^[A-Za-z0-9._%+-]+@[A-Za-z0-9.-]+\.[A-Za-z]{2,}$""),""✅ Valid"",""❌ Invalid"")"),"✅ Valid")</f>
        <v>✅ Valid</v>
      </c>
      <c r="P1038" s="2">
        <f t="array" ref="P1038">XLOOKUP(I1038,customers_clean!$A$2:$A$701,customers_clean!$K$2:$K$701)</f>
        <v>9179531279</v>
      </c>
      <c r="Q1038" s="10" t="str">
        <f t="array" ref="Q1038">XLOOKUP(I1038,customers_clean!$A$2:$A$701,customers_clean!$N$2:$N$701)</f>
        <v>9179531279</v>
      </c>
      <c r="R1038" s="9" t="str">
        <f t="array" ref="R1038">XLOOKUP(I1038,customers_clean!$A$2:$A$701,customers_clean!$Q$2:$Q$701)</f>
        <v>❌ INVALID</v>
      </c>
      <c r="S1038" s="10" t="s">
        <v>25</v>
      </c>
      <c r="T1038" s="2" t="s">
        <v>223</v>
      </c>
      <c r="U1038" s="2" t="s">
        <v>90</v>
      </c>
      <c r="V1038" s="2" t="s">
        <v>1849</v>
      </c>
      <c r="W1038" s="9" t="str">
        <f t="array" ref="W1038">IF(ISNA(XLOOKUP(V1038,products_master_corrected!$A$2:$A$151,products_master_corrected!$A$2:$A$151, NA())),
    "❌ MISSING SKU", "✅")</f>
        <v>✅</v>
      </c>
      <c r="X1038" s="2" t="s">
        <v>403</v>
      </c>
      <c r="Y1038" s="2" t="s">
        <v>248</v>
      </c>
      <c r="Z1038" s="10" t="s">
        <v>248</v>
      </c>
      <c r="AA1038" s="27">
        <v>2.0</v>
      </c>
      <c r="AB1038" s="9" t="s">
        <v>8649</v>
      </c>
      <c r="AC1038" s="28">
        <f t="array" ref="AC1038">XLOOKUP(V1038,products_master_corrected!$A$2:$A$151,products_master_corrected!$E$2:$E$151)</f>
        <v>46.23</v>
      </c>
      <c r="AD1038" s="28">
        <f t="shared" si="121"/>
        <v>92.46</v>
      </c>
      <c r="AE1038" s="28">
        <f t="array" ref="AE1038">XLOOKUP(V1038,products_master_corrected!$A$2:$A$151,products_master_corrected!$K$2:$K$151)</f>
        <v>237.85</v>
      </c>
      <c r="AF1038" s="29">
        <f t="shared" si="122"/>
        <v>475.7</v>
      </c>
      <c r="AG1038" s="30" t="s">
        <v>95</v>
      </c>
      <c r="AH1038" s="2" t="s">
        <v>204</v>
      </c>
      <c r="AI1038" s="10" t="s">
        <v>143</v>
      </c>
      <c r="AJ1038" s="2" t="s">
        <v>818</v>
      </c>
      <c r="AK1038" s="10" t="s">
        <v>818</v>
      </c>
    </row>
    <row r="1039" ht="15.75" customHeight="1">
      <c r="A1039" s="2" t="s">
        <v>4595</v>
      </c>
      <c r="B1039" s="12">
        <v>45068.0</v>
      </c>
      <c r="C1039" s="2" t="str">
        <f>IFERROR(__xludf.DUMMYFUNCTION("IF(ISNUMBER(B1039),TEXT(B1039,""yyyy-MM-dd""),REGEXREPLACE(REGEXREPLACE(TO_TEXT(B1039),""[^0-9a-zA-Z]+"",""-""),""[^0-9]*$"",""""))"),"2023-05-22")</f>
        <v>2023-05-22</v>
      </c>
      <c r="D1039" s="2" t="s">
        <v>8979</v>
      </c>
      <c r="H1039" s="10" t="s">
        <v>8979</v>
      </c>
      <c r="I1039" s="2" t="s">
        <v>1845</v>
      </c>
      <c r="J1039" s="26" t="str">
        <f t="array" ref="J1039">IF(ISNA(XLOOKUP(I1039,customers_clean!$A$2:$A$701,customers_clean!$A$2:$A$701, NA()) ),
   "❌ MISSING CUSTOMER", "✅")</f>
        <v>✅</v>
      </c>
      <c r="K1039" s="2" t="str">
        <f t="array" ref="K1039">XLOOKUP(I1039,customers_clean!$A$2:$A$701,customers_clean!$C$2:$C$701)</f>
        <v>Nina Muller</v>
      </c>
      <c r="L1039" s="10" t="str">
        <f t="array" ref="L1039">XLOOKUP(I1039,customers_clean!$A$2:$A$701,customers_clean!$D$2:$D$701)</f>
        <v>Nina Muller</v>
      </c>
      <c r="M1039" s="2" t="str">
        <f t="array" ref="M1039">XLOOKUP(I1039,customers_clean!$A$2:$A$701,customers_clean!$I$2:$I$701)</f>
        <v> nina.muller@example.com</v>
      </c>
      <c r="N1039" s="10" t="str">
        <f t="array" ref="N1039">XLOOKUP(I1039,customers_clean!$A$2:$A$701,customers_clean!$H$2:$H$701)</f>
        <v>nina.muller@example.com</v>
      </c>
      <c r="O1039" s="9" t="str">
        <f>IFERROR(__xludf.DUMMYFUNCTION("IF(REGEXMATCH(TRIM(N1039),""^[A-Za-z0-9._%+-]+@[A-Za-z0-9.-]+\.[A-Za-z]{2,}$""),""✅ Valid"",""❌ Invalid"")"),"✅ Valid")</f>
        <v>✅ Valid</v>
      </c>
      <c r="P1039" s="2">
        <f t="array" ref="P1039">XLOOKUP(I1039,customers_clean!$A$2:$A$701,customers_clean!$K$2:$K$701)</f>
        <v>9179531279</v>
      </c>
      <c r="Q1039" s="10" t="str">
        <f t="array" ref="Q1039">XLOOKUP(I1039,customers_clean!$A$2:$A$701,customers_clean!$N$2:$N$701)</f>
        <v>9179531279</v>
      </c>
      <c r="R1039" s="9" t="str">
        <f t="array" ref="R1039">XLOOKUP(I1039,customers_clean!$A$2:$A$701,customers_clean!$Q$2:$Q$701)</f>
        <v>❌ INVALID</v>
      </c>
      <c r="S1039" s="10" t="s">
        <v>25</v>
      </c>
      <c r="T1039" s="2" t="s">
        <v>223</v>
      </c>
      <c r="U1039" s="2" t="s">
        <v>103</v>
      </c>
      <c r="V1039" s="2" t="s">
        <v>3596</v>
      </c>
      <c r="W1039" s="9" t="str">
        <f t="array" ref="W1039">IF(ISNA(XLOOKUP(V1039,products_master_corrected!$A$2:$A$151,products_master_corrected!$A$2:$A$151, NA())),
    "❌ MISSING SKU", "✅")</f>
        <v>✅</v>
      </c>
      <c r="X1039" s="2" t="s">
        <v>3597</v>
      </c>
      <c r="Y1039" s="2" t="s">
        <v>63</v>
      </c>
      <c r="Z1039" s="10" t="s">
        <v>63</v>
      </c>
      <c r="AA1039" s="27">
        <v>5.0</v>
      </c>
      <c r="AB1039" s="9" t="s">
        <v>8649</v>
      </c>
      <c r="AC1039" s="28">
        <f t="array" ref="AC1039">XLOOKUP(V1039,products_master_corrected!$A$2:$A$151,products_master_corrected!$E$2:$E$151)</f>
        <v>160.36</v>
      </c>
      <c r="AD1039" s="28">
        <f t="shared" si="121"/>
        <v>801.8</v>
      </c>
      <c r="AE1039" s="28">
        <f t="array" ref="AE1039">XLOOKUP(V1039,products_master_corrected!$A$2:$A$151,products_master_corrected!$K$2:$K$151)</f>
        <v>825.05</v>
      </c>
      <c r="AF1039" s="29">
        <f t="shared" si="122"/>
        <v>4125.25</v>
      </c>
      <c r="AG1039" s="30" t="s">
        <v>95</v>
      </c>
      <c r="AH1039" s="2" t="s">
        <v>181</v>
      </c>
      <c r="AI1039" s="10" t="s">
        <v>181</v>
      </c>
      <c r="AJ1039" s="2" t="s">
        <v>169</v>
      </c>
      <c r="AK1039" s="10" t="s">
        <v>261</v>
      </c>
      <c r="AL1039" s="2" t="s">
        <v>67</v>
      </c>
    </row>
    <row r="1040" ht="15.75" customHeight="1">
      <c r="A1040" s="2" t="s">
        <v>1201</v>
      </c>
      <c r="B1040" s="12">
        <v>45678.0</v>
      </c>
      <c r="C1040" s="2" t="str">
        <f>IFERROR(__xludf.DUMMYFUNCTION("IF(ISNUMBER(B1040),TEXT(B1040,""yyyy-MM-dd""),REGEXREPLACE(REGEXREPLACE(TO_TEXT(B1040),""[^0-9a-zA-Z]+"",""-""),""[^0-9]*$"",""""))"),"2025-01-21")</f>
        <v>2025-01-21</v>
      </c>
      <c r="D1040" s="2" t="s">
        <v>9001</v>
      </c>
      <c r="H1040" s="10" t="s">
        <v>9001</v>
      </c>
      <c r="I1040" s="2" t="s">
        <v>1203</v>
      </c>
      <c r="J1040" s="26" t="str">
        <f t="array" ref="J1040">IF(ISNA(XLOOKUP(I1040,customers_clean!$A$2:$A$701,customers_clean!$A$2:$A$701, NA()) ),
   "❌ MISSING CUSTOMER", "✅")</f>
        <v>✅</v>
      </c>
      <c r="K1040" s="2" t="str">
        <f t="array" ref="K1040">XLOOKUP(I1040,customers_clean!$A$2:$A$701,customers_clean!$C$2:$C$701)</f>
        <v> Vlad Rodriguez</v>
      </c>
      <c r="L1040" s="10" t="str">
        <f t="array" ref="L1040">XLOOKUP(I1040,customers_clean!$A$2:$A$701,customers_clean!$D$2:$D$701)</f>
        <v>Vlad Rodriguez</v>
      </c>
      <c r="M1040" s="2" t="str">
        <f t="array" ref="M1040">XLOOKUP(I1040,customers_clean!$A$2:$A$701,customers_clean!$I$2:$I$701)</f>
        <v>vlad.rodriguez@shop.io</v>
      </c>
      <c r="N1040" s="10" t="str">
        <f t="array" ref="N1040">XLOOKUP(I1040,customers_clean!$A$2:$A$701,customers_clean!$H$2:$H$701)</f>
        <v>vlad.rodriguez@shop.io</v>
      </c>
      <c r="O1040" s="9" t="str">
        <f>IFERROR(__xludf.DUMMYFUNCTION("IF(REGEXMATCH(TRIM(N1040),""^[A-Za-z0-9._%+-]+@[A-Za-z0-9.-]+\.[A-Za-z]{2,}$""),""✅ Valid"",""❌ Invalid"")"),"✅ Valid")</f>
        <v>✅ Valid</v>
      </c>
      <c r="P1040" s="33" t="str">
        <f t="array" ref="P1040">XLOOKUP(I1040,customers_clean!$A$2:$A$701,customers_clean!$K$2:$K$701)</f>
        <v>277x47608</v>
      </c>
      <c r="Q1040" s="10" t="str">
        <f t="array" ref="Q1040">XLOOKUP(I1040,customers_clean!$A$2:$A$701,customers_clean!$N$2:$N$701)</f>
        <v>27747608</v>
      </c>
      <c r="R1040" s="9" t="str">
        <f t="array" ref="R1040">XLOOKUP(I1040,customers_clean!$A$2:$A$701,customers_clean!$Q$2:$Q$701)</f>
        <v>❌ INVALID</v>
      </c>
      <c r="S1040" s="31" t="s">
        <v>671</v>
      </c>
      <c r="T1040" s="2" t="s">
        <v>323</v>
      </c>
      <c r="U1040" s="2" t="s">
        <v>1207</v>
      </c>
      <c r="V1040" s="2" t="s">
        <v>127</v>
      </c>
      <c r="W1040" s="9" t="str">
        <f t="array" ref="W1040">IF(ISNA(XLOOKUP(V1040,products_master_corrected!$A$2:$A$151,products_master_corrected!$A$2:$A$151, NA())),
    "❌ MISSING SKU", "✅")</f>
        <v>✅</v>
      </c>
      <c r="X1040" s="2" t="s">
        <v>8717</v>
      </c>
      <c r="Y1040" s="2" t="s">
        <v>129</v>
      </c>
      <c r="Z1040" s="10" t="s">
        <v>514</v>
      </c>
      <c r="AA1040" s="27">
        <v>1.0</v>
      </c>
      <c r="AB1040" s="9" t="s">
        <v>8649</v>
      </c>
      <c r="AC1040" s="28">
        <f t="array" ref="AC1040">XLOOKUP(V1040,products_master_corrected!$A$2:$A$151,products_master_corrected!$E$2:$E$151)</f>
        <v>79.06</v>
      </c>
      <c r="AD1040" s="28">
        <f t="shared" si="121"/>
        <v>79.06</v>
      </c>
      <c r="AE1040" s="28">
        <f t="array" ref="AE1040">XLOOKUP(V1040,products_master_corrected!$A$2:$A$151,products_master_corrected!$J$2:$J$151)</f>
        <v>92.21</v>
      </c>
      <c r="AF1040" s="29">
        <f t="shared" si="122"/>
        <v>92.21</v>
      </c>
      <c r="AG1040" s="32" t="s">
        <v>8656</v>
      </c>
      <c r="AH1040" s="2" t="s">
        <v>305</v>
      </c>
      <c r="AI1040" s="10" t="s">
        <v>49</v>
      </c>
      <c r="AJ1040" s="2" t="s">
        <v>50</v>
      </c>
      <c r="AK1040" s="10" t="s">
        <v>261</v>
      </c>
      <c r="AL1040" s="2" t="s">
        <v>81</v>
      </c>
    </row>
    <row r="1041" ht="15.75" customHeight="1">
      <c r="A1041" s="2" t="s">
        <v>5781</v>
      </c>
      <c r="B1041" s="12">
        <v>44944.0</v>
      </c>
      <c r="C1041" s="2" t="str">
        <f>IFERROR(__xludf.DUMMYFUNCTION("IF(ISNUMBER(B1041),TEXT(B1041,""yyyy-MM-dd""),REGEXREPLACE(REGEXREPLACE(TO_TEXT(B1041),""[^0-9a-zA-Z]+"",""-""),""[^0-9]*$"",""""))"),"2023-01-18")</f>
        <v>2023-01-18</v>
      </c>
      <c r="D1041" s="2" t="s">
        <v>8735</v>
      </c>
      <c r="H1041" s="10" t="s">
        <v>8735</v>
      </c>
      <c r="I1041" s="2" t="s">
        <v>5783</v>
      </c>
      <c r="J1041" s="26" t="str">
        <f t="array" ref="J1041">IF(ISNA(XLOOKUP(I1041,customers_clean!$A$2:$A$701,customers_clean!$A$2:$A$701, NA()) ),
   "❌ MISSING CUSTOMER", "✅")</f>
        <v>✅</v>
      </c>
      <c r="K1041" s="2" t="str">
        <f t="array" ref="K1041">XLOOKUP(I1041,customers_clean!$A$2:$A$701,customers_clean!$C$2:$C$701)</f>
        <v>VLAD JOHNSON</v>
      </c>
      <c r="L1041" s="10" t="str">
        <f t="array" ref="L1041">XLOOKUP(I1041,customers_clean!$A$2:$A$701,customers_clean!$D$2:$D$701)</f>
        <v>Vlad Johnson</v>
      </c>
      <c r="M1041" s="2" t="str">
        <f t="array" ref="M1041">XLOOKUP(I1041,customers_clean!$A$2:$A$701,customers_clean!$I$2:$I$701)</f>
        <v>vlad.johnson@shop.io</v>
      </c>
      <c r="N1041" s="10" t="str">
        <f t="array" ref="N1041">XLOOKUP(I1041,customers_clean!$A$2:$A$701,customers_clean!$H$2:$H$701)</f>
        <v>vlad.johnson@shop.io</v>
      </c>
      <c r="O1041" s="9" t="str">
        <f>IFERROR(__xludf.DUMMYFUNCTION("IF(REGEXMATCH(TRIM(N1041),""^[A-Za-z0-9._%+-]+@[A-Za-z0-9.-]+\.[A-Za-z]{2,}$""),""✅ Valid"",""❌ Invalid"")"),"✅ Valid")</f>
        <v>✅ Valid</v>
      </c>
      <c r="P1041" s="2" t="str">
        <f t="array" ref="P1041">XLOOKUP(I1041,customers_clean!$A$2:$A$701,customers_clean!$K$2:$K$701)</f>
        <v>+49 026 486745</v>
      </c>
      <c r="Q1041" s="10" t="str">
        <f t="array" ref="Q1041">XLOOKUP(I1041,customers_clean!$A$2:$A$701,customers_clean!$N$2:$N$701)</f>
        <v>026486745</v>
      </c>
      <c r="R1041" s="9" t="str">
        <f t="array" ref="R1041">XLOOKUP(I1041,customers_clean!$A$2:$A$701,customers_clean!$Q$2:$Q$701)</f>
        <v>❌ INVALID</v>
      </c>
      <c r="S1041" s="10" t="s">
        <v>88</v>
      </c>
      <c r="T1041" s="2" t="s">
        <v>59</v>
      </c>
      <c r="U1041" s="2" t="s">
        <v>401</v>
      </c>
      <c r="V1041" s="2" t="s">
        <v>302</v>
      </c>
      <c r="W1041" s="9" t="str">
        <f t="array" ref="W1041">IF(ISNA(XLOOKUP(V1041,products_master_corrected!$A$2:$A$151,products_master_corrected!$A$2:$A$151, NA())),
    "❌ MISSING SKU", "✅")</f>
        <v>✅</v>
      </c>
      <c r="X1041" s="2" t="s">
        <v>303</v>
      </c>
      <c r="Y1041" s="2" t="s">
        <v>248</v>
      </c>
      <c r="Z1041" s="10" t="s">
        <v>248</v>
      </c>
      <c r="AA1041" s="27">
        <v>2.0</v>
      </c>
      <c r="AB1041" s="9" t="s">
        <v>8649</v>
      </c>
      <c r="AC1041" s="28">
        <f t="array" ref="AC1041">XLOOKUP(V1041,products_master_corrected!$A$2:$A$151,products_master_corrected!$E$2:$E$151)</f>
        <v>172.22</v>
      </c>
      <c r="AD1041" s="28">
        <f t="shared" si="121"/>
        <v>344.44</v>
      </c>
      <c r="AE1041" s="28">
        <f t="array" ref="AE1041">XLOOKUP(V1041,products_master_corrected!$A$2:$A$151,products_master_corrected!$I$2:$I$151)</f>
        <v>189.86</v>
      </c>
      <c r="AF1041" s="29">
        <f t="shared" si="122"/>
        <v>379.72</v>
      </c>
      <c r="AG1041" s="32" t="s">
        <v>8660</v>
      </c>
      <c r="AH1041" s="2" t="s">
        <v>5788</v>
      </c>
      <c r="AI1041" s="10" t="s">
        <v>181</v>
      </c>
      <c r="AJ1041" s="2" t="s">
        <v>80</v>
      </c>
      <c r="AK1041" s="10" t="s">
        <v>80</v>
      </c>
    </row>
    <row r="1042" ht="15.75" customHeight="1">
      <c r="A1042" s="2" t="s">
        <v>1040</v>
      </c>
      <c r="B1042" s="12">
        <v>44928.0</v>
      </c>
      <c r="C1042" s="2" t="str">
        <f>IFERROR(__xludf.DUMMYFUNCTION("IF(ISNUMBER(B1042),TEXT(B1042,""yyyy-MM-dd""),REGEXREPLACE(REGEXREPLACE(TO_TEXT(B1042),""[^0-9a-zA-Z]+"",""-""),""[^0-9]*$"",""""))"),"2023-01-02")</f>
        <v>2023-01-02</v>
      </c>
      <c r="D1042" s="2" t="s">
        <v>4382</v>
      </c>
      <c r="H1042" s="10" t="s">
        <v>4382</v>
      </c>
      <c r="I1042" s="2" t="s">
        <v>1042</v>
      </c>
      <c r="J1042" s="26" t="str">
        <f t="array" ref="J1042">IF(ISNA(XLOOKUP(I1042,customers_clean!$A$2:$A$701,customers_clean!$A$2:$A$701, NA()) ),
   "❌ MISSING CUSTOMER", "✅")</f>
        <v>✅</v>
      </c>
      <c r="K1042" s="2" t="str">
        <f t="array" ref="K1042">XLOOKUP(I1042,customers_clean!$A$2:$A$701,customers_clean!$C$2:$C$701)</f>
        <v>Gabe Martinez</v>
      </c>
      <c r="L1042" s="10" t="str">
        <f t="array" ref="L1042">XLOOKUP(I1042,customers_clean!$A$2:$A$701,customers_clean!$D$2:$D$701)</f>
        <v>Gabe Martinez</v>
      </c>
      <c r="M1042" s="2" t="str">
        <f t="array" ref="M1042">XLOOKUP(I1042,customers_clean!$A$2:$A$701,customers_clean!$I$2:$I$701)</f>
        <v>GABE.MARTINEZ@SHOP.IO</v>
      </c>
      <c r="N1042" s="10" t="str">
        <f t="array" ref="N1042">XLOOKUP(I1042,customers_clean!$A$2:$A$701,customers_clean!$H$2:$H$701)</f>
        <v>gabe.martinez@shop.io</v>
      </c>
      <c r="O1042" s="9" t="str">
        <f>IFERROR(__xludf.DUMMYFUNCTION("IF(REGEXMATCH(TRIM(N1042),""^[A-Za-z0-9._%+-]+@[A-Za-z0-9.-]+\.[A-Za-z]{2,}$""),""✅ Valid"",""❌ Invalid"")"),"✅ Valid")</f>
        <v>✅ Valid</v>
      </c>
      <c r="P1042" s="2" t="str">
        <f t="array" ref="P1042">XLOOKUP(I1042,customers_clean!$A$2:$A$701,customers_clean!$K$2:$K$701)</f>
        <v>+39+2776406954</v>
      </c>
      <c r="Q1042" s="10" t="str">
        <f t="array" ref="Q1042">XLOOKUP(I1042,customers_clean!$A$2:$A$701,customers_clean!$N$2:$N$701)</f>
        <v>2776406954</v>
      </c>
      <c r="R1042" s="9" t="str">
        <f t="array" ref="R1042">XLOOKUP(I1042,customers_clean!$A$2:$A$701,customers_clean!$Q$2:$Q$701)</f>
        <v>❌ INVALID</v>
      </c>
      <c r="S1042" s="10" t="s">
        <v>114</v>
      </c>
      <c r="T1042" s="2" t="s">
        <v>234</v>
      </c>
      <c r="U1042" s="2" t="s">
        <v>1046</v>
      </c>
      <c r="V1042" s="2" t="s">
        <v>673</v>
      </c>
      <c r="W1042" s="9" t="str">
        <f t="array" ref="W1042">IF(ISNA(XLOOKUP(V1042,products_master_corrected!$A$2:$A$151,products_master_corrected!$A$2:$A$151, NA())),
    "❌ MISSING SKU", "✅")</f>
        <v>✅</v>
      </c>
      <c r="X1042" s="2" t="s">
        <v>259</v>
      </c>
      <c r="Y1042" s="2" t="s">
        <v>674</v>
      </c>
      <c r="Z1042" s="10" t="s">
        <v>514</v>
      </c>
      <c r="AA1042" s="27">
        <v>3.0</v>
      </c>
      <c r="AB1042" s="9" t="s">
        <v>8649</v>
      </c>
      <c r="AC1042" s="28">
        <f t="array" ref="AC1042">XLOOKUP(V1042,products_master_corrected!$A$2:$A$151,products_master_corrected!$E$2:$E$151)</f>
        <v>38.5</v>
      </c>
      <c r="AD1042" s="28">
        <f t="shared" si="121"/>
        <v>115.5</v>
      </c>
      <c r="AE1042" s="28">
        <f t="array" ref="AE1042">XLOOKUP(V1042,products_master_corrected!$A$2:$A$151,products_master_corrected!$F$2:$F$151)</f>
        <v>38.5</v>
      </c>
      <c r="AF1042" s="29">
        <f t="shared" si="122"/>
        <v>115.5</v>
      </c>
      <c r="AG1042" s="30" t="s">
        <v>65</v>
      </c>
      <c r="AH1042" s="2" t="s">
        <v>143</v>
      </c>
      <c r="AI1042" s="10" t="s">
        <v>143</v>
      </c>
      <c r="AJ1042" s="2" t="s">
        <v>169</v>
      </c>
      <c r="AK1042" s="10" t="s">
        <v>261</v>
      </c>
    </row>
    <row r="1043" ht="15.75" customHeight="1">
      <c r="A1043" s="2" t="s">
        <v>1214</v>
      </c>
      <c r="B1043" s="12">
        <v>45806.0</v>
      </c>
      <c r="C1043" s="2" t="str">
        <f>IFERROR(__xludf.DUMMYFUNCTION("IF(ISNUMBER(B1043),TEXT(B1043,""yyyy-MM-dd""),REGEXREPLACE(REGEXREPLACE(TO_TEXT(B1043),""[^0-9a-zA-Z]+"",""-""),""[^0-9]*$"",""""))"),"2025-05-29")</f>
        <v>2025-05-29</v>
      </c>
      <c r="D1043" s="2" t="s">
        <v>1215</v>
      </c>
      <c r="H1043" s="10" t="s">
        <v>1215</v>
      </c>
      <c r="I1043" s="2" t="s">
        <v>1042</v>
      </c>
      <c r="J1043" s="26" t="str">
        <f t="array" ref="J1043">IF(ISNA(XLOOKUP(I1043,customers_clean!$A$2:$A$701,customers_clean!$A$2:$A$701, NA()) ),
   "❌ MISSING CUSTOMER", "✅")</f>
        <v>✅</v>
      </c>
      <c r="K1043" s="2" t="str">
        <f t="array" ref="K1043">XLOOKUP(I1043,customers_clean!$A$2:$A$701,customers_clean!$C$2:$C$701)</f>
        <v>Gabe Martinez</v>
      </c>
      <c r="L1043" s="10" t="str">
        <f t="array" ref="L1043">XLOOKUP(I1043,customers_clean!$A$2:$A$701,customers_clean!$D$2:$D$701)</f>
        <v>Gabe Martinez</v>
      </c>
      <c r="M1043" s="2" t="str">
        <f t="array" ref="M1043">XLOOKUP(I1043,customers_clean!$A$2:$A$701,customers_clean!$I$2:$I$701)</f>
        <v>GABE.MARTINEZ@SHOP.IO</v>
      </c>
      <c r="N1043" s="10" t="str">
        <f t="array" ref="N1043">XLOOKUP(I1043,customers_clean!$A$2:$A$701,customers_clean!$H$2:$H$701)</f>
        <v>gabe.martinez@shop.io</v>
      </c>
      <c r="O1043" s="9" t="str">
        <f>IFERROR(__xludf.DUMMYFUNCTION("IF(REGEXMATCH(TRIM(N1043),""^[A-Za-z0-9._%+-]+@[A-Za-z0-9.-]+\.[A-Za-z]{2,}$""),""✅ Valid"",""❌ Invalid"")"),"✅ Valid")</f>
        <v>✅ Valid</v>
      </c>
      <c r="P1043" s="2" t="str">
        <f t="array" ref="P1043">XLOOKUP(I1043,customers_clean!$A$2:$A$701,customers_clean!$K$2:$K$701)</f>
        <v>+39+2776406954</v>
      </c>
      <c r="Q1043" s="10" t="str">
        <f t="array" ref="Q1043">XLOOKUP(I1043,customers_clean!$A$2:$A$701,customers_clean!$N$2:$N$701)</f>
        <v>2776406954</v>
      </c>
      <c r="R1043" s="9" t="str">
        <f t="array" ref="R1043">XLOOKUP(I1043,customers_clean!$A$2:$A$701,customers_clean!$Q$2:$Q$701)</f>
        <v>❌ INVALID</v>
      </c>
      <c r="S1043" s="10" t="s">
        <v>114</v>
      </c>
      <c r="T1043" s="2" t="s">
        <v>223</v>
      </c>
      <c r="U1043" s="2" t="s">
        <v>480</v>
      </c>
      <c r="V1043" s="2" t="s">
        <v>334</v>
      </c>
      <c r="W1043" s="9" t="str">
        <f t="array" ref="W1043">IF(ISNA(XLOOKUP(V1043,products_master_corrected!$A$2:$A$151,products_master_corrected!$A$2:$A$151, NA())),
    "❌ MISSING SKU", "✅")</f>
        <v>✅</v>
      </c>
      <c r="X1043" s="2" t="s">
        <v>29</v>
      </c>
      <c r="Y1043" s="2" t="s">
        <v>248</v>
      </c>
      <c r="Z1043" s="10" t="s">
        <v>248</v>
      </c>
      <c r="AA1043" s="27">
        <v>3.0</v>
      </c>
      <c r="AB1043" s="9" t="s">
        <v>8649</v>
      </c>
      <c r="AC1043" s="28">
        <f t="array" ref="AC1043">XLOOKUP(V1043,products_master_corrected!$A$2:$A$151,products_master_corrected!$E$2:$E$151)</f>
        <v>75.62</v>
      </c>
      <c r="AD1043" s="28">
        <f t="shared" si="121"/>
        <v>226.86</v>
      </c>
      <c r="AE1043" s="28">
        <f t="array" ref="AE1043">XLOOKUP(V1043,products_master_corrected!$A$2:$A$151,products_master_corrected!$F$2:$F$151)</f>
        <v>75.62</v>
      </c>
      <c r="AF1043" s="29">
        <f t="shared" si="122"/>
        <v>226.86</v>
      </c>
      <c r="AG1043" s="30" t="s">
        <v>65</v>
      </c>
      <c r="AH1043" s="2" t="s">
        <v>505</v>
      </c>
      <c r="AI1043" s="10" t="s">
        <v>181</v>
      </c>
      <c r="AJ1043" s="2" t="s">
        <v>251</v>
      </c>
      <c r="AK1043" s="10" t="s">
        <v>192</v>
      </c>
    </row>
    <row r="1044" ht="15.75" customHeight="1">
      <c r="A1044" s="2" t="s">
        <v>2841</v>
      </c>
      <c r="B1044" s="12" t="s">
        <v>2842</v>
      </c>
      <c r="C1044" s="2" t="str">
        <f>IFERROR(__xludf.DUMMYFUNCTION("IF(ISNUMBER(B1044),TEXT(B1044,""yyyy-MM-dd""),REGEXREPLACE(REGEXREPLACE(TO_TEXT(B1044),""[^0-9a-zA-Z]+"",""-""),""[^0-9]*$"",""""))"),"08-02-2025")</f>
        <v>08-02-2025</v>
      </c>
      <c r="D1044" s="2" t="s">
        <v>9002</v>
      </c>
      <c r="H1044" s="10" t="s">
        <v>9002</v>
      </c>
      <c r="I1044" s="2" t="s">
        <v>2843</v>
      </c>
      <c r="J1044" s="26" t="str">
        <f t="array" ref="J1044">IF(ISNA(XLOOKUP(I1044,customers_clean!$A$2:$A$701,customers_clean!$A$2:$A$701, NA()) ),
   "❌ MISSING CUSTOMER", "✅")</f>
        <v>✅</v>
      </c>
      <c r="K1044" s="2" t="str">
        <f t="array" ref="K1044">XLOOKUP(I1044,customers_clean!$A$2:$A$701,customers_clean!$C$2:$C$701)</f>
        <v>Qi Kowalski </v>
      </c>
      <c r="L1044" s="10" t="str">
        <f t="array" ref="L1044">XLOOKUP(I1044,customers_clean!$A$2:$A$701,customers_clean!$D$2:$D$701)</f>
        <v>Qi Kowalski</v>
      </c>
      <c r="M1044" s="2" t="str">
        <f t="array" ref="M1044">XLOOKUP(I1044,customers_clean!$A$2:$A$701,customers_clean!$I$2:$I$701)</f>
        <v>Qi.Kowalski@Outlook.Com</v>
      </c>
      <c r="N1044" s="10" t="str">
        <f t="array" ref="N1044">XLOOKUP(I1044,customers_clean!$A$2:$A$701,customers_clean!$H$2:$H$701)</f>
        <v>qi.kowalski@outlook.com</v>
      </c>
      <c r="O1044" s="9" t="str">
        <f>IFERROR(__xludf.DUMMYFUNCTION("IF(REGEXMATCH(TRIM(N1044),""^[A-Za-z0-9._%+-]+@[A-Za-z0-9.-]+\.[A-Za-z]{2,}$""),""✅ Valid"",""❌ Invalid"")"),"✅ Valid")</f>
        <v>✅ Valid</v>
      </c>
      <c r="P1044" s="2" t="str">
        <f t="array" ref="P1044">XLOOKUP(I1044,customers_clean!$A$2:$A$701,customers_clean!$K$2:$K$701)</f>
        <v>(234) 279358</v>
      </c>
      <c r="Q1044" s="10" t="str">
        <f t="array" ref="Q1044">XLOOKUP(I1044,customers_clean!$A$2:$A$701,customers_clean!$N$2:$N$701)</f>
        <v>234279358</v>
      </c>
      <c r="R1044" s="9" t="str">
        <f t="array" ref="R1044">XLOOKUP(I1044,customers_clean!$A$2:$A$701,customers_clean!$Q$2:$Q$701)</f>
        <v>❌ INVALID</v>
      </c>
      <c r="S1044" s="10" t="s">
        <v>88</v>
      </c>
      <c r="T1044" s="2" t="s">
        <v>26</v>
      </c>
      <c r="U1044" s="2" t="s">
        <v>289</v>
      </c>
      <c r="V1044" s="2" t="s">
        <v>313</v>
      </c>
      <c r="W1044" s="9" t="str">
        <f t="array" ref="W1044">IF(ISNA(XLOOKUP(V1044,products_master_corrected!$A$2:$A$151,products_master_corrected!$A$2:$A$151, NA())),
    "❌ MISSING SKU", "✅")</f>
        <v>✅</v>
      </c>
      <c r="X1044" s="2" t="s">
        <v>768</v>
      </c>
      <c r="Y1044" s="2" t="s">
        <v>315</v>
      </c>
      <c r="Z1044" s="10" t="s">
        <v>179</v>
      </c>
      <c r="AA1044" s="27">
        <v>1.0</v>
      </c>
      <c r="AB1044" s="9" t="s">
        <v>8649</v>
      </c>
      <c r="AC1044" s="28">
        <f t="array" ref="AC1044">XLOOKUP(V1044,products_master_corrected!$A$2:$A$151,products_master_corrected!$E$2:$E$151)</f>
        <v>47.55</v>
      </c>
      <c r="AD1044" s="28">
        <f t="shared" si="121"/>
        <v>47.55</v>
      </c>
      <c r="AE1044" s="28">
        <f t="array" ref="AE1044">XLOOKUP(V1044,products_master_corrected!$A$2:$A$151,products_master_corrected!$I$2:$I$151)</f>
        <v>52.42</v>
      </c>
      <c r="AF1044" s="29">
        <f t="shared" si="122"/>
        <v>52.42</v>
      </c>
      <c r="AG1044" s="32" t="s">
        <v>8660</v>
      </c>
      <c r="AH1044" s="2" t="s">
        <v>1367</v>
      </c>
      <c r="AI1044" s="10" t="s">
        <v>181</v>
      </c>
      <c r="AJ1044" s="2" t="s">
        <v>380</v>
      </c>
      <c r="AK1044" s="10" t="s">
        <v>80</v>
      </c>
      <c r="AL1044" s="2" t="s">
        <v>51</v>
      </c>
    </row>
    <row r="1045" ht="15.75" customHeight="1">
      <c r="A1045" s="2" t="s">
        <v>5419</v>
      </c>
      <c r="B1045" s="12" t="s">
        <v>5420</v>
      </c>
      <c r="C1045" s="2" t="str">
        <f>IFERROR(__xludf.DUMMYFUNCTION("IF(ISNUMBER(B1045),TEXT(B1045,""yyyy-MM-dd""),REGEXREPLACE(REGEXREPLACE(TO_TEXT(B1045),""[^0-9a-zA-Z]+"",""-""),""[^0-9]*$"",""""))"),"45689-23-06")</f>
        <v>45689-23-06</v>
      </c>
      <c r="D1045" s="2" t="str">
        <f>TEXT(C1045,"yyyy-MM-dd")</f>
        <v>45689-23-06</v>
      </c>
      <c r="E1045" s="25" t="str">
        <f>CONCATENATE(LEFT(D1045,5))</f>
        <v>45689</v>
      </c>
      <c r="F1045" s="12">
        <f>DATE(1900,1,1) + E1045 - 1</f>
        <v>45690</v>
      </c>
      <c r="G1045" s="2" t="s">
        <v>4012</v>
      </c>
      <c r="H1045" s="10" t="s">
        <v>4012</v>
      </c>
      <c r="I1045" s="2" t="s">
        <v>2843</v>
      </c>
      <c r="J1045" s="26" t="str">
        <f t="array" ref="J1045">IF(ISNA(XLOOKUP(I1045,customers_clean!$A$2:$A$701,customers_clean!$A$2:$A$701, NA()) ),
   "❌ MISSING CUSTOMER", "✅")</f>
        <v>✅</v>
      </c>
      <c r="K1045" s="2" t="str">
        <f t="array" ref="K1045">XLOOKUP(I1045,customers_clean!$A$2:$A$701,customers_clean!$C$2:$C$701)</f>
        <v>Qi Kowalski </v>
      </c>
      <c r="L1045" s="10" t="str">
        <f t="array" ref="L1045">XLOOKUP(I1045,customers_clean!$A$2:$A$701,customers_clean!$D$2:$D$701)</f>
        <v>Qi Kowalski</v>
      </c>
      <c r="M1045" s="2" t="str">
        <f t="array" ref="M1045">XLOOKUP(I1045,customers_clean!$A$2:$A$701,customers_clean!$I$2:$I$701)</f>
        <v>Qi.Kowalski@Outlook.Com</v>
      </c>
      <c r="N1045" s="10" t="str">
        <f t="array" ref="N1045">XLOOKUP(I1045,customers_clean!$A$2:$A$701,customers_clean!$H$2:$H$701)</f>
        <v>qi.kowalski@outlook.com</v>
      </c>
      <c r="O1045" s="9" t="str">
        <f>IFERROR(__xludf.DUMMYFUNCTION("IF(REGEXMATCH(TRIM(N1045),""^[A-Za-z0-9._%+-]+@[A-Za-z0-9.-]+\.[A-Za-z]{2,}$""),""✅ Valid"",""❌ Invalid"")"),"✅ Valid")</f>
        <v>✅ Valid</v>
      </c>
      <c r="P1045" s="2" t="str">
        <f t="array" ref="P1045">XLOOKUP(I1045,customers_clean!$A$2:$A$701,customers_clean!$K$2:$K$701)</f>
        <v>(234) 279358</v>
      </c>
      <c r="Q1045" s="10" t="str">
        <f t="array" ref="Q1045">XLOOKUP(I1045,customers_clean!$A$2:$A$701,customers_clean!$N$2:$N$701)</f>
        <v>234279358</v>
      </c>
      <c r="R1045" s="9" t="str">
        <f t="array" ref="R1045">XLOOKUP(I1045,customers_clean!$A$2:$A$701,customers_clean!$Q$2:$Q$701)</f>
        <v>❌ INVALID</v>
      </c>
      <c r="S1045" s="10" t="s">
        <v>88</v>
      </c>
      <c r="T1045" s="2" t="s">
        <v>234</v>
      </c>
      <c r="U1045" s="2" t="s">
        <v>401</v>
      </c>
      <c r="V1045" s="2" t="s">
        <v>490</v>
      </c>
      <c r="W1045" s="9" t="str">
        <f t="array" ref="W1045">IF(ISNA(XLOOKUP(V1045,products_master_corrected!$A$2:$A$151,products_master_corrected!$A$2:$A$151, NA())),
    "❌ MISSING SKU", "✅")</f>
        <v>✅</v>
      </c>
      <c r="X1045" s="2" t="s">
        <v>29</v>
      </c>
      <c r="Y1045" s="2" t="s">
        <v>492</v>
      </c>
      <c r="Z1045" s="10" t="s">
        <v>514</v>
      </c>
      <c r="AA1045" s="27">
        <v>1.0</v>
      </c>
      <c r="AB1045" s="9" t="s">
        <v>8649</v>
      </c>
      <c r="AC1045" s="28">
        <f t="array" ref="AC1045">XLOOKUP(V1045,products_master_corrected!$A$2:$A$151,products_master_corrected!$E$2:$E$151)</f>
        <v>116.45</v>
      </c>
      <c r="AD1045" s="28">
        <f t="shared" si="121"/>
        <v>116.45</v>
      </c>
      <c r="AE1045" s="28">
        <f t="array" ref="AE1045">XLOOKUP(V1045,products_master_corrected!$A$2:$A$151,products_master_corrected!$I$2:$I$151)</f>
        <v>128.37</v>
      </c>
      <c r="AF1045" s="29">
        <f t="shared" si="122"/>
        <v>128.37</v>
      </c>
      <c r="AG1045" s="32" t="s">
        <v>8660</v>
      </c>
      <c r="AH1045" s="2" t="s">
        <v>568</v>
      </c>
      <c r="AI1045" s="10" t="s">
        <v>49</v>
      </c>
      <c r="AJ1045" s="2" t="s">
        <v>345</v>
      </c>
      <c r="AK1045" s="10" t="s">
        <v>261</v>
      </c>
    </row>
    <row r="1046" ht="15.75" customHeight="1">
      <c r="A1046" s="2" t="s">
        <v>543</v>
      </c>
      <c r="B1046" s="12">
        <v>45365.0</v>
      </c>
      <c r="C1046" s="2" t="str">
        <f>IFERROR(__xludf.DUMMYFUNCTION("IF(ISNUMBER(B1046),TEXT(B1046,""yyyy-MM-dd""),REGEXREPLACE(REGEXREPLACE(TO_TEXT(B1046),""[^0-9a-zA-Z]+"",""-""),""[^0-9]*$"",""""))"),"2024-03-14")</f>
        <v>2024-03-14</v>
      </c>
      <c r="D1046" s="2" t="s">
        <v>544</v>
      </c>
      <c r="H1046" s="10" t="s">
        <v>544</v>
      </c>
      <c r="I1046" s="2" t="s">
        <v>545</v>
      </c>
      <c r="J1046" s="26" t="str">
        <f t="array" ref="J1046">IF(ISNA(XLOOKUP(I1046,customers_clean!$A$2:$A$701,customers_clean!$A$2:$A$701, NA()) ),
   "❌ MISSING CUSTOMER", "✅")</f>
        <v>✅</v>
      </c>
      <c r="K1046" s="2" t="str">
        <f t="array" ref="K1046">XLOOKUP(I1046,customers_clean!$A$2:$A$701,customers_clean!$C$2:$C$701)</f>
        <v>Tara Young</v>
      </c>
      <c r="L1046" s="10" t="str">
        <f t="array" ref="L1046">XLOOKUP(I1046,customers_clean!$A$2:$A$701,customers_clean!$D$2:$D$701)</f>
        <v>Tara Young</v>
      </c>
      <c r="M1046" s="2" t="str">
        <f t="array" ref="M1046">XLOOKUP(I1046,customers_clean!$A$2:$A$701,customers_clean!$I$2:$I$701)</f>
        <v>TARA.YOUNG@SHOP.IO</v>
      </c>
      <c r="N1046" s="10" t="str">
        <f t="array" ref="N1046">XLOOKUP(I1046,customers_clean!$A$2:$A$701,customers_clean!$H$2:$H$701)</f>
        <v>tara.young@shop.io</v>
      </c>
      <c r="O1046" s="9" t="str">
        <f>IFERROR(__xludf.DUMMYFUNCTION("IF(REGEXMATCH(TRIM(N1046),""^[A-Za-z0-9._%+-]+@[A-Za-z0-9.-]+\.[A-Za-z]{2,}$""),""✅ Valid"",""❌ Invalid"")"),"✅ Valid")</f>
        <v>✅ Valid</v>
      </c>
      <c r="P1046" s="2" t="str">
        <f t="array" ref="P1046">XLOOKUP(I1046,customers_clean!$A$2:$A$701,customers_clean!$K$2:$K$701)</f>
        <v>+1-113-69661504</v>
      </c>
      <c r="Q1046" s="10" t="str">
        <f t="array" ref="Q1046">XLOOKUP(I1046,customers_clean!$A$2:$A$701,customers_clean!$N$2:$N$701)</f>
        <v>11369661504</v>
      </c>
      <c r="R1046" s="9" t="str">
        <f t="array" ref="R1046">XLOOKUP(I1046,customers_clean!$A$2:$A$701,customers_clean!$Q$2:$Q$701)</f>
        <v>❌ INVALID</v>
      </c>
      <c r="S1046" s="10" t="s">
        <v>58</v>
      </c>
      <c r="T1046" s="2" t="s">
        <v>223</v>
      </c>
      <c r="U1046" s="2" t="s">
        <v>289</v>
      </c>
      <c r="V1046" s="2" t="s">
        <v>313</v>
      </c>
      <c r="W1046" s="9" t="str">
        <f t="array" ref="W1046">IF(ISNA(XLOOKUP(V1046,products_master_corrected!$A$2:$A$151,products_master_corrected!$A$2:$A$151, NA())),
    "❌ MISSING SKU", "✅")</f>
        <v>✅</v>
      </c>
      <c r="X1046" s="2" t="s">
        <v>768</v>
      </c>
      <c r="Y1046" s="2" t="s">
        <v>315</v>
      </c>
      <c r="Z1046" s="10" t="s">
        <v>179</v>
      </c>
      <c r="AA1046" s="27">
        <v>1.0</v>
      </c>
      <c r="AB1046" s="9" t="s">
        <v>8649</v>
      </c>
      <c r="AC1046" s="28">
        <f t="array" ref="AC1046">XLOOKUP(V1046,products_master_corrected!$A$2:$A$151,products_master_corrected!$E$2:$E$151)</f>
        <v>47.55</v>
      </c>
      <c r="AD1046" s="28">
        <f t="shared" si="121"/>
        <v>47.55</v>
      </c>
      <c r="AE1046" s="28">
        <f t="array" ref="AE1046">XLOOKUP(V1046,products_master_corrected!$A$2:$A$151,products_master_corrected!$G$2:$G$151)</f>
        <v>54.44</v>
      </c>
      <c r="AF1046" s="29">
        <f t="shared" si="122"/>
        <v>54.44</v>
      </c>
      <c r="AG1046" s="32" t="s">
        <v>8663</v>
      </c>
      <c r="AH1046" s="2" t="s">
        <v>143</v>
      </c>
      <c r="AI1046" s="10" t="s">
        <v>143</v>
      </c>
      <c r="AJ1046" s="2" t="s">
        <v>442</v>
      </c>
      <c r="AK1046" s="10" t="s">
        <v>80</v>
      </c>
      <c r="AL1046" s="2" t="s">
        <v>81</v>
      </c>
    </row>
    <row r="1047" ht="15.75" customHeight="1">
      <c r="A1047" s="2" t="s">
        <v>5177</v>
      </c>
      <c r="B1047" s="12" t="s">
        <v>5178</v>
      </c>
      <c r="C1047" s="2" t="str">
        <f>IFERROR(__xludf.DUMMYFUNCTION("IF(ISNUMBER(B1047),TEXT(B1047,""yyyy-MM-dd""),REGEXREPLACE(REGEXREPLACE(TO_TEXT(B1047),""[^0-9a-zA-Z]+"",""-""),""[^0-9]*$"",""""))"),"07-25-2025")</f>
        <v>07-25-2025</v>
      </c>
      <c r="D1047" s="2" t="str">
        <f>TEXT(C1047,"yyyy-MM-dd")</f>
        <v>07-25-2025</v>
      </c>
      <c r="E1047" s="2" t="s">
        <v>8925</v>
      </c>
      <c r="H1047" s="10" t="s">
        <v>8925</v>
      </c>
      <c r="I1047" s="2" t="s">
        <v>545</v>
      </c>
      <c r="J1047" s="26" t="str">
        <f t="array" ref="J1047">IF(ISNA(XLOOKUP(I1047,customers_clean!$A$2:$A$701,customers_clean!$A$2:$A$701, NA()) ),
   "❌ MISSING CUSTOMER", "✅")</f>
        <v>✅</v>
      </c>
      <c r="K1047" s="2" t="str">
        <f t="array" ref="K1047">XLOOKUP(I1047,customers_clean!$A$2:$A$701,customers_clean!$C$2:$C$701)</f>
        <v>Tara Young</v>
      </c>
      <c r="L1047" s="10" t="str">
        <f t="array" ref="L1047">XLOOKUP(I1047,customers_clean!$A$2:$A$701,customers_clean!$D$2:$D$701)</f>
        <v>Tara Young</v>
      </c>
      <c r="M1047" s="2" t="str">
        <f t="array" ref="M1047">XLOOKUP(I1047,customers_clean!$A$2:$A$701,customers_clean!$I$2:$I$701)</f>
        <v>TARA.YOUNG@SHOP.IO</v>
      </c>
      <c r="N1047" s="10" t="str">
        <f t="array" ref="N1047">XLOOKUP(I1047,customers_clean!$A$2:$A$701,customers_clean!$H$2:$H$701)</f>
        <v>tara.young@shop.io</v>
      </c>
      <c r="O1047" s="9" t="str">
        <f>IFERROR(__xludf.DUMMYFUNCTION("IF(REGEXMATCH(TRIM(N1047),""^[A-Za-z0-9._%+-]+@[A-Za-z0-9.-]+\.[A-Za-z]{2,}$""),""✅ Valid"",""❌ Invalid"")"),"✅ Valid")</f>
        <v>✅ Valid</v>
      </c>
      <c r="P1047" s="2" t="str">
        <f t="array" ref="P1047">XLOOKUP(I1047,customers_clean!$A$2:$A$701,customers_clean!$K$2:$K$701)</f>
        <v>+1-113-69661504</v>
      </c>
      <c r="Q1047" s="10" t="str">
        <f t="array" ref="Q1047">XLOOKUP(I1047,customers_clean!$A$2:$A$701,customers_clean!$N$2:$N$701)</f>
        <v>11369661504</v>
      </c>
      <c r="R1047" s="9" t="str">
        <f t="array" ref="R1047">XLOOKUP(I1047,customers_clean!$A$2:$A$701,customers_clean!$Q$2:$Q$701)</f>
        <v>❌ INVALID</v>
      </c>
      <c r="S1047" s="10" t="s">
        <v>58</v>
      </c>
      <c r="T1047" s="2" t="s">
        <v>2519</v>
      </c>
      <c r="U1047" s="2" t="s">
        <v>289</v>
      </c>
      <c r="V1047" s="2" t="s">
        <v>3582</v>
      </c>
      <c r="W1047" s="9" t="str">
        <f t="array" ref="W1047">IF(ISNA(XLOOKUP(V1047,products_master_corrected!$A$2:$A$151,products_master_corrected!$A$2:$A$151, NA())),
    "❌ MISSING SKU", "✅")</f>
        <v>✅</v>
      </c>
      <c r="X1047" s="2" t="s">
        <v>741</v>
      </c>
      <c r="Y1047" s="2" t="s">
        <v>248</v>
      </c>
      <c r="Z1047" s="10" t="s">
        <v>248</v>
      </c>
      <c r="AA1047" s="27">
        <v>2.0</v>
      </c>
      <c r="AB1047" s="9" t="s">
        <v>8649</v>
      </c>
      <c r="AC1047" s="28">
        <f t="array" ref="AC1047">XLOOKUP(V1047,products_master_corrected!$A$2:$A$151,products_master_corrected!$E$2:$E$151)</f>
        <v>23.62</v>
      </c>
      <c r="AD1047" s="28">
        <f t="shared" si="121"/>
        <v>47.24</v>
      </c>
      <c r="AE1047" s="28">
        <f t="array" ref="AE1047">XLOOKUP(V1047,products_master_corrected!$A$2:$A$151,products_master_corrected!$G$2:$G$151)</f>
        <v>27.04</v>
      </c>
      <c r="AF1047" s="29">
        <f t="shared" si="122"/>
        <v>54.08</v>
      </c>
      <c r="AG1047" s="32" t="s">
        <v>8663</v>
      </c>
      <c r="AH1047" s="2" t="s">
        <v>664</v>
      </c>
      <c r="AI1047" s="10" t="s">
        <v>66</v>
      </c>
      <c r="AJ1047" s="2" t="s">
        <v>158</v>
      </c>
      <c r="AK1047" s="10" t="s">
        <v>818</v>
      </c>
    </row>
    <row r="1048" ht="15.75" customHeight="1">
      <c r="A1048" s="2" t="s">
        <v>4578</v>
      </c>
      <c r="B1048" s="12">
        <v>44939.72222222222</v>
      </c>
      <c r="C1048" s="2" t="str">
        <f>IFERROR(__xludf.DUMMYFUNCTION("IF(ISNUMBER(B1048),TEXT(B1048,""yyyy-MM-dd""),REGEXREPLACE(REGEXREPLACE(TO_TEXT(B1048),""[^0-9a-zA-Z]+"",""-""),""[^0-9]*$"",""""))"),"2023-01-13")</f>
        <v>2023-01-13</v>
      </c>
      <c r="D1048" s="2" t="s">
        <v>8793</v>
      </c>
      <c r="H1048" s="10" t="s">
        <v>8793</v>
      </c>
      <c r="I1048" s="2" t="s">
        <v>4580</v>
      </c>
      <c r="J1048" s="26" t="str">
        <f t="array" ref="J1048">IF(ISNA(XLOOKUP(I1048,customers_clean!$A$2:$A$701,customers_clean!$A$2:$A$701, NA()) ),
   "❌ MISSING CUSTOMER", "✅")</f>
        <v>✅</v>
      </c>
      <c r="K1048" s="2" t="str">
        <f t="array" ref="K1048">XLOOKUP(I1048,customers_clean!$A$2:$A$701,customers_clean!$C$2:$C$701)</f>
        <v>KEN DUBOIS</v>
      </c>
      <c r="L1048" s="10" t="str">
        <f t="array" ref="L1048">XLOOKUP(I1048,customers_clean!$A$2:$A$701,customers_clean!$D$2:$D$701)</f>
        <v>Ken Dubois</v>
      </c>
      <c r="M1048" s="2" t="str">
        <f t="array" ref="M1048">XLOOKUP(I1048,customers_clean!$A$2:$A$701,customers_clean!$I$2:$I$701)</f>
        <v>KEN.DUBOIS@SHOP.IO</v>
      </c>
      <c r="N1048" s="10" t="str">
        <f t="array" ref="N1048">XLOOKUP(I1048,customers_clean!$A$2:$A$701,customers_clean!$H$2:$H$701)</f>
        <v>ken.dubois@shop.io</v>
      </c>
      <c r="O1048" s="9" t="str">
        <f>IFERROR(__xludf.DUMMYFUNCTION("IF(REGEXMATCH(TRIM(N1048),""^[A-Za-z0-9._%+-]+@[A-Za-z0-9.-]+\.[A-Za-z]{2,}$""),""✅ Valid"",""❌ Invalid"")"),"✅ Valid")</f>
        <v>✅ Valid</v>
      </c>
      <c r="P1048" s="2" t="str">
        <f t="array" ref="P1048">XLOOKUP(I1048,customers_clean!$A$2:$A$701,customers_clean!$K$2:$K$701)</f>
        <v>+49496238649 ext 653 ext 55</v>
      </c>
      <c r="Q1048" s="10" t="str">
        <f t="array" ref="Q1048">XLOOKUP(I1048,customers_clean!$A$2:$A$701,customers_clean!$N$2:$N$701)</f>
        <v>496238649</v>
      </c>
      <c r="R1048" s="9" t="str">
        <f t="array" ref="R1048">XLOOKUP(I1048,customers_clean!$A$2:$A$701,customers_clean!$Q$2:$Q$701)</f>
        <v>❌ INVALID</v>
      </c>
      <c r="S1048" s="10" t="s">
        <v>25</v>
      </c>
      <c r="T1048" s="2" t="s">
        <v>323</v>
      </c>
      <c r="U1048" s="2" t="s">
        <v>103</v>
      </c>
      <c r="V1048" s="2" t="s">
        <v>279</v>
      </c>
      <c r="W1048" s="9" t="str">
        <f t="array" ref="W1048">IF(ISNA(XLOOKUP(V1048,products_master_corrected!$A$2:$A$151,products_master_corrected!$A$2:$A$151, NA())),
    "❌ MISSING SKU", "✅")</f>
        <v>✅</v>
      </c>
      <c r="X1048" s="2" t="s">
        <v>280</v>
      </c>
      <c r="Y1048" s="2" t="s">
        <v>281</v>
      </c>
      <c r="Z1048" s="10" t="s">
        <v>248</v>
      </c>
      <c r="AA1048" s="27">
        <v>1.0</v>
      </c>
      <c r="AB1048" s="9" t="s">
        <v>8649</v>
      </c>
      <c r="AC1048" s="28">
        <f t="array" ref="AC1048">XLOOKUP(V1048,products_master_corrected!$A$2:$A$151,products_master_corrected!$E$2:$E$151)</f>
        <v>95.88</v>
      </c>
      <c r="AD1048" s="28">
        <f t="shared" si="121"/>
        <v>95.88</v>
      </c>
      <c r="AE1048" s="28">
        <f t="array" ref="AE1048">XLOOKUP(V1048,products_master_corrected!$A$2:$A$151,products_master_corrected!$K$2:$K$151)</f>
        <v>493.3</v>
      </c>
      <c r="AF1048" s="29">
        <f t="shared" si="122"/>
        <v>493.3</v>
      </c>
      <c r="AG1048" s="30" t="s">
        <v>95</v>
      </c>
      <c r="AH1048" s="2" t="s">
        <v>181</v>
      </c>
      <c r="AI1048" s="10" t="s">
        <v>181</v>
      </c>
      <c r="AJ1048" s="2" t="s">
        <v>132</v>
      </c>
      <c r="AK1048" s="10" t="s">
        <v>192</v>
      </c>
    </row>
    <row r="1049" ht="15.75" customHeight="1">
      <c r="A1049" s="2" t="s">
        <v>6161</v>
      </c>
      <c r="B1049" s="12" t="s">
        <v>6162</v>
      </c>
      <c r="C1049" s="2" t="str">
        <f>IFERROR(__xludf.DUMMYFUNCTION("IF(ISNUMBER(B1049),TEXT(B1049,""yyyy-MM-dd""),REGEXREPLACE(REGEXREPLACE(TO_TEXT(B1049),""[^0-9a-zA-Z]+"",""-""),""[^0-9]*$"",""""))"),"25-04-2023")</f>
        <v>25-04-2023</v>
      </c>
      <c r="D1049" s="2" t="s">
        <v>8336</v>
      </c>
      <c r="H1049" s="10" t="s">
        <v>8336</v>
      </c>
      <c r="I1049" s="2" t="s">
        <v>6163</v>
      </c>
      <c r="J1049" s="26" t="str">
        <f t="array" ref="J1049">IF(ISNA(XLOOKUP(I1049,customers_clean!$A$2:$A$701,customers_clean!$A$2:$A$701, NA()) ),
   "❌ MISSING CUSTOMER", "✅")</f>
        <v>✅</v>
      </c>
      <c r="K1049" s="2" t="str">
        <f t="array" ref="K1049">XLOOKUP(I1049,customers_clean!$A$2:$A$701,customers_clean!$C$2:$C$701)</f>
        <v>Zack  Walker</v>
      </c>
      <c r="L1049" s="10" t="str">
        <f t="array" ref="L1049">XLOOKUP(I1049,customers_clean!$A$2:$A$701,customers_clean!$D$2:$D$701)</f>
        <v>Zack Walker</v>
      </c>
      <c r="M1049" s="2" t="str">
        <f t="array" ref="M1049">XLOOKUP(I1049,customers_clean!$A$2:$A$701,customers_clean!$I$2:$I$701)</f>
        <v>zack.walker@shop.io</v>
      </c>
      <c r="N1049" s="10" t="str">
        <f t="array" ref="N1049">XLOOKUP(I1049,customers_clean!$A$2:$A$701,customers_clean!$H$2:$H$701)</f>
        <v>zack.walker@shop.io</v>
      </c>
      <c r="O1049" s="9" t="str">
        <f>IFERROR(__xludf.DUMMYFUNCTION("IF(REGEXMATCH(TRIM(N1049),""^[A-Za-z0-9._%+-]+@[A-Za-z0-9.-]+\.[A-Za-z]{2,}$""),""✅ Valid"",""❌ Invalid"")"),"✅ Valid")</f>
        <v>✅ Valid</v>
      </c>
      <c r="P1049" s="2" t="str">
        <f t="array" ref="P1049">XLOOKUP(I1049,customers_clean!$A$2:$A$701,customers_clean!$K$2:$K$701)</f>
        <v>+49 097 433 513</v>
      </c>
      <c r="Q1049" s="10" t="str">
        <f t="array" ref="Q1049">XLOOKUP(I1049,customers_clean!$A$2:$A$701,customers_clean!$N$2:$N$701)</f>
        <v>097433513</v>
      </c>
      <c r="R1049" s="9" t="str">
        <f t="array" ref="R1049">XLOOKUP(I1049,customers_clean!$A$2:$A$701,customers_clean!$Q$2:$Q$701)</f>
        <v>❌ INVALID</v>
      </c>
      <c r="S1049" s="10" t="s">
        <v>139</v>
      </c>
      <c r="T1049" s="2" t="s">
        <v>26</v>
      </c>
      <c r="U1049" s="2" t="s">
        <v>6167</v>
      </c>
      <c r="V1049" s="2" t="s">
        <v>976</v>
      </c>
      <c r="W1049" s="9" t="str">
        <f t="array" ref="W1049">IF(ISNA(XLOOKUP(V1049,products_master_corrected!$A$2:$A$151,products_master_corrected!$A$2:$A$151, NA())),
    "❌ MISSING SKU", "✅")</f>
        <v>✅</v>
      </c>
      <c r="X1049" s="2" t="s">
        <v>29</v>
      </c>
      <c r="Y1049" s="2" t="s">
        <v>214</v>
      </c>
      <c r="Z1049" s="10" t="s">
        <v>368</v>
      </c>
      <c r="AA1049" s="27">
        <v>1.0</v>
      </c>
      <c r="AB1049" s="9" t="s">
        <v>8649</v>
      </c>
      <c r="AC1049" s="28">
        <f t="array" ref="AC1049">XLOOKUP(V1049,products_master_corrected!$A$2:$A$151,products_master_corrected!$E$2:$E$151)</f>
        <v>107.91</v>
      </c>
      <c r="AD1049" s="28">
        <f t="shared" si="121"/>
        <v>107.91</v>
      </c>
      <c r="AE1049" s="28">
        <f t="array" ref="AE1049">XLOOKUP(V1049,products_master_corrected!$A$2:$A$151,products_master_corrected!$L$2:$L$151)</f>
        <v>116.7</v>
      </c>
      <c r="AF1049" s="29">
        <f t="shared" si="122"/>
        <v>116.7</v>
      </c>
      <c r="AG1049" s="32" t="s">
        <v>8665</v>
      </c>
      <c r="AH1049" s="2" t="s">
        <v>238</v>
      </c>
      <c r="AI1049" s="10" t="s">
        <v>66</v>
      </c>
      <c r="AJ1049" s="2" t="s">
        <v>432</v>
      </c>
      <c r="AK1049" s="10" t="s">
        <v>80</v>
      </c>
      <c r="AL1049" s="2" t="s">
        <v>51</v>
      </c>
    </row>
    <row r="1050" ht="15.75" customHeight="1">
      <c r="A1050" s="2" t="s">
        <v>558</v>
      </c>
      <c r="B1050" s="12">
        <v>45878.0</v>
      </c>
      <c r="C1050" s="2" t="str">
        <f>IFERROR(__xludf.DUMMYFUNCTION("IF(ISNUMBER(B1050),TEXT(B1050,""yyyy-MM-dd""),REGEXREPLACE(REGEXREPLACE(TO_TEXT(B1050),""[^0-9a-zA-Z]+"",""-""),""[^0-9]*$"",""""))"),"2025-08-09")</f>
        <v>2025-08-09</v>
      </c>
      <c r="D1050" s="2" t="s">
        <v>9003</v>
      </c>
      <c r="H1050" s="10" t="s">
        <v>9003</v>
      </c>
      <c r="I1050" s="2" t="s">
        <v>560</v>
      </c>
      <c r="J1050" s="26" t="str">
        <f t="array" ref="J1050">IF(ISNA(XLOOKUP(I1050,customers_clean!$A$2:$A$701,customers_clean!$A$2:$A$701, NA()) ),
   "❌ MISSING CUSTOMER", "✅")</f>
        <v>✅</v>
      </c>
      <c r="K1050" s="2" t="str">
        <f t="array" ref="K1050">XLOOKUP(I1050,customers_clean!$A$2:$A$701,customers_clean!$C$2:$C$701)</f>
        <v>Bella  Rodriguez</v>
      </c>
      <c r="L1050" s="10" t="str">
        <f t="array" ref="L1050">XLOOKUP(I1050,customers_clean!$A$2:$A$701,customers_clean!$D$2:$D$701)</f>
        <v>Bella Rodriguez</v>
      </c>
      <c r="M1050" s="2" t="str">
        <f t="array" ref="M1050">XLOOKUP(I1050,customers_clean!$A$2:$A$701,customers_clean!$I$2:$I$701)</f>
        <v> bella.rodriguez@gmail.com</v>
      </c>
      <c r="N1050" s="10" t="str">
        <f t="array" ref="N1050">XLOOKUP(I1050,customers_clean!$A$2:$A$701,customers_clean!$H$2:$H$701)</f>
        <v>bella.rodriguez@gmail.com</v>
      </c>
      <c r="O1050" s="9" t="str">
        <f>IFERROR(__xludf.DUMMYFUNCTION("IF(REGEXMATCH(TRIM(N1050),""^[A-Za-z0-9._%+-]+@[A-Za-z0-9.-]+\.[A-Za-z]{2,}$""),""✅ Valid"",""❌ Invalid"")"),"✅ Valid")</f>
        <v>✅ Valid</v>
      </c>
      <c r="P1050" s="2">
        <f t="array" ref="P1050">XLOOKUP(I1050,customers_clean!$A$2:$A$701,customers_clean!$K$2:$K$701)</f>
        <v>3375579745</v>
      </c>
      <c r="Q1050" s="10" t="str">
        <f t="array" ref="Q1050">XLOOKUP(I1050,customers_clean!$A$2:$A$701,customers_clean!$N$2:$N$701)</f>
        <v>75579745</v>
      </c>
      <c r="R1050" s="9" t="str">
        <f t="array" ref="R1050">XLOOKUP(I1050,customers_clean!$A$2:$A$701,customers_clean!$Q$2:$Q$701)</f>
        <v>❌ INVALID</v>
      </c>
      <c r="S1050" s="10" t="s">
        <v>25</v>
      </c>
      <c r="T1050" s="2" t="s">
        <v>234</v>
      </c>
      <c r="U1050" s="2" t="s">
        <v>103</v>
      </c>
      <c r="V1050" s="2" t="s">
        <v>565</v>
      </c>
      <c r="W1050" s="9" t="str">
        <f t="array" ref="W1050">IF(ISNA(XLOOKUP(V1050,products_master_corrected!$A$2:$A$151,products_master_corrected!$A$2:$A$151, NA())),
    "❌ MISSING SKU", "✅")</f>
        <v>✅</v>
      </c>
      <c r="X1050" s="2" t="s">
        <v>566</v>
      </c>
      <c r="Y1050" s="2" t="s">
        <v>167</v>
      </c>
      <c r="Z1050" s="10" t="str">
        <f>PROPER(TRIM(Y1050))</f>
        <v>Monitors</v>
      </c>
      <c r="AA1050" s="27"/>
      <c r="AB1050" s="9" t="s">
        <v>8677</v>
      </c>
      <c r="AC1050" s="34"/>
      <c r="AD1050" s="34"/>
      <c r="AE1050" s="34"/>
      <c r="AF1050" s="35"/>
      <c r="AG1050" s="36" t="s">
        <v>48</v>
      </c>
      <c r="AH1050" s="2" t="s">
        <v>568</v>
      </c>
      <c r="AI1050" s="10" t="s">
        <v>49</v>
      </c>
      <c r="AJ1050" s="2" t="s">
        <v>192</v>
      </c>
      <c r="AK1050" s="10" t="s">
        <v>192</v>
      </c>
      <c r="AL1050" s="2" t="s">
        <v>81</v>
      </c>
    </row>
    <row r="1051" ht="15.75" customHeight="1">
      <c r="A1051" s="2" t="s">
        <v>3468</v>
      </c>
      <c r="B1051" s="12" t="s">
        <v>3469</v>
      </c>
      <c r="C1051" s="2" t="str">
        <f>IFERROR(__xludf.DUMMYFUNCTION("IF(ISNUMBER(B1051),TEXT(B1051,""yyyy-MM-dd""),REGEXREPLACE(REGEXREPLACE(TO_TEXT(B1051),""[^0-9a-zA-Z]+"",""-""),""[^0-9]*$"",""""))"),"15-04-2024")</f>
        <v>15-04-2024</v>
      </c>
      <c r="D1051" s="2" t="s">
        <v>7701</v>
      </c>
      <c r="H1051" s="10" t="s">
        <v>7701</v>
      </c>
      <c r="I1051" s="2" t="s">
        <v>3470</v>
      </c>
      <c r="J1051" s="26" t="str">
        <f t="array" ref="J1051">IF(ISNA(XLOOKUP(I1051,customers_clean!$A$2:$A$701,customers_clean!$A$2:$A$701, NA()) ),
   "❌ MISSING CUSTOMER", "✅")</f>
        <v>✅</v>
      </c>
      <c r="K1051" s="2" t="str">
        <f t="array" ref="K1051">XLOOKUP(I1051,customers_clean!$A$2:$A$701,customers_clean!$C$2:$C$701)</f>
        <v>Carlos Kowalski </v>
      </c>
      <c r="L1051" s="10" t="str">
        <f t="array" ref="L1051">XLOOKUP(I1051,customers_clean!$A$2:$A$701,customers_clean!$D$2:$D$701)</f>
        <v>Carlos Kowalski</v>
      </c>
      <c r="M1051" s="2" t="str">
        <f t="array" ref="M1051">XLOOKUP(I1051,customers_clean!$A$2:$A$701,customers_clean!$I$2:$I$701)</f>
        <v>carlos.kowalski@company.co.uk </v>
      </c>
      <c r="N1051" s="10" t="str">
        <f t="array" ref="N1051">XLOOKUP(I1051,customers_clean!$A$2:$A$701,customers_clean!$H$2:$H$701)</f>
        <v>carlos.kowalski@company.co.uk</v>
      </c>
      <c r="O1051" s="9" t="str">
        <f>IFERROR(__xludf.DUMMYFUNCTION("IF(REGEXMATCH(TRIM(N1051),""^[A-Za-z0-9._%+-]+@[A-Za-z0-9.-]+\.[A-Za-z]{2,}$""),""✅ Valid"",""❌ Invalid"")"),"✅ Valid")</f>
        <v>✅ Valid</v>
      </c>
      <c r="P1051" s="2" t="str">
        <f t="array" ref="P1051">XLOOKUP(I1051,customers_clean!$A$2:$A$701,customers_clean!$K$2:$K$701)</f>
        <v>(460) 2807041</v>
      </c>
      <c r="Q1051" s="10" t="str">
        <f t="array" ref="Q1051">XLOOKUP(I1051,customers_clean!$A$2:$A$701,customers_clean!$N$2:$N$701)</f>
        <v>4602807041</v>
      </c>
      <c r="R1051" s="9" t="str">
        <f t="array" ref="R1051">XLOOKUP(I1051,customers_clean!$A$2:$A$701,customers_clean!$Q$2:$Q$701)</f>
        <v>❌ INVALID</v>
      </c>
      <c r="S1051" s="10" t="s">
        <v>114</v>
      </c>
      <c r="T1051" s="2" t="s">
        <v>59</v>
      </c>
      <c r="U1051" s="2" t="s">
        <v>401</v>
      </c>
      <c r="V1051" s="2" t="s">
        <v>325</v>
      </c>
      <c r="W1051" s="9" t="str">
        <f t="array" ref="W1051">IF(ISNA(XLOOKUP(V1051,products_master_corrected!$A$2:$A$151,products_master_corrected!$A$2:$A$151, NA())),
    "❌ MISSING SKU", "✅")</f>
        <v>✅</v>
      </c>
      <c r="X1051" s="2" t="s">
        <v>280</v>
      </c>
      <c r="Y1051" s="2" t="s">
        <v>315</v>
      </c>
      <c r="Z1051" s="10" t="s">
        <v>179</v>
      </c>
      <c r="AA1051" s="27">
        <v>2.0</v>
      </c>
      <c r="AB1051" s="9" t="s">
        <v>8649</v>
      </c>
      <c r="AC1051" s="28">
        <f t="array" ref="AC1051">XLOOKUP(V1051,products_master_corrected!$A$2:$A$151,products_master_corrected!$E$2:$E$151)</f>
        <v>145.23</v>
      </c>
      <c r="AD1051" s="28">
        <f t="shared" ref="AD1051:AD1063" si="123">AA1051*AC1051</f>
        <v>290.46</v>
      </c>
      <c r="AE1051" s="28">
        <f t="array" ref="AE1051">XLOOKUP(V1051,products_master_corrected!$A$2:$A$151,products_master_corrected!$F$2:$F$151)</f>
        <v>145.23</v>
      </c>
      <c r="AF1051" s="29">
        <f t="shared" ref="AF1051:AF1063" si="124">AA1051*AE1051</f>
        <v>290.46</v>
      </c>
      <c r="AG1051" s="30" t="s">
        <v>65</v>
      </c>
      <c r="AH1051" s="2" t="s">
        <v>181</v>
      </c>
      <c r="AI1051" s="10" t="s">
        <v>181</v>
      </c>
      <c r="AJ1051" s="2" t="s">
        <v>132</v>
      </c>
      <c r="AK1051" s="10" t="s">
        <v>192</v>
      </c>
      <c r="AL1051" s="2" t="s">
        <v>81</v>
      </c>
    </row>
    <row r="1052" ht="15.75" customHeight="1">
      <c r="A1052" s="2" t="s">
        <v>6018</v>
      </c>
      <c r="B1052" s="12">
        <v>45121.0</v>
      </c>
      <c r="C1052" s="2" t="str">
        <f>IFERROR(__xludf.DUMMYFUNCTION("IF(ISNUMBER(B1052),TEXT(B1052,""yyyy-MM-dd""),REGEXREPLACE(REGEXREPLACE(TO_TEXT(B1052),""[^0-9a-zA-Z]+"",""-""),""[^0-9]*$"",""""))"),"2023-07-14")</f>
        <v>2023-07-14</v>
      </c>
      <c r="D1052" s="2" t="s">
        <v>8748</v>
      </c>
      <c r="H1052" s="10" t="s">
        <v>8748</v>
      </c>
      <c r="I1052" s="2" t="s">
        <v>3470</v>
      </c>
      <c r="J1052" s="26" t="str">
        <f t="array" ref="J1052">IF(ISNA(XLOOKUP(I1052,customers_clean!$A$2:$A$701,customers_clean!$A$2:$A$701, NA()) ),
   "❌ MISSING CUSTOMER", "✅")</f>
        <v>✅</v>
      </c>
      <c r="K1052" s="2" t="str">
        <f t="array" ref="K1052">XLOOKUP(I1052,customers_clean!$A$2:$A$701,customers_clean!$C$2:$C$701)</f>
        <v>Carlos Kowalski </v>
      </c>
      <c r="L1052" s="10" t="str">
        <f t="array" ref="L1052">XLOOKUP(I1052,customers_clean!$A$2:$A$701,customers_clean!$D$2:$D$701)</f>
        <v>Carlos Kowalski</v>
      </c>
      <c r="M1052" s="2" t="str">
        <f t="array" ref="M1052">XLOOKUP(I1052,customers_clean!$A$2:$A$701,customers_clean!$I$2:$I$701)</f>
        <v>carlos.kowalski@company.co.uk </v>
      </c>
      <c r="N1052" s="10" t="str">
        <f t="array" ref="N1052">XLOOKUP(I1052,customers_clean!$A$2:$A$701,customers_clean!$H$2:$H$701)</f>
        <v>carlos.kowalski@company.co.uk</v>
      </c>
      <c r="O1052" s="9" t="str">
        <f>IFERROR(__xludf.DUMMYFUNCTION("IF(REGEXMATCH(TRIM(N1052),""^[A-Za-z0-9._%+-]+@[A-Za-z0-9.-]+\.[A-Za-z]{2,}$""),""✅ Valid"",""❌ Invalid"")"),"✅ Valid")</f>
        <v>✅ Valid</v>
      </c>
      <c r="P1052" s="2" t="str">
        <f t="array" ref="P1052">XLOOKUP(I1052,customers_clean!$A$2:$A$701,customers_clean!$K$2:$K$701)</f>
        <v>(460) 2807041</v>
      </c>
      <c r="Q1052" s="10" t="str">
        <f t="array" ref="Q1052">XLOOKUP(I1052,customers_clean!$A$2:$A$701,customers_clean!$N$2:$N$701)</f>
        <v>4602807041</v>
      </c>
      <c r="R1052" s="9" t="str">
        <f t="array" ref="R1052">XLOOKUP(I1052,customers_clean!$A$2:$A$701,customers_clean!$Q$2:$Q$701)</f>
        <v>❌ INVALID</v>
      </c>
      <c r="S1052" s="10" t="s">
        <v>114</v>
      </c>
      <c r="T1052" s="2" t="s">
        <v>234</v>
      </c>
      <c r="U1052" s="2" t="s">
        <v>176</v>
      </c>
      <c r="V1052" s="2" t="s">
        <v>2688</v>
      </c>
      <c r="W1052" s="9" t="str">
        <f t="array" ref="W1052">IF(ISNA(XLOOKUP(V1052,products_master_corrected!$A$2:$A$151,products_master_corrected!$A$2:$A$151, NA())),
    "❌ MISSING SKU", "✅")</f>
        <v>✅</v>
      </c>
      <c r="X1052" s="2" t="s">
        <v>502</v>
      </c>
      <c r="Y1052" s="2" t="s">
        <v>179</v>
      </c>
      <c r="Z1052" s="10" t="s">
        <v>179</v>
      </c>
      <c r="AA1052" s="27">
        <v>1.0</v>
      </c>
      <c r="AB1052" s="9" t="s">
        <v>8649</v>
      </c>
      <c r="AC1052" s="28">
        <f t="array" ref="AC1052">XLOOKUP(V1052,products_master_corrected!$A$2:$A$151,products_master_corrected!$E$2:$E$151)</f>
        <v>985.77</v>
      </c>
      <c r="AD1052" s="28">
        <f t="shared" si="123"/>
        <v>985.77</v>
      </c>
      <c r="AE1052" s="28">
        <f t="array" ref="AE1052">XLOOKUP(V1052,products_master_corrected!$A$2:$A$151,products_master_corrected!$F$2:$F$151)</f>
        <v>985.77</v>
      </c>
      <c r="AF1052" s="29">
        <f t="shared" si="124"/>
        <v>985.77</v>
      </c>
      <c r="AG1052" s="30" t="s">
        <v>65</v>
      </c>
      <c r="AH1052" s="2" t="s">
        <v>143</v>
      </c>
      <c r="AI1052" s="10" t="s">
        <v>143</v>
      </c>
      <c r="AJ1052" s="2" t="s">
        <v>306</v>
      </c>
      <c r="AK1052" s="10" t="s">
        <v>192</v>
      </c>
      <c r="AL1052" s="2" t="s">
        <v>133</v>
      </c>
    </row>
    <row r="1053" ht="15.75" customHeight="1">
      <c r="A1053" s="2" t="s">
        <v>2892</v>
      </c>
      <c r="B1053" s="12">
        <v>45757.044444444444</v>
      </c>
      <c r="C1053" s="2" t="str">
        <f>IFERROR(__xludf.DUMMYFUNCTION("IF(ISNUMBER(B1053),TEXT(B1053,""yyyy-MM-dd""),REGEXREPLACE(REGEXREPLACE(TO_TEXT(B1053),""[^0-9a-zA-Z]+"",""-""),""[^0-9]*$"",""""))"),"2025-04-10")</f>
        <v>2025-04-10</v>
      </c>
      <c r="D1053" s="2" t="s">
        <v>5915</v>
      </c>
      <c r="H1053" s="10" t="s">
        <v>5915</v>
      </c>
      <c r="I1053" s="2" t="s">
        <v>2894</v>
      </c>
      <c r="J1053" s="26" t="str">
        <f t="array" ref="J1053">IF(ISNA(XLOOKUP(I1053,customers_clean!$A$2:$A$701,customers_clean!$A$2:$A$701, NA()) ),
   "❌ MISSING CUSTOMER", "✅")</f>
        <v>✅</v>
      </c>
      <c r="K1053" s="2" t="str">
        <f t="array" ref="K1053">XLOOKUP(I1053,customers_clean!$A$2:$A$701,customers_clean!$C$2:$C$701)</f>
        <v>Jade Kowalczyk</v>
      </c>
      <c r="L1053" s="10" t="str">
        <f t="array" ref="L1053">XLOOKUP(I1053,customers_clean!$A$2:$A$701,customers_clean!$D$2:$D$701)</f>
        <v>Jade Kowalczyk</v>
      </c>
      <c r="M1053" s="2" t="str">
        <f t="array" ref="M1053">XLOOKUP(I1053,customers_clean!$A$2:$A$701,customers_clean!$I$2:$I$701)</f>
        <v>JADE.KOWALCZYK@COMPANY.CO.UK</v>
      </c>
      <c r="N1053" s="10" t="str">
        <f t="array" ref="N1053">XLOOKUP(I1053,customers_clean!$A$2:$A$701,customers_clean!$H$2:$H$701)</f>
        <v>jade.kowalczyk@company.co.uk</v>
      </c>
      <c r="O1053" s="9" t="str">
        <f>IFERROR(__xludf.DUMMYFUNCTION("IF(REGEXMATCH(TRIM(N1053),""^[A-Za-z0-9._%+-]+@[A-Za-z0-9.-]+\.[A-Za-z]{2,}$""),""✅ Valid"",""❌ Invalid"")"),"✅ Valid")</f>
        <v>✅ Valid</v>
      </c>
      <c r="P1053" s="2" t="str">
        <f t="array" ref="P1053">XLOOKUP(I1053,customers_clean!$A$2:$A$701,customers_clean!$K$2:$K$701)</f>
        <v>0191806x61</v>
      </c>
      <c r="Q1053" s="10" t="str">
        <f t="array" ref="Q1053">XLOOKUP(I1053,customers_clean!$A$2:$A$701,customers_clean!$N$2:$N$701)</f>
        <v>019180661</v>
      </c>
      <c r="R1053" s="9" t="str">
        <f t="array" ref="R1053">XLOOKUP(I1053,customers_clean!$A$2:$A$701,customers_clean!$Q$2:$Q$701)</f>
        <v>❌ INVALID</v>
      </c>
      <c r="S1053" s="10" t="s">
        <v>25</v>
      </c>
      <c r="T1053" s="2" t="s">
        <v>59</v>
      </c>
      <c r="U1053" s="2" t="s">
        <v>90</v>
      </c>
      <c r="V1053" s="2" t="s">
        <v>1641</v>
      </c>
      <c r="W1053" s="9" t="str">
        <f t="array" ref="W1053">IF(ISNA(XLOOKUP(V1053,products_master_corrected!$A$2:$A$151,products_master_corrected!$A$2:$A$151, NA())),
    "❌ MISSING SKU", "✅")</f>
        <v>✅</v>
      </c>
      <c r="X1053" s="2" t="s">
        <v>825</v>
      </c>
      <c r="Y1053" s="2" t="s">
        <v>179</v>
      </c>
      <c r="Z1053" s="10" t="s">
        <v>179</v>
      </c>
      <c r="AA1053" s="27">
        <v>1.0</v>
      </c>
      <c r="AB1053" s="9" t="s">
        <v>8649</v>
      </c>
      <c r="AC1053" s="28">
        <f t="array" ref="AC1053">XLOOKUP(V1053,products_master_corrected!$A$2:$A$151,products_master_corrected!$E$2:$E$151)</f>
        <v>23.84</v>
      </c>
      <c r="AD1053" s="28">
        <f t="shared" si="123"/>
        <v>23.84</v>
      </c>
      <c r="AE1053" s="28">
        <f t="array" ref="AE1053">XLOOKUP(V1053,products_master_corrected!$A$2:$A$151,products_master_corrected!$K$2:$K$151)</f>
        <v>122.66</v>
      </c>
      <c r="AF1053" s="29">
        <f t="shared" si="124"/>
        <v>122.66</v>
      </c>
      <c r="AG1053" s="30" t="s">
        <v>95</v>
      </c>
      <c r="AH1053" s="2" t="s">
        <v>131</v>
      </c>
      <c r="AI1053" s="10" t="s">
        <v>181</v>
      </c>
      <c r="AJ1053" s="2" t="s">
        <v>158</v>
      </c>
      <c r="AK1053" s="10" t="s">
        <v>818</v>
      </c>
      <c r="AL1053" s="2" t="s">
        <v>133</v>
      </c>
    </row>
    <row r="1054" ht="15.75" customHeight="1">
      <c r="A1054" s="2" t="s">
        <v>5546</v>
      </c>
      <c r="B1054" s="12">
        <v>45325.01875</v>
      </c>
      <c r="C1054" s="2" t="str">
        <f>IFERROR(__xludf.DUMMYFUNCTION("IF(ISNUMBER(B1054),TEXT(B1054,""yyyy-MM-dd""),REGEXREPLACE(REGEXREPLACE(TO_TEXT(B1054),""[^0-9a-zA-Z]+"",""-""),""[^0-9]*$"",""""))"),"2024-02-03")</f>
        <v>2024-02-03</v>
      </c>
      <c r="D1054" s="2" t="s">
        <v>5796</v>
      </c>
      <c r="H1054" s="10" t="s">
        <v>5796</v>
      </c>
      <c r="I1054" s="2" t="s">
        <v>2894</v>
      </c>
      <c r="J1054" s="26" t="str">
        <f t="array" ref="J1054">IF(ISNA(XLOOKUP(I1054,customers_clean!$A$2:$A$701,customers_clean!$A$2:$A$701, NA()) ),
   "❌ MISSING CUSTOMER", "✅")</f>
        <v>✅</v>
      </c>
      <c r="K1054" s="2" t="str">
        <f t="array" ref="K1054">XLOOKUP(I1054,customers_clean!$A$2:$A$701,customers_clean!$C$2:$C$701)</f>
        <v>Jade Kowalczyk</v>
      </c>
      <c r="L1054" s="10" t="str">
        <f t="array" ref="L1054">XLOOKUP(I1054,customers_clean!$A$2:$A$701,customers_clean!$D$2:$D$701)</f>
        <v>Jade Kowalczyk</v>
      </c>
      <c r="M1054" s="2" t="str">
        <f t="array" ref="M1054">XLOOKUP(I1054,customers_clean!$A$2:$A$701,customers_clean!$I$2:$I$701)</f>
        <v>JADE.KOWALCZYK@COMPANY.CO.UK</v>
      </c>
      <c r="N1054" s="10" t="str">
        <f t="array" ref="N1054">XLOOKUP(I1054,customers_clean!$A$2:$A$701,customers_clean!$H$2:$H$701)</f>
        <v>jade.kowalczyk@company.co.uk</v>
      </c>
      <c r="O1054" s="9" t="str">
        <f>IFERROR(__xludf.DUMMYFUNCTION("IF(REGEXMATCH(TRIM(N1054),""^[A-Za-z0-9._%+-]+@[A-Za-z0-9.-]+\.[A-Za-z]{2,}$""),""✅ Valid"",""❌ Invalid"")"),"✅ Valid")</f>
        <v>✅ Valid</v>
      </c>
      <c r="P1054" s="2" t="str">
        <f t="array" ref="P1054">XLOOKUP(I1054,customers_clean!$A$2:$A$701,customers_clean!$K$2:$K$701)</f>
        <v>0191806x61</v>
      </c>
      <c r="Q1054" s="10" t="str">
        <f t="array" ref="Q1054">XLOOKUP(I1054,customers_clean!$A$2:$A$701,customers_clean!$N$2:$N$701)</f>
        <v>019180661</v>
      </c>
      <c r="R1054" s="9" t="str">
        <f t="array" ref="R1054">XLOOKUP(I1054,customers_clean!$A$2:$A$701,customers_clean!$Q$2:$Q$701)</f>
        <v>❌ INVALID</v>
      </c>
      <c r="S1054" s="10" t="s">
        <v>25</v>
      </c>
      <c r="T1054" s="2" t="s">
        <v>115</v>
      </c>
      <c r="U1054" s="2" t="s">
        <v>352</v>
      </c>
      <c r="V1054" s="2" t="s">
        <v>729</v>
      </c>
      <c r="W1054" s="9" t="str">
        <f t="array" ref="W1054">IF(ISNA(XLOOKUP(V1054,products_master_corrected!$A$2:$A$151,products_master_corrected!$A$2:$A$151, NA())),
    "❌ MISSING SKU", "✅")</f>
        <v>✅</v>
      </c>
      <c r="X1054" s="2" t="s">
        <v>62</v>
      </c>
      <c r="Y1054" s="2" t="s">
        <v>730</v>
      </c>
      <c r="Z1054" s="10" t="s">
        <v>63</v>
      </c>
      <c r="AA1054" s="27">
        <v>1.0</v>
      </c>
      <c r="AB1054" s="9" t="s">
        <v>8649</v>
      </c>
      <c r="AC1054" s="28">
        <f t="array" ref="AC1054">XLOOKUP(V1054,products_master_corrected!$A$2:$A$151,products_master_corrected!$E$2:$E$151)</f>
        <v>59.89</v>
      </c>
      <c r="AD1054" s="28">
        <f t="shared" si="123"/>
        <v>59.89</v>
      </c>
      <c r="AE1054" s="28">
        <f t="array" ref="AE1054">XLOOKUP(V1054,products_master_corrected!$A$2:$A$151,products_master_corrected!$K$2:$K$151)</f>
        <v>308.13</v>
      </c>
      <c r="AF1054" s="29">
        <f t="shared" si="124"/>
        <v>308.13</v>
      </c>
      <c r="AG1054" s="30" t="s">
        <v>95</v>
      </c>
      <c r="AH1054" s="2" t="s">
        <v>96</v>
      </c>
      <c r="AI1054" s="10" t="s">
        <v>143</v>
      </c>
      <c r="AJ1054" s="2" t="s">
        <v>442</v>
      </c>
      <c r="AK1054" s="10" t="s">
        <v>80</v>
      </c>
      <c r="AL1054" s="2" t="s">
        <v>67</v>
      </c>
    </row>
    <row r="1055" ht="15.75" customHeight="1">
      <c r="A1055" s="2" t="s">
        <v>5972</v>
      </c>
      <c r="B1055" s="12" t="s">
        <v>5973</v>
      </c>
      <c r="C1055" s="2" t="str">
        <f>IFERROR(__xludf.DUMMYFUNCTION("IF(ISNUMBER(B1055),TEXT(B1055,""yyyy-MM-dd""),REGEXREPLACE(REGEXREPLACE(TO_TEXT(B1055),""[^0-9a-zA-Z]+"",""-""),""[^0-9]*$"",""""))"),"21-01-2025-05-32")</f>
        <v>21-01-2025-05-32</v>
      </c>
      <c r="D1055" s="2" t="str">
        <f t="shared" ref="D1055:D1056" si="125">TEXT(C1055,"yyyy-MM-dd")</f>
        <v>21-01-2025-05-32</v>
      </c>
      <c r="E1055" s="12" t="str">
        <f>IFERROR(__xludf.DUMMYFUNCTION("REGEXEXTRACT(D1055,""^\d{2}-\d{2}-\d{4}"")"),"21-01-2025")</f>
        <v>21-01-2025</v>
      </c>
      <c r="F1055" s="2" t="s">
        <v>9001</v>
      </c>
      <c r="H1055" s="10" t="s">
        <v>9001</v>
      </c>
      <c r="I1055" s="2" t="s">
        <v>5478</v>
      </c>
      <c r="J1055" s="26" t="str">
        <f t="array" ref="J1055">IF(ISNA(XLOOKUP(I1055,customers_clean!$A$2:$A$701,customers_clean!$A$2:$A$701, NA()) ),
   "❌ MISSING CUSTOMER", "✅")</f>
        <v>✅</v>
      </c>
      <c r="K1055" s="2" t="str">
        <f t="array" ref="K1055">XLOOKUP(I1055,customers_clean!$A$2:$A$701,customers_clean!$C$2:$C$701)</f>
        <v>Sam Lopez</v>
      </c>
      <c r="L1055" s="10" t="str">
        <f t="array" ref="L1055">XLOOKUP(I1055,customers_clean!$A$2:$A$701,customers_clean!$D$2:$D$701)</f>
        <v>Sam Lopez</v>
      </c>
      <c r="M1055" s="2" t="str">
        <f t="array" ref="M1055">XLOOKUP(I1055,customers_clean!$A$2:$A$701,customers_clean!$I$2:$I$701)</f>
        <v> sam.lopez@gmail.com</v>
      </c>
      <c r="N1055" s="10" t="str">
        <f t="array" ref="N1055">XLOOKUP(I1055,customers_clean!$A$2:$A$701,customers_clean!$H$2:$H$701)</f>
        <v>sam.lopez@gmail.com</v>
      </c>
      <c r="O1055" s="9" t="str">
        <f>IFERROR(__xludf.DUMMYFUNCTION("IF(REGEXMATCH(TRIM(N1055),""^[A-Za-z0-9._%+-]+@[A-Za-z0-9.-]+\.[A-Za-z]{2,}$""),""✅ Valid"",""❌ Invalid"")"),"✅ Valid")</f>
        <v>✅ Valid</v>
      </c>
      <c r="P1055" s="2" t="str">
        <f t="array" ref="P1055">XLOOKUP(I1055,customers_clean!$A$2:$A$701,customers_clean!$K$2:$K$701)</f>
        <v>+44-293-27943566</v>
      </c>
      <c r="Q1055" s="10" t="str">
        <f t="array" ref="Q1055">XLOOKUP(I1055,customers_clean!$A$2:$A$701,customers_clean!$N$2:$N$701)</f>
        <v>29327943566</v>
      </c>
      <c r="R1055" s="9" t="str">
        <f t="array" ref="R1055">XLOOKUP(I1055,customers_clean!$A$2:$A$701,customers_clean!$Q$2:$Q$701)</f>
        <v>❌ INVALID</v>
      </c>
      <c r="S1055" s="10" t="s">
        <v>58</v>
      </c>
      <c r="T1055" s="2" t="s">
        <v>301</v>
      </c>
      <c r="U1055" s="2" t="s">
        <v>103</v>
      </c>
      <c r="V1055" s="2" t="s">
        <v>258</v>
      </c>
      <c r="W1055" s="9" t="str">
        <f t="array" ref="W1055">IF(ISNA(XLOOKUP(V1055,products_master_corrected!$A$2:$A$151,products_master_corrected!$A$2:$A$151, NA())),
    "❌ MISSING SKU", "✅")</f>
        <v>✅</v>
      </c>
      <c r="X1055" s="2" t="s">
        <v>259</v>
      </c>
      <c r="Y1055" s="2" t="s">
        <v>214</v>
      </c>
      <c r="Z1055" s="10" t="s">
        <v>368</v>
      </c>
      <c r="AA1055" s="27">
        <v>5.0</v>
      </c>
      <c r="AB1055" s="9" t="s">
        <v>8649</v>
      </c>
      <c r="AC1055" s="28">
        <f t="array" ref="AC1055">XLOOKUP(V1055,products_master_corrected!$A$2:$A$151,products_master_corrected!$E$2:$E$151)</f>
        <v>15.73</v>
      </c>
      <c r="AD1055" s="28">
        <f t="shared" si="123"/>
        <v>78.65</v>
      </c>
      <c r="AE1055" s="28">
        <f t="array" ref="AE1055">XLOOKUP(V1055,products_master_corrected!$A$2:$A$151,products_master_corrected!$G$2:$G$151)</f>
        <v>18.01</v>
      </c>
      <c r="AF1055" s="29">
        <f t="shared" si="124"/>
        <v>90.05</v>
      </c>
      <c r="AG1055" s="32" t="s">
        <v>8663</v>
      </c>
      <c r="AH1055" s="2" t="s">
        <v>66</v>
      </c>
      <c r="AI1055" s="10" t="s">
        <v>66</v>
      </c>
      <c r="AJ1055" s="2" t="s">
        <v>169</v>
      </c>
      <c r="AK1055" s="10" t="s">
        <v>261</v>
      </c>
      <c r="AL1055" s="2" t="s">
        <v>51</v>
      </c>
    </row>
    <row r="1056" ht="15.75" customHeight="1">
      <c r="A1056" s="2" t="s">
        <v>5476</v>
      </c>
      <c r="B1056" s="12" t="s">
        <v>5477</v>
      </c>
      <c r="C1056" s="2" t="str">
        <f>IFERROR(__xludf.DUMMYFUNCTION("IF(ISNUMBER(B1056),TEXT(B1056,""yyyy-MM-dd""),REGEXREPLACE(REGEXREPLACE(TO_TEXT(B1056),""[^0-9a-zA-Z]+"",""-""),""[^0-9]*$"",""""))"),"45114-02-41")</f>
        <v>45114-02-41</v>
      </c>
      <c r="D1056" s="2" t="str">
        <f t="shared" si="125"/>
        <v>45114-02-41</v>
      </c>
      <c r="E1056" s="25" t="str">
        <f>CONCATENATE(LEFT(D1056,5))</f>
        <v>45114</v>
      </c>
      <c r="F1056" s="12">
        <f>DATE(1900,1,1) + E1056 - 1</f>
        <v>45115</v>
      </c>
      <c r="G1056" s="2" t="s">
        <v>8465</v>
      </c>
      <c r="H1056" s="10" t="s">
        <v>8465</v>
      </c>
      <c r="I1056" s="2" t="s">
        <v>5478</v>
      </c>
      <c r="J1056" s="26" t="str">
        <f t="array" ref="J1056">IF(ISNA(XLOOKUP(I1056,customers_clean!$A$2:$A$701,customers_clean!$A$2:$A$701, NA()) ),
   "❌ MISSING CUSTOMER", "✅")</f>
        <v>✅</v>
      </c>
      <c r="K1056" s="2" t="str">
        <f t="array" ref="K1056">XLOOKUP(I1056,customers_clean!$A$2:$A$701,customers_clean!$C$2:$C$701)</f>
        <v>Sam Lopez</v>
      </c>
      <c r="L1056" s="10" t="str">
        <f t="array" ref="L1056">XLOOKUP(I1056,customers_clean!$A$2:$A$701,customers_clean!$D$2:$D$701)</f>
        <v>Sam Lopez</v>
      </c>
      <c r="M1056" s="2" t="str">
        <f t="array" ref="M1056">XLOOKUP(I1056,customers_clean!$A$2:$A$701,customers_clean!$I$2:$I$701)</f>
        <v> sam.lopez@gmail.com</v>
      </c>
      <c r="N1056" s="10" t="str">
        <f t="array" ref="N1056">XLOOKUP(I1056,customers_clean!$A$2:$A$701,customers_clean!$H$2:$H$701)</f>
        <v>sam.lopez@gmail.com</v>
      </c>
      <c r="O1056" s="9" t="str">
        <f>IFERROR(__xludf.DUMMYFUNCTION("IF(REGEXMATCH(TRIM(N1056),""^[A-Za-z0-9._%+-]+@[A-Za-z0-9.-]+\.[A-Za-z]{2,}$""),""✅ Valid"",""❌ Invalid"")"),"✅ Valid")</f>
        <v>✅ Valid</v>
      </c>
      <c r="P1056" s="2" t="str">
        <f t="array" ref="P1056">XLOOKUP(I1056,customers_clean!$A$2:$A$701,customers_clean!$K$2:$K$701)</f>
        <v>+44-293-27943566</v>
      </c>
      <c r="Q1056" s="10" t="str">
        <f t="array" ref="Q1056">XLOOKUP(I1056,customers_clean!$A$2:$A$701,customers_clean!$N$2:$N$701)</f>
        <v>29327943566</v>
      </c>
      <c r="R1056" s="9" t="str">
        <f t="array" ref="R1056">XLOOKUP(I1056,customers_clean!$A$2:$A$701,customers_clean!$Q$2:$Q$701)</f>
        <v>❌ INVALID</v>
      </c>
      <c r="S1056" s="10" t="s">
        <v>58</v>
      </c>
      <c r="T1056" s="2" t="s">
        <v>683</v>
      </c>
      <c r="U1056" s="2" t="s">
        <v>176</v>
      </c>
      <c r="V1056" s="2" t="s">
        <v>5482</v>
      </c>
      <c r="W1056" s="9" t="str">
        <f t="array" ref="W1056">IF(ISNA(XLOOKUP(V1056,products_master_corrected!$A$2:$A$151,products_master_corrected!$A$2:$A$151, NA())),
    "❌ MISSING SKU", "✅")</f>
        <v>✅</v>
      </c>
      <c r="X1056" s="2" t="s">
        <v>259</v>
      </c>
      <c r="Y1056" s="2" t="s">
        <v>503</v>
      </c>
      <c r="Z1056" s="10" t="str">
        <f>PROPER(TRIM(Y1056))</f>
        <v>Monitors</v>
      </c>
      <c r="AA1056" s="27">
        <v>1.0</v>
      </c>
      <c r="AB1056" s="9" t="s">
        <v>8649</v>
      </c>
      <c r="AC1056" s="28">
        <f t="array" ref="AC1056">XLOOKUP(V1056,products_master_corrected!$A$2:$A$151,products_master_corrected!$E$2:$E$151)</f>
        <v>39.4</v>
      </c>
      <c r="AD1056" s="28">
        <f t="shared" si="123"/>
        <v>39.4</v>
      </c>
      <c r="AE1056" s="28">
        <f t="array" ref="AE1056">XLOOKUP(V1056,products_master_corrected!$A$2:$A$151,products_master_corrected!$G$2:$G$151)</f>
        <v>45.11</v>
      </c>
      <c r="AF1056" s="29">
        <f t="shared" si="124"/>
        <v>45.11</v>
      </c>
      <c r="AG1056" s="32" t="s">
        <v>8663</v>
      </c>
      <c r="AH1056" s="2" t="s">
        <v>238</v>
      </c>
      <c r="AI1056" s="10" t="s">
        <v>66</v>
      </c>
      <c r="AJ1056" s="2" t="s">
        <v>144</v>
      </c>
      <c r="AK1056" s="10" t="s">
        <v>818</v>
      </c>
    </row>
    <row r="1057" ht="15.75" customHeight="1">
      <c r="A1057" s="2" t="s">
        <v>4750</v>
      </c>
      <c r="B1057" s="12">
        <v>45267.0</v>
      </c>
      <c r="C1057" s="2" t="str">
        <f>IFERROR(__xludf.DUMMYFUNCTION("IF(ISNUMBER(B1057),TEXT(B1057,""yyyy-MM-dd""),REGEXREPLACE(REGEXREPLACE(TO_TEXT(B1057),""[^0-9a-zA-Z]+"",""-""),""[^0-9]*$"",""""))"),"2023-12-07")</f>
        <v>2023-12-07</v>
      </c>
      <c r="D1057" s="2" t="s">
        <v>8083</v>
      </c>
      <c r="H1057" s="10" t="s">
        <v>8083</v>
      </c>
      <c r="I1057" s="2" t="s">
        <v>4752</v>
      </c>
      <c r="J1057" s="26" t="str">
        <f t="array" ref="J1057">IF(ISNA(XLOOKUP(I1057,customers_clean!$A$2:$A$701,customers_clean!$A$2:$A$701, NA()) ),
   "❌ MISSING CUSTOMER", "✅")</f>
        <v>✅</v>
      </c>
      <c r="K1057" s="2" t="str">
        <f t="array" ref="K1057">XLOOKUP(I1057,customers_clean!$A$2:$A$701,customers_clean!$C$2:$C$701)</f>
        <v>Rita Kowalczyk </v>
      </c>
      <c r="L1057" s="10" t="str">
        <f t="array" ref="L1057">XLOOKUP(I1057,customers_clean!$A$2:$A$701,customers_clean!$D$2:$D$701)</f>
        <v>Rita Kowalczyk</v>
      </c>
      <c r="M1057" s="2" t="str">
        <f t="array" ref="M1057">XLOOKUP(I1057,customers_clean!$A$2:$A$701,customers_clean!$I$2:$I$701)</f>
        <v>Rita.Kowalczyk@Shop.Io</v>
      </c>
      <c r="N1057" s="10" t="str">
        <f t="array" ref="N1057">XLOOKUP(I1057,customers_clean!$A$2:$A$701,customers_clean!$H$2:$H$701)</f>
        <v>rita.kowalczyk@shop.io</v>
      </c>
      <c r="O1057" s="9" t="str">
        <f>IFERROR(__xludf.DUMMYFUNCTION("IF(REGEXMATCH(TRIM(N1057),""^[A-Za-z0-9._%+-]+@[A-Za-z0-9.-]+\.[A-Za-z]{2,}$""),""✅ Valid"",""❌ Invalid"")"),"✅ Valid")</f>
        <v>✅ Valid</v>
      </c>
      <c r="P1057" s="2" t="str">
        <f t="array" ref="P1057">XLOOKUP(I1057,customers_clean!$A$2:$A$701,customers_clean!$K$2:$K$701)</f>
        <v>+353-542-03902 x</v>
      </c>
      <c r="Q1057" s="10" t="str">
        <f t="array" ref="Q1057">XLOOKUP(I1057,customers_clean!$A$2:$A$701,customers_clean!$N$2:$N$701)</f>
        <v>54203902</v>
      </c>
      <c r="R1057" s="9" t="str">
        <f t="array" ref="R1057">XLOOKUP(I1057,customers_clean!$A$2:$A$701,customers_clean!$Q$2:$Q$701)</f>
        <v>❌ INVALID</v>
      </c>
      <c r="S1057" s="10" t="s">
        <v>114</v>
      </c>
      <c r="T1057" s="2" t="s">
        <v>59</v>
      </c>
      <c r="U1057" s="2" t="s">
        <v>1219</v>
      </c>
      <c r="V1057" s="2" t="s">
        <v>815</v>
      </c>
      <c r="W1057" s="9" t="str">
        <f t="array" ref="W1057">IF(ISNA(XLOOKUP(V1057,products_master_corrected!$A$2:$A$151,products_master_corrected!$A$2:$A$151, NA())),
    "❌ MISSING SKU", "✅")</f>
        <v>✅</v>
      </c>
      <c r="X1057" s="2" t="s">
        <v>816</v>
      </c>
      <c r="Y1057" s="2" t="s">
        <v>179</v>
      </c>
      <c r="Z1057" s="10" t="s">
        <v>179</v>
      </c>
      <c r="AA1057" s="27">
        <v>2.0</v>
      </c>
      <c r="AB1057" s="9" t="s">
        <v>8649</v>
      </c>
      <c r="AC1057" s="28">
        <f t="array" ref="AC1057">XLOOKUP(V1057,products_master_corrected!$A$2:$A$151,products_master_corrected!$E$2:$E$151)</f>
        <v>328.22</v>
      </c>
      <c r="AD1057" s="28">
        <f t="shared" si="123"/>
        <v>656.44</v>
      </c>
      <c r="AE1057" s="28">
        <f t="array" ref="AE1057">XLOOKUP(V1057,products_master_corrected!$A$2:$A$151,products_master_corrected!$F$2:$F$151)</f>
        <v>328.22</v>
      </c>
      <c r="AF1057" s="29">
        <f t="shared" si="124"/>
        <v>656.44</v>
      </c>
      <c r="AG1057" s="30" t="s">
        <v>65</v>
      </c>
      <c r="AH1057" s="2" t="s">
        <v>96</v>
      </c>
      <c r="AI1057" s="10" t="s">
        <v>143</v>
      </c>
      <c r="AJ1057" s="2" t="s">
        <v>251</v>
      </c>
      <c r="AK1057" s="10" t="s">
        <v>192</v>
      </c>
    </row>
    <row r="1058" ht="15.75" customHeight="1">
      <c r="A1058" s="2" t="s">
        <v>5162</v>
      </c>
      <c r="B1058" s="12">
        <v>44984.0</v>
      </c>
      <c r="C1058" s="2" t="str">
        <f>IFERROR(__xludf.DUMMYFUNCTION("IF(ISNUMBER(B1058),TEXT(B1058,""yyyy-MM-dd""),REGEXREPLACE(REGEXREPLACE(TO_TEXT(B1058),""[^0-9a-zA-Z]+"",""-""),""[^0-9]*$"",""""))"),"2023-02-27")</f>
        <v>2023-02-27</v>
      </c>
      <c r="D1058" s="2" t="s">
        <v>9004</v>
      </c>
      <c r="H1058" s="10" t="s">
        <v>9004</v>
      </c>
      <c r="I1058" s="2" t="s">
        <v>4752</v>
      </c>
      <c r="J1058" s="26" t="str">
        <f t="array" ref="J1058">IF(ISNA(XLOOKUP(I1058,customers_clean!$A$2:$A$701,customers_clean!$A$2:$A$701, NA()) ),
   "❌ MISSING CUSTOMER", "✅")</f>
        <v>✅</v>
      </c>
      <c r="K1058" s="2" t="str">
        <f t="array" ref="K1058">XLOOKUP(I1058,customers_clean!$A$2:$A$701,customers_clean!$C$2:$C$701)</f>
        <v>Rita Kowalczyk </v>
      </c>
      <c r="L1058" s="10" t="str">
        <f t="array" ref="L1058">XLOOKUP(I1058,customers_clean!$A$2:$A$701,customers_clean!$D$2:$D$701)</f>
        <v>Rita Kowalczyk</v>
      </c>
      <c r="M1058" s="2" t="str">
        <f t="array" ref="M1058">XLOOKUP(I1058,customers_clean!$A$2:$A$701,customers_clean!$I$2:$I$701)</f>
        <v>Rita.Kowalczyk@Shop.Io</v>
      </c>
      <c r="N1058" s="10" t="str">
        <f t="array" ref="N1058">XLOOKUP(I1058,customers_clean!$A$2:$A$701,customers_clean!$H$2:$H$701)</f>
        <v>rita.kowalczyk@shop.io</v>
      </c>
      <c r="O1058" s="9" t="str">
        <f>IFERROR(__xludf.DUMMYFUNCTION("IF(REGEXMATCH(TRIM(N1058),""^[A-Za-z0-9._%+-]+@[A-Za-z0-9.-]+\.[A-Za-z]{2,}$""),""✅ Valid"",""❌ Invalid"")"),"✅ Valid")</f>
        <v>✅ Valid</v>
      </c>
      <c r="P1058" s="2" t="str">
        <f t="array" ref="P1058">XLOOKUP(I1058,customers_clean!$A$2:$A$701,customers_clean!$K$2:$K$701)</f>
        <v>+353-542-03902 x</v>
      </c>
      <c r="Q1058" s="10" t="str">
        <f t="array" ref="Q1058">XLOOKUP(I1058,customers_clean!$A$2:$A$701,customers_clean!$N$2:$N$701)</f>
        <v>54203902</v>
      </c>
      <c r="R1058" s="9" t="str">
        <f t="array" ref="R1058">XLOOKUP(I1058,customers_clean!$A$2:$A$701,customers_clean!$Q$2:$Q$701)</f>
        <v>❌ INVALID</v>
      </c>
      <c r="S1058" s="10" t="s">
        <v>114</v>
      </c>
      <c r="T1058" s="2" t="s">
        <v>26</v>
      </c>
      <c r="U1058" s="2" t="s">
        <v>401</v>
      </c>
      <c r="V1058" s="2" t="s">
        <v>258</v>
      </c>
      <c r="W1058" s="9" t="str">
        <f t="array" ref="W1058">IF(ISNA(XLOOKUP(V1058,products_master_corrected!$A$2:$A$151,products_master_corrected!$A$2:$A$151, NA())),
    "❌ MISSING SKU", "✅")</f>
        <v>✅</v>
      </c>
      <c r="X1058" s="2" t="s">
        <v>259</v>
      </c>
      <c r="Y1058" s="2" t="s">
        <v>214</v>
      </c>
      <c r="Z1058" s="10" t="s">
        <v>368</v>
      </c>
      <c r="AA1058" s="27">
        <v>2.0</v>
      </c>
      <c r="AB1058" s="9" t="s">
        <v>8649</v>
      </c>
      <c r="AC1058" s="28">
        <f t="array" ref="AC1058">XLOOKUP(V1058,products_master_corrected!$A$2:$A$151,products_master_corrected!$E$2:$E$151)</f>
        <v>15.73</v>
      </c>
      <c r="AD1058" s="28">
        <f t="shared" si="123"/>
        <v>31.46</v>
      </c>
      <c r="AE1058" s="28">
        <f t="array" ref="AE1058">XLOOKUP(V1058,products_master_corrected!$A$2:$A$151,products_master_corrected!$F$2:$F$151)</f>
        <v>15.73</v>
      </c>
      <c r="AF1058" s="29">
        <f t="shared" si="124"/>
        <v>31.46</v>
      </c>
      <c r="AG1058" s="30" t="s">
        <v>65</v>
      </c>
      <c r="AH1058" s="2" t="s">
        <v>49</v>
      </c>
      <c r="AI1058" s="10" t="s">
        <v>49</v>
      </c>
      <c r="AJ1058" s="2" t="s">
        <v>818</v>
      </c>
      <c r="AK1058" s="10" t="s">
        <v>818</v>
      </c>
      <c r="AL1058" s="2" t="s">
        <v>81</v>
      </c>
    </row>
    <row r="1059" ht="15.75" customHeight="1">
      <c r="A1059" s="2" t="s">
        <v>1489</v>
      </c>
      <c r="B1059" s="12">
        <v>45874.94027777778</v>
      </c>
      <c r="C1059" s="2" t="str">
        <f>IFERROR(__xludf.DUMMYFUNCTION("IF(ISNUMBER(B1059),TEXT(B1059,""yyyy-MM-dd""),REGEXREPLACE(REGEXREPLACE(TO_TEXT(B1059),""[^0-9a-zA-Z]+"",""-""),""[^0-9]*$"",""""))"),"2025-08-05")</f>
        <v>2025-08-05</v>
      </c>
      <c r="D1059" s="2" t="s">
        <v>8930</v>
      </c>
      <c r="H1059" s="10" t="s">
        <v>8930</v>
      </c>
      <c r="I1059" s="2" t="s">
        <v>1491</v>
      </c>
      <c r="J1059" s="26" t="str">
        <f t="array" ref="J1059">IF(ISNA(XLOOKUP(I1059,customers_clean!$A$2:$A$701,customers_clean!$A$2:$A$701, NA()) ),
   "❌ MISSING CUSTOMER", "✅")</f>
        <v>✅</v>
      </c>
      <c r="K1059" s="2" t="str">
        <f t="array" ref="K1059">XLOOKUP(I1059,customers_clean!$A$2:$A$701,customers_clean!$C$2:$C$701)</f>
        <v>Daria Martinez</v>
      </c>
      <c r="L1059" s="10" t="str">
        <f t="array" ref="L1059">XLOOKUP(I1059,customers_clean!$A$2:$A$701,customers_clean!$D$2:$D$701)</f>
        <v>Daria Martinez</v>
      </c>
      <c r="M1059" s="2" t="str">
        <f t="array" ref="M1059">XLOOKUP(I1059,customers_clean!$A$2:$A$701,customers_clean!$I$2:$I$701)</f>
        <v>daria.martinez@yahoo.com </v>
      </c>
      <c r="N1059" s="10" t="str">
        <f t="array" ref="N1059">XLOOKUP(I1059,customers_clean!$A$2:$A$701,customers_clean!$H$2:$H$701)</f>
        <v>daria.martinez@yahoo.com</v>
      </c>
      <c r="O1059" s="9" t="str">
        <f>IFERROR(__xludf.DUMMYFUNCTION("IF(REGEXMATCH(TRIM(N1059),""^[A-Za-z0-9._%+-]+@[A-Za-z0-9.-]+\.[A-Za-z]{2,}$""),""✅ Valid"",""❌ Invalid"")"),"✅ Valid")</f>
        <v>✅ Valid</v>
      </c>
      <c r="P1059" s="33" t="str">
        <f t="array" ref="P1059">XLOOKUP(I1059,customers_clean!$A$2:$A$701,customers_clean!$K$2:$K$701)</f>
        <v>4842088284</v>
      </c>
      <c r="Q1059" s="10" t="str">
        <f t="array" ref="Q1059">XLOOKUP(I1059,customers_clean!$A$2:$A$701,customers_clean!$N$2:$N$701)</f>
        <v>42088284</v>
      </c>
      <c r="R1059" s="9" t="str">
        <f t="array" ref="R1059">XLOOKUP(I1059,customers_clean!$A$2:$A$701,customers_clean!$Q$2:$Q$701)</f>
        <v>❌ INVALID</v>
      </c>
      <c r="S1059" s="10" t="s">
        <v>114</v>
      </c>
      <c r="T1059" s="2" t="s">
        <v>323</v>
      </c>
      <c r="U1059" s="2" t="s">
        <v>870</v>
      </c>
      <c r="V1059" s="2" t="s">
        <v>1495</v>
      </c>
      <c r="W1059" s="9" t="str">
        <f t="array" ref="W1059">IF(ISNA(XLOOKUP(V1059,products_master_corrected!$A$2:$A$151,products_master_corrected!$A$2:$A$151, NA())),
    "❌ MISSING SKU", "✅")</f>
        <v>✅</v>
      </c>
      <c r="X1059" s="2" t="s">
        <v>1138</v>
      </c>
      <c r="Y1059" s="2" t="s">
        <v>248</v>
      </c>
      <c r="Z1059" s="10" t="s">
        <v>248</v>
      </c>
      <c r="AA1059" s="27">
        <v>1.0</v>
      </c>
      <c r="AB1059" s="9" t="s">
        <v>8649</v>
      </c>
      <c r="AC1059" s="28">
        <f t="array" ref="AC1059">XLOOKUP(V1059,products_master_corrected!$A$2:$A$151,products_master_corrected!$E$2:$E$151)</f>
        <v>248.14</v>
      </c>
      <c r="AD1059" s="28">
        <f t="shared" si="123"/>
        <v>248.14</v>
      </c>
      <c r="AE1059" s="28">
        <f t="array" ref="AE1059">XLOOKUP(V1059,products_master_corrected!$A$2:$A$151,products_master_corrected!$F$2:$F$151)</f>
        <v>248.14</v>
      </c>
      <c r="AF1059" s="29">
        <f t="shared" si="124"/>
        <v>248.14</v>
      </c>
      <c r="AG1059" s="30" t="s">
        <v>65</v>
      </c>
      <c r="AH1059" s="2" t="s">
        <v>1497</v>
      </c>
      <c r="AI1059" s="10" t="s">
        <v>181</v>
      </c>
      <c r="AJ1059" s="2" t="s">
        <v>393</v>
      </c>
      <c r="AK1059" s="10" t="s">
        <v>80</v>
      </c>
    </row>
    <row r="1060" ht="15.75" customHeight="1">
      <c r="A1060" s="2" t="s">
        <v>5354</v>
      </c>
      <c r="B1060" s="12">
        <v>45346.0</v>
      </c>
      <c r="C1060" s="2" t="str">
        <f>IFERROR(__xludf.DUMMYFUNCTION("IF(ISNUMBER(B1060),TEXT(B1060,""yyyy-MM-dd""),REGEXREPLACE(REGEXREPLACE(TO_TEXT(B1060),""[^0-9a-zA-Z]+"",""-""),""[^0-9]*$"",""""))"),"2024-02-24")</f>
        <v>2024-02-24</v>
      </c>
      <c r="D1060" s="2" t="s">
        <v>8679</v>
      </c>
      <c r="H1060" s="10" t="s">
        <v>8679</v>
      </c>
      <c r="I1060" s="2" t="s">
        <v>1491</v>
      </c>
      <c r="J1060" s="26" t="str">
        <f t="array" ref="J1060">IF(ISNA(XLOOKUP(I1060,customers_clean!$A$2:$A$701,customers_clean!$A$2:$A$701, NA()) ),
   "❌ MISSING CUSTOMER", "✅")</f>
        <v>✅</v>
      </c>
      <c r="K1060" s="2" t="str">
        <f t="array" ref="K1060">XLOOKUP(I1060,customers_clean!$A$2:$A$701,customers_clean!$C$2:$C$701)</f>
        <v>Daria Martinez</v>
      </c>
      <c r="L1060" s="10" t="str">
        <f t="array" ref="L1060">XLOOKUP(I1060,customers_clean!$A$2:$A$701,customers_clean!$D$2:$D$701)</f>
        <v>Daria Martinez</v>
      </c>
      <c r="M1060" s="2" t="str">
        <f t="array" ref="M1060">XLOOKUP(I1060,customers_clean!$A$2:$A$701,customers_clean!$I$2:$I$701)</f>
        <v>daria.martinez@yahoo.com </v>
      </c>
      <c r="N1060" s="10" t="str">
        <f t="array" ref="N1060">XLOOKUP(I1060,customers_clean!$A$2:$A$701,customers_clean!$H$2:$H$701)</f>
        <v>daria.martinez@yahoo.com</v>
      </c>
      <c r="O1060" s="9" t="str">
        <f>IFERROR(__xludf.DUMMYFUNCTION("IF(REGEXMATCH(TRIM(N1060),""^[A-Za-z0-9._%+-]+@[A-Za-z0-9.-]+\.[A-Za-z]{2,}$""),""✅ Valid"",""❌ Invalid"")"),"✅ Valid")</f>
        <v>✅ Valid</v>
      </c>
      <c r="P1060" s="33" t="str">
        <f t="array" ref="P1060">XLOOKUP(I1060,customers_clean!$A$2:$A$701,customers_clean!$K$2:$K$701)</f>
        <v>4842088284</v>
      </c>
      <c r="Q1060" s="10" t="str">
        <f t="array" ref="Q1060">XLOOKUP(I1060,customers_clean!$A$2:$A$701,customers_clean!$N$2:$N$701)</f>
        <v>42088284</v>
      </c>
      <c r="R1060" s="9" t="str">
        <f t="array" ref="R1060">XLOOKUP(I1060,customers_clean!$A$2:$A$701,customers_clean!$Q$2:$Q$701)</f>
        <v>❌ INVALID</v>
      </c>
      <c r="S1060" s="10" t="s">
        <v>114</v>
      </c>
      <c r="T1060" s="2" t="s">
        <v>323</v>
      </c>
      <c r="U1060" s="2" t="s">
        <v>116</v>
      </c>
      <c r="V1060" s="2" t="s">
        <v>1733</v>
      </c>
      <c r="W1060" s="9" t="str">
        <f t="array" ref="W1060">IF(ISNA(XLOOKUP(V1060,products_master_corrected!$A$2:$A$151,products_master_corrected!$A$2:$A$151, NA())),
    "❌ MISSING SKU", "✅")</f>
        <v>✅</v>
      </c>
      <c r="X1060" s="2" t="s">
        <v>440</v>
      </c>
      <c r="Y1060" s="2" t="s">
        <v>315</v>
      </c>
      <c r="Z1060" s="10" t="s">
        <v>179</v>
      </c>
      <c r="AA1060" s="27">
        <v>2.0</v>
      </c>
      <c r="AB1060" s="9" t="s">
        <v>8649</v>
      </c>
      <c r="AC1060" s="28">
        <f t="array" ref="AC1060">XLOOKUP(V1060,products_master_corrected!$A$2:$A$151,products_master_corrected!$E$2:$E$151)</f>
        <v>35.69</v>
      </c>
      <c r="AD1060" s="28">
        <f t="shared" si="123"/>
        <v>71.38</v>
      </c>
      <c r="AE1060" s="28">
        <f t="array" ref="AE1060">XLOOKUP(V1060,products_master_corrected!$A$2:$A$151,products_master_corrected!$F$2:$F$151)</f>
        <v>35.69</v>
      </c>
      <c r="AF1060" s="29">
        <f t="shared" si="124"/>
        <v>71.38</v>
      </c>
      <c r="AG1060" s="30" t="s">
        <v>65</v>
      </c>
      <c r="AH1060" s="2" t="s">
        <v>66</v>
      </c>
      <c r="AI1060" s="10" t="s">
        <v>66</v>
      </c>
      <c r="AJ1060" s="2" t="s">
        <v>50</v>
      </c>
      <c r="AK1060" s="10" t="s">
        <v>261</v>
      </c>
      <c r="AL1060" s="2" t="s">
        <v>67</v>
      </c>
    </row>
    <row r="1061" ht="15.75" customHeight="1">
      <c r="A1061" s="2" t="s">
        <v>6026</v>
      </c>
      <c r="B1061" s="12">
        <v>45866.0</v>
      </c>
      <c r="C1061" s="2" t="str">
        <f>IFERROR(__xludf.DUMMYFUNCTION("IF(ISNUMBER(B1061),TEXT(B1061,""yyyy-MM-dd""),REGEXREPLACE(REGEXREPLACE(TO_TEXT(B1061),""[^0-9a-zA-Z]+"",""-""),""[^0-9]*$"",""""))"),"2025-07-28")</f>
        <v>2025-07-28</v>
      </c>
      <c r="D1061" s="2" t="s">
        <v>6027</v>
      </c>
      <c r="H1061" s="10" t="s">
        <v>6027</v>
      </c>
      <c r="I1061" s="2" t="s">
        <v>2635</v>
      </c>
      <c r="J1061" s="26" t="str">
        <f t="array" ref="J1061">IF(ISNA(XLOOKUP(I1061,customers_clean!$A$2:$A$701,customers_clean!$A$2:$A$701, NA()) ),
   "❌ MISSING CUSTOMER", "✅")</f>
        <v>✅</v>
      </c>
      <c r="K1061" s="2" t="str">
        <f t="array" ref="K1061">XLOOKUP(I1061,customers_clean!$A$2:$A$701,customers_clean!$C$2:$C$701)</f>
        <v> Yara Khan</v>
      </c>
      <c r="L1061" s="10" t="str">
        <f t="array" ref="L1061">XLOOKUP(I1061,customers_clean!$A$2:$A$701,customers_clean!$D$2:$D$701)</f>
        <v>Yara Khan</v>
      </c>
      <c r="M1061" s="2" t="str">
        <f t="array" ref="M1061">XLOOKUP(I1061,customers_clean!$A$2:$A$701,customers_clean!$I$2:$I$701)</f>
        <v>yara.khan@company.co.uk </v>
      </c>
      <c r="N1061" s="10" t="str">
        <f t="array" ref="N1061">XLOOKUP(I1061,customers_clean!$A$2:$A$701,customers_clean!$H$2:$H$701)</f>
        <v>yara.khan@company.co.uk</v>
      </c>
      <c r="O1061" s="9" t="str">
        <f>IFERROR(__xludf.DUMMYFUNCTION("IF(REGEXMATCH(TRIM(N1061),""^[A-Za-z0-9._%+-]+@[A-Za-z0-9.-]+\.[A-Za-z]{2,}$""),""✅ Valid"",""❌ Invalid"")"),"✅ Valid")</f>
        <v>✅ Valid</v>
      </c>
      <c r="P1061" s="2" t="str">
        <f t="array" ref="P1061">XLOOKUP(I1061,customers_clean!$A$2:$A$701,customers_clean!$K$2:$K$701)</f>
        <v>55379369x8</v>
      </c>
      <c r="Q1061" s="10" t="str">
        <f t="array" ref="Q1061">XLOOKUP(I1061,customers_clean!$A$2:$A$701,customers_clean!$N$2:$N$701)</f>
        <v>553793698</v>
      </c>
      <c r="R1061" s="9" t="str">
        <f t="array" ref="R1061">XLOOKUP(I1061,customers_clean!$A$2:$A$701,customers_clean!$Q$2:$Q$701)</f>
        <v>❌ INVALID</v>
      </c>
      <c r="S1061" s="10" t="s">
        <v>88</v>
      </c>
      <c r="T1061" s="2" t="s">
        <v>42</v>
      </c>
      <c r="U1061" s="2" t="s">
        <v>289</v>
      </c>
      <c r="V1061" s="2" t="s">
        <v>4068</v>
      </c>
      <c r="W1061" s="9" t="str">
        <f t="array" ref="W1061">IF(ISNA(XLOOKUP(V1061,products_master_corrected!$A$2:$A$151,products_master_corrected!$A$2:$A$151, NA())),
    "❌ MISSING SKU", "✅")</f>
        <v>✅</v>
      </c>
      <c r="X1061" s="2" t="s">
        <v>403</v>
      </c>
      <c r="Y1061" s="2" t="s">
        <v>1016</v>
      </c>
      <c r="Z1061" s="10" t="s">
        <v>355</v>
      </c>
      <c r="AA1061" s="27">
        <v>1.0</v>
      </c>
      <c r="AB1061" s="9" t="s">
        <v>8649</v>
      </c>
      <c r="AC1061" s="28">
        <f t="array" ref="AC1061">XLOOKUP(V1061,products_master_corrected!$A$2:$A$151,products_master_corrected!$E$2:$E$151)</f>
        <v>49.62</v>
      </c>
      <c r="AD1061" s="28">
        <f t="shared" si="123"/>
        <v>49.62</v>
      </c>
      <c r="AE1061" s="28">
        <f t="array" ref="AE1061">XLOOKUP(V1061,products_master_corrected!$A$2:$A$151,products_master_corrected!$I$2:$I$151)</f>
        <v>54.7</v>
      </c>
      <c r="AF1061" s="29">
        <f t="shared" si="124"/>
        <v>54.7</v>
      </c>
      <c r="AG1061" s="32" t="s">
        <v>8660</v>
      </c>
      <c r="AH1061" s="2" t="s">
        <v>49</v>
      </c>
      <c r="AI1061" s="10" t="s">
        <v>49</v>
      </c>
      <c r="AJ1061" s="2" t="s">
        <v>345</v>
      </c>
      <c r="AK1061" s="10" t="s">
        <v>261</v>
      </c>
    </row>
    <row r="1062" ht="15.75" customHeight="1">
      <c r="A1062" s="2" t="s">
        <v>3813</v>
      </c>
      <c r="B1062" s="12">
        <v>45503.0</v>
      </c>
      <c r="C1062" s="2" t="str">
        <f>IFERROR(__xludf.DUMMYFUNCTION("IF(ISNUMBER(B1062),TEXT(B1062,""yyyy-MM-dd""),REGEXREPLACE(REGEXREPLACE(TO_TEXT(B1062),""[^0-9a-zA-Z]+"",""-""),""[^0-9]*$"",""""))"),"2024-07-30")</f>
        <v>2024-07-30</v>
      </c>
      <c r="D1062" s="2" t="s">
        <v>8312</v>
      </c>
      <c r="H1062" s="10" t="s">
        <v>8312</v>
      </c>
      <c r="I1062" s="2" t="s">
        <v>2635</v>
      </c>
      <c r="J1062" s="26" t="str">
        <f t="array" ref="J1062">IF(ISNA(XLOOKUP(I1062,customers_clean!$A$2:$A$701,customers_clean!$A$2:$A$701, NA()) ),
   "❌ MISSING CUSTOMER", "✅")</f>
        <v>✅</v>
      </c>
      <c r="K1062" s="2" t="str">
        <f t="array" ref="K1062">XLOOKUP(I1062,customers_clean!$A$2:$A$701,customers_clean!$C$2:$C$701)</f>
        <v> Yara Khan</v>
      </c>
      <c r="L1062" s="10" t="str">
        <f t="array" ref="L1062">XLOOKUP(I1062,customers_clean!$A$2:$A$701,customers_clean!$D$2:$D$701)</f>
        <v>Yara Khan</v>
      </c>
      <c r="M1062" s="2" t="str">
        <f t="array" ref="M1062">XLOOKUP(I1062,customers_clean!$A$2:$A$701,customers_clean!$I$2:$I$701)</f>
        <v>yara.khan@company.co.uk </v>
      </c>
      <c r="N1062" s="10" t="str">
        <f t="array" ref="N1062">XLOOKUP(I1062,customers_clean!$A$2:$A$701,customers_clean!$H$2:$H$701)</f>
        <v>yara.khan@company.co.uk</v>
      </c>
      <c r="O1062" s="9" t="str">
        <f>IFERROR(__xludf.DUMMYFUNCTION("IF(REGEXMATCH(TRIM(N1062),""^[A-Za-z0-9._%+-]+@[A-Za-z0-9.-]+\.[A-Za-z]{2,}$""),""✅ Valid"",""❌ Invalid"")"),"✅ Valid")</f>
        <v>✅ Valid</v>
      </c>
      <c r="P1062" s="2" t="str">
        <f t="array" ref="P1062">XLOOKUP(I1062,customers_clean!$A$2:$A$701,customers_clean!$K$2:$K$701)</f>
        <v>55379369x8</v>
      </c>
      <c r="Q1062" s="10" t="str">
        <f t="array" ref="Q1062">XLOOKUP(I1062,customers_clean!$A$2:$A$701,customers_clean!$N$2:$N$701)</f>
        <v>553793698</v>
      </c>
      <c r="R1062" s="9" t="str">
        <f t="array" ref="R1062">XLOOKUP(I1062,customers_clean!$A$2:$A$701,customers_clean!$Q$2:$Q$701)</f>
        <v>❌ INVALID</v>
      </c>
      <c r="S1062" s="10" t="s">
        <v>88</v>
      </c>
      <c r="T1062" s="2" t="s">
        <v>223</v>
      </c>
      <c r="U1062" s="2" t="s">
        <v>103</v>
      </c>
      <c r="V1062" s="2" t="s">
        <v>2273</v>
      </c>
      <c r="W1062" s="9" t="str">
        <f t="array" ref="W1062">IF(ISNA(XLOOKUP(V1062,products_master_corrected!$A$2:$A$151,products_master_corrected!$A$2:$A$151, NA())),
    "❌ MISSING SKU", "✅")</f>
        <v>✅</v>
      </c>
      <c r="X1062" s="2" t="s">
        <v>2274</v>
      </c>
      <c r="Y1062" s="2" t="s">
        <v>1328</v>
      </c>
      <c r="Z1062" s="10" t="s">
        <v>179</v>
      </c>
      <c r="AA1062" s="27">
        <v>5.0</v>
      </c>
      <c r="AB1062" s="9" t="s">
        <v>8649</v>
      </c>
      <c r="AC1062" s="28">
        <f t="array" ref="AC1062">XLOOKUP(V1062,products_master_corrected!$A$2:$A$151,products_master_corrected!$E$2:$E$151)</f>
        <v>142.55</v>
      </c>
      <c r="AD1062" s="28">
        <f t="shared" si="123"/>
        <v>712.75</v>
      </c>
      <c r="AE1062" s="28">
        <f t="array" ref="AE1062">XLOOKUP(V1062,products_master_corrected!$A$2:$A$151,products_master_corrected!$I$2:$I$151)</f>
        <v>157.15</v>
      </c>
      <c r="AF1062" s="29">
        <f t="shared" si="124"/>
        <v>785.75</v>
      </c>
      <c r="AG1062" s="32" t="s">
        <v>8660</v>
      </c>
      <c r="AH1062" s="2" t="s">
        <v>370</v>
      </c>
      <c r="AI1062" s="10" t="s">
        <v>143</v>
      </c>
      <c r="AJ1062" s="2" t="s">
        <v>306</v>
      </c>
      <c r="AK1062" s="10" t="s">
        <v>192</v>
      </c>
      <c r="AL1062" s="2" t="s">
        <v>81</v>
      </c>
    </row>
    <row r="1063" ht="15.75" customHeight="1">
      <c r="A1063" s="2" t="s">
        <v>2633</v>
      </c>
      <c r="B1063" s="12">
        <v>45447.22152777778</v>
      </c>
      <c r="C1063" s="2" t="str">
        <f>IFERROR(__xludf.DUMMYFUNCTION("IF(ISNUMBER(B1063),TEXT(B1063,""yyyy-MM-dd""),REGEXREPLACE(REGEXREPLACE(TO_TEXT(B1063),""[^0-9a-zA-Z]+"",""-""),""[^0-9]*$"",""""))"),"2024-06-04")</f>
        <v>2024-06-04</v>
      </c>
      <c r="D1063" s="2" t="s">
        <v>9005</v>
      </c>
      <c r="H1063" s="10" t="s">
        <v>9005</v>
      </c>
      <c r="I1063" s="2" t="s">
        <v>2635</v>
      </c>
      <c r="J1063" s="26" t="str">
        <f t="array" ref="J1063">IF(ISNA(XLOOKUP(I1063,customers_clean!$A$2:$A$701,customers_clean!$A$2:$A$701, NA()) ),
   "❌ MISSING CUSTOMER", "✅")</f>
        <v>✅</v>
      </c>
      <c r="K1063" s="2" t="str">
        <f t="array" ref="K1063">XLOOKUP(I1063,customers_clean!$A$2:$A$701,customers_clean!$C$2:$C$701)</f>
        <v> Yara Khan</v>
      </c>
      <c r="L1063" s="10" t="str">
        <f t="array" ref="L1063">XLOOKUP(I1063,customers_clean!$A$2:$A$701,customers_clean!$D$2:$D$701)</f>
        <v>Yara Khan</v>
      </c>
      <c r="M1063" s="2" t="str">
        <f t="array" ref="M1063">XLOOKUP(I1063,customers_clean!$A$2:$A$701,customers_clean!$I$2:$I$701)</f>
        <v>yara.khan@company.co.uk </v>
      </c>
      <c r="N1063" s="10" t="str">
        <f t="array" ref="N1063">XLOOKUP(I1063,customers_clean!$A$2:$A$701,customers_clean!$H$2:$H$701)</f>
        <v>yara.khan@company.co.uk</v>
      </c>
      <c r="O1063" s="9" t="str">
        <f>IFERROR(__xludf.DUMMYFUNCTION("IF(REGEXMATCH(TRIM(N1063),""^[A-Za-z0-9._%+-]+@[A-Za-z0-9.-]+\.[A-Za-z]{2,}$""),""✅ Valid"",""❌ Invalid"")"),"✅ Valid")</f>
        <v>✅ Valid</v>
      </c>
      <c r="P1063" s="2" t="str">
        <f t="array" ref="P1063">XLOOKUP(I1063,customers_clean!$A$2:$A$701,customers_clean!$K$2:$K$701)</f>
        <v>55379369x8</v>
      </c>
      <c r="Q1063" s="10" t="str">
        <f t="array" ref="Q1063">XLOOKUP(I1063,customers_clean!$A$2:$A$701,customers_clean!$N$2:$N$701)</f>
        <v>553793698</v>
      </c>
      <c r="R1063" s="9" t="str">
        <f t="array" ref="R1063">XLOOKUP(I1063,customers_clean!$A$2:$A$701,customers_clean!$Q$2:$Q$701)</f>
        <v>❌ INVALID</v>
      </c>
      <c r="S1063" s="10" t="s">
        <v>88</v>
      </c>
      <c r="T1063" s="2" t="s">
        <v>42</v>
      </c>
      <c r="U1063" s="2" t="s">
        <v>480</v>
      </c>
      <c r="V1063" s="2" t="s">
        <v>711</v>
      </c>
      <c r="W1063" s="9" t="str">
        <f t="array" ref="W1063">IF(ISNA(XLOOKUP(V1063,products_master_corrected!$A$2:$A$151,products_master_corrected!$A$2:$A$151, NA())),
    "❌ MISSING SKU", "✅")</f>
        <v>✅</v>
      </c>
      <c r="X1063" s="2" t="s">
        <v>403</v>
      </c>
      <c r="Y1063" s="2" t="s">
        <v>637</v>
      </c>
      <c r="Z1063" s="10" t="s">
        <v>514</v>
      </c>
      <c r="AA1063" s="27">
        <v>3.0</v>
      </c>
      <c r="AB1063" s="9" t="s">
        <v>8649</v>
      </c>
      <c r="AC1063" s="28">
        <f t="array" ref="AC1063">XLOOKUP(V1063,products_master_corrected!$A$2:$A$151,products_master_corrected!$E$2:$E$151)</f>
        <v>43.64</v>
      </c>
      <c r="AD1063" s="28">
        <f t="shared" si="123"/>
        <v>130.92</v>
      </c>
      <c r="AE1063" s="28">
        <f t="array" ref="AE1063">XLOOKUP(V1063,products_master_corrected!$A$2:$A$151,products_master_corrected!$I$2:$I$151)</f>
        <v>48.11</v>
      </c>
      <c r="AF1063" s="29">
        <f t="shared" si="124"/>
        <v>144.33</v>
      </c>
      <c r="AG1063" s="32" t="s">
        <v>8660</v>
      </c>
      <c r="AH1063" s="2" t="s">
        <v>238</v>
      </c>
      <c r="AI1063" s="10" t="s">
        <v>66</v>
      </c>
      <c r="AJ1063" s="2" t="s">
        <v>192</v>
      </c>
      <c r="AK1063" s="10" t="s">
        <v>192</v>
      </c>
    </row>
    <row r="1064" ht="15.75" customHeight="1">
      <c r="A1064" s="2" t="s">
        <v>5925</v>
      </c>
      <c r="B1064" s="12" t="s">
        <v>5926</v>
      </c>
      <c r="C1064" s="2" t="str">
        <f>IFERROR(__xludf.DUMMYFUNCTION("IF(ISNUMBER(B1064),TEXT(B1064,""yyyy-MM-dd""),REGEXREPLACE(REGEXREPLACE(TO_TEXT(B1064),""[^0-9a-zA-Z]+"",""-""),""[^0-9]*$"",""""))"),"45698-22-33")</f>
        <v>45698-22-33</v>
      </c>
      <c r="D1064" s="2" t="str">
        <f>TEXT(C1064,"yyyy-MM-dd")</f>
        <v>45698-22-33</v>
      </c>
      <c r="E1064" s="25" t="str">
        <f>CONCATENATE(LEFT(D1064,5))</f>
        <v>45698</v>
      </c>
      <c r="F1064" s="12">
        <f>DATE(1900,1,1) + E1064 - 1</f>
        <v>45699</v>
      </c>
      <c r="G1064" s="2" t="s">
        <v>7799</v>
      </c>
      <c r="H1064" s="10" t="s">
        <v>7799</v>
      </c>
      <c r="I1064" s="2" t="s">
        <v>2635</v>
      </c>
      <c r="J1064" s="26" t="str">
        <f t="array" ref="J1064">IF(ISNA(XLOOKUP(I1064,customers_clean!$A$2:$A$701,customers_clean!$A$2:$A$701, NA()) ),
   "❌ MISSING CUSTOMER", "✅")</f>
        <v>✅</v>
      </c>
      <c r="K1064" s="2" t="str">
        <f t="array" ref="K1064">XLOOKUP(I1064,customers_clean!$A$2:$A$701,customers_clean!$C$2:$C$701)</f>
        <v> Yara Khan</v>
      </c>
      <c r="L1064" s="10" t="str">
        <f t="array" ref="L1064">XLOOKUP(I1064,customers_clean!$A$2:$A$701,customers_clean!$D$2:$D$701)</f>
        <v>Yara Khan</v>
      </c>
      <c r="M1064" s="2" t="str">
        <f t="array" ref="M1064">XLOOKUP(I1064,customers_clean!$A$2:$A$701,customers_clean!$I$2:$I$701)</f>
        <v>yara.khan@company.co.uk </v>
      </c>
      <c r="N1064" s="10" t="str">
        <f t="array" ref="N1064">XLOOKUP(I1064,customers_clean!$A$2:$A$701,customers_clean!$H$2:$H$701)</f>
        <v>yara.khan@company.co.uk</v>
      </c>
      <c r="O1064" s="9" t="str">
        <f>IFERROR(__xludf.DUMMYFUNCTION("IF(REGEXMATCH(TRIM(N1064),""^[A-Za-z0-9._%+-]+@[A-Za-z0-9.-]+\.[A-Za-z]{2,}$""),""✅ Valid"",""❌ Invalid"")"),"✅ Valid")</f>
        <v>✅ Valid</v>
      </c>
      <c r="P1064" s="2" t="str">
        <f t="array" ref="P1064">XLOOKUP(I1064,customers_clean!$A$2:$A$701,customers_clean!$K$2:$K$701)</f>
        <v>55379369x8</v>
      </c>
      <c r="Q1064" s="10" t="str">
        <f t="array" ref="Q1064">XLOOKUP(I1064,customers_clean!$A$2:$A$701,customers_clean!$N$2:$N$701)</f>
        <v>553793698</v>
      </c>
      <c r="R1064" s="9" t="str">
        <f t="array" ref="R1064">XLOOKUP(I1064,customers_clean!$A$2:$A$701,customers_clean!$Q$2:$Q$701)</f>
        <v>❌ INVALID</v>
      </c>
      <c r="S1064" s="10" t="s">
        <v>88</v>
      </c>
      <c r="T1064" s="2" t="s">
        <v>210</v>
      </c>
      <c r="U1064" s="2" t="s">
        <v>43</v>
      </c>
      <c r="V1064" s="2" t="s">
        <v>534</v>
      </c>
      <c r="W1064" s="9" t="str">
        <f t="array" ref="W1064">IF(ISNA(XLOOKUP(V1064,products_master_corrected!$A$2:$A$151,products_master_corrected!$A$2:$A$151, NA())),
    "❌ MISSING SKU", "✅")</f>
        <v>✅</v>
      </c>
      <c r="X1064" s="2" t="s">
        <v>535</v>
      </c>
      <c r="Y1064" s="2" t="s">
        <v>30</v>
      </c>
      <c r="Z1064" s="10" t="s">
        <v>179</v>
      </c>
      <c r="AA1064" s="27"/>
      <c r="AB1064" s="9" t="s">
        <v>8677</v>
      </c>
      <c r="AC1064" s="34"/>
      <c r="AD1064" s="34"/>
      <c r="AE1064" s="34"/>
      <c r="AF1064" s="35"/>
      <c r="AG1064" s="36" t="s">
        <v>95</v>
      </c>
      <c r="AH1064" s="2" t="s">
        <v>5928</v>
      </c>
      <c r="AI1064" s="10" t="s">
        <v>181</v>
      </c>
      <c r="AJ1064" s="2" t="s">
        <v>294</v>
      </c>
      <c r="AK1064" s="10" t="s">
        <v>80</v>
      </c>
    </row>
    <row r="1065" ht="15.75" customHeight="1">
      <c r="A1065" s="2" t="s">
        <v>6216</v>
      </c>
      <c r="B1065" s="12">
        <v>45334.0</v>
      </c>
      <c r="C1065" s="2" t="str">
        <f>IFERROR(__xludf.DUMMYFUNCTION("IF(ISNUMBER(B1065),TEXT(B1065,""yyyy-MM-dd""),REGEXREPLACE(REGEXREPLACE(TO_TEXT(B1065),""[^0-9a-zA-Z]+"",""-""),""[^0-9]*$"",""""))"),"2024-02-12")</f>
        <v>2024-02-12</v>
      </c>
      <c r="D1065" s="2" t="s">
        <v>8718</v>
      </c>
      <c r="H1065" s="10" t="s">
        <v>8718</v>
      </c>
      <c r="I1065" s="2" t="s">
        <v>6218</v>
      </c>
      <c r="J1065" s="26" t="str">
        <f t="array" ref="J1065">IF(ISNA(XLOOKUP(I1065,customers_clean!$A$2:$A$701,customers_clean!$A$2:$A$701, NA()) ),
   "❌ MISSING CUSTOMER", "✅")</f>
        <v>✅</v>
      </c>
      <c r="K1065" s="2" t="str">
        <f t="array" ref="K1065">XLOOKUP(I1065,customers_clean!$A$2:$A$701,customers_clean!$C$2:$C$701)</f>
        <v>Qi Lopez</v>
      </c>
      <c r="L1065" s="10" t="str">
        <f t="array" ref="L1065">XLOOKUP(I1065,customers_clean!$A$2:$A$701,customers_clean!$D$2:$D$701)</f>
        <v>Qi Lopez</v>
      </c>
      <c r="M1065" s="2" t="str">
        <f t="array" ref="M1065">XLOOKUP(I1065,customers_clean!$A$2:$A$701,customers_clean!$I$2:$I$701)</f>
        <v>qi.lopez@outlook.com</v>
      </c>
      <c r="N1065" s="10" t="str">
        <f t="array" ref="N1065">XLOOKUP(I1065,customers_clean!$A$2:$A$701,customers_clean!$H$2:$H$701)</f>
        <v>qi.lopez@outlook.com</v>
      </c>
      <c r="O1065" s="9" t="str">
        <f>IFERROR(__xludf.DUMMYFUNCTION("IF(REGEXMATCH(TRIM(N1065),""^[A-Za-z0-9._%+-]+@[A-Za-z0-9.-]+\.[A-Za-z]{2,}$""),""✅ Valid"",""❌ Invalid"")"),"✅ Valid")</f>
        <v>✅ Valid</v>
      </c>
      <c r="P1065" s="2" t="str">
        <f t="array" ref="P1065">XLOOKUP(I1065,customers_clean!$A$2:$A$701,customers_clean!$K$2:$K$701)</f>
        <v>(659) 42472</v>
      </c>
      <c r="Q1065" s="10" t="str">
        <f t="array" ref="Q1065">XLOOKUP(I1065,customers_clean!$A$2:$A$701,customers_clean!$N$2:$N$701)</f>
        <v>65942472</v>
      </c>
      <c r="R1065" s="9" t="str">
        <f t="array" ref="R1065">XLOOKUP(I1065,customers_clean!$A$2:$A$701,customers_clean!$Q$2:$Q$701)</f>
        <v>❌ INVALID</v>
      </c>
      <c r="S1065" s="10" t="s">
        <v>608</v>
      </c>
      <c r="T1065" s="2" t="s">
        <v>42</v>
      </c>
      <c r="U1065" s="2" t="s">
        <v>480</v>
      </c>
      <c r="V1065" s="2" t="s">
        <v>581</v>
      </c>
      <c r="W1065" s="9" t="str">
        <f t="array" ref="W1065">IF(ISNA(XLOOKUP(V1065,products_master_corrected!$A$2:$A$151,products_master_corrected!$A$2:$A$151, NA())),
    "❌ MISSING SKU", "✅")</f>
        <v>✅</v>
      </c>
      <c r="X1065" s="2" t="s">
        <v>280</v>
      </c>
      <c r="Y1065" s="2" t="s">
        <v>582</v>
      </c>
      <c r="Z1065" s="10" t="s">
        <v>63</v>
      </c>
      <c r="AA1065" s="27">
        <v>1.0</v>
      </c>
      <c r="AB1065" s="9" t="s">
        <v>8649</v>
      </c>
      <c r="AC1065" s="28">
        <f t="array" ref="AC1065">XLOOKUP(V1065,products_master_corrected!$A$2:$A$151,products_master_corrected!$E$2:$E$151)</f>
        <v>120.1</v>
      </c>
      <c r="AD1065" s="28">
        <f t="shared" ref="AD1065:AD1151" si="126">AA1065*AC1065</f>
        <v>120.1</v>
      </c>
      <c r="AE1065" s="28">
        <f t="array" ref="AE1065">XLOOKUP(V1065,products_master_corrected!$A$2:$A$151,products_master_corrected!$H$2:$H$151)</f>
        <v>134.93</v>
      </c>
      <c r="AF1065" s="29">
        <f t="shared" ref="AF1065:AF1151" si="127">AA1065*AE1065</f>
        <v>134.93</v>
      </c>
      <c r="AG1065" s="32" t="s">
        <v>8658</v>
      </c>
      <c r="AH1065" s="2" t="s">
        <v>66</v>
      </c>
      <c r="AI1065" s="10" t="s">
        <v>66</v>
      </c>
      <c r="AJ1065" s="2" t="s">
        <v>818</v>
      </c>
      <c r="AK1065" s="10" t="s">
        <v>818</v>
      </c>
    </row>
    <row r="1066" ht="15.75" customHeight="1">
      <c r="A1066" s="2" t="s">
        <v>1688</v>
      </c>
      <c r="B1066" s="12" t="s">
        <v>1689</v>
      </c>
      <c r="C1066" s="2" t="str">
        <f>IFERROR(__xludf.DUMMYFUNCTION("IF(ISNUMBER(B1066),TEXT(B1066,""yyyy-MM-dd""),REGEXREPLACE(REGEXREPLACE(TO_TEXT(B1066),""[^0-9a-zA-Z]+"",""-""),""[^0-9]*$"",""""))"),"03-29-2024")</f>
        <v>03-29-2024</v>
      </c>
      <c r="D1066" s="2" t="str">
        <f>TEXT(C1066,"yyyy-MM-dd")</f>
        <v>03-29-2024</v>
      </c>
      <c r="E1066" s="2" t="s">
        <v>8942</v>
      </c>
      <c r="H1066" s="10" t="s">
        <v>8942</v>
      </c>
      <c r="I1066" s="2" t="s">
        <v>1690</v>
      </c>
      <c r="J1066" s="26" t="str">
        <f t="array" ref="J1066">IF(ISNA(XLOOKUP(I1066,customers_clean!$A$2:$A$701,customers_clean!$A$2:$A$701, NA()) ),
   "❌ MISSING CUSTOMER", "✅")</f>
        <v>✅</v>
      </c>
      <c r="K1066" s="2" t="str">
        <f t="array" ref="K1066">XLOOKUP(I1066,customers_clean!$A$2:$A$701,customers_clean!$C$2:$C$701)</f>
        <v>IQ JOHNSON</v>
      </c>
      <c r="L1066" s="10" t="str">
        <f t="array" ref="L1066">XLOOKUP(I1066,customers_clean!$A$2:$A$701,customers_clean!$D$2:$D$701)</f>
        <v>Qi Johnson</v>
      </c>
      <c r="M1066" s="2" t="str">
        <f t="array" ref="M1066">XLOOKUP(I1066,customers_clean!$A$2:$A$701,customers_clean!$I$2:$I$701)</f>
        <v> qi.johnson@company.co.uk</v>
      </c>
      <c r="N1066" s="10" t="str">
        <f t="array" ref="N1066">XLOOKUP(I1066,customers_clean!$A$2:$A$701,customers_clean!$H$2:$H$701)</f>
        <v>qi.johnson@company.co.uk</v>
      </c>
      <c r="O1066" s="9" t="str">
        <f>IFERROR(__xludf.DUMMYFUNCTION("IF(REGEXMATCH(TRIM(N1066),""^[A-Za-z0-9._%+-]+@[A-Za-z0-9.-]+\.[A-Za-z]{2,}$""),""✅ Valid"",""❌ Invalid"")"),"✅ Valid")</f>
        <v>✅ Valid</v>
      </c>
      <c r="P1066" s="2" t="str">
        <f t="array" ref="P1066">XLOOKUP(I1066,customers_clean!$A$2:$A$701,customers_clean!$K$2:$K$701)</f>
        <v>688-633-1385</v>
      </c>
      <c r="Q1066" s="10" t="str">
        <f t="array" ref="Q1066">XLOOKUP(I1066,customers_clean!$A$2:$A$701,customers_clean!$N$2:$N$701)</f>
        <v>6886331385</v>
      </c>
      <c r="R1066" s="9" t="str">
        <f t="array" ref="R1066">XLOOKUP(I1066,customers_clean!$A$2:$A$701,customers_clean!$Q$2:$Q$701)</f>
        <v>❌ INVALID</v>
      </c>
      <c r="S1066" s="10" t="s">
        <v>25</v>
      </c>
      <c r="T1066" s="2" t="s">
        <v>26</v>
      </c>
      <c r="U1066" s="2" t="s">
        <v>116</v>
      </c>
      <c r="V1066" s="2" t="s">
        <v>1085</v>
      </c>
      <c r="W1066" s="9" t="str">
        <f t="array" ref="W1066">IF(ISNA(XLOOKUP(V1066,products_master_corrected!$A$2:$A$151,products_master_corrected!$A$2:$A$151, NA())),
    "❌ MISSING SKU", "✅")</f>
        <v>✅</v>
      </c>
      <c r="X1066" s="2" t="s">
        <v>29</v>
      </c>
      <c r="Y1066" s="2" t="s">
        <v>368</v>
      </c>
      <c r="Z1066" s="10" t="s">
        <v>368</v>
      </c>
      <c r="AA1066" s="27">
        <v>1.0</v>
      </c>
      <c r="AB1066" s="9" t="s">
        <v>8649</v>
      </c>
      <c r="AC1066" s="28">
        <f t="array" ref="AC1066">XLOOKUP(V1066,products_master_corrected!$A$2:$A$151,products_master_corrected!$E$2:$E$151)</f>
        <v>171.42</v>
      </c>
      <c r="AD1066" s="28">
        <f t="shared" si="126"/>
        <v>171.42</v>
      </c>
      <c r="AE1066" s="28">
        <f t="array" ref="AE1066">XLOOKUP(V1066,products_master_corrected!$A$2:$A$151,products_master_corrected!$K$2:$K$151)</f>
        <v>881.96</v>
      </c>
      <c r="AF1066" s="29">
        <f t="shared" si="127"/>
        <v>881.96</v>
      </c>
      <c r="AG1066" s="30" t="s">
        <v>95</v>
      </c>
      <c r="AH1066" s="2" t="s">
        <v>238</v>
      </c>
      <c r="AI1066" s="10" t="s">
        <v>66</v>
      </c>
      <c r="AJ1066" s="2" t="s">
        <v>442</v>
      </c>
      <c r="AK1066" s="10" t="s">
        <v>80</v>
      </c>
      <c r="AL1066" s="2" t="s">
        <v>51</v>
      </c>
    </row>
    <row r="1067" ht="15.75" customHeight="1">
      <c r="A1067" s="2" t="s">
        <v>5002</v>
      </c>
      <c r="B1067" s="12">
        <v>45666.802777777775</v>
      </c>
      <c r="C1067" s="2" t="str">
        <f>IFERROR(__xludf.DUMMYFUNCTION("IF(ISNUMBER(B1067),TEXT(B1067,""yyyy-MM-dd""),REGEXREPLACE(REGEXREPLACE(TO_TEXT(B1067),""[^0-9a-zA-Z]+"",""-""),""[^0-9]*$"",""""))"),"2025-01-09")</f>
        <v>2025-01-09</v>
      </c>
      <c r="D1067" s="2" t="s">
        <v>8963</v>
      </c>
      <c r="H1067" s="10" t="s">
        <v>8963</v>
      </c>
      <c r="I1067" s="2" t="s">
        <v>5004</v>
      </c>
      <c r="J1067" s="26" t="str">
        <f t="array" ref="J1067">IF(ISNA(XLOOKUP(I1067,customers_clean!$A$2:$A$701,customers_clean!$A$2:$A$701, NA()) ),
   "❌ MISSING CUSTOMER", "✅")</f>
        <v>✅</v>
      </c>
      <c r="K1067" s="2" t="str">
        <f t="array" ref="K1067">XLOOKUP(I1067,customers_clean!$A$2:$A$701,customers_clean!$C$2:$C$701)</f>
        <v> Rita Dubois</v>
      </c>
      <c r="L1067" s="10" t="str">
        <f t="array" ref="L1067">XLOOKUP(I1067,customers_clean!$A$2:$A$701,customers_clean!$D$2:$D$701)</f>
        <v>Rita Dubois</v>
      </c>
      <c r="M1067" s="2" t="str">
        <f t="array" ref="M1067">XLOOKUP(I1067,customers_clean!$A$2:$A$701,customers_clean!$I$2:$I$701)</f>
        <v>rita.dubois@sho.pio</v>
      </c>
      <c r="N1067" s="10" t="str">
        <f t="array" ref="N1067">XLOOKUP(I1067,customers_clean!$A$2:$A$701,customers_clean!$H$2:$H$701)</f>
        <v>rita.dubois@sho.pio</v>
      </c>
      <c r="O1067" s="9" t="str">
        <f>IFERROR(__xludf.DUMMYFUNCTION("IF(REGEXMATCH(TRIM(N1067),""^[A-Za-z0-9._%+-]+@[A-Za-z0-9.-]+\.[A-Za-z]{2,}$""),""✅ Valid"",""❌ Invalid"")"),"✅ Valid")</f>
        <v>✅ Valid</v>
      </c>
      <c r="P1067" s="2" t="str">
        <f t="array" ref="P1067">XLOOKUP(I1067,customers_clean!$A$2:$A$701,customers_clean!$K$2:$K$701)</f>
        <v>+35316022688 ext 775</v>
      </c>
      <c r="Q1067" s="10" t="str">
        <f t="array" ref="Q1067">XLOOKUP(I1067,customers_clean!$A$2:$A$701,customers_clean!$N$2:$N$701)</f>
        <v>16022688</v>
      </c>
      <c r="R1067" s="9" t="str">
        <f t="array" ref="R1067">XLOOKUP(I1067,customers_clean!$A$2:$A$701,customers_clean!$Q$2:$Q$701)</f>
        <v>❌ INVALID</v>
      </c>
      <c r="S1067" s="10" t="s">
        <v>608</v>
      </c>
      <c r="T1067" s="2" t="s">
        <v>26</v>
      </c>
      <c r="U1067" s="2" t="s">
        <v>103</v>
      </c>
      <c r="V1067" s="2" t="s">
        <v>461</v>
      </c>
      <c r="W1067" s="9" t="str">
        <f t="array" ref="W1067">IF(ISNA(XLOOKUP(V1067,products_master_corrected!$A$2:$A$151,products_master_corrected!$A$2:$A$151, NA())),
    "❌ MISSING SKU", "✅")</f>
        <v>✅</v>
      </c>
      <c r="X1067" s="2" t="s">
        <v>804</v>
      </c>
      <c r="Y1067" s="2" t="s">
        <v>463</v>
      </c>
      <c r="Z1067" s="10" t="s">
        <v>514</v>
      </c>
      <c r="AA1067" s="27">
        <v>1.0</v>
      </c>
      <c r="AB1067" s="9" t="s">
        <v>8649</v>
      </c>
      <c r="AC1067" s="28">
        <f t="array" ref="AC1067">XLOOKUP(V1067,products_master_corrected!$A$2:$A$151,products_master_corrected!$E$2:$E$151)</f>
        <v>17.15</v>
      </c>
      <c r="AD1067" s="28">
        <f t="shared" si="126"/>
        <v>17.15</v>
      </c>
      <c r="AE1067" s="28">
        <f t="array" ref="AE1067">XLOOKUP(V1067,products_master_corrected!$A$2:$A$151,products_master_corrected!$H$2:$H$151)</f>
        <v>19.27</v>
      </c>
      <c r="AF1067" s="29">
        <f t="shared" si="127"/>
        <v>19.27</v>
      </c>
      <c r="AG1067" s="32" t="s">
        <v>8658</v>
      </c>
      <c r="AH1067" s="2" t="s">
        <v>157</v>
      </c>
      <c r="AI1067" s="10" t="s">
        <v>143</v>
      </c>
      <c r="AJ1067" s="2" t="s">
        <v>80</v>
      </c>
      <c r="AK1067" s="10" t="s">
        <v>80</v>
      </c>
      <c r="AL1067" s="2" t="s">
        <v>67</v>
      </c>
    </row>
    <row r="1068" ht="15.75" customHeight="1">
      <c r="A1068" s="2" t="s">
        <v>6131</v>
      </c>
      <c r="B1068" s="12" t="s">
        <v>6132</v>
      </c>
      <c r="C1068" s="2" t="str">
        <f>IFERROR(__xludf.DUMMYFUNCTION("IF(ISNUMBER(B1068),TEXT(B1068,""yyyy-MM-dd""),REGEXREPLACE(REGEXREPLACE(TO_TEXT(B1068),""[^0-9a-zA-Z]+"",""-""),""[^0-9]*$"",""""))"),"03-24-2024")</f>
        <v>03-24-2024</v>
      </c>
      <c r="D1068" s="2" t="str">
        <f>TEXT(C1068,"yyyy-MM-dd")</f>
        <v>03-24-2024</v>
      </c>
      <c r="E1068" s="2" t="s">
        <v>5844</v>
      </c>
      <c r="H1068" s="10" t="s">
        <v>5844</v>
      </c>
      <c r="I1068" s="2" t="s">
        <v>2259</v>
      </c>
      <c r="J1068" s="26" t="str">
        <f t="array" ref="J1068">IF(ISNA(XLOOKUP(I1068,customers_clean!$A$2:$A$701,customers_clean!$A$2:$A$701, NA()) ),
   "❌ MISSING CUSTOMER", "✅")</f>
        <v>✅</v>
      </c>
      <c r="K1068" s="2" t="str">
        <f t="array" ref="K1068">XLOOKUP(I1068,customers_clean!$A$2:$A$701,customers_clean!$C$2:$C$701)</f>
        <v>Omar Rodriguez</v>
      </c>
      <c r="L1068" s="10" t="str">
        <f t="array" ref="L1068">XLOOKUP(I1068,customers_clean!$A$2:$A$701,customers_clean!$D$2:$D$701)</f>
        <v>Omar Rodriguez</v>
      </c>
      <c r="M1068" s="2" t="str">
        <f t="array" ref="M1068">XLOOKUP(I1068,customers_clean!$A$2:$A$701,customers_clean!$I$2:$I$701)</f>
        <v>omar.ordriguez@gmail.com </v>
      </c>
      <c r="N1068" s="10" t="str">
        <f t="array" ref="N1068">XLOOKUP(I1068,customers_clean!$A$2:$A$701,customers_clean!$H$2:$H$701)</f>
        <v>omar.ordriguez@gmail.com</v>
      </c>
      <c r="O1068" s="9" t="str">
        <f>IFERROR(__xludf.DUMMYFUNCTION("IF(REGEXMATCH(TRIM(N1068),""^[A-Za-z0-9._%+-]+@[A-Za-z0-9.-]+\.[A-Za-z]{2,}$""),""✅ Valid"",""❌ Invalid"")"),"✅ Valid")</f>
        <v>✅ Valid</v>
      </c>
      <c r="P1068" s="2" t="str">
        <f t="array" ref="P1068">XLOOKUP(I1068,customers_clean!$A$2:$A$701,customers_clean!$K$2:$K$701)</f>
        <v>33-092-991996</v>
      </c>
      <c r="Q1068" s="10" t="str">
        <f t="array" ref="Q1068">XLOOKUP(I1068,customers_clean!$A$2:$A$701,customers_clean!$N$2:$N$701)</f>
        <v>092991996</v>
      </c>
      <c r="R1068" s="9" t="str">
        <f t="array" ref="R1068">XLOOKUP(I1068,customers_clean!$A$2:$A$701,customers_clean!$Q$2:$Q$701)</f>
        <v>❌ INVALID</v>
      </c>
      <c r="S1068" s="10" t="s">
        <v>25</v>
      </c>
      <c r="T1068" s="2" t="s">
        <v>223</v>
      </c>
      <c r="U1068" s="2" t="s">
        <v>522</v>
      </c>
      <c r="V1068" s="2" t="s">
        <v>993</v>
      </c>
      <c r="W1068" s="9" t="str">
        <f t="array" ref="W1068">IF(ISNA(XLOOKUP(V1068,products_master_corrected!$A$2:$A$151,products_master_corrected!$A$2:$A$151, NA())),
    "❌ MISSING SKU", "✅")</f>
        <v>✅</v>
      </c>
      <c r="X1068" s="2" t="s">
        <v>994</v>
      </c>
      <c r="Y1068" s="2" t="s">
        <v>995</v>
      </c>
      <c r="Z1068" s="10" t="s">
        <v>355</v>
      </c>
      <c r="AA1068" s="27">
        <v>1.0</v>
      </c>
      <c r="AB1068" s="9" t="s">
        <v>8649</v>
      </c>
      <c r="AC1068" s="28">
        <f t="array" ref="AC1068">XLOOKUP(V1068,products_master_corrected!$A$2:$A$151,products_master_corrected!$E$2:$E$151)</f>
        <v>566.38</v>
      </c>
      <c r="AD1068" s="28">
        <f t="shared" si="126"/>
        <v>566.38</v>
      </c>
      <c r="AE1068" s="28">
        <f t="array" ref="AE1068">XLOOKUP(V1068,products_master_corrected!$A$2:$A$151,products_master_corrected!$K$2:$K$151)</f>
        <v>2914.03</v>
      </c>
      <c r="AF1068" s="29">
        <f t="shared" si="127"/>
        <v>2914.03</v>
      </c>
      <c r="AG1068" s="30" t="s">
        <v>95</v>
      </c>
      <c r="AH1068" s="2" t="s">
        <v>66</v>
      </c>
      <c r="AI1068" s="10" t="s">
        <v>66</v>
      </c>
      <c r="AJ1068" s="2" t="s">
        <v>80</v>
      </c>
      <c r="AK1068" s="10" t="s">
        <v>80</v>
      </c>
      <c r="AL1068" s="2" t="s">
        <v>67</v>
      </c>
    </row>
    <row r="1069" ht="15.75" customHeight="1">
      <c r="A1069" s="2" t="s">
        <v>3494</v>
      </c>
      <c r="B1069" s="12">
        <v>45438.0</v>
      </c>
      <c r="C1069" s="2" t="str">
        <f>IFERROR(__xludf.DUMMYFUNCTION("IF(ISNUMBER(B1069),TEXT(B1069,""yyyy-MM-dd""),REGEXREPLACE(REGEXREPLACE(TO_TEXT(B1069),""[^0-9a-zA-Z]+"",""-""),""[^0-9]*$"",""""))"),"2024-05-26")</f>
        <v>2024-05-26</v>
      </c>
      <c r="D1069" s="2" t="s">
        <v>8983</v>
      </c>
      <c r="H1069" s="10" t="s">
        <v>8983</v>
      </c>
      <c r="I1069" s="2" t="s">
        <v>2259</v>
      </c>
      <c r="J1069" s="26" t="str">
        <f t="array" ref="J1069">IF(ISNA(XLOOKUP(I1069,customers_clean!$A$2:$A$701,customers_clean!$A$2:$A$701, NA()) ),
   "❌ MISSING CUSTOMER", "✅")</f>
        <v>✅</v>
      </c>
      <c r="K1069" s="2" t="str">
        <f t="array" ref="K1069">XLOOKUP(I1069,customers_clean!$A$2:$A$701,customers_clean!$C$2:$C$701)</f>
        <v>Omar Rodriguez</v>
      </c>
      <c r="L1069" s="10" t="str">
        <f t="array" ref="L1069">XLOOKUP(I1069,customers_clean!$A$2:$A$701,customers_clean!$D$2:$D$701)</f>
        <v>Omar Rodriguez</v>
      </c>
      <c r="M1069" s="2" t="str">
        <f t="array" ref="M1069">XLOOKUP(I1069,customers_clean!$A$2:$A$701,customers_clean!$I$2:$I$701)</f>
        <v>omar.ordriguez@gmail.com </v>
      </c>
      <c r="N1069" s="10" t="str">
        <f t="array" ref="N1069">XLOOKUP(I1069,customers_clean!$A$2:$A$701,customers_clean!$H$2:$H$701)</f>
        <v>omar.ordriguez@gmail.com</v>
      </c>
      <c r="O1069" s="9" t="str">
        <f>IFERROR(__xludf.DUMMYFUNCTION("IF(REGEXMATCH(TRIM(N1069),""^[A-Za-z0-9._%+-]+@[A-Za-z0-9.-]+\.[A-Za-z]{2,}$""),""✅ Valid"",""❌ Invalid"")"),"✅ Valid")</f>
        <v>✅ Valid</v>
      </c>
      <c r="P1069" s="2" t="str">
        <f t="array" ref="P1069">XLOOKUP(I1069,customers_clean!$A$2:$A$701,customers_clean!$K$2:$K$701)</f>
        <v>33-092-991996</v>
      </c>
      <c r="Q1069" s="10" t="str">
        <f t="array" ref="Q1069">XLOOKUP(I1069,customers_clean!$A$2:$A$701,customers_clean!$N$2:$N$701)</f>
        <v>092991996</v>
      </c>
      <c r="R1069" s="9" t="str">
        <f t="array" ref="R1069">XLOOKUP(I1069,customers_clean!$A$2:$A$701,customers_clean!$Q$2:$Q$701)</f>
        <v>❌ INVALID</v>
      </c>
      <c r="S1069" s="10" t="s">
        <v>25</v>
      </c>
      <c r="T1069" s="2" t="s">
        <v>400</v>
      </c>
      <c r="U1069" s="2" t="s">
        <v>103</v>
      </c>
      <c r="V1069" s="2" t="s">
        <v>965</v>
      </c>
      <c r="W1069" s="9" t="str">
        <f t="array" ref="W1069">IF(ISNA(XLOOKUP(V1069,products_master_corrected!$A$2:$A$151,products_master_corrected!$A$2:$A$151, NA())),
    "❌ MISSING SKU", "✅")</f>
        <v>✅</v>
      </c>
      <c r="X1069" s="2" t="s">
        <v>966</v>
      </c>
      <c r="Y1069" s="2" t="s">
        <v>967</v>
      </c>
      <c r="Z1069" s="10" t="s">
        <v>248</v>
      </c>
      <c r="AA1069" s="27">
        <v>3.0</v>
      </c>
      <c r="AB1069" s="9" t="s">
        <v>8649</v>
      </c>
      <c r="AC1069" s="28">
        <f t="array" ref="AC1069">XLOOKUP(V1069,products_master_corrected!$A$2:$A$151,products_master_corrected!$E$2:$E$151)</f>
        <v>74.59</v>
      </c>
      <c r="AD1069" s="28">
        <f t="shared" si="126"/>
        <v>223.77</v>
      </c>
      <c r="AE1069" s="28">
        <f t="array" ref="AE1069">XLOOKUP(V1069,products_master_corrected!$A$2:$A$151,products_master_corrected!$K$2:$K$151)</f>
        <v>383.77</v>
      </c>
      <c r="AF1069" s="29">
        <f t="shared" si="127"/>
        <v>1151.31</v>
      </c>
      <c r="AG1069" s="30" t="s">
        <v>95</v>
      </c>
      <c r="AH1069" s="2" t="s">
        <v>33</v>
      </c>
      <c r="AI1069" s="10" t="s">
        <v>181</v>
      </c>
      <c r="AJ1069" s="2" t="s">
        <v>432</v>
      </c>
      <c r="AK1069" s="10" t="s">
        <v>80</v>
      </c>
      <c r="AL1069" s="2" t="s">
        <v>133</v>
      </c>
    </row>
    <row r="1070" ht="15.75" customHeight="1">
      <c r="A1070" s="2" t="s">
        <v>2257</v>
      </c>
      <c r="B1070" s="12">
        <v>45607.0</v>
      </c>
      <c r="C1070" s="2" t="str">
        <f>IFERROR(__xludf.DUMMYFUNCTION("IF(ISNUMBER(B1070),TEXT(B1070,""yyyy-MM-dd""),REGEXREPLACE(REGEXREPLACE(TO_TEXT(B1070),""[^0-9a-zA-Z]+"",""-""),""[^0-9]*$"",""""))"),"2024-11-11")</f>
        <v>2024-11-11</v>
      </c>
      <c r="D1070" s="2" t="s">
        <v>2258</v>
      </c>
      <c r="H1070" s="10" t="s">
        <v>2258</v>
      </c>
      <c r="I1070" s="2" t="s">
        <v>2259</v>
      </c>
      <c r="J1070" s="26" t="str">
        <f t="array" ref="J1070">IF(ISNA(XLOOKUP(I1070,customers_clean!$A$2:$A$701,customers_clean!$A$2:$A$701, NA()) ),
   "❌ MISSING CUSTOMER", "✅")</f>
        <v>✅</v>
      </c>
      <c r="K1070" s="2" t="str">
        <f t="array" ref="K1070">XLOOKUP(I1070,customers_clean!$A$2:$A$701,customers_clean!$C$2:$C$701)</f>
        <v>Omar Rodriguez</v>
      </c>
      <c r="L1070" s="10" t="str">
        <f t="array" ref="L1070">XLOOKUP(I1070,customers_clean!$A$2:$A$701,customers_clean!$D$2:$D$701)</f>
        <v>Omar Rodriguez</v>
      </c>
      <c r="M1070" s="2" t="str">
        <f t="array" ref="M1070">XLOOKUP(I1070,customers_clean!$A$2:$A$701,customers_clean!$I$2:$I$701)</f>
        <v>omar.ordriguez@gmail.com </v>
      </c>
      <c r="N1070" s="10" t="str">
        <f t="array" ref="N1070">XLOOKUP(I1070,customers_clean!$A$2:$A$701,customers_clean!$H$2:$H$701)</f>
        <v>omar.ordriguez@gmail.com</v>
      </c>
      <c r="O1070" s="9" t="str">
        <f>IFERROR(__xludf.DUMMYFUNCTION("IF(REGEXMATCH(TRIM(N1070),""^[A-Za-z0-9._%+-]+@[A-Za-z0-9.-]+\.[A-Za-z]{2,}$""),""✅ Valid"",""❌ Invalid"")"),"✅ Valid")</f>
        <v>✅ Valid</v>
      </c>
      <c r="P1070" s="2" t="str">
        <f t="array" ref="P1070">XLOOKUP(I1070,customers_clean!$A$2:$A$701,customers_clean!$K$2:$K$701)</f>
        <v>33-092-991996</v>
      </c>
      <c r="Q1070" s="10" t="str">
        <f t="array" ref="Q1070">XLOOKUP(I1070,customers_clean!$A$2:$A$701,customers_clean!$N$2:$N$701)</f>
        <v>092991996</v>
      </c>
      <c r="R1070" s="9" t="str">
        <f t="array" ref="R1070">XLOOKUP(I1070,customers_clean!$A$2:$A$701,customers_clean!$Q$2:$Q$701)</f>
        <v>❌ INVALID</v>
      </c>
      <c r="S1070" s="10" t="s">
        <v>25</v>
      </c>
      <c r="T1070" s="2" t="s">
        <v>74</v>
      </c>
      <c r="U1070" s="2" t="s">
        <v>176</v>
      </c>
      <c r="V1070" s="2" t="s">
        <v>803</v>
      </c>
      <c r="W1070" s="9" t="str">
        <f t="array" ref="W1070">IF(ISNA(XLOOKUP(V1070,products_master_corrected!$A$2:$A$151,products_master_corrected!$A$2:$A$151, NA())),
    "❌ MISSING SKU", "✅")</f>
        <v>✅</v>
      </c>
      <c r="X1070" s="2" t="s">
        <v>804</v>
      </c>
      <c r="Y1070" s="2" t="s">
        <v>805</v>
      </c>
      <c r="Z1070" s="10" t="s">
        <v>355</v>
      </c>
      <c r="AA1070" s="27">
        <v>2.0</v>
      </c>
      <c r="AB1070" s="9" t="s">
        <v>8649</v>
      </c>
      <c r="AC1070" s="28">
        <f t="array" ref="AC1070">XLOOKUP(V1070,products_master_corrected!$A$2:$A$151,products_master_corrected!$E$2:$E$151)</f>
        <v>20.39</v>
      </c>
      <c r="AD1070" s="28">
        <f t="shared" si="126"/>
        <v>40.78</v>
      </c>
      <c r="AE1070" s="28">
        <f t="array" ref="AE1070">XLOOKUP(V1070,products_master_corrected!$A$2:$A$151,products_master_corrected!$K$2:$K$151)</f>
        <v>104.91</v>
      </c>
      <c r="AF1070" s="29">
        <f t="shared" si="127"/>
        <v>209.82</v>
      </c>
      <c r="AG1070" s="30" t="s">
        <v>95</v>
      </c>
      <c r="AH1070" s="2" t="s">
        <v>1497</v>
      </c>
      <c r="AI1070" s="10" t="s">
        <v>181</v>
      </c>
      <c r="AJ1070" s="2" t="s">
        <v>1171</v>
      </c>
      <c r="AK1070" s="10" t="s">
        <v>80</v>
      </c>
      <c r="AL1070" s="2" t="s">
        <v>67</v>
      </c>
    </row>
    <row r="1071" ht="15.75" customHeight="1">
      <c r="A1071" s="2" t="s">
        <v>4793</v>
      </c>
      <c r="B1071" s="12">
        <v>45357.0</v>
      </c>
      <c r="C1071" s="2" t="str">
        <f>IFERROR(__xludf.DUMMYFUNCTION("IF(ISNUMBER(B1071),TEXT(B1071,""yyyy-MM-dd""),REGEXREPLACE(REGEXREPLACE(TO_TEXT(B1071),""[^0-9a-zA-Z]+"",""-""),""[^0-9]*$"",""""))"),"2024-03-06")</f>
        <v>2024-03-06</v>
      </c>
      <c r="D1071" s="2" t="s">
        <v>8763</v>
      </c>
      <c r="H1071" s="10" t="s">
        <v>8763</v>
      </c>
      <c r="I1071" s="2" t="s">
        <v>2259</v>
      </c>
      <c r="J1071" s="26" t="str">
        <f t="array" ref="J1071">IF(ISNA(XLOOKUP(I1071,customers_clean!$A$2:$A$701,customers_clean!$A$2:$A$701, NA()) ),
   "❌ MISSING CUSTOMER", "✅")</f>
        <v>✅</v>
      </c>
      <c r="K1071" s="2" t="str">
        <f t="array" ref="K1071">XLOOKUP(I1071,customers_clean!$A$2:$A$701,customers_clean!$C$2:$C$701)</f>
        <v>Omar Rodriguez</v>
      </c>
      <c r="L1071" s="10" t="str">
        <f t="array" ref="L1071">XLOOKUP(I1071,customers_clean!$A$2:$A$701,customers_clean!$D$2:$D$701)</f>
        <v>Omar Rodriguez</v>
      </c>
      <c r="M1071" s="2" t="str">
        <f t="array" ref="M1071">XLOOKUP(I1071,customers_clean!$A$2:$A$701,customers_clean!$I$2:$I$701)</f>
        <v>omar.ordriguez@gmail.com </v>
      </c>
      <c r="N1071" s="10" t="str">
        <f t="array" ref="N1071">XLOOKUP(I1071,customers_clean!$A$2:$A$701,customers_clean!$H$2:$H$701)</f>
        <v>omar.ordriguez@gmail.com</v>
      </c>
      <c r="O1071" s="9" t="str">
        <f>IFERROR(__xludf.DUMMYFUNCTION("IF(REGEXMATCH(TRIM(N1071),""^[A-Za-z0-9._%+-]+@[A-Za-z0-9.-]+\.[A-Za-z]{2,}$""),""✅ Valid"",""❌ Invalid"")"),"✅ Valid")</f>
        <v>✅ Valid</v>
      </c>
      <c r="P1071" s="2" t="str">
        <f t="array" ref="P1071">XLOOKUP(I1071,customers_clean!$A$2:$A$701,customers_clean!$K$2:$K$701)</f>
        <v>33-092-991996</v>
      </c>
      <c r="Q1071" s="10" t="str">
        <f t="array" ref="Q1071">XLOOKUP(I1071,customers_clean!$A$2:$A$701,customers_clean!$N$2:$N$701)</f>
        <v>092991996</v>
      </c>
      <c r="R1071" s="9" t="str">
        <f t="array" ref="R1071">XLOOKUP(I1071,customers_clean!$A$2:$A$701,customers_clean!$Q$2:$Q$701)</f>
        <v>❌ INVALID</v>
      </c>
      <c r="S1071" s="10" t="s">
        <v>25</v>
      </c>
      <c r="T1071" s="2" t="s">
        <v>59</v>
      </c>
      <c r="U1071" s="2" t="s">
        <v>103</v>
      </c>
      <c r="V1071" s="2" t="s">
        <v>661</v>
      </c>
      <c r="W1071" s="9" t="str">
        <f t="array" ref="W1071">IF(ISNA(XLOOKUP(V1071,products_master_corrected!$A$2:$A$151,products_master_corrected!$A$2:$A$151, NA())),
    "❌ MISSING SKU", "✅")</f>
        <v>✅</v>
      </c>
      <c r="X1071" s="2" t="s">
        <v>423</v>
      </c>
      <c r="Y1071" s="2" t="s">
        <v>368</v>
      </c>
      <c r="Z1071" s="10" t="s">
        <v>368</v>
      </c>
      <c r="AA1071" s="27">
        <v>3.0</v>
      </c>
      <c r="AB1071" s="9" t="s">
        <v>8649</v>
      </c>
      <c r="AC1071" s="28">
        <f t="array" ref="AC1071">XLOOKUP(V1071,products_master_corrected!$A$2:$A$151,products_master_corrected!$E$2:$E$151)</f>
        <v>76.62</v>
      </c>
      <c r="AD1071" s="28">
        <f t="shared" si="126"/>
        <v>229.86</v>
      </c>
      <c r="AE1071" s="28">
        <f t="array" ref="AE1071">XLOOKUP(V1071,products_master_corrected!$A$2:$A$151,products_master_corrected!$K$2:$K$151)</f>
        <v>394.21</v>
      </c>
      <c r="AF1071" s="29">
        <f t="shared" si="127"/>
        <v>1182.63</v>
      </c>
      <c r="AG1071" s="30" t="s">
        <v>95</v>
      </c>
      <c r="AH1071" s="2" t="s">
        <v>49</v>
      </c>
      <c r="AI1071" s="10" t="s">
        <v>49</v>
      </c>
      <c r="AJ1071" s="2" t="s">
        <v>527</v>
      </c>
      <c r="AK1071" s="10" t="s">
        <v>192</v>
      </c>
      <c r="AL1071" s="2" t="s">
        <v>133</v>
      </c>
    </row>
    <row r="1072" ht="15.75" customHeight="1">
      <c r="A1072" s="2" t="s">
        <v>3461</v>
      </c>
      <c r="B1072" s="12">
        <v>45615.0</v>
      </c>
      <c r="C1072" s="2" t="str">
        <f>IFERROR(__xludf.DUMMYFUNCTION("IF(ISNUMBER(B1072),TEXT(B1072,""yyyy-MM-dd""),REGEXREPLACE(REGEXREPLACE(TO_TEXT(B1072),""[^0-9a-zA-Z]+"",""-""),""[^0-9]*$"",""""))"),"2024-11-19")</f>
        <v>2024-11-19</v>
      </c>
      <c r="D1072" s="2" t="s">
        <v>8376</v>
      </c>
      <c r="H1072" s="10" t="s">
        <v>8376</v>
      </c>
      <c r="I1072" s="2" t="s">
        <v>3463</v>
      </c>
      <c r="J1072" s="26" t="str">
        <f t="array" ref="J1072">IF(ISNA(XLOOKUP(I1072,customers_clean!$A$2:$A$701,customers_clean!$A$2:$A$701, NA()) ),
   "❌ MISSING CUSTOMER", "✅")</f>
        <v>✅</v>
      </c>
      <c r="K1072" s="2" t="str">
        <f t="array" ref="K1072">XLOOKUP(I1072,customers_clean!$A$2:$A$701,customers_clean!$C$2:$C$701)</f>
        <v> Wiktor Lee</v>
      </c>
      <c r="L1072" s="10" t="str">
        <f t="array" ref="L1072">XLOOKUP(I1072,customers_clean!$A$2:$A$701,customers_clean!$D$2:$D$701)</f>
        <v>Wiktor Lee</v>
      </c>
      <c r="M1072" s="2" t="str">
        <f t="array" ref="M1072">XLOOKUP(I1072,customers_clean!$A$2:$A$701,customers_clean!$I$2:$I$701)</f>
        <v>wiktor.lee@example.com</v>
      </c>
      <c r="N1072" s="10" t="str">
        <f t="array" ref="N1072">XLOOKUP(I1072,customers_clean!$A$2:$A$701,customers_clean!$H$2:$H$701)</f>
        <v>wiktor.lee@example.com</v>
      </c>
      <c r="O1072" s="9" t="str">
        <f>IFERROR(__xludf.DUMMYFUNCTION("IF(REGEXMATCH(TRIM(N1072),""^[A-Za-z0-9._%+-]+@[A-Za-z0-9.-]+\.[A-Za-z]{2,}$""),""✅ Valid"",""❌ Invalid"")"),"✅ Valid")</f>
        <v>✅ Valid</v>
      </c>
      <c r="P1072" s="2" t="str">
        <f t="array" ref="P1072">XLOOKUP(I1072,customers_clean!$A$2:$A$701,customers_clean!$K$2:$K$701)</f>
        <v>399-690-78</v>
      </c>
      <c r="Q1072" s="10" t="str">
        <f t="array" ref="Q1072">XLOOKUP(I1072,customers_clean!$A$2:$A$701,customers_clean!$N$2:$N$701)</f>
        <v>39969078</v>
      </c>
      <c r="R1072" s="9" t="str">
        <f t="array" ref="R1072">XLOOKUP(I1072,customers_clean!$A$2:$A$701,customers_clean!$Q$2:$Q$701)</f>
        <v>❌ INVALID</v>
      </c>
      <c r="S1072" s="10" t="s">
        <v>608</v>
      </c>
      <c r="T1072" s="2" t="s">
        <v>2949</v>
      </c>
      <c r="U1072" s="2" t="s">
        <v>289</v>
      </c>
      <c r="V1072" s="2" t="s">
        <v>1606</v>
      </c>
      <c r="W1072" s="9" t="str">
        <f t="array" ref="W1072">IF(ISNA(XLOOKUP(V1072,products_master_corrected!$A$2:$A$151,products_master_corrected!$A$2:$A$151, NA())),
    "❌ MISSING SKU", "✅")</f>
        <v>✅</v>
      </c>
      <c r="X1072" s="2" t="s">
        <v>213</v>
      </c>
      <c r="Y1072" s="2" t="s">
        <v>106</v>
      </c>
      <c r="Z1072" s="10" t="s">
        <v>368</v>
      </c>
      <c r="AA1072" s="27">
        <v>2.0</v>
      </c>
      <c r="AB1072" s="9" t="s">
        <v>8649</v>
      </c>
      <c r="AC1072" s="28">
        <f t="array" ref="AC1072">XLOOKUP(V1072,products_master_corrected!$A$2:$A$151,products_master_corrected!$E$2:$E$151)</f>
        <v>1460.15</v>
      </c>
      <c r="AD1072" s="28">
        <f t="shared" si="126"/>
        <v>2920.3</v>
      </c>
      <c r="AE1072" s="28">
        <f t="array" ref="AE1072">XLOOKUP(V1072,products_master_corrected!$A$2:$A$151,products_master_corrected!$H$2:$H$151)</f>
        <v>1640.48</v>
      </c>
      <c r="AF1072" s="29">
        <f t="shared" si="127"/>
        <v>3280.96</v>
      </c>
      <c r="AG1072" s="32" t="s">
        <v>8658</v>
      </c>
      <c r="AH1072" s="2" t="s">
        <v>526</v>
      </c>
      <c r="AI1072" s="10" t="s">
        <v>49</v>
      </c>
      <c r="AJ1072" s="2" t="s">
        <v>80</v>
      </c>
      <c r="AK1072" s="10" t="s">
        <v>80</v>
      </c>
      <c r="AL1072" s="2" t="s">
        <v>81</v>
      </c>
    </row>
    <row r="1073" ht="15.75" customHeight="1">
      <c r="A1073" s="2" t="s">
        <v>5910</v>
      </c>
      <c r="B1073" s="12">
        <v>45782.0</v>
      </c>
      <c r="C1073" s="2" t="str">
        <f>IFERROR(__xludf.DUMMYFUNCTION("IF(ISNUMBER(B1073),TEXT(B1073,""yyyy-MM-dd""),REGEXREPLACE(REGEXREPLACE(TO_TEXT(B1073),""[^0-9a-zA-Z]+"",""-""),""[^0-9]*$"",""""))"),"2025-05-05")</f>
        <v>2025-05-05</v>
      </c>
      <c r="D1073" s="2" t="s">
        <v>8854</v>
      </c>
      <c r="H1073" s="10" t="s">
        <v>8854</v>
      </c>
      <c r="I1073" s="2" t="s">
        <v>3463</v>
      </c>
      <c r="J1073" s="26" t="str">
        <f t="array" ref="J1073">IF(ISNA(XLOOKUP(I1073,customers_clean!$A$2:$A$701,customers_clean!$A$2:$A$701, NA()) ),
   "❌ MISSING CUSTOMER", "✅")</f>
        <v>✅</v>
      </c>
      <c r="K1073" s="2" t="str">
        <f t="array" ref="K1073">XLOOKUP(I1073,customers_clean!$A$2:$A$701,customers_clean!$C$2:$C$701)</f>
        <v> Wiktor Lee</v>
      </c>
      <c r="L1073" s="10" t="str">
        <f t="array" ref="L1073">XLOOKUP(I1073,customers_clean!$A$2:$A$701,customers_clean!$D$2:$D$701)</f>
        <v>Wiktor Lee</v>
      </c>
      <c r="M1073" s="2" t="str">
        <f t="array" ref="M1073">XLOOKUP(I1073,customers_clean!$A$2:$A$701,customers_clean!$I$2:$I$701)</f>
        <v>wiktor.lee@example.com</v>
      </c>
      <c r="N1073" s="10" t="str">
        <f t="array" ref="N1073">XLOOKUP(I1073,customers_clean!$A$2:$A$701,customers_clean!$H$2:$H$701)</f>
        <v>wiktor.lee@example.com</v>
      </c>
      <c r="O1073" s="9" t="str">
        <f>IFERROR(__xludf.DUMMYFUNCTION("IF(REGEXMATCH(TRIM(N1073),""^[A-Za-z0-9._%+-]+@[A-Za-z0-9.-]+\.[A-Za-z]{2,}$""),""✅ Valid"",""❌ Invalid"")"),"✅ Valid")</f>
        <v>✅ Valid</v>
      </c>
      <c r="P1073" s="2" t="str">
        <f t="array" ref="P1073">XLOOKUP(I1073,customers_clean!$A$2:$A$701,customers_clean!$K$2:$K$701)</f>
        <v>399-690-78</v>
      </c>
      <c r="Q1073" s="10" t="str">
        <f t="array" ref="Q1073">XLOOKUP(I1073,customers_clean!$A$2:$A$701,customers_clean!$N$2:$N$701)</f>
        <v>39969078</v>
      </c>
      <c r="R1073" s="9" t="str">
        <f t="array" ref="R1073">XLOOKUP(I1073,customers_clean!$A$2:$A$701,customers_clean!$Q$2:$Q$701)</f>
        <v>❌ INVALID</v>
      </c>
      <c r="S1073" s="10" t="s">
        <v>608</v>
      </c>
      <c r="T1073" s="2" t="s">
        <v>778</v>
      </c>
      <c r="U1073" s="2" t="s">
        <v>401</v>
      </c>
      <c r="V1073" s="2" t="s">
        <v>28</v>
      </c>
      <c r="W1073" s="9" t="str">
        <f t="array" ref="W1073">IF(ISNA(XLOOKUP(V1073,products_master_corrected!$A$2:$A$151,products_master_corrected!$A$2:$A$151, NA())),
    "❌ MISSING SKU", "✅")</f>
        <v>✅</v>
      </c>
      <c r="X1073" s="2" t="s">
        <v>29</v>
      </c>
      <c r="Y1073" s="2" t="s">
        <v>30</v>
      </c>
      <c r="Z1073" s="10" t="s">
        <v>179</v>
      </c>
      <c r="AA1073" s="27">
        <v>2.0</v>
      </c>
      <c r="AB1073" s="9" t="s">
        <v>8649</v>
      </c>
      <c r="AC1073" s="28">
        <f t="array" ref="AC1073">XLOOKUP(V1073,products_master_corrected!$A$2:$A$151,products_master_corrected!$E$2:$E$151)</f>
        <v>145.2</v>
      </c>
      <c r="AD1073" s="28">
        <f t="shared" si="126"/>
        <v>290.4</v>
      </c>
      <c r="AE1073" s="28">
        <f t="array" ref="AE1073">XLOOKUP(V1073,products_master_corrected!$A$2:$A$151,products_master_corrected!$H$2:$H$151)</f>
        <v>163.13</v>
      </c>
      <c r="AF1073" s="29">
        <f t="shared" si="127"/>
        <v>326.26</v>
      </c>
      <c r="AG1073" s="32" t="s">
        <v>8658</v>
      </c>
      <c r="AH1073" s="2" t="s">
        <v>526</v>
      </c>
      <c r="AI1073" s="10" t="s">
        <v>49</v>
      </c>
      <c r="AJ1073" s="2" t="s">
        <v>80</v>
      </c>
      <c r="AK1073" s="10" t="s">
        <v>80</v>
      </c>
    </row>
    <row r="1074" ht="15.75" customHeight="1">
      <c r="A1074" s="2" t="s">
        <v>5020</v>
      </c>
      <c r="B1074" s="12">
        <v>45653.0</v>
      </c>
      <c r="C1074" s="2" t="str">
        <f>IFERROR(__xludf.DUMMYFUNCTION("IF(ISNUMBER(B1074),TEXT(B1074,""yyyy-MM-dd""),REGEXREPLACE(REGEXREPLACE(TO_TEXT(B1074),""[^0-9a-zA-Z]+"",""-""),""[^0-9]*$"",""""))"),"2024-12-27")</f>
        <v>2024-12-27</v>
      </c>
      <c r="D1074" s="2" t="s">
        <v>8398</v>
      </c>
      <c r="H1074" s="10" t="s">
        <v>8398</v>
      </c>
      <c r="I1074" s="2" t="s">
        <v>5022</v>
      </c>
      <c r="J1074" s="26" t="str">
        <f t="array" ref="J1074">IF(ISNA(XLOOKUP(I1074,customers_clean!$A$2:$A$701,customers_clean!$A$2:$A$701, NA()) ),
   "❌ MISSING CUSTOMER", "✅")</f>
        <v>✅</v>
      </c>
      <c r="K1074" s="2" t="str">
        <f t="array" ref="K1074">XLOOKUP(I1074,customers_clean!$A$2:$A$701,customers_clean!$C$2:$C$701)</f>
        <v>Uma Young</v>
      </c>
      <c r="L1074" s="10" t="str">
        <f t="array" ref="L1074">XLOOKUP(I1074,customers_clean!$A$2:$A$701,customers_clean!$D$2:$D$701)</f>
        <v>Uma Young</v>
      </c>
      <c r="M1074" s="2" t="str">
        <f t="array" ref="M1074">XLOOKUP(I1074,customers_clean!$A$2:$A$701,customers_clean!$I$2:$I$701)</f>
        <v>UMA.YOUNG@YAHOO.COM</v>
      </c>
      <c r="N1074" s="10" t="str">
        <f t="array" ref="N1074">XLOOKUP(I1074,customers_clean!$A$2:$A$701,customers_clean!$H$2:$H$701)</f>
        <v>uma.young@yahoo.com</v>
      </c>
      <c r="O1074" s="9" t="str">
        <f>IFERROR(__xludf.DUMMYFUNCTION("IF(REGEXMATCH(TRIM(N1074),""^[A-Za-z0-9._%+-]+@[A-Za-z0-9.-]+\.[A-Za-z]{2,}$""),""✅ Valid"",""❌ Invalid"")"),"✅ Valid")</f>
        <v>✅ Valid</v>
      </c>
      <c r="P1074" s="33" t="str">
        <f t="array" ref="P1074">XLOOKUP(I1074,customers_clean!$A$2:$A$701,customers_clean!$K$2:$K$701)</f>
        <v>50349914x8</v>
      </c>
      <c r="Q1074" s="10" t="str">
        <f t="array" ref="Q1074">XLOOKUP(I1074,customers_clean!$A$2:$A$701,customers_clean!$N$2:$N$701)</f>
        <v>503499148</v>
      </c>
      <c r="R1074" s="9" t="str">
        <f t="array" ref="R1074">XLOOKUP(I1074,customers_clean!$A$2:$A$701,customers_clean!$Q$2:$Q$701)</f>
        <v>✅ VALID</v>
      </c>
      <c r="S1074" s="10" t="s">
        <v>448</v>
      </c>
      <c r="T1074" s="2" t="s">
        <v>683</v>
      </c>
      <c r="U1074" s="2" t="s">
        <v>512</v>
      </c>
      <c r="V1074" s="2" t="s">
        <v>1168</v>
      </c>
      <c r="W1074" s="9" t="str">
        <f t="array" ref="W1074">IF(ISNA(XLOOKUP(V1074,products_master_corrected!$A$2:$A$151,products_master_corrected!$A$2:$A$151, NA())),
    "❌ MISSING SKU", "✅")</f>
        <v>✅</v>
      </c>
      <c r="X1074" s="2" t="s">
        <v>423</v>
      </c>
      <c r="Y1074" s="2" t="s">
        <v>63</v>
      </c>
      <c r="Z1074" s="10" t="s">
        <v>63</v>
      </c>
      <c r="AA1074" s="27">
        <v>2.0</v>
      </c>
      <c r="AB1074" s="9" t="s">
        <v>8649</v>
      </c>
      <c r="AC1074" s="28">
        <f t="array" ref="AC1074">XLOOKUP(V1074,products_master_corrected!$A$2:$A$151,products_master_corrected!$E$2:$E$151)</f>
        <v>106.64</v>
      </c>
      <c r="AD1074" s="28">
        <f t="shared" si="126"/>
        <v>213.28</v>
      </c>
      <c r="AE1074" s="28">
        <f t="array" ref="AE1074">XLOOKUP(V1074,products_master_corrected!$A$2:$A$151,products_master_corrected!$M$2:$M$151)</f>
        <v>128.99</v>
      </c>
      <c r="AF1074" s="29">
        <f t="shared" si="127"/>
        <v>257.98</v>
      </c>
      <c r="AG1074" s="30" t="s">
        <v>48</v>
      </c>
      <c r="AH1074" s="2" t="s">
        <v>143</v>
      </c>
      <c r="AI1074" s="10" t="s">
        <v>143</v>
      </c>
      <c r="AJ1074" s="2" t="s">
        <v>80</v>
      </c>
      <c r="AK1074" s="10" t="s">
        <v>80</v>
      </c>
    </row>
    <row r="1075" ht="15.75" customHeight="1">
      <c r="A1075" s="2" t="s">
        <v>5174</v>
      </c>
      <c r="B1075" s="12">
        <v>45812.41388888889</v>
      </c>
      <c r="C1075" s="2" t="str">
        <f>IFERROR(__xludf.DUMMYFUNCTION("IF(ISNUMBER(B1075),TEXT(B1075,""yyyy-MM-dd""),REGEXREPLACE(REGEXREPLACE(TO_TEXT(B1075),""[^0-9a-zA-Z]+"",""-""),""[^0-9]*$"",""""))"),"2025-06-04")</f>
        <v>2025-06-04</v>
      </c>
      <c r="D1075" s="2" t="s">
        <v>8986</v>
      </c>
      <c r="H1075" s="10" t="s">
        <v>8986</v>
      </c>
      <c r="I1075" s="2" t="s">
        <v>5022</v>
      </c>
      <c r="J1075" s="26" t="str">
        <f t="array" ref="J1075">IF(ISNA(XLOOKUP(I1075,customers_clean!$A$2:$A$701,customers_clean!$A$2:$A$701, NA()) ),
   "❌ MISSING CUSTOMER", "✅")</f>
        <v>✅</v>
      </c>
      <c r="K1075" s="2" t="str">
        <f t="array" ref="K1075">XLOOKUP(I1075,customers_clean!$A$2:$A$701,customers_clean!$C$2:$C$701)</f>
        <v>Uma Young</v>
      </c>
      <c r="L1075" s="10" t="str">
        <f t="array" ref="L1075">XLOOKUP(I1075,customers_clean!$A$2:$A$701,customers_clean!$D$2:$D$701)</f>
        <v>Uma Young</v>
      </c>
      <c r="M1075" s="2" t="str">
        <f t="array" ref="M1075">XLOOKUP(I1075,customers_clean!$A$2:$A$701,customers_clean!$I$2:$I$701)</f>
        <v>UMA.YOUNG@YAHOO.COM</v>
      </c>
      <c r="N1075" s="10" t="str">
        <f t="array" ref="N1075">XLOOKUP(I1075,customers_clean!$A$2:$A$701,customers_clean!$H$2:$H$701)</f>
        <v>uma.young@yahoo.com</v>
      </c>
      <c r="O1075" s="9" t="str">
        <f>IFERROR(__xludf.DUMMYFUNCTION("IF(REGEXMATCH(TRIM(N1075),""^[A-Za-z0-9._%+-]+@[A-Za-z0-9.-]+\.[A-Za-z]{2,}$""),""✅ Valid"",""❌ Invalid"")"),"✅ Valid")</f>
        <v>✅ Valid</v>
      </c>
      <c r="P1075" s="33" t="str">
        <f t="array" ref="P1075">XLOOKUP(I1075,customers_clean!$A$2:$A$701,customers_clean!$K$2:$K$701)</f>
        <v>50349914x8</v>
      </c>
      <c r="Q1075" s="10" t="str">
        <f t="array" ref="Q1075">XLOOKUP(I1075,customers_clean!$A$2:$A$701,customers_clean!$N$2:$N$701)</f>
        <v>503499148</v>
      </c>
      <c r="R1075" s="9" t="str">
        <f t="array" ref="R1075">XLOOKUP(I1075,customers_clean!$A$2:$A$701,customers_clean!$Q$2:$Q$701)</f>
        <v>✅ VALID</v>
      </c>
      <c r="S1075" s="10" t="s">
        <v>448</v>
      </c>
      <c r="T1075" s="2" t="s">
        <v>210</v>
      </c>
      <c r="U1075" s="2" t="s">
        <v>289</v>
      </c>
      <c r="V1075" s="2" t="s">
        <v>1733</v>
      </c>
      <c r="W1075" s="9" t="str">
        <f t="array" ref="W1075">IF(ISNA(XLOOKUP(V1075,products_master_corrected!$A$2:$A$151,products_master_corrected!$A$2:$A$151, NA())),
    "❌ MISSING SKU", "✅")</f>
        <v>✅</v>
      </c>
      <c r="X1075" s="2" t="s">
        <v>440</v>
      </c>
      <c r="Y1075" s="2" t="s">
        <v>315</v>
      </c>
      <c r="Z1075" s="10" t="s">
        <v>179</v>
      </c>
      <c r="AA1075" s="27">
        <v>5.0</v>
      </c>
      <c r="AB1075" s="9" t="s">
        <v>8649</v>
      </c>
      <c r="AC1075" s="28">
        <f t="array" ref="AC1075">XLOOKUP(V1075,products_master_corrected!$A$2:$A$151,products_master_corrected!$E$2:$E$151)</f>
        <v>35.69</v>
      </c>
      <c r="AD1075" s="28">
        <f t="shared" si="126"/>
        <v>178.45</v>
      </c>
      <c r="AE1075" s="28">
        <f t="array" ref="AE1075">XLOOKUP(V1075,products_master_corrected!$A$2:$A$151,products_master_corrected!$M$2:$M$151)</f>
        <v>43.17</v>
      </c>
      <c r="AF1075" s="29">
        <f t="shared" si="127"/>
        <v>215.85</v>
      </c>
      <c r="AG1075" s="30" t="s">
        <v>48</v>
      </c>
      <c r="AH1075" s="2" t="s">
        <v>370</v>
      </c>
      <c r="AI1075" s="10" t="s">
        <v>143</v>
      </c>
      <c r="AJ1075" s="2" t="s">
        <v>158</v>
      </c>
      <c r="AK1075" s="10" t="s">
        <v>818</v>
      </c>
    </row>
    <row r="1076" ht="15.75" customHeight="1">
      <c r="A1076" s="2" t="s">
        <v>5939</v>
      </c>
      <c r="B1076" s="12">
        <v>45410.0</v>
      </c>
      <c r="C1076" s="2" t="str">
        <f>IFERROR(__xludf.DUMMYFUNCTION("IF(ISNUMBER(B1076),TEXT(B1076,""yyyy-MM-dd""),REGEXREPLACE(REGEXREPLACE(TO_TEXT(B1076),""[^0-9a-zA-Z]+"",""-""),""[^0-9]*$"",""""))"),"2024-04-28")</f>
        <v>2024-04-28</v>
      </c>
      <c r="D1076" s="2" t="s">
        <v>8154</v>
      </c>
      <c r="H1076" s="10" t="s">
        <v>8154</v>
      </c>
      <c r="I1076" s="2" t="s">
        <v>2093</v>
      </c>
      <c r="J1076" s="26" t="str">
        <f t="array" ref="J1076">IF(ISNA(XLOOKUP(I1076,customers_clean!$A$2:$A$701,customers_clean!$A$2:$A$701, NA()) ),
   "❌ MISSING CUSTOMER", "✅")</f>
        <v>✅</v>
      </c>
      <c r="K1076" s="2" t="str">
        <f t="array" ref="K1076">XLOOKUP(I1076,customers_clean!$A$2:$A$701,customers_clean!$C$2:$C$701)</f>
        <v>ADAM YOUNG</v>
      </c>
      <c r="L1076" s="10" t="str">
        <f t="array" ref="L1076">XLOOKUP(I1076,customers_clean!$A$2:$A$701,customers_clean!$D$2:$D$701)</f>
        <v>Adam Young</v>
      </c>
      <c r="M1076" s="2" t="str">
        <f t="array" ref="M1076">XLOOKUP(I1076,customers_clean!$A$2:$A$701,customers_clean!$I$2:$I$701)</f>
        <v>adam.young@outlook.com</v>
      </c>
      <c r="N1076" s="10" t="str">
        <f t="array" ref="N1076">XLOOKUP(I1076,customers_clean!$A$2:$A$701,customers_clean!$H$2:$H$701)</f>
        <v>adam.young@outlook.com</v>
      </c>
      <c r="O1076" s="9" t="str">
        <f>IFERROR(__xludf.DUMMYFUNCTION("IF(REGEXMATCH(TRIM(N1076),""^[A-Za-z0-9._%+-]+@[A-Za-z0-9.-]+\.[A-Za-z]{2,}$""),""✅ Valid"",""❌ Invalid"")"),"✅ Valid")</f>
        <v>✅ Valid</v>
      </c>
      <c r="P1076" s="2">
        <f t="array" ref="P1076">XLOOKUP(I1076,customers_clean!$A$2:$A$701,customers_clean!$K$2:$K$701)</f>
        <v>496184882525</v>
      </c>
      <c r="Q1076" s="10" t="str">
        <f t="array" ref="Q1076">XLOOKUP(I1076,customers_clean!$A$2:$A$701,customers_clean!$N$2:$N$701)</f>
        <v>6184882525</v>
      </c>
      <c r="R1076" s="9" t="str">
        <f t="array" ref="R1076">XLOOKUP(I1076,customers_clean!$A$2:$A$701,customers_clean!$Q$2:$Q$701)</f>
        <v>❌ INVALID</v>
      </c>
      <c r="S1076" s="10" t="s">
        <v>448</v>
      </c>
      <c r="T1076" s="2" t="s">
        <v>778</v>
      </c>
      <c r="U1076" s="2" t="s">
        <v>401</v>
      </c>
      <c r="V1076" s="2" t="s">
        <v>1606</v>
      </c>
      <c r="W1076" s="9" t="str">
        <f t="array" ref="W1076">IF(ISNA(XLOOKUP(V1076,products_master_corrected!$A$2:$A$151,products_master_corrected!$A$2:$A$151, NA())),
    "❌ MISSING SKU", "✅")</f>
        <v>✅</v>
      </c>
      <c r="X1076" s="2" t="s">
        <v>213</v>
      </c>
      <c r="Y1076" s="2" t="s">
        <v>106</v>
      </c>
      <c r="Z1076" s="10" t="s">
        <v>368</v>
      </c>
      <c r="AA1076" s="27">
        <v>3.0</v>
      </c>
      <c r="AB1076" s="9" t="s">
        <v>8649</v>
      </c>
      <c r="AC1076" s="28">
        <f t="array" ref="AC1076">XLOOKUP(V1076,products_master_corrected!$A$2:$A$151,products_master_corrected!$E$2:$E$151)</f>
        <v>1460.15</v>
      </c>
      <c r="AD1076" s="28">
        <f t="shared" si="126"/>
        <v>4380.45</v>
      </c>
      <c r="AE1076" s="28">
        <f t="array" ref="AE1076">XLOOKUP(V1076,products_master_corrected!$A$2:$A$151,products_master_corrected!$M$2:$M$151)</f>
        <v>1766.2</v>
      </c>
      <c r="AF1076" s="29">
        <f t="shared" si="127"/>
        <v>5298.6</v>
      </c>
      <c r="AG1076" s="30" t="s">
        <v>48</v>
      </c>
      <c r="AH1076" s="2" t="s">
        <v>143</v>
      </c>
      <c r="AI1076" s="10" t="s">
        <v>143</v>
      </c>
      <c r="AJ1076" s="2" t="s">
        <v>294</v>
      </c>
      <c r="AK1076" s="10" t="s">
        <v>80</v>
      </c>
      <c r="AL1076" s="2" t="s">
        <v>81</v>
      </c>
    </row>
    <row r="1077" ht="15.75" customHeight="1">
      <c r="A1077" s="2" t="s">
        <v>4557</v>
      </c>
      <c r="B1077" s="12" t="s">
        <v>4558</v>
      </c>
      <c r="C1077" s="2" t="str">
        <f>IFERROR(__xludf.DUMMYFUNCTION("IF(ISNUMBER(B1077),TEXT(B1077,""yyyy-MM-dd""),REGEXREPLACE(REGEXREPLACE(TO_TEXT(B1077),""[^0-9a-zA-Z]+"",""-""),""[^0-9]*$"",""""))"),"06-10-2024")</f>
        <v>06-10-2024</v>
      </c>
      <c r="D1077" s="2" t="s">
        <v>8353</v>
      </c>
      <c r="H1077" s="10" t="s">
        <v>8353</v>
      </c>
      <c r="I1077" s="2" t="s">
        <v>2093</v>
      </c>
      <c r="J1077" s="26" t="str">
        <f t="array" ref="J1077">IF(ISNA(XLOOKUP(I1077,customers_clean!$A$2:$A$701,customers_clean!$A$2:$A$701, NA()) ),
   "❌ MISSING CUSTOMER", "✅")</f>
        <v>✅</v>
      </c>
      <c r="K1077" s="2" t="str">
        <f t="array" ref="K1077">XLOOKUP(I1077,customers_clean!$A$2:$A$701,customers_clean!$C$2:$C$701)</f>
        <v>ADAM YOUNG</v>
      </c>
      <c r="L1077" s="10" t="str">
        <f t="array" ref="L1077">XLOOKUP(I1077,customers_clean!$A$2:$A$701,customers_clean!$D$2:$D$701)</f>
        <v>Adam Young</v>
      </c>
      <c r="M1077" s="2" t="str">
        <f t="array" ref="M1077">XLOOKUP(I1077,customers_clean!$A$2:$A$701,customers_clean!$I$2:$I$701)</f>
        <v>adam.young@outlook.com</v>
      </c>
      <c r="N1077" s="10" t="str">
        <f t="array" ref="N1077">XLOOKUP(I1077,customers_clean!$A$2:$A$701,customers_clean!$H$2:$H$701)</f>
        <v>adam.young@outlook.com</v>
      </c>
      <c r="O1077" s="9" t="str">
        <f>IFERROR(__xludf.DUMMYFUNCTION("IF(REGEXMATCH(TRIM(N1077),""^[A-Za-z0-9._%+-]+@[A-Za-z0-9.-]+\.[A-Za-z]{2,}$""),""✅ Valid"",""❌ Invalid"")"),"✅ Valid")</f>
        <v>✅ Valid</v>
      </c>
      <c r="P1077" s="2">
        <f t="array" ref="P1077">XLOOKUP(I1077,customers_clean!$A$2:$A$701,customers_clean!$K$2:$K$701)</f>
        <v>496184882525</v>
      </c>
      <c r="Q1077" s="10" t="str">
        <f t="array" ref="Q1077">XLOOKUP(I1077,customers_clean!$A$2:$A$701,customers_clean!$N$2:$N$701)</f>
        <v>6184882525</v>
      </c>
      <c r="R1077" s="9" t="str">
        <f t="array" ref="R1077">XLOOKUP(I1077,customers_clean!$A$2:$A$701,customers_clean!$Q$2:$Q$701)</f>
        <v>❌ INVALID</v>
      </c>
      <c r="S1077" s="10" t="s">
        <v>448</v>
      </c>
      <c r="T1077" s="2" t="s">
        <v>3675</v>
      </c>
      <c r="U1077" s="2" t="s">
        <v>43</v>
      </c>
      <c r="V1077" s="2" t="s">
        <v>1495</v>
      </c>
      <c r="W1077" s="9" t="str">
        <f t="array" ref="W1077">IF(ISNA(XLOOKUP(V1077,products_master_corrected!$A$2:$A$151,products_master_corrected!$A$2:$A$151, NA())),
    "❌ MISSING SKU", "✅")</f>
        <v>✅</v>
      </c>
      <c r="X1077" s="2" t="s">
        <v>1138</v>
      </c>
      <c r="Y1077" s="2" t="s">
        <v>248</v>
      </c>
      <c r="Z1077" s="10" t="s">
        <v>248</v>
      </c>
      <c r="AA1077" s="27">
        <v>1.0</v>
      </c>
      <c r="AB1077" s="9" t="s">
        <v>8649</v>
      </c>
      <c r="AC1077" s="28">
        <f t="array" ref="AC1077">XLOOKUP(V1077,products_master_corrected!$A$2:$A$151,products_master_corrected!$E$2:$E$151)</f>
        <v>248.14</v>
      </c>
      <c r="AD1077" s="28">
        <f t="shared" si="126"/>
        <v>248.14</v>
      </c>
      <c r="AE1077" s="28">
        <f t="array" ref="AE1077">XLOOKUP(V1077,products_master_corrected!$A$2:$A$151,products_master_corrected!$M$2:$M$151)</f>
        <v>300.15</v>
      </c>
      <c r="AF1077" s="29">
        <f t="shared" si="127"/>
        <v>300.15</v>
      </c>
      <c r="AG1077" s="30" t="s">
        <v>48</v>
      </c>
      <c r="AH1077" s="2" t="s">
        <v>4560</v>
      </c>
      <c r="AI1077" s="10" t="s">
        <v>49</v>
      </c>
      <c r="AJ1077" s="2" t="s">
        <v>294</v>
      </c>
      <c r="AK1077" s="10" t="s">
        <v>80</v>
      </c>
      <c r="AL1077" s="2" t="s">
        <v>133</v>
      </c>
    </row>
    <row r="1078" ht="15.75" customHeight="1">
      <c r="A1078" s="2" t="s">
        <v>2091</v>
      </c>
      <c r="B1078" s="12" t="s">
        <v>2092</v>
      </c>
      <c r="C1078" s="2" t="str">
        <f>IFERROR(__xludf.DUMMYFUNCTION("IF(ISNUMBER(B1078),TEXT(B1078,""yyyy-MM-dd""),REGEXREPLACE(REGEXREPLACE(TO_TEXT(B1078),""[^0-9a-zA-Z]+"",""-""),""[^0-9]*$"",""""))"),"15-11-2023")</f>
        <v>15-11-2023</v>
      </c>
      <c r="D1078" s="2" t="s">
        <v>9006</v>
      </c>
      <c r="H1078" s="10" t="s">
        <v>9006</v>
      </c>
      <c r="I1078" s="2" t="s">
        <v>2093</v>
      </c>
      <c r="J1078" s="26" t="str">
        <f t="array" ref="J1078">IF(ISNA(XLOOKUP(I1078,customers_clean!$A$2:$A$701,customers_clean!$A$2:$A$701, NA()) ),
   "❌ MISSING CUSTOMER", "✅")</f>
        <v>✅</v>
      </c>
      <c r="K1078" s="2" t="str">
        <f t="array" ref="K1078">XLOOKUP(I1078,customers_clean!$A$2:$A$701,customers_clean!$C$2:$C$701)</f>
        <v>ADAM YOUNG</v>
      </c>
      <c r="L1078" s="10" t="str">
        <f t="array" ref="L1078">XLOOKUP(I1078,customers_clean!$A$2:$A$701,customers_clean!$D$2:$D$701)</f>
        <v>Adam Young</v>
      </c>
      <c r="M1078" s="2" t="str">
        <f t="array" ref="M1078">XLOOKUP(I1078,customers_clean!$A$2:$A$701,customers_clean!$I$2:$I$701)</f>
        <v>adam.young@outlook.com</v>
      </c>
      <c r="N1078" s="10" t="str">
        <f t="array" ref="N1078">XLOOKUP(I1078,customers_clean!$A$2:$A$701,customers_clean!$H$2:$H$701)</f>
        <v>adam.young@outlook.com</v>
      </c>
      <c r="O1078" s="9" t="str">
        <f>IFERROR(__xludf.DUMMYFUNCTION("IF(REGEXMATCH(TRIM(N1078),""^[A-Za-z0-9._%+-]+@[A-Za-z0-9.-]+\.[A-Za-z]{2,}$""),""✅ Valid"",""❌ Invalid"")"),"✅ Valid")</f>
        <v>✅ Valid</v>
      </c>
      <c r="P1078" s="2">
        <f t="array" ref="P1078">XLOOKUP(I1078,customers_clean!$A$2:$A$701,customers_clean!$K$2:$K$701)</f>
        <v>496184882525</v>
      </c>
      <c r="Q1078" s="10" t="str">
        <f t="array" ref="Q1078">XLOOKUP(I1078,customers_clean!$A$2:$A$701,customers_clean!$N$2:$N$701)</f>
        <v>6184882525</v>
      </c>
      <c r="R1078" s="9" t="str">
        <f t="array" ref="R1078">XLOOKUP(I1078,customers_clean!$A$2:$A$701,customers_clean!$Q$2:$Q$701)</f>
        <v>❌ INVALID</v>
      </c>
      <c r="S1078" s="10" t="s">
        <v>448</v>
      </c>
      <c r="T1078" s="2" t="s">
        <v>59</v>
      </c>
      <c r="U1078" s="2" t="s">
        <v>500</v>
      </c>
      <c r="V1078" s="2" t="s">
        <v>189</v>
      </c>
      <c r="W1078" s="9" t="str">
        <f t="array" ref="W1078">IF(ISNA(XLOOKUP(V1078,products_master_corrected!$A$2:$A$151,products_master_corrected!$A$2:$A$151, NA())),
    "❌ MISSING SKU", "✅")</f>
        <v>✅</v>
      </c>
      <c r="X1078" s="2" t="s">
        <v>190</v>
      </c>
      <c r="Y1078" s="2" t="s">
        <v>167</v>
      </c>
      <c r="Z1078" s="10" t="str">
        <f>PROPER(TRIM(Y1078))</f>
        <v>Monitors</v>
      </c>
      <c r="AA1078" s="27">
        <v>1.0</v>
      </c>
      <c r="AB1078" s="9" t="s">
        <v>8649</v>
      </c>
      <c r="AC1078" s="28">
        <f t="array" ref="AC1078">XLOOKUP(V1078,products_master_corrected!$A$2:$A$151,products_master_corrected!$E$2:$E$151)</f>
        <v>57.69</v>
      </c>
      <c r="AD1078" s="28">
        <f t="shared" si="126"/>
        <v>57.69</v>
      </c>
      <c r="AE1078" s="28">
        <f t="array" ref="AE1078">XLOOKUP(V1078,products_master_corrected!$A$2:$A$151,products_master_corrected!$M$2:$M$151)</f>
        <v>69.78</v>
      </c>
      <c r="AF1078" s="29">
        <f t="shared" si="127"/>
        <v>69.78</v>
      </c>
      <c r="AG1078" s="30" t="s">
        <v>48</v>
      </c>
      <c r="AH1078" s="2" t="s">
        <v>181</v>
      </c>
      <c r="AI1078" s="10" t="s">
        <v>181</v>
      </c>
      <c r="AJ1078" s="2" t="s">
        <v>527</v>
      </c>
      <c r="AK1078" s="10" t="s">
        <v>192</v>
      </c>
      <c r="AL1078" s="2" t="s">
        <v>81</v>
      </c>
    </row>
    <row r="1079" ht="15.75" customHeight="1">
      <c r="A1079" s="2" t="s">
        <v>2242</v>
      </c>
      <c r="B1079" s="12">
        <v>45422.00555555556</v>
      </c>
      <c r="C1079" s="2" t="str">
        <f>IFERROR(__xludf.DUMMYFUNCTION("IF(ISNUMBER(B1079),TEXT(B1079,""yyyy-MM-dd""),REGEXREPLACE(REGEXREPLACE(TO_TEXT(B1079),""[^0-9a-zA-Z]+"",""-""),""[^0-9]*$"",""""))"),"2024-05-10")</f>
        <v>2024-05-10</v>
      </c>
      <c r="D1079" s="2" t="s">
        <v>8996</v>
      </c>
      <c r="H1079" s="10" t="s">
        <v>8996</v>
      </c>
      <c r="I1079" s="2" t="s">
        <v>2093</v>
      </c>
      <c r="J1079" s="26" t="str">
        <f t="array" ref="J1079">IF(ISNA(XLOOKUP(I1079,customers_clean!$A$2:$A$701,customers_clean!$A$2:$A$701, NA()) ),
   "❌ MISSING CUSTOMER", "✅")</f>
        <v>✅</v>
      </c>
      <c r="K1079" s="2" t="str">
        <f t="array" ref="K1079">XLOOKUP(I1079,customers_clean!$A$2:$A$701,customers_clean!$C$2:$C$701)</f>
        <v>ADAM YOUNG</v>
      </c>
      <c r="L1079" s="10" t="str">
        <f t="array" ref="L1079">XLOOKUP(I1079,customers_clean!$A$2:$A$701,customers_clean!$D$2:$D$701)</f>
        <v>Adam Young</v>
      </c>
      <c r="M1079" s="2" t="str">
        <f t="array" ref="M1079">XLOOKUP(I1079,customers_clean!$A$2:$A$701,customers_clean!$I$2:$I$701)</f>
        <v>adam.young@outlook.com</v>
      </c>
      <c r="N1079" s="10" t="str">
        <f t="array" ref="N1079">XLOOKUP(I1079,customers_clean!$A$2:$A$701,customers_clean!$H$2:$H$701)</f>
        <v>adam.young@outlook.com</v>
      </c>
      <c r="O1079" s="9" t="str">
        <f>IFERROR(__xludf.DUMMYFUNCTION("IF(REGEXMATCH(TRIM(N1079),""^[A-Za-z0-9._%+-]+@[A-Za-z0-9.-]+\.[A-Za-z]{2,}$""),""✅ Valid"",""❌ Invalid"")"),"✅ Valid")</f>
        <v>✅ Valid</v>
      </c>
      <c r="P1079" s="2">
        <f t="array" ref="P1079">XLOOKUP(I1079,customers_clean!$A$2:$A$701,customers_clean!$K$2:$K$701)</f>
        <v>496184882525</v>
      </c>
      <c r="Q1079" s="10" t="str">
        <f t="array" ref="Q1079">XLOOKUP(I1079,customers_clean!$A$2:$A$701,customers_clean!$N$2:$N$701)</f>
        <v>6184882525</v>
      </c>
      <c r="R1079" s="9" t="str">
        <f t="array" ref="R1079">XLOOKUP(I1079,customers_clean!$A$2:$A$701,customers_clean!$Q$2:$Q$701)</f>
        <v>❌ INVALID</v>
      </c>
      <c r="S1079" s="10" t="s">
        <v>448</v>
      </c>
      <c r="T1079" s="2" t="s">
        <v>223</v>
      </c>
      <c r="U1079" s="2" t="s">
        <v>60</v>
      </c>
      <c r="V1079" s="2" t="s">
        <v>756</v>
      </c>
      <c r="W1079" s="9" t="str">
        <f t="array" ref="W1079">IF(ISNA(XLOOKUP(V1079,products_master_corrected!$A$2:$A$151,products_master_corrected!$A$2:$A$151, NA())),
    "❌ MISSING SKU", "✅")</f>
        <v>✅</v>
      </c>
      <c r="X1079" s="2" t="s">
        <v>8737</v>
      </c>
      <c r="Y1079" s="2" t="s">
        <v>30</v>
      </c>
      <c r="Z1079" s="10" t="s">
        <v>179</v>
      </c>
      <c r="AA1079" s="27">
        <v>5.0</v>
      </c>
      <c r="AB1079" s="9" t="s">
        <v>8649</v>
      </c>
      <c r="AC1079" s="28">
        <f t="array" ref="AC1079">XLOOKUP(V1079,products_master_corrected!$A$2:$A$151,products_master_corrected!$E$2:$E$151)</f>
        <v>61.04</v>
      </c>
      <c r="AD1079" s="28">
        <f t="shared" si="126"/>
        <v>305.2</v>
      </c>
      <c r="AE1079" s="28">
        <f t="array" ref="AE1079">XLOOKUP(V1079,products_master_corrected!$A$2:$A$151,products_master_corrected!$M$2:$M$151)</f>
        <v>73.83</v>
      </c>
      <c r="AF1079" s="29">
        <f t="shared" si="127"/>
        <v>369.15</v>
      </c>
      <c r="AG1079" s="30" t="s">
        <v>48</v>
      </c>
      <c r="AH1079" s="2" t="s">
        <v>33</v>
      </c>
      <c r="AI1079" s="10" t="s">
        <v>181</v>
      </c>
      <c r="AJ1079" s="2" t="s">
        <v>2245</v>
      </c>
      <c r="AK1079" s="10" t="s">
        <v>80</v>
      </c>
      <c r="AL1079" s="2" t="s">
        <v>67</v>
      </c>
    </row>
    <row r="1080" ht="15.75" customHeight="1">
      <c r="A1080" s="2" t="s">
        <v>205</v>
      </c>
      <c r="B1080" s="12">
        <v>45348.0</v>
      </c>
      <c r="C1080" s="2" t="str">
        <f>IFERROR(__xludf.DUMMYFUNCTION("IF(ISNUMBER(B1080),TEXT(B1080,""yyyy-MM-dd""),REGEXREPLACE(REGEXREPLACE(TO_TEXT(B1080),""[^0-9a-zA-Z]+"",""-""),""[^0-9]*$"",""""))"),"2024-02-26")</f>
        <v>2024-02-26</v>
      </c>
      <c r="D1080" s="2" t="s">
        <v>8911</v>
      </c>
      <c r="H1080" s="10" t="s">
        <v>8911</v>
      </c>
      <c r="I1080" s="2" t="s">
        <v>207</v>
      </c>
      <c r="J1080" s="26" t="str">
        <f t="array" ref="J1080">IF(ISNA(XLOOKUP(I1080,customers_clean!$A$2:$A$701,customers_clean!$A$2:$A$701, NA()) ),
   "❌ MISSING CUSTOMER", "✅")</f>
        <v>✅</v>
      </c>
      <c r="K1080" s="2" t="str">
        <f t="array" ref="K1080">XLOOKUP(I1080,customers_clean!$A$2:$A$701,customers_clean!$C$2:$C$701)</f>
        <v>Ken Young </v>
      </c>
      <c r="L1080" s="10" t="str">
        <f t="array" ref="L1080">XLOOKUP(I1080,customers_clean!$A$2:$A$701,customers_clean!$D$2:$D$701)</f>
        <v>Ken Young</v>
      </c>
      <c r="M1080" s="2" t="str">
        <f t="array" ref="M1080">XLOOKUP(I1080,customers_clean!$A$2:$A$701,customers_clean!$I$2:$I$701)</f>
        <v>ken.young@example.com </v>
      </c>
      <c r="N1080" s="10" t="str">
        <f t="array" ref="N1080">XLOOKUP(I1080,customers_clean!$A$2:$A$701,customers_clean!$H$2:$H$701)</f>
        <v>ken.young@example.com</v>
      </c>
      <c r="O1080" s="9" t="str">
        <f>IFERROR(__xludf.DUMMYFUNCTION("IF(REGEXMATCH(TRIM(N1080),""^[A-Za-z0-9._%+-]+@[A-Za-z0-9.-]+\.[A-Za-z]{2,}$""),""✅ Valid"",""❌ Invalid"")"),"✅ Valid")</f>
        <v>✅ Valid</v>
      </c>
      <c r="P1080" s="2" t="str">
        <f t="array" ref="P1080">XLOOKUP(I1080,customers_clean!$A$2:$A$701,customers_clean!$K$2:$K$701)</f>
        <v>+44+816770778 ext 55</v>
      </c>
      <c r="Q1080" s="10" t="str">
        <f t="array" ref="Q1080">XLOOKUP(I1080,customers_clean!$A$2:$A$701,customers_clean!$N$2:$N$701)</f>
        <v>816770778</v>
      </c>
      <c r="R1080" s="9" t="str">
        <f t="array" ref="R1080">XLOOKUP(I1080,customers_clean!$A$2:$A$701,customers_clean!$Q$2:$Q$701)</f>
        <v>❌ INVALID</v>
      </c>
      <c r="S1080" s="10" t="s">
        <v>139</v>
      </c>
      <c r="T1080" s="2" t="s">
        <v>210</v>
      </c>
      <c r="U1080" s="2" t="s">
        <v>211</v>
      </c>
      <c r="V1080" s="2" t="s">
        <v>212</v>
      </c>
      <c r="W1080" s="9" t="str">
        <f t="array" ref="W1080">IF(ISNA(XLOOKUP(V1080,products_master_corrected!$A$2:$A$151,products_master_corrected!$A$2:$A$151, NA())),
    "❌ MISSING SKU", "✅")</f>
        <v>✅</v>
      </c>
      <c r="X1080" s="2" t="s">
        <v>213</v>
      </c>
      <c r="Y1080" s="2" t="s">
        <v>214</v>
      </c>
      <c r="Z1080" s="10" t="s">
        <v>368</v>
      </c>
      <c r="AA1080" s="27">
        <v>1.0</v>
      </c>
      <c r="AB1080" s="9" t="s">
        <v>8649</v>
      </c>
      <c r="AC1080" s="28">
        <f t="array" ref="AC1080">XLOOKUP(V1080,products_master_corrected!$A$2:$A$151,products_master_corrected!$E$2:$E$151)</f>
        <v>1464.12</v>
      </c>
      <c r="AD1080" s="28">
        <f t="shared" si="126"/>
        <v>1464.12</v>
      </c>
      <c r="AE1080" s="28">
        <f t="array" ref="AE1080">XLOOKUP(V1080,products_master_corrected!$A$2:$A$151,products_master_corrected!$L$2:$L$151)</f>
        <v>1583.45</v>
      </c>
      <c r="AF1080" s="29">
        <f t="shared" si="127"/>
        <v>1583.45</v>
      </c>
      <c r="AG1080" s="32" t="s">
        <v>8665</v>
      </c>
      <c r="AH1080" s="2" t="s">
        <v>143</v>
      </c>
      <c r="AI1080" s="10" t="s">
        <v>143</v>
      </c>
      <c r="AJ1080" s="2" t="s">
        <v>216</v>
      </c>
      <c r="AK1080" s="10" t="s">
        <v>818</v>
      </c>
      <c r="AL1080" s="2" t="s">
        <v>67</v>
      </c>
    </row>
    <row r="1081" ht="15.75" customHeight="1">
      <c r="A1081" s="2" t="s">
        <v>1239</v>
      </c>
      <c r="B1081" s="12">
        <v>45267.0</v>
      </c>
      <c r="C1081" s="2" t="str">
        <f>IFERROR(__xludf.DUMMYFUNCTION("IF(ISNUMBER(B1081),TEXT(B1081,""yyyy-MM-dd""),REGEXREPLACE(REGEXREPLACE(TO_TEXT(B1081),""[^0-9a-zA-Z]+"",""-""),""[^0-9]*$"",""""))"),"2023-12-07")</f>
        <v>2023-12-07</v>
      </c>
      <c r="D1081" s="2" t="s">
        <v>8083</v>
      </c>
      <c r="H1081" s="10" t="s">
        <v>8083</v>
      </c>
      <c r="I1081" s="2" t="s">
        <v>1241</v>
      </c>
      <c r="J1081" s="26" t="str">
        <f t="array" ref="J1081">IF(ISNA(XLOOKUP(I1081,customers_clean!$A$2:$A$701,customers_clean!$A$2:$A$701, NA()) ),
   "❌ MISSING CUSTOMER", "✅")</f>
        <v>✅</v>
      </c>
      <c r="K1081" s="2" t="str">
        <f t="array" ref="K1081">XLOOKUP(I1081,customers_clean!$A$2:$A$701,customers_clean!$C$2:$C$701)</f>
        <v>Ethan Dubois</v>
      </c>
      <c r="L1081" s="10" t="str">
        <f t="array" ref="L1081">XLOOKUP(I1081,customers_clean!$A$2:$A$701,customers_clean!$D$2:$D$701)</f>
        <v>Ethan Dubois</v>
      </c>
      <c r="M1081" s="2" t="str">
        <f t="array" ref="M1081">XLOOKUP(I1081,customers_clean!$A$2:$A$701,customers_clean!$I$2:$I$701)</f>
        <v>ethan.dubois@gmail.com </v>
      </c>
      <c r="N1081" s="10" t="str">
        <f t="array" ref="N1081">XLOOKUP(I1081,customers_clean!$A$2:$A$701,customers_clean!$H$2:$H$701)</f>
        <v>ethan.dubois@gmail.com</v>
      </c>
      <c r="O1081" s="9" t="str">
        <f>IFERROR(__xludf.DUMMYFUNCTION("IF(REGEXMATCH(TRIM(N1081),""^[A-Za-z0-9._%+-]+@[A-Za-z0-9.-]+\.[A-Za-z]{2,}$""),""✅ Valid"",""❌ Invalid"")"),"✅ Valid")</f>
        <v>✅ Valid</v>
      </c>
      <c r="P1081" s="33" t="str">
        <f t="array" ref="P1081">XLOOKUP(I1081,customers_clean!$A$2:$A$701,customers_clean!$K$2:$K$701)</f>
        <v>tel:50569978</v>
      </c>
      <c r="Q1081" s="10" t="str">
        <f t="array" ref="Q1081">XLOOKUP(I1081,customers_clean!$A$2:$A$701,customers_clean!$N$2:$N$701)</f>
        <v>50569978</v>
      </c>
      <c r="R1081" s="9" t="str">
        <f t="array" ref="R1081">XLOOKUP(I1081,customers_clean!$A$2:$A$701,customers_clean!$Q$2:$Q$701)</f>
        <v>❌ INVALID</v>
      </c>
      <c r="S1081" s="10" t="s">
        <v>608</v>
      </c>
      <c r="T1081" s="2" t="s">
        <v>74</v>
      </c>
      <c r="U1081" s="2" t="s">
        <v>1245</v>
      </c>
      <c r="V1081" s="2" t="s">
        <v>1246</v>
      </c>
      <c r="W1081" s="9" t="str">
        <f t="array" ref="W1081">IF(ISNA(XLOOKUP(V1081,products_master_corrected!$A$2:$A$151,products_master_corrected!$A$2:$A$151, NA())),
    "❌ MISSING SKU", "✅")</f>
        <v>✅</v>
      </c>
      <c r="X1081" s="2" t="s">
        <v>804</v>
      </c>
      <c r="Y1081" s="2" t="s">
        <v>514</v>
      </c>
      <c r="Z1081" s="10" t="s">
        <v>514</v>
      </c>
      <c r="AA1081" s="27">
        <v>1.0</v>
      </c>
      <c r="AB1081" s="9" t="s">
        <v>8649</v>
      </c>
      <c r="AC1081" s="28">
        <f t="array" ref="AC1081">XLOOKUP(V1081,products_master_corrected!$A$2:$A$151,products_master_corrected!$E$2:$E$151)</f>
        <v>11.43</v>
      </c>
      <c r="AD1081" s="28">
        <f t="shared" si="126"/>
        <v>11.43</v>
      </c>
      <c r="AE1081" s="28">
        <f t="array" ref="AE1081">XLOOKUP(V1081,products_master_corrected!$A$2:$A$151,products_master_corrected!$H$2:$H$151)</f>
        <v>12.84</v>
      </c>
      <c r="AF1081" s="29">
        <f t="shared" si="127"/>
        <v>12.84</v>
      </c>
      <c r="AG1081" s="32" t="s">
        <v>8658</v>
      </c>
      <c r="AH1081" s="2" t="s">
        <v>181</v>
      </c>
      <c r="AI1081" s="10" t="s">
        <v>181</v>
      </c>
      <c r="AJ1081" s="2" t="s">
        <v>144</v>
      </c>
      <c r="AK1081" s="10" t="s">
        <v>818</v>
      </c>
      <c r="AL1081" s="2" t="s">
        <v>81</v>
      </c>
    </row>
    <row r="1082" ht="15.75" customHeight="1">
      <c r="A1082" s="2" t="s">
        <v>5439</v>
      </c>
      <c r="B1082" s="12">
        <v>45310.0</v>
      </c>
      <c r="C1082" s="2" t="str">
        <f>IFERROR(__xludf.DUMMYFUNCTION("IF(ISNUMBER(B1082),TEXT(B1082,""yyyy-MM-dd""),REGEXREPLACE(REGEXREPLACE(TO_TEXT(B1082),""[^0-9a-zA-Z]+"",""-""),""[^0-9]*$"",""""))"),"2024-01-19")</f>
        <v>2024-01-19</v>
      </c>
      <c r="D1082" s="2" t="s">
        <v>9007</v>
      </c>
      <c r="H1082" s="10" t="s">
        <v>9007</v>
      </c>
      <c r="I1082" s="2" t="s">
        <v>3656</v>
      </c>
      <c r="J1082" s="26" t="str">
        <f t="array" ref="J1082">IF(ISNA(XLOOKUP(I1082,customers_clean!$A$2:$A$701,customers_clean!$A$2:$A$701, NA()) ),
   "❌ MISSING CUSTOMER", "✅")</f>
        <v>✅</v>
      </c>
      <c r="K1082" s="2" t="str">
        <f t="array" ref="K1082">XLOOKUP(I1082,customers_clean!$A$2:$A$701,customers_clean!$C$2:$C$701)</f>
        <v>Omar Kowalski</v>
      </c>
      <c r="L1082" s="10" t="str">
        <f t="array" ref="L1082">XLOOKUP(I1082,customers_clean!$A$2:$A$701,customers_clean!$D$2:$D$701)</f>
        <v>Omar Kowalski</v>
      </c>
      <c r="M1082" s="2" t="str">
        <f t="array" ref="M1082">XLOOKUP(I1082,customers_clean!$A$2:$A$701,customers_clean!$I$2:$I$701)</f>
        <v>omar.kowalski@company.co.ku</v>
      </c>
      <c r="N1082" s="10" t="str">
        <f t="array" ref="N1082">XLOOKUP(I1082,customers_clean!$A$2:$A$701,customers_clean!$H$2:$H$701)</f>
        <v>omar.kowalski@company.co.ku</v>
      </c>
      <c r="O1082" s="9" t="str">
        <f>IFERROR(__xludf.DUMMYFUNCTION("IF(REGEXMATCH(TRIM(N1082),""^[A-Za-z0-9._%+-]+@[A-Za-z0-9.-]+\.[A-Za-z]{2,}$""),""✅ Valid"",""❌ Invalid"")"),"✅ Valid")</f>
        <v>✅ Valid</v>
      </c>
      <c r="P1082" s="2" t="str">
        <f t="array" ref="P1082">XLOOKUP(I1082,customers_clean!$A$2:$A$701,customers_clean!$K$2:$K$701)</f>
        <v>3x70862825</v>
      </c>
      <c r="Q1082" s="10" t="str">
        <f t="array" ref="Q1082">XLOOKUP(I1082,customers_clean!$A$2:$A$701,customers_clean!$N$2:$N$701)</f>
        <v>370862825</v>
      </c>
      <c r="R1082" s="9" t="str">
        <f t="array" ref="R1082">XLOOKUP(I1082,customers_clean!$A$2:$A$701,customers_clean!$Q$2:$Q$701)</f>
        <v>❌ INVALID</v>
      </c>
      <c r="S1082" s="31" t="s">
        <v>671</v>
      </c>
      <c r="T1082" s="2" t="s">
        <v>59</v>
      </c>
      <c r="U1082" s="2" t="s">
        <v>480</v>
      </c>
      <c r="V1082" s="2" t="s">
        <v>1263</v>
      </c>
      <c r="W1082" s="9" t="str">
        <f t="array" ref="W1082">IF(ISNA(XLOOKUP(V1082,products_master_corrected!$A$2:$A$151,products_master_corrected!$A$2:$A$151, NA())),
    "❌ MISSING SKU", "✅")</f>
        <v>✅</v>
      </c>
      <c r="X1082" s="2" t="s">
        <v>741</v>
      </c>
      <c r="Y1082" s="2" t="s">
        <v>368</v>
      </c>
      <c r="Z1082" s="10" t="s">
        <v>368</v>
      </c>
      <c r="AA1082" s="27">
        <v>1.0</v>
      </c>
      <c r="AB1082" s="9" t="s">
        <v>8649</v>
      </c>
      <c r="AC1082" s="28">
        <f t="array" ref="AC1082">XLOOKUP(V1082,products_master_corrected!$A$2:$A$151,products_master_corrected!$E$2:$E$151)</f>
        <v>36.2</v>
      </c>
      <c r="AD1082" s="28">
        <f t="shared" si="126"/>
        <v>36.2</v>
      </c>
      <c r="AE1082" s="28">
        <f t="array" ref="AE1082">XLOOKUP(V1082,products_master_corrected!$A$2:$A$151,products_master_corrected!$J$2:$J$151)</f>
        <v>42.22</v>
      </c>
      <c r="AF1082" s="29">
        <f t="shared" si="127"/>
        <v>42.22</v>
      </c>
      <c r="AG1082" s="32" t="s">
        <v>8656</v>
      </c>
      <c r="AH1082" s="2" t="s">
        <v>664</v>
      </c>
      <c r="AI1082" s="10" t="s">
        <v>66</v>
      </c>
      <c r="AJ1082" s="2" t="s">
        <v>169</v>
      </c>
      <c r="AK1082" s="10" t="s">
        <v>261</v>
      </c>
      <c r="AL1082" s="2" t="s">
        <v>133</v>
      </c>
    </row>
    <row r="1083" ht="15.75" customHeight="1">
      <c r="A1083" s="2" t="s">
        <v>3654</v>
      </c>
      <c r="B1083" s="12">
        <v>45028.0</v>
      </c>
      <c r="C1083" s="2" t="str">
        <f>IFERROR(__xludf.DUMMYFUNCTION("IF(ISNUMBER(B1083),TEXT(B1083,""yyyy-MM-dd""),REGEXREPLACE(REGEXREPLACE(TO_TEXT(B1083),""[^0-9a-zA-Z]+"",""-""),""[^0-9]*$"",""""))"),"2023-04-12")</f>
        <v>2023-04-12</v>
      </c>
      <c r="D1083" s="2" t="s">
        <v>7772</v>
      </c>
      <c r="H1083" s="10" t="s">
        <v>7772</v>
      </c>
      <c r="I1083" s="2" t="s">
        <v>3656</v>
      </c>
      <c r="J1083" s="26" t="str">
        <f t="array" ref="J1083">IF(ISNA(XLOOKUP(I1083,customers_clean!$A$2:$A$701,customers_clean!$A$2:$A$701, NA()) ),
   "❌ MISSING CUSTOMER", "✅")</f>
        <v>✅</v>
      </c>
      <c r="K1083" s="2" t="str">
        <f t="array" ref="K1083">XLOOKUP(I1083,customers_clean!$A$2:$A$701,customers_clean!$C$2:$C$701)</f>
        <v>Omar Kowalski</v>
      </c>
      <c r="L1083" s="10" t="str">
        <f t="array" ref="L1083">XLOOKUP(I1083,customers_clean!$A$2:$A$701,customers_clean!$D$2:$D$701)</f>
        <v>Omar Kowalski</v>
      </c>
      <c r="M1083" s="2" t="str">
        <f t="array" ref="M1083">XLOOKUP(I1083,customers_clean!$A$2:$A$701,customers_clean!$I$2:$I$701)</f>
        <v>omar.kowalski@company.co.ku</v>
      </c>
      <c r="N1083" s="10" t="str">
        <f t="array" ref="N1083">XLOOKUP(I1083,customers_clean!$A$2:$A$701,customers_clean!$H$2:$H$701)</f>
        <v>omar.kowalski@company.co.ku</v>
      </c>
      <c r="O1083" s="9" t="str">
        <f>IFERROR(__xludf.DUMMYFUNCTION("IF(REGEXMATCH(TRIM(N1083),""^[A-Za-z0-9._%+-]+@[A-Za-z0-9.-]+\.[A-Za-z]{2,}$""),""✅ Valid"",""❌ Invalid"")"),"✅ Valid")</f>
        <v>✅ Valid</v>
      </c>
      <c r="P1083" s="2" t="str">
        <f t="array" ref="P1083">XLOOKUP(I1083,customers_clean!$A$2:$A$701,customers_clean!$K$2:$K$701)</f>
        <v>3x70862825</v>
      </c>
      <c r="Q1083" s="10" t="str">
        <f t="array" ref="Q1083">XLOOKUP(I1083,customers_clean!$A$2:$A$701,customers_clean!$N$2:$N$701)</f>
        <v>370862825</v>
      </c>
      <c r="R1083" s="9" t="str">
        <f t="array" ref="R1083">XLOOKUP(I1083,customers_clean!$A$2:$A$701,customers_clean!$Q$2:$Q$701)</f>
        <v>❌ INVALID</v>
      </c>
      <c r="S1083" s="31" t="s">
        <v>671</v>
      </c>
      <c r="T1083" s="2" t="s">
        <v>42</v>
      </c>
      <c r="U1083" s="2" t="s">
        <v>333</v>
      </c>
      <c r="V1083" s="2" t="s">
        <v>2483</v>
      </c>
      <c r="W1083" s="9" t="str">
        <f t="array" ref="W1083">IF(ISNA(XLOOKUP(V1083,products_master_corrected!$A$2:$A$151,products_master_corrected!$A$2:$A$151, NA())),
    "❌ MISSING SKU", "✅")</f>
        <v>✅</v>
      </c>
      <c r="X1083" s="2" t="s">
        <v>280</v>
      </c>
      <c r="Y1083" s="2" t="s">
        <v>503</v>
      </c>
      <c r="Z1083" s="10" t="str">
        <f>PROPER(TRIM(Y1083))</f>
        <v>Monitors</v>
      </c>
      <c r="AA1083" s="27">
        <v>1.0</v>
      </c>
      <c r="AB1083" s="9" t="s">
        <v>8649</v>
      </c>
      <c r="AC1083" s="28">
        <f t="array" ref="AC1083">XLOOKUP(V1083,products_master_corrected!$A$2:$A$151,products_master_corrected!$E$2:$E$151)</f>
        <v>76.81</v>
      </c>
      <c r="AD1083" s="28">
        <f t="shared" si="126"/>
        <v>76.81</v>
      </c>
      <c r="AE1083" s="28">
        <f t="array" ref="AE1083">XLOOKUP(V1083,products_master_corrected!$A$2:$A$151,products_master_corrected!$J$2:$J$151)</f>
        <v>89.58</v>
      </c>
      <c r="AF1083" s="29">
        <f t="shared" si="127"/>
        <v>89.58</v>
      </c>
      <c r="AG1083" s="32" t="s">
        <v>8656</v>
      </c>
      <c r="AH1083" s="2" t="s">
        <v>2037</v>
      </c>
      <c r="AI1083" s="10" t="s">
        <v>66</v>
      </c>
      <c r="AJ1083" s="2" t="s">
        <v>144</v>
      </c>
      <c r="AK1083" s="10" t="s">
        <v>818</v>
      </c>
      <c r="AL1083" s="2" t="s">
        <v>67</v>
      </c>
    </row>
    <row r="1084" ht="15.75" customHeight="1">
      <c r="A1084" s="2" t="s">
        <v>4621</v>
      </c>
      <c r="B1084" s="12">
        <v>45731.0</v>
      </c>
      <c r="C1084" s="2" t="str">
        <f>IFERROR(__xludf.DUMMYFUNCTION("IF(ISNUMBER(B1084),TEXT(B1084,""yyyy-MM-dd""),REGEXREPLACE(REGEXREPLACE(TO_TEXT(B1084),""[^0-9a-zA-Z]+"",""-""),""[^0-9]*$"",""""))"),"2025-03-15")</f>
        <v>2025-03-15</v>
      </c>
      <c r="D1084" s="2" t="s">
        <v>8772</v>
      </c>
      <c r="H1084" s="10" t="s">
        <v>8772</v>
      </c>
      <c r="I1084" s="2" t="s">
        <v>3932</v>
      </c>
      <c r="J1084" s="26" t="str">
        <f t="array" ref="J1084">IF(ISNA(XLOOKUP(I1084,customers_clean!$A$2:$A$701,customers_clean!$A$2:$A$701, NA()) ),
   "❌ MISSING CUSTOMER", "✅")</f>
        <v>✅</v>
      </c>
      <c r="K1084" s="2" t="str">
        <f t="array" ref="K1084">XLOOKUP(I1084,customers_clean!$A$2:$A$701,customers_clean!$C$2:$C$701)</f>
        <v>Nina Rodriguez</v>
      </c>
      <c r="L1084" s="10" t="str">
        <f t="array" ref="L1084">XLOOKUP(I1084,customers_clean!$A$2:$A$701,customers_clean!$D$2:$D$701)</f>
        <v>Nina Rodriguez</v>
      </c>
      <c r="M1084" s="2" t="str">
        <f t="array" ref="M1084">XLOOKUP(I1084,customers_clean!$A$2:$A$701,customers_clean!$I$2:$I$701)</f>
        <v>nina.rodriguez@shop.io</v>
      </c>
      <c r="N1084" s="10" t="str">
        <f t="array" ref="N1084">XLOOKUP(I1084,customers_clean!$A$2:$A$701,customers_clean!$H$2:$H$701)</f>
        <v>nina.rodriguez@shop.io</v>
      </c>
      <c r="O1084" s="9" t="str">
        <f>IFERROR(__xludf.DUMMYFUNCTION("IF(REGEXMATCH(TRIM(N1084),""^[A-Za-z0-9._%+-]+@[A-Za-z0-9.-]+\.[A-Za-z]{2,}$""),""✅ Valid"",""❌ Invalid"")"),"✅ Valid")</f>
        <v>✅ Valid</v>
      </c>
      <c r="P1084" s="2" t="str">
        <f t="array" ref="P1084">XLOOKUP(I1084,customers_clean!$A$2:$A$701,customers_clean!$K$2:$K$701)</f>
        <v>+33389063623 ext 77</v>
      </c>
      <c r="Q1084" s="10" t="str">
        <f t="array" ref="Q1084">XLOOKUP(I1084,customers_clean!$A$2:$A$701,customers_clean!$N$2:$N$701)</f>
        <v>389063623</v>
      </c>
      <c r="R1084" s="9" t="str">
        <f t="array" ref="R1084">XLOOKUP(I1084,customers_clean!$A$2:$A$701,customers_clean!$Q$2:$Q$701)</f>
        <v>❌ INVALID</v>
      </c>
      <c r="S1084" s="10" t="s">
        <v>114</v>
      </c>
      <c r="T1084" s="2" t="s">
        <v>59</v>
      </c>
      <c r="U1084" s="2" t="s">
        <v>352</v>
      </c>
      <c r="V1084" s="2" t="s">
        <v>1495</v>
      </c>
      <c r="W1084" s="9" t="str">
        <f t="array" ref="W1084">IF(ISNA(XLOOKUP(V1084,products_master_corrected!$A$2:$A$151,products_master_corrected!$A$2:$A$151, NA())),
    "❌ MISSING SKU", "✅")</f>
        <v>✅</v>
      </c>
      <c r="X1084" s="2" t="s">
        <v>1138</v>
      </c>
      <c r="Y1084" s="2" t="s">
        <v>248</v>
      </c>
      <c r="Z1084" s="10" t="s">
        <v>248</v>
      </c>
      <c r="AA1084" s="27">
        <v>2.0</v>
      </c>
      <c r="AB1084" s="9" t="s">
        <v>8649</v>
      </c>
      <c r="AC1084" s="28">
        <f t="array" ref="AC1084">XLOOKUP(V1084,products_master_corrected!$A$2:$A$151,products_master_corrected!$E$2:$E$151)</f>
        <v>248.14</v>
      </c>
      <c r="AD1084" s="28">
        <f t="shared" si="126"/>
        <v>496.28</v>
      </c>
      <c r="AE1084" s="28">
        <f t="array" ref="AE1084">XLOOKUP(V1084,products_master_corrected!$A$2:$A$151,products_master_corrected!$F$2:$F$151)</f>
        <v>248.14</v>
      </c>
      <c r="AF1084" s="29">
        <f t="shared" si="127"/>
        <v>496.28</v>
      </c>
      <c r="AG1084" s="30" t="s">
        <v>65</v>
      </c>
      <c r="AH1084" s="2" t="s">
        <v>526</v>
      </c>
      <c r="AI1084" s="10" t="s">
        <v>49</v>
      </c>
      <c r="AJ1084" s="2" t="s">
        <v>251</v>
      </c>
      <c r="AK1084" s="10" t="s">
        <v>192</v>
      </c>
      <c r="AL1084" s="2" t="s">
        <v>133</v>
      </c>
    </row>
    <row r="1085" ht="15.75" customHeight="1">
      <c r="A1085" s="2" t="s">
        <v>3931</v>
      </c>
      <c r="B1085" s="12" t="s">
        <v>1798</v>
      </c>
      <c r="C1085" s="2" t="str">
        <f>IFERROR(__xludf.DUMMYFUNCTION("IF(ISNUMBER(B1085),TEXT(B1085,""yyyy-MM-dd""),REGEXREPLACE(REGEXREPLACE(TO_TEXT(B1085),""[^0-9a-zA-Z]+"",""-""),""[^0-9]*$"",""""))"),"13-05-2025")</f>
        <v>13-05-2025</v>
      </c>
      <c r="D1085" s="2" t="s">
        <v>8951</v>
      </c>
      <c r="H1085" s="10" t="s">
        <v>8951</v>
      </c>
      <c r="I1085" s="2" t="s">
        <v>3932</v>
      </c>
      <c r="J1085" s="26" t="str">
        <f t="array" ref="J1085">IF(ISNA(XLOOKUP(I1085,customers_clean!$A$2:$A$701,customers_clean!$A$2:$A$701, NA()) ),
   "❌ MISSING CUSTOMER", "✅")</f>
        <v>✅</v>
      </c>
      <c r="K1085" s="2" t="str">
        <f t="array" ref="K1085">XLOOKUP(I1085,customers_clean!$A$2:$A$701,customers_clean!$C$2:$C$701)</f>
        <v>Nina Rodriguez</v>
      </c>
      <c r="L1085" s="10" t="str">
        <f t="array" ref="L1085">XLOOKUP(I1085,customers_clean!$A$2:$A$701,customers_clean!$D$2:$D$701)</f>
        <v>Nina Rodriguez</v>
      </c>
      <c r="M1085" s="2" t="str">
        <f t="array" ref="M1085">XLOOKUP(I1085,customers_clean!$A$2:$A$701,customers_clean!$I$2:$I$701)</f>
        <v>nina.rodriguez@shop.io</v>
      </c>
      <c r="N1085" s="10" t="str">
        <f t="array" ref="N1085">XLOOKUP(I1085,customers_clean!$A$2:$A$701,customers_clean!$H$2:$H$701)</f>
        <v>nina.rodriguez@shop.io</v>
      </c>
      <c r="O1085" s="9" t="str">
        <f>IFERROR(__xludf.DUMMYFUNCTION("IF(REGEXMATCH(TRIM(N1085),""^[A-Za-z0-9._%+-]+@[A-Za-z0-9.-]+\.[A-Za-z]{2,}$""),""✅ Valid"",""❌ Invalid"")"),"✅ Valid")</f>
        <v>✅ Valid</v>
      </c>
      <c r="P1085" s="2" t="str">
        <f t="array" ref="P1085">XLOOKUP(I1085,customers_clean!$A$2:$A$701,customers_clean!$K$2:$K$701)</f>
        <v>+33389063623 ext 77</v>
      </c>
      <c r="Q1085" s="10" t="str">
        <f t="array" ref="Q1085">XLOOKUP(I1085,customers_clean!$A$2:$A$701,customers_clean!$N$2:$N$701)</f>
        <v>389063623</v>
      </c>
      <c r="R1085" s="9" t="str">
        <f t="array" ref="R1085">XLOOKUP(I1085,customers_clean!$A$2:$A$701,customers_clean!$Q$2:$Q$701)</f>
        <v>❌ INVALID</v>
      </c>
      <c r="S1085" s="10" t="s">
        <v>114</v>
      </c>
      <c r="T1085" s="2" t="s">
        <v>323</v>
      </c>
      <c r="U1085" s="2" t="s">
        <v>333</v>
      </c>
      <c r="V1085" s="2" t="s">
        <v>803</v>
      </c>
      <c r="W1085" s="9" t="str">
        <f t="array" ref="W1085">IF(ISNA(XLOOKUP(V1085,products_master_corrected!$A$2:$A$151,products_master_corrected!$A$2:$A$151, NA())),
    "❌ MISSING SKU", "✅")</f>
        <v>✅</v>
      </c>
      <c r="X1085" s="2" t="s">
        <v>804</v>
      </c>
      <c r="Y1085" s="2" t="s">
        <v>805</v>
      </c>
      <c r="Z1085" s="10" t="s">
        <v>355</v>
      </c>
      <c r="AA1085" s="27">
        <v>5.0</v>
      </c>
      <c r="AB1085" s="9" t="s">
        <v>8649</v>
      </c>
      <c r="AC1085" s="28">
        <f t="array" ref="AC1085">XLOOKUP(V1085,products_master_corrected!$A$2:$A$151,products_master_corrected!$E$2:$E$151)</f>
        <v>20.39</v>
      </c>
      <c r="AD1085" s="28">
        <f t="shared" si="126"/>
        <v>101.95</v>
      </c>
      <c r="AE1085" s="28">
        <f t="array" ref="AE1085">XLOOKUP(V1085,products_master_corrected!$A$2:$A$151,products_master_corrected!$F$2:$F$151)</f>
        <v>20.39</v>
      </c>
      <c r="AF1085" s="29">
        <f t="shared" si="127"/>
        <v>101.95</v>
      </c>
      <c r="AG1085" s="30" t="s">
        <v>65</v>
      </c>
      <c r="AH1085" s="2" t="s">
        <v>181</v>
      </c>
      <c r="AI1085" s="10" t="s">
        <v>181</v>
      </c>
      <c r="AJ1085" s="2" t="s">
        <v>306</v>
      </c>
      <c r="AK1085" s="10" t="s">
        <v>192</v>
      </c>
      <c r="AL1085" s="2" t="s">
        <v>67</v>
      </c>
    </row>
    <row r="1086" ht="15.75" customHeight="1">
      <c r="A1086" s="2" t="s">
        <v>4479</v>
      </c>
      <c r="B1086" s="12">
        <v>45603.0</v>
      </c>
      <c r="C1086" s="2" t="str">
        <f>IFERROR(__xludf.DUMMYFUNCTION("IF(ISNUMBER(B1086),TEXT(B1086,""yyyy-MM-dd""),REGEXREPLACE(REGEXREPLACE(TO_TEXT(B1086),""[^0-9a-zA-Z]+"",""-""),""[^0-9]*$"",""""))"),"2024-11-07")</f>
        <v>2024-11-07</v>
      </c>
      <c r="D1086" s="2" t="s">
        <v>8740</v>
      </c>
      <c r="H1086" s="10" t="s">
        <v>8740</v>
      </c>
      <c r="I1086" s="2" t="s">
        <v>4481</v>
      </c>
      <c r="J1086" s="26" t="str">
        <f t="array" ref="J1086">IF(ISNA(XLOOKUP(I1086,customers_clean!$A$2:$A$701,customers_clean!$A$2:$A$701, NA()) ),
   "❌ MISSING CUSTOMER", "✅")</f>
        <v>✅</v>
      </c>
      <c r="K1086" s="2" t="str">
        <f t="array" ref="K1086">XLOOKUP(I1086,customers_clean!$A$2:$A$701,customers_clean!$C$2:$C$701)</f>
        <v> IgorL ee</v>
      </c>
      <c r="L1086" s="10" t="str">
        <f t="array" ref="L1086">XLOOKUP(I1086,customers_clean!$A$2:$A$701,customers_clean!$D$2:$D$701)</f>
        <v>Igor Lee</v>
      </c>
      <c r="M1086" s="2" t="str">
        <f t="array" ref="M1086">XLOOKUP(I1086,customers_clean!$A$2:$A$701,customers_clean!$I$2:$I$701)</f>
        <v> igor.lee@yahoo.com</v>
      </c>
      <c r="N1086" s="10" t="str">
        <f t="array" ref="N1086">XLOOKUP(I1086,customers_clean!$A$2:$A$701,customers_clean!$H$2:$H$701)</f>
        <v>igor.lee@yahoo.com</v>
      </c>
      <c r="O1086" s="9" t="str">
        <f>IFERROR(__xludf.DUMMYFUNCTION("IF(REGEXMATCH(TRIM(N1086),""^[A-Za-z0-9._%+-]+@[A-Za-z0-9.-]+\.[A-Za-z]{2,}$""),""✅ Valid"",""❌ Invalid"")"),"✅ Valid")</f>
        <v>✅ Valid</v>
      </c>
      <c r="P1086" s="2" t="str">
        <f t="array" ref="P1086">XLOOKUP(I1086,customers_clean!$A$2:$A$701,customers_clean!$K$2:$K$701)</f>
        <v>+44 225 767687</v>
      </c>
      <c r="Q1086" s="10" t="str">
        <f t="array" ref="Q1086">XLOOKUP(I1086,customers_clean!$A$2:$A$701,customers_clean!$N$2:$N$701)</f>
        <v>225767687</v>
      </c>
      <c r="R1086" s="9" t="str">
        <f t="array" ref="R1086">XLOOKUP(I1086,customers_clean!$A$2:$A$701,customers_clean!$Q$2:$Q$701)</f>
        <v>❌ INVALID</v>
      </c>
      <c r="S1086" s="10" t="s">
        <v>58</v>
      </c>
      <c r="T1086" s="2" t="s">
        <v>26</v>
      </c>
      <c r="U1086" s="2" t="s">
        <v>60</v>
      </c>
      <c r="V1086" s="2" t="s">
        <v>140</v>
      </c>
      <c r="W1086" s="9" t="str">
        <f t="array" ref="W1086">IF(ISNA(XLOOKUP(V1086,products_master_corrected!$A$2:$A$151,products_master_corrected!$A$2:$A$151, NA())),
    "❌ MISSING SKU", "✅")</f>
        <v>✅</v>
      </c>
      <c r="X1086" s="2" t="s">
        <v>741</v>
      </c>
      <c r="Y1086" s="2" t="s">
        <v>63</v>
      </c>
      <c r="Z1086" s="10" t="s">
        <v>63</v>
      </c>
      <c r="AA1086" s="27">
        <v>3.0</v>
      </c>
      <c r="AB1086" s="9" t="s">
        <v>8649</v>
      </c>
      <c r="AC1086" s="28">
        <f t="array" ref="AC1086">XLOOKUP(V1086,products_master_corrected!$A$2:$A$151,products_master_corrected!$E$2:$E$151)</f>
        <v>30.67</v>
      </c>
      <c r="AD1086" s="28">
        <f t="shared" si="126"/>
        <v>92.01</v>
      </c>
      <c r="AE1086" s="28">
        <f t="array" ref="AE1086">XLOOKUP(V1086,products_master_corrected!$A$2:$A$151,products_master_corrected!$G$2:$G$151)</f>
        <v>35.11</v>
      </c>
      <c r="AF1086" s="29">
        <f t="shared" si="127"/>
        <v>105.33</v>
      </c>
      <c r="AG1086" s="32" t="s">
        <v>8663</v>
      </c>
      <c r="AH1086" s="2" t="s">
        <v>238</v>
      </c>
      <c r="AI1086" s="10" t="s">
        <v>66</v>
      </c>
      <c r="AJ1086" s="2" t="s">
        <v>251</v>
      </c>
      <c r="AK1086" s="10" t="s">
        <v>192</v>
      </c>
    </row>
    <row r="1087" ht="15.75" customHeight="1">
      <c r="A1087" s="2" t="s">
        <v>3243</v>
      </c>
      <c r="B1087" s="12">
        <v>45833.0</v>
      </c>
      <c r="C1087" s="2" t="str">
        <f>IFERROR(__xludf.DUMMYFUNCTION("IF(ISNUMBER(B1087),TEXT(B1087,""yyyy-MM-dd""),REGEXREPLACE(REGEXREPLACE(TO_TEXT(B1087),""[^0-9a-zA-Z]+"",""-""),""[^0-9]*$"",""""))"),"2025-06-25")</f>
        <v>2025-06-25</v>
      </c>
      <c r="D1087" s="2" t="s">
        <v>8675</v>
      </c>
      <c r="H1087" s="10" t="s">
        <v>8675</v>
      </c>
      <c r="I1087" s="2" t="s">
        <v>3245</v>
      </c>
      <c r="J1087" s="26" t="str">
        <f t="array" ref="J1087">IF(ISNA(XLOOKUP(I1087,customers_clean!$A$2:$A$701,customers_clean!$A$2:$A$701, NA()) ),
   "❌ MISSING CUSTOMER", "✅")</f>
        <v>✅</v>
      </c>
      <c r="K1087" s="2" t="str">
        <f t="array" ref="K1087">XLOOKUP(I1087,customers_clean!$A$2:$A$701,customers_clean!$C$2:$C$701)</f>
        <v>Vlad Novak</v>
      </c>
      <c r="L1087" s="10" t="str">
        <f t="array" ref="L1087">XLOOKUP(I1087,customers_clean!$A$2:$A$701,customers_clean!$D$2:$D$701)</f>
        <v>Vlad Novak</v>
      </c>
      <c r="M1087" s="2" t="str">
        <f t="array" ref="M1087">XLOOKUP(I1087,customers_clean!$A$2:$A$701,customers_clean!$I$2:$I$701)</f>
        <v>vlad.novak@company.co.uk </v>
      </c>
      <c r="N1087" s="10" t="str">
        <f t="array" ref="N1087">XLOOKUP(I1087,customers_clean!$A$2:$A$701,customers_clean!$H$2:$H$701)</f>
        <v>vlad.novak@company.co.uk</v>
      </c>
      <c r="O1087" s="9" t="str">
        <f>IFERROR(__xludf.DUMMYFUNCTION("IF(REGEXMATCH(TRIM(N1087),""^[A-Za-z0-9._%+-]+@[A-Za-z0-9.-]+\.[A-Za-z]{2,}$""),""✅ Valid"",""❌ Invalid"")"),"✅ Valid")</f>
        <v>✅ Valid</v>
      </c>
      <c r="P1087" s="2" t="str">
        <f t="array" ref="P1087">XLOOKUP(I1087,customers_clean!$A$2:$A$701,customers_clean!$K$2:$K$701)</f>
        <v>+44-019-5218979</v>
      </c>
      <c r="Q1087" s="10" t="str">
        <f t="array" ref="Q1087">XLOOKUP(I1087,customers_clean!$A$2:$A$701,customers_clean!$N$2:$N$701)</f>
        <v>0195218979</v>
      </c>
      <c r="R1087" s="9" t="str">
        <f t="array" ref="R1087">XLOOKUP(I1087,customers_clean!$A$2:$A$701,customers_clean!$Q$2:$Q$701)</f>
        <v>❌ INVALID</v>
      </c>
      <c r="S1087" s="10" t="s">
        <v>114</v>
      </c>
      <c r="T1087" s="2" t="s">
        <v>26</v>
      </c>
      <c r="U1087" s="2" t="s">
        <v>333</v>
      </c>
      <c r="V1087" s="2" t="s">
        <v>523</v>
      </c>
      <c r="W1087" s="9" t="str">
        <f t="array" ref="W1087">IF(ISNA(XLOOKUP(V1087,products_master_corrected!$A$2:$A$151,products_master_corrected!$A$2:$A$151, NA())),
    "❌ MISSING SKU", "✅")</f>
        <v>✅</v>
      </c>
      <c r="X1087" s="2" t="s">
        <v>524</v>
      </c>
      <c r="Y1087" s="2" t="s">
        <v>368</v>
      </c>
      <c r="Z1087" s="10" t="s">
        <v>368</v>
      </c>
      <c r="AA1087" s="27">
        <v>1.0</v>
      </c>
      <c r="AB1087" s="9" t="s">
        <v>8649</v>
      </c>
      <c r="AC1087" s="28">
        <f t="array" ref="AC1087">XLOOKUP(V1087,products_master_corrected!$A$2:$A$151,products_master_corrected!$E$2:$E$151)</f>
        <v>199.49</v>
      </c>
      <c r="AD1087" s="28">
        <f t="shared" si="126"/>
        <v>199.49</v>
      </c>
      <c r="AE1087" s="28">
        <f t="array" ref="AE1087">XLOOKUP(V1087,products_master_corrected!$A$2:$A$151,products_master_corrected!$F$2:$F$151)</f>
        <v>199.49</v>
      </c>
      <c r="AF1087" s="29">
        <f t="shared" si="127"/>
        <v>199.49</v>
      </c>
      <c r="AG1087" s="30" t="s">
        <v>65</v>
      </c>
      <c r="AH1087" s="2" t="s">
        <v>181</v>
      </c>
      <c r="AI1087" s="10" t="s">
        <v>181</v>
      </c>
      <c r="AJ1087" s="2" t="s">
        <v>120</v>
      </c>
      <c r="AK1087" s="10" t="s">
        <v>818</v>
      </c>
    </row>
    <row r="1088" ht="15.75" customHeight="1">
      <c r="A1088" s="2" t="s">
        <v>5959</v>
      </c>
      <c r="B1088" s="12" t="s">
        <v>5506</v>
      </c>
      <c r="C1088" s="2" t="str">
        <f>IFERROR(__xludf.DUMMYFUNCTION("IF(ISNUMBER(B1088),TEXT(B1088,""yyyy-MM-dd""),REGEXREPLACE(REGEXREPLACE(TO_TEXT(B1088),""[^0-9a-zA-Z]+"",""-""),""[^0-9]*$"",""""))"),"01-30-2024")</f>
        <v>01-30-2024</v>
      </c>
      <c r="D1088" s="2" t="str">
        <f>TEXT(C1088,"yyyy-MM-dd")</f>
        <v>01-30-2024</v>
      </c>
      <c r="E1088" s="2" t="s">
        <v>7004</v>
      </c>
      <c r="H1088" s="10" t="s">
        <v>7004</v>
      </c>
      <c r="I1088" s="2" t="s">
        <v>3245</v>
      </c>
      <c r="J1088" s="26" t="str">
        <f t="array" ref="J1088">IF(ISNA(XLOOKUP(I1088,customers_clean!$A$2:$A$701,customers_clean!$A$2:$A$701, NA()) ),
   "❌ MISSING CUSTOMER", "✅")</f>
        <v>✅</v>
      </c>
      <c r="K1088" s="2" t="str">
        <f t="array" ref="K1088">XLOOKUP(I1088,customers_clean!$A$2:$A$701,customers_clean!$C$2:$C$701)</f>
        <v>Vlad Novak</v>
      </c>
      <c r="L1088" s="10" t="str">
        <f t="array" ref="L1088">XLOOKUP(I1088,customers_clean!$A$2:$A$701,customers_clean!$D$2:$D$701)</f>
        <v>Vlad Novak</v>
      </c>
      <c r="M1088" s="2" t="str">
        <f t="array" ref="M1088">XLOOKUP(I1088,customers_clean!$A$2:$A$701,customers_clean!$I$2:$I$701)</f>
        <v>vlad.novak@company.co.uk </v>
      </c>
      <c r="N1088" s="10" t="str">
        <f t="array" ref="N1088">XLOOKUP(I1088,customers_clean!$A$2:$A$701,customers_clean!$H$2:$H$701)</f>
        <v>vlad.novak@company.co.uk</v>
      </c>
      <c r="O1088" s="9" t="str">
        <f>IFERROR(__xludf.DUMMYFUNCTION("IF(REGEXMATCH(TRIM(N1088),""^[A-Za-z0-9._%+-]+@[A-Za-z0-9.-]+\.[A-Za-z]{2,}$""),""✅ Valid"",""❌ Invalid"")"),"✅ Valid")</f>
        <v>✅ Valid</v>
      </c>
      <c r="P1088" s="2" t="str">
        <f t="array" ref="P1088">XLOOKUP(I1088,customers_clean!$A$2:$A$701,customers_clean!$K$2:$K$701)</f>
        <v>+44-019-5218979</v>
      </c>
      <c r="Q1088" s="10" t="str">
        <f t="array" ref="Q1088">XLOOKUP(I1088,customers_clean!$A$2:$A$701,customers_clean!$N$2:$N$701)</f>
        <v>0195218979</v>
      </c>
      <c r="R1088" s="9" t="str">
        <f t="array" ref="R1088">XLOOKUP(I1088,customers_clean!$A$2:$A$701,customers_clean!$Q$2:$Q$701)</f>
        <v>❌ INVALID</v>
      </c>
      <c r="S1088" s="10" t="s">
        <v>114</v>
      </c>
      <c r="T1088" s="2" t="s">
        <v>223</v>
      </c>
      <c r="U1088" s="2" t="s">
        <v>5961</v>
      </c>
      <c r="V1088" s="2" t="s">
        <v>3101</v>
      </c>
      <c r="W1088" s="9" t="str">
        <f t="array" ref="W1088">IF(ISNA(XLOOKUP(V1088,products_master_corrected!$A$2:$A$151,products_master_corrected!$A$2:$A$151, NA())),
    "❌ MISSING SKU", "✅")</f>
        <v>✅</v>
      </c>
      <c r="X1088" s="2" t="s">
        <v>804</v>
      </c>
      <c r="Y1088" s="2" t="s">
        <v>248</v>
      </c>
      <c r="Z1088" s="10" t="s">
        <v>248</v>
      </c>
      <c r="AA1088" s="27">
        <v>5.0</v>
      </c>
      <c r="AB1088" s="9" t="s">
        <v>8649</v>
      </c>
      <c r="AC1088" s="28">
        <f t="array" ref="AC1088">XLOOKUP(V1088,products_master_corrected!$A$2:$A$151,products_master_corrected!$E$2:$E$151)</f>
        <v>23.37</v>
      </c>
      <c r="AD1088" s="28">
        <f t="shared" si="126"/>
        <v>116.85</v>
      </c>
      <c r="AE1088" s="28">
        <f t="array" ref="AE1088">XLOOKUP(V1088,products_master_corrected!$A$2:$A$151,products_master_corrected!$F$2:$F$151)</f>
        <v>23.37</v>
      </c>
      <c r="AF1088" s="29">
        <f t="shared" si="127"/>
        <v>116.85</v>
      </c>
      <c r="AG1088" s="30" t="s">
        <v>65</v>
      </c>
      <c r="AH1088" s="2" t="s">
        <v>238</v>
      </c>
      <c r="AI1088" s="10" t="s">
        <v>66</v>
      </c>
      <c r="AJ1088" s="2" t="s">
        <v>452</v>
      </c>
      <c r="AK1088" s="10" t="s">
        <v>261</v>
      </c>
    </row>
    <row r="1089" ht="15.75" customHeight="1">
      <c r="A1089" s="2" t="s">
        <v>6081</v>
      </c>
      <c r="B1089" s="12">
        <v>45170.0</v>
      </c>
      <c r="C1089" s="2" t="str">
        <f>IFERROR(__xludf.DUMMYFUNCTION("IF(ISNUMBER(B1089),TEXT(B1089,""yyyy-MM-dd""),REGEXREPLACE(REGEXREPLACE(TO_TEXT(B1089),""[^0-9a-zA-Z]+"",""-""),""[^0-9]*$"",""""))"),"2023-09-01")</f>
        <v>2023-09-01</v>
      </c>
      <c r="D1089" s="2" t="s">
        <v>8148</v>
      </c>
      <c r="H1089" s="10" t="s">
        <v>8148</v>
      </c>
      <c r="I1089" s="2" t="s">
        <v>6083</v>
      </c>
      <c r="J1089" s="26" t="str">
        <f t="array" ref="J1089">IF(ISNA(XLOOKUP(I1089,customers_clean!$A$2:$A$701,customers_clean!$A$2:$A$701, NA()) ),
   "❌ MISSING CUSTOMER", "✅")</f>
        <v>✅</v>
      </c>
      <c r="K1089" s="2" t="str">
        <f t="array" ref="K1089">XLOOKUP(I1089,customers_clean!$A$2:$A$701,customers_clean!$C$2:$C$701)</f>
        <v> Nina Young</v>
      </c>
      <c r="L1089" s="10" t="str">
        <f t="array" ref="L1089">XLOOKUP(I1089,customers_clean!$A$2:$A$701,customers_clean!$D$2:$D$701)</f>
        <v>Nina Young</v>
      </c>
      <c r="M1089" s="2" t="str">
        <f t="array" ref="M1089">XLOOKUP(I1089,customers_clean!$A$2:$A$701,customers_clean!$I$2:$I$701)</f>
        <v> nina.young@gmail.com</v>
      </c>
      <c r="N1089" s="10" t="str">
        <f t="array" ref="N1089">XLOOKUP(I1089,customers_clean!$A$2:$A$701,customers_clean!$H$2:$H$701)</f>
        <v>nina.young@gmail.com</v>
      </c>
      <c r="O1089" s="9" t="str">
        <f>IFERROR(__xludf.DUMMYFUNCTION("IF(REGEXMATCH(TRIM(N1089),""^[A-Za-z0-9._%+-]+@[A-Za-z0-9.-]+\.[A-Za-z]{2,}$""),""✅ Valid"",""❌ Invalid"")"),"✅ Valid")</f>
        <v>✅ Valid</v>
      </c>
      <c r="P1089" s="33" t="str">
        <f t="array" ref="P1089">XLOOKUP(I1089,customers_clean!$A$2:$A$701,customers_clean!$K$2:$K$701)</f>
        <v> 384 923468</v>
      </c>
      <c r="Q1089" s="10" t="str">
        <f t="array" ref="Q1089">XLOOKUP(I1089,customers_clean!$A$2:$A$701,customers_clean!$N$2:$N$701)</f>
        <v>384923468</v>
      </c>
      <c r="R1089" s="9" t="str">
        <f t="array" ref="R1089">XLOOKUP(I1089,customers_clean!$A$2:$A$701,customers_clean!$Q$2:$Q$701)</f>
        <v>❌ INVALID</v>
      </c>
      <c r="S1089" s="10" t="s">
        <v>88</v>
      </c>
      <c r="T1089" s="2" t="s">
        <v>59</v>
      </c>
      <c r="U1089" s="2" t="s">
        <v>512</v>
      </c>
      <c r="V1089" s="2" t="s">
        <v>919</v>
      </c>
      <c r="W1089" s="9" t="str">
        <f t="array" ref="W1089">IF(ISNA(XLOOKUP(V1089,products_master_corrected!$A$2:$A$151,products_master_corrected!$A$2:$A$151, NA())),
    "❌ MISSING SKU", "✅")</f>
        <v>✅</v>
      </c>
      <c r="X1089" s="2" t="s">
        <v>423</v>
      </c>
      <c r="Y1089" s="2" t="s">
        <v>179</v>
      </c>
      <c r="Z1089" s="10" t="s">
        <v>179</v>
      </c>
      <c r="AA1089" s="27">
        <v>2.0</v>
      </c>
      <c r="AB1089" s="9" t="s">
        <v>8649</v>
      </c>
      <c r="AC1089" s="28">
        <f t="array" ref="AC1089">XLOOKUP(V1089,products_master_corrected!$A$2:$A$151,products_master_corrected!$E$2:$E$151)</f>
        <v>52.04</v>
      </c>
      <c r="AD1089" s="28">
        <f t="shared" si="126"/>
        <v>104.08</v>
      </c>
      <c r="AE1089" s="28">
        <f t="array" ref="AE1089">XLOOKUP(V1089,products_master_corrected!$A$2:$A$151,products_master_corrected!$I$2:$I$151)</f>
        <v>57.37</v>
      </c>
      <c r="AF1089" s="29">
        <f t="shared" si="127"/>
        <v>114.74</v>
      </c>
      <c r="AG1089" s="32" t="s">
        <v>8660</v>
      </c>
      <c r="AH1089" s="2" t="s">
        <v>49</v>
      </c>
      <c r="AI1089" s="10" t="s">
        <v>49</v>
      </c>
      <c r="AJ1089" s="2" t="s">
        <v>34</v>
      </c>
      <c r="AK1089" s="10" t="s">
        <v>80</v>
      </c>
      <c r="AL1089" s="2" t="s">
        <v>133</v>
      </c>
    </row>
    <row r="1090" ht="15.75" customHeight="1">
      <c r="A1090" s="2" t="s">
        <v>6198</v>
      </c>
      <c r="B1090" s="12">
        <v>45269.28055555555</v>
      </c>
      <c r="C1090" s="2" t="str">
        <f>IFERROR(__xludf.DUMMYFUNCTION("IF(ISNUMBER(B1090),TEXT(B1090,""yyyy-MM-dd""),REGEXREPLACE(REGEXREPLACE(TO_TEXT(B1090),""[^0-9a-zA-Z]+"",""-""),""[^0-9]*$"",""""))"),"2023-12-09")</f>
        <v>2023-12-09</v>
      </c>
      <c r="D1090" s="2" t="s">
        <v>8916</v>
      </c>
      <c r="H1090" s="10" t="s">
        <v>8916</v>
      </c>
      <c r="I1090" s="2" t="s">
        <v>6083</v>
      </c>
      <c r="J1090" s="26" t="str">
        <f t="array" ref="J1090">IF(ISNA(XLOOKUP(I1090,customers_clean!$A$2:$A$701,customers_clean!$A$2:$A$701, NA()) ),
   "❌ MISSING CUSTOMER", "✅")</f>
        <v>✅</v>
      </c>
      <c r="K1090" s="2" t="str">
        <f t="array" ref="K1090">XLOOKUP(I1090,customers_clean!$A$2:$A$701,customers_clean!$C$2:$C$701)</f>
        <v> Nina Young</v>
      </c>
      <c r="L1090" s="10" t="str">
        <f t="array" ref="L1090">XLOOKUP(I1090,customers_clean!$A$2:$A$701,customers_clean!$D$2:$D$701)</f>
        <v>Nina Young</v>
      </c>
      <c r="M1090" s="2" t="str">
        <f t="array" ref="M1090">XLOOKUP(I1090,customers_clean!$A$2:$A$701,customers_clean!$I$2:$I$701)</f>
        <v> nina.young@gmail.com</v>
      </c>
      <c r="N1090" s="10" t="str">
        <f t="array" ref="N1090">XLOOKUP(I1090,customers_clean!$A$2:$A$701,customers_clean!$H$2:$H$701)</f>
        <v>nina.young@gmail.com</v>
      </c>
      <c r="O1090" s="9" t="str">
        <f>IFERROR(__xludf.DUMMYFUNCTION("IF(REGEXMATCH(TRIM(N1090),""^[A-Za-z0-9._%+-]+@[A-Za-z0-9.-]+\.[A-Za-z]{2,}$""),""✅ Valid"",""❌ Invalid"")"),"✅ Valid")</f>
        <v>✅ Valid</v>
      </c>
      <c r="P1090" s="33" t="str">
        <f t="array" ref="P1090">XLOOKUP(I1090,customers_clean!$A$2:$A$701,customers_clean!$K$2:$K$701)</f>
        <v> 384 923468</v>
      </c>
      <c r="Q1090" s="10" t="str">
        <f t="array" ref="Q1090">XLOOKUP(I1090,customers_clean!$A$2:$A$701,customers_clean!$N$2:$N$701)</f>
        <v>384923468</v>
      </c>
      <c r="R1090" s="9" t="str">
        <f t="array" ref="R1090">XLOOKUP(I1090,customers_clean!$A$2:$A$701,customers_clean!$Q$2:$Q$701)</f>
        <v>❌ INVALID</v>
      </c>
      <c r="S1090" s="10" t="s">
        <v>88</v>
      </c>
      <c r="T1090" s="2" t="s">
        <v>59</v>
      </c>
      <c r="U1090" s="2" t="s">
        <v>211</v>
      </c>
      <c r="V1090" s="2" t="s">
        <v>3101</v>
      </c>
      <c r="W1090" s="9" t="str">
        <f t="array" ref="W1090">IF(ISNA(XLOOKUP(V1090,products_master_corrected!$A$2:$A$151,products_master_corrected!$A$2:$A$151, NA())),
    "❌ MISSING SKU", "✅")</f>
        <v>✅</v>
      </c>
      <c r="X1090" s="2" t="s">
        <v>804</v>
      </c>
      <c r="Y1090" s="2" t="s">
        <v>248</v>
      </c>
      <c r="Z1090" s="10" t="s">
        <v>248</v>
      </c>
      <c r="AA1090" s="27">
        <v>3.0</v>
      </c>
      <c r="AB1090" s="9" t="s">
        <v>8649</v>
      </c>
      <c r="AC1090" s="28">
        <f t="array" ref="AC1090">XLOOKUP(V1090,products_master_corrected!$A$2:$A$151,products_master_corrected!$E$2:$E$151)</f>
        <v>23.37</v>
      </c>
      <c r="AD1090" s="28">
        <f t="shared" si="126"/>
        <v>70.11</v>
      </c>
      <c r="AE1090" s="28">
        <f t="array" ref="AE1090">XLOOKUP(V1090,products_master_corrected!$A$2:$A$151,products_master_corrected!$I$2:$I$151)</f>
        <v>25.76</v>
      </c>
      <c r="AF1090" s="29">
        <f t="shared" si="127"/>
        <v>77.28</v>
      </c>
      <c r="AG1090" s="32" t="s">
        <v>8660</v>
      </c>
      <c r="AH1090" s="2" t="s">
        <v>181</v>
      </c>
      <c r="AI1090" s="10" t="s">
        <v>181</v>
      </c>
      <c r="AJ1090" s="2" t="s">
        <v>169</v>
      </c>
      <c r="AK1090" s="10" t="s">
        <v>261</v>
      </c>
    </row>
    <row r="1091" ht="15.75" customHeight="1">
      <c r="A1091" s="2" t="s">
        <v>3230</v>
      </c>
      <c r="B1091" s="12">
        <v>45454.0</v>
      </c>
      <c r="C1091" s="2" t="str">
        <f>IFERROR(__xludf.DUMMYFUNCTION("IF(ISNUMBER(B1091),TEXT(B1091,""yyyy-MM-dd""),REGEXREPLACE(REGEXREPLACE(TO_TEXT(B1091),""[^0-9a-zA-Z]+"",""-""),""[^0-9]*$"",""""))"),"2024-06-11")</f>
        <v>2024-06-11</v>
      </c>
      <c r="D1091" s="2" t="s">
        <v>3231</v>
      </c>
      <c r="H1091" s="10" t="s">
        <v>3231</v>
      </c>
      <c r="I1091" s="2" t="s">
        <v>3232</v>
      </c>
      <c r="J1091" s="26" t="str">
        <f t="array" ref="J1091">IF(ISNA(XLOOKUP(I1091,customers_clean!$A$2:$A$701,customers_clean!$A$2:$A$701, NA()) ),
   "❌ MISSING CUSTOMER", "✅")</f>
        <v>✅</v>
      </c>
      <c r="K1091" s="2" t="str">
        <f t="array" ref="K1091">XLOOKUP(I1091,customers_clean!$A$2:$A$701,customers_clean!$C$2:$C$701)</f>
        <v>Wiktor Smith </v>
      </c>
      <c r="L1091" s="10" t="str">
        <f t="array" ref="L1091">XLOOKUP(I1091,customers_clean!$A$2:$A$701,customers_clean!$D$2:$D$701)</f>
        <v>Wiktor Smith</v>
      </c>
      <c r="M1091" s="2" t="str">
        <f t="array" ref="M1091">XLOOKUP(I1091,customers_clean!$A$2:$A$701,customers_clean!$I$2:$I$701)</f>
        <v>WIKTOR.SMITH@YAHOO.COM</v>
      </c>
      <c r="N1091" s="10" t="str">
        <f t="array" ref="N1091">XLOOKUP(I1091,customers_clean!$A$2:$A$701,customers_clean!$H$2:$H$701)</f>
        <v>wiktor.smith@yahoo.com</v>
      </c>
      <c r="O1091" s="9" t="str">
        <f>IFERROR(__xludf.DUMMYFUNCTION("IF(REGEXMATCH(TRIM(N1091),""^[A-Za-z0-9._%+-]+@[A-Za-z0-9.-]+\.[A-Za-z]{2,}$""),""✅ Valid"",""❌ Invalid"")"),"✅ Valid")</f>
        <v>✅ Valid</v>
      </c>
      <c r="P1091" s="2" t="str">
        <f t="array" ref="P1091">XLOOKUP(I1091,customers_clean!$A$2:$A$701,customers_clean!$K$2:$K$701)</f>
        <v>8442x7145</v>
      </c>
      <c r="Q1091" s="10" t="str">
        <f t="array" ref="Q1091">XLOOKUP(I1091,customers_clean!$A$2:$A$701,customers_clean!$N$2:$N$701)</f>
        <v>84427145</v>
      </c>
      <c r="R1091" s="9" t="str">
        <f t="array" ref="R1091">XLOOKUP(I1091,customers_clean!$A$2:$A$701,customers_clean!$Q$2:$Q$701)</f>
        <v>❌ INVALID</v>
      </c>
      <c r="S1091" s="10" t="s">
        <v>139</v>
      </c>
      <c r="T1091" s="2" t="s">
        <v>26</v>
      </c>
      <c r="U1091" s="2" t="s">
        <v>211</v>
      </c>
      <c r="V1091" s="2" t="s">
        <v>402</v>
      </c>
      <c r="W1091" s="9" t="str">
        <f t="array" ref="W1091">IF(ISNA(XLOOKUP(V1091,products_master_corrected!$A$2:$A$151,products_master_corrected!$A$2:$A$151, NA())),
    "❌ MISSING SKU", "✅")</f>
        <v>✅</v>
      </c>
      <c r="X1091" s="2" t="s">
        <v>403</v>
      </c>
      <c r="Y1091" s="2" t="s">
        <v>404</v>
      </c>
      <c r="Z1091" s="10" t="s">
        <v>248</v>
      </c>
      <c r="AA1091" s="27">
        <v>1.0</v>
      </c>
      <c r="AB1091" s="9" t="s">
        <v>8649</v>
      </c>
      <c r="AC1091" s="28">
        <f t="array" ref="AC1091">XLOOKUP(V1091,products_master_corrected!$A$2:$A$151,products_master_corrected!$E$2:$E$151)</f>
        <v>20.48</v>
      </c>
      <c r="AD1091" s="28">
        <f t="shared" si="126"/>
        <v>20.48</v>
      </c>
      <c r="AE1091" s="28">
        <f t="array" ref="AE1091">XLOOKUP(V1091,products_master_corrected!$A$2:$A$151,products_master_corrected!$L$2:$L$151)</f>
        <v>22.15</v>
      </c>
      <c r="AF1091" s="29">
        <f t="shared" si="127"/>
        <v>22.15</v>
      </c>
      <c r="AG1091" s="32" t="s">
        <v>8665</v>
      </c>
      <c r="AH1091" s="2" t="s">
        <v>505</v>
      </c>
      <c r="AI1091" s="10" t="s">
        <v>181</v>
      </c>
      <c r="AJ1091" s="2" t="s">
        <v>2608</v>
      </c>
      <c r="AK1091" s="10" t="s">
        <v>80</v>
      </c>
    </row>
    <row r="1092" ht="15.75" customHeight="1">
      <c r="A1092" s="2" t="s">
        <v>1087</v>
      </c>
      <c r="B1092" s="12">
        <v>45157.0</v>
      </c>
      <c r="C1092" s="2" t="str">
        <f>IFERROR(__xludf.DUMMYFUNCTION("IF(ISNUMBER(B1092),TEXT(B1092,""yyyy-MM-dd""),REGEXREPLACE(REGEXREPLACE(TO_TEXT(B1092),""[^0-9a-zA-Z]+"",""-""),""[^0-9]*$"",""""))"),"2023-08-19")</f>
        <v>2023-08-19</v>
      </c>
      <c r="D1092" s="2" t="s">
        <v>8016</v>
      </c>
      <c r="H1092" s="10" t="s">
        <v>8016</v>
      </c>
      <c r="I1092" s="2" t="s">
        <v>1089</v>
      </c>
      <c r="J1092" s="26" t="str">
        <f t="array" ref="J1092">IF(ISNA(XLOOKUP(I1092,customers_clean!$A$2:$A$701,customers_clean!$A$2:$A$701, NA()) ),
   "❌ MISSING CUSTOMER", "✅")</f>
        <v>✅</v>
      </c>
      <c r="K1092" s="2" t="str">
        <f t="array" ref="K1092">XLOOKUP(I1092,customers_clean!$A$2:$A$701,customers_clean!$C$2:$C$701)</f>
        <v>Tara King</v>
      </c>
      <c r="L1092" s="10" t="str">
        <f t="array" ref="L1092">XLOOKUP(I1092,customers_clean!$A$2:$A$701,customers_clean!$D$2:$D$701)</f>
        <v>Tara King</v>
      </c>
      <c r="M1092" s="2" t="str">
        <f t="array" ref="M1092">XLOOKUP(I1092,customers_clean!$A$2:$A$701,customers_clean!$I$2:$I$701)</f>
        <v>TARA.KING@EXAMPLE.COM</v>
      </c>
      <c r="N1092" s="10" t="str">
        <f t="array" ref="N1092">XLOOKUP(I1092,customers_clean!$A$2:$A$701,customers_clean!$H$2:$H$701)</f>
        <v>tara.king@example.com</v>
      </c>
      <c r="O1092" s="9" t="str">
        <f>IFERROR(__xludf.DUMMYFUNCTION("IF(REGEXMATCH(TRIM(N1092),""^[A-Za-z0-9._%+-]+@[A-Za-z0-9.-]+\.[A-Za-z]{2,}$""),""✅ Valid"",""❌ Invalid"")"),"✅ Valid")</f>
        <v>✅ Valid</v>
      </c>
      <c r="P1092" s="2" t="str">
        <f t="array" ref="P1092">XLOOKUP(I1092,customers_clean!$A$2:$A$701,customers_clean!$K$2:$K$701)</f>
        <v>522-348-811</v>
      </c>
      <c r="Q1092" s="10" t="str">
        <f t="array" ref="Q1092">XLOOKUP(I1092,customers_clean!$A$2:$A$701,customers_clean!$N$2:$N$701)</f>
        <v>522348811</v>
      </c>
      <c r="R1092" s="9" t="str">
        <f t="array" ref="R1092">XLOOKUP(I1092,customers_clean!$A$2:$A$701,customers_clean!$Q$2:$Q$701)</f>
        <v>❌ INVALID</v>
      </c>
      <c r="S1092" s="31" t="s">
        <v>671</v>
      </c>
      <c r="T1092" s="2" t="s">
        <v>115</v>
      </c>
      <c r="U1092" s="2" t="s">
        <v>103</v>
      </c>
      <c r="V1092" s="2" t="s">
        <v>269</v>
      </c>
      <c r="W1092" s="9" t="str">
        <f t="array" ref="W1092">IF(ISNA(XLOOKUP(V1092,products_master_corrected!$A$2:$A$151,products_master_corrected!$A$2:$A$151, NA())),
    "❌ MISSING SKU", "✅")</f>
        <v>✅</v>
      </c>
      <c r="X1092" s="2" t="s">
        <v>524</v>
      </c>
      <c r="Y1092" s="2" t="s">
        <v>271</v>
      </c>
      <c r="Z1092" s="10" t="s">
        <v>368</v>
      </c>
      <c r="AA1092" s="27">
        <v>2.0</v>
      </c>
      <c r="AB1092" s="9" t="s">
        <v>8649</v>
      </c>
      <c r="AC1092" s="28">
        <f t="array" ref="AC1092">XLOOKUP(V1092,products_master_corrected!$A$2:$A$151,products_master_corrected!$E$2:$E$151)</f>
        <v>219.29</v>
      </c>
      <c r="AD1092" s="28">
        <f t="shared" si="126"/>
        <v>438.58</v>
      </c>
      <c r="AE1092" s="28">
        <f t="array" ref="AE1092">XLOOKUP(V1092,products_master_corrected!$A$2:$A$151,products_master_corrected!$J$2:$J$151)</f>
        <v>255.76</v>
      </c>
      <c r="AF1092" s="29">
        <f t="shared" si="127"/>
        <v>511.52</v>
      </c>
      <c r="AG1092" s="32" t="s">
        <v>8656</v>
      </c>
      <c r="AH1092" s="2" t="s">
        <v>49</v>
      </c>
      <c r="AI1092" s="10" t="s">
        <v>49</v>
      </c>
      <c r="AJ1092" s="2" t="s">
        <v>34</v>
      </c>
      <c r="AK1092" s="10" t="s">
        <v>80</v>
      </c>
    </row>
    <row r="1093" ht="15.75" customHeight="1">
      <c r="A1093" s="2" t="s">
        <v>4451</v>
      </c>
      <c r="B1093" s="12">
        <v>45412.0</v>
      </c>
      <c r="C1093" s="2" t="str">
        <f>IFERROR(__xludf.DUMMYFUNCTION("IF(ISNUMBER(B1093),TEXT(B1093,""yyyy-MM-dd""),REGEXREPLACE(REGEXREPLACE(TO_TEXT(B1093),""[^0-9a-zA-Z]+"",""-""),""[^0-9]*$"",""""))"),"2024-04-30")</f>
        <v>2024-04-30</v>
      </c>
      <c r="D1093" s="2" t="s">
        <v>8771</v>
      </c>
      <c r="H1093" s="10" t="s">
        <v>8771</v>
      </c>
      <c r="I1093" s="2" t="s">
        <v>875</v>
      </c>
      <c r="J1093" s="26" t="str">
        <f t="array" ref="J1093">IF(ISNA(XLOOKUP(I1093,customers_clean!$A$2:$A$701,customers_clean!$A$2:$A$701, NA()) ),
   "❌ MISSING CUSTOMER", "✅")</f>
        <v>✅</v>
      </c>
      <c r="K1093" s="2" t="str">
        <f t="array" ref="K1093">XLOOKUP(I1093,customers_clean!$A$2:$A$701,customers_clean!$C$2:$C$701)</f>
        <v>Igor Davis</v>
      </c>
      <c r="L1093" s="10" t="str">
        <f t="array" ref="L1093">XLOOKUP(I1093,customers_clean!$A$2:$A$701,customers_clean!$D$2:$D$701)</f>
        <v>Igor Davis</v>
      </c>
      <c r="M1093" s="2" t="str">
        <f t="array" ref="M1093">XLOOKUP(I1093,customers_clean!$A$2:$A$701,customers_clean!$I$2:$I$701)</f>
        <v>igor.davis@example.com</v>
      </c>
      <c r="N1093" s="10" t="str">
        <f t="array" ref="N1093">XLOOKUP(I1093,customers_clean!$A$2:$A$701,customers_clean!$H$2:$H$701)</f>
        <v>igor.davis@example.com</v>
      </c>
      <c r="O1093" s="9" t="str">
        <f>IFERROR(__xludf.DUMMYFUNCTION("IF(REGEXMATCH(TRIM(N1093),""^[A-Za-z0-9._%+-]+@[A-Za-z0-9.-]+\.[A-Za-z]{2,}$""),""✅ Valid"",""❌ Invalid"")"),"✅ Valid")</f>
        <v>✅ Valid</v>
      </c>
      <c r="P1093" s="33" t="str">
        <f t="array" ref="P1093">XLOOKUP(I1093,customers_clean!$A$2:$A$701,customers_clean!$K$2:$K$701)</f>
        <v>+48 150 51046</v>
      </c>
      <c r="Q1093" s="10" t="str">
        <f t="array" ref="Q1093">XLOOKUP(I1093,customers_clean!$A$2:$A$701,customers_clean!$N$2:$N$701)</f>
        <v>15051046</v>
      </c>
      <c r="R1093" s="9" t="str">
        <f t="array" ref="R1093">XLOOKUP(I1093,customers_clean!$A$2:$A$701,customers_clean!$Q$2:$Q$701)</f>
        <v>❌ INVALID</v>
      </c>
      <c r="S1093" s="10" t="s">
        <v>114</v>
      </c>
      <c r="T1093" s="2" t="s">
        <v>115</v>
      </c>
      <c r="U1093" s="2" t="s">
        <v>103</v>
      </c>
      <c r="V1093" s="2" t="s">
        <v>290</v>
      </c>
      <c r="W1093" s="9" t="str">
        <f t="array" ref="W1093">IF(ISNA(XLOOKUP(V1093,products_master_corrected!$A$2:$A$151,products_master_corrected!$A$2:$A$151, NA())),
    "❌ MISSING SKU", "✅")</f>
        <v>✅</v>
      </c>
      <c r="X1093" s="2" t="s">
        <v>291</v>
      </c>
      <c r="Y1093" s="2" t="s">
        <v>292</v>
      </c>
      <c r="Z1093" s="10" t="s">
        <v>63</v>
      </c>
      <c r="AA1093" s="27">
        <v>1.0</v>
      </c>
      <c r="AB1093" s="9" t="s">
        <v>8649</v>
      </c>
      <c r="AC1093" s="28">
        <f t="array" ref="AC1093">XLOOKUP(V1093,products_master_corrected!$A$2:$A$151,products_master_corrected!$E$2:$E$151)</f>
        <v>118.56</v>
      </c>
      <c r="AD1093" s="28">
        <f t="shared" si="126"/>
        <v>118.56</v>
      </c>
      <c r="AE1093" s="28">
        <f t="array" ref="AE1093">XLOOKUP(V1093,products_master_corrected!$A$2:$A$151,products_master_corrected!$F$2:$F$151)</f>
        <v>118.56</v>
      </c>
      <c r="AF1093" s="29">
        <f t="shared" si="127"/>
        <v>118.56</v>
      </c>
      <c r="AG1093" s="30" t="s">
        <v>65</v>
      </c>
      <c r="AH1093" s="2" t="s">
        <v>3976</v>
      </c>
      <c r="AI1093" s="10" t="s">
        <v>66</v>
      </c>
      <c r="AJ1093" s="2" t="s">
        <v>169</v>
      </c>
      <c r="AK1093" s="10" t="s">
        <v>261</v>
      </c>
    </row>
    <row r="1094" ht="15.75" customHeight="1">
      <c r="A1094" s="2" t="s">
        <v>5168</v>
      </c>
      <c r="B1094" s="12" t="s">
        <v>5169</v>
      </c>
      <c r="C1094" s="2" t="str">
        <f>IFERROR(__xludf.DUMMYFUNCTION("IF(ISNUMBER(B1094),TEXT(B1094,""yyyy-MM-dd""),REGEXREPLACE(REGEXREPLACE(TO_TEXT(B1094),""[^0-9a-zA-Z]+"",""-""),""[^0-9]*$"",""""))"),"10-17-2023")</f>
        <v>10-17-2023</v>
      </c>
      <c r="D1094" s="2" t="str">
        <f>TEXT(C1094,"yyyy-MM-dd")</f>
        <v>10-17-2023</v>
      </c>
      <c r="E1094" s="2" t="s">
        <v>7633</v>
      </c>
      <c r="H1094" s="10" t="s">
        <v>7633</v>
      </c>
      <c r="I1094" s="2" t="s">
        <v>875</v>
      </c>
      <c r="J1094" s="26" t="str">
        <f t="array" ref="J1094">IF(ISNA(XLOOKUP(I1094,customers_clean!$A$2:$A$701,customers_clean!$A$2:$A$701, NA()) ),
   "❌ MISSING CUSTOMER", "✅")</f>
        <v>✅</v>
      </c>
      <c r="K1094" s="2" t="str">
        <f t="array" ref="K1094">XLOOKUP(I1094,customers_clean!$A$2:$A$701,customers_clean!$C$2:$C$701)</f>
        <v>Igor Davis</v>
      </c>
      <c r="L1094" s="10" t="str">
        <f t="array" ref="L1094">XLOOKUP(I1094,customers_clean!$A$2:$A$701,customers_clean!$D$2:$D$701)</f>
        <v>Igor Davis</v>
      </c>
      <c r="M1094" s="2" t="str">
        <f t="array" ref="M1094">XLOOKUP(I1094,customers_clean!$A$2:$A$701,customers_clean!$I$2:$I$701)</f>
        <v>igor.davis@example.com</v>
      </c>
      <c r="N1094" s="10" t="str">
        <f t="array" ref="N1094">XLOOKUP(I1094,customers_clean!$A$2:$A$701,customers_clean!$H$2:$H$701)</f>
        <v>igor.davis@example.com</v>
      </c>
      <c r="O1094" s="9" t="str">
        <f>IFERROR(__xludf.DUMMYFUNCTION("IF(REGEXMATCH(TRIM(N1094),""^[A-Za-z0-9._%+-]+@[A-Za-z0-9.-]+\.[A-Za-z]{2,}$""),""✅ Valid"",""❌ Invalid"")"),"✅ Valid")</f>
        <v>✅ Valid</v>
      </c>
      <c r="P1094" s="33" t="str">
        <f t="array" ref="P1094">XLOOKUP(I1094,customers_clean!$A$2:$A$701,customers_clean!$K$2:$K$701)</f>
        <v>+48 150 51046</v>
      </c>
      <c r="Q1094" s="10" t="str">
        <f t="array" ref="Q1094">XLOOKUP(I1094,customers_clean!$A$2:$A$701,customers_clean!$N$2:$N$701)</f>
        <v>15051046</v>
      </c>
      <c r="R1094" s="9" t="str">
        <f t="array" ref="R1094">XLOOKUP(I1094,customers_clean!$A$2:$A$701,customers_clean!$Q$2:$Q$701)</f>
        <v>❌ INVALID</v>
      </c>
      <c r="S1094" s="10" t="s">
        <v>114</v>
      </c>
      <c r="T1094" s="2" t="s">
        <v>59</v>
      </c>
      <c r="U1094" s="2" t="s">
        <v>522</v>
      </c>
      <c r="V1094" s="2" t="s">
        <v>235</v>
      </c>
      <c r="W1094" s="9" t="str">
        <f t="array" ref="W1094">IF(ISNA(XLOOKUP(V1094,products_master_corrected!$A$2:$A$151,products_master_corrected!$A$2:$A$151, NA())),
    "❌ MISSING SKU", "✅")</f>
        <v>✅</v>
      </c>
      <c r="X1094" s="2" t="s">
        <v>768</v>
      </c>
      <c r="Y1094" s="2" t="s">
        <v>30</v>
      </c>
      <c r="Z1094" s="10" t="s">
        <v>179</v>
      </c>
      <c r="AA1094" s="27">
        <v>3.0</v>
      </c>
      <c r="AB1094" s="9" t="s">
        <v>8649</v>
      </c>
      <c r="AC1094" s="28">
        <f t="array" ref="AC1094">XLOOKUP(V1094,products_master_corrected!$A$2:$A$151,products_master_corrected!$E$2:$E$151)</f>
        <v>10.17</v>
      </c>
      <c r="AD1094" s="28">
        <f t="shared" si="126"/>
        <v>30.51</v>
      </c>
      <c r="AE1094" s="28">
        <f t="array" ref="AE1094">XLOOKUP(V1094,products_master_corrected!$A$2:$A$151,products_master_corrected!$F$2:$F$151)</f>
        <v>10.17</v>
      </c>
      <c r="AF1094" s="29">
        <f t="shared" si="127"/>
        <v>30.51</v>
      </c>
      <c r="AG1094" s="30" t="s">
        <v>65</v>
      </c>
      <c r="AH1094" s="2" t="s">
        <v>573</v>
      </c>
      <c r="AI1094" s="10" t="s">
        <v>66</v>
      </c>
      <c r="AJ1094" s="2" t="s">
        <v>294</v>
      </c>
      <c r="AK1094" s="10" t="s">
        <v>80</v>
      </c>
      <c r="AL1094" s="2" t="s">
        <v>51</v>
      </c>
    </row>
    <row r="1095" ht="15.75" customHeight="1">
      <c r="A1095" s="2" t="s">
        <v>2704</v>
      </c>
      <c r="B1095" s="12">
        <v>44969.10555555556</v>
      </c>
      <c r="C1095" s="2" t="str">
        <f>IFERROR(__xludf.DUMMYFUNCTION("IF(ISNUMBER(B1095),TEXT(B1095,""yyyy-MM-dd""),REGEXREPLACE(REGEXREPLACE(TO_TEXT(B1095),""[^0-9a-zA-Z]+"",""-""),""[^0-9]*$"",""""))"),"2023-02-12")</f>
        <v>2023-02-12</v>
      </c>
      <c r="D1095" s="2" t="s">
        <v>7177</v>
      </c>
      <c r="H1095" s="10" t="s">
        <v>7177</v>
      </c>
      <c r="I1095" s="2" t="s">
        <v>875</v>
      </c>
      <c r="J1095" s="26" t="str">
        <f t="array" ref="J1095">IF(ISNA(XLOOKUP(I1095,customers_clean!$A$2:$A$701,customers_clean!$A$2:$A$701, NA()) ),
   "❌ MISSING CUSTOMER", "✅")</f>
        <v>✅</v>
      </c>
      <c r="K1095" s="2" t="str">
        <f t="array" ref="K1095">XLOOKUP(I1095,customers_clean!$A$2:$A$701,customers_clean!$C$2:$C$701)</f>
        <v>Igor Davis</v>
      </c>
      <c r="L1095" s="10" t="str">
        <f t="array" ref="L1095">XLOOKUP(I1095,customers_clean!$A$2:$A$701,customers_clean!$D$2:$D$701)</f>
        <v>Igor Davis</v>
      </c>
      <c r="M1095" s="2" t="str">
        <f t="array" ref="M1095">XLOOKUP(I1095,customers_clean!$A$2:$A$701,customers_clean!$I$2:$I$701)</f>
        <v>igor.davis@example.com</v>
      </c>
      <c r="N1095" s="10" t="str">
        <f t="array" ref="N1095">XLOOKUP(I1095,customers_clean!$A$2:$A$701,customers_clean!$H$2:$H$701)</f>
        <v>igor.davis@example.com</v>
      </c>
      <c r="O1095" s="9" t="str">
        <f>IFERROR(__xludf.DUMMYFUNCTION("IF(REGEXMATCH(TRIM(N1095),""^[A-Za-z0-9._%+-]+@[A-Za-z0-9.-]+\.[A-Za-z]{2,}$""),""✅ Valid"",""❌ Invalid"")"),"✅ Valid")</f>
        <v>✅ Valid</v>
      </c>
      <c r="P1095" s="33" t="str">
        <f t="array" ref="P1095">XLOOKUP(I1095,customers_clean!$A$2:$A$701,customers_clean!$K$2:$K$701)</f>
        <v>+48 150 51046</v>
      </c>
      <c r="Q1095" s="10" t="str">
        <f t="array" ref="Q1095">XLOOKUP(I1095,customers_clean!$A$2:$A$701,customers_clean!$N$2:$N$701)</f>
        <v>15051046</v>
      </c>
      <c r="R1095" s="9" t="str">
        <f t="array" ref="R1095">XLOOKUP(I1095,customers_clean!$A$2:$A$701,customers_clean!$Q$2:$Q$701)</f>
        <v>❌ INVALID</v>
      </c>
      <c r="S1095" s="10" t="s">
        <v>114</v>
      </c>
      <c r="T1095" s="2" t="s">
        <v>26</v>
      </c>
      <c r="U1095" s="2" t="s">
        <v>480</v>
      </c>
      <c r="V1095" s="2" t="s">
        <v>2398</v>
      </c>
      <c r="W1095" s="9" t="str">
        <f t="array" ref="W1095">IF(ISNA(XLOOKUP(V1095,products_master_corrected!$A$2:$A$151,products_master_corrected!$A$2:$A$151, NA())),
    "❌ MISSING SKU", "✅")</f>
        <v>✅</v>
      </c>
      <c r="X1095" s="2" t="s">
        <v>225</v>
      </c>
      <c r="Y1095" s="2" t="s">
        <v>179</v>
      </c>
      <c r="Z1095" s="10" t="s">
        <v>179</v>
      </c>
      <c r="AA1095" s="27">
        <v>3.0</v>
      </c>
      <c r="AB1095" s="9" t="s">
        <v>8649</v>
      </c>
      <c r="AC1095" s="28">
        <f t="array" ref="AC1095">XLOOKUP(V1095,products_master_corrected!$A$2:$A$151,products_master_corrected!$E$2:$E$151)</f>
        <v>40.55</v>
      </c>
      <c r="AD1095" s="28">
        <f t="shared" si="126"/>
        <v>121.65</v>
      </c>
      <c r="AE1095" s="28">
        <f t="array" ref="AE1095">XLOOKUP(V1095,products_master_corrected!$A$2:$A$151,products_master_corrected!$F$2:$F$151)</f>
        <v>40.55</v>
      </c>
      <c r="AF1095" s="29">
        <f t="shared" si="127"/>
        <v>121.65</v>
      </c>
      <c r="AG1095" s="30" t="s">
        <v>65</v>
      </c>
      <c r="AH1095" s="2" t="s">
        <v>305</v>
      </c>
      <c r="AI1095" s="10" t="s">
        <v>49</v>
      </c>
      <c r="AJ1095" s="2" t="s">
        <v>345</v>
      </c>
      <c r="AK1095" s="10" t="s">
        <v>261</v>
      </c>
    </row>
    <row r="1096" ht="15.75" customHeight="1">
      <c r="A1096" s="2" t="s">
        <v>873</v>
      </c>
      <c r="B1096" s="12">
        <v>45813.08194444444</v>
      </c>
      <c r="C1096" s="2" t="str">
        <f>IFERROR(__xludf.DUMMYFUNCTION("IF(ISNUMBER(B1096),TEXT(B1096,""yyyy-MM-dd""),REGEXREPLACE(REGEXREPLACE(TO_TEXT(B1096),""[^0-9a-zA-Z]+"",""-""),""[^0-9]*$"",""""))"),"2025-06-05")</f>
        <v>2025-06-05</v>
      </c>
      <c r="D1096" s="2" t="s">
        <v>7598</v>
      </c>
      <c r="H1096" s="10" t="s">
        <v>7598</v>
      </c>
      <c r="I1096" s="2" t="s">
        <v>875</v>
      </c>
      <c r="J1096" s="26" t="str">
        <f t="array" ref="J1096">IF(ISNA(XLOOKUP(I1096,customers_clean!$A$2:$A$701,customers_clean!$A$2:$A$701, NA()) ),
   "❌ MISSING CUSTOMER", "✅")</f>
        <v>✅</v>
      </c>
      <c r="K1096" s="2" t="str">
        <f t="array" ref="K1096">XLOOKUP(I1096,customers_clean!$A$2:$A$701,customers_clean!$C$2:$C$701)</f>
        <v>Igor Davis</v>
      </c>
      <c r="L1096" s="10" t="str">
        <f t="array" ref="L1096">XLOOKUP(I1096,customers_clean!$A$2:$A$701,customers_clean!$D$2:$D$701)</f>
        <v>Igor Davis</v>
      </c>
      <c r="M1096" s="2" t="str">
        <f t="array" ref="M1096">XLOOKUP(I1096,customers_clean!$A$2:$A$701,customers_clean!$I$2:$I$701)</f>
        <v>igor.davis@example.com</v>
      </c>
      <c r="N1096" s="10" t="str">
        <f t="array" ref="N1096">XLOOKUP(I1096,customers_clean!$A$2:$A$701,customers_clean!$H$2:$H$701)</f>
        <v>igor.davis@example.com</v>
      </c>
      <c r="O1096" s="9" t="str">
        <f>IFERROR(__xludf.DUMMYFUNCTION("IF(REGEXMATCH(TRIM(N1096),""^[A-Za-z0-9._%+-]+@[A-Za-z0-9.-]+\.[A-Za-z]{2,}$""),""✅ Valid"",""❌ Invalid"")"),"✅ Valid")</f>
        <v>✅ Valid</v>
      </c>
      <c r="P1096" s="33" t="str">
        <f t="array" ref="P1096">XLOOKUP(I1096,customers_clean!$A$2:$A$701,customers_clean!$K$2:$K$701)</f>
        <v>+48 150 51046</v>
      </c>
      <c r="Q1096" s="10" t="str">
        <f t="array" ref="Q1096">XLOOKUP(I1096,customers_clean!$A$2:$A$701,customers_clean!$N$2:$N$701)</f>
        <v>15051046</v>
      </c>
      <c r="R1096" s="9" t="str">
        <f t="array" ref="R1096">XLOOKUP(I1096,customers_clean!$A$2:$A$701,customers_clean!$Q$2:$Q$701)</f>
        <v>❌ INVALID</v>
      </c>
      <c r="S1096" s="10" t="s">
        <v>114</v>
      </c>
      <c r="T1096" s="2" t="s">
        <v>400</v>
      </c>
      <c r="U1096" s="2" t="s">
        <v>43</v>
      </c>
      <c r="V1096" s="2" t="s">
        <v>154</v>
      </c>
      <c r="W1096" s="9" t="str">
        <f t="array" ref="W1096">IF(ISNA(XLOOKUP(V1096,products_master_corrected!$A$2:$A$151,products_master_corrected!$A$2:$A$151, NA())),
    "❌ MISSING SKU", "✅")</f>
        <v>✅</v>
      </c>
      <c r="X1096" s="2" t="s">
        <v>62</v>
      </c>
      <c r="Y1096" s="2" t="s">
        <v>155</v>
      </c>
      <c r="Z1096" s="10" t="s">
        <v>368</v>
      </c>
      <c r="AA1096" s="27">
        <v>5.0</v>
      </c>
      <c r="AB1096" s="9" t="s">
        <v>8649</v>
      </c>
      <c r="AC1096" s="28">
        <f t="array" ref="AC1096">XLOOKUP(V1096,products_master_corrected!$A$2:$A$151,products_master_corrected!$E$2:$E$151)</f>
        <v>74.1</v>
      </c>
      <c r="AD1096" s="28">
        <f t="shared" si="126"/>
        <v>370.5</v>
      </c>
      <c r="AE1096" s="28">
        <f t="array" ref="AE1096">XLOOKUP(V1096,products_master_corrected!$A$2:$A$151,products_master_corrected!$F$2:$F$151)</f>
        <v>74.1</v>
      </c>
      <c r="AF1096" s="29">
        <f t="shared" si="127"/>
        <v>370.5</v>
      </c>
      <c r="AG1096" s="30" t="s">
        <v>65</v>
      </c>
      <c r="AH1096" s="2" t="s">
        <v>505</v>
      </c>
      <c r="AI1096" s="10" t="s">
        <v>181</v>
      </c>
      <c r="AJ1096" s="2" t="s">
        <v>169</v>
      </c>
      <c r="AK1096" s="10" t="s">
        <v>261</v>
      </c>
      <c r="AL1096" s="2" t="s">
        <v>51</v>
      </c>
    </row>
    <row r="1097" ht="15.75" customHeight="1">
      <c r="A1097" s="2" t="s">
        <v>4491</v>
      </c>
      <c r="B1097" s="12">
        <v>45675.0</v>
      </c>
      <c r="C1097" s="2" t="str">
        <f>IFERROR(__xludf.DUMMYFUNCTION("IF(ISNUMBER(B1097),TEXT(B1097,""yyyy-MM-dd""),REGEXREPLACE(REGEXREPLACE(TO_TEXT(B1097),""[^0-9a-zA-Z]+"",""-""),""[^0-9]*$"",""""))"),"2025-01-18")</f>
        <v>2025-01-18</v>
      </c>
      <c r="D1097" s="2" t="s">
        <v>7763</v>
      </c>
      <c r="H1097" s="10" t="s">
        <v>7763</v>
      </c>
      <c r="I1097" s="2" t="s">
        <v>875</v>
      </c>
      <c r="J1097" s="26" t="str">
        <f t="array" ref="J1097">IF(ISNA(XLOOKUP(I1097,customers_clean!$A$2:$A$701,customers_clean!$A$2:$A$701, NA()) ),
   "❌ MISSING CUSTOMER", "✅")</f>
        <v>✅</v>
      </c>
      <c r="K1097" s="2" t="str">
        <f t="array" ref="K1097">XLOOKUP(I1097,customers_clean!$A$2:$A$701,customers_clean!$C$2:$C$701)</f>
        <v>Igor Davis</v>
      </c>
      <c r="L1097" s="10" t="str">
        <f t="array" ref="L1097">XLOOKUP(I1097,customers_clean!$A$2:$A$701,customers_clean!$D$2:$D$701)</f>
        <v>Igor Davis</v>
      </c>
      <c r="M1097" s="2" t="str">
        <f t="array" ref="M1097">XLOOKUP(I1097,customers_clean!$A$2:$A$701,customers_clean!$I$2:$I$701)</f>
        <v>igor.davis@example.com</v>
      </c>
      <c r="N1097" s="10" t="str">
        <f t="array" ref="N1097">XLOOKUP(I1097,customers_clean!$A$2:$A$701,customers_clean!$H$2:$H$701)</f>
        <v>igor.davis@example.com</v>
      </c>
      <c r="O1097" s="9" t="str">
        <f>IFERROR(__xludf.DUMMYFUNCTION("IF(REGEXMATCH(TRIM(N1097),""^[A-Za-z0-9._%+-]+@[A-Za-z0-9.-]+\.[A-Za-z]{2,}$""),""✅ Valid"",""❌ Invalid"")"),"✅ Valid")</f>
        <v>✅ Valid</v>
      </c>
      <c r="P1097" s="33" t="str">
        <f t="array" ref="P1097">XLOOKUP(I1097,customers_clean!$A$2:$A$701,customers_clean!$K$2:$K$701)</f>
        <v>+48 150 51046</v>
      </c>
      <c r="Q1097" s="10" t="str">
        <f t="array" ref="Q1097">XLOOKUP(I1097,customers_clean!$A$2:$A$701,customers_clean!$N$2:$N$701)</f>
        <v>15051046</v>
      </c>
      <c r="R1097" s="9" t="str">
        <f t="array" ref="R1097">XLOOKUP(I1097,customers_clean!$A$2:$A$701,customers_clean!$Q$2:$Q$701)</f>
        <v>❌ INVALID</v>
      </c>
      <c r="S1097" s="10" t="s">
        <v>114</v>
      </c>
      <c r="T1097" s="2" t="s">
        <v>301</v>
      </c>
      <c r="U1097" s="2" t="s">
        <v>512</v>
      </c>
      <c r="V1097" s="2" t="s">
        <v>711</v>
      </c>
      <c r="W1097" s="9" t="str">
        <f t="array" ref="W1097">IF(ISNA(XLOOKUP(V1097,products_master_corrected!$A$2:$A$151,products_master_corrected!$A$2:$A$151, NA())),
    "❌ MISSING SKU", "✅")</f>
        <v>✅</v>
      </c>
      <c r="X1097" s="2" t="s">
        <v>403</v>
      </c>
      <c r="Y1097" s="2" t="s">
        <v>637</v>
      </c>
      <c r="Z1097" s="10" t="s">
        <v>514</v>
      </c>
      <c r="AA1097" s="27">
        <v>3.0</v>
      </c>
      <c r="AB1097" s="9" t="s">
        <v>8649</v>
      </c>
      <c r="AC1097" s="28">
        <f t="array" ref="AC1097">XLOOKUP(V1097,products_master_corrected!$A$2:$A$151,products_master_corrected!$E$2:$E$151)</f>
        <v>43.64</v>
      </c>
      <c r="AD1097" s="28">
        <f t="shared" si="126"/>
        <v>130.92</v>
      </c>
      <c r="AE1097" s="28">
        <f t="array" ref="AE1097">XLOOKUP(V1097,products_master_corrected!$A$2:$A$151,products_master_corrected!$F$2:$F$151)</f>
        <v>43.64</v>
      </c>
      <c r="AF1097" s="29">
        <f t="shared" si="127"/>
        <v>130.92</v>
      </c>
      <c r="AG1097" s="30" t="s">
        <v>65</v>
      </c>
      <c r="AH1097" s="2" t="s">
        <v>370</v>
      </c>
      <c r="AI1097" s="10" t="s">
        <v>143</v>
      </c>
      <c r="AJ1097" s="2" t="s">
        <v>452</v>
      </c>
      <c r="AK1097" s="10" t="s">
        <v>261</v>
      </c>
    </row>
    <row r="1098" ht="15.75" customHeight="1">
      <c r="A1098" s="2" t="s">
        <v>2357</v>
      </c>
      <c r="B1098" s="12">
        <v>45728.0</v>
      </c>
      <c r="C1098" s="2" t="str">
        <f>IFERROR(__xludf.DUMMYFUNCTION("IF(ISNUMBER(B1098),TEXT(B1098,""yyyy-MM-dd""),REGEXREPLACE(REGEXREPLACE(TO_TEXT(B1098),""[^0-9a-zA-Z]+"",""-""),""[^0-9]*$"",""""))"),"2025-03-12")</f>
        <v>2025-03-12</v>
      </c>
      <c r="D1098" s="2" t="s">
        <v>9008</v>
      </c>
      <c r="H1098" s="10" t="s">
        <v>9008</v>
      </c>
      <c r="I1098" s="2" t="s">
        <v>2359</v>
      </c>
      <c r="J1098" s="26" t="str">
        <f t="array" ref="J1098">IF(ISNA(XLOOKUP(I1098,customers_clean!$A$2:$A$701,customers_clean!$A$2:$A$701, NA()) ),
   "❌ MISSING CUSTOMER", "✅")</f>
        <v>✅</v>
      </c>
      <c r="K1098" s="2" t="str">
        <f t="array" ref="K1098">XLOOKUP(I1098,customers_clean!$A$2:$A$701,customers_clean!$C$2:$C$701)</f>
        <v> Omar Rodriguez</v>
      </c>
      <c r="L1098" s="10" t="str">
        <f t="array" ref="L1098">XLOOKUP(I1098,customers_clean!$A$2:$A$701,customers_clean!$D$2:$D$701)</f>
        <v>Omar Rodriguez</v>
      </c>
      <c r="M1098" s="2" t="str">
        <f t="array" ref="M1098">XLOOKUP(I1098,customers_clean!$A$2:$A$701,customers_clean!$I$2:$I$701)</f>
        <v>OMAR.RODRIGUEZ@SHOP.IO</v>
      </c>
      <c r="N1098" s="10" t="str">
        <f t="array" ref="N1098">XLOOKUP(I1098,customers_clean!$A$2:$A$701,customers_clean!$H$2:$H$701)</f>
        <v>omar.rodriguez@shop.io</v>
      </c>
      <c r="O1098" s="9" t="str">
        <f>IFERROR(__xludf.DUMMYFUNCTION("IF(REGEXMATCH(TRIM(N1098),""^[A-Za-z0-9._%+-]+@[A-Za-z0-9.-]+\.[A-Za-z]{2,}$""),""✅ Valid"",""❌ Invalid"")"),"✅ Valid")</f>
        <v>✅ Valid</v>
      </c>
      <c r="P1098" s="2">
        <f t="array" ref="P1098">XLOOKUP(I1098,customers_clean!$A$2:$A$701,customers_clean!$K$2:$K$701)</f>
        <v>8402535720</v>
      </c>
      <c r="Q1098" s="10" t="str">
        <f t="array" ref="Q1098">XLOOKUP(I1098,customers_clean!$A$2:$A$701,customers_clean!$N$2:$N$701)</f>
        <v>8402535720</v>
      </c>
      <c r="R1098" s="9" t="str">
        <f t="array" ref="R1098">XLOOKUP(I1098,customers_clean!$A$2:$A$701,customers_clean!$Q$2:$Q$701)</f>
        <v>❌ INVALID</v>
      </c>
      <c r="S1098" s="10" t="s">
        <v>88</v>
      </c>
      <c r="T1098" s="2" t="s">
        <v>778</v>
      </c>
      <c r="U1098" s="2" t="s">
        <v>522</v>
      </c>
      <c r="V1098" s="2" t="s">
        <v>461</v>
      </c>
      <c r="W1098" s="9" t="str">
        <f t="array" ref="W1098">IF(ISNA(XLOOKUP(V1098,products_master_corrected!$A$2:$A$151,products_master_corrected!$A$2:$A$151, NA())),
    "❌ MISSING SKU", "✅")</f>
        <v>✅</v>
      </c>
      <c r="X1098" s="2" t="s">
        <v>804</v>
      </c>
      <c r="Y1098" s="2" t="s">
        <v>463</v>
      </c>
      <c r="Z1098" s="10" t="s">
        <v>514</v>
      </c>
      <c r="AA1098" s="27">
        <v>2.0</v>
      </c>
      <c r="AB1098" s="9" t="s">
        <v>8649</v>
      </c>
      <c r="AC1098" s="28">
        <f t="array" ref="AC1098">XLOOKUP(V1098,products_master_corrected!$A$2:$A$151,products_master_corrected!$E$2:$E$151)</f>
        <v>17.15</v>
      </c>
      <c r="AD1098" s="28">
        <f t="shared" si="126"/>
        <v>34.3</v>
      </c>
      <c r="AE1098" s="28">
        <f t="array" ref="AE1098">XLOOKUP(V1098,products_master_corrected!$A$2:$A$151,products_master_corrected!$I$2:$I$151)</f>
        <v>18.91</v>
      </c>
      <c r="AF1098" s="29">
        <f t="shared" si="127"/>
        <v>37.82</v>
      </c>
      <c r="AG1098" s="32" t="s">
        <v>8660</v>
      </c>
      <c r="AH1098" s="2" t="s">
        <v>181</v>
      </c>
      <c r="AI1098" s="10" t="s">
        <v>181</v>
      </c>
      <c r="AJ1098" s="2" t="s">
        <v>294</v>
      </c>
      <c r="AK1098" s="10" t="s">
        <v>80</v>
      </c>
    </row>
    <row r="1099" ht="15.75" customHeight="1">
      <c r="A1099" s="2" t="s">
        <v>4266</v>
      </c>
      <c r="B1099" s="12">
        <v>45649.0</v>
      </c>
      <c r="C1099" s="2" t="str">
        <f>IFERROR(__xludf.DUMMYFUNCTION("IF(ISNUMBER(B1099),TEXT(B1099,""yyyy-MM-dd""),REGEXREPLACE(REGEXREPLACE(TO_TEXT(B1099),""[^0-9a-zA-Z]+"",""-""),""[^0-9]*$"",""""))"),"2024-12-23")</f>
        <v>2024-12-23</v>
      </c>
      <c r="D1099" s="2" t="s">
        <v>7695</v>
      </c>
      <c r="H1099" s="10" t="s">
        <v>7695</v>
      </c>
      <c r="I1099" s="2" t="s">
        <v>4268</v>
      </c>
      <c r="J1099" s="26" t="str">
        <f t="array" ref="J1099">IF(ISNA(XLOOKUP(I1099,customers_clean!$A$2:$A$701,customers_clean!$A$2:$A$701, NA()) ),
   "❌ MISSING CUSTOMER", "✅")</f>
        <v>✅</v>
      </c>
      <c r="K1099" s="2" t="str">
        <f t="array" ref="K1099">XLOOKUP(I1099,customers_clean!$A$2:$A$701,customers_clean!$C$2:$C$701)</f>
        <v>Sam Novak</v>
      </c>
      <c r="L1099" s="10" t="str">
        <f t="array" ref="L1099">XLOOKUP(I1099,customers_clean!$A$2:$A$701,customers_clean!$D$2:$D$701)</f>
        <v>Sam Novak</v>
      </c>
      <c r="M1099" s="2" t="str">
        <f t="array" ref="M1099">XLOOKUP(I1099,customers_clean!$A$2:$A$701,customers_clean!$I$2:$I$701)</f>
        <v>sam.novak@gmail.com </v>
      </c>
      <c r="N1099" s="10" t="str">
        <f t="array" ref="N1099">XLOOKUP(I1099,customers_clean!$A$2:$A$701,customers_clean!$H$2:$H$701)</f>
        <v>sam.novak@gmail.com</v>
      </c>
      <c r="O1099" s="9" t="str">
        <f>IFERROR(__xludf.DUMMYFUNCTION("IF(REGEXMATCH(TRIM(N1099),""^[A-Za-z0-9._%+-]+@[A-Za-z0-9.-]+\.[A-Za-z]{2,}$""),""✅ Valid"",""❌ Invalid"")"),"✅ Valid")</f>
        <v>✅ Valid</v>
      </c>
      <c r="P1099" s="33" t="str">
        <f t="array" ref="P1099">XLOOKUP(I1099,customers_clean!$A$2:$A$701,customers_clean!$K$2:$K$701)</f>
        <v>+48 496 882849</v>
      </c>
      <c r="Q1099" s="10" t="str">
        <f t="array" ref="Q1099">XLOOKUP(I1099,customers_clean!$A$2:$A$701,customers_clean!$N$2:$N$701)</f>
        <v>496882849</v>
      </c>
      <c r="R1099" s="9" t="str">
        <f t="array" ref="R1099">XLOOKUP(I1099,customers_clean!$A$2:$A$701,customers_clean!$Q$2:$Q$701)</f>
        <v>❌ INVALID</v>
      </c>
      <c r="S1099" s="10" t="s">
        <v>139</v>
      </c>
      <c r="T1099" s="2" t="s">
        <v>4272</v>
      </c>
      <c r="U1099" s="2" t="s">
        <v>312</v>
      </c>
      <c r="V1099" s="2" t="s">
        <v>3210</v>
      </c>
      <c r="W1099" s="9" t="str">
        <f t="array" ref="W1099">IF(ISNA(XLOOKUP(V1099,products_master_corrected!$A$2:$A$151,products_master_corrected!$A$2:$A$151, NA())),
    "❌ MISSING SKU", "✅")</f>
        <v>✅</v>
      </c>
      <c r="X1099" s="2" t="s">
        <v>3597</v>
      </c>
      <c r="Y1099" s="2" t="s">
        <v>167</v>
      </c>
      <c r="Z1099" s="10" t="str">
        <f>PROPER(TRIM(Y1099))</f>
        <v>Monitors</v>
      </c>
      <c r="AA1099" s="27">
        <v>1.0</v>
      </c>
      <c r="AB1099" s="9" t="s">
        <v>8649</v>
      </c>
      <c r="AC1099" s="28">
        <f t="array" ref="AC1099">XLOOKUP(V1099,products_master_corrected!$A$2:$A$151,products_master_corrected!$E$2:$E$151)</f>
        <v>253.27</v>
      </c>
      <c r="AD1099" s="28">
        <f t="shared" si="126"/>
        <v>253.27</v>
      </c>
      <c r="AE1099" s="28">
        <f t="array" ref="AE1099">XLOOKUP(V1099,products_master_corrected!$A$2:$A$151,products_master_corrected!$L$2:$L$151)</f>
        <v>273.91</v>
      </c>
      <c r="AF1099" s="29">
        <f t="shared" si="127"/>
        <v>273.91</v>
      </c>
      <c r="AG1099" s="32" t="s">
        <v>8665</v>
      </c>
      <c r="AH1099" s="2" t="s">
        <v>181</v>
      </c>
      <c r="AI1099" s="10" t="s">
        <v>181</v>
      </c>
      <c r="AJ1099" s="2" t="s">
        <v>442</v>
      </c>
      <c r="AK1099" s="10" t="s">
        <v>80</v>
      </c>
      <c r="AL1099" s="2" t="s">
        <v>67</v>
      </c>
    </row>
    <row r="1100" ht="15.75" customHeight="1">
      <c r="A1100" s="2" t="s">
        <v>5835</v>
      </c>
      <c r="B1100" s="12" t="s">
        <v>5836</v>
      </c>
      <c r="C1100" s="2" t="str">
        <f>IFERROR(__xludf.DUMMYFUNCTION("IF(ISNUMBER(B1100),TEXT(B1100,""yyyy-MM-dd""),REGEXREPLACE(REGEXREPLACE(TO_TEXT(B1100),""[^0-9a-zA-Z]+"",""-""),""[^0-9]*$"",""""))"),"45134-16-51")</f>
        <v>45134-16-51</v>
      </c>
      <c r="D1100" s="2" t="str">
        <f>TEXT(C1100,"yyyy-MM-dd")</f>
        <v>45134-16-51</v>
      </c>
      <c r="E1100" s="25" t="str">
        <f>CONCATENATE(LEFT(D1100,5))</f>
        <v>45134</v>
      </c>
      <c r="F1100" s="12">
        <f>DATE(1900,1,1) + E1100 - 1</f>
        <v>45135</v>
      </c>
      <c r="G1100" s="2" t="s">
        <v>9009</v>
      </c>
      <c r="H1100" s="10" t="s">
        <v>9009</v>
      </c>
      <c r="I1100" s="2" t="s">
        <v>4268</v>
      </c>
      <c r="J1100" s="26" t="str">
        <f t="array" ref="J1100">IF(ISNA(XLOOKUP(I1100,customers_clean!$A$2:$A$701,customers_clean!$A$2:$A$701, NA()) ),
   "❌ MISSING CUSTOMER", "✅")</f>
        <v>✅</v>
      </c>
      <c r="K1100" s="2" t="str">
        <f t="array" ref="K1100">XLOOKUP(I1100,customers_clean!$A$2:$A$701,customers_clean!$C$2:$C$701)</f>
        <v>Sam Novak</v>
      </c>
      <c r="L1100" s="10" t="str">
        <f t="array" ref="L1100">XLOOKUP(I1100,customers_clean!$A$2:$A$701,customers_clean!$D$2:$D$701)</f>
        <v>Sam Novak</v>
      </c>
      <c r="M1100" s="2" t="str">
        <f t="array" ref="M1100">XLOOKUP(I1100,customers_clean!$A$2:$A$701,customers_clean!$I$2:$I$701)</f>
        <v>sam.novak@gmail.com </v>
      </c>
      <c r="N1100" s="10" t="str">
        <f t="array" ref="N1100">XLOOKUP(I1100,customers_clean!$A$2:$A$701,customers_clean!$H$2:$H$701)</f>
        <v>sam.novak@gmail.com</v>
      </c>
      <c r="O1100" s="9" t="str">
        <f>IFERROR(__xludf.DUMMYFUNCTION("IF(REGEXMATCH(TRIM(N1100),""^[A-Za-z0-9._%+-]+@[A-Za-z0-9.-]+\.[A-Za-z]{2,}$""),""✅ Valid"",""❌ Invalid"")"),"✅ Valid")</f>
        <v>✅ Valid</v>
      </c>
      <c r="P1100" s="33" t="str">
        <f t="array" ref="P1100">XLOOKUP(I1100,customers_clean!$A$2:$A$701,customers_clean!$K$2:$K$701)</f>
        <v>+48 496 882849</v>
      </c>
      <c r="Q1100" s="10" t="str">
        <f t="array" ref="Q1100">XLOOKUP(I1100,customers_clean!$A$2:$A$701,customers_clean!$N$2:$N$701)</f>
        <v>496882849</v>
      </c>
      <c r="R1100" s="9" t="str">
        <f t="array" ref="R1100">XLOOKUP(I1100,customers_clean!$A$2:$A$701,customers_clean!$Q$2:$Q$701)</f>
        <v>❌ INVALID</v>
      </c>
      <c r="S1100" s="10" t="s">
        <v>139</v>
      </c>
      <c r="T1100" s="2" t="s">
        <v>26</v>
      </c>
      <c r="U1100" s="2" t="s">
        <v>103</v>
      </c>
      <c r="V1100" s="2" t="s">
        <v>2033</v>
      </c>
      <c r="W1100" s="9" t="str">
        <f t="array" ref="W1100">IF(ISNA(XLOOKUP(V1100,products_master_corrected!$A$2:$A$151,products_master_corrected!$A$2:$A$151, NA())),
    "❌ MISSING SKU", "✅")</f>
        <v>✅</v>
      </c>
      <c r="X1100" s="2" t="s">
        <v>2034</v>
      </c>
      <c r="Y1100" s="2" t="s">
        <v>1016</v>
      </c>
      <c r="Z1100" s="10" t="s">
        <v>355</v>
      </c>
      <c r="AA1100" s="27">
        <v>1.0</v>
      </c>
      <c r="AB1100" s="9" t="s">
        <v>8649</v>
      </c>
      <c r="AC1100" s="28">
        <f t="array" ref="AC1100">XLOOKUP(V1100,products_master_corrected!$A$2:$A$151,products_master_corrected!$E$2:$E$151)</f>
        <v>938.62</v>
      </c>
      <c r="AD1100" s="28">
        <f t="shared" si="126"/>
        <v>938.62</v>
      </c>
      <c r="AE1100" s="28">
        <f t="array" ref="AE1100">XLOOKUP(V1100,products_master_corrected!$A$2:$A$151,products_master_corrected!$L$2:$L$151)</f>
        <v>1015.12</v>
      </c>
      <c r="AF1100" s="29">
        <f t="shared" si="127"/>
        <v>1015.12</v>
      </c>
      <c r="AG1100" s="32" t="s">
        <v>8665</v>
      </c>
      <c r="AH1100" s="2" t="s">
        <v>305</v>
      </c>
      <c r="AI1100" s="10" t="s">
        <v>49</v>
      </c>
      <c r="AJ1100" s="2" t="s">
        <v>80</v>
      </c>
      <c r="AK1100" s="10" t="s">
        <v>80</v>
      </c>
    </row>
    <row r="1101" ht="15.75" customHeight="1">
      <c r="A1101" s="2" t="s">
        <v>5592</v>
      </c>
      <c r="B1101" s="12">
        <v>45922.0</v>
      </c>
      <c r="C1101" s="2" t="str">
        <f>IFERROR(__xludf.DUMMYFUNCTION("IF(ISNUMBER(B1101),TEXT(B1101,""yyyy-MM-dd""),REGEXREPLACE(REGEXREPLACE(TO_TEXT(B1101),""[^0-9a-zA-Z]+"",""-""),""[^0-9]*$"",""""))"),"2025-09-22")</f>
        <v>2025-09-22</v>
      </c>
      <c r="D1101" s="2" t="s">
        <v>9010</v>
      </c>
      <c r="H1101" s="10" t="s">
        <v>9010</v>
      </c>
      <c r="I1101" s="2" t="s">
        <v>5048</v>
      </c>
      <c r="J1101" s="26" t="str">
        <f t="array" ref="J1101">IF(ISNA(XLOOKUP(I1101,customers_clean!$A$2:$A$701,customers_clean!$A$2:$A$701, NA()) ),
   "❌ MISSING CUSTOMER", "✅")</f>
        <v>✅</v>
      </c>
      <c r="K1101" s="2" t="str">
        <f t="array" ref="K1101">XLOOKUP(I1101,customers_clean!$A$2:$A$701,customers_clean!$C$2:$C$701)</f>
        <v>Ethan Taylor</v>
      </c>
      <c r="L1101" s="10" t="str">
        <f t="array" ref="L1101">XLOOKUP(I1101,customers_clean!$A$2:$A$701,customers_clean!$D$2:$D$701)</f>
        <v>Ethan Taylor</v>
      </c>
      <c r="M1101" s="2" t="str">
        <f t="array" ref="M1101">XLOOKUP(I1101,customers_clean!$A$2:$A$701,customers_clean!$I$2:$I$701)</f>
        <v> ethan.taylor@shop.io</v>
      </c>
      <c r="N1101" s="10" t="str">
        <f t="array" ref="N1101">XLOOKUP(I1101,customers_clean!$A$2:$A$701,customers_clean!$H$2:$H$701)</f>
        <v>ethan.taylor@shop.io</v>
      </c>
      <c r="O1101" s="9" t="str">
        <f>IFERROR(__xludf.DUMMYFUNCTION("IF(REGEXMATCH(TRIM(N1101),""^[A-Za-z0-9._%+-]+@[A-Za-z0-9.-]+\.[A-Za-z]{2,}$""),""✅ Valid"",""❌ Invalid"")"),"✅ Valid")</f>
        <v>✅ Valid</v>
      </c>
      <c r="P1101" s="2" t="str">
        <f t="array" ref="P1101">XLOOKUP(I1101,customers_clean!$A$2:$A$701,customers_clean!$K$2:$K$701)</f>
        <v>+1 586 0297604</v>
      </c>
      <c r="Q1101" s="10" t="str">
        <f t="array" ref="Q1101">XLOOKUP(I1101,customers_clean!$A$2:$A$701,customers_clean!$N$2:$N$701)</f>
        <v>5860297604</v>
      </c>
      <c r="R1101" s="9" t="str">
        <f t="array" ref="R1101">XLOOKUP(I1101,customers_clean!$A$2:$A$701,customers_clean!$Q$2:$Q$701)</f>
        <v>✅ VALID</v>
      </c>
      <c r="S1101" s="31" t="s">
        <v>671</v>
      </c>
      <c r="T1101" s="2" t="s">
        <v>210</v>
      </c>
      <c r="U1101" s="2" t="s">
        <v>401</v>
      </c>
      <c r="V1101" s="2" t="s">
        <v>976</v>
      </c>
      <c r="W1101" s="9" t="str">
        <f t="array" ref="W1101">IF(ISNA(XLOOKUP(V1101,products_master_corrected!$A$2:$A$151,products_master_corrected!$A$2:$A$151, NA())),
    "❌ MISSING SKU", "✅")</f>
        <v>✅</v>
      </c>
      <c r="X1101" s="2" t="s">
        <v>29</v>
      </c>
      <c r="Y1101" s="2" t="s">
        <v>214</v>
      </c>
      <c r="Z1101" s="10" t="s">
        <v>368</v>
      </c>
      <c r="AA1101" s="27">
        <v>2.0</v>
      </c>
      <c r="AB1101" s="9" t="s">
        <v>8649</v>
      </c>
      <c r="AC1101" s="28">
        <f t="array" ref="AC1101">XLOOKUP(V1101,products_master_corrected!$A$2:$A$151,products_master_corrected!$E$2:$E$151)</f>
        <v>107.91</v>
      </c>
      <c r="AD1101" s="28">
        <f t="shared" si="126"/>
        <v>215.82</v>
      </c>
      <c r="AE1101" s="28">
        <f t="array" ref="AE1101">XLOOKUP(V1101,products_master_corrected!$A$2:$A$151,products_master_corrected!$J$2:$J$151)</f>
        <v>125.86</v>
      </c>
      <c r="AF1101" s="29">
        <f t="shared" si="127"/>
        <v>251.72</v>
      </c>
      <c r="AG1101" s="32" t="s">
        <v>8656</v>
      </c>
      <c r="AH1101" s="2" t="s">
        <v>181</v>
      </c>
      <c r="AI1101" s="10" t="s">
        <v>181</v>
      </c>
      <c r="AJ1101" s="2" t="s">
        <v>169</v>
      </c>
      <c r="AK1101" s="10" t="s">
        <v>261</v>
      </c>
      <c r="AL1101" s="2" t="s">
        <v>133</v>
      </c>
    </row>
    <row r="1102" ht="15.75" customHeight="1">
      <c r="A1102" s="2" t="s">
        <v>5046</v>
      </c>
      <c r="B1102" s="12">
        <v>45087.0</v>
      </c>
      <c r="C1102" s="2" t="str">
        <f>IFERROR(__xludf.DUMMYFUNCTION("IF(ISNUMBER(B1102),TEXT(B1102,""yyyy-MM-dd""),REGEXREPLACE(REGEXREPLACE(TO_TEXT(B1102),""[^0-9a-zA-Z]+"",""-""),""[^0-9]*$"",""""))"),"2023-06-10")</f>
        <v>2023-06-10</v>
      </c>
      <c r="D1102" s="2" t="s">
        <v>8870</v>
      </c>
      <c r="H1102" s="10" t="s">
        <v>8870</v>
      </c>
      <c r="I1102" s="2" t="s">
        <v>5048</v>
      </c>
      <c r="J1102" s="26" t="str">
        <f t="array" ref="J1102">IF(ISNA(XLOOKUP(I1102,customers_clean!$A$2:$A$701,customers_clean!$A$2:$A$701, NA()) ),
   "❌ MISSING CUSTOMER", "✅")</f>
        <v>✅</v>
      </c>
      <c r="K1102" s="2" t="str">
        <f t="array" ref="K1102">XLOOKUP(I1102,customers_clean!$A$2:$A$701,customers_clean!$C$2:$C$701)</f>
        <v>Ethan Taylor</v>
      </c>
      <c r="L1102" s="10" t="str">
        <f t="array" ref="L1102">XLOOKUP(I1102,customers_clean!$A$2:$A$701,customers_clean!$D$2:$D$701)</f>
        <v>Ethan Taylor</v>
      </c>
      <c r="M1102" s="2" t="str">
        <f t="array" ref="M1102">XLOOKUP(I1102,customers_clean!$A$2:$A$701,customers_clean!$I$2:$I$701)</f>
        <v> ethan.taylor@shop.io</v>
      </c>
      <c r="N1102" s="10" t="str">
        <f t="array" ref="N1102">XLOOKUP(I1102,customers_clean!$A$2:$A$701,customers_clean!$H$2:$H$701)</f>
        <v>ethan.taylor@shop.io</v>
      </c>
      <c r="O1102" s="9" t="str">
        <f>IFERROR(__xludf.DUMMYFUNCTION("IF(REGEXMATCH(TRIM(N1102),""^[A-Za-z0-9._%+-]+@[A-Za-z0-9.-]+\.[A-Za-z]{2,}$""),""✅ Valid"",""❌ Invalid"")"),"✅ Valid")</f>
        <v>✅ Valid</v>
      </c>
      <c r="P1102" s="2" t="str">
        <f t="array" ref="P1102">XLOOKUP(I1102,customers_clean!$A$2:$A$701,customers_clean!$K$2:$K$701)</f>
        <v>+1 586 0297604</v>
      </c>
      <c r="Q1102" s="10" t="str">
        <f t="array" ref="Q1102">XLOOKUP(I1102,customers_clean!$A$2:$A$701,customers_clean!$N$2:$N$701)</f>
        <v>5860297604</v>
      </c>
      <c r="R1102" s="9" t="str">
        <f t="array" ref="R1102">XLOOKUP(I1102,customers_clean!$A$2:$A$701,customers_clean!$Q$2:$Q$701)</f>
        <v>✅ VALID</v>
      </c>
      <c r="S1102" s="31" t="s">
        <v>671</v>
      </c>
      <c r="T1102" s="2" t="s">
        <v>323</v>
      </c>
      <c r="U1102" s="2" t="s">
        <v>1245</v>
      </c>
      <c r="V1102" s="2" t="s">
        <v>3596</v>
      </c>
      <c r="W1102" s="9" t="str">
        <f t="array" ref="W1102">IF(ISNA(XLOOKUP(V1102,products_master_corrected!$A$2:$A$151,products_master_corrected!$A$2:$A$151, NA())),
    "❌ MISSING SKU", "✅")</f>
        <v>✅</v>
      </c>
      <c r="X1102" s="2" t="s">
        <v>3597</v>
      </c>
      <c r="Y1102" s="2" t="s">
        <v>63</v>
      </c>
      <c r="Z1102" s="10" t="s">
        <v>63</v>
      </c>
      <c r="AA1102" s="27">
        <v>5.0</v>
      </c>
      <c r="AB1102" s="9" t="s">
        <v>8649</v>
      </c>
      <c r="AC1102" s="28">
        <f t="array" ref="AC1102">XLOOKUP(V1102,products_master_corrected!$A$2:$A$151,products_master_corrected!$E$2:$E$151)</f>
        <v>160.36</v>
      </c>
      <c r="AD1102" s="28">
        <f t="shared" si="126"/>
        <v>801.8</v>
      </c>
      <c r="AE1102" s="28">
        <f t="array" ref="AE1102">XLOOKUP(V1102,products_master_corrected!$A$2:$A$151,products_master_corrected!$J$2:$J$151)</f>
        <v>187.03</v>
      </c>
      <c r="AF1102" s="29">
        <f t="shared" si="127"/>
        <v>935.15</v>
      </c>
      <c r="AG1102" s="32" t="s">
        <v>8656</v>
      </c>
      <c r="AH1102" s="2" t="s">
        <v>2521</v>
      </c>
      <c r="AI1102" s="10" t="s">
        <v>49</v>
      </c>
      <c r="AJ1102" s="2" t="s">
        <v>294</v>
      </c>
      <c r="AK1102" s="10" t="s">
        <v>80</v>
      </c>
    </row>
    <row r="1103" ht="15.75" customHeight="1">
      <c r="A1103" s="2" t="s">
        <v>1369</v>
      </c>
      <c r="B1103" s="12">
        <v>45675.0</v>
      </c>
      <c r="C1103" s="2" t="str">
        <f>IFERROR(__xludf.DUMMYFUNCTION("IF(ISNUMBER(B1103),TEXT(B1103,""yyyy-MM-dd""),REGEXREPLACE(REGEXREPLACE(TO_TEXT(B1103),""[^0-9a-zA-Z]+"",""-""),""[^0-9]*$"",""""))"),"2025-01-18")</f>
        <v>2025-01-18</v>
      </c>
      <c r="D1103" s="2" t="s">
        <v>7763</v>
      </c>
      <c r="H1103" s="10" t="s">
        <v>7763</v>
      </c>
      <c r="I1103" s="2" t="s">
        <v>1371</v>
      </c>
      <c r="J1103" s="26" t="str">
        <f t="array" ref="J1103">IF(ISNA(XLOOKUP(I1103,customers_clean!$A$2:$A$701,customers_clean!$A$2:$A$701, NA()) ),
   "❌ MISSING CUSTOMER", "✅")</f>
        <v>✅</v>
      </c>
      <c r="K1103" s="2" t="str">
        <f t="array" ref="K1103">XLOOKUP(I1103,customers_clean!$A$2:$A$701,customers_clean!$C$2:$C$701)</f>
        <v>Wiktor Rossi</v>
      </c>
      <c r="L1103" s="10" t="str">
        <f t="array" ref="L1103">XLOOKUP(I1103,customers_clean!$A$2:$A$701,customers_clean!$D$2:$D$701)</f>
        <v>Wiktor Rossi</v>
      </c>
      <c r="M1103" s="2" t="str">
        <f t="array" ref="M1103">XLOOKUP(I1103,customers_clean!$A$2:$A$701,customers_clean!$I$2:$I$701)</f>
        <v>wiktor.rossi@outlook.com</v>
      </c>
      <c r="N1103" s="10" t="str">
        <f t="array" ref="N1103">XLOOKUP(I1103,customers_clean!$A$2:$A$701,customers_clean!$H$2:$H$701)</f>
        <v>wiktor.rossi@outlook.com</v>
      </c>
      <c r="O1103" s="9" t="str">
        <f>IFERROR(__xludf.DUMMYFUNCTION("IF(REGEXMATCH(TRIM(N1103),""^[A-Za-z0-9._%+-]+@[A-Za-z0-9.-]+\.[A-Za-z]{2,}$""),""✅ Valid"",""❌ Invalid"")"),"✅ Valid")</f>
        <v>✅ Valid</v>
      </c>
      <c r="P1103" s="2" t="str">
        <f t="array" ref="P1103">XLOOKUP(I1103,customers_clean!$A$2:$A$701,customers_clean!$K$2:$K$701)</f>
        <v>+1 837 0051713</v>
      </c>
      <c r="Q1103" s="10" t="str">
        <f t="array" ref="Q1103">XLOOKUP(I1103,customers_clean!$A$2:$A$701,customers_clean!$N$2:$N$701)</f>
        <v>8370051713</v>
      </c>
      <c r="R1103" s="9" t="str">
        <f t="array" ref="R1103">XLOOKUP(I1103,customers_clean!$A$2:$A$701,customers_clean!$Q$2:$Q$701)</f>
        <v>✅ VALID</v>
      </c>
      <c r="S1103" s="10" t="s">
        <v>448</v>
      </c>
      <c r="T1103" s="2" t="s">
        <v>1167</v>
      </c>
      <c r="U1103" s="2" t="s">
        <v>352</v>
      </c>
      <c r="V1103" s="2" t="s">
        <v>1109</v>
      </c>
      <c r="W1103" s="9" t="str">
        <f t="array" ref="W1103">IF(ISNA(XLOOKUP(V1103,products_master_corrected!$A$2:$A$151,products_master_corrected!$A$2:$A$151, NA())),
    "❌ MISSING SKU", "✅")</f>
        <v>✅</v>
      </c>
      <c r="X1103" s="2" t="s">
        <v>62</v>
      </c>
      <c r="Y1103" s="2" t="s">
        <v>826</v>
      </c>
      <c r="Z1103" s="10" t="s">
        <v>63</v>
      </c>
      <c r="AA1103" s="27">
        <v>1.0</v>
      </c>
      <c r="AB1103" s="9" t="s">
        <v>8649</v>
      </c>
      <c r="AC1103" s="28">
        <f t="array" ref="AC1103">XLOOKUP(V1103,products_master_corrected!$A$2:$A$151,products_master_corrected!$E$2:$E$151)</f>
        <v>115.14</v>
      </c>
      <c r="AD1103" s="28">
        <f t="shared" si="126"/>
        <v>115.14</v>
      </c>
      <c r="AE1103" s="28">
        <f t="array" ref="AE1103">XLOOKUP(V1103,products_master_corrected!$A$2:$A$151,products_master_corrected!$M$2:$M$151)</f>
        <v>139.27</v>
      </c>
      <c r="AF1103" s="29">
        <f t="shared" si="127"/>
        <v>139.27</v>
      </c>
      <c r="AG1103" s="30" t="s">
        <v>48</v>
      </c>
      <c r="AH1103" s="2" t="s">
        <v>370</v>
      </c>
      <c r="AI1103" s="10" t="s">
        <v>143</v>
      </c>
      <c r="AJ1103" s="2" t="s">
        <v>442</v>
      </c>
      <c r="AK1103" s="10" t="s">
        <v>80</v>
      </c>
      <c r="AL1103" s="2" t="s">
        <v>51</v>
      </c>
    </row>
    <row r="1104" ht="15.75" customHeight="1">
      <c r="A1104" s="2" t="s">
        <v>182</v>
      </c>
      <c r="B1104" s="12">
        <v>45452.0</v>
      </c>
      <c r="C1104" s="2" t="str">
        <f>IFERROR(__xludf.DUMMYFUNCTION("IF(ISNUMBER(B1104),TEXT(B1104,""yyyy-MM-dd""),REGEXREPLACE(REGEXREPLACE(TO_TEXT(B1104),""[^0-9a-zA-Z]+"",""-""),""[^0-9]*$"",""""))"),"2024-06-09")</f>
        <v>2024-06-09</v>
      </c>
      <c r="D1104" s="2" t="s">
        <v>8912</v>
      </c>
      <c r="H1104" s="10" t="s">
        <v>8912</v>
      </c>
      <c r="I1104" s="2" t="s">
        <v>184</v>
      </c>
      <c r="J1104" s="26" t="str">
        <f t="array" ref="J1104">IF(ISNA(XLOOKUP(I1104,customers_clean!$A$2:$A$701,customers_clean!$A$2:$A$701, NA()) ),
   "❌ MISSING CUSTOMER", "✅")</f>
        <v>✅</v>
      </c>
      <c r="K1104" s="2" t="str">
        <f t="array" ref="K1104">XLOOKUP(I1104,customers_clean!$A$2:$A$701,customers_clean!$C$2:$C$701)</f>
        <v>Marek Young</v>
      </c>
      <c r="L1104" s="10" t="str">
        <f t="array" ref="L1104">XLOOKUP(I1104,customers_clean!$A$2:$A$701,customers_clean!$D$2:$D$701)</f>
        <v>Marek Young</v>
      </c>
      <c r="M1104" s="2" t="str">
        <f t="array" ref="M1104">XLOOKUP(I1104,customers_clean!$A$2:$A$701,customers_clean!$I$2:$I$701)</f>
        <v>marek.young@shop.io</v>
      </c>
      <c r="N1104" s="10" t="str">
        <f t="array" ref="N1104">XLOOKUP(I1104,customers_clean!$A$2:$A$701,customers_clean!$H$2:$H$701)</f>
        <v>marek.young@shop.io</v>
      </c>
      <c r="O1104" s="9" t="str">
        <f>IFERROR(__xludf.DUMMYFUNCTION("IF(REGEXMATCH(TRIM(N1104),""^[A-Za-z0-9._%+-]+@[A-Za-z0-9.-]+\.[A-Za-z]{2,}$""),""✅ Valid"",""❌ Invalid"")"),"✅ Valid")</f>
        <v>✅ Valid</v>
      </c>
      <c r="P1104" s="2" t="str">
        <f t="array" ref="P1104">XLOOKUP(I1104,customers_clean!$A$2:$A$701,customers_clean!$K$2:$K$701)</f>
        <v>+34+14267289</v>
      </c>
      <c r="Q1104" s="10" t="str">
        <f t="array" ref="Q1104">XLOOKUP(I1104,customers_clean!$A$2:$A$701,customers_clean!$N$2:$N$701)</f>
        <v>14267289</v>
      </c>
      <c r="R1104" s="9" t="str">
        <f t="array" ref="R1104">XLOOKUP(I1104,customers_clean!$A$2:$A$701,customers_clean!$Q$2:$Q$701)</f>
        <v>❌ INVALID</v>
      </c>
      <c r="S1104" s="10" t="s">
        <v>139</v>
      </c>
      <c r="T1104" s="2" t="s">
        <v>152</v>
      </c>
      <c r="U1104" s="2" t="s">
        <v>103</v>
      </c>
      <c r="V1104" s="2" t="s">
        <v>189</v>
      </c>
      <c r="W1104" s="9" t="str">
        <f t="array" ref="W1104">IF(ISNA(XLOOKUP(V1104,products_master_corrected!$A$2:$A$151,products_master_corrected!$A$2:$A$151, NA())),
    "❌ MISSING SKU", "✅")</f>
        <v>✅</v>
      </c>
      <c r="X1104" s="2" t="s">
        <v>190</v>
      </c>
      <c r="Y1104" s="2" t="s">
        <v>167</v>
      </c>
      <c r="Z1104" s="10" t="str">
        <f>PROPER(TRIM(Y1104))</f>
        <v>Monitors</v>
      </c>
      <c r="AA1104" s="27">
        <v>3.0</v>
      </c>
      <c r="AB1104" s="9" t="s">
        <v>8649</v>
      </c>
      <c r="AC1104" s="28">
        <f t="array" ref="AC1104">XLOOKUP(V1104,products_master_corrected!$A$2:$A$151,products_master_corrected!$E$2:$E$151)</f>
        <v>57.69</v>
      </c>
      <c r="AD1104" s="28">
        <f t="shared" si="126"/>
        <v>173.07</v>
      </c>
      <c r="AE1104" s="28">
        <f t="array" ref="AE1104">XLOOKUP(V1104,products_master_corrected!$A$2:$A$151,products_master_corrected!$L$2:$L$151)</f>
        <v>62.39</v>
      </c>
      <c r="AF1104" s="29">
        <f t="shared" si="127"/>
        <v>187.17</v>
      </c>
      <c r="AG1104" s="32" t="s">
        <v>8665</v>
      </c>
      <c r="AH1104" s="2" t="s">
        <v>143</v>
      </c>
      <c r="AI1104" s="10" t="s">
        <v>143</v>
      </c>
      <c r="AJ1104" s="2" t="s">
        <v>192</v>
      </c>
      <c r="AK1104" s="10" t="s">
        <v>192</v>
      </c>
      <c r="AL1104" s="2" t="s">
        <v>133</v>
      </c>
    </row>
    <row r="1105" ht="15.75" customHeight="1">
      <c r="A1105" s="2" t="s">
        <v>5586</v>
      </c>
      <c r="B1105" s="12">
        <v>45654.450694444444</v>
      </c>
      <c r="C1105" s="2" t="str">
        <f>IFERROR(__xludf.DUMMYFUNCTION("IF(ISNUMBER(B1105),TEXT(B1105,""yyyy-MM-dd""),REGEXREPLACE(REGEXREPLACE(TO_TEXT(B1105),""[^0-9a-zA-Z]+"",""-""),""[^0-9]*$"",""""))"),"2024-12-28")</f>
        <v>2024-12-28</v>
      </c>
      <c r="D1105" s="2" t="s">
        <v>8824</v>
      </c>
      <c r="H1105" s="10" t="s">
        <v>8824</v>
      </c>
      <c r="I1105" s="2" t="s">
        <v>1396</v>
      </c>
      <c r="J1105" s="26" t="str">
        <f t="array" ref="J1105">IF(ISNA(XLOOKUP(I1105,customers_clean!$A$2:$A$701,customers_clean!$A$2:$A$701, NA()) ),
   "❌ MISSING CUSTOMER", "✅")</f>
        <v>✅</v>
      </c>
      <c r="K1105" s="2" t="str">
        <f t="array" ref="K1105">XLOOKUP(I1105,customers_clean!$A$2:$A$701,customers_clean!$C$2:$C$701)</f>
        <v>Zack  Martinez</v>
      </c>
      <c r="L1105" s="10" t="str">
        <f t="array" ref="L1105">XLOOKUP(I1105,customers_clean!$A$2:$A$701,customers_clean!$D$2:$D$701)</f>
        <v>Zack Martinez</v>
      </c>
      <c r="M1105" s="2" t="str">
        <f t="array" ref="M1105">XLOOKUP(I1105,customers_clean!$A$2:$A$701,customers_clean!$I$2:$I$701)</f>
        <v>zack.martinez@companyc.o.uk </v>
      </c>
      <c r="N1105" s="10" t="str">
        <f t="array" ref="N1105">XLOOKUP(I1105,customers_clean!$A$2:$A$701,customers_clean!$H$2:$H$701)</f>
        <v>zack.martinez@companyc.o.uk</v>
      </c>
      <c r="O1105" s="9" t="str">
        <f>IFERROR(__xludf.DUMMYFUNCTION("IF(REGEXMATCH(TRIM(N1105),""^[A-Za-z0-9._%+-]+@[A-Za-z0-9.-]+\.[A-Za-z]{2,}$""),""✅ Valid"",""❌ Invalid"")"),"✅ Valid")</f>
        <v>✅ Valid</v>
      </c>
      <c r="P1105" s="2" t="str">
        <f t="array" ref="P1105">XLOOKUP(I1105,customers_clean!$A$2:$A$701,customers_clean!$K$2:$K$701)</f>
        <v>+49 567 9945486</v>
      </c>
      <c r="Q1105" s="10" t="str">
        <f t="array" ref="Q1105">XLOOKUP(I1105,customers_clean!$A$2:$A$701,customers_clean!$N$2:$N$701)</f>
        <v>5679945486</v>
      </c>
      <c r="R1105" s="9" t="str">
        <f t="array" ref="R1105">XLOOKUP(I1105,customers_clean!$A$2:$A$701,customers_clean!$Q$2:$Q$701)</f>
        <v>❌ INVALID</v>
      </c>
      <c r="S1105" s="10" t="s">
        <v>139</v>
      </c>
      <c r="T1105" s="2" t="s">
        <v>26</v>
      </c>
      <c r="U1105" s="2" t="s">
        <v>43</v>
      </c>
      <c r="V1105" s="2" t="s">
        <v>756</v>
      </c>
      <c r="W1105" s="9" t="str">
        <f t="array" ref="W1105">IF(ISNA(XLOOKUP(V1105,products_master_corrected!$A$2:$A$151,products_master_corrected!$A$2:$A$151, NA())),
    "❌ MISSING SKU", "✅")</f>
        <v>✅</v>
      </c>
      <c r="X1105" s="2" t="s">
        <v>8737</v>
      </c>
      <c r="Y1105" s="2" t="s">
        <v>30</v>
      </c>
      <c r="Z1105" s="10" t="s">
        <v>179</v>
      </c>
      <c r="AA1105" s="27">
        <v>2.0</v>
      </c>
      <c r="AB1105" s="9" t="s">
        <v>8649</v>
      </c>
      <c r="AC1105" s="28">
        <f t="array" ref="AC1105">XLOOKUP(V1105,products_master_corrected!$A$2:$A$151,products_master_corrected!$E$2:$E$151)</f>
        <v>61.04</v>
      </c>
      <c r="AD1105" s="28">
        <f t="shared" si="126"/>
        <v>122.08</v>
      </c>
      <c r="AE1105" s="28">
        <f t="array" ref="AE1105">XLOOKUP(V1105,products_master_corrected!$A$2:$A$151,products_master_corrected!$L$2:$L$151)</f>
        <v>66.01</v>
      </c>
      <c r="AF1105" s="29">
        <f t="shared" si="127"/>
        <v>132.02</v>
      </c>
      <c r="AG1105" s="32" t="s">
        <v>8665</v>
      </c>
      <c r="AH1105" s="2" t="s">
        <v>66</v>
      </c>
      <c r="AI1105" s="10" t="s">
        <v>66</v>
      </c>
      <c r="AJ1105" s="2" t="s">
        <v>294</v>
      </c>
      <c r="AK1105" s="10" t="s">
        <v>80</v>
      </c>
    </row>
    <row r="1106" ht="15.75" customHeight="1">
      <c r="A1106" s="2" t="s">
        <v>2423</v>
      </c>
      <c r="B1106" s="12">
        <v>45681.9875</v>
      </c>
      <c r="C1106" s="2" t="str">
        <f>IFERROR(__xludf.DUMMYFUNCTION("IF(ISNUMBER(B1106),TEXT(B1106,""yyyy-MM-dd""),REGEXREPLACE(REGEXREPLACE(TO_TEXT(B1106),""[^0-9a-zA-Z]+"",""-""),""[^0-9]*$"",""""))"),"2025-01-24")</f>
        <v>2025-01-24</v>
      </c>
      <c r="D1106" s="2" t="s">
        <v>8787</v>
      </c>
      <c r="H1106" s="10" t="s">
        <v>8787</v>
      </c>
      <c r="I1106" s="2" t="s">
        <v>1396</v>
      </c>
      <c r="J1106" s="26" t="str">
        <f t="array" ref="J1106">IF(ISNA(XLOOKUP(I1106,customers_clean!$A$2:$A$701,customers_clean!$A$2:$A$701, NA()) ),
   "❌ MISSING CUSTOMER", "✅")</f>
        <v>✅</v>
      </c>
      <c r="K1106" s="2" t="str">
        <f t="array" ref="K1106">XLOOKUP(I1106,customers_clean!$A$2:$A$701,customers_clean!$C$2:$C$701)</f>
        <v>Zack  Martinez</v>
      </c>
      <c r="L1106" s="10" t="str">
        <f t="array" ref="L1106">XLOOKUP(I1106,customers_clean!$A$2:$A$701,customers_clean!$D$2:$D$701)</f>
        <v>Zack Martinez</v>
      </c>
      <c r="M1106" s="2" t="str">
        <f t="array" ref="M1106">XLOOKUP(I1106,customers_clean!$A$2:$A$701,customers_clean!$I$2:$I$701)</f>
        <v>zack.martinez@companyc.o.uk </v>
      </c>
      <c r="N1106" s="10" t="str">
        <f t="array" ref="N1106">XLOOKUP(I1106,customers_clean!$A$2:$A$701,customers_clean!$H$2:$H$701)</f>
        <v>zack.martinez@companyc.o.uk</v>
      </c>
      <c r="O1106" s="9" t="str">
        <f>IFERROR(__xludf.DUMMYFUNCTION("IF(REGEXMATCH(TRIM(N1106),""^[A-Za-z0-9._%+-]+@[A-Za-z0-9.-]+\.[A-Za-z]{2,}$""),""✅ Valid"",""❌ Invalid"")"),"✅ Valid")</f>
        <v>✅ Valid</v>
      </c>
      <c r="P1106" s="2" t="str">
        <f t="array" ref="P1106">XLOOKUP(I1106,customers_clean!$A$2:$A$701,customers_clean!$K$2:$K$701)</f>
        <v>+49 567 9945486</v>
      </c>
      <c r="Q1106" s="10" t="str">
        <f t="array" ref="Q1106">XLOOKUP(I1106,customers_clean!$A$2:$A$701,customers_clean!$N$2:$N$701)</f>
        <v>5679945486</v>
      </c>
      <c r="R1106" s="9" t="str">
        <f t="array" ref="R1106">XLOOKUP(I1106,customers_clean!$A$2:$A$701,customers_clean!$Q$2:$Q$701)</f>
        <v>❌ INVALID</v>
      </c>
      <c r="S1106" s="10" t="s">
        <v>139</v>
      </c>
      <c r="T1106" s="2" t="s">
        <v>1151</v>
      </c>
      <c r="U1106" s="2" t="s">
        <v>90</v>
      </c>
      <c r="V1106" s="2" t="s">
        <v>2425</v>
      </c>
      <c r="W1106" s="9" t="str">
        <f t="array" ref="W1106">IF(ISNA(XLOOKUP(V1106,products_master_corrected!$A$2:$A$151,products_master_corrected!$A$2:$A$151, NA())),
    "❌ MISSING SKU", "✅")</f>
        <v>✅</v>
      </c>
      <c r="X1106" s="2" t="s">
        <v>2426</v>
      </c>
      <c r="Y1106" s="2" t="s">
        <v>2427</v>
      </c>
      <c r="Z1106" s="10" t="s">
        <v>248</v>
      </c>
      <c r="AA1106" s="27">
        <v>3.0</v>
      </c>
      <c r="AB1106" s="9" t="s">
        <v>8649</v>
      </c>
      <c r="AC1106" s="28">
        <f t="array" ref="AC1106">XLOOKUP(V1106,products_master_corrected!$A$2:$A$151,products_master_corrected!$E$2:$E$151)</f>
        <v>1071.06</v>
      </c>
      <c r="AD1106" s="28">
        <f t="shared" si="126"/>
        <v>3213.18</v>
      </c>
      <c r="AE1106" s="28">
        <f t="array" ref="AE1106">XLOOKUP(V1106,products_master_corrected!$A$2:$A$151,products_master_corrected!$L$2:$L$151)</f>
        <v>1158.35</v>
      </c>
      <c r="AF1106" s="29">
        <f t="shared" si="127"/>
        <v>3475.05</v>
      </c>
      <c r="AG1106" s="32" t="s">
        <v>8665</v>
      </c>
      <c r="AH1106" s="2" t="s">
        <v>49</v>
      </c>
      <c r="AI1106" s="10" t="s">
        <v>49</v>
      </c>
      <c r="AJ1106" s="2" t="s">
        <v>1171</v>
      </c>
      <c r="AK1106" s="10" t="s">
        <v>80</v>
      </c>
      <c r="AL1106" s="2" t="s">
        <v>81</v>
      </c>
    </row>
    <row r="1107" ht="15.75" customHeight="1">
      <c r="A1107" s="2" t="s">
        <v>1394</v>
      </c>
      <c r="B1107" s="12">
        <v>45599.15902777778</v>
      </c>
      <c r="C1107" s="2" t="str">
        <f>IFERROR(__xludf.DUMMYFUNCTION("IF(ISNUMBER(B1107),TEXT(B1107,""yyyy-MM-dd""),REGEXREPLACE(REGEXREPLACE(TO_TEXT(B1107),""[^0-9a-zA-Z]+"",""-""),""[^0-9]*$"",""""))"),"2024-11-03")</f>
        <v>2024-11-03</v>
      </c>
      <c r="D1107" s="2" t="s">
        <v>8844</v>
      </c>
      <c r="H1107" s="10" t="s">
        <v>8844</v>
      </c>
      <c r="I1107" s="2" t="s">
        <v>1396</v>
      </c>
      <c r="J1107" s="26" t="str">
        <f t="array" ref="J1107">IF(ISNA(XLOOKUP(I1107,customers_clean!$A$2:$A$701,customers_clean!$A$2:$A$701, NA()) ),
   "❌ MISSING CUSTOMER", "✅")</f>
        <v>✅</v>
      </c>
      <c r="K1107" s="2" t="str">
        <f t="array" ref="K1107">XLOOKUP(I1107,customers_clean!$A$2:$A$701,customers_clean!$C$2:$C$701)</f>
        <v>Zack  Martinez</v>
      </c>
      <c r="L1107" s="10" t="str">
        <f t="array" ref="L1107">XLOOKUP(I1107,customers_clean!$A$2:$A$701,customers_clean!$D$2:$D$701)</f>
        <v>Zack Martinez</v>
      </c>
      <c r="M1107" s="2" t="str">
        <f t="array" ref="M1107">XLOOKUP(I1107,customers_clean!$A$2:$A$701,customers_clean!$I$2:$I$701)</f>
        <v>zack.martinez@companyc.o.uk </v>
      </c>
      <c r="N1107" s="10" t="str">
        <f t="array" ref="N1107">XLOOKUP(I1107,customers_clean!$A$2:$A$701,customers_clean!$H$2:$H$701)</f>
        <v>zack.martinez@companyc.o.uk</v>
      </c>
      <c r="O1107" s="9" t="str">
        <f>IFERROR(__xludf.DUMMYFUNCTION("IF(REGEXMATCH(TRIM(N1107),""^[A-Za-z0-9._%+-]+@[A-Za-z0-9.-]+\.[A-Za-z]{2,}$""),""✅ Valid"",""❌ Invalid"")"),"✅ Valid")</f>
        <v>✅ Valid</v>
      </c>
      <c r="P1107" s="2" t="str">
        <f t="array" ref="P1107">XLOOKUP(I1107,customers_clean!$A$2:$A$701,customers_clean!$K$2:$K$701)</f>
        <v>+49 567 9945486</v>
      </c>
      <c r="Q1107" s="10" t="str">
        <f t="array" ref="Q1107">XLOOKUP(I1107,customers_clean!$A$2:$A$701,customers_clean!$N$2:$N$701)</f>
        <v>5679945486</v>
      </c>
      <c r="R1107" s="9" t="str">
        <f t="array" ref="R1107">XLOOKUP(I1107,customers_clean!$A$2:$A$701,customers_clean!$Q$2:$Q$701)</f>
        <v>❌ INVALID</v>
      </c>
      <c r="S1107" s="10" t="s">
        <v>139</v>
      </c>
      <c r="T1107" s="2" t="s">
        <v>400</v>
      </c>
      <c r="U1107" s="2" t="s">
        <v>176</v>
      </c>
      <c r="V1107" s="2" t="s">
        <v>1400</v>
      </c>
      <c r="W1107" s="9" t="str">
        <f t="array" ref="W1107">IF(ISNA(XLOOKUP(V1107,products_master_corrected!$A$2:$A$151,products_master_corrected!$A$2:$A$151, NA())),
    "❌ MISSING SKU", "✅")</f>
        <v>✅</v>
      </c>
      <c r="X1107" s="2" t="s">
        <v>524</v>
      </c>
      <c r="Y1107" s="2" t="s">
        <v>1401</v>
      </c>
      <c r="Z1107" s="10" t="s">
        <v>63</v>
      </c>
      <c r="AA1107" s="27">
        <v>1.0</v>
      </c>
      <c r="AB1107" s="9" t="s">
        <v>8649</v>
      </c>
      <c r="AC1107" s="28">
        <f t="array" ref="AC1107">XLOOKUP(V1107,products_master_corrected!$A$2:$A$151,products_master_corrected!$E$2:$E$151)</f>
        <v>145.12</v>
      </c>
      <c r="AD1107" s="28">
        <f t="shared" si="126"/>
        <v>145.12</v>
      </c>
      <c r="AE1107" s="28">
        <f t="array" ref="AE1107">XLOOKUP(V1107,products_master_corrected!$A$2:$A$151,products_master_corrected!$L$2:$L$151)</f>
        <v>156.95</v>
      </c>
      <c r="AF1107" s="29">
        <f t="shared" si="127"/>
        <v>156.95</v>
      </c>
      <c r="AG1107" s="32" t="s">
        <v>8665</v>
      </c>
      <c r="AH1107" s="2" t="s">
        <v>49</v>
      </c>
      <c r="AI1107" s="10" t="s">
        <v>49</v>
      </c>
      <c r="AJ1107" s="2" t="s">
        <v>169</v>
      </c>
      <c r="AK1107" s="10" t="s">
        <v>261</v>
      </c>
      <c r="AL1107" s="2" t="s">
        <v>51</v>
      </c>
    </row>
    <row r="1108" ht="15.75" customHeight="1">
      <c r="A1108" s="2" t="s">
        <v>5702</v>
      </c>
      <c r="B1108" s="12">
        <v>45600.0</v>
      </c>
      <c r="C1108" s="2" t="str">
        <f>IFERROR(__xludf.DUMMYFUNCTION("IF(ISNUMBER(B1108),TEXT(B1108,""yyyy-MM-dd""),REGEXREPLACE(REGEXREPLACE(TO_TEXT(B1108),""[^0-9a-zA-Z]+"",""-""),""[^0-9]*$"",""""))"),"2024-11-04")</f>
        <v>2024-11-04</v>
      </c>
      <c r="D1108" s="2" t="s">
        <v>9011</v>
      </c>
      <c r="H1108" s="10" t="s">
        <v>9011</v>
      </c>
      <c r="I1108" s="2" t="s">
        <v>5704</v>
      </c>
      <c r="J1108" s="26" t="str">
        <f t="array" ref="J1108">IF(ISNA(XLOOKUP(I1108,customers_clean!$A$2:$A$701,customers_clean!$A$2:$A$701, NA()) ),
   "❌ MISSING CUSTOMER", "✅")</f>
        <v>✅</v>
      </c>
      <c r="K1108" s="2" t="str">
        <f t="array" ref="K1108">XLOOKUP(I1108,customers_clean!$A$2:$A$701,customers_clean!$C$2:$C$701)</f>
        <v>Paula Muller </v>
      </c>
      <c r="L1108" s="10" t="str">
        <f t="array" ref="L1108">XLOOKUP(I1108,customers_clean!$A$2:$A$701,customers_clean!$D$2:$D$701)</f>
        <v>Paula Muller</v>
      </c>
      <c r="M1108" s="2" t="str">
        <f t="array" ref="M1108">XLOOKUP(I1108,customers_clean!$A$2:$A$701,customers_clean!$I$2:$I$701)</f>
        <v>paula.muller@example.com</v>
      </c>
      <c r="N1108" s="10" t="str">
        <f t="array" ref="N1108">XLOOKUP(I1108,customers_clean!$A$2:$A$701,customers_clean!$H$2:$H$701)</f>
        <v>paula.muller@example.com</v>
      </c>
      <c r="O1108" s="9" t="str">
        <f>IFERROR(__xludf.DUMMYFUNCTION("IF(REGEXMATCH(TRIM(N1108),""^[A-Za-z0-9._%+-]+@[A-Za-z0-9.-]+\.[A-Za-z]{2,}$""),""✅ Valid"",""❌ Invalid"")"),"✅ Valid")</f>
        <v>✅ Valid</v>
      </c>
      <c r="P1108" s="2" t="str">
        <f t="array" ref="P1108">XLOOKUP(I1108,customers_clean!$A$2:$A$701,customers_clean!$K$2:$K$701)</f>
        <v>+44 40-10-59-07-73</v>
      </c>
      <c r="Q1108" s="10" t="str">
        <f t="array" ref="Q1108">XLOOKUP(I1108,customers_clean!$A$2:$A$701,customers_clean!$N$2:$N$701)</f>
        <v>4010590773</v>
      </c>
      <c r="R1108" s="9" t="str">
        <f t="array" ref="R1108">XLOOKUP(I1108,customers_clean!$A$2:$A$701,customers_clean!$Q$2:$Q$701)</f>
        <v>❌ INVALID</v>
      </c>
      <c r="S1108" s="10" t="s">
        <v>25</v>
      </c>
      <c r="T1108" s="2" t="s">
        <v>323</v>
      </c>
      <c r="U1108" s="2" t="s">
        <v>43</v>
      </c>
      <c r="V1108" s="2" t="s">
        <v>302</v>
      </c>
      <c r="W1108" s="9" t="str">
        <f t="array" ref="W1108">IF(ISNA(XLOOKUP(V1108,products_master_corrected!$A$2:$A$151,products_master_corrected!$A$2:$A$151, NA())),
    "❌ MISSING SKU", "✅")</f>
        <v>✅</v>
      </c>
      <c r="X1108" s="2" t="s">
        <v>303</v>
      </c>
      <c r="Y1108" s="2" t="s">
        <v>248</v>
      </c>
      <c r="Z1108" s="10" t="s">
        <v>248</v>
      </c>
      <c r="AA1108" s="27">
        <v>5.0</v>
      </c>
      <c r="AB1108" s="9" t="s">
        <v>8649</v>
      </c>
      <c r="AC1108" s="28">
        <f t="array" ref="AC1108">XLOOKUP(V1108,products_master_corrected!$A$2:$A$151,products_master_corrected!$E$2:$E$151)</f>
        <v>172.22</v>
      </c>
      <c r="AD1108" s="28">
        <f t="shared" si="126"/>
        <v>861.1</v>
      </c>
      <c r="AE1108" s="28">
        <f t="array" ref="AE1108">XLOOKUP(V1108,products_master_corrected!$A$2:$A$151,products_master_corrected!$K$2:$K$151)</f>
        <v>886.07</v>
      </c>
      <c r="AF1108" s="29">
        <f t="shared" si="127"/>
        <v>4430.35</v>
      </c>
      <c r="AG1108" s="30" t="s">
        <v>95</v>
      </c>
      <c r="AH1108" s="2" t="s">
        <v>505</v>
      </c>
      <c r="AI1108" s="10" t="s">
        <v>181</v>
      </c>
      <c r="AJ1108" s="2" t="s">
        <v>169</v>
      </c>
      <c r="AK1108" s="10" t="s">
        <v>261</v>
      </c>
      <c r="AL1108" s="2" t="s">
        <v>67</v>
      </c>
    </row>
    <row r="1109" ht="15.75" customHeight="1">
      <c r="A1109" s="2" t="s">
        <v>1338</v>
      </c>
      <c r="B1109" s="12">
        <v>45492.0</v>
      </c>
      <c r="C1109" s="2" t="str">
        <f>IFERROR(__xludf.DUMMYFUNCTION("IF(ISNUMBER(B1109),TEXT(B1109,""yyyy-MM-dd""),REGEXREPLACE(REGEXREPLACE(TO_TEXT(B1109),""[^0-9a-zA-Z]+"",""-""),""[^0-9]*$"",""""))"),"2024-07-19")</f>
        <v>2024-07-19</v>
      </c>
      <c r="D1109" s="2" t="s">
        <v>1339</v>
      </c>
      <c r="H1109" s="10" t="s">
        <v>1339</v>
      </c>
      <c r="I1109" s="2" t="s">
        <v>1340</v>
      </c>
      <c r="J1109" s="26" t="str">
        <f t="array" ref="J1109">IF(ISNA(XLOOKUP(I1109,customers_clean!$A$2:$A$701,customers_clean!$A$2:$A$701, NA()) ),
   "❌ MISSING CUSTOMER", "✅")</f>
        <v>✅</v>
      </c>
      <c r="K1109" s="2" t="str">
        <f t="array" ref="K1109">XLOOKUP(I1109,customers_clean!$A$2:$A$701,customers_clean!$C$2:$C$701)</f>
        <v>Tara  Brown</v>
      </c>
      <c r="L1109" s="10" t="str">
        <f t="array" ref="L1109">XLOOKUP(I1109,customers_clean!$A$2:$A$701,customers_clean!$D$2:$D$701)</f>
        <v>Tara Brown</v>
      </c>
      <c r="M1109" s="2" t="str">
        <f t="array" ref="M1109">XLOOKUP(I1109,customers_clean!$A$2:$A$701,customers_clean!$I$2:$I$701)</f>
        <v>TARA.BROWN@EXAMPLE.COM</v>
      </c>
      <c r="N1109" s="10" t="str">
        <f t="array" ref="N1109">XLOOKUP(I1109,customers_clean!$A$2:$A$701,customers_clean!$H$2:$H$701)</f>
        <v>tara.brown@example.com</v>
      </c>
      <c r="O1109" s="9" t="str">
        <f>IFERROR(__xludf.DUMMYFUNCTION("IF(REGEXMATCH(TRIM(N1109),""^[A-Za-z0-9._%+-]+@[A-Za-z0-9.-]+\.[A-Za-z]{2,}$""),""✅ Valid"",""❌ Invalid"")"),"✅ Valid")</f>
        <v>✅ Valid</v>
      </c>
      <c r="P1109" s="2" t="str">
        <f t="array" ref="P1109">XLOOKUP(I1109,customers_clean!$A$2:$A$701,customers_clean!$K$2:$K$701)</f>
        <v>(324) 11680098</v>
      </c>
      <c r="Q1109" s="10" t="str">
        <f t="array" ref="Q1109">XLOOKUP(I1109,customers_clean!$A$2:$A$701,customers_clean!$N$2:$N$701)</f>
        <v>32411680098</v>
      </c>
      <c r="R1109" s="9" t="str">
        <f t="array" ref="R1109">XLOOKUP(I1109,customers_clean!$A$2:$A$701,customers_clean!$Q$2:$Q$701)</f>
        <v>❌ INVALID</v>
      </c>
      <c r="S1109" s="10" t="s">
        <v>88</v>
      </c>
      <c r="T1109" s="2" t="s">
        <v>802</v>
      </c>
      <c r="U1109" s="2" t="s">
        <v>43</v>
      </c>
      <c r="V1109" s="2" t="s">
        <v>461</v>
      </c>
      <c r="W1109" s="9" t="str">
        <f t="array" ref="W1109">IF(ISNA(XLOOKUP(V1109,products_master_corrected!$A$2:$A$151,products_master_corrected!$A$2:$A$151, NA())),
    "❌ MISSING SKU", "✅")</f>
        <v>✅</v>
      </c>
      <c r="X1109" s="2" t="s">
        <v>804</v>
      </c>
      <c r="Y1109" s="2" t="s">
        <v>463</v>
      </c>
      <c r="Z1109" s="10" t="s">
        <v>514</v>
      </c>
      <c r="AA1109" s="27">
        <v>1.0</v>
      </c>
      <c r="AB1109" s="9" t="s">
        <v>8649</v>
      </c>
      <c r="AC1109" s="28">
        <f t="array" ref="AC1109">XLOOKUP(V1109,products_master_corrected!$A$2:$A$151,products_master_corrected!$E$2:$E$151)</f>
        <v>17.15</v>
      </c>
      <c r="AD1109" s="28">
        <f t="shared" si="126"/>
        <v>17.15</v>
      </c>
      <c r="AE1109" s="28">
        <f t="array" ref="AE1109">XLOOKUP(V1109,products_master_corrected!$A$2:$A$151,products_master_corrected!$I$2:$I$151)</f>
        <v>18.91</v>
      </c>
      <c r="AF1109" s="29">
        <f t="shared" si="127"/>
        <v>18.91</v>
      </c>
      <c r="AG1109" s="32" t="s">
        <v>8660</v>
      </c>
      <c r="AH1109" s="2" t="s">
        <v>370</v>
      </c>
      <c r="AI1109" s="10" t="s">
        <v>143</v>
      </c>
      <c r="AJ1109" s="2" t="s">
        <v>380</v>
      </c>
      <c r="AK1109" s="10" t="s">
        <v>80</v>
      </c>
    </row>
    <row r="1110" ht="15.75" customHeight="1">
      <c r="A1110" s="2" t="s">
        <v>4038</v>
      </c>
      <c r="B1110" s="12">
        <v>45206.0</v>
      </c>
      <c r="C1110" s="2" t="str">
        <f>IFERROR(__xludf.DUMMYFUNCTION("IF(ISNUMBER(B1110),TEXT(B1110,""yyyy-MM-dd""),REGEXREPLACE(REGEXREPLACE(TO_TEXT(B1110),""[^0-9a-zA-Z]+"",""-""),""[^0-9]*$"",""""))"),"2023-10-07")</f>
        <v>2023-10-07</v>
      </c>
      <c r="D1110" s="2" t="s">
        <v>8784</v>
      </c>
      <c r="H1110" s="10" t="s">
        <v>8784</v>
      </c>
      <c r="I1110" s="2" t="s">
        <v>1340</v>
      </c>
      <c r="J1110" s="26" t="str">
        <f t="array" ref="J1110">IF(ISNA(XLOOKUP(I1110,customers_clean!$A$2:$A$701,customers_clean!$A$2:$A$701, NA()) ),
   "❌ MISSING CUSTOMER", "✅")</f>
        <v>✅</v>
      </c>
      <c r="K1110" s="2" t="str">
        <f t="array" ref="K1110">XLOOKUP(I1110,customers_clean!$A$2:$A$701,customers_clean!$C$2:$C$701)</f>
        <v>Tara  Brown</v>
      </c>
      <c r="L1110" s="10" t="str">
        <f t="array" ref="L1110">XLOOKUP(I1110,customers_clean!$A$2:$A$701,customers_clean!$D$2:$D$701)</f>
        <v>Tara Brown</v>
      </c>
      <c r="M1110" s="2" t="str">
        <f t="array" ref="M1110">XLOOKUP(I1110,customers_clean!$A$2:$A$701,customers_clean!$I$2:$I$701)</f>
        <v>TARA.BROWN@EXAMPLE.COM</v>
      </c>
      <c r="N1110" s="10" t="str">
        <f t="array" ref="N1110">XLOOKUP(I1110,customers_clean!$A$2:$A$701,customers_clean!$H$2:$H$701)</f>
        <v>tara.brown@example.com</v>
      </c>
      <c r="O1110" s="9" t="str">
        <f>IFERROR(__xludf.DUMMYFUNCTION("IF(REGEXMATCH(TRIM(N1110),""^[A-Za-z0-9._%+-]+@[A-Za-z0-9.-]+\.[A-Za-z]{2,}$""),""✅ Valid"",""❌ Invalid"")"),"✅ Valid")</f>
        <v>✅ Valid</v>
      </c>
      <c r="P1110" s="2" t="str">
        <f t="array" ref="P1110">XLOOKUP(I1110,customers_clean!$A$2:$A$701,customers_clean!$K$2:$K$701)</f>
        <v>(324) 11680098</v>
      </c>
      <c r="Q1110" s="10" t="str">
        <f t="array" ref="Q1110">XLOOKUP(I1110,customers_clean!$A$2:$A$701,customers_clean!$N$2:$N$701)</f>
        <v>32411680098</v>
      </c>
      <c r="R1110" s="9" t="str">
        <f t="array" ref="R1110">XLOOKUP(I1110,customers_clean!$A$2:$A$701,customers_clean!$Q$2:$Q$701)</f>
        <v>❌ INVALID</v>
      </c>
      <c r="S1110" s="10" t="s">
        <v>88</v>
      </c>
      <c r="T1110" s="2" t="s">
        <v>26</v>
      </c>
      <c r="U1110" s="2" t="s">
        <v>365</v>
      </c>
      <c r="V1110" s="2" t="s">
        <v>3210</v>
      </c>
      <c r="W1110" s="9" t="str">
        <f t="array" ref="W1110">IF(ISNA(XLOOKUP(V1110,products_master_corrected!$A$2:$A$151,products_master_corrected!$A$2:$A$151, NA())),
    "❌ MISSING SKU", "✅")</f>
        <v>✅</v>
      </c>
      <c r="X1110" s="2" t="s">
        <v>3597</v>
      </c>
      <c r="Y1110" s="2" t="s">
        <v>167</v>
      </c>
      <c r="Z1110" s="10" t="str">
        <f>PROPER(TRIM(Y1110))</f>
        <v>Monitors</v>
      </c>
      <c r="AA1110" s="27">
        <v>1.0</v>
      </c>
      <c r="AB1110" s="9" t="s">
        <v>8649</v>
      </c>
      <c r="AC1110" s="28">
        <f t="array" ref="AC1110">XLOOKUP(V1110,products_master_corrected!$A$2:$A$151,products_master_corrected!$E$2:$E$151)</f>
        <v>253.27</v>
      </c>
      <c r="AD1110" s="28">
        <f t="shared" si="126"/>
        <v>253.27</v>
      </c>
      <c r="AE1110" s="28">
        <f t="array" ref="AE1110">XLOOKUP(V1110,products_master_corrected!$A$2:$A$151,products_master_corrected!$I$2:$I$151)</f>
        <v>279.2</v>
      </c>
      <c r="AF1110" s="29">
        <f t="shared" si="127"/>
        <v>279.2</v>
      </c>
      <c r="AG1110" s="32" t="s">
        <v>8660</v>
      </c>
      <c r="AH1110" s="2" t="s">
        <v>131</v>
      </c>
      <c r="AI1110" s="10" t="s">
        <v>181</v>
      </c>
      <c r="AJ1110" s="2" t="s">
        <v>294</v>
      </c>
      <c r="AK1110" s="10" t="s">
        <v>80</v>
      </c>
    </row>
    <row r="1111" ht="15.75" customHeight="1">
      <c r="A1111" s="2" t="s">
        <v>307</v>
      </c>
      <c r="B1111" s="12">
        <v>45897.0</v>
      </c>
      <c r="C1111" s="2" t="str">
        <f>IFERROR(__xludf.DUMMYFUNCTION("IF(ISNUMBER(B1111),TEXT(B1111,""yyyy-MM-dd""),REGEXREPLACE(REGEXREPLACE(TO_TEXT(B1111),""[^0-9a-zA-Z]+"",""-""),""[^0-9]*$"",""""))"),"2025-08-28")</f>
        <v>2025-08-28</v>
      </c>
      <c r="D1111" s="2" t="s">
        <v>7955</v>
      </c>
      <c r="H1111" s="10" t="s">
        <v>7955</v>
      </c>
      <c r="I1111" s="2" t="s">
        <v>309</v>
      </c>
      <c r="J1111" s="26" t="str">
        <f t="array" ref="J1111">IF(ISNA(XLOOKUP(I1111,customers_clean!$A$2:$A$701,customers_clean!$A$2:$A$701, NA()) ),
   "❌ MISSING CUSTOMER", "✅")</f>
        <v>✅</v>
      </c>
      <c r="K1111" s="2" t="str">
        <f t="array" ref="K1111">XLOOKUP(I1111,customers_clean!$A$2:$A$701,customers_clean!$C$2:$C$701)</f>
        <v> Wiktor Young</v>
      </c>
      <c r="L1111" s="10" t="str">
        <f t="array" ref="L1111">XLOOKUP(I1111,customers_clean!$A$2:$A$701,customers_clean!$D$2:$D$701)</f>
        <v>Wiktor Young</v>
      </c>
      <c r="M1111" s="2" t="str">
        <f t="array" ref="M1111">XLOOKUP(I1111,customers_clean!$A$2:$A$701,customers_clean!$I$2:$I$701)</f>
        <v> wiktor.young@outlook.com</v>
      </c>
      <c r="N1111" s="10" t="str">
        <f t="array" ref="N1111">XLOOKUP(I1111,customers_clean!$A$2:$A$701,customers_clean!$H$2:$H$701)</f>
        <v>wiktor.young@outlook.com</v>
      </c>
      <c r="O1111" s="9" t="str">
        <f>IFERROR(__xludf.DUMMYFUNCTION("IF(REGEXMATCH(TRIM(N1111),""^[A-Za-z0-9._%+-]+@[A-Za-z0-9.-]+\.[A-Za-z]{2,}$""),""✅ Valid"",""❌ Invalid"")"),"✅ Valid")</f>
        <v>✅ Valid</v>
      </c>
      <c r="P1111" s="2" t="str">
        <f t="array" ref="P1111">XLOOKUP(I1111,customers_clean!$A$2:$A$701,customers_clean!$K$2:$K$701)</f>
        <v>090 180 893</v>
      </c>
      <c r="Q1111" s="10" t="str">
        <f t="array" ref="Q1111">XLOOKUP(I1111,customers_clean!$A$2:$A$701,customers_clean!$N$2:$N$701)</f>
        <v>090180893</v>
      </c>
      <c r="R1111" s="9" t="str">
        <f t="array" ref="R1111">XLOOKUP(I1111,customers_clean!$A$2:$A$701,customers_clean!$Q$2:$Q$701)</f>
        <v>❌ INVALID</v>
      </c>
      <c r="S1111" s="10" t="s">
        <v>448</v>
      </c>
      <c r="T1111" s="2" t="s">
        <v>42</v>
      </c>
      <c r="U1111" s="2" t="s">
        <v>312</v>
      </c>
      <c r="V1111" s="2" t="s">
        <v>313</v>
      </c>
      <c r="W1111" s="9" t="str">
        <f t="array" ref="W1111">IF(ISNA(XLOOKUP(V1111,products_master_corrected!$A$2:$A$151,products_master_corrected!$A$2:$A$151, NA())),
    "❌ MISSING SKU", "✅")</f>
        <v>✅</v>
      </c>
      <c r="X1111" s="2" t="s">
        <v>768</v>
      </c>
      <c r="Y1111" s="2" t="s">
        <v>315</v>
      </c>
      <c r="Z1111" s="10" t="s">
        <v>179</v>
      </c>
      <c r="AA1111" s="27">
        <v>5.0</v>
      </c>
      <c r="AB1111" s="9" t="s">
        <v>8649</v>
      </c>
      <c r="AC1111" s="28">
        <f t="array" ref="AC1111">XLOOKUP(V1111,products_master_corrected!$A$2:$A$151,products_master_corrected!$E$2:$E$151)</f>
        <v>47.55</v>
      </c>
      <c r="AD1111" s="28">
        <f t="shared" si="126"/>
        <v>237.75</v>
      </c>
      <c r="AE1111" s="28">
        <f t="array" ref="AE1111">XLOOKUP(V1111,products_master_corrected!$A$2:$A$151,products_master_corrected!$M$2:$M$151)</f>
        <v>57.52</v>
      </c>
      <c r="AF1111" s="29">
        <f t="shared" si="127"/>
        <v>287.6</v>
      </c>
      <c r="AG1111" s="30" t="s">
        <v>48</v>
      </c>
      <c r="AH1111" s="2" t="s">
        <v>143</v>
      </c>
      <c r="AI1111" s="10" t="s">
        <v>143</v>
      </c>
      <c r="AJ1111" s="2" t="s">
        <v>50</v>
      </c>
      <c r="AK1111" s="10" t="s">
        <v>261</v>
      </c>
      <c r="AL1111" s="2" t="s">
        <v>133</v>
      </c>
    </row>
    <row r="1112" ht="15.75" customHeight="1">
      <c r="A1112" s="2" t="s">
        <v>5304</v>
      </c>
      <c r="B1112" s="12">
        <v>45640.0</v>
      </c>
      <c r="C1112" s="2" t="str">
        <f>IFERROR(__xludf.DUMMYFUNCTION("IF(ISNUMBER(B1112),TEXT(B1112,""yyyy-MM-dd""),REGEXREPLACE(REGEXREPLACE(TO_TEXT(B1112),""[^0-9a-zA-Z]+"",""-""),""[^0-9]*$"",""""))"),"2024-12-14")</f>
        <v>2024-12-14</v>
      </c>
      <c r="D1112" s="2" t="s">
        <v>9012</v>
      </c>
      <c r="H1112" s="10" t="s">
        <v>9012</v>
      </c>
      <c r="I1112" s="2" t="s">
        <v>309</v>
      </c>
      <c r="J1112" s="26" t="str">
        <f t="array" ref="J1112">IF(ISNA(XLOOKUP(I1112,customers_clean!$A$2:$A$701,customers_clean!$A$2:$A$701, NA()) ),
   "❌ MISSING CUSTOMER", "✅")</f>
        <v>✅</v>
      </c>
      <c r="K1112" s="2" t="str">
        <f t="array" ref="K1112">XLOOKUP(I1112,customers_clean!$A$2:$A$701,customers_clean!$C$2:$C$701)</f>
        <v> Wiktor Young</v>
      </c>
      <c r="L1112" s="10" t="str">
        <f t="array" ref="L1112">XLOOKUP(I1112,customers_clean!$A$2:$A$701,customers_clean!$D$2:$D$701)</f>
        <v>Wiktor Young</v>
      </c>
      <c r="M1112" s="2" t="str">
        <f t="array" ref="M1112">XLOOKUP(I1112,customers_clean!$A$2:$A$701,customers_clean!$I$2:$I$701)</f>
        <v> wiktor.young@outlook.com</v>
      </c>
      <c r="N1112" s="10" t="str">
        <f t="array" ref="N1112">XLOOKUP(I1112,customers_clean!$A$2:$A$701,customers_clean!$H$2:$H$701)</f>
        <v>wiktor.young@outlook.com</v>
      </c>
      <c r="O1112" s="9" t="str">
        <f>IFERROR(__xludf.DUMMYFUNCTION("IF(REGEXMATCH(TRIM(N1112),""^[A-Za-z0-9._%+-]+@[A-Za-z0-9.-]+\.[A-Za-z]{2,}$""),""✅ Valid"",""❌ Invalid"")"),"✅ Valid")</f>
        <v>✅ Valid</v>
      </c>
      <c r="P1112" s="2" t="str">
        <f t="array" ref="P1112">XLOOKUP(I1112,customers_clean!$A$2:$A$701,customers_clean!$K$2:$K$701)</f>
        <v>090 180 893</v>
      </c>
      <c r="Q1112" s="10" t="str">
        <f t="array" ref="Q1112">XLOOKUP(I1112,customers_clean!$A$2:$A$701,customers_clean!$N$2:$N$701)</f>
        <v>090180893</v>
      </c>
      <c r="R1112" s="9" t="str">
        <f t="array" ref="R1112">XLOOKUP(I1112,customers_clean!$A$2:$A$701,customers_clean!$Q$2:$Q$701)</f>
        <v>❌ INVALID</v>
      </c>
      <c r="S1112" s="10" t="s">
        <v>448</v>
      </c>
      <c r="T1112" s="2" t="s">
        <v>802</v>
      </c>
      <c r="U1112" s="2" t="s">
        <v>103</v>
      </c>
      <c r="V1112" s="2" t="s">
        <v>212</v>
      </c>
      <c r="W1112" s="9" t="str">
        <f t="array" ref="W1112">IF(ISNA(XLOOKUP(V1112,products_master_corrected!$A$2:$A$151,products_master_corrected!$A$2:$A$151, NA())),
    "❌ MISSING SKU", "✅")</f>
        <v>✅</v>
      </c>
      <c r="X1112" s="2" t="s">
        <v>213</v>
      </c>
      <c r="Y1112" s="2" t="s">
        <v>214</v>
      </c>
      <c r="Z1112" s="10" t="s">
        <v>368</v>
      </c>
      <c r="AA1112" s="27">
        <v>3.0</v>
      </c>
      <c r="AB1112" s="9" t="s">
        <v>8649</v>
      </c>
      <c r="AC1112" s="28">
        <f t="array" ref="AC1112">XLOOKUP(V1112,products_master_corrected!$A$2:$A$151,products_master_corrected!$E$2:$E$151)</f>
        <v>1464.12</v>
      </c>
      <c r="AD1112" s="28">
        <f t="shared" si="126"/>
        <v>4392.36</v>
      </c>
      <c r="AE1112" s="28">
        <f t="array" ref="AE1112">XLOOKUP(V1112,products_master_corrected!$A$2:$A$151,products_master_corrected!$M$2:$M$151)</f>
        <v>1771</v>
      </c>
      <c r="AF1112" s="29">
        <f t="shared" si="127"/>
        <v>5313</v>
      </c>
      <c r="AG1112" s="30" t="s">
        <v>48</v>
      </c>
      <c r="AH1112" s="2" t="s">
        <v>143</v>
      </c>
      <c r="AI1112" s="10" t="s">
        <v>143</v>
      </c>
      <c r="AJ1112" s="2" t="s">
        <v>380</v>
      </c>
      <c r="AK1112" s="10" t="s">
        <v>80</v>
      </c>
      <c r="AL1112" s="2" t="s">
        <v>133</v>
      </c>
    </row>
    <row r="1113" ht="15.75" customHeight="1">
      <c r="A1113" s="2" t="s">
        <v>828</v>
      </c>
      <c r="B1113" s="12">
        <v>45067.0</v>
      </c>
      <c r="C1113" s="2" t="str">
        <f>IFERROR(__xludf.DUMMYFUNCTION("IF(ISNUMBER(B1113),TEXT(B1113,""yyyy-MM-dd""),REGEXREPLACE(REGEXREPLACE(TO_TEXT(B1113),""[^0-9a-zA-Z]+"",""-""),""[^0-9]*$"",""""))"),"2023-05-21")</f>
        <v>2023-05-21</v>
      </c>
      <c r="D1113" s="2" t="s">
        <v>6751</v>
      </c>
      <c r="H1113" s="10" t="s">
        <v>6751</v>
      </c>
      <c r="I1113" s="2" t="s">
        <v>830</v>
      </c>
      <c r="J1113" s="26" t="str">
        <f t="array" ref="J1113">IF(ISNA(XLOOKUP(I1113,customers_clean!$A$2:$A$701,customers_clean!$A$2:$A$701, NA()) ),
   "❌ MISSING CUSTOMER", "✅")</f>
        <v>✅</v>
      </c>
      <c r="K1113" s="2" t="str">
        <f t="array" ref="K1113">XLOOKUP(I1113,customers_clean!$A$2:$A$701,customers_clean!$C$2:$C$701)</f>
        <v>Adam Rodriguze</v>
      </c>
      <c r="L1113" s="10" t="str">
        <f t="array" ref="L1113">XLOOKUP(I1113,customers_clean!$A$2:$A$701,customers_clean!$D$2:$D$701)</f>
        <v>Adam Rodriguez</v>
      </c>
      <c r="M1113" s="2" t="str">
        <f t="array" ref="M1113">XLOOKUP(I1113,customers_clean!$A$2:$A$701,customers_clean!$I$2:$I$701)</f>
        <v>adam.rodriguez@example.com</v>
      </c>
      <c r="N1113" s="10" t="str">
        <f t="array" ref="N1113">XLOOKUP(I1113,customers_clean!$A$2:$A$701,customers_clean!$H$2:$H$701)</f>
        <v>adam.rodriguez@example.com</v>
      </c>
      <c r="O1113" s="9" t="str">
        <f>IFERROR(__xludf.DUMMYFUNCTION("IF(REGEXMATCH(TRIM(N1113),""^[A-Za-z0-9._%+-]+@[A-Za-z0-9.-]+\.[A-Za-z]{2,}$""),""✅ Valid"",""❌ Invalid"")"),"✅ Valid")</f>
        <v>✅ Valid</v>
      </c>
      <c r="P1113" s="2" t="str">
        <f t="array" ref="P1113">XLOOKUP(I1113,customers_clean!$A$2:$A$701,customers_clean!$K$2:$K$701)</f>
        <v>+39 992 807609</v>
      </c>
      <c r="Q1113" s="10" t="str">
        <f t="array" ref="Q1113">XLOOKUP(I1113,customers_clean!$A$2:$A$701,customers_clean!$N$2:$N$701)</f>
        <v>992807609</v>
      </c>
      <c r="R1113" s="9" t="str">
        <f t="array" ref="R1113">XLOOKUP(I1113,customers_clean!$A$2:$A$701,customers_clean!$Q$2:$Q$701)</f>
        <v>❌ INVALID</v>
      </c>
      <c r="S1113" s="10" t="s">
        <v>58</v>
      </c>
      <c r="T1113" s="2" t="s">
        <v>223</v>
      </c>
      <c r="U1113" s="2" t="s">
        <v>835</v>
      </c>
      <c r="V1113" s="2" t="s">
        <v>740</v>
      </c>
      <c r="W1113" s="9" t="str">
        <f t="array" ref="W1113">IF(ISNA(XLOOKUP(V1113,products_master_corrected!$A$2:$A$151,products_master_corrected!$A$2:$A$151, NA())),
    "❌ MISSING SKU", "✅")</f>
        <v>✅</v>
      </c>
      <c r="X1113" s="2" t="s">
        <v>741</v>
      </c>
      <c r="Y1113" s="2" t="s">
        <v>742</v>
      </c>
      <c r="Z1113" s="10" t="s">
        <v>355</v>
      </c>
      <c r="AA1113" s="27">
        <v>1.0</v>
      </c>
      <c r="AB1113" s="9" t="s">
        <v>8649</v>
      </c>
      <c r="AC1113" s="28">
        <f t="array" ref="AC1113">XLOOKUP(V1113,products_master_corrected!$A$2:$A$151,products_master_corrected!$E$2:$E$151)</f>
        <v>35.77</v>
      </c>
      <c r="AD1113" s="28">
        <f t="shared" si="126"/>
        <v>35.77</v>
      </c>
      <c r="AE1113" s="28">
        <f t="array" ref="AE1113">XLOOKUP(V1113,products_master_corrected!$A$2:$A$151,products_master_corrected!$G$2:$G$151)</f>
        <v>40.95</v>
      </c>
      <c r="AF1113" s="29">
        <f t="shared" si="127"/>
        <v>40.95</v>
      </c>
      <c r="AG1113" s="32" t="s">
        <v>8663</v>
      </c>
      <c r="AH1113" s="2" t="s">
        <v>526</v>
      </c>
      <c r="AI1113" s="10" t="s">
        <v>49</v>
      </c>
      <c r="AJ1113" s="2" t="s">
        <v>837</v>
      </c>
      <c r="AK1113" s="10" t="s">
        <v>192</v>
      </c>
    </row>
    <row r="1114" ht="15.75" customHeight="1">
      <c r="A1114" s="2" t="s">
        <v>2401</v>
      </c>
      <c r="B1114" s="12">
        <v>45204.0</v>
      </c>
      <c r="C1114" s="2" t="str">
        <f>IFERROR(__xludf.DUMMYFUNCTION("IF(ISNUMBER(B1114),TEXT(B1114,""yyyy-MM-dd""),REGEXREPLACE(REGEXREPLACE(TO_TEXT(B1114),""[^0-9a-zA-Z]+"",""-""),""[^0-9]*$"",""""))"),"2023-10-05")</f>
        <v>2023-10-05</v>
      </c>
      <c r="D1114" s="2" t="s">
        <v>8553</v>
      </c>
      <c r="H1114" s="10" t="s">
        <v>8553</v>
      </c>
      <c r="I1114" s="2" t="s">
        <v>830</v>
      </c>
      <c r="J1114" s="26" t="str">
        <f t="array" ref="J1114">IF(ISNA(XLOOKUP(I1114,customers_clean!$A$2:$A$701,customers_clean!$A$2:$A$701, NA()) ),
   "❌ MISSING CUSTOMER", "✅")</f>
        <v>✅</v>
      </c>
      <c r="K1114" s="2" t="str">
        <f t="array" ref="K1114">XLOOKUP(I1114,customers_clean!$A$2:$A$701,customers_clean!$C$2:$C$701)</f>
        <v>Adam Rodriguze</v>
      </c>
      <c r="L1114" s="10" t="str">
        <f t="array" ref="L1114">XLOOKUP(I1114,customers_clean!$A$2:$A$701,customers_clean!$D$2:$D$701)</f>
        <v>Adam Rodriguez</v>
      </c>
      <c r="M1114" s="2" t="str">
        <f t="array" ref="M1114">XLOOKUP(I1114,customers_clean!$A$2:$A$701,customers_clean!$I$2:$I$701)</f>
        <v>adam.rodriguez@example.com</v>
      </c>
      <c r="N1114" s="10" t="str">
        <f t="array" ref="N1114">XLOOKUP(I1114,customers_clean!$A$2:$A$701,customers_clean!$H$2:$H$701)</f>
        <v>adam.rodriguez@example.com</v>
      </c>
      <c r="O1114" s="9" t="str">
        <f>IFERROR(__xludf.DUMMYFUNCTION("IF(REGEXMATCH(TRIM(N1114),""^[A-Za-z0-9._%+-]+@[A-Za-z0-9.-]+\.[A-Za-z]{2,}$""),""✅ Valid"",""❌ Invalid"")"),"✅ Valid")</f>
        <v>✅ Valid</v>
      </c>
      <c r="P1114" s="2" t="str">
        <f t="array" ref="P1114">XLOOKUP(I1114,customers_clean!$A$2:$A$701,customers_clean!$K$2:$K$701)</f>
        <v>+39 992 807609</v>
      </c>
      <c r="Q1114" s="10" t="str">
        <f t="array" ref="Q1114">XLOOKUP(I1114,customers_clean!$A$2:$A$701,customers_clean!$N$2:$N$701)</f>
        <v>992807609</v>
      </c>
      <c r="R1114" s="9" t="str">
        <f t="array" ref="R1114">XLOOKUP(I1114,customers_clean!$A$2:$A$701,customers_clean!$Q$2:$Q$701)</f>
        <v>❌ INVALID</v>
      </c>
      <c r="S1114" s="10" t="s">
        <v>58</v>
      </c>
      <c r="T1114" s="2" t="s">
        <v>2403</v>
      </c>
      <c r="U1114" s="2" t="s">
        <v>103</v>
      </c>
      <c r="V1114" s="2" t="s">
        <v>1460</v>
      </c>
      <c r="W1114" s="9" t="str">
        <f t="array" ref="W1114">IF(ISNA(XLOOKUP(V1114,products_master_corrected!$A$2:$A$151,products_master_corrected!$A$2:$A$151, NA())),
    "❌ MISSING SKU", "✅")</f>
        <v>✅</v>
      </c>
      <c r="X1114" s="2" t="s">
        <v>1138</v>
      </c>
      <c r="Y1114" s="2" t="s">
        <v>368</v>
      </c>
      <c r="Z1114" s="10" t="s">
        <v>368</v>
      </c>
      <c r="AA1114" s="27">
        <v>1.0</v>
      </c>
      <c r="AB1114" s="9" t="s">
        <v>8649</v>
      </c>
      <c r="AC1114" s="28">
        <f t="array" ref="AC1114">XLOOKUP(V1114,products_master_corrected!$A$2:$A$151,products_master_corrected!$E$2:$E$151)</f>
        <v>271.81</v>
      </c>
      <c r="AD1114" s="28">
        <f t="shared" si="126"/>
        <v>271.81</v>
      </c>
      <c r="AE1114" s="28">
        <f t="array" ref="AE1114">XLOOKUP(V1114,products_master_corrected!$A$2:$A$151,products_master_corrected!$G$2:$G$151)</f>
        <v>311.17</v>
      </c>
      <c r="AF1114" s="29">
        <f t="shared" si="127"/>
        <v>311.17</v>
      </c>
      <c r="AG1114" s="32" t="s">
        <v>8663</v>
      </c>
      <c r="AH1114" s="2" t="s">
        <v>370</v>
      </c>
      <c r="AI1114" s="10" t="s">
        <v>143</v>
      </c>
      <c r="AJ1114" s="2" t="s">
        <v>169</v>
      </c>
      <c r="AK1114" s="10" t="s">
        <v>261</v>
      </c>
      <c r="AL1114" s="2" t="s">
        <v>51</v>
      </c>
    </row>
    <row r="1115" ht="15.75" customHeight="1">
      <c r="A1115" s="2" t="s">
        <v>4696</v>
      </c>
      <c r="B1115" s="12" t="s">
        <v>4697</v>
      </c>
      <c r="C1115" s="2" t="str">
        <f>IFERROR(__xludf.DUMMYFUNCTION("IF(ISNUMBER(B1115),TEXT(B1115,""yyyy-MM-dd""),REGEXREPLACE(REGEXREPLACE(TO_TEXT(B1115),""[^0-9a-zA-Z]+"",""-""),""[^0-9]*$"",""""))"),"28-03-2023")</f>
        <v>28-03-2023</v>
      </c>
      <c r="D1115" s="2" t="s">
        <v>7987</v>
      </c>
      <c r="H1115" s="10" t="s">
        <v>7987</v>
      </c>
      <c r="I1115" s="2" t="s">
        <v>830</v>
      </c>
      <c r="J1115" s="26" t="str">
        <f t="array" ref="J1115">IF(ISNA(XLOOKUP(I1115,customers_clean!$A$2:$A$701,customers_clean!$A$2:$A$701, NA()) ),
   "❌ MISSING CUSTOMER", "✅")</f>
        <v>✅</v>
      </c>
      <c r="K1115" s="2" t="str">
        <f t="array" ref="K1115">XLOOKUP(I1115,customers_clean!$A$2:$A$701,customers_clean!$C$2:$C$701)</f>
        <v>Adam Rodriguze</v>
      </c>
      <c r="L1115" s="10" t="str">
        <f t="array" ref="L1115">XLOOKUP(I1115,customers_clean!$A$2:$A$701,customers_clean!$D$2:$D$701)</f>
        <v>Adam Rodriguez</v>
      </c>
      <c r="M1115" s="2" t="str">
        <f t="array" ref="M1115">XLOOKUP(I1115,customers_clean!$A$2:$A$701,customers_clean!$I$2:$I$701)</f>
        <v>adam.rodriguez@example.com</v>
      </c>
      <c r="N1115" s="10" t="str">
        <f t="array" ref="N1115">XLOOKUP(I1115,customers_clean!$A$2:$A$701,customers_clean!$H$2:$H$701)</f>
        <v>adam.rodriguez@example.com</v>
      </c>
      <c r="O1115" s="9" t="str">
        <f>IFERROR(__xludf.DUMMYFUNCTION("IF(REGEXMATCH(TRIM(N1115),""^[A-Za-z0-9._%+-]+@[A-Za-z0-9.-]+\.[A-Za-z]{2,}$""),""✅ Valid"",""❌ Invalid"")"),"✅ Valid")</f>
        <v>✅ Valid</v>
      </c>
      <c r="P1115" s="2" t="str">
        <f t="array" ref="P1115">XLOOKUP(I1115,customers_clean!$A$2:$A$701,customers_clean!$K$2:$K$701)</f>
        <v>+39 992 807609</v>
      </c>
      <c r="Q1115" s="10" t="str">
        <f t="array" ref="Q1115">XLOOKUP(I1115,customers_clean!$A$2:$A$701,customers_clean!$N$2:$N$701)</f>
        <v>992807609</v>
      </c>
      <c r="R1115" s="9" t="str">
        <f t="array" ref="R1115">XLOOKUP(I1115,customers_clean!$A$2:$A$701,customers_clean!$Q$2:$Q$701)</f>
        <v>❌ INVALID</v>
      </c>
      <c r="S1115" s="10" t="s">
        <v>58</v>
      </c>
      <c r="T1115" s="2" t="s">
        <v>42</v>
      </c>
      <c r="U1115" s="2" t="s">
        <v>522</v>
      </c>
      <c r="V1115" s="2" t="s">
        <v>702</v>
      </c>
      <c r="W1115" s="9" t="str">
        <f t="array" ref="W1115">IF(ISNA(XLOOKUP(V1115,products_master_corrected!$A$2:$A$151,products_master_corrected!$A$2:$A$151, NA())),
    "❌ MISSING SKU", "✅")</f>
        <v>✅</v>
      </c>
      <c r="X1115" s="2" t="s">
        <v>524</v>
      </c>
      <c r="Y1115" s="2" t="s">
        <v>703</v>
      </c>
      <c r="Z1115" s="10" t="s">
        <v>248</v>
      </c>
      <c r="AA1115" s="27">
        <v>3.0</v>
      </c>
      <c r="AB1115" s="9" t="s">
        <v>8649</v>
      </c>
      <c r="AC1115" s="28">
        <f t="array" ref="AC1115">XLOOKUP(V1115,products_master_corrected!$A$2:$A$151,products_master_corrected!$E$2:$E$151)</f>
        <v>176.25</v>
      </c>
      <c r="AD1115" s="28">
        <f t="shared" si="126"/>
        <v>528.75</v>
      </c>
      <c r="AE1115" s="28">
        <f t="array" ref="AE1115">XLOOKUP(V1115,products_master_corrected!$A$2:$A$151,products_master_corrected!$G$2:$G$151)</f>
        <v>201.77</v>
      </c>
      <c r="AF1115" s="29">
        <f t="shared" si="127"/>
        <v>605.31</v>
      </c>
      <c r="AG1115" s="32" t="s">
        <v>8663</v>
      </c>
      <c r="AH1115" s="2" t="s">
        <v>573</v>
      </c>
      <c r="AI1115" s="10" t="s">
        <v>66</v>
      </c>
      <c r="AJ1115" s="2" t="s">
        <v>169</v>
      </c>
      <c r="AK1115" s="10" t="s">
        <v>261</v>
      </c>
    </row>
    <row r="1116" ht="15.75" customHeight="1">
      <c r="A1116" s="2" t="s">
        <v>1973</v>
      </c>
      <c r="B1116" s="12" t="s">
        <v>1974</v>
      </c>
      <c r="C1116" s="2" t="str">
        <f>IFERROR(__xludf.DUMMYFUNCTION("IF(ISNUMBER(B1116),TEXT(B1116,""yyyy-MM-dd""),REGEXREPLACE(REGEXREPLACE(TO_TEXT(B1116),""[^0-9a-zA-Z]+"",""-""),""[^0-9]*$"",""""))"),"12-20-2024")</f>
        <v>12-20-2024</v>
      </c>
      <c r="D1116" s="2" t="str">
        <f t="shared" ref="D1116:D1117" si="128">TEXT(C1116,"yyyy-MM-dd")</f>
        <v>12-20-2024</v>
      </c>
      <c r="E1116" s="2" t="s">
        <v>8303</v>
      </c>
      <c r="H1116" s="10" t="s">
        <v>8303</v>
      </c>
      <c r="I1116" s="2" t="s">
        <v>1975</v>
      </c>
      <c r="J1116" s="26" t="str">
        <f t="array" ref="J1116">IF(ISNA(XLOOKUP(I1116,customers_clean!$A$2:$A$701,customers_clean!$A$2:$A$701, NA()) ),
   "❌ MISSING CUSTOMER", "✅")</f>
        <v>✅</v>
      </c>
      <c r="K1116" s="2" t="str">
        <f t="array" ref="K1116">XLOOKUP(I1116,customers_clean!$A$2:$A$701,customers_clean!$C$2:$C$701)</f>
        <v>Lia Garcia</v>
      </c>
      <c r="L1116" s="10" t="str">
        <f t="array" ref="L1116">XLOOKUP(I1116,customers_clean!$A$2:$A$701,customers_clean!$D$2:$D$701)</f>
        <v>Lia Garcia</v>
      </c>
      <c r="M1116" s="2" t="str">
        <f t="array" ref="M1116">XLOOKUP(I1116,customers_clean!$A$2:$A$701,customers_clean!$I$2:$I$701)</f>
        <v>lia.garcia@gmail.com </v>
      </c>
      <c r="N1116" s="10" t="str">
        <f t="array" ref="N1116">XLOOKUP(I1116,customers_clean!$A$2:$A$701,customers_clean!$H$2:$H$701)</f>
        <v>lia.garcia@gmail.com</v>
      </c>
      <c r="O1116" s="9" t="str">
        <f>IFERROR(__xludf.DUMMYFUNCTION("IF(REGEXMATCH(TRIM(N1116),""^[A-Za-z0-9._%+-]+@[A-Za-z0-9.-]+\.[A-Za-z]{2,}$""),""✅ Valid"",""❌ Invalid"")"),"✅ Valid")</f>
        <v>✅ Valid</v>
      </c>
      <c r="P1116" s="2" t="str">
        <f t="array" ref="P1116">XLOOKUP(I1116,customers_clean!$A$2:$A$701,customers_clean!$K$2:$K$701)</f>
        <v>(572) 178198</v>
      </c>
      <c r="Q1116" s="10" t="str">
        <f t="array" ref="Q1116">XLOOKUP(I1116,customers_clean!$A$2:$A$701,customers_clean!$N$2:$N$701)</f>
        <v>572178198</v>
      </c>
      <c r="R1116" s="9" t="str">
        <f t="array" ref="R1116">XLOOKUP(I1116,customers_clean!$A$2:$A$701,customers_clean!$Q$2:$Q$701)</f>
        <v>❌ INVALID</v>
      </c>
      <c r="S1116" s="10" t="s">
        <v>608</v>
      </c>
      <c r="T1116" s="2" t="s">
        <v>223</v>
      </c>
      <c r="U1116" s="2" t="s">
        <v>401</v>
      </c>
      <c r="V1116" s="2" t="s">
        <v>1146</v>
      </c>
      <c r="W1116" s="9" t="str">
        <f t="array" ref="W1116">IF(ISNA(XLOOKUP(V1116,products_master_corrected!$A$2:$A$151,products_master_corrected!$A$2:$A$151, NA())),
    "❌ MISSING SKU", "✅")</f>
        <v>✅</v>
      </c>
      <c r="X1116" s="2" t="s">
        <v>1147</v>
      </c>
      <c r="Y1116" s="2" t="s">
        <v>248</v>
      </c>
      <c r="Z1116" s="10" t="s">
        <v>248</v>
      </c>
      <c r="AA1116" s="27">
        <v>3.0</v>
      </c>
      <c r="AB1116" s="9" t="s">
        <v>8649</v>
      </c>
      <c r="AC1116" s="28">
        <f t="array" ref="AC1116">XLOOKUP(V1116,products_master_corrected!$A$2:$A$151,products_master_corrected!$E$2:$E$151)</f>
        <v>152.4</v>
      </c>
      <c r="AD1116" s="28">
        <f t="shared" si="126"/>
        <v>457.2</v>
      </c>
      <c r="AE1116" s="28">
        <f t="array" ref="AE1116">XLOOKUP(V1116,products_master_corrected!$A$2:$A$151,products_master_corrected!$H$2:$H$151)</f>
        <v>171.22</v>
      </c>
      <c r="AF1116" s="29">
        <f t="shared" si="127"/>
        <v>513.66</v>
      </c>
      <c r="AG1116" s="32" t="s">
        <v>8658</v>
      </c>
      <c r="AH1116" s="2" t="s">
        <v>1980</v>
      </c>
      <c r="AI1116" s="10" t="s">
        <v>49</v>
      </c>
      <c r="AJ1116" s="2" t="s">
        <v>294</v>
      </c>
      <c r="AK1116" s="10" t="s">
        <v>80</v>
      </c>
    </row>
    <row r="1117" ht="15.75" customHeight="1">
      <c r="A1117" s="2" t="s">
        <v>4853</v>
      </c>
      <c r="B1117" s="12" t="s">
        <v>4854</v>
      </c>
      <c r="C1117" s="2" t="str">
        <f>IFERROR(__xludf.DUMMYFUNCTION("IF(ISNUMBER(B1117),TEXT(B1117,""yyyy-MM-dd""),REGEXREPLACE(REGEXREPLACE(TO_TEXT(B1117),""[^0-9a-zA-Z]+"",""-""),""[^0-9]*$"",""""))"),"04-18-2023")</f>
        <v>04-18-2023</v>
      </c>
      <c r="D1117" s="2" t="str">
        <f t="shared" si="128"/>
        <v>04-18-2023</v>
      </c>
      <c r="E1117" s="2" t="s">
        <v>8796</v>
      </c>
      <c r="H1117" s="10" t="s">
        <v>8796</v>
      </c>
      <c r="I1117" s="2" t="s">
        <v>1975</v>
      </c>
      <c r="J1117" s="26" t="str">
        <f t="array" ref="J1117">IF(ISNA(XLOOKUP(I1117,customers_clean!$A$2:$A$701,customers_clean!$A$2:$A$701, NA()) ),
   "❌ MISSING CUSTOMER", "✅")</f>
        <v>✅</v>
      </c>
      <c r="K1117" s="2" t="str">
        <f t="array" ref="K1117">XLOOKUP(I1117,customers_clean!$A$2:$A$701,customers_clean!$C$2:$C$701)</f>
        <v>Lia Garcia</v>
      </c>
      <c r="L1117" s="10" t="str">
        <f t="array" ref="L1117">XLOOKUP(I1117,customers_clean!$A$2:$A$701,customers_clean!$D$2:$D$701)</f>
        <v>Lia Garcia</v>
      </c>
      <c r="M1117" s="2" t="str">
        <f t="array" ref="M1117">XLOOKUP(I1117,customers_clean!$A$2:$A$701,customers_clean!$I$2:$I$701)</f>
        <v>lia.garcia@gmail.com </v>
      </c>
      <c r="N1117" s="10" t="str">
        <f t="array" ref="N1117">XLOOKUP(I1117,customers_clean!$A$2:$A$701,customers_clean!$H$2:$H$701)</f>
        <v>lia.garcia@gmail.com</v>
      </c>
      <c r="O1117" s="9" t="str">
        <f>IFERROR(__xludf.DUMMYFUNCTION("IF(REGEXMATCH(TRIM(N1117),""^[A-Za-z0-9._%+-]+@[A-Za-z0-9.-]+\.[A-Za-z]{2,}$""),""✅ Valid"",""❌ Invalid"")"),"✅ Valid")</f>
        <v>✅ Valid</v>
      </c>
      <c r="P1117" s="2" t="str">
        <f t="array" ref="P1117">XLOOKUP(I1117,customers_clean!$A$2:$A$701,customers_clean!$K$2:$K$701)</f>
        <v>(572) 178198</v>
      </c>
      <c r="Q1117" s="10" t="str">
        <f t="array" ref="Q1117">XLOOKUP(I1117,customers_clean!$A$2:$A$701,customers_clean!$N$2:$N$701)</f>
        <v>572178198</v>
      </c>
      <c r="R1117" s="9" t="str">
        <f t="array" ref="R1117">XLOOKUP(I1117,customers_clean!$A$2:$A$701,customers_clean!$Q$2:$Q$701)</f>
        <v>❌ INVALID</v>
      </c>
      <c r="S1117" s="10" t="s">
        <v>608</v>
      </c>
      <c r="T1117" s="2" t="s">
        <v>26</v>
      </c>
      <c r="U1117" s="2" t="s">
        <v>75</v>
      </c>
      <c r="V1117" s="2" t="s">
        <v>481</v>
      </c>
      <c r="W1117" s="9" t="str">
        <f t="array" ref="W1117">IF(ISNA(XLOOKUP(V1117,products_master_corrected!$A$2:$A$151,products_master_corrected!$A$2:$A$151, NA())),
    "❌ MISSING SKU", "✅")</f>
        <v>✅</v>
      </c>
      <c r="X1117" s="2" t="s">
        <v>291</v>
      </c>
      <c r="Y1117" s="2" t="s">
        <v>482</v>
      </c>
      <c r="Z1117" s="10" t="s">
        <v>63</v>
      </c>
      <c r="AA1117" s="27">
        <v>3.0</v>
      </c>
      <c r="AB1117" s="9" t="s">
        <v>8649</v>
      </c>
      <c r="AC1117" s="28">
        <f t="array" ref="AC1117">XLOOKUP(V1117,products_master_corrected!$A$2:$A$151,products_master_corrected!$E$2:$E$151)</f>
        <v>190.18</v>
      </c>
      <c r="AD1117" s="28">
        <f t="shared" si="126"/>
        <v>570.54</v>
      </c>
      <c r="AE1117" s="28">
        <f t="array" ref="AE1117">XLOOKUP(V1117,products_master_corrected!$A$2:$A$151,products_master_corrected!$H$2:$H$151)</f>
        <v>213.67</v>
      </c>
      <c r="AF1117" s="29">
        <f t="shared" si="127"/>
        <v>641.01</v>
      </c>
      <c r="AG1117" s="32" t="s">
        <v>8658</v>
      </c>
      <c r="AH1117" s="2" t="s">
        <v>4856</v>
      </c>
      <c r="AI1117" s="10" t="s">
        <v>181</v>
      </c>
      <c r="AJ1117" s="2" t="s">
        <v>158</v>
      </c>
      <c r="AK1117" s="10" t="s">
        <v>818</v>
      </c>
      <c r="AL1117" s="2" t="s">
        <v>81</v>
      </c>
    </row>
    <row r="1118" ht="15.75" customHeight="1">
      <c r="A1118" s="2" t="s">
        <v>3527</v>
      </c>
      <c r="B1118" s="12">
        <v>45638.0</v>
      </c>
      <c r="C1118" s="2" t="str">
        <f>IFERROR(__xludf.DUMMYFUNCTION("IF(ISNUMBER(B1118),TEXT(B1118,""yyyy-MM-dd""),REGEXREPLACE(REGEXREPLACE(TO_TEXT(B1118),""[^0-9a-zA-Z]+"",""-""),""[^0-9]*$"",""""))"),"2024-12-12")</f>
        <v>2024-12-12</v>
      </c>
      <c r="D1118" s="2" t="s">
        <v>8022</v>
      </c>
      <c r="H1118" s="10" t="s">
        <v>8022</v>
      </c>
      <c r="I1118" s="2" t="s">
        <v>3529</v>
      </c>
      <c r="J1118" s="26" t="str">
        <f t="array" ref="J1118">IF(ISNA(XLOOKUP(I1118,customers_clean!$A$2:$A$701,customers_clean!$A$2:$A$701, NA()) ),
   "❌ MISSING CUSTOMER", "✅")</f>
        <v>✅</v>
      </c>
      <c r="K1118" s="2" t="str">
        <f t="array" ref="K1118">XLOOKUP(I1118,customers_clean!$A$2:$A$701,customers_clean!$C$2:$C$701)</f>
        <v> Fiona Rodriguez</v>
      </c>
      <c r="L1118" s="10" t="str">
        <f t="array" ref="L1118">XLOOKUP(I1118,customers_clean!$A$2:$A$701,customers_clean!$D$2:$D$701)</f>
        <v>Fiona Rodriguez</v>
      </c>
      <c r="M1118" s="2" t="str">
        <f t="array" ref="M1118">XLOOKUP(I1118,customers_clean!$A$2:$A$701,customers_clean!$I$2:$I$701)</f>
        <v>Fiona.Rodriguez@Shop.Io</v>
      </c>
      <c r="N1118" s="10" t="str">
        <f t="array" ref="N1118">XLOOKUP(I1118,customers_clean!$A$2:$A$701,customers_clean!$H$2:$H$701)</f>
        <v>fiona.rodriguez@shop.io</v>
      </c>
      <c r="O1118" s="9" t="str">
        <f>IFERROR(__xludf.DUMMYFUNCTION("IF(REGEXMATCH(TRIM(N1118),""^[A-Za-z0-9._%+-]+@[A-Za-z0-9.-]+\.[A-Za-z]{2,}$""),""✅ Valid"",""❌ Invalid"")"),"✅ Valid")</f>
        <v>✅ Valid</v>
      </c>
      <c r="P1118" s="2" t="str">
        <f t="array" ref="P1118">XLOOKUP(I1118,customers_clean!$A$2:$A$701,customers_clean!$K$2:$K$701)</f>
        <v>+4473994904044 ext 669</v>
      </c>
      <c r="Q1118" s="10" t="str">
        <f t="array" ref="Q1118">XLOOKUP(I1118,customers_clean!$A$2:$A$701,customers_clean!$N$2:$N$701)</f>
        <v>73994904044</v>
      </c>
      <c r="R1118" s="9" t="str">
        <f t="array" ref="R1118">XLOOKUP(I1118,customers_clean!$A$2:$A$701,customers_clean!$Q$2:$Q$701)</f>
        <v>❌ INVALID</v>
      </c>
      <c r="S1118" s="10" t="s">
        <v>448</v>
      </c>
      <c r="T1118" s="2" t="s">
        <v>683</v>
      </c>
      <c r="U1118" s="2" t="s">
        <v>75</v>
      </c>
      <c r="V1118" s="2" t="s">
        <v>1063</v>
      </c>
      <c r="W1118" s="9" t="str">
        <f t="array" ref="W1118">IF(ISNA(XLOOKUP(V1118,products_master_corrected!$A$2:$A$151,products_master_corrected!$A$2:$A$151, NA())),
    "❌ MISSING SKU", "✅")</f>
        <v>✅</v>
      </c>
      <c r="X1118" s="2" t="s">
        <v>291</v>
      </c>
      <c r="Y1118" s="2" t="s">
        <v>167</v>
      </c>
      <c r="Z1118" s="10" t="str">
        <f>PROPER(TRIM(Y1118))</f>
        <v>Monitors</v>
      </c>
      <c r="AA1118" s="27">
        <v>1.0</v>
      </c>
      <c r="AB1118" s="9" t="s">
        <v>8649</v>
      </c>
      <c r="AC1118" s="28">
        <f t="array" ref="AC1118">XLOOKUP(V1118,products_master_corrected!$A$2:$A$151,products_master_corrected!$E$2:$E$151)</f>
        <v>136.55</v>
      </c>
      <c r="AD1118" s="28">
        <f t="shared" si="126"/>
        <v>136.55</v>
      </c>
      <c r="AE1118" s="28">
        <f t="array" ref="AE1118">XLOOKUP(V1118,products_master_corrected!$A$2:$A$151,products_master_corrected!$M$2:$M$151)</f>
        <v>165.17</v>
      </c>
      <c r="AF1118" s="29">
        <f t="shared" si="127"/>
        <v>165.17</v>
      </c>
      <c r="AG1118" s="30" t="s">
        <v>48</v>
      </c>
      <c r="AH1118" s="2" t="s">
        <v>305</v>
      </c>
      <c r="AI1118" s="10" t="s">
        <v>49</v>
      </c>
      <c r="AJ1118" s="2" t="s">
        <v>432</v>
      </c>
      <c r="AK1118" s="10" t="s">
        <v>80</v>
      </c>
    </row>
    <row r="1119" ht="15.75" customHeight="1">
      <c r="A1119" s="2" t="s">
        <v>3262</v>
      </c>
      <c r="B1119" s="12">
        <v>44960.461805555555</v>
      </c>
      <c r="C1119" s="2" t="str">
        <f>IFERROR(__xludf.DUMMYFUNCTION("IF(ISNUMBER(B1119),TEXT(B1119,""yyyy-MM-dd""),REGEXREPLACE(REGEXREPLACE(TO_TEXT(B1119),""[^0-9a-zA-Z]+"",""-""),""[^0-9]*$"",""""))"),"2023-02-03")</f>
        <v>2023-02-03</v>
      </c>
      <c r="D1119" s="2" t="s">
        <v>8786</v>
      </c>
      <c r="H1119" s="10" t="s">
        <v>8786</v>
      </c>
      <c r="I1119" s="2" t="s">
        <v>3264</v>
      </c>
      <c r="J1119" s="26" t="str">
        <f t="array" ref="J1119">IF(ISNA(XLOOKUP(I1119,customers_clean!$A$2:$A$701,customers_clean!$A$2:$A$701, NA()) ),
   "❌ MISSING CUSTOMER", "✅")</f>
        <v>✅</v>
      </c>
      <c r="K1119" s="2" t="str">
        <f t="array" ref="K1119">XLOOKUP(I1119,customers_clean!$A$2:$A$701,customers_clean!$C$2:$C$701)</f>
        <v>Yara Garcia </v>
      </c>
      <c r="L1119" s="10" t="str">
        <f t="array" ref="L1119">XLOOKUP(I1119,customers_clean!$A$2:$A$701,customers_clean!$D$2:$D$701)</f>
        <v>Yara Garcia</v>
      </c>
      <c r="M1119" s="2" t="str">
        <f t="array" ref="M1119">XLOOKUP(I1119,customers_clean!$A$2:$A$701,customers_clean!$I$2:$I$701)</f>
        <v>Yara.Garcia@Example.Com</v>
      </c>
      <c r="N1119" s="10" t="str">
        <f t="array" ref="N1119">XLOOKUP(I1119,customers_clean!$A$2:$A$701,customers_clean!$H$2:$H$701)</f>
        <v>yara.garcia@example.com</v>
      </c>
      <c r="O1119" s="9" t="str">
        <f>IFERROR(__xludf.DUMMYFUNCTION("IF(REGEXMATCH(TRIM(N1119),""^[A-Za-z0-9._%+-]+@[A-Za-z0-9.-]+\.[A-Za-z]{2,}$""),""✅ Valid"",""❌ Invalid"")"),"✅ Valid")</f>
        <v>✅ Valid</v>
      </c>
      <c r="P1119" s="2">
        <f t="array" ref="P1119">XLOOKUP(I1119,customers_clean!$A$2:$A$701,customers_clean!$K$2:$K$701)</f>
        <v>32830292</v>
      </c>
      <c r="Q1119" s="10" t="str">
        <f t="array" ref="Q1119">XLOOKUP(I1119,customers_clean!$A$2:$A$701,customers_clean!$N$2:$N$701)</f>
        <v>32830292</v>
      </c>
      <c r="R1119" s="9" t="str">
        <f t="array" ref="R1119">XLOOKUP(I1119,customers_clean!$A$2:$A$701,customers_clean!$Q$2:$Q$701)</f>
        <v>❌ INVALID</v>
      </c>
      <c r="S1119" s="10" t="s">
        <v>58</v>
      </c>
      <c r="T1119" s="2" t="s">
        <v>460</v>
      </c>
      <c r="U1119" s="2" t="s">
        <v>480</v>
      </c>
      <c r="V1119" s="2" t="s">
        <v>1476</v>
      </c>
      <c r="W1119" s="9" t="str">
        <f t="array" ref="W1119">IF(ISNA(XLOOKUP(V1119,products_master_corrected!$A$2:$A$151,products_master_corrected!$A$2:$A$151, NA())),
    "❌ MISSING SKU", "✅")</f>
        <v>✅</v>
      </c>
      <c r="X1119" s="2" t="s">
        <v>1147</v>
      </c>
      <c r="Y1119" s="2" t="s">
        <v>1477</v>
      </c>
      <c r="Z1119" s="10" t="s">
        <v>248</v>
      </c>
      <c r="AA1119" s="27">
        <v>3.0</v>
      </c>
      <c r="AB1119" s="9" t="s">
        <v>8649</v>
      </c>
      <c r="AC1119" s="28">
        <f t="array" ref="AC1119">XLOOKUP(V1119,products_master_corrected!$A$2:$A$151,products_master_corrected!$E$2:$E$151)</f>
        <v>147.92</v>
      </c>
      <c r="AD1119" s="28">
        <f t="shared" si="126"/>
        <v>443.76</v>
      </c>
      <c r="AE1119" s="28">
        <f t="array" ref="AE1119">XLOOKUP(V1119,products_master_corrected!$A$2:$A$151,products_master_corrected!$G$2:$G$151)</f>
        <v>169.34</v>
      </c>
      <c r="AF1119" s="29">
        <f t="shared" si="127"/>
        <v>508.02</v>
      </c>
      <c r="AG1119" s="32" t="s">
        <v>8663</v>
      </c>
      <c r="AH1119" s="2" t="s">
        <v>664</v>
      </c>
      <c r="AI1119" s="10" t="s">
        <v>66</v>
      </c>
      <c r="AJ1119" s="2" t="s">
        <v>452</v>
      </c>
      <c r="AK1119" s="10" t="s">
        <v>261</v>
      </c>
    </row>
    <row r="1120" ht="15.75" customHeight="1">
      <c r="A1120" s="2" t="s">
        <v>1991</v>
      </c>
      <c r="B1120" s="12">
        <v>45002.0</v>
      </c>
      <c r="C1120" s="2" t="str">
        <f>IFERROR(__xludf.DUMMYFUNCTION("IF(ISNUMBER(B1120),TEXT(B1120,""yyyy-MM-dd""),REGEXREPLACE(REGEXREPLACE(TO_TEXT(B1120),""[^0-9a-zA-Z]+"",""-""),""[^0-9]*$"",""""))"),"2023-03-17")</f>
        <v>2023-03-17</v>
      </c>
      <c r="D1120" s="2" t="s">
        <v>8242</v>
      </c>
      <c r="H1120" s="10" t="s">
        <v>8242</v>
      </c>
      <c r="I1120" s="2" t="s">
        <v>1993</v>
      </c>
      <c r="J1120" s="26" t="str">
        <f t="array" ref="J1120">IF(ISNA(XLOOKUP(I1120,customers_clean!$A$2:$A$701,customers_clean!$A$2:$A$701, NA()) ),
   "❌ MISSING CUSTOMER", "✅")</f>
        <v>✅</v>
      </c>
      <c r="K1120" s="2" t="str">
        <f t="array" ref="K1120">XLOOKUP(I1120,customers_clean!$A$2:$A$701,customers_clean!$C$2:$C$701)</f>
        <v>Rita Young</v>
      </c>
      <c r="L1120" s="10" t="str">
        <f t="array" ref="L1120">XLOOKUP(I1120,customers_clean!$A$2:$A$701,customers_clean!$D$2:$D$701)</f>
        <v>Rita Young</v>
      </c>
      <c r="M1120" s="2" t="str">
        <f t="array" ref="M1120">XLOOKUP(I1120,customers_clean!$A$2:$A$701,customers_clean!$I$2:$I$701)</f>
        <v>RITA.YOUNG@SHOP.IO</v>
      </c>
      <c r="N1120" s="10" t="str">
        <f t="array" ref="N1120">XLOOKUP(I1120,customers_clean!$A$2:$A$701,customers_clean!$H$2:$H$701)</f>
        <v>rita.young@shop.io</v>
      </c>
      <c r="O1120" s="9" t="str">
        <f>IFERROR(__xludf.DUMMYFUNCTION("IF(REGEXMATCH(TRIM(N1120),""^[A-Za-z0-9._%+-]+@[A-Za-z0-9.-]+\.[A-Za-z]{2,}$""),""✅ Valid"",""❌ Invalid"")"),"✅ Valid")</f>
        <v>✅ Valid</v>
      </c>
      <c r="P1120" s="2" t="str">
        <f t="array" ref="P1120">XLOOKUP(I1120,customers_clean!$A$2:$A$701,customers_clean!$K$2:$K$701)</f>
        <v>+33 360-402-526</v>
      </c>
      <c r="Q1120" s="10" t="str">
        <f t="array" ref="Q1120">XLOOKUP(I1120,customers_clean!$A$2:$A$701,customers_clean!$N$2:$N$701)</f>
        <v>360402526</v>
      </c>
      <c r="R1120" s="9" t="str">
        <f t="array" ref="R1120">XLOOKUP(I1120,customers_clean!$A$2:$A$701,customers_clean!$Q$2:$Q$701)</f>
        <v>❌ INVALID</v>
      </c>
      <c r="S1120" s="10" t="s">
        <v>139</v>
      </c>
      <c r="T1120" s="2" t="s">
        <v>42</v>
      </c>
      <c r="U1120" s="2" t="s">
        <v>176</v>
      </c>
      <c r="V1120" s="2" t="s">
        <v>279</v>
      </c>
      <c r="W1120" s="9" t="str">
        <f t="array" ref="W1120">IF(ISNA(XLOOKUP(V1120,products_master_corrected!$A$2:$A$151,products_master_corrected!$A$2:$A$151, NA())),
    "❌ MISSING SKU", "✅")</f>
        <v>✅</v>
      </c>
      <c r="X1120" s="2" t="s">
        <v>280</v>
      </c>
      <c r="Y1120" s="2" t="s">
        <v>281</v>
      </c>
      <c r="Z1120" s="10" t="s">
        <v>248</v>
      </c>
      <c r="AA1120" s="27">
        <v>1.0</v>
      </c>
      <c r="AB1120" s="9" t="s">
        <v>8649</v>
      </c>
      <c r="AC1120" s="28">
        <f t="array" ref="AC1120">XLOOKUP(V1120,products_master_corrected!$A$2:$A$151,products_master_corrected!$E$2:$E$151)</f>
        <v>95.88</v>
      </c>
      <c r="AD1120" s="28">
        <f t="shared" si="126"/>
        <v>95.88</v>
      </c>
      <c r="AE1120" s="28">
        <f t="array" ref="AE1120">XLOOKUP(V1120,products_master_corrected!$A$2:$A$151,products_master_corrected!$L$2:$L$151)</f>
        <v>103.69</v>
      </c>
      <c r="AF1120" s="29">
        <f t="shared" si="127"/>
        <v>103.69</v>
      </c>
      <c r="AG1120" s="32" t="s">
        <v>8665</v>
      </c>
      <c r="AH1120" s="2" t="s">
        <v>66</v>
      </c>
      <c r="AI1120" s="10" t="s">
        <v>66</v>
      </c>
      <c r="AJ1120" s="2" t="s">
        <v>818</v>
      </c>
      <c r="AK1120" s="10" t="s">
        <v>818</v>
      </c>
      <c r="AL1120" s="2" t="s">
        <v>51</v>
      </c>
    </row>
    <row r="1121" ht="15.75" customHeight="1">
      <c r="A1121" s="2" t="s">
        <v>3352</v>
      </c>
      <c r="B1121" s="12">
        <v>45390.0</v>
      </c>
      <c r="C1121" s="2" t="str">
        <f>IFERROR(__xludf.DUMMYFUNCTION("IF(ISNUMBER(B1121),TEXT(B1121,""yyyy-MM-dd""),REGEXREPLACE(REGEXREPLACE(TO_TEXT(B1121),""[^0-9a-zA-Z]+"",""-""),""[^0-9]*$"",""""))"),"2024-04-08")</f>
        <v>2024-04-08</v>
      </c>
      <c r="D1121" s="2" t="s">
        <v>9013</v>
      </c>
      <c r="H1121" s="10" t="s">
        <v>9013</v>
      </c>
      <c r="I1121" s="2" t="s">
        <v>1993</v>
      </c>
      <c r="J1121" s="26" t="str">
        <f t="array" ref="J1121">IF(ISNA(XLOOKUP(I1121,customers_clean!$A$2:$A$701,customers_clean!$A$2:$A$701, NA()) ),
   "❌ MISSING CUSTOMER", "✅")</f>
        <v>✅</v>
      </c>
      <c r="K1121" s="2" t="str">
        <f t="array" ref="K1121">XLOOKUP(I1121,customers_clean!$A$2:$A$701,customers_clean!$C$2:$C$701)</f>
        <v>Rita Young</v>
      </c>
      <c r="L1121" s="10" t="str">
        <f t="array" ref="L1121">XLOOKUP(I1121,customers_clean!$A$2:$A$701,customers_clean!$D$2:$D$701)</f>
        <v>Rita Young</v>
      </c>
      <c r="M1121" s="2" t="str">
        <f t="array" ref="M1121">XLOOKUP(I1121,customers_clean!$A$2:$A$701,customers_clean!$I$2:$I$701)</f>
        <v>RITA.YOUNG@SHOP.IO</v>
      </c>
      <c r="N1121" s="10" t="str">
        <f t="array" ref="N1121">XLOOKUP(I1121,customers_clean!$A$2:$A$701,customers_clean!$H$2:$H$701)</f>
        <v>rita.young@shop.io</v>
      </c>
      <c r="O1121" s="9" t="str">
        <f>IFERROR(__xludf.DUMMYFUNCTION("IF(REGEXMATCH(TRIM(N1121),""^[A-Za-z0-9._%+-]+@[A-Za-z0-9.-]+\.[A-Za-z]{2,}$""),""✅ Valid"",""❌ Invalid"")"),"✅ Valid")</f>
        <v>✅ Valid</v>
      </c>
      <c r="P1121" s="2" t="str">
        <f t="array" ref="P1121">XLOOKUP(I1121,customers_clean!$A$2:$A$701,customers_clean!$K$2:$K$701)</f>
        <v>+33 360-402-526</v>
      </c>
      <c r="Q1121" s="10" t="str">
        <f t="array" ref="Q1121">XLOOKUP(I1121,customers_clean!$A$2:$A$701,customers_clean!$N$2:$N$701)</f>
        <v>360402526</v>
      </c>
      <c r="R1121" s="9" t="str">
        <f t="array" ref="R1121">XLOOKUP(I1121,customers_clean!$A$2:$A$701,customers_clean!$Q$2:$Q$701)</f>
        <v>❌ INVALID</v>
      </c>
      <c r="S1121" s="10" t="s">
        <v>139</v>
      </c>
      <c r="T1121" s="2" t="s">
        <v>42</v>
      </c>
      <c r="U1121" s="2" t="s">
        <v>522</v>
      </c>
      <c r="V1121" s="2" t="s">
        <v>2425</v>
      </c>
      <c r="W1121" s="9" t="str">
        <f t="array" ref="W1121">IF(ISNA(XLOOKUP(V1121,products_master_corrected!$A$2:$A$151,products_master_corrected!$A$2:$A$151, NA())),
    "❌ MISSING SKU", "✅")</f>
        <v>✅</v>
      </c>
      <c r="X1121" s="2" t="s">
        <v>2426</v>
      </c>
      <c r="Y1121" s="2" t="s">
        <v>2427</v>
      </c>
      <c r="Z1121" s="10" t="s">
        <v>248</v>
      </c>
      <c r="AA1121" s="27">
        <v>2.0</v>
      </c>
      <c r="AB1121" s="9" t="s">
        <v>8649</v>
      </c>
      <c r="AC1121" s="28">
        <f t="array" ref="AC1121">XLOOKUP(V1121,products_master_corrected!$A$2:$A$151,products_master_corrected!$E$2:$E$151)</f>
        <v>1071.06</v>
      </c>
      <c r="AD1121" s="28">
        <f t="shared" si="126"/>
        <v>2142.12</v>
      </c>
      <c r="AE1121" s="28">
        <f t="array" ref="AE1121">XLOOKUP(V1121,products_master_corrected!$A$2:$A$151,products_master_corrected!$L$2:$L$151)</f>
        <v>1158.35</v>
      </c>
      <c r="AF1121" s="29">
        <f t="shared" si="127"/>
        <v>2316.7</v>
      </c>
      <c r="AG1121" s="32" t="s">
        <v>8665</v>
      </c>
      <c r="AH1121" s="2" t="s">
        <v>49</v>
      </c>
      <c r="AI1121" s="10" t="s">
        <v>49</v>
      </c>
      <c r="AJ1121" s="2" t="s">
        <v>432</v>
      </c>
      <c r="AK1121" s="10" t="s">
        <v>80</v>
      </c>
    </row>
    <row r="1122" ht="15.75" customHeight="1">
      <c r="A1122" s="2" t="s">
        <v>3961</v>
      </c>
      <c r="B1122" s="12">
        <v>45894.95277777778</v>
      </c>
      <c r="C1122" s="2" t="str">
        <f>IFERROR(__xludf.DUMMYFUNCTION("IF(ISNUMBER(B1122),TEXT(B1122,""yyyy-MM-dd""),REGEXREPLACE(REGEXREPLACE(TO_TEXT(B1122),""[^0-9a-zA-Z]+"",""-""),""[^0-9]*$"",""""))"),"2025-08-25")</f>
        <v>2025-08-25</v>
      </c>
      <c r="D1122" s="2" t="s">
        <v>8863</v>
      </c>
      <c r="H1122" s="10" t="s">
        <v>8863</v>
      </c>
      <c r="I1122" s="2" t="s">
        <v>3963</v>
      </c>
      <c r="J1122" s="26" t="str">
        <f t="array" ref="J1122">IF(ISNA(XLOOKUP(I1122,customers_clean!$A$2:$A$701,customers_clean!$A$2:$A$701, NA()) ),
   "❌ MISSING CUSTOMER", "✅")</f>
        <v>✅</v>
      </c>
      <c r="K1122" s="2" t="str">
        <f t="array" ref="K1122">XLOOKUP(I1122,customers_clean!$A$2:$A$701,customers_clean!$C$2:$C$701)</f>
        <v>Ken  Novak</v>
      </c>
      <c r="L1122" s="10" t="str">
        <f t="array" ref="L1122">XLOOKUP(I1122,customers_clean!$A$2:$A$701,customers_clean!$D$2:$D$701)</f>
        <v>Ken Novak</v>
      </c>
      <c r="M1122" s="2" t="str">
        <f t="array" ref="M1122">XLOOKUP(I1122,customers_clean!$A$2:$A$701,customers_clean!$I$2:$I$701)</f>
        <v> ken.novak@company.co.uk</v>
      </c>
      <c r="N1122" s="10" t="str">
        <f t="array" ref="N1122">XLOOKUP(I1122,customers_clean!$A$2:$A$701,customers_clean!$H$2:$H$701)</f>
        <v>ken.novak@company.co.uk</v>
      </c>
      <c r="O1122" s="9" t="str">
        <f>IFERROR(__xludf.DUMMYFUNCTION("IF(REGEXMATCH(TRIM(N1122),""^[A-Za-z0-9._%+-]+@[A-Za-z0-9.-]+\.[A-Za-z]{2,}$""),""✅ Valid"",""❌ Invalid"")"),"✅ Valid")</f>
        <v>✅ Valid</v>
      </c>
      <c r="P1122" s="2" t="str">
        <f t="array" ref="P1122">XLOOKUP(I1122,customers_clean!$A$2:$A$701,customers_clean!$K$2:$K$701)</f>
        <v>N/A</v>
      </c>
      <c r="Q1122" s="10" t="str">
        <f t="array" ref="Q1122">XLOOKUP(I1122,customers_clean!$A$2:$A$701,customers_clean!$N$2:$N$701)</f>
        <v/>
      </c>
      <c r="R1122" s="9" t="str">
        <f t="array" ref="R1122">XLOOKUP(I1122,customers_clean!$A$2:$A$701,customers_clean!$Q$2:$Q$701)</f>
        <v>❌ INVALID</v>
      </c>
      <c r="S1122" s="10" t="s">
        <v>88</v>
      </c>
      <c r="T1122" s="2" t="s">
        <v>223</v>
      </c>
      <c r="U1122" s="2" t="s">
        <v>480</v>
      </c>
      <c r="V1122" s="2" t="s">
        <v>1460</v>
      </c>
      <c r="W1122" s="9" t="str">
        <f t="array" ref="W1122">IF(ISNA(XLOOKUP(V1122,products_master_corrected!$A$2:$A$151,products_master_corrected!$A$2:$A$151, NA())),
    "❌ MISSING SKU", "✅")</f>
        <v>✅</v>
      </c>
      <c r="X1122" s="2" t="s">
        <v>1138</v>
      </c>
      <c r="Y1122" s="2" t="s">
        <v>368</v>
      </c>
      <c r="Z1122" s="10" t="s">
        <v>368</v>
      </c>
      <c r="AA1122" s="27">
        <v>2.0</v>
      </c>
      <c r="AB1122" s="9" t="s">
        <v>8649</v>
      </c>
      <c r="AC1122" s="28">
        <f t="array" ref="AC1122">XLOOKUP(V1122,products_master_corrected!$A$2:$A$151,products_master_corrected!$E$2:$E$151)</f>
        <v>271.81</v>
      </c>
      <c r="AD1122" s="28">
        <f t="shared" si="126"/>
        <v>543.62</v>
      </c>
      <c r="AE1122" s="28">
        <f t="array" ref="AE1122">XLOOKUP(V1122,products_master_corrected!$A$2:$A$151,products_master_corrected!$I$2:$I$151)</f>
        <v>299.64</v>
      </c>
      <c r="AF1122" s="29">
        <f t="shared" si="127"/>
        <v>599.28</v>
      </c>
      <c r="AG1122" s="32" t="s">
        <v>8660</v>
      </c>
      <c r="AH1122" s="2" t="s">
        <v>573</v>
      </c>
      <c r="AI1122" s="10" t="s">
        <v>66</v>
      </c>
      <c r="AJ1122" s="2" t="s">
        <v>380</v>
      </c>
      <c r="AK1122" s="10" t="s">
        <v>80</v>
      </c>
      <c r="AL1122" s="2" t="s">
        <v>81</v>
      </c>
    </row>
    <row r="1123" ht="15.75" customHeight="1">
      <c r="A1123" s="2" t="s">
        <v>4280</v>
      </c>
      <c r="B1123" s="12">
        <v>45010.25</v>
      </c>
      <c r="C1123" s="2" t="str">
        <f>IFERROR(__xludf.DUMMYFUNCTION("IF(ISNUMBER(B1123),TEXT(B1123,""yyyy-MM-dd""),REGEXREPLACE(REGEXREPLACE(TO_TEXT(B1123),""[^0-9a-zA-Z]+"",""-""),""[^0-9]*$"",""""))"),"2023-03-25")</f>
        <v>2023-03-25</v>
      </c>
      <c r="D1123" s="2" t="s">
        <v>8965</v>
      </c>
      <c r="H1123" s="10" t="s">
        <v>8965</v>
      </c>
      <c r="I1123" s="2" t="s">
        <v>4282</v>
      </c>
      <c r="J1123" s="26" t="str">
        <f t="array" ref="J1123">IF(ISNA(XLOOKUP(I1123,customers_clean!$A$2:$A$701,customers_clean!$A$2:$A$701, NA()) ),
   "❌ MISSING CUSTOMER", "✅")</f>
        <v>✅</v>
      </c>
      <c r="K1123" s="2" t="str">
        <f t="array" ref="K1123">XLOOKUP(I1123,customers_clean!$A$2:$A$701,customers_clean!$C$2:$C$701)</f>
        <v>BELAL DAVIS</v>
      </c>
      <c r="L1123" s="10" t="str">
        <f t="array" ref="L1123">XLOOKUP(I1123,customers_clean!$A$2:$A$701,customers_clean!$D$2:$D$701)</f>
        <v>Bella Davis</v>
      </c>
      <c r="M1123" s="2" t="str">
        <f t="array" ref="M1123">XLOOKUP(I1123,customers_clean!$A$2:$A$701,customers_clean!$I$2:$I$701)</f>
        <v>bella.davis@shop.io</v>
      </c>
      <c r="N1123" s="10" t="str">
        <f t="array" ref="N1123">XLOOKUP(I1123,customers_clean!$A$2:$A$701,customers_clean!$H$2:$H$701)</f>
        <v>bella.davis@shop.io</v>
      </c>
      <c r="O1123" s="9" t="str">
        <f>IFERROR(__xludf.DUMMYFUNCTION("IF(REGEXMATCH(TRIM(N1123),""^[A-Za-z0-9._%+-]+@[A-Za-z0-9.-]+\.[A-Za-z]{2,}$""),""✅ Valid"",""❌ Invalid"")"),"✅ Valid")</f>
        <v>✅ Valid</v>
      </c>
      <c r="P1123" s="2" t="str">
        <f t="array" ref="P1123">XLOOKUP(I1123,customers_clean!$A$2:$A$701,customers_clean!$K$2:$K$701)</f>
        <v>+39 97 22 11 94</v>
      </c>
      <c r="Q1123" s="10" t="str">
        <f t="array" ref="Q1123">XLOOKUP(I1123,customers_clean!$A$2:$A$701,customers_clean!$N$2:$N$701)</f>
        <v>97221194</v>
      </c>
      <c r="R1123" s="9" t="str">
        <f t="array" ref="R1123">XLOOKUP(I1123,customers_clean!$A$2:$A$701,customers_clean!$Q$2:$Q$701)</f>
        <v>❌ INVALID</v>
      </c>
      <c r="S1123" s="10" t="s">
        <v>139</v>
      </c>
      <c r="T1123" s="2" t="s">
        <v>323</v>
      </c>
      <c r="U1123" s="2" t="s">
        <v>103</v>
      </c>
      <c r="V1123" s="2" t="s">
        <v>4048</v>
      </c>
      <c r="W1123" s="9" t="str">
        <f t="array" ref="W1123">IF(ISNA(XLOOKUP(V1123,products_master_corrected!$A$2:$A$151,products_master_corrected!$A$2:$A$151, NA())),
    "❌ MISSING SKU", "✅")</f>
        <v>✅</v>
      </c>
      <c r="X1123" s="2" t="s">
        <v>190</v>
      </c>
      <c r="Y1123" s="2" t="s">
        <v>214</v>
      </c>
      <c r="Z1123" s="10" t="s">
        <v>368</v>
      </c>
      <c r="AA1123" s="27">
        <v>2.0</v>
      </c>
      <c r="AB1123" s="9" t="s">
        <v>8649</v>
      </c>
      <c r="AC1123" s="28">
        <f t="array" ref="AC1123">XLOOKUP(V1123,products_master_corrected!$A$2:$A$151,products_master_corrected!$E$2:$E$151)</f>
        <v>147.02</v>
      </c>
      <c r="AD1123" s="28">
        <f t="shared" si="126"/>
        <v>294.04</v>
      </c>
      <c r="AE1123" s="28">
        <f t="array" ref="AE1123">XLOOKUP(V1123,products_master_corrected!$A$2:$A$151,products_master_corrected!$L$2:$L$151)</f>
        <v>159</v>
      </c>
      <c r="AF1123" s="29">
        <f t="shared" si="127"/>
        <v>318</v>
      </c>
      <c r="AG1123" s="32" t="s">
        <v>8665</v>
      </c>
      <c r="AH1123" s="2" t="s">
        <v>49</v>
      </c>
      <c r="AI1123" s="10" t="s">
        <v>49</v>
      </c>
      <c r="AJ1123" s="2" t="s">
        <v>1368</v>
      </c>
      <c r="AK1123" s="10" t="s">
        <v>818</v>
      </c>
      <c r="AL1123" s="2" t="s">
        <v>51</v>
      </c>
    </row>
    <row r="1124" ht="15.75" customHeight="1">
      <c r="A1124" s="2" t="s">
        <v>2917</v>
      </c>
      <c r="B1124" s="12">
        <v>45598.47638888889</v>
      </c>
      <c r="C1124" s="2" t="str">
        <f>IFERROR(__xludf.DUMMYFUNCTION("IF(ISNUMBER(B1124),TEXT(B1124,""yyyy-MM-dd""),REGEXREPLACE(REGEXREPLACE(TO_TEXT(B1124),""[^0-9a-zA-Z]+"",""-""),""[^0-9]*$"",""""))"),"2024-11-02")</f>
        <v>2024-11-02</v>
      </c>
      <c r="D1124" s="2" t="s">
        <v>8739</v>
      </c>
      <c r="H1124" s="10" t="s">
        <v>8739</v>
      </c>
      <c r="I1124" s="2" t="s">
        <v>2618</v>
      </c>
      <c r="J1124" s="26" t="str">
        <f t="array" ref="J1124">IF(ISNA(XLOOKUP(I1124,customers_clean!$A$2:$A$701,customers_clean!$A$2:$A$701, NA()) ),
   "❌ MISSING CUSTOMER", "✅")</f>
        <v>✅</v>
      </c>
      <c r="K1124" s="2" t="str">
        <f t="array" ref="K1124">XLOOKUP(I1124,customers_clean!$A$2:$A$701,customers_clean!$C$2:$C$701)</f>
        <v>Tara Dubois</v>
      </c>
      <c r="L1124" s="10" t="str">
        <f t="array" ref="L1124">XLOOKUP(I1124,customers_clean!$A$2:$A$701,customers_clean!$D$2:$D$701)</f>
        <v>Tara Dubois</v>
      </c>
      <c r="M1124" s="2" t="str">
        <f t="array" ref="M1124">XLOOKUP(I1124,customers_clean!$A$2:$A$701,customers_clean!$I$2:$I$701)</f>
        <v>tara.dubois@company.co.uk </v>
      </c>
      <c r="N1124" s="10" t="str">
        <f t="array" ref="N1124">XLOOKUP(I1124,customers_clean!$A$2:$A$701,customers_clean!$H$2:$H$701)</f>
        <v>tara.dubois@company.co.uk</v>
      </c>
      <c r="O1124" s="9" t="str">
        <f>IFERROR(__xludf.DUMMYFUNCTION("IF(REGEXMATCH(TRIM(N1124),""^[A-Za-z0-9._%+-]+@[A-Za-z0-9.-]+\.[A-Za-z]{2,}$""),""✅ Valid"",""❌ Invalid"")"),"✅ Valid")</f>
        <v>✅ Valid</v>
      </c>
      <c r="P1124" s="2">
        <f t="array" ref="P1124">XLOOKUP(I1124,customers_clean!$A$2:$A$701,customers_clean!$K$2:$K$701)</f>
        <v>316943474</v>
      </c>
      <c r="Q1124" s="10" t="str">
        <f t="array" ref="Q1124">XLOOKUP(I1124,customers_clean!$A$2:$A$701,customers_clean!$N$2:$N$701)</f>
        <v>316943474</v>
      </c>
      <c r="R1124" s="9" t="str">
        <f t="array" ref="R1124">XLOOKUP(I1124,customers_clean!$A$2:$A$701,customers_clean!$Q$2:$Q$701)</f>
        <v>❌ INVALID</v>
      </c>
      <c r="S1124" s="10" t="s">
        <v>608</v>
      </c>
      <c r="T1124" s="2" t="s">
        <v>683</v>
      </c>
      <c r="U1124" s="2" t="s">
        <v>522</v>
      </c>
      <c r="V1124" s="2" t="s">
        <v>939</v>
      </c>
      <c r="W1124" s="9" t="str">
        <f t="array" ref="W1124">IF(ISNA(XLOOKUP(V1124,products_master_corrected!$A$2:$A$151,products_master_corrected!$A$2:$A$151, NA())),
    "❌ MISSING SKU", "✅")</f>
        <v>✅</v>
      </c>
      <c r="X1124" s="2" t="s">
        <v>940</v>
      </c>
      <c r="Y1124" s="2" t="s">
        <v>941</v>
      </c>
      <c r="Z1124" s="10" t="str">
        <f>PROPER(TRIM(Y1124))</f>
        <v>Monitors</v>
      </c>
      <c r="AA1124" s="27">
        <v>3.0</v>
      </c>
      <c r="AB1124" s="9" t="s">
        <v>8649</v>
      </c>
      <c r="AC1124" s="28">
        <f t="array" ref="AC1124">XLOOKUP(V1124,products_master_corrected!$A$2:$A$151,products_master_corrected!$E$2:$E$151)</f>
        <v>215.15</v>
      </c>
      <c r="AD1124" s="28">
        <f t="shared" si="126"/>
        <v>645.45</v>
      </c>
      <c r="AE1124" s="28">
        <f t="array" ref="AE1124">XLOOKUP(V1124,products_master_corrected!$A$2:$A$151,products_master_corrected!$H$2:$H$151)</f>
        <v>241.72</v>
      </c>
      <c r="AF1124" s="29">
        <f t="shared" si="127"/>
        <v>725.16</v>
      </c>
      <c r="AG1124" s="32" t="s">
        <v>8658</v>
      </c>
      <c r="AH1124" s="2" t="s">
        <v>66</v>
      </c>
      <c r="AI1124" s="10" t="s">
        <v>66</v>
      </c>
      <c r="AJ1124" s="2" t="s">
        <v>2920</v>
      </c>
      <c r="AK1124" s="10" t="s">
        <v>261</v>
      </c>
    </row>
    <row r="1125" ht="15.75" customHeight="1">
      <c r="A1125" s="2" t="s">
        <v>3505</v>
      </c>
      <c r="B1125" s="12">
        <v>45895.0</v>
      </c>
      <c r="C1125" s="2" t="str">
        <f>IFERROR(__xludf.DUMMYFUNCTION("IF(ISNUMBER(B1125),TEXT(B1125,""yyyy-MM-dd""),REGEXREPLACE(REGEXREPLACE(TO_TEXT(B1125),""[^0-9a-zA-Z]+"",""-""),""[^0-9]*$"",""""))"),"2025-08-26")</f>
        <v>2025-08-26</v>
      </c>
      <c r="D1125" s="2" t="s">
        <v>7670</v>
      </c>
      <c r="H1125" s="10" t="s">
        <v>7670</v>
      </c>
      <c r="I1125" s="2" t="s">
        <v>2618</v>
      </c>
      <c r="J1125" s="26" t="str">
        <f t="array" ref="J1125">IF(ISNA(XLOOKUP(I1125,customers_clean!$A$2:$A$701,customers_clean!$A$2:$A$701, NA()) ),
   "❌ MISSING CUSTOMER", "✅")</f>
        <v>✅</v>
      </c>
      <c r="K1125" s="2" t="str">
        <f t="array" ref="K1125">XLOOKUP(I1125,customers_clean!$A$2:$A$701,customers_clean!$C$2:$C$701)</f>
        <v>Tara Dubois</v>
      </c>
      <c r="L1125" s="10" t="str">
        <f t="array" ref="L1125">XLOOKUP(I1125,customers_clean!$A$2:$A$701,customers_clean!$D$2:$D$701)</f>
        <v>Tara Dubois</v>
      </c>
      <c r="M1125" s="2" t="str">
        <f t="array" ref="M1125">XLOOKUP(I1125,customers_clean!$A$2:$A$701,customers_clean!$I$2:$I$701)</f>
        <v>tara.dubois@company.co.uk </v>
      </c>
      <c r="N1125" s="10" t="str">
        <f t="array" ref="N1125">XLOOKUP(I1125,customers_clean!$A$2:$A$701,customers_clean!$H$2:$H$701)</f>
        <v>tara.dubois@company.co.uk</v>
      </c>
      <c r="O1125" s="9" t="str">
        <f>IFERROR(__xludf.DUMMYFUNCTION("IF(REGEXMATCH(TRIM(N1125),""^[A-Za-z0-9._%+-]+@[A-Za-z0-9.-]+\.[A-Za-z]{2,}$""),""✅ Valid"",""❌ Invalid"")"),"✅ Valid")</f>
        <v>✅ Valid</v>
      </c>
      <c r="P1125" s="2">
        <f t="array" ref="P1125">XLOOKUP(I1125,customers_clean!$A$2:$A$701,customers_clean!$K$2:$K$701)</f>
        <v>316943474</v>
      </c>
      <c r="Q1125" s="10" t="str">
        <f t="array" ref="Q1125">XLOOKUP(I1125,customers_clean!$A$2:$A$701,customers_clean!$N$2:$N$701)</f>
        <v>316943474</v>
      </c>
      <c r="R1125" s="9" t="str">
        <f t="array" ref="R1125">XLOOKUP(I1125,customers_clean!$A$2:$A$701,customers_clean!$Q$2:$Q$701)</f>
        <v>❌ INVALID</v>
      </c>
      <c r="S1125" s="10" t="s">
        <v>608</v>
      </c>
      <c r="T1125" s="2" t="s">
        <v>223</v>
      </c>
      <c r="U1125" s="2" t="s">
        <v>500</v>
      </c>
      <c r="V1125" s="2" t="s">
        <v>212</v>
      </c>
      <c r="W1125" s="9" t="str">
        <f t="array" ref="W1125">IF(ISNA(XLOOKUP(V1125,products_master_corrected!$A$2:$A$151,products_master_corrected!$A$2:$A$151, NA())),
    "❌ MISSING SKU", "✅")</f>
        <v>✅</v>
      </c>
      <c r="X1125" s="2" t="s">
        <v>213</v>
      </c>
      <c r="Y1125" s="2" t="s">
        <v>214</v>
      </c>
      <c r="Z1125" s="10" t="s">
        <v>368</v>
      </c>
      <c r="AA1125" s="27">
        <v>1.0</v>
      </c>
      <c r="AB1125" s="9" t="s">
        <v>8649</v>
      </c>
      <c r="AC1125" s="28">
        <f t="array" ref="AC1125">XLOOKUP(V1125,products_master_corrected!$A$2:$A$151,products_master_corrected!$E$2:$E$151)</f>
        <v>1464.12</v>
      </c>
      <c r="AD1125" s="28">
        <f t="shared" si="126"/>
        <v>1464.12</v>
      </c>
      <c r="AE1125" s="28">
        <f t="array" ref="AE1125">XLOOKUP(V1125,products_master_corrected!$A$2:$A$151,products_master_corrected!$H$2:$H$151)</f>
        <v>1644.94</v>
      </c>
      <c r="AF1125" s="29">
        <f t="shared" si="127"/>
        <v>1644.94</v>
      </c>
      <c r="AG1125" s="32" t="s">
        <v>8658</v>
      </c>
      <c r="AH1125" s="2" t="s">
        <v>370</v>
      </c>
      <c r="AI1125" s="10" t="s">
        <v>143</v>
      </c>
      <c r="AJ1125" s="2" t="s">
        <v>1312</v>
      </c>
      <c r="AK1125" s="10" t="s">
        <v>818</v>
      </c>
      <c r="AL1125" s="2" t="s">
        <v>51</v>
      </c>
    </row>
    <row r="1126" ht="15.75" customHeight="1">
      <c r="A1126" s="2" t="s">
        <v>2616</v>
      </c>
      <c r="B1126" s="12">
        <v>44965.0</v>
      </c>
      <c r="C1126" s="2" t="str">
        <f>IFERROR(__xludf.DUMMYFUNCTION("IF(ISNUMBER(B1126),TEXT(B1126,""yyyy-MM-dd""),REGEXREPLACE(REGEXREPLACE(TO_TEXT(B1126),""[^0-9a-zA-Z]+"",""-""),""[^0-9]*$"",""""))"),"2023-02-08")</f>
        <v>2023-02-08</v>
      </c>
      <c r="D1126" s="2" t="s">
        <v>8988</v>
      </c>
      <c r="H1126" s="10" t="s">
        <v>8988</v>
      </c>
      <c r="I1126" s="2" t="s">
        <v>2618</v>
      </c>
      <c r="J1126" s="26" t="str">
        <f t="array" ref="J1126">IF(ISNA(XLOOKUP(I1126,customers_clean!$A$2:$A$701,customers_clean!$A$2:$A$701, NA()) ),
   "❌ MISSING CUSTOMER", "✅")</f>
        <v>✅</v>
      </c>
      <c r="K1126" s="2" t="str">
        <f t="array" ref="K1126">XLOOKUP(I1126,customers_clean!$A$2:$A$701,customers_clean!$C$2:$C$701)</f>
        <v>Tara Dubois</v>
      </c>
      <c r="L1126" s="10" t="str">
        <f t="array" ref="L1126">XLOOKUP(I1126,customers_clean!$A$2:$A$701,customers_clean!$D$2:$D$701)</f>
        <v>Tara Dubois</v>
      </c>
      <c r="M1126" s="2" t="str">
        <f t="array" ref="M1126">XLOOKUP(I1126,customers_clean!$A$2:$A$701,customers_clean!$I$2:$I$701)</f>
        <v>tara.dubois@company.co.uk </v>
      </c>
      <c r="N1126" s="10" t="str">
        <f t="array" ref="N1126">XLOOKUP(I1126,customers_clean!$A$2:$A$701,customers_clean!$H$2:$H$701)</f>
        <v>tara.dubois@company.co.uk</v>
      </c>
      <c r="O1126" s="9" t="str">
        <f>IFERROR(__xludf.DUMMYFUNCTION("IF(REGEXMATCH(TRIM(N1126),""^[A-Za-z0-9._%+-]+@[A-Za-z0-9.-]+\.[A-Za-z]{2,}$""),""✅ Valid"",""❌ Invalid"")"),"✅ Valid")</f>
        <v>✅ Valid</v>
      </c>
      <c r="P1126" s="2">
        <f t="array" ref="P1126">XLOOKUP(I1126,customers_clean!$A$2:$A$701,customers_clean!$K$2:$K$701)</f>
        <v>316943474</v>
      </c>
      <c r="Q1126" s="10" t="str">
        <f t="array" ref="Q1126">XLOOKUP(I1126,customers_clean!$A$2:$A$701,customers_clean!$N$2:$N$701)</f>
        <v>316943474</v>
      </c>
      <c r="R1126" s="9" t="str">
        <f t="array" ref="R1126">XLOOKUP(I1126,customers_clean!$A$2:$A$701,customers_clean!$Q$2:$Q$701)</f>
        <v>❌ INVALID</v>
      </c>
      <c r="S1126" s="10" t="s">
        <v>608</v>
      </c>
      <c r="T1126" s="2" t="s">
        <v>323</v>
      </c>
      <c r="U1126" s="2" t="s">
        <v>312</v>
      </c>
      <c r="V1126" s="2" t="s">
        <v>1679</v>
      </c>
      <c r="W1126" s="9" t="str">
        <f t="array" ref="W1126">IF(ISNA(XLOOKUP(V1126,products_master_corrected!$A$2:$A$151,products_master_corrected!$A$2:$A$151, NA())),
    "❌ MISSING SKU", "✅")</f>
        <v>✅</v>
      </c>
      <c r="X1126" s="2" t="s">
        <v>280</v>
      </c>
      <c r="Y1126" s="2" t="s">
        <v>514</v>
      </c>
      <c r="Z1126" s="10" t="s">
        <v>514</v>
      </c>
      <c r="AA1126" s="27">
        <v>3.0</v>
      </c>
      <c r="AB1126" s="9" t="s">
        <v>8649</v>
      </c>
      <c r="AC1126" s="28">
        <f t="array" ref="AC1126">XLOOKUP(V1126,products_master_corrected!$A$2:$A$151,products_master_corrected!$E$2:$E$151)</f>
        <v>130.95</v>
      </c>
      <c r="AD1126" s="28">
        <f t="shared" si="126"/>
        <v>392.85</v>
      </c>
      <c r="AE1126" s="28">
        <f t="array" ref="AE1126">XLOOKUP(V1126,products_master_corrected!$A$2:$A$151,products_master_corrected!$H$2:$H$151)</f>
        <v>147.12</v>
      </c>
      <c r="AF1126" s="29">
        <f t="shared" si="127"/>
        <v>441.36</v>
      </c>
      <c r="AG1126" s="32" t="s">
        <v>8658</v>
      </c>
      <c r="AH1126" s="2" t="s">
        <v>181</v>
      </c>
      <c r="AI1126" s="10" t="s">
        <v>181</v>
      </c>
      <c r="AJ1126" s="2" t="s">
        <v>80</v>
      </c>
      <c r="AK1126" s="10" t="s">
        <v>80</v>
      </c>
    </row>
    <row r="1127" ht="15.75" customHeight="1">
      <c r="A1127" s="2" t="s">
        <v>2992</v>
      </c>
      <c r="B1127" s="12">
        <v>45909.0</v>
      </c>
      <c r="C1127" s="2" t="str">
        <f>IFERROR(__xludf.DUMMYFUNCTION("IF(ISNUMBER(B1127),TEXT(B1127,""yyyy-MM-dd""),REGEXREPLACE(REGEXREPLACE(TO_TEXT(B1127),""[^0-9a-zA-Z]+"",""-""),""[^0-9]*$"",""""))"),"2025-09-09")</f>
        <v>2025-09-09</v>
      </c>
      <c r="D1127" s="2" t="s">
        <v>9014</v>
      </c>
      <c r="H1127" s="10" t="s">
        <v>9014</v>
      </c>
      <c r="I1127" s="2" t="s">
        <v>1620</v>
      </c>
      <c r="J1127" s="26" t="str">
        <f t="array" ref="J1127">IF(ISNA(XLOOKUP(I1127,customers_clean!$A$2:$A$701,customers_clean!$A$2:$A$701, NA()) ),
   "❌ MISSING CUSTOMER", "✅")</f>
        <v>✅</v>
      </c>
      <c r="K1127" s="2" t="str">
        <f t="array" ref="K1127">XLOOKUP(I1127,customers_clean!$A$2:$A$701,customers_clean!$C$2:$C$701)</f>
        <v>Bella Young</v>
      </c>
      <c r="L1127" s="10" t="str">
        <f t="array" ref="L1127">XLOOKUP(I1127,customers_clean!$A$2:$A$701,customers_clean!$D$2:$D$701)</f>
        <v>Bella Young</v>
      </c>
      <c r="M1127" s="2" t="str">
        <f t="array" ref="M1127">XLOOKUP(I1127,customers_clean!$A$2:$A$701,customers_clean!$I$2:$I$701)</f>
        <v>bella.young@gmail.com</v>
      </c>
      <c r="N1127" s="10" t="str">
        <f t="array" ref="N1127">XLOOKUP(I1127,customers_clean!$A$2:$A$701,customers_clean!$H$2:$H$701)</f>
        <v>bella.young@gmail.com</v>
      </c>
      <c r="O1127" s="9" t="str">
        <f>IFERROR(__xludf.DUMMYFUNCTION("IF(REGEXMATCH(TRIM(N1127),""^[A-Za-z0-9._%+-]+@[A-Za-z0-9.-]+\.[A-Za-z]{2,}$""),""✅ Valid"",""❌ Invalid"")"),"✅ Valid")</f>
        <v>✅ Valid</v>
      </c>
      <c r="P1127" s="2" t="str">
        <f t="array" ref="P1127">XLOOKUP(I1127,customers_clean!$A$2:$A$701,customers_clean!$K$2:$K$701)</f>
        <v>+34544967131 ext 413</v>
      </c>
      <c r="Q1127" s="10" t="str">
        <f t="array" ref="Q1127">XLOOKUP(I1127,customers_clean!$A$2:$A$701,customers_clean!$N$2:$N$701)</f>
        <v>544967131</v>
      </c>
      <c r="R1127" s="9" t="str">
        <f t="array" ref="R1127">XLOOKUP(I1127,customers_clean!$A$2:$A$701,customers_clean!$Q$2:$Q$701)</f>
        <v>❌ INVALID</v>
      </c>
      <c r="S1127" s="10" t="s">
        <v>448</v>
      </c>
      <c r="T1127" s="2" t="s">
        <v>59</v>
      </c>
      <c r="U1127" s="2" t="s">
        <v>2994</v>
      </c>
      <c r="V1127" s="2" t="s">
        <v>279</v>
      </c>
      <c r="W1127" s="9" t="str">
        <f t="array" ref="W1127">IF(ISNA(XLOOKUP(V1127,products_master_corrected!$A$2:$A$151,products_master_corrected!$A$2:$A$151, NA())),
    "❌ MISSING SKU", "✅")</f>
        <v>✅</v>
      </c>
      <c r="X1127" s="2" t="s">
        <v>280</v>
      </c>
      <c r="Y1127" s="2" t="s">
        <v>281</v>
      </c>
      <c r="Z1127" s="10" t="s">
        <v>248</v>
      </c>
      <c r="AA1127" s="27">
        <v>3.0</v>
      </c>
      <c r="AB1127" s="9" t="s">
        <v>8649</v>
      </c>
      <c r="AC1127" s="28">
        <f t="array" ref="AC1127">XLOOKUP(V1127,products_master_corrected!$A$2:$A$151,products_master_corrected!$E$2:$E$151)</f>
        <v>95.88</v>
      </c>
      <c r="AD1127" s="28">
        <f t="shared" si="126"/>
        <v>287.64</v>
      </c>
      <c r="AE1127" s="28">
        <f t="array" ref="AE1127">XLOOKUP(V1127,products_master_corrected!$A$2:$A$151,products_master_corrected!$M$2:$M$151)</f>
        <v>115.98</v>
      </c>
      <c r="AF1127" s="29">
        <f t="shared" si="127"/>
        <v>347.94</v>
      </c>
      <c r="AG1127" s="30" t="s">
        <v>48</v>
      </c>
      <c r="AH1127" s="2" t="s">
        <v>181</v>
      </c>
      <c r="AI1127" s="10" t="s">
        <v>181</v>
      </c>
      <c r="AJ1127" s="2" t="s">
        <v>393</v>
      </c>
      <c r="AK1127" s="10" t="s">
        <v>80</v>
      </c>
    </row>
    <row r="1128" ht="15.75" customHeight="1">
      <c r="A1128" s="2" t="s">
        <v>1618</v>
      </c>
      <c r="B1128" s="12">
        <v>45359.0</v>
      </c>
      <c r="C1128" s="2" t="str">
        <f>IFERROR(__xludf.DUMMYFUNCTION("IF(ISNUMBER(B1128),TEXT(B1128,""yyyy-MM-dd""),REGEXREPLACE(REGEXREPLACE(TO_TEXT(B1128),""[^0-9a-zA-Z]+"",""-""),""[^0-9]*$"",""""))"),"2024-03-08")</f>
        <v>2024-03-08</v>
      </c>
      <c r="D1128" s="2" t="s">
        <v>8652</v>
      </c>
      <c r="H1128" s="10" t="s">
        <v>8652</v>
      </c>
      <c r="I1128" s="2" t="s">
        <v>1620</v>
      </c>
      <c r="J1128" s="26" t="str">
        <f t="array" ref="J1128">IF(ISNA(XLOOKUP(I1128,customers_clean!$A$2:$A$701,customers_clean!$A$2:$A$701, NA()) ),
   "❌ MISSING CUSTOMER", "✅")</f>
        <v>✅</v>
      </c>
      <c r="K1128" s="2" t="str">
        <f t="array" ref="K1128">XLOOKUP(I1128,customers_clean!$A$2:$A$701,customers_clean!$C$2:$C$701)</f>
        <v>Bella Young</v>
      </c>
      <c r="L1128" s="10" t="str">
        <f t="array" ref="L1128">XLOOKUP(I1128,customers_clean!$A$2:$A$701,customers_clean!$D$2:$D$701)</f>
        <v>Bella Young</v>
      </c>
      <c r="M1128" s="2" t="str">
        <f t="array" ref="M1128">XLOOKUP(I1128,customers_clean!$A$2:$A$701,customers_clean!$I$2:$I$701)</f>
        <v>bella.young@gmail.com</v>
      </c>
      <c r="N1128" s="10" t="str">
        <f t="array" ref="N1128">XLOOKUP(I1128,customers_clean!$A$2:$A$701,customers_clean!$H$2:$H$701)</f>
        <v>bella.young@gmail.com</v>
      </c>
      <c r="O1128" s="9" t="str">
        <f>IFERROR(__xludf.DUMMYFUNCTION("IF(REGEXMATCH(TRIM(N1128),""^[A-Za-z0-9._%+-]+@[A-Za-z0-9.-]+\.[A-Za-z]{2,}$""),""✅ Valid"",""❌ Invalid"")"),"✅ Valid")</f>
        <v>✅ Valid</v>
      </c>
      <c r="P1128" s="2" t="str">
        <f t="array" ref="P1128">XLOOKUP(I1128,customers_clean!$A$2:$A$701,customers_clean!$K$2:$K$701)</f>
        <v>+34544967131 ext 413</v>
      </c>
      <c r="Q1128" s="10" t="str">
        <f t="array" ref="Q1128">XLOOKUP(I1128,customers_clean!$A$2:$A$701,customers_clean!$N$2:$N$701)</f>
        <v>544967131</v>
      </c>
      <c r="R1128" s="9" t="str">
        <f t="array" ref="R1128">XLOOKUP(I1128,customers_clean!$A$2:$A$701,customers_clean!$Q$2:$Q$701)</f>
        <v>❌ INVALID</v>
      </c>
      <c r="S1128" s="10" t="s">
        <v>448</v>
      </c>
      <c r="T1128" s="2" t="s">
        <v>1624</v>
      </c>
      <c r="U1128" s="2" t="s">
        <v>103</v>
      </c>
      <c r="V1128" s="2" t="s">
        <v>200</v>
      </c>
      <c r="W1128" s="9" t="str">
        <f t="array" ref="W1128">IF(ISNA(XLOOKUP(V1128,products_master_corrected!$A$2:$A$151,products_master_corrected!$A$2:$A$151, NA())),
    "❌ MISSING SKU", "✅")</f>
        <v>✅</v>
      </c>
      <c r="X1128" s="2" t="s">
        <v>190</v>
      </c>
      <c r="Y1128" s="2" t="s">
        <v>202</v>
      </c>
      <c r="Z1128" s="10" t="s">
        <v>63</v>
      </c>
      <c r="AA1128" s="27">
        <v>2.0</v>
      </c>
      <c r="AB1128" s="9" t="s">
        <v>8649</v>
      </c>
      <c r="AC1128" s="28">
        <f t="array" ref="AC1128">XLOOKUP(V1128,products_master_corrected!$A$2:$A$151,products_master_corrected!$E$2:$E$151)</f>
        <v>61.21</v>
      </c>
      <c r="AD1128" s="28">
        <f t="shared" si="126"/>
        <v>122.42</v>
      </c>
      <c r="AE1128" s="28">
        <f t="array" ref="AE1128">XLOOKUP(V1128,products_master_corrected!$A$2:$A$151,products_master_corrected!$M$2:$M$151)</f>
        <v>74.04</v>
      </c>
      <c r="AF1128" s="29">
        <f t="shared" si="127"/>
        <v>148.08</v>
      </c>
      <c r="AG1128" s="30" t="s">
        <v>48</v>
      </c>
      <c r="AH1128" s="2" t="s">
        <v>143</v>
      </c>
      <c r="AI1128" s="10" t="s">
        <v>143</v>
      </c>
      <c r="AJ1128" s="2" t="s">
        <v>80</v>
      </c>
      <c r="AK1128" s="10" t="s">
        <v>80</v>
      </c>
      <c r="AL1128" s="2" t="s">
        <v>67</v>
      </c>
    </row>
    <row r="1129" ht="15.75" customHeight="1">
      <c r="A1129" s="2" t="s">
        <v>4846</v>
      </c>
      <c r="B1129" s="12" t="s">
        <v>4847</v>
      </c>
      <c r="C1129" s="2" t="str">
        <f>IFERROR(__xludf.DUMMYFUNCTION("IF(ISNUMBER(B1129),TEXT(B1129,""yyyy-MM-dd""),REGEXREPLACE(REGEXREPLACE(TO_TEXT(B1129),""[^0-9a-zA-Z]+"",""-""),""[^0-9]*$"",""""))"),"29-10-2023-22-29")</f>
        <v>29-10-2023-22-29</v>
      </c>
      <c r="D1129" s="2" t="str">
        <f t="shared" ref="D1129:D1130" si="129">TEXT(C1129,"yyyy-MM-dd")</f>
        <v>29-10-2023-22-29</v>
      </c>
      <c r="E1129" s="12" t="str">
        <f>IFERROR(__xludf.DUMMYFUNCTION("REGEXEXTRACT(D1129,""^\d{2}-\d{2}-\d{4}"")"),"29-10-2023")</f>
        <v>29-10-2023</v>
      </c>
      <c r="F1129" s="2" t="s">
        <v>9015</v>
      </c>
      <c r="H1129" s="10" t="s">
        <v>9015</v>
      </c>
      <c r="I1129" s="2" t="s">
        <v>4848</v>
      </c>
      <c r="J1129" s="26" t="str">
        <f t="array" ref="J1129">IF(ISNA(XLOOKUP(I1129,customers_clean!$A$2:$A$701,customers_clean!$A$2:$A$701, NA()) ),
   "❌ MISSING CUSTOMER", "✅")</f>
        <v>✅</v>
      </c>
      <c r="K1129" s="2" t="str">
        <f t="array" ref="K1129">XLOOKUP(I1129,customers_clean!$A$2:$A$701,customers_clean!$C$2:$C$701)</f>
        <v>Sam Rossi </v>
      </c>
      <c r="L1129" s="10" t="str">
        <f t="array" ref="L1129">XLOOKUP(I1129,customers_clean!$A$2:$A$701,customers_clean!$D$2:$D$701)</f>
        <v>Sam Rossi</v>
      </c>
      <c r="M1129" s="2" t="str">
        <f t="array" ref="M1129">XLOOKUP(I1129,customers_clean!$A$2:$A$701,customers_clean!$I$2:$I$701)</f>
        <v>sam.rossi@yahoo.com</v>
      </c>
      <c r="N1129" s="10" t="str">
        <f t="array" ref="N1129">XLOOKUP(I1129,customers_clean!$A$2:$A$701,customers_clean!$H$2:$H$701)</f>
        <v>sam.rossi@yahoo.com</v>
      </c>
      <c r="O1129" s="9" t="str">
        <f>IFERROR(__xludf.DUMMYFUNCTION("IF(REGEXMATCH(TRIM(N1129),""^[A-Za-z0-9._%+-]+@[A-Za-z0-9.-]+\.[A-Za-z]{2,}$""),""✅ Valid"",""❌ Invalid"")"),"✅ Valid")</f>
        <v>✅ Valid</v>
      </c>
      <c r="P1129" s="2" t="str">
        <f t="array" ref="P1129">XLOOKUP(I1129,customers_clean!$A$2:$A$701,customers_clean!$K$2:$K$701)</f>
        <v>(118) 139155</v>
      </c>
      <c r="Q1129" s="10" t="str">
        <f t="array" ref="Q1129">XLOOKUP(I1129,customers_clean!$A$2:$A$701,customers_clean!$N$2:$N$701)</f>
        <v>118139155</v>
      </c>
      <c r="R1129" s="9" t="str">
        <f t="array" ref="R1129">XLOOKUP(I1129,customers_clean!$A$2:$A$701,customers_clean!$Q$2:$Q$701)</f>
        <v>❌ INVALID</v>
      </c>
      <c r="S1129" s="10" t="s">
        <v>88</v>
      </c>
      <c r="T1129" s="2" t="s">
        <v>223</v>
      </c>
      <c r="U1129" s="2" t="s">
        <v>333</v>
      </c>
      <c r="V1129" s="2" t="s">
        <v>104</v>
      </c>
      <c r="W1129" s="9" t="str">
        <f t="array" ref="W1129">IF(ISNA(XLOOKUP(V1129,products_master_corrected!$A$2:$A$151,products_master_corrected!$A$2:$A$151, NA())),
    "❌ MISSING SKU", "✅")</f>
        <v>✅</v>
      </c>
      <c r="X1129" s="2" t="s">
        <v>8703</v>
      </c>
      <c r="Y1129" s="2" t="s">
        <v>106</v>
      </c>
      <c r="Z1129" s="10" t="s">
        <v>368</v>
      </c>
      <c r="AA1129" s="27">
        <v>1.0</v>
      </c>
      <c r="AB1129" s="9" t="s">
        <v>8649</v>
      </c>
      <c r="AC1129" s="28">
        <f t="array" ref="AC1129">XLOOKUP(V1129,products_master_corrected!$A$2:$A$151,products_master_corrected!$E$2:$E$151)</f>
        <v>135.16</v>
      </c>
      <c r="AD1129" s="28">
        <f t="shared" si="126"/>
        <v>135.16</v>
      </c>
      <c r="AE1129" s="28">
        <f t="array" ref="AE1129">XLOOKUP(V1129,products_master_corrected!$A$2:$A$151,products_master_corrected!$I$2:$I$151)</f>
        <v>149</v>
      </c>
      <c r="AF1129" s="29">
        <f t="shared" si="127"/>
        <v>149</v>
      </c>
      <c r="AG1129" s="32" t="s">
        <v>8660</v>
      </c>
      <c r="AH1129" s="2" t="s">
        <v>485</v>
      </c>
      <c r="AI1129" s="10" t="s">
        <v>181</v>
      </c>
      <c r="AJ1129" s="2" t="s">
        <v>169</v>
      </c>
      <c r="AK1129" s="10" t="s">
        <v>261</v>
      </c>
      <c r="AL1129" s="2" t="s">
        <v>51</v>
      </c>
    </row>
    <row r="1130" ht="15.75" customHeight="1">
      <c r="A1130" s="2" t="s">
        <v>5281</v>
      </c>
      <c r="B1130" s="12" t="s">
        <v>5282</v>
      </c>
      <c r="C1130" s="2" t="str">
        <f>IFERROR(__xludf.DUMMYFUNCTION("IF(ISNUMBER(B1130),TEXT(B1130,""yyyy-MM-dd""),REGEXREPLACE(REGEXREPLACE(TO_TEXT(B1130),""[^0-9a-zA-Z]+"",""-""),""[^0-9]*$"",""""))"),"03-19-2025")</f>
        <v>03-19-2025</v>
      </c>
      <c r="D1130" s="2" t="str">
        <f t="shared" si="129"/>
        <v>03-19-2025</v>
      </c>
      <c r="E1130" s="2" t="s">
        <v>8024</v>
      </c>
      <c r="H1130" s="10" t="s">
        <v>8024</v>
      </c>
      <c r="I1130" s="2" t="s">
        <v>4848</v>
      </c>
      <c r="J1130" s="26" t="str">
        <f t="array" ref="J1130">IF(ISNA(XLOOKUP(I1130,customers_clean!$A$2:$A$701,customers_clean!$A$2:$A$701, NA()) ),
   "❌ MISSING CUSTOMER", "✅")</f>
        <v>✅</v>
      </c>
      <c r="K1130" s="2" t="str">
        <f t="array" ref="K1130">XLOOKUP(I1130,customers_clean!$A$2:$A$701,customers_clean!$C$2:$C$701)</f>
        <v>Sam Rossi </v>
      </c>
      <c r="L1130" s="10" t="str">
        <f t="array" ref="L1130">XLOOKUP(I1130,customers_clean!$A$2:$A$701,customers_clean!$D$2:$D$701)</f>
        <v>Sam Rossi</v>
      </c>
      <c r="M1130" s="2" t="str">
        <f t="array" ref="M1130">XLOOKUP(I1130,customers_clean!$A$2:$A$701,customers_clean!$I$2:$I$701)</f>
        <v>sam.rossi@yahoo.com</v>
      </c>
      <c r="N1130" s="10" t="str">
        <f t="array" ref="N1130">XLOOKUP(I1130,customers_clean!$A$2:$A$701,customers_clean!$H$2:$H$701)</f>
        <v>sam.rossi@yahoo.com</v>
      </c>
      <c r="O1130" s="9" t="str">
        <f>IFERROR(__xludf.DUMMYFUNCTION("IF(REGEXMATCH(TRIM(N1130),""^[A-Za-z0-9._%+-]+@[A-Za-z0-9.-]+\.[A-Za-z]{2,}$""),""✅ Valid"",""❌ Invalid"")"),"✅ Valid")</f>
        <v>✅ Valid</v>
      </c>
      <c r="P1130" s="2" t="str">
        <f t="array" ref="P1130">XLOOKUP(I1130,customers_clean!$A$2:$A$701,customers_clean!$K$2:$K$701)</f>
        <v>(118) 139155</v>
      </c>
      <c r="Q1130" s="10" t="str">
        <f t="array" ref="Q1130">XLOOKUP(I1130,customers_clean!$A$2:$A$701,customers_clean!$N$2:$N$701)</f>
        <v>118139155</v>
      </c>
      <c r="R1130" s="9" t="str">
        <f t="array" ref="R1130">XLOOKUP(I1130,customers_clean!$A$2:$A$701,customers_clean!$Q$2:$Q$701)</f>
        <v>❌ INVALID</v>
      </c>
      <c r="S1130" s="10" t="s">
        <v>88</v>
      </c>
      <c r="T1130" s="2" t="s">
        <v>42</v>
      </c>
      <c r="U1130" s="2" t="s">
        <v>116</v>
      </c>
      <c r="V1130" s="2" t="s">
        <v>2417</v>
      </c>
      <c r="W1130" s="9" t="str">
        <f t="array" ref="W1130">IF(ISNA(XLOOKUP(V1130,products_master_corrected!$A$2:$A$151,products_master_corrected!$A$2:$A$151, NA())),
    "❌ MISSING SKU", "✅")</f>
        <v>✅</v>
      </c>
      <c r="X1130" s="2" t="s">
        <v>225</v>
      </c>
      <c r="Y1130" s="2" t="s">
        <v>503</v>
      </c>
      <c r="Z1130" s="10" t="str">
        <f>PROPER(TRIM(Y1130))</f>
        <v>Monitors</v>
      </c>
      <c r="AA1130" s="27">
        <v>2.0</v>
      </c>
      <c r="AB1130" s="9" t="s">
        <v>8649</v>
      </c>
      <c r="AC1130" s="28">
        <f t="array" ref="AC1130">XLOOKUP(V1130,products_master_corrected!$A$2:$A$151,products_master_corrected!$E$2:$E$151)</f>
        <v>45.55</v>
      </c>
      <c r="AD1130" s="28">
        <f t="shared" si="126"/>
        <v>91.1</v>
      </c>
      <c r="AE1130" s="28">
        <f t="array" ref="AE1130">XLOOKUP(V1130,products_master_corrected!$A$2:$A$151,products_master_corrected!$I$2:$I$151)</f>
        <v>50.21</v>
      </c>
      <c r="AF1130" s="29">
        <f t="shared" si="127"/>
        <v>100.42</v>
      </c>
      <c r="AG1130" s="32" t="s">
        <v>8660</v>
      </c>
      <c r="AH1130" s="2" t="s">
        <v>5284</v>
      </c>
      <c r="AI1130" s="10" t="s">
        <v>143</v>
      </c>
      <c r="AJ1130" s="2" t="s">
        <v>306</v>
      </c>
      <c r="AK1130" s="10" t="s">
        <v>192</v>
      </c>
    </row>
    <row r="1131" ht="15.75" customHeight="1">
      <c r="A1131" s="2" t="s">
        <v>943</v>
      </c>
      <c r="B1131" s="12">
        <v>45914.93541666667</v>
      </c>
      <c r="C1131" s="2" t="str">
        <f>IFERROR(__xludf.DUMMYFUNCTION("IF(ISNUMBER(B1131),TEXT(B1131,""yyyy-MM-dd""),REGEXREPLACE(REGEXREPLACE(TO_TEXT(B1131),""[^0-9a-zA-Z]+"",""-""),""[^0-9]*$"",""""))"),"2025-09-14")</f>
        <v>2025-09-14</v>
      </c>
      <c r="D1131" s="2" t="s">
        <v>9016</v>
      </c>
      <c r="H1131" s="10" t="s">
        <v>9016</v>
      </c>
      <c r="I1131" s="2" t="s">
        <v>945</v>
      </c>
      <c r="J1131" s="26" t="str">
        <f t="array" ref="J1131">IF(ISNA(XLOOKUP(I1131,customers_clean!$A$2:$A$701,customers_clean!$A$2:$A$701, NA()) ),
   "❌ MISSING CUSTOMER", "✅")</f>
        <v>✅</v>
      </c>
      <c r="K1131" s="2" t="str">
        <f t="array" ref="K1131">XLOOKUP(I1131,customers_clean!$A$2:$A$701,customers_clean!$C$2:$C$701)</f>
        <v>Fiona Kowalczyk</v>
      </c>
      <c r="L1131" s="10" t="str">
        <f t="array" ref="L1131">XLOOKUP(I1131,customers_clean!$A$2:$A$701,customers_clean!$D$2:$D$701)</f>
        <v>Fiona Kowalczyk</v>
      </c>
      <c r="M1131" s="2" t="str">
        <f t="array" ref="M1131">XLOOKUP(I1131,customers_clean!$A$2:$A$701,customers_clean!$I$2:$I$701)</f>
        <v>fiona.kowalczyk@example.com</v>
      </c>
      <c r="N1131" s="10" t="str">
        <f t="array" ref="N1131">XLOOKUP(I1131,customers_clean!$A$2:$A$701,customers_clean!$H$2:$H$701)</f>
        <v>fiona.kowalczyk@example.com</v>
      </c>
      <c r="O1131" s="9" t="str">
        <f>IFERROR(__xludf.DUMMYFUNCTION("IF(REGEXMATCH(TRIM(N1131),""^[A-Za-z0-9._%+-]+@[A-Za-z0-9.-]+\.[A-Za-z]{2,}$""),""✅ Valid"",""❌ Invalid"")"),"✅ Valid")</f>
        <v>✅ Valid</v>
      </c>
      <c r="P1131" s="2" t="str">
        <f t="array" ref="P1131">XLOOKUP(I1131,customers_clean!$A$2:$A$701,customers_clean!$K$2:$K$701)</f>
        <v>+496769401510 ext 715</v>
      </c>
      <c r="Q1131" s="10" t="str">
        <f t="array" ref="Q1131">XLOOKUP(I1131,customers_clean!$A$2:$A$701,customers_clean!$N$2:$N$701)</f>
        <v>6769401510</v>
      </c>
      <c r="R1131" s="9" t="str">
        <f t="array" ref="R1131">XLOOKUP(I1131,customers_clean!$A$2:$A$701,customers_clean!$Q$2:$Q$701)</f>
        <v>❌ INVALID</v>
      </c>
      <c r="S1131" s="10" t="s">
        <v>608</v>
      </c>
      <c r="T1131" s="2" t="s">
        <v>26</v>
      </c>
      <c r="U1131" s="2" t="s">
        <v>500</v>
      </c>
      <c r="V1131" s="2" t="s">
        <v>948</v>
      </c>
      <c r="W1131" s="9" t="str">
        <f t="array" ref="W1131">IF(ISNA(XLOOKUP(V1131,products_master_corrected!$A$2:$A$151,products_master_corrected!$A$2:$A$151, NA())),
    "❌ MISSING SKU", "✅")</f>
        <v>✅</v>
      </c>
      <c r="X1131" s="2" t="s">
        <v>213</v>
      </c>
      <c r="Y1131" s="2" t="s">
        <v>129</v>
      </c>
      <c r="Z1131" s="10" t="s">
        <v>514</v>
      </c>
      <c r="AA1131" s="27">
        <v>1.0</v>
      </c>
      <c r="AB1131" s="9" t="s">
        <v>8649</v>
      </c>
      <c r="AC1131" s="28">
        <f t="array" ref="AC1131">XLOOKUP(V1131,products_master_corrected!$A$2:$A$151,products_master_corrected!$E$2:$E$151)</f>
        <v>1470.18</v>
      </c>
      <c r="AD1131" s="28">
        <f t="shared" si="126"/>
        <v>1470.18</v>
      </c>
      <c r="AE1131" s="28">
        <f t="array" ref="AE1131">XLOOKUP(V1131,products_master_corrected!$A$2:$A$151,products_master_corrected!$H$2:$H$151)</f>
        <v>1651.75</v>
      </c>
      <c r="AF1131" s="29">
        <f t="shared" si="127"/>
        <v>1651.75</v>
      </c>
      <c r="AG1131" s="32" t="s">
        <v>8658</v>
      </c>
      <c r="AH1131" s="2" t="s">
        <v>66</v>
      </c>
      <c r="AI1131" s="10" t="s">
        <v>66</v>
      </c>
      <c r="AJ1131" s="2" t="s">
        <v>294</v>
      </c>
      <c r="AK1131" s="10" t="s">
        <v>80</v>
      </c>
    </row>
    <row r="1132" ht="15.75" customHeight="1">
      <c r="A1132" s="2" t="s">
        <v>4892</v>
      </c>
      <c r="B1132" s="12">
        <v>45517.322916666664</v>
      </c>
      <c r="C1132" s="2" t="str">
        <f>IFERROR(__xludf.DUMMYFUNCTION("IF(ISNUMBER(B1132),TEXT(B1132,""yyyy-MM-dd""),REGEXREPLACE(REGEXREPLACE(TO_TEXT(B1132),""[^0-9a-zA-Z]+"",""-""),""[^0-9]*$"",""""))"),"2024-08-13")</f>
        <v>2024-08-13</v>
      </c>
      <c r="D1132" s="2" t="s">
        <v>8518</v>
      </c>
      <c r="H1132" s="10" t="s">
        <v>8518</v>
      </c>
      <c r="I1132" s="2" t="s">
        <v>4894</v>
      </c>
      <c r="J1132" s="26" t="str">
        <f t="array" ref="J1132">IF(ISNA(XLOOKUP(I1132,customers_clean!$A$2:$A$701,customers_clean!$A$2:$A$701, NA()) ),
   "❌ MISSING CUSTOMER", "✅")</f>
        <v>✅</v>
      </c>
      <c r="K1132" s="2" t="str">
        <f t="array" ref="K1132">XLOOKUP(I1132,customers_clean!$A$2:$A$701,customers_clean!$C$2:$C$701)</f>
        <v>HANNA TAYLOR</v>
      </c>
      <c r="L1132" s="10" t="str">
        <f t="array" ref="L1132">XLOOKUP(I1132,customers_clean!$A$2:$A$701,customers_clean!$D$2:$D$701)</f>
        <v>Hanna Taylor</v>
      </c>
      <c r="M1132" s="2" t="str">
        <f t="array" ref="M1132">XLOOKUP(I1132,customers_clean!$A$2:$A$701,customers_clean!$I$2:$I$701)</f>
        <v>hanna.taylor@outlook.com</v>
      </c>
      <c r="N1132" s="10" t="str">
        <f t="array" ref="N1132">XLOOKUP(I1132,customers_clean!$A$2:$A$701,customers_clean!$H$2:$H$701)</f>
        <v>hanna.taylor@outlook.com</v>
      </c>
      <c r="O1132" s="9" t="str">
        <f>IFERROR(__xludf.DUMMYFUNCTION("IF(REGEXMATCH(TRIM(N1132),""^[A-Za-z0-9._%+-]+@[A-Za-z0-9.-]+\.[A-Za-z]{2,}$""),""✅ Valid"",""❌ Invalid"")"),"✅ Valid")</f>
        <v>✅ Valid</v>
      </c>
      <c r="P1132" s="33" t="str">
        <f t="array" ref="P1132">XLOOKUP(I1132,customers_clean!$A$2:$A$701,customers_clean!$K$2:$K$701)</f>
        <v>412) 799211</v>
      </c>
      <c r="Q1132" s="10" t="str">
        <f t="array" ref="Q1132">XLOOKUP(I1132,customers_clean!$A$2:$A$701,customers_clean!$N$2:$N$701)</f>
        <v>412799211</v>
      </c>
      <c r="R1132" s="9" t="str">
        <f t="array" ref="R1132">XLOOKUP(I1132,customers_clean!$A$2:$A$701,customers_clean!$Q$2:$Q$701)</f>
        <v>❌ INVALID</v>
      </c>
      <c r="S1132" s="10" t="s">
        <v>25</v>
      </c>
      <c r="T1132" s="2" t="s">
        <v>59</v>
      </c>
      <c r="U1132" s="2" t="s">
        <v>642</v>
      </c>
      <c r="V1132" s="2" t="s">
        <v>2336</v>
      </c>
      <c r="W1132" s="9" t="str">
        <f t="array" ref="W1132">IF(ISNA(XLOOKUP(V1132,products_master_corrected!$A$2:$A$151,products_master_corrected!$A$2:$A$151, NA())),
    "❌ MISSING SKU", "✅")</f>
        <v>✅</v>
      </c>
      <c r="X1132" s="2" t="s">
        <v>440</v>
      </c>
      <c r="Y1132" s="2" t="s">
        <v>179</v>
      </c>
      <c r="Z1132" s="10" t="s">
        <v>179</v>
      </c>
      <c r="AA1132" s="27">
        <v>1.0</v>
      </c>
      <c r="AB1132" s="9" t="s">
        <v>8649</v>
      </c>
      <c r="AC1132" s="28">
        <f t="array" ref="AC1132">XLOOKUP(V1132,products_master_corrected!$A$2:$A$151,products_master_corrected!$E$2:$E$151)</f>
        <v>30.01</v>
      </c>
      <c r="AD1132" s="28">
        <f t="shared" si="126"/>
        <v>30.01</v>
      </c>
      <c r="AE1132" s="28">
        <f t="array" ref="AE1132">XLOOKUP(V1132,products_master_corrected!$A$2:$A$151,products_master_corrected!$K$2:$K$151)</f>
        <v>154.4</v>
      </c>
      <c r="AF1132" s="29">
        <f t="shared" si="127"/>
        <v>154.4</v>
      </c>
      <c r="AG1132" s="30" t="s">
        <v>95</v>
      </c>
      <c r="AH1132" s="2" t="s">
        <v>370</v>
      </c>
      <c r="AI1132" s="10" t="s">
        <v>143</v>
      </c>
      <c r="AJ1132" s="2" t="s">
        <v>1312</v>
      </c>
      <c r="AK1132" s="10" t="s">
        <v>818</v>
      </c>
    </row>
    <row r="1133" ht="15.75" customHeight="1">
      <c r="A1133" s="2" t="s">
        <v>1391</v>
      </c>
      <c r="B1133" s="12" t="s">
        <v>1392</v>
      </c>
      <c r="C1133" s="2" t="str">
        <f>IFERROR(__xludf.DUMMYFUNCTION("IF(ISNUMBER(B1133),TEXT(B1133,""yyyy-MM-dd""),REGEXREPLACE(REGEXREPLACE(TO_TEXT(B1133),""[^0-9a-zA-Z]+"",""-""),""[^0-9]*$"",""""))"),"20-05-2023")</f>
        <v>20-05-2023</v>
      </c>
      <c r="D1133" s="2" t="s">
        <v>7045</v>
      </c>
      <c r="H1133" s="10" t="s">
        <v>7045</v>
      </c>
      <c r="I1133" s="2" t="s">
        <v>577</v>
      </c>
      <c r="J1133" s="26" t="str">
        <f t="array" ref="J1133">IF(ISNA(XLOOKUP(I1133,customers_clean!$A$2:$A$701,customers_clean!$A$2:$A$701, NA()) ),
   "❌ MISSING CUSTOMER", "✅")</f>
        <v>✅</v>
      </c>
      <c r="K1133" s="2" t="str">
        <f t="array" ref="K1133">XLOOKUP(I1133,customers_clean!$A$2:$A$701,customers_clean!$C$2:$C$701)</f>
        <v>Jade Garcia</v>
      </c>
      <c r="L1133" s="10" t="str">
        <f t="array" ref="L1133">XLOOKUP(I1133,customers_clean!$A$2:$A$701,customers_clean!$D$2:$D$701)</f>
        <v>Jade Garcia</v>
      </c>
      <c r="M1133" s="2" t="str">
        <f t="array" ref="M1133">XLOOKUP(I1133,customers_clean!$A$2:$A$701,customers_clean!$I$2:$I$701)</f>
        <v> jade.garcia@company.co.uk</v>
      </c>
      <c r="N1133" s="10" t="str">
        <f t="array" ref="N1133">XLOOKUP(I1133,customers_clean!$A$2:$A$701,customers_clean!$H$2:$H$701)</f>
        <v>jade.garcia@company.co.uk</v>
      </c>
      <c r="O1133" s="9" t="str">
        <f>IFERROR(__xludf.DUMMYFUNCTION("IF(REGEXMATCH(TRIM(N1133),""^[A-Za-z0-9._%+-]+@[A-Za-z0-9.-]+\.[A-Za-z]{2,}$""),""✅ Valid"",""❌ Invalid"")"),"✅ Valid")</f>
        <v>✅ Valid</v>
      </c>
      <c r="P1133" s="2" t="str">
        <f t="array" ref="P1133">XLOOKUP(I1133,customers_clean!$A$2:$A$701,customers_clean!$K$2:$K$701)</f>
        <v>(318) 48518</v>
      </c>
      <c r="Q1133" s="10" t="str">
        <f t="array" ref="Q1133">XLOOKUP(I1133,customers_clean!$A$2:$A$701,customers_clean!$N$2:$N$701)</f>
        <v>31848518</v>
      </c>
      <c r="R1133" s="9" t="str">
        <f t="array" ref="R1133">XLOOKUP(I1133,customers_clean!$A$2:$A$701,customers_clean!$Q$2:$Q$701)</f>
        <v>❌ INVALID</v>
      </c>
      <c r="S1133" s="10" t="s">
        <v>114</v>
      </c>
      <c r="T1133" s="2" t="s">
        <v>59</v>
      </c>
      <c r="U1133" s="2" t="s">
        <v>480</v>
      </c>
      <c r="V1133" s="2" t="s">
        <v>993</v>
      </c>
      <c r="W1133" s="9" t="str">
        <f t="array" ref="W1133">IF(ISNA(XLOOKUP(V1133,products_master_corrected!$A$2:$A$151,products_master_corrected!$A$2:$A$151, NA())),
    "❌ MISSING SKU", "✅")</f>
        <v>✅</v>
      </c>
      <c r="X1133" s="2" t="s">
        <v>994</v>
      </c>
      <c r="Y1133" s="2" t="s">
        <v>995</v>
      </c>
      <c r="Z1133" s="10" t="s">
        <v>355</v>
      </c>
      <c r="AA1133" s="27">
        <v>2.0</v>
      </c>
      <c r="AB1133" s="9" t="s">
        <v>8649</v>
      </c>
      <c r="AC1133" s="28">
        <f t="array" ref="AC1133">XLOOKUP(V1133,products_master_corrected!$A$2:$A$151,products_master_corrected!$E$2:$E$151)</f>
        <v>566.38</v>
      </c>
      <c r="AD1133" s="28">
        <f t="shared" si="126"/>
        <v>1132.76</v>
      </c>
      <c r="AE1133" s="28">
        <f t="array" ref="AE1133">XLOOKUP(V1133,products_master_corrected!$A$2:$A$151,products_master_corrected!$F$2:$F$151)</f>
        <v>566.38</v>
      </c>
      <c r="AF1133" s="29">
        <f t="shared" si="127"/>
        <v>1132.76</v>
      </c>
      <c r="AG1133" s="30" t="s">
        <v>65</v>
      </c>
      <c r="AH1133" s="2" t="s">
        <v>143</v>
      </c>
      <c r="AI1133" s="10" t="s">
        <v>143</v>
      </c>
      <c r="AJ1133" s="2" t="s">
        <v>1312</v>
      </c>
      <c r="AK1133" s="10" t="s">
        <v>818</v>
      </c>
    </row>
    <row r="1134" ht="15.75" customHeight="1">
      <c r="A1134" s="2" t="s">
        <v>575</v>
      </c>
      <c r="B1134" s="12">
        <v>45296.0</v>
      </c>
      <c r="C1134" s="2" t="str">
        <f>IFERROR(__xludf.DUMMYFUNCTION("IF(ISNUMBER(B1134),TEXT(B1134,""yyyy-MM-dd""),REGEXREPLACE(REGEXREPLACE(TO_TEXT(B1134),""[^0-9a-zA-Z]+"",""-""),""[^0-9]*$"",""""))"),"2024-01-05")</f>
        <v>2024-01-05</v>
      </c>
      <c r="D1134" s="2" t="s">
        <v>8928</v>
      </c>
      <c r="H1134" s="10" t="s">
        <v>8928</v>
      </c>
      <c r="I1134" s="2" t="s">
        <v>577</v>
      </c>
      <c r="J1134" s="26" t="str">
        <f t="array" ref="J1134">IF(ISNA(XLOOKUP(I1134,customers_clean!$A$2:$A$701,customers_clean!$A$2:$A$701, NA()) ),
   "❌ MISSING CUSTOMER", "✅")</f>
        <v>✅</v>
      </c>
      <c r="K1134" s="2" t="str">
        <f t="array" ref="K1134">XLOOKUP(I1134,customers_clean!$A$2:$A$701,customers_clean!$C$2:$C$701)</f>
        <v>Jade Garcia</v>
      </c>
      <c r="L1134" s="10" t="str">
        <f t="array" ref="L1134">XLOOKUP(I1134,customers_clean!$A$2:$A$701,customers_clean!$D$2:$D$701)</f>
        <v>Jade Garcia</v>
      </c>
      <c r="M1134" s="2" t="str">
        <f t="array" ref="M1134">XLOOKUP(I1134,customers_clean!$A$2:$A$701,customers_clean!$I$2:$I$701)</f>
        <v> jade.garcia@company.co.uk</v>
      </c>
      <c r="N1134" s="10" t="str">
        <f t="array" ref="N1134">XLOOKUP(I1134,customers_clean!$A$2:$A$701,customers_clean!$H$2:$H$701)</f>
        <v>jade.garcia@company.co.uk</v>
      </c>
      <c r="O1134" s="9" t="str">
        <f>IFERROR(__xludf.DUMMYFUNCTION("IF(REGEXMATCH(TRIM(N1134),""^[A-Za-z0-9._%+-]+@[A-Za-z0-9.-]+\.[A-Za-z]{2,}$""),""✅ Valid"",""❌ Invalid"")"),"✅ Valid")</f>
        <v>✅ Valid</v>
      </c>
      <c r="P1134" s="2" t="str">
        <f t="array" ref="P1134">XLOOKUP(I1134,customers_clean!$A$2:$A$701,customers_clean!$K$2:$K$701)</f>
        <v>(318) 48518</v>
      </c>
      <c r="Q1134" s="10" t="str">
        <f t="array" ref="Q1134">XLOOKUP(I1134,customers_clean!$A$2:$A$701,customers_clean!$N$2:$N$701)</f>
        <v>31848518</v>
      </c>
      <c r="R1134" s="9" t="str">
        <f t="array" ref="R1134">XLOOKUP(I1134,customers_clean!$A$2:$A$701,customers_clean!$Q$2:$Q$701)</f>
        <v>❌ INVALID</v>
      </c>
      <c r="S1134" s="10" t="s">
        <v>114</v>
      </c>
      <c r="T1134" s="2" t="s">
        <v>74</v>
      </c>
      <c r="U1134" s="2" t="s">
        <v>116</v>
      </c>
      <c r="V1134" s="2" t="s">
        <v>581</v>
      </c>
      <c r="W1134" s="9" t="str">
        <f t="array" ref="W1134">IF(ISNA(XLOOKUP(V1134,products_master_corrected!$A$2:$A$151,products_master_corrected!$A$2:$A$151, NA())),
    "❌ MISSING SKU", "✅")</f>
        <v>✅</v>
      </c>
      <c r="X1134" s="2" t="s">
        <v>280</v>
      </c>
      <c r="Y1134" s="2" t="s">
        <v>582</v>
      </c>
      <c r="Z1134" s="10" t="s">
        <v>63</v>
      </c>
      <c r="AA1134" s="27">
        <v>2.0</v>
      </c>
      <c r="AB1134" s="9" t="s">
        <v>8649</v>
      </c>
      <c r="AC1134" s="28">
        <f t="array" ref="AC1134">XLOOKUP(V1134,products_master_corrected!$A$2:$A$151,products_master_corrected!$E$2:$E$151)</f>
        <v>120.1</v>
      </c>
      <c r="AD1134" s="28">
        <f t="shared" si="126"/>
        <v>240.2</v>
      </c>
      <c r="AE1134" s="28">
        <f t="array" ref="AE1134">XLOOKUP(V1134,products_master_corrected!$A$2:$A$151,products_master_corrected!$F$2:$F$151)</f>
        <v>120.1</v>
      </c>
      <c r="AF1134" s="29">
        <f t="shared" si="127"/>
        <v>240.2</v>
      </c>
      <c r="AG1134" s="30" t="s">
        <v>65</v>
      </c>
      <c r="AH1134" s="2" t="s">
        <v>583</v>
      </c>
      <c r="AI1134" s="10" t="s">
        <v>181</v>
      </c>
      <c r="AJ1134" s="2" t="s">
        <v>294</v>
      </c>
      <c r="AK1134" s="10" t="s">
        <v>80</v>
      </c>
      <c r="AL1134" s="2" t="s">
        <v>133</v>
      </c>
    </row>
    <row r="1135" ht="15.75" customHeight="1">
      <c r="A1135" s="2" t="s">
        <v>5463</v>
      </c>
      <c r="B1135" s="12">
        <v>45626.15625</v>
      </c>
      <c r="C1135" s="2" t="str">
        <f>IFERROR(__xludf.DUMMYFUNCTION("IF(ISNUMBER(B1135),TEXT(B1135,""yyyy-MM-dd""),REGEXREPLACE(REGEXREPLACE(TO_TEXT(B1135),""[^0-9a-zA-Z]+"",""-""),""[^0-9]*$"",""""))"),"2024-11-30")</f>
        <v>2024-11-30</v>
      </c>
      <c r="D1135" s="2" t="s">
        <v>8670</v>
      </c>
      <c r="H1135" s="10" t="s">
        <v>8670</v>
      </c>
      <c r="I1135" s="2" t="s">
        <v>577</v>
      </c>
      <c r="J1135" s="26" t="str">
        <f t="array" ref="J1135">IF(ISNA(XLOOKUP(I1135,customers_clean!$A$2:$A$701,customers_clean!$A$2:$A$701, NA()) ),
   "❌ MISSING CUSTOMER", "✅")</f>
        <v>✅</v>
      </c>
      <c r="K1135" s="2" t="str">
        <f t="array" ref="K1135">XLOOKUP(I1135,customers_clean!$A$2:$A$701,customers_clean!$C$2:$C$701)</f>
        <v>Jade Garcia</v>
      </c>
      <c r="L1135" s="10" t="str">
        <f t="array" ref="L1135">XLOOKUP(I1135,customers_clean!$A$2:$A$701,customers_clean!$D$2:$D$701)</f>
        <v>Jade Garcia</v>
      </c>
      <c r="M1135" s="2" t="str">
        <f t="array" ref="M1135">XLOOKUP(I1135,customers_clean!$A$2:$A$701,customers_clean!$I$2:$I$701)</f>
        <v> jade.garcia@company.co.uk</v>
      </c>
      <c r="N1135" s="10" t="str">
        <f t="array" ref="N1135">XLOOKUP(I1135,customers_clean!$A$2:$A$701,customers_clean!$H$2:$H$701)</f>
        <v>jade.garcia@company.co.uk</v>
      </c>
      <c r="O1135" s="9" t="str">
        <f>IFERROR(__xludf.DUMMYFUNCTION("IF(REGEXMATCH(TRIM(N1135),""^[A-Za-z0-9._%+-]+@[A-Za-z0-9.-]+\.[A-Za-z]{2,}$""),""✅ Valid"",""❌ Invalid"")"),"✅ Valid")</f>
        <v>✅ Valid</v>
      </c>
      <c r="P1135" s="2" t="str">
        <f t="array" ref="P1135">XLOOKUP(I1135,customers_clean!$A$2:$A$701,customers_clean!$K$2:$K$701)</f>
        <v>(318) 48518</v>
      </c>
      <c r="Q1135" s="10" t="str">
        <f t="array" ref="Q1135">XLOOKUP(I1135,customers_clean!$A$2:$A$701,customers_clean!$N$2:$N$701)</f>
        <v>31848518</v>
      </c>
      <c r="R1135" s="9" t="str">
        <f t="array" ref="R1135">XLOOKUP(I1135,customers_clean!$A$2:$A$701,customers_clean!$Q$2:$Q$701)</f>
        <v>❌ INVALID</v>
      </c>
      <c r="S1135" s="10" t="s">
        <v>114</v>
      </c>
      <c r="T1135" s="2" t="s">
        <v>152</v>
      </c>
      <c r="U1135" s="2" t="s">
        <v>522</v>
      </c>
      <c r="V1135" s="2" t="s">
        <v>1641</v>
      </c>
      <c r="W1135" s="9" t="str">
        <f t="array" ref="W1135">IF(ISNA(XLOOKUP(V1135,products_master_corrected!$A$2:$A$151,products_master_corrected!$A$2:$A$151, NA())),
    "❌ MISSING SKU", "✅")</f>
        <v>✅</v>
      </c>
      <c r="X1135" s="2" t="s">
        <v>825</v>
      </c>
      <c r="Y1135" s="2" t="s">
        <v>179</v>
      </c>
      <c r="Z1135" s="10" t="s">
        <v>179</v>
      </c>
      <c r="AA1135" s="27">
        <v>3.0</v>
      </c>
      <c r="AB1135" s="9" t="s">
        <v>8649</v>
      </c>
      <c r="AC1135" s="28">
        <f t="array" ref="AC1135">XLOOKUP(V1135,products_master_corrected!$A$2:$A$151,products_master_corrected!$E$2:$E$151)</f>
        <v>23.84</v>
      </c>
      <c r="AD1135" s="28">
        <f t="shared" si="126"/>
        <v>71.52</v>
      </c>
      <c r="AE1135" s="28">
        <f t="array" ref="AE1135">XLOOKUP(V1135,products_master_corrected!$A$2:$A$151,products_master_corrected!$F$2:$F$151)</f>
        <v>23.84</v>
      </c>
      <c r="AF1135" s="29">
        <f t="shared" si="127"/>
        <v>71.52</v>
      </c>
      <c r="AG1135" s="30" t="s">
        <v>65</v>
      </c>
      <c r="AH1135" s="2" t="s">
        <v>143</v>
      </c>
      <c r="AI1135" s="10" t="s">
        <v>143</v>
      </c>
      <c r="AJ1135" s="2" t="s">
        <v>50</v>
      </c>
      <c r="AK1135" s="10" t="s">
        <v>261</v>
      </c>
    </row>
    <row r="1136" ht="15.75" customHeight="1">
      <c r="A1136" s="2" t="s">
        <v>2768</v>
      </c>
      <c r="B1136" s="12">
        <v>45799.93472222222</v>
      </c>
      <c r="C1136" s="2" t="str">
        <f>IFERROR(__xludf.DUMMYFUNCTION("IF(ISNUMBER(B1136),TEXT(B1136,""yyyy-MM-dd""),REGEXREPLACE(REGEXREPLACE(TO_TEXT(B1136),""[^0-9a-zA-Z]+"",""-""),""[^0-9]*$"",""""))"),"2025-05-22")</f>
        <v>2025-05-22</v>
      </c>
      <c r="D1136" s="2" t="s">
        <v>3271</v>
      </c>
      <c r="H1136" s="10" t="s">
        <v>3271</v>
      </c>
      <c r="I1136" s="2" t="s">
        <v>577</v>
      </c>
      <c r="J1136" s="26" t="str">
        <f t="array" ref="J1136">IF(ISNA(XLOOKUP(I1136,customers_clean!$A$2:$A$701,customers_clean!$A$2:$A$701, NA()) ),
   "❌ MISSING CUSTOMER", "✅")</f>
        <v>✅</v>
      </c>
      <c r="K1136" s="2" t="str">
        <f t="array" ref="K1136">XLOOKUP(I1136,customers_clean!$A$2:$A$701,customers_clean!$C$2:$C$701)</f>
        <v>Jade Garcia</v>
      </c>
      <c r="L1136" s="10" t="str">
        <f t="array" ref="L1136">XLOOKUP(I1136,customers_clean!$A$2:$A$701,customers_clean!$D$2:$D$701)</f>
        <v>Jade Garcia</v>
      </c>
      <c r="M1136" s="2" t="str">
        <f t="array" ref="M1136">XLOOKUP(I1136,customers_clean!$A$2:$A$701,customers_clean!$I$2:$I$701)</f>
        <v> jade.garcia@company.co.uk</v>
      </c>
      <c r="N1136" s="10" t="str">
        <f t="array" ref="N1136">XLOOKUP(I1136,customers_clean!$A$2:$A$701,customers_clean!$H$2:$H$701)</f>
        <v>jade.garcia@company.co.uk</v>
      </c>
      <c r="O1136" s="9" t="str">
        <f>IFERROR(__xludf.DUMMYFUNCTION("IF(REGEXMATCH(TRIM(N1136),""^[A-Za-z0-9._%+-]+@[A-Za-z0-9.-]+\.[A-Za-z]{2,}$""),""✅ Valid"",""❌ Invalid"")"),"✅ Valid")</f>
        <v>✅ Valid</v>
      </c>
      <c r="P1136" s="2" t="str">
        <f t="array" ref="P1136">XLOOKUP(I1136,customers_clean!$A$2:$A$701,customers_clean!$K$2:$K$701)</f>
        <v>(318) 48518</v>
      </c>
      <c r="Q1136" s="10" t="str">
        <f t="array" ref="Q1136">XLOOKUP(I1136,customers_clean!$A$2:$A$701,customers_clean!$N$2:$N$701)</f>
        <v>31848518</v>
      </c>
      <c r="R1136" s="9" t="str">
        <f t="array" ref="R1136">XLOOKUP(I1136,customers_clean!$A$2:$A$701,customers_clean!$Q$2:$Q$701)</f>
        <v>❌ INVALID</v>
      </c>
      <c r="S1136" s="10" t="s">
        <v>114</v>
      </c>
      <c r="T1136" s="2" t="s">
        <v>26</v>
      </c>
      <c r="U1136" s="2" t="s">
        <v>401</v>
      </c>
      <c r="V1136" s="2" t="s">
        <v>965</v>
      </c>
      <c r="W1136" s="9" t="str">
        <f t="array" ref="W1136">IF(ISNA(XLOOKUP(V1136,products_master_corrected!$A$2:$A$151,products_master_corrected!$A$2:$A$151, NA())),
    "❌ MISSING SKU", "✅")</f>
        <v>✅</v>
      </c>
      <c r="X1136" s="2" t="s">
        <v>966</v>
      </c>
      <c r="Y1136" s="2" t="s">
        <v>967</v>
      </c>
      <c r="Z1136" s="10" t="s">
        <v>248</v>
      </c>
      <c r="AA1136" s="27">
        <v>2.0</v>
      </c>
      <c r="AB1136" s="9" t="s">
        <v>8649</v>
      </c>
      <c r="AC1136" s="28">
        <f t="array" ref="AC1136">XLOOKUP(V1136,products_master_corrected!$A$2:$A$151,products_master_corrected!$E$2:$E$151)</f>
        <v>74.59</v>
      </c>
      <c r="AD1136" s="28">
        <f t="shared" si="126"/>
        <v>149.18</v>
      </c>
      <c r="AE1136" s="28">
        <f t="array" ref="AE1136">XLOOKUP(V1136,products_master_corrected!$A$2:$A$151,products_master_corrected!$F$2:$F$151)</f>
        <v>74.59</v>
      </c>
      <c r="AF1136" s="29">
        <f t="shared" si="127"/>
        <v>149.18</v>
      </c>
      <c r="AG1136" s="30" t="s">
        <v>65</v>
      </c>
      <c r="AH1136" s="2" t="s">
        <v>49</v>
      </c>
      <c r="AI1136" s="10" t="s">
        <v>49</v>
      </c>
      <c r="AJ1136" s="2" t="s">
        <v>527</v>
      </c>
      <c r="AK1136" s="10" t="s">
        <v>192</v>
      </c>
    </row>
    <row r="1137" ht="15.75" customHeight="1">
      <c r="A1137" s="2" t="s">
        <v>1195</v>
      </c>
      <c r="B1137" s="12">
        <v>45609.0</v>
      </c>
      <c r="C1137" s="2" t="str">
        <f>IFERROR(__xludf.DUMMYFUNCTION("IF(ISNUMBER(B1137),TEXT(B1137,""yyyy-MM-dd""),REGEXREPLACE(REGEXREPLACE(TO_TEXT(B1137),""[^0-9a-zA-Z]+"",""-""),""[^0-9]*$"",""""))"),"2024-11-13")</f>
        <v>2024-11-13</v>
      </c>
      <c r="D1137" s="2" t="s">
        <v>8572</v>
      </c>
      <c r="H1137" s="10" t="s">
        <v>8572</v>
      </c>
      <c r="I1137" s="2" t="s">
        <v>577</v>
      </c>
      <c r="J1137" s="26" t="str">
        <f t="array" ref="J1137">IF(ISNA(XLOOKUP(I1137,customers_clean!$A$2:$A$701,customers_clean!$A$2:$A$701, NA()) ),
   "❌ MISSING CUSTOMER", "✅")</f>
        <v>✅</v>
      </c>
      <c r="K1137" s="2" t="str">
        <f t="array" ref="K1137">XLOOKUP(I1137,customers_clean!$A$2:$A$701,customers_clean!$C$2:$C$701)</f>
        <v>Jade Garcia</v>
      </c>
      <c r="L1137" s="10" t="str">
        <f t="array" ref="L1137">XLOOKUP(I1137,customers_clean!$A$2:$A$701,customers_clean!$D$2:$D$701)</f>
        <v>Jade Garcia</v>
      </c>
      <c r="M1137" s="2" t="str">
        <f t="array" ref="M1137">XLOOKUP(I1137,customers_clean!$A$2:$A$701,customers_clean!$I$2:$I$701)</f>
        <v> jade.garcia@company.co.uk</v>
      </c>
      <c r="N1137" s="10" t="str">
        <f t="array" ref="N1137">XLOOKUP(I1137,customers_clean!$A$2:$A$701,customers_clean!$H$2:$H$701)</f>
        <v>jade.garcia@company.co.uk</v>
      </c>
      <c r="O1137" s="9" t="str">
        <f>IFERROR(__xludf.DUMMYFUNCTION("IF(REGEXMATCH(TRIM(N1137),""^[A-Za-z0-9._%+-]+@[A-Za-z0-9.-]+\.[A-Za-z]{2,}$""),""✅ Valid"",""❌ Invalid"")"),"✅ Valid")</f>
        <v>✅ Valid</v>
      </c>
      <c r="P1137" s="2" t="str">
        <f t="array" ref="P1137">XLOOKUP(I1137,customers_clean!$A$2:$A$701,customers_clean!$K$2:$K$701)</f>
        <v>(318) 48518</v>
      </c>
      <c r="Q1137" s="10" t="str">
        <f t="array" ref="Q1137">XLOOKUP(I1137,customers_clean!$A$2:$A$701,customers_clean!$N$2:$N$701)</f>
        <v>31848518</v>
      </c>
      <c r="R1137" s="9" t="str">
        <f t="array" ref="R1137">XLOOKUP(I1137,customers_clean!$A$2:$A$701,customers_clean!$Q$2:$Q$701)</f>
        <v>❌ INVALID</v>
      </c>
      <c r="S1137" s="10" t="s">
        <v>114</v>
      </c>
      <c r="T1137" s="2" t="s">
        <v>42</v>
      </c>
      <c r="U1137" s="2" t="s">
        <v>176</v>
      </c>
      <c r="V1137" s="2" t="s">
        <v>1197</v>
      </c>
      <c r="W1137" s="9" t="str">
        <f t="array" ref="W1137">IF(ISNA(XLOOKUP(V1137,products_master_corrected!$A$2:$A$151,products_master_corrected!$A$2:$A$151, NA())),
    "❌ MISSING SKU", "✅")</f>
        <v>✅</v>
      </c>
      <c r="X1137" s="2" t="s">
        <v>1138</v>
      </c>
      <c r="Y1137" s="2" t="s">
        <v>1199</v>
      </c>
      <c r="Z1137" s="10" t="s">
        <v>179</v>
      </c>
      <c r="AA1137" s="27">
        <v>2.0</v>
      </c>
      <c r="AB1137" s="9" t="s">
        <v>8649</v>
      </c>
      <c r="AC1137" s="28">
        <f t="array" ref="AC1137">XLOOKUP(V1137,products_master_corrected!$A$2:$A$151,products_master_corrected!$E$2:$E$151)</f>
        <v>80.95</v>
      </c>
      <c r="AD1137" s="28">
        <f t="shared" si="126"/>
        <v>161.9</v>
      </c>
      <c r="AE1137" s="28">
        <f t="array" ref="AE1137">XLOOKUP(V1137,products_master_corrected!$A$2:$A$151,products_master_corrected!$F$2:$F$151)</f>
        <v>80.95</v>
      </c>
      <c r="AF1137" s="29">
        <f t="shared" si="127"/>
        <v>161.9</v>
      </c>
      <c r="AG1137" s="30" t="s">
        <v>65</v>
      </c>
      <c r="AH1137" s="2" t="s">
        <v>181</v>
      </c>
      <c r="AI1137" s="10" t="s">
        <v>181</v>
      </c>
      <c r="AJ1137" s="2" t="s">
        <v>192</v>
      </c>
      <c r="AK1137" s="10" t="s">
        <v>192</v>
      </c>
      <c r="AL1137" s="2" t="s">
        <v>81</v>
      </c>
    </row>
    <row r="1138" ht="15.75" customHeight="1">
      <c r="A1138" s="2" t="s">
        <v>3480</v>
      </c>
      <c r="B1138" s="12">
        <v>45779.59097222222</v>
      </c>
      <c r="C1138" s="2" t="str">
        <f>IFERROR(__xludf.DUMMYFUNCTION("IF(ISNUMBER(B1138),TEXT(B1138,""yyyy-MM-dd""),REGEXREPLACE(REGEXREPLACE(TO_TEXT(B1138),""[^0-9a-zA-Z]+"",""-""),""[^0-9]*$"",""""))"),"2025-05-02")</f>
        <v>2025-05-02</v>
      </c>
      <c r="D1138" s="2" t="s">
        <v>7828</v>
      </c>
      <c r="H1138" s="10" t="s">
        <v>7828</v>
      </c>
      <c r="I1138" s="2" t="s">
        <v>577</v>
      </c>
      <c r="J1138" s="26" t="str">
        <f t="array" ref="J1138">IF(ISNA(XLOOKUP(I1138,customers_clean!$A$2:$A$701,customers_clean!$A$2:$A$701, NA()) ),
   "❌ MISSING CUSTOMER", "✅")</f>
        <v>✅</v>
      </c>
      <c r="K1138" s="2" t="str">
        <f t="array" ref="K1138">XLOOKUP(I1138,customers_clean!$A$2:$A$701,customers_clean!$C$2:$C$701)</f>
        <v>Jade Garcia</v>
      </c>
      <c r="L1138" s="10" t="str">
        <f t="array" ref="L1138">XLOOKUP(I1138,customers_clean!$A$2:$A$701,customers_clean!$D$2:$D$701)</f>
        <v>Jade Garcia</v>
      </c>
      <c r="M1138" s="2" t="str">
        <f t="array" ref="M1138">XLOOKUP(I1138,customers_clean!$A$2:$A$701,customers_clean!$I$2:$I$701)</f>
        <v> jade.garcia@company.co.uk</v>
      </c>
      <c r="N1138" s="10" t="str">
        <f t="array" ref="N1138">XLOOKUP(I1138,customers_clean!$A$2:$A$701,customers_clean!$H$2:$H$701)</f>
        <v>jade.garcia@company.co.uk</v>
      </c>
      <c r="O1138" s="9" t="str">
        <f>IFERROR(__xludf.DUMMYFUNCTION("IF(REGEXMATCH(TRIM(N1138),""^[A-Za-z0-9._%+-]+@[A-Za-z0-9.-]+\.[A-Za-z]{2,}$""),""✅ Valid"",""❌ Invalid"")"),"✅ Valid")</f>
        <v>✅ Valid</v>
      </c>
      <c r="P1138" s="2" t="str">
        <f t="array" ref="P1138">XLOOKUP(I1138,customers_clean!$A$2:$A$701,customers_clean!$K$2:$K$701)</f>
        <v>(318) 48518</v>
      </c>
      <c r="Q1138" s="10" t="str">
        <f t="array" ref="Q1138">XLOOKUP(I1138,customers_clean!$A$2:$A$701,customers_clean!$N$2:$N$701)</f>
        <v>31848518</v>
      </c>
      <c r="R1138" s="9" t="str">
        <f t="array" ref="R1138">XLOOKUP(I1138,customers_clean!$A$2:$A$701,customers_clean!$Q$2:$Q$701)</f>
        <v>❌ INVALID</v>
      </c>
      <c r="S1138" s="10" t="s">
        <v>114</v>
      </c>
      <c r="T1138" s="2" t="s">
        <v>802</v>
      </c>
      <c r="U1138" s="2" t="s">
        <v>103</v>
      </c>
      <c r="V1138" s="2" t="s">
        <v>1197</v>
      </c>
      <c r="W1138" s="9" t="str">
        <f t="array" ref="W1138">IF(ISNA(XLOOKUP(V1138,products_master_corrected!$A$2:$A$151,products_master_corrected!$A$2:$A$151, NA())),
    "❌ MISSING SKU", "✅")</f>
        <v>✅</v>
      </c>
      <c r="X1138" s="2" t="s">
        <v>1138</v>
      </c>
      <c r="Y1138" s="2" t="s">
        <v>1199</v>
      </c>
      <c r="Z1138" s="10" t="s">
        <v>179</v>
      </c>
      <c r="AA1138" s="27">
        <v>2.0</v>
      </c>
      <c r="AB1138" s="9" t="s">
        <v>8649</v>
      </c>
      <c r="AC1138" s="28">
        <f t="array" ref="AC1138">XLOOKUP(V1138,products_master_corrected!$A$2:$A$151,products_master_corrected!$E$2:$E$151)</f>
        <v>80.95</v>
      </c>
      <c r="AD1138" s="28">
        <f t="shared" si="126"/>
        <v>161.9</v>
      </c>
      <c r="AE1138" s="28">
        <f t="array" ref="AE1138">XLOOKUP(V1138,products_master_corrected!$A$2:$A$151,products_master_corrected!$F$2:$F$151)</f>
        <v>80.95</v>
      </c>
      <c r="AF1138" s="29">
        <f t="shared" si="127"/>
        <v>161.9</v>
      </c>
      <c r="AG1138" s="30" t="s">
        <v>65</v>
      </c>
      <c r="AH1138" s="2" t="s">
        <v>526</v>
      </c>
      <c r="AI1138" s="10" t="s">
        <v>49</v>
      </c>
      <c r="AJ1138" s="2" t="s">
        <v>306</v>
      </c>
      <c r="AK1138" s="10" t="s">
        <v>192</v>
      </c>
      <c r="AL1138" s="2" t="s">
        <v>133</v>
      </c>
    </row>
    <row r="1139" ht="15.75" customHeight="1">
      <c r="A1139" s="2" t="s">
        <v>3022</v>
      </c>
      <c r="B1139" s="12" t="s">
        <v>3023</v>
      </c>
      <c r="C1139" s="2" t="str">
        <f>IFERROR(__xludf.DUMMYFUNCTION("IF(ISNUMBER(B1139),TEXT(B1139,""yyyy-MM-dd""),REGEXREPLACE(REGEXREPLACE(TO_TEXT(B1139),""[^0-9a-zA-Z]+"",""-""),""[^0-9]*$"",""""))"),"28-01-2024")</f>
        <v>28-01-2024</v>
      </c>
      <c r="D1139" s="2" t="s">
        <v>9017</v>
      </c>
      <c r="H1139" s="10" t="s">
        <v>9017</v>
      </c>
      <c r="I1139" s="2" t="s">
        <v>3024</v>
      </c>
      <c r="J1139" s="26" t="str">
        <f t="array" ref="J1139">IF(ISNA(XLOOKUP(I1139,customers_clean!$A$2:$A$701,customers_clean!$A$2:$A$701, NA()) ),
   "❌ MISSING CUSTOMER", "✅")</f>
        <v>✅</v>
      </c>
      <c r="K1139" s="2" t="str">
        <f t="array" ref="K1139">XLOOKUP(I1139,customers_clean!$A$2:$A$701,customers_clean!$C$2:$C$701)</f>
        <v>Yara Walker</v>
      </c>
      <c r="L1139" s="10" t="str">
        <f t="array" ref="L1139">XLOOKUP(I1139,customers_clean!$A$2:$A$701,customers_clean!$D$2:$D$701)</f>
        <v>Yara Walker</v>
      </c>
      <c r="M1139" s="2" t="str">
        <f t="array" ref="M1139">XLOOKUP(I1139,customers_clean!$A$2:$A$701,customers_clean!$I$2:$I$701)</f>
        <v>YARA.WALKER@GMAIL.COM</v>
      </c>
      <c r="N1139" s="10" t="str">
        <f t="array" ref="N1139">XLOOKUP(I1139,customers_clean!$A$2:$A$701,customers_clean!$H$2:$H$701)</f>
        <v>yara.walker@gmail.com</v>
      </c>
      <c r="O1139" s="9" t="str">
        <f>IFERROR(__xludf.DUMMYFUNCTION("IF(REGEXMATCH(TRIM(N1139),""^[A-Za-z0-9._%+-]+@[A-Za-z0-9.-]+\.[A-Za-z]{2,}$""),""✅ Valid"",""❌ Invalid"")"),"✅ Valid")</f>
        <v>✅ Valid</v>
      </c>
      <c r="P1139" s="2">
        <f t="array" ref="P1139">XLOOKUP(I1139,customers_clean!$A$2:$A$701,customers_clean!$K$2:$K$701)</f>
        <v>947668721</v>
      </c>
      <c r="Q1139" s="10" t="str">
        <f t="array" ref="Q1139">XLOOKUP(I1139,customers_clean!$A$2:$A$701,customers_clean!$N$2:$N$701)</f>
        <v>947668721</v>
      </c>
      <c r="R1139" s="9" t="str">
        <f t="array" ref="R1139">XLOOKUP(I1139,customers_clean!$A$2:$A$701,customers_clean!$Q$2:$Q$701)</f>
        <v>❌ INVALID</v>
      </c>
      <c r="S1139" s="10" t="s">
        <v>88</v>
      </c>
      <c r="T1139" s="2" t="s">
        <v>778</v>
      </c>
      <c r="U1139" s="2" t="s">
        <v>401</v>
      </c>
      <c r="V1139" s="2" t="s">
        <v>1302</v>
      </c>
      <c r="W1139" s="9" t="str">
        <f t="array" ref="W1139">IF(ISNA(XLOOKUP(V1139,products_master_corrected!$A$2:$A$151,products_master_corrected!$A$2:$A$151, NA())),
    "❌ MISSING SKU", "✅")</f>
        <v>✅</v>
      </c>
      <c r="X1139" s="2" t="s">
        <v>440</v>
      </c>
      <c r="Y1139" s="2" t="s">
        <v>179</v>
      </c>
      <c r="Z1139" s="10" t="s">
        <v>179</v>
      </c>
      <c r="AA1139" s="27">
        <v>5.0</v>
      </c>
      <c r="AB1139" s="9" t="s">
        <v>8649</v>
      </c>
      <c r="AC1139" s="28">
        <f t="array" ref="AC1139">XLOOKUP(V1139,products_master_corrected!$A$2:$A$151,products_master_corrected!$E$2:$E$151)</f>
        <v>28.97</v>
      </c>
      <c r="AD1139" s="28">
        <f t="shared" si="126"/>
        <v>144.85</v>
      </c>
      <c r="AE1139" s="28">
        <f t="array" ref="AE1139">XLOOKUP(V1139,products_master_corrected!$A$2:$A$151,products_master_corrected!$I$2:$I$151)</f>
        <v>31.94</v>
      </c>
      <c r="AF1139" s="29">
        <f t="shared" si="127"/>
        <v>159.7</v>
      </c>
      <c r="AG1139" s="32" t="s">
        <v>8660</v>
      </c>
      <c r="AH1139" s="2" t="s">
        <v>96</v>
      </c>
      <c r="AI1139" s="10" t="s">
        <v>143</v>
      </c>
      <c r="AJ1139" s="2" t="s">
        <v>442</v>
      </c>
      <c r="AK1139" s="10" t="s">
        <v>80</v>
      </c>
      <c r="AL1139" s="2" t="s">
        <v>81</v>
      </c>
    </row>
    <row r="1140" ht="15.75" customHeight="1">
      <c r="A1140" s="2" t="s">
        <v>5763</v>
      </c>
      <c r="B1140" s="12">
        <v>45348.0</v>
      </c>
      <c r="C1140" s="2" t="str">
        <f>IFERROR(__xludf.DUMMYFUNCTION("IF(ISNUMBER(B1140),TEXT(B1140,""yyyy-MM-dd""),REGEXREPLACE(REGEXREPLACE(TO_TEXT(B1140),""[^0-9a-zA-Z]+"",""-""),""[^0-9]*$"",""""))"),"2024-02-26")</f>
        <v>2024-02-26</v>
      </c>
      <c r="D1140" s="2" t="s">
        <v>8911</v>
      </c>
      <c r="H1140" s="10" t="s">
        <v>8911</v>
      </c>
      <c r="I1140" s="2" t="s">
        <v>5765</v>
      </c>
      <c r="J1140" s="26" t="str">
        <f t="array" ref="J1140">IF(ISNA(XLOOKUP(I1140,customers_clean!$A$2:$A$701,customers_clean!$A$2:$A$701, NA()) ),
   "❌ MISSING CUSTOMER", "✅")</f>
        <v>✅</v>
      </c>
      <c r="K1140" s="2" t="str">
        <f t="array" ref="K1140">XLOOKUP(I1140,customers_clean!$A$2:$A$701,customers_clean!$C$2:$C$701)</f>
        <v>Lia Taylor </v>
      </c>
      <c r="L1140" s="10" t="str">
        <f t="array" ref="L1140">XLOOKUP(I1140,customers_clean!$A$2:$A$701,customers_clean!$D$2:$D$701)</f>
        <v>Lia Taylor</v>
      </c>
      <c r="M1140" s="2" t="str">
        <f t="array" ref="M1140">XLOOKUP(I1140,customers_clean!$A$2:$A$701,customers_clean!$I$2:$I$701)</f>
        <v>lia.taylor@shop.io </v>
      </c>
      <c r="N1140" s="10" t="str">
        <f t="array" ref="N1140">XLOOKUP(I1140,customers_clean!$A$2:$A$701,customers_clean!$H$2:$H$701)</f>
        <v>lia.taylor@shop.io</v>
      </c>
      <c r="O1140" s="9" t="str">
        <f>IFERROR(__xludf.DUMMYFUNCTION("IF(REGEXMATCH(TRIM(N1140),""^[A-Za-z0-9._%+-]+@[A-Za-z0-9.-]+\.[A-Za-z]{2,}$""),""✅ Valid"",""❌ Invalid"")"),"✅ Valid")</f>
        <v>✅ Valid</v>
      </c>
      <c r="P1140" s="33" t="str">
        <f t="array" ref="P1140">XLOOKUP(I1140,customers_clean!$A$2:$A$701,customers_clean!$K$2:$K$701)</f>
        <v>+48 575 115 119 8</v>
      </c>
      <c r="Q1140" s="10" t="str">
        <f t="array" ref="Q1140">XLOOKUP(I1140,customers_clean!$A$2:$A$701,customers_clean!$N$2:$N$701)</f>
        <v>5751151198</v>
      </c>
      <c r="R1140" s="9" t="str">
        <f t="array" ref="R1140">XLOOKUP(I1140,customers_clean!$A$2:$A$701,customers_clean!$Q$2:$Q$701)</f>
        <v>❌ INVALID</v>
      </c>
      <c r="S1140" s="10" t="s">
        <v>25</v>
      </c>
      <c r="T1140" s="2" t="s">
        <v>59</v>
      </c>
      <c r="U1140" s="2" t="s">
        <v>333</v>
      </c>
      <c r="V1140" s="2" t="s">
        <v>2273</v>
      </c>
      <c r="W1140" s="9" t="str">
        <f t="array" ref="W1140">IF(ISNA(XLOOKUP(V1140,products_master_corrected!$A$2:$A$151,products_master_corrected!$A$2:$A$151, NA())),
    "❌ MISSING SKU", "✅")</f>
        <v>✅</v>
      </c>
      <c r="X1140" s="2" t="s">
        <v>2274</v>
      </c>
      <c r="Y1140" s="2" t="s">
        <v>1328</v>
      </c>
      <c r="Z1140" s="10" t="s">
        <v>179</v>
      </c>
      <c r="AA1140" s="27">
        <v>2.0</v>
      </c>
      <c r="AB1140" s="9" t="s">
        <v>8649</v>
      </c>
      <c r="AC1140" s="28">
        <f t="array" ref="AC1140">XLOOKUP(V1140,products_master_corrected!$A$2:$A$151,products_master_corrected!$E$2:$E$151)</f>
        <v>142.55</v>
      </c>
      <c r="AD1140" s="28">
        <f t="shared" si="126"/>
        <v>285.1</v>
      </c>
      <c r="AE1140" s="28">
        <f t="array" ref="AE1140">XLOOKUP(V1140,products_master_corrected!$A$2:$A$151,products_master_corrected!$K$2:$K$151)</f>
        <v>733.42</v>
      </c>
      <c r="AF1140" s="29">
        <f t="shared" si="127"/>
        <v>1466.84</v>
      </c>
      <c r="AG1140" s="30" t="s">
        <v>95</v>
      </c>
      <c r="AH1140" s="2" t="s">
        <v>143</v>
      </c>
      <c r="AI1140" s="10" t="s">
        <v>143</v>
      </c>
      <c r="AJ1140" s="2" t="s">
        <v>5770</v>
      </c>
      <c r="AK1140" s="10" t="s">
        <v>818</v>
      </c>
    </row>
    <row r="1141" ht="15.75" customHeight="1">
      <c r="A1141" s="2" t="s">
        <v>3016</v>
      </c>
      <c r="B1141" s="12" t="s">
        <v>3017</v>
      </c>
      <c r="C1141" s="2" t="str">
        <f>IFERROR(__xludf.DUMMYFUNCTION("IF(ISNUMBER(B1141),TEXT(B1141,""yyyy-MM-dd""),REGEXREPLACE(REGEXREPLACE(TO_TEXT(B1141),""[^0-9a-zA-Z]+"",""-""),""[^0-9]*$"",""""))"),"08-17-2023")</f>
        <v>08-17-2023</v>
      </c>
      <c r="D1141" s="2" t="str">
        <f>TEXT(C1141,"yyyy-MM-dd")</f>
        <v>08-17-2023</v>
      </c>
      <c r="E1141" s="2" t="s">
        <v>9018</v>
      </c>
      <c r="H1141" s="10" t="s">
        <v>9018</v>
      </c>
      <c r="I1141" s="2" t="s">
        <v>2340</v>
      </c>
      <c r="J1141" s="26" t="str">
        <f t="array" ref="J1141">IF(ISNA(XLOOKUP(I1141,customers_clean!$A$2:$A$701,customers_clean!$A$2:$A$701, NA()) ),
   "❌ MISSING CUSTOMER", "✅")</f>
        <v>✅</v>
      </c>
      <c r="K1141" s="2" t="str">
        <f t="array" ref="K1141">XLOOKUP(I1141,customers_clean!$A$2:$A$701,customers_clean!$C$2:$C$701)</f>
        <v>Qi King</v>
      </c>
      <c r="L1141" s="10" t="str">
        <f t="array" ref="L1141">XLOOKUP(I1141,customers_clean!$A$2:$A$701,customers_clean!$D$2:$D$701)</f>
        <v>Qi King</v>
      </c>
      <c r="M1141" s="2" t="str">
        <f t="array" ref="M1141">XLOOKUP(I1141,customers_clean!$A$2:$A$701,customers_clean!$I$2:$I$701)</f>
        <v>qi.king@company.co.uk </v>
      </c>
      <c r="N1141" s="10" t="str">
        <f t="array" ref="N1141">XLOOKUP(I1141,customers_clean!$A$2:$A$701,customers_clean!$H$2:$H$701)</f>
        <v>qi.king@company.co.uk</v>
      </c>
      <c r="O1141" s="9" t="str">
        <f>IFERROR(__xludf.DUMMYFUNCTION("IF(REGEXMATCH(TRIM(N1141),""^[A-Za-z0-9._%+-]+@[A-Za-z0-9.-]+\.[A-Za-z]{2,}$""),""✅ Valid"",""❌ Invalid"")"),"✅ Valid")</f>
        <v>✅ Valid</v>
      </c>
      <c r="P1141" s="2">
        <f t="array" ref="P1141">XLOOKUP(I1141,customers_clean!$A$2:$A$701,customers_clean!$K$2:$K$701)</f>
        <v>8324677305</v>
      </c>
      <c r="Q1141" s="10" t="str">
        <f t="array" ref="Q1141">XLOOKUP(I1141,customers_clean!$A$2:$A$701,customers_clean!$N$2:$N$701)</f>
        <v>8324677305</v>
      </c>
      <c r="R1141" s="9" t="str">
        <f t="array" ref="R1141">XLOOKUP(I1141,customers_clean!$A$2:$A$701,customers_clean!$Q$2:$Q$701)</f>
        <v>❌ INVALID</v>
      </c>
      <c r="S1141" s="31" t="s">
        <v>671</v>
      </c>
      <c r="T1141" s="2" t="s">
        <v>802</v>
      </c>
      <c r="U1141" s="2" t="s">
        <v>60</v>
      </c>
      <c r="V1141" s="2" t="s">
        <v>661</v>
      </c>
      <c r="W1141" s="9" t="str">
        <f t="array" ref="W1141">IF(ISNA(XLOOKUP(V1141,products_master_corrected!$A$2:$A$151,products_master_corrected!$A$2:$A$151, NA())),
    "❌ MISSING SKU", "✅")</f>
        <v>✅</v>
      </c>
      <c r="X1141" s="2" t="s">
        <v>423</v>
      </c>
      <c r="Y1141" s="2" t="s">
        <v>368</v>
      </c>
      <c r="Z1141" s="10" t="s">
        <v>368</v>
      </c>
      <c r="AA1141" s="27">
        <v>2.0</v>
      </c>
      <c r="AB1141" s="9" t="s">
        <v>8649</v>
      </c>
      <c r="AC1141" s="28">
        <f t="array" ref="AC1141">XLOOKUP(V1141,products_master_corrected!$A$2:$A$151,products_master_corrected!$E$2:$E$151)</f>
        <v>76.62</v>
      </c>
      <c r="AD1141" s="28">
        <f t="shared" si="126"/>
        <v>153.24</v>
      </c>
      <c r="AE1141" s="28">
        <f t="array" ref="AE1141">XLOOKUP(V1141,products_master_corrected!$A$2:$A$151,products_master_corrected!$J$2:$J$151)</f>
        <v>89.36</v>
      </c>
      <c r="AF1141" s="29">
        <f t="shared" si="127"/>
        <v>178.72</v>
      </c>
      <c r="AG1141" s="32" t="s">
        <v>8656</v>
      </c>
      <c r="AH1141" s="2" t="s">
        <v>66</v>
      </c>
      <c r="AI1141" s="10" t="s">
        <v>66</v>
      </c>
      <c r="AJ1141" s="2" t="s">
        <v>80</v>
      </c>
      <c r="AK1141" s="10" t="s">
        <v>80</v>
      </c>
    </row>
    <row r="1142" ht="15.75" customHeight="1">
      <c r="A1142" s="2" t="s">
        <v>2338</v>
      </c>
      <c r="B1142" s="12">
        <v>45237.0</v>
      </c>
      <c r="C1142" s="2" t="str">
        <f>IFERROR(__xludf.DUMMYFUNCTION("IF(ISNUMBER(B1142),TEXT(B1142,""yyyy-MM-dd""),REGEXREPLACE(REGEXREPLACE(TO_TEXT(B1142),""[^0-9a-zA-Z]+"",""-""),""[^0-9]*$"",""""))"),"2023-11-07")</f>
        <v>2023-11-07</v>
      </c>
      <c r="D1142" s="2" t="s">
        <v>9019</v>
      </c>
      <c r="H1142" s="10" t="s">
        <v>9019</v>
      </c>
      <c r="I1142" s="2" t="s">
        <v>2340</v>
      </c>
      <c r="J1142" s="26" t="str">
        <f t="array" ref="J1142">IF(ISNA(XLOOKUP(I1142,customers_clean!$A$2:$A$701,customers_clean!$A$2:$A$701, NA()) ),
   "❌ MISSING CUSTOMER", "✅")</f>
        <v>✅</v>
      </c>
      <c r="K1142" s="2" t="str">
        <f t="array" ref="K1142">XLOOKUP(I1142,customers_clean!$A$2:$A$701,customers_clean!$C$2:$C$701)</f>
        <v>Qi King</v>
      </c>
      <c r="L1142" s="10" t="str">
        <f t="array" ref="L1142">XLOOKUP(I1142,customers_clean!$A$2:$A$701,customers_clean!$D$2:$D$701)</f>
        <v>Qi King</v>
      </c>
      <c r="M1142" s="2" t="str">
        <f t="array" ref="M1142">XLOOKUP(I1142,customers_clean!$A$2:$A$701,customers_clean!$I$2:$I$701)</f>
        <v>qi.king@company.co.uk </v>
      </c>
      <c r="N1142" s="10" t="str">
        <f t="array" ref="N1142">XLOOKUP(I1142,customers_clean!$A$2:$A$701,customers_clean!$H$2:$H$701)</f>
        <v>qi.king@company.co.uk</v>
      </c>
      <c r="O1142" s="9" t="str">
        <f>IFERROR(__xludf.DUMMYFUNCTION("IF(REGEXMATCH(TRIM(N1142),""^[A-Za-z0-9._%+-]+@[A-Za-z0-9.-]+\.[A-Za-z]{2,}$""),""✅ Valid"",""❌ Invalid"")"),"✅ Valid")</f>
        <v>✅ Valid</v>
      </c>
      <c r="P1142" s="2">
        <f t="array" ref="P1142">XLOOKUP(I1142,customers_clean!$A$2:$A$701,customers_clean!$K$2:$K$701)</f>
        <v>8324677305</v>
      </c>
      <c r="Q1142" s="10" t="str">
        <f t="array" ref="Q1142">XLOOKUP(I1142,customers_clean!$A$2:$A$701,customers_clean!$N$2:$N$701)</f>
        <v>8324677305</v>
      </c>
      <c r="R1142" s="9" t="str">
        <f t="array" ref="R1142">XLOOKUP(I1142,customers_clean!$A$2:$A$701,customers_clean!$Q$2:$Q$701)</f>
        <v>❌ INVALID</v>
      </c>
      <c r="S1142" s="31" t="s">
        <v>671</v>
      </c>
      <c r="T1142" s="2" t="s">
        <v>59</v>
      </c>
      <c r="U1142" s="2" t="s">
        <v>365</v>
      </c>
      <c r="V1142" s="2" t="s">
        <v>1197</v>
      </c>
      <c r="W1142" s="9" t="str">
        <f t="array" ref="W1142">IF(ISNA(XLOOKUP(V1142,products_master_corrected!$A$2:$A$151,products_master_corrected!$A$2:$A$151, NA())),
    "❌ MISSING SKU", "✅")</f>
        <v>✅</v>
      </c>
      <c r="X1142" s="2" t="s">
        <v>1138</v>
      </c>
      <c r="Y1142" s="2" t="s">
        <v>1199</v>
      </c>
      <c r="Z1142" s="10" t="s">
        <v>179</v>
      </c>
      <c r="AA1142" s="27">
        <v>1.0</v>
      </c>
      <c r="AB1142" s="9" t="s">
        <v>8649</v>
      </c>
      <c r="AC1142" s="28">
        <f t="array" ref="AC1142">XLOOKUP(V1142,products_master_corrected!$A$2:$A$151,products_master_corrected!$E$2:$E$151)</f>
        <v>80.95</v>
      </c>
      <c r="AD1142" s="28">
        <f t="shared" si="126"/>
        <v>80.95</v>
      </c>
      <c r="AE1142" s="28">
        <f t="array" ref="AE1142">XLOOKUP(V1142,products_master_corrected!$A$2:$A$151,products_master_corrected!$J$2:$J$151)</f>
        <v>94.41</v>
      </c>
      <c r="AF1142" s="29">
        <f t="shared" si="127"/>
        <v>94.41</v>
      </c>
      <c r="AG1142" s="32" t="s">
        <v>8656</v>
      </c>
      <c r="AH1142" s="2" t="s">
        <v>143</v>
      </c>
      <c r="AI1142" s="10" t="s">
        <v>143</v>
      </c>
      <c r="AJ1142" s="2" t="s">
        <v>80</v>
      </c>
      <c r="AK1142" s="10" t="s">
        <v>80</v>
      </c>
      <c r="AL1142" s="2" t="s">
        <v>81</v>
      </c>
    </row>
    <row r="1143" ht="15.75" customHeight="1">
      <c r="A1143" s="2" t="s">
        <v>3161</v>
      </c>
      <c r="B1143" s="12">
        <v>45482.0</v>
      </c>
      <c r="C1143" s="2" t="str">
        <f>IFERROR(__xludf.DUMMYFUNCTION("IF(ISNUMBER(B1143),TEXT(B1143,""yyyy-MM-dd""),REGEXREPLACE(REGEXREPLACE(TO_TEXT(B1143),""[^0-9a-zA-Z]+"",""-""),""[^0-9]*$"",""""))"),"2024-07-09")</f>
        <v>2024-07-09</v>
      </c>
      <c r="D1143" s="2" t="s">
        <v>3162</v>
      </c>
      <c r="H1143" s="10" t="s">
        <v>3162</v>
      </c>
      <c r="I1143" s="2" t="s">
        <v>3163</v>
      </c>
      <c r="J1143" s="26" t="str">
        <f t="array" ref="J1143">IF(ISNA(XLOOKUP(I1143,customers_clean!$A$2:$A$701,customers_clean!$A$2:$A$701, NA()) ),
   "❌ MISSING CUSTOMER", "✅")</f>
        <v>✅</v>
      </c>
      <c r="K1143" s="2" t="str">
        <f t="array" ref="K1143">XLOOKUP(I1143,customers_clean!$A$2:$A$701,customers_clean!$C$2:$C$701)</f>
        <v> Gabe King</v>
      </c>
      <c r="L1143" s="10" t="str">
        <f t="array" ref="L1143">XLOOKUP(I1143,customers_clean!$A$2:$A$701,customers_clean!$D$2:$D$701)</f>
        <v>Gabe King</v>
      </c>
      <c r="M1143" s="2" t="str">
        <f t="array" ref="M1143">XLOOKUP(I1143,customers_clean!$A$2:$A$701,customers_clean!$I$2:$I$701)</f>
        <v> gabe.king@shop.io</v>
      </c>
      <c r="N1143" s="10" t="str">
        <f t="array" ref="N1143">XLOOKUP(I1143,customers_clean!$A$2:$A$701,customers_clean!$H$2:$H$701)</f>
        <v>gabe.king@shop.io</v>
      </c>
      <c r="O1143" s="9" t="str">
        <f>IFERROR(__xludf.DUMMYFUNCTION("IF(REGEXMATCH(TRIM(N1143),""^[A-Za-z0-9._%+-]+@[A-Za-z0-9.-]+\.[A-Za-z]{2,}$""),""✅ Valid"",""❌ Invalid"")"),"✅ Valid")</f>
        <v>✅ Valid</v>
      </c>
      <c r="P1143" s="2" t="str">
        <f t="array" ref="P1143">XLOOKUP(I1143,customers_clean!$A$2:$A$701,customers_clean!$K$2:$K$701)</f>
        <v>+33709001521 ext 134</v>
      </c>
      <c r="Q1143" s="10" t="str">
        <f t="array" ref="Q1143">XLOOKUP(I1143,customers_clean!$A$2:$A$701,customers_clean!$N$2:$N$701)</f>
        <v>709001521</v>
      </c>
      <c r="R1143" s="9" t="str">
        <f t="array" ref="R1143">XLOOKUP(I1143,customers_clean!$A$2:$A$701,customers_clean!$Q$2:$Q$701)</f>
        <v>❌ INVALID</v>
      </c>
      <c r="S1143" s="10" t="s">
        <v>25</v>
      </c>
      <c r="T1143" s="2" t="s">
        <v>42</v>
      </c>
      <c r="U1143" s="2" t="s">
        <v>352</v>
      </c>
      <c r="V1143" s="2" t="s">
        <v>948</v>
      </c>
      <c r="W1143" s="9" t="str">
        <f t="array" ref="W1143">IF(ISNA(XLOOKUP(V1143,products_master_corrected!$A$2:$A$151,products_master_corrected!$A$2:$A$151, NA())),
    "❌ MISSING SKU", "✅")</f>
        <v>✅</v>
      </c>
      <c r="X1143" s="2" t="s">
        <v>213</v>
      </c>
      <c r="Y1143" s="2" t="s">
        <v>129</v>
      </c>
      <c r="Z1143" s="10" t="s">
        <v>514</v>
      </c>
      <c r="AA1143" s="27">
        <v>1.0</v>
      </c>
      <c r="AB1143" s="9" t="s">
        <v>8649</v>
      </c>
      <c r="AC1143" s="28">
        <f t="array" ref="AC1143">XLOOKUP(V1143,products_master_corrected!$A$2:$A$151,products_master_corrected!$E$2:$E$151)</f>
        <v>1470.18</v>
      </c>
      <c r="AD1143" s="28">
        <f t="shared" si="126"/>
        <v>1470.18</v>
      </c>
      <c r="AE1143" s="28">
        <f t="array" ref="AE1143">XLOOKUP(V1143,products_master_corrected!$A$2:$A$151,products_master_corrected!$K$2:$K$151)</f>
        <v>7564.08</v>
      </c>
      <c r="AF1143" s="29">
        <f t="shared" si="127"/>
        <v>7564.08</v>
      </c>
      <c r="AG1143" s="30" t="s">
        <v>95</v>
      </c>
      <c r="AH1143" s="2" t="s">
        <v>305</v>
      </c>
      <c r="AI1143" s="10" t="s">
        <v>49</v>
      </c>
      <c r="AJ1143" s="2" t="s">
        <v>192</v>
      </c>
      <c r="AK1143" s="10" t="s">
        <v>192</v>
      </c>
      <c r="AL1143" s="2" t="s">
        <v>81</v>
      </c>
    </row>
    <row r="1144" ht="15.75" customHeight="1">
      <c r="A1144" s="2" t="s">
        <v>3432</v>
      </c>
      <c r="B1144" s="12">
        <v>45335.0</v>
      </c>
      <c r="C1144" s="2" t="str">
        <f>IFERROR(__xludf.DUMMYFUNCTION("IF(ISNUMBER(B1144),TEXT(B1144,""yyyy-MM-dd""),REGEXREPLACE(REGEXREPLACE(TO_TEXT(B1144),""[^0-9a-zA-Z]+"",""-""),""[^0-9]*$"",""""))"),"2024-02-13")</f>
        <v>2024-02-13</v>
      </c>
      <c r="D1144" s="2" t="s">
        <v>8774</v>
      </c>
      <c r="H1144" s="10" t="s">
        <v>8774</v>
      </c>
      <c r="I1144" s="2" t="s">
        <v>3163</v>
      </c>
      <c r="J1144" s="26" t="str">
        <f t="array" ref="J1144">IF(ISNA(XLOOKUP(I1144,customers_clean!$A$2:$A$701,customers_clean!$A$2:$A$701, NA()) ),
   "❌ MISSING CUSTOMER", "✅")</f>
        <v>✅</v>
      </c>
      <c r="K1144" s="2" t="str">
        <f t="array" ref="K1144">XLOOKUP(I1144,customers_clean!$A$2:$A$701,customers_clean!$C$2:$C$701)</f>
        <v> Gabe King</v>
      </c>
      <c r="L1144" s="10" t="str">
        <f t="array" ref="L1144">XLOOKUP(I1144,customers_clean!$A$2:$A$701,customers_clean!$D$2:$D$701)</f>
        <v>Gabe King</v>
      </c>
      <c r="M1144" s="2" t="str">
        <f t="array" ref="M1144">XLOOKUP(I1144,customers_clean!$A$2:$A$701,customers_clean!$I$2:$I$701)</f>
        <v> gabe.king@shop.io</v>
      </c>
      <c r="N1144" s="10" t="str">
        <f t="array" ref="N1144">XLOOKUP(I1144,customers_clean!$A$2:$A$701,customers_clean!$H$2:$H$701)</f>
        <v>gabe.king@shop.io</v>
      </c>
      <c r="O1144" s="9" t="str">
        <f>IFERROR(__xludf.DUMMYFUNCTION("IF(REGEXMATCH(TRIM(N1144),""^[A-Za-z0-9._%+-]+@[A-Za-z0-9.-]+\.[A-Za-z]{2,}$""),""✅ Valid"",""❌ Invalid"")"),"✅ Valid")</f>
        <v>✅ Valid</v>
      </c>
      <c r="P1144" s="2" t="str">
        <f t="array" ref="P1144">XLOOKUP(I1144,customers_clean!$A$2:$A$701,customers_clean!$K$2:$K$701)</f>
        <v>+33709001521 ext 134</v>
      </c>
      <c r="Q1144" s="10" t="str">
        <f t="array" ref="Q1144">XLOOKUP(I1144,customers_clean!$A$2:$A$701,customers_clean!$N$2:$N$701)</f>
        <v>709001521</v>
      </c>
      <c r="R1144" s="9" t="str">
        <f t="array" ref="R1144">XLOOKUP(I1144,customers_clean!$A$2:$A$701,customers_clean!$Q$2:$Q$701)</f>
        <v>❌ INVALID</v>
      </c>
      <c r="S1144" s="10" t="s">
        <v>25</v>
      </c>
      <c r="T1144" s="2" t="s">
        <v>42</v>
      </c>
      <c r="U1144" s="2" t="s">
        <v>401</v>
      </c>
      <c r="V1144" s="2" t="s">
        <v>2605</v>
      </c>
      <c r="W1144" s="9" t="str">
        <f t="array" ref="W1144">IF(ISNA(XLOOKUP(V1144,products_master_corrected!$A$2:$A$151,products_master_corrected!$A$2:$A$151, NA())),
    "❌ MISSING SKU", "✅")</f>
        <v>✅</v>
      </c>
      <c r="X1144" s="2" t="s">
        <v>280</v>
      </c>
      <c r="Y1144" s="2" t="s">
        <v>292</v>
      </c>
      <c r="Z1144" s="10" t="s">
        <v>63</v>
      </c>
      <c r="AA1144" s="27">
        <v>2.0</v>
      </c>
      <c r="AB1144" s="9" t="s">
        <v>8649</v>
      </c>
      <c r="AC1144" s="28">
        <f t="array" ref="AC1144">XLOOKUP(V1144,products_master_corrected!$A$2:$A$151,products_master_corrected!$E$2:$E$151)</f>
        <v>142.47</v>
      </c>
      <c r="AD1144" s="28">
        <f t="shared" si="126"/>
        <v>284.94</v>
      </c>
      <c r="AE1144" s="28">
        <f t="array" ref="AE1144">XLOOKUP(V1144,products_master_corrected!$A$2:$A$151,products_master_corrected!$K$2:$K$151)</f>
        <v>733.01</v>
      </c>
      <c r="AF1144" s="29">
        <f t="shared" si="127"/>
        <v>1466.02</v>
      </c>
      <c r="AG1144" s="30" t="s">
        <v>95</v>
      </c>
      <c r="AH1144" s="2" t="s">
        <v>49</v>
      </c>
      <c r="AI1144" s="10" t="s">
        <v>49</v>
      </c>
      <c r="AJ1144" s="2" t="s">
        <v>294</v>
      </c>
      <c r="AK1144" s="10" t="s">
        <v>80</v>
      </c>
      <c r="AL1144" s="2" t="s">
        <v>51</v>
      </c>
    </row>
    <row r="1145" ht="15.75" customHeight="1">
      <c r="A1145" s="2" t="s">
        <v>3793</v>
      </c>
      <c r="B1145" s="12" t="s">
        <v>3794</v>
      </c>
      <c r="C1145" s="2" t="str">
        <f>IFERROR(__xludf.DUMMYFUNCTION("IF(ISNUMBER(B1145),TEXT(B1145,""yyyy-MM-dd""),REGEXREPLACE(REGEXREPLACE(TO_TEXT(B1145),""[^0-9a-zA-Z]+"",""-""),""[^0-9]*$"",""""))"),"45282-20-46")</f>
        <v>45282-20-46</v>
      </c>
      <c r="D1145" s="2" t="str">
        <f>TEXT(C1145,"yyyy-MM-dd")</f>
        <v>45282-20-46</v>
      </c>
      <c r="E1145" s="25" t="str">
        <f>CONCATENATE(LEFT(D1145,5))</f>
        <v>45282</v>
      </c>
      <c r="F1145" s="12">
        <f>DATE(1900,1,1) + E1145 - 1</f>
        <v>45283</v>
      </c>
      <c r="G1145" s="2" t="s">
        <v>8998</v>
      </c>
      <c r="H1145" s="10" t="s">
        <v>8998</v>
      </c>
      <c r="I1145" s="2" t="s">
        <v>3443</v>
      </c>
      <c r="J1145" s="26" t="str">
        <f t="array" ref="J1145">IF(ISNA(XLOOKUP(I1145,customers_clean!$A$2:$A$701,customers_clean!$A$2:$A$701, NA()) ),
   "❌ MISSING CUSTOMER", "✅")</f>
        <v>✅</v>
      </c>
      <c r="K1145" s="2" t="str">
        <f t="array" ref="K1145">XLOOKUP(I1145,customers_clean!$A$2:$A$701,customers_clean!$C$2:$C$701)</f>
        <v> Ken Walker</v>
      </c>
      <c r="L1145" s="10" t="str">
        <f t="array" ref="L1145">XLOOKUP(I1145,customers_clean!$A$2:$A$701,customers_clean!$D$2:$D$701)</f>
        <v>Ken Walker</v>
      </c>
      <c r="M1145" s="2" t="str">
        <f t="array" ref="M1145">XLOOKUP(I1145,customers_clean!$A$2:$A$701,customers_clean!$I$2:$I$701)</f>
        <v>ken.walker@outlook.com</v>
      </c>
      <c r="N1145" s="10" t="str">
        <f t="array" ref="N1145">XLOOKUP(I1145,customers_clean!$A$2:$A$701,customers_clean!$H$2:$H$701)</f>
        <v>ken.walker@outlook.com</v>
      </c>
      <c r="O1145" s="9" t="str">
        <f>IFERROR(__xludf.DUMMYFUNCTION("IF(REGEXMATCH(TRIM(N1145),""^[A-Za-z0-9._%+-]+@[A-Za-z0-9.-]+\.[A-Za-z]{2,}$""),""✅ Valid"",""❌ Invalid"")"),"✅ Valid")</f>
        <v>✅ Valid</v>
      </c>
      <c r="P1145" s="2" t="str">
        <f t="array" ref="P1145">XLOOKUP(I1145,customers_clean!$A$2:$A$701,customers_clean!$K$2:$K$701)</f>
        <v>375-766-36023</v>
      </c>
      <c r="Q1145" s="10" t="str">
        <f t="array" ref="Q1145">XLOOKUP(I1145,customers_clean!$A$2:$A$701,customers_clean!$N$2:$N$701)</f>
        <v>37576636023</v>
      </c>
      <c r="R1145" s="9" t="str">
        <f t="array" ref="R1145">XLOOKUP(I1145,customers_clean!$A$2:$A$701,customers_clean!$Q$2:$Q$701)</f>
        <v>❌ INVALID</v>
      </c>
      <c r="S1145" s="31" t="s">
        <v>671</v>
      </c>
      <c r="T1145" s="2" t="s">
        <v>74</v>
      </c>
      <c r="U1145" s="2" t="s">
        <v>512</v>
      </c>
      <c r="V1145" s="2" t="s">
        <v>2631</v>
      </c>
      <c r="W1145" s="9" t="str">
        <f t="array" ref="W1145">IF(ISNA(XLOOKUP(V1145,products_master_corrected!$A$2:$A$151,products_master_corrected!$A$2:$A$151, NA())),
    "❌ MISSING SKU", "✅")</f>
        <v>✅</v>
      </c>
      <c r="X1145" s="2" t="s">
        <v>905</v>
      </c>
      <c r="Y1145" s="2" t="s">
        <v>248</v>
      </c>
      <c r="Z1145" s="10" t="s">
        <v>248</v>
      </c>
      <c r="AA1145" s="27">
        <v>1.0</v>
      </c>
      <c r="AB1145" s="9" t="s">
        <v>8649</v>
      </c>
      <c r="AC1145" s="28">
        <f t="array" ref="AC1145">XLOOKUP(V1145,products_master_corrected!$A$2:$A$151,products_master_corrected!$E$2:$E$151)</f>
        <v>143.88</v>
      </c>
      <c r="AD1145" s="28">
        <f t="shared" si="126"/>
        <v>143.88</v>
      </c>
      <c r="AE1145" s="28">
        <f t="array" ref="AE1145">XLOOKUP(V1145,products_master_corrected!$A$2:$A$151,products_master_corrected!$J$2:$J$151)</f>
        <v>167.81</v>
      </c>
      <c r="AF1145" s="29">
        <f t="shared" si="127"/>
        <v>167.81</v>
      </c>
      <c r="AG1145" s="32" t="s">
        <v>8656</v>
      </c>
      <c r="AH1145" s="2" t="s">
        <v>33</v>
      </c>
      <c r="AI1145" s="10" t="s">
        <v>181</v>
      </c>
      <c r="AJ1145" s="2" t="s">
        <v>345</v>
      </c>
      <c r="AK1145" s="10" t="s">
        <v>261</v>
      </c>
    </row>
    <row r="1146" ht="15.75" customHeight="1">
      <c r="A1146" s="2" t="s">
        <v>5722</v>
      </c>
      <c r="B1146" s="12">
        <v>45104.0</v>
      </c>
      <c r="C1146" s="2" t="str">
        <f>IFERROR(__xludf.DUMMYFUNCTION("IF(ISNUMBER(B1146),TEXT(B1146,""yyyy-MM-dd""),REGEXREPLACE(REGEXREPLACE(TO_TEXT(B1146),""[^0-9a-zA-Z]+"",""-""),""[^0-9]*$"",""""))"),"2023-06-27")</f>
        <v>2023-06-27</v>
      </c>
      <c r="D1146" s="2" t="s">
        <v>5723</v>
      </c>
      <c r="H1146" s="10" t="s">
        <v>5723</v>
      </c>
      <c r="I1146" s="2" t="s">
        <v>3443</v>
      </c>
      <c r="J1146" s="26" t="str">
        <f t="array" ref="J1146">IF(ISNA(XLOOKUP(I1146,customers_clean!$A$2:$A$701,customers_clean!$A$2:$A$701, NA()) ),
   "❌ MISSING CUSTOMER", "✅")</f>
        <v>✅</v>
      </c>
      <c r="K1146" s="2" t="str">
        <f t="array" ref="K1146">XLOOKUP(I1146,customers_clean!$A$2:$A$701,customers_clean!$C$2:$C$701)</f>
        <v> Ken Walker</v>
      </c>
      <c r="L1146" s="10" t="str">
        <f t="array" ref="L1146">XLOOKUP(I1146,customers_clean!$A$2:$A$701,customers_clean!$D$2:$D$701)</f>
        <v>Ken Walker</v>
      </c>
      <c r="M1146" s="2" t="str">
        <f t="array" ref="M1146">XLOOKUP(I1146,customers_clean!$A$2:$A$701,customers_clean!$I$2:$I$701)</f>
        <v>ken.walker@outlook.com</v>
      </c>
      <c r="N1146" s="10" t="str">
        <f t="array" ref="N1146">XLOOKUP(I1146,customers_clean!$A$2:$A$701,customers_clean!$H$2:$H$701)</f>
        <v>ken.walker@outlook.com</v>
      </c>
      <c r="O1146" s="9" t="str">
        <f>IFERROR(__xludf.DUMMYFUNCTION("IF(REGEXMATCH(TRIM(N1146),""^[A-Za-z0-9._%+-]+@[A-Za-z0-9.-]+\.[A-Za-z]{2,}$""),""✅ Valid"",""❌ Invalid"")"),"✅ Valid")</f>
        <v>✅ Valid</v>
      </c>
      <c r="P1146" s="2" t="str">
        <f t="array" ref="P1146">XLOOKUP(I1146,customers_clean!$A$2:$A$701,customers_clean!$K$2:$K$701)</f>
        <v>375-766-36023</v>
      </c>
      <c r="Q1146" s="10" t="str">
        <f t="array" ref="Q1146">XLOOKUP(I1146,customers_clean!$A$2:$A$701,customers_clean!$N$2:$N$701)</f>
        <v>37576636023</v>
      </c>
      <c r="R1146" s="9" t="str">
        <f t="array" ref="R1146">XLOOKUP(I1146,customers_clean!$A$2:$A$701,customers_clean!$Q$2:$Q$701)</f>
        <v>❌ INVALID</v>
      </c>
      <c r="S1146" s="31" t="s">
        <v>671</v>
      </c>
      <c r="T1146" s="2" t="s">
        <v>42</v>
      </c>
      <c r="U1146" s="2" t="s">
        <v>176</v>
      </c>
      <c r="V1146" s="2" t="s">
        <v>3582</v>
      </c>
      <c r="W1146" s="9" t="str">
        <f t="array" ref="W1146">IF(ISNA(XLOOKUP(V1146,products_master_corrected!$A$2:$A$151,products_master_corrected!$A$2:$A$151, NA())),
    "❌ MISSING SKU", "✅")</f>
        <v>✅</v>
      </c>
      <c r="X1146" s="2" t="s">
        <v>741</v>
      </c>
      <c r="Y1146" s="2" t="s">
        <v>248</v>
      </c>
      <c r="Z1146" s="10" t="s">
        <v>248</v>
      </c>
      <c r="AA1146" s="27">
        <v>1.0</v>
      </c>
      <c r="AB1146" s="9" t="s">
        <v>8649</v>
      </c>
      <c r="AC1146" s="28">
        <f t="array" ref="AC1146">XLOOKUP(V1146,products_master_corrected!$A$2:$A$151,products_master_corrected!$E$2:$E$151)</f>
        <v>23.62</v>
      </c>
      <c r="AD1146" s="28">
        <f t="shared" si="126"/>
        <v>23.62</v>
      </c>
      <c r="AE1146" s="28">
        <f t="array" ref="AE1146">XLOOKUP(V1146,products_master_corrected!$A$2:$A$151,products_master_corrected!$J$2:$J$151)</f>
        <v>27.55</v>
      </c>
      <c r="AF1146" s="29">
        <f t="shared" si="127"/>
        <v>27.55</v>
      </c>
      <c r="AG1146" s="32" t="s">
        <v>8656</v>
      </c>
      <c r="AH1146" s="2" t="s">
        <v>5725</v>
      </c>
      <c r="AI1146" s="10" t="s">
        <v>49</v>
      </c>
      <c r="AJ1146" s="2" t="s">
        <v>380</v>
      </c>
      <c r="AK1146" s="10" t="s">
        <v>80</v>
      </c>
      <c r="AL1146" s="2" t="s">
        <v>67</v>
      </c>
    </row>
    <row r="1147" ht="15.75" customHeight="1">
      <c r="A1147" s="2" t="s">
        <v>4063</v>
      </c>
      <c r="B1147" s="12">
        <v>45566.0</v>
      </c>
      <c r="C1147" s="2" t="str">
        <f>IFERROR(__xludf.DUMMYFUNCTION("IF(ISNUMBER(B1147),TEXT(B1147,""yyyy-MM-dd""),REGEXREPLACE(REGEXREPLACE(TO_TEXT(B1147),""[^0-9a-zA-Z]+"",""-""),""[^0-9]*$"",""""))"),"2024-10-01")</f>
        <v>2024-10-01</v>
      </c>
      <c r="D1147" s="2" t="s">
        <v>3187</v>
      </c>
      <c r="H1147" s="10" t="s">
        <v>3187</v>
      </c>
      <c r="I1147" s="2" t="s">
        <v>3443</v>
      </c>
      <c r="J1147" s="26" t="str">
        <f t="array" ref="J1147">IF(ISNA(XLOOKUP(I1147,customers_clean!$A$2:$A$701,customers_clean!$A$2:$A$701, NA()) ),
   "❌ MISSING CUSTOMER", "✅")</f>
        <v>✅</v>
      </c>
      <c r="K1147" s="2" t="str">
        <f t="array" ref="K1147">XLOOKUP(I1147,customers_clean!$A$2:$A$701,customers_clean!$C$2:$C$701)</f>
        <v> Ken Walker</v>
      </c>
      <c r="L1147" s="10" t="str">
        <f t="array" ref="L1147">XLOOKUP(I1147,customers_clean!$A$2:$A$701,customers_clean!$D$2:$D$701)</f>
        <v>Ken Walker</v>
      </c>
      <c r="M1147" s="2" t="str">
        <f t="array" ref="M1147">XLOOKUP(I1147,customers_clean!$A$2:$A$701,customers_clean!$I$2:$I$701)</f>
        <v>ken.walker@outlook.com</v>
      </c>
      <c r="N1147" s="10" t="str">
        <f t="array" ref="N1147">XLOOKUP(I1147,customers_clean!$A$2:$A$701,customers_clean!$H$2:$H$701)</f>
        <v>ken.walker@outlook.com</v>
      </c>
      <c r="O1147" s="9" t="str">
        <f>IFERROR(__xludf.DUMMYFUNCTION("IF(REGEXMATCH(TRIM(N1147),""^[A-Za-z0-9._%+-]+@[A-Za-z0-9.-]+\.[A-Za-z]{2,}$""),""✅ Valid"",""❌ Invalid"")"),"✅ Valid")</f>
        <v>✅ Valid</v>
      </c>
      <c r="P1147" s="2" t="str">
        <f t="array" ref="P1147">XLOOKUP(I1147,customers_clean!$A$2:$A$701,customers_clean!$K$2:$K$701)</f>
        <v>375-766-36023</v>
      </c>
      <c r="Q1147" s="10" t="str">
        <f t="array" ref="Q1147">XLOOKUP(I1147,customers_clean!$A$2:$A$701,customers_clean!$N$2:$N$701)</f>
        <v>37576636023</v>
      </c>
      <c r="R1147" s="9" t="str">
        <f t="array" ref="R1147">XLOOKUP(I1147,customers_clean!$A$2:$A$701,customers_clean!$Q$2:$Q$701)</f>
        <v>❌ INVALID</v>
      </c>
      <c r="S1147" s="31" t="s">
        <v>671</v>
      </c>
      <c r="T1147" s="2" t="s">
        <v>802</v>
      </c>
      <c r="U1147" s="2" t="s">
        <v>480</v>
      </c>
      <c r="V1147" s="2" t="s">
        <v>824</v>
      </c>
      <c r="W1147" s="9" t="str">
        <f t="array" ref="W1147">IF(ISNA(XLOOKUP(V1147,products_master_corrected!$A$2:$A$151,products_master_corrected!$A$2:$A$151, NA())),
    "❌ MISSING SKU", "✅")</f>
        <v>✅</v>
      </c>
      <c r="X1147" s="2" t="s">
        <v>825</v>
      </c>
      <c r="Y1147" s="2" t="s">
        <v>826</v>
      </c>
      <c r="Z1147" s="10" t="s">
        <v>63</v>
      </c>
      <c r="AA1147" s="27">
        <v>1.0</v>
      </c>
      <c r="AB1147" s="9" t="s">
        <v>8649</v>
      </c>
      <c r="AC1147" s="28">
        <f t="array" ref="AC1147">XLOOKUP(V1147,products_master_corrected!$A$2:$A$151,products_master_corrected!$E$2:$E$151)</f>
        <v>49.58</v>
      </c>
      <c r="AD1147" s="28">
        <f t="shared" si="126"/>
        <v>49.58</v>
      </c>
      <c r="AE1147" s="28">
        <f t="array" ref="AE1147">XLOOKUP(V1147,products_master_corrected!$A$2:$A$151,products_master_corrected!$J$2:$J$151)</f>
        <v>57.83</v>
      </c>
      <c r="AF1147" s="29">
        <f t="shared" si="127"/>
        <v>57.83</v>
      </c>
      <c r="AG1147" s="32" t="s">
        <v>8656</v>
      </c>
      <c r="AH1147" s="2" t="s">
        <v>66</v>
      </c>
      <c r="AI1147" s="10" t="s">
        <v>66</v>
      </c>
      <c r="AJ1147" s="2" t="s">
        <v>294</v>
      </c>
      <c r="AK1147" s="10" t="s">
        <v>80</v>
      </c>
      <c r="AL1147" s="2" t="s">
        <v>81</v>
      </c>
    </row>
    <row r="1148" ht="15.75" customHeight="1">
      <c r="A1148" s="2" t="s">
        <v>3441</v>
      </c>
      <c r="B1148" s="12">
        <v>45031.0</v>
      </c>
      <c r="C1148" s="2" t="str">
        <f>IFERROR(__xludf.DUMMYFUNCTION("IF(ISNUMBER(B1148),TEXT(B1148,""yyyy-MM-dd""),REGEXREPLACE(REGEXREPLACE(TO_TEXT(B1148),""[^0-9a-zA-Z]+"",""-""),""[^0-9]*$"",""""))"),"2023-04-15")</f>
        <v>2023-04-15</v>
      </c>
      <c r="D1148" s="2" t="s">
        <v>8325</v>
      </c>
      <c r="H1148" s="10" t="s">
        <v>8325</v>
      </c>
      <c r="I1148" s="2" t="s">
        <v>3443</v>
      </c>
      <c r="J1148" s="26" t="str">
        <f t="array" ref="J1148">IF(ISNA(XLOOKUP(I1148,customers_clean!$A$2:$A$701,customers_clean!$A$2:$A$701, NA()) ),
   "❌ MISSING CUSTOMER", "✅")</f>
        <v>✅</v>
      </c>
      <c r="K1148" s="2" t="str">
        <f t="array" ref="K1148">XLOOKUP(I1148,customers_clean!$A$2:$A$701,customers_clean!$C$2:$C$701)</f>
        <v> Ken Walker</v>
      </c>
      <c r="L1148" s="10" t="str">
        <f t="array" ref="L1148">XLOOKUP(I1148,customers_clean!$A$2:$A$701,customers_clean!$D$2:$D$701)</f>
        <v>Ken Walker</v>
      </c>
      <c r="M1148" s="2" t="str">
        <f t="array" ref="M1148">XLOOKUP(I1148,customers_clean!$A$2:$A$701,customers_clean!$I$2:$I$701)</f>
        <v>ken.walker@outlook.com</v>
      </c>
      <c r="N1148" s="10" t="str">
        <f t="array" ref="N1148">XLOOKUP(I1148,customers_clean!$A$2:$A$701,customers_clean!$H$2:$H$701)</f>
        <v>ken.walker@outlook.com</v>
      </c>
      <c r="O1148" s="9" t="str">
        <f>IFERROR(__xludf.DUMMYFUNCTION("IF(REGEXMATCH(TRIM(N1148),""^[A-Za-z0-9._%+-]+@[A-Za-z0-9.-]+\.[A-Za-z]{2,}$""),""✅ Valid"",""❌ Invalid"")"),"✅ Valid")</f>
        <v>✅ Valid</v>
      </c>
      <c r="P1148" s="2" t="str">
        <f t="array" ref="P1148">XLOOKUP(I1148,customers_clean!$A$2:$A$701,customers_clean!$K$2:$K$701)</f>
        <v>375-766-36023</v>
      </c>
      <c r="Q1148" s="10" t="str">
        <f t="array" ref="Q1148">XLOOKUP(I1148,customers_clean!$A$2:$A$701,customers_clean!$N$2:$N$701)</f>
        <v>37576636023</v>
      </c>
      <c r="R1148" s="9" t="str">
        <f t="array" ref="R1148">XLOOKUP(I1148,customers_clean!$A$2:$A$701,customers_clean!$Q$2:$Q$701)</f>
        <v>❌ INVALID</v>
      </c>
      <c r="S1148" s="31" t="s">
        <v>671</v>
      </c>
      <c r="T1148" s="2" t="s">
        <v>3448</v>
      </c>
      <c r="U1148" s="2" t="s">
        <v>3449</v>
      </c>
      <c r="V1148" s="2" t="s">
        <v>200</v>
      </c>
      <c r="W1148" s="9" t="str">
        <f t="array" ref="W1148">IF(ISNA(XLOOKUP(V1148,products_master_corrected!$A$2:$A$151,products_master_corrected!$A$2:$A$151, NA())),
    "❌ MISSING SKU", "✅")</f>
        <v>✅</v>
      </c>
      <c r="X1148" s="2" t="s">
        <v>190</v>
      </c>
      <c r="Y1148" s="2" t="s">
        <v>202</v>
      </c>
      <c r="Z1148" s="10" t="s">
        <v>63</v>
      </c>
      <c r="AA1148" s="27">
        <v>2.0</v>
      </c>
      <c r="AB1148" s="9" t="s">
        <v>8649</v>
      </c>
      <c r="AC1148" s="28">
        <f t="array" ref="AC1148">XLOOKUP(V1148,products_master_corrected!$A$2:$A$151,products_master_corrected!$E$2:$E$151)</f>
        <v>61.21</v>
      </c>
      <c r="AD1148" s="28">
        <f t="shared" si="126"/>
        <v>122.42</v>
      </c>
      <c r="AE1148" s="28">
        <f t="array" ref="AE1148">XLOOKUP(V1148,products_master_corrected!$A$2:$A$151,products_master_corrected!$J$2:$J$151)</f>
        <v>71.39</v>
      </c>
      <c r="AF1148" s="29">
        <f t="shared" si="127"/>
        <v>142.78</v>
      </c>
      <c r="AG1148" s="32" t="s">
        <v>8656</v>
      </c>
      <c r="AH1148" s="2" t="s">
        <v>305</v>
      </c>
      <c r="AI1148" s="10" t="s">
        <v>49</v>
      </c>
      <c r="AJ1148" s="2" t="s">
        <v>452</v>
      </c>
      <c r="AK1148" s="10" t="s">
        <v>261</v>
      </c>
    </row>
    <row r="1149" ht="15.75" customHeight="1">
      <c r="A1149" s="2" t="s">
        <v>4355</v>
      </c>
      <c r="B1149" s="12">
        <v>45270.96944444445</v>
      </c>
      <c r="C1149" s="2" t="str">
        <f>IFERROR(__xludf.DUMMYFUNCTION("IF(ISNUMBER(B1149),TEXT(B1149,""yyyy-MM-dd""),REGEXREPLACE(REGEXREPLACE(TO_TEXT(B1149),""[^0-9a-zA-Z]+"",""-""),""[^0-9]*$"",""""))"),"2023-12-10")</f>
        <v>2023-12-10</v>
      </c>
      <c r="D1149" s="2" t="s">
        <v>8354</v>
      </c>
      <c r="H1149" s="10" t="s">
        <v>8354</v>
      </c>
      <c r="I1149" s="2" t="s">
        <v>4357</v>
      </c>
      <c r="J1149" s="26" t="str">
        <f t="array" ref="J1149">IF(ISNA(XLOOKUP(I1149,customers_clean!$A$2:$A$701,customers_clean!$A$2:$A$701, NA()) ),
   "❌ MISSING CUSTOMER", "✅")</f>
        <v>✅</v>
      </c>
      <c r="K1149" s="2" t="str">
        <f t="array" ref="K1149">XLOOKUP(I1149,customers_clean!$A$2:$A$701,customers_clean!$C$2:$C$701)</f>
        <v>Marek Young</v>
      </c>
      <c r="L1149" s="10" t="str">
        <f t="array" ref="L1149">XLOOKUP(I1149,customers_clean!$A$2:$A$701,customers_clean!$D$2:$D$701)</f>
        <v>Marek Young</v>
      </c>
      <c r="M1149" s="2" t="str">
        <f t="array" ref="M1149">XLOOKUP(I1149,customers_clean!$A$2:$A$701,customers_clean!$I$2:$I$701)</f>
        <v>marek.young@gmail.com</v>
      </c>
      <c r="N1149" s="10" t="str">
        <f t="array" ref="N1149">XLOOKUP(I1149,customers_clean!$A$2:$A$701,customers_clean!$H$2:$H$701)</f>
        <v>marek.young@gmail.com</v>
      </c>
      <c r="O1149" s="9" t="str">
        <f>IFERROR(__xludf.DUMMYFUNCTION("IF(REGEXMATCH(TRIM(N1149),""^[A-Za-z0-9._%+-]+@[A-Za-z0-9.-]+\.[A-Za-z]{2,}$""),""✅ Valid"",""❌ Invalid"")"),"✅ Valid")</f>
        <v>✅ Valid</v>
      </c>
      <c r="P1149" s="2" t="str">
        <f t="array" ref="P1149">XLOOKUP(I1149,customers_clean!$A$2:$A$701,customers_clean!$K$2:$K$701)</f>
        <v>(327) 1708358</v>
      </c>
      <c r="Q1149" s="10" t="str">
        <f t="array" ref="Q1149">XLOOKUP(I1149,customers_clean!$A$2:$A$701,customers_clean!$N$2:$N$701)</f>
        <v>3271708358</v>
      </c>
      <c r="R1149" s="9" t="str">
        <f t="array" ref="R1149">XLOOKUP(I1149,customers_clean!$A$2:$A$701,customers_clean!$Q$2:$Q$701)</f>
        <v>✅ VALID</v>
      </c>
      <c r="S1149" s="10" t="s">
        <v>88</v>
      </c>
      <c r="T1149" s="2" t="s">
        <v>42</v>
      </c>
      <c r="U1149" s="2" t="s">
        <v>90</v>
      </c>
      <c r="V1149" s="2" t="s">
        <v>2539</v>
      </c>
      <c r="W1149" s="9" t="str">
        <f t="array" ref="W1149">IF(ISNA(XLOOKUP(V1149,products_master_corrected!$A$2:$A$151,products_master_corrected!$A$2:$A$151, NA())),
    "❌ MISSING SKU", "✅")</f>
        <v>✅</v>
      </c>
      <c r="X1149" s="2" t="s">
        <v>403</v>
      </c>
      <c r="Y1149" s="2" t="s">
        <v>1328</v>
      </c>
      <c r="Z1149" s="10" t="s">
        <v>179</v>
      </c>
      <c r="AA1149" s="27">
        <v>1.0</v>
      </c>
      <c r="AB1149" s="9" t="s">
        <v>8649</v>
      </c>
      <c r="AC1149" s="28">
        <f t="array" ref="AC1149">XLOOKUP(V1149,products_master_corrected!$A$2:$A$151,products_master_corrected!$E$2:$E$151)</f>
        <v>25.41</v>
      </c>
      <c r="AD1149" s="28">
        <f t="shared" si="126"/>
        <v>25.41</v>
      </c>
      <c r="AE1149" s="28">
        <f t="array" ref="AE1149">XLOOKUP(V1149,products_master_corrected!$A$2:$A$151,products_master_corrected!$I$2:$I$151)</f>
        <v>28.01</v>
      </c>
      <c r="AF1149" s="29">
        <f t="shared" si="127"/>
        <v>28.01</v>
      </c>
      <c r="AG1149" s="32" t="s">
        <v>8660</v>
      </c>
      <c r="AH1149" s="2" t="s">
        <v>4362</v>
      </c>
      <c r="AI1149" s="10" t="s">
        <v>181</v>
      </c>
      <c r="AJ1149" s="2" t="s">
        <v>294</v>
      </c>
      <c r="AK1149" s="10" t="s">
        <v>80</v>
      </c>
      <c r="AL1149" s="2" t="s">
        <v>133</v>
      </c>
    </row>
    <row r="1150" ht="15.75" customHeight="1">
      <c r="A1150" s="2" t="s">
        <v>5366</v>
      </c>
      <c r="B1150" s="12">
        <v>45026.0</v>
      </c>
      <c r="C1150" s="2" t="str">
        <f>IFERROR(__xludf.DUMMYFUNCTION("IF(ISNUMBER(B1150),TEXT(B1150,""yyyy-MM-dd""),REGEXREPLACE(REGEXREPLACE(TO_TEXT(B1150),""[^0-9a-zA-Z]+"",""-""),""[^0-9]*$"",""""))"),"2023-04-10")</f>
        <v>2023-04-10</v>
      </c>
      <c r="D1150" s="2" t="s">
        <v>8744</v>
      </c>
      <c r="H1150" s="10" t="s">
        <v>8744</v>
      </c>
      <c r="I1150" s="2" t="s">
        <v>4357</v>
      </c>
      <c r="J1150" s="26" t="str">
        <f t="array" ref="J1150">IF(ISNA(XLOOKUP(I1150,customers_clean!$A$2:$A$701,customers_clean!$A$2:$A$701, NA()) ),
   "❌ MISSING CUSTOMER", "✅")</f>
        <v>✅</v>
      </c>
      <c r="K1150" s="2" t="str">
        <f t="array" ref="K1150">XLOOKUP(I1150,customers_clean!$A$2:$A$701,customers_clean!$C$2:$C$701)</f>
        <v>Marek Young</v>
      </c>
      <c r="L1150" s="10" t="str">
        <f t="array" ref="L1150">XLOOKUP(I1150,customers_clean!$A$2:$A$701,customers_clean!$D$2:$D$701)</f>
        <v>Marek Young</v>
      </c>
      <c r="M1150" s="2" t="str">
        <f t="array" ref="M1150">XLOOKUP(I1150,customers_clean!$A$2:$A$701,customers_clean!$I$2:$I$701)</f>
        <v>marek.young@gmail.com</v>
      </c>
      <c r="N1150" s="10" t="str">
        <f t="array" ref="N1150">XLOOKUP(I1150,customers_clean!$A$2:$A$701,customers_clean!$H$2:$H$701)</f>
        <v>marek.young@gmail.com</v>
      </c>
      <c r="O1150" s="9" t="str">
        <f>IFERROR(__xludf.DUMMYFUNCTION("IF(REGEXMATCH(TRIM(N1150),""^[A-Za-z0-9._%+-]+@[A-Za-z0-9.-]+\.[A-Za-z]{2,}$""),""✅ Valid"",""❌ Invalid"")"),"✅ Valid")</f>
        <v>✅ Valid</v>
      </c>
      <c r="P1150" s="2" t="str">
        <f t="array" ref="P1150">XLOOKUP(I1150,customers_clean!$A$2:$A$701,customers_clean!$K$2:$K$701)</f>
        <v>(327) 1708358</v>
      </c>
      <c r="Q1150" s="10" t="str">
        <f t="array" ref="Q1150">XLOOKUP(I1150,customers_clean!$A$2:$A$701,customers_clean!$N$2:$N$701)</f>
        <v>3271708358</v>
      </c>
      <c r="R1150" s="9" t="str">
        <f t="array" ref="R1150">XLOOKUP(I1150,customers_clean!$A$2:$A$701,customers_clean!$Q$2:$Q$701)</f>
        <v>✅ VALID</v>
      </c>
      <c r="S1150" s="10" t="s">
        <v>88</v>
      </c>
      <c r="T1150" s="2" t="s">
        <v>460</v>
      </c>
      <c r="U1150" s="2" t="s">
        <v>90</v>
      </c>
      <c r="V1150" s="2" t="s">
        <v>852</v>
      </c>
      <c r="W1150" s="9" t="str">
        <f t="array" ref="W1150">IF(ISNA(XLOOKUP(V1150,products_master_corrected!$A$2:$A$151,products_master_corrected!$A$2:$A$151, NA())),
    "❌ MISSING SKU", "✅")</f>
        <v>✅</v>
      </c>
      <c r="X1150" s="2" t="s">
        <v>213</v>
      </c>
      <c r="Y1150" s="2" t="s">
        <v>167</v>
      </c>
      <c r="Z1150" s="10" t="str">
        <f>PROPER(TRIM(Y1150))</f>
        <v>Monitors</v>
      </c>
      <c r="AA1150" s="27">
        <v>3.0</v>
      </c>
      <c r="AB1150" s="9" t="s">
        <v>8649</v>
      </c>
      <c r="AC1150" s="28">
        <f t="array" ref="AC1150">XLOOKUP(V1150,products_master_corrected!$A$2:$A$151,products_master_corrected!$E$2:$E$151)</f>
        <v>1114.6</v>
      </c>
      <c r="AD1150" s="28">
        <f t="shared" si="126"/>
        <v>3343.8</v>
      </c>
      <c r="AE1150" s="28">
        <f t="array" ref="AE1150">XLOOKUP(V1150,products_master_corrected!$A$2:$A$151,products_master_corrected!$I$2:$I$151)</f>
        <v>1228.74</v>
      </c>
      <c r="AF1150" s="29">
        <f t="shared" si="127"/>
        <v>3686.22</v>
      </c>
      <c r="AG1150" s="32" t="s">
        <v>8660</v>
      </c>
      <c r="AH1150" s="2" t="s">
        <v>305</v>
      </c>
      <c r="AI1150" s="10" t="s">
        <v>49</v>
      </c>
      <c r="AJ1150" s="2" t="s">
        <v>169</v>
      </c>
      <c r="AK1150" s="10" t="s">
        <v>261</v>
      </c>
      <c r="AL1150" s="2" t="s">
        <v>81</v>
      </c>
    </row>
    <row r="1151" ht="15.75" customHeight="1">
      <c r="A1151" s="2" t="s">
        <v>6020</v>
      </c>
      <c r="B1151" s="12">
        <v>45506.10555555556</v>
      </c>
      <c r="C1151" s="2" t="str">
        <f>IFERROR(__xludf.DUMMYFUNCTION("IF(ISNUMBER(B1151),TEXT(B1151,""yyyy-MM-dd""),REGEXREPLACE(REGEXREPLACE(TO_TEXT(B1151),""[^0-9a-zA-Z]+"",""-""),""[^0-9]*$"",""""))"),"2024-08-02")</f>
        <v>2024-08-02</v>
      </c>
      <c r="D1151" s="2" t="s">
        <v>6569</v>
      </c>
      <c r="H1151" s="10" t="s">
        <v>6569</v>
      </c>
      <c r="I1151" s="2" t="s">
        <v>4357</v>
      </c>
      <c r="J1151" s="26" t="str">
        <f t="array" ref="J1151">IF(ISNA(XLOOKUP(I1151,customers_clean!$A$2:$A$701,customers_clean!$A$2:$A$701, NA()) ),
   "❌ MISSING CUSTOMER", "✅")</f>
        <v>✅</v>
      </c>
      <c r="K1151" s="2" t="str">
        <f t="array" ref="K1151">XLOOKUP(I1151,customers_clean!$A$2:$A$701,customers_clean!$C$2:$C$701)</f>
        <v>Marek Young</v>
      </c>
      <c r="L1151" s="10" t="str">
        <f t="array" ref="L1151">XLOOKUP(I1151,customers_clean!$A$2:$A$701,customers_clean!$D$2:$D$701)</f>
        <v>Marek Young</v>
      </c>
      <c r="M1151" s="2" t="str">
        <f t="array" ref="M1151">XLOOKUP(I1151,customers_clean!$A$2:$A$701,customers_clean!$I$2:$I$701)</f>
        <v>marek.young@gmail.com</v>
      </c>
      <c r="N1151" s="10" t="str">
        <f t="array" ref="N1151">XLOOKUP(I1151,customers_clean!$A$2:$A$701,customers_clean!$H$2:$H$701)</f>
        <v>marek.young@gmail.com</v>
      </c>
      <c r="O1151" s="9" t="str">
        <f>IFERROR(__xludf.DUMMYFUNCTION("IF(REGEXMATCH(TRIM(N1151),""^[A-Za-z0-9._%+-]+@[A-Za-z0-9.-]+\.[A-Za-z]{2,}$""),""✅ Valid"",""❌ Invalid"")"),"✅ Valid")</f>
        <v>✅ Valid</v>
      </c>
      <c r="P1151" s="2" t="str">
        <f t="array" ref="P1151">XLOOKUP(I1151,customers_clean!$A$2:$A$701,customers_clean!$K$2:$K$701)</f>
        <v>(327) 1708358</v>
      </c>
      <c r="Q1151" s="10" t="str">
        <f t="array" ref="Q1151">XLOOKUP(I1151,customers_clean!$A$2:$A$701,customers_clean!$N$2:$N$701)</f>
        <v>3271708358</v>
      </c>
      <c r="R1151" s="9" t="str">
        <f t="array" ref="R1151">XLOOKUP(I1151,customers_clean!$A$2:$A$701,customers_clean!$Q$2:$Q$701)</f>
        <v>✅ VALID</v>
      </c>
      <c r="S1151" s="10" t="s">
        <v>88</v>
      </c>
      <c r="T1151" s="2" t="s">
        <v>210</v>
      </c>
      <c r="U1151" s="2" t="s">
        <v>480</v>
      </c>
      <c r="V1151" s="2" t="s">
        <v>803</v>
      </c>
      <c r="W1151" s="9" t="str">
        <f t="array" ref="W1151">IF(ISNA(XLOOKUP(V1151,products_master_corrected!$A$2:$A$151,products_master_corrected!$A$2:$A$151, NA())),
    "❌ MISSING SKU", "✅")</f>
        <v>✅</v>
      </c>
      <c r="X1151" s="2" t="s">
        <v>804</v>
      </c>
      <c r="Y1151" s="2" t="s">
        <v>805</v>
      </c>
      <c r="Z1151" s="10" t="s">
        <v>355</v>
      </c>
      <c r="AA1151" s="37">
        <v>2.0</v>
      </c>
      <c r="AB1151" s="38" t="s">
        <v>8649</v>
      </c>
      <c r="AC1151" s="39">
        <f t="array" ref="AC1151">XLOOKUP(V1151,products_master_corrected!$A$2:$A$151,products_master_corrected!$E$2:$E$151)</f>
        <v>20.39</v>
      </c>
      <c r="AD1151" s="39">
        <f t="shared" si="126"/>
        <v>40.78</v>
      </c>
      <c r="AE1151" s="39">
        <f t="array" ref="AE1151">XLOOKUP(V1151,products_master_corrected!$A$2:$A$151,products_master_corrected!$I$2:$I$151)</f>
        <v>22.48</v>
      </c>
      <c r="AF1151" s="40">
        <f t="shared" si="127"/>
        <v>44.96</v>
      </c>
      <c r="AG1151" s="41" t="s">
        <v>8660</v>
      </c>
      <c r="AH1151" s="2" t="s">
        <v>664</v>
      </c>
      <c r="AI1151" s="10" t="s">
        <v>66</v>
      </c>
      <c r="AJ1151" s="2" t="s">
        <v>432</v>
      </c>
      <c r="AK1151" s="10" t="s">
        <v>80</v>
      </c>
    </row>
  </sheetData>
  <autoFilter ref="$A$1:$AS$1151">
    <sortState ref="A1:AS1151">
      <sortCondition ref="I1:I1151"/>
      <sortCondition ref="V1:V1151"/>
    </sortState>
  </autoFilter>
  <conditionalFormatting sqref="D1:D1151 H1148:H1151">
    <cfRule type="expression" dxfId="0" priority="1">
      <formula>REGEXMATCH(D1,"^\d{2}-\d{2}-\d{4}$")</formula>
    </cfRule>
  </conditionalFormatting>
  <conditionalFormatting sqref="D1:D1151 H1148:H1151">
    <cfRule type="expression" dxfId="3" priority="2">
      <formula>REGEXMATCH(D1,"^\d{5}-")</formula>
    </cfRule>
  </conditionalFormatting>
  <conditionalFormatting sqref="D1:D1151 H1148:H1151">
    <cfRule type="expression" dxfId="4" priority="3">
      <formula>REGEXMATCH(D1,"^\d{2}-\d{2}-\d{4}-\d{2}-\d{2}$")</formula>
    </cfRule>
  </conditionalFormatting>
  <conditionalFormatting sqref="F1:F1151 H1147">
    <cfRule type="expression" dxfId="5" priority="4">
      <formula>REGEXMATCH(F1,"^\d{2}-")</formula>
    </cfRule>
  </conditionalFormatting>
  <conditionalFormatting sqref="AC1:AC1151">
    <cfRule type="containsBlanks" dxfId="0" priority="5">
      <formula>LEN(TRIM(AC1))=0</formula>
    </cfRule>
  </conditionalFormatting>
  <conditionalFormatting sqref="AD1:AD1151">
    <cfRule type="containsBlanks" dxfId="0" priority="6">
      <formula>LEN(TRIM(AD1))=0</formula>
    </cfRule>
  </conditionalFormatting>
  <conditionalFormatting sqref="AE1:AE1151">
    <cfRule type="containsBlanks" dxfId="0" priority="7">
      <formula>LEN(TRIM(AE1))=0</formula>
    </cfRule>
  </conditionalFormatting>
  <conditionalFormatting sqref="AF1:AF1151">
    <cfRule type="containsBlanks" dxfId="0" priority="8">
      <formula>LEN(TRIM(AF1))=0</formula>
    </cfRule>
  </conditionalFormatting>
  <conditionalFormatting sqref="AA1:AA1151">
    <cfRule type="containsBlanks" dxfId="0" priority="9">
      <formula>LEN(TRIM(AA1))=0</formula>
    </cfRule>
  </conditionalFormatting>
  <conditionalFormatting sqref="AB1:AB1151">
    <cfRule type="containsText" dxfId="0" priority="10" operator="containsText" text="❌ Missing">
      <formula>NOT(ISERROR(SEARCH(("❌ Missing"),(AB1))))</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71"/>
    <col customWidth="1" min="2" max="2" width="23.0"/>
    <col customWidth="1" min="3" max="3" width="41.57"/>
    <col customWidth="1" min="4" max="4" width="6.57"/>
  </cols>
  <sheetData>
    <row r="2">
      <c r="B2" s="42" t="s">
        <v>9020</v>
      </c>
      <c r="C2" s="43" t="s">
        <v>9021</v>
      </c>
      <c r="D2" s="44">
        <f>COUNTIF(orders_clean!W2:W1151,"✅") / COUNTA(orders_clean!A2:A1151) * 100</f>
        <v>100</v>
      </c>
      <c r="F2" s="45" t="s">
        <v>9022</v>
      </c>
      <c r="G2" s="46"/>
    </row>
    <row r="3">
      <c r="B3" s="47"/>
      <c r="C3" s="16" t="s">
        <v>9023</v>
      </c>
      <c r="D3" s="48">
        <f>COUNTIF(orders_clean!J2:J1151, "✅") / COUNTA(orders_clean!A2:A1151) * 100</f>
        <v>100</v>
      </c>
      <c r="F3" s="49" t="s">
        <v>9024</v>
      </c>
      <c r="G3" s="48">
        <f t="array" ref="G3">COUNTBLANK({orders_clean!A2:A1000, orders_clean!H2:H1000, orders_clean!I2:I1000, orders_clean!S2:S1000, orders_clean!V2:V1000, orders_clean!X2:X1000, orders_clean!Z2:Z1000, orders_clean!AA2:AA1000, orders_clean!AI2:AI1000, orders_clean!AK2:AK1000})</f>
        <v>44</v>
      </c>
    </row>
    <row r="4">
      <c r="B4" s="50"/>
      <c r="C4" s="51" t="s">
        <v>9025</v>
      </c>
      <c r="D4" s="52">
        <v>0.0</v>
      </c>
      <c r="F4" s="49" t="s">
        <v>9026</v>
      </c>
      <c r="G4" s="53">
        <v>1150.0</v>
      </c>
    </row>
    <row r="5">
      <c r="B5" s="42" t="s">
        <v>9027</v>
      </c>
      <c r="C5" s="43" t="s">
        <v>9028</v>
      </c>
      <c r="D5" s="44">
        <f>COUNTIF(orders_clean!H2:H1151,"&lt;&gt;") / COUNTA(orders_clean!A2:A1151) * 100</f>
        <v>100</v>
      </c>
      <c r="F5" s="49" t="s">
        <v>9029</v>
      </c>
      <c r="G5" s="53">
        <v>10.0</v>
      </c>
    </row>
    <row r="6">
      <c r="B6" s="47"/>
      <c r="C6" s="16" t="s">
        <v>9030</v>
      </c>
      <c r="D6" s="48">
        <f>ROUND(COUNTIF(orders_clean!AB2:AB1151, "✅ OK") / COUNTA(orders_clean!A2:A1151) * 100,2)</f>
        <v>96.17</v>
      </c>
      <c r="F6" s="54" t="s">
        <v>9031</v>
      </c>
      <c r="G6" s="55"/>
    </row>
    <row r="7">
      <c r="B7" s="47"/>
      <c r="C7" s="16" t="s">
        <v>9032</v>
      </c>
      <c r="D7" s="48">
        <f>ROUND(G3 / (G4*G5),3)</f>
        <v>0.004</v>
      </c>
      <c r="F7" s="49" t="s">
        <v>9024</v>
      </c>
      <c r="G7" s="48">
        <f t="array" ref="G7">COUNTBLANK({customers_clean!A2:A1000, customers_clean!D2:D1000, customers_clean!H2:H1000, customers_clean!N2:N1000, customers_clean!Y2:Y1000})</f>
        <v>140</v>
      </c>
    </row>
    <row r="8">
      <c r="B8" s="50"/>
      <c r="C8" s="51" t="s">
        <v>9033</v>
      </c>
      <c r="D8" s="56">
        <f>G7 / (G8*G9)</f>
        <v>0.04</v>
      </c>
      <c r="F8" s="49" t="s">
        <v>9026</v>
      </c>
      <c r="G8" s="53">
        <v>700.0</v>
      </c>
    </row>
    <row r="9">
      <c r="B9" s="42" t="s">
        <v>9034</v>
      </c>
      <c r="C9" s="43" t="s">
        <v>9035</v>
      </c>
      <c r="D9" s="44">
        <f>IFERROR(__xludf.DUMMYFUNCTION("COUNTUNIQUE(customers_clean!A2:A701) / (COUNTA(customers_clean!A2:A701)) * 100"),100.0)</f>
        <v>100</v>
      </c>
      <c r="F9" s="57" t="s">
        <v>9029</v>
      </c>
      <c r="G9" s="52">
        <v>5.0</v>
      </c>
    </row>
    <row r="10">
      <c r="B10" s="47"/>
      <c r="C10" s="16" t="s">
        <v>9036</v>
      </c>
      <c r="D10" s="48">
        <f>IFERROR(__xludf.DUMMYFUNCTION("COUNTUNIQUE(products_master_corrected!A2:A151) / COUNTA(products_master_corrected!A2:A151) * 100"),100.0)</f>
        <v>100</v>
      </c>
    </row>
    <row r="11">
      <c r="B11" s="50"/>
      <c r="C11" s="51" t="s">
        <v>9037</v>
      </c>
      <c r="D11" s="56">
        <f>IFERROR(__xludf.DUMMYFUNCTION("ROUND( (COUNTA(orders_clean!A2:A1000) - COUNTUNIQUE(orders_clean!A2:A1000)) / COUNTA(orders_clean!A2:A1000) * 100 , 2)"),0.0)</f>
        <v>0</v>
      </c>
    </row>
    <row r="12">
      <c r="B12" s="42" t="s">
        <v>9038</v>
      </c>
      <c r="C12" s="43" t="s">
        <v>9039</v>
      </c>
      <c r="D12" s="44">
        <f>ROUND(COUNTIF(customers_clean!J2:J1000, "✅ Valid") / COUNTA(customers_clean!J2:J701) * 100, 2)</f>
        <v>99.4</v>
      </c>
    </row>
    <row r="13">
      <c r="B13" s="47"/>
      <c r="C13" s="16" t="s">
        <v>9040</v>
      </c>
      <c r="D13" s="48">
        <f>ROUND(COUNTIF(customers_clean!Q2:Q701, "✅ Valid") / COUNTA(customers_clean!Q2:Q701) * 100, 2)</f>
        <v>7.39</v>
      </c>
    </row>
    <row r="14">
      <c r="B14" s="50"/>
      <c r="C14" s="51" t="s">
        <v>9041</v>
      </c>
      <c r="D14" s="56">
        <f>ROUND(COUNTIF(customers_clean!F2:F701, "✅") / COUNTA(customers_clean!F2:F701) * 100,2)</f>
        <v>95.48</v>
      </c>
    </row>
  </sheetData>
  <mergeCells count="6">
    <mergeCell ref="B2:B4"/>
    <mergeCell ref="F2:G2"/>
    <mergeCell ref="B5:B8"/>
    <mergeCell ref="F6:G6"/>
    <mergeCell ref="B9:B11"/>
    <mergeCell ref="B12:B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hidden="1" min="2" max="2" width="30.0"/>
    <col customWidth="1" min="3" max="3" width="30.0"/>
    <col customWidth="1" min="4" max="4" width="11.86"/>
    <col customWidth="1" min="5" max="5" width="18.14"/>
    <col customWidth="1" min="6" max="6" width="16.57"/>
    <col customWidth="1" min="7" max="7" width="16.14"/>
    <col customWidth="1" min="8" max="8" width="16.29"/>
    <col customWidth="1" min="9" max="10" width="15.57"/>
    <col customWidth="1" min="11" max="11" width="15.71"/>
    <col customWidth="1" min="12" max="12" width="16.0"/>
    <col customWidth="1" min="13" max="13" width="16.43"/>
    <col customWidth="1" min="14" max="14" width="12.57"/>
  </cols>
  <sheetData>
    <row r="1">
      <c r="A1" s="58" t="s">
        <v>9042</v>
      </c>
      <c r="B1" s="58" t="s">
        <v>9043</v>
      </c>
      <c r="C1" s="58" t="s">
        <v>9043</v>
      </c>
      <c r="D1" s="5" t="s">
        <v>11</v>
      </c>
      <c r="E1" s="58" t="s">
        <v>9044</v>
      </c>
      <c r="F1" s="58" t="s">
        <v>9045</v>
      </c>
      <c r="G1" s="58" t="s">
        <v>9046</v>
      </c>
      <c r="H1" s="58" t="s">
        <v>9047</v>
      </c>
      <c r="I1" s="58" t="s">
        <v>9048</v>
      </c>
      <c r="J1" s="58" t="s">
        <v>9049</v>
      </c>
      <c r="K1" s="58" t="s">
        <v>9050</v>
      </c>
      <c r="L1" s="58" t="s">
        <v>9051</v>
      </c>
      <c r="M1" s="58" t="s">
        <v>9052</v>
      </c>
      <c r="N1" s="58" t="s">
        <v>9053</v>
      </c>
    </row>
    <row r="2">
      <c r="A2" s="59" t="s">
        <v>104</v>
      </c>
      <c r="B2" s="59" t="s">
        <v>105</v>
      </c>
      <c r="C2" s="59" t="str">
        <f t="shared" ref="C2:C151" si="1">TRIM(B2)</f>
        <v>Router XA5400</v>
      </c>
      <c r="D2" s="59" t="s">
        <v>368</v>
      </c>
      <c r="E2" s="60">
        <v>135.16</v>
      </c>
      <c r="F2" s="60">
        <v>135.16</v>
      </c>
      <c r="G2" s="60">
        <v>154.73</v>
      </c>
      <c r="H2" s="60">
        <v>151.85</v>
      </c>
      <c r="I2" s="60">
        <v>149.0</v>
      </c>
      <c r="J2" s="60">
        <v>157.64</v>
      </c>
      <c r="K2" s="60">
        <v>695.4</v>
      </c>
      <c r="L2" s="60">
        <v>146.18</v>
      </c>
      <c r="M2" s="60">
        <v>163.49</v>
      </c>
      <c r="N2" s="59" t="s">
        <v>9054</v>
      </c>
    </row>
    <row r="3">
      <c r="A3" s="59" t="s">
        <v>1926</v>
      </c>
      <c r="B3" s="59" t="s">
        <v>1927</v>
      </c>
      <c r="C3" s="59" t="str">
        <f t="shared" si="1"/>
        <v>4K Monito r32</v>
      </c>
      <c r="D3" s="59" t="s">
        <v>63</v>
      </c>
      <c r="E3" s="60">
        <v>452.71</v>
      </c>
      <c r="F3" s="60">
        <v>452.71</v>
      </c>
      <c r="G3" s="60">
        <v>518.26</v>
      </c>
      <c r="H3" s="60">
        <v>508.62</v>
      </c>
      <c r="I3" s="60">
        <v>499.07</v>
      </c>
      <c r="J3" s="60">
        <v>528.0</v>
      </c>
      <c r="K3" s="60">
        <v>2329.19</v>
      </c>
      <c r="L3" s="60">
        <v>489.61</v>
      </c>
      <c r="M3" s="60">
        <v>547.6</v>
      </c>
      <c r="N3" s="59" t="s">
        <v>9054</v>
      </c>
    </row>
    <row r="4">
      <c r="A4" s="59" t="s">
        <v>2631</v>
      </c>
      <c r="B4" s="59" t="s">
        <v>905</v>
      </c>
      <c r="C4" s="59" t="str">
        <f t="shared" si="1"/>
        <v>NOISE CANCELLING HEADPHONES</v>
      </c>
      <c r="D4" s="59" t="s">
        <v>248</v>
      </c>
      <c r="E4" s="60">
        <v>143.88</v>
      </c>
      <c r="F4" s="60">
        <v>143.88</v>
      </c>
      <c r="G4" s="60">
        <v>164.71</v>
      </c>
      <c r="H4" s="60">
        <v>161.65</v>
      </c>
      <c r="I4" s="60">
        <v>158.61</v>
      </c>
      <c r="J4" s="60">
        <v>167.81</v>
      </c>
      <c r="K4" s="60">
        <v>740.26</v>
      </c>
      <c r="L4" s="60">
        <v>155.61</v>
      </c>
      <c r="M4" s="60">
        <v>174.04</v>
      </c>
      <c r="N4" s="59" t="s">
        <v>9054</v>
      </c>
    </row>
    <row r="5">
      <c r="A5" s="59" t="s">
        <v>957</v>
      </c>
      <c r="B5" s="59" t="s">
        <v>403</v>
      </c>
      <c r="C5" s="59" t="str">
        <f t="shared" si="1"/>
        <v>USB-C Hub 7in1</v>
      </c>
      <c r="D5" s="59" t="s">
        <v>167</v>
      </c>
      <c r="E5" s="60">
        <v>55.87</v>
      </c>
      <c r="F5" s="60">
        <v>55.87</v>
      </c>
      <c r="G5" s="60">
        <v>63.96</v>
      </c>
      <c r="H5" s="60">
        <v>62.77</v>
      </c>
      <c r="I5" s="60">
        <v>61.59</v>
      </c>
      <c r="J5" s="60">
        <v>65.16</v>
      </c>
      <c r="K5" s="60">
        <v>287.45</v>
      </c>
      <c r="L5" s="60">
        <v>60.42</v>
      </c>
      <c r="M5" s="60">
        <v>67.58</v>
      </c>
      <c r="N5" s="59" t="s">
        <v>9054</v>
      </c>
    </row>
    <row r="6">
      <c r="A6" s="59" t="s">
        <v>449</v>
      </c>
      <c r="B6" s="59" t="s">
        <v>450</v>
      </c>
      <c r="C6" s="59" t="str">
        <f t="shared" si="1"/>
        <v>Gaming Laptop 15</v>
      </c>
      <c r="D6" s="59" t="s">
        <v>179</v>
      </c>
      <c r="E6" s="60">
        <v>1404.25</v>
      </c>
      <c r="F6" s="60">
        <v>1404.25</v>
      </c>
      <c r="G6" s="60">
        <v>1607.59</v>
      </c>
      <c r="H6" s="60">
        <v>1577.67</v>
      </c>
      <c r="I6" s="60">
        <v>1548.05</v>
      </c>
      <c r="J6" s="60">
        <v>1637.78</v>
      </c>
      <c r="K6" s="60">
        <v>7224.87</v>
      </c>
      <c r="L6" s="60">
        <v>1518.7</v>
      </c>
      <c r="M6" s="60">
        <v>1698.58</v>
      </c>
      <c r="N6" s="59" t="s">
        <v>9054</v>
      </c>
    </row>
    <row r="7">
      <c r="A7" s="59" t="s">
        <v>290</v>
      </c>
      <c r="B7" s="59" t="s">
        <v>291</v>
      </c>
      <c r="C7" s="59" t="str">
        <f t="shared" si="1"/>
        <v>NVMe SSD 2TB</v>
      </c>
      <c r="D7" s="59" t="s">
        <v>63</v>
      </c>
      <c r="E7" s="60">
        <v>118.56</v>
      </c>
      <c r="F7" s="60">
        <v>118.56</v>
      </c>
      <c r="G7" s="60">
        <v>135.73</v>
      </c>
      <c r="H7" s="60">
        <v>133.2</v>
      </c>
      <c r="I7" s="60">
        <v>130.7</v>
      </c>
      <c r="J7" s="60">
        <v>138.28</v>
      </c>
      <c r="K7" s="60">
        <v>609.99</v>
      </c>
      <c r="L7" s="60">
        <v>128.22</v>
      </c>
      <c r="M7" s="60">
        <v>143.41</v>
      </c>
      <c r="N7" s="59" t="s">
        <v>9054</v>
      </c>
    </row>
    <row r="8">
      <c r="A8" s="59" t="s">
        <v>4068</v>
      </c>
      <c r="B8" s="59" t="s">
        <v>4069</v>
      </c>
      <c r="C8" s="59" t="str">
        <f t="shared" si="1"/>
        <v>USB-C Hub 7in1</v>
      </c>
      <c r="D8" s="59" t="s">
        <v>355</v>
      </c>
      <c r="E8" s="60">
        <v>49.62</v>
      </c>
      <c r="F8" s="60">
        <v>49.62</v>
      </c>
      <c r="G8" s="60">
        <v>56.8</v>
      </c>
      <c r="H8" s="60">
        <v>55.75</v>
      </c>
      <c r="I8" s="60">
        <v>54.7</v>
      </c>
      <c r="J8" s="60">
        <v>57.87</v>
      </c>
      <c r="K8" s="60">
        <v>255.29</v>
      </c>
      <c r="L8" s="60">
        <v>53.66</v>
      </c>
      <c r="M8" s="60">
        <v>60.02</v>
      </c>
      <c r="N8" s="59" t="s">
        <v>9054</v>
      </c>
    </row>
    <row r="9">
      <c r="A9" s="59" t="s">
        <v>635</v>
      </c>
      <c r="B9" s="59" t="s">
        <v>636</v>
      </c>
      <c r="C9" s="59" t="str">
        <f t="shared" si="1"/>
        <v>Led Light Strip</v>
      </c>
      <c r="D9" s="59" t="s">
        <v>514</v>
      </c>
      <c r="E9" s="60">
        <v>30.93</v>
      </c>
      <c r="F9" s="60">
        <v>30.93</v>
      </c>
      <c r="G9" s="60">
        <v>35.41</v>
      </c>
      <c r="H9" s="60">
        <v>34.75</v>
      </c>
      <c r="I9" s="60">
        <v>34.1</v>
      </c>
      <c r="J9" s="60">
        <v>36.07</v>
      </c>
      <c r="K9" s="60">
        <v>159.13</v>
      </c>
      <c r="L9" s="60">
        <v>33.45</v>
      </c>
      <c r="M9" s="60">
        <v>37.41</v>
      </c>
      <c r="N9" s="59" t="s">
        <v>9054</v>
      </c>
    </row>
    <row r="10">
      <c r="A10" s="59" t="s">
        <v>1327</v>
      </c>
      <c r="B10" s="59" t="s">
        <v>291</v>
      </c>
      <c r="C10" s="59" t="str">
        <f t="shared" si="1"/>
        <v>NVMe SSD 2TB</v>
      </c>
      <c r="D10" s="59" t="s">
        <v>179</v>
      </c>
      <c r="E10" s="60">
        <v>124.96</v>
      </c>
      <c r="F10" s="60">
        <v>124.96</v>
      </c>
      <c r="G10" s="60">
        <v>143.05</v>
      </c>
      <c r="H10" s="60">
        <v>140.39</v>
      </c>
      <c r="I10" s="60">
        <v>137.76</v>
      </c>
      <c r="J10" s="60">
        <v>145.74</v>
      </c>
      <c r="K10" s="60">
        <v>642.92</v>
      </c>
      <c r="L10" s="60">
        <v>135.14</v>
      </c>
      <c r="M10" s="60">
        <v>151.15</v>
      </c>
      <c r="N10" s="59" t="s">
        <v>9054</v>
      </c>
    </row>
    <row r="11">
      <c r="A11" s="59" t="s">
        <v>1606</v>
      </c>
      <c r="B11" s="59" t="s">
        <v>213</v>
      </c>
      <c r="C11" s="59" t="str">
        <f t="shared" si="1"/>
        <v>Gaming Laptop 15</v>
      </c>
      <c r="D11" s="59" t="s">
        <v>368</v>
      </c>
      <c r="E11" s="60">
        <v>1460.15</v>
      </c>
      <c r="F11" s="60">
        <v>1460.15</v>
      </c>
      <c r="G11" s="60">
        <v>1671.58</v>
      </c>
      <c r="H11" s="60">
        <v>1640.48</v>
      </c>
      <c r="I11" s="60">
        <v>1609.67</v>
      </c>
      <c r="J11" s="60">
        <v>1702.97</v>
      </c>
      <c r="K11" s="60">
        <v>7512.47</v>
      </c>
      <c r="L11" s="60">
        <v>1579.15</v>
      </c>
      <c r="M11" s="60">
        <v>1766.2</v>
      </c>
      <c r="N11" s="59" t="s">
        <v>9054</v>
      </c>
    </row>
    <row r="12">
      <c r="A12" s="59" t="s">
        <v>1495</v>
      </c>
      <c r="B12" s="59" t="s">
        <v>1138</v>
      </c>
      <c r="C12" s="59" t="str">
        <f t="shared" si="1"/>
        <v>Gaming Chair</v>
      </c>
      <c r="D12" s="59" t="s">
        <v>248</v>
      </c>
      <c r="E12" s="60">
        <v>248.14</v>
      </c>
      <c r="F12" s="60">
        <v>248.14</v>
      </c>
      <c r="G12" s="60">
        <v>284.07</v>
      </c>
      <c r="H12" s="60">
        <v>278.79</v>
      </c>
      <c r="I12" s="60">
        <v>273.55</v>
      </c>
      <c r="J12" s="60">
        <v>289.41</v>
      </c>
      <c r="K12" s="60">
        <v>1276.68</v>
      </c>
      <c r="L12" s="60">
        <v>268.36</v>
      </c>
      <c r="M12" s="60">
        <v>300.15</v>
      </c>
      <c r="N12" s="59" t="s">
        <v>9054</v>
      </c>
    </row>
    <row r="13">
      <c r="A13" s="59" t="s">
        <v>1192</v>
      </c>
      <c r="B13" s="59" t="s">
        <v>1193</v>
      </c>
      <c r="C13" s="59" t="str">
        <f t="shared" si="1"/>
        <v>LED LIGHT STRIP</v>
      </c>
      <c r="D13" s="59" t="s">
        <v>179</v>
      </c>
      <c r="E13" s="60">
        <v>26.73</v>
      </c>
      <c r="F13" s="60">
        <v>26.73</v>
      </c>
      <c r="G13" s="60">
        <v>30.6</v>
      </c>
      <c r="H13" s="60">
        <v>30.03</v>
      </c>
      <c r="I13" s="60">
        <v>29.47</v>
      </c>
      <c r="J13" s="60">
        <v>31.18</v>
      </c>
      <c r="K13" s="60">
        <v>137.53</v>
      </c>
      <c r="L13" s="60">
        <v>28.91</v>
      </c>
      <c r="M13" s="60">
        <v>32.33</v>
      </c>
      <c r="N13" s="59" t="s">
        <v>9054</v>
      </c>
    </row>
    <row r="14">
      <c r="A14" s="59" t="s">
        <v>313</v>
      </c>
      <c r="B14" s="59" t="s">
        <v>314</v>
      </c>
      <c r="C14" s="59" t="str">
        <f t="shared" si="1"/>
        <v>Wireless Mouse</v>
      </c>
      <c r="D14" s="59" t="s">
        <v>179</v>
      </c>
      <c r="E14" s="60">
        <v>47.55</v>
      </c>
      <c r="F14" s="60">
        <v>47.55</v>
      </c>
      <c r="G14" s="60">
        <v>54.44</v>
      </c>
      <c r="H14" s="60">
        <v>53.42</v>
      </c>
      <c r="I14" s="60">
        <v>52.42</v>
      </c>
      <c r="J14" s="60">
        <v>55.46</v>
      </c>
      <c r="K14" s="60">
        <v>244.64</v>
      </c>
      <c r="L14" s="60">
        <v>51.43</v>
      </c>
      <c r="M14" s="60">
        <v>57.52</v>
      </c>
      <c r="N14" s="59" t="s">
        <v>9054</v>
      </c>
    </row>
    <row r="15">
      <c r="A15" s="59" t="s">
        <v>1575</v>
      </c>
      <c r="B15" s="59" t="s">
        <v>1576</v>
      </c>
      <c r="C15" s="59" t="str">
        <f t="shared" si="1"/>
        <v>NVMe SSD 2TB</v>
      </c>
      <c r="D15" s="59" t="s">
        <v>63</v>
      </c>
      <c r="E15" s="60">
        <v>195.63</v>
      </c>
      <c r="F15" s="60">
        <v>195.63</v>
      </c>
      <c r="G15" s="60">
        <v>223.96</v>
      </c>
      <c r="H15" s="60">
        <v>219.79</v>
      </c>
      <c r="I15" s="60">
        <v>215.66</v>
      </c>
      <c r="J15" s="60">
        <v>228.16</v>
      </c>
      <c r="K15" s="60">
        <v>1006.52</v>
      </c>
      <c r="L15" s="60">
        <v>211.57</v>
      </c>
      <c r="M15" s="60">
        <v>236.63</v>
      </c>
      <c r="N15" s="59" t="s">
        <v>9054</v>
      </c>
    </row>
    <row r="16">
      <c r="A16" s="59" t="s">
        <v>815</v>
      </c>
      <c r="B16" s="59" t="s">
        <v>816</v>
      </c>
      <c r="C16" s="59" t="str">
        <f t="shared" si="1"/>
        <v>4K MONITOR 32</v>
      </c>
      <c r="D16" s="59" t="s">
        <v>179</v>
      </c>
      <c r="E16" s="60">
        <v>328.22</v>
      </c>
      <c r="F16" s="60">
        <v>328.22</v>
      </c>
      <c r="G16" s="60">
        <v>375.75</v>
      </c>
      <c r="H16" s="60">
        <v>368.76</v>
      </c>
      <c r="I16" s="60">
        <v>361.83</v>
      </c>
      <c r="J16" s="60">
        <v>382.8</v>
      </c>
      <c r="K16" s="60">
        <v>1688.69</v>
      </c>
      <c r="L16" s="60">
        <v>354.97</v>
      </c>
      <c r="M16" s="60">
        <v>397.01</v>
      </c>
      <c r="N16" s="59" t="s">
        <v>9054</v>
      </c>
    </row>
    <row r="17">
      <c r="A17" s="59" t="s">
        <v>993</v>
      </c>
      <c r="B17" s="59" t="s">
        <v>994</v>
      </c>
      <c r="C17" s="59" t="str">
        <f t="shared" si="1"/>
        <v>4K Monitor 32</v>
      </c>
      <c r="D17" s="59" t="s">
        <v>355</v>
      </c>
      <c r="E17" s="60">
        <v>566.38</v>
      </c>
      <c r="F17" s="60">
        <v>566.38</v>
      </c>
      <c r="G17" s="60">
        <v>648.39</v>
      </c>
      <c r="H17" s="60">
        <v>636.33</v>
      </c>
      <c r="I17" s="60">
        <v>624.38</v>
      </c>
      <c r="J17" s="60">
        <v>660.57</v>
      </c>
      <c r="K17" s="60">
        <v>2914.03</v>
      </c>
      <c r="L17" s="60">
        <v>612.54</v>
      </c>
      <c r="M17" s="60">
        <v>685.09</v>
      </c>
      <c r="N17" s="59" t="s">
        <v>9054</v>
      </c>
    </row>
    <row r="18">
      <c r="A18" s="59" t="s">
        <v>871</v>
      </c>
      <c r="B18" s="59" t="s">
        <v>491</v>
      </c>
      <c r="C18" s="59" t="str">
        <f t="shared" si="1"/>
        <v>Docking Station Pro</v>
      </c>
      <c r="D18" s="59" t="s">
        <v>63</v>
      </c>
      <c r="E18" s="60">
        <v>178.58</v>
      </c>
      <c r="F18" s="60">
        <v>178.58</v>
      </c>
      <c r="G18" s="60">
        <v>204.44</v>
      </c>
      <c r="H18" s="60">
        <v>200.63</v>
      </c>
      <c r="I18" s="60">
        <v>196.87</v>
      </c>
      <c r="J18" s="60">
        <v>208.28</v>
      </c>
      <c r="K18" s="60">
        <v>918.79</v>
      </c>
      <c r="L18" s="60">
        <v>193.13</v>
      </c>
      <c r="M18" s="60">
        <v>216.01</v>
      </c>
      <c r="N18" s="59" t="s">
        <v>9054</v>
      </c>
    </row>
    <row r="19">
      <c r="A19" s="59" t="s">
        <v>3582</v>
      </c>
      <c r="B19" s="59" t="s">
        <v>3583</v>
      </c>
      <c r="C19" s="59" t="str">
        <f t="shared" si="1"/>
        <v>Smart Plug 2-Pack</v>
      </c>
      <c r="D19" s="59" t="s">
        <v>248</v>
      </c>
      <c r="E19" s="60">
        <v>23.62</v>
      </c>
      <c r="F19" s="60">
        <v>23.62</v>
      </c>
      <c r="G19" s="60">
        <v>27.04</v>
      </c>
      <c r="H19" s="60">
        <v>26.54</v>
      </c>
      <c r="I19" s="60">
        <v>26.04</v>
      </c>
      <c r="J19" s="60">
        <v>27.55</v>
      </c>
      <c r="K19" s="60">
        <v>121.52</v>
      </c>
      <c r="L19" s="60">
        <v>25.55</v>
      </c>
      <c r="M19" s="60">
        <v>28.57</v>
      </c>
      <c r="N19" s="59" t="s">
        <v>9054</v>
      </c>
    </row>
    <row r="20">
      <c r="A20" s="59" t="s">
        <v>740</v>
      </c>
      <c r="B20" s="59" t="s">
        <v>741</v>
      </c>
      <c r="C20" s="59" t="str">
        <f t="shared" si="1"/>
        <v>Smart Plug 2-Pack</v>
      </c>
      <c r="D20" s="59" t="s">
        <v>355</v>
      </c>
      <c r="E20" s="60">
        <v>35.77</v>
      </c>
      <c r="F20" s="60">
        <v>35.77</v>
      </c>
      <c r="G20" s="60">
        <v>40.95</v>
      </c>
      <c r="H20" s="60">
        <v>40.19</v>
      </c>
      <c r="I20" s="60">
        <v>39.43</v>
      </c>
      <c r="J20" s="60">
        <v>41.72</v>
      </c>
      <c r="K20" s="60">
        <v>184.04</v>
      </c>
      <c r="L20" s="60">
        <v>38.69</v>
      </c>
      <c r="M20" s="60">
        <v>43.27</v>
      </c>
      <c r="N20" s="59" t="s">
        <v>9054</v>
      </c>
    </row>
    <row r="21">
      <c r="A21" s="59" t="s">
        <v>117</v>
      </c>
      <c r="B21" s="59" t="s">
        <v>118</v>
      </c>
      <c r="C21" s="59" t="str">
        <f t="shared" si="1"/>
        <v>LED Light Strip</v>
      </c>
      <c r="D21" s="59" t="s">
        <v>63</v>
      </c>
      <c r="E21" s="60">
        <v>13.26</v>
      </c>
      <c r="F21" s="60">
        <v>13.26</v>
      </c>
      <c r="G21" s="60">
        <v>15.18</v>
      </c>
      <c r="H21" s="60">
        <v>14.9</v>
      </c>
      <c r="I21" s="60">
        <v>14.62</v>
      </c>
      <c r="J21" s="60">
        <v>15.47</v>
      </c>
      <c r="K21" s="60">
        <v>68.22</v>
      </c>
      <c r="L21" s="60">
        <v>14.34</v>
      </c>
      <c r="M21" s="60">
        <v>16.04</v>
      </c>
      <c r="N21" s="59" t="s">
        <v>9054</v>
      </c>
    </row>
    <row r="22">
      <c r="A22" s="59" t="s">
        <v>1211</v>
      </c>
      <c r="B22" s="59" t="s">
        <v>1212</v>
      </c>
      <c r="C22" s="59" t="str">
        <f t="shared" si="1"/>
        <v>Smartphone Case</v>
      </c>
      <c r="D22" s="59" t="s">
        <v>63</v>
      </c>
      <c r="E22" s="60">
        <v>19.27</v>
      </c>
      <c r="F22" s="60">
        <v>19.27</v>
      </c>
      <c r="G22" s="60">
        <v>22.06</v>
      </c>
      <c r="H22" s="60">
        <v>21.65</v>
      </c>
      <c r="I22" s="60">
        <v>21.24</v>
      </c>
      <c r="J22" s="60">
        <v>22.47</v>
      </c>
      <c r="K22" s="60">
        <v>99.14</v>
      </c>
      <c r="L22" s="60">
        <v>20.84</v>
      </c>
      <c r="M22" s="60">
        <v>23.31</v>
      </c>
      <c r="N22" s="59" t="s">
        <v>9054</v>
      </c>
    </row>
    <row r="23">
      <c r="A23" s="59" t="s">
        <v>1522</v>
      </c>
      <c r="B23" s="59" t="s">
        <v>1272</v>
      </c>
      <c r="C23" s="59" t="str">
        <f t="shared" si="1"/>
        <v>Microphone Usb</v>
      </c>
      <c r="D23" s="59" t="s">
        <v>355</v>
      </c>
      <c r="E23" s="60">
        <v>36.0</v>
      </c>
      <c r="F23" s="60">
        <v>36.0</v>
      </c>
      <c r="G23" s="60">
        <v>41.21</v>
      </c>
      <c r="H23" s="60">
        <v>40.45</v>
      </c>
      <c r="I23" s="60">
        <v>39.69</v>
      </c>
      <c r="J23" s="60">
        <v>41.99</v>
      </c>
      <c r="K23" s="60">
        <v>185.22</v>
      </c>
      <c r="L23" s="60">
        <v>38.93</v>
      </c>
      <c r="M23" s="60">
        <v>43.55</v>
      </c>
      <c r="N23" s="59" t="s">
        <v>9054</v>
      </c>
    </row>
    <row r="24">
      <c r="A24" s="59" t="s">
        <v>140</v>
      </c>
      <c r="B24" s="59" t="s">
        <v>141</v>
      </c>
      <c r="C24" s="59" t="str">
        <f t="shared" si="1"/>
        <v>Smart Plug 2-Pack</v>
      </c>
      <c r="D24" s="59" t="s">
        <v>63</v>
      </c>
      <c r="E24" s="60">
        <v>30.67</v>
      </c>
      <c r="F24" s="60">
        <v>30.67</v>
      </c>
      <c r="G24" s="60">
        <v>35.11</v>
      </c>
      <c r="H24" s="60">
        <v>34.46</v>
      </c>
      <c r="I24" s="60">
        <v>33.81</v>
      </c>
      <c r="J24" s="60">
        <v>35.77</v>
      </c>
      <c r="K24" s="60">
        <v>157.8</v>
      </c>
      <c r="L24" s="60">
        <v>33.17</v>
      </c>
      <c r="M24" s="60">
        <v>37.1</v>
      </c>
      <c r="N24" s="59" t="s">
        <v>9054</v>
      </c>
    </row>
    <row r="25">
      <c r="A25" s="59" t="s">
        <v>3172</v>
      </c>
      <c r="B25" s="59" t="s">
        <v>3173</v>
      </c>
      <c r="C25" s="59" t="str">
        <f t="shared" si="1"/>
        <v>Wireless oMuse</v>
      </c>
      <c r="D25" s="59" t="s">
        <v>355</v>
      </c>
      <c r="E25" s="60">
        <v>107.38</v>
      </c>
      <c r="F25" s="60">
        <v>107.38</v>
      </c>
      <c r="G25" s="60">
        <v>122.93</v>
      </c>
      <c r="H25" s="60">
        <v>120.64</v>
      </c>
      <c r="I25" s="60">
        <v>118.38</v>
      </c>
      <c r="J25" s="60">
        <v>125.24</v>
      </c>
      <c r="K25" s="60">
        <v>552.47</v>
      </c>
      <c r="L25" s="60">
        <v>116.13</v>
      </c>
      <c r="M25" s="60">
        <v>129.89</v>
      </c>
      <c r="N25" s="59" t="s">
        <v>9054</v>
      </c>
    </row>
    <row r="26">
      <c r="A26" s="59" t="s">
        <v>177</v>
      </c>
      <c r="B26" s="59" t="s">
        <v>178</v>
      </c>
      <c r="C26" s="59" t="str">
        <f t="shared" si="1"/>
        <v>4 K Monitor 32</v>
      </c>
      <c r="D26" s="59" t="s">
        <v>179</v>
      </c>
      <c r="E26" s="60">
        <v>272.72</v>
      </c>
      <c r="F26" s="60">
        <v>272.72</v>
      </c>
      <c r="G26" s="60">
        <v>312.21</v>
      </c>
      <c r="H26" s="60">
        <v>306.4</v>
      </c>
      <c r="I26" s="60">
        <v>300.65</v>
      </c>
      <c r="J26" s="60">
        <v>318.07</v>
      </c>
      <c r="K26" s="60">
        <v>1403.14</v>
      </c>
      <c r="L26" s="60">
        <v>294.95</v>
      </c>
      <c r="M26" s="60">
        <v>329.88</v>
      </c>
      <c r="N26" s="59" t="s">
        <v>9054</v>
      </c>
    </row>
    <row r="27">
      <c r="A27" s="59" t="s">
        <v>1783</v>
      </c>
      <c r="B27" s="59" t="s">
        <v>966</v>
      </c>
      <c r="C27" s="59" t="str">
        <f t="shared" si="1"/>
        <v>Webcam 1080P</v>
      </c>
      <c r="D27" s="59" t="s">
        <v>514</v>
      </c>
      <c r="E27" s="60">
        <v>23.25</v>
      </c>
      <c r="F27" s="60">
        <v>23.25</v>
      </c>
      <c r="G27" s="60">
        <v>26.62</v>
      </c>
      <c r="H27" s="60">
        <v>26.12</v>
      </c>
      <c r="I27" s="60">
        <v>25.63</v>
      </c>
      <c r="J27" s="60">
        <v>27.12</v>
      </c>
      <c r="K27" s="60">
        <v>119.62</v>
      </c>
      <c r="L27" s="60">
        <v>25.14</v>
      </c>
      <c r="M27" s="60">
        <v>28.12</v>
      </c>
      <c r="N27" s="59" t="s">
        <v>9054</v>
      </c>
    </row>
    <row r="28">
      <c r="A28" s="59" t="s">
        <v>692</v>
      </c>
      <c r="B28" s="59" t="s">
        <v>693</v>
      </c>
      <c r="C28" s="59" t="str">
        <f t="shared" si="1"/>
        <v>Portable DHD 2TB</v>
      </c>
      <c r="D28" s="59" t="s">
        <v>368</v>
      </c>
      <c r="E28" s="60">
        <v>65.53</v>
      </c>
      <c r="F28" s="60">
        <v>65.53</v>
      </c>
      <c r="G28" s="60">
        <v>75.02</v>
      </c>
      <c r="H28" s="60">
        <v>73.62</v>
      </c>
      <c r="I28" s="60">
        <v>72.24</v>
      </c>
      <c r="J28" s="60">
        <v>76.43</v>
      </c>
      <c r="K28" s="60">
        <v>337.15</v>
      </c>
      <c r="L28" s="60">
        <v>70.87</v>
      </c>
      <c r="M28" s="60">
        <v>79.27</v>
      </c>
      <c r="N28" s="59" t="s">
        <v>9054</v>
      </c>
    </row>
    <row r="29">
      <c r="A29" s="59" t="s">
        <v>1263</v>
      </c>
      <c r="B29" s="59" t="s">
        <v>741</v>
      </c>
      <c r="C29" s="59" t="str">
        <f t="shared" si="1"/>
        <v>Smart Plug 2-Pack</v>
      </c>
      <c r="D29" s="59" t="s">
        <v>368</v>
      </c>
      <c r="E29" s="60">
        <v>36.2</v>
      </c>
      <c r="F29" s="60">
        <v>36.2</v>
      </c>
      <c r="G29" s="60">
        <v>41.44</v>
      </c>
      <c r="H29" s="60">
        <v>40.67</v>
      </c>
      <c r="I29" s="60">
        <v>39.91</v>
      </c>
      <c r="J29" s="60">
        <v>42.22</v>
      </c>
      <c r="K29" s="60">
        <v>186.25</v>
      </c>
      <c r="L29" s="60">
        <v>39.15</v>
      </c>
      <c r="M29" s="60">
        <v>43.79</v>
      </c>
      <c r="N29" s="59" t="s">
        <v>9054</v>
      </c>
    </row>
    <row r="30">
      <c r="A30" s="59" t="s">
        <v>565</v>
      </c>
      <c r="B30" s="59" t="s">
        <v>566</v>
      </c>
      <c r="C30" s="59" t="str">
        <f t="shared" si="1"/>
        <v>Microphoen USB</v>
      </c>
      <c r="D30" s="59" t="s">
        <v>167</v>
      </c>
      <c r="E30" s="60">
        <v>43.38</v>
      </c>
      <c r="F30" s="60">
        <v>43.38</v>
      </c>
      <c r="G30" s="60">
        <v>49.66</v>
      </c>
      <c r="H30" s="60">
        <v>48.74</v>
      </c>
      <c r="I30" s="60">
        <v>47.82</v>
      </c>
      <c r="J30" s="60">
        <v>50.59</v>
      </c>
      <c r="K30" s="60">
        <v>223.19</v>
      </c>
      <c r="L30" s="60">
        <v>46.92</v>
      </c>
      <c r="M30" s="60">
        <v>52.47</v>
      </c>
      <c r="N30" s="59" t="s">
        <v>9054</v>
      </c>
    </row>
    <row r="31">
      <c r="A31" s="59" t="s">
        <v>2420</v>
      </c>
      <c r="B31" s="59" t="s">
        <v>462</v>
      </c>
      <c r="C31" s="59" t="str">
        <f t="shared" si="1"/>
        <v>Smartphone Case</v>
      </c>
      <c r="D31" s="59" t="s">
        <v>248</v>
      </c>
      <c r="E31" s="60">
        <v>21.44</v>
      </c>
      <c r="F31" s="60">
        <v>21.44</v>
      </c>
      <c r="G31" s="60">
        <v>24.54</v>
      </c>
      <c r="H31" s="60">
        <v>24.09</v>
      </c>
      <c r="I31" s="60">
        <v>23.64</v>
      </c>
      <c r="J31" s="60">
        <v>25.01</v>
      </c>
      <c r="K31" s="60">
        <v>110.31</v>
      </c>
      <c r="L31" s="60">
        <v>23.19</v>
      </c>
      <c r="M31" s="60">
        <v>25.93</v>
      </c>
      <c r="N31" s="59" t="s">
        <v>9054</v>
      </c>
    </row>
    <row r="32">
      <c r="A32" s="59" t="s">
        <v>556</v>
      </c>
      <c r="B32" s="59" t="s">
        <v>502</v>
      </c>
      <c r="C32" s="59" t="str">
        <f t="shared" si="1"/>
        <v>Ultrabook 14</v>
      </c>
      <c r="D32" s="59" t="s">
        <v>355</v>
      </c>
      <c r="E32" s="60">
        <v>879.27</v>
      </c>
      <c r="F32" s="60">
        <v>879.27</v>
      </c>
      <c r="G32" s="60">
        <v>1006.59</v>
      </c>
      <c r="H32" s="60">
        <v>987.86</v>
      </c>
      <c r="I32" s="60">
        <v>969.31</v>
      </c>
      <c r="J32" s="60">
        <v>1025.49</v>
      </c>
      <c r="K32" s="60">
        <v>4523.84</v>
      </c>
      <c r="L32" s="60">
        <v>950.93</v>
      </c>
      <c r="M32" s="60">
        <v>1063.56</v>
      </c>
      <c r="N32" s="59" t="s">
        <v>9054</v>
      </c>
    </row>
    <row r="33">
      <c r="A33" s="59" t="s">
        <v>402</v>
      </c>
      <c r="B33" s="59" t="s">
        <v>403</v>
      </c>
      <c r="C33" s="59" t="str">
        <f t="shared" si="1"/>
        <v>USB-C Hub 7in1</v>
      </c>
      <c r="D33" s="59" t="s">
        <v>248</v>
      </c>
      <c r="E33" s="60">
        <v>20.48</v>
      </c>
      <c r="F33" s="60">
        <v>20.48</v>
      </c>
      <c r="G33" s="60">
        <v>23.45</v>
      </c>
      <c r="H33" s="60">
        <v>23.01</v>
      </c>
      <c r="I33" s="60">
        <v>22.58</v>
      </c>
      <c r="J33" s="60">
        <v>23.89</v>
      </c>
      <c r="K33" s="60">
        <v>105.37</v>
      </c>
      <c r="L33" s="60">
        <v>22.15</v>
      </c>
      <c r="M33" s="60">
        <v>24.77</v>
      </c>
      <c r="N33" s="59" t="s">
        <v>9054</v>
      </c>
    </row>
    <row r="34">
      <c r="A34" s="59" t="s">
        <v>581</v>
      </c>
      <c r="B34" s="59" t="s">
        <v>326</v>
      </c>
      <c r="C34" s="59" t="str">
        <f t="shared" si="1"/>
        <v>External SSD 1TB</v>
      </c>
      <c r="D34" s="59" t="s">
        <v>63</v>
      </c>
      <c r="E34" s="60">
        <v>120.1</v>
      </c>
      <c r="F34" s="60">
        <v>120.1</v>
      </c>
      <c r="G34" s="60">
        <v>137.49</v>
      </c>
      <c r="H34" s="60">
        <v>134.93</v>
      </c>
      <c r="I34" s="60">
        <v>132.4</v>
      </c>
      <c r="J34" s="60">
        <v>140.07</v>
      </c>
      <c r="K34" s="60">
        <v>617.91</v>
      </c>
      <c r="L34" s="60">
        <v>129.89</v>
      </c>
      <c r="M34" s="60">
        <v>145.27</v>
      </c>
      <c r="N34" s="59" t="s">
        <v>9054</v>
      </c>
    </row>
    <row r="35">
      <c r="A35" s="59" t="s">
        <v>4048</v>
      </c>
      <c r="B35" s="59" t="s">
        <v>4049</v>
      </c>
      <c r="C35" s="59" t="str">
        <f t="shared" si="1"/>
        <v>Bluetooth Speaker</v>
      </c>
      <c r="D35" s="59" t="s">
        <v>368</v>
      </c>
      <c r="E35" s="60">
        <v>147.02</v>
      </c>
      <c r="F35" s="60">
        <v>147.02</v>
      </c>
      <c r="G35" s="60">
        <v>168.31</v>
      </c>
      <c r="H35" s="60">
        <v>165.18</v>
      </c>
      <c r="I35" s="60">
        <v>162.07</v>
      </c>
      <c r="J35" s="60">
        <v>171.47</v>
      </c>
      <c r="K35" s="60">
        <v>756.42</v>
      </c>
      <c r="L35" s="60">
        <v>159.0</v>
      </c>
      <c r="M35" s="60">
        <v>177.84</v>
      </c>
      <c r="N35" s="59" t="s">
        <v>9054</v>
      </c>
    </row>
    <row r="36">
      <c r="A36" s="59" t="s">
        <v>235</v>
      </c>
      <c r="B36" s="59" t="s">
        <v>236</v>
      </c>
      <c r="C36" s="59" t="str">
        <f t="shared" si="1"/>
        <v>Wireless Mouse</v>
      </c>
      <c r="D36" s="59" t="s">
        <v>179</v>
      </c>
      <c r="E36" s="60">
        <v>10.17</v>
      </c>
      <c r="F36" s="60">
        <v>10.17</v>
      </c>
      <c r="G36" s="60">
        <v>11.64</v>
      </c>
      <c r="H36" s="60">
        <v>11.43</v>
      </c>
      <c r="I36" s="60">
        <v>11.21</v>
      </c>
      <c r="J36" s="60">
        <v>11.86</v>
      </c>
      <c r="K36" s="60">
        <v>52.32</v>
      </c>
      <c r="L36" s="60">
        <v>11.0</v>
      </c>
      <c r="M36" s="60">
        <v>12.3</v>
      </c>
      <c r="N36" s="59" t="s">
        <v>9054</v>
      </c>
    </row>
    <row r="37">
      <c r="A37" s="59" t="s">
        <v>302</v>
      </c>
      <c r="B37" s="59" t="s">
        <v>303</v>
      </c>
      <c r="C37" s="59" t="str">
        <f t="shared" si="1"/>
        <v>DOCKING STATION PRO</v>
      </c>
      <c r="D37" s="59" t="s">
        <v>248</v>
      </c>
      <c r="E37" s="60">
        <v>172.22</v>
      </c>
      <c r="F37" s="60">
        <v>172.22</v>
      </c>
      <c r="G37" s="60">
        <v>197.16</v>
      </c>
      <c r="H37" s="60">
        <v>193.49</v>
      </c>
      <c r="I37" s="60">
        <v>189.86</v>
      </c>
      <c r="J37" s="60">
        <v>200.86</v>
      </c>
      <c r="K37" s="60">
        <v>886.07</v>
      </c>
      <c r="L37" s="60">
        <v>186.26</v>
      </c>
      <c r="M37" s="60">
        <v>208.32</v>
      </c>
      <c r="N37" s="59" t="s">
        <v>9054</v>
      </c>
    </row>
    <row r="38">
      <c r="A38" s="59" t="s">
        <v>1641</v>
      </c>
      <c r="B38" s="59" t="s">
        <v>825</v>
      </c>
      <c r="C38" s="59" t="str">
        <f t="shared" si="1"/>
        <v>WIRELESS MOUSE</v>
      </c>
      <c r="D38" s="59" t="s">
        <v>179</v>
      </c>
      <c r="E38" s="60">
        <v>23.84</v>
      </c>
      <c r="F38" s="60">
        <v>23.84</v>
      </c>
      <c r="G38" s="60">
        <v>27.29</v>
      </c>
      <c r="H38" s="60">
        <v>26.78</v>
      </c>
      <c r="I38" s="60">
        <v>26.28</v>
      </c>
      <c r="J38" s="60">
        <v>27.8</v>
      </c>
      <c r="K38" s="60">
        <v>122.66</v>
      </c>
      <c r="L38" s="60">
        <v>25.78</v>
      </c>
      <c r="M38" s="60">
        <v>28.84</v>
      </c>
      <c r="N38" s="59" t="s">
        <v>9054</v>
      </c>
    </row>
    <row r="39">
      <c r="A39" s="59" t="s">
        <v>652</v>
      </c>
      <c r="B39" s="59" t="s">
        <v>653</v>
      </c>
      <c r="C39" s="59" t="str">
        <f t="shared" si="1"/>
        <v>27in Monitor</v>
      </c>
      <c r="D39" s="59" t="s">
        <v>179</v>
      </c>
      <c r="E39" s="60">
        <v>240.24</v>
      </c>
      <c r="F39" s="60">
        <v>240.24</v>
      </c>
      <c r="G39" s="60">
        <v>275.03</v>
      </c>
      <c r="H39" s="60">
        <v>269.91</v>
      </c>
      <c r="I39" s="60">
        <v>264.84</v>
      </c>
      <c r="J39" s="60">
        <v>280.19</v>
      </c>
      <c r="K39" s="60">
        <v>1236.03</v>
      </c>
      <c r="L39" s="60">
        <v>259.82</v>
      </c>
      <c r="M39" s="60">
        <v>290.59</v>
      </c>
      <c r="N39" s="59" t="s">
        <v>9054</v>
      </c>
    </row>
    <row r="40">
      <c r="A40" s="59" t="s">
        <v>965</v>
      </c>
      <c r="B40" s="59" t="s">
        <v>966</v>
      </c>
      <c r="C40" s="59" t="str">
        <f t="shared" si="1"/>
        <v>Webcam 1080P</v>
      </c>
      <c r="D40" s="59" t="s">
        <v>248</v>
      </c>
      <c r="E40" s="60">
        <v>74.59</v>
      </c>
      <c r="F40" s="60">
        <v>74.59</v>
      </c>
      <c r="G40" s="60">
        <v>85.39</v>
      </c>
      <c r="H40" s="60">
        <v>83.8</v>
      </c>
      <c r="I40" s="60">
        <v>82.23</v>
      </c>
      <c r="J40" s="60">
        <v>86.99</v>
      </c>
      <c r="K40" s="60">
        <v>383.77</v>
      </c>
      <c r="L40" s="60">
        <v>80.67</v>
      </c>
      <c r="M40" s="60">
        <v>90.22</v>
      </c>
      <c r="N40" s="59" t="s">
        <v>9054</v>
      </c>
    </row>
    <row r="41">
      <c r="A41" s="59" t="s">
        <v>166</v>
      </c>
      <c r="B41" s="59" t="s">
        <v>118</v>
      </c>
      <c r="C41" s="59" t="str">
        <f t="shared" si="1"/>
        <v>LED Light Strip</v>
      </c>
      <c r="D41" s="59" t="s">
        <v>167</v>
      </c>
      <c r="E41" s="60">
        <v>16.9</v>
      </c>
      <c r="F41" s="60">
        <v>16.9</v>
      </c>
      <c r="G41" s="60">
        <v>19.35</v>
      </c>
      <c r="H41" s="60">
        <v>18.99</v>
      </c>
      <c r="I41" s="60">
        <v>18.63</v>
      </c>
      <c r="J41" s="60">
        <v>19.71</v>
      </c>
      <c r="K41" s="60">
        <v>86.95</v>
      </c>
      <c r="L41" s="60">
        <v>18.28</v>
      </c>
      <c r="M41" s="60">
        <v>20.44</v>
      </c>
      <c r="N41" s="59" t="s">
        <v>9054</v>
      </c>
    </row>
    <row r="42">
      <c r="A42" s="59" t="s">
        <v>619</v>
      </c>
      <c r="B42" s="59" t="s">
        <v>620</v>
      </c>
      <c r="C42" s="59" t="str">
        <f t="shared" si="1"/>
        <v>SMARTPHONE CAES</v>
      </c>
      <c r="D42" s="59" t="s">
        <v>63</v>
      </c>
      <c r="E42" s="60">
        <v>26.03</v>
      </c>
      <c r="F42" s="60">
        <v>26.03</v>
      </c>
      <c r="G42" s="60">
        <v>29.8</v>
      </c>
      <c r="H42" s="60">
        <v>29.24</v>
      </c>
      <c r="I42" s="60">
        <v>28.7</v>
      </c>
      <c r="J42" s="60">
        <v>30.36</v>
      </c>
      <c r="K42" s="60">
        <v>133.92</v>
      </c>
      <c r="L42" s="60">
        <v>28.15</v>
      </c>
      <c r="M42" s="60">
        <v>31.49</v>
      </c>
      <c r="N42" s="59" t="s">
        <v>9054</v>
      </c>
    </row>
    <row r="43">
      <c r="A43" s="59" t="s">
        <v>1255</v>
      </c>
      <c r="B43" s="59" t="s">
        <v>29</v>
      </c>
      <c r="C43" s="59" t="str">
        <f t="shared" si="1"/>
        <v>Docking Station Pro</v>
      </c>
      <c r="D43" s="59" t="s">
        <v>368</v>
      </c>
      <c r="E43" s="60">
        <v>161.4</v>
      </c>
      <c r="F43" s="60">
        <v>161.4</v>
      </c>
      <c r="G43" s="60">
        <v>184.77</v>
      </c>
      <c r="H43" s="60">
        <v>181.33</v>
      </c>
      <c r="I43" s="60">
        <v>177.93</v>
      </c>
      <c r="J43" s="60">
        <v>188.24</v>
      </c>
      <c r="K43" s="60">
        <v>830.4</v>
      </c>
      <c r="L43" s="60">
        <v>174.55</v>
      </c>
      <c r="M43" s="60">
        <v>195.23</v>
      </c>
      <c r="N43" s="59" t="s">
        <v>9054</v>
      </c>
    </row>
    <row r="44">
      <c r="A44" s="59" t="s">
        <v>2398</v>
      </c>
      <c r="B44" s="59" t="s">
        <v>225</v>
      </c>
      <c r="C44" s="59" t="str">
        <f t="shared" si="1"/>
        <v>SMART PLUG 2-PACK</v>
      </c>
      <c r="D44" s="59" t="s">
        <v>179</v>
      </c>
      <c r="E44" s="60">
        <v>40.55</v>
      </c>
      <c r="F44" s="60">
        <v>40.55</v>
      </c>
      <c r="G44" s="60">
        <v>46.42</v>
      </c>
      <c r="H44" s="60">
        <v>45.56</v>
      </c>
      <c r="I44" s="60">
        <v>44.7</v>
      </c>
      <c r="J44" s="60">
        <v>47.29</v>
      </c>
      <c r="K44" s="60">
        <v>208.63</v>
      </c>
      <c r="L44" s="60">
        <v>43.85</v>
      </c>
      <c r="M44" s="60">
        <v>49.05</v>
      </c>
      <c r="N44" s="59" t="s">
        <v>9054</v>
      </c>
    </row>
    <row r="45">
      <c r="A45" s="59" t="s">
        <v>1432</v>
      </c>
      <c r="B45" s="59" t="s">
        <v>994</v>
      </c>
      <c r="C45" s="59" t="str">
        <f t="shared" si="1"/>
        <v>4K Monitor 32</v>
      </c>
      <c r="D45" s="59" t="s">
        <v>179</v>
      </c>
      <c r="E45" s="60">
        <v>513.1</v>
      </c>
      <c r="F45" s="60">
        <v>513.1</v>
      </c>
      <c r="G45" s="60">
        <v>587.4</v>
      </c>
      <c r="H45" s="60">
        <v>576.47</v>
      </c>
      <c r="I45" s="60">
        <v>565.64</v>
      </c>
      <c r="J45" s="60">
        <v>598.43</v>
      </c>
      <c r="K45" s="60">
        <v>2639.9</v>
      </c>
      <c r="L45" s="60">
        <v>554.92</v>
      </c>
      <c r="M45" s="60">
        <v>620.65</v>
      </c>
      <c r="N45" s="59" t="s">
        <v>9054</v>
      </c>
    </row>
    <row r="46">
      <c r="A46" s="59" t="s">
        <v>729</v>
      </c>
      <c r="B46" s="59" t="s">
        <v>62</v>
      </c>
      <c r="C46" s="59" t="str">
        <f t="shared" si="1"/>
        <v>Portable HDD 2TB</v>
      </c>
      <c r="D46" s="59" t="s">
        <v>63</v>
      </c>
      <c r="E46" s="60">
        <v>59.89</v>
      </c>
      <c r="F46" s="60">
        <v>59.89</v>
      </c>
      <c r="G46" s="60">
        <v>68.56</v>
      </c>
      <c r="H46" s="60">
        <v>67.29</v>
      </c>
      <c r="I46" s="60">
        <v>66.02</v>
      </c>
      <c r="J46" s="60">
        <v>69.85</v>
      </c>
      <c r="K46" s="60">
        <v>308.13</v>
      </c>
      <c r="L46" s="60">
        <v>64.77</v>
      </c>
      <c r="M46" s="60">
        <v>72.44</v>
      </c>
      <c r="N46" s="59" t="s">
        <v>9054</v>
      </c>
    </row>
    <row r="47">
      <c r="A47" s="59" t="s">
        <v>939</v>
      </c>
      <c r="B47" s="59" t="s">
        <v>940</v>
      </c>
      <c r="C47" s="59" t="str">
        <f t="shared" si="1"/>
        <v>27i nMonitor</v>
      </c>
      <c r="D47" s="59" t="s">
        <v>167</v>
      </c>
      <c r="E47" s="60">
        <v>215.15</v>
      </c>
      <c r="F47" s="60">
        <v>215.15</v>
      </c>
      <c r="G47" s="60">
        <v>246.3</v>
      </c>
      <c r="H47" s="60">
        <v>241.72</v>
      </c>
      <c r="I47" s="60">
        <v>237.18</v>
      </c>
      <c r="J47" s="60">
        <v>250.93</v>
      </c>
      <c r="K47" s="60">
        <v>1106.95</v>
      </c>
      <c r="L47" s="60">
        <v>232.68</v>
      </c>
      <c r="M47" s="60">
        <v>260.25</v>
      </c>
      <c r="N47" s="59" t="s">
        <v>9054</v>
      </c>
    </row>
    <row r="48">
      <c r="A48" s="59" t="s">
        <v>1109</v>
      </c>
      <c r="B48" s="59" t="s">
        <v>1110</v>
      </c>
      <c r="C48" s="59" t="str">
        <f t="shared" si="1"/>
        <v>Portable HDD 2TB</v>
      </c>
      <c r="D48" s="59" t="s">
        <v>63</v>
      </c>
      <c r="E48" s="60">
        <v>115.14</v>
      </c>
      <c r="F48" s="60">
        <v>115.14</v>
      </c>
      <c r="G48" s="60">
        <v>131.81</v>
      </c>
      <c r="H48" s="60">
        <v>129.36</v>
      </c>
      <c r="I48" s="60">
        <v>126.93</v>
      </c>
      <c r="J48" s="60">
        <v>134.29</v>
      </c>
      <c r="K48" s="60">
        <v>592.4</v>
      </c>
      <c r="L48" s="60">
        <v>124.52</v>
      </c>
      <c r="M48" s="60">
        <v>139.27</v>
      </c>
      <c r="N48" s="59" t="s">
        <v>9054</v>
      </c>
    </row>
    <row r="49">
      <c r="A49" s="59" t="s">
        <v>258</v>
      </c>
      <c r="B49" s="59" t="s">
        <v>259</v>
      </c>
      <c r="C49" s="59" t="str">
        <f t="shared" si="1"/>
        <v>LED Light Strip</v>
      </c>
      <c r="D49" s="59" t="s">
        <v>368</v>
      </c>
      <c r="E49" s="60">
        <v>15.73</v>
      </c>
      <c r="F49" s="60">
        <v>15.73</v>
      </c>
      <c r="G49" s="60">
        <v>18.01</v>
      </c>
      <c r="H49" s="60">
        <v>17.67</v>
      </c>
      <c r="I49" s="60">
        <v>17.34</v>
      </c>
      <c r="J49" s="60">
        <v>18.35</v>
      </c>
      <c r="K49" s="60">
        <v>80.93</v>
      </c>
      <c r="L49" s="60">
        <v>17.01</v>
      </c>
      <c r="M49" s="60">
        <v>19.03</v>
      </c>
      <c r="N49" s="59" t="s">
        <v>9054</v>
      </c>
    </row>
    <row r="50">
      <c r="A50" s="59" t="s">
        <v>127</v>
      </c>
      <c r="B50" s="59" t="s">
        <v>128</v>
      </c>
      <c r="C50" s="59" t="str">
        <f t="shared" si="1"/>
        <v>External SSD 1BT</v>
      </c>
      <c r="D50" s="59" t="s">
        <v>514</v>
      </c>
      <c r="E50" s="60">
        <v>79.06</v>
      </c>
      <c r="F50" s="60">
        <v>79.06</v>
      </c>
      <c r="G50" s="60">
        <v>90.51</v>
      </c>
      <c r="H50" s="60">
        <v>88.82</v>
      </c>
      <c r="I50" s="60">
        <v>87.16</v>
      </c>
      <c r="J50" s="60">
        <v>92.21</v>
      </c>
      <c r="K50" s="60">
        <v>406.76</v>
      </c>
      <c r="L50" s="60">
        <v>85.5</v>
      </c>
      <c r="M50" s="60">
        <v>95.63</v>
      </c>
      <c r="N50" s="59" t="s">
        <v>9054</v>
      </c>
    </row>
    <row r="51">
      <c r="A51" s="59" t="s">
        <v>3053</v>
      </c>
      <c r="B51" s="59" t="s">
        <v>741</v>
      </c>
      <c r="C51" s="59" t="str">
        <f t="shared" si="1"/>
        <v>Smart Plug 2-Pack</v>
      </c>
      <c r="D51" s="59" t="s">
        <v>63</v>
      </c>
      <c r="E51" s="60">
        <v>15.82</v>
      </c>
      <c r="F51" s="60">
        <v>15.82</v>
      </c>
      <c r="G51" s="60">
        <v>18.11</v>
      </c>
      <c r="H51" s="60">
        <v>17.77</v>
      </c>
      <c r="I51" s="60">
        <v>17.44</v>
      </c>
      <c r="J51" s="60">
        <v>18.45</v>
      </c>
      <c r="K51" s="60">
        <v>81.39</v>
      </c>
      <c r="L51" s="60">
        <v>17.11</v>
      </c>
      <c r="M51" s="60">
        <v>19.14</v>
      </c>
      <c r="N51" s="59" t="s">
        <v>9054</v>
      </c>
    </row>
    <row r="52">
      <c r="A52" s="59" t="s">
        <v>44</v>
      </c>
      <c r="B52" s="59" t="s">
        <v>45</v>
      </c>
      <c r="C52" s="59" t="str">
        <f t="shared" si="1"/>
        <v>Ultrabook 14</v>
      </c>
      <c r="D52" s="59" t="s">
        <v>248</v>
      </c>
      <c r="E52" s="60">
        <v>755.05</v>
      </c>
      <c r="F52" s="60">
        <v>755.05</v>
      </c>
      <c r="G52" s="60">
        <v>864.38</v>
      </c>
      <c r="H52" s="60">
        <v>848.3</v>
      </c>
      <c r="I52" s="60">
        <v>832.37</v>
      </c>
      <c r="J52" s="60">
        <v>880.61</v>
      </c>
      <c r="K52" s="60">
        <v>3884.73</v>
      </c>
      <c r="L52" s="60">
        <v>816.59</v>
      </c>
      <c r="M52" s="60">
        <v>913.31</v>
      </c>
      <c r="N52" s="59" t="s">
        <v>9054</v>
      </c>
    </row>
    <row r="53">
      <c r="A53" s="59" t="s">
        <v>513</v>
      </c>
      <c r="B53" s="59" t="s">
        <v>391</v>
      </c>
      <c r="C53" s="59" t="str">
        <f t="shared" si="1"/>
        <v>27in Monitor</v>
      </c>
      <c r="D53" s="59" t="s">
        <v>514</v>
      </c>
      <c r="E53" s="60">
        <v>275.56</v>
      </c>
      <c r="F53" s="60">
        <v>275.56</v>
      </c>
      <c r="G53" s="60">
        <v>315.46</v>
      </c>
      <c r="H53" s="60">
        <v>309.59</v>
      </c>
      <c r="I53" s="60">
        <v>303.78</v>
      </c>
      <c r="J53" s="60">
        <v>321.39</v>
      </c>
      <c r="K53" s="60">
        <v>1417.76</v>
      </c>
      <c r="L53" s="60">
        <v>298.02</v>
      </c>
      <c r="M53" s="60">
        <v>333.32</v>
      </c>
      <c r="N53" s="59" t="s">
        <v>9054</v>
      </c>
    </row>
    <row r="54">
      <c r="A54" s="59" t="s">
        <v>1358</v>
      </c>
      <c r="B54" s="59" t="s">
        <v>1359</v>
      </c>
      <c r="C54" s="59" t="str">
        <f t="shared" si="1"/>
        <v>LED Light Strip</v>
      </c>
      <c r="D54" s="59" t="s">
        <v>167</v>
      </c>
      <c r="E54" s="60">
        <v>36.44</v>
      </c>
      <c r="F54" s="60">
        <v>36.44</v>
      </c>
      <c r="G54" s="60">
        <v>41.72</v>
      </c>
      <c r="H54" s="60">
        <v>40.94</v>
      </c>
      <c r="I54" s="60">
        <v>40.17</v>
      </c>
      <c r="J54" s="60">
        <v>42.5</v>
      </c>
      <c r="K54" s="60">
        <v>187.48</v>
      </c>
      <c r="L54" s="60">
        <v>39.41</v>
      </c>
      <c r="M54" s="60">
        <v>44.08</v>
      </c>
      <c r="N54" s="59" t="s">
        <v>9054</v>
      </c>
    </row>
    <row r="55">
      <c r="A55" s="59" t="s">
        <v>523</v>
      </c>
      <c r="B55" s="59" t="s">
        <v>524</v>
      </c>
      <c r="C55" s="59" t="str">
        <f t="shared" si="1"/>
        <v>Noise Cancelling Headphones</v>
      </c>
      <c r="D55" s="59" t="s">
        <v>368</v>
      </c>
      <c r="E55" s="60">
        <v>199.49</v>
      </c>
      <c r="F55" s="60">
        <v>199.49</v>
      </c>
      <c r="G55" s="60">
        <v>228.38</v>
      </c>
      <c r="H55" s="60">
        <v>224.13</v>
      </c>
      <c r="I55" s="60">
        <v>219.92</v>
      </c>
      <c r="J55" s="60">
        <v>232.67</v>
      </c>
      <c r="K55" s="60">
        <v>1026.38</v>
      </c>
      <c r="L55" s="60">
        <v>215.75</v>
      </c>
      <c r="M55" s="60">
        <v>241.3</v>
      </c>
      <c r="N55" s="59" t="s">
        <v>9054</v>
      </c>
    </row>
    <row r="56">
      <c r="A56" s="59" t="s">
        <v>721</v>
      </c>
      <c r="B56" s="59" t="s">
        <v>259</v>
      </c>
      <c r="C56" s="59" t="str">
        <f t="shared" si="1"/>
        <v>LED Light Strip</v>
      </c>
      <c r="D56" s="59" t="s">
        <v>179</v>
      </c>
      <c r="E56" s="60">
        <v>20.42</v>
      </c>
      <c r="F56" s="60">
        <v>20.42</v>
      </c>
      <c r="G56" s="60">
        <v>23.38</v>
      </c>
      <c r="H56" s="60">
        <v>22.94</v>
      </c>
      <c r="I56" s="60">
        <v>22.51</v>
      </c>
      <c r="J56" s="60">
        <v>23.82</v>
      </c>
      <c r="K56" s="60">
        <v>105.06</v>
      </c>
      <c r="L56" s="60">
        <v>22.08</v>
      </c>
      <c r="M56" s="60">
        <v>24.7</v>
      </c>
      <c r="N56" s="59" t="s">
        <v>9054</v>
      </c>
    </row>
    <row r="57">
      <c r="A57" s="59" t="s">
        <v>599</v>
      </c>
      <c r="B57" s="59" t="s">
        <v>600</v>
      </c>
      <c r="C57" s="59" t="str">
        <f t="shared" si="1"/>
        <v>Noise Cancelling Headphones</v>
      </c>
      <c r="D57" s="59" t="s">
        <v>167</v>
      </c>
      <c r="E57" s="60">
        <v>212.85</v>
      </c>
      <c r="F57" s="60">
        <v>212.85</v>
      </c>
      <c r="G57" s="60">
        <v>243.67</v>
      </c>
      <c r="H57" s="60">
        <v>239.14</v>
      </c>
      <c r="I57" s="60">
        <v>234.65</v>
      </c>
      <c r="J57" s="60">
        <v>248.25</v>
      </c>
      <c r="K57" s="60">
        <v>1095.11</v>
      </c>
      <c r="L57" s="60">
        <v>230.2</v>
      </c>
      <c r="M57" s="60">
        <v>257.46</v>
      </c>
      <c r="N57" s="59" t="s">
        <v>9054</v>
      </c>
    </row>
    <row r="58">
      <c r="A58" s="59" t="s">
        <v>1168</v>
      </c>
      <c r="B58" s="59" t="s">
        <v>1169</v>
      </c>
      <c r="C58" s="59" t="str">
        <f t="shared" si="1"/>
        <v>Microphone USB</v>
      </c>
      <c r="D58" s="59" t="s">
        <v>63</v>
      </c>
      <c r="E58" s="60">
        <v>106.64</v>
      </c>
      <c r="F58" s="60">
        <v>106.64</v>
      </c>
      <c r="G58" s="60">
        <v>122.08</v>
      </c>
      <c r="H58" s="60">
        <v>119.81</v>
      </c>
      <c r="I58" s="60">
        <v>117.56</v>
      </c>
      <c r="J58" s="60">
        <v>124.37</v>
      </c>
      <c r="K58" s="60">
        <v>548.66</v>
      </c>
      <c r="L58" s="60">
        <v>115.33</v>
      </c>
      <c r="M58" s="60">
        <v>128.99</v>
      </c>
      <c r="N58" s="59" t="s">
        <v>9054</v>
      </c>
    </row>
    <row r="59">
      <c r="A59" s="59" t="s">
        <v>2336</v>
      </c>
      <c r="B59" s="59" t="s">
        <v>1303</v>
      </c>
      <c r="C59" s="59" t="str">
        <f t="shared" si="1"/>
        <v>Webcam 1080p</v>
      </c>
      <c r="D59" s="59" t="s">
        <v>179</v>
      </c>
      <c r="E59" s="60">
        <v>30.01</v>
      </c>
      <c r="F59" s="60">
        <v>30.01</v>
      </c>
      <c r="G59" s="60">
        <v>34.36</v>
      </c>
      <c r="H59" s="60">
        <v>33.72</v>
      </c>
      <c r="I59" s="60">
        <v>33.08</v>
      </c>
      <c r="J59" s="60">
        <v>35.0</v>
      </c>
      <c r="K59" s="60">
        <v>154.4</v>
      </c>
      <c r="L59" s="60">
        <v>32.46</v>
      </c>
      <c r="M59" s="60">
        <v>36.3</v>
      </c>
      <c r="N59" s="59" t="s">
        <v>9054</v>
      </c>
    </row>
    <row r="60">
      <c r="A60" s="59" t="s">
        <v>1063</v>
      </c>
      <c r="B60" s="59" t="s">
        <v>291</v>
      </c>
      <c r="C60" s="59" t="str">
        <f t="shared" si="1"/>
        <v>NVMe SSD 2TB</v>
      </c>
      <c r="D60" s="59" t="s">
        <v>167</v>
      </c>
      <c r="E60" s="60">
        <v>136.55</v>
      </c>
      <c r="F60" s="60">
        <v>136.55</v>
      </c>
      <c r="G60" s="60">
        <v>156.32</v>
      </c>
      <c r="H60" s="60">
        <v>153.41</v>
      </c>
      <c r="I60" s="60">
        <v>150.53</v>
      </c>
      <c r="J60" s="60">
        <v>159.26</v>
      </c>
      <c r="K60" s="60">
        <v>702.55</v>
      </c>
      <c r="L60" s="60">
        <v>147.68</v>
      </c>
      <c r="M60" s="60">
        <v>165.17</v>
      </c>
      <c r="N60" s="59" t="s">
        <v>9054</v>
      </c>
    </row>
    <row r="61">
      <c r="A61" s="59" t="s">
        <v>904</v>
      </c>
      <c r="B61" s="59" t="s">
        <v>905</v>
      </c>
      <c r="C61" s="59" t="str">
        <f t="shared" si="1"/>
        <v>NOISE CANCELLING HEADPHONES</v>
      </c>
      <c r="D61" s="59" t="s">
        <v>167</v>
      </c>
      <c r="E61" s="60">
        <v>132.42</v>
      </c>
      <c r="F61" s="60">
        <v>132.42</v>
      </c>
      <c r="G61" s="60">
        <v>151.59</v>
      </c>
      <c r="H61" s="60">
        <v>148.77</v>
      </c>
      <c r="I61" s="60">
        <v>145.98</v>
      </c>
      <c r="J61" s="60">
        <v>154.44</v>
      </c>
      <c r="K61" s="60">
        <v>681.3</v>
      </c>
      <c r="L61" s="60">
        <v>143.21</v>
      </c>
      <c r="M61" s="60">
        <v>160.18</v>
      </c>
      <c r="N61" s="59" t="s">
        <v>9054</v>
      </c>
    </row>
    <row r="62">
      <c r="A62" s="59" t="s">
        <v>269</v>
      </c>
      <c r="B62" s="59" t="s">
        <v>270</v>
      </c>
      <c r="C62" s="59" t="str">
        <f t="shared" si="1"/>
        <v>Noise Cancelling Headphones</v>
      </c>
      <c r="D62" s="59" t="s">
        <v>368</v>
      </c>
      <c r="E62" s="60">
        <v>219.29</v>
      </c>
      <c r="F62" s="60">
        <v>219.29</v>
      </c>
      <c r="G62" s="60">
        <v>251.04</v>
      </c>
      <c r="H62" s="60">
        <v>246.37</v>
      </c>
      <c r="I62" s="60">
        <v>241.75</v>
      </c>
      <c r="J62" s="60">
        <v>255.76</v>
      </c>
      <c r="K62" s="60">
        <v>1128.25</v>
      </c>
      <c r="L62" s="60">
        <v>237.16</v>
      </c>
      <c r="M62" s="60">
        <v>265.25</v>
      </c>
      <c r="N62" s="59" t="s">
        <v>9054</v>
      </c>
    </row>
    <row r="63">
      <c r="A63" s="59" t="s">
        <v>411</v>
      </c>
      <c r="B63" s="59" t="s">
        <v>412</v>
      </c>
      <c r="C63" s="59" t="str">
        <f t="shared" si="1"/>
        <v>27INM ONITOR</v>
      </c>
      <c r="D63" s="59" t="s">
        <v>167</v>
      </c>
      <c r="E63" s="60">
        <v>363.33</v>
      </c>
      <c r="F63" s="60">
        <v>363.33</v>
      </c>
      <c r="G63" s="60">
        <v>415.94</v>
      </c>
      <c r="H63" s="60">
        <v>408.2</v>
      </c>
      <c r="I63" s="60">
        <v>400.53</v>
      </c>
      <c r="J63" s="60">
        <v>423.75</v>
      </c>
      <c r="K63" s="60">
        <v>1869.33</v>
      </c>
      <c r="L63" s="60">
        <v>392.94</v>
      </c>
      <c r="M63" s="60">
        <v>439.48</v>
      </c>
      <c r="N63" s="59" t="s">
        <v>9054</v>
      </c>
    </row>
    <row r="64">
      <c r="A64" s="59" t="s">
        <v>2024</v>
      </c>
      <c r="B64" s="59" t="s">
        <v>2025</v>
      </c>
      <c r="C64" s="59" t="str">
        <f t="shared" si="1"/>
        <v>GAMNIG LAPTOP 15</v>
      </c>
      <c r="D64" s="59" t="s">
        <v>63</v>
      </c>
      <c r="E64" s="60">
        <v>1358.96</v>
      </c>
      <c r="F64" s="60">
        <v>1358.96</v>
      </c>
      <c r="G64" s="60">
        <v>1555.74</v>
      </c>
      <c r="H64" s="60">
        <v>1526.79</v>
      </c>
      <c r="I64" s="60">
        <v>1498.12</v>
      </c>
      <c r="J64" s="60">
        <v>1584.96</v>
      </c>
      <c r="K64" s="60">
        <v>6991.85</v>
      </c>
      <c r="L64" s="60">
        <v>1469.72</v>
      </c>
      <c r="M64" s="60">
        <v>1643.8</v>
      </c>
      <c r="N64" s="59" t="s">
        <v>9054</v>
      </c>
    </row>
    <row r="65">
      <c r="A65" s="59" t="s">
        <v>948</v>
      </c>
      <c r="B65" s="59" t="s">
        <v>450</v>
      </c>
      <c r="C65" s="59" t="str">
        <f t="shared" si="1"/>
        <v>Gaming Laptop 15</v>
      </c>
      <c r="D65" s="59" t="s">
        <v>514</v>
      </c>
      <c r="E65" s="60">
        <v>1470.18</v>
      </c>
      <c r="F65" s="60">
        <v>1470.18</v>
      </c>
      <c r="G65" s="60">
        <v>1683.06</v>
      </c>
      <c r="H65" s="60">
        <v>1651.75</v>
      </c>
      <c r="I65" s="60">
        <v>1620.73</v>
      </c>
      <c r="J65" s="60">
        <v>1714.67</v>
      </c>
      <c r="K65" s="60">
        <v>7564.08</v>
      </c>
      <c r="L65" s="60">
        <v>1590.0</v>
      </c>
      <c r="M65" s="60">
        <v>1778.33</v>
      </c>
      <c r="N65" s="59" t="s">
        <v>9054</v>
      </c>
    </row>
    <row r="66">
      <c r="A66" s="59" t="s">
        <v>471</v>
      </c>
      <c r="B66" s="59" t="s">
        <v>472</v>
      </c>
      <c r="C66" s="59" t="str">
        <f t="shared" si="1"/>
        <v>Docking Station Pro</v>
      </c>
      <c r="D66" s="59" t="s">
        <v>179</v>
      </c>
      <c r="E66" s="60">
        <v>71.8</v>
      </c>
      <c r="F66" s="60">
        <v>71.8</v>
      </c>
      <c r="G66" s="60">
        <v>82.2</v>
      </c>
      <c r="H66" s="60">
        <v>80.67</v>
      </c>
      <c r="I66" s="60">
        <v>79.15</v>
      </c>
      <c r="J66" s="60">
        <v>83.74</v>
      </c>
      <c r="K66" s="60">
        <v>369.41</v>
      </c>
      <c r="L66" s="60">
        <v>77.65</v>
      </c>
      <c r="M66" s="60">
        <v>86.85</v>
      </c>
      <c r="N66" s="59" t="s">
        <v>9054</v>
      </c>
    </row>
    <row r="67">
      <c r="A67" s="59" t="s">
        <v>1722</v>
      </c>
      <c r="B67" s="59" t="s">
        <v>804</v>
      </c>
      <c r="C67" s="59" t="str">
        <f t="shared" si="1"/>
        <v>Smartphone Case</v>
      </c>
      <c r="D67" s="59" t="s">
        <v>368</v>
      </c>
      <c r="E67" s="60">
        <v>13.05</v>
      </c>
      <c r="F67" s="60">
        <v>13.05</v>
      </c>
      <c r="G67" s="60">
        <v>14.94</v>
      </c>
      <c r="H67" s="60">
        <v>14.66</v>
      </c>
      <c r="I67" s="60">
        <v>14.39</v>
      </c>
      <c r="J67" s="60">
        <v>15.22</v>
      </c>
      <c r="K67" s="60">
        <v>67.14</v>
      </c>
      <c r="L67" s="60">
        <v>14.11</v>
      </c>
      <c r="M67" s="60">
        <v>15.79</v>
      </c>
      <c r="N67" s="59" t="s">
        <v>9054</v>
      </c>
    </row>
    <row r="68">
      <c r="A68" s="59" t="s">
        <v>919</v>
      </c>
      <c r="B68" s="59" t="s">
        <v>423</v>
      </c>
      <c r="C68" s="59" t="str">
        <f t="shared" si="1"/>
        <v>Microphone USB</v>
      </c>
      <c r="D68" s="59" t="s">
        <v>179</v>
      </c>
      <c r="E68" s="60">
        <v>52.04</v>
      </c>
      <c r="F68" s="60">
        <v>52.04</v>
      </c>
      <c r="G68" s="60">
        <v>59.58</v>
      </c>
      <c r="H68" s="60">
        <v>58.47</v>
      </c>
      <c r="I68" s="60">
        <v>57.37</v>
      </c>
      <c r="J68" s="60">
        <v>60.69</v>
      </c>
      <c r="K68" s="60">
        <v>267.75</v>
      </c>
      <c r="L68" s="60">
        <v>56.28</v>
      </c>
      <c r="M68" s="60">
        <v>62.95</v>
      </c>
      <c r="N68" s="59" t="s">
        <v>9054</v>
      </c>
    </row>
    <row r="69">
      <c r="A69" s="59" t="s">
        <v>490</v>
      </c>
      <c r="B69" s="59" t="s">
        <v>491</v>
      </c>
      <c r="C69" s="59" t="str">
        <f t="shared" si="1"/>
        <v>Docking Station Pro</v>
      </c>
      <c r="D69" s="59" t="s">
        <v>514</v>
      </c>
      <c r="E69" s="60">
        <v>116.45</v>
      </c>
      <c r="F69" s="60">
        <v>116.45</v>
      </c>
      <c r="G69" s="60">
        <v>133.31</v>
      </c>
      <c r="H69" s="60">
        <v>130.83</v>
      </c>
      <c r="I69" s="60">
        <v>128.37</v>
      </c>
      <c r="J69" s="60">
        <v>135.82</v>
      </c>
      <c r="K69" s="60">
        <v>599.14</v>
      </c>
      <c r="L69" s="60">
        <v>125.94</v>
      </c>
      <c r="M69" s="60">
        <v>140.86</v>
      </c>
      <c r="N69" s="59" t="s">
        <v>9054</v>
      </c>
    </row>
    <row r="70">
      <c r="A70" s="59" t="s">
        <v>2483</v>
      </c>
      <c r="B70" s="59" t="s">
        <v>1530</v>
      </c>
      <c r="C70" s="59" t="str">
        <f t="shared" si="1"/>
        <v>External SSD 1TB</v>
      </c>
      <c r="D70" s="59" t="s">
        <v>167</v>
      </c>
      <c r="E70" s="60">
        <v>76.81</v>
      </c>
      <c r="F70" s="60">
        <v>76.81</v>
      </c>
      <c r="G70" s="60">
        <v>87.93</v>
      </c>
      <c r="H70" s="60">
        <v>86.3</v>
      </c>
      <c r="I70" s="60">
        <v>84.68</v>
      </c>
      <c r="J70" s="60">
        <v>89.58</v>
      </c>
      <c r="K70" s="60">
        <v>395.19</v>
      </c>
      <c r="L70" s="60">
        <v>83.07</v>
      </c>
      <c r="M70" s="60">
        <v>92.91</v>
      </c>
      <c r="N70" s="59" t="s">
        <v>9054</v>
      </c>
    </row>
    <row r="71">
      <c r="A71" s="59" t="s">
        <v>154</v>
      </c>
      <c r="B71" s="59" t="s">
        <v>62</v>
      </c>
      <c r="C71" s="59" t="str">
        <f t="shared" si="1"/>
        <v>Portable HDD 2TB</v>
      </c>
      <c r="D71" s="59" t="s">
        <v>368</v>
      </c>
      <c r="E71" s="60">
        <v>74.1</v>
      </c>
      <c r="F71" s="60">
        <v>74.1</v>
      </c>
      <c r="G71" s="60">
        <v>84.83</v>
      </c>
      <c r="H71" s="60">
        <v>83.25</v>
      </c>
      <c r="I71" s="60">
        <v>81.69</v>
      </c>
      <c r="J71" s="60">
        <v>86.42</v>
      </c>
      <c r="K71" s="60">
        <v>381.24</v>
      </c>
      <c r="L71" s="60">
        <v>80.14</v>
      </c>
      <c r="M71" s="60">
        <v>89.63</v>
      </c>
      <c r="N71" s="59" t="s">
        <v>9054</v>
      </c>
    </row>
    <row r="72">
      <c r="A72" s="59" t="s">
        <v>366</v>
      </c>
      <c r="B72" s="59" t="s">
        <v>367</v>
      </c>
      <c r="C72" s="59" t="str">
        <f t="shared" si="1"/>
        <v>Ultraobok 14</v>
      </c>
      <c r="D72" s="59" t="s">
        <v>368</v>
      </c>
      <c r="E72" s="60">
        <v>1117.67</v>
      </c>
      <c r="F72" s="60">
        <v>1117.67</v>
      </c>
      <c r="G72" s="60">
        <v>1279.51</v>
      </c>
      <c r="H72" s="60">
        <v>1255.7</v>
      </c>
      <c r="I72" s="60">
        <v>1232.12</v>
      </c>
      <c r="J72" s="60">
        <v>1303.54</v>
      </c>
      <c r="K72" s="60">
        <v>5750.41</v>
      </c>
      <c r="L72" s="60">
        <v>1208.76</v>
      </c>
      <c r="M72" s="60">
        <v>1351.93</v>
      </c>
      <c r="N72" s="59" t="s">
        <v>9054</v>
      </c>
    </row>
    <row r="73">
      <c r="A73" s="59" t="s">
        <v>2539</v>
      </c>
      <c r="B73" s="59" t="s">
        <v>403</v>
      </c>
      <c r="C73" s="59" t="str">
        <f t="shared" si="1"/>
        <v>USB-C Hub 7in1</v>
      </c>
      <c r="D73" s="59" t="s">
        <v>179</v>
      </c>
      <c r="E73" s="60">
        <v>25.41</v>
      </c>
      <c r="F73" s="60">
        <v>25.41</v>
      </c>
      <c r="G73" s="60">
        <v>29.09</v>
      </c>
      <c r="H73" s="60">
        <v>28.55</v>
      </c>
      <c r="I73" s="60">
        <v>28.01</v>
      </c>
      <c r="J73" s="60">
        <v>29.64</v>
      </c>
      <c r="K73" s="60">
        <v>130.73</v>
      </c>
      <c r="L73" s="60">
        <v>27.48</v>
      </c>
      <c r="M73" s="60">
        <v>30.74</v>
      </c>
      <c r="N73" s="59" t="s">
        <v>9054</v>
      </c>
    </row>
    <row r="74">
      <c r="A74" s="59" t="s">
        <v>2273</v>
      </c>
      <c r="B74" s="59" t="s">
        <v>2274</v>
      </c>
      <c r="C74" s="59" t="str">
        <f t="shared" si="1"/>
        <v>BLUETOOTH SPEAKER</v>
      </c>
      <c r="D74" s="59" t="s">
        <v>179</v>
      </c>
      <c r="E74" s="60">
        <v>142.55</v>
      </c>
      <c r="F74" s="60">
        <v>142.55</v>
      </c>
      <c r="G74" s="60">
        <v>163.19</v>
      </c>
      <c r="H74" s="60">
        <v>160.15</v>
      </c>
      <c r="I74" s="60">
        <v>157.15</v>
      </c>
      <c r="J74" s="60">
        <v>166.26</v>
      </c>
      <c r="K74" s="60">
        <v>733.42</v>
      </c>
      <c r="L74" s="60">
        <v>154.17</v>
      </c>
      <c r="M74" s="60">
        <v>172.43</v>
      </c>
      <c r="N74" s="59" t="s">
        <v>9054</v>
      </c>
    </row>
    <row r="75">
      <c r="A75" s="59" t="s">
        <v>976</v>
      </c>
      <c r="B75" s="59" t="s">
        <v>335</v>
      </c>
      <c r="C75" s="59" t="str">
        <f t="shared" si="1"/>
        <v>Docking Station Pro</v>
      </c>
      <c r="D75" s="59" t="s">
        <v>368</v>
      </c>
      <c r="E75" s="60">
        <v>107.91</v>
      </c>
      <c r="F75" s="60">
        <v>107.91</v>
      </c>
      <c r="G75" s="60">
        <v>123.54</v>
      </c>
      <c r="H75" s="60">
        <v>121.24</v>
      </c>
      <c r="I75" s="60">
        <v>118.96</v>
      </c>
      <c r="J75" s="60">
        <v>125.86</v>
      </c>
      <c r="K75" s="60">
        <v>555.2</v>
      </c>
      <c r="L75" s="60">
        <v>116.7</v>
      </c>
      <c r="M75" s="60">
        <v>130.53</v>
      </c>
      <c r="N75" s="59" t="s">
        <v>9054</v>
      </c>
    </row>
    <row r="76">
      <c r="A76" s="59" t="s">
        <v>501</v>
      </c>
      <c r="B76" s="59" t="s">
        <v>502</v>
      </c>
      <c r="C76" s="59" t="str">
        <f t="shared" si="1"/>
        <v>Ultrabook 14</v>
      </c>
      <c r="D76" s="59" t="s">
        <v>167</v>
      </c>
      <c r="E76" s="60">
        <v>1071.94</v>
      </c>
      <c r="F76" s="60">
        <v>1071.94</v>
      </c>
      <c r="G76" s="60">
        <v>1227.16</v>
      </c>
      <c r="H76" s="60">
        <v>1204.32</v>
      </c>
      <c r="I76" s="60">
        <v>1181.71</v>
      </c>
      <c r="J76" s="60">
        <v>1250.2</v>
      </c>
      <c r="K76" s="60">
        <v>5515.13</v>
      </c>
      <c r="L76" s="60">
        <v>1159.3</v>
      </c>
      <c r="M76" s="60">
        <v>1296.62</v>
      </c>
      <c r="N76" s="59" t="s">
        <v>9054</v>
      </c>
    </row>
    <row r="77">
      <c r="A77" s="59" t="s">
        <v>3810</v>
      </c>
      <c r="B77" s="59" t="s">
        <v>3811</v>
      </c>
      <c r="C77" s="59" t="str">
        <f t="shared" si="1"/>
        <v>4K Monitor 32</v>
      </c>
      <c r="D77" s="59" t="s">
        <v>355</v>
      </c>
      <c r="E77" s="60">
        <v>476.64</v>
      </c>
      <c r="F77" s="60">
        <v>476.64</v>
      </c>
      <c r="G77" s="60">
        <v>545.66</v>
      </c>
      <c r="H77" s="60">
        <v>535.51</v>
      </c>
      <c r="I77" s="60">
        <v>525.45</v>
      </c>
      <c r="J77" s="60">
        <v>555.91</v>
      </c>
      <c r="K77" s="60">
        <v>2452.31</v>
      </c>
      <c r="L77" s="60">
        <v>515.49</v>
      </c>
      <c r="M77" s="60">
        <v>576.54</v>
      </c>
      <c r="N77" s="59" t="s">
        <v>9054</v>
      </c>
    </row>
    <row r="78">
      <c r="A78" s="59" t="s">
        <v>212</v>
      </c>
      <c r="B78" s="59" t="s">
        <v>213</v>
      </c>
      <c r="C78" s="59" t="str">
        <f t="shared" si="1"/>
        <v>Gaming Laptop 15</v>
      </c>
      <c r="D78" s="59" t="s">
        <v>368</v>
      </c>
      <c r="E78" s="60">
        <v>1464.12</v>
      </c>
      <c r="F78" s="60">
        <v>1464.12</v>
      </c>
      <c r="G78" s="60">
        <v>1676.12</v>
      </c>
      <c r="H78" s="60">
        <v>1644.94</v>
      </c>
      <c r="I78" s="60">
        <v>1614.05</v>
      </c>
      <c r="J78" s="60">
        <v>1707.6</v>
      </c>
      <c r="K78" s="60">
        <v>7532.9</v>
      </c>
      <c r="L78" s="60">
        <v>1583.45</v>
      </c>
      <c r="M78" s="60">
        <v>1771.0</v>
      </c>
      <c r="N78" s="59" t="s">
        <v>9054</v>
      </c>
    </row>
    <row r="79">
      <c r="A79" s="59" t="s">
        <v>325</v>
      </c>
      <c r="B79" s="59" t="s">
        <v>326</v>
      </c>
      <c r="C79" s="59" t="str">
        <f t="shared" si="1"/>
        <v>External SSD 1TB</v>
      </c>
      <c r="D79" s="59" t="s">
        <v>179</v>
      </c>
      <c r="E79" s="60">
        <v>145.23</v>
      </c>
      <c r="F79" s="60">
        <v>145.23</v>
      </c>
      <c r="G79" s="60">
        <v>166.26</v>
      </c>
      <c r="H79" s="60">
        <v>163.17</v>
      </c>
      <c r="I79" s="60">
        <v>160.1</v>
      </c>
      <c r="J79" s="60">
        <v>169.38</v>
      </c>
      <c r="K79" s="60">
        <v>747.21</v>
      </c>
      <c r="L79" s="60">
        <v>157.07</v>
      </c>
      <c r="M79" s="60">
        <v>175.67</v>
      </c>
      <c r="N79" s="59" t="s">
        <v>9054</v>
      </c>
    </row>
    <row r="80">
      <c r="A80" s="59" t="s">
        <v>1733</v>
      </c>
      <c r="B80" s="59" t="s">
        <v>440</v>
      </c>
      <c r="C80" s="59" t="str">
        <f t="shared" si="1"/>
        <v>Webcam 1080p</v>
      </c>
      <c r="D80" s="59" t="s">
        <v>179</v>
      </c>
      <c r="E80" s="60">
        <v>35.69</v>
      </c>
      <c r="F80" s="60">
        <v>35.69</v>
      </c>
      <c r="G80" s="60">
        <v>40.86</v>
      </c>
      <c r="H80" s="60">
        <v>40.1</v>
      </c>
      <c r="I80" s="60">
        <v>39.34</v>
      </c>
      <c r="J80" s="60">
        <v>41.63</v>
      </c>
      <c r="K80" s="60">
        <v>183.63</v>
      </c>
      <c r="L80" s="60">
        <v>38.6</v>
      </c>
      <c r="M80" s="60">
        <v>43.17</v>
      </c>
      <c r="N80" s="59" t="s">
        <v>9054</v>
      </c>
    </row>
    <row r="81">
      <c r="A81" s="59" t="s">
        <v>1476</v>
      </c>
      <c r="B81" s="59" t="s">
        <v>1147</v>
      </c>
      <c r="C81" s="59" t="str">
        <f t="shared" si="1"/>
        <v>Mechanical Keyboard</v>
      </c>
      <c r="D81" s="59" t="s">
        <v>248</v>
      </c>
      <c r="E81" s="60">
        <v>147.92</v>
      </c>
      <c r="F81" s="60">
        <v>147.92</v>
      </c>
      <c r="G81" s="60">
        <v>169.34</v>
      </c>
      <c r="H81" s="60">
        <v>166.19</v>
      </c>
      <c r="I81" s="60">
        <v>163.07</v>
      </c>
      <c r="J81" s="60">
        <v>172.52</v>
      </c>
      <c r="K81" s="60">
        <v>761.05</v>
      </c>
      <c r="L81" s="60">
        <v>159.98</v>
      </c>
      <c r="M81" s="60">
        <v>178.92</v>
      </c>
      <c r="N81" s="59" t="s">
        <v>9054</v>
      </c>
    </row>
    <row r="82">
      <c r="A82" s="59" t="s">
        <v>189</v>
      </c>
      <c r="B82" s="59" t="s">
        <v>190</v>
      </c>
      <c r="C82" s="59" t="str">
        <f t="shared" si="1"/>
        <v>Bluetooth Speaker</v>
      </c>
      <c r="D82" s="59" t="s">
        <v>167</v>
      </c>
      <c r="E82" s="60">
        <v>57.69</v>
      </c>
      <c r="F82" s="60">
        <v>57.69</v>
      </c>
      <c r="G82" s="60">
        <v>66.04</v>
      </c>
      <c r="H82" s="60">
        <v>64.81</v>
      </c>
      <c r="I82" s="60">
        <v>63.6</v>
      </c>
      <c r="J82" s="60">
        <v>67.28</v>
      </c>
      <c r="K82" s="60">
        <v>296.82</v>
      </c>
      <c r="L82" s="60">
        <v>62.39</v>
      </c>
      <c r="M82" s="60">
        <v>69.78</v>
      </c>
      <c r="N82" s="59" t="s">
        <v>9054</v>
      </c>
    </row>
    <row r="83">
      <c r="A83" s="59" t="s">
        <v>711</v>
      </c>
      <c r="B83" s="59" t="s">
        <v>712</v>
      </c>
      <c r="C83" s="59" t="str">
        <f t="shared" si="1"/>
        <v>USB-C Hub 7in1</v>
      </c>
      <c r="D83" s="59" t="s">
        <v>514</v>
      </c>
      <c r="E83" s="60">
        <v>43.64</v>
      </c>
      <c r="F83" s="60">
        <v>43.64</v>
      </c>
      <c r="G83" s="60">
        <v>49.96</v>
      </c>
      <c r="H83" s="60">
        <v>49.03</v>
      </c>
      <c r="I83" s="60">
        <v>48.11</v>
      </c>
      <c r="J83" s="60">
        <v>50.9</v>
      </c>
      <c r="K83" s="60">
        <v>224.53</v>
      </c>
      <c r="L83" s="60">
        <v>47.2</v>
      </c>
      <c r="M83" s="60">
        <v>52.79</v>
      </c>
      <c r="N83" s="59" t="s">
        <v>9054</v>
      </c>
    </row>
    <row r="84">
      <c r="A84" s="59" t="s">
        <v>2219</v>
      </c>
      <c r="B84" s="59" t="s">
        <v>236</v>
      </c>
      <c r="C84" s="59" t="str">
        <f t="shared" si="1"/>
        <v>Wireless Mouse</v>
      </c>
      <c r="D84" s="59" t="s">
        <v>355</v>
      </c>
      <c r="E84" s="60">
        <v>44.94</v>
      </c>
      <c r="F84" s="60">
        <v>44.94</v>
      </c>
      <c r="G84" s="60">
        <v>51.45</v>
      </c>
      <c r="H84" s="60">
        <v>50.49</v>
      </c>
      <c r="I84" s="60">
        <v>49.54</v>
      </c>
      <c r="J84" s="60">
        <v>52.41</v>
      </c>
      <c r="K84" s="60">
        <v>231.22</v>
      </c>
      <c r="L84" s="60">
        <v>48.6</v>
      </c>
      <c r="M84" s="60">
        <v>54.36</v>
      </c>
      <c r="N84" s="59" t="s">
        <v>9054</v>
      </c>
    </row>
    <row r="85">
      <c r="A85" s="59" t="s">
        <v>1856</v>
      </c>
      <c r="B85" s="59" t="s">
        <v>118</v>
      </c>
      <c r="C85" s="59" t="str">
        <f t="shared" si="1"/>
        <v>LED Light Strip</v>
      </c>
      <c r="D85" s="59" t="s">
        <v>167</v>
      </c>
      <c r="E85" s="60">
        <v>13.34</v>
      </c>
      <c r="F85" s="60">
        <v>13.34</v>
      </c>
      <c r="G85" s="60">
        <v>15.27</v>
      </c>
      <c r="H85" s="60">
        <v>14.99</v>
      </c>
      <c r="I85" s="60">
        <v>14.71</v>
      </c>
      <c r="J85" s="60">
        <v>15.56</v>
      </c>
      <c r="K85" s="60">
        <v>68.63</v>
      </c>
      <c r="L85" s="60">
        <v>14.43</v>
      </c>
      <c r="M85" s="60">
        <v>16.14</v>
      </c>
      <c r="N85" s="59" t="s">
        <v>9054</v>
      </c>
    </row>
    <row r="86">
      <c r="A86" s="59" t="s">
        <v>1085</v>
      </c>
      <c r="B86" s="59" t="s">
        <v>335</v>
      </c>
      <c r="C86" s="59" t="str">
        <f t="shared" si="1"/>
        <v>Docking Station Pro</v>
      </c>
      <c r="D86" s="59" t="s">
        <v>368</v>
      </c>
      <c r="E86" s="60">
        <v>171.42</v>
      </c>
      <c r="F86" s="60">
        <v>171.42</v>
      </c>
      <c r="G86" s="60">
        <v>196.24</v>
      </c>
      <c r="H86" s="60">
        <v>192.59</v>
      </c>
      <c r="I86" s="60">
        <v>188.97</v>
      </c>
      <c r="J86" s="60">
        <v>199.93</v>
      </c>
      <c r="K86" s="60">
        <v>881.96</v>
      </c>
      <c r="L86" s="60">
        <v>185.39</v>
      </c>
      <c r="M86" s="60">
        <v>207.35</v>
      </c>
      <c r="N86" s="59" t="s">
        <v>9054</v>
      </c>
    </row>
    <row r="87">
      <c r="A87" s="59" t="s">
        <v>1014</v>
      </c>
      <c r="B87" s="59" t="s">
        <v>1015</v>
      </c>
      <c r="C87" s="59" t="str">
        <f t="shared" si="1"/>
        <v>NOISE CANCELLING HEADPOHNES</v>
      </c>
      <c r="D87" s="59" t="s">
        <v>355</v>
      </c>
      <c r="E87" s="60">
        <v>162.1</v>
      </c>
      <c r="F87" s="60">
        <v>162.1</v>
      </c>
      <c r="G87" s="60">
        <v>185.57</v>
      </c>
      <c r="H87" s="60">
        <v>182.12</v>
      </c>
      <c r="I87" s="60">
        <v>178.7</v>
      </c>
      <c r="J87" s="60">
        <v>189.06</v>
      </c>
      <c r="K87" s="60">
        <v>834.0</v>
      </c>
      <c r="L87" s="60">
        <v>175.31</v>
      </c>
      <c r="M87" s="60">
        <v>196.08</v>
      </c>
      <c r="N87" s="59" t="s">
        <v>9054</v>
      </c>
    </row>
    <row r="88">
      <c r="A88" s="59" t="s">
        <v>852</v>
      </c>
      <c r="B88" s="59" t="s">
        <v>450</v>
      </c>
      <c r="C88" s="59" t="str">
        <f t="shared" si="1"/>
        <v>Gaming Laptop 15</v>
      </c>
      <c r="D88" s="59" t="s">
        <v>167</v>
      </c>
      <c r="E88" s="60">
        <v>1114.6</v>
      </c>
      <c r="F88" s="60">
        <v>1114.6</v>
      </c>
      <c r="G88" s="60">
        <v>1275.99</v>
      </c>
      <c r="H88" s="60">
        <v>1252.25</v>
      </c>
      <c r="I88" s="60">
        <v>1228.74</v>
      </c>
      <c r="J88" s="60">
        <v>1299.96</v>
      </c>
      <c r="K88" s="60">
        <v>5734.62</v>
      </c>
      <c r="L88" s="60">
        <v>1205.44</v>
      </c>
      <c r="M88" s="60">
        <v>1348.22</v>
      </c>
      <c r="N88" s="59" t="s">
        <v>9054</v>
      </c>
    </row>
    <row r="89">
      <c r="A89" s="59" t="s">
        <v>1302</v>
      </c>
      <c r="B89" s="59" t="s">
        <v>1303</v>
      </c>
      <c r="C89" s="59" t="str">
        <f t="shared" si="1"/>
        <v>Webcam 1080p</v>
      </c>
      <c r="D89" s="59" t="s">
        <v>179</v>
      </c>
      <c r="E89" s="60">
        <v>28.97</v>
      </c>
      <c r="F89" s="60">
        <v>28.97</v>
      </c>
      <c r="G89" s="60">
        <v>33.16</v>
      </c>
      <c r="H89" s="60">
        <v>32.55</v>
      </c>
      <c r="I89" s="60">
        <v>31.94</v>
      </c>
      <c r="J89" s="60">
        <v>33.79</v>
      </c>
      <c r="K89" s="60">
        <v>149.05</v>
      </c>
      <c r="L89" s="60">
        <v>31.33</v>
      </c>
      <c r="M89" s="60">
        <v>35.04</v>
      </c>
      <c r="N89" s="59" t="s">
        <v>9054</v>
      </c>
    </row>
    <row r="90">
      <c r="A90" s="59" t="s">
        <v>1460</v>
      </c>
      <c r="B90" s="59" t="s">
        <v>1461</v>
      </c>
      <c r="C90" s="59" t="str">
        <f t="shared" si="1"/>
        <v>Gaming Chair</v>
      </c>
      <c r="D90" s="59" t="s">
        <v>368</v>
      </c>
      <c r="E90" s="60">
        <v>271.81</v>
      </c>
      <c r="F90" s="60">
        <v>271.81</v>
      </c>
      <c r="G90" s="60">
        <v>311.17</v>
      </c>
      <c r="H90" s="60">
        <v>305.38</v>
      </c>
      <c r="I90" s="60">
        <v>299.64</v>
      </c>
      <c r="J90" s="60">
        <v>317.01</v>
      </c>
      <c r="K90" s="60">
        <v>1398.46</v>
      </c>
      <c r="L90" s="60">
        <v>293.96</v>
      </c>
      <c r="M90" s="60">
        <v>328.78</v>
      </c>
      <c r="N90" s="59" t="s">
        <v>9054</v>
      </c>
    </row>
    <row r="91">
      <c r="A91" s="59" t="s">
        <v>353</v>
      </c>
      <c r="B91" s="59" t="s">
        <v>354</v>
      </c>
      <c r="C91" s="59" t="str">
        <f t="shared" si="1"/>
        <v>Portable HDD 2TB</v>
      </c>
      <c r="D91" s="59" t="s">
        <v>355</v>
      </c>
      <c r="E91" s="60">
        <v>106.56</v>
      </c>
      <c r="F91" s="60">
        <v>106.56</v>
      </c>
      <c r="G91" s="60">
        <v>121.99</v>
      </c>
      <c r="H91" s="60">
        <v>119.72</v>
      </c>
      <c r="I91" s="60">
        <v>117.47</v>
      </c>
      <c r="J91" s="60">
        <v>124.28</v>
      </c>
      <c r="K91" s="60">
        <v>548.25</v>
      </c>
      <c r="L91" s="60">
        <v>115.24</v>
      </c>
      <c r="M91" s="60">
        <v>128.89</v>
      </c>
      <c r="N91" s="59" t="s">
        <v>9054</v>
      </c>
    </row>
    <row r="92">
      <c r="A92" s="59" t="s">
        <v>3454</v>
      </c>
      <c r="B92" s="59" t="s">
        <v>270</v>
      </c>
      <c r="C92" s="59" t="str">
        <f t="shared" si="1"/>
        <v>Noise Cancelling Headphones</v>
      </c>
      <c r="D92" s="59" t="s">
        <v>179</v>
      </c>
      <c r="E92" s="60">
        <v>270.01</v>
      </c>
      <c r="F92" s="60">
        <v>270.01</v>
      </c>
      <c r="G92" s="60">
        <v>309.11</v>
      </c>
      <c r="H92" s="60">
        <v>303.36</v>
      </c>
      <c r="I92" s="60">
        <v>297.66</v>
      </c>
      <c r="J92" s="60">
        <v>314.91</v>
      </c>
      <c r="K92" s="60">
        <v>1389.2</v>
      </c>
      <c r="L92" s="60">
        <v>292.02</v>
      </c>
      <c r="M92" s="60">
        <v>326.6</v>
      </c>
      <c r="N92" s="59" t="s">
        <v>9054</v>
      </c>
    </row>
    <row r="93">
      <c r="A93" s="59" t="s">
        <v>4784</v>
      </c>
      <c r="B93" s="59" t="s">
        <v>2322</v>
      </c>
      <c r="C93" s="59" t="str">
        <f t="shared" si="1"/>
        <v>Usb-C Hub 7In1</v>
      </c>
      <c r="D93" s="59" t="s">
        <v>167</v>
      </c>
      <c r="E93" s="60">
        <v>22.87</v>
      </c>
      <c r="F93" s="60">
        <v>22.87</v>
      </c>
      <c r="G93" s="60">
        <v>26.18</v>
      </c>
      <c r="H93" s="60">
        <v>25.69</v>
      </c>
      <c r="I93" s="60">
        <v>25.21</v>
      </c>
      <c r="J93" s="60">
        <v>26.67</v>
      </c>
      <c r="K93" s="60">
        <v>117.67</v>
      </c>
      <c r="L93" s="60">
        <v>24.73</v>
      </c>
      <c r="M93" s="60">
        <v>27.66</v>
      </c>
      <c r="N93" s="59" t="s">
        <v>9054</v>
      </c>
    </row>
    <row r="94">
      <c r="A94" s="59" t="s">
        <v>2240</v>
      </c>
      <c r="B94" s="59" t="s">
        <v>712</v>
      </c>
      <c r="C94" s="59" t="str">
        <f t="shared" si="1"/>
        <v>USB-C Hub 7in1</v>
      </c>
      <c r="D94" s="59" t="s">
        <v>355</v>
      </c>
      <c r="E94" s="60">
        <v>23.6</v>
      </c>
      <c r="F94" s="60">
        <v>23.6</v>
      </c>
      <c r="G94" s="60">
        <v>27.02</v>
      </c>
      <c r="H94" s="60">
        <v>26.51</v>
      </c>
      <c r="I94" s="60">
        <v>26.02</v>
      </c>
      <c r="J94" s="60">
        <v>27.52</v>
      </c>
      <c r="K94" s="60">
        <v>121.42</v>
      </c>
      <c r="L94" s="60">
        <v>25.52</v>
      </c>
      <c r="M94" s="60">
        <v>28.55</v>
      </c>
      <c r="N94" s="59" t="s">
        <v>9054</v>
      </c>
    </row>
    <row r="95">
      <c r="A95" s="59" t="s">
        <v>246</v>
      </c>
      <c r="B95" s="59" t="s">
        <v>247</v>
      </c>
      <c r="C95" s="59" t="str">
        <f t="shared" si="1"/>
        <v>Gaming Chair</v>
      </c>
      <c r="D95" s="59" t="s">
        <v>248</v>
      </c>
      <c r="E95" s="60">
        <v>259.62</v>
      </c>
      <c r="F95" s="60">
        <v>259.62</v>
      </c>
      <c r="G95" s="60">
        <v>297.21</v>
      </c>
      <c r="H95" s="60">
        <v>291.68</v>
      </c>
      <c r="I95" s="60">
        <v>286.21</v>
      </c>
      <c r="J95" s="60">
        <v>302.79</v>
      </c>
      <c r="K95" s="60">
        <v>1335.74</v>
      </c>
      <c r="L95" s="60">
        <v>280.78</v>
      </c>
      <c r="M95" s="60">
        <v>314.04</v>
      </c>
      <c r="N95" s="59" t="s">
        <v>9054</v>
      </c>
    </row>
    <row r="96">
      <c r="A96" s="59" t="s">
        <v>2688</v>
      </c>
      <c r="B96" s="59" t="s">
        <v>502</v>
      </c>
      <c r="C96" s="59" t="str">
        <f t="shared" si="1"/>
        <v>Ultrabook 14</v>
      </c>
      <c r="D96" s="59" t="s">
        <v>179</v>
      </c>
      <c r="E96" s="60">
        <v>985.77</v>
      </c>
      <c r="F96" s="60">
        <v>985.77</v>
      </c>
      <c r="G96" s="60">
        <v>1128.51</v>
      </c>
      <c r="H96" s="60">
        <v>1107.51</v>
      </c>
      <c r="I96" s="60">
        <v>1086.71</v>
      </c>
      <c r="J96" s="60">
        <v>1149.7</v>
      </c>
      <c r="K96" s="60">
        <v>5071.79</v>
      </c>
      <c r="L96" s="60">
        <v>1066.11</v>
      </c>
      <c r="M96" s="60">
        <v>1192.39</v>
      </c>
      <c r="N96" s="59" t="s">
        <v>9054</v>
      </c>
    </row>
    <row r="97">
      <c r="A97" s="59" t="s">
        <v>673</v>
      </c>
      <c r="B97" s="59" t="s">
        <v>118</v>
      </c>
      <c r="C97" s="59" t="str">
        <f t="shared" si="1"/>
        <v>LED Light Strip</v>
      </c>
      <c r="D97" s="59" t="s">
        <v>514</v>
      </c>
      <c r="E97" s="60">
        <v>38.5</v>
      </c>
      <c r="F97" s="60">
        <v>38.5</v>
      </c>
      <c r="G97" s="60">
        <v>44.07</v>
      </c>
      <c r="H97" s="60">
        <v>43.25</v>
      </c>
      <c r="I97" s="60">
        <v>42.44</v>
      </c>
      <c r="J97" s="60">
        <v>44.9</v>
      </c>
      <c r="K97" s="60">
        <v>198.08</v>
      </c>
      <c r="L97" s="60">
        <v>41.64</v>
      </c>
      <c r="M97" s="60">
        <v>46.57</v>
      </c>
      <c r="N97" s="59" t="s">
        <v>9054</v>
      </c>
    </row>
    <row r="98">
      <c r="A98" s="59" t="s">
        <v>746</v>
      </c>
      <c r="B98" s="59" t="s">
        <v>747</v>
      </c>
      <c r="C98" s="59" t="str">
        <f t="shared" si="1"/>
        <v>27In Monitor</v>
      </c>
      <c r="D98" s="59" t="s">
        <v>355</v>
      </c>
      <c r="E98" s="60">
        <v>346.0</v>
      </c>
      <c r="F98" s="60">
        <v>346.0</v>
      </c>
      <c r="G98" s="60">
        <v>396.1</v>
      </c>
      <c r="H98" s="60">
        <v>388.73</v>
      </c>
      <c r="I98" s="60">
        <v>381.43</v>
      </c>
      <c r="J98" s="60">
        <v>403.54</v>
      </c>
      <c r="K98" s="60">
        <v>1780.17</v>
      </c>
      <c r="L98" s="60">
        <v>374.2</v>
      </c>
      <c r="M98" s="60">
        <v>418.52</v>
      </c>
      <c r="N98" s="59" t="s">
        <v>9054</v>
      </c>
    </row>
    <row r="99">
      <c r="A99" s="59" t="s">
        <v>461</v>
      </c>
      <c r="B99" s="59" t="s">
        <v>462</v>
      </c>
      <c r="C99" s="59" t="str">
        <f t="shared" si="1"/>
        <v>Smartphone Case</v>
      </c>
      <c r="D99" s="59" t="s">
        <v>514</v>
      </c>
      <c r="E99" s="60">
        <v>17.15</v>
      </c>
      <c r="F99" s="60">
        <v>17.15</v>
      </c>
      <c r="G99" s="60">
        <v>19.63</v>
      </c>
      <c r="H99" s="60">
        <v>19.27</v>
      </c>
      <c r="I99" s="60">
        <v>18.91</v>
      </c>
      <c r="J99" s="60">
        <v>20.0</v>
      </c>
      <c r="K99" s="60">
        <v>88.24</v>
      </c>
      <c r="L99" s="60">
        <v>18.55</v>
      </c>
      <c r="M99" s="60">
        <v>20.74</v>
      </c>
      <c r="N99" s="59" t="s">
        <v>9054</v>
      </c>
    </row>
    <row r="100">
      <c r="A100" s="59" t="s">
        <v>2417</v>
      </c>
      <c r="B100" s="59" t="s">
        <v>225</v>
      </c>
      <c r="C100" s="59" t="str">
        <f t="shared" si="1"/>
        <v>SMART PLUG 2-PACK</v>
      </c>
      <c r="D100" s="59" t="s">
        <v>167</v>
      </c>
      <c r="E100" s="60">
        <v>45.55</v>
      </c>
      <c r="F100" s="60">
        <v>45.55</v>
      </c>
      <c r="G100" s="60">
        <v>52.15</v>
      </c>
      <c r="H100" s="60">
        <v>51.18</v>
      </c>
      <c r="I100" s="60">
        <v>50.21</v>
      </c>
      <c r="J100" s="60">
        <v>53.12</v>
      </c>
      <c r="K100" s="60">
        <v>234.35</v>
      </c>
      <c r="L100" s="60">
        <v>49.26</v>
      </c>
      <c r="M100" s="60">
        <v>55.1</v>
      </c>
      <c r="N100" s="59" t="s">
        <v>9054</v>
      </c>
    </row>
    <row r="101">
      <c r="A101" s="59" t="s">
        <v>1748</v>
      </c>
      <c r="B101" s="59" t="s">
        <v>1110</v>
      </c>
      <c r="C101" s="59" t="str">
        <f t="shared" si="1"/>
        <v>Portable HDD 2TB</v>
      </c>
      <c r="D101" s="59" t="s">
        <v>179</v>
      </c>
      <c r="E101" s="60">
        <v>94.26</v>
      </c>
      <c r="F101" s="60">
        <v>94.26</v>
      </c>
      <c r="G101" s="60">
        <v>107.91</v>
      </c>
      <c r="H101" s="60">
        <v>105.9</v>
      </c>
      <c r="I101" s="60">
        <v>103.91</v>
      </c>
      <c r="J101" s="60">
        <v>109.94</v>
      </c>
      <c r="K101" s="60">
        <v>484.97</v>
      </c>
      <c r="L101" s="60">
        <v>101.94</v>
      </c>
      <c r="M101" s="60">
        <v>114.02</v>
      </c>
      <c r="N101" s="59" t="s">
        <v>9054</v>
      </c>
    </row>
    <row r="102">
      <c r="A102" s="59" t="s">
        <v>1246</v>
      </c>
      <c r="B102" s="59" t="s">
        <v>1212</v>
      </c>
      <c r="C102" s="59" t="str">
        <f t="shared" si="1"/>
        <v>Smartphone Case</v>
      </c>
      <c r="D102" s="59" t="s">
        <v>514</v>
      </c>
      <c r="E102" s="60">
        <v>11.43</v>
      </c>
      <c r="F102" s="60">
        <v>11.43</v>
      </c>
      <c r="G102" s="60">
        <v>13.09</v>
      </c>
      <c r="H102" s="60">
        <v>12.84</v>
      </c>
      <c r="I102" s="60">
        <v>12.6</v>
      </c>
      <c r="J102" s="60">
        <v>13.33</v>
      </c>
      <c r="K102" s="60">
        <v>58.81</v>
      </c>
      <c r="L102" s="60">
        <v>12.36</v>
      </c>
      <c r="M102" s="60">
        <v>13.83</v>
      </c>
      <c r="N102" s="59" t="s">
        <v>9054</v>
      </c>
    </row>
    <row r="103">
      <c r="A103" s="59" t="s">
        <v>534</v>
      </c>
      <c r="B103" s="59" t="s">
        <v>535</v>
      </c>
      <c r="C103" s="59" t="str">
        <f t="shared" si="1"/>
        <v>EXTERNAL SSD 1TB</v>
      </c>
      <c r="D103" s="59" t="s">
        <v>179</v>
      </c>
      <c r="E103" s="60">
        <v>113.92</v>
      </c>
      <c r="F103" s="60">
        <v>113.92</v>
      </c>
      <c r="G103" s="60">
        <v>130.42</v>
      </c>
      <c r="H103" s="60">
        <v>127.99</v>
      </c>
      <c r="I103" s="60">
        <v>125.59</v>
      </c>
      <c r="J103" s="60">
        <v>132.86</v>
      </c>
      <c r="K103" s="60">
        <v>586.12</v>
      </c>
      <c r="L103" s="60">
        <v>123.2</v>
      </c>
      <c r="M103" s="60">
        <v>137.8</v>
      </c>
      <c r="N103" s="59" t="s">
        <v>9054</v>
      </c>
    </row>
    <row r="104">
      <c r="A104" s="59" t="s">
        <v>1849</v>
      </c>
      <c r="B104" s="59" t="s">
        <v>403</v>
      </c>
      <c r="C104" s="59" t="str">
        <f t="shared" si="1"/>
        <v>USB-C Hub 7in1</v>
      </c>
      <c r="D104" s="59" t="s">
        <v>248</v>
      </c>
      <c r="E104" s="60">
        <v>46.23</v>
      </c>
      <c r="F104" s="60">
        <v>46.23</v>
      </c>
      <c r="G104" s="60">
        <v>52.92</v>
      </c>
      <c r="H104" s="60">
        <v>51.94</v>
      </c>
      <c r="I104" s="60">
        <v>50.96</v>
      </c>
      <c r="J104" s="60">
        <v>53.92</v>
      </c>
      <c r="K104" s="60">
        <v>237.85</v>
      </c>
      <c r="L104" s="60">
        <v>50.0</v>
      </c>
      <c r="M104" s="60">
        <v>55.92</v>
      </c>
      <c r="N104" s="59" t="s">
        <v>9054</v>
      </c>
    </row>
    <row r="105">
      <c r="A105" s="59" t="s">
        <v>279</v>
      </c>
      <c r="B105" s="59" t="s">
        <v>280</v>
      </c>
      <c r="C105" s="59" t="str">
        <f t="shared" si="1"/>
        <v>External SSD 1TB</v>
      </c>
      <c r="D105" s="59" t="s">
        <v>248</v>
      </c>
      <c r="E105" s="60">
        <v>95.88</v>
      </c>
      <c r="F105" s="60">
        <v>95.88</v>
      </c>
      <c r="G105" s="60">
        <v>109.76</v>
      </c>
      <c r="H105" s="60">
        <v>107.72</v>
      </c>
      <c r="I105" s="60">
        <v>105.7</v>
      </c>
      <c r="J105" s="60">
        <v>111.82</v>
      </c>
      <c r="K105" s="60">
        <v>493.3</v>
      </c>
      <c r="L105" s="60">
        <v>103.69</v>
      </c>
      <c r="M105" s="60">
        <v>115.98</v>
      </c>
      <c r="N105" s="59" t="s">
        <v>9054</v>
      </c>
    </row>
    <row r="106">
      <c r="A106" s="59" t="s">
        <v>334</v>
      </c>
      <c r="B106" s="59" t="s">
        <v>335</v>
      </c>
      <c r="C106" s="59" t="str">
        <f t="shared" si="1"/>
        <v>Docking Station Pro</v>
      </c>
      <c r="D106" s="59" t="s">
        <v>248</v>
      </c>
      <c r="E106" s="60">
        <v>75.62</v>
      </c>
      <c r="F106" s="60">
        <v>75.62</v>
      </c>
      <c r="G106" s="60">
        <v>86.57</v>
      </c>
      <c r="H106" s="60">
        <v>84.96</v>
      </c>
      <c r="I106" s="60">
        <v>83.36</v>
      </c>
      <c r="J106" s="60">
        <v>88.2</v>
      </c>
      <c r="K106" s="60">
        <v>389.06</v>
      </c>
      <c r="L106" s="60">
        <v>81.78</v>
      </c>
      <c r="M106" s="60">
        <v>91.47</v>
      </c>
      <c r="N106" s="59" t="s">
        <v>9054</v>
      </c>
    </row>
    <row r="107">
      <c r="A107" s="59" t="s">
        <v>439</v>
      </c>
      <c r="B107" s="59" t="s">
        <v>440</v>
      </c>
      <c r="C107" s="59" t="str">
        <f t="shared" si="1"/>
        <v>Webcam 1080p</v>
      </c>
      <c r="D107" s="59" t="s">
        <v>63</v>
      </c>
      <c r="E107" s="60">
        <v>70.84</v>
      </c>
      <c r="F107" s="60">
        <v>70.84</v>
      </c>
      <c r="G107" s="60">
        <v>81.1</v>
      </c>
      <c r="H107" s="60">
        <v>79.59</v>
      </c>
      <c r="I107" s="60">
        <v>78.09</v>
      </c>
      <c r="J107" s="60">
        <v>82.62</v>
      </c>
      <c r="K107" s="60">
        <v>364.47</v>
      </c>
      <c r="L107" s="60">
        <v>76.61</v>
      </c>
      <c r="M107" s="60">
        <v>85.69</v>
      </c>
      <c r="N107" s="59" t="s">
        <v>9054</v>
      </c>
    </row>
    <row r="108">
      <c r="A108" s="59" t="s">
        <v>792</v>
      </c>
      <c r="B108" s="59" t="s">
        <v>314</v>
      </c>
      <c r="C108" s="59" t="str">
        <f t="shared" si="1"/>
        <v>Wireless Mouse</v>
      </c>
      <c r="D108" s="59" t="s">
        <v>355</v>
      </c>
      <c r="E108" s="60">
        <v>20.12</v>
      </c>
      <c r="F108" s="60">
        <v>20.12</v>
      </c>
      <c r="G108" s="60">
        <v>23.03</v>
      </c>
      <c r="H108" s="60">
        <v>22.6</v>
      </c>
      <c r="I108" s="60">
        <v>22.18</v>
      </c>
      <c r="J108" s="60">
        <v>23.47</v>
      </c>
      <c r="K108" s="60">
        <v>103.52</v>
      </c>
      <c r="L108" s="60">
        <v>21.76</v>
      </c>
      <c r="M108" s="60">
        <v>24.34</v>
      </c>
      <c r="N108" s="59" t="s">
        <v>9054</v>
      </c>
    </row>
    <row r="109">
      <c r="A109" s="59" t="s">
        <v>756</v>
      </c>
      <c r="B109" s="59" t="s">
        <v>757</v>
      </c>
      <c r="C109" s="59" t="str">
        <f t="shared" si="1"/>
        <v>xEternal SSD 1TB</v>
      </c>
      <c r="D109" s="59" t="s">
        <v>179</v>
      </c>
      <c r="E109" s="60">
        <v>61.04</v>
      </c>
      <c r="F109" s="60">
        <v>61.04</v>
      </c>
      <c r="G109" s="60">
        <v>69.88</v>
      </c>
      <c r="H109" s="60">
        <v>68.58</v>
      </c>
      <c r="I109" s="60">
        <v>67.29</v>
      </c>
      <c r="J109" s="60">
        <v>71.19</v>
      </c>
      <c r="K109" s="60">
        <v>314.05</v>
      </c>
      <c r="L109" s="60">
        <v>66.01</v>
      </c>
      <c r="M109" s="60">
        <v>73.83</v>
      </c>
      <c r="N109" s="59" t="s">
        <v>9054</v>
      </c>
    </row>
    <row r="110">
      <c r="A110" s="59" t="s">
        <v>224</v>
      </c>
      <c r="B110" s="59" t="s">
        <v>225</v>
      </c>
      <c r="C110" s="59" t="str">
        <f t="shared" si="1"/>
        <v>SMART PLUG 2-PACK</v>
      </c>
      <c r="D110" s="59" t="s">
        <v>368</v>
      </c>
      <c r="E110" s="60">
        <v>19.28</v>
      </c>
      <c r="F110" s="60">
        <v>19.28</v>
      </c>
      <c r="G110" s="60">
        <v>22.07</v>
      </c>
      <c r="H110" s="60">
        <v>21.66</v>
      </c>
      <c r="I110" s="60">
        <v>21.25</v>
      </c>
      <c r="J110" s="60">
        <v>22.49</v>
      </c>
      <c r="K110" s="60">
        <v>99.2</v>
      </c>
      <c r="L110" s="60">
        <v>20.85</v>
      </c>
      <c r="M110" s="60">
        <v>23.32</v>
      </c>
      <c r="N110" s="59" t="s">
        <v>9054</v>
      </c>
    </row>
    <row r="111">
      <c r="A111" s="59" t="s">
        <v>4497</v>
      </c>
      <c r="B111" s="59" t="s">
        <v>403</v>
      </c>
      <c r="C111" s="59" t="str">
        <f t="shared" si="1"/>
        <v>USB-C Hub 7in1</v>
      </c>
      <c r="D111" s="59" t="s">
        <v>355</v>
      </c>
      <c r="E111" s="60">
        <v>23.53</v>
      </c>
      <c r="F111" s="60">
        <v>23.53</v>
      </c>
      <c r="G111" s="60">
        <v>26.94</v>
      </c>
      <c r="H111" s="60">
        <v>26.44</v>
      </c>
      <c r="I111" s="60">
        <v>25.94</v>
      </c>
      <c r="J111" s="60">
        <v>27.44</v>
      </c>
      <c r="K111" s="60">
        <v>121.06</v>
      </c>
      <c r="L111" s="60">
        <v>25.45</v>
      </c>
      <c r="M111" s="60">
        <v>28.46</v>
      </c>
      <c r="N111" s="59" t="s">
        <v>9054</v>
      </c>
    </row>
    <row r="112">
      <c r="A112" s="59" t="s">
        <v>2425</v>
      </c>
      <c r="B112" s="59" t="s">
        <v>2426</v>
      </c>
      <c r="C112" s="59" t="str">
        <f t="shared" si="1"/>
        <v>ULTRABOOK 14</v>
      </c>
      <c r="D112" s="59" t="s">
        <v>248</v>
      </c>
      <c r="E112" s="60">
        <v>1071.06</v>
      </c>
      <c r="F112" s="60">
        <v>1071.06</v>
      </c>
      <c r="G112" s="60">
        <v>1226.15</v>
      </c>
      <c r="H112" s="60">
        <v>1203.34</v>
      </c>
      <c r="I112" s="60">
        <v>1180.74</v>
      </c>
      <c r="J112" s="60">
        <v>1249.18</v>
      </c>
      <c r="K112" s="60">
        <v>5510.6</v>
      </c>
      <c r="L112" s="60">
        <v>1158.35</v>
      </c>
      <c r="M112" s="60">
        <v>1295.55</v>
      </c>
      <c r="N112" s="59" t="s">
        <v>9054</v>
      </c>
    </row>
    <row r="113">
      <c r="A113" s="59" t="s">
        <v>1271</v>
      </c>
      <c r="B113" s="59" t="s">
        <v>1272</v>
      </c>
      <c r="C113" s="59" t="str">
        <f t="shared" si="1"/>
        <v>Microphone Usb</v>
      </c>
      <c r="D113" s="59" t="s">
        <v>167</v>
      </c>
      <c r="E113" s="60">
        <v>78.18</v>
      </c>
      <c r="F113" s="60">
        <v>78.18</v>
      </c>
      <c r="G113" s="60">
        <v>89.5</v>
      </c>
      <c r="H113" s="60">
        <v>87.84</v>
      </c>
      <c r="I113" s="60">
        <v>86.19</v>
      </c>
      <c r="J113" s="60">
        <v>91.18</v>
      </c>
      <c r="K113" s="60">
        <v>402.24</v>
      </c>
      <c r="L113" s="60">
        <v>84.55</v>
      </c>
      <c r="M113" s="60">
        <v>94.57</v>
      </c>
      <c r="N113" s="59" t="s">
        <v>9054</v>
      </c>
    </row>
    <row r="114">
      <c r="A114" s="59" t="s">
        <v>767</v>
      </c>
      <c r="B114" s="59" t="s">
        <v>768</v>
      </c>
      <c r="C114" s="59" t="str">
        <f t="shared" si="1"/>
        <v>Wireless Mouse</v>
      </c>
      <c r="D114" s="59" t="s">
        <v>167</v>
      </c>
      <c r="E114" s="60">
        <v>15.17</v>
      </c>
      <c r="F114" s="60">
        <v>15.17</v>
      </c>
      <c r="G114" s="60">
        <v>17.37</v>
      </c>
      <c r="H114" s="60">
        <v>17.04</v>
      </c>
      <c r="I114" s="60">
        <v>16.72</v>
      </c>
      <c r="J114" s="60">
        <v>17.69</v>
      </c>
      <c r="K114" s="60">
        <v>78.05</v>
      </c>
      <c r="L114" s="60">
        <v>16.41</v>
      </c>
      <c r="M114" s="60">
        <v>18.35</v>
      </c>
      <c r="N114" s="59" t="s">
        <v>9054</v>
      </c>
    </row>
    <row r="115">
      <c r="A115" s="59" t="s">
        <v>2680</v>
      </c>
      <c r="B115" s="59" t="s">
        <v>303</v>
      </c>
      <c r="C115" s="59" t="str">
        <f t="shared" si="1"/>
        <v>DOCKING STATION PRO</v>
      </c>
      <c r="D115" s="59" t="s">
        <v>248</v>
      </c>
      <c r="E115" s="60">
        <v>121.47</v>
      </c>
      <c r="F115" s="60">
        <v>121.47</v>
      </c>
      <c r="G115" s="60">
        <v>139.06</v>
      </c>
      <c r="H115" s="60">
        <v>136.47</v>
      </c>
      <c r="I115" s="60">
        <v>133.91</v>
      </c>
      <c r="J115" s="60">
        <v>141.67</v>
      </c>
      <c r="K115" s="60">
        <v>624.96</v>
      </c>
      <c r="L115" s="60">
        <v>131.37</v>
      </c>
      <c r="M115" s="60">
        <v>146.93</v>
      </c>
      <c r="N115" s="59" t="s">
        <v>9054</v>
      </c>
    </row>
    <row r="116">
      <c r="A116" s="59" t="s">
        <v>1632</v>
      </c>
      <c r="B116" s="59" t="s">
        <v>1633</v>
      </c>
      <c r="C116" s="59" t="str">
        <f t="shared" si="1"/>
        <v>4K Monitor 32</v>
      </c>
      <c r="D116" s="59" t="s">
        <v>355</v>
      </c>
      <c r="E116" s="60">
        <v>362.35</v>
      </c>
      <c r="F116" s="60">
        <v>362.35</v>
      </c>
      <c r="G116" s="60">
        <v>414.82</v>
      </c>
      <c r="H116" s="60">
        <v>407.1</v>
      </c>
      <c r="I116" s="60">
        <v>399.45</v>
      </c>
      <c r="J116" s="60">
        <v>422.61</v>
      </c>
      <c r="K116" s="60">
        <v>1864.29</v>
      </c>
      <c r="L116" s="60">
        <v>391.88</v>
      </c>
      <c r="M116" s="60">
        <v>438.3</v>
      </c>
      <c r="N116" s="59" t="s">
        <v>9054</v>
      </c>
    </row>
    <row r="117">
      <c r="A117" s="59" t="s">
        <v>390</v>
      </c>
      <c r="B117" s="59" t="s">
        <v>391</v>
      </c>
      <c r="C117" s="59" t="str">
        <f t="shared" si="1"/>
        <v>27in Monitor</v>
      </c>
      <c r="D117" s="59" t="s">
        <v>248</v>
      </c>
      <c r="E117" s="60">
        <v>310.34</v>
      </c>
      <c r="F117" s="60">
        <v>310.34</v>
      </c>
      <c r="G117" s="60">
        <v>355.28</v>
      </c>
      <c r="H117" s="60">
        <v>348.67</v>
      </c>
      <c r="I117" s="60">
        <v>342.12</v>
      </c>
      <c r="J117" s="60">
        <v>361.95</v>
      </c>
      <c r="K117" s="60">
        <v>1596.7</v>
      </c>
      <c r="L117" s="60">
        <v>335.63</v>
      </c>
      <c r="M117" s="60">
        <v>375.39</v>
      </c>
      <c r="N117" s="59" t="s">
        <v>9054</v>
      </c>
    </row>
    <row r="118">
      <c r="A118" s="59" t="s">
        <v>1146</v>
      </c>
      <c r="B118" s="59" t="s">
        <v>1147</v>
      </c>
      <c r="C118" s="59" t="str">
        <f t="shared" si="1"/>
        <v>Mechanical Keyboard</v>
      </c>
      <c r="D118" s="59" t="s">
        <v>248</v>
      </c>
      <c r="E118" s="60">
        <v>152.4</v>
      </c>
      <c r="F118" s="60">
        <v>152.4</v>
      </c>
      <c r="G118" s="60">
        <v>174.47</v>
      </c>
      <c r="H118" s="60">
        <v>171.22</v>
      </c>
      <c r="I118" s="60">
        <v>168.01</v>
      </c>
      <c r="J118" s="60">
        <v>177.74</v>
      </c>
      <c r="K118" s="60">
        <v>784.1</v>
      </c>
      <c r="L118" s="60">
        <v>164.82</v>
      </c>
      <c r="M118" s="60">
        <v>184.34</v>
      </c>
      <c r="N118" s="59" t="s">
        <v>9054</v>
      </c>
    </row>
    <row r="119">
      <c r="A119" s="59" t="s">
        <v>702</v>
      </c>
      <c r="B119" s="59" t="s">
        <v>524</v>
      </c>
      <c r="C119" s="59" t="str">
        <f t="shared" si="1"/>
        <v>Noise Cancelling Headphones</v>
      </c>
      <c r="D119" s="59" t="s">
        <v>248</v>
      </c>
      <c r="E119" s="60">
        <v>176.25</v>
      </c>
      <c r="F119" s="60">
        <v>176.25</v>
      </c>
      <c r="G119" s="60">
        <v>201.77</v>
      </c>
      <c r="H119" s="60">
        <v>198.02</v>
      </c>
      <c r="I119" s="60">
        <v>194.3</v>
      </c>
      <c r="J119" s="60">
        <v>205.56</v>
      </c>
      <c r="K119" s="60">
        <v>906.81</v>
      </c>
      <c r="L119" s="60">
        <v>190.61</v>
      </c>
      <c r="M119" s="60">
        <v>213.19</v>
      </c>
      <c r="N119" s="59" t="s">
        <v>9054</v>
      </c>
    </row>
    <row r="120">
      <c r="A120" s="59" t="s">
        <v>3210</v>
      </c>
      <c r="B120" s="59" t="s">
        <v>3211</v>
      </c>
      <c r="C120" s="59" t="str">
        <f t="shared" si="1"/>
        <v>Router AX5400</v>
      </c>
      <c r="D120" s="59" t="s">
        <v>167</v>
      </c>
      <c r="E120" s="60">
        <v>253.27</v>
      </c>
      <c r="F120" s="60">
        <v>253.27</v>
      </c>
      <c r="G120" s="60">
        <v>289.94</v>
      </c>
      <c r="H120" s="60">
        <v>284.55</v>
      </c>
      <c r="I120" s="60">
        <v>279.2</v>
      </c>
      <c r="J120" s="60">
        <v>295.39</v>
      </c>
      <c r="K120" s="60">
        <v>1303.07</v>
      </c>
      <c r="L120" s="60">
        <v>273.91</v>
      </c>
      <c r="M120" s="60">
        <v>306.36</v>
      </c>
      <c r="N120" s="59" t="s">
        <v>9054</v>
      </c>
    </row>
    <row r="121">
      <c r="A121" s="59" t="s">
        <v>91</v>
      </c>
      <c r="B121" s="59" t="s">
        <v>92</v>
      </c>
      <c r="C121" s="59" t="str">
        <f t="shared" si="1"/>
        <v>LED Light Strip</v>
      </c>
      <c r="D121" s="59" t="s">
        <v>368</v>
      </c>
      <c r="E121" s="60">
        <v>30.17</v>
      </c>
      <c r="F121" s="60">
        <v>30.17</v>
      </c>
      <c r="G121" s="60">
        <v>34.54</v>
      </c>
      <c r="H121" s="60">
        <v>33.9</v>
      </c>
      <c r="I121" s="60">
        <v>33.26</v>
      </c>
      <c r="J121" s="60">
        <v>35.19</v>
      </c>
      <c r="K121" s="60">
        <v>155.22</v>
      </c>
      <c r="L121" s="60">
        <v>32.63</v>
      </c>
      <c r="M121" s="60">
        <v>36.49</v>
      </c>
      <c r="N121" s="59" t="s">
        <v>9054</v>
      </c>
    </row>
    <row r="122">
      <c r="A122" s="59" t="s">
        <v>824</v>
      </c>
      <c r="B122" s="59" t="s">
        <v>825</v>
      </c>
      <c r="C122" s="59" t="str">
        <f t="shared" si="1"/>
        <v>WIRELESS MOUSE</v>
      </c>
      <c r="D122" s="59" t="s">
        <v>63</v>
      </c>
      <c r="E122" s="60">
        <v>49.58</v>
      </c>
      <c r="F122" s="60">
        <v>49.58</v>
      </c>
      <c r="G122" s="60">
        <v>56.76</v>
      </c>
      <c r="H122" s="60">
        <v>55.7</v>
      </c>
      <c r="I122" s="60">
        <v>54.66</v>
      </c>
      <c r="J122" s="60">
        <v>57.83</v>
      </c>
      <c r="K122" s="60">
        <v>255.09</v>
      </c>
      <c r="L122" s="60">
        <v>53.62</v>
      </c>
      <c r="M122" s="60">
        <v>59.97</v>
      </c>
      <c r="N122" s="59" t="s">
        <v>9054</v>
      </c>
    </row>
    <row r="123">
      <c r="A123" s="59" t="s">
        <v>2033</v>
      </c>
      <c r="B123" s="59" t="s">
        <v>2034</v>
      </c>
      <c r="C123" s="59" t="str">
        <f t="shared" si="1"/>
        <v>GAMING LAPTOP 15</v>
      </c>
      <c r="D123" s="59" t="s">
        <v>355</v>
      </c>
      <c r="E123" s="60">
        <v>938.62</v>
      </c>
      <c r="F123" s="60">
        <v>938.62</v>
      </c>
      <c r="G123" s="60">
        <v>1074.53</v>
      </c>
      <c r="H123" s="60">
        <v>1054.54</v>
      </c>
      <c r="I123" s="60">
        <v>1034.73</v>
      </c>
      <c r="J123" s="60">
        <v>1094.71</v>
      </c>
      <c r="K123" s="60">
        <v>4829.2</v>
      </c>
      <c r="L123" s="60">
        <v>1015.12</v>
      </c>
      <c r="M123" s="60">
        <v>1135.35</v>
      </c>
      <c r="N123" s="59" t="s">
        <v>9054</v>
      </c>
    </row>
    <row r="124">
      <c r="A124" s="59" t="s">
        <v>2605</v>
      </c>
      <c r="B124" s="59" t="s">
        <v>2606</v>
      </c>
      <c r="C124" s="59" t="str">
        <f t="shared" si="1"/>
        <v>External SSD 1TB</v>
      </c>
      <c r="D124" s="59" t="s">
        <v>63</v>
      </c>
      <c r="E124" s="60">
        <v>142.47</v>
      </c>
      <c r="F124" s="60">
        <v>142.47</v>
      </c>
      <c r="G124" s="60">
        <v>163.1</v>
      </c>
      <c r="H124" s="60">
        <v>160.07</v>
      </c>
      <c r="I124" s="60">
        <v>157.06</v>
      </c>
      <c r="J124" s="60">
        <v>166.16</v>
      </c>
      <c r="K124" s="60">
        <v>733.01</v>
      </c>
      <c r="L124" s="60">
        <v>154.08</v>
      </c>
      <c r="M124" s="60">
        <v>172.33</v>
      </c>
      <c r="N124" s="59" t="s">
        <v>9054</v>
      </c>
    </row>
    <row r="125">
      <c r="A125" s="59" t="s">
        <v>481</v>
      </c>
      <c r="B125" s="59" t="s">
        <v>291</v>
      </c>
      <c r="C125" s="59" t="str">
        <f t="shared" si="1"/>
        <v>NVMe SSD 2TB</v>
      </c>
      <c r="D125" s="59" t="s">
        <v>63</v>
      </c>
      <c r="E125" s="60">
        <v>190.18</v>
      </c>
      <c r="F125" s="60">
        <v>190.18</v>
      </c>
      <c r="G125" s="60">
        <v>217.72</v>
      </c>
      <c r="H125" s="60">
        <v>213.67</v>
      </c>
      <c r="I125" s="60">
        <v>209.65</v>
      </c>
      <c r="J125" s="60">
        <v>221.81</v>
      </c>
      <c r="K125" s="60">
        <v>978.48</v>
      </c>
      <c r="L125" s="60">
        <v>205.68</v>
      </c>
      <c r="M125" s="60">
        <v>230.04</v>
      </c>
      <c r="N125" s="59" t="s">
        <v>9054</v>
      </c>
    </row>
    <row r="126">
      <c r="A126" s="59" t="s">
        <v>1114</v>
      </c>
      <c r="B126" s="59" t="s">
        <v>1115</v>
      </c>
      <c r="C126" s="59" t="str">
        <f t="shared" si="1"/>
        <v>Mechanical Keyboard</v>
      </c>
      <c r="D126" s="59" t="s">
        <v>248</v>
      </c>
      <c r="E126" s="60">
        <v>116.16</v>
      </c>
      <c r="F126" s="60">
        <v>116.16</v>
      </c>
      <c r="G126" s="60">
        <v>132.98</v>
      </c>
      <c r="H126" s="60">
        <v>130.51</v>
      </c>
      <c r="I126" s="60">
        <v>128.05</v>
      </c>
      <c r="J126" s="60">
        <v>135.48</v>
      </c>
      <c r="K126" s="60">
        <v>597.64</v>
      </c>
      <c r="L126" s="60">
        <v>125.63</v>
      </c>
      <c r="M126" s="60">
        <v>140.51</v>
      </c>
      <c r="N126" s="59" t="s">
        <v>9054</v>
      </c>
    </row>
    <row r="127">
      <c r="A127" s="59" t="s">
        <v>28</v>
      </c>
      <c r="B127" s="59" t="s">
        <v>29</v>
      </c>
      <c r="C127" s="59" t="str">
        <f t="shared" si="1"/>
        <v>Docking Station Pro</v>
      </c>
      <c r="D127" s="59" t="s">
        <v>179</v>
      </c>
      <c r="E127" s="60">
        <v>145.2</v>
      </c>
      <c r="F127" s="60">
        <v>145.2</v>
      </c>
      <c r="G127" s="60">
        <v>166.22</v>
      </c>
      <c r="H127" s="60">
        <v>163.13</v>
      </c>
      <c r="I127" s="60">
        <v>160.07</v>
      </c>
      <c r="J127" s="60">
        <v>169.35</v>
      </c>
      <c r="K127" s="60">
        <v>747.05</v>
      </c>
      <c r="L127" s="60">
        <v>157.03</v>
      </c>
      <c r="M127" s="60">
        <v>175.63</v>
      </c>
      <c r="N127" s="59" t="s">
        <v>9054</v>
      </c>
    </row>
    <row r="128">
      <c r="A128" s="59" t="s">
        <v>3101</v>
      </c>
      <c r="B128" s="59" t="s">
        <v>1212</v>
      </c>
      <c r="C128" s="59" t="str">
        <f t="shared" si="1"/>
        <v>Smartphone Case</v>
      </c>
      <c r="D128" s="59" t="s">
        <v>248</v>
      </c>
      <c r="E128" s="60">
        <v>23.37</v>
      </c>
      <c r="F128" s="60">
        <v>23.37</v>
      </c>
      <c r="G128" s="60">
        <v>26.75</v>
      </c>
      <c r="H128" s="60">
        <v>26.26</v>
      </c>
      <c r="I128" s="60">
        <v>25.76</v>
      </c>
      <c r="J128" s="60">
        <v>27.26</v>
      </c>
      <c r="K128" s="60">
        <v>120.24</v>
      </c>
      <c r="L128" s="60">
        <v>25.27</v>
      </c>
      <c r="M128" s="60">
        <v>28.27</v>
      </c>
      <c r="N128" s="59" t="s">
        <v>9054</v>
      </c>
    </row>
    <row r="129">
      <c r="A129" s="59" t="s">
        <v>1529</v>
      </c>
      <c r="B129" s="59" t="s">
        <v>1530</v>
      </c>
      <c r="C129" s="59" t="str">
        <f t="shared" si="1"/>
        <v>External SSD 1TB</v>
      </c>
      <c r="D129" s="59" t="s">
        <v>368</v>
      </c>
      <c r="E129" s="60">
        <v>83.6</v>
      </c>
      <c r="F129" s="60">
        <v>83.6</v>
      </c>
      <c r="G129" s="60">
        <v>95.71</v>
      </c>
      <c r="H129" s="60">
        <v>93.92</v>
      </c>
      <c r="I129" s="60">
        <v>92.16</v>
      </c>
      <c r="J129" s="60">
        <v>97.5</v>
      </c>
      <c r="K129" s="60">
        <v>430.12</v>
      </c>
      <c r="L129" s="60">
        <v>90.41</v>
      </c>
      <c r="M129" s="60">
        <v>101.12</v>
      </c>
      <c r="N129" s="59" t="s">
        <v>9054</v>
      </c>
    </row>
    <row r="130">
      <c r="A130" s="59" t="s">
        <v>1772</v>
      </c>
      <c r="B130" s="59" t="s">
        <v>712</v>
      </c>
      <c r="C130" s="59" t="str">
        <f t="shared" si="1"/>
        <v>USB-C Hub 7in1</v>
      </c>
      <c r="D130" s="59" t="s">
        <v>355</v>
      </c>
      <c r="E130" s="60">
        <v>39.48</v>
      </c>
      <c r="F130" s="60">
        <v>39.48</v>
      </c>
      <c r="G130" s="60">
        <v>45.2</v>
      </c>
      <c r="H130" s="60">
        <v>44.36</v>
      </c>
      <c r="I130" s="60">
        <v>43.52</v>
      </c>
      <c r="J130" s="60">
        <v>46.05</v>
      </c>
      <c r="K130" s="60">
        <v>203.12</v>
      </c>
      <c r="L130" s="60">
        <v>42.7</v>
      </c>
      <c r="M130" s="60">
        <v>47.76</v>
      </c>
      <c r="N130" s="59" t="s">
        <v>9054</v>
      </c>
    </row>
    <row r="131">
      <c r="A131" s="59" t="s">
        <v>422</v>
      </c>
      <c r="B131" s="59" t="s">
        <v>423</v>
      </c>
      <c r="C131" s="59" t="str">
        <f t="shared" si="1"/>
        <v>Microphone USB</v>
      </c>
      <c r="D131" s="59" t="s">
        <v>63</v>
      </c>
      <c r="E131" s="60">
        <v>74.3</v>
      </c>
      <c r="F131" s="60">
        <v>74.3</v>
      </c>
      <c r="G131" s="60">
        <v>85.06</v>
      </c>
      <c r="H131" s="60">
        <v>83.48</v>
      </c>
      <c r="I131" s="60">
        <v>81.91</v>
      </c>
      <c r="J131" s="60">
        <v>86.66</v>
      </c>
      <c r="K131" s="60">
        <v>382.27</v>
      </c>
      <c r="L131" s="60">
        <v>80.36</v>
      </c>
      <c r="M131" s="60">
        <v>89.87</v>
      </c>
      <c r="N131" s="59" t="s">
        <v>9054</v>
      </c>
    </row>
    <row r="132">
      <c r="A132" s="59" t="s">
        <v>200</v>
      </c>
      <c r="B132" s="59" t="s">
        <v>201</v>
      </c>
      <c r="C132" s="59" t="str">
        <f t="shared" si="1"/>
        <v>Bluetooth Speaker</v>
      </c>
      <c r="D132" s="59" t="s">
        <v>63</v>
      </c>
      <c r="E132" s="60">
        <v>61.21</v>
      </c>
      <c r="F132" s="60">
        <v>61.21</v>
      </c>
      <c r="G132" s="60">
        <v>70.07</v>
      </c>
      <c r="H132" s="60">
        <v>68.77</v>
      </c>
      <c r="I132" s="60">
        <v>67.48</v>
      </c>
      <c r="J132" s="60">
        <v>71.39</v>
      </c>
      <c r="K132" s="60">
        <v>314.93</v>
      </c>
      <c r="L132" s="60">
        <v>66.2</v>
      </c>
      <c r="M132" s="60">
        <v>74.04</v>
      </c>
      <c r="N132" s="59" t="s">
        <v>9054</v>
      </c>
    </row>
    <row r="133">
      <c r="A133" s="59" t="s">
        <v>609</v>
      </c>
      <c r="B133" s="59" t="s">
        <v>259</v>
      </c>
      <c r="C133" s="59" t="str">
        <f t="shared" si="1"/>
        <v>LED Light Strip</v>
      </c>
      <c r="D133" s="59" t="s">
        <v>179</v>
      </c>
      <c r="E133" s="60">
        <v>32.41</v>
      </c>
      <c r="F133" s="60">
        <v>32.41</v>
      </c>
      <c r="G133" s="60">
        <v>37.1</v>
      </c>
      <c r="H133" s="60">
        <v>36.41</v>
      </c>
      <c r="I133" s="60">
        <v>35.73</v>
      </c>
      <c r="J133" s="60">
        <v>37.8</v>
      </c>
      <c r="K133" s="60">
        <v>166.75</v>
      </c>
      <c r="L133" s="60">
        <v>35.05</v>
      </c>
      <c r="M133" s="60">
        <v>39.2</v>
      </c>
      <c r="N133" s="59" t="s">
        <v>9054</v>
      </c>
    </row>
    <row r="134">
      <c r="A134" s="59" t="s">
        <v>889</v>
      </c>
      <c r="B134" s="59" t="s">
        <v>804</v>
      </c>
      <c r="C134" s="59" t="str">
        <f t="shared" si="1"/>
        <v>Smartphone Case</v>
      </c>
      <c r="D134" s="59" t="s">
        <v>179</v>
      </c>
      <c r="E134" s="60">
        <v>16.72</v>
      </c>
      <c r="F134" s="60">
        <v>16.72</v>
      </c>
      <c r="G134" s="60">
        <v>19.14</v>
      </c>
      <c r="H134" s="60">
        <v>18.78</v>
      </c>
      <c r="I134" s="60">
        <v>18.43</v>
      </c>
      <c r="J134" s="60">
        <v>19.5</v>
      </c>
      <c r="K134" s="60">
        <v>86.02</v>
      </c>
      <c r="L134" s="60">
        <v>18.08</v>
      </c>
      <c r="M134" s="60">
        <v>20.22</v>
      </c>
      <c r="N134" s="59" t="s">
        <v>9054</v>
      </c>
    </row>
    <row r="135">
      <c r="A135" s="59" t="s">
        <v>803</v>
      </c>
      <c r="B135" s="59" t="s">
        <v>804</v>
      </c>
      <c r="C135" s="59" t="str">
        <f t="shared" si="1"/>
        <v>Smartphone Case</v>
      </c>
      <c r="D135" s="59" t="s">
        <v>355</v>
      </c>
      <c r="E135" s="60">
        <v>20.39</v>
      </c>
      <c r="F135" s="60">
        <v>20.39</v>
      </c>
      <c r="G135" s="60">
        <v>23.34</v>
      </c>
      <c r="H135" s="60">
        <v>22.91</v>
      </c>
      <c r="I135" s="60">
        <v>22.48</v>
      </c>
      <c r="J135" s="60">
        <v>23.78</v>
      </c>
      <c r="K135" s="60">
        <v>104.91</v>
      </c>
      <c r="L135" s="60">
        <v>22.05</v>
      </c>
      <c r="M135" s="60">
        <v>24.66</v>
      </c>
      <c r="N135" s="59" t="s">
        <v>9054</v>
      </c>
    </row>
    <row r="136">
      <c r="A136" s="59" t="s">
        <v>661</v>
      </c>
      <c r="B136" s="59" t="s">
        <v>662</v>
      </c>
      <c r="C136" s="59" t="str">
        <f t="shared" si="1"/>
        <v>Microphone USB</v>
      </c>
      <c r="D136" s="59" t="s">
        <v>368</v>
      </c>
      <c r="E136" s="60">
        <v>76.62</v>
      </c>
      <c r="F136" s="60">
        <v>76.62</v>
      </c>
      <c r="G136" s="60">
        <v>87.71</v>
      </c>
      <c r="H136" s="60">
        <v>86.08</v>
      </c>
      <c r="I136" s="60">
        <v>84.47</v>
      </c>
      <c r="J136" s="60">
        <v>89.36</v>
      </c>
      <c r="K136" s="60">
        <v>394.21</v>
      </c>
      <c r="L136" s="60">
        <v>82.86</v>
      </c>
      <c r="M136" s="60">
        <v>92.68</v>
      </c>
      <c r="N136" s="59" t="s">
        <v>9054</v>
      </c>
    </row>
    <row r="137">
      <c r="A137" s="59" t="s">
        <v>1815</v>
      </c>
      <c r="B137" s="59" t="s">
        <v>314</v>
      </c>
      <c r="C137" s="59" t="str">
        <f t="shared" si="1"/>
        <v>Wireless Mouse</v>
      </c>
      <c r="D137" s="59" t="s">
        <v>368</v>
      </c>
      <c r="E137" s="60">
        <v>42.65</v>
      </c>
      <c r="F137" s="60">
        <v>42.65</v>
      </c>
      <c r="G137" s="60">
        <v>48.83</v>
      </c>
      <c r="H137" s="60">
        <v>47.92</v>
      </c>
      <c r="I137" s="60">
        <v>47.02</v>
      </c>
      <c r="J137" s="60">
        <v>49.74</v>
      </c>
      <c r="K137" s="60">
        <v>219.43</v>
      </c>
      <c r="L137" s="60">
        <v>46.13</v>
      </c>
      <c r="M137" s="60">
        <v>51.59</v>
      </c>
      <c r="N137" s="59" t="s">
        <v>9054</v>
      </c>
    </row>
    <row r="138">
      <c r="A138" s="59" t="s">
        <v>2012</v>
      </c>
      <c r="B138" s="59" t="s">
        <v>741</v>
      </c>
      <c r="C138" s="59" t="str">
        <f t="shared" si="1"/>
        <v>Smart Plug 2-Pack</v>
      </c>
      <c r="D138" s="59" t="s">
        <v>514</v>
      </c>
      <c r="E138" s="60">
        <v>40.87</v>
      </c>
      <c r="F138" s="60">
        <v>40.87</v>
      </c>
      <c r="G138" s="60">
        <v>46.79</v>
      </c>
      <c r="H138" s="60">
        <v>45.92</v>
      </c>
      <c r="I138" s="60">
        <v>45.06</v>
      </c>
      <c r="J138" s="60">
        <v>47.67</v>
      </c>
      <c r="K138" s="60">
        <v>210.28</v>
      </c>
      <c r="L138" s="60">
        <v>44.2</v>
      </c>
      <c r="M138" s="60">
        <v>49.44</v>
      </c>
      <c r="N138" s="59" t="s">
        <v>9054</v>
      </c>
    </row>
    <row r="139">
      <c r="A139" s="59" t="s">
        <v>643</v>
      </c>
      <c r="B139" s="59" t="s">
        <v>644</v>
      </c>
      <c r="C139" s="59" t="str">
        <f t="shared" si="1"/>
        <v>Mechanical Keyboard</v>
      </c>
      <c r="D139" s="59" t="s">
        <v>368</v>
      </c>
      <c r="E139" s="60">
        <v>62.12</v>
      </c>
      <c r="F139" s="60">
        <v>62.12</v>
      </c>
      <c r="G139" s="60">
        <v>71.11</v>
      </c>
      <c r="H139" s="60">
        <v>69.79</v>
      </c>
      <c r="I139" s="60">
        <v>68.48</v>
      </c>
      <c r="J139" s="60">
        <v>72.45</v>
      </c>
      <c r="K139" s="60">
        <v>319.61</v>
      </c>
      <c r="L139" s="60">
        <v>67.18</v>
      </c>
      <c r="M139" s="60">
        <v>75.14</v>
      </c>
      <c r="N139" s="59" t="s">
        <v>9054</v>
      </c>
    </row>
    <row r="140">
      <c r="A140" s="59" t="s">
        <v>3596</v>
      </c>
      <c r="B140" s="59" t="s">
        <v>3597</v>
      </c>
      <c r="C140" s="59" t="str">
        <f t="shared" si="1"/>
        <v>Router AX5400</v>
      </c>
      <c r="D140" s="59" t="s">
        <v>63</v>
      </c>
      <c r="E140" s="60">
        <v>160.36</v>
      </c>
      <c r="F140" s="60">
        <v>160.36</v>
      </c>
      <c r="G140" s="60">
        <v>183.58</v>
      </c>
      <c r="H140" s="60">
        <v>180.16</v>
      </c>
      <c r="I140" s="60">
        <v>176.78</v>
      </c>
      <c r="J140" s="60">
        <v>187.03</v>
      </c>
      <c r="K140" s="60">
        <v>825.05</v>
      </c>
      <c r="L140" s="60">
        <v>173.43</v>
      </c>
      <c r="M140" s="60">
        <v>193.97</v>
      </c>
      <c r="N140" s="59" t="s">
        <v>9054</v>
      </c>
    </row>
    <row r="141">
      <c r="A141" s="59" t="s">
        <v>76</v>
      </c>
      <c r="B141" s="59" t="s">
        <v>77</v>
      </c>
      <c r="C141" s="59" t="str">
        <f t="shared" si="1"/>
        <v>Nvme Ssd 2Tb</v>
      </c>
      <c r="D141" s="59" t="s">
        <v>355</v>
      </c>
      <c r="E141" s="60">
        <v>153.16</v>
      </c>
      <c r="F141" s="60">
        <v>153.16</v>
      </c>
      <c r="G141" s="60">
        <v>175.34</v>
      </c>
      <c r="H141" s="60">
        <v>172.08</v>
      </c>
      <c r="I141" s="60">
        <v>168.84</v>
      </c>
      <c r="J141" s="60">
        <v>178.63</v>
      </c>
      <c r="K141" s="60">
        <v>788.01</v>
      </c>
      <c r="L141" s="60">
        <v>165.64</v>
      </c>
      <c r="M141" s="60">
        <v>185.26</v>
      </c>
      <c r="N141" s="59" t="s">
        <v>9054</v>
      </c>
    </row>
    <row r="142">
      <c r="A142" s="59" t="s">
        <v>1137</v>
      </c>
      <c r="B142" s="59" t="s">
        <v>1138</v>
      </c>
      <c r="C142" s="59" t="str">
        <f t="shared" si="1"/>
        <v>Gaming Chair</v>
      </c>
      <c r="D142" s="59" t="s">
        <v>179</v>
      </c>
      <c r="E142" s="60">
        <v>305.43</v>
      </c>
      <c r="F142" s="60">
        <v>305.43</v>
      </c>
      <c r="G142" s="60">
        <v>349.66</v>
      </c>
      <c r="H142" s="60">
        <v>343.15</v>
      </c>
      <c r="I142" s="60">
        <v>336.71</v>
      </c>
      <c r="J142" s="60">
        <v>356.22</v>
      </c>
      <c r="K142" s="60">
        <v>1571.44</v>
      </c>
      <c r="L142" s="60">
        <v>330.32</v>
      </c>
      <c r="M142" s="60">
        <v>369.45</v>
      </c>
      <c r="N142" s="59" t="s">
        <v>9054</v>
      </c>
    </row>
    <row r="143">
      <c r="A143" s="59" t="s">
        <v>5482</v>
      </c>
      <c r="B143" s="59" t="s">
        <v>1359</v>
      </c>
      <c r="C143" s="59" t="str">
        <f t="shared" si="1"/>
        <v>LED Light Strip</v>
      </c>
      <c r="D143" s="59" t="s">
        <v>167</v>
      </c>
      <c r="E143" s="60">
        <v>39.4</v>
      </c>
      <c r="F143" s="60">
        <v>39.4</v>
      </c>
      <c r="G143" s="60">
        <v>45.11</v>
      </c>
      <c r="H143" s="60">
        <v>44.27</v>
      </c>
      <c r="I143" s="60">
        <v>43.43</v>
      </c>
      <c r="J143" s="60">
        <v>45.95</v>
      </c>
      <c r="K143" s="60">
        <v>202.71</v>
      </c>
      <c r="L143" s="60">
        <v>42.61</v>
      </c>
      <c r="M143" s="60">
        <v>47.66</v>
      </c>
      <c r="N143" s="59" t="s">
        <v>9054</v>
      </c>
    </row>
    <row r="144">
      <c r="A144" s="59" t="s">
        <v>1679</v>
      </c>
      <c r="B144" s="59" t="s">
        <v>1530</v>
      </c>
      <c r="C144" s="59" t="str">
        <f t="shared" si="1"/>
        <v>External SSD 1TB</v>
      </c>
      <c r="D144" s="59" t="s">
        <v>514</v>
      </c>
      <c r="E144" s="60">
        <v>130.95</v>
      </c>
      <c r="F144" s="60">
        <v>130.95</v>
      </c>
      <c r="G144" s="60">
        <v>149.91</v>
      </c>
      <c r="H144" s="60">
        <v>147.12</v>
      </c>
      <c r="I144" s="60">
        <v>144.36</v>
      </c>
      <c r="J144" s="60">
        <v>152.73</v>
      </c>
      <c r="K144" s="60">
        <v>673.74</v>
      </c>
      <c r="L144" s="60">
        <v>141.62</v>
      </c>
      <c r="M144" s="60">
        <v>158.4</v>
      </c>
      <c r="N144" s="59" t="s">
        <v>9054</v>
      </c>
    </row>
    <row r="145">
      <c r="A145" s="59" t="s">
        <v>1197</v>
      </c>
      <c r="B145" s="59" t="s">
        <v>1198</v>
      </c>
      <c r="C145" s="59" t="str">
        <f t="shared" si="1"/>
        <v>Gaming Chair</v>
      </c>
      <c r="D145" s="59" t="s">
        <v>179</v>
      </c>
      <c r="E145" s="60">
        <v>80.95</v>
      </c>
      <c r="F145" s="60">
        <v>80.95</v>
      </c>
      <c r="G145" s="60">
        <v>92.67</v>
      </c>
      <c r="H145" s="60">
        <v>90.95</v>
      </c>
      <c r="I145" s="60">
        <v>89.24</v>
      </c>
      <c r="J145" s="60">
        <v>94.41</v>
      </c>
      <c r="K145" s="60">
        <v>416.49</v>
      </c>
      <c r="L145" s="60">
        <v>87.55</v>
      </c>
      <c r="M145" s="60">
        <v>97.92</v>
      </c>
      <c r="N145" s="59" t="s">
        <v>9054</v>
      </c>
    </row>
    <row r="146">
      <c r="A146" s="59" t="s">
        <v>1400</v>
      </c>
      <c r="B146" s="59" t="s">
        <v>524</v>
      </c>
      <c r="C146" s="59" t="str">
        <f t="shared" si="1"/>
        <v>Noise Cancelling Headphones</v>
      </c>
      <c r="D146" s="59" t="s">
        <v>63</v>
      </c>
      <c r="E146" s="60">
        <v>145.12</v>
      </c>
      <c r="F146" s="60">
        <v>145.12</v>
      </c>
      <c r="G146" s="60">
        <v>166.13</v>
      </c>
      <c r="H146" s="60">
        <v>163.04</v>
      </c>
      <c r="I146" s="60">
        <v>159.98</v>
      </c>
      <c r="J146" s="60">
        <v>169.25</v>
      </c>
      <c r="K146" s="60">
        <v>746.64</v>
      </c>
      <c r="L146" s="60">
        <v>156.95</v>
      </c>
      <c r="M146" s="60">
        <v>175.54</v>
      </c>
      <c r="N146" s="59" t="s">
        <v>9054</v>
      </c>
    </row>
    <row r="147">
      <c r="A147" s="59" t="s">
        <v>2321</v>
      </c>
      <c r="B147" s="59" t="s">
        <v>2322</v>
      </c>
      <c r="C147" s="59" t="str">
        <f t="shared" si="1"/>
        <v>Usb-C Hub 7In1</v>
      </c>
      <c r="D147" s="59" t="s">
        <v>368</v>
      </c>
      <c r="E147" s="60">
        <v>23.95</v>
      </c>
      <c r="F147" s="60">
        <v>23.95</v>
      </c>
      <c r="G147" s="60">
        <v>27.42</v>
      </c>
      <c r="H147" s="60">
        <v>26.91</v>
      </c>
      <c r="I147" s="60">
        <v>26.4</v>
      </c>
      <c r="J147" s="60">
        <v>27.93</v>
      </c>
      <c r="K147" s="60">
        <v>123.22</v>
      </c>
      <c r="L147" s="60">
        <v>25.9</v>
      </c>
      <c r="M147" s="60">
        <v>28.97</v>
      </c>
      <c r="N147" s="59" t="s">
        <v>9054</v>
      </c>
    </row>
    <row r="148">
      <c r="A148" s="59" t="s">
        <v>1236</v>
      </c>
      <c r="B148" s="59" t="s">
        <v>1237</v>
      </c>
      <c r="C148" s="59" t="str">
        <f t="shared" si="1"/>
        <v>Noise Cancelling Headphones</v>
      </c>
      <c r="D148" s="59" t="s">
        <v>514</v>
      </c>
      <c r="E148" s="60">
        <v>140.44</v>
      </c>
      <c r="F148" s="60">
        <v>140.44</v>
      </c>
      <c r="G148" s="60">
        <v>160.78</v>
      </c>
      <c r="H148" s="60">
        <v>157.78</v>
      </c>
      <c r="I148" s="60">
        <v>154.82</v>
      </c>
      <c r="J148" s="60">
        <v>163.8</v>
      </c>
      <c r="K148" s="60">
        <v>722.56</v>
      </c>
      <c r="L148" s="60">
        <v>151.89</v>
      </c>
      <c r="M148" s="60">
        <v>169.88</v>
      </c>
      <c r="N148" s="59" t="s">
        <v>9054</v>
      </c>
    </row>
    <row r="149">
      <c r="A149" s="59" t="s">
        <v>2181</v>
      </c>
      <c r="B149" s="59" t="s">
        <v>2182</v>
      </c>
      <c r="C149" s="59" t="str">
        <f t="shared" si="1"/>
        <v>MECHANICAL KEYBOARD</v>
      </c>
      <c r="D149" s="59" t="s">
        <v>179</v>
      </c>
      <c r="E149" s="60">
        <v>133.51</v>
      </c>
      <c r="F149" s="60">
        <v>133.51</v>
      </c>
      <c r="G149" s="60">
        <v>152.84</v>
      </c>
      <c r="H149" s="60">
        <v>150.0</v>
      </c>
      <c r="I149" s="60">
        <v>147.18</v>
      </c>
      <c r="J149" s="60">
        <v>155.71</v>
      </c>
      <c r="K149" s="60">
        <v>686.91</v>
      </c>
      <c r="L149" s="60">
        <v>144.39</v>
      </c>
      <c r="M149" s="60">
        <v>161.49</v>
      </c>
      <c r="N149" s="59" t="s">
        <v>9054</v>
      </c>
    </row>
    <row r="150">
      <c r="A150" s="59" t="s">
        <v>61</v>
      </c>
      <c r="B150" s="59" t="s">
        <v>62</v>
      </c>
      <c r="C150" s="59" t="str">
        <f t="shared" si="1"/>
        <v>Portable HDD 2TB</v>
      </c>
      <c r="D150" s="59" t="s">
        <v>63</v>
      </c>
      <c r="E150" s="60">
        <v>62.81</v>
      </c>
      <c r="F150" s="60">
        <v>62.81</v>
      </c>
      <c r="G150" s="60">
        <v>71.9</v>
      </c>
      <c r="H150" s="60">
        <v>70.57</v>
      </c>
      <c r="I150" s="60">
        <v>69.24</v>
      </c>
      <c r="J150" s="60">
        <v>73.26</v>
      </c>
      <c r="K150" s="60">
        <v>323.16</v>
      </c>
      <c r="L150" s="60">
        <v>67.93</v>
      </c>
      <c r="M150" s="60">
        <v>75.97</v>
      </c>
      <c r="N150" s="59" t="s">
        <v>9054</v>
      </c>
    </row>
    <row r="151">
      <c r="A151" s="59" t="s">
        <v>1597</v>
      </c>
      <c r="B151" s="59" t="s">
        <v>502</v>
      </c>
      <c r="C151" s="59" t="str">
        <f t="shared" si="1"/>
        <v>Ultrabook 14</v>
      </c>
      <c r="D151" s="59" t="s">
        <v>355</v>
      </c>
      <c r="E151" s="60">
        <v>1002.55</v>
      </c>
      <c r="F151" s="60">
        <v>1002.55</v>
      </c>
      <c r="G151" s="60">
        <v>1147.72</v>
      </c>
      <c r="H151" s="60">
        <v>1126.36</v>
      </c>
      <c r="I151" s="60">
        <v>1105.21</v>
      </c>
      <c r="J151" s="60">
        <v>1169.27</v>
      </c>
      <c r="K151" s="60">
        <v>5158.12</v>
      </c>
      <c r="L151" s="60">
        <v>1084.26</v>
      </c>
      <c r="M151" s="60">
        <v>1212.68</v>
      </c>
      <c r="N151" s="59" t="s">
        <v>9054</v>
      </c>
    </row>
  </sheetData>
  <autoFilter ref="$A$1:$AB$15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43"/>
    <col customWidth="1" min="2" max="26" width="8.71"/>
  </cols>
  <sheetData>
    <row r="1">
      <c r="A1" s="1" t="s">
        <v>9055</v>
      </c>
    </row>
    <row r="2">
      <c r="A2" s="16" t="s">
        <v>9056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86"/>
  </cols>
  <sheetData>
    <row r="1">
      <c r="A1" s="16" t="s">
        <v>9057</v>
      </c>
    </row>
  </sheetData>
  <drawing r:id="rId1"/>
</worksheet>
</file>